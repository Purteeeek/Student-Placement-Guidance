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20" yWindow="15" windowWidth="15195" windowHeight="8190"/>
  </bookViews>
  <sheets>
    <sheet name="GAZET" sheetId="1" r:id="rId1"/>
    <sheet name="ANALYSIS" sheetId="2" r:id="rId2"/>
    <sheet name="MarkSheet" sheetId="3" r:id="rId3"/>
  </sheets>
  <functionGroups/>
  <definedNames>
    <definedName name="_xlnm.Print_Area" localSheetId="0">GAZET!$B$21:$AP$185</definedName>
    <definedName name="_xlnm.Print_Titles" localSheetId="0">GAZET!$16:$24</definedName>
  </definedNames>
  <calcPr calcId="124519"/>
</workbook>
</file>

<file path=xl/calcChain.xml><?xml version="1.0" encoding="utf-8"?>
<calcChain xmlns="http://schemas.openxmlformats.org/spreadsheetml/2006/main">
  <c r="AB9" i="1"/>
  <c r="AB2" s="1"/>
  <c r="AB7"/>
  <c r="AB6"/>
  <c r="AB5"/>
  <c r="V9"/>
  <c r="V2" s="1"/>
  <c r="V7"/>
  <c r="V6"/>
  <c r="V5"/>
  <c r="P9"/>
  <c r="P2" s="1"/>
  <c r="P7"/>
  <c r="P6"/>
  <c r="P5"/>
  <c r="J9"/>
  <c r="J2" s="1"/>
  <c r="J7"/>
  <c r="J6"/>
  <c r="J5"/>
  <c r="D9"/>
  <c r="D2" s="1"/>
  <c r="D7"/>
  <c r="D6"/>
  <c r="D5"/>
  <c r="AK183" l="1"/>
  <c r="AK182"/>
  <c r="AK181"/>
  <c r="AK180"/>
  <c r="AK179"/>
  <c r="AK178"/>
  <c r="AI185"/>
  <c r="I185" s="1"/>
  <c r="AI184"/>
  <c r="AK184" s="1"/>
  <c r="AI183"/>
  <c r="AI182"/>
  <c r="AI181"/>
  <c r="AI180"/>
  <c r="AI179"/>
  <c r="AI178"/>
  <c r="AI177"/>
  <c r="AK177" s="1"/>
  <c r="AI176"/>
  <c r="AK176" s="1"/>
  <c r="AI175"/>
  <c r="AK175" s="1"/>
  <c r="AI174"/>
  <c r="AK174" s="1"/>
  <c r="AI173"/>
  <c r="AK173" s="1"/>
  <c r="AI172"/>
  <c r="AK172" s="1"/>
  <c r="AI171"/>
  <c r="AK171" s="1"/>
  <c r="AI170"/>
  <c r="AE170" s="1"/>
  <c r="AI169"/>
  <c r="AK169" s="1"/>
  <c r="AI168"/>
  <c r="AK168" s="1"/>
  <c r="AI167"/>
  <c r="AK167" s="1"/>
  <c r="AI166"/>
  <c r="AK166" s="1"/>
  <c r="AI165"/>
  <c r="AK165" s="1"/>
  <c r="AI164"/>
  <c r="AK164" s="1"/>
  <c r="AI163"/>
  <c r="AK163" s="1"/>
  <c r="AI162"/>
  <c r="AK162" s="1"/>
  <c r="AI161"/>
  <c r="AK161" s="1"/>
  <c r="AI160"/>
  <c r="AK160" s="1"/>
  <c r="AI159"/>
  <c r="AK159" s="1"/>
  <c r="AI158"/>
  <c r="AK158" s="1"/>
  <c r="AI157"/>
  <c r="AK157" s="1"/>
  <c r="AI156"/>
  <c r="AK156" s="1"/>
  <c r="AI155"/>
  <c r="AK155" s="1"/>
  <c r="AI154"/>
  <c r="AK154" s="1"/>
  <c r="AI153"/>
  <c r="AK153" s="1"/>
  <c r="AI152"/>
  <c r="AK152" s="1"/>
  <c r="AI151"/>
  <c r="AK151" s="1"/>
  <c r="AI150"/>
  <c r="AK150" s="1"/>
  <c r="AI149"/>
  <c r="AK149" s="1"/>
  <c r="AI148"/>
  <c r="AK148" s="1"/>
  <c r="AI147"/>
  <c r="AK147" s="1"/>
  <c r="AI146"/>
  <c r="AK146" s="1"/>
  <c r="AI145"/>
  <c r="AK145" s="1"/>
  <c r="AI144"/>
  <c r="AK144" s="1"/>
  <c r="AI143"/>
  <c r="AK143" s="1"/>
  <c r="AI142"/>
  <c r="AK142" s="1"/>
  <c r="AI141"/>
  <c r="AK141" s="1"/>
  <c r="AI140"/>
  <c r="AK140" s="1"/>
  <c r="AI139"/>
  <c r="AK139" s="1"/>
  <c r="AI138"/>
  <c r="AK138" s="1"/>
  <c r="AI137"/>
  <c r="AK137" s="1"/>
  <c r="AI136"/>
  <c r="AK136" s="1"/>
  <c r="AI135"/>
  <c r="AK135" s="1"/>
  <c r="AI134"/>
  <c r="AK134" s="1"/>
  <c r="AI133"/>
  <c r="AK133" s="1"/>
  <c r="AI132"/>
  <c r="AK132" s="1"/>
  <c r="AI131"/>
  <c r="AK131" s="1"/>
  <c r="AI130"/>
  <c r="AK130" s="1"/>
  <c r="AI129"/>
  <c r="AK129" s="1"/>
  <c r="AI128"/>
  <c r="AK128" s="1"/>
  <c r="AI127"/>
  <c r="AK127" s="1"/>
  <c r="AI126"/>
  <c r="AK126" s="1"/>
  <c r="AI125"/>
  <c r="AK125" s="1"/>
  <c r="AI124"/>
  <c r="AK124" s="1"/>
  <c r="AI123"/>
  <c r="AK123" s="1"/>
  <c r="AI122"/>
  <c r="AK122" s="1"/>
  <c r="AI121"/>
  <c r="AK121" s="1"/>
  <c r="AI120"/>
  <c r="AK120" s="1"/>
  <c r="AI119"/>
  <c r="AK119" s="1"/>
  <c r="AI118"/>
  <c r="AK118" s="1"/>
  <c r="AI117"/>
  <c r="AK117" s="1"/>
  <c r="AI116"/>
  <c r="AK116" s="1"/>
  <c r="AI115"/>
  <c r="AK115" s="1"/>
  <c r="AI114"/>
  <c r="AK114" s="1"/>
  <c r="AI113"/>
  <c r="AK113" s="1"/>
  <c r="AI112"/>
  <c r="AK112" s="1"/>
  <c r="AI111"/>
  <c r="AK111" s="1"/>
  <c r="AI110"/>
  <c r="AK110" s="1"/>
  <c r="AI109"/>
  <c r="AK109" s="1"/>
  <c r="AI108"/>
  <c r="AK108" s="1"/>
  <c r="AI107"/>
  <c r="AK107" s="1"/>
  <c r="AI106"/>
  <c r="AK106" s="1"/>
  <c r="AI105"/>
  <c r="AK105" s="1"/>
  <c r="AI104"/>
  <c r="AK104" s="1"/>
  <c r="AI103"/>
  <c r="AK103" s="1"/>
  <c r="AI102"/>
  <c r="AK102" s="1"/>
  <c r="AI101"/>
  <c r="AK101" s="1"/>
  <c r="AI100"/>
  <c r="AK100" s="1"/>
  <c r="AI99"/>
  <c r="AK99" s="1"/>
  <c r="AI98"/>
  <c r="AK98" s="1"/>
  <c r="AI97"/>
  <c r="AK97" s="1"/>
  <c r="AI96"/>
  <c r="AK96" s="1"/>
  <c r="AI95"/>
  <c r="AK95" s="1"/>
  <c r="AI94"/>
  <c r="AK94" s="1"/>
  <c r="AI93"/>
  <c r="AK93" s="1"/>
  <c r="AI92"/>
  <c r="AK92" s="1"/>
  <c r="AI91"/>
  <c r="AK91" s="1"/>
  <c r="AI90"/>
  <c r="AK90" s="1"/>
  <c r="AI89"/>
  <c r="AK89" s="1"/>
  <c r="AI88"/>
  <c r="AK88" s="1"/>
  <c r="AI87"/>
  <c r="AK87" s="1"/>
  <c r="AI86"/>
  <c r="AK86" s="1"/>
  <c r="AI85"/>
  <c r="AK85" s="1"/>
  <c r="AI84"/>
  <c r="AK84" s="1"/>
  <c r="AI83"/>
  <c r="AK83" s="1"/>
  <c r="AI82"/>
  <c r="AK82" s="1"/>
  <c r="AI81"/>
  <c r="AK81" s="1"/>
  <c r="AI80"/>
  <c r="AK80" s="1"/>
  <c r="AI79"/>
  <c r="AK79" s="1"/>
  <c r="AI78"/>
  <c r="AK78" s="1"/>
  <c r="AI77"/>
  <c r="AK77" s="1"/>
  <c r="AI76"/>
  <c r="AK76" s="1"/>
  <c r="AI75"/>
  <c r="AK75" s="1"/>
  <c r="AI74"/>
  <c r="AK74" s="1"/>
  <c r="AI73"/>
  <c r="AK73" s="1"/>
  <c r="AI72"/>
  <c r="AK72" s="1"/>
  <c r="AI71"/>
  <c r="AK71" s="1"/>
  <c r="AI70"/>
  <c r="AK70" s="1"/>
  <c r="AI69"/>
  <c r="AK69" s="1"/>
  <c r="AI68"/>
  <c r="AK68" s="1"/>
  <c r="AI67"/>
  <c r="AK67" s="1"/>
  <c r="AI66"/>
  <c r="AK66" s="1"/>
  <c r="AI65"/>
  <c r="AK65" s="1"/>
  <c r="AI64"/>
  <c r="AK64" s="1"/>
  <c r="AI63"/>
  <c r="AK63" s="1"/>
  <c r="AI62"/>
  <c r="AK62" s="1"/>
  <c r="AI61"/>
  <c r="AK61" s="1"/>
  <c r="AI60"/>
  <c r="AK60" s="1"/>
  <c r="AI59"/>
  <c r="AK59" s="1"/>
  <c r="AI58"/>
  <c r="AK58" s="1"/>
  <c r="AI57"/>
  <c r="AK57" s="1"/>
  <c r="AI56"/>
  <c r="AK56" s="1"/>
  <c r="AI55"/>
  <c r="AK55" s="1"/>
  <c r="AI54"/>
  <c r="AK54" s="1"/>
  <c r="AI53"/>
  <c r="AK53" s="1"/>
  <c r="AI52"/>
  <c r="AK52" s="1"/>
  <c r="AI51"/>
  <c r="AK51" s="1"/>
  <c r="AI50"/>
  <c r="AK50" s="1"/>
  <c r="AI49"/>
  <c r="AK49" s="1"/>
  <c r="AI48"/>
  <c r="AK48" s="1"/>
  <c r="AI47"/>
  <c r="AK47" s="1"/>
  <c r="AI46"/>
  <c r="AK46" s="1"/>
  <c r="AI45"/>
  <c r="AK45" s="1"/>
  <c r="AI44"/>
  <c r="AK44" s="1"/>
  <c r="AI43"/>
  <c r="AK43" s="1"/>
  <c r="AI42"/>
  <c r="AK42" s="1"/>
  <c r="AG185"/>
  <c r="AG184"/>
  <c r="AG183"/>
  <c r="AG182"/>
  <c r="AG181"/>
  <c r="AG180"/>
  <c r="AG179"/>
  <c r="AG178"/>
  <c r="AG177"/>
  <c r="AG176"/>
  <c r="AG175"/>
  <c r="AG174"/>
  <c r="AG173"/>
  <c r="AG172"/>
  <c r="AG171"/>
  <c r="AG170"/>
  <c r="AG169"/>
  <c r="AG168"/>
  <c r="AG167"/>
  <c r="AG166"/>
  <c r="AG165"/>
  <c r="AG164"/>
  <c r="AG163"/>
  <c r="AG162"/>
  <c r="AG161"/>
  <c r="AG160"/>
  <c r="AG159"/>
  <c r="AG158"/>
  <c r="AG157"/>
  <c r="AG156"/>
  <c r="AG155"/>
  <c r="AG154"/>
  <c r="AG153"/>
  <c r="AG152"/>
  <c r="AG151"/>
  <c r="AG150"/>
  <c r="AG149"/>
  <c r="AG148"/>
  <c r="AG147"/>
  <c r="AG146"/>
  <c r="AG145"/>
  <c r="AG144"/>
  <c r="AG143"/>
  <c r="AG142"/>
  <c r="AG141"/>
  <c r="AG140"/>
  <c r="AG139"/>
  <c r="AG138"/>
  <c r="AG137"/>
  <c r="AG136"/>
  <c r="AG135"/>
  <c r="AG134"/>
  <c r="AG133"/>
  <c r="AG132"/>
  <c r="AG131"/>
  <c r="AG130"/>
  <c r="AG129"/>
  <c r="AG128"/>
  <c r="AG127"/>
  <c r="AG126"/>
  <c r="AG125"/>
  <c r="AG124"/>
  <c r="AG123"/>
  <c r="AG122"/>
  <c r="AG121"/>
  <c r="AG120"/>
  <c r="AG119"/>
  <c r="AG118"/>
  <c r="AG117"/>
  <c r="AG116"/>
  <c r="AG115"/>
  <c r="AG114"/>
  <c r="AG113"/>
  <c r="AG112"/>
  <c r="AG111"/>
  <c r="AG108"/>
  <c r="AG107"/>
  <c r="AG102"/>
  <c r="AG98"/>
  <c r="AG95"/>
  <c r="AG69"/>
  <c r="AG42"/>
  <c r="AE185"/>
  <c r="AE184"/>
  <c r="AE183"/>
  <c r="AE182"/>
  <c r="AE181"/>
  <c r="AE180"/>
  <c r="AE179"/>
  <c r="AE178"/>
  <c r="AE177"/>
  <c r="AE176"/>
  <c r="AE174"/>
  <c r="AE173"/>
  <c r="AE172"/>
  <c r="AE171"/>
  <c r="AE169"/>
  <c r="AE168"/>
  <c r="AE167"/>
  <c r="AE166"/>
  <c r="AE164"/>
  <c r="AE162"/>
  <c r="AE160"/>
  <c r="AE158"/>
  <c r="AE157"/>
  <c r="AE156"/>
  <c r="AE155"/>
  <c r="AE152"/>
  <c r="AE150"/>
  <c r="AE148"/>
  <c r="AE146"/>
  <c r="AE144"/>
  <c r="AE142"/>
  <c r="AE140"/>
  <c r="AE136"/>
  <c r="AE134"/>
  <c r="AE132"/>
  <c r="AE130"/>
  <c r="AE126"/>
  <c r="AE124"/>
  <c r="AE122"/>
  <c r="AE120"/>
  <c r="AE118"/>
  <c r="AE116"/>
  <c r="AE114"/>
  <c r="AE112"/>
  <c r="AE110"/>
  <c r="AE108"/>
  <c r="AE105"/>
  <c r="AE102"/>
  <c r="AE100"/>
  <c r="AE96"/>
  <c r="AE94"/>
  <c r="AE88"/>
  <c r="AE86"/>
  <c r="AE85"/>
  <c r="AE82"/>
  <c r="AE80"/>
  <c r="AE78"/>
  <c r="AE76"/>
  <c r="AE74"/>
  <c r="AE70"/>
  <c r="AE68"/>
  <c r="AE64"/>
  <c r="AE62"/>
  <c r="AE60"/>
  <c r="AE58"/>
  <c r="AE50"/>
  <c r="AC185"/>
  <c r="AC184"/>
  <c r="AC183"/>
  <c r="AC182"/>
  <c r="AC181"/>
  <c r="AC180"/>
  <c r="AC179"/>
  <c r="AC178"/>
  <c r="AC177"/>
  <c r="AC176"/>
  <c r="AC175"/>
  <c r="AC174"/>
  <c r="AC173"/>
  <c r="AC172"/>
  <c r="AC171"/>
  <c r="AC169"/>
  <c r="AC168"/>
  <c r="AC167"/>
  <c r="AC166"/>
  <c r="AC165"/>
  <c r="AC164"/>
  <c r="AC163"/>
  <c r="AC162"/>
  <c r="AC161"/>
  <c r="AC160"/>
  <c r="AC159"/>
  <c r="AC158"/>
  <c r="AC157"/>
  <c r="AC156"/>
  <c r="AC155"/>
  <c r="AC154"/>
  <c r="AC153"/>
  <c r="AC152"/>
  <c r="AC150"/>
  <c r="AC148"/>
  <c r="AC146"/>
  <c r="AC144"/>
  <c r="AC142"/>
  <c r="AC140"/>
  <c r="AC137"/>
  <c r="AC136"/>
  <c r="AC135"/>
  <c r="AC134"/>
  <c r="AC133"/>
  <c r="AC132"/>
  <c r="AC131"/>
  <c r="AC130"/>
  <c r="AC129"/>
  <c r="AC128"/>
  <c r="AC127"/>
  <c r="AC126"/>
  <c r="AC125"/>
  <c r="AC124"/>
  <c r="AC123"/>
  <c r="AC122"/>
  <c r="AC121"/>
  <c r="AC120"/>
  <c r="AC119"/>
  <c r="AC118"/>
  <c r="AC117"/>
  <c r="AC116"/>
  <c r="AC114"/>
  <c r="AC112"/>
  <c r="AC111"/>
  <c r="AC110"/>
  <c r="AC108"/>
  <c r="AC106"/>
  <c r="AC104"/>
  <c r="AC102"/>
  <c r="AC100"/>
  <c r="AC98"/>
  <c r="AC96"/>
  <c r="AC94"/>
  <c r="AC92"/>
  <c r="AC90"/>
  <c r="AC88"/>
  <c r="AC86"/>
  <c r="AC84"/>
  <c r="AC82"/>
  <c r="AC80"/>
  <c r="AC78"/>
  <c r="AC76"/>
  <c r="AC74"/>
  <c r="AC72"/>
  <c r="AC70"/>
  <c r="AC68"/>
  <c r="AC66"/>
  <c r="AC64"/>
  <c r="AC62"/>
  <c r="AC60"/>
  <c r="AC58"/>
  <c r="AC56"/>
  <c r="AC54"/>
  <c r="AC52"/>
  <c r="AC50"/>
  <c r="AC48"/>
  <c r="AC46"/>
  <c r="AC44"/>
  <c r="AC42"/>
  <c r="AA184"/>
  <c r="AA183"/>
  <c r="AA182"/>
  <c r="AA181"/>
  <c r="AA180"/>
  <c r="AA179"/>
  <c r="AA178"/>
  <c r="AA177"/>
  <c r="AA176"/>
  <c r="AA175"/>
  <c r="AA174"/>
  <c r="AA173"/>
  <c r="AA172"/>
  <c r="AA170"/>
  <c r="AA169"/>
  <c r="AA168"/>
  <c r="AA167"/>
  <c r="AA166"/>
  <c r="AA164"/>
  <c r="AA163"/>
  <c r="AA162"/>
  <c r="AA160"/>
  <c r="AA158"/>
  <c r="AA156"/>
  <c r="AA155"/>
  <c r="AA154"/>
  <c r="AA153"/>
  <c r="AA152"/>
  <c r="AA150"/>
  <c r="AA148"/>
  <c r="AA146"/>
  <c r="AA144"/>
  <c r="AA142"/>
  <c r="AA140"/>
  <c r="AA138"/>
  <c r="AA136"/>
  <c r="AA134"/>
  <c r="AA132"/>
  <c r="AA130"/>
  <c r="AA128"/>
  <c r="AA126"/>
  <c r="AA124"/>
  <c r="AA122"/>
  <c r="AA121"/>
  <c r="AA120"/>
  <c r="AA119"/>
  <c r="AA118"/>
  <c r="AA117"/>
  <c r="AA116"/>
  <c r="AA113"/>
  <c r="AA112"/>
  <c r="AA111"/>
  <c r="AA110"/>
  <c r="AA109"/>
  <c r="AA105"/>
  <c r="AA104"/>
  <c r="AA103"/>
  <c r="AA102"/>
  <c r="AA101"/>
  <c r="AA100"/>
  <c r="AA99"/>
  <c r="AA96"/>
  <c r="AA94"/>
  <c r="AA92"/>
  <c r="AA91"/>
  <c r="AA90"/>
  <c r="AA89"/>
  <c r="AA88"/>
  <c r="AA87"/>
  <c r="AA86"/>
  <c r="AA85"/>
  <c r="AA84"/>
  <c r="AA83"/>
  <c r="AA82"/>
  <c r="AA80"/>
  <c r="AA78"/>
  <c r="AA76"/>
  <c r="AA74"/>
  <c r="AA72"/>
  <c r="AA71"/>
  <c r="AA70"/>
  <c r="AA69"/>
  <c r="AA68"/>
  <c r="AA67"/>
  <c r="AA66"/>
  <c r="AA65"/>
  <c r="AA64"/>
  <c r="AA63"/>
  <c r="AA62"/>
  <c r="AA61"/>
  <c r="AA60"/>
  <c r="AA59"/>
  <c r="AA58"/>
  <c r="AA57"/>
  <c r="AA56"/>
  <c r="AA55"/>
  <c r="AA54"/>
  <c r="AA53"/>
  <c r="AA52"/>
  <c r="AA51"/>
  <c r="AA50"/>
  <c r="AA49"/>
  <c r="AA48"/>
  <c r="AA47"/>
  <c r="AA46"/>
  <c r="AA45"/>
  <c r="AA44"/>
  <c r="AA43"/>
  <c r="AA42"/>
  <c r="Y184"/>
  <c r="Y183"/>
  <c r="Y182"/>
  <c r="Y181"/>
  <c r="Y180"/>
  <c r="Y179"/>
  <c r="Y178"/>
  <c r="Y176"/>
  <c r="Y175"/>
  <c r="Y174"/>
  <c r="Y173"/>
  <c r="Y172"/>
  <c r="Y171"/>
  <c r="Y169"/>
  <c r="Y168"/>
  <c r="Y166"/>
  <c r="Y165"/>
  <c r="Y164"/>
  <c r="Y163"/>
  <c r="Y162"/>
  <c r="Y161"/>
  <c r="Y160"/>
  <c r="Y159"/>
  <c r="Y158"/>
  <c r="Y156"/>
  <c r="Y155"/>
  <c r="Y154"/>
  <c r="Y153"/>
  <c r="Y152"/>
  <c r="Y151"/>
  <c r="Y150"/>
  <c r="Y149"/>
  <c r="Y148"/>
  <c r="Y147"/>
  <c r="Y146"/>
  <c r="Y145"/>
  <c r="Y144"/>
  <c r="Y143"/>
  <c r="Y142"/>
  <c r="Y141"/>
  <c r="Y140"/>
  <c r="Y139"/>
  <c r="Y136"/>
  <c r="Y134"/>
  <c r="Y132"/>
  <c r="Y130"/>
  <c r="Y129"/>
  <c r="Y128"/>
  <c r="Y126"/>
  <c r="Y124"/>
  <c r="Y122"/>
  <c r="Y120"/>
  <c r="Y118"/>
  <c r="Y116"/>
  <c r="Y112"/>
  <c r="Y111"/>
  <c r="Y110"/>
  <c r="Y109"/>
  <c r="Y108"/>
  <c r="Y107"/>
  <c r="Y104"/>
  <c r="Y102"/>
  <c r="Y100"/>
  <c r="Y99"/>
  <c r="Y96"/>
  <c r="Y94"/>
  <c r="Y92"/>
  <c r="Y90"/>
  <c r="Y88"/>
  <c r="Y86"/>
  <c r="Y84"/>
  <c r="Y82"/>
  <c r="Y80"/>
  <c r="Y79"/>
  <c r="Y78"/>
  <c r="Y77"/>
  <c r="Y76"/>
  <c r="Y74"/>
  <c r="Y72"/>
  <c r="Y71"/>
  <c r="Y70"/>
  <c r="Y69"/>
  <c r="Y68"/>
  <c r="Y67"/>
  <c r="Y66"/>
  <c r="Y64"/>
  <c r="Y62"/>
  <c r="Y60"/>
  <c r="Y58"/>
  <c r="Y56"/>
  <c r="Y54"/>
  <c r="Y52"/>
  <c r="Y50"/>
  <c r="Y47"/>
  <c r="Y46"/>
  <c r="Y45"/>
  <c r="Y44"/>
  <c r="Y43"/>
  <c r="Y42"/>
  <c r="W185"/>
  <c r="W184"/>
  <c r="W183"/>
  <c r="W182"/>
  <c r="W181"/>
  <c r="W180"/>
  <c r="W179"/>
  <c r="W178"/>
  <c r="W177"/>
  <c r="W176"/>
  <c r="W175"/>
  <c r="W174"/>
  <c r="W173"/>
  <c r="W172"/>
  <c r="W170"/>
  <c r="W169"/>
  <c r="W168"/>
  <c r="W166"/>
  <c r="W164"/>
  <c r="W163"/>
  <c r="W162"/>
  <c r="W161"/>
  <c r="W160"/>
  <c r="W159"/>
  <c r="W158"/>
  <c r="W156"/>
  <c r="W155"/>
  <c r="W153"/>
  <c r="W152"/>
  <c r="W151"/>
  <c r="W150"/>
  <c r="W149"/>
  <c r="W148"/>
  <c r="W147"/>
  <c r="W146"/>
  <c r="W145"/>
  <c r="W144"/>
  <c r="W143"/>
  <c r="W142"/>
  <c r="W141"/>
  <c r="W140"/>
  <c r="W139"/>
  <c r="W136"/>
  <c r="W135"/>
  <c r="W134"/>
  <c r="W133"/>
  <c r="W132"/>
  <c r="W130"/>
  <c r="W129"/>
  <c r="W128"/>
  <c r="W127"/>
  <c r="W126"/>
  <c r="W125"/>
  <c r="W124"/>
  <c r="W123"/>
  <c r="W122"/>
  <c r="W121"/>
  <c r="W120"/>
  <c r="W119"/>
  <c r="W118"/>
  <c r="W117"/>
  <c r="W116"/>
  <c r="W114"/>
  <c r="W112"/>
  <c r="W111"/>
  <c r="W110"/>
  <c r="W109"/>
  <c r="W108"/>
  <c r="W107"/>
  <c r="W105"/>
  <c r="W104"/>
  <c r="W103"/>
  <c r="W102"/>
  <c r="W101"/>
  <c r="W100"/>
  <c r="W99"/>
  <c r="W98"/>
  <c r="W97"/>
  <c r="W96"/>
  <c r="W95"/>
  <c r="W94"/>
  <c r="W93"/>
  <c r="W91"/>
  <c r="W90"/>
  <c r="W89"/>
  <c r="W88"/>
  <c r="W87"/>
  <c r="W86"/>
  <c r="W85"/>
  <c r="W84"/>
  <c r="W83"/>
  <c r="W82"/>
  <c r="W80"/>
  <c r="W78"/>
  <c r="W76"/>
  <c r="W74"/>
  <c r="W72"/>
  <c r="W71"/>
  <c r="W70"/>
  <c r="W69"/>
  <c r="W68"/>
  <c r="W67"/>
  <c r="W66"/>
  <c r="W65"/>
  <c r="W64"/>
  <c r="W63"/>
  <c r="W62"/>
  <c r="W61"/>
  <c r="W60"/>
  <c r="W59"/>
  <c r="W58"/>
  <c r="W57"/>
  <c r="W56"/>
  <c r="W55"/>
  <c r="W54"/>
  <c r="W53"/>
  <c r="W52"/>
  <c r="W51"/>
  <c r="W50"/>
  <c r="W49"/>
  <c r="W48"/>
  <c r="W47"/>
  <c r="W46"/>
  <c r="W45"/>
  <c r="W44"/>
  <c r="W43"/>
  <c r="W42"/>
  <c r="U185"/>
  <c r="U184"/>
  <c r="U183"/>
  <c r="U182"/>
  <c r="U181"/>
  <c r="U180"/>
  <c r="U179"/>
  <c r="U178"/>
  <c r="U176"/>
  <c r="U174"/>
  <c r="U173"/>
  <c r="U172"/>
  <c r="U169"/>
  <c r="U168"/>
  <c r="U167"/>
  <c r="U166"/>
  <c r="U165"/>
  <c r="U164"/>
  <c r="U163"/>
  <c r="U162"/>
  <c r="U160"/>
  <c r="U159"/>
  <c r="U158"/>
  <c r="U157"/>
  <c r="U156"/>
  <c r="U155"/>
  <c r="U153"/>
  <c r="U152"/>
  <c r="U151"/>
  <c r="U150"/>
  <c r="U149"/>
  <c r="U148"/>
  <c r="U147"/>
  <c r="U146"/>
  <c r="U145"/>
  <c r="U144"/>
  <c r="U143"/>
  <c r="U142"/>
  <c r="U141"/>
  <c r="U140"/>
  <c r="U138"/>
  <c r="U137"/>
  <c r="U136"/>
  <c r="U135"/>
  <c r="U134"/>
  <c r="U133"/>
  <c r="U132"/>
  <c r="U130"/>
  <c r="U129"/>
  <c r="U128"/>
  <c r="U127"/>
  <c r="U126"/>
  <c r="U124"/>
  <c r="U122"/>
  <c r="U121"/>
  <c r="U120"/>
  <c r="U119"/>
  <c r="U118"/>
  <c r="U117"/>
  <c r="U116"/>
  <c r="U114"/>
  <c r="U113"/>
  <c r="U112"/>
  <c r="U111"/>
  <c r="U110"/>
  <c r="U109"/>
  <c r="U107"/>
  <c r="U105"/>
  <c r="U104"/>
  <c r="U103"/>
  <c r="U102"/>
  <c r="U100"/>
  <c r="U99"/>
  <c r="U97"/>
  <c r="U96"/>
  <c r="U95"/>
  <c r="U94"/>
  <c r="U92"/>
  <c r="U91"/>
  <c r="U90"/>
  <c r="U88"/>
  <c r="U87"/>
  <c r="U86"/>
  <c r="U85"/>
  <c r="U84"/>
  <c r="U83"/>
  <c r="U82"/>
  <c r="U81"/>
  <c r="U80"/>
  <c r="U79"/>
  <c r="U78"/>
  <c r="U77"/>
  <c r="U76"/>
  <c r="U74"/>
  <c r="U72"/>
  <c r="U70"/>
  <c r="U69"/>
  <c r="U68"/>
  <c r="U67"/>
  <c r="U66"/>
  <c r="U65"/>
  <c r="U64"/>
  <c r="U63"/>
  <c r="U62"/>
  <c r="U61"/>
  <c r="U60"/>
  <c r="U59"/>
  <c r="U58"/>
  <c r="U57"/>
  <c r="U56"/>
  <c r="U55"/>
  <c r="U54"/>
  <c r="U53"/>
  <c r="U52"/>
  <c r="U51"/>
  <c r="U50"/>
  <c r="U49"/>
  <c r="U48"/>
  <c r="U47"/>
  <c r="U46"/>
  <c r="U44"/>
  <c r="U43"/>
  <c r="U42"/>
  <c r="S185"/>
  <c r="S184"/>
  <c r="S183"/>
  <c r="S182"/>
  <c r="S181"/>
  <c r="S180"/>
  <c r="S179"/>
  <c r="S178"/>
  <c r="S176"/>
  <c r="S175"/>
  <c r="S174"/>
  <c r="S173"/>
  <c r="S172"/>
  <c r="S169"/>
  <c r="S168"/>
  <c r="S166"/>
  <c r="S164"/>
  <c r="S163"/>
  <c r="S162"/>
  <c r="S161"/>
  <c r="S160"/>
  <c r="S159"/>
  <c r="S158"/>
  <c r="S157"/>
  <c r="S156"/>
  <c r="S155"/>
  <c r="S154"/>
  <c r="S153"/>
  <c r="S152"/>
  <c r="S151"/>
  <c r="S150"/>
  <c r="S149"/>
  <c r="S148"/>
  <c r="S147"/>
  <c r="S146"/>
  <c r="S145"/>
  <c r="S144"/>
  <c r="S143"/>
  <c r="S142"/>
  <c r="S141"/>
  <c r="S140"/>
  <c r="S136"/>
  <c r="S135"/>
  <c r="S134"/>
  <c r="S133"/>
  <c r="S132"/>
  <c r="S130"/>
  <c r="S129"/>
  <c r="S128"/>
  <c r="S127"/>
  <c r="S126"/>
  <c r="S125"/>
  <c r="S124"/>
  <c r="S122"/>
  <c r="S121"/>
  <c r="S120"/>
  <c r="S119"/>
  <c r="S118"/>
  <c r="S117"/>
  <c r="S116"/>
  <c r="S113"/>
  <c r="S112"/>
  <c r="S111"/>
  <c r="S110"/>
  <c r="S109"/>
  <c r="S108"/>
  <c r="S107"/>
  <c r="S105"/>
  <c r="S104"/>
  <c r="S103"/>
  <c r="S102"/>
  <c r="S100"/>
  <c r="S99"/>
  <c r="S98"/>
  <c r="S97"/>
  <c r="S96"/>
  <c r="S95"/>
  <c r="S94"/>
  <c r="S91"/>
  <c r="S90"/>
  <c r="S89"/>
  <c r="S88"/>
  <c r="S87"/>
  <c r="S86"/>
  <c r="S85"/>
  <c r="S84"/>
  <c r="S83"/>
  <c r="S82"/>
  <c r="S81"/>
  <c r="S80"/>
  <c r="S79"/>
  <c r="S78"/>
  <c r="S77"/>
  <c r="S76"/>
  <c r="S74"/>
  <c r="S73"/>
  <c r="S72"/>
  <c r="S71"/>
  <c r="S70"/>
  <c r="S69"/>
  <c r="S68"/>
  <c r="S67"/>
  <c r="S66"/>
  <c r="S64"/>
  <c r="S63"/>
  <c r="S62"/>
  <c r="S61"/>
  <c r="S60"/>
  <c r="S59"/>
  <c r="S58"/>
  <c r="S57"/>
  <c r="S56"/>
  <c r="S55"/>
  <c r="S54"/>
  <c r="S53"/>
  <c r="S52"/>
  <c r="S51"/>
  <c r="S50"/>
  <c r="S49"/>
  <c r="S48"/>
  <c r="S47"/>
  <c r="S46"/>
  <c r="S45"/>
  <c r="S44"/>
  <c r="S43"/>
  <c r="S42"/>
  <c r="Q185"/>
  <c r="Q184"/>
  <c r="Q183"/>
  <c r="Q182"/>
  <c r="Q181"/>
  <c r="Q180"/>
  <c r="Q179"/>
  <c r="Q178"/>
  <c r="Q177"/>
  <c r="Q176"/>
  <c r="Q175"/>
  <c r="Q174"/>
  <c r="Q173"/>
  <c r="Q172"/>
  <c r="Q171"/>
  <c r="Q170"/>
  <c r="Q169"/>
  <c r="Q168"/>
  <c r="Q167"/>
  <c r="Q166"/>
  <c r="Q165"/>
  <c r="Q164"/>
  <c r="Q163"/>
  <c r="Q162"/>
  <c r="Q160"/>
  <c r="Q159"/>
  <c r="Q158"/>
  <c r="Q157"/>
  <c r="Q156"/>
  <c r="Q155"/>
  <c r="Q154"/>
  <c r="Q153"/>
  <c r="Q152"/>
  <c r="Q151"/>
  <c r="Q150"/>
  <c r="Q149"/>
  <c r="Q148"/>
  <c r="Q147"/>
  <c r="Q146"/>
  <c r="Q145"/>
  <c r="Q144"/>
  <c r="Q143"/>
  <c r="Q142"/>
  <c r="Q141"/>
  <c r="Q140"/>
  <c r="Q138"/>
  <c r="Q137"/>
  <c r="Q136"/>
  <c r="Q135"/>
  <c r="Q134"/>
  <c r="Q133"/>
  <c r="Q132"/>
  <c r="Q130"/>
  <c r="Q129"/>
  <c r="Q128"/>
  <c r="Q127"/>
  <c r="Q126"/>
  <c r="Q125"/>
  <c r="Q124"/>
  <c r="Q123"/>
  <c r="Q122"/>
  <c r="Q121"/>
  <c r="Q120"/>
  <c r="Q119"/>
  <c r="Q118"/>
  <c r="Q117"/>
  <c r="Q116"/>
  <c r="Q112"/>
  <c r="Q111"/>
  <c r="Q110"/>
  <c r="Q109"/>
  <c r="Q107"/>
  <c r="Q105"/>
  <c r="Q104"/>
  <c r="Q103"/>
  <c r="Q102"/>
  <c r="Q100"/>
  <c r="Q99"/>
  <c r="Q98"/>
  <c r="Q97"/>
  <c r="Q96"/>
  <c r="Q95"/>
  <c r="Q94"/>
  <c r="Q93"/>
  <c r="Q91"/>
  <c r="Q90"/>
  <c r="Q88"/>
  <c r="Q86"/>
  <c r="Q85"/>
  <c r="Q84"/>
  <c r="Q83"/>
  <c r="Q82"/>
  <c r="Q80"/>
  <c r="Q79"/>
  <c r="Q78"/>
  <c r="Q77"/>
  <c r="Q76"/>
  <c r="Q74"/>
  <c r="Q73"/>
  <c r="Q72"/>
  <c r="Q70"/>
  <c r="Q69"/>
  <c r="Q68"/>
  <c r="Q67"/>
  <c r="Q66"/>
  <c r="Q64"/>
  <c r="Q63"/>
  <c r="Q62"/>
  <c r="Q61"/>
  <c r="Q60"/>
  <c r="Q59"/>
  <c r="Q58"/>
  <c r="Q57"/>
  <c r="Q56"/>
  <c r="Q55"/>
  <c r="Q54"/>
  <c r="Q53"/>
  <c r="Q52"/>
  <c r="Q51"/>
  <c r="Q50"/>
  <c r="Q49"/>
  <c r="Q48"/>
  <c r="Q47"/>
  <c r="Q46"/>
  <c r="Q44"/>
  <c r="Q43"/>
  <c r="Q42"/>
  <c r="O185"/>
  <c r="O184"/>
  <c r="O183"/>
  <c r="O182"/>
  <c r="O181"/>
  <c r="O180"/>
  <c r="O179"/>
  <c r="O178"/>
  <c r="O176"/>
  <c r="O174"/>
  <c r="O173"/>
  <c r="O172"/>
  <c r="O169"/>
  <c r="O168"/>
  <c r="O167"/>
  <c r="O166"/>
  <c r="O164"/>
  <c r="O163"/>
  <c r="O162"/>
  <c r="O161"/>
  <c r="O160"/>
  <c r="O159"/>
  <c r="O158"/>
  <c r="O157"/>
  <c r="O156"/>
  <c r="O155"/>
  <c r="O153"/>
  <c r="O152"/>
  <c r="O151"/>
  <c r="O150"/>
  <c r="O149"/>
  <c r="O148"/>
  <c r="O147"/>
  <c r="O146"/>
  <c r="O145"/>
  <c r="O144"/>
  <c r="O143"/>
  <c r="O142"/>
  <c r="O141"/>
  <c r="O140"/>
  <c r="O137"/>
  <c r="O136"/>
  <c r="O135"/>
  <c r="O134"/>
  <c r="O133"/>
  <c r="O132"/>
  <c r="O131"/>
  <c r="O130"/>
  <c r="O129"/>
  <c r="O128"/>
  <c r="O126"/>
  <c r="O125"/>
  <c r="O124"/>
  <c r="O122"/>
  <c r="O121"/>
  <c r="O120"/>
  <c r="O119"/>
  <c r="O118"/>
  <c r="O117"/>
  <c r="O116"/>
  <c r="O113"/>
  <c r="O112"/>
  <c r="O111"/>
  <c r="O110"/>
  <c r="O109"/>
  <c r="O107"/>
  <c r="O105"/>
  <c r="O104"/>
  <c r="O103"/>
  <c r="O102"/>
  <c r="O101"/>
  <c r="O100"/>
  <c r="O99"/>
  <c r="O98"/>
  <c r="O97"/>
  <c r="O96"/>
  <c r="O95"/>
  <c r="O94"/>
  <c r="O93"/>
  <c r="O91"/>
  <c r="O90"/>
  <c r="O89"/>
  <c r="O88"/>
  <c r="O86"/>
  <c r="O85"/>
  <c r="O84"/>
  <c r="O83"/>
  <c r="O82"/>
  <c r="O81"/>
  <c r="O80"/>
  <c r="O79"/>
  <c r="O78"/>
  <c r="O77"/>
  <c r="O76"/>
  <c r="O74"/>
  <c r="O73"/>
  <c r="O72"/>
  <c r="O70"/>
  <c r="O69"/>
  <c r="O68"/>
  <c r="O67"/>
  <c r="O66"/>
  <c r="O64"/>
  <c r="O63"/>
  <c r="O62"/>
  <c r="O61"/>
  <c r="O60"/>
  <c r="O59"/>
  <c r="O58"/>
  <c r="O57"/>
  <c r="O56"/>
  <c r="O55"/>
  <c r="O54"/>
  <c r="O53"/>
  <c r="O52"/>
  <c r="O51"/>
  <c r="O50"/>
  <c r="O49"/>
  <c r="O48"/>
  <c r="O47"/>
  <c r="O46"/>
  <c r="O45"/>
  <c r="O44"/>
  <c r="O43"/>
  <c r="O42"/>
  <c r="M185"/>
  <c r="M184"/>
  <c r="M183"/>
  <c r="M182"/>
  <c r="M181"/>
  <c r="M180"/>
  <c r="M179"/>
  <c r="M178"/>
  <c r="M176"/>
  <c r="M175"/>
  <c r="M174"/>
  <c r="M173"/>
  <c r="M172"/>
  <c r="M171"/>
  <c r="M170"/>
  <c r="M169"/>
  <c r="M168"/>
  <c r="M166"/>
  <c r="M165"/>
  <c r="M164"/>
  <c r="M163"/>
  <c r="M162"/>
  <c r="M161"/>
  <c r="M160"/>
  <c r="M159"/>
  <c r="M158"/>
  <c r="M156"/>
  <c r="M155"/>
  <c r="M153"/>
  <c r="M152"/>
  <c r="M151"/>
  <c r="M150"/>
  <c r="M149"/>
  <c r="M148"/>
  <c r="M147"/>
  <c r="M146"/>
  <c r="M145"/>
  <c r="M144"/>
  <c r="M143"/>
  <c r="M142"/>
  <c r="M141"/>
  <c r="M140"/>
  <c r="M139"/>
  <c r="M138"/>
  <c r="M137"/>
  <c r="M136"/>
  <c r="M135"/>
  <c r="M134"/>
  <c r="M133"/>
  <c r="M132"/>
  <c r="M131"/>
  <c r="M130"/>
  <c r="M129"/>
  <c r="M128"/>
  <c r="M127"/>
  <c r="M126"/>
  <c r="M124"/>
  <c r="M122"/>
  <c r="M121"/>
  <c r="M120"/>
  <c r="M119"/>
  <c r="M118"/>
  <c r="M117"/>
  <c r="M116"/>
  <c r="M112"/>
  <c r="M111"/>
  <c r="M110"/>
  <c r="M109"/>
  <c r="M107"/>
  <c r="M105"/>
  <c r="M104"/>
  <c r="M103"/>
  <c r="M102"/>
  <c r="M101"/>
  <c r="M100"/>
  <c r="M99"/>
  <c r="M97"/>
  <c r="M96"/>
  <c r="M95"/>
  <c r="M94"/>
  <c r="M93"/>
  <c r="M91"/>
  <c r="M90"/>
  <c r="M89"/>
  <c r="M88"/>
  <c r="M87"/>
  <c r="M86"/>
  <c r="M85"/>
  <c r="M84"/>
  <c r="M83"/>
  <c r="M82"/>
  <c r="M80"/>
  <c r="M79"/>
  <c r="M78"/>
  <c r="M77"/>
  <c r="M76"/>
  <c r="M74"/>
  <c r="M73"/>
  <c r="M72"/>
  <c r="M70"/>
  <c r="M69"/>
  <c r="M68"/>
  <c r="M67"/>
  <c r="M66"/>
  <c r="M65"/>
  <c r="M64"/>
  <c r="M63"/>
  <c r="M62"/>
  <c r="M61"/>
  <c r="M60"/>
  <c r="M59"/>
  <c r="M58"/>
  <c r="M57"/>
  <c r="M56"/>
  <c r="M55"/>
  <c r="M54"/>
  <c r="M53"/>
  <c r="M52"/>
  <c r="M51"/>
  <c r="M50"/>
  <c r="M49"/>
  <c r="M48"/>
  <c r="M47"/>
  <c r="M46"/>
  <c r="M44"/>
  <c r="M43"/>
  <c r="M42"/>
  <c r="K185"/>
  <c r="K184"/>
  <c r="K183"/>
  <c r="K182"/>
  <c r="K181"/>
  <c r="K180"/>
  <c r="K179"/>
  <c r="K178"/>
  <c r="K176"/>
  <c r="K174"/>
  <c r="K173"/>
  <c r="K172"/>
  <c r="K170"/>
  <c r="K169"/>
  <c r="K168"/>
  <c r="K166"/>
  <c r="K165"/>
  <c r="K164"/>
  <c r="K163"/>
  <c r="K162"/>
  <c r="K161"/>
  <c r="K160"/>
  <c r="K159"/>
  <c r="K158"/>
  <c r="K157"/>
  <c r="K156"/>
  <c r="K155"/>
  <c r="K154"/>
  <c r="K153"/>
  <c r="K152"/>
  <c r="K151"/>
  <c r="K150"/>
  <c r="K149"/>
  <c r="K148"/>
  <c r="K147"/>
  <c r="K146"/>
  <c r="K145"/>
  <c r="K144"/>
  <c r="K143"/>
  <c r="K142"/>
  <c r="K141"/>
  <c r="K140"/>
  <c r="K139"/>
  <c r="K138"/>
  <c r="K136"/>
  <c r="K135"/>
  <c r="K134"/>
  <c r="K133"/>
  <c r="K132"/>
  <c r="K130"/>
  <c r="K129"/>
  <c r="K128"/>
  <c r="K126"/>
  <c r="K125"/>
  <c r="K124"/>
  <c r="K122"/>
  <c r="K120"/>
  <c r="K119"/>
  <c r="K118"/>
  <c r="K117"/>
  <c r="K116"/>
  <c r="K115"/>
  <c r="K113"/>
  <c r="K112"/>
  <c r="K111"/>
  <c r="K110"/>
  <c r="K109"/>
  <c r="K107"/>
  <c r="K105"/>
  <c r="K104"/>
  <c r="K103"/>
  <c r="K102"/>
  <c r="K101"/>
  <c r="K100"/>
  <c r="K99"/>
  <c r="K98"/>
  <c r="K97"/>
  <c r="K96"/>
  <c r="K95"/>
  <c r="K94"/>
  <c r="K93"/>
  <c r="K92"/>
  <c r="K91"/>
  <c r="K90"/>
  <c r="K89"/>
  <c r="K88"/>
  <c r="K86"/>
  <c r="K85"/>
  <c r="K84"/>
  <c r="K83"/>
  <c r="K82"/>
  <c r="K80"/>
  <c r="K79"/>
  <c r="K78"/>
  <c r="K77"/>
  <c r="K76"/>
  <c r="K75"/>
  <c r="K74"/>
  <c r="K72"/>
  <c r="K71"/>
  <c r="K70"/>
  <c r="K69"/>
  <c r="K68"/>
  <c r="K67"/>
  <c r="K66"/>
  <c r="K65"/>
  <c r="K64"/>
  <c r="K63"/>
  <c r="K62"/>
  <c r="K61"/>
  <c r="K60"/>
  <c r="K59"/>
  <c r="K58"/>
  <c r="K57"/>
  <c r="K56"/>
  <c r="K55"/>
  <c r="K54"/>
  <c r="K53"/>
  <c r="K52"/>
  <c r="K51"/>
  <c r="K50"/>
  <c r="K49"/>
  <c r="K48"/>
  <c r="K47"/>
  <c r="K46"/>
  <c r="K44"/>
  <c r="K43"/>
  <c r="K42"/>
  <c r="I184"/>
  <c r="I183"/>
  <c r="I182"/>
  <c r="I181"/>
  <c r="I180"/>
  <c r="I179"/>
  <c r="I178"/>
  <c r="I176"/>
  <c r="I175"/>
  <c r="I174"/>
  <c r="I173"/>
  <c r="I172"/>
  <c r="I170"/>
  <c r="I169"/>
  <c r="I168"/>
  <c r="I167"/>
  <c r="I166"/>
  <c r="I164"/>
  <c r="I163"/>
  <c r="I162"/>
  <c r="I160"/>
  <c r="I159"/>
  <c r="I158"/>
  <c r="I157"/>
  <c r="I156"/>
  <c r="I155"/>
  <c r="I154"/>
  <c r="I153"/>
  <c r="I152"/>
  <c r="I151"/>
  <c r="I150"/>
  <c r="I149"/>
  <c r="I148"/>
  <c r="I147"/>
  <c r="I146"/>
  <c r="I145"/>
  <c r="I144"/>
  <c r="I143"/>
  <c r="I142"/>
  <c r="I141"/>
  <c r="I140"/>
  <c r="I139"/>
  <c r="I138"/>
  <c r="I136"/>
  <c r="I135"/>
  <c r="I134"/>
  <c r="I133"/>
  <c r="I132"/>
  <c r="I131"/>
  <c r="I130"/>
  <c r="I129"/>
  <c r="I128"/>
  <c r="I126"/>
  <c r="I125"/>
  <c r="I124"/>
  <c r="I122"/>
  <c r="I120"/>
  <c r="I119"/>
  <c r="I118"/>
  <c r="I117"/>
  <c r="I116"/>
  <c r="I114"/>
  <c r="I112"/>
  <c r="I111"/>
  <c r="I110"/>
  <c r="I109"/>
  <c r="I107"/>
  <c r="I105"/>
  <c r="I104"/>
  <c r="I103"/>
  <c r="I102"/>
  <c r="I101"/>
  <c r="I100"/>
  <c r="I99"/>
  <c r="I97"/>
  <c r="I96"/>
  <c r="I95"/>
  <c r="I94"/>
  <c r="I91"/>
  <c r="I90"/>
  <c r="I88"/>
  <c r="I87"/>
  <c r="I86"/>
  <c r="I85"/>
  <c r="I84"/>
  <c r="I83"/>
  <c r="I82"/>
  <c r="I80"/>
  <c r="I79"/>
  <c r="I78"/>
  <c r="I77"/>
  <c r="I76"/>
  <c r="I74"/>
  <c r="I72"/>
  <c r="I71"/>
  <c r="I70"/>
  <c r="I69"/>
  <c r="I68"/>
  <c r="I67"/>
  <c r="I66"/>
  <c r="I64"/>
  <c r="I63"/>
  <c r="I62"/>
  <c r="I61"/>
  <c r="I60"/>
  <c r="I59"/>
  <c r="I58"/>
  <c r="I57"/>
  <c r="I56"/>
  <c r="I55"/>
  <c r="I54"/>
  <c r="I53"/>
  <c r="I52"/>
  <c r="I51"/>
  <c r="I50"/>
  <c r="I49"/>
  <c r="I48"/>
  <c r="I47"/>
  <c r="I46"/>
  <c r="I44"/>
  <c r="I43"/>
  <c r="I42"/>
  <c r="G184"/>
  <c r="G183"/>
  <c r="G182"/>
  <c r="G181"/>
  <c r="G180"/>
  <c r="G179"/>
  <c r="G178"/>
  <c r="G177"/>
  <c r="G176"/>
  <c r="G174"/>
  <c r="G173"/>
  <c r="G172"/>
  <c r="G171"/>
  <c r="G170"/>
  <c r="G169"/>
  <c r="G168"/>
  <c r="G166"/>
  <c r="G164"/>
  <c r="G163"/>
  <c r="G162"/>
  <c r="G160"/>
  <c r="G159"/>
  <c r="G158"/>
  <c r="G157"/>
  <c r="G156"/>
  <c r="G155"/>
  <c r="G154"/>
  <c r="G153"/>
  <c r="G152"/>
  <c r="G151"/>
  <c r="G150"/>
  <c r="G149"/>
  <c r="G148"/>
  <c r="G147"/>
  <c r="G146"/>
  <c r="G145"/>
  <c r="G144"/>
  <c r="G143"/>
  <c r="G142"/>
  <c r="G141"/>
  <c r="G140"/>
  <c r="G137"/>
  <c r="G136"/>
  <c r="G135"/>
  <c r="G134"/>
  <c r="G133"/>
  <c r="G132"/>
  <c r="G130"/>
  <c r="G129"/>
  <c r="G128"/>
  <c r="G126"/>
  <c r="G124"/>
  <c r="G122"/>
  <c r="G121"/>
  <c r="G120"/>
  <c r="G119"/>
  <c r="G118"/>
  <c r="G117"/>
  <c r="G116"/>
  <c r="G115"/>
  <c r="G112"/>
  <c r="G111"/>
  <c r="G110"/>
  <c r="G109"/>
  <c r="G107"/>
  <c r="G105"/>
  <c r="G104"/>
  <c r="G103"/>
  <c r="G102"/>
  <c r="G101"/>
  <c r="G100"/>
  <c r="G99"/>
  <c r="G98"/>
  <c r="G97"/>
  <c r="G96"/>
  <c r="G95"/>
  <c r="G94"/>
  <c r="G92"/>
  <c r="G91"/>
  <c r="G90"/>
  <c r="G89"/>
  <c r="G88"/>
  <c r="G87"/>
  <c r="G86"/>
  <c r="G85"/>
  <c r="G84"/>
  <c r="G83"/>
  <c r="G82"/>
  <c r="G81"/>
  <c r="G80"/>
  <c r="G79"/>
  <c r="G78"/>
  <c r="G77"/>
  <c r="G76"/>
  <c r="G75"/>
  <c r="G74"/>
  <c r="G72"/>
  <c r="G70"/>
  <c r="G69"/>
  <c r="G68"/>
  <c r="G67"/>
  <c r="G66"/>
  <c r="G64"/>
  <c r="G63"/>
  <c r="G62"/>
  <c r="G61"/>
  <c r="G60"/>
  <c r="G59"/>
  <c r="G58"/>
  <c r="G57"/>
  <c r="G56"/>
  <c r="G55"/>
  <c r="G54"/>
  <c r="G53"/>
  <c r="G52"/>
  <c r="G51"/>
  <c r="G50"/>
  <c r="G49"/>
  <c r="G48"/>
  <c r="G47"/>
  <c r="G46"/>
  <c r="G44"/>
  <c r="G43"/>
  <c r="G42"/>
  <c r="E185"/>
  <c r="E184"/>
  <c r="E183"/>
  <c r="E182"/>
  <c r="E181"/>
  <c r="E180"/>
  <c r="E179"/>
  <c r="E178"/>
  <c r="E176"/>
  <c r="E175"/>
  <c r="E174"/>
  <c r="E173"/>
  <c r="E172"/>
  <c r="E171"/>
  <c r="E170"/>
  <c r="E169"/>
  <c r="E168"/>
  <c r="E166"/>
  <c r="E165"/>
  <c r="E164"/>
  <c r="E163"/>
  <c r="E162"/>
  <c r="E160"/>
  <c r="E159"/>
  <c r="E158"/>
  <c r="E157"/>
  <c r="E156"/>
  <c r="E155"/>
  <c r="E153"/>
  <c r="E152"/>
  <c r="E151"/>
  <c r="E150"/>
  <c r="E149"/>
  <c r="E148"/>
  <c r="E147"/>
  <c r="E146"/>
  <c r="E145"/>
  <c r="E144"/>
  <c r="E143"/>
  <c r="E142"/>
  <c r="E141"/>
  <c r="E140"/>
  <c r="E139"/>
  <c r="E137"/>
  <c r="E136"/>
  <c r="E135"/>
  <c r="E134"/>
  <c r="E133"/>
  <c r="E132"/>
  <c r="E130"/>
  <c r="E129"/>
  <c r="E128"/>
  <c r="E127"/>
  <c r="E126"/>
  <c r="E124"/>
  <c r="E122"/>
  <c r="E120"/>
  <c r="E119"/>
  <c r="E118"/>
  <c r="E117"/>
  <c r="E116"/>
  <c r="E114"/>
  <c r="E113"/>
  <c r="E112"/>
  <c r="E111"/>
  <c r="E110"/>
  <c r="E109"/>
  <c r="E107"/>
  <c r="E105"/>
  <c r="E104"/>
  <c r="E103"/>
  <c r="E102"/>
  <c r="E101"/>
  <c r="E100"/>
  <c r="E99"/>
  <c r="E97"/>
  <c r="E96"/>
  <c r="E95"/>
  <c r="E94"/>
  <c r="E92"/>
  <c r="E91"/>
  <c r="E90"/>
  <c r="E89"/>
  <c r="E88"/>
  <c r="E87"/>
  <c r="E86"/>
  <c r="E85"/>
  <c r="E84"/>
  <c r="E83"/>
  <c r="E82"/>
  <c r="E81"/>
  <c r="E80"/>
  <c r="E79"/>
  <c r="E78"/>
  <c r="E77"/>
  <c r="E76"/>
  <c r="E74"/>
  <c r="E72"/>
  <c r="E71"/>
  <c r="E70"/>
  <c r="E69"/>
  <c r="E68"/>
  <c r="E67"/>
  <c r="E66"/>
  <c r="E65"/>
  <c r="E64"/>
  <c r="E63"/>
  <c r="E62"/>
  <c r="E61"/>
  <c r="E60"/>
  <c r="E59"/>
  <c r="E58"/>
  <c r="E57"/>
  <c r="E56"/>
  <c r="E55"/>
  <c r="E54"/>
  <c r="E53"/>
  <c r="E52"/>
  <c r="E51"/>
  <c r="E50"/>
  <c r="E49"/>
  <c r="E48"/>
  <c r="E47"/>
  <c r="E46"/>
  <c r="E45"/>
  <c r="E44"/>
  <c r="E43"/>
  <c r="E42"/>
  <c r="AJ17" i="3"/>
  <c r="AH17"/>
  <c r="AF17"/>
  <c r="AD17"/>
  <c r="AB17"/>
  <c r="Z17"/>
  <c r="X17"/>
  <c r="V17"/>
  <c r="T17"/>
  <c r="R17"/>
  <c r="P17"/>
  <c r="N17"/>
  <c r="L17"/>
  <c r="J17"/>
  <c r="H17"/>
  <c r="F17"/>
  <c r="D17"/>
  <c r="AK17"/>
  <c r="AL162" i="1"/>
  <c r="AL139"/>
  <c r="AL136"/>
  <c r="AL113"/>
  <c r="AL86"/>
  <c r="AL63"/>
  <c r="AL68"/>
  <c r="AL53"/>
  <c r="AL181"/>
  <c r="AL185"/>
  <c r="AL142"/>
  <c r="AL135"/>
  <c r="AL124"/>
  <c r="AL109"/>
  <c r="AL74"/>
  <c r="AL51"/>
  <c r="AL179"/>
  <c r="AL144"/>
  <c r="AL158"/>
  <c r="AL44"/>
  <c r="AL172"/>
  <c r="AL157"/>
  <c r="AL131"/>
  <c r="AL114"/>
  <c r="AL91"/>
  <c r="AL88"/>
  <c r="AL65"/>
  <c r="AL183"/>
  <c r="AL166"/>
  <c r="AL143"/>
  <c r="AL148"/>
  <c r="AL133"/>
  <c r="AL121"/>
  <c r="AN183"/>
  <c r="AL154"/>
  <c r="AL128"/>
  <c r="AL165"/>
  <c r="AL58"/>
  <c r="AL66"/>
  <c r="AL43"/>
  <c r="AL171"/>
  <c r="AL168"/>
  <c r="AL145"/>
  <c r="AL118"/>
  <c r="AL95"/>
  <c r="AL100"/>
  <c r="AL85"/>
  <c r="AL73"/>
  <c r="AL46"/>
  <c r="AL174"/>
  <c r="AL167"/>
  <c r="AL156"/>
  <c r="AL141"/>
  <c r="AL106"/>
  <c r="AL83"/>
  <c r="AL48"/>
  <c r="AL176"/>
  <c r="AL87"/>
  <c r="AL76"/>
  <c r="AL61"/>
  <c r="AL163"/>
  <c r="AL146"/>
  <c r="AL123"/>
  <c r="AL120"/>
  <c r="AL97"/>
  <c r="AL70"/>
  <c r="AL47"/>
  <c r="AL175"/>
  <c r="AL101"/>
  <c r="AL126"/>
  <c r="AL96"/>
  <c r="AL89"/>
  <c r="AL160"/>
  <c r="AL98"/>
  <c r="AL75"/>
  <c r="AL72"/>
  <c r="AL49"/>
  <c r="AL177"/>
  <c r="AL150"/>
  <c r="AL127"/>
  <c r="AL132"/>
  <c r="AL117"/>
  <c r="AL105"/>
  <c r="AL78"/>
  <c r="AL71"/>
  <c r="AL60"/>
  <c r="AL45"/>
  <c r="AL173"/>
  <c r="AL138"/>
  <c r="AL115"/>
  <c r="AL80"/>
  <c r="AL62"/>
  <c r="AL119"/>
  <c r="AL108"/>
  <c r="AL93"/>
  <c r="AL67"/>
  <c r="AL50"/>
  <c r="AL178"/>
  <c r="AL155"/>
  <c r="AL152"/>
  <c r="AL129"/>
  <c r="AL102"/>
  <c r="AL79"/>
  <c r="AL84"/>
  <c r="AL69"/>
  <c r="AL57"/>
  <c r="AN102"/>
  <c r="AL90"/>
  <c r="AL64"/>
  <c r="AL180"/>
  <c r="AL169"/>
  <c r="AN155"/>
  <c r="AL130"/>
  <c r="AN130" s="1"/>
  <c r="AL107"/>
  <c r="AL104"/>
  <c r="AL81"/>
  <c r="AL54"/>
  <c r="AL182"/>
  <c r="AL159"/>
  <c r="AL164"/>
  <c r="AL149"/>
  <c r="AL153"/>
  <c r="AL110"/>
  <c r="AL103"/>
  <c r="AL92"/>
  <c r="AL77"/>
  <c r="AN162"/>
  <c r="AL170"/>
  <c r="AL147"/>
  <c r="AL112"/>
  <c r="AL94"/>
  <c r="AL151"/>
  <c r="AL140"/>
  <c r="AL125"/>
  <c r="AL99"/>
  <c r="AL82"/>
  <c r="AL59"/>
  <c r="AL56"/>
  <c r="AL184"/>
  <c r="AL161"/>
  <c r="AL134"/>
  <c r="AL111"/>
  <c r="AN116"/>
  <c r="AL122"/>
  <c r="E177" l="1"/>
  <c r="I177"/>
  <c r="K177"/>
  <c r="M177"/>
  <c r="O177"/>
  <c r="S177"/>
  <c r="U177"/>
  <c r="Y177"/>
  <c r="AE55"/>
  <c r="AE52"/>
  <c r="AE42"/>
  <c r="AG100"/>
  <c r="AE61"/>
  <c r="AE63"/>
  <c r="AE91"/>
  <c r="AE95"/>
  <c r="AE97"/>
  <c r="AE129"/>
  <c r="AE153"/>
  <c r="AE161"/>
  <c r="AE163"/>
  <c r="AG85"/>
  <c r="AO178"/>
  <c r="AP178" s="1"/>
  <c r="AO180"/>
  <c r="AP180" s="1"/>
  <c r="AO182"/>
  <c r="AP182" s="1"/>
  <c r="W75"/>
  <c r="W77"/>
  <c r="W79"/>
  <c r="Y49"/>
  <c r="Y51"/>
  <c r="Y53"/>
  <c r="Y55"/>
  <c r="Y57"/>
  <c r="Y59"/>
  <c r="Y61"/>
  <c r="Y63"/>
  <c r="Y83"/>
  <c r="Y85"/>
  <c r="Y91"/>
  <c r="Y93"/>
  <c r="Y95"/>
  <c r="Y97"/>
  <c r="Y103"/>
  <c r="Y105"/>
  <c r="Y117"/>
  <c r="Y119"/>
  <c r="Y121"/>
  <c r="Y133"/>
  <c r="Y135"/>
  <c r="Y137"/>
  <c r="AA75"/>
  <c r="AA77"/>
  <c r="AA79"/>
  <c r="AA95"/>
  <c r="AA97"/>
  <c r="AA107"/>
  <c r="AA125"/>
  <c r="AA127"/>
  <c r="AA129"/>
  <c r="AA131"/>
  <c r="AA133"/>
  <c r="AA135"/>
  <c r="AA141"/>
  <c r="AA143"/>
  <c r="AA145"/>
  <c r="AA147"/>
  <c r="AA149"/>
  <c r="AA151"/>
  <c r="AC43"/>
  <c r="AC45"/>
  <c r="AC47"/>
  <c r="AC49"/>
  <c r="AC51"/>
  <c r="AC53"/>
  <c r="AC55"/>
  <c r="AO55" s="1"/>
  <c r="AC57"/>
  <c r="AC59"/>
  <c r="AC61"/>
  <c r="AC63"/>
  <c r="AC65"/>
  <c r="AC67"/>
  <c r="AC69"/>
  <c r="AC71"/>
  <c r="AC77"/>
  <c r="AC79"/>
  <c r="AC81"/>
  <c r="AC83"/>
  <c r="AC85"/>
  <c r="AC87"/>
  <c r="AC89"/>
  <c r="AC91"/>
  <c r="AC93"/>
  <c r="AC95"/>
  <c r="AC97"/>
  <c r="AC99"/>
  <c r="AC101"/>
  <c r="AC103"/>
  <c r="AC105"/>
  <c r="AC107"/>
  <c r="AC109"/>
  <c r="AC113"/>
  <c r="AC139"/>
  <c r="AC141"/>
  <c r="AC143"/>
  <c r="AC145"/>
  <c r="AC147"/>
  <c r="AC149"/>
  <c r="AC151"/>
  <c r="AE51"/>
  <c r="AE53"/>
  <c r="AE57"/>
  <c r="AE69"/>
  <c r="AE73"/>
  <c r="AE75"/>
  <c r="AE77"/>
  <c r="AE79"/>
  <c r="AE81"/>
  <c r="AE83"/>
  <c r="AE89"/>
  <c r="AE99"/>
  <c r="AE101"/>
  <c r="AE103"/>
  <c r="AE107"/>
  <c r="AE109"/>
  <c r="AE111"/>
  <c r="AE113"/>
  <c r="AE115"/>
  <c r="AE117"/>
  <c r="AE119"/>
  <c r="AE121"/>
  <c r="AE127"/>
  <c r="AE133"/>
  <c r="AE135"/>
  <c r="AE139"/>
  <c r="AE141"/>
  <c r="AE143"/>
  <c r="AE145"/>
  <c r="AE147"/>
  <c r="AE149"/>
  <c r="AE151"/>
  <c r="AG81"/>
  <c r="AG91"/>
  <c r="AG97"/>
  <c r="AG99"/>
  <c r="AG101"/>
  <c r="AG105"/>
  <c r="AO179"/>
  <c r="AP179" s="1"/>
  <c r="AO181"/>
  <c r="AP181" s="1"/>
  <c r="AO183"/>
  <c r="AP183" s="1"/>
  <c r="AK185"/>
  <c r="Y185"/>
  <c r="AA185"/>
  <c r="G185"/>
  <c r="AK170"/>
  <c r="O170"/>
  <c r="S170"/>
  <c r="U170"/>
  <c r="Y170"/>
  <c r="AC170"/>
  <c r="G165"/>
  <c r="I165"/>
  <c r="O165"/>
  <c r="S165"/>
  <c r="W165"/>
  <c r="AA165"/>
  <c r="AE165"/>
  <c r="M157"/>
  <c r="W157"/>
  <c r="Y157"/>
  <c r="AA157"/>
  <c r="E138"/>
  <c r="G138"/>
  <c r="O138"/>
  <c r="S138"/>
  <c r="W138"/>
  <c r="Y138"/>
  <c r="AC138"/>
  <c r="AE138"/>
  <c r="G113"/>
  <c r="I113"/>
  <c r="M113"/>
  <c r="Q113"/>
  <c r="W113"/>
  <c r="Y113"/>
  <c r="E115"/>
  <c r="I115"/>
  <c r="M115"/>
  <c r="O115"/>
  <c r="Q115"/>
  <c r="S115"/>
  <c r="U115"/>
  <c r="W115"/>
  <c r="Y115"/>
  <c r="AA115"/>
  <c r="AC115"/>
  <c r="E75"/>
  <c r="I75"/>
  <c r="M75"/>
  <c r="O75"/>
  <c r="Q75"/>
  <c r="S75"/>
  <c r="U75"/>
  <c r="Y75"/>
  <c r="AC75"/>
  <c r="E73"/>
  <c r="G73"/>
  <c r="I73"/>
  <c r="K73"/>
  <c r="U73"/>
  <c r="W73"/>
  <c r="Y73"/>
  <c r="AA73"/>
  <c r="AC73"/>
  <c r="AE66"/>
  <c r="AG104"/>
  <c r="E98"/>
  <c r="I98"/>
  <c r="M98"/>
  <c r="U98"/>
  <c r="Y98"/>
  <c r="AA98"/>
  <c r="AE98"/>
  <c r="AE84"/>
  <c r="AE48"/>
  <c r="AE43"/>
  <c r="AG56"/>
  <c r="AG55"/>
  <c r="AG64"/>
  <c r="AO64" s="1"/>
  <c r="E108"/>
  <c r="G108"/>
  <c r="I108"/>
  <c r="K108"/>
  <c r="M108"/>
  <c r="O108"/>
  <c r="Q108"/>
  <c r="U108"/>
  <c r="AA108"/>
  <c r="Q101"/>
  <c r="S101"/>
  <c r="U101"/>
  <c r="Y101"/>
  <c r="AG103"/>
  <c r="AE59"/>
  <c r="E154"/>
  <c r="M154"/>
  <c r="O154"/>
  <c r="U154"/>
  <c r="W154"/>
  <c r="AE154"/>
  <c r="E167"/>
  <c r="G167"/>
  <c r="K167"/>
  <c r="M167"/>
  <c r="S167"/>
  <c r="W167"/>
  <c r="Y167"/>
  <c r="I171"/>
  <c r="K171"/>
  <c r="O171"/>
  <c r="S171"/>
  <c r="U171"/>
  <c r="W171"/>
  <c r="AA171"/>
  <c r="AO184"/>
  <c r="AP184" s="1"/>
  <c r="I137"/>
  <c r="K137"/>
  <c r="S137"/>
  <c r="W137"/>
  <c r="AA137"/>
  <c r="AE137"/>
  <c r="E131"/>
  <c r="G131"/>
  <c r="K131"/>
  <c r="Q131"/>
  <c r="S131"/>
  <c r="U131"/>
  <c r="W131"/>
  <c r="Y131"/>
  <c r="AE131"/>
  <c r="G127"/>
  <c r="I127"/>
  <c r="K127"/>
  <c r="O127"/>
  <c r="Y127"/>
  <c r="AG109"/>
  <c r="AO109" s="1"/>
  <c r="E106"/>
  <c r="G106"/>
  <c r="I106"/>
  <c r="K106"/>
  <c r="M106"/>
  <c r="Q106"/>
  <c r="S106"/>
  <c r="W106"/>
  <c r="AA106"/>
  <c r="O106"/>
  <c r="U106"/>
  <c r="Y106"/>
  <c r="AE106"/>
  <c r="AE104"/>
  <c r="AG94"/>
  <c r="AO94" s="1"/>
  <c r="I92"/>
  <c r="M92"/>
  <c r="O92"/>
  <c r="Q92"/>
  <c r="S92"/>
  <c r="W92"/>
  <c r="AE92"/>
  <c r="AE90"/>
  <c r="K87"/>
  <c r="O87"/>
  <c r="Q87"/>
  <c r="Y87"/>
  <c r="AE87"/>
  <c r="AG83"/>
  <c r="I81"/>
  <c r="K81"/>
  <c r="M81"/>
  <c r="Q81"/>
  <c r="W81"/>
  <c r="Y81"/>
  <c r="AA81"/>
  <c r="AG79"/>
  <c r="AE72"/>
  <c r="G71"/>
  <c r="M71"/>
  <c r="O71"/>
  <c r="Q71"/>
  <c r="U71"/>
  <c r="AE71"/>
  <c r="AE67"/>
  <c r="AG58"/>
  <c r="AO58" s="1"/>
  <c r="AE56"/>
  <c r="AO56" s="1"/>
  <c r="AG53"/>
  <c r="AE49"/>
  <c r="AE47"/>
  <c r="AE46"/>
  <c r="G45"/>
  <c r="I45"/>
  <c r="K45"/>
  <c r="M45"/>
  <c r="Q45"/>
  <c r="U45"/>
  <c r="AE45"/>
  <c r="AE44"/>
  <c r="E161"/>
  <c r="G161"/>
  <c r="I161"/>
  <c r="Q161"/>
  <c r="U161"/>
  <c r="AA161"/>
  <c r="E121"/>
  <c r="I121"/>
  <c r="K121"/>
  <c r="AG82"/>
  <c r="AG80"/>
  <c r="AO80" s="1"/>
  <c r="AG57"/>
  <c r="AG54"/>
  <c r="AG52"/>
  <c r="AO52" s="1"/>
  <c r="AP52" s="1"/>
  <c r="G139"/>
  <c r="O139"/>
  <c r="Q139"/>
  <c r="S139"/>
  <c r="U139"/>
  <c r="AA139"/>
  <c r="E125"/>
  <c r="G125"/>
  <c r="M125"/>
  <c r="U125"/>
  <c r="Y125"/>
  <c r="AE125"/>
  <c r="G114"/>
  <c r="K114"/>
  <c r="M114"/>
  <c r="O114"/>
  <c r="Q114"/>
  <c r="S114"/>
  <c r="Y114"/>
  <c r="AA114"/>
  <c r="AG106"/>
  <c r="AG96"/>
  <c r="AO96" s="1"/>
  <c r="E93"/>
  <c r="G93"/>
  <c r="I93"/>
  <c r="S93"/>
  <c r="U93"/>
  <c r="AA93"/>
  <c r="AE93"/>
  <c r="AG93"/>
  <c r="AG92"/>
  <c r="AG90"/>
  <c r="I89"/>
  <c r="Q89"/>
  <c r="U89"/>
  <c r="Y89"/>
  <c r="AG89"/>
  <c r="AG88"/>
  <c r="AO88" s="1"/>
  <c r="AG87"/>
  <c r="AG86"/>
  <c r="AG77"/>
  <c r="AG76"/>
  <c r="AG73"/>
  <c r="AG72"/>
  <c r="AG71"/>
  <c r="AG67"/>
  <c r="AO67" s="1"/>
  <c r="AG66"/>
  <c r="G65"/>
  <c r="I65"/>
  <c r="O65"/>
  <c r="Q65"/>
  <c r="S65"/>
  <c r="Y65"/>
  <c r="AE65"/>
  <c r="AG65"/>
  <c r="AG63"/>
  <c r="AG62"/>
  <c r="AO62" s="1"/>
  <c r="AG61"/>
  <c r="AO61" s="1"/>
  <c r="AG60"/>
  <c r="AE54"/>
  <c r="AG50"/>
  <c r="AG49"/>
  <c r="Y48"/>
  <c r="AG48"/>
  <c r="AG47"/>
  <c r="AG46"/>
  <c r="AG45"/>
  <c r="AG44"/>
  <c r="AO44" s="1"/>
  <c r="AG43"/>
  <c r="AO43" s="1"/>
  <c r="AG84"/>
  <c r="AG78"/>
  <c r="AO78" s="1"/>
  <c r="AG75"/>
  <c r="AG74"/>
  <c r="AO74" s="1"/>
  <c r="AG70"/>
  <c r="AO70" s="1"/>
  <c r="AP70" s="1"/>
  <c r="AG68"/>
  <c r="AG59"/>
  <c r="AG51"/>
  <c r="G175"/>
  <c r="K175"/>
  <c r="O175"/>
  <c r="U175"/>
  <c r="AE175"/>
  <c r="AA159"/>
  <c r="AE159"/>
  <c r="AE128"/>
  <c r="AO128" s="1"/>
  <c r="E123"/>
  <c r="G123"/>
  <c r="I123"/>
  <c r="K123"/>
  <c r="M123"/>
  <c r="O123"/>
  <c r="S123"/>
  <c r="U123"/>
  <c r="Y123"/>
  <c r="AA123"/>
  <c r="AE123"/>
  <c r="AG110"/>
  <c r="AO92"/>
  <c r="AO100"/>
  <c r="AP100" s="1"/>
  <c r="AO104"/>
  <c r="AO112"/>
  <c r="AP112" s="1"/>
  <c r="AO116"/>
  <c r="AO120"/>
  <c r="AO124"/>
  <c r="AO132"/>
  <c r="AP132" s="1"/>
  <c r="AO136"/>
  <c r="AO140"/>
  <c r="AO144"/>
  <c r="AO150"/>
  <c r="AO174"/>
  <c r="AP174" s="1"/>
  <c r="AO50"/>
  <c r="AO82"/>
  <c r="AO98"/>
  <c r="AO102"/>
  <c r="AO118"/>
  <c r="AP118" s="1"/>
  <c r="AO122"/>
  <c r="AO126"/>
  <c r="AO130"/>
  <c r="AO134"/>
  <c r="AO138"/>
  <c r="AO142"/>
  <c r="AO146"/>
  <c r="AO148"/>
  <c r="AO152"/>
  <c r="AO156"/>
  <c r="AO158"/>
  <c r="AO160"/>
  <c r="AO162"/>
  <c r="AO164"/>
  <c r="AO166"/>
  <c r="AO168"/>
  <c r="AO172"/>
  <c r="AO176"/>
  <c r="AP176" s="1"/>
  <c r="AO49"/>
  <c r="AO51"/>
  <c r="AO65"/>
  <c r="AO69"/>
  <c r="AO77"/>
  <c r="AO85"/>
  <c r="AO91"/>
  <c r="AP91" s="1"/>
  <c r="AO95"/>
  <c r="AO97"/>
  <c r="AP97" s="1"/>
  <c r="AO99"/>
  <c r="AO103"/>
  <c r="AO105"/>
  <c r="AO107"/>
  <c r="AO111"/>
  <c r="AP111" s="1"/>
  <c r="AO113"/>
  <c r="AO117"/>
  <c r="AO119"/>
  <c r="AO129"/>
  <c r="AO133"/>
  <c r="AO135"/>
  <c r="AO137"/>
  <c r="AO141"/>
  <c r="AO143"/>
  <c r="AO145"/>
  <c r="AO147"/>
  <c r="AP147" s="1"/>
  <c r="AO149"/>
  <c r="AO151"/>
  <c r="AO153"/>
  <c r="AO155"/>
  <c r="AO157"/>
  <c r="AP157" s="1"/>
  <c r="AO163"/>
  <c r="AO165"/>
  <c r="AO169"/>
  <c r="AO173"/>
  <c r="AO177"/>
  <c r="AN17" i="3"/>
  <c r="AO17" s="1"/>
  <c r="AI39" i="1"/>
  <c r="AK39" s="1"/>
  <c r="AI40"/>
  <c r="AK40" s="1"/>
  <c r="AI41"/>
  <c r="AK41" s="1"/>
  <c r="AE40"/>
  <c r="AC40"/>
  <c r="AC41"/>
  <c r="AA40"/>
  <c r="Y40"/>
  <c r="W40"/>
  <c r="W41"/>
  <c r="Q40"/>
  <c r="AN148"/>
  <c r="AN140"/>
  <c r="AN124"/>
  <c r="AN118"/>
  <c r="AN100"/>
  <c r="AN133"/>
  <c r="AN117"/>
  <c r="AP172"/>
  <c r="AP119"/>
  <c r="AP44"/>
  <c r="AP153"/>
  <c r="AP143"/>
  <c r="AP133"/>
  <c r="AP102"/>
  <c r="AP85"/>
  <c r="AP62"/>
  <c r="AN165"/>
  <c r="AN127"/>
  <c r="AN139"/>
  <c r="AN71"/>
  <c r="AN43"/>
  <c r="AL41"/>
  <c r="AN171"/>
  <c r="AN80"/>
  <c r="AN76"/>
  <c r="AN46"/>
  <c r="AN160"/>
  <c r="AN184"/>
  <c r="AN144"/>
  <c r="AN181"/>
  <c r="AM17" i="3"/>
  <c r="AP177" i="1"/>
  <c r="AN107"/>
  <c r="AN135"/>
  <c r="AP168"/>
  <c r="AP117"/>
  <c r="AP169"/>
  <c r="AP152"/>
  <c r="AP142"/>
  <c r="AP128"/>
  <c r="AP99"/>
  <c r="AP82"/>
  <c r="AP61"/>
  <c r="AN138"/>
  <c r="AN104"/>
  <c r="AN114"/>
  <c r="AN66"/>
  <c r="AN78"/>
  <c r="AN170"/>
  <c r="AN131"/>
  <c r="AN52"/>
  <c r="AN72"/>
  <c r="AN59"/>
  <c r="AN120"/>
  <c r="AN134"/>
  <c r="AN176"/>
  <c r="AN142"/>
  <c r="AN136"/>
  <c r="AN153"/>
  <c r="AN143"/>
  <c r="AN129"/>
  <c r="AP165"/>
  <c r="AP113"/>
  <c r="AP166"/>
  <c r="AP151"/>
  <c r="AP141"/>
  <c r="AP126"/>
  <c r="AP98"/>
  <c r="AP80"/>
  <c r="AP58"/>
  <c r="AN115"/>
  <c r="AN83"/>
  <c r="AN96"/>
  <c r="AN63"/>
  <c r="AN74"/>
  <c r="AN157"/>
  <c r="AN109"/>
  <c r="AN125"/>
  <c r="AN84"/>
  <c r="AN178"/>
  <c r="AN132"/>
  <c r="AN147"/>
  <c r="AP164"/>
  <c r="AP140"/>
  <c r="AP96"/>
  <c r="AP56"/>
  <c r="AN79"/>
  <c r="AN61"/>
  <c r="AN113"/>
  <c r="AN106"/>
  <c r="AN75"/>
  <c r="AN175"/>
  <c r="AN122"/>
  <c r="AN152"/>
  <c r="AN112"/>
  <c r="AN164"/>
  <c r="AP137"/>
  <c r="AN85"/>
  <c r="AN151"/>
  <c r="AN149"/>
  <c r="AP156"/>
  <c r="AP104"/>
  <c r="AP163"/>
  <c r="AP149"/>
  <c r="AP138"/>
  <c r="AP120"/>
  <c r="AP95"/>
  <c r="AP74"/>
  <c r="AP50"/>
  <c r="AN108"/>
  <c r="AN56"/>
  <c r="AN89"/>
  <c r="AN54"/>
  <c r="AN51"/>
  <c r="AN98"/>
  <c r="AN81"/>
  <c r="AN93"/>
  <c r="AN62"/>
  <c r="AN70"/>
  <c r="AN180"/>
  <c r="AN172"/>
  <c r="AN156"/>
  <c r="AN150"/>
  <c r="AP116"/>
  <c r="AN97"/>
  <c r="AN69"/>
  <c r="AN99"/>
  <c r="AP130"/>
  <c r="AP77"/>
  <c r="AP162"/>
  <c r="AP148"/>
  <c r="AP136"/>
  <c r="AP109"/>
  <c r="AP94"/>
  <c r="AP69"/>
  <c r="AP49"/>
  <c r="AN103"/>
  <c r="AN161"/>
  <c r="AN87"/>
  <c r="AN49"/>
  <c r="AN159"/>
  <c r="AN64"/>
  <c r="AN58"/>
  <c r="AN90"/>
  <c r="AN60"/>
  <c r="AP145"/>
  <c r="AN169"/>
  <c r="AN146"/>
  <c r="AN173"/>
  <c r="AN182"/>
  <c r="AP55"/>
  <c r="AN105"/>
  <c r="AN91"/>
  <c r="AN111"/>
  <c r="AP129"/>
  <c r="AP65"/>
  <c r="AP160"/>
  <c r="AP146"/>
  <c r="AP135"/>
  <c r="AP105"/>
  <c r="AP92"/>
  <c r="AP67"/>
  <c r="AP43"/>
  <c r="AN167"/>
  <c r="AN82"/>
  <c r="AN77"/>
  <c r="AN47"/>
  <c r="AN123"/>
  <c r="AN101"/>
  <c r="AN53"/>
  <c r="AN88"/>
  <c r="AN50"/>
  <c r="AN110"/>
  <c r="AN166"/>
  <c r="AN158"/>
  <c r="AN174"/>
  <c r="AN168"/>
  <c r="AN42"/>
  <c r="AN119"/>
  <c r="AN95"/>
  <c r="AP173"/>
  <c r="AP122"/>
  <c r="AP51"/>
  <c r="AP155"/>
  <c r="AP144"/>
  <c r="AP134"/>
  <c r="AP103"/>
  <c r="AP88"/>
  <c r="AP64"/>
  <c r="AN185"/>
  <c r="AN137"/>
  <c r="AN57"/>
  <c r="AN73"/>
  <c r="AN45"/>
  <c r="AL40"/>
  <c r="AN154"/>
  <c r="AN121"/>
  <c r="AN86"/>
  <c r="AN48"/>
  <c r="AN128"/>
  <c r="AN44"/>
  <c r="AL39"/>
  <c r="AN67"/>
  <c r="AN126"/>
  <c r="AN179"/>
  <c r="AN177"/>
  <c r="AN163"/>
  <c r="AN141"/>
  <c r="AP158"/>
  <c r="AP107"/>
  <c r="AP150"/>
  <c r="AP124"/>
  <c r="AP78"/>
  <c r="AN55"/>
  <c r="AN92"/>
  <c r="AN68"/>
  <c r="AN94"/>
  <c r="AN65"/>
  <c r="AN145"/>
  <c r="W39" l="1"/>
  <c r="Y39"/>
  <c r="AC39"/>
  <c r="AO42"/>
  <c r="G40"/>
  <c r="M40"/>
  <c r="AO48"/>
  <c r="AO54"/>
  <c r="AO121"/>
  <c r="AO106"/>
  <c r="AO108"/>
  <c r="K40"/>
  <c r="O40"/>
  <c r="AO159"/>
  <c r="AO57"/>
  <c r="AO79"/>
  <c r="AO83"/>
  <c r="AO185"/>
  <c r="AP185" s="1"/>
  <c r="AO175"/>
  <c r="AO93"/>
  <c r="AO139"/>
  <c r="AO87"/>
  <c r="AO127"/>
  <c r="AO131"/>
  <c r="AO171"/>
  <c r="AO167"/>
  <c r="AO101"/>
  <c r="AO66"/>
  <c r="AO115"/>
  <c r="G41"/>
  <c r="G39"/>
  <c r="K41"/>
  <c r="K39"/>
  <c r="M39"/>
  <c r="O39"/>
  <c r="Q39"/>
  <c r="E39"/>
  <c r="I39"/>
  <c r="S41"/>
  <c r="E40"/>
  <c r="AO161"/>
  <c r="AO81"/>
  <c r="AO154"/>
  <c r="AO73"/>
  <c r="AO170"/>
  <c r="AP170" s="1"/>
  <c r="AO125"/>
  <c r="AO123"/>
  <c r="AO89"/>
  <c r="AO46"/>
  <c r="I40"/>
  <c r="S39"/>
  <c r="AO114"/>
  <c r="AO53"/>
  <c r="S40"/>
  <c r="U39"/>
  <c r="O41"/>
  <c r="AO90"/>
  <c r="AO86"/>
  <c r="AO76"/>
  <c r="AP76" s="1"/>
  <c r="AO72"/>
  <c r="AO71"/>
  <c r="AO63"/>
  <c r="AO60"/>
  <c r="AO47"/>
  <c r="AO45"/>
  <c r="U40"/>
  <c r="AE39"/>
  <c r="AO84"/>
  <c r="AO75"/>
  <c r="AO68"/>
  <c r="AO59"/>
  <c r="E41"/>
  <c r="I41"/>
  <c r="M41"/>
  <c r="Q41"/>
  <c r="U41"/>
  <c r="AA41"/>
  <c r="Y41"/>
  <c r="AE41"/>
  <c r="AO110"/>
  <c r="AG41"/>
  <c r="AA39"/>
  <c r="AG39"/>
  <c r="AG40"/>
  <c r="E11" i="2"/>
  <c r="I11"/>
  <c r="AP83" i="1"/>
  <c r="AP175"/>
  <c r="AP81"/>
  <c r="AP89"/>
  <c r="AP59"/>
  <c r="AN40"/>
  <c r="AP57"/>
  <c r="AP66"/>
  <c r="AP154"/>
  <c r="AP123"/>
  <c r="AP60"/>
  <c r="AP54"/>
  <c r="AP79"/>
  <c r="AP127"/>
  <c r="AP114"/>
  <c r="AP84"/>
  <c r="AP47"/>
  <c r="AP42"/>
  <c r="AP159"/>
  <c r="AP139"/>
  <c r="AP73"/>
  <c r="AP86"/>
  <c r="AP53"/>
  <c r="AP131"/>
  <c r="AP75"/>
  <c r="AN39"/>
  <c r="AP48"/>
  <c r="AP87"/>
  <c r="AP101"/>
  <c r="AP90"/>
  <c r="AP71"/>
  <c r="AP45"/>
  <c r="AP106"/>
  <c r="AP93"/>
  <c r="AP171"/>
  <c r="AP110"/>
  <c r="AP72"/>
  <c r="AP46"/>
  <c r="AP108"/>
  <c r="AP167"/>
  <c r="AP161"/>
  <c r="AP125"/>
  <c r="AP63"/>
  <c r="AN41"/>
  <c r="AP121"/>
  <c r="AP115"/>
  <c r="AP68"/>
  <c r="AO40" l="1"/>
  <c r="AO41"/>
  <c r="AO39"/>
  <c r="E10" i="2"/>
  <c r="E9"/>
  <c r="E8"/>
  <c r="AI11" i="1"/>
  <c r="AK11" s="1"/>
  <c r="Y11"/>
  <c r="W11"/>
  <c r="U11"/>
  <c r="S11"/>
  <c r="Q11"/>
  <c r="O11"/>
  <c r="M11"/>
  <c r="K11"/>
  <c r="I11"/>
  <c r="G11"/>
  <c r="E11"/>
  <c r="AP41"/>
  <c r="AQ39"/>
  <c r="AQ40"/>
  <c r="AQ41"/>
  <c r="AL11"/>
  <c r="AP40"/>
  <c r="AA11" l="1"/>
  <c r="AG11"/>
  <c r="AE11"/>
  <c r="AC11"/>
  <c r="AO11"/>
  <c r="AP11" s="1"/>
  <c r="E7" i="2"/>
  <c r="AP39" i="1"/>
  <c r="AN11"/>
  <c r="AI26" l="1"/>
  <c r="Q26" s="1"/>
  <c r="AI27"/>
  <c r="Q27" s="1"/>
  <c r="AI28"/>
  <c r="AG28" s="1"/>
  <c r="AI29"/>
  <c r="K29" s="1"/>
  <c r="AI30"/>
  <c r="W30" s="1"/>
  <c r="AI31"/>
  <c r="U31" s="1"/>
  <c r="AI32"/>
  <c r="E32" s="1"/>
  <c r="AI33"/>
  <c r="AC33" s="1"/>
  <c r="AI34"/>
  <c r="E34" s="1"/>
  <c r="AI35"/>
  <c r="AG35" s="1"/>
  <c r="AI36"/>
  <c r="K36" s="1"/>
  <c r="AI37"/>
  <c r="AG37" s="1"/>
  <c r="AI38"/>
  <c r="I38" s="1"/>
  <c r="AI25"/>
  <c r="AK28"/>
  <c r="AK36"/>
  <c r="AK37"/>
  <c r="AC26"/>
  <c r="AC27"/>
  <c r="AC28"/>
  <c r="AC29"/>
  <c r="AC34"/>
  <c r="AC37"/>
  <c r="AA34"/>
  <c r="Y36"/>
  <c r="Y37"/>
  <c r="S37"/>
  <c r="Q31"/>
  <c r="Q32"/>
  <c r="Q34"/>
  <c r="Q35"/>
  <c r="Q36"/>
  <c r="O36"/>
  <c r="K26"/>
  <c r="K27"/>
  <c r="K35"/>
  <c r="E26"/>
  <c r="E37"/>
  <c r="AA35" l="1"/>
  <c r="AK31"/>
  <c r="E33"/>
  <c r="K37"/>
  <c r="K33"/>
  <c r="Q37"/>
  <c r="Q33"/>
  <c r="U37"/>
  <c r="AA37"/>
  <c r="AC36"/>
  <c r="AC35"/>
  <c r="K34"/>
  <c r="AC32"/>
  <c r="AC31"/>
  <c r="AA36"/>
  <c r="K28"/>
  <c r="AE37"/>
  <c r="E36"/>
  <c r="E28"/>
  <c r="Q28"/>
  <c r="U35"/>
  <c r="K32"/>
  <c r="AE31"/>
  <c r="E27"/>
  <c r="AG27"/>
  <c r="E38"/>
  <c r="D3" s="1"/>
  <c r="G38"/>
  <c r="Q38"/>
  <c r="P3" s="1"/>
  <c r="P4" s="1"/>
  <c r="P8" s="1"/>
  <c r="K38"/>
  <c r="J3" s="1"/>
  <c r="J4" s="1"/>
  <c r="J8" s="1"/>
  <c r="AC38"/>
  <c r="AB3" s="1"/>
  <c r="AB4" s="1"/>
  <c r="AB8" s="1"/>
  <c r="W38"/>
  <c r="V3" s="1"/>
  <c r="V4" s="1"/>
  <c r="V8" s="1"/>
  <c r="O37"/>
  <c r="W37"/>
  <c r="I36"/>
  <c r="W36"/>
  <c r="G35"/>
  <c r="W35"/>
  <c r="G34"/>
  <c r="W34"/>
  <c r="G33"/>
  <c r="W33"/>
  <c r="G32"/>
  <c r="W32"/>
  <c r="O31"/>
  <c r="W31"/>
  <c r="G29"/>
  <c r="W29"/>
  <c r="G28"/>
  <c r="W28"/>
  <c r="G27"/>
  <c r="W27"/>
  <c r="G26"/>
  <c r="W26"/>
  <c r="AG26"/>
  <c r="E35"/>
  <c r="AK35"/>
  <c r="E31"/>
  <c r="K31"/>
  <c r="S31"/>
  <c r="Y31"/>
  <c r="AA31"/>
  <c r="AG31"/>
  <c r="AG29"/>
  <c r="AK29"/>
  <c r="E29"/>
  <c r="Q29"/>
  <c r="AA29"/>
  <c r="AK33"/>
  <c r="AK26"/>
  <c r="AK38"/>
  <c r="AK32"/>
  <c r="AG34"/>
  <c r="AK34"/>
  <c r="AK27"/>
  <c r="U29"/>
  <c r="AG33"/>
  <c r="AA26"/>
  <c r="AE36"/>
  <c r="AG36"/>
  <c r="AA27"/>
  <c r="AA28"/>
  <c r="AG38"/>
  <c r="AG32"/>
  <c r="AE38"/>
  <c r="AE26"/>
  <c r="AE34"/>
  <c r="O29"/>
  <c r="AE35"/>
  <c r="AE28"/>
  <c r="AE32"/>
  <c r="AE33"/>
  <c r="AE27"/>
  <c r="O34"/>
  <c r="U34"/>
  <c r="AA33"/>
  <c r="AE29"/>
  <c r="U27"/>
  <c r="U26"/>
  <c r="I28"/>
  <c r="U28"/>
  <c r="AA38"/>
  <c r="AA32"/>
  <c r="Y32"/>
  <c r="Y33"/>
  <c r="Y27"/>
  <c r="Y35"/>
  <c r="Y28"/>
  <c r="Y38"/>
  <c r="Y26"/>
  <c r="Y34"/>
  <c r="U33"/>
  <c r="Y29"/>
  <c r="I26"/>
  <c r="I27"/>
  <c r="O26"/>
  <c r="S36"/>
  <c r="U36"/>
  <c r="O27"/>
  <c r="G36"/>
  <c r="O28"/>
  <c r="U38"/>
  <c r="U32"/>
  <c r="S38"/>
  <c r="S33"/>
  <c r="I34"/>
  <c r="M28"/>
  <c r="S34"/>
  <c r="I35"/>
  <c r="M29"/>
  <c r="O32"/>
  <c r="S35"/>
  <c r="S28"/>
  <c r="S32"/>
  <c r="O38"/>
  <c r="S26"/>
  <c r="S27"/>
  <c r="M35"/>
  <c r="O33"/>
  <c r="S29"/>
  <c r="G37"/>
  <c r="I29"/>
  <c r="O35"/>
  <c r="G31"/>
  <c r="I37"/>
  <c r="M37"/>
  <c r="I31"/>
  <c r="M31"/>
  <c r="M32"/>
  <c r="M33"/>
  <c r="M26"/>
  <c r="M34"/>
  <c r="M27"/>
  <c r="M38"/>
  <c r="I33"/>
  <c r="M36"/>
  <c r="I32"/>
  <c r="M25"/>
  <c r="AE25"/>
  <c r="Y25"/>
  <c r="Q25"/>
  <c r="G25"/>
  <c r="O25"/>
  <c r="W25"/>
  <c r="K25"/>
  <c r="AG25"/>
  <c r="I25"/>
  <c r="S25"/>
  <c r="AA25"/>
  <c r="AC25"/>
  <c r="U25"/>
  <c r="AK25"/>
  <c r="E25"/>
  <c r="AL37"/>
  <c r="AL34"/>
  <c r="AL32"/>
  <c r="AL27"/>
  <c r="AL30"/>
  <c r="AL33"/>
  <c r="AL26"/>
  <c r="AL36"/>
  <c r="AL25"/>
  <c r="AL28"/>
  <c r="AL29"/>
  <c r="AL38"/>
  <c r="AO27" l="1"/>
  <c r="AL9"/>
  <c r="AO28"/>
  <c r="AO31"/>
  <c r="AO34"/>
  <c r="AO36"/>
  <c r="AO26"/>
  <c r="AO35"/>
  <c r="AO29"/>
  <c r="AO32"/>
  <c r="AO33"/>
  <c r="AO37"/>
  <c r="AO38"/>
  <c r="AO25"/>
  <c r="S30"/>
  <c r="AA30"/>
  <c r="AG30"/>
  <c r="K30"/>
  <c r="Q30"/>
  <c r="Y30"/>
  <c r="G30"/>
  <c r="O30"/>
  <c r="AE30"/>
  <c r="AK30"/>
  <c r="M30"/>
  <c r="U30"/>
  <c r="AC30"/>
  <c r="I30"/>
  <c r="E30"/>
  <c r="AP35"/>
  <c r="AP27"/>
  <c r="AN25"/>
  <c r="AP31"/>
  <c r="AP26"/>
  <c r="AN29"/>
  <c r="AP37"/>
  <c r="AN35"/>
  <c r="AN27"/>
  <c r="AP28"/>
  <c r="AN36"/>
  <c r="AP34"/>
  <c r="AN26"/>
  <c r="AN32"/>
  <c r="AP33"/>
  <c r="AN34"/>
  <c r="AN37"/>
  <c r="AP32"/>
  <c r="AN33"/>
  <c r="AP36"/>
  <c r="AN31"/>
  <c r="AN28"/>
  <c r="AN38"/>
  <c r="AP187" l="1"/>
  <c r="H11" i="2"/>
  <c r="F11"/>
  <c r="G11" s="1"/>
  <c r="F10"/>
  <c r="G10" s="1"/>
  <c r="D4" i="1"/>
  <c r="H10" i="2"/>
  <c r="I10" s="1"/>
  <c r="H9"/>
  <c r="F9"/>
  <c r="G9" s="1"/>
  <c r="H8"/>
  <c r="F8"/>
  <c r="AO30" i="1"/>
  <c r="AQ28"/>
  <c r="AQ29"/>
  <c r="AQ33"/>
  <c r="AQ37"/>
  <c r="AP25"/>
  <c r="AQ27"/>
  <c r="AQ34"/>
  <c r="AQ25"/>
  <c r="AQ26"/>
  <c r="AQ31"/>
  <c r="AQ32"/>
  <c r="AQ35"/>
  <c r="AP29"/>
  <c r="AQ36"/>
  <c r="AN30"/>
  <c r="AP38"/>
  <c r="AQ38"/>
  <c r="C13" i="2" l="1"/>
  <c r="D8" i="1"/>
  <c r="H7" i="2" s="1"/>
  <c r="F7"/>
  <c r="G7" s="1"/>
  <c r="AR41" i="1"/>
  <c r="I9" i="2"/>
  <c r="I8"/>
  <c r="G8"/>
  <c r="AQ30" i="1"/>
  <c r="AP30"/>
  <c r="AP188" l="1"/>
  <c r="C14" i="2" s="1"/>
  <c r="I7"/>
  <c r="AP189" i="1" l="1"/>
  <c r="C15" i="2" s="1"/>
</calcChain>
</file>

<file path=xl/comments1.xml><?xml version="1.0" encoding="utf-8"?>
<comments xmlns="http://schemas.openxmlformats.org/spreadsheetml/2006/main">
  <authors>
    <author>Student</author>
  </authors>
  <commentList>
    <comment ref="E6" authorId="0">
      <text>
        <r>
          <rPr>
            <b/>
            <sz val="8"/>
            <color indexed="81"/>
            <rFont val="Tahoma"/>
            <family val="2"/>
          </rPr>
          <t>Student:</t>
        </r>
        <r>
          <rPr>
            <sz val="8"/>
            <color indexed="81"/>
            <rFont val="Tahoma"/>
            <family val="2"/>
          </rPr>
          <t xml:space="preserve">
</t>
        </r>
      </text>
    </comment>
  </commentList>
</comments>
</file>

<file path=xl/sharedStrings.xml><?xml version="1.0" encoding="utf-8"?>
<sst xmlns="http://schemas.openxmlformats.org/spreadsheetml/2006/main" count="1161" uniqueCount="463">
  <si>
    <t>EXAM SEAT NO.</t>
  </si>
  <si>
    <t>ACN</t>
  </si>
  <si>
    <t>SPCC</t>
  </si>
  <si>
    <t>OOSE</t>
  </si>
  <si>
    <t>AMP</t>
  </si>
  <si>
    <t>DWM</t>
  </si>
  <si>
    <t>SEMR</t>
  </si>
  <si>
    <t>GNT</t>
  </si>
  <si>
    <t>REMARK</t>
  </si>
  <si>
    <t>CLASS</t>
  </si>
  <si>
    <t>NAME OF THE CANDIDATE</t>
  </si>
  <si>
    <t>TH</t>
  </si>
  <si>
    <t>TW</t>
  </si>
  <si>
    <t>P&amp;O</t>
  </si>
  <si>
    <t>Max</t>
  </si>
  <si>
    <t xml:space="preserve">Min </t>
  </si>
  <si>
    <t xml:space="preserve">ACN :- Advance Computer Network          </t>
  </si>
  <si>
    <t>SPCC :-  System Programming And Compiler Construction</t>
  </si>
  <si>
    <t xml:space="preserve">AMP :- Advanced Microprocessor       </t>
  </si>
  <si>
    <t xml:space="preserve">DWM :- Data Warehouse And Mining     </t>
  </si>
  <si>
    <t>AJUGIYA VAIBHAV KANUBAHI</t>
  </si>
  <si>
    <t>MESHRAM ARCHIES SIDDHARTH</t>
  </si>
  <si>
    <t>PALKAR MOHIT PRAFULLA</t>
  </si>
  <si>
    <t>20+</t>
  </si>
  <si>
    <t>42+</t>
  </si>
  <si>
    <t>44+</t>
  </si>
  <si>
    <t>48+</t>
  </si>
  <si>
    <t>16+</t>
  </si>
  <si>
    <t>13+</t>
  </si>
  <si>
    <t>15+</t>
  </si>
  <si>
    <t>36+</t>
  </si>
  <si>
    <t>17+</t>
  </si>
  <si>
    <t>19+</t>
  </si>
  <si>
    <t>18+</t>
  </si>
  <si>
    <t>50+</t>
  </si>
  <si>
    <t>21+</t>
  </si>
  <si>
    <t>Branch : Computer Engineering</t>
  </si>
  <si>
    <t>S NO.</t>
  </si>
  <si>
    <t>Subject Name</t>
  </si>
  <si>
    <t>Name of Examiner</t>
  </si>
  <si>
    <t>Name of Moderator</t>
  </si>
  <si>
    <t>Total no of students appeared</t>
  </si>
  <si>
    <t>Total no of students passed</t>
  </si>
  <si>
    <t>% of Passing in the subjects</t>
  </si>
  <si>
    <t>Candidates scored marks between 40 &amp; 60</t>
  </si>
  <si>
    <t>Number of candidates scored marks above 60</t>
  </si>
  <si>
    <t>No of grace marks awarded in the subject by examiner</t>
  </si>
  <si>
    <t>03</t>
  </si>
  <si>
    <t>Total no of students appeared:</t>
  </si>
  <si>
    <t>Total no of students passed:</t>
  </si>
  <si>
    <t>Overall Percentage of passing:</t>
  </si>
  <si>
    <t>How many Student Appeared</t>
  </si>
  <si>
    <t>How many student failed</t>
  </si>
  <si>
    <t>How Many students Passed</t>
  </si>
  <si>
    <t>Average Marks</t>
  </si>
  <si>
    <t>Maximum Marks</t>
  </si>
  <si>
    <t>Marks greater than  60</t>
  </si>
  <si>
    <t>Marks between 40 and 60</t>
  </si>
  <si>
    <t>CAN</t>
  </si>
  <si>
    <t>spcc</t>
  </si>
  <si>
    <t>oose</t>
  </si>
  <si>
    <t>amp</t>
  </si>
  <si>
    <t>dwm</t>
  </si>
  <si>
    <t xml:space="preserve">Advance Computer Network       </t>
  </si>
  <si>
    <t>System Programming And Compiler Construction</t>
  </si>
  <si>
    <t>Object Oriented Software Engineering</t>
  </si>
  <si>
    <t>Advanced Microprocessor</t>
  </si>
  <si>
    <t xml:space="preserve">Data Warehouse And Mining  </t>
  </si>
  <si>
    <t>Prof.Rashmi Thakur (TCET)</t>
  </si>
  <si>
    <t xml:space="preserve"> Prof. Roshni Padate (FRCRCE)</t>
  </si>
  <si>
    <t>AB</t>
  </si>
  <si>
    <t>TOT VI</t>
  </si>
  <si>
    <t>TOT V</t>
  </si>
  <si>
    <t>45*</t>
  </si>
  <si>
    <t>23*</t>
  </si>
  <si>
    <t xml:space="preserve">                      (Signature of principal with College seal)</t>
  </si>
  <si>
    <t>Atharva College of Engineering, Malad (W)</t>
  </si>
  <si>
    <t>Name of the college :</t>
  </si>
  <si>
    <t>Date :</t>
  </si>
  <si>
    <t>no of students got grace marks in subject</t>
  </si>
  <si>
    <t xml:space="preserve">     OOSE :- Object Oriented Software Engineering    </t>
  </si>
  <si>
    <t xml:space="preserve">  SEMR :- Seminar</t>
  </si>
  <si>
    <t>E</t>
  </si>
  <si>
    <t>F</t>
  </si>
  <si>
    <t>FAIL</t>
  </si>
  <si>
    <t>--</t>
  </si>
  <si>
    <t/>
  </si>
  <si>
    <t>PASS</t>
  </si>
  <si>
    <t>RS 5</t>
  </si>
  <si>
    <t>P</t>
  </si>
  <si>
    <t xml:space="preserve"> </t>
  </si>
  <si>
    <t>ABSENT</t>
  </si>
  <si>
    <t>NUM</t>
  </si>
  <si>
    <t>NAME</t>
  </si>
  <si>
    <t>CAN-TH</t>
  </si>
  <si>
    <t>CAN-TW</t>
  </si>
  <si>
    <t>CAN-P&amp;O</t>
  </si>
  <si>
    <t>SPCC-TH</t>
  </si>
  <si>
    <t>SPCC-TW</t>
  </si>
  <si>
    <t>SPCC-P&amp;O</t>
  </si>
  <si>
    <t>OOSE-TH</t>
  </si>
  <si>
    <t>OOSE-TW</t>
  </si>
  <si>
    <t>OOSE-P&amp;O</t>
  </si>
  <si>
    <t>AMP-TH</t>
  </si>
  <si>
    <t>AMP-TW</t>
  </si>
  <si>
    <t>AMP-P&amp;O</t>
  </si>
  <si>
    <t>DWM-TW</t>
  </si>
  <si>
    <t>DWN-P&amp;O</t>
  </si>
  <si>
    <t>SEMR-TW</t>
  </si>
  <si>
    <t>SEMR-P&amp;O</t>
  </si>
  <si>
    <t>TOT-VI</t>
  </si>
  <si>
    <t>TOT-V</t>
  </si>
  <si>
    <t xml:space="preserve">SPELLNUMBER </t>
  </si>
  <si>
    <t>DWM-TH</t>
  </si>
  <si>
    <t>46+</t>
  </si>
  <si>
    <t>23+</t>
  </si>
  <si>
    <t>45+</t>
  </si>
  <si>
    <t>40+</t>
  </si>
  <si>
    <t>41+</t>
  </si>
  <si>
    <t>49+</t>
  </si>
  <si>
    <t>22+</t>
  </si>
  <si>
    <t>39+</t>
  </si>
  <si>
    <t>14+</t>
  </si>
  <si>
    <t>38+</t>
  </si>
  <si>
    <t>24+</t>
  </si>
  <si>
    <t>43+</t>
  </si>
  <si>
    <t>47+</t>
  </si>
  <si>
    <t>52+</t>
  </si>
  <si>
    <t>AMBRE ABHISHEK ARUN</t>
  </si>
  <si>
    <t>CHETTIER SANJAY GANESHAN</t>
  </si>
  <si>
    <t>CHOUDHARY SHANKAR MAFATLAL</t>
  </si>
  <si>
    <t>DESHMUKH AMEYA C</t>
  </si>
  <si>
    <t>DHOTRE KUNAL RAMCHANDRA</t>
  </si>
  <si>
    <t>EDAVI PRATIK PRAKASH</t>
  </si>
  <si>
    <t>GAIKWAD NITISH RAVINDRA</t>
  </si>
  <si>
    <t>GHUMAN RAJNEETSINGH IQBAL SINGH</t>
  </si>
  <si>
    <t>GHUNAVAT ATUL ISHVAR</t>
  </si>
  <si>
    <t xml:space="preserve"> KATARE SUNITA DATTU</t>
  </si>
  <si>
    <t>NARWATE ROHAN DILIP</t>
  </si>
  <si>
    <t>SHARMA SHIVAM SUBASH</t>
  </si>
  <si>
    <t>TORASKAR NISHANT YESHWANT</t>
  </si>
  <si>
    <t>TRIPATHI ABHISHEK GIRISH</t>
  </si>
  <si>
    <t>YADAV AMIT VIKRAM PRASAD</t>
  </si>
  <si>
    <t>513+</t>
  </si>
  <si>
    <t>53+</t>
  </si>
  <si>
    <t>518+</t>
  </si>
  <si>
    <t>51+</t>
  </si>
  <si>
    <t>481+</t>
  </si>
  <si>
    <t>32+</t>
  </si>
  <si>
    <t>12+</t>
  </si>
  <si>
    <t>30+</t>
  </si>
  <si>
    <t>504+</t>
  </si>
  <si>
    <t>506x</t>
  </si>
  <si>
    <t>461+</t>
  </si>
  <si>
    <t>Prof.Shweta Sharma    (ACE)</t>
  </si>
  <si>
    <t>Prof.Alka Srivastava                        (ACE)</t>
  </si>
  <si>
    <t>Prof.Neha Singh          (ACE)</t>
  </si>
  <si>
    <t xml:space="preserve"> Prof. Nazneen Ansari (SFIT)</t>
  </si>
  <si>
    <t>Prof.Tejal Rachh (ACE)</t>
  </si>
  <si>
    <t xml:space="preserve">Three Hundred Eighty Two </t>
  </si>
  <si>
    <t xml:space="preserve">Five Hundred Forty  </t>
  </si>
  <si>
    <t xml:space="preserve">Four Hundred Sixty Two </t>
  </si>
  <si>
    <t xml:space="preserve">One Thousand Fifty Six </t>
  </si>
  <si>
    <t xml:space="preserve">Four Hundred Twenty Four </t>
  </si>
  <si>
    <t xml:space="preserve">One Thousand Fifty  </t>
  </si>
  <si>
    <t xml:space="preserve">Two Hundred Fifty Nine </t>
  </si>
  <si>
    <t xml:space="preserve">One Thousand  </t>
  </si>
  <si>
    <t xml:space="preserve">Five Hundred  </t>
  </si>
  <si>
    <t xml:space="preserve">Nine Hundred NinetyFour </t>
  </si>
  <si>
    <t xml:space="preserve">One Thousand Thirty One </t>
  </si>
  <si>
    <t xml:space="preserve">One Thousand Five </t>
  </si>
  <si>
    <t>476x</t>
  </si>
  <si>
    <t>509x</t>
  </si>
  <si>
    <t>475x</t>
  </si>
  <si>
    <t>454x</t>
  </si>
  <si>
    <t xml:space="preserve">One Thousand Sixteen </t>
  </si>
  <si>
    <t xml:space="preserve">One Thousand Forty Five </t>
  </si>
  <si>
    <t xml:space="preserve">One Thousand Nine </t>
  </si>
  <si>
    <t xml:space="preserve">Nine Hundred Forty Four </t>
  </si>
  <si>
    <t>452+</t>
  </si>
  <si>
    <t>Eight Hundred Seventy One</t>
  </si>
  <si>
    <t>PC4201</t>
  </si>
  <si>
    <t>PC4202</t>
  </si>
  <si>
    <t xml:space="preserve">ADMANE PRADEEP VIDNYANRAO </t>
  </si>
  <si>
    <t>AMRE PRITAM ANILKUMAR</t>
  </si>
  <si>
    <t>ANSAN SUNNY SALAMA</t>
  </si>
  <si>
    <t>ASRANI BHARTI LACHMAN</t>
  </si>
  <si>
    <t>BADE AMIT KERAMBA</t>
  </si>
  <si>
    <t>BAGWE KARAN VINAY</t>
  </si>
  <si>
    <t>BARBHAYA RISHI DIVYESH</t>
  </si>
  <si>
    <t>BHALERAO DEVENDRA SURESH</t>
  </si>
  <si>
    <t>BORSE KIRAN HILAL</t>
  </si>
  <si>
    <t>CHAVAN GAURAV SHRIDHAR</t>
  </si>
  <si>
    <t xml:space="preserve">CHAVAN RAVI BHIKAJI </t>
  </si>
  <si>
    <t>CHAVAN SHASHANK GAJANAN</t>
  </si>
  <si>
    <t>CHAVHAN AMOL SUBHASH</t>
  </si>
  <si>
    <t>CHILE AKSHAY VISHWANATH</t>
  </si>
  <si>
    <t>CHONKAR SHRIKAR RAVINDRA</t>
  </si>
  <si>
    <t>DANDE AKASH NARAYAN</t>
  </si>
  <si>
    <t>DAVE RAJENDRA AJAY</t>
  </si>
  <si>
    <t xml:space="preserve">DEORE SANKET GOVIND </t>
  </si>
  <si>
    <t>DESAI CHINMAY PRAKASH</t>
  </si>
  <si>
    <t>DEVLEKAR RAHUL PRAKASH</t>
  </si>
  <si>
    <t>DHULE AMEY YASHWANT</t>
  </si>
  <si>
    <t>ERANGALE VINIT MANOJ</t>
  </si>
  <si>
    <t>ERRAVONI MAHESH KUMAR BUCHAIAH</t>
  </si>
  <si>
    <t>GAWADE MAHESH SHIVAJI</t>
  </si>
  <si>
    <t>GOHIL VIRAL RAJESHBHAI</t>
  </si>
  <si>
    <t>GUPTA SHIVA AJAY</t>
  </si>
  <si>
    <t>GURAV ABHIJIT SHRIPAT</t>
  </si>
  <si>
    <t>HEGDE PARIKSHIT KRISHNA</t>
  </si>
  <si>
    <t xml:space="preserve">JAIN SHARAD RAMESHKUMAR </t>
  </si>
  <si>
    <t>JETHAVA VIKRANT ASHOK BHAI</t>
  </si>
  <si>
    <t>KADDI ASHUTOSH RAVINDRA</t>
  </si>
  <si>
    <t xml:space="preserve">KADIWALA REHAN KARIM </t>
  </si>
  <si>
    <t>KAMBLE ROHAN SUNIL</t>
  </si>
  <si>
    <t xml:space="preserve">KAMDAR  JINESH KUMAR </t>
  </si>
  <si>
    <t xml:space="preserve">KELUSKAR PRAVIN PURUSHOTTAM  </t>
  </si>
  <si>
    <t>KEYAL ATULKUMAR SAJJANKUMAR</t>
  </si>
  <si>
    <t xml:space="preserve">KHATRI CHINTAN BIPIN </t>
  </si>
  <si>
    <t xml:space="preserve">KODAM MANIKIRAN MADHUSUDHAN </t>
  </si>
  <si>
    <t>KULKARNI NIKHIL NAGESH</t>
  </si>
  <si>
    <t>KUTTY ROHIT KRISHNAN</t>
  </si>
  <si>
    <t xml:space="preserve">MADHWA TANUJ RADHEY SHYAM </t>
  </si>
  <si>
    <t xml:space="preserve">MANIAR KARAN BHARATBHAI </t>
  </si>
  <si>
    <t>MANJARE SAGAR RAMDAS</t>
  </si>
  <si>
    <t>MORE SAURABH SUDHIR</t>
  </si>
  <si>
    <t>NADKAR AAQUIB FAIYAZ</t>
  </si>
  <si>
    <t>NAGWEKAR DEVEN SUHAS</t>
  </si>
  <si>
    <t>NEMAN PRATEEK DASHRATH</t>
  </si>
  <si>
    <t xml:space="preserve">OZA ADITYA SUNILKUMAR </t>
  </si>
  <si>
    <t>PADSALA CHIRAG GOKUL</t>
  </si>
  <si>
    <t>PAI SIDDHANT SUHAS</t>
  </si>
  <si>
    <t>PALAV ROHIT DHANANJAY</t>
  </si>
  <si>
    <t>PANDEY SANTOSHKUMAR RAJKUMAR</t>
  </si>
  <si>
    <t xml:space="preserve">PARANDE MANDAR MANGESH </t>
  </si>
  <si>
    <t xml:space="preserve">PARKAR SIDDHANT RAJIV </t>
  </si>
  <si>
    <t>PARMAR ANKIT RAMNIKLAL</t>
  </si>
  <si>
    <t xml:space="preserve">PATEL JAY BIPIN </t>
  </si>
  <si>
    <t>PATHARE ROHIT SANJAY</t>
  </si>
  <si>
    <t>PATIL AADITYA SAKHARAM</t>
  </si>
  <si>
    <t>PATIL ABHILESH NITIN</t>
  </si>
  <si>
    <t>PATIL AKSHAY PRADEEP</t>
  </si>
  <si>
    <t xml:space="preserve">PATIL GAURAV BHAURAO </t>
  </si>
  <si>
    <t>PATIL SANKET SUNIL</t>
  </si>
  <si>
    <t>POOJARI DHANRAJ MUTHAYYA</t>
  </si>
  <si>
    <t>PRAJAPATI PRAMOD RAMJIT</t>
  </si>
  <si>
    <t>QAMAR JUNAID MOHD</t>
  </si>
  <si>
    <t xml:space="preserve">SAKHALE NIMESH HEMANT  </t>
  </si>
  <si>
    <t>SANKPAL KIRAN PRAKASH</t>
  </si>
  <si>
    <t>SATARDEKAR SIDDHESH  NANDKUMAR</t>
  </si>
  <si>
    <t>SAWANT ROHIT RAMCHANDRA</t>
  </si>
  <si>
    <t>SAWANT SHREYAS SUBHASH</t>
  </si>
  <si>
    <t xml:space="preserve">SETH SAURAV </t>
  </si>
  <si>
    <t>SHAH FIYANSH DINESH</t>
  </si>
  <si>
    <t>SHAH JITEN PARAG</t>
  </si>
  <si>
    <t>SHAH KARAN VIPULKUMAR</t>
  </si>
  <si>
    <t>SHAH KETUK PANKAJKUMAR</t>
  </si>
  <si>
    <t>SHAH PARAS PANKAJ</t>
  </si>
  <si>
    <t>SHARMA PRADEEP RAMAJEET</t>
  </si>
  <si>
    <t>SHETTY RISHI CHANDRASHEKAR</t>
  </si>
  <si>
    <t>SHINDE ANIKET ANANT</t>
  </si>
  <si>
    <t>SHROFF RUCHIT RAJIV</t>
  </si>
  <si>
    <t>SHUKLA AKASHKUMAR LALITKUMAR</t>
  </si>
  <si>
    <t xml:space="preserve">SHUKLA MANOJ SHOBNATH </t>
  </si>
  <si>
    <t>SINGH SATISH SHARDA</t>
  </si>
  <si>
    <t>SINGH VIKRAM  RAVINDRA</t>
  </si>
  <si>
    <t>SINKAR VINIT PRADIP</t>
  </si>
  <si>
    <t>SONI RAINIK OMPRAKASH</t>
  </si>
  <si>
    <t>SRIKANTH RAVEE</t>
  </si>
  <si>
    <t>SUMAN  SIDDAHARTH SURESH</t>
  </si>
  <si>
    <t>SURVE NEHA VILAS</t>
  </si>
  <si>
    <t xml:space="preserve">THAPLIYAL AJAY SHIVSHARAN </t>
  </si>
  <si>
    <t>UPADHYAY PRASHANT VIJAY</t>
  </si>
  <si>
    <t>VARSHINI RAMARAJ</t>
  </si>
  <si>
    <t>VYAS SAGAR MAHENDRA</t>
  </si>
  <si>
    <t>GALANDE BHUSHAN RAMESH</t>
  </si>
  <si>
    <t>PARDHIYE PRATHMESH VIJAY</t>
  </si>
  <si>
    <t>WANI TEJAS VILAS</t>
  </si>
  <si>
    <t>SALVI SANDESH DILIP</t>
  </si>
  <si>
    <t>BAJETHA GAURAV SINGH GOVIND</t>
  </si>
  <si>
    <t>AMBRE ABHISHEK AURN</t>
  </si>
  <si>
    <t>DEVARKAR SANKALP HEMANT</t>
  </si>
  <si>
    <t>GHUMAN RAJNEET SINGH IQBAL SINGH</t>
  </si>
  <si>
    <t>CHITRE ABHISHEK ANIL</t>
  </si>
  <si>
    <t>PALEKAR AKSHAY ANIL</t>
  </si>
  <si>
    <t>/ AHIRE NAMRATA ASHOK</t>
  </si>
  <si>
    <t>/ AMIN RISHITA VIJAYKUMAR</t>
  </si>
  <si>
    <t>/ BANDIVADEKAR RUTALI DILIP</t>
  </si>
  <si>
    <t>/ BELWALKAR MANALI CHANDRAKANT</t>
  </si>
  <si>
    <t>/ BHAGAT DOLLY DEEPAK</t>
  </si>
  <si>
    <t>/ CHAUHAN ANJALI RAJU</t>
  </si>
  <si>
    <t>/ CHAVAN KOMAL DATTATRAY</t>
  </si>
  <si>
    <t>/ CHILKA PRIYANKA RAJENDRA</t>
  </si>
  <si>
    <t>/ DALVI NILESHA NANDKISHOR</t>
  </si>
  <si>
    <t>/ GAJUL POOJA GOPAL</t>
  </si>
  <si>
    <t>/ GANDHI KAJOL VIJAY</t>
  </si>
  <si>
    <t>/ GAWADE SHRADDHA SHRIKANT</t>
  </si>
  <si>
    <t>/ GAWAI SUPRIYA SUBHASH</t>
  </si>
  <si>
    <t>/ GURABE MANISHA VISHNU</t>
  </si>
  <si>
    <t>/ GURAV KAMINEE PRAKASH</t>
  </si>
  <si>
    <t>/ JADHAV SNEHA AMARSINGH</t>
  </si>
  <si>
    <t>/ JOSHI DIVYA ASHOK</t>
  </si>
  <si>
    <t>/ KESARKAR ANKITA DILIP</t>
  </si>
  <si>
    <t>/ KHAIRNAR VAISHALI VIJAY</t>
  </si>
  <si>
    <t>/ KHANDARE ASHWINI DNYANDEO</t>
  </si>
  <si>
    <t xml:space="preserve">/ KHOT  DEEPALI GANPATI </t>
  </si>
  <si>
    <t>/ KOLI NEHA NANDU</t>
  </si>
  <si>
    <t>/ KUBAL PRIYANKA KAMALAKAR</t>
  </si>
  <si>
    <t>/ KUBAL SARIKA KAMALAKAR</t>
  </si>
  <si>
    <t>/ KUCHEKAR KARISHMA APPASAHEB</t>
  </si>
  <si>
    <t>/ LANDGE SNEHAL PRAKASH</t>
  </si>
  <si>
    <t>/ MHATRE DEVIKA RAVINDRA</t>
  </si>
  <si>
    <t>/ NAIK MADHURA MILIND</t>
  </si>
  <si>
    <t>/ PANCHAL KOMAL NITIN</t>
  </si>
  <si>
    <t>/ PANDEY KARISHMA AJEETKUMAR</t>
  </si>
  <si>
    <t>/ PATIL MRUNAL SHASHIKANT</t>
  </si>
  <si>
    <t>/ PATIL SNEHAL VASANT</t>
  </si>
  <si>
    <t>/ PAWAR SONALI BHIMSING</t>
  </si>
  <si>
    <t xml:space="preserve">/ PENDHARI DIPALI SAKHARAM </t>
  </si>
  <si>
    <t>/ PIMPLE SAYALI PRABHAKAR</t>
  </si>
  <si>
    <t>/ PURI NAMITA RAMDAS</t>
  </si>
  <si>
    <t>/ RANE YUGANDHARA CHANDRAMOHAN</t>
  </si>
  <si>
    <t>/ RAUT JUHI DILIP</t>
  </si>
  <si>
    <t>/ RAUT NEHA MOHAN</t>
  </si>
  <si>
    <t>/ SAPLE NIKITA DILIP</t>
  </si>
  <si>
    <t xml:space="preserve">/ SAWANT  RIDHIMA  AJAY </t>
  </si>
  <si>
    <t xml:space="preserve">/ SHAH DIVYA MANGESH </t>
  </si>
  <si>
    <t>/ SHAH KOMAL PARTH</t>
  </si>
  <si>
    <t xml:space="preserve">/ SHELKE DHANSHREE SUBHASH </t>
  </si>
  <si>
    <t>/ SHETTY CHAITRA BALAKRISHNA</t>
  </si>
  <si>
    <t>/ SHEWALE PALLAVI KALIDAS</t>
  </si>
  <si>
    <t>/ SOMAIYA JAINIM DILIP</t>
  </si>
  <si>
    <t xml:space="preserve">/ SURYAWANSHI PRIYANKA MADHUKAR </t>
  </si>
  <si>
    <t>/ TANDEL LINA LAXMAN</t>
  </si>
  <si>
    <t>/ UBALE SANCHI SANDEEP</t>
  </si>
  <si>
    <t>/ WALINJKAR KRITIKA BHUSHAN</t>
  </si>
  <si>
    <t>/ ZEPLE PRIYANKA KESHAV</t>
  </si>
  <si>
    <t>/ SHAH ZALAK NIPUL</t>
  </si>
  <si>
    <t>/ BHOITE KISHORI PRABHAR</t>
  </si>
  <si>
    <t>/ SHINDE PRATIKSHA DNYANESHWAR</t>
  </si>
  <si>
    <t>/ BHOLE NILIMA SURESH</t>
  </si>
  <si>
    <t>35+</t>
  </si>
  <si>
    <t>470*+</t>
  </si>
  <si>
    <t>534+</t>
  </si>
  <si>
    <t>558+</t>
  </si>
  <si>
    <t>560+</t>
  </si>
  <si>
    <t>586+</t>
  </si>
  <si>
    <t>615+</t>
  </si>
  <si>
    <t>562+</t>
  </si>
  <si>
    <t>551+</t>
  </si>
  <si>
    <t>510+</t>
  </si>
  <si>
    <t>486+</t>
  </si>
  <si>
    <t>495*+</t>
  </si>
  <si>
    <t>532*+</t>
  </si>
  <si>
    <t>453*+</t>
  </si>
  <si>
    <t>559+</t>
  </si>
  <si>
    <t>509+</t>
  </si>
  <si>
    <t>538+</t>
  </si>
  <si>
    <t>517+</t>
  </si>
  <si>
    <t>585+</t>
  </si>
  <si>
    <t>580+</t>
  </si>
  <si>
    <t>519+</t>
  </si>
  <si>
    <t>525+</t>
  </si>
  <si>
    <t>543+</t>
  </si>
  <si>
    <t>539+</t>
  </si>
  <si>
    <t>544+</t>
  </si>
  <si>
    <t>575+</t>
  </si>
  <si>
    <t>630+</t>
  </si>
  <si>
    <t>625+</t>
  </si>
  <si>
    <t>638+</t>
  </si>
  <si>
    <t>599+</t>
  </si>
  <si>
    <t>576+</t>
  </si>
  <si>
    <t>561+</t>
  </si>
  <si>
    <t>535+</t>
  </si>
  <si>
    <t>505+</t>
  </si>
  <si>
    <t>553+</t>
  </si>
  <si>
    <t>536+</t>
  </si>
  <si>
    <t>515+</t>
  </si>
  <si>
    <t>609+</t>
  </si>
  <si>
    <t>512+</t>
  </si>
  <si>
    <t>582+</t>
  </si>
  <si>
    <t>554+</t>
  </si>
  <si>
    <t>533*+</t>
  </si>
  <si>
    <t>527+</t>
  </si>
  <si>
    <t>567+</t>
  </si>
  <si>
    <t>482*+</t>
  </si>
  <si>
    <t>563*+</t>
  </si>
  <si>
    <t>574+</t>
  </si>
  <si>
    <t>530+</t>
  </si>
  <si>
    <t>514+</t>
  </si>
  <si>
    <t>521+</t>
  </si>
  <si>
    <t>603+</t>
  </si>
  <si>
    <t>563+</t>
  </si>
  <si>
    <t>584+</t>
  </si>
  <si>
    <t>522+</t>
  </si>
  <si>
    <t>605+</t>
  </si>
  <si>
    <t>520+</t>
  </si>
  <si>
    <t>489+</t>
  </si>
  <si>
    <t>475+</t>
  </si>
  <si>
    <t>493*+</t>
  </si>
  <si>
    <t>529+</t>
  </si>
  <si>
    <t>478+</t>
  </si>
  <si>
    <t>499+</t>
  </si>
  <si>
    <t>460*+</t>
  </si>
  <si>
    <t>596+</t>
  </si>
  <si>
    <t>565+</t>
  </si>
  <si>
    <t>588+</t>
  </si>
  <si>
    <t>507*+</t>
  </si>
  <si>
    <t>552+</t>
  </si>
  <si>
    <t>508+</t>
  </si>
  <si>
    <t>512*+</t>
  </si>
  <si>
    <t>502+</t>
  </si>
  <si>
    <t>468+</t>
  </si>
  <si>
    <t>458+</t>
  </si>
  <si>
    <t>601+</t>
  </si>
  <si>
    <t>490+</t>
  </si>
  <si>
    <t>520x</t>
  </si>
  <si>
    <t>464x</t>
  </si>
  <si>
    <t>526x</t>
  </si>
  <si>
    <t>545+</t>
  </si>
  <si>
    <t>471+</t>
  </si>
  <si>
    <t>531x</t>
  </si>
  <si>
    <t>491+</t>
  </si>
  <si>
    <t>480x</t>
  </si>
  <si>
    <t>496x</t>
  </si>
  <si>
    <t>507x</t>
  </si>
  <si>
    <t>546x</t>
  </si>
  <si>
    <t>530x</t>
  </si>
  <si>
    <t>535x</t>
  </si>
  <si>
    <t>537x</t>
  </si>
  <si>
    <t>500+</t>
  </si>
  <si>
    <t>547+</t>
  </si>
  <si>
    <t>474+</t>
  </si>
  <si>
    <t>477x</t>
  </si>
  <si>
    <t>517x</t>
  </si>
  <si>
    <t>543x</t>
  </si>
  <si>
    <t>533+</t>
  </si>
  <si>
    <t>470x</t>
  </si>
  <si>
    <t>519x</t>
  </si>
  <si>
    <t>548x</t>
  </si>
  <si>
    <t>512x</t>
  </si>
  <si>
    <t>513x</t>
  </si>
  <si>
    <t>502x</t>
  </si>
  <si>
    <t>471x</t>
  </si>
  <si>
    <t>463+</t>
  </si>
  <si>
    <t>493x</t>
  </si>
  <si>
    <t>32*</t>
  </si>
  <si>
    <t>506*</t>
  </si>
  <si>
    <t>35*</t>
  </si>
  <si>
    <t>537*</t>
  </si>
  <si>
    <t>31*</t>
  </si>
  <si>
    <t>487*</t>
  </si>
  <si>
    <t>509*</t>
  </si>
  <si>
    <t>561*</t>
  </si>
  <si>
    <t>541*</t>
  </si>
  <si>
    <t>34*</t>
  </si>
  <si>
    <t>507*</t>
  </si>
  <si>
    <t xml:space="preserve">Statistical Data in various subjects prescribed at the T.E. SEM - (VI)  First Half of 2014 Examination held by college </t>
  </si>
  <si>
    <t>on behalf of the University in the month of  May / June 2014.</t>
  </si>
  <si>
    <r>
      <t xml:space="preserve">Prof.Vaishali Nirgude   </t>
    </r>
    <r>
      <rPr>
        <sz val="9"/>
        <color theme="1"/>
        <rFont val="Calibri"/>
        <family val="2"/>
        <scheme val="minor"/>
      </rPr>
      <t>(TCET)</t>
    </r>
  </si>
  <si>
    <t>Prof.Sonal Maskeen (ACE)</t>
  </si>
  <si>
    <t>Prof.Monali Shetty (FCRCE)</t>
  </si>
</sst>
</file>

<file path=xl/styles.xml><?xml version="1.0" encoding="utf-8"?>
<styleSheet xmlns="http://schemas.openxmlformats.org/spreadsheetml/2006/main">
  <numFmts count="2">
    <numFmt numFmtId="164" formatCode="00"/>
    <numFmt numFmtId="165" formatCode="000"/>
  </numFmts>
  <fonts count="22">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9"/>
      <color theme="1"/>
      <name val="Calibri"/>
      <family val="2"/>
      <scheme val="minor"/>
    </font>
    <font>
      <b/>
      <sz val="9"/>
      <color indexed="8"/>
      <name val="Calibri"/>
      <family val="2"/>
    </font>
    <font>
      <b/>
      <sz val="8"/>
      <color indexed="81"/>
      <name val="Tahoma"/>
      <family val="2"/>
    </font>
    <font>
      <sz val="8"/>
      <color indexed="81"/>
      <name val="Tahoma"/>
      <family val="2"/>
    </font>
    <font>
      <sz val="12"/>
      <color rgb="FF000000"/>
      <name val="Calibri"/>
      <family val="2"/>
      <scheme val="minor"/>
    </font>
    <font>
      <sz val="12"/>
      <color rgb="FF000000"/>
      <name val="Times New Roman"/>
      <family val="1"/>
    </font>
    <font>
      <b/>
      <sz val="12"/>
      <color indexed="8"/>
      <name val="Calibri"/>
      <family val="2"/>
    </font>
    <font>
      <sz val="10"/>
      <color rgb="FF000000"/>
      <name val="Times New Roman"/>
      <family val="1"/>
    </font>
    <font>
      <sz val="11"/>
      <color rgb="FF000000"/>
      <name val="Times New Roman"/>
      <family val="1"/>
    </font>
    <font>
      <b/>
      <sz val="13"/>
      <color theme="1"/>
      <name val="Calibri"/>
      <family val="2"/>
      <scheme val="minor"/>
    </font>
    <font>
      <sz val="13"/>
      <color rgb="FF000000"/>
      <name val="Calibri"/>
      <family val="2"/>
      <scheme val="minor"/>
    </font>
    <font>
      <sz val="13"/>
      <color theme="1"/>
      <name val="Calibri"/>
      <family val="2"/>
      <scheme val="minor"/>
    </font>
    <font>
      <sz val="9"/>
      <color theme="1"/>
      <name val="Calibri"/>
      <family val="2"/>
      <scheme val="minor"/>
    </font>
    <font>
      <b/>
      <sz val="12"/>
      <color rgb="FF000000"/>
      <name val="Calibri"/>
      <family val="2"/>
      <scheme val="minor"/>
    </font>
    <font>
      <b/>
      <sz val="11"/>
      <color rgb="FF000000"/>
      <name val="Calibri"/>
      <family val="2"/>
      <scheme val="minor"/>
    </font>
    <font>
      <sz val="12"/>
      <color theme="1"/>
      <name val="Times New Roman"/>
      <family val="1"/>
    </font>
    <font>
      <b/>
      <sz val="14"/>
      <color theme="1"/>
      <name val="Calibri"/>
      <family val="2"/>
      <scheme val="minor"/>
    </font>
  </fonts>
  <fills count="2">
    <fill>
      <patternFill patternType="none"/>
    </fill>
    <fill>
      <patternFill patternType="gray125"/>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top/>
      <bottom style="thin">
        <color indexed="64"/>
      </bottom>
      <diagonal/>
    </border>
  </borders>
  <cellStyleXfs count="2">
    <xf numFmtId="0" fontId="0" fillId="0" borderId="0"/>
    <xf numFmtId="9" fontId="4" fillId="0" borderId="0" applyFont="0" applyFill="0" applyBorder="0" applyAlignment="0" applyProtection="0"/>
  </cellStyleXfs>
  <cellXfs count="96">
    <xf numFmtId="0" fontId="0" fillId="0" borderId="0" xfId="0"/>
    <xf numFmtId="0" fontId="1" fillId="0" borderId="0" xfId="0" applyFont="1"/>
    <xf numFmtId="0" fontId="5" fillId="0" borderId="0" xfId="0" applyFont="1"/>
    <xf numFmtId="0" fontId="6" fillId="0" borderId="1" xfId="0" applyFont="1" applyBorder="1" applyAlignment="1">
      <alignment horizontal="center" vertical="center" wrapText="1"/>
    </xf>
    <xf numFmtId="0" fontId="0" fillId="0" borderId="0" xfId="0" applyAlignment="1">
      <alignment vertical="center"/>
    </xf>
    <xf numFmtId="0" fontId="0" fillId="0" borderId="0" xfId="0" applyAlignment="1">
      <alignment horizontal="center" vertical="top"/>
    </xf>
    <xf numFmtId="10" fontId="0" fillId="0" borderId="0" xfId="1" applyNumberFormat="1" applyFont="1" applyAlignment="1">
      <alignment horizontal="center" vertical="top"/>
    </xf>
    <xf numFmtId="14" fontId="0" fillId="0" borderId="0" xfId="0" applyNumberFormat="1" applyAlignment="1">
      <alignment horizontal="left"/>
    </xf>
    <xf numFmtId="0" fontId="0" fillId="0" borderId="0" xfId="0" applyAlignment="1">
      <alignment horizontal="left"/>
    </xf>
    <xf numFmtId="10" fontId="0" fillId="0" borderId="0" xfId="0" applyNumberFormat="1" applyAlignment="1">
      <alignment horizontal="left"/>
    </xf>
    <xf numFmtId="0" fontId="9" fillId="0" borderId="0" xfId="0" applyFont="1" applyFill="1" applyBorder="1" applyAlignment="1" applyProtection="1">
      <alignment wrapText="1"/>
      <protection locked="0"/>
    </xf>
    <xf numFmtId="0" fontId="3" fillId="0" borderId="0" xfId="0" applyFont="1" applyBorder="1" applyAlignment="1" applyProtection="1">
      <alignment wrapText="1"/>
      <protection locked="0"/>
    </xf>
    <xf numFmtId="0" fontId="3" fillId="0" borderId="3" xfId="0" applyFont="1" applyBorder="1" applyAlignment="1" applyProtection="1">
      <alignment horizontal="left" vertical="center"/>
      <protection hidden="1"/>
    </xf>
    <xf numFmtId="0" fontId="3" fillId="0" borderId="1" xfId="0" applyFont="1" applyBorder="1" applyAlignment="1" applyProtection="1">
      <alignment horizontal="center" vertical="center"/>
      <protection hidden="1"/>
    </xf>
    <xf numFmtId="0" fontId="3" fillId="0" borderId="1" xfId="0" applyFont="1" applyBorder="1" applyAlignment="1" applyProtection="1">
      <alignment horizontal="center" vertical="center"/>
      <protection hidden="1"/>
    </xf>
    <xf numFmtId="0" fontId="3" fillId="0" borderId="8" xfId="0" applyFont="1" applyBorder="1" applyAlignment="1" applyProtection="1">
      <alignment horizontal="left" vertical="center"/>
      <protection hidden="1"/>
    </xf>
    <xf numFmtId="0" fontId="3" fillId="0" borderId="0" xfId="0" applyFont="1" applyAlignment="1" applyProtection="1">
      <alignment horizontal="center"/>
      <protection locked="0"/>
    </xf>
    <xf numFmtId="0" fontId="3" fillId="0" borderId="0" xfId="0" applyFont="1" applyProtection="1">
      <protection locked="0"/>
    </xf>
    <xf numFmtId="0" fontId="3" fillId="0" borderId="0" xfId="0" applyFont="1"/>
    <xf numFmtId="0" fontId="2" fillId="0" borderId="0" xfId="0" applyFont="1"/>
    <xf numFmtId="10" fontId="0" fillId="0" borderId="1" xfId="1" applyNumberFormat="1" applyFont="1" applyBorder="1" applyAlignment="1">
      <alignment horizontal="center" vertical="center" wrapText="1"/>
    </xf>
    <xf numFmtId="164" fontId="0" fillId="0" borderId="1" xfId="0" applyNumberFormat="1" applyFont="1" applyBorder="1" applyAlignment="1">
      <alignment horizontal="center" vertical="center" wrapText="1"/>
    </xf>
    <xf numFmtId="0" fontId="2" fillId="0" borderId="1" xfId="0" applyFont="1" applyBorder="1" applyAlignment="1">
      <alignment horizontal="center" vertical="center" wrapText="1"/>
    </xf>
    <xf numFmtId="0" fontId="3" fillId="0" borderId="1" xfId="0" applyFont="1" applyBorder="1" applyAlignment="1">
      <alignment horizontal="left" vertical="center"/>
    </xf>
    <xf numFmtId="49" fontId="3" fillId="0" borderId="1" xfId="0" applyNumberFormat="1" applyFont="1" applyBorder="1" applyAlignment="1">
      <alignment vertical="center" wrapText="1"/>
    </xf>
    <xf numFmtId="0" fontId="3" fillId="0" borderId="0" xfId="0" applyFont="1" applyAlignment="1" applyProtection="1">
      <alignment horizontal="right" vertical="center"/>
      <protection locked="0"/>
    </xf>
    <xf numFmtId="0" fontId="3" fillId="0" borderId="0" xfId="0" applyFont="1" applyAlignment="1" applyProtection="1">
      <alignment horizontal="left" vertical="center"/>
      <protection locked="0"/>
    </xf>
    <xf numFmtId="0" fontId="10" fillId="0" borderId="1" xfId="0" applyFont="1" applyBorder="1" applyAlignment="1" applyProtection="1">
      <alignment horizontal="center" wrapText="1"/>
      <protection locked="0"/>
    </xf>
    <xf numFmtId="0" fontId="10" fillId="0" borderId="1" xfId="0" applyFont="1" applyBorder="1" applyAlignment="1" applyProtection="1">
      <alignment wrapText="1"/>
      <protection locked="0"/>
    </xf>
    <xf numFmtId="0" fontId="3" fillId="0" borderId="3" xfId="0" applyFont="1" applyBorder="1" applyAlignment="1" applyProtection="1">
      <alignment horizontal="left" vertical="center"/>
      <protection locked="0"/>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horizontal="center"/>
      <protection locked="0"/>
    </xf>
    <xf numFmtId="0" fontId="3" fillId="0" borderId="1" xfId="0" applyFont="1" applyBorder="1" applyAlignment="1" applyProtection="1">
      <alignment horizontal="center" vertical="center"/>
      <protection locked="0"/>
    </xf>
    <xf numFmtId="0" fontId="14" fillId="0" borderId="0" xfId="0" applyFont="1" applyProtection="1">
      <protection locked="0"/>
    </xf>
    <xf numFmtId="0" fontId="15" fillId="0" borderId="0" xfId="0" applyFont="1" applyFill="1" applyBorder="1" applyAlignment="1" applyProtection="1">
      <alignment wrapText="1"/>
      <protection locked="0"/>
    </xf>
    <xf numFmtId="0" fontId="14" fillId="0" borderId="0" xfId="0" applyFont="1" applyAlignment="1" applyProtection="1">
      <alignment horizontal="left" vertical="center"/>
      <protection locked="0"/>
    </xf>
    <xf numFmtId="0" fontId="16" fillId="0" borderId="0" xfId="0" applyFont="1" applyProtection="1">
      <protection locked="0"/>
    </xf>
    <xf numFmtId="0" fontId="16" fillId="0" borderId="0" xfId="0" applyFont="1" applyAlignment="1" applyProtection="1">
      <alignment horizontal="left" vertical="center"/>
      <protection locked="0"/>
    </xf>
    <xf numFmtId="0" fontId="15" fillId="0" borderId="0" xfId="0" applyFont="1" applyFill="1" applyBorder="1" applyAlignment="1" applyProtection="1">
      <alignment horizontal="left" vertical="center" wrapText="1"/>
      <protection locked="0"/>
    </xf>
    <xf numFmtId="0" fontId="14" fillId="0" borderId="0" xfId="0" applyFont="1" applyAlignment="1" applyProtection="1">
      <alignment horizontal="right" vertical="center"/>
      <protection locked="0"/>
    </xf>
    <xf numFmtId="0" fontId="16" fillId="0" borderId="0" xfId="0" applyFont="1" applyAlignment="1" applyProtection="1">
      <alignment horizontal="center"/>
      <protection locked="0"/>
    </xf>
    <xf numFmtId="0" fontId="15" fillId="0" borderId="0" xfId="0" applyFont="1" applyFill="1" applyBorder="1" applyAlignment="1" applyProtection="1">
      <alignment horizontal="center" wrapText="1"/>
      <protection locked="0"/>
    </xf>
    <xf numFmtId="0" fontId="2" fillId="0" borderId="0" xfId="0" applyFont="1" applyProtection="1">
      <protection locked="0"/>
    </xf>
    <xf numFmtId="0" fontId="9" fillId="0" borderId="0" xfId="0" applyFont="1" applyFill="1" applyBorder="1" applyAlignment="1" applyProtection="1">
      <alignment horizontal="left" vertical="center"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left" vertical="center" wrapText="1"/>
      <protection locked="0"/>
    </xf>
    <xf numFmtId="0" fontId="2" fillId="0" borderId="0" xfId="0" applyFont="1" applyAlignment="1" applyProtection="1">
      <alignment wrapText="1"/>
      <protection locked="0"/>
    </xf>
    <xf numFmtId="0" fontId="11" fillId="0" borderId="1" xfId="0" applyFont="1" applyBorder="1" applyAlignment="1" applyProtection="1">
      <alignment horizontal="center"/>
      <protection locked="0"/>
    </xf>
    <xf numFmtId="0" fontId="11" fillId="0" borderId="1" xfId="0" applyFont="1" applyBorder="1" applyAlignment="1" applyProtection="1">
      <alignment horizontal="right" vertical="center"/>
      <protection locked="0"/>
    </xf>
    <xf numFmtId="0" fontId="11" fillId="0" borderId="4" xfId="0" applyFont="1" applyBorder="1" applyAlignment="1" applyProtection="1">
      <alignment horizontal="right" vertical="center"/>
      <protection locked="0"/>
    </xf>
    <xf numFmtId="0" fontId="3" fillId="0" borderId="0" xfId="0" applyFont="1" applyBorder="1" applyAlignment="1" applyProtection="1">
      <alignment horizontal="left" vertical="center"/>
      <protection locked="0"/>
    </xf>
    <xf numFmtId="0" fontId="3" fillId="0" borderId="0" xfId="0" applyFont="1" applyBorder="1" applyAlignment="1" applyProtection="1">
      <alignment horizontal="center"/>
      <protection locked="0"/>
    </xf>
    <xf numFmtId="0" fontId="3" fillId="0" borderId="0" xfId="0" applyFont="1" applyBorder="1" applyAlignment="1" applyProtection="1">
      <alignment horizontal="center" vertical="center"/>
      <protection locked="0"/>
    </xf>
    <xf numFmtId="0" fontId="3" fillId="0" borderId="0" xfId="0" applyFont="1" applyBorder="1" applyProtection="1">
      <protection locked="0"/>
    </xf>
    <xf numFmtId="0" fontId="3" fillId="0" borderId="10" xfId="0" applyFont="1" applyBorder="1" applyProtection="1">
      <protection locked="0"/>
    </xf>
    <xf numFmtId="164" fontId="3" fillId="0" borderId="0" xfId="0" applyNumberFormat="1" applyFont="1" applyBorder="1" applyAlignment="1" applyProtection="1">
      <alignment horizontal="left"/>
      <protection locked="0"/>
    </xf>
    <xf numFmtId="0" fontId="3" fillId="0" borderId="0" xfId="0" applyFont="1" applyBorder="1" applyProtection="1">
      <protection locked="0"/>
    </xf>
    <xf numFmtId="0" fontId="3" fillId="0" borderId="0" xfId="0" applyFont="1" applyProtection="1">
      <protection hidden="1"/>
    </xf>
    <xf numFmtId="164" fontId="3" fillId="0" borderId="0" xfId="0" applyNumberFormat="1" applyFont="1" applyAlignment="1" applyProtection="1">
      <alignment horizontal="left" vertical="center"/>
      <protection locked="0"/>
    </xf>
    <xf numFmtId="164" fontId="3" fillId="0" borderId="8" xfId="0" applyNumberFormat="1"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164" fontId="3" fillId="0" borderId="2" xfId="0" applyNumberFormat="1" applyFont="1" applyBorder="1" applyAlignment="1" applyProtection="1">
      <alignment horizontal="left" vertical="center"/>
      <protection locked="0"/>
    </xf>
    <xf numFmtId="0" fontId="3" fillId="0" borderId="9" xfId="0" applyFont="1" applyBorder="1" applyAlignment="1" applyProtection="1">
      <alignment horizontal="left" vertical="center"/>
      <protection locked="0"/>
    </xf>
    <xf numFmtId="0" fontId="16" fillId="0" borderId="0" xfId="0" applyFont="1" applyAlignment="1" applyProtection="1">
      <alignment horizontal="left"/>
      <protection locked="0"/>
    </xf>
    <xf numFmtId="0" fontId="3" fillId="0" borderId="2" xfId="0" applyFont="1" applyBorder="1" applyAlignment="1" applyProtection="1">
      <alignment horizontal="left" vertical="center"/>
      <protection locked="0"/>
    </xf>
    <xf numFmtId="164" fontId="3" fillId="0" borderId="0" xfId="0" applyNumberFormat="1" applyFont="1" applyBorder="1" applyAlignment="1" applyProtection="1">
      <alignment horizontal="left" vertical="center"/>
      <protection locked="0"/>
    </xf>
    <xf numFmtId="0" fontId="3" fillId="0" borderId="0" xfId="0" applyFont="1" applyAlignment="1">
      <alignment horizontal="left"/>
    </xf>
    <xf numFmtId="0" fontId="3" fillId="0" borderId="0" xfId="0" applyFont="1" applyBorder="1" applyAlignment="1" applyProtection="1">
      <alignment horizontal="center"/>
      <protection locked="0"/>
    </xf>
    <xf numFmtId="10" fontId="3" fillId="0" borderId="0" xfId="1" applyNumberFormat="1" applyFont="1" applyBorder="1" applyAlignment="1" applyProtection="1">
      <alignment horizontal="center"/>
      <protection locked="0"/>
    </xf>
    <xf numFmtId="165" fontId="3" fillId="0" borderId="1" xfId="0" applyNumberFormat="1" applyFont="1" applyBorder="1" applyAlignment="1" applyProtection="1">
      <alignment horizontal="center"/>
      <protection locked="0"/>
    </xf>
    <xf numFmtId="0" fontId="0" fillId="0" borderId="1" xfId="0" applyNumberFormat="1" applyFont="1" applyBorder="1" applyAlignment="1">
      <alignment horizontal="center" vertical="center" wrapText="1"/>
    </xf>
    <xf numFmtId="0" fontId="0" fillId="0" borderId="1" xfId="0" applyFont="1" applyBorder="1" applyAlignment="1">
      <alignment horizontal="center" vertical="center" wrapText="1"/>
    </xf>
    <xf numFmtId="0" fontId="13" fillId="0" borderId="1" xfId="0" applyFont="1" applyBorder="1" applyAlignment="1">
      <alignment horizontal="center" wrapText="1"/>
    </xf>
    <xf numFmtId="0" fontId="13" fillId="0" borderId="1" xfId="0" applyFont="1" applyBorder="1" applyAlignment="1">
      <alignment wrapText="1"/>
    </xf>
    <xf numFmtId="0" fontId="12" fillId="0" borderId="1" xfId="0" applyFont="1" applyBorder="1" applyAlignment="1">
      <alignment wrapText="1"/>
    </xf>
    <xf numFmtId="0" fontId="2" fillId="0" borderId="1" xfId="0" applyFont="1" applyBorder="1" applyAlignment="1">
      <alignment horizontal="center"/>
    </xf>
    <xf numFmtId="0" fontId="18" fillId="0" borderId="1" xfId="0" applyFont="1" applyBorder="1" applyAlignment="1">
      <alignment wrapText="1"/>
    </xf>
    <xf numFmtId="0" fontId="19" fillId="0" borderId="1" xfId="0" applyFont="1" applyBorder="1" applyAlignment="1">
      <alignment wrapText="1"/>
    </xf>
    <xf numFmtId="0" fontId="2" fillId="0" borderId="1" xfId="0" applyFont="1" applyBorder="1" applyAlignment="1">
      <alignment vertical="top" wrapText="1"/>
    </xf>
    <xf numFmtId="0" fontId="2" fillId="0" borderId="1" xfId="0" applyFont="1" applyBorder="1" applyAlignment="1"/>
    <xf numFmtId="0" fontId="2" fillId="0" borderId="1" xfId="0" applyFont="1" applyBorder="1" applyAlignment="1">
      <alignment vertical="center"/>
    </xf>
    <xf numFmtId="0" fontId="20" fillId="0" borderId="2" xfId="0" applyFont="1" applyBorder="1" applyAlignment="1">
      <alignment horizontal="center" vertical="top" wrapText="1"/>
    </xf>
    <xf numFmtId="0" fontId="0" fillId="0" borderId="1" xfId="0" applyBorder="1" applyAlignment="1">
      <alignment horizontal="center" vertical="center" wrapText="1"/>
    </xf>
    <xf numFmtId="0" fontId="2" fillId="0" borderId="4" xfId="0" applyFont="1" applyBorder="1" applyAlignment="1" applyProtection="1">
      <alignment horizontal="center" vertical="center"/>
      <protection locked="0"/>
    </xf>
    <xf numFmtId="0" fontId="2" fillId="0" borderId="5" xfId="0" applyFont="1" applyBorder="1" applyAlignment="1" applyProtection="1">
      <alignment horizontal="center" vertical="center"/>
      <protection locked="0"/>
    </xf>
    <xf numFmtId="0" fontId="2" fillId="0" borderId="6" xfId="0" applyFont="1" applyBorder="1" applyAlignment="1" applyProtection="1">
      <alignment horizontal="center" vertical="center"/>
      <protection locked="0"/>
    </xf>
    <xf numFmtId="0" fontId="11" fillId="0" borderId="4"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6" xfId="0" applyFont="1" applyBorder="1" applyAlignment="1" applyProtection="1">
      <alignment horizontal="center" vertical="center"/>
      <protection locked="0"/>
    </xf>
    <xf numFmtId="0" fontId="11" fillId="0" borderId="1" xfId="0" applyFont="1" applyBorder="1" applyAlignment="1" applyProtection="1">
      <alignment horizontal="center"/>
      <protection locked="0"/>
    </xf>
    <xf numFmtId="0" fontId="2" fillId="0" borderId="1" xfId="0" applyFont="1" applyBorder="1" applyAlignment="1" applyProtection="1">
      <alignment horizontal="center"/>
      <protection locked="0"/>
    </xf>
    <xf numFmtId="0" fontId="2" fillId="0" borderId="4" xfId="0" applyFont="1" applyBorder="1" applyAlignment="1" applyProtection="1">
      <alignment horizontal="center"/>
      <protection locked="0"/>
    </xf>
    <xf numFmtId="0" fontId="14" fillId="0" borderId="0" xfId="0" applyFont="1" applyAlignment="1" applyProtection="1">
      <alignment horizontal="left"/>
      <protection locked="0"/>
    </xf>
    <xf numFmtId="0" fontId="2" fillId="0" borderId="7" xfId="0"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21" fillId="0" borderId="0" xfId="0" applyFont="1" applyAlignment="1">
      <alignment horizontal="center"/>
    </xf>
  </cellXfs>
  <cellStyles count="2">
    <cellStyle name="Normal" xfId="0" builtinId="0"/>
    <cellStyle name="Percent" xfId="1" builtinId="5"/>
  </cellStyles>
  <dxfs count="27">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2369873</xdr:colOff>
      <xdr:row>22</xdr:row>
      <xdr:rowOff>793</xdr:rowOff>
    </xdr:from>
    <xdr:to>
      <xdr:col>2</xdr:col>
      <xdr:colOff>2371461</xdr:colOff>
      <xdr:row>24</xdr:row>
      <xdr:rowOff>11376</xdr:rowOff>
    </xdr:to>
    <xdr:cxnSp macro="">
      <xdr:nvCxnSpPr>
        <xdr:cNvPr id="3" name="Straight Connector 2"/>
        <xdr:cNvCxnSpPr/>
      </xdr:nvCxnSpPr>
      <xdr:spPr>
        <a:xfrm rot="5400000">
          <a:off x="3341688" y="4658253"/>
          <a:ext cx="420158" cy="158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B1:AT309"/>
  <sheetViews>
    <sheetView tabSelected="1" topLeftCell="D28" workbookViewId="0">
      <selection activeCell="B38" sqref="B38:AQ38"/>
    </sheetView>
  </sheetViews>
  <sheetFormatPr defaultColWidth="8.85546875" defaultRowHeight="15.75"/>
  <cols>
    <col min="1" max="1" width="8.140625" style="17" customWidth="1"/>
    <col min="2" max="2" width="9.5703125" style="17" customWidth="1"/>
    <col min="3" max="3" width="41.140625" style="17" customWidth="1"/>
    <col min="4" max="4" width="5" style="26" bestFit="1" customWidth="1"/>
    <col min="5" max="5" width="1.7109375" style="26" customWidth="1"/>
    <col min="6" max="6" width="4.28515625" style="26" customWidth="1"/>
    <col min="7" max="7" width="1.7109375" style="26" customWidth="1"/>
    <col min="8" max="8" width="4.28515625" style="26" customWidth="1"/>
    <col min="9" max="9" width="1.7109375" style="26" customWidth="1"/>
    <col min="10" max="10" width="5.140625" style="26" bestFit="1" customWidth="1"/>
    <col min="11" max="11" width="1.7109375" style="26" customWidth="1"/>
    <col min="12" max="12" width="4.5703125" style="26" bestFit="1" customWidth="1"/>
    <col min="13" max="13" width="1.7109375" style="26" customWidth="1"/>
    <col min="14" max="14" width="4.5703125" style="26" bestFit="1" customWidth="1"/>
    <col min="15" max="15" width="1.7109375" style="26" customWidth="1"/>
    <col min="16" max="16" width="5.42578125" style="26" bestFit="1" customWidth="1"/>
    <col min="17" max="17" width="1.7109375" style="26" customWidth="1"/>
    <col min="18" max="18" width="4.42578125" style="26" bestFit="1" customWidth="1"/>
    <col min="19" max="19" width="2.140625" style="26" bestFit="1" customWidth="1"/>
    <col min="20" max="20" width="4.28515625" style="26" customWidth="1"/>
    <col min="21" max="21" width="2" style="26" customWidth="1"/>
    <col min="22" max="22" width="5" style="26" bestFit="1" customWidth="1"/>
    <col min="23" max="23" width="1.7109375" style="26" customWidth="1"/>
    <col min="24" max="24" width="4.5703125" style="26" bestFit="1" customWidth="1"/>
    <col min="25" max="25" width="1.5703125" style="26" customWidth="1"/>
    <col min="26" max="26" width="4.5703125" style="26" bestFit="1" customWidth="1"/>
    <col min="27" max="27" width="2" style="26" bestFit="1" customWidth="1"/>
    <col min="28" max="28" width="5.42578125" style="26" bestFit="1" customWidth="1"/>
    <col min="29" max="29" width="1.5703125" style="26" customWidth="1"/>
    <col min="30" max="30" width="4.5703125" style="26" bestFit="1" customWidth="1"/>
    <col min="31" max="31" width="2" style="26" customWidth="1"/>
    <col min="32" max="32" width="4.5703125" style="26" customWidth="1"/>
    <col min="33" max="33" width="1.5703125" style="26" customWidth="1"/>
    <col min="34" max="34" width="4.5703125" style="26" customWidth="1"/>
    <col min="35" max="35" width="1.7109375" style="26" customWidth="1"/>
    <col min="36" max="36" width="4.5703125" style="26" bestFit="1" customWidth="1"/>
    <col min="37" max="37" width="1.7109375" style="26" customWidth="1"/>
    <col min="38" max="38" width="7" style="17" customWidth="1"/>
    <col min="39" max="39" width="6.42578125" style="16" customWidth="1"/>
    <col min="40" max="42" width="8.85546875" style="17"/>
    <col min="43" max="43" width="36" style="17" customWidth="1"/>
    <col min="44" max="16384" width="8.85546875" style="17"/>
  </cols>
  <sheetData>
    <row r="1" spans="2:42">
      <c r="D1" s="26" t="s">
        <v>58</v>
      </c>
      <c r="J1" s="26" t="s">
        <v>59</v>
      </c>
      <c r="P1" s="26" t="s">
        <v>60</v>
      </c>
      <c r="V1" s="26" t="s">
        <v>61</v>
      </c>
      <c r="AB1" s="26" t="s">
        <v>62</v>
      </c>
    </row>
    <row r="2" spans="2:42">
      <c r="C2" s="10" t="s">
        <v>51</v>
      </c>
      <c r="D2" s="58">
        <f>COUNT(D25:D185)+D9</f>
        <v>156</v>
      </c>
      <c r="J2" s="58">
        <f>COUNT(J25:J185)+J9</f>
        <v>154</v>
      </c>
      <c r="P2" s="58">
        <f>COUNT(P25:P185)+P9</f>
        <v>155</v>
      </c>
      <c r="V2" s="58">
        <f>COUNT(V25:V185)+V9</f>
        <v>155</v>
      </c>
      <c r="AB2" s="58">
        <f>COUNT(AB25:AB185)+AB9</f>
        <v>155</v>
      </c>
    </row>
    <row r="3" spans="2:42">
      <c r="C3" s="10" t="s">
        <v>52</v>
      </c>
      <c r="D3" s="26">
        <f>COUNTIF(E25:E185,"F")</f>
        <v>10</v>
      </c>
      <c r="J3" s="26">
        <f>COUNTIF(K25:K185,"F")</f>
        <v>2</v>
      </c>
      <c r="P3" s="26">
        <f>COUNTIF(Q25:Q185,"F")</f>
        <v>5</v>
      </c>
      <c r="V3" s="26">
        <f>COUNTIF(W25:W185,"F")</f>
        <v>6</v>
      </c>
      <c r="AB3" s="26">
        <f>COUNTIF(AC25:AC185,"F")</f>
        <v>3</v>
      </c>
    </row>
    <row r="4" spans="2:42">
      <c r="C4" s="10" t="s">
        <v>53</v>
      </c>
      <c r="D4" s="26">
        <f>D2-D3</f>
        <v>146</v>
      </c>
      <c r="J4" s="26">
        <f>J2-J3</f>
        <v>152</v>
      </c>
      <c r="P4" s="26">
        <f>P2-P3</f>
        <v>150</v>
      </c>
      <c r="V4" s="26">
        <f>V2-V3</f>
        <v>149</v>
      </c>
      <c r="AB4" s="26">
        <f>AB2-AB3</f>
        <v>152</v>
      </c>
    </row>
    <row r="5" spans="2:42">
      <c r="C5" s="10" t="s">
        <v>54</v>
      </c>
      <c r="D5" s="58">
        <f>AVERAGE(D25:D185)</f>
        <v>52.441558441558442</v>
      </c>
      <c r="J5" s="58">
        <f>AVERAGE(J25:J185)</f>
        <v>60.194805194805198</v>
      </c>
      <c r="P5" s="58">
        <f>AVERAGE(P25:P185)</f>
        <v>54.407894736842103</v>
      </c>
      <c r="V5" s="58">
        <f>AVERAGE(V25:V185)</f>
        <v>53.058823529411768</v>
      </c>
      <c r="AB5" s="58">
        <f>AVERAGE(AB25:AB185)</f>
        <v>54.606451612903228</v>
      </c>
      <c r="AD5" s="58"/>
    </row>
    <row r="6" spans="2:42">
      <c r="C6" s="10" t="s">
        <v>55</v>
      </c>
      <c r="D6" s="58">
        <f>MAX(D25:D185)</f>
        <v>75</v>
      </c>
      <c r="J6" s="58">
        <f>MAX(J25:J185)</f>
        <v>85</v>
      </c>
      <c r="P6" s="58">
        <f>MAX(P25:P185)</f>
        <v>77</v>
      </c>
      <c r="V6" s="58">
        <f>MAX(V25:V185)</f>
        <v>84</v>
      </c>
      <c r="AB6" s="58">
        <f>MAX(AB25:AB185)</f>
        <v>80</v>
      </c>
      <c r="AD6" s="58"/>
    </row>
    <row r="7" spans="2:42">
      <c r="C7" s="10" t="s">
        <v>56</v>
      </c>
      <c r="D7" s="26">
        <f>COUNTIF(D25:D185,"&gt;60")</f>
        <v>45</v>
      </c>
      <c r="J7" s="26">
        <f>COUNTIF(J25:J185,"&gt;60")</f>
        <v>76</v>
      </c>
      <c r="P7" s="26">
        <f>COUNTIF(P25:P185,"&gt;60")</f>
        <v>46</v>
      </c>
      <c r="V7" s="26">
        <f>COUNTIF(V25:V185,"&gt;60")</f>
        <v>41</v>
      </c>
      <c r="AB7" s="26">
        <f>COUNTIF(AB25:AB185,"&gt;60")</f>
        <v>51</v>
      </c>
    </row>
    <row r="8" spans="2:42">
      <c r="C8" s="11" t="s">
        <v>57</v>
      </c>
      <c r="D8" s="26">
        <f xml:space="preserve">   D4-D7</f>
        <v>101</v>
      </c>
      <c r="J8" s="26">
        <f xml:space="preserve">   J4-J7</f>
        <v>76</v>
      </c>
      <c r="P8" s="26">
        <f xml:space="preserve">   P4-P7</f>
        <v>104</v>
      </c>
      <c r="V8" s="26">
        <f xml:space="preserve">   V4-V7</f>
        <v>108</v>
      </c>
      <c r="AB8" s="26">
        <f xml:space="preserve">   AB4-AB7</f>
        <v>101</v>
      </c>
    </row>
    <row r="9" spans="2:42">
      <c r="C9" s="17" t="s">
        <v>79</v>
      </c>
      <c r="D9" s="26">
        <f>COUNTIF(D25:D185,"??~*")</f>
        <v>2</v>
      </c>
      <c r="J9" s="26">
        <f>COUNTIF(J25:J185,"??~*")</f>
        <v>0</v>
      </c>
      <c r="P9" s="26">
        <f>COUNTIF(P25:P185,"??~*")</f>
        <v>3</v>
      </c>
      <c r="V9" s="26">
        <f>COUNTIF(V25:V185,"??~*")</f>
        <v>2</v>
      </c>
      <c r="AB9" s="26">
        <f>COUNTIF(AB25:AB185,"??~*")</f>
        <v>0</v>
      </c>
      <c r="AL9" s="25">
        <f>COUNTIF(AL25:AL38,"???~*")</f>
        <v>2</v>
      </c>
    </row>
    <row r="11" spans="2:42" ht="14.45" customHeight="1">
      <c r="B11" s="27">
        <v>126201</v>
      </c>
      <c r="C11" s="28" t="s">
        <v>20</v>
      </c>
      <c r="D11" s="59" t="s">
        <v>73</v>
      </c>
      <c r="E11" s="29" t="str">
        <f>IF(IFERROR(FIND("+",D11),0)," ",
IF(D11="AB","",
IF(D11&lt;$D$24,"F",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F11" s="60" t="s">
        <v>74</v>
      </c>
      <c r="G11" s="29" t="str">
        <f>IF(IFERROR(FIND("+",F11),0)," ",
IF(F11="AB","",
IF(F11&lt;$F$24,"F",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H11" s="60">
        <v>45</v>
      </c>
      <c r="I11" s="29" t="str">
        <f>IF(IFERROR(FIND("+",H11),0)," ",
IF(H11="AB","",
IF(H11&lt;$H$24,"F",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J11" s="61">
        <v>40</v>
      </c>
      <c r="K11" s="29" t="str">
        <f>IF(IFERROR(FIND("+",J11),0)," ",
IF(J11="AB","",
IF(J11&lt;$J$24,"F",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L11" s="60">
        <v>17</v>
      </c>
      <c r="M11" s="29" t="str">
        <f>IF(IFERROR(FIND("+",L11),0)," ",
IF(L11="AB","",
IF(L11&lt;$L$24,"F",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N11" s="60">
        <v>16</v>
      </c>
      <c r="O11" s="29" t="str">
        <f>IF(IFERROR(FIND("+",N11),0)," ",
IF(N11="AB","",
IF(N11&lt;$N$24,"F",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P11" s="61">
        <v>40</v>
      </c>
      <c r="Q11" s="29" t="str">
        <f>IF(IFERROR(FIND("+",P11),0)," ",
IF(P11="AB","",
IF(P11&lt;$P$24,"F",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R11" s="60">
        <v>23</v>
      </c>
      <c r="S11" s="29" t="str">
        <f>IF(IFERROR(FIND("+",R11),0)," ",
IF(R11="AB","",
IF(R11&lt;$R$24,"F",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T11" s="60">
        <v>45</v>
      </c>
      <c r="U11" s="29" t="str">
        <f>IF(IFERROR(FIND("+",T11),0)," ",
IF(T11="AB","",
IF(T11&lt;$T$24,"F",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V11" s="61">
        <v>41</v>
      </c>
      <c r="W11" s="29" t="str">
        <f>IF(IFERROR(FIND("+",V11),0)," ",
IF(V11="AB","",
IF(V11&lt;$V$24,"F",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X11" s="60">
        <v>23</v>
      </c>
      <c r="Y11" s="29" t="str">
        <f>IF(IFERROR(FIND("+",X11),0)," ",
IF(X11="AB","",
IF(X11&lt;$X$24,"F",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Z11" s="60">
        <v>20</v>
      </c>
      <c r="AA11" s="29" t="str">
        <f>IF(IFERROR(FIND("+",Z11),0)," ",
IF(Z11="AB","",
IF(Z11&lt;$Z$24,"F",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AB11" s="61">
        <v>49</v>
      </c>
      <c r="AC11" s="29" t="str">
        <f>IF(IFERROR(FIND("+",AB11),0)," ",
IF(AB11="AB","",
IF(AB11&lt;$AB$24,"F",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AD11" s="62">
        <v>22</v>
      </c>
      <c r="AE11" s="29" t="str">
        <f>IF(IFERROR(FIND("+",AD11),0)," ",
IF(AD11="AB","",
IF(AD11&lt;$AD$24,"F",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AF11" s="62">
        <v>20</v>
      </c>
      <c r="AG11" s="29" t="str">
        <f>IF(IFERROR(FIND("+",AF11),0)," ",
IF(AF11="AB","",
IF(AF11&lt;$AF$24,"F",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AH11" s="62">
        <v>22</v>
      </c>
      <c r="AI11" s="29" t="str">
        <f>IF(IFERROR(FIND("+",AH11),0)," ",
IF(AH11="AB","",
IF(AH11&lt;$AH$24,"F",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AH11&lt;&gt;"AB",AJ11&lt;&gt;"AB"),"","E"))))</f>
        <v/>
      </c>
      <c r="AJ11" s="60">
        <v>21</v>
      </c>
      <c r="AK11" s="29" t="str">
        <f>IF(IFERROR(FIND("+",AJ11),0)," ",
IF(AJ11="AB","",
IF(AJ11&lt;$AJ$24,"F",
IF(AND(D11&gt;=$D$24,F11&gt;=$F$24,H11&gt;=$H$24,
J11&gt;=$J$24,L11&gt;=$L$24,
N11&gt;=$N$24,P11&gt;=$P$24,R11&gt;=$R$24,T11&gt;=$T$24,V11&gt;=$V$24,
X11&gt;=$X$24,Z11&gt;=$Z$24,AB11&gt;=$AB$24,AD11&gt;=$AD$24,AF11&gt;=$AF$24,
AH11&gt;=$AH$24,AJ11&gt;=$AJ$24,D11&lt;&gt;"AB",F11&lt;&gt;"AB",H11&lt;&gt;"AB",
J11&lt;&gt;"AB",L11&lt;&gt;"AB",
N11&lt;&gt;"AB",P11&lt;&gt;"AB",R11&lt;&gt;"AB",T11&lt;&gt;"AB",V11&lt;&gt;"AB",
X11&lt;&gt;"AB",Z11&lt;&gt;"AB",AB11&lt;&gt;"AB",AD11&lt;&gt;"AB",AF11&lt;&gt;"AB",
AH11&lt;&gt;"AB",AI11&lt;&gt;"AB"),"","E"))))</f>
        <v/>
      </c>
      <c r="AL11" s="30">
        <f t="shared" ref="AL11" si="0">SUM(EXTRACTNUMBER(D11),EXTRACTNUMBER(F11),
EXTRACTNUMBER(H11),EXTRACTNUMBER(J11),
EXTRACTNUMBER(L11),EXTRACTNUMBER(N11),
EXTRACTNUMBER(P11),EXTRACTNUMBER(R11),
EXTRACTNUMBER(T11),EXTRACTNUMBER(V11),
EXTRACTNUMBER(X11),EXTRACTNUMBER(Z11),EXTRACTNUMBER(AB11),
EXTRACTNUMBER(AD11),EXTRACTNUMBER(AH11),EXTRACTNUMBER(AF11),EXTRACTNUMBER(AJ11))</f>
        <v>512</v>
      </c>
      <c r="AM11" s="31">
        <v>0</v>
      </c>
      <c r="AN11" s="32">
        <f t="shared" ref="AN11" si="1">IF(COUNTIF(D11:AK11," "),SUM(EXTRACTNUMBER(AL11),EXTRACTNUMBER(AM11)),IF(IFERROR(FIND("x",AM11),0),SUM(EXTRACTNUMBER(AL11),EXTRACTNUMBER(AM11)),IF(AND(SUM(EXTRACTNUMBER(AL11),EXTRACTNUMBER(AM11))&gt;1009,        SUM(EXTRACTNUMBER(AL11),EXTRACTNUMBER(AM11))&lt;1020),
CONCATENATE(SUM(EXTRACTNUMBER(AL11),EXTRACTNUMBER(AM11)),"@",1020-SUM(EXTRACTNUMBER(AL11),EXTRACTNUMBER(AM11))),
IF(AND(SUM(EXTRACTNUMBER(AL11),EXTRACTNUMBER(AM11))&gt;839,   SUM(EXTRACTNUMBER(AL11),EXTRACTNUMBER(AM11))&lt;850),CONCATENATE(SUM(EXTRACTNUMBER(AL11),EXTRACTNUMBER(AM11)),"@",850-SUM(EXTRACTNUMBER(AL11),EXTRACTNUMBER(AM11))),
IF(AND(SUM(EXTRACTNUMBER(AL11),EXTRACTNUMBER(AM11))&gt;669,        SUM(EXTRACTNUMBER(AL11),EXTRACTNUMBER(AM11))&lt;680),
CONCATENATE(SUM(EXTRACTNUMBER(AL11),EXTRACTNUMBER(AM11)),"@",680-SUM(EXTRACTNUMBER(AL11),EXTRACTNUMBER(AM11))),
SUM(EXTRACTNUMBER(AL11),EXTRACTNUMBER(AM11)))))))</f>
        <v>512</v>
      </c>
      <c r="AO11" s="32" t="str">
        <f>IF(AND(COUNTIF(D11:AK11,"AB")&lt;17-COUNTIF(D11:AK11," "),
COUNTIF(D11:AK11,"AB")&lt;&gt;0),"FAIL",
IF(COUNTIF(D11:AK11,"AB")=17-COUNTIF(D11:AK11," "),"ABSENT",
IF(AND(COUNTIF(D11:AK11,"AB")=0,COUNTIF(D11:AK11,"F")=0),"PASS","FAIL")))</f>
        <v>PASS</v>
      </c>
      <c r="AP11" s="32" t="str">
        <f t="shared" ref="AP11" si="2">IF(AO11="ABSENT","AB",IF(AO11="FAIL","--",
IF(AM11=0,"RS 5",IF(AND(COUNTIF(D11:AK11," "),AO11="pass"),"P",
IF(AND(SUM(EXTRACTNUMBER(AL11),EXTRACTNUMBER(AM11))&gt;=1010,
        NOT(IFERROR(FIND("x",AL11),0)),
        NOT(IFERROR(FIND("x",AM11),0))),"I",
IF(AND(SUM(EXTRACTNUMBER(AL11),EXTRACTNUMBER(AM11))&gt;=850,
      SUM(EXTRACTNUMBER(AL11),EXTRACTNUMBER(AM11))&lt;1010,
      NOT(IFERROR(FIND("x",AL11),0)),
      NOT(IFERROR(FIND("x",AM11),0))),"II",
IF(OR(AND(SUM(EXTRACTNUMBER(AL11),EXTRACTNUMBER(AM11))&lt;850,
SUM(EXTRACTNUMBER(AL11),EXTRACTNUMBER(AM11))&gt;=670),
IFERROR(FIND("x",AL11),0),IFERROR(FIND("x",AM11),0)),"P","--")))))))</f>
        <v>RS 5</v>
      </c>
    </row>
    <row r="16" spans="2:42" s="36" customFormat="1" ht="17.25">
      <c r="B16" s="33" t="s">
        <v>16</v>
      </c>
      <c r="C16" s="34"/>
      <c r="D16" s="37"/>
      <c r="E16" s="35" t="s">
        <v>17</v>
      </c>
      <c r="F16" s="37"/>
      <c r="G16" s="63"/>
      <c r="H16" s="37"/>
      <c r="I16" s="37"/>
      <c r="J16" s="37"/>
      <c r="K16" s="37"/>
      <c r="L16" s="37"/>
      <c r="M16" s="37"/>
      <c r="N16" s="37"/>
      <c r="O16" s="37"/>
      <c r="P16" s="37"/>
      <c r="Q16" s="37"/>
      <c r="R16" s="37"/>
      <c r="S16" s="38"/>
      <c r="T16" s="37"/>
      <c r="U16" s="37"/>
      <c r="V16" s="37"/>
      <c r="W16" s="37"/>
      <c r="X16" s="37"/>
      <c r="Y16" s="37"/>
      <c r="Z16" s="37"/>
      <c r="AA16" s="37"/>
      <c r="AB16" s="37"/>
      <c r="AC16" s="37"/>
      <c r="AD16" s="37"/>
      <c r="AE16" s="37"/>
      <c r="AF16" s="35"/>
      <c r="AG16" s="35"/>
      <c r="AH16" s="35"/>
      <c r="AI16" s="35"/>
      <c r="AJ16" s="35"/>
      <c r="AK16" s="35"/>
      <c r="AL16" s="39"/>
      <c r="AM16" s="39"/>
      <c r="AN16" s="39"/>
      <c r="AO16" s="39" t="s">
        <v>80</v>
      </c>
      <c r="AP16" s="40"/>
    </row>
    <row r="17" spans="2:43" s="36" customFormat="1" ht="17.25">
      <c r="C17" s="34"/>
      <c r="D17" s="37"/>
      <c r="E17" s="37"/>
      <c r="F17" s="37"/>
      <c r="G17" s="38"/>
      <c r="H17" s="37"/>
      <c r="I17" s="37"/>
      <c r="J17" s="37"/>
      <c r="K17" s="37"/>
      <c r="L17" s="37"/>
      <c r="M17" s="37"/>
      <c r="N17" s="37"/>
      <c r="O17" s="37"/>
      <c r="P17" s="37"/>
      <c r="Q17" s="37"/>
      <c r="R17" s="37"/>
      <c r="S17" s="38"/>
      <c r="T17" s="37"/>
      <c r="U17" s="37"/>
      <c r="V17" s="37"/>
      <c r="W17" s="37"/>
      <c r="X17" s="37"/>
      <c r="Y17" s="37"/>
      <c r="Z17" s="37"/>
      <c r="AA17" s="37"/>
      <c r="AB17" s="37"/>
      <c r="AC17" s="37"/>
      <c r="AD17" s="37"/>
      <c r="AE17" s="37"/>
      <c r="AF17" s="37"/>
      <c r="AG17" s="38"/>
      <c r="AH17" s="37"/>
      <c r="AI17" s="37"/>
      <c r="AJ17" s="37"/>
      <c r="AK17" s="37"/>
      <c r="AM17" s="41"/>
      <c r="AO17" s="40"/>
      <c r="AP17" s="40"/>
    </row>
    <row r="18" spans="2:43" s="36" customFormat="1" ht="17.25" customHeight="1">
      <c r="B18" s="33" t="s">
        <v>18</v>
      </c>
      <c r="C18" s="34"/>
      <c r="D18" s="37"/>
      <c r="E18" s="35" t="s">
        <v>19</v>
      </c>
      <c r="F18" s="35"/>
      <c r="G18" s="63"/>
      <c r="H18" s="37"/>
      <c r="I18" s="37"/>
      <c r="J18" s="37"/>
      <c r="K18" s="37"/>
      <c r="L18" s="37"/>
      <c r="M18" s="37"/>
      <c r="N18" s="37"/>
      <c r="O18" s="37"/>
      <c r="P18" s="37"/>
      <c r="Q18" s="37"/>
      <c r="R18" s="37"/>
      <c r="S18" s="38"/>
      <c r="T18" s="37"/>
      <c r="U18" s="37"/>
      <c r="V18" s="37"/>
      <c r="W18" s="37"/>
      <c r="X18" s="37"/>
      <c r="Y18" s="37"/>
      <c r="Z18" s="37"/>
      <c r="AA18" s="37"/>
      <c r="AB18" s="37"/>
      <c r="AC18" s="37"/>
      <c r="AD18" s="37"/>
      <c r="AE18" s="37"/>
      <c r="AF18" s="92" t="s">
        <v>81</v>
      </c>
      <c r="AG18" s="92"/>
      <c r="AH18" s="92"/>
      <c r="AI18" s="92"/>
      <c r="AJ18" s="92"/>
      <c r="AK18" s="92"/>
      <c r="AL18" s="92"/>
      <c r="AM18" s="92"/>
      <c r="AN18" s="92"/>
      <c r="AO18" s="92"/>
      <c r="AP18" s="40"/>
    </row>
    <row r="19" spans="2:43">
      <c r="B19" s="42"/>
      <c r="C19" s="10"/>
      <c r="F19" s="44"/>
      <c r="G19" s="43"/>
      <c r="K19" s="44"/>
      <c r="S19" s="43"/>
      <c r="AF19" s="44"/>
      <c r="AG19" s="43"/>
      <c r="AJ19" s="45"/>
      <c r="AK19" s="45"/>
      <c r="AL19" s="46"/>
      <c r="AM19" s="46"/>
      <c r="AO19" s="16"/>
      <c r="AP19" s="16"/>
    </row>
    <row r="20" spans="2:43" ht="16.5" thickBot="1"/>
    <row r="21" spans="2:43">
      <c r="B21" s="93" t="s">
        <v>0</v>
      </c>
      <c r="C21" s="86" t="s">
        <v>10</v>
      </c>
      <c r="D21" s="89" t="s">
        <v>1</v>
      </c>
      <c r="E21" s="89"/>
      <c r="F21" s="89"/>
      <c r="G21" s="89"/>
      <c r="H21" s="89"/>
      <c r="I21" s="89"/>
      <c r="J21" s="89" t="s">
        <v>2</v>
      </c>
      <c r="K21" s="89"/>
      <c r="L21" s="89"/>
      <c r="M21" s="89"/>
      <c r="N21" s="89"/>
      <c r="O21" s="89"/>
      <c r="P21" s="89" t="s">
        <v>3</v>
      </c>
      <c r="Q21" s="89"/>
      <c r="R21" s="89"/>
      <c r="S21" s="89"/>
      <c r="T21" s="89"/>
      <c r="U21" s="89"/>
      <c r="V21" s="89" t="s">
        <v>4</v>
      </c>
      <c r="W21" s="89"/>
      <c r="X21" s="89"/>
      <c r="Y21" s="89"/>
      <c r="Z21" s="89"/>
      <c r="AA21" s="89"/>
      <c r="AB21" s="89" t="s">
        <v>5</v>
      </c>
      <c r="AC21" s="89"/>
      <c r="AD21" s="89"/>
      <c r="AE21" s="89"/>
      <c r="AF21" s="89"/>
      <c r="AG21" s="89"/>
      <c r="AH21" s="89" t="s">
        <v>6</v>
      </c>
      <c r="AI21" s="89"/>
      <c r="AJ21" s="89"/>
      <c r="AK21" s="89"/>
      <c r="AL21" s="47" t="s">
        <v>71</v>
      </c>
      <c r="AM21" s="47" t="s">
        <v>72</v>
      </c>
      <c r="AN21" s="47" t="s">
        <v>7</v>
      </c>
      <c r="AO21" s="86" t="s">
        <v>8</v>
      </c>
      <c r="AP21" s="86" t="s">
        <v>9</v>
      </c>
    </row>
    <row r="22" spans="2:43">
      <c r="B22" s="94"/>
      <c r="C22" s="88"/>
      <c r="D22" s="89" t="s">
        <v>11</v>
      </c>
      <c r="E22" s="89"/>
      <c r="F22" s="89" t="s">
        <v>12</v>
      </c>
      <c r="G22" s="89"/>
      <c r="H22" s="89" t="s">
        <v>13</v>
      </c>
      <c r="I22" s="89"/>
      <c r="J22" s="89" t="s">
        <v>11</v>
      </c>
      <c r="K22" s="89"/>
      <c r="L22" s="89" t="s">
        <v>12</v>
      </c>
      <c r="M22" s="89"/>
      <c r="N22" s="89" t="s">
        <v>13</v>
      </c>
      <c r="O22" s="89"/>
      <c r="P22" s="89" t="s">
        <v>11</v>
      </c>
      <c r="Q22" s="89"/>
      <c r="R22" s="89" t="s">
        <v>12</v>
      </c>
      <c r="S22" s="89"/>
      <c r="T22" s="89" t="s">
        <v>13</v>
      </c>
      <c r="U22" s="89"/>
      <c r="V22" s="89" t="s">
        <v>11</v>
      </c>
      <c r="W22" s="89"/>
      <c r="X22" s="89" t="s">
        <v>12</v>
      </c>
      <c r="Y22" s="89"/>
      <c r="Z22" s="89" t="s">
        <v>13</v>
      </c>
      <c r="AA22" s="89"/>
      <c r="AB22" s="89" t="s">
        <v>11</v>
      </c>
      <c r="AC22" s="89"/>
      <c r="AD22" s="89" t="s">
        <v>12</v>
      </c>
      <c r="AE22" s="89"/>
      <c r="AF22" s="89" t="s">
        <v>13</v>
      </c>
      <c r="AG22" s="89"/>
      <c r="AH22" s="89" t="s">
        <v>12</v>
      </c>
      <c r="AI22" s="89"/>
      <c r="AJ22" s="89" t="s">
        <v>13</v>
      </c>
      <c r="AK22" s="89"/>
      <c r="AL22" s="83">
        <v>850</v>
      </c>
      <c r="AM22" s="83">
        <v>850</v>
      </c>
      <c r="AN22" s="83">
        <v>1700</v>
      </c>
      <c r="AO22" s="87"/>
      <c r="AP22" s="87"/>
    </row>
    <row r="23" spans="2:43">
      <c r="B23" s="94"/>
      <c r="C23" s="48" t="s">
        <v>14</v>
      </c>
      <c r="D23" s="90">
        <v>100</v>
      </c>
      <c r="E23" s="90"/>
      <c r="F23" s="90">
        <v>25</v>
      </c>
      <c r="G23" s="90"/>
      <c r="H23" s="90">
        <v>50</v>
      </c>
      <c r="I23" s="90"/>
      <c r="J23" s="90">
        <v>100</v>
      </c>
      <c r="K23" s="90"/>
      <c r="L23" s="90">
        <v>25</v>
      </c>
      <c r="M23" s="90"/>
      <c r="N23" s="90">
        <v>25</v>
      </c>
      <c r="O23" s="90"/>
      <c r="P23" s="90">
        <v>100</v>
      </c>
      <c r="Q23" s="90"/>
      <c r="R23" s="90">
        <v>25</v>
      </c>
      <c r="S23" s="90"/>
      <c r="T23" s="90">
        <v>50</v>
      </c>
      <c r="U23" s="90"/>
      <c r="V23" s="90">
        <v>100</v>
      </c>
      <c r="W23" s="90"/>
      <c r="X23" s="90">
        <v>25</v>
      </c>
      <c r="Y23" s="90"/>
      <c r="Z23" s="90">
        <v>25</v>
      </c>
      <c r="AA23" s="90"/>
      <c r="AB23" s="90">
        <v>100</v>
      </c>
      <c r="AC23" s="90"/>
      <c r="AD23" s="90">
        <v>25</v>
      </c>
      <c r="AE23" s="90"/>
      <c r="AF23" s="90">
        <v>25</v>
      </c>
      <c r="AG23" s="90"/>
      <c r="AH23" s="90">
        <v>25</v>
      </c>
      <c r="AI23" s="90"/>
      <c r="AJ23" s="90">
        <v>25</v>
      </c>
      <c r="AK23" s="90"/>
      <c r="AL23" s="84"/>
      <c r="AM23" s="84"/>
      <c r="AN23" s="84"/>
      <c r="AO23" s="87"/>
      <c r="AP23" s="87"/>
    </row>
    <row r="24" spans="2:43">
      <c r="B24" s="94"/>
      <c r="C24" s="49" t="s">
        <v>15</v>
      </c>
      <c r="D24" s="90">
        <v>40</v>
      </c>
      <c r="E24" s="90"/>
      <c r="F24" s="91">
        <v>10</v>
      </c>
      <c r="G24" s="91"/>
      <c r="H24" s="91">
        <v>20</v>
      </c>
      <c r="I24" s="91"/>
      <c r="J24" s="90">
        <v>40</v>
      </c>
      <c r="K24" s="90"/>
      <c r="L24" s="91">
        <v>10</v>
      </c>
      <c r="M24" s="90"/>
      <c r="N24" s="91">
        <v>10</v>
      </c>
      <c r="O24" s="90"/>
      <c r="P24" s="90">
        <v>40</v>
      </c>
      <c r="Q24" s="90"/>
      <c r="R24" s="91">
        <v>10</v>
      </c>
      <c r="S24" s="90"/>
      <c r="T24" s="91">
        <v>20</v>
      </c>
      <c r="U24" s="90"/>
      <c r="V24" s="90">
        <v>40</v>
      </c>
      <c r="W24" s="90"/>
      <c r="X24" s="91">
        <v>10</v>
      </c>
      <c r="Y24" s="90"/>
      <c r="Z24" s="91">
        <v>10</v>
      </c>
      <c r="AA24" s="90"/>
      <c r="AB24" s="90">
        <v>40</v>
      </c>
      <c r="AC24" s="91"/>
      <c r="AD24" s="90">
        <v>10</v>
      </c>
      <c r="AE24" s="91"/>
      <c r="AF24" s="90">
        <v>10</v>
      </c>
      <c r="AG24" s="91"/>
      <c r="AH24" s="90">
        <v>10</v>
      </c>
      <c r="AI24" s="90"/>
      <c r="AJ24" s="91">
        <v>10</v>
      </c>
      <c r="AK24" s="90"/>
      <c r="AL24" s="85"/>
      <c r="AM24" s="85"/>
      <c r="AN24" s="85"/>
      <c r="AO24" s="88"/>
      <c r="AP24" s="88"/>
    </row>
    <row r="25" spans="2:43" ht="18" customHeight="1">
      <c r="B25" s="75">
        <v>146201</v>
      </c>
      <c r="C25" s="76" t="s">
        <v>183</v>
      </c>
      <c r="D25" s="59">
        <v>41</v>
      </c>
      <c r="E25" s="15" t="str">
        <f>IF(IFERROR(FIND("+",D25),0)," ",
IF(D25="AB","",
IF(D25&lt;$D$24,"F",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F25" s="81">
        <v>20</v>
      </c>
      <c r="G25" s="15" t="str">
        <f>IF(IFERROR(FIND("+",F25),0)," ",
IF(F25="AB","",
IF(F25&lt;$F$24,"F",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H25" s="81">
        <v>44</v>
      </c>
      <c r="I25" s="12" t="str">
        <f>IF(IFERROR(FIND("+",H25),0)," ",
IF(H25="AB","",
IF(H25&lt;$H$24,"F",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J25" s="59">
        <v>60</v>
      </c>
      <c r="K25" s="15" t="str">
        <f>IF(IFERROR(FIND("+",J25),0)," ",
IF(J25="AB","",
IF(J25&lt;$J$24,"F",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L25" s="81">
        <v>21</v>
      </c>
      <c r="M25" s="12" t="str">
        <f>IF(IFERROR(FIND("+",L25),0)," ",
IF(L25="AB","",
IF(L25&lt;$L$24,"F",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N25" s="81">
        <v>21</v>
      </c>
      <c r="O25" s="12" t="str">
        <f>IF(IFERROR(FIND("+",N25),0)," ",
IF(N25="AB","",
IF(N25&lt;$N$24,"F",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P25" s="59">
        <v>41</v>
      </c>
      <c r="Q25" s="15" t="str">
        <f>IF(IFERROR(FIND("+",P25),0)," ",
IF(P25="AB","",
IF(P25&lt;$P$24,"F",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R25" s="81">
        <v>20</v>
      </c>
      <c r="S25" s="12" t="str">
        <f>IF(IFERROR(FIND("+",R25),0)," ",
IF(R25="AB","",
IF(R25&lt;$R$24,"F",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T25" s="81">
        <v>44</v>
      </c>
      <c r="U25" s="12" t="str">
        <f>IF(IFERROR(FIND("+",T25),0)," ",
IF(T25="AB","",
IF(T25&lt;$T$24,"F",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V25" s="59">
        <v>40</v>
      </c>
      <c r="W25" s="15" t="str">
        <f>IF(IFERROR(FIND("+",V25),0)," ",
IF(V25="AB","",
IF(V25&lt;$V$24,"F",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X25" s="81">
        <v>19</v>
      </c>
      <c r="Y25" s="12" t="str">
        <f>IF(IFERROR(FIND("+",X25),0)," ",
IF(X25="AB","",
IF(X25&lt;$X$24,"F",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Z25" s="81">
        <v>17</v>
      </c>
      <c r="AA25" s="12" t="str">
        <f>IF(IFERROR(FIND("+",Z25),0)," ",
IF(Z25="AB","",
IF(Z25&lt;$Z$24,"F",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AB25" s="59">
        <v>40</v>
      </c>
      <c r="AC25" s="12" t="str">
        <f>IF(IFERROR(FIND("+",AB25),0)," ",
IF(AB25="AB","",
IF(AB25&lt;$AB$24,"F",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AD25" s="81">
        <v>19</v>
      </c>
      <c r="AE25" s="12" t="str">
        <f>IF(IFERROR(FIND("+",AD25),0)," ",
IF(AD25="AB","",
IF(AD25&lt;$AD$24,"F",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AF25" s="81">
        <v>18</v>
      </c>
      <c r="AG25" s="12" t="str">
        <f>IF(IFERROR(FIND("+",AF25),0)," ",
IF(AF25="AB","",
IF(AF25&lt;$AF$24,"F",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AH25" s="81">
        <v>21</v>
      </c>
      <c r="AI25" s="12" t="str">
        <f>IF(IFERROR(FIND("+",AH25),0)," ",
IF(AH25="AB","",
IF(AH25&lt;$AH$24,"F",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AH25&lt;&gt;"AB",AJ25&lt;&gt;"AB"),"","E"))))</f>
        <v/>
      </c>
      <c r="AJ25" s="81">
        <v>20</v>
      </c>
      <c r="AK25" s="12" t="str">
        <f>IF(IFERROR(FIND("+",AJ25),0)," ",
IF(AJ25="AB","",
IF(AJ25&lt;$AJ$24,"F",
IF(AND(D25&gt;=$D$24,F25&gt;=$F$24,H25&gt;=$H$24,
J25&gt;=$J$24,L25&gt;=$L$24,
N25&gt;=$N$24,P25&gt;=$P$24,R25&gt;=$R$24,T25&gt;=$T$24,V25&gt;=$V$24,
X25&gt;=$X$24,Z25&gt;=$Z$24,AB25&gt;=$AB$24,AD25&gt;=$AD$24,AF25&gt;=$AF$24,
AH25&gt;=$AH$24,AJ25&gt;=$AJ$24,D25&lt;&gt;"AB",F25&lt;&gt;"AB",H25&lt;&gt;"AB",
J25&lt;&gt;"AB",L25&lt;&gt;"AB",
N25&lt;&gt;"AB",P25&lt;&gt;"AB",R25&lt;&gt;"AB",T25&lt;&gt;"AB",V25&lt;&gt;"AB",
X25&lt;&gt;"AB",Z25&lt;&gt;"AB",AB25&lt;&gt;"AB",AD25&lt;&gt;"AB",AF25&lt;&gt;"AB",
AH25&lt;&gt;"AB",AI25&lt;&gt;"AB"),"","E"))))</f>
        <v/>
      </c>
      <c r="AL25" s="13">
        <f t="shared" ref="AL25:AL88" si="3">SUM(EXTRACTNUMBER(D25),EXTRACTNUMBER(F25),
EXTRACTNUMBER(H25),EXTRACTNUMBER(J25),
EXTRACTNUMBER(L25),EXTRACTNUMBER(N25),
EXTRACTNUMBER(P25),EXTRACTNUMBER(R25),
EXTRACTNUMBER(T25),EXTRACTNUMBER(V25),
EXTRACTNUMBER(X25),EXTRACTNUMBER(Z25),EXTRACTNUMBER(AB25),
EXTRACTNUMBER(AD25),EXTRACTNUMBER(AH25),EXTRACTNUMBER(AF25),EXTRACTNUMBER(AJ25))</f>
        <v>506</v>
      </c>
      <c r="AM25" s="69" t="s">
        <v>343</v>
      </c>
      <c r="AN25" s="14">
        <f>SUM(EXTRACTNUMBER(AL25),EXTRACTNUMBER(AM25))</f>
        <v>976</v>
      </c>
      <c r="AO25" s="14" t="str">
        <f>IF(AND(COUNTIF(D25:AK25,"AB")&lt;17-COUNTIF(D25:AK25," "),
COUNTIF(D25:AK25,"AB")&lt;&gt;0),"FAIL",
IF(COUNTIF(D25:AK25,"AB")=17-COUNTIF(D25:AK25," "),"ABSENT",
IF(AND(COUNTIF(D25:AK25,"AB")=0,COUNTIF(D25:AK25,"F")=0),"PASS","FAIL")))</f>
        <v>PASS</v>
      </c>
      <c r="AP25" s="14" t="str">
        <f t="shared" ref="AP25:AP88" si="4">IF(AO25="ABSENT","AB",IF(AO25="FAIL","--",
IF(AM25=0,"RS 5",IF(AND(COUNTIF(D25:AK25," "),AO25="pass"),"P",
IF(AND(SUM(EXTRACTNUMBER(AL25),EXTRACTNUMBER(AM25))&gt;=1010,
        NOT(IFERROR(FIND("x",AL25),0)),
        NOT(IFERROR(FIND("x",AM25),0))),"I",
IF(AND(SUM(EXTRACTNUMBER(AL25),EXTRACTNUMBER(AM25))&gt;=850,
      SUM(EXTRACTNUMBER(AL25),EXTRACTNUMBER(AM25))&lt;1010,
      NOT(IFERROR(FIND("x",AL25),0)),
      NOT(IFERROR(FIND("x",AM25),0))),"II",
IF(OR(AND(SUM(EXTRACTNUMBER(AL25),EXTRACTNUMBER(AM25))&lt;850,
SUM(EXTRACTNUMBER(AL25),EXTRACTNUMBER(AM25))&gt;=670),
IFERROR(FIND("x",AL25),0),IFERROR(FIND("x",AM25),0)),"P","--")))))))</f>
        <v>II</v>
      </c>
      <c r="AQ25" s="57" t="str">
        <f>SPELLNUMBER(AN25)</f>
        <v xml:space="preserve">Nine Hundred Seventy Six </v>
      </c>
    </row>
    <row r="26" spans="2:43" ht="18" customHeight="1">
      <c r="B26" s="75">
        <v>146202</v>
      </c>
      <c r="C26" s="76" t="s">
        <v>286</v>
      </c>
      <c r="D26" s="59">
        <v>67</v>
      </c>
      <c r="E26" s="12" t="str">
        <f t="shared" ref="E26:E41" si="5">IF(IFERROR(FIND("+",D26),0)," ",
IF(D26="AB","",
IF(D26&lt;$D$24,"F",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F26" s="81">
        <v>23</v>
      </c>
      <c r="G26" s="12" t="str">
        <f t="shared" ref="G26:G41" si="6">IF(IFERROR(FIND("+",F26),0)," ",
IF(F26="AB","",
IF(F26&lt;$F$24,"F",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H26" s="81">
        <v>47</v>
      </c>
      <c r="I26" s="12" t="str">
        <f t="shared" ref="I26:I41" si="7">IF(IFERROR(FIND("+",H26),0)," ",
IF(H26="AB","",
IF(H26&lt;$H$24,"F",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J26" s="59">
        <v>73</v>
      </c>
      <c r="K26" s="12" t="str">
        <f t="shared" ref="K26:K41" si="8">IF(IFERROR(FIND("+",J26),0)," ",
IF(J26="AB","",
IF(J26&lt;$J$24,"F",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L26" s="81">
        <v>23</v>
      </c>
      <c r="M26" s="12" t="str">
        <f t="shared" ref="M26:M41" si="9">IF(IFERROR(FIND("+",L26),0)," ",
IF(L26="AB","",
IF(L26&lt;$L$24,"F",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N26" s="81">
        <v>23</v>
      </c>
      <c r="O26" s="12" t="str">
        <f t="shared" ref="O26:O41" si="10">IF(IFERROR(FIND("+",N26),0)," ",
IF(N26="AB","",
IF(N26&lt;$N$24,"F",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P26" s="59">
        <v>43</v>
      </c>
      <c r="Q26" s="12" t="str">
        <f t="shared" ref="Q26:Q41" si="11">IF(IFERROR(FIND("+",P26),0)," ",
IF(P26="AB","",
IF(P26&lt;$P$24,"F",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R26" s="81">
        <v>23</v>
      </c>
      <c r="S26" s="12" t="str">
        <f t="shared" ref="S26:S41" si="12">IF(IFERROR(FIND("+",R26),0)," ",
IF(R26="AB","",
IF(R26&lt;$R$24,"F",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T26" s="81">
        <v>47</v>
      </c>
      <c r="U26" s="12" t="str">
        <f t="shared" ref="U26:U41" si="13">IF(IFERROR(FIND("+",T26),0)," ",
IF(T26="AB","",
IF(T26&lt;$T$24,"F",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V26" s="59">
        <v>59</v>
      </c>
      <c r="W26" s="12" t="str">
        <f t="shared" ref="W26:W41" si="14">IF(IFERROR(FIND("+",V26),0)," ",
IF(V26="AB","",
IF(V26&lt;$V$24,"F",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X26" s="81">
        <v>23</v>
      </c>
      <c r="Y26" s="12" t="str">
        <f t="shared" ref="Y26:Y41" si="15">IF(IFERROR(FIND("+",X26),0)," ",
IF(X26="AB","",
IF(X26&lt;$X$24,"F",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Z26" s="81">
        <v>24</v>
      </c>
      <c r="AA26" s="12" t="str">
        <f t="shared" ref="AA26:AA41" si="16">IF(IFERROR(FIND("+",Z26),0)," ",
IF(Z26="AB","",
IF(Z26&lt;$Z$24,"F",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AB26" s="59">
        <v>57</v>
      </c>
      <c r="AC26" s="12" t="str">
        <f t="shared" ref="AC26:AC41" si="17">IF(IFERROR(FIND("+",AB26),0)," ",
IF(AB26="AB","",
IF(AB26&lt;$AB$24,"F",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AD26" s="81">
        <v>20</v>
      </c>
      <c r="AE26" s="12" t="str">
        <f t="shared" ref="AE26:AE41" si="18">IF(IFERROR(FIND("+",AD26),0)," ",
IF(AD26="AB","",
IF(AD26&lt;$AD$24,"F",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AF26" s="81">
        <v>19</v>
      </c>
      <c r="AG26" s="12" t="str">
        <f t="shared" ref="AG26:AG41" si="19">IF(IFERROR(FIND("+",AF26),0)," ",
IF(AF26="AB","",
IF(AF26&lt;$AF$24,"F",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AH26" s="81">
        <v>22</v>
      </c>
      <c r="AI26" s="12" t="str">
        <f t="shared" ref="AI26:AI41" si="20">IF(IFERROR(FIND("+",AH26),0)," ",
IF(AH26="AB","",
IF(AH26&lt;$AH$24,"F",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AH26&lt;&gt;"AB",AJ26&lt;&gt;"AB"),"","E"))))</f>
        <v/>
      </c>
      <c r="AJ26" s="81">
        <v>21</v>
      </c>
      <c r="AK26" s="12" t="str">
        <f t="shared" ref="AK26:AK41" si="21">IF(IFERROR(FIND("+",AJ26),0)," ",
IF(AJ26="AB","",
IF(AJ26&lt;$AJ$24,"F",
IF(AND(D26&gt;=$D$24,F26&gt;=$F$24,H26&gt;=$H$24,
J26&gt;=$J$24,L26&gt;=$L$24,
N26&gt;=$N$24,P26&gt;=$P$24,R26&gt;=$R$24,T26&gt;=$T$24,V26&gt;=$V$24,
X26&gt;=$X$24,Z26&gt;=$Z$24,AB26&gt;=$AB$24,AD26&gt;=$AD$24,AF26&gt;=$AF$24,
AH26&gt;=$AH$24,AJ26&gt;=$AJ$24,D26&lt;&gt;"AB",F26&lt;&gt;"AB",H26&lt;&gt;"AB",
J26&lt;&gt;"AB",L26&lt;&gt;"AB",
N26&lt;&gt;"AB",P26&lt;&gt;"AB",R26&lt;&gt;"AB",T26&lt;&gt;"AB",V26&lt;&gt;"AB",
X26&lt;&gt;"AB",Z26&lt;&gt;"AB",AB26&lt;&gt;"AB",AD26&lt;&gt;"AB",AF26&lt;&gt;"AB",
AH26&lt;&gt;"AB",AI26&lt;&gt;"AB"),"","E"))))</f>
        <v/>
      </c>
      <c r="AL26" s="13">
        <f t="shared" si="3"/>
        <v>614</v>
      </c>
      <c r="AM26" s="69" t="s">
        <v>344</v>
      </c>
      <c r="AN26" s="14">
        <f t="shared" ref="AN26:AN89" si="22">IF(COUNTIF(D26:AK26," "),SUM(EXTRACTNUMBER(AL26),EXTRACTNUMBER(AM26)),IF(IFERROR(FIND("x",AM26),0),SUM(EXTRACTNUMBER(AL26),EXTRACTNUMBER(AM26)),IF(AND(SUM(EXTRACTNUMBER(AL26),EXTRACTNUMBER(AM26))&gt;1009,        SUM(EXTRACTNUMBER(AL26),EXTRACTNUMBER(AM26))&lt;1020),
CONCATENATE(SUM(EXTRACTNUMBER(AL26),EXTRACTNUMBER(AM26)),"@",1020-SUM(EXTRACTNUMBER(AL26),EXTRACTNUMBER(AM26))),
IF(AND(SUM(EXTRACTNUMBER(AL26),EXTRACTNUMBER(AM26))&gt;839,   SUM(EXTRACTNUMBER(AL26),EXTRACTNUMBER(AM26))&lt;850),CONCATENATE(SUM(EXTRACTNUMBER(AL26),EXTRACTNUMBER(AM26)),"@",850-SUM(EXTRACTNUMBER(AL26),EXTRACTNUMBER(AM26))),
IF(AND(SUM(EXTRACTNUMBER(AL26),EXTRACTNUMBER(AM26))&gt;669,        SUM(EXTRACTNUMBER(AL26),EXTRACTNUMBER(AM26))&lt;680),
CONCATENATE(SUM(EXTRACTNUMBER(AL26),EXTRACTNUMBER(AM26)),"@",680-SUM(EXTRACTNUMBER(AL26),EXTRACTNUMBER(AM26))),
SUM(EXTRACTNUMBER(AL26),EXTRACTNUMBER(AM26)))))))</f>
        <v>1148</v>
      </c>
      <c r="AO26" s="14" t="str">
        <f t="shared" ref="AO26:AO89" si="23">IF(AND(COUNTIF(D26:AK26,"AB")&lt;17-COUNTIF(D26:AK26," "),
COUNTIF(D26:AK26,"AB")&lt;&gt;0),"FAIL",
IF(COUNTIF(D26:AK26,"AB")=17-COUNTIF(D26:AK26," "),"ABSENT",
IF(AND(COUNTIF(D26:AK26,"AB")=0,COUNTIF(D26:AK26,"F")=0),"PASS","FAIL")))</f>
        <v>PASS</v>
      </c>
      <c r="AP26" s="14" t="str">
        <f t="shared" si="4"/>
        <v>I</v>
      </c>
      <c r="AQ26" s="57" t="str">
        <f t="shared" ref="AQ26:AQ41" si="24">SPELLNUMBER(AN26)</f>
        <v xml:space="preserve">One Thousand One Hundred Forty Eight </v>
      </c>
    </row>
    <row r="27" spans="2:43" ht="18" customHeight="1">
      <c r="B27" s="75">
        <v>146203</v>
      </c>
      <c r="C27" s="76" t="s">
        <v>287</v>
      </c>
      <c r="D27" s="59">
        <v>57</v>
      </c>
      <c r="E27" s="12" t="str">
        <f t="shared" si="5"/>
        <v/>
      </c>
      <c r="F27" s="81">
        <v>22</v>
      </c>
      <c r="G27" s="12" t="str">
        <f t="shared" si="6"/>
        <v/>
      </c>
      <c r="H27" s="81">
        <v>46</v>
      </c>
      <c r="I27" s="12" t="str">
        <f t="shared" si="7"/>
        <v/>
      </c>
      <c r="J27" s="59">
        <v>66</v>
      </c>
      <c r="K27" s="12" t="str">
        <f t="shared" si="8"/>
        <v/>
      </c>
      <c r="L27" s="81">
        <v>22</v>
      </c>
      <c r="M27" s="12" t="str">
        <f t="shared" si="9"/>
        <v/>
      </c>
      <c r="N27" s="81">
        <v>22</v>
      </c>
      <c r="O27" s="12" t="str">
        <f t="shared" si="10"/>
        <v/>
      </c>
      <c r="P27" s="59">
        <v>49</v>
      </c>
      <c r="Q27" s="12" t="str">
        <f t="shared" si="11"/>
        <v/>
      </c>
      <c r="R27" s="81">
        <v>22</v>
      </c>
      <c r="S27" s="12" t="str">
        <f t="shared" si="12"/>
        <v/>
      </c>
      <c r="T27" s="81">
        <v>46</v>
      </c>
      <c r="U27" s="12" t="str">
        <f t="shared" si="13"/>
        <v/>
      </c>
      <c r="V27" s="59">
        <v>55</v>
      </c>
      <c r="W27" s="12" t="str">
        <f t="shared" si="14"/>
        <v/>
      </c>
      <c r="X27" s="81">
        <v>20</v>
      </c>
      <c r="Y27" s="12" t="str">
        <f t="shared" si="15"/>
        <v/>
      </c>
      <c r="Z27" s="81">
        <v>17</v>
      </c>
      <c r="AA27" s="12" t="str">
        <f t="shared" si="16"/>
        <v/>
      </c>
      <c r="AB27" s="59">
        <v>49</v>
      </c>
      <c r="AC27" s="12" t="str">
        <f t="shared" si="17"/>
        <v/>
      </c>
      <c r="AD27" s="81">
        <v>21</v>
      </c>
      <c r="AE27" s="12" t="str">
        <f t="shared" si="18"/>
        <v/>
      </c>
      <c r="AF27" s="81">
        <v>20</v>
      </c>
      <c r="AG27" s="12" t="str">
        <f t="shared" si="19"/>
        <v/>
      </c>
      <c r="AH27" s="81">
        <v>21</v>
      </c>
      <c r="AI27" s="12" t="str">
        <f t="shared" si="20"/>
        <v/>
      </c>
      <c r="AJ27" s="81">
        <v>20</v>
      </c>
      <c r="AK27" s="12" t="str">
        <f t="shared" si="21"/>
        <v/>
      </c>
      <c r="AL27" s="13">
        <f t="shared" si="3"/>
        <v>575</v>
      </c>
      <c r="AM27" s="69" t="s">
        <v>345</v>
      </c>
      <c r="AN27" s="14">
        <f t="shared" si="22"/>
        <v>1133</v>
      </c>
      <c r="AO27" s="14" t="str">
        <f t="shared" si="23"/>
        <v>PASS</v>
      </c>
      <c r="AP27" s="14" t="str">
        <f t="shared" si="4"/>
        <v>I</v>
      </c>
      <c r="AQ27" s="57" t="str">
        <f t="shared" si="24"/>
        <v xml:space="preserve">One Thousand One Hundred Thirty Three </v>
      </c>
    </row>
    <row r="28" spans="2:43" ht="18" customHeight="1">
      <c r="B28" s="75">
        <v>146204</v>
      </c>
      <c r="C28" s="76" t="s">
        <v>184</v>
      </c>
      <c r="D28" s="59">
        <v>59</v>
      </c>
      <c r="E28" s="12" t="str">
        <f t="shared" si="5"/>
        <v/>
      </c>
      <c r="F28" s="81">
        <v>23</v>
      </c>
      <c r="G28" s="12" t="str">
        <f t="shared" si="6"/>
        <v/>
      </c>
      <c r="H28" s="81">
        <v>47</v>
      </c>
      <c r="I28" s="12" t="str">
        <f t="shared" si="7"/>
        <v/>
      </c>
      <c r="J28" s="59">
        <v>70</v>
      </c>
      <c r="K28" s="12" t="str">
        <f t="shared" si="8"/>
        <v/>
      </c>
      <c r="L28" s="81">
        <v>23</v>
      </c>
      <c r="M28" s="12" t="str">
        <f t="shared" si="9"/>
        <v/>
      </c>
      <c r="N28" s="81">
        <v>23</v>
      </c>
      <c r="O28" s="12" t="str">
        <f t="shared" si="10"/>
        <v/>
      </c>
      <c r="P28" s="59">
        <v>60</v>
      </c>
      <c r="Q28" s="12" t="str">
        <f t="shared" si="11"/>
        <v/>
      </c>
      <c r="R28" s="81">
        <v>23</v>
      </c>
      <c r="S28" s="12" t="str">
        <f t="shared" si="12"/>
        <v/>
      </c>
      <c r="T28" s="81">
        <v>47</v>
      </c>
      <c r="U28" s="12" t="str">
        <f t="shared" si="13"/>
        <v/>
      </c>
      <c r="V28" s="59">
        <v>58</v>
      </c>
      <c r="W28" s="12" t="str">
        <f t="shared" si="14"/>
        <v/>
      </c>
      <c r="X28" s="81">
        <v>21</v>
      </c>
      <c r="Y28" s="12" t="str">
        <f t="shared" si="15"/>
        <v/>
      </c>
      <c r="Z28" s="81">
        <v>18</v>
      </c>
      <c r="AA28" s="12" t="str">
        <f t="shared" si="16"/>
        <v/>
      </c>
      <c r="AB28" s="59">
        <v>55</v>
      </c>
      <c r="AC28" s="12" t="str">
        <f t="shared" si="17"/>
        <v/>
      </c>
      <c r="AD28" s="81">
        <v>22</v>
      </c>
      <c r="AE28" s="12" t="str">
        <f t="shared" si="18"/>
        <v/>
      </c>
      <c r="AF28" s="81">
        <v>22</v>
      </c>
      <c r="AG28" s="12" t="str">
        <f t="shared" si="19"/>
        <v/>
      </c>
      <c r="AH28" s="81">
        <v>21</v>
      </c>
      <c r="AI28" s="12" t="str">
        <f t="shared" si="20"/>
        <v/>
      </c>
      <c r="AJ28" s="81">
        <v>20</v>
      </c>
      <c r="AK28" s="12" t="str">
        <f t="shared" si="21"/>
        <v/>
      </c>
      <c r="AL28" s="13">
        <f t="shared" si="3"/>
        <v>612</v>
      </c>
      <c r="AM28" s="69" t="s">
        <v>346</v>
      </c>
      <c r="AN28" s="14">
        <f t="shared" si="22"/>
        <v>1172</v>
      </c>
      <c r="AO28" s="14" t="str">
        <f t="shared" si="23"/>
        <v>PASS</v>
      </c>
      <c r="AP28" s="14" t="str">
        <f t="shared" si="4"/>
        <v>I</v>
      </c>
      <c r="AQ28" s="57" t="str">
        <f t="shared" si="24"/>
        <v xml:space="preserve">One Thousand One Hundred Seventy Two </v>
      </c>
    </row>
    <row r="29" spans="2:43" ht="18" customHeight="1">
      <c r="B29" s="75">
        <v>146205</v>
      </c>
      <c r="C29" s="76" t="s">
        <v>185</v>
      </c>
      <c r="D29" s="59">
        <v>43</v>
      </c>
      <c r="E29" s="12" t="str">
        <f t="shared" si="5"/>
        <v/>
      </c>
      <c r="F29" s="81">
        <v>20</v>
      </c>
      <c r="G29" s="12" t="str">
        <f t="shared" si="6"/>
        <v/>
      </c>
      <c r="H29" s="81">
        <v>39</v>
      </c>
      <c r="I29" s="12" t="str">
        <f t="shared" si="7"/>
        <v/>
      </c>
      <c r="J29" s="59">
        <v>57</v>
      </c>
      <c r="K29" s="12" t="str">
        <f t="shared" si="8"/>
        <v/>
      </c>
      <c r="L29" s="81">
        <v>20</v>
      </c>
      <c r="M29" s="12" t="str">
        <f t="shared" si="9"/>
        <v/>
      </c>
      <c r="N29" s="81">
        <v>20</v>
      </c>
      <c r="O29" s="12" t="str">
        <f t="shared" si="10"/>
        <v/>
      </c>
      <c r="P29" s="59">
        <v>53</v>
      </c>
      <c r="Q29" s="12" t="str">
        <f t="shared" si="11"/>
        <v/>
      </c>
      <c r="R29" s="81">
        <v>23</v>
      </c>
      <c r="S29" s="12" t="str">
        <f t="shared" si="12"/>
        <v/>
      </c>
      <c r="T29" s="81">
        <v>39</v>
      </c>
      <c r="U29" s="12" t="str">
        <f t="shared" si="13"/>
        <v/>
      </c>
      <c r="V29" s="59">
        <v>48</v>
      </c>
      <c r="W29" s="12" t="str">
        <f t="shared" si="14"/>
        <v/>
      </c>
      <c r="X29" s="81">
        <v>22</v>
      </c>
      <c r="Y29" s="12" t="str">
        <f t="shared" si="15"/>
        <v/>
      </c>
      <c r="Z29" s="81">
        <v>22</v>
      </c>
      <c r="AA29" s="12" t="str">
        <f t="shared" si="16"/>
        <v/>
      </c>
      <c r="AB29" s="59">
        <v>55</v>
      </c>
      <c r="AC29" s="12" t="str">
        <f t="shared" si="17"/>
        <v/>
      </c>
      <c r="AD29" s="81">
        <v>20</v>
      </c>
      <c r="AE29" s="12" t="str">
        <f t="shared" si="18"/>
        <v/>
      </c>
      <c r="AF29" s="81">
        <v>18</v>
      </c>
      <c r="AG29" s="12" t="str">
        <f t="shared" si="19"/>
        <v/>
      </c>
      <c r="AH29" s="81">
        <v>22</v>
      </c>
      <c r="AI29" s="12" t="str">
        <f t="shared" si="20"/>
        <v/>
      </c>
      <c r="AJ29" s="81">
        <v>21</v>
      </c>
      <c r="AK29" s="12" t="str">
        <f t="shared" si="21"/>
        <v/>
      </c>
      <c r="AL29" s="13">
        <f t="shared" si="3"/>
        <v>542</v>
      </c>
      <c r="AM29" s="69" t="s">
        <v>419</v>
      </c>
      <c r="AN29" s="14">
        <f t="shared" si="22"/>
        <v>1068</v>
      </c>
      <c r="AO29" s="14" t="str">
        <f t="shared" si="23"/>
        <v>PASS</v>
      </c>
      <c r="AP29" s="14" t="str">
        <f t="shared" si="4"/>
        <v>P</v>
      </c>
      <c r="AQ29" s="57" t="str">
        <f t="shared" si="24"/>
        <v xml:space="preserve">One Thousand Sixty Eight </v>
      </c>
    </row>
    <row r="30" spans="2:43" ht="18" customHeight="1">
      <c r="B30" s="75">
        <v>146206</v>
      </c>
      <c r="C30" s="76" t="s">
        <v>186</v>
      </c>
      <c r="D30" s="59">
        <v>67</v>
      </c>
      <c r="E30" s="12" t="str">
        <f t="shared" si="5"/>
        <v/>
      </c>
      <c r="F30" s="81">
        <v>20</v>
      </c>
      <c r="G30" s="12" t="str">
        <f t="shared" si="6"/>
        <v/>
      </c>
      <c r="H30" s="81">
        <v>47</v>
      </c>
      <c r="I30" s="12" t="str">
        <f t="shared" si="7"/>
        <v/>
      </c>
      <c r="J30" s="59">
        <v>82</v>
      </c>
      <c r="K30" s="12" t="str">
        <f t="shared" si="8"/>
        <v/>
      </c>
      <c r="L30" s="81">
        <v>21</v>
      </c>
      <c r="M30" s="12" t="str">
        <f t="shared" si="9"/>
        <v/>
      </c>
      <c r="N30" s="81">
        <v>21</v>
      </c>
      <c r="O30" s="12" t="str">
        <f t="shared" si="10"/>
        <v/>
      </c>
      <c r="P30" s="59">
        <v>62</v>
      </c>
      <c r="Q30" s="12" t="str">
        <f t="shared" si="11"/>
        <v/>
      </c>
      <c r="R30" s="81">
        <v>20</v>
      </c>
      <c r="S30" s="12" t="str">
        <f t="shared" si="12"/>
        <v/>
      </c>
      <c r="T30" s="81">
        <v>47</v>
      </c>
      <c r="U30" s="12" t="str">
        <f t="shared" si="13"/>
        <v/>
      </c>
      <c r="V30" s="59">
        <v>60</v>
      </c>
      <c r="W30" s="12" t="str">
        <f t="shared" si="14"/>
        <v/>
      </c>
      <c r="X30" s="81">
        <v>21</v>
      </c>
      <c r="Y30" s="12" t="str">
        <f t="shared" si="15"/>
        <v/>
      </c>
      <c r="Z30" s="81">
        <v>19</v>
      </c>
      <c r="AA30" s="12" t="str">
        <f t="shared" si="16"/>
        <v/>
      </c>
      <c r="AB30" s="59">
        <v>58</v>
      </c>
      <c r="AC30" s="12" t="str">
        <f t="shared" si="17"/>
        <v/>
      </c>
      <c r="AD30" s="81">
        <v>20</v>
      </c>
      <c r="AE30" s="12" t="str">
        <f t="shared" si="18"/>
        <v/>
      </c>
      <c r="AF30" s="81">
        <v>20</v>
      </c>
      <c r="AG30" s="12" t="str">
        <f t="shared" si="19"/>
        <v/>
      </c>
      <c r="AH30" s="81">
        <v>21</v>
      </c>
      <c r="AI30" s="12" t="str">
        <f t="shared" si="20"/>
        <v/>
      </c>
      <c r="AJ30" s="81">
        <v>20</v>
      </c>
      <c r="AK30" s="12" t="str">
        <f t="shared" si="21"/>
        <v/>
      </c>
      <c r="AL30" s="13">
        <f t="shared" si="3"/>
        <v>626</v>
      </c>
      <c r="AM30" s="69" t="s">
        <v>420</v>
      </c>
      <c r="AN30" s="14">
        <f t="shared" si="22"/>
        <v>1171</v>
      </c>
      <c r="AO30" s="14" t="str">
        <f t="shared" si="23"/>
        <v>PASS</v>
      </c>
      <c r="AP30" s="14" t="str">
        <f t="shared" si="4"/>
        <v>I</v>
      </c>
      <c r="AQ30" s="57" t="str">
        <f t="shared" si="24"/>
        <v xml:space="preserve">One Thousand One Hundred Seventy One </v>
      </c>
    </row>
    <row r="31" spans="2:43" ht="18" customHeight="1">
      <c r="B31" s="75">
        <v>146207</v>
      </c>
      <c r="C31" s="76" t="s">
        <v>187</v>
      </c>
      <c r="D31" s="59">
        <v>51</v>
      </c>
      <c r="E31" s="12" t="str">
        <f t="shared" si="5"/>
        <v/>
      </c>
      <c r="F31" s="81">
        <v>21</v>
      </c>
      <c r="G31" s="12" t="str">
        <f t="shared" si="6"/>
        <v/>
      </c>
      <c r="H31" s="81">
        <v>42</v>
      </c>
      <c r="I31" s="12" t="str">
        <f t="shared" si="7"/>
        <v/>
      </c>
      <c r="J31" s="59">
        <v>56</v>
      </c>
      <c r="K31" s="12" t="str">
        <f t="shared" si="8"/>
        <v/>
      </c>
      <c r="L31" s="81">
        <v>21</v>
      </c>
      <c r="M31" s="12" t="str">
        <f t="shared" si="9"/>
        <v/>
      </c>
      <c r="N31" s="81">
        <v>21</v>
      </c>
      <c r="O31" s="12" t="str">
        <f t="shared" si="10"/>
        <v/>
      </c>
      <c r="P31" s="59" t="s">
        <v>447</v>
      </c>
      <c r="Q31" s="12" t="str">
        <f t="shared" si="11"/>
        <v/>
      </c>
      <c r="R31" s="81">
        <v>21</v>
      </c>
      <c r="S31" s="12" t="str">
        <f t="shared" si="12"/>
        <v/>
      </c>
      <c r="T31" s="81">
        <v>42</v>
      </c>
      <c r="U31" s="12" t="str">
        <f t="shared" si="13"/>
        <v/>
      </c>
      <c r="V31" s="59">
        <v>40</v>
      </c>
      <c r="W31" s="12" t="str">
        <f t="shared" si="14"/>
        <v/>
      </c>
      <c r="X31" s="81">
        <v>20</v>
      </c>
      <c r="Y31" s="12" t="str">
        <f t="shared" si="15"/>
        <v/>
      </c>
      <c r="Z31" s="81">
        <v>21</v>
      </c>
      <c r="AA31" s="12" t="str">
        <f t="shared" si="16"/>
        <v/>
      </c>
      <c r="AB31" s="59">
        <v>40</v>
      </c>
      <c r="AC31" s="12" t="str">
        <f t="shared" si="17"/>
        <v/>
      </c>
      <c r="AD31" s="81">
        <v>19</v>
      </c>
      <c r="AE31" s="12" t="str">
        <f t="shared" si="18"/>
        <v/>
      </c>
      <c r="AF31" s="81">
        <v>18</v>
      </c>
      <c r="AG31" s="12" t="str">
        <f t="shared" si="19"/>
        <v/>
      </c>
      <c r="AH31" s="81">
        <v>21</v>
      </c>
      <c r="AI31" s="12" t="str">
        <f t="shared" si="20"/>
        <v/>
      </c>
      <c r="AJ31" s="81">
        <v>20</v>
      </c>
      <c r="AK31" s="12" t="str">
        <f t="shared" si="21"/>
        <v/>
      </c>
      <c r="AL31" s="14" t="s">
        <v>448</v>
      </c>
      <c r="AM31" s="69" t="s">
        <v>421</v>
      </c>
      <c r="AN31" s="14">
        <f t="shared" si="22"/>
        <v>977</v>
      </c>
      <c r="AO31" s="14" t="str">
        <f t="shared" si="23"/>
        <v>PASS</v>
      </c>
      <c r="AP31" s="14" t="str">
        <f t="shared" si="4"/>
        <v>II</v>
      </c>
      <c r="AQ31" s="57" t="str">
        <f t="shared" si="24"/>
        <v xml:space="preserve">Nine Hundred Seventy Seven </v>
      </c>
    </row>
    <row r="32" spans="2:43" ht="18" customHeight="1">
      <c r="B32" s="75">
        <v>146208</v>
      </c>
      <c r="C32" s="76" t="s">
        <v>188</v>
      </c>
      <c r="D32" s="59">
        <v>73</v>
      </c>
      <c r="E32" s="12" t="str">
        <f t="shared" si="5"/>
        <v/>
      </c>
      <c r="F32" s="81">
        <v>22</v>
      </c>
      <c r="G32" s="12" t="str">
        <f t="shared" si="6"/>
        <v/>
      </c>
      <c r="H32" s="81">
        <v>47</v>
      </c>
      <c r="I32" s="12" t="str">
        <f t="shared" si="7"/>
        <v/>
      </c>
      <c r="J32" s="59">
        <v>84</v>
      </c>
      <c r="K32" s="12" t="str">
        <f t="shared" si="8"/>
        <v/>
      </c>
      <c r="L32" s="81">
        <v>22</v>
      </c>
      <c r="M32" s="12" t="str">
        <f t="shared" si="9"/>
        <v/>
      </c>
      <c r="N32" s="81">
        <v>22</v>
      </c>
      <c r="O32" s="12" t="str">
        <f t="shared" si="10"/>
        <v/>
      </c>
      <c r="P32" s="59">
        <v>68</v>
      </c>
      <c r="Q32" s="12" t="str">
        <f t="shared" si="11"/>
        <v/>
      </c>
      <c r="R32" s="81">
        <v>22</v>
      </c>
      <c r="S32" s="12" t="str">
        <f t="shared" si="12"/>
        <v/>
      </c>
      <c r="T32" s="81">
        <v>47</v>
      </c>
      <c r="U32" s="12" t="str">
        <f t="shared" si="13"/>
        <v/>
      </c>
      <c r="V32" s="59">
        <v>63</v>
      </c>
      <c r="W32" s="12" t="str">
        <f t="shared" si="14"/>
        <v/>
      </c>
      <c r="X32" s="81">
        <v>21</v>
      </c>
      <c r="Y32" s="12" t="str">
        <f t="shared" si="15"/>
        <v/>
      </c>
      <c r="Z32" s="81">
        <v>20</v>
      </c>
      <c r="AA32" s="12" t="str">
        <f t="shared" si="16"/>
        <v/>
      </c>
      <c r="AB32" s="59">
        <v>66</v>
      </c>
      <c r="AC32" s="12" t="str">
        <f t="shared" si="17"/>
        <v/>
      </c>
      <c r="AD32" s="81">
        <v>20</v>
      </c>
      <c r="AE32" s="12" t="str">
        <f t="shared" si="18"/>
        <v/>
      </c>
      <c r="AF32" s="81">
        <v>21</v>
      </c>
      <c r="AG32" s="12" t="str">
        <f t="shared" si="19"/>
        <v/>
      </c>
      <c r="AH32" s="81">
        <v>22</v>
      </c>
      <c r="AI32" s="12" t="str">
        <f t="shared" si="20"/>
        <v/>
      </c>
      <c r="AJ32" s="81">
        <v>22</v>
      </c>
      <c r="AK32" s="12" t="str">
        <f t="shared" si="21"/>
        <v/>
      </c>
      <c r="AL32" s="13">
        <f t="shared" si="3"/>
        <v>662</v>
      </c>
      <c r="AM32" s="69" t="s">
        <v>347</v>
      </c>
      <c r="AN32" s="14">
        <f t="shared" si="22"/>
        <v>1248</v>
      </c>
      <c r="AO32" s="14" t="str">
        <f t="shared" si="23"/>
        <v>PASS</v>
      </c>
      <c r="AP32" s="14" t="str">
        <f t="shared" si="4"/>
        <v>I</v>
      </c>
      <c r="AQ32" s="57" t="str">
        <f t="shared" si="24"/>
        <v xml:space="preserve">One Thousand Two Hundred Forty Eight </v>
      </c>
    </row>
    <row r="33" spans="2:44" ht="18" customHeight="1">
      <c r="B33" s="75">
        <v>146209</v>
      </c>
      <c r="C33" s="76" t="s">
        <v>288</v>
      </c>
      <c r="D33" s="59">
        <v>70</v>
      </c>
      <c r="E33" s="12" t="str">
        <f t="shared" si="5"/>
        <v/>
      </c>
      <c r="F33" s="81">
        <v>23</v>
      </c>
      <c r="G33" s="12" t="str">
        <f t="shared" si="6"/>
        <v/>
      </c>
      <c r="H33" s="81">
        <v>47</v>
      </c>
      <c r="I33" s="12" t="str">
        <f t="shared" si="7"/>
        <v/>
      </c>
      <c r="J33" s="59">
        <v>80</v>
      </c>
      <c r="K33" s="12" t="str">
        <f t="shared" si="8"/>
        <v/>
      </c>
      <c r="L33" s="81">
        <v>23</v>
      </c>
      <c r="M33" s="12" t="str">
        <f t="shared" si="9"/>
        <v/>
      </c>
      <c r="N33" s="81">
        <v>23</v>
      </c>
      <c r="O33" s="12" t="str">
        <f t="shared" si="10"/>
        <v/>
      </c>
      <c r="P33" s="59">
        <v>58</v>
      </c>
      <c r="Q33" s="12" t="str">
        <f t="shared" si="11"/>
        <v/>
      </c>
      <c r="R33" s="81">
        <v>23</v>
      </c>
      <c r="S33" s="12" t="str">
        <f t="shared" si="12"/>
        <v/>
      </c>
      <c r="T33" s="81">
        <v>47</v>
      </c>
      <c r="U33" s="12" t="str">
        <f t="shared" si="13"/>
        <v/>
      </c>
      <c r="V33" s="59">
        <v>70</v>
      </c>
      <c r="W33" s="12" t="str">
        <f t="shared" si="14"/>
        <v/>
      </c>
      <c r="X33" s="81">
        <v>23</v>
      </c>
      <c r="Y33" s="12" t="str">
        <f t="shared" si="15"/>
        <v/>
      </c>
      <c r="Z33" s="81">
        <v>21</v>
      </c>
      <c r="AA33" s="12" t="str">
        <f t="shared" si="16"/>
        <v/>
      </c>
      <c r="AB33" s="59">
        <v>63</v>
      </c>
      <c r="AC33" s="12" t="str">
        <f t="shared" si="17"/>
        <v/>
      </c>
      <c r="AD33" s="81">
        <v>23</v>
      </c>
      <c r="AE33" s="12" t="str">
        <f t="shared" si="18"/>
        <v/>
      </c>
      <c r="AF33" s="81">
        <v>23</v>
      </c>
      <c r="AG33" s="12" t="str">
        <f t="shared" si="19"/>
        <v/>
      </c>
      <c r="AH33" s="81">
        <v>23</v>
      </c>
      <c r="AI33" s="12" t="str">
        <f t="shared" si="20"/>
        <v/>
      </c>
      <c r="AJ33" s="81">
        <v>22</v>
      </c>
      <c r="AK33" s="12" t="str">
        <f t="shared" si="21"/>
        <v/>
      </c>
      <c r="AL33" s="13">
        <f t="shared" si="3"/>
        <v>662</v>
      </c>
      <c r="AM33" s="69" t="s">
        <v>348</v>
      </c>
      <c r="AN33" s="14">
        <f t="shared" si="22"/>
        <v>1277</v>
      </c>
      <c r="AO33" s="14" t="str">
        <f t="shared" si="23"/>
        <v>PASS</v>
      </c>
      <c r="AP33" s="14" t="str">
        <f t="shared" si="4"/>
        <v>I</v>
      </c>
      <c r="AQ33" s="57" t="str">
        <f t="shared" si="24"/>
        <v xml:space="preserve">One Thousand Two Hundred Seventy Seven </v>
      </c>
    </row>
    <row r="34" spans="2:44" ht="18" customHeight="1">
      <c r="B34" s="75">
        <v>146210</v>
      </c>
      <c r="C34" s="76" t="s">
        <v>189</v>
      </c>
      <c r="D34" s="59">
        <v>57</v>
      </c>
      <c r="E34" s="12" t="str">
        <f t="shared" si="5"/>
        <v/>
      </c>
      <c r="F34" s="81">
        <v>19</v>
      </c>
      <c r="G34" s="12" t="str">
        <f t="shared" si="6"/>
        <v/>
      </c>
      <c r="H34" s="81">
        <v>45</v>
      </c>
      <c r="I34" s="12" t="str">
        <f t="shared" si="7"/>
        <v/>
      </c>
      <c r="J34" s="59">
        <v>70</v>
      </c>
      <c r="K34" s="12" t="str">
        <f t="shared" si="8"/>
        <v/>
      </c>
      <c r="L34" s="81">
        <v>23</v>
      </c>
      <c r="M34" s="12" t="str">
        <f t="shared" si="9"/>
        <v/>
      </c>
      <c r="N34" s="81">
        <v>23</v>
      </c>
      <c r="O34" s="12" t="str">
        <f t="shared" si="10"/>
        <v/>
      </c>
      <c r="P34" s="59">
        <v>59</v>
      </c>
      <c r="Q34" s="12" t="str">
        <f t="shared" si="11"/>
        <v/>
      </c>
      <c r="R34" s="81">
        <v>20</v>
      </c>
      <c r="S34" s="12" t="str">
        <f t="shared" si="12"/>
        <v/>
      </c>
      <c r="T34" s="81">
        <v>45</v>
      </c>
      <c r="U34" s="12" t="str">
        <f t="shared" si="13"/>
        <v/>
      </c>
      <c r="V34" s="59">
        <v>55</v>
      </c>
      <c r="W34" s="12" t="str">
        <f t="shared" si="14"/>
        <v/>
      </c>
      <c r="X34" s="81">
        <v>22</v>
      </c>
      <c r="Y34" s="12" t="str">
        <f t="shared" si="15"/>
        <v/>
      </c>
      <c r="Z34" s="81">
        <v>19</v>
      </c>
      <c r="AA34" s="12" t="str">
        <f t="shared" si="16"/>
        <v/>
      </c>
      <c r="AB34" s="59">
        <v>55</v>
      </c>
      <c r="AC34" s="12" t="str">
        <f t="shared" si="17"/>
        <v/>
      </c>
      <c r="AD34" s="81">
        <v>21</v>
      </c>
      <c r="AE34" s="12" t="str">
        <f t="shared" si="18"/>
        <v/>
      </c>
      <c r="AF34" s="81">
        <v>22</v>
      </c>
      <c r="AG34" s="12" t="str">
        <f t="shared" si="19"/>
        <v/>
      </c>
      <c r="AH34" s="81">
        <v>21</v>
      </c>
      <c r="AI34" s="12" t="str">
        <f t="shared" si="20"/>
        <v/>
      </c>
      <c r="AJ34" s="81">
        <v>20</v>
      </c>
      <c r="AK34" s="12" t="str">
        <f t="shared" si="21"/>
        <v/>
      </c>
      <c r="AL34" s="13">
        <f t="shared" si="3"/>
        <v>596</v>
      </c>
      <c r="AM34" s="69" t="s">
        <v>349</v>
      </c>
      <c r="AN34" s="14">
        <f t="shared" si="22"/>
        <v>1158</v>
      </c>
      <c r="AO34" s="14" t="str">
        <f t="shared" si="23"/>
        <v>PASS</v>
      </c>
      <c r="AP34" s="14" t="str">
        <f t="shared" si="4"/>
        <v>I</v>
      </c>
      <c r="AQ34" s="57" t="str">
        <f t="shared" si="24"/>
        <v xml:space="preserve">One Thousand One Hundred Fifty Eight </v>
      </c>
    </row>
    <row r="35" spans="2:44" ht="18" customHeight="1">
      <c r="B35" s="75">
        <v>146211</v>
      </c>
      <c r="C35" s="76" t="s">
        <v>289</v>
      </c>
      <c r="D35" s="59">
        <v>46</v>
      </c>
      <c r="E35" s="12" t="str">
        <f t="shared" si="5"/>
        <v/>
      </c>
      <c r="F35" s="81">
        <v>22</v>
      </c>
      <c r="G35" s="12" t="str">
        <f t="shared" si="6"/>
        <v/>
      </c>
      <c r="H35" s="81">
        <v>43</v>
      </c>
      <c r="I35" s="12" t="str">
        <f t="shared" si="7"/>
        <v/>
      </c>
      <c r="J35" s="59">
        <v>67</v>
      </c>
      <c r="K35" s="12" t="str">
        <f t="shared" si="8"/>
        <v/>
      </c>
      <c r="L35" s="81">
        <v>22</v>
      </c>
      <c r="M35" s="12" t="str">
        <f t="shared" si="9"/>
        <v/>
      </c>
      <c r="N35" s="81">
        <v>22</v>
      </c>
      <c r="O35" s="12" t="str">
        <f t="shared" si="10"/>
        <v/>
      </c>
      <c r="P35" s="59" t="s">
        <v>449</v>
      </c>
      <c r="Q35" s="12" t="str">
        <f t="shared" si="11"/>
        <v/>
      </c>
      <c r="R35" s="81">
        <v>22</v>
      </c>
      <c r="S35" s="12" t="str">
        <f t="shared" si="12"/>
        <v/>
      </c>
      <c r="T35" s="81">
        <v>43</v>
      </c>
      <c r="U35" s="12" t="str">
        <f t="shared" si="13"/>
        <v/>
      </c>
      <c r="V35" s="59">
        <v>40</v>
      </c>
      <c r="W35" s="12" t="str">
        <f t="shared" si="14"/>
        <v/>
      </c>
      <c r="X35" s="81">
        <v>21</v>
      </c>
      <c r="Y35" s="12" t="str">
        <f t="shared" si="15"/>
        <v/>
      </c>
      <c r="Z35" s="81">
        <v>19</v>
      </c>
      <c r="AA35" s="12" t="str">
        <f t="shared" si="16"/>
        <v/>
      </c>
      <c r="AB35" s="59">
        <v>51</v>
      </c>
      <c r="AC35" s="12" t="str">
        <f t="shared" si="17"/>
        <v/>
      </c>
      <c r="AD35" s="81">
        <v>21</v>
      </c>
      <c r="AE35" s="12" t="str">
        <f t="shared" si="18"/>
        <v/>
      </c>
      <c r="AF35" s="81">
        <v>22</v>
      </c>
      <c r="AG35" s="12" t="str">
        <f t="shared" si="19"/>
        <v/>
      </c>
      <c r="AH35" s="81">
        <v>21</v>
      </c>
      <c r="AI35" s="12" t="str">
        <f t="shared" si="20"/>
        <v/>
      </c>
      <c r="AJ35" s="81">
        <v>20</v>
      </c>
      <c r="AK35" s="12" t="str">
        <f t="shared" si="21"/>
        <v/>
      </c>
      <c r="AL35" s="14" t="s">
        <v>450</v>
      </c>
      <c r="AM35" s="69" t="s">
        <v>350</v>
      </c>
      <c r="AN35" s="14">
        <f t="shared" si="22"/>
        <v>1088</v>
      </c>
      <c r="AO35" s="14" t="str">
        <f t="shared" si="23"/>
        <v>PASS</v>
      </c>
      <c r="AP35" s="14" t="str">
        <f t="shared" si="4"/>
        <v>I</v>
      </c>
      <c r="AQ35" s="57" t="str">
        <f t="shared" si="24"/>
        <v xml:space="preserve">One Thousand Eighty Eight </v>
      </c>
    </row>
    <row r="36" spans="2:44" ht="18" customHeight="1">
      <c r="B36" s="75">
        <v>146212</v>
      </c>
      <c r="C36" s="76" t="s">
        <v>290</v>
      </c>
      <c r="D36" s="59">
        <v>40</v>
      </c>
      <c r="E36" s="12" t="str">
        <f t="shared" si="5"/>
        <v/>
      </c>
      <c r="F36" s="81">
        <v>24</v>
      </c>
      <c r="G36" s="12" t="str">
        <f t="shared" si="6"/>
        <v/>
      </c>
      <c r="H36" s="81">
        <v>48</v>
      </c>
      <c r="I36" s="12" t="str">
        <f t="shared" si="7"/>
        <v/>
      </c>
      <c r="J36" s="59">
        <v>51</v>
      </c>
      <c r="K36" s="12" t="str">
        <f t="shared" si="8"/>
        <v/>
      </c>
      <c r="L36" s="81">
        <v>24</v>
      </c>
      <c r="M36" s="12" t="str">
        <f t="shared" si="9"/>
        <v/>
      </c>
      <c r="N36" s="81">
        <v>24</v>
      </c>
      <c r="O36" s="12" t="str">
        <f t="shared" si="10"/>
        <v/>
      </c>
      <c r="P36" s="59">
        <v>40</v>
      </c>
      <c r="Q36" s="12" t="str">
        <f t="shared" si="11"/>
        <v/>
      </c>
      <c r="R36" s="81">
        <v>24</v>
      </c>
      <c r="S36" s="12" t="str">
        <f t="shared" si="12"/>
        <v/>
      </c>
      <c r="T36" s="81">
        <v>48</v>
      </c>
      <c r="U36" s="12" t="str">
        <f t="shared" si="13"/>
        <v/>
      </c>
      <c r="V36" s="59">
        <v>45</v>
      </c>
      <c r="W36" s="12" t="str">
        <f t="shared" si="14"/>
        <v/>
      </c>
      <c r="X36" s="81">
        <v>24</v>
      </c>
      <c r="Y36" s="12" t="str">
        <f t="shared" si="15"/>
        <v/>
      </c>
      <c r="Z36" s="81">
        <v>21</v>
      </c>
      <c r="AA36" s="12" t="str">
        <f t="shared" si="16"/>
        <v/>
      </c>
      <c r="AB36" s="59">
        <v>47</v>
      </c>
      <c r="AC36" s="12" t="str">
        <f t="shared" si="17"/>
        <v/>
      </c>
      <c r="AD36" s="81">
        <v>24</v>
      </c>
      <c r="AE36" s="12" t="str">
        <f t="shared" si="18"/>
        <v/>
      </c>
      <c r="AF36" s="81">
        <v>22</v>
      </c>
      <c r="AG36" s="12" t="str">
        <f t="shared" si="19"/>
        <v/>
      </c>
      <c r="AH36" s="81">
        <v>21</v>
      </c>
      <c r="AI36" s="12" t="str">
        <f t="shared" si="20"/>
        <v/>
      </c>
      <c r="AJ36" s="81">
        <v>21</v>
      </c>
      <c r="AK36" s="12" t="str">
        <f t="shared" si="21"/>
        <v/>
      </c>
      <c r="AL36" s="13">
        <f t="shared" si="3"/>
        <v>548</v>
      </c>
      <c r="AM36" s="69" t="s">
        <v>351</v>
      </c>
      <c r="AN36" s="14">
        <f t="shared" si="22"/>
        <v>1058</v>
      </c>
      <c r="AO36" s="14" t="str">
        <f t="shared" si="23"/>
        <v>PASS</v>
      </c>
      <c r="AP36" s="14" t="str">
        <f t="shared" si="4"/>
        <v>I</v>
      </c>
      <c r="AQ36" s="57" t="str">
        <f t="shared" si="24"/>
        <v xml:space="preserve">One Thousand Fifty Eight </v>
      </c>
    </row>
    <row r="37" spans="2:44" ht="18" customHeight="1">
      <c r="B37" s="75">
        <v>146213</v>
      </c>
      <c r="C37" s="76" t="s">
        <v>190</v>
      </c>
      <c r="D37" s="59">
        <v>61</v>
      </c>
      <c r="E37" s="12" t="str">
        <f t="shared" si="5"/>
        <v/>
      </c>
      <c r="F37" s="81">
        <v>22</v>
      </c>
      <c r="G37" s="12" t="str">
        <f t="shared" si="6"/>
        <v/>
      </c>
      <c r="H37" s="81">
        <v>44</v>
      </c>
      <c r="I37" s="12" t="str">
        <f t="shared" si="7"/>
        <v/>
      </c>
      <c r="J37" s="59">
        <v>76</v>
      </c>
      <c r="K37" s="12" t="str">
        <f t="shared" si="8"/>
        <v/>
      </c>
      <c r="L37" s="81">
        <v>22</v>
      </c>
      <c r="M37" s="12" t="str">
        <f t="shared" si="9"/>
        <v/>
      </c>
      <c r="N37" s="81">
        <v>22</v>
      </c>
      <c r="O37" s="12" t="str">
        <f t="shared" si="10"/>
        <v/>
      </c>
      <c r="P37" s="59">
        <v>61</v>
      </c>
      <c r="Q37" s="12" t="str">
        <f t="shared" si="11"/>
        <v/>
      </c>
      <c r="R37" s="81">
        <v>19</v>
      </c>
      <c r="S37" s="12" t="str">
        <f t="shared" si="12"/>
        <v/>
      </c>
      <c r="T37" s="81">
        <v>44</v>
      </c>
      <c r="U37" s="12" t="str">
        <f t="shared" si="13"/>
        <v/>
      </c>
      <c r="V37" s="59">
        <v>48</v>
      </c>
      <c r="W37" s="12" t="str">
        <f t="shared" si="14"/>
        <v/>
      </c>
      <c r="X37" s="81">
        <v>19</v>
      </c>
      <c r="Y37" s="12" t="str">
        <f t="shared" si="15"/>
        <v/>
      </c>
      <c r="Z37" s="81">
        <v>20</v>
      </c>
      <c r="AA37" s="12" t="str">
        <f t="shared" si="16"/>
        <v/>
      </c>
      <c r="AB37" s="59">
        <v>56</v>
      </c>
      <c r="AC37" s="12" t="str">
        <f t="shared" si="17"/>
        <v/>
      </c>
      <c r="AD37" s="81">
        <v>20</v>
      </c>
      <c r="AE37" s="12" t="str">
        <f t="shared" si="18"/>
        <v/>
      </c>
      <c r="AF37" s="81">
        <v>20</v>
      </c>
      <c r="AG37" s="12" t="str">
        <f t="shared" si="19"/>
        <v/>
      </c>
      <c r="AH37" s="81">
        <v>20</v>
      </c>
      <c r="AI37" s="12" t="str">
        <f t="shared" si="20"/>
        <v/>
      </c>
      <c r="AJ37" s="81">
        <v>18</v>
      </c>
      <c r="AK37" s="12" t="str">
        <f t="shared" si="21"/>
        <v/>
      </c>
      <c r="AL37" s="13">
        <f t="shared" si="3"/>
        <v>592</v>
      </c>
      <c r="AM37" s="69" t="s">
        <v>422</v>
      </c>
      <c r="AN37" s="14">
        <f t="shared" si="22"/>
        <v>1123</v>
      </c>
      <c r="AO37" s="14" t="str">
        <f t="shared" si="23"/>
        <v>PASS</v>
      </c>
      <c r="AP37" s="14" t="str">
        <f t="shared" si="4"/>
        <v>P</v>
      </c>
      <c r="AQ37" s="57" t="str">
        <f t="shared" si="24"/>
        <v xml:space="preserve">One Thousand One Hundred Twenty Three </v>
      </c>
    </row>
    <row r="38" spans="2:44" ht="18" customHeight="1">
      <c r="B38" s="75">
        <v>146214</v>
      </c>
      <c r="C38" s="76" t="s">
        <v>191</v>
      </c>
      <c r="D38" s="59">
        <v>51</v>
      </c>
      <c r="E38" s="12" t="str">
        <f t="shared" si="5"/>
        <v/>
      </c>
      <c r="F38" s="81">
        <v>21</v>
      </c>
      <c r="G38" s="12" t="str">
        <f t="shared" si="6"/>
        <v/>
      </c>
      <c r="H38" s="81">
        <v>42</v>
      </c>
      <c r="I38" s="12" t="str">
        <f t="shared" si="7"/>
        <v/>
      </c>
      <c r="J38" s="59">
        <v>65</v>
      </c>
      <c r="K38" s="12" t="str">
        <f t="shared" si="8"/>
        <v/>
      </c>
      <c r="L38" s="81">
        <v>21</v>
      </c>
      <c r="M38" s="12" t="str">
        <f t="shared" si="9"/>
        <v/>
      </c>
      <c r="N38" s="81">
        <v>21</v>
      </c>
      <c r="O38" s="12" t="str">
        <f t="shared" si="10"/>
        <v/>
      </c>
      <c r="P38" s="59">
        <v>49</v>
      </c>
      <c r="Q38" s="12" t="str">
        <f t="shared" si="11"/>
        <v/>
      </c>
      <c r="R38" s="81">
        <v>19</v>
      </c>
      <c r="S38" s="12" t="str">
        <f t="shared" si="12"/>
        <v/>
      </c>
      <c r="T38" s="81">
        <v>42</v>
      </c>
      <c r="U38" s="12" t="str">
        <f t="shared" si="13"/>
        <v/>
      </c>
      <c r="V38" s="59">
        <v>48</v>
      </c>
      <c r="W38" s="12" t="str">
        <f t="shared" si="14"/>
        <v/>
      </c>
      <c r="X38" s="81">
        <v>21</v>
      </c>
      <c r="Y38" s="12" t="str">
        <f t="shared" si="15"/>
        <v/>
      </c>
      <c r="Z38" s="81">
        <v>17</v>
      </c>
      <c r="AA38" s="12" t="str">
        <f t="shared" si="16"/>
        <v/>
      </c>
      <c r="AB38" s="59">
        <v>43</v>
      </c>
      <c r="AC38" s="12" t="str">
        <f t="shared" si="17"/>
        <v/>
      </c>
      <c r="AD38" s="81">
        <v>20</v>
      </c>
      <c r="AE38" s="12" t="str">
        <f t="shared" si="18"/>
        <v/>
      </c>
      <c r="AF38" s="81">
        <v>20</v>
      </c>
      <c r="AG38" s="12" t="str">
        <f t="shared" si="19"/>
        <v/>
      </c>
      <c r="AH38" s="81">
        <v>20</v>
      </c>
      <c r="AI38" s="12" t="str">
        <f t="shared" si="20"/>
        <v/>
      </c>
      <c r="AJ38" s="81">
        <v>18</v>
      </c>
      <c r="AK38" s="12" t="str">
        <f t="shared" si="21"/>
        <v/>
      </c>
      <c r="AL38" s="13">
        <f t="shared" si="3"/>
        <v>538</v>
      </c>
      <c r="AM38" s="69" t="s">
        <v>352</v>
      </c>
      <c r="AN38" s="14">
        <f t="shared" si="22"/>
        <v>1024</v>
      </c>
      <c r="AO38" s="14" t="str">
        <f t="shared" si="23"/>
        <v>PASS</v>
      </c>
      <c r="AP38" s="14" t="str">
        <f t="shared" si="4"/>
        <v>I</v>
      </c>
      <c r="AQ38" s="57" t="str">
        <f t="shared" si="24"/>
        <v xml:space="preserve">One Thousand Twenty Four </v>
      </c>
    </row>
    <row r="39" spans="2:44" ht="18" customHeight="1">
      <c r="B39" s="75">
        <v>146215</v>
      </c>
      <c r="C39" s="76" t="s">
        <v>291</v>
      </c>
      <c r="D39" s="59">
        <v>49</v>
      </c>
      <c r="E39" s="12" t="str">
        <f t="shared" si="5"/>
        <v/>
      </c>
      <c r="F39" s="81">
        <v>23</v>
      </c>
      <c r="G39" s="12" t="str">
        <f t="shared" si="6"/>
        <v/>
      </c>
      <c r="H39" s="81">
        <v>45</v>
      </c>
      <c r="I39" s="12" t="str">
        <f t="shared" si="7"/>
        <v/>
      </c>
      <c r="J39" s="59">
        <v>65</v>
      </c>
      <c r="K39" s="12" t="str">
        <f t="shared" si="8"/>
        <v/>
      </c>
      <c r="L39" s="81">
        <v>23</v>
      </c>
      <c r="M39" s="12" t="str">
        <f t="shared" si="9"/>
        <v/>
      </c>
      <c r="N39" s="81">
        <v>23</v>
      </c>
      <c r="O39" s="12" t="str">
        <f t="shared" si="10"/>
        <v/>
      </c>
      <c r="P39" s="59">
        <v>50</v>
      </c>
      <c r="Q39" s="12" t="str">
        <f t="shared" si="11"/>
        <v/>
      </c>
      <c r="R39" s="81">
        <v>19</v>
      </c>
      <c r="S39" s="12" t="str">
        <f t="shared" si="12"/>
        <v/>
      </c>
      <c r="T39" s="81">
        <v>45</v>
      </c>
      <c r="U39" s="12" t="str">
        <f t="shared" si="13"/>
        <v/>
      </c>
      <c r="V39" s="59">
        <v>40</v>
      </c>
      <c r="W39" s="12" t="str">
        <f t="shared" si="14"/>
        <v/>
      </c>
      <c r="X39" s="81">
        <v>19</v>
      </c>
      <c r="Y39" s="12" t="str">
        <f t="shared" si="15"/>
        <v/>
      </c>
      <c r="Z39" s="81">
        <v>17</v>
      </c>
      <c r="AA39" s="12" t="str">
        <f t="shared" si="16"/>
        <v/>
      </c>
      <c r="AB39" s="59">
        <v>41</v>
      </c>
      <c r="AC39" s="12" t="str">
        <f t="shared" si="17"/>
        <v/>
      </c>
      <c r="AD39" s="81">
        <v>20</v>
      </c>
      <c r="AE39" s="12" t="str">
        <f t="shared" si="18"/>
        <v/>
      </c>
      <c r="AF39" s="81">
        <v>19</v>
      </c>
      <c r="AG39" s="12" t="str">
        <f t="shared" si="19"/>
        <v/>
      </c>
      <c r="AH39" s="81">
        <v>22</v>
      </c>
      <c r="AI39" s="12" t="str">
        <f t="shared" si="20"/>
        <v/>
      </c>
      <c r="AJ39" s="81">
        <v>20</v>
      </c>
      <c r="AK39" s="12" t="str">
        <f t="shared" si="21"/>
        <v/>
      </c>
      <c r="AL39" s="14">
        <f t="shared" si="3"/>
        <v>540</v>
      </c>
      <c r="AM39" s="69" t="s">
        <v>353</v>
      </c>
      <c r="AN39" s="14">
        <f t="shared" si="22"/>
        <v>1035</v>
      </c>
      <c r="AO39" s="14" t="str">
        <f t="shared" si="23"/>
        <v>PASS</v>
      </c>
      <c r="AP39" s="14" t="str">
        <f t="shared" si="4"/>
        <v>I</v>
      </c>
      <c r="AQ39" s="57" t="str">
        <f t="shared" si="24"/>
        <v xml:space="preserve">One Thousand Thirty Five </v>
      </c>
    </row>
    <row r="40" spans="2:44" ht="18" customHeight="1">
      <c r="B40" s="75">
        <v>146216</v>
      </c>
      <c r="C40" s="76" t="s">
        <v>192</v>
      </c>
      <c r="D40" s="59">
        <v>58</v>
      </c>
      <c r="E40" s="12" t="str">
        <f t="shared" si="5"/>
        <v/>
      </c>
      <c r="F40" s="81">
        <v>24</v>
      </c>
      <c r="G40" s="12" t="str">
        <f t="shared" si="6"/>
        <v/>
      </c>
      <c r="H40" s="81">
        <v>47</v>
      </c>
      <c r="I40" s="12" t="str">
        <f t="shared" si="7"/>
        <v/>
      </c>
      <c r="J40" s="59">
        <v>66</v>
      </c>
      <c r="K40" s="12" t="str">
        <f t="shared" si="8"/>
        <v/>
      </c>
      <c r="L40" s="81">
        <v>24</v>
      </c>
      <c r="M40" s="12" t="str">
        <f t="shared" si="9"/>
        <v/>
      </c>
      <c r="N40" s="81">
        <v>24</v>
      </c>
      <c r="O40" s="12" t="str">
        <f t="shared" si="10"/>
        <v/>
      </c>
      <c r="P40" s="59">
        <v>58</v>
      </c>
      <c r="Q40" s="12" t="str">
        <f t="shared" si="11"/>
        <v/>
      </c>
      <c r="R40" s="81">
        <v>24</v>
      </c>
      <c r="S40" s="12" t="str">
        <f t="shared" si="12"/>
        <v/>
      </c>
      <c r="T40" s="81">
        <v>47</v>
      </c>
      <c r="U40" s="12" t="str">
        <f t="shared" si="13"/>
        <v/>
      </c>
      <c r="V40" s="59">
        <v>52</v>
      </c>
      <c r="W40" s="12" t="str">
        <f t="shared" si="14"/>
        <v/>
      </c>
      <c r="X40" s="81">
        <v>21</v>
      </c>
      <c r="Y40" s="12" t="str">
        <f t="shared" si="15"/>
        <v/>
      </c>
      <c r="Z40" s="81">
        <v>22</v>
      </c>
      <c r="AA40" s="12" t="str">
        <f t="shared" si="16"/>
        <v/>
      </c>
      <c r="AB40" s="59">
        <v>47</v>
      </c>
      <c r="AC40" s="12" t="str">
        <f t="shared" si="17"/>
        <v/>
      </c>
      <c r="AD40" s="81">
        <v>21</v>
      </c>
      <c r="AE40" s="12" t="str">
        <f t="shared" si="18"/>
        <v/>
      </c>
      <c r="AF40" s="81">
        <v>22</v>
      </c>
      <c r="AG40" s="12" t="str">
        <f t="shared" si="19"/>
        <v/>
      </c>
      <c r="AH40" s="81">
        <v>22</v>
      </c>
      <c r="AI40" s="12" t="str">
        <f t="shared" si="20"/>
        <v/>
      </c>
      <c r="AJ40" s="81">
        <v>20</v>
      </c>
      <c r="AK40" s="12" t="str">
        <f t="shared" si="21"/>
        <v/>
      </c>
      <c r="AL40" s="14">
        <f t="shared" si="3"/>
        <v>599</v>
      </c>
      <c r="AM40" s="69" t="s">
        <v>354</v>
      </c>
      <c r="AN40" s="14">
        <f t="shared" si="22"/>
        <v>1131</v>
      </c>
      <c r="AO40" s="14" t="str">
        <f t="shared" si="23"/>
        <v>PASS</v>
      </c>
      <c r="AP40" s="14" t="str">
        <f t="shared" si="4"/>
        <v>I</v>
      </c>
      <c r="AQ40" s="57" t="str">
        <f t="shared" si="24"/>
        <v xml:space="preserve">One Thousand One Hundred Thirty One </v>
      </c>
    </row>
    <row r="41" spans="2:44" ht="18" customHeight="1">
      <c r="B41" s="75">
        <v>146217</v>
      </c>
      <c r="C41" s="76" t="s">
        <v>292</v>
      </c>
      <c r="D41" s="59">
        <v>50</v>
      </c>
      <c r="E41" s="12" t="str">
        <f t="shared" si="5"/>
        <v/>
      </c>
      <c r="F41" s="81">
        <v>20</v>
      </c>
      <c r="G41" s="12" t="str">
        <f t="shared" si="6"/>
        <v/>
      </c>
      <c r="H41" s="81">
        <v>43</v>
      </c>
      <c r="I41" s="12" t="str">
        <f t="shared" si="7"/>
        <v/>
      </c>
      <c r="J41" s="59">
        <v>54</v>
      </c>
      <c r="K41" s="12" t="str">
        <f t="shared" si="8"/>
        <v/>
      </c>
      <c r="L41" s="81">
        <v>20</v>
      </c>
      <c r="M41" s="12" t="str">
        <f t="shared" si="9"/>
        <v/>
      </c>
      <c r="N41" s="81">
        <v>20</v>
      </c>
      <c r="O41" s="12" t="str">
        <f t="shared" si="10"/>
        <v/>
      </c>
      <c r="P41" s="59">
        <v>67</v>
      </c>
      <c r="Q41" s="12" t="str">
        <f t="shared" si="11"/>
        <v/>
      </c>
      <c r="R41" s="81">
        <v>20</v>
      </c>
      <c r="S41" s="12" t="str">
        <f t="shared" si="12"/>
        <v/>
      </c>
      <c r="T41" s="81">
        <v>43</v>
      </c>
      <c r="U41" s="12" t="str">
        <f t="shared" si="13"/>
        <v/>
      </c>
      <c r="V41" s="59">
        <v>40</v>
      </c>
      <c r="W41" s="12" t="str">
        <f t="shared" si="14"/>
        <v/>
      </c>
      <c r="X41" s="81">
        <v>18</v>
      </c>
      <c r="Y41" s="12" t="str">
        <f t="shared" si="15"/>
        <v/>
      </c>
      <c r="Z41" s="81">
        <v>20</v>
      </c>
      <c r="AA41" s="12" t="str">
        <f t="shared" si="16"/>
        <v/>
      </c>
      <c r="AB41" s="59">
        <v>49</v>
      </c>
      <c r="AC41" s="12" t="str">
        <f t="shared" si="17"/>
        <v/>
      </c>
      <c r="AD41" s="81">
        <v>19</v>
      </c>
      <c r="AE41" s="12" t="str">
        <f t="shared" si="18"/>
        <v/>
      </c>
      <c r="AF41" s="81">
        <v>18</v>
      </c>
      <c r="AG41" s="12" t="str">
        <f t="shared" si="19"/>
        <v/>
      </c>
      <c r="AH41" s="81">
        <v>21</v>
      </c>
      <c r="AI41" s="12" t="str">
        <f t="shared" si="20"/>
        <v/>
      </c>
      <c r="AJ41" s="81">
        <v>19</v>
      </c>
      <c r="AK41" s="12" t="str">
        <f t="shared" si="21"/>
        <v/>
      </c>
      <c r="AL41" s="14">
        <f t="shared" si="3"/>
        <v>541</v>
      </c>
      <c r="AM41" s="69" t="s">
        <v>419</v>
      </c>
      <c r="AN41" s="14">
        <f t="shared" si="22"/>
        <v>1067</v>
      </c>
      <c r="AO41" s="14" t="str">
        <f t="shared" si="23"/>
        <v>PASS</v>
      </c>
      <c r="AP41" s="14" t="str">
        <f t="shared" si="4"/>
        <v>P</v>
      </c>
      <c r="AQ41" s="57" t="str">
        <f t="shared" si="24"/>
        <v xml:space="preserve">One Thousand Sixty Seven </v>
      </c>
      <c r="AR41" s="67">
        <f>COUNTIF(AO24:AO38,"ABSENT")</f>
        <v>0</v>
      </c>
    </row>
    <row r="42" spans="2:44" ht="18" customHeight="1">
      <c r="B42" s="75">
        <v>146218</v>
      </c>
      <c r="C42" s="76" t="s">
        <v>193</v>
      </c>
      <c r="D42" s="59">
        <v>41</v>
      </c>
      <c r="E42" s="12" t="str">
        <f t="shared" ref="E42:E105" si="25">IF(IFERROR(FIND("+",D42),0)," ",
IF(D42="AB","",
IF(D42&lt;$D$24,"F",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F42" s="81">
        <v>20</v>
      </c>
      <c r="G42" s="12" t="str">
        <f t="shared" ref="G42:G105" si="26">IF(IFERROR(FIND("+",F42),0)," ",
IF(F42="AB","",
IF(F42&lt;$F$24,"F",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H42" s="81">
        <v>40</v>
      </c>
      <c r="I42" s="12" t="str">
        <f t="shared" ref="I42:I105" si="27">IF(IFERROR(FIND("+",H42),0)," ",
IF(H42="AB","",
IF(H42&lt;$H$24,"F",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J42" s="59">
        <v>62</v>
      </c>
      <c r="K42" s="12" t="str">
        <f t="shared" ref="K42:K105" si="28">IF(IFERROR(FIND("+",J42),0)," ",
IF(J42="AB","",
IF(J42&lt;$J$24,"F",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L42" s="81">
        <v>19</v>
      </c>
      <c r="M42" s="12" t="str">
        <f t="shared" ref="M42:M105" si="29">IF(IFERROR(FIND("+",L42),0)," ",
IF(L42="AB","",
IF(L42&lt;$L$24,"F",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N42" s="81">
        <v>20</v>
      </c>
      <c r="O42" s="12" t="str">
        <f t="shared" ref="O42:O105" si="30">IF(IFERROR(FIND("+",N42),0)," ",
IF(N42="AB","",
IF(N42&lt;$N$24,"F",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P42" s="59">
        <v>42</v>
      </c>
      <c r="Q42" s="12" t="str">
        <f t="shared" ref="Q42:Q105" si="31">IF(IFERROR(FIND("+",P42),0)," ",
IF(P42="AB","",
IF(P42&lt;$P$24,"F",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R42" s="81">
        <v>20</v>
      </c>
      <c r="S42" s="12" t="str">
        <f t="shared" ref="S42:S105" si="32">IF(IFERROR(FIND("+",R42),0)," ",
IF(R42="AB","",
IF(R42&lt;$R$24,"F",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T42" s="81">
        <v>41</v>
      </c>
      <c r="U42" s="12" t="str">
        <f t="shared" ref="U42:U105" si="33">IF(IFERROR(FIND("+",T42),0)," ",
IF(T42="AB","",
IF(T42&lt;$T$24,"F",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V42" s="59" t="s">
        <v>451</v>
      </c>
      <c r="W42" s="12" t="str">
        <f t="shared" ref="W42:W105" si="34">IF(IFERROR(FIND("+",V42),0)," ",
IF(V42="AB","",
IF(V42&lt;$V$24,"F",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X42" s="81">
        <v>16</v>
      </c>
      <c r="Y42" s="12" t="str">
        <f t="shared" ref="Y42:Y105" si="35">IF(IFERROR(FIND("+",X42),0)," ",
IF(X42="AB","",
IF(X42&lt;$X$24,"F",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Z42" s="81">
        <v>20</v>
      </c>
      <c r="AA42" s="12" t="str">
        <f t="shared" ref="AA42:AA105" si="36">IF(IFERROR(FIND("+",Z42),0)," ",
IF(Z42="AB","",
IF(Z42&lt;$Z$24,"F",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AB42" s="59">
        <v>42</v>
      </c>
      <c r="AC42" s="12" t="str">
        <f t="shared" ref="AC42:AC105" si="37">IF(IFERROR(FIND("+",AB42),0)," ",
IF(AB42="AB","",
IF(AB42&lt;$AB$24,"F",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AD42" s="81">
        <v>18</v>
      </c>
      <c r="AE42" s="12" t="str">
        <f t="shared" ref="AE42:AE105" si="38">IF(IFERROR(FIND("+",AD42),0)," ",
IF(AD42="AB","",
IF(AD42&lt;$AD$24,"F",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AF42" s="81">
        <v>17</v>
      </c>
      <c r="AG42" s="12" t="str">
        <f t="shared" ref="AG42:AG105" si="39">IF(IFERROR(FIND("+",AF42),0)," ",
IF(AF42="AB","",
IF(AF42&lt;$AF$24,"F",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AH42" s="81">
        <v>20</v>
      </c>
      <c r="AI42" s="12" t="str">
        <f t="shared" ref="AI42:AI105" si="40">IF(IFERROR(FIND("+",AH42),0)," ",
IF(AH42="AB","",
IF(AH42&lt;$AH$24,"F",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AH42&lt;&gt;"AB",AJ42&lt;&gt;"AB"),"","E"))))</f>
        <v/>
      </c>
      <c r="AJ42" s="81">
        <v>18</v>
      </c>
      <c r="AK42" s="12" t="str">
        <f t="shared" ref="AK42:AK105" si="41">IF(IFERROR(FIND("+",AJ42),0)," ",
IF(AJ42="AB","",
IF(AJ42&lt;$AJ$24,"F",
IF(AND(D42&gt;=$D$24,F42&gt;=$F$24,H42&gt;=$H$24,
J42&gt;=$J$24,L42&gt;=$L$24,
N42&gt;=$N$24,P42&gt;=$P$24,R42&gt;=$R$24,T42&gt;=$T$24,V42&gt;=$V$24,
X42&gt;=$X$24,Z42&gt;=$Z$24,AB42&gt;=$AB$24,AD42&gt;=$AD$24,AF42&gt;=$AF$24,
AH42&gt;=$AH$24,AJ42&gt;=$AJ$24,D42&lt;&gt;"AB",F42&lt;&gt;"AB",H42&lt;&gt;"AB",
J42&lt;&gt;"AB",L42&lt;&gt;"AB",
N42&lt;&gt;"AB",P42&lt;&gt;"AB",R42&lt;&gt;"AB",T42&lt;&gt;"AB",V42&lt;&gt;"AB",
X42&lt;&gt;"AB",Z42&lt;&gt;"AB",AB42&lt;&gt;"AB",AD42&lt;&gt;"AB",AF42&lt;&gt;"AB",
AH42&lt;&gt;"AB",AI42&lt;&gt;"AB"),"","E"))))</f>
        <v/>
      </c>
      <c r="AL42" s="14" t="s">
        <v>452</v>
      </c>
      <c r="AM42" s="69" t="s">
        <v>355</v>
      </c>
      <c r="AN42" s="14">
        <f t="shared" si="22"/>
        <v>940</v>
      </c>
      <c r="AO42" s="14" t="str">
        <f t="shared" si="23"/>
        <v>PASS</v>
      </c>
      <c r="AP42" s="14" t="str">
        <f t="shared" si="4"/>
        <v>II</v>
      </c>
    </row>
    <row r="43" spans="2:44" ht="18" customHeight="1">
      <c r="B43" s="75">
        <v>146219</v>
      </c>
      <c r="C43" s="76" t="s">
        <v>194</v>
      </c>
      <c r="D43" s="59">
        <v>55</v>
      </c>
      <c r="E43" s="12" t="str">
        <f t="shared" si="25"/>
        <v/>
      </c>
      <c r="F43" s="81">
        <v>23</v>
      </c>
      <c r="G43" s="12" t="str">
        <f t="shared" si="26"/>
        <v/>
      </c>
      <c r="H43" s="81">
        <v>45</v>
      </c>
      <c r="I43" s="12" t="str">
        <f t="shared" si="27"/>
        <v/>
      </c>
      <c r="J43" s="59">
        <v>77</v>
      </c>
      <c r="K43" s="12" t="str">
        <f t="shared" si="28"/>
        <v/>
      </c>
      <c r="L43" s="81">
        <v>23</v>
      </c>
      <c r="M43" s="12" t="str">
        <f t="shared" si="29"/>
        <v/>
      </c>
      <c r="N43" s="81">
        <v>23</v>
      </c>
      <c r="O43" s="12" t="str">
        <f t="shared" si="30"/>
        <v/>
      </c>
      <c r="P43" s="59">
        <v>55</v>
      </c>
      <c r="Q43" s="12" t="str">
        <f t="shared" si="31"/>
        <v/>
      </c>
      <c r="R43" s="81">
        <v>23</v>
      </c>
      <c r="S43" s="12" t="str">
        <f t="shared" si="32"/>
        <v/>
      </c>
      <c r="T43" s="81">
        <v>45</v>
      </c>
      <c r="U43" s="12" t="str">
        <f t="shared" si="33"/>
        <v/>
      </c>
      <c r="V43" s="59">
        <v>64</v>
      </c>
      <c r="W43" s="12" t="str">
        <f t="shared" si="34"/>
        <v/>
      </c>
      <c r="X43" s="81">
        <v>23</v>
      </c>
      <c r="Y43" s="12" t="str">
        <f t="shared" si="35"/>
        <v/>
      </c>
      <c r="Z43" s="81">
        <v>22</v>
      </c>
      <c r="AA43" s="12" t="str">
        <f t="shared" si="36"/>
        <v/>
      </c>
      <c r="AB43" s="59">
        <v>52</v>
      </c>
      <c r="AC43" s="12" t="str">
        <f t="shared" si="37"/>
        <v/>
      </c>
      <c r="AD43" s="81">
        <v>21</v>
      </c>
      <c r="AE43" s="12" t="str">
        <f t="shared" si="38"/>
        <v/>
      </c>
      <c r="AF43" s="81">
        <v>22</v>
      </c>
      <c r="AG43" s="12" t="str">
        <f t="shared" si="39"/>
        <v/>
      </c>
      <c r="AH43" s="81">
        <v>23</v>
      </c>
      <c r="AI43" s="12" t="str">
        <f t="shared" si="40"/>
        <v/>
      </c>
      <c r="AJ43" s="81">
        <v>21</v>
      </c>
      <c r="AK43" s="12" t="str">
        <f t="shared" si="41"/>
        <v/>
      </c>
      <c r="AL43" s="14">
        <f t="shared" si="3"/>
        <v>617</v>
      </c>
      <c r="AM43" s="69" t="s">
        <v>356</v>
      </c>
      <c r="AN43" s="14">
        <f t="shared" si="22"/>
        <v>1176</v>
      </c>
      <c r="AO43" s="14" t="str">
        <f t="shared" si="23"/>
        <v>PASS</v>
      </c>
      <c r="AP43" s="14" t="str">
        <f t="shared" si="4"/>
        <v>I</v>
      </c>
    </row>
    <row r="44" spans="2:44" ht="18" customHeight="1">
      <c r="B44" s="75">
        <v>146220</v>
      </c>
      <c r="C44" s="76" t="s">
        <v>195</v>
      </c>
      <c r="D44" s="59">
        <v>46</v>
      </c>
      <c r="E44" s="12" t="str">
        <f t="shared" si="25"/>
        <v/>
      </c>
      <c r="F44" s="81">
        <v>23</v>
      </c>
      <c r="G44" s="12" t="str">
        <f t="shared" si="26"/>
        <v/>
      </c>
      <c r="H44" s="81">
        <v>44</v>
      </c>
      <c r="I44" s="12" t="str">
        <f t="shared" si="27"/>
        <v/>
      </c>
      <c r="J44" s="59">
        <v>57</v>
      </c>
      <c r="K44" s="12" t="str">
        <f t="shared" si="28"/>
        <v/>
      </c>
      <c r="L44" s="81">
        <v>23</v>
      </c>
      <c r="M44" s="12" t="str">
        <f t="shared" si="29"/>
        <v/>
      </c>
      <c r="N44" s="81">
        <v>23</v>
      </c>
      <c r="O44" s="12" t="str">
        <f t="shared" si="30"/>
        <v/>
      </c>
      <c r="P44" s="59">
        <v>52</v>
      </c>
      <c r="Q44" s="12" t="str">
        <f t="shared" si="31"/>
        <v/>
      </c>
      <c r="R44" s="81">
        <v>23</v>
      </c>
      <c r="S44" s="12" t="str">
        <f t="shared" si="32"/>
        <v/>
      </c>
      <c r="T44" s="81">
        <v>44</v>
      </c>
      <c r="U44" s="12" t="str">
        <f t="shared" si="33"/>
        <v/>
      </c>
      <c r="V44" s="59">
        <v>41</v>
      </c>
      <c r="W44" s="12" t="str">
        <f t="shared" si="34"/>
        <v/>
      </c>
      <c r="X44" s="81">
        <v>23</v>
      </c>
      <c r="Y44" s="12" t="str">
        <f t="shared" si="35"/>
        <v/>
      </c>
      <c r="Z44" s="81">
        <v>19</v>
      </c>
      <c r="AA44" s="12" t="str">
        <f t="shared" si="36"/>
        <v/>
      </c>
      <c r="AB44" s="59">
        <v>44</v>
      </c>
      <c r="AC44" s="12" t="str">
        <f t="shared" si="37"/>
        <v/>
      </c>
      <c r="AD44" s="81">
        <v>23</v>
      </c>
      <c r="AE44" s="12" t="str">
        <f t="shared" si="38"/>
        <v/>
      </c>
      <c r="AF44" s="81">
        <v>23</v>
      </c>
      <c r="AG44" s="12" t="str">
        <f t="shared" si="39"/>
        <v/>
      </c>
      <c r="AH44" s="81">
        <v>23</v>
      </c>
      <c r="AI44" s="12" t="str">
        <f t="shared" si="40"/>
        <v/>
      </c>
      <c r="AJ44" s="81">
        <v>20</v>
      </c>
      <c r="AK44" s="12" t="str">
        <f t="shared" si="41"/>
        <v/>
      </c>
      <c r="AL44" s="14">
        <f t="shared" si="3"/>
        <v>551</v>
      </c>
      <c r="AM44" s="69" t="s">
        <v>423</v>
      </c>
      <c r="AN44" s="14">
        <f t="shared" si="22"/>
        <v>1042</v>
      </c>
      <c r="AO44" s="14" t="str">
        <f t="shared" si="23"/>
        <v>PASS</v>
      </c>
      <c r="AP44" s="14" t="str">
        <f t="shared" si="4"/>
        <v>I</v>
      </c>
    </row>
    <row r="45" spans="2:44" ht="18" customHeight="1">
      <c r="B45" s="75">
        <v>146221</v>
      </c>
      <c r="C45" s="76" t="s">
        <v>196</v>
      </c>
      <c r="D45" s="59">
        <v>63</v>
      </c>
      <c r="E45" s="12" t="str">
        <f t="shared" si="25"/>
        <v/>
      </c>
      <c r="F45" s="81">
        <v>21</v>
      </c>
      <c r="G45" s="12" t="str">
        <f t="shared" si="26"/>
        <v/>
      </c>
      <c r="H45" s="81">
        <v>45</v>
      </c>
      <c r="I45" s="12" t="str">
        <f t="shared" si="27"/>
        <v/>
      </c>
      <c r="J45" s="59">
        <v>67</v>
      </c>
      <c r="K45" s="12" t="str">
        <f t="shared" si="28"/>
        <v/>
      </c>
      <c r="L45" s="81">
        <v>21</v>
      </c>
      <c r="M45" s="12" t="str">
        <f t="shared" si="29"/>
        <v/>
      </c>
      <c r="N45" s="81">
        <v>21</v>
      </c>
      <c r="O45" s="12" t="str">
        <f t="shared" si="30"/>
        <v/>
      </c>
      <c r="P45" s="59">
        <v>61</v>
      </c>
      <c r="Q45" s="12" t="str">
        <f t="shared" si="31"/>
        <v/>
      </c>
      <c r="R45" s="81">
        <v>21</v>
      </c>
      <c r="S45" s="12" t="str">
        <f t="shared" si="32"/>
        <v/>
      </c>
      <c r="T45" s="81">
        <v>45</v>
      </c>
      <c r="U45" s="12" t="str">
        <f t="shared" si="33"/>
        <v/>
      </c>
      <c r="V45" s="59">
        <v>61</v>
      </c>
      <c r="W45" s="12" t="str">
        <f t="shared" si="34"/>
        <v/>
      </c>
      <c r="X45" s="81">
        <v>23</v>
      </c>
      <c r="Y45" s="12" t="str">
        <f t="shared" si="35"/>
        <v/>
      </c>
      <c r="Z45" s="81">
        <v>20</v>
      </c>
      <c r="AA45" s="12" t="str">
        <f t="shared" si="36"/>
        <v/>
      </c>
      <c r="AB45" s="59">
        <v>57</v>
      </c>
      <c r="AC45" s="12" t="str">
        <f t="shared" si="37"/>
        <v/>
      </c>
      <c r="AD45" s="81">
        <v>21</v>
      </c>
      <c r="AE45" s="12" t="str">
        <f t="shared" si="38"/>
        <v/>
      </c>
      <c r="AF45" s="81">
        <v>21</v>
      </c>
      <c r="AG45" s="12" t="str">
        <f t="shared" si="39"/>
        <v/>
      </c>
      <c r="AH45" s="81">
        <v>22</v>
      </c>
      <c r="AI45" s="12" t="str">
        <f t="shared" si="40"/>
        <v/>
      </c>
      <c r="AJ45" s="81">
        <v>19</v>
      </c>
      <c r="AK45" s="12" t="str">
        <f t="shared" si="41"/>
        <v/>
      </c>
      <c r="AL45" s="14">
        <f t="shared" si="3"/>
        <v>609</v>
      </c>
      <c r="AM45" s="69" t="s">
        <v>357</v>
      </c>
      <c r="AN45" s="14">
        <f t="shared" si="22"/>
        <v>1118</v>
      </c>
      <c r="AO45" s="14" t="str">
        <f t="shared" si="23"/>
        <v>PASS</v>
      </c>
      <c r="AP45" s="14" t="str">
        <f t="shared" si="4"/>
        <v>I</v>
      </c>
    </row>
    <row r="46" spans="2:44" ht="18" customHeight="1">
      <c r="B46" s="75">
        <v>146222</v>
      </c>
      <c r="C46" s="76" t="s">
        <v>293</v>
      </c>
      <c r="D46" s="59">
        <v>40</v>
      </c>
      <c r="E46" s="12" t="str">
        <f t="shared" si="25"/>
        <v/>
      </c>
      <c r="F46" s="81">
        <v>22</v>
      </c>
      <c r="G46" s="12" t="str">
        <f t="shared" si="26"/>
        <v/>
      </c>
      <c r="H46" s="81">
        <v>46</v>
      </c>
      <c r="I46" s="12" t="str">
        <f t="shared" si="27"/>
        <v/>
      </c>
      <c r="J46" s="59">
        <v>66</v>
      </c>
      <c r="K46" s="12" t="str">
        <f t="shared" si="28"/>
        <v/>
      </c>
      <c r="L46" s="81">
        <v>21</v>
      </c>
      <c r="M46" s="12" t="str">
        <f t="shared" si="29"/>
        <v/>
      </c>
      <c r="N46" s="81">
        <v>21</v>
      </c>
      <c r="O46" s="12" t="str">
        <f t="shared" si="30"/>
        <v/>
      </c>
      <c r="P46" s="59">
        <v>42</v>
      </c>
      <c r="Q46" s="12" t="str">
        <f t="shared" si="31"/>
        <v/>
      </c>
      <c r="R46" s="81">
        <v>22</v>
      </c>
      <c r="S46" s="12" t="str">
        <f t="shared" si="32"/>
        <v/>
      </c>
      <c r="T46" s="81">
        <v>46</v>
      </c>
      <c r="U46" s="12" t="str">
        <f t="shared" si="33"/>
        <v/>
      </c>
      <c r="V46" s="59">
        <v>44</v>
      </c>
      <c r="W46" s="12" t="str">
        <f t="shared" si="34"/>
        <v/>
      </c>
      <c r="X46" s="81">
        <v>21</v>
      </c>
      <c r="Y46" s="12" t="str">
        <f t="shared" si="35"/>
        <v/>
      </c>
      <c r="Z46" s="81">
        <v>21</v>
      </c>
      <c r="AA46" s="12" t="str">
        <f t="shared" si="36"/>
        <v/>
      </c>
      <c r="AB46" s="59">
        <v>53</v>
      </c>
      <c r="AC46" s="12" t="str">
        <f t="shared" si="37"/>
        <v/>
      </c>
      <c r="AD46" s="81">
        <v>20</v>
      </c>
      <c r="AE46" s="12" t="str">
        <f t="shared" si="38"/>
        <v/>
      </c>
      <c r="AF46" s="81">
        <v>20</v>
      </c>
      <c r="AG46" s="12" t="str">
        <f t="shared" si="39"/>
        <v/>
      </c>
      <c r="AH46" s="81">
        <v>21</v>
      </c>
      <c r="AI46" s="12" t="str">
        <f t="shared" si="40"/>
        <v/>
      </c>
      <c r="AJ46" s="81">
        <v>19</v>
      </c>
      <c r="AK46" s="12" t="str">
        <f t="shared" si="41"/>
        <v/>
      </c>
      <c r="AL46" s="14">
        <f t="shared" si="3"/>
        <v>545</v>
      </c>
      <c r="AM46" s="69" t="s">
        <v>354</v>
      </c>
      <c r="AN46" s="14">
        <f t="shared" si="22"/>
        <v>1077</v>
      </c>
      <c r="AO46" s="14" t="str">
        <f t="shared" si="23"/>
        <v>PASS</v>
      </c>
      <c r="AP46" s="14" t="str">
        <f t="shared" si="4"/>
        <v>I</v>
      </c>
    </row>
    <row r="47" spans="2:44" ht="18" customHeight="1">
      <c r="B47" s="75">
        <v>146223</v>
      </c>
      <c r="C47" s="76" t="s">
        <v>197</v>
      </c>
      <c r="D47" s="59">
        <v>46</v>
      </c>
      <c r="E47" s="12" t="str">
        <f t="shared" si="25"/>
        <v/>
      </c>
      <c r="F47" s="81">
        <v>23</v>
      </c>
      <c r="G47" s="12" t="str">
        <f t="shared" si="26"/>
        <v/>
      </c>
      <c r="H47" s="81">
        <v>44</v>
      </c>
      <c r="I47" s="12" t="str">
        <f t="shared" si="27"/>
        <v/>
      </c>
      <c r="J47" s="59">
        <v>59</v>
      </c>
      <c r="K47" s="12" t="str">
        <f t="shared" si="28"/>
        <v/>
      </c>
      <c r="L47" s="81">
        <v>23</v>
      </c>
      <c r="M47" s="12" t="str">
        <f t="shared" si="29"/>
        <v/>
      </c>
      <c r="N47" s="81">
        <v>23</v>
      </c>
      <c r="O47" s="12" t="str">
        <f t="shared" si="30"/>
        <v/>
      </c>
      <c r="P47" s="59">
        <v>53</v>
      </c>
      <c r="Q47" s="12" t="str">
        <f t="shared" si="31"/>
        <v/>
      </c>
      <c r="R47" s="81">
        <v>20</v>
      </c>
      <c r="S47" s="12" t="str">
        <f t="shared" si="32"/>
        <v/>
      </c>
      <c r="T47" s="81">
        <v>44</v>
      </c>
      <c r="U47" s="12" t="str">
        <f t="shared" si="33"/>
        <v/>
      </c>
      <c r="V47" s="59">
        <v>44</v>
      </c>
      <c r="W47" s="12" t="str">
        <f t="shared" si="34"/>
        <v/>
      </c>
      <c r="X47" s="81">
        <v>22</v>
      </c>
      <c r="Y47" s="12" t="str">
        <f t="shared" si="35"/>
        <v/>
      </c>
      <c r="Z47" s="81">
        <v>20</v>
      </c>
      <c r="AA47" s="12" t="str">
        <f t="shared" si="36"/>
        <v/>
      </c>
      <c r="AB47" s="59">
        <v>40</v>
      </c>
      <c r="AC47" s="12" t="str">
        <f t="shared" si="37"/>
        <v/>
      </c>
      <c r="AD47" s="81">
        <v>23</v>
      </c>
      <c r="AE47" s="12" t="str">
        <f t="shared" si="38"/>
        <v/>
      </c>
      <c r="AF47" s="81">
        <v>23</v>
      </c>
      <c r="AG47" s="12" t="str">
        <f t="shared" si="39"/>
        <v/>
      </c>
      <c r="AH47" s="81">
        <v>21</v>
      </c>
      <c r="AI47" s="12" t="str">
        <f t="shared" si="40"/>
        <v/>
      </c>
      <c r="AJ47" s="81">
        <v>21</v>
      </c>
      <c r="AK47" s="12" t="str">
        <f t="shared" si="41"/>
        <v/>
      </c>
      <c r="AL47" s="14">
        <f t="shared" si="3"/>
        <v>549</v>
      </c>
      <c r="AM47" s="69" t="s">
        <v>358</v>
      </c>
      <c r="AN47" s="14">
        <f t="shared" si="22"/>
        <v>1087</v>
      </c>
      <c r="AO47" s="14" t="str">
        <f t="shared" si="23"/>
        <v>PASS</v>
      </c>
      <c r="AP47" s="14" t="str">
        <f t="shared" si="4"/>
        <v>I</v>
      </c>
    </row>
    <row r="48" spans="2:44" ht="18" customHeight="1">
      <c r="B48" s="75">
        <v>146224</v>
      </c>
      <c r="C48" s="76" t="s">
        <v>294</v>
      </c>
      <c r="D48" s="59">
        <v>47</v>
      </c>
      <c r="E48" s="12" t="str">
        <f t="shared" si="25"/>
        <v/>
      </c>
      <c r="F48" s="81">
        <v>19</v>
      </c>
      <c r="G48" s="12" t="str">
        <f t="shared" si="26"/>
        <v/>
      </c>
      <c r="H48" s="81">
        <v>47</v>
      </c>
      <c r="I48" s="12" t="str">
        <f t="shared" si="27"/>
        <v/>
      </c>
      <c r="J48" s="59">
        <v>68</v>
      </c>
      <c r="K48" s="12" t="str">
        <f t="shared" si="28"/>
        <v/>
      </c>
      <c r="L48" s="81">
        <v>23</v>
      </c>
      <c r="M48" s="12" t="str">
        <f t="shared" si="29"/>
        <v/>
      </c>
      <c r="N48" s="81">
        <v>23</v>
      </c>
      <c r="O48" s="12" t="str">
        <f t="shared" si="30"/>
        <v/>
      </c>
      <c r="P48" s="59">
        <v>49</v>
      </c>
      <c r="Q48" s="12" t="str">
        <f t="shared" si="31"/>
        <v/>
      </c>
      <c r="R48" s="81">
        <v>23</v>
      </c>
      <c r="S48" s="12" t="str">
        <f t="shared" si="32"/>
        <v/>
      </c>
      <c r="T48" s="81">
        <v>47</v>
      </c>
      <c r="U48" s="12" t="str">
        <f t="shared" si="33"/>
        <v/>
      </c>
      <c r="V48" s="59">
        <v>47</v>
      </c>
      <c r="W48" s="12" t="str">
        <f t="shared" si="34"/>
        <v/>
      </c>
      <c r="X48" s="81">
        <v>23</v>
      </c>
      <c r="Y48" s="12" t="str">
        <f t="shared" si="35"/>
        <v/>
      </c>
      <c r="Z48" s="81">
        <v>20</v>
      </c>
      <c r="AA48" s="12" t="str">
        <f t="shared" si="36"/>
        <v/>
      </c>
      <c r="AB48" s="59">
        <v>49</v>
      </c>
      <c r="AC48" s="12" t="str">
        <f t="shared" si="37"/>
        <v/>
      </c>
      <c r="AD48" s="81">
        <v>23</v>
      </c>
      <c r="AE48" s="12" t="str">
        <f t="shared" si="38"/>
        <v/>
      </c>
      <c r="AF48" s="81">
        <v>23</v>
      </c>
      <c r="AG48" s="12" t="str">
        <f t="shared" si="39"/>
        <v/>
      </c>
      <c r="AH48" s="81">
        <v>23</v>
      </c>
      <c r="AI48" s="12" t="str">
        <f t="shared" si="40"/>
        <v/>
      </c>
      <c r="AJ48" s="81">
        <v>22</v>
      </c>
      <c r="AK48" s="12" t="str">
        <f t="shared" si="41"/>
        <v/>
      </c>
      <c r="AL48" s="14">
        <f t="shared" si="3"/>
        <v>576</v>
      </c>
      <c r="AM48" s="69" t="s">
        <v>359</v>
      </c>
      <c r="AN48" s="14">
        <f t="shared" si="22"/>
        <v>1093</v>
      </c>
      <c r="AO48" s="14" t="str">
        <f t="shared" si="23"/>
        <v>PASS</v>
      </c>
      <c r="AP48" s="14" t="str">
        <f t="shared" si="4"/>
        <v>I</v>
      </c>
    </row>
    <row r="49" spans="2:42" ht="18" customHeight="1">
      <c r="B49" s="75">
        <v>146225</v>
      </c>
      <c r="C49" s="76" t="s">
        <v>198</v>
      </c>
      <c r="D49" s="59">
        <v>65</v>
      </c>
      <c r="E49" s="12" t="str">
        <f t="shared" si="25"/>
        <v/>
      </c>
      <c r="F49" s="81">
        <v>23</v>
      </c>
      <c r="G49" s="12" t="str">
        <f t="shared" si="26"/>
        <v/>
      </c>
      <c r="H49" s="81">
        <v>47</v>
      </c>
      <c r="I49" s="12" t="str">
        <f t="shared" si="27"/>
        <v/>
      </c>
      <c r="J49" s="59">
        <v>72</v>
      </c>
      <c r="K49" s="12" t="str">
        <f t="shared" si="28"/>
        <v/>
      </c>
      <c r="L49" s="81">
        <v>23</v>
      </c>
      <c r="M49" s="12" t="str">
        <f t="shared" si="29"/>
        <v/>
      </c>
      <c r="N49" s="81">
        <v>22</v>
      </c>
      <c r="O49" s="12" t="str">
        <f t="shared" si="30"/>
        <v/>
      </c>
      <c r="P49" s="59">
        <v>49</v>
      </c>
      <c r="Q49" s="12" t="str">
        <f t="shared" si="31"/>
        <v/>
      </c>
      <c r="R49" s="81">
        <v>23</v>
      </c>
      <c r="S49" s="12" t="str">
        <f t="shared" si="32"/>
        <v/>
      </c>
      <c r="T49" s="81">
        <v>47</v>
      </c>
      <c r="U49" s="12" t="str">
        <f t="shared" si="33"/>
        <v/>
      </c>
      <c r="V49" s="59">
        <v>50</v>
      </c>
      <c r="W49" s="12" t="str">
        <f t="shared" si="34"/>
        <v/>
      </c>
      <c r="X49" s="81">
        <v>20</v>
      </c>
      <c r="Y49" s="12" t="str">
        <f t="shared" si="35"/>
        <v/>
      </c>
      <c r="Z49" s="81">
        <v>22</v>
      </c>
      <c r="AA49" s="12" t="str">
        <f t="shared" si="36"/>
        <v/>
      </c>
      <c r="AB49" s="59">
        <v>74</v>
      </c>
      <c r="AC49" s="12" t="str">
        <f t="shared" si="37"/>
        <v/>
      </c>
      <c r="AD49" s="81">
        <v>23</v>
      </c>
      <c r="AE49" s="12" t="str">
        <f t="shared" si="38"/>
        <v/>
      </c>
      <c r="AF49" s="81">
        <v>23</v>
      </c>
      <c r="AG49" s="12" t="str">
        <f t="shared" si="39"/>
        <v/>
      </c>
      <c r="AH49" s="81">
        <v>23</v>
      </c>
      <c r="AI49" s="12" t="str">
        <f t="shared" si="40"/>
        <v/>
      </c>
      <c r="AJ49" s="81">
        <v>18</v>
      </c>
      <c r="AK49" s="12" t="str">
        <f t="shared" si="41"/>
        <v/>
      </c>
      <c r="AL49" s="14">
        <f t="shared" si="3"/>
        <v>624</v>
      </c>
      <c r="AM49" s="69" t="s">
        <v>360</v>
      </c>
      <c r="AN49" s="14">
        <f t="shared" si="22"/>
        <v>1209</v>
      </c>
      <c r="AO49" s="14" t="str">
        <f t="shared" si="23"/>
        <v>PASS</v>
      </c>
      <c r="AP49" s="14" t="str">
        <f t="shared" si="4"/>
        <v>I</v>
      </c>
    </row>
    <row r="50" spans="2:42" ht="18" customHeight="1">
      <c r="B50" s="75">
        <v>146226</v>
      </c>
      <c r="C50" s="76" t="s">
        <v>199</v>
      </c>
      <c r="D50" s="59">
        <v>60</v>
      </c>
      <c r="E50" s="12" t="str">
        <f t="shared" si="25"/>
        <v/>
      </c>
      <c r="F50" s="81">
        <v>23</v>
      </c>
      <c r="G50" s="12" t="str">
        <f t="shared" si="26"/>
        <v/>
      </c>
      <c r="H50" s="81">
        <v>46</v>
      </c>
      <c r="I50" s="12" t="str">
        <f t="shared" si="27"/>
        <v/>
      </c>
      <c r="J50" s="59">
        <v>72</v>
      </c>
      <c r="K50" s="12" t="str">
        <f t="shared" si="28"/>
        <v/>
      </c>
      <c r="L50" s="81">
        <v>23</v>
      </c>
      <c r="M50" s="12" t="str">
        <f t="shared" si="29"/>
        <v/>
      </c>
      <c r="N50" s="81">
        <v>21</v>
      </c>
      <c r="O50" s="12" t="str">
        <f t="shared" si="30"/>
        <v/>
      </c>
      <c r="P50" s="59">
        <v>58</v>
      </c>
      <c r="Q50" s="12" t="str">
        <f t="shared" si="31"/>
        <v/>
      </c>
      <c r="R50" s="81">
        <v>22</v>
      </c>
      <c r="S50" s="12" t="str">
        <f t="shared" si="32"/>
        <v/>
      </c>
      <c r="T50" s="81">
        <v>46</v>
      </c>
      <c r="U50" s="12" t="str">
        <f t="shared" si="33"/>
        <v/>
      </c>
      <c r="V50" s="59">
        <v>65</v>
      </c>
      <c r="W50" s="12" t="str">
        <f t="shared" si="34"/>
        <v/>
      </c>
      <c r="X50" s="81">
        <v>23</v>
      </c>
      <c r="Y50" s="12" t="str">
        <f t="shared" si="35"/>
        <v/>
      </c>
      <c r="Z50" s="81">
        <v>20</v>
      </c>
      <c r="AA50" s="12" t="str">
        <f t="shared" si="36"/>
        <v/>
      </c>
      <c r="AB50" s="59">
        <v>64</v>
      </c>
      <c r="AC50" s="12" t="str">
        <f t="shared" si="37"/>
        <v/>
      </c>
      <c r="AD50" s="81">
        <v>21</v>
      </c>
      <c r="AE50" s="12" t="str">
        <f t="shared" si="38"/>
        <v/>
      </c>
      <c r="AF50" s="81">
        <v>22</v>
      </c>
      <c r="AG50" s="12" t="str">
        <f t="shared" si="39"/>
        <v/>
      </c>
      <c r="AH50" s="81">
        <v>21</v>
      </c>
      <c r="AI50" s="12" t="str">
        <f t="shared" si="40"/>
        <v/>
      </c>
      <c r="AJ50" s="81">
        <v>19</v>
      </c>
      <c r="AK50" s="12" t="str">
        <f t="shared" si="41"/>
        <v/>
      </c>
      <c r="AL50" s="14">
        <f t="shared" si="3"/>
        <v>626</v>
      </c>
      <c r="AM50" s="69" t="s">
        <v>361</v>
      </c>
      <c r="AN50" s="14">
        <f t="shared" si="22"/>
        <v>1206</v>
      </c>
      <c r="AO50" s="14" t="str">
        <f t="shared" si="23"/>
        <v>PASS</v>
      </c>
      <c r="AP50" s="14" t="str">
        <f t="shared" si="4"/>
        <v>I</v>
      </c>
    </row>
    <row r="51" spans="2:42" ht="18" customHeight="1">
      <c r="B51" s="75">
        <v>146227</v>
      </c>
      <c r="C51" s="76" t="s">
        <v>200</v>
      </c>
      <c r="D51" s="59">
        <v>41</v>
      </c>
      <c r="E51" s="12" t="str">
        <f t="shared" si="25"/>
        <v/>
      </c>
      <c r="F51" s="81">
        <v>20</v>
      </c>
      <c r="G51" s="12" t="str">
        <f t="shared" si="26"/>
        <v/>
      </c>
      <c r="H51" s="81">
        <v>39</v>
      </c>
      <c r="I51" s="12" t="str">
        <f t="shared" si="27"/>
        <v/>
      </c>
      <c r="J51" s="59">
        <v>44</v>
      </c>
      <c r="K51" s="12" t="str">
        <f t="shared" si="28"/>
        <v/>
      </c>
      <c r="L51" s="81">
        <v>20</v>
      </c>
      <c r="M51" s="12" t="str">
        <f t="shared" si="29"/>
        <v/>
      </c>
      <c r="N51" s="81">
        <v>20</v>
      </c>
      <c r="O51" s="12" t="str">
        <f t="shared" si="30"/>
        <v/>
      </c>
      <c r="P51" s="59">
        <v>40</v>
      </c>
      <c r="Q51" s="12" t="str">
        <f t="shared" si="31"/>
        <v/>
      </c>
      <c r="R51" s="81">
        <v>20</v>
      </c>
      <c r="S51" s="12" t="str">
        <f t="shared" si="32"/>
        <v/>
      </c>
      <c r="T51" s="81">
        <v>39</v>
      </c>
      <c r="U51" s="12" t="str">
        <f t="shared" si="33"/>
        <v/>
      </c>
      <c r="V51" s="59">
        <v>40</v>
      </c>
      <c r="W51" s="12" t="str">
        <f t="shared" si="34"/>
        <v/>
      </c>
      <c r="X51" s="81">
        <v>17</v>
      </c>
      <c r="Y51" s="12" t="str">
        <f t="shared" si="35"/>
        <v/>
      </c>
      <c r="Z51" s="81">
        <v>21</v>
      </c>
      <c r="AA51" s="12" t="str">
        <f t="shared" si="36"/>
        <v/>
      </c>
      <c r="AB51" s="59">
        <v>40</v>
      </c>
      <c r="AC51" s="12" t="str">
        <f t="shared" si="37"/>
        <v/>
      </c>
      <c r="AD51" s="81">
        <v>20</v>
      </c>
      <c r="AE51" s="12" t="str">
        <f t="shared" si="38"/>
        <v/>
      </c>
      <c r="AF51" s="81">
        <v>20</v>
      </c>
      <c r="AG51" s="12" t="str">
        <f t="shared" si="39"/>
        <v/>
      </c>
      <c r="AH51" s="81">
        <v>20</v>
      </c>
      <c r="AI51" s="12" t="str">
        <f t="shared" si="40"/>
        <v/>
      </c>
      <c r="AJ51" s="81">
        <v>19</v>
      </c>
      <c r="AK51" s="12" t="str">
        <f t="shared" si="41"/>
        <v/>
      </c>
      <c r="AL51" s="14">
        <f t="shared" si="3"/>
        <v>480</v>
      </c>
      <c r="AM51" s="69" t="s">
        <v>424</v>
      </c>
      <c r="AN51" s="14">
        <f t="shared" si="22"/>
        <v>960</v>
      </c>
      <c r="AO51" s="14" t="str">
        <f t="shared" si="23"/>
        <v>PASS</v>
      </c>
      <c r="AP51" s="14" t="str">
        <f t="shared" si="4"/>
        <v>P</v>
      </c>
    </row>
    <row r="52" spans="2:42" ht="18" customHeight="1">
      <c r="B52" s="75">
        <v>146228</v>
      </c>
      <c r="C52" s="76" t="s">
        <v>201</v>
      </c>
      <c r="D52" s="59">
        <v>49</v>
      </c>
      <c r="E52" s="12" t="str">
        <f t="shared" si="25"/>
        <v/>
      </c>
      <c r="F52" s="81">
        <v>19</v>
      </c>
      <c r="G52" s="12" t="str">
        <f t="shared" si="26"/>
        <v/>
      </c>
      <c r="H52" s="81">
        <v>38</v>
      </c>
      <c r="I52" s="12" t="str">
        <f t="shared" si="27"/>
        <v/>
      </c>
      <c r="J52" s="59">
        <v>65</v>
      </c>
      <c r="K52" s="12" t="str">
        <f t="shared" si="28"/>
        <v/>
      </c>
      <c r="L52" s="81">
        <v>20</v>
      </c>
      <c r="M52" s="12" t="str">
        <f t="shared" si="29"/>
        <v/>
      </c>
      <c r="N52" s="81">
        <v>20</v>
      </c>
      <c r="O52" s="12" t="str">
        <f t="shared" si="30"/>
        <v/>
      </c>
      <c r="P52" s="59">
        <v>54</v>
      </c>
      <c r="Q52" s="12" t="str">
        <f t="shared" si="31"/>
        <v/>
      </c>
      <c r="R52" s="81">
        <v>20</v>
      </c>
      <c r="S52" s="12" t="str">
        <f t="shared" si="32"/>
        <v/>
      </c>
      <c r="T52" s="81">
        <v>38</v>
      </c>
      <c r="U52" s="12" t="str">
        <f t="shared" si="33"/>
        <v/>
      </c>
      <c r="V52" s="59" t="s">
        <v>447</v>
      </c>
      <c r="W52" s="12" t="str">
        <f t="shared" si="34"/>
        <v/>
      </c>
      <c r="X52" s="81">
        <v>16</v>
      </c>
      <c r="Y52" s="12" t="str">
        <f t="shared" si="35"/>
        <v/>
      </c>
      <c r="Z52" s="81">
        <v>19</v>
      </c>
      <c r="AA52" s="12" t="str">
        <f t="shared" si="36"/>
        <v/>
      </c>
      <c r="AB52" s="59">
        <v>41</v>
      </c>
      <c r="AC52" s="12" t="str">
        <f t="shared" si="37"/>
        <v/>
      </c>
      <c r="AD52" s="81">
        <v>19</v>
      </c>
      <c r="AE52" s="12" t="str">
        <f t="shared" si="38"/>
        <v/>
      </c>
      <c r="AF52" s="81">
        <v>21</v>
      </c>
      <c r="AG52" s="12" t="str">
        <f t="shared" si="39"/>
        <v/>
      </c>
      <c r="AH52" s="81">
        <v>18</v>
      </c>
      <c r="AI52" s="12" t="str">
        <f t="shared" si="40"/>
        <v/>
      </c>
      <c r="AJ52" s="81">
        <v>20</v>
      </c>
      <c r="AK52" s="12" t="str">
        <f t="shared" si="41"/>
        <v/>
      </c>
      <c r="AL52" s="14" t="s">
        <v>453</v>
      </c>
      <c r="AM52" s="69">
        <v>0</v>
      </c>
      <c r="AN52" s="14">
        <f t="shared" si="22"/>
        <v>509</v>
      </c>
      <c r="AO52" s="14" t="str">
        <f t="shared" si="23"/>
        <v>PASS</v>
      </c>
      <c r="AP52" s="14" t="str">
        <f t="shared" si="4"/>
        <v>RS 5</v>
      </c>
    </row>
    <row r="53" spans="2:42" ht="18" customHeight="1">
      <c r="B53" s="75">
        <v>146229</v>
      </c>
      <c r="C53" s="76" t="s">
        <v>202</v>
      </c>
      <c r="D53" s="59">
        <v>54</v>
      </c>
      <c r="E53" s="12" t="str">
        <f t="shared" si="25"/>
        <v/>
      </c>
      <c r="F53" s="81">
        <v>21</v>
      </c>
      <c r="G53" s="12" t="str">
        <f t="shared" si="26"/>
        <v/>
      </c>
      <c r="H53" s="81">
        <v>43</v>
      </c>
      <c r="I53" s="12" t="str">
        <f t="shared" si="27"/>
        <v/>
      </c>
      <c r="J53" s="59">
        <v>54</v>
      </c>
      <c r="K53" s="12" t="str">
        <f t="shared" si="28"/>
        <v/>
      </c>
      <c r="L53" s="81">
        <v>22</v>
      </c>
      <c r="M53" s="12" t="str">
        <f t="shared" si="29"/>
        <v/>
      </c>
      <c r="N53" s="81">
        <v>20</v>
      </c>
      <c r="O53" s="12" t="str">
        <f t="shared" si="30"/>
        <v/>
      </c>
      <c r="P53" s="59">
        <v>52</v>
      </c>
      <c r="Q53" s="12" t="str">
        <f t="shared" si="31"/>
        <v/>
      </c>
      <c r="R53" s="81">
        <v>21</v>
      </c>
      <c r="S53" s="12" t="str">
        <f t="shared" si="32"/>
        <v/>
      </c>
      <c r="T53" s="81">
        <v>43</v>
      </c>
      <c r="U53" s="12" t="str">
        <f t="shared" si="33"/>
        <v/>
      </c>
      <c r="V53" s="59">
        <v>53</v>
      </c>
      <c r="W53" s="12" t="str">
        <f t="shared" si="34"/>
        <v/>
      </c>
      <c r="X53" s="81">
        <v>22</v>
      </c>
      <c r="Y53" s="12" t="str">
        <f t="shared" si="35"/>
        <v/>
      </c>
      <c r="Z53" s="81">
        <v>23</v>
      </c>
      <c r="AA53" s="12" t="str">
        <f t="shared" si="36"/>
        <v/>
      </c>
      <c r="AB53" s="59">
        <v>59</v>
      </c>
      <c r="AC53" s="12" t="str">
        <f t="shared" si="37"/>
        <v/>
      </c>
      <c r="AD53" s="81">
        <v>21</v>
      </c>
      <c r="AE53" s="12" t="str">
        <f t="shared" si="38"/>
        <v/>
      </c>
      <c r="AF53" s="81">
        <v>22</v>
      </c>
      <c r="AG53" s="12" t="str">
        <f t="shared" si="39"/>
        <v/>
      </c>
      <c r="AH53" s="81">
        <v>21</v>
      </c>
      <c r="AI53" s="12" t="str">
        <f t="shared" si="40"/>
        <v/>
      </c>
      <c r="AJ53" s="81">
        <v>20</v>
      </c>
      <c r="AK53" s="12" t="str">
        <f t="shared" si="41"/>
        <v/>
      </c>
      <c r="AL53" s="14">
        <f t="shared" si="3"/>
        <v>571</v>
      </c>
      <c r="AM53" s="69" t="s">
        <v>362</v>
      </c>
      <c r="AN53" s="14">
        <f t="shared" si="22"/>
        <v>1090</v>
      </c>
      <c r="AO53" s="14" t="str">
        <f t="shared" si="23"/>
        <v>PASS</v>
      </c>
      <c r="AP53" s="14" t="str">
        <f t="shared" si="4"/>
        <v>I</v>
      </c>
    </row>
    <row r="54" spans="2:42" ht="18" customHeight="1">
      <c r="B54" s="75">
        <v>146230</v>
      </c>
      <c r="C54" s="76" t="s">
        <v>203</v>
      </c>
      <c r="D54" s="59">
        <v>67</v>
      </c>
      <c r="E54" s="12" t="str">
        <f t="shared" si="25"/>
        <v/>
      </c>
      <c r="F54" s="81">
        <v>22</v>
      </c>
      <c r="G54" s="12" t="str">
        <f t="shared" si="26"/>
        <v/>
      </c>
      <c r="H54" s="81">
        <v>46</v>
      </c>
      <c r="I54" s="12" t="str">
        <f t="shared" si="27"/>
        <v/>
      </c>
      <c r="J54" s="59">
        <v>79</v>
      </c>
      <c r="K54" s="12" t="str">
        <f t="shared" si="28"/>
        <v/>
      </c>
      <c r="L54" s="81">
        <v>23</v>
      </c>
      <c r="M54" s="12" t="str">
        <f t="shared" si="29"/>
        <v/>
      </c>
      <c r="N54" s="81">
        <v>24</v>
      </c>
      <c r="O54" s="12" t="str">
        <f t="shared" si="30"/>
        <v/>
      </c>
      <c r="P54" s="59">
        <v>48</v>
      </c>
      <c r="Q54" s="12" t="str">
        <f t="shared" si="31"/>
        <v/>
      </c>
      <c r="R54" s="81">
        <v>22</v>
      </c>
      <c r="S54" s="12" t="str">
        <f t="shared" si="32"/>
        <v/>
      </c>
      <c r="T54" s="81">
        <v>46</v>
      </c>
      <c r="U54" s="12" t="str">
        <f t="shared" si="33"/>
        <v/>
      </c>
      <c r="V54" s="59">
        <v>68</v>
      </c>
      <c r="W54" s="12" t="str">
        <f t="shared" si="34"/>
        <v/>
      </c>
      <c r="X54" s="81">
        <v>20</v>
      </c>
      <c r="Y54" s="12" t="str">
        <f t="shared" si="35"/>
        <v/>
      </c>
      <c r="Z54" s="81">
        <v>22</v>
      </c>
      <c r="AA54" s="12" t="str">
        <f t="shared" si="36"/>
        <v/>
      </c>
      <c r="AB54" s="59">
        <v>61</v>
      </c>
      <c r="AC54" s="12" t="str">
        <f t="shared" si="37"/>
        <v/>
      </c>
      <c r="AD54" s="81">
        <v>22</v>
      </c>
      <c r="AE54" s="12" t="str">
        <f t="shared" si="38"/>
        <v/>
      </c>
      <c r="AF54" s="81">
        <v>22</v>
      </c>
      <c r="AG54" s="12" t="str">
        <f t="shared" si="39"/>
        <v/>
      </c>
      <c r="AH54" s="81">
        <v>21</v>
      </c>
      <c r="AI54" s="12" t="str">
        <f t="shared" si="40"/>
        <v/>
      </c>
      <c r="AJ54" s="81">
        <v>22</v>
      </c>
      <c r="AK54" s="12" t="str">
        <f t="shared" si="41"/>
        <v/>
      </c>
      <c r="AL54" s="14">
        <f t="shared" si="3"/>
        <v>635</v>
      </c>
      <c r="AM54" s="69" t="s">
        <v>363</v>
      </c>
      <c r="AN54" s="14">
        <f t="shared" si="22"/>
        <v>1160</v>
      </c>
      <c r="AO54" s="14" t="str">
        <f t="shared" si="23"/>
        <v>PASS</v>
      </c>
      <c r="AP54" s="14" t="str">
        <f t="shared" si="4"/>
        <v>I</v>
      </c>
    </row>
    <row r="55" spans="2:42" ht="18" customHeight="1">
      <c r="B55" s="75">
        <v>146231</v>
      </c>
      <c r="C55" s="76" t="s">
        <v>204</v>
      </c>
      <c r="D55" s="59">
        <v>50</v>
      </c>
      <c r="E55" s="12" t="str">
        <f t="shared" si="25"/>
        <v/>
      </c>
      <c r="F55" s="81">
        <v>22</v>
      </c>
      <c r="G55" s="12" t="str">
        <f t="shared" si="26"/>
        <v/>
      </c>
      <c r="H55" s="81">
        <v>45</v>
      </c>
      <c r="I55" s="12" t="str">
        <f t="shared" si="27"/>
        <v/>
      </c>
      <c r="J55" s="59">
        <v>63</v>
      </c>
      <c r="K55" s="12" t="str">
        <f t="shared" si="28"/>
        <v/>
      </c>
      <c r="L55" s="81">
        <v>23</v>
      </c>
      <c r="M55" s="12" t="str">
        <f t="shared" si="29"/>
        <v/>
      </c>
      <c r="N55" s="81">
        <v>23</v>
      </c>
      <c r="O55" s="12" t="str">
        <f t="shared" si="30"/>
        <v/>
      </c>
      <c r="P55" s="59" t="s">
        <v>449</v>
      </c>
      <c r="Q55" s="12" t="str">
        <f t="shared" si="31"/>
        <v/>
      </c>
      <c r="R55" s="81">
        <v>23</v>
      </c>
      <c r="S55" s="12" t="str">
        <f t="shared" si="32"/>
        <v/>
      </c>
      <c r="T55" s="81">
        <v>45</v>
      </c>
      <c r="U55" s="12" t="str">
        <f t="shared" si="33"/>
        <v/>
      </c>
      <c r="V55" s="59">
        <v>52</v>
      </c>
      <c r="W55" s="12" t="str">
        <f t="shared" si="34"/>
        <v/>
      </c>
      <c r="X55" s="81">
        <v>23</v>
      </c>
      <c r="Y55" s="12" t="str">
        <f t="shared" si="35"/>
        <v/>
      </c>
      <c r="Z55" s="81">
        <v>18</v>
      </c>
      <c r="AA55" s="12" t="str">
        <f t="shared" si="36"/>
        <v/>
      </c>
      <c r="AB55" s="59">
        <v>48</v>
      </c>
      <c r="AC55" s="12" t="str">
        <f t="shared" si="37"/>
        <v/>
      </c>
      <c r="AD55" s="81">
        <v>23</v>
      </c>
      <c r="AE55" s="12" t="str">
        <f t="shared" si="38"/>
        <v/>
      </c>
      <c r="AF55" s="81">
        <v>23</v>
      </c>
      <c r="AG55" s="12" t="str">
        <f t="shared" si="39"/>
        <v/>
      </c>
      <c r="AH55" s="81">
        <v>23</v>
      </c>
      <c r="AI55" s="12" t="str">
        <f t="shared" si="40"/>
        <v/>
      </c>
      <c r="AJ55" s="81">
        <v>22</v>
      </c>
      <c r="AK55" s="12" t="str">
        <f t="shared" si="41"/>
        <v/>
      </c>
      <c r="AL55" s="14" t="s">
        <v>454</v>
      </c>
      <c r="AM55" s="69" t="s">
        <v>364</v>
      </c>
      <c r="AN55" s="14">
        <f t="shared" si="22"/>
        <v>1104</v>
      </c>
      <c r="AO55" s="14" t="str">
        <f t="shared" si="23"/>
        <v>PASS</v>
      </c>
      <c r="AP55" s="14" t="str">
        <f t="shared" si="4"/>
        <v>I</v>
      </c>
    </row>
    <row r="56" spans="2:42" ht="18" customHeight="1">
      <c r="B56" s="75">
        <v>146232</v>
      </c>
      <c r="C56" s="76" t="s">
        <v>205</v>
      </c>
      <c r="D56" s="59">
        <v>59</v>
      </c>
      <c r="E56" s="12" t="str">
        <f t="shared" si="25"/>
        <v/>
      </c>
      <c r="F56" s="81">
        <v>21</v>
      </c>
      <c r="G56" s="12" t="str">
        <f t="shared" si="26"/>
        <v/>
      </c>
      <c r="H56" s="81">
        <v>45</v>
      </c>
      <c r="I56" s="12" t="str">
        <f t="shared" si="27"/>
        <v/>
      </c>
      <c r="J56" s="59">
        <v>66</v>
      </c>
      <c r="K56" s="12" t="str">
        <f t="shared" si="28"/>
        <v/>
      </c>
      <c r="L56" s="81">
        <v>21</v>
      </c>
      <c r="M56" s="12" t="str">
        <f t="shared" si="29"/>
        <v/>
      </c>
      <c r="N56" s="81">
        <v>22</v>
      </c>
      <c r="O56" s="12" t="str">
        <f t="shared" si="30"/>
        <v/>
      </c>
      <c r="P56" s="59">
        <v>57</v>
      </c>
      <c r="Q56" s="12" t="str">
        <f t="shared" si="31"/>
        <v/>
      </c>
      <c r="R56" s="81">
        <v>19</v>
      </c>
      <c r="S56" s="12" t="str">
        <f t="shared" si="32"/>
        <v/>
      </c>
      <c r="T56" s="81">
        <v>45</v>
      </c>
      <c r="U56" s="12" t="str">
        <f t="shared" si="33"/>
        <v/>
      </c>
      <c r="V56" s="59">
        <v>51</v>
      </c>
      <c r="W56" s="12" t="str">
        <f t="shared" si="34"/>
        <v/>
      </c>
      <c r="X56" s="81">
        <v>23</v>
      </c>
      <c r="Y56" s="12" t="str">
        <f t="shared" si="35"/>
        <v/>
      </c>
      <c r="Z56" s="81">
        <v>23</v>
      </c>
      <c r="AA56" s="12" t="str">
        <f t="shared" si="36"/>
        <v/>
      </c>
      <c r="AB56" s="59">
        <v>47</v>
      </c>
      <c r="AC56" s="12" t="str">
        <f t="shared" si="37"/>
        <v/>
      </c>
      <c r="AD56" s="81">
        <v>21</v>
      </c>
      <c r="AE56" s="12" t="str">
        <f t="shared" si="38"/>
        <v/>
      </c>
      <c r="AF56" s="81">
        <v>19</v>
      </c>
      <c r="AG56" s="12" t="str">
        <f t="shared" si="39"/>
        <v/>
      </c>
      <c r="AH56" s="81">
        <v>20</v>
      </c>
      <c r="AI56" s="12" t="str">
        <f t="shared" si="40"/>
        <v/>
      </c>
      <c r="AJ56" s="81">
        <v>21</v>
      </c>
      <c r="AK56" s="12" t="str">
        <f t="shared" si="41"/>
        <v/>
      </c>
      <c r="AL56" s="14">
        <f t="shared" si="3"/>
        <v>580</v>
      </c>
      <c r="AM56" s="69" t="s">
        <v>365</v>
      </c>
      <c r="AN56" s="14">
        <f t="shared" si="22"/>
        <v>1119</v>
      </c>
      <c r="AO56" s="14" t="str">
        <f t="shared" si="23"/>
        <v>PASS</v>
      </c>
      <c r="AP56" s="14" t="str">
        <f t="shared" si="4"/>
        <v>I</v>
      </c>
    </row>
    <row r="57" spans="2:42" ht="18" customHeight="1">
      <c r="B57" s="75">
        <v>146233</v>
      </c>
      <c r="C57" s="76" t="s">
        <v>295</v>
      </c>
      <c r="D57" s="59">
        <v>58</v>
      </c>
      <c r="E57" s="12" t="str">
        <f t="shared" si="25"/>
        <v/>
      </c>
      <c r="F57" s="81">
        <v>23</v>
      </c>
      <c r="G57" s="12" t="str">
        <f t="shared" si="26"/>
        <v/>
      </c>
      <c r="H57" s="81">
        <v>44</v>
      </c>
      <c r="I57" s="12" t="str">
        <f t="shared" si="27"/>
        <v/>
      </c>
      <c r="J57" s="59">
        <v>85</v>
      </c>
      <c r="K57" s="12" t="str">
        <f t="shared" si="28"/>
        <v/>
      </c>
      <c r="L57" s="81">
        <v>23</v>
      </c>
      <c r="M57" s="12" t="str">
        <f t="shared" si="29"/>
        <v/>
      </c>
      <c r="N57" s="81">
        <v>22</v>
      </c>
      <c r="O57" s="12" t="str">
        <f t="shared" si="30"/>
        <v/>
      </c>
      <c r="P57" s="59">
        <v>49</v>
      </c>
      <c r="Q57" s="12" t="str">
        <f t="shared" si="31"/>
        <v/>
      </c>
      <c r="R57" s="81">
        <v>23</v>
      </c>
      <c r="S57" s="12" t="str">
        <f t="shared" si="32"/>
        <v/>
      </c>
      <c r="T57" s="81">
        <v>44</v>
      </c>
      <c r="U57" s="12" t="str">
        <f t="shared" si="33"/>
        <v/>
      </c>
      <c r="V57" s="59">
        <v>73</v>
      </c>
      <c r="W57" s="12" t="str">
        <f t="shared" si="34"/>
        <v/>
      </c>
      <c r="X57" s="81">
        <v>23</v>
      </c>
      <c r="Y57" s="12" t="str">
        <f t="shared" si="35"/>
        <v/>
      </c>
      <c r="Z57" s="81">
        <v>18</v>
      </c>
      <c r="AA57" s="12" t="str">
        <f t="shared" si="36"/>
        <v/>
      </c>
      <c r="AB57" s="59">
        <v>44</v>
      </c>
      <c r="AC57" s="12" t="str">
        <f t="shared" si="37"/>
        <v/>
      </c>
      <c r="AD57" s="81">
        <v>21</v>
      </c>
      <c r="AE57" s="12" t="str">
        <f t="shared" si="38"/>
        <v/>
      </c>
      <c r="AF57" s="81">
        <v>22</v>
      </c>
      <c r="AG57" s="12" t="str">
        <f t="shared" si="39"/>
        <v/>
      </c>
      <c r="AH57" s="81">
        <v>22</v>
      </c>
      <c r="AI57" s="12" t="str">
        <f t="shared" si="40"/>
        <v/>
      </c>
      <c r="AJ57" s="81">
        <v>22</v>
      </c>
      <c r="AK57" s="12" t="str">
        <f t="shared" si="41"/>
        <v/>
      </c>
      <c r="AL57" s="14">
        <f t="shared" si="3"/>
        <v>616</v>
      </c>
      <c r="AM57" s="69" t="s">
        <v>366</v>
      </c>
      <c r="AN57" s="14">
        <f t="shared" si="22"/>
        <v>1160</v>
      </c>
      <c r="AO57" s="14" t="str">
        <f t="shared" si="23"/>
        <v>PASS</v>
      </c>
      <c r="AP57" s="14" t="str">
        <f t="shared" si="4"/>
        <v>I</v>
      </c>
    </row>
    <row r="58" spans="2:42" ht="18" customHeight="1">
      <c r="B58" s="75">
        <v>146234</v>
      </c>
      <c r="C58" s="76" t="s">
        <v>296</v>
      </c>
      <c r="D58" s="59">
        <v>58</v>
      </c>
      <c r="E58" s="12" t="str">
        <f t="shared" si="25"/>
        <v/>
      </c>
      <c r="F58" s="81">
        <v>23</v>
      </c>
      <c r="G58" s="12" t="str">
        <f t="shared" si="26"/>
        <v/>
      </c>
      <c r="H58" s="81">
        <v>43</v>
      </c>
      <c r="I58" s="12" t="str">
        <f t="shared" si="27"/>
        <v/>
      </c>
      <c r="J58" s="59">
        <v>71</v>
      </c>
      <c r="K58" s="12" t="str">
        <f t="shared" si="28"/>
        <v/>
      </c>
      <c r="L58" s="81">
        <v>23</v>
      </c>
      <c r="M58" s="12" t="str">
        <f t="shared" si="29"/>
        <v/>
      </c>
      <c r="N58" s="81">
        <v>22</v>
      </c>
      <c r="O58" s="12" t="str">
        <f t="shared" si="30"/>
        <v/>
      </c>
      <c r="P58" s="59">
        <v>57</v>
      </c>
      <c r="Q58" s="12" t="str">
        <f t="shared" si="31"/>
        <v/>
      </c>
      <c r="R58" s="81">
        <v>23</v>
      </c>
      <c r="S58" s="12" t="str">
        <f t="shared" si="32"/>
        <v/>
      </c>
      <c r="T58" s="81">
        <v>43</v>
      </c>
      <c r="U58" s="12" t="str">
        <f t="shared" si="33"/>
        <v/>
      </c>
      <c r="V58" s="59">
        <v>63</v>
      </c>
      <c r="W58" s="12" t="str">
        <f t="shared" si="34"/>
        <v/>
      </c>
      <c r="X58" s="81">
        <v>22</v>
      </c>
      <c r="Y58" s="12" t="str">
        <f t="shared" si="35"/>
        <v/>
      </c>
      <c r="Z58" s="81">
        <v>19</v>
      </c>
      <c r="AA58" s="12" t="str">
        <f t="shared" si="36"/>
        <v/>
      </c>
      <c r="AB58" s="59">
        <v>60</v>
      </c>
      <c r="AC58" s="12" t="str">
        <f t="shared" si="37"/>
        <v/>
      </c>
      <c r="AD58" s="81">
        <v>23</v>
      </c>
      <c r="AE58" s="12" t="str">
        <f t="shared" si="38"/>
        <v/>
      </c>
      <c r="AF58" s="81">
        <v>22</v>
      </c>
      <c r="AG58" s="12" t="str">
        <f t="shared" si="39"/>
        <v/>
      </c>
      <c r="AH58" s="81">
        <v>22</v>
      </c>
      <c r="AI58" s="12" t="str">
        <f t="shared" si="40"/>
        <v/>
      </c>
      <c r="AJ58" s="81">
        <v>21</v>
      </c>
      <c r="AK58" s="12" t="str">
        <f t="shared" si="41"/>
        <v/>
      </c>
      <c r="AL58" s="14">
        <f t="shared" si="3"/>
        <v>615</v>
      </c>
      <c r="AM58" s="69" t="s">
        <v>360</v>
      </c>
      <c r="AN58" s="14">
        <f t="shared" si="22"/>
        <v>1200</v>
      </c>
      <c r="AO58" s="14" t="str">
        <f t="shared" si="23"/>
        <v>PASS</v>
      </c>
      <c r="AP58" s="14" t="str">
        <f t="shared" si="4"/>
        <v>I</v>
      </c>
    </row>
    <row r="59" spans="2:42" ht="18" customHeight="1">
      <c r="B59" s="75">
        <v>146235</v>
      </c>
      <c r="C59" s="76" t="s">
        <v>206</v>
      </c>
      <c r="D59" s="59">
        <v>62</v>
      </c>
      <c r="E59" s="12" t="str">
        <f t="shared" si="25"/>
        <v/>
      </c>
      <c r="F59" s="81">
        <v>21</v>
      </c>
      <c r="G59" s="12" t="str">
        <f t="shared" si="26"/>
        <v/>
      </c>
      <c r="H59" s="81">
        <v>46</v>
      </c>
      <c r="I59" s="12" t="str">
        <f t="shared" si="27"/>
        <v/>
      </c>
      <c r="J59" s="59">
        <v>64</v>
      </c>
      <c r="K59" s="12" t="str">
        <f t="shared" si="28"/>
        <v/>
      </c>
      <c r="L59" s="81">
        <v>21</v>
      </c>
      <c r="M59" s="12" t="str">
        <f t="shared" si="29"/>
        <v/>
      </c>
      <c r="N59" s="81">
        <v>21</v>
      </c>
      <c r="O59" s="12" t="str">
        <f t="shared" si="30"/>
        <v/>
      </c>
      <c r="P59" s="59">
        <v>56</v>
      </c>
      <c r="Q59" s="12" t="str">
        <f t="shared" si="31"/>
        <v/>
      </c>
      <c r="R59" s="81">
        <v>22</v>
      </c>
      <c r="S59" s="12" t="str">
        <f t="shared" si="32"/>
        <v/>
      </c>
      <c r="T59" s="81">
        <v>46</v>
      </c>
      <c r="U59" s="12" t="str">
        <f t="shared" si="33"/>
        <v/>
      </c>
      <c r="V59" s="59">
        <v>55</v>
      </c>
      <c r="W59" s="12" t="str">
        <f t="shared" si="34"/>
        <v/>
      </c>
      <c r="X59" s="81">
        <v>23</v>
      </c>
      <c r="Y59" s="12" t="str">
        <f t="shared" si="35"/>
        <v/>
      </c>
      <c r="Z59" s="81">
        <v>19</v>
      </c>
      <c r="AA59" s="12" t="str">
        <f t="shared" si="36"/>
        <v/>
      </c>
      <c r="AB59" s="59">
        <v>57</v>
      </c>
      <c r="AC59" s="12" t="str">
        <f t="shared" si="37"/>
        <v/>
      </c>
      <c r="AD59" s="81">
        <v>22</v>
      </c>
      <c r="AE59" s="12" t="str">
        <f t="shared" si="38"/>
        <v/>
      </c>
      <c r="AF59" s="81">
        <v>22</v>
      </c>
      <c r="AG59" s="12" t="str">
        <f t="shared" si="39"/>
        <v/>
      </c>
      <c r="AH59" s="81">
        <v>21</v>
      </c>
      <c r="AI59" s="12" t="str">
        <f t="shared" si="40"/>
        <v/>
      </c>
      <c r="AJ59" s="81">
        <v>21</v>
      </c>
      <c r="AK59" s="12" t="str">
        <f t="shared" si="41"/>
        <v/>
      </c>
      <c r="AL59" s="14">
        <f t="shared" si="3"/>
        <v>599</v>
      </c>
      <c r="AM59" s="69" t="s">
        <v>367</v>
      </c>
      <c r="AN59" s="14">
        <f t="shared" si="22"/>
        <v>1174</v>
      </c>
      <c r="AO59" s="14" t="str">
        <f t="shared" si="23"/>
        <v>PASS</v>
      </c>
      <c r="AP59" s="14" t="str">
        <f t="shared" si="4"/>
        <v>I</v>
      </c>
    </row>
    <row r="60" spans="2:42" ht="18" customHeight="1">
      <c r="B60" s="75">
        <v>146236</v>
      </c>
      <c r="C60" s="76" t="s">
        <v>297</v>
      </c>
      <c r="D60" s="59">
        <v>68</v>
      </c>
      <c r="E60" s="12" t="str">
        <f t="shared" si="25"/>
        <v/>
      </c>
      <c r="F60" s="81">
        <v>23</v>
      </c>
      <c r="G60" s="12" t="str">
        <f t="shared" si="26"/>
        <v/>
      </c>
      <c r="H60" s="81">
        <v>45</v>
      </c>
      <c r="I60" s="12" t="str">
        <f t="shared" si="27"/>
        <v/>
      </c>
      <c r="J60" s="59">
        <v>68</v>
      </c>
      <c r="K60" s="12" t="str">
        <f t="shared" si="28"/>
        <v/>
      </c>
      <c r="L60" s="81">
        <v>23</v>
      </c>
      <c r="M60" s="12" t="str">
        <f t="shared" si="29"/>
        <v/>
      </c>
      <c r="N60" s="81">
        <v>23</v>
      </c>
      <c r="O60" s="12" t="str">
        <f t="shared" si="30"/>
        <v/>
      </c>
      <c r="P60" s="59">
        <v>64</v>
      </c>
      <c r="Q60" s="12" t="str">
        <f t="shared" si="31"/>
        <v/>
      </c>
      <c r="R60" s="81">
        <v>23</v>
      </c>
      <c r="S60" s="12" t="str">
        <f t="shared" si="32"/>
        <v/>
      </c>
      <c r="T60" s="81">
        <v>45</v>
      </c>
      <c r="U60" s="12" t="str">
        <f t="shared" si="33"/>
        <v/>
      </c>
      <c r="V60" s="59">
        <v>66</v>
      </c>
      <c r="W60" s="12" t="str">
        <f t="shared" si="34"/>
        <v/>
      </c>
      <c r="X60" s="81">
        <v>23</v>
      </c>
      <c r="Y60" s="12" t="str">
        <f t="shared" si="35"/>
        <v/>
      </c>
      <c r="Z60" s="81">
        <v>23</v>
      </c>
      <c r="AA60" s="12" t="str">
        <f t="shared" si="36"/>
        <v/>
      </c>
      <c r="AB60" s="59">
        <v>68</v>
      </c>
      <c r="AC60" s="12" t="str">
        <f t="shared" si="37"/>
        <v/>
      </c>
      <c r="AD60" s="81">
        <v>24</v>
      </c>
      <c r="AE60" s="12" t="str">
        <f t="shared" si="38"/>
        <v/>
      </c>
      <c r="AF60" s="81">
        <v>24</v>
      </c>
      <c r="AG60" s="12" t="str">
        <f t="shared" si="39"/>
        <v/>
      </c>
      <c r="AH60" s="81">
        <v>21</v>
      </c>
      <c r="AI60" s="12" t="str">
        <f t="shared" si="40"/>
        <v/>
      </c>
      <c r="AJ60" s="81">
        <v>20</v>
      </c>
      <c r="AK60" s="12" t="str">
        <f t="shared" si="41"/>
        <v/>
      </c>
      <c r="AL60" s="14">
        <f t="shared" si="3"/>
        <v>651</v>
      </c>
      <c r="AM60" s="69" t="s">
        <v>368</v>
      </c>
      <c r="AN60" s="14">
        <f t="shared" si="22"/>
        <v>1281</v>
      </c>
      <c r="AO60" s="14" t="str">
        <f t="shared" si="23"/>
        <v>PASS</v>
      </c>
      <c r="AP60" s="14" t="str">
        <f t="shared" si="4"/>
        <v>I</v>
      </c>
    </row>
    <row r="61" spans="2:42" ht="18" customHeight="1">
      <c r="B61" s="75">
        <v>146237</v>
      </c>
      <c r="C61" s="76" t="s">
        <v>298</v>
      </c>
      <c r="D61" s="59">
        <v>40</v>
      </c>
      <c r="E61" s="12" t="str">
        <f t="shared" si="25"/>
        <v/>
      </c>
      <c r="F61" s="81">
        <v>23</v>
      </c>
      <c r="G61" s="12" t="str">
        <f t="shared" si="26"/>
        <v/>
      </c>
      <c r="H61" s="81">
        <v>46</v>
      </c>
      <c r="I61" s="12" t="str">
        <f t="shared" si="27"/>
        <v/>
      </c>
      <c r="J61" s="59">
        <v>78</v>
      </c>
      <c r="K61" s="12" t="str">
        <f t="shared" si="28"/>
        <v/>
      </c>
      <c r="L61" s="81">
        <v>23</v>
      </c>
      <c r="M61" s="12" t="str">
        <f t="shared" si="29"/>
        <v/>
      </c>
      <c r="N61" s="81">
        <v>22</v>
      </c>
      <c r="O61" s="12" t="str">
        <f t="shared" si="30"/>
        <v/>
      </c>
      <c r="P61" s="59">
        <v>45</v>
      </c>
      <c r="Q61" s="12" t="str">
        <f t="shared" si="31"/>
        <v/>
      </c>
      <c r="R61" s="81">
        <v>23</v>
      </c>
      <c r="S61" s="12" t="str">
        <f t="shared" si="32"/>
        <v/>
      </c>
      <c r="T61" s="81">
        <v>46</v>
      </c>
      <c r="U61" s="12" t="str">
        <f t="shared" si="33"/>
        <v/>
      </c>
      <c r="V61" s="59">
        <v>74</v>
      </c>
      <c r="W61" s="12" t="str">
        <f t="shared" si="34"/>
        <v/>
      </c>
      <c r="X61" s="81">
        <v>23</v>
      </c>
      <c r="Y61" s="12" t="str">
        <f t="shared" si="35"/>
        <v/>
      </c>
      <c r="Z61" s="81">
        <v>22</v>
      </c>
      <c r="AA61" s="12" t="str">
        <f t="shared" si="36"/>
        <v/>
      </c>
      <c r="AB61" s="59">
        <v>61</v>
      </c>
      <c r="AC61" s="12" t="str">
        <f t="shared" si="37"/>
        <v/>
      </c>
      <c r="AD61" s="81">
        <v>21</v>
      </c>
      <c r="AE61" s="12" t="str">
        <f t="shared" si="38"/>
        <v/>
      </c>
      <c r="AF61" s="81">
        <v>21</v>
      </c>
      <c r="AG61" s="12" t="str">
        <f t="shared" si="39"/>
        <v/>
      </c>
      <c r="AH61" s="81">
        <v>22</v>
      </c>
      <c r="AI61" s="12" t="str">
        <f t="shared" si="40"/>
        <v/>
      </c>
      <c r="AJ61" s="81">
        <v>21</v>
      </c>
      <c r="AK61" s="12" t="str">
        <f t="shared" si="41"/>
        <v/>
      </c>
      <c r="AL61" s="14">
        <f t="shared" si="3"/>
        <v>611</v>
      </c>
      <c r="AM61" s="69" t="s">
        <v>361</v>
      </c>
      <c r="AN61" s="14">
        <f t="shared" si="22"/>
        <v>1191</v>
      </c>
      <c r="AO61" s="14" t="str">
        <f t="shared" si="23"/>
        <v>PASS</v>
      </c>
      <c r="AP61" s="14" t="str">
        <f t="shared" si="4"/>
        <v>I</v>
      </c>
    </row>
    <row r="62" spans="2:42" ht="18" customHeight="1">
      <c r="B62" s="75">
        <v>146238</v>
      </c>
      <c r="C62" s="76" t="s">
        <v>207</v>
      </c>
      <c r="D62" s="59">
        <v>69</v>
      </c>
      <c r="E62" s="12" t="str">
        <f t="shared" si="25"/>
        <v/>
      </c>
      <c r="F62" s="81">
        <v>22</v>
      </c>
      <c r="G62" s="12" t="str">
        <f t="shared" si="26"/>
        <v/>
      </c>
      <c r="H62" s="81">
        <v>46</v>
      </c>
      <c r="I62" s="12" t="str">
        <f t="shared" si="27"/>
        <v/>
      </c>
      <c r="J62" s="59">
        <v>79</v>
      </c>
      <c r="K62" s="12" t="str">
        <f t="shared" si="28"/>
        <v/>
      </c>
      <c r="L62" s="81">
        <v>22</v>
      </c>
      <c r="M62" s="12" t="str">
        <f t="shared" si="29"/>
        <v/>
      </c>
      <c r="N62" s="81">
        <v>23</v>
      </c>
      <c r="O62" s="12" t="str">
        <f t="shared" si="30"/>
        <v/>
      </c>
      <c r="P62" s="59">
        <v>61</v>
      </c>
      <c r="Q62" s="12" t="str">
        <f t="shared" si="31"/>
        <v/>
      </c>
      <c r="R62" s="81">
        <v>22</v>
      </c>
      <c r="S62" s="12" t="str">
        <f t="shared" si="32"/>
        <v/>
      </c>
      <c r="T62" s="81">
        <v>46</v>
      </c>
      <c r="U62" s="12" t="str">
        <f t="shared" si="33"/>
        <v/>
      </c>
      <c r="V62" s="59">
        <v>62</v>
      </c>
      <c r="W62" s="12" t="str">
        <f t="shared" si="34"/>
        <v/>
      </c>
      <c r="X62" s="81">
        <v>23</v>
      </c>
      <c r="Y62" s="12" t="str">
        <f t="shared" si="35"/>
        <v/>
      </c>
      <c r="Z62" s="81">
        <v>22</v>
      </c>
      <c r="AA62" s="12" t="str">
        <f t="shared" si="36"/>
        <v/>
      </c>
      <c r="AB62" s="59">
        <v>70</v>
      </c>
      <c r="AC62" s="12" t="str">
        <f t="shared" si="37"/>
        <v/>
      </c>
      <c r="AD62" s="81">
        <v>22</v>
      </c>
      <c r="AE62" s="12" t="str">
        <f t="shared" si="38"/>
        <v/>
      </c>
      <c r="AF62" s="81">
        <v>22</v>
      </c>
      <c r="AG62" s="12" t="str">
        <f t="shared" si="39"/>
        <v/>
      </c>
      <c r="AH62" s="81">
        <v>21</v>
      </c>
      <c r="AI62" s="12" t="str">
        <f t="shared" si="40"/>
        <v/>
      </c>
      <c r="AJ62" s="81">
        <v>22</v>
      </c>
      <c r="AK62" s="12" t="str">
        <f t="shared" si="41"/>
        <v/>
      </c>
      <c r="AL62" s="14">
        <f t="shared" si="3"/>
        <v>654</v>
      </c>
      <c r="AM62" s="69" t="s">
        <v>369</v>
      </c>
      <c r="AN62" s="14">
        <f t="shared" si="22"/>
        <v>1279</v>
      </c>
      <c r="AO62" s="14" t="str">
        <f t="shared" si="23"/>
        <v>PASS</v>
      </c>
      <c r="AP62" s="14" t="str">
        <f t="shared" si="4"/>
        <v>I</v>
      </c>
    </row>
    <row r="63" spans="2:42" ht="18" customHeight="1">
      <c r="B63" s="75">
        <v>146239</v>
      </c>
      <c r="C63" s="76" t="s">
        <v>208</v>
      </c>
      <c r="D63" s="59">
        <v>60</v>
      </c>
      <c r="E63" s="12" t="str">
        <f t="shared" si="25"/>
        <v/>
      </c>
      <c r="F63" s="81">
        <v>24</v>
      </c>
      <c r="G63" s="12" t="str">
        <f t="shared" si="26"/>
        <v/>
      </c>
      <c r="H63" s="81">
        <v>48</v>
      </c>
      <c r="I63" s="12" t="str">
        <f t="shared" si="27"/>
        <v/>
      </c>
      <c r="J63" s="59">
        <v>71</v>
      </c>
      <c r="K63" s="12" t="str">
        <f t="shared" si="28"/>
        <v/>
      </c>
      <c r="L63" s="81">
        <v>23</v>
      </c>
      <c r="M63" s="12" t="str">
        <f t="shared" si="29"/>
        <v/>
      </c>
      <c r="N63" s="81">
        <v>24</v>
      </c>
      <c r="O63" s="12" t="str">
        <f t="shared" si="30"/>
        <v/>
      </c>
      <c r="P63" s="59">
        <v>60</v>
      </c>
      <c r="Q63" s="12" t="str">
        <f t="shared" si="31"/>
        <v/>
      </c>
      <c r="R63" s="81">
        <v>24</v>
      </c>
      <c r="S63" s="12" t="str">
        <f t="shared" si="32"/>
        <v/>
      </c>
      <c r="T63" s="81">
        <v>48</v>
      </c>
      <c r="U63" s="12" t="str">
        <f t="shared" si="33"/>
        <v/>
      </c>
      <c r="V63" s="59">
        <v>65</v>
      </c>
      <c r="W63" s="12" t="str">
        <f t="shared" si="34"/>
        <v/>
      </c>
      <c r="X63" s="81">
        <v>23</v>
      </c>
      <c r="Y63" s="12" t="str">
        <f t="shared" si="35"/>
        <v/>
      </c>
      <c r="Z63" s="81">
        <v>20</v>
      </c>
      <c r="AA63" s="12" t="str">
        <f t="shared" si="36"/>
        <v/>
      </c>
      <c r="AB63" s="59">
        <v>69</v>
      </c>
      <c r="AC63" s="12" t="str">
        <f t="shared" si="37"/>
        <v/>
      </c>
      <c r="AD63" s="81">
        <v>24</v>
      </c>
      <c r="AE63" s="12" t="str">
        <f t="shared" si="38"/>
        <v/>
      </c>
      <c r="AF63" s="81">
        <v>24</v>
      </c>
      <c r="AG63" s="12" t="str">
        <f t="shared" si="39"/>
        <v/>
      </c>
      <c r="AH63" s="81">
        <v>22</v>
      </c>
      <c r="AI63" s="12" t="str">
        <f t="shared" si="40"/>
        <v/>
      </c>
      <c r="AJ63" s="81">
        <v>22</v>
      </c>
      <c r="AK63" s="12" t="str">
        <f t="shared" si="41"/>
        <v/>
      </c>
      <c r="AL63" s="14">
        <f t="shared" si="3"/>
        <v>651</v>
      </c>
      <c r="AM63" s="69" t="s">
        <v>370</v>
      </c>
      <c r="AN63" s="14">
        <f t="shared" si="22"/>
        <v>1289</v>
      </c>
      <c r="AO63" s="14" t="str">
        <f t="shared" si="23"/>
        <v>PASS</v>
      </c>
      <c r="AP63" s="14" t="str">
        <f t="shared" si="4"/>
        <v>I</v>
      </c>
    </row>
    <row r="64" spans="2:42" ht="18" customHeight="1">
      <c r="B64" s="75">
        <v>146240</v>
      </c>
      <c r="C64" s="76" t="s">
        <v>299</v>
      </c>
      <c r="D64" s="59">
        <v>59</v>
      </c>
      <c r="E64" s="12" t="str">
        <f t="shared" si="25"/>
        <v/>
      </c>
      <c r="F64" s="81">
        <v>23</v>
      </c>
      <c r="G64" s="12" t="str">
        <f t="shared" si="26"/>
        <v/>
      </c>
      <c r="H64" s="81">
        <v>45</v>
      </c>
      <c r="I64" s="12" t="str">
        <f t="shared" si="27"/>
        <v/>
      </c>
      <c r="J64" s="59">
        <v>84</v>
      </c>
      <c r="K64" s="12" t="str">
        <f t="shared" si="28"/>
        <v/>
      </c>
      <c r="L64" s="81">
        <v>23</v>
      </c>
      <c r="M64" s="12" t="str">
        <f t="shared" si="29"/>
        <v/>
      </c>
      <c r="N64" s="81">
        <v>23</v>
      </c>
      <c r="O64" s="12" t="str">
        <f t="shared" si="30"/>
        <v/>
      </c>
      <c r="P64" s="59">
        <v>52</v>
      </c>
      <c r="Q64" s="12" t="str">
        <f t="shared" si="31"/>
        <v/>
      </c>
      <c r="R64" s="81">
        <v>23</v>
      </c>
      <c r="S64" s="12" t="str">
        <f t="shared" si="32"/>
        <v/>
      </c>
      <c r="T64" s="81">
        <v>45</v>
      </c>
      <c r="U64" s="12" t="str">
        <f t="shared" si="33"/>
        <v/>
      </c>
      <c r="V64" s="59">
        <v>64</v>
      </c>
      <c r="W64" s="12" t="str">
        <f t="shared" si="34"/>
        <v/>
      </c>
      <c r="X64" s="81">
        <v>22</v>
      </c>
      <c r="Y64" s="12" t="str">
        <f t="shared" si="35"/>
        <v/>
      </c>
      <c r="Z64" s="81">
        <v>17</v>
      </c>
      <c r="AA64" s="12" t="str">
        <f t="shared" si="36"/>
        <v/>
      </c>
      <c r="AB64" s="59">
        <v>65</v>
      </c>
      <c r="AC64" s="12" t="str">
        <f t="shared" si="37"/>
        <v/>
      </c>
      <c r="AD64" s="81">
        <v>23</v>
      </c>
      <c r="AE64" s="12" t="str">
        <f t="shared" si="38"/>
        <v/>
      </c>
      <c r="AF64" s="81">
        <v>23</v>
      </c>
      <c r="AG64" s="12" t="str">
        <f t="shared" si="39"/>
        <v/>
      </c>
      <c r="AH64" s="81">
        <v>20</v>
      </c>
      <c r="AI64" s="12" t="str">
        <f t="shared" si="40"/>
        <v/>
      </c>
      <c r="AJ64" s="81">
        <v>20</v>
      </c>
      <c r="AK64" s="12" t="str">
        <f t="shared" si="41"/>
        <v/>
      </c>
      <c r="AL64" s="14">
        <f t="shared" si="3"/>
        <v>631</v>
      </c>
      <c r="AM64" s="69" t="s">
        <v>371</v>
      </c>
      <c r="AN64" s="14">
        <f t="shared" si="22"/>
        <v>1230</v>
      </c>
      <c r="AO64" s="14" t="str">
        <f t="shared" si="23"/>
        <v>PASS</v>
      </c>
      <c r="AP64" s="14" t="str">
        <f t="shared" si="4"/>
        <v>I</v>
      </c>
    </row>
    <row r="65" spans="2:42" ht="18" customHeight="1">
      <c r="B65" s="75">
        <v>146241</v>
      </c>
      <c r="C65" s="76" t="s">
        <v>209</v>
      </c>
      <c r="D65" s="59">
        <v>56</v>
      </c>
      <c r="E65" s="12" t="str">
        <f t="shared" si="25"/>
        <v/>
      </c>
      <c r="F65" s="81">
        <v>21</v>
      </c>
      <c r="G65" s="12" t="str">
        <f t="shared" si="26"/>
        <v/>
      </c>
      <c r="H65" s="81">
        <v>40</v>
      </c>
      <c r="I65" s="12" t="str">
        <f t="shared" si="27"/>
        <v/>
      </c>
      <c r="J65" s="59">
        <v>65</v>
      </c>
      <c r="K65" s="12" t="str">
        <f t="shared" si="28"/>
        <v/>
      </c>
      <c r="L65" s="81">
        <v>21</v>
      </c>
      <c r="M65" s="12" t="str">
        <f t="shared" si="29"/>
        <v/>
      </c>
      <c r="N65" s="81">
        <v>19</v>
      </c>
      <c r="O65" s="12" t="str">
        <f t="shared" si="30"/>
        <v/>
      </c>
      <c r="P65" s="59">
        <v>62</v>
      </c>
      <c r="Q65" s="12" t="str">
        <f t="shared" si="31"/>
        <v/>
      </c>
      <c r="R65" s="81">
        <v>20</v>
      </c>
      <c r="S65" s="12" t="str">
        <f t="shared" si="32"/>
        <v/>
      </c>
      <c r="T65" s="81">
        <v>40</v>
      </c>
      <c r="U65" s="12" t="str">
        <f t="shared" si="33"/>
        <v/>
      </c>
      <c r="V65" s="59">
        <v>62</v>
      </c>
      <c r="W65" s="12" t="str">
        <f t="shared" si="34"/>
        <v/>
      </c>
      <c r="X65" s="81">
        <v>21</v>
      </c>
      <c r="Y65" s="12" t="str">
        <f t="shared" si="35"/>
        <v/>
      </c>
      <c r="Z65" s="81">
        <v>22</v>
      </c>
      <c r="AA65" s="12" t="str">
        <f t="shared" si="36"/>
        <v/>
      </c>
      <c r="AB65" s="59">
        <v>57</v>
      </c>
      <c r="AC65" s="12" t="str">
        <f t="shared" si="37"/>
        <v/>
      </c>
      <c r="AD65" s="81">
        <v>20</v>
      </c>
      <c r="AE65" s="12" t="str">
        <f t="shared" si="38"/>
        <v/>
      </c>
      <c r="AF65" s="81">
        <v>20</v>
      </c>
      <c r="AG65" s="12" t="str">
        <f t="shared" si="39"/>
        <v/>
      </c>
      <c r="AH65" s="81">
        <v>20</v>
      </c>
      <c r="AI65" s="12" t="str">
        <f t="shared" si="40"/>
        <v/>
      </c>
      <c r="AJ65" s="81">
        <v>20</v>
      </c>
      <c r="AK65" s="12" t="str">
        <f t="shared" si="41"/>
        <v/>
      </c>
      <c r="AL65" s="14">
        <f t="shared" si="3"/>
        <v>586</v>
      </c>
      <c r="AM65" s="69" t="s">
        <v>397</v>
      </c>
      <c r="AN65" s="14">
        <f t="shared" si="22"/>
        <v>1106</v>
      </c>
      <c r="AO65" s="14" t="str">
        <f t="shared" si="23"/>
        <v>PASS</v>
      </c>
      <c r="AP65" s="14" t="str">
        <f t="shared" si="4"/>
        <v>I</v>
      </c>
    </row>
    <row r="66" spans="2:42" ht="18" customHeight="1">
      <c r="B66" s="75">
        <v>146242</v>
      </c>
      <c r="C66" s="76" t="s">
        <v>300</v>
      </c>
      <c r="D66" s="59">
        <v>68</v>
      </c>
      <c r="E66" s="12" t="str">
        <f t="shared" si="25"/>
        <v/>
      </c>
      <c r="F66" s="81">
        <v>23</v>
      </c>
      <c r="G66" s="12" t="str">
        <f t="shared" si="26"/>
        <v/>
      </c>
      <c r="H66" s="81">
        <v>47</v>
      </c>
      <c r="I66" s="12" t="str">
        <f t="shared" si="27"/>
        <v/>
      </c>
      <c r="J66" s="59">
        <v>82</v>
      </c>
      <c r="K66" s="12" t="str">
        <f t="shared" si="28"/>
        <v/>
      </c>
      <c r="L66" s="81">
        <v>23</v>
      </c>
      <c r="M66" s="12" t="str">
        <f t="shared" si="29"/>
        <v/>
      </c>
      <c r="N66" s="81">
        <v>23</v>
      </c>
      <c r="O66" s="12" t="str">
        <f t="shared" si="30"/>
        <v/>
      </c>
      <c r="P66" s="59">
        <v>52</v>
      </c>
      <c r="Q66" s="12" t="str">
        <f t="shared" si="31"/>
        <v/>
      </c>
      <c r="R66" s="81">
        <v>23</v>
      </c>
      <c r="S66" s="12" t="str">
        <f t="shared" si="32"/>
        <v/>
      </c>
      <c r="T66" s="81">
        <v>47</v>
      </c>
      <c r="U66" s="12" t="str">
        <f t="shared" si="33"/>
        <v/>
      </c>
      <c r="V66" s="59">
        <v>60</v>
      </c>
      <c r="W66" s="12" t="str">
        <f t="shared" si="34"/>
        <v/>
      </c>
      <c r="X66" s="81">
        <v>21</v>
      </c>
      <c r="Y66" s="12" t="str">
        <f t="shared" si="35"/>
        <v/>
      </c>
      <c r="Z66" s="81">
        <v>23</v>
      </c>
      <c r="AA66" s="12" t="str">
        <f t="shared" si="36"/>
        <v/>
      </c>
      <c r="AB66" s="59">
        <v>66</v>
      </c>
      <c r="AC66" s="12" t="str">
        <f t="shared" si="37"/>
        <v/>
      </c>
      <c r="AD66" s="81">
        <v>21</v>
      </c>
      <c r="AE66" s="12" t="str">
        <f t="shared" si="38"/>
        <v/>
      </c>
      <c r="AF66" s="81">
        <v>22</v>
      </c>
      <c r="AG66" s="12" t="str">
        <f t="shared" si="39"/>
        <v/>
      </c>
      <c r="AH66" s="81">
        <v>20</v>
      </c>
      <c r="AI66" s="12" t="str">
        <f t="shared" si="40"/>
        <v/>
      </c>
      <c r="AJ66" s="81">
        <v>19</v>
      </c>
      <c r="AK66" s="12" t="str">
        <f t="shared" si="41"/>
        <v/>
      </c>
      <c r="AL66" s="14">
        <f t="shared" si="3"/>
        <v>640</v>
      </c>
      <c r="AM66" s="69" t="s">
        <v>372</v>
      </c>
      <c r="AN66" s="14">
        <f t="shared" si="22"/>
        <v>1216</v>
      </c>
      <c r="AO66" s="14" t="str">
        <f t="shared" si="23"/>
        <v>PASS</v>
      </c>
      <c r="AP66" s="14" t="str">
        <f t="shared" si="4"/>
        <v>I</v>
      </c>
    </row>
    <row r="67" spans="2:42" ht="18" customHeight="1">
      <c r="B67" s="75">
        <v>146243</v>
      </c>
      <c r="C67" s="76" t="s">
        <v>210</v>
      </c>
      <c r="D67" s="59">
        <v>56</v>
      </c>
      <c r="E67" s="12" t="str">
        <f t="shared" si="25"/>
        <v/>
      </c>
      <c r="F67" s="81">
        <v>24</v>
      </c>
      <c r="G67" s="12" t="str">
        <f t="shared" si="26"/>
        <v/>
      </c>
      <c r="H67" s="81">
        <v>44</v>
      </c>
      <c r="I67" s="12" t="str">
        <f t="shared" si="27"/>
        <v/>
      </c>
      <c r="J67" s="59">
        <v>74</v>
      </c>
      <c r="K67" s="12" t="str">
        <f t="shared" si="28"/>
        <v/>
      </c>
      <c r="L67" s="81">
        <v>24</v>
      </c>
      <c r="M67" s="12" t="str">
        <f t="shared" si="29"/>
        <v/>
      </c>
      <c r="N67" s="81">
        <v>24</v>
      </c>
      <c r="O67" s="12" t="str">
        <f t="shared" si="30"/>
        <v/>
      </c>
      <c r="P67" s="59">
        <v>60</v>
      </c>
      <c r="Q67" s="12" t="str">
        <f t="shared" si="31"/>
        <v/>
      </c>
      <c r="R67" s="81">
        <v>24</v>
      </c>
      <c r="S67" s="12" t="str">
        <f t="shared" si="32"/>
        <v/>
      </c>
      <c r="T67" s="81">
        <v>44</v>
      </c>
      <c r="U67" s="12" t="str">
        <f t="shared" si="33"/>
        <v/>
      </c>
      <c r="V67" s="59">
        <v>54</v>
      </c>
      <c r="W67" s="12" t="str">
        <f t="shared" si="34"/>
        <v/>
      </c>
      <c r="X67" s="81">
        <v>20</v>
      </c>
      <c r="Y67" s="12" t="str">
        <f t="shared" si="35"/>
        <v/>
      </c>
      <c r="Z67" s="81">
        <v>17</v>
      </c>
      <c r="AA67" s="12" t="str">
        <f t="shared" si="36"/>
        <v/>
      </c>
      <c r="AB67" s="59">
        <v>64</v>
      </c>
      <c r="AC67" s="12" t="str">
        <f t="shared" si="37"/>
        <v/>
      </c>
      <c r="AD67" s="81">
        <v>21</v>
      </c>
      <c r="AE67" s="12" t="str">
        <f t="shared" si="38"/>
        <v/>
      </c>
      <c r="AF67" s="81">
        <v>22</v>
      </c>
      <c r="AG67" s="12" t="str">
        <f t="shared" si="39"/>
        <v/>
      </c>
      <c r="AH67" s="81">
        <v>22</v>
      </c>
      <c r="AI67" s="12" t="str">
        <f t="shared" si="40"/>
        <v/>
      </c>
      <c r="AJ67" s="81">
        <v>21</v>
      </c>
      <c r="AK67" s="12" t="str">
        <f t="shared" si="41"/>
        <v/>
      </c>
      <c r="AL67" s="14">
        <f t="shared" si="3"/>
        <v>615</v>
      </c>
      <c r="AM67" s="69" t="s">
        <v>373</v>
      </c>
      <c r="AN67" s="14">
        <f t="shared" si="22"/>
        <v>1176</v>
      </c>
      <c r="AO67" s="14" t="str">
        <f t="shared" si="23"/>
        <v>PASS</v>
      </c>
      <c r="AP67" s="14" t="str">
        <f t="shared" si="4"/>
        <v>I</v>
      </c>
    </row>
    <row r="68" spans="2:42" ht="18" customHeight="1">
      <c r="B68" s="75">
        <v>146244</v>
      </c>
      <c r="C68" s="76" t="s">
        <v>301</v>
      </c>
      <c r="D68" s="59">
        <v>64</v>
      </c>
      <c r="E68" s="12" t="str">
        <f t="shared" si="25"/>
        <v/>
      </c>
      <c r="F68" s="81">
        <v>23</v>
      </c>
      <c r="G68" s="12" t="str">
        <f t="shared" si="26"/>
        <v/>
      </c>
      <c r="H68" s="81">
        <v>47</v>
      </c>
      <c r="I68" s="12" t="str">
        <f t="shared" si="27"/>
        <v/>
      </c>
      <c r="J68" s="59">
        <v>73</v>
      </c>
      <c r="K68" s="12" t="str">
        <f t="shared" si="28"/>
        <v/>
      </c>
      <c r="L68" s="81">
        <v>20</v>
      </c>
      <c r="M68" s="12" t="str">
        <f t="shared" si="29"/>
        <v/>
      </c>
      <c r="N68" s="81">
        <v>23</v>
      </c>
      <c r="O68" s="12" t="str">
        <f t="shared" si="30"/>
        <v/>
      </c>
      <c r="P68" s="59">
        <v>74</v>
      </c>
      <c r="Q68" s="12" t="str">
        <f t="shared" si="31"/>
        <v/>
      </c>
      <c r="R68" s="81">
        <v>23</v>
      </c>
      <c r="S68" s="12" t="str">
        <f t="shared" si="32"/>
        <v/>
      </c>
      <c r="T68" s="81">
        <v>47</v>
      </c>
      <c r="U68" s="12" t="str">
        <f t="shared" si="33"/>
        <v/>
      </c>
      <c r="V68" s="59">
        <v>65</v>
      </c>
      <c r="W68" s="12" t="str">
        <f t="shared" si="34"/>
        <v/>
      </c>
      <c r="X68" s="81">
        <v>23</v>
      </c>
      <c r="Y68" s="12" t="str">
        <f t="shared" si="35"/>
        <v/>
      </c>
      <c r="Z68" s="81">
        <v>23</v>
      </c>
      <c r="AA68" s="12" t="str">
        <f t="shared" si="36"/>
        <v/>
      </c>
      <c r="AB68" s="59">
        <v>70</v>
      </c>
      <c r="AC68" s="12" t="str">
        <f t="shared" si="37"/>
        <v/>
      </c>
      <c r="AD68" s="81">
        <v>20</v>
      </c>
      <c r="AE68" s="12" t="str">
        <f t="shared" si="38"/>
        <v/>
      </c>
      <c r="AF68" s="81">
        <v>20</v>
      </c>
      <c r="AG68" s="12" t="str">
        <f t="shared" si="39"/>
        <v/>
      </c>
      <c r="AH68" s="81">
        <v>20</v>
      </c>
      <c r="AI68" s="12" t="str">
        <f t="shared" si="40"/>
        <v/>
      </c>
      <c r="AJ68" s="81">
        <v>19</v>
      </c>
      <c r="AK68" s="12" t="str">
        <f t="shared" si="41"/>
        <v/>
      </c>
      <c r="AL68" s="14">
        <f t="shared" si="3"/>
        <v>654</v>
      </c>
      <c r="AM68" s="69" t="s">
        <v>374</v>
      </c>
      <c r="AN68" s="14">
        <f t="shared" si="22"/>
        <v>1189</v>
      </c>
      <c r="AO68" s="14" t="str">
        <f t="shared" si="23"/>
        <v>PASS</v>
      </c>
      <c r="AP68" s="14" t="str">
        <f t="shared" si="4"/>
        <v>I</v>
      </c>
    </row>
    <row r="69" spans="2:42" ht="18" customHeight="1">
      <c r="B69" s="75">
        <v>146245</v>
      </c>
      <c r="C69" s="76" t="s">
        <v>211</v>
      </c>
      <c r="D69" s="59">
        <v>54</v>
      </c>
      <c r="E69" s="12" t="str">
        <f t="shared" si="25"/>
        <v/>
      </c>
      <c r="F69" s="81">
        <v>22</v>
      </c>
      <c r="G69" s="12" t="str">
        <f t="shared" si="26"/>
        <v/>
      </c>
      <c r="H69" s="81">
        <v>43</v>
      </c>
      <c r="I69" s="12" t="str">
        <f t="shared" si="27"/>
        <v/>
      </c>
      <c r="J69" s="59">
        <v>69</v>
      </c>
      <c r="K69" s="12" t="str">
        <f t="shared" si="28"/>
        <v/>
      </c>
      <c r="L69" s="81">
        <v>22</v>
      </c>
      <c r="M69" s="12" t="str">
        <f t="shared" si="29"/>
        <v/>
      </c>
      <c r="N69" s="81">
        <v>23</v>
      </c>
      <c r="O69" s="12" t="str">
        <f t="shared" si="30"/>
        <v/>
      </c>
      <c r="P69" s="59">
        <v>55</v>
      </c>
      <c r="Q69" s="12" t="str">
        <f t="shared" si="31"/>
        <v/>
      </c>
      <c r="R69" s="81">
        <v>22</v>
      </c>
      <c r="S69" s="12" t="str">
        <f t="shared" si="32"/>
        <v/>
      </c>
      <c r="T69" s="81">
        <v>43</v>
      </c>
      <c r="U69" s="12" t="str">
        <f t="shared" si="33"/>
        <v/>
      </c>
      <c r="V69" s="59">
        <v>60</v>
      </c>
      <c r="W69" s="12" t="str">
        <f t="shared" si="34"/>
        <v/>
      </c>
      <c r="X69" s="81">
        <v>22</v>
      </c>
      <c r="Y69" s="12" t="str">
        <f t="shared" si="35"/>
        <v/>
      </c>
      <c r="Z69" s="81">
        <v>17</v>
      </c>
      <c r="AA69" s="12" t="str">
        <f t="shared" si="36"/>
        <v/>
      </c>
      <c r="AB69" s="59">
        <v>56</v>
      </c>
      <c r="AC69" s="12" t="str">
        <f t="shared" si="37"/>
        <v/>
      </c>
      <c r="AD69" s="81">
        <v>21</v>
      </c>
      <c r="AE69" s="12" t="str">
        <f t="shared" si="38"/>
        <v/>
      </c>
      <c r="AF69" s="81">
        <v>21</v>
      </c>
      <c r="AG69" s="12" t="str">
        <f t="shared" si="39"/>
        <v/>
      </c>
      <c r="AH69" s="81">
        <v>20</v>
      </c>
      <c r="AI69" s="12" t="str">
        <f t="shared" si="40"/>
        <v/>
      </c>
      <c r="AJ69" s="81">
        <v>19</v>
      </c>
      <c r="AK69" s="12" t="str">
        <f t="shared" si="41"/>
        <v/>
      </c>
      <c r="AL69" s="14">
        <f t="shared" si="3"/>
        <v>589</v>
      </c>
      <c r="AM69" s="69" t="s">
        <v>375</v>
      </c>
      <c r="AN69" s="14">
        <f t="shared" si="22"/>
        <v>1094</v>
      </c>
      <c r="AO69" s="14" t="str">
        <f t="shared" si="23"/>
        <v>PASS</v>
      </c>
      <c r="AP69" s="14" t="str">
        <f t="shared" si="4"/>
        <v>I</v>
      </c>
    </row>
    <row r="70" spans="2:42" ht="18" customHeight="1">
      <c r="B70" s="75">
        <v>146246</v>
      </c>
      <c r="C70" s="76" t="s">
        <v>212</v>
      </c>
      <c r="D70" s="59">
        <v>23</v>
      </c>
      <c r="E70" s="12" t="str">
        <f t="shared" si="25"/>
        <v>F</v>
      </c>
      <c r="F70" s="81">
        <v>20</v>
      </c>
      <c r="G70" s="12" t="str">
        <f t="shared" si="26"/>
        <v>E</v>
      </c>
      <c r="H70" s="81">
        <v>43</v>
      </c>
      <c r="I70" s="12" t="str">
        <f t="shared" si="27"/>
        <v>E</v>
      </c>
      <c r="J70" s="59">
        <v>40</v>
      </c>
      <c r="K70" s="12" t="str">
        <f t="shared" si="28"/>
        <v>E</v>
      </c>
      <c r="L70" s="81">
        <v>20</v>
      </c>
      <c r="M70" s="12" t="str">
        <f t="shared" si="29"/>
        <v>E</v>
      </c>
      <c r="N70" s="81">
        <v>21</v>
      </c>
      <c r="O70" s="12" t="str">
        <f t="shared" si="30"/>
        <v>E</v>
      </c>
      <c r="P70" s="59">
        <v>40</v>
      </c>
      <c r="Q70" s="12" t="str">
        <f t="shared" si="31"/>
        <v>E</v>
      </c>
      <c r="R70" s="81">
        <v>19</v>
      </c>
      <c r="S70" s="12" t="str">
        <f t="shared" si="32"/>
        <v>E</v>
      </c>
      <c r="T70" s="81">
        <v>43</v>
      </c>
      <c r="U70" s="12" t="str">
        <f t="shared" si="33"/>
        <v>E</v>
      </c>
      <c r="V70" s="59">
        <v>19</v>
      </c>
      <c r="W70" s="12" t="str">
        <f t="shared" si="34"/>
        <v>F</v>
      </c>
      <c r="X70" s="81">
        <v>18</v>
      </c>
      <c r="Y70" s="12" t="str">
        <f t="shared" si="35"/>
        <v>E</v>
      </c>
      <c r="Z70" s="81">
        <v>17</v>
      </c>
      <c r="AA70" s="12" t="str">
        <f t="shared" si="36"/>
        <v>E</v>
      </c>
      <c r="AB70" s="59">
        <v>40</v>
      </c>
      <c r="AC70" s="12" t="str">
        <f t="shared" si="37"/>
        <v>E</v>
      </c>
      <c r="AD70" s="81">
        <v>20</v>
      </c>
      <c r="AE70" s="12" t="str">
        <f t="shared" si="38"/>
        <v>E</v>
      </c>
      <c r="AF70" s="81">
        <v>19</v>
      </c>
      <c r="AG70" s="12" t="str">
        <f t="shared" si="39"/>
        <v>E</v>
      </c>
      <c r="AH70" s="81">
        <v>20</v>
      </c>
      <c r="AI70" s="12" t="str">
        <f t="shared" si="40"/>
        <v>E</v>
      </c>
      <c r="AJ70" s="81">
        <v>20</v>
      </c>
      <c r="AK70" s="12" t="str">
        <f t="shared" si="41"/>
        <v>E</v>
      </c>
      <c r="AL70" s="14">
        <f t="shared" si="3"/>
        <v>442</v>
      </c>
      <c r="AM70" s="69" t="s">
        <v>425</v>
      </c>
      <c r="AN70" s="14">
        <f t="shared" si="22"/>
        <v>938</v>
      </c>
      <c r="AO70" s="14" t="str">
        <f t="shared" si="23"/>
        <v>FAIL</v>
      </c>
      <c r="AP70" s="14" t="str">
        <f t="shared" si="4"/>
        <v>--</v>
      </c>
    </row>
    <row r="71" spans="2:42" ht="18" customHeight="1">
      <c r="B71" s="75">
        <v>146247</v>
      </c>
      <c r="C71" s="76" t="s">
        <v>302</v>
      </c>
      <c r="D71" s="59">
        <v>47</v>
      </c>
      <c r="E71" s="12" t="str">
        <f t="shared" si="25"/>
        <v/>
      </c>
      <c r="F71" s="81">
        <v>22</v>
      </c>
      <c r="G71" s="12" t="str">
        <f t="shared" si="26"/>
        <v/>
      </c>
      <c r="H71" s="81">
        <v>47</v>
      </c>
      <c r="I71" s="12" t="str">
        <f t="shared" si="27"/>
        <v/>
      </c>
      <c r="J71" s="59">
        <v>59</v>
      </c>
      <c r="K71" s="12" t="str">
        <f t="shared" si="28"/>
        <v/>
      </c>
      <c r="L71" s="81">
        <v>22</v>
      </c>
      <c r="M71" s="12" t="str">
        <f t="shared" si="29"/>
        <v/>
      </c>
      <c r="N71" s="81">
        <v>23</v>
      </c>
      <c r="O71" s="12" t="str">
        <f t="shared" si="30"/>
        <v/>
      </c>
      <c r="P71" s="59">
        <v>60</v>
      </c>
      <c r="Q71" s="12" t="str">
        <f t="shared" si="31"/>
        <v/>
      </c>
      <c r="R71" s="81">
        <v>22</v>
      </c>
      <c r="S71" s="12" t="str">
        <f t="shared" si="32"/>
        <v/>
      </c>
      <c r="T71" s="81">
        <v>47</v>
      </c>
      <c r="U71" s="12" t="str">
        <f t="shared" si="33"/>
        <v/>
      </c>
      <c r="V71" s="59">
        <v>52</v>
      </c>
      <c r="W71" s="12" t="str">
        <f t="shared" si="34"/>
        <v/>
      </c>
      <c r="X71" s="81">
        <v>21</v>
      </c>
      <c r="Y71" s="12" t="str">
        <f t="shared" si="35"/>
        <v/>
      </c>
      <c r="Z71" s="81">
        <v>23</v>
      </c>
      <c r="AA71" s="12" t="str">
        <f t="shared" si="36"/>
        <v/>
      </c>
      <c r="AB71" s="59">
        <v>58</v>
      </c>
      <c r="AC71" s="12" t="str">
        <f t="shared" si="37"/>
        <v/>
      </c>
      <c r="AD71" s="81">
        <v>22</v>
      </c>
      <c r="AE71" s="12" t="str">
        <f t="shared" si="38"/>
        <v/>
      </c>
      <c r="AF71" s="81">
        <v>22</v>
      </c>
      <c r="AG71" s="12" t="str">
        <f t="shared" si="39"/>
        <v/>
      </c>
      <c r="AH71" s="81">
        <v>22</v>
      </c>
      <c r="AI71" s="12" t="str">
        <f t="shared" si="40"/>
        <v/>
      </c>
      <c r="AJ71" s="81">
        <v>22</v>
      </c>
      <c r="AK71" s="12" t="str">
        <f t="shared" si="41"/>
        <v/>
      </c>
      <c r="AL71" s="14">
        <f t="shared" si="3"/>
        <v>591</v>
      </c>
      <c r="AM71" s="69" t="s">
        <v>376</v>
      </c>
      <c r="AN71" s="14">
        <f t="shared" si="22"/>
        <v>1144</v>
      </c>
      <c r="AO71" s="14" t="str">
        <f t="shared" si="23"/>
        <v>PASS</v>
      </c>
      <c r="AP71" s="14" t="str">
        <f t="shared" si="4"/>
        <v>I</v>
      </c>
    </row>
    <row r="72" spans="2:42" ht="18" customHeight="1">
      <c r="B72" s="75">
        <v>146248</v>
      </c>
      <c r="C72" s="76" t="s">
        <v>213</v>
      </c>
      <c r="D72" s="59">
        <v>52</v>
      </c>
      <c r="E72" s="12" t="str">
        <f t="shared" si="25"/>
        <v/>
      </c>
      <c r="F72" s="81">
        <v>24</v>
      </c>
      <c r="G72" s="12" t="str">
        <f t="shared" si="26"/>
        <v/>
      </c>
      <c r="H72" s="81">
        <v>47</v>
      </c>
      <c r="I72" s="12" t="str">
        <f t="shared" si="27"/>
        <v/>
      </c>
      <c r="J72" s="59">
        <v>61</v>
      </c>
      <c r="K72" s="12" t="str">
        <f t="shared" si="28"/>
        <v/>
      </c>
      <c r="L72" s="81">
        <v>23</v>
      </c>
      <c r="M72" s="12" t="str">
        <f t="shared" si="29"/>
        <v/>
      </c>
      <c r="N72" s="81">
        <v>24</v>
      </c>
      <c r="O72" s="12" t="str">
        <f t="shared" si="30"/>
        <v/>
      </c>
      <c r="P72" s="59">
        <v>58</v>
      </c>
      <c r="Q72" s="12" t="str">
        <f t="shared" si="31"/>
        <v/>
      </c>
      <c r="R72" s="81">
        <v>24</v>
      </c>
      <c r="S72" s="12" t="str">
        <f t="shared" si="32"/>
        <v/>
      </c>
      <c r="T72" s="81">
        <v>47</v>
      </c>
      <c r="U72" s="12" t="str">
        <f t="shared" si="33"/>
        <v/>
      </c>
      <c r="V72" s="59">
        <v>50</v>
      </c>
      <c r="W72" s="12" t="str">
        <f t="shared" si="34"/>
        <v/>
      </c>
      <c r="X72" s="81">
        <v>23</v>
      </c>
      <c r="Y72" s="12" t="str">
        <f t="shared" si="35"/>
        <v/>
      </c>
      <c r="Z72" s="81">
        <v>22</v>
      </c>
      <c r="AA72" s="12" t="str">
        <f t="shared" si="36"/>
        <v/>
      </c>
      <c r="AB72" s="59">
        <v>66</v>
      </c>
      <c r="AC72" s="12" t="str">
        <f t="shared" si="37"/>
        <v/>
      </c>
      <c r="AD72" s="81">
        <v>24</v>
      </c>
      <c r="AE72" s="12" t="str">
        <f t="shared" si="38"/>
        <v/>
      </c>
      <c r="AF72" s="81">
        <v>23</v>
      </c>
      <c r="AG72" s="12" t="str">
        <f t="shared" si="39"/>
        <v/>
      </c>
      <c r="AH72" s="81">
        <v>23</v>
      </c>
      <c r="AI72" s="12" t="str">
        <f t="shared" si="40"/>
        <v/>
      </c>
      <c r="AJ72" s="81">
        <v>23</v>
      </c>
      <c r="AK72" s="12" t="str">
        <f t="shared" si="41"/>
        <v/>
      </c>
      <c r="AL72" s="14">
        <f t="shared" si="3"/>
        <v>614</v>
      </c>
      <c r="AM72" s="69" t="s">
        <v>377</v>
      </c>
      <c r="AN72" s="14">
        <f t="shared" si="22"/>
        <v>1150</v>
      </c>
      <c r="AO72" s="14" t="str">
        <f t="shared" si="23"/>
        <v>PASS</v>
      </c>
      <c r="AP72" s="14" t="str">
        <f t="shared" si="4"/>
        <v>I</v>
      </c>
    </row>
    <row r="73" spans="2:42" ht="18" customHeight="1">
      <c r="B73" s="75">
        <v>146249</v>
      </c>
      <c r="C73" s="76" t="s">
        <v>214</v>
      </c>
      <c r="D73" s="59">
        <v>48</v>
      </c>
      <c r="E73" s="12" t="str">
        <f t="shared" si="25"/>
        <v/>
      </c>
      <c r="F73" s="81">
        <v>19</v>
      </c>
      <c r="G73" s="12" t="str">
        <f t="shared" si="26"/>
        <v/>
      </c>
      <c r="H73" s="81">
        <v>41</v>
      </c>
      <c r="I73" s="12" t="str">
        <f t="shared" si="27"/>
        <v/>
      </c>
      <c r="J73" s="59">
        <v>49</v>
      </c>
      <c r="K73" s="12" t="str">
        <f t="shared" si="28"/>
        <v/>
      </c>
      <c r="L73" s="81">
        <v>19</v>
      </c>
      <c r="M73" s="12" t="str">
        <f t="shared" si="29"/>
        <v/>
      </c>
      <c r="N73" s="81">
        <v>19</v>
      </c>
      <c r="O73" s="12" t="str">
        <f t="shared" si="30"/>
        <v/>
      </c>
      <c r="P73" s="59">
        <v>47</v>
      </c>
      <c r="Q73" s="12" t="str">
        <f t="shared" si="31"/>
        <v/>
      </c>
      <c r="R73" s="81">
        <v>19</v>
      </c>
      <c r="S73" s="12" t="str">
        <f t="shared" si="32"/>
        <v/>
      </c>
      <c r="T73" s="81">
        <v>41</v>
      </c>
      <c r="U73" s="12" t="str">
        <f t="shared" si="33"/>
        <v/>
      </c>
      <c r="V73" s="59">
        <v>40</v>
      </c>
      <c r="W73" s="12" t="str">
        <f t="shared" si="34"/>
        <v/>
      </c>
      <c r="X73" s="81">
        <v>18</v>
      </c>
      <c r="Y73" s="12" t="str">
        <f t="shared" si="35"/>
        <v/>
      </c>
      <c r="Z73" s="81">
        <v>22</v>
      </c>
      <c r="AA73" s="12" t="str">
        <f t="shared" si="36"/>
        <v/>
      </c>
      <c r="AB73" s="59">
        <v>42</v>
      </c>
      <c r="AC73" s="12" t="str">
        <f t="shared" si="37"/>
        <v/>
      </c>
      <c r="AD73" s="81">
        <v>20</v>
      </c>
      <c r="AE73" s="12" t="str">
        <f t="shared" si="38"/>
        <v/>
      </c>
      <c r="AF73" s="81">
        <v>20</v>
      </c>
      <c r="AG73" s="12" t="str">
        <f t="shared" si="39"/>
        <v/>
      </c>
      <c r="AH73" s="81">
        <v>21</v>
      </c>
      <c r="AI73" s="12" t="str">
        <f t="shared" si="40"/>
        <v/>
      </c>
      <c r="AJ73" s="81">
        <v>21</v>
      </c>
      <c r="AK73" s="12" t="str">
        <f t="shared" si="41"/>
        <v/>
      </c>
      <c r="AL73" s="14">
        <f t="shared" si="3"/>
        <v>506</v>
      </c>
      <c r="AM73" s="69" t="s">
        <v>426</v>
      </c>
      <c r="AN73" s="14">
        <f t="shared" si="22"/>
        <v>1013</v>
      </c>
      <c r="AO73" s="14" t="str">
        <f t="shared" si="23"/>
        <v>PASS</v>
      </c>
      <c r="AP73" s="14" t="str">
        <f t="shared" si="4"/>
        <v>P</v>
      </c>
    </row>
    <row r="74" spans="2:42" ht="18" customHeight="1">
      <c r="B74" s="75">
        <v>146250</v>
      </c>
      <c r="C74" s="76" t="s">
        <v>215</v>
      </c>
      <c r="D74" s="59">
        <v>63</v>
      </c>
      <c r="E74" s="12" t="str">
        <f t="shared" si="25"/>
        <v/>
      </c>
      <c r="F74" s="81">
        <v>23</v>
      </c>
      <c r="G74" s="12" t="str">
        <f t="shared" si="26"/>
        <v/>
      </c>
      <c r="H74" s="81">
        <v>45</v>
      </c>
      <c r="I74" s="12" t="str">
        <f t="shared" si="27"/>
        <v/>
      </c>
      <c r="J74" s="59">
        <v>70</v>
      </c>
      <c r="K74" s="12" t="str">
        <f t="shared" si="28"/>
        <v/>
      </c>
      <c r="L74" s="81">
        <v>23</v>
      </c>
      <c r="M74" s="12" t="str">
        <f t="shared" si="29"/>
        <v/>
      </c>
      <c r="N74" s="81">
        <v>20</v>
      </c>
      <c r="O74" s="12" t="str">
        <f t="shared" si="30"/>
        <v/>
      </c>
      <c r="P74" s="59">
        <v>73</v>
      </c>
      <c r="Q74" s="12" t="str">
        <f t="shared" si="31"/>
        <v/>
      </c>
      <c r="R74" s="81">
        <v>18</v>
      </c>
      <c r="S74" s="12" t="str">
        <f t="shared" si="32"/>
        <v/>
      </c>
      <c r="T74" s="81">
        <v>45</v>
      </c>
      <c r="U74" s="12" t="str">
        <f t="shared" si="33"/>
        <v/>
      </c>
      <c r="V74" s="59">
        <v>60</v>
      </c>
      <c r="W74" s="12" t="str">
        <f t="shared" si="34"/>
        <v/>
      </c>
      <c r="X74" s="81">
        <v>20</v>
      </c>
      <c r="Y74" s="12" t="str">
        <f t="shared" si="35"/>
        <v/>
      </c>
      <c r="Z74" s="81">
        <v>22</v>
      </c>
      <c r="AA74" s="12" t="str">
        <f t="shared" si="36"/>
        <v/>
      </c>
      <c r="AB74" s="59">
        <v>53</v>
      </c>
      <c r="AC74" s="12" t="str">
        <f t="shared" si="37"/>
        <v/>
      </c>
      <c r="AD74" s="81">
        <v>18</v>
      </c>
      <c r="AE74" s="12" t="str">
        <f t="shared" si="38"/>
        <v/>
      </c>
      <c r="AF74" s="81">
        <v>18</v>
      </c>
      <c r="AG74" s="12" t="str">
        <f t="shared" si="39"/>
        <v/>
      </c>
      <c r="AH74" s="81">
        <v>21</v>
      </c>
      <c r="AI74" s="12" t="str">
        <f t="shared" si="40"/>
        <v/>
      </c>
      <c r="AJ74" s="81">
        <v>21</v>
      </c>
      <c r="AK74" s="12" t="str">
        <f t="shared" si="41"/>
        <v/>
      </c>
      <c r="AL74" s="14">
        <f t="shared" si="3"/>
        <v>613</v>
      </c>
      <c r="AM74" s="69" t="s">
        <v>378</v>
      </c>
      <c r="AN74" s="14">
        <f t="shared" si="22"/>
        <v>1128</v>
      </c>
      <c r="AO74" s="14" t="str">
        <f t="shared" si="23"/>
        <v>PASS</v>
      </c>
      <c r="AP74" s="14" t="str">
        <f t="shared" si="4"/>
        <v>I</v>
      </c>
    </row>
    <row r="75" spans="2:42" ht="18" customHeight="1">
      <c r="B75" s="75">
        <v>146251</v>
      </c>
      <c r="C75" s="76" t="s">
        <v>216</v>
      </c>
      <c r="D75" s="59">
        <v>56</v>
      </c>
      <c r="E75" s="12" t="str">
        <f t="shared" si="25"/>
        <v/>
      </c>
      <c r="F75" s="81">
        <v>24</v>
      </c>
      <c r="G75" s="12" t="str">
        <f t="shared" si="26"/>
        <v/>
      </c>
      <c r="H75" s="81">
        <v>47</v>
      </c>
      <c r="I75" s="12" t="str">
        <f t="shared" si="27"/>
        <v/>
      </c>
      <c r="J75" s="59">
        <v>71</v>
      </c>
      <c r="K75" s="12" t="str">
        <f t="shared" si="28"/>
        <v/>
      </c>
      <c r="L75" s="81">
        <v>24</v>
      </c>
      <c r="M75" s="12" t="str">
        <f t="shared" si="29"/>
        <v/>
      </c>
      <c r="N75" s="81">
        <v>24</v>
      </c>
      <c r="O75" s="12" t="str">
        <f t="shared" si="30"/>
        <v/>
      </c>
      <c r="P75" s="59">
        <v>71</v>
      </c>
      <c r="Q75" s="12" t="str">
        <f t="shared" si="31"/>
        <v/>
      </c>
      <c r="R75" s="81">
        <v>24</v>
      </c>
      <c r="S75" s="12" t="str">
        <f t="shared" si="32"/>
        <v/>
      </c>
      <c r="T75" s="81">
        <v>47</v>
      </c>
      <c r="U75" s="12" t="str">
        <f t="shared" si="33"/>
        <v/>
      </c>
      <c r="V75" s="59">
        <v>50</v>
      </c>
      <c r="W75" s="12" t="str">
        <f t="shared" si="34"/>
        <v/>
      </c>
      <c r="X75" s="81">
        <v>24</v>
      </c>
      <c r="Y75" s="12" t="str">
        <f t="shared" si="35"/>
        <v/>
      </c>
      <c r="Z75" s="81">
        <v>23</v>
      </c>
      <c r="AA75" s="12" t="str">
        <f t="shared" si="36"/>
        <v/>
      </c>
      <c r="AB75" s="59">
        <v>66</v>
      </c>
      <c r="AC75" s="12" t="str">
        <f t="shared" si="37"/>
        <v/>
      </c>
      <c r="AD75" s="81">
        <v>24</v>
      </c>
      <c r="AE75" s="12" t="str">
        <f t="shared" si="38"/>
        <v/>
      </c>
      <c r="AF75" s="81">
        <v>24</v>
      </c>
      <c r="AG75" s="12" t="str">
        <f t="shared" si="39"/>
        <v/>
      </c>
      <c r="AH75" s="81">
        <v>22</v>
      </c>
      <c r="AI75" s="12" t="str">
        <f t="shared" si="40"/>
        <v/>
      </c>
      <c r="AJ75" s="81">
        <v>22</v>
      </c>
      <c r="AK75" s="12" t="str">
        <f t="shared" si="41"/>
        <v/>
      </c>
      <c r="AL75" s="14">
        <f t="shared" si="3"/>
        <v>643</v>
      </c>
      <c r="AM75" s="69" t="s">
        <v>406</v>
      </c>
      <c r="AN75" s="14">
        <f t="shared" si="22"/>
        <v>1208</v>
      </c>
      <c r="AO75" s="14" t="str">
        <f t="shared" si="23"/>
        <v>PASS</v>
      </c>
      <c r="AP75" s="14" t="str">
        <f t="shared" si="4"/>
        <v>I</v>
      </c>
    </row>
    <row r="76" spans="2:42" ht="18" customHeight="1">
      <c r="B76" s="75">
        <v>146252</v>
      </c>
      <c r="C76" s="76" t="s">
        <v>217</v>
      </c>
      <c r="D76" s="59">
        <v>46</v>
      </c>
      <c r="E76" s="12" t="str">
        <f t="shared" si="25"/>
        <v/>
      </c>
      <c r="F76" s="81">
        <v>21</v>
      </c>
      <c r="G76" s="12" t="str">
        <f t="shared" si="26"/>
        <v/>
      </c>
      <c r="H76" s="81">
        <v>44</v>
      </c>
      <c r="I76" s="12" t="str">
        <f t="shared" si="27"/>
        <v/>
      </c>
      <c r="J76" s="59">
        <v>41</v>
      </c>
      <c r="K76" s="12" t="str">
        <f t="shared" si="28"/>
        <v/>
      </c>
      <c r="L76" s="81">
        <v>21</v>
      </c>
      <c r="M76" s="12" t="str">
        <f t="shared" si="29"/>
        <v/>
      </c>
      <c r="N76" s="81">
        <v>22</v>
      </c>
      <c r="O76" s="12" t="str">
        <f t="shared" si="30"/>
        <v/>
      </c>
      <c r="P76" s="59">
        <v>48</v>
      </c>
      <c r="Q76" s="12" t="str">
        <f t="shared" si="31"/>
        <v/>
      </c>
      <c r="R76" s="81">
        <v>21</v>
      </c>
      <c r="S76" s="12" t="str">
        <f t="shared" si="32"/>
        <v/>
      </c>
      <c r="T76" s="81">
        <v>44</v>
      </c>
      <c r="U76" s="12" t="str">
        <f t="shared" si="33"/>
        <v/>
      </c>
      <c r="V76" s="59">
        <v>40</v>
      </c>
      <c r="W76" s="12" t="str">
        <f t="shared" si="34"/>
        <v/>
      </c>
      <c r="X76" s="81">
        <v>19</v>
      </c>
      <c r="Y76" s="12" t="str">
        <f t="shared" si="35"/>
        <v/>
      </c>
      <c r="Z76" s="81">
        <v>21</v>
      </c>
      <c r="AA76" s="12" t="str">
        <f t="shared" si="36"/>
        <v/>
      </c>
      <c r="AB76" s="59">
        <v>40</v>
      </c>
      <c r="AC76" s="12" t="str">
        <f t="shared" si="37"/>
        <v/>
      </c>
      <c r="AD76" s="81">
        <v>20</v>
      </c>
      <c r="AE76" s="12" t="str">
        <f t="shared" si="38"/>
        <v/>
      </c>
      <c r="AF76" s="81">
        <v>20</v>
      </c>
      <c r="AG76" s="12" t="str">
        <f t="shared" si="39"/>
        <v/>
      </c>
      <c r="AH76" s="81">
        <v>19</v>
      </c>
      <c r="AI76" s="12" t="str">
        <f t="shared" si="40"/>
        <v/>
      </c>
      <c r="AJ76" s="81">
        <v>19</v>
      </c>
      <c r="AK76" s="12" t="str">
        <f t="shared" si="41"/>
        <v/>
      </c>
      <c r="AL76" s="14">
        <f t="shared" si="3"/>
        <v>506</v>
      </c>
      <c r="AM76" s="69">
        <v>0</v>
      </c>
      <c r="AN76" s="14">
        <f t="shared" si="22"/>
        <v>506</v>
      </c>
      <c r="AO76" s="14" t="str">
        <f t="shared" si="23"/>
        <v>PASS</v>
      </c>
      <c r="AP76" s="14" t="str">
        <f t="shared" si="4"/>
        <v>RS 5</v>
      </c>
    </row>
    <row r="77" spans="2:42" ht="18" customHeight="1">
      <c r="B77" s="75">
        <v>146253</v>
      </c>
      <c r="C77" s="76" t="s">
        <v>303</v>
      </c>
      <c r="D77" s="59">
        <v>40</v>
      </c>
      <c r="E77" s="12" t="str">
        <f t="shared" si="25"/>
        <v/>
      </c>
      <c r="F77" s="81">
        <v>23</v>
      </c>
      <c r="G77" s="12" t="str">
        <f t="shared" si="26"/>
        <v/>
      </c>
      <c r="H77" s="81">
        <v>43</v>
      </c>
      <c r="I77" s="12" t="str">
        <f t="shared" si="27"/>
        <v/>
      </c>
      <c r="J77" s="59">
        <v>58</v>
      </c>
      <c r="K77" s="12" t="str">
        <f t="shared" si="28"/>
        <v/>
      </c>
      <c r="L77" s="81">
        <v>21</v>
      </c>
      <c r="M77" s="12" t="str">
        <f t="shared" si="29"/>
        <v/>
      </c>
      <c r="N77" s="81">
        <v>23</v>
      </c>
      <c r="O77" s="12" t="str">
        <f t="shared" si="30"/>
        <v/>
      </c>
      <c r="P77" s="59">
        <v>65</v>
      </c>
      <c r="Q77" s="12" t="str">
        <f t="shared" si="31"/>
        <v/>
      </c>
      <c r="R77" s="81">
        <v>19</v>
      </c>
      <c r="S77" s="12" t="str">
        <f t="shared" si="32"/>
        <v/>
      </c>
      <c r="T77" s="81">
        <v>43</v>
      </c>
      <c r="U77" s="12" t="str">
        <f t="shared" si="33"/>
        <v/>
      </c>
      <c r="V77" s="59">
        <v>60</v>
      </c>
      <c r="W77" s="12" t="str">
        <f t="shared" si="34"/>
        <v/>
      </c>
      <c r="X77" s="81">
        <v>22</v>
      </c>
      <c r="Y77" s="12" t="str">
        <f t="shared" si="35"/>
        <v/>
      </c>
      <c r="Z77" s="81">
        <v>22</v>
      </c>
      <c r="AA77" s="12" t="str">
        <f t="shared" si="36"/>
        <v/>
      </c>
      <c r="AB77" s="59">
        <v>52</v>
      </c>
      <c r="AC77" s="12" t="str">
        <f t="shared" si="37"/>
        <v/>
      </c>
      <c r="AD77" s="81">
        <v>24</v>
      </c>
      <c r="AE77" s="12" t="str">
        <f t="shared" si="38"/>
        <v/>
      </c>
      <c r="AF77" s="81">
        <v>23</v>
      </c>
      <c r="AG77" s="12" t="str">
        <f t="shared" si="39"/>
        <v/>
      </c>
      <c r="AH77" s="81">
        <v>20</v>
      </c>
      <c r="AI77" s="12" t="str">
        <f t="shared" si="40"/>
        <v/>
      </c>
      <c r="AJ77" s="81">
        <v>20</v>
      </c>
      <c r="AK77" s="12" t="str">
        <f t="shared" si="41"/>
        <v/>
      </c>
      <c r="AL77" s="14">
        <f t="shared" si="3"/>
        <v>578</v>
      </c>
      <c r="AM77" s="69" t="s">
        <v>395</v>
      </c>
      <c r="AN77" s="14">
        <f t="shared" si="22"/>
        <v>1100</v>
      </c>
      <c r="AO77" s="14" t="str">
        <f t="shared" si="23"/>
        <v>PASS</v>
      </c>
      <c r="AP77" s="14" t="str">
        <f t="shared" si="4"/>
        <v>I</v>
      </c>
    </row>
    <row r="78" spans="2:42" ht="18" customHeight="1">
      <c r="B78" s="75">
        <v>146254</v>
      </c>
      <c r="C78" s="76" t="s">
        <v>218</v>
      </c>
      <c r="D78" s="59">
        <v>75</v>
      </c>
      <c r="E78" s="12" t="str">
        <f t="shared" si="25"/>
        <v/>
      </c>
      <c r="F78" s="81">
        <v>20</v>
      </c>
      <c r="G78" s="12" t="str">
        <f t="shared" si="26"/>
        <v/>
      </c>
      <c r="H78" s="81">
        <v>46</v>
      </c>
      <c r="I78" s="12" t="str">
        <f t="shared" si="27"/>
        <v/>
      </c>
      <c r="J78" s="59">
        <v>81</v>
      </c>
      <c r="K78" s="12" t="str">
        <f t="shared" si="28"/>
        <v/>
      </c>
      <c r="L78" s="81">
        <v>20</v>
      </c>
      <c r="M78" s="12" t="str">
        <f t="shared" si="29"/>
        <v/>
      </c>
      <c r="N78" s="81">
        <v>22</v>
      </c>
      <c r="O78" s="12" t="str">
        <f t="shared" si="30"/>
        <v/>
      </c>
      <c r="P78" s="59">
        <v>77</v>
      </c>
      <c r="Q78" s="12" t="str">
        <f t="shared" si="31"/>
        <v/>
      </c>
      <c r="R78" s="81">
        <v>23</v>
      </c>
      <c r="S78" s="12" t="str">
        <f t="shared" si="32"/>
        <v/>
      </c>
      <c r="T78" s="81">
        <v>46</v>
      </c>
      <c r="U78" s="12" t="str">
        <f t="shared" si="33"/>
        <v/>
      </c>
      <c r="V78" s="59">
        <v>66</v>
      </c>
      <c r="W78" s="12" t="str">
        <f t="shared" si="34"/>
        <v/>
      </c>
      <c r="X78" s="81">
        <v>22</v>
      </c>
      <c r="Y78" s="12" t="str">
        <f t="shared" si="35"/>
        <v/>
      </c>
      <c r="Z78" s="81">
        <v>23</v>
      </c>
      <c r="AA78" s="12" t="str">
        <f t="shared" si="36"/>
        <v/>
      </c>
      <c r="AB78" s="59">
        <v>80</v>
      </c>
      <c r="AC78" s="12" t="str">
        <f t="shared" si="37"/>
        <v/>
      </c>
      <c r="AD78" s="81">
        <v>19</v>
      </c>
      <c r="AE78" s="12" t="str">
        <f t="shared" si="38"/>
        <v/>
      </c>
      <c r="AF78" s="81">
        <v>18</v>
      </c>
      <c r="AG78" s="12" t="str">
        <f t="shared" si="39"/>
        <v/>
      </c>
      <c r="AH78" s="81">
        <v>20</v>
      </c>
      <c r="AI78" s="12" t="str">
        <f t="shared" si="40"/>
        <v/>
      </c>
      <c r="AJ78" s="81">
        <v>20</v>
      </c>
      <c r="AK78" s="12" t="str">
        <f t="shared" si="41"/>
        <v/>
      </c>
      <c r="AL78" s="14">
        <f t="shared" si="3"/>
        <v>678</v>
      </c>
      <c r="AM78" s="69" t="s">
        <v>379</v>
      </c>
      <c r="AN78" s="14">
        <f t="shared" si="22"/>
        <v>1287</v>
      </c>
      <c r="AO78" s="14" t="str">
        <f t="shared" si="23"/>
        <v>PASS</v>
      </c>
      <c r="AP78" s="14" t="str">
        <f t="shared" si="4"/>
        <v>I</v>
      </c>
    </row>
    <row r="79" spans="2:42" ht="18" customHeight="1">
      <c r="B79" s="75">
        <v>146255</v>
      </c>
      <c r="C79" s="76" t="s">
        <v>304</v>
      </c>
      <c r="D79" s="59">
        <v>46</v>
      </c>
      <c r="E79" s="12" t="str">
        <f t="shared" si="25"/>
        <v/>
      </c>
      <c r="F79" s="81">
        <v>23</v>
      </c>
      <c r="G79" s="12" t="str">
        <f t="shared" si="26"/>
        <v/>
      </c>
      <c r="H79" s="81">
        <v>45</v>
      </c>
      <c r="I79" s="12" t="str">
        <f t="shared" si="27"/>
        <v/>
      </c>
      <c r="J79" s="59">
        <v>59</v>
      </c>
      <c r="K79" s="12" t="str">
        <f t="shared" si="28"/>
        <v/>
      </c>
      <c r="L79" s="81">
        <v>22</v>
      </c>
      <c r="M79" s="12" t="str">
        <f t="shared" si="29"/>
        <v/>
      </c>
      <c r="N79" s="81">
        <v>23</v>
      </c>
      <c r="O79" s="12" t="str">
        <f t="shared" si="30"/>
        <v/>
      </c>
      <c r="P79" s="59">
        <v>58</v>
      </c>
      <c r="Q79" s="12" t="str">
        <f t="shared" si="31"/>
        <v/>
      </c>
      <c r="R79" s="81">
        <v>23</v>
      </c>
      <c r="S79" s="12" t="str">
        <f t="shared" si="32"/>
        <v/>
      </c>
      <c r="T79" s="81">
        <v>45</v>
      </c>
      <c r="U79" s="12" t="str">
        <f t="shared" si="33"/>
        <v/>
      </c>
      <c r="V79" s="59">
        <v>53</v>
      </c>
      <c r="W79" s="12" t="str">
        <f t="shared" si="34"/>
        <v/>
      </c>
      <c r="X79" s="81">
        <v>23</v>
      </c>
      <c r="Y79" s="12" t="str">
        <f t="shared" si="35"/>
        <v/>
      </c>
      <c r="Z79" s="81">
        <v>24</v>
      </c>
      <c r="AA79" s="12" t="str">
        <f t="shared" si="36"/>
        <v/>
      </c>
      <c r="AB79" s="59">
        <v>54</v>
      </c>
      <c r="AC79" s="12" t="str">
        <f t="shared" si="37"/>
        <v/>
      </c>
      <c r="AD79" s="81">
        <v>21</v>
      </c>
      <c r="AE79" s="12" t="str">
        <f t="shared" si="38"/>
        <v/>
      </c>
      <c r="AF79" s="81">
        <v>21</v>
      </c>
      <c r="AG79" s="12" t="str">
        <f t="shared" si="39"/>
        <v/>
      </c>
      <c r="AH79" s="81">
        <v>21</v>
      </c>
      <c r="AI79" s="12" t="str">
        <f t="shared" si="40"/>
        <v/>
      </c>
      <c r="AJ79" s="81">
        <v>21</v>
      </c>
      <c r="AK79" s="12" t="str">
        <f t="shared" si="41"/>
        <v/>
      </c>
      <c r="AL79" s="14">
        <f t="shared" si="3"/>
        <v>582</v>
      </c>
      <c r="AM79" s="69" t="s">
        <v>380</v>
      </c>
      <c r="AN79" s="14">
        <f t="shared" si="22"/>
        <v>1094</v>
      </c>
      <c r="AO79" s="14" t="str">
        <f t="shared" si="23"/>
        <v>PASS</v>
      </c>
      <c r="AP79" s="14" t="str">
        <f t="shared" si="4"/>
        <v>I</v>
      </c>
    </row>
    <row r="80" spans="2:42" ht="18" customHeight="1">
      <c r="B80" s="75">
        <v>146256</v>
      </c>
      <c r="C80" s="76" t="s">
        <v>305</v>
      </c>
      <c r="D80" s="59">
        <v>62</v>
      </c>
      <c r="E80" s="12" t="str">
        <f t="shared" si="25"/>
        <v/>
      </c>
      <c r="F80" s="81">
        <v>22</v>
      </c>
      <c r="G80" s="12" t="str">
        <f t="shared" si="26"/>
        <v/>
      </c>
      <c r="H80" s="81">
        <v>44</v>
      </c>
      <c r="I80" s="12" t="str">
        <f t="shared" si="27"/>
        <v/>
      </c>
      <c r="J80" s="59">
        <v>76</v>
      </c>
      <c r="K80" s="12" t="str">
        <f t="shared" si="28"/>
        <v/>
      </c>
      <c r="L80" s="81">
        <v>23</v>
      </c>
      <c r="M80" s="12" t="str">
        <f t="shared" si="29"/>
        <v/>
      </c>
      <c r="N80" s="81">
        <v>22</v>
      </c>
      <c r="O80" s="12" t="str">
        <f t="shared" si="30"/>
        <v/>
      </c>
      <c r="P80" s="59">
        <v>68</v>
      </c>
      <c r="Q80" s="12" t="str">
        <f t="shared" si="31"/>
        <v/>
      </c>
      <c r="R80" s="81">
        <v>22</v>
      </c>
      <c r="S80" s="12" t="str">
        <f t="shared" si="32"/>
        <v/>
      </c>
      <c r="T80" s="81">
        <v>44</v>
      </c>
      <c r="U80" s="12" t="str">
        <f t="shared" si="33"/>
        <v/>
      </c>
      <c r="V80" s="59">
        <v>74</v>
      </c>
      <c r="W80" s="12" t="str">
        <f t="shared" si="34"/>
        <v/>
      </c>
      <c r="X80" s="81">
        <v>20</v>
      </c>
      <c r="Y80" s="12" t="str">
        <f t="shared" si="35"/>
        <v/>
      </c>
      <c r="Z80" s="81">
        <v>22</v>
      </c>
      <c r="AA80" s="12" t="str">
        <f t="shared" si="36"/>
        <v/>
      </c>
      <c r="AB80" s="59">
        <v>56</v>
      </c>
      <c r="AC80" s="12" t="str">
        <f t="shared" si="37"/>
        <v/>
      </c>
      <c r="AD80" s="81">
        <v>21</v>
      </c>
      <c r="AE80" s="12" t="str">
        <f t="shared" si="38"/>
        <v/>
      </c>
      <c r="AF80" s="81">
        <v>22</v>
      </c>
      <c r="AG80" s="12" t="str">
        <f t="shared" si="39"/>
        <v/>
      </c>
      <c r="AH80" s="81">
        <v>21</v>
      </c>
      <c r="AI80" s="12" t="str">
        <f t="shared" si="40"/>
        <v/>
      </c>
      <c r="AJ80" s="81">
        <v>22</v>
      </c>
      <c r="AK80" s="12" t="str">
        <f t="shared" si="41"/>
        <v/>
      </c>
      <c r="AL80" s="14">
        <f t="shared" si="3"/>
        <v>641</v>
      </c>
      <c r="AM80" s="69" t="s">
        <v>381</v>
      </c>
      <c r="AN80" s="14">
        <f t="shared" si="22"/>
        <v>1223</v>
      </c>
      <c r="AO80" s="14" t="str">
        <f t="shared" si="23"/>
        <v>PASS</v>
      </c>
      <c r="AP80" s="14" t="str">
        <f t="shared" si="4"/>
        <v>I</v>
      </c>
    </row>
    <row r="81" spans="2:42" ht="18" customHeight="1">
      <c r="B81" s="75">
        <v>146257</v>
      </c>
      <c r="C81" s="76" t="s">
        <v>219</v>
      </c>
      <c r="D81" s="59">
        <v>57</v>
      </c>
      <c r="E81" s="12" t="str">
        <f t="shared" si="25"/>
        <v/>
      </c>
      <c r="F81" s="81">
        <v>23</v>
      </c>
      <c r="G81" s="12" t="str">
        <f t="shared" si="26"/>
        <v/>
      </c>
      <c r="H81" s="81">
        <v>47</v>
      </c>
      <c r="I81" s="12" t="str">
        <f t="shared" si="27"/>
        <v/>
      </c>
      <c r="J81" s="59">
        <v>68</v>
      </c>
      <c r="K81" s="12" t="str">
        <f t="shared" si="28"/>
        <v/>
      </c>
      <c r="L81" s="81">
        <v>23</v>
      </c>
      <c r="M81" s="12" t="str">
        <f t="shared" si="29"/>
        <v/>
      </c>
      <c r="N81" s="81">
        <v>23</v>
      </c>
      <c r="O81" s="12" t="str">
        <f t="shared" si="30"/>
        <v/>
      </c>
      <c r="P81" s="59">
        <v>62</v>
      </c>
      <c r="Q81" s="12" t="str">
        <f t="shared" si="31"/>
        <v/>
      </c>
      <c r="R81" s="81">
        <v>24</v>
      </c>
      <c r="S81" s="12" t="str">
        <f t="shared" si="32"/>
        <v/>
      </c>
      <c r="T81" s="81">
        <v>47</v>
      </c>
      <c r="U81" s="12" t="str">
        <f t="shared" si="33"/>
        <v/>
      </c>
      <c r="V81" s="59">
        <v>61</v>
      </c>
      <c r="W81" s="12" t="str">
        <f t="shared" si="34"/>
        <v/>
      </c>
      <c r="X81" s="81">
        <v>22</v>
      </c>
      <c r="Y81" s="12" t="str">
        <f t="shared" si="35"/>
        <v/>
      </c>
      <c r="Z81" s="81">
        <v>18</v>
      </c>
      <c r="AA81" s="12" t="str">
        <f t="shared" si="36"/>
        <v/>
      </c>
      <c r="AB81" s="59">
        <v>69</v>
      </c>
      <c r="AC81" s="12" t="str">
        <f t="shared" si="37"/>
        <v/>
      </c>
      <c r="AD81" s="81">
        <v>23</v>
      </c>
      <c r="AE81" s="12" t="str">
        <f t="shared" si="38"/>
        <v/>
      </c>
      <c r="AF81" s="81">
        <v>23</v>
      </c>
      <c r="AG81" s="12" t="str">
        <f t="shared" si="39"/>
        <v/>
      </c>
      <c r="AH81" s="81">
        <v>22</v>
      </c>
      <c r="AI81" s="12" t="str">
        <f t="shared" si="40"/>
        <v/>
      </c>
      <c r="AJ81" s="81">
        <v>23</v>
      </c>
      <c r="AK81" s="12" t="str">
        <f t="shared" si="41"/>
        <v/>
      </c>
      <c r="AL81" s="14">
        <f t="shared" si="3"/>
        <v>635</v>
      </c>
      <c r="AM81" s="69" t="s">
        <v>350</v>
      </c>
      <c r="AN81" s="14">
        <f t="shared" si="22"/>
        <v>1186</v>
      </c>
      <c r="AO81" s="14" t="str">
        <f t="shared" si="23"/>
        <v>PASS</v>
      </c>
      <c r="AP81" s="14" t="str">
        <f t="shared" si="4"/>
        <v>I</v>
      </c>
    </row>
    <row r="82" spans="2:42" ht="18" customHeight="1">
      <c r="B82" s="75">
        <v>146258</v>
      </c>
      <c r="C82" s="76" t="s">
        <v>306</v>
      </c>
      <c r="D82" s="59">
        <v>66</v>
      </c>
      <c r="E82" s="12" t="str">
        <f t="shared" si="25"/>
        <v/>
      </c>
      <c r="F82" s="81">
        <v>22</v>
      </c>
      <c r="G82" s="12" t="str">
        <f t="shared" si="26"/>
        <v/>
      </c>
      <c r="H82" s="81">
        <v>44</v>
      </c>
      <c r="I82" s="12" t="str">
        <f t="shared" si="27"/>
        <v/>
      </c>
      <c r="J82" s="59">
        <v>79</v>
      </c>
      <c r="K82" s="12" t="str">
        <f t="shared" si="28"/>
        <v/>
      </c>
      <c r="L82" s="81">
        <v>22</v>
      </c>
      <c r="M82" s="12" t="str">
        <f t="shared" si="29"/>
        <v/>
      </c>
      <c r="N82" s="81">
        <v>22</v>
      </c>
      <c r="O82" s="12" t="str">
        <f t="shared" si="30"/>
        <v/>
      </c>
      <c r="P82" s="59">
        <v>53</v>
      </c>
      <c r="Q82" s="12" t="str">
        <f t="shared" si="31"/>
        <v/>
      </c>
      <c r="R82" s="81">
        <v>24</v>
      </c>
      <c r="S82" s="12" t="str">
        <f t="shared" si="32"/>
        <v/>
      </c>
      <c r="T82" s="81">
        <v>44</v>
      </c>
      <c r="U82" s="12" t="str">
        <f t="shared" si="33"/>
        <v/>
      </c>
      <c r="V82" s="59">
        <v>72</v>
      </c>
      <c r="W82" s="12" t="str">
        <f t="shared" si="34"/>
        <v/>
      </c>
      <c r="X82" s="81">
        <v>24</v>
      </c>
      <c r="Y82" s="12" t="str">
        <f t="shared" si="35"/>
        <v/>
      </c>
      <c r="Z82" s="81">
        <v>22</v>
      </c>
      <c r="AA82" s="12" t="str">
        <f t="shared" si="36"/>
        <v/>
      </c>
      <c r="AB82" s="59">
        <v>67</v>
      </c>
      <c r="AC82" s="12" t="str">
        <f t="shared" si="37"/>
        <v/>
      </c>
      <c r="AD82" s="81">
        <v>23</v>
      </c>
      <c r="AE82" s="12" t="str">
        <f t="shared" si="38"/>
        <v/>
      </c>
      <c r="AF82" s="81">
        <v>22</v>
      </c>
      <c r="AG82" s="12" t="str">
        <f t="shared" si="39"/>
        <v/>
      </c>
      <c r="AH82" s="81">
        <v>21</v>
      </c>
      <c r="AI82" s="12" t="str">
        <f t="shared" si="40"/>
        <v/>
      </c>
      <c r="AJ82" s="81">
        <v>22</v>
      </c>
      <c r="AK82" s="12" t="str">
        <f t="shared" si="41"/>
        <v/>
      </c>
      <c r="AL82" s="14">
        <f t="shared" si="3"/>
        <v>649</v>
      </c>
      <c r="AM82" s="69" t="s">
        <v>382</v>
      </c>
      <c r="AN82" s="14">
        <f t="shared" si="22"/>
        <v>1203</v>
      </c>
      <c r="AO82" s="14" t="str">
        <f t="shared" si="23"/>
        <v>PASS</v>
      </c>
      <c r="AP82" s="14" t="str">
        <f t="shared" si="4"/>
        <v>I</v>
      </c>
    </row>
    <row r="83" spans="2:42" ht="18" customHeight="1">
      <c r="B83" s="75">
        <v>146259</v>
      </c>
      <c r="C83" s="77" t="s">
        <v>220</v>
      </c>
      <c r="D83" s="59">
        <v>43</v>
      </c>
      <c r="E83" s="12" t="str">
        <f t="shared" si="25"/>
        <v/>
      </c>
      <c r="F83" s="81">
        <v>21</v>
      </c>
      <c r="G83" s="12" t="str">
        <f t="shared" si="26"/>
        <v/>
      </c>
      <c r="H83" s="81">
        <v>43</v>
      </c>
      <c r="I83" s="12" t="str">
        <f t="shared" si="27"/>
        <v/>
      </c>
      <c r="J83" s="59">
        <v>56</v>
      </c>
      <c r="K83" s="12" t="str">
        <f t="shared" si="28"/>
        <v/>
      </c>
      <c r="L83" s="81">
        <v>22</v>
      </c>
      <c r="M83" s="12" t="str">
        <f t="shared" si="29"/>
        <v/>
      </c>
      <c r="N83" s="81">
        <v>22</v>
      </c>
      <c r="O83" s="12" t="str">
        <f t="shared" si="30"/>
        <v/>
      </c>
      <c r="P83" s="59">
        <v>59</v>
      </c>
      <c r="Q83" s="12" t="str">
        <f t="shared" si="31"/>
        <v/>
      </c>
      <c r="R83" s="81">
        <v>22</v>
      </c>
      <c r="S83" s="12" t="str">
        <f t="shared" si="32"/>
        <v/>
      </c>
      <c r="T83" s="81">
        <v>43</v>
      </c>
      <c r="U83" s="12" t="str">
        <f t="shared" si="33"/>
        <v/>
      </c>
      <c r="V83" s="59">
        <v>52</v>
      </c>
      <c r="W83" s="12" t="str">
        <f t="shared" si="34"/>
        <v/>
      </c>
      <c r="X83" s="81">
        <v>22</v>
      </c>
      <c r="Y83" s="12" t="str">
        <f t="shared" si="35"/>
        <v/>
      </c>
      <c r="Z83" s="81">
        <v>18</v>
      </c>
      <c r="AA83" s="12" t="str">
        <f t="shared" si="36"/>
        <v/>
      </c>
      <c r="AB83" s="59">
        <v>64</v>
      </c>
      <c r="AC83" s="12" t="str">
        <f t="shared" si="37"/>
        <v/>
      </c>
      <c r="AD83" s="81">
        <v>21</v>
      </c>
      <c r="AE83" s="12" t="str">
        <f t="shared" si="38"/>
        <v/>
      </c>
      <c r="AF83" s="81">
        <v>22</v>
      </c>
      <c r="AG83" s="12" t="str">
        <f t="shared" si="39"/>
        <v/>
      </c>
      <c r="AH83" s="81">
        <v>22</v>
      </c>
      <c r="AI83" s="12" t="str">
        <f t="shared" si="40"/>
        <v/>
      </c>
      <c r="AJ83" s="81">
        <v>23</v>
      </c>
      <c r="AK83" s="12" t="str">
        <f t="shared" si="41"/>
        <v/>
      </c>
      <c r="AL83" s="14">
        <f t="shared" si="3"/>
        <v>575</v>
      </c>
      <c r="AM83" s="69" t="s">
        <v>427</v>
      </c>
      <c r="AN83" s="14">
        <f t="shared" si="22"/>
        <v>1121</v>
      </c>
      <c r="AO83" s="14" t="str">
        <f t="shared" si="23"/>
        <v>PASS</v>
      </c>
      <c r="AP83" s="14" t="str">
        <f t="shared" si="4"/>
        <v>P</v>
      </c>
    </row>
    <row r="84" spans="2:42" ht="18" customHeight="1">
      <c r="B84" s="75">
        <v>146260</v>
      </c>
      <c r="C84" s="76" t="s">
        <v>307</v>
      </c>
      <c r="D84" s="59">
        <v>57</v>
      </c>
      <c r="E84" s="12" t="str">
        <f t="shared" si="25"/>
        <v/>
      </c>
      <c r="F84" s="81">
        <v>22</v>
      </c>
      <c r="G84" s="12" t="str">
        <f t="shared" si="26"/>
        <v/>
      </c>
      <c r="H84" s="81">
        <v>47</v>
      </c>
      <c r="I84" s="12" t="str">
        <f t="shared" si="27"/>
        <v/>
      </c>
      <c r="J84" s="59">
        <v>71</v>
      </c>
      <c r="K84" s="12" t="str">
        <f t="shared" si="28"/>
        <v/>
      </c>
      <c r="L84" s="81">
        <v>22</v>
      </c>
      <c r="M84" s="12" t="str">
        <f t="shared" si="29"/>
        <v/>
      </c>
      <c r="N84" s="81">
        <v>22</v>
      </c>
      <c r="O84" s="12" t="str">
        <f t="shared" si="30"/>
        <v/>
      </c>
      <c r="P84" s="59">
        <v>70</v>
      </c>
      <c r="Q84" s="12" t="str">
        <f t="shared" si="31"/>
        <v/>
      </c>
      <c r="R84" s="81">
        <v>23</v>
      </c>
      <c r="S84" s="12" t="str">
        <f t="shared" si="32"/>
        <v/>
      </c>
      <c r="T84" s="81">
        <v>47</v>
      </c>
      <c r="U84" s="12" t="str">
        <f t="shared" si="33"/>
        <v/>
      </c>
      <c r="V84" s="59">
        <v>66</v>
      </c>
      <c r="W84" s="12" t="str">
        <f t="shared" si="34"/>
        <v/>
      </c>
      <c r="X84" s="81">
        <v>23</v>
      </c>
      <c r="Y84" s="12" t="str">
        <f t="shared" si="35"/>
        <v/>
      </c>
      <c r="Z84" s="81">
        <v>23</v>
      </c>
      <c r="AA84" s="12" t="str">
        <f t="shared" si="36"/>
        <v/>
      </c>
      <c r="AB84" s="59">
        <v>58</v>
      </c>
      <c r="AC84" s="12" t="str">
        <f t="shared" si="37"/>
        <v/>
      </c>
      <c r="AD84" s="81">
        <v>24</v>
      </c>
      <c r="AE84" s="12" t="str">
        <f t="shared" si="38"/>
        <v/>
      </c>
      <c r="AF84" s="81">
        <v>22</v>
      </c>
      <c r="AG84" s="12" t="str">
        <f t="shared" si="39"/>
        <v/>
      </c>
      <c r="AH84" s="81">
        <v>20</v>
      </c>
      <c r="AI84" s="12" t="str">
        <f t="shared" si="40"/>
        <v/>
      </c>
      <c r="AJ84" s="81">
        <v>21</v>
      </c>
      <c r="AK84" s="12" t="str">
        <f t="shared" si="41"/>
        <v/>
      </c>
      <c r="AL84" s="14">
        <f t="shared" si="3"/>
        <v>638</v>
      </c>
      <c r="AM84" s="69" t="s">
        <v>345</v>
      </c>
      <c r="AN84" s="14">
        <f t="shared" si="22"/>
        <v>1196</v>
      </c>
      <c r="AO84" s="14" t="str">
        <f t="shared" si="23"/>
        <v>PASS</v>
      </c>
      <c r="AP84" s="14" t="str">
        <f t="shared" si="4"/>
        <v>I</v>
      </c>
    </row>
    <row r="85" spans="2:42" ht="18" customHeight="1">
      <c r="B85" s="75">
        <v>146261</v>
      </c>
      <c r="C85" s="76" t="s">
        <v>308</v>
      </c>
      <c r="D85" s="59">
        <v>61</v>
      </c>
      <c r="E85" s="12" t="str">
        <f t="shared" si="25"/>
        <v/>
      </c>
      <c r="F85" s="81">
        <v>24</v>
      </c>
      <c r="G85" s="12" t="str">
        <f t="shared" si="26"/>
        <v/>
      </c>
      <c r="H85" s="81">
        <v>46</v>
      </c>
      <c r="I85" s="12" t="str">
        <f t="shared" si="27"/>
        <v/>
      </c>
      <c r="J85" s="59">
        <v>58</v>
      </c>
      <c r="K85" s="12" t="str">
        <f t="shared" si="28"/>
        <v/>
      </c>
      <c r="L85" s="81">
        <v>24</v>
      </c>
      <c r="M85" s="12" t="str">
        <f t="shared" si="29"/>
        <v/>
      </c>
      <c r="N85" s="81">
        <v>24</v>
      </c>
      <c r="O85" s="12" t="str">
        <f t="shared" si="30"/>
        <v/>
      </c>
      <c r="P85" s="59">
        <v>61</v>
      </c>
      <c r="Q85" s="12" t="str">
        <f t="shared" si="31"/>
        <v/>
      </c>
      <c r="R85" s="81">
        <v>22</v>
      </c>
      <c r="S85" s="12" t="str">
        <f t="shared" si="32"/>
        <v/>
      </c>
      <c r="T85" s="81">
        <v>46</v>
      </c>
      <c r="U85" s="12" t="str">
        <f t="shared" si="33"/>
        <v/>
      </c>
      <c r="V85" s="59">
        <v>53</v>
      </c>
      <c r="W85" s="12" t="str">
        <f t="shared" si="34"/>
        <v/>
      </c>
      <c r="X85" s="81">
        <v>22</v>
      </c>
      <c r="Y85" s="12" t="str">
        <f t="shared" si="35"/>
        <v/>
      </c>
      <c r="Z85" s="81">
        <v>22</v>
      </c>
      <c r="AA85" s="12" t="str">
        <f t="shared" si="36"/>
        <v/>
      </c>
      <c r="AB85" s="59">
        <v>67</v>
      </c>
      <c r="AC85" s="12" t="str">
        <f t="shared" si="37"/>
        <v/>
      </c>
      <c r="AD85" s="81">
        <v>24</v>
      </c>
      <c r="AE85" s="12" t="str">
        <f t="shared" si="38"/>
        <v/>
      </c>
      <c r="AF85" s="81">
        <v>24</v>
      </c>
      <c r="AG85" s="12" t="str">
        <f t="shared" si="39"/>
        <v/>
      </c>
      <c r="AH85" s="81">
        <v>22</v>
      </c>
      <c r="AI85" s="12" t="str">
        <f t="shared" si="40"/>
        <v/>
      </c>
      <c r="AJ85" s="81">
        <v>23</v>
      </c>
      <c r="AK85" s="12" t="str">
        <f t="shared" si="41"/>
        <v/>
      </c>
      <c r="AL85" s="14">
        <f t="shared" si="3"/>
        <v>623</v>
      </c>
      <c r="AM85" s="69" t="s">
        <v>383</v>
      </c>
      <c r="AN85" s="14">
        <f t="shared" si="22"/>
        <v>1156</v>
      </c>
      <c r="AO85" s="14" t="str">
        <f t="shared" si="23"/>
        <v>PASS</v>
      </c>
      <c r="AP85" s="14" t="str">
        <f t="shared" si="4"/>
        <v>I</v>
      </c>
    </row>
    <row r="86" spans="2:42" ht="18" customHeight="1">
      <c r="B86" s="75">
        <v>146262</v>
      </c>
      <c r="C86" s="76" t="s">
        <v>309</v>
      </c>
      <c r="D86" s="59">
        <v>61</v>
      </c>
      <c r="E86" s="12" t="str">
        <f t="shared" si="25"/>
        <v/>
      </c>
      <c r="F86" s="81">
        <v>24</v>
      </c>
      <c r="G86" s="12" t="str">
        <f t="shared" si="26"/>
        <v/>
      </c>
      <c r="H86" s="81">
        <v>47</v>
      </c>
      <c r="I86" s="12" t="str">
        <f t="shared" si="27"/>
        <v/>
      </c>
      <c r="J86" s="59">
        <v>57</v>
      </c>
      <c r="K86" s="12" t="str">
        <f t="shared" si="28"/>
        <v/>
      </c>
      <c r="L86" s="81">
        <v>24</v>
      </c>
      <c r="M86" s="12" t="str">
        <f t="shared" si="29"/>
        <v/>
      </c>
      <c r="N86" s="81">
        <v>24</v>
      </c>
      <c r="O86" s="12" t="str">
        <f t="shared" si="30"/>
        <v/>
      </c>
      <c r="P86" s="59">
        <v>65</v>
      </c>
      <c r="Q86" s="12" t="str">
        <f t="shared" si="31"/>
        <v/>
      </c>
      <c r="R86" s="81">
        <v>21</v>
      </c>
      <c r="S86" s="12" t="str">
        <f t="shared" si="32"/>
        <v/>
      </c>
      <c r="T86" s="81">
        <v>47</v>
      </c>
      <c r="U86" s="12" t="str">
        <f t="shared" si="33"/>
        <v/>
      </c>
      <c r="V86" s="59">
        <v>48</v>
      </c>
      <c r="W86" s="12" t="str">
        <f t="shared" si="34"/>
        <v/>
      </c>
      <c r="X86" s="81">
        <v>22</v>
      </c>
      <c r="Y86" s="12" t="str">
        <f t="shared" si="35"/>
        <v/>
      </c>
      <c r="Z86" s="81">
        <v>22</v>
      </c>
      <c r="AA86" s="12" t="str">
        <f t="shared" si="36"/>
        <v/>
      </c>
      <c r="AB86" s="59">
        <v>65</v>
      </c>
      <c r="AC86" s="12" t="str">
        <f t="shared" si="37"/>
        <v/>
      </c>
      <c r="AD86" s="81">
        <v>24</v>
      </c>
      <c r="AE86" s="12" t="str">
        <f t="shared" si="38"/>
        <v/>
      </c>
      <c r="AF86" s="81">
        <v>24</v>
      </c>
      <c r="AG86" s="12" t="str">
        <f t="shared" si="39"/>
        <v/>
      </c>
      <c r="AH86" s="81">
        <v>22</v>
      </c>
      <c r="AI86" s="12" t="str">
        <f t="shared" si="40"/>
        <v/>
      </c>
      <c r="AJ86" s="81">
        <v>23</v>
      </c>
      <c r="AK86" s="12" t="str">
        <f t="shared" si="41"/>
        <v/>
      </c>
      <c r="AL86" s="14">
        <f t="shared" si="3"/>
        <v>620</v>
      </c>
      <c r="AM86" s="69" t="s">
        <v>384</v>
      </c>
      <c r="AN86" s="14">
        <f t="shared" si="22"/>
        <v>1147</v>
      </c>
      <c r="AO86" s="14" t="str">
        <f t="shared" si="23"/>
        <v>PASS</v>
      </c>
      <c r="AP86" s="14" t="str">
        <f t="shared" si="4"/>
        <v>I</v>
      </c>
    </row>
    <row r="87" spans="2:42" ht="18" customHeight="1">
      <c r="B87" s="75">
        <v>146263</v>
      </c>
      <c r="C87" s="76" t="s">
        <v>310</v>
      </c>
      <c r="D87" s="59">
        <v>50</v>
      </c>
      <c r="E87" s="12" t="str">
        <f t="shared" si="25"/>
        <v/>
      </c>
      <c r="F87" s="81">
        <v>23</v>
      </c>
      <c r="G87" s="12" t="str">
        <f t="shared" si="26"/>
        <v/>
      </c>
      <c r="H87" s="81">
        <v>47</v>
      </c>
      <c r="I87" s="12" t="str">
        <f t="shared" si="27"/>
        <v/>
      </c>
      <c r="J87" s="59">
        <v>54</v>
      </c>
      <c r="K87" s="12" t="str">
        <f t="shared" si="28"/>
        <v/>
      </c>
      <c r="L87" s="81">
        <v>22</v>
      </c>
      <c r="M87" s="12" t="str">
        <f t="shared" si="29"/>
        <v/>
      </c>
      <c r="N87" s="81">
        <v>22</v>
      </c>
      <c r="O87" s="12" t="str">
        <f t="shared" si="30"/>
        <v/>
      </c>
      <c r="P87" s="59">
        <v>56</v>
      </c>
      <c r="Q87" s="12" t="str">
        <f t="shared" si="31"/>
        <v/>
      </c>
      <c r="R87" s="81">
        <v>23</v>
      </c>
      <c r="S87" s="12" t="str">
        <f t="shared" si="32"/>
        <v/>
      </c>
      <c r="T87" s="81">
        <v>47</v>
      </c>
      <c r="U87" s="12" t="str">
        <f t="shared" si="33"/>
        <v/>
      </c>
      <c r="V87" s="59">
        <v>43</v>
      </c>
      <c r="W87" s="12" t="str">
        <f t="shared" si="34"/>
        <v/>
      </c>
      <c r="X87" s="81">
        <v>19</v>
      </c>
      <c r="Y87" s="12" t="str">
        <f t="shared" si="35"/>
        <v/>
      </c>
      <c r="Z87" s="81">
        <v>23</v>
      </c>
      <c r="AA87" s="12" t="str">
        <f t="shared" si="36"/>
        <v/>
      </c>
      <c r="AB87" s="59">
        <v>43</v>
      </c>
      <c r="AC87" s="12" t="str">
        <f t="shared" si="37"/>
        <v/>
      </c>
      <c r="AD87" s="81">
        <v>23</v>
      </c>
      <c r="AE87" s="12" t="str">
        <f t="shared" si="38"/>
        <v/>
      </c>
      <c r="AF87" s="81">
        <v>19</v>
      </c>
      <c r="AG87" s="12" t="str">
        <f t="shared" si="39"/>
        <v/>
      </c>
      <c r="AH87" s="81">
        <v>20</v>
      </c>
      <c r="AI87" s="12" t="str">
        <f t="shared" si="40"/>
        <v/>
      </c>
      <c r="AJ87" s="81">
        <v>20</v>
      </c>
      <c r="AK87" s="12" t="str">
        <f t="shared" si="41"/>
        <v/>
      </c>
      <c r="AL87" s="14">
        <f t="shared" si="3"/>
        <v>554</v>
      </c>
      <c r="AM87" s="69" t="s">
        <v>417</v>
      </c>
      <c r="AN87" s="14">
        <f t="shared" si="22"/>
        <v>1074</v>
      </c>
      <c r="AO87" s="14" t="str">
        <f t="shared" si="23"/>
        <v>PASS</v>
      </c>
      <c r="AP87" s="14" t="str">
        <f t="shared" si="4"/>
        <v>P</v>
      </c>
    </row>
    <row r="88" spans="2:42" ht="18" customHeight="1">
      <c r="B88" s="75">
        <v>146264</v>
      </c>
      <c r="C88" s="76" t="s">
        <v>221</v>
      </c>
      <c r="D88" s="59">
        <v>65</v>
      </c>
      <c r="E88" s="12" t="str">
        <f t="shared" si="25"/>
        <v/>
      </c>
      <c r="F88" s="81">
        <v>20</v>
      </c>
      <c r="G88" s="12" t="str">
        <f t="shared" si="26"/>
        <v/>
      </c>
      <c r="H88" s="81">
        <v>46</v>
      </c>
      <c r="I88" s="12" t="str">
        <f t="shared" si="27"/>
        <v/>
      </c>
      <c r="J88" s="59">
        <v>78</v>
      </c>
      <c r="K88" s="12" t="str">
        <f t="shared" si="28"/>
        <v/>
      </c>
      <c r="L88" s="81">
        <v>20</v>
      </c>
      <c r="M88" s="12" t="str">
        <f t="shared" si="29"/>
        <v/>
      </c>
      <c r="N88" s="81">
        <v>20</v>
      </c>
      <c r="O88" s="12" t="str">
        <f t="shared" si="30"/>
        <v/>
      </c>
      <c r="P88" s="59">
        <v>59</v>
      </c>
      <c r="Q88" s="12" t="str">
        <f t="shared" si="31"/>
        <v/>
      </c>
      <c r="R88" s="81">
        <v>20</v>
      </c>
      <c r="S88" s="12" t="str">
        <f t="shared" si="32"/>
        <v/>
      </c>
      <c r="T88" s="81">
        <v>46</v>
      </c>
      <c r="U88" s="12" t="str">
        <f t="shared" si="33"/>
        <v/>
      </c>
      <c r="V88" s="59">
        <v>55</v>
      </c>
      <c r="W88" s="12" t="str">
        <f t="shared" si="34"/>
        <v/>
      </c>
      <c r="X88" s="81">
        <v>18</v>
      </c>
      <c r="Y88" s="12" t="str">
        <f t="shared" si="35"/>
        <v/>
      </c>
      <c r="Z88" s="81">
        <v>22</v>
      </c>
      <c r="AA88" s="12" t="str">
        <f t="shared" si="36"/>
        <v/>
      </c>
      <c r="AB88" s="59">
        <v>67</v>
      </c>
      <c r="AC88" s="12" t="str">
        <f t="shared" si="37"/>
        <v/>
      </c>
      <c r="AD88" s="81">
        <v>20</v>
      </c>
      <c r="AE88" s="12" t="str">
        <f t="shared" si="38"/>
        <v/>
      </c>
      <c r="AF88" s="81">
        <v>19</v>
      </c>
      <c r="AG88" s="12" t="str">
        <f t="shared" si="39"/>
        <v/>
      </c>
      <c r="AH88" s="81">
        <v>20</v>
      </c>
      <c r="AI88" s="12" t="str">
        <f t="shared" si="40"/>
        <v/>
      </c>
      <c r="AJ88" s="81">
        <v>20</v>
      </c>
      <c r="AK88" s="12" t="str">
        <f t="shared" si="41"/>
        <v/>
      </c>
      <c r="AL88" s="14">
        <f t="shared" si="3"/>
        <v>615</v>
      </c>
      <c r="AM88" s="69" t="s">
        <v>385</v>
      </c>
      <c r="AN88" s="14">
        <f t="shared" si="22"/>
        <v>1182</v>
      </c>
      <c r="AO88" s="14" t="str">
        <f t="shared" si="23"/>
        <v>PASS</v>
      </c>
      <c r="AP88" s="14" t="str">
        <f t="shared" si="4"/>
        <v>I</v>
      </c>
    </row>
    <row r="89" spans="2:42" ht="18" customHeight="1">
      <c r="B89" s="75">
        <v>146265</v>
      </c>
      <c r="C89" s="76" t="s">
        <v>222</v>
      </c>
      <c r="D89" s="59">
        <v>43</v>
      </c>
      <c r="E89" s="12" t="str">
        <f t="shared" si="25"/>
        <v/>
      </c>
      <c r="F89" s="81">
        <v>23</v>
      </c>
      <c r="G89" s="12" t="str">
        <f t="shared" si="26"/>
        <v/>
      </c>
      <c r="H89" s="81">
        <v>45</v>
      </c>
      <c r="I89" s="12" t="str">
        <f t="shared" si="27"/>
        <v/>
      </c>
      <c r="J89" s="59">
        <v>56</v>
      </c>
      <c r="K89" s="12" t="str">
        <f t="shared" si="28"/>
        <v/>
      </c>
      <c r="L89" s="81">
        <v>23</v>
      </c>
      <c r="M89" s="12" t="str">
        <f t="shared" si="29"/>
        <v/>
      </c>
      <c r="N89" s="81">
        <v>23</v>
      </c>
      <c r="O89" s="12" t="str">
        <f t="shared" si="30"/>
        <v/>
      </c>
      <c r="P89" s="59">
        <v>46</v>
      </c>
      <c r="Q89" s="12" t="str">
        <f t="shared" si="31"/>
        <v/>
      </c>
      <c r="R89" s="81">
        <v>23</v>
      </c>
      <c r="S89" s="12" t="str">
        <f t="shared" si="32"/>
        <v/>
      </c>
      <c r="T89" s="81">
        <v>45</v>
      </c>
      <c r="U89" s="12" t="str">
        <f t="shared" si="33"/>
        <v/>
      </c>
      <c r="V89" s="59">
        <v>48</v>
      </c>
      <c r="W89" s="12" t="str">
        <f t="shared" si="34"/>
        <v/>
      </c>
      <c r="X89" s="81">
        <v>23</v>
      </c>
      <c r="Y89" s="12" t="str">
        <f t="shared" si="35"/>
        <v/>
      </c>
      <c r="Z89" s="81">
        <v>20</v>
      </c>
      <c r="AA89" s="12" t="str">
        <f t="shared" si="36"/>
        <v/>
      </c>
      <c r="AB89" s="59">
        <v>44</v>
      </c>
      <c r="AC89" s="12" t="str">
        <f t="shared" si="37"/>
        <v/>
      </c>
      <c r="AD89" s="81">
        <v>23</v>
      </c>
      <c r="AE89" s="12" t="str">
        <f t="shared" si="38"/>
        <v/>
      </c>
      <c r="AF89" s="81">
        <v>23</v>
      </c>
      <c r="AG89" s="12" t="str">
        <f t="shared" si="39"/>
        <v/>
      </c>
      <c r="AH89" s="81">
        <v>23</v>
      </c>
      <c r="AI89" s="12" t="str">
        <f t="shared" si="40"/>
        <v/>
      </c>
      <c r="AJ89" s="81">
        <v>23</v>
      </c>
      <c r="AK89" s="12" t="str">
        <f t="shared" si="41"/>
        <v/>
      </c>
      <c r="AL89" s="14">
        <f t="shared" ref="AL89:AL152" si="42">SUM(EXTRACTNUMBER(D89),EXTRACTNUMBER(F89),
EXTRACTNUMBER(H89),EXTRACTNUMBER(J89),
EXTRACTNUMBER(L89),EXTRACTNUMBER(N89),
EXTRACTNUMBER(P89),EXTRACTNUMBER(R89),
EXTRACTNUMBER(T89),EXTRACTNUMBER(V89),
EXTRACTNUMBER(X89),EXTRACTNUMBER(Z89),EXTRACTNUMBER(AB89),
EXTRACTNUMBER(AD89),EXTRACTNUMBER(AH89),EXTRACTNUMBER(AF89),EXTRACTNUMBER(AJ89))</f>
        <v>554</v>
      </c>
      <c r="AM89" s="69" t="s">
        <v>386</v>
      </c>
      <c r="AN89" s="14">
        <f t="shared" si="22"/>
        <v>1036</v>
      </c>
      <c r="AO89" s="14" t="str">
        <f t="shared" si="23"/>
        <v>PASS</v>
      </c>
      <c r="AP89" s="14" t="str">
        <f t="shared" ref="AP89:AP152" si="43">IF(AO89="ABSENT","AB",IF(AO89="FAIL","--",
IF(AM89=0,"RS 5",IF(AND(COUNTIF(D89:AK89," "),AO89="pass"),"P",
IF(AND(SUM(EXTRACTNUMBER(AL89),EXTRACTNUMBER(AM89))&gt;=1010,
        NOT(IFERROR(FIND("x",AL89),0)),
        NOT(IFERROR(FIND("x",AM89),0))),"I",
IF(AND(SUM(EXTRACTNUMBER(AL89),EXTRACTNUMBER(AM89))&gt;=850,
      SUM(EXTRACTNUMBER(AL89),EXTRACTNUMBER(AM89))&lt;1010,
      NOT(IFERROR(FIND("x",AL89),0)),
      NOT(IFERROR(FIND("x",AM89),0))),"II",
IF(OR(AND(SUM(EXTRACTNUMBER(AL89),EXTRACTNUMBER(AM89))&lt;850,
SUM(EXTRACTNUMBER(AL89),EXTRACTNUMBER(AM89))&gt;=670),
IFERROR(FIND("x",AL89),0),IFERROR(FIND("x",AM89),0)),"P","--")))))))</f>
        <v>I</v>
      </c>
    </row>
    <row r="90" spans="2:42" ht="18" customHeight="1">
      <c r="B90" s="75">
        <v>146266</v>
      </c>
      <c r="C90" s="76" t="s">
        <v>311</v>
      </c>
      <c r="D90" s="59">
        <v>60</v>
      </c>
      <c r="E90" s="12" t="str">
        <f t="shared" si="25"/>
        <v/>
      </c>
      <c r="F90" s="81">
        <v>22</v>
      </c>
      <c r="G90" s="12" t="str">
        <f t="shared" si="26"/>
        <v/>
      </c>
      <c r="H90" s="81">
        <v>46</v>
      </c>
      <c r="I90" s="12" t="str">
        <f t="shared" si="27"/>
        <v/>
      </c>
      <c r="J90" s="59">
        <v>61</v>
      </c>
      <c r="K90" s="12" t="str">
        <f t="shared" si="28"/>
        <v/>
      </c>
      <c r="L90" s="81">
        <v>22</v>
      </c>
      <c r="M90" s="12" t="str">
        <f t="shared" si="29"/>
        <v/>
      </c>
      <c r="N90" s="81">
        <v>22</v>
      </c>
      <c r="O90" s="12" t="str">
        <f t="shared" si="30"/>
        <v/>
      </c>
      <c r="P90" s="59">
        <v>56</v>
      </c>
      <c r="Q90" s="12" t="str">
        <f t="shared" si="31"/>
        <v/>
      </c>
      <c r="R90" s="81">
        <v>24</v>
      </c>
      <c r="S90" s="12" t="str">
        <f t="shared" si="32"/>
        <v/>
      </c>
      <c r="T90" s="81">
        <v>46</v>
      </c>
      <c r="U90" s="12" t="str">
        <f t="shared" si="33"/>
        <v/>
      </c>
      <c r="V90" s="59">
        <v>49</v>
      </c>
      <c r="W90" s="12" t="str">
        <f t="shared" si="34"/>
        <v/>
      </c>
      <c r="X90" s="81">
        <v>20</v>
      </c>
      <c r="Y90" s="12" t="str">
        <f t="shared" si="35"/>
        <v/>
      </c>
      <c r="Z90" s="81">
        <v>20</v>
      </c>
      <c r="AA90" s="12" t="str">
        <f t="shared" si="36"/>
        <v/>
      </c>
      <c r="AB90" s="59">
        <v>53</v>
      </c>
      <c r="AC90" s="12" t="str">
        <f t="shared" si="37"/>
        <v/>
      </c>
      <c r="AD90" s="81">
        <v>21</v>
      </c>
      <c r="AE90" s="12" t="str">
        <f t="shared" si="38"/>
        <v/>
      </c>
      <c r="AF90" s="81">
        <v>20</v>
      </c>
      <c r="AG90" s="12" t="str">
        <f t="shared" si="39"/>
        <v/>
      </c>
      <c r="AH90" s="81">
        <v>22</v>
      </c>
      <c r="AI90" s="12" t="str">
        <f t="shared" si="40"/>
        <v/>
      </c>
      <c r="AJ90" s="81">
        <v>23</v>
      </c>
      <c r="AK90" s="12" t="str">
        <f t="shared" si="41"/>
        <v/>
      </c>
      <c r="AL90" s="14">
        <f t="shared" si="42"/>
        <v>587</v>
      </c>
      <c r="AM90" s="69" t="s">
        <v>428</v>
      </c>
      <c r="AN90" s="14">
        <f t="shared" ref="AN90:AN153" si="44">IF(COUNTIF(D90:AK90," "),SUM(EXTRACTNUMBER(AL90),EXTRACTNUMBER(AM90)),IF(IFERROR(FIND("x",AM90),0),SUM(EXTRACTNUMBER(AL90),EXTRACTNUMBER(AM90)),IF(AND(SUM(EXTRACTNUMBER(AL90),EXTRACTNUMBER(AM90))&gt;1009,        SUM(EXTRACTNUMBER(AL90),EXTRACTNUMBER(AM90))&lt;1020),
CONCATENATE(SUM(EXTRACTNUMBER(AL90),EXTRACTNUMBER(AM90)),"@",1020-SUM(EXTRACTNUMBER(AL90),EXTRACTNUMBER(AM90))),
IF(AND(SUM(EXTRACTNUMBER(AL90),EXTRACTNUMBER(AM90))&gt;839,   SUM(EXTRACTNUMBER(AL90),EXTRACTNUMBER(AM90))&lt;850),CONCATENATE(SUM(EXTRACTNUMBER(AL90),EXTRACTNUMBER(AM90)),"@",850-SUM(EXTRACTNUMBER(AL90),EXTRACTNUMBER(AM90))),
IF(AND(SUM(EXTRACTNUMBER(AL90),EXTRACTNUMBER(AM90))&gt;669,        SUM(EXTRACTNUMBER(AL90),EXTRACTNUMBER(AM90))&lt;680),
CONCATENATE(SUM(EXTRACTNUMBER(AL90),EXTRACTNUMBER(AM90)),"@",680-SUM(EXTRACTNUMBER(AL90),EXTRACTNUMBER(AM90))),
SUM(EXTRACTNUMBER(AL90),EXTRACTNUMBER(AM90)))))))</f>
        <v>1117</v>
      </c>
      <c r="AO90" s="14" t="str">
        <f t="shared" ref="AO90:AO153" si="45">IF(AND(COUNTIF(D90:AK90,"AB")&lt;17-COUNTIF(D90:AK90," "),
COUNTIF(D90:AK90,"AB")&lt;&gt;0),"FAIL",
IF(COUNTIF(D90:AK90,"AB")=17-COUNTIF(D90:AK90," "),"ABSENT",
IF(AND(COUNTIF(D90:AK90,"AB")=0,COUNTIF(D90:AK90,"F")=0),"PASS","FAIL")))</f>
        <v>PASS</v>
      </c>
      <c r="AP90" s="14" t="str">
        <f t="shared" si="43"/>
        <v>P</v>
      </c>
    </row>
    <row r="91" spans="2:42" ht="18" customHeight="1">
      <c r="B91" s="75">
        <v>146267</v>
      </c>
      <c r="C91" s="76" t="s">
        <v>223</v>
      </c>
      <c r="D91" s="59">
        <v>28</v>
      </c>
      <c r="E91" s="12" t="str">
        <f t="shared" si="25"/>
        <v>F</v>
      </c>
      <c r="F91" s="81">
        <v>23</v>
      </c>
      <c r="G91" s="12" t="str">
        <f t="shared" si="26"/>
        <v>E</v>
      </c>
      <c r="H91" s="81">
        <v>39</v>
      </c>
      <c r="I91" s="12" t="str">
        <f t="shared" si="27"/>
        <v>E</v>
      </c>
      <c r="J91" s="59">
        <v>40</v>
      </c>
      <c r="K91" s="12" t="str">
        <f t="shared" si="28"/>
        <v>E</v>
      </c>
      <c r="L91" s="81">
        <v>23</v>
      </c>
      <c r="M91" s="12" t="str">
        <f t="shared" si="29"/>
        <v>E</v>
      </c>
      <c r="N91" s="81">
        <v>23</v>
      </c>
      <c r="O91" s="12" t="str">
        <f t="shared" si="30"/>
        <v>E</v>
      </c>
      <c r="P91" s="59">
        <v>54</v>
      </c>
      <c r="Q91" s="12" t="str">
        <f t="shared" si="31"/>
        <v>E</v>
      </c>
      <c r="R91" s="81">
        <v>23</v>
      </c>
      <c r="S91" s="12" t="str">
        <f t="shared" si="32"/>
        <v>E</v>
      </c>
      <c r="T91" s="81">
        <v>39</v>
      </c>
      <c r="U91" s="12" t="str">
        <f t="shared" si="33"/>
        <v>E</v>
      </c>
      <c r="V91" s="59">
        <v>27</v>
      </c>
      <c r="W91" s="12" t="str">
        <f t="shared" si="34"/>
        <v>F</v>
      </c>
      <c r="X91" s="81">
        <v>16</v>
      </c>
      <c r="Y91" s="12" t="str">
        <f t="shared" si="35"/>
        <v>E</v>
      </c>
      <c r="Z91" s="81">
        <v>21</v>
      </c>
      <c r="AA91" s="12" t="str">
        <f t="shared" si="36"/>
        <v>E</v>
      </c>
      <c r="AB91" s="59">
        <v>41</v>
      </c>
      <c r="AC91" s="12" t="str">
        <f t="shared" si="37"/>
        <v>E</v>
      </c>
      <c r="AD91" s="81">
        <v>18</v>
      </c>
      <c r="AE91" s="12" t="str">
        <f t="shared" si="38"/>
        <v>E</v>
      </c>
      <c r="AF91" s="81">
        <v>18</v>
      </c>
      <c r="AG91" s="12" t="str">
        <f t="shared" si="39"/>
        <v>E</v>
      </c>
      <c r="AH91" s="81">
        <v>18</v>
      </c>
      <c r="AI91" s="12" t="str">
        <f t="shared" si="40"/>
        <v>E</v>
      </c>
      <c r="AJ91" s="81">
        <v>19</v>
      </c>
      <c r="AK91" s="12" t="str">
        <f t="shared" si="41"/>
        <v>E</v>
      </c>
      <c r="AL91" s="14">
        <f t="shared" si="42"/>
        <v>470</v>
      </c>
      <c r="AM91" s="69">
        <v>0</v>
      </c>
      <c r="AN91" s="14">
        <f t="shared" si="44"/>
        <v>470</v>
      </c>
      <c r="AO91" s="14" t="str">
        <f t="shared" si="45"/>
        <v>FAIL</v>
      </c>
      <c r="AP91" s="14" t="str">
        <f t="shared" si="43"/>
        <v>--</v>
      </c>
    </row>
    <row r="92" spans="2:42" ht="18" customHeight="1">
      <c r="B92" s="75">
        <v>146268</v>
      </c>
      <c r="C92" s="76" t="s">
        <v>224</v>
      </c>
      <c r="D92" s="59">
        <v>58</v>
      </c>
      <c r="E92" s="12" t="str">
        <f t="shared" si="25"/>
        <v/>
      </c>
      <c r="F92" s="81">
        <v>21</v>
      </c>
      <c r="G92" s="12" t="str">
        <f t="shared" si="26"/>
        <v/>
      </c>
      <c r="H92" s="81">
        <v>44</v>
      </c>
      <c r="I92" s="12" t="str">
        <f t="shared" si="27"/>
        <v/>
      </c>
      <c r="J92" s="59">
        <v>67</v>
      </c>
      <c r="K92" s="12" t="str">
        <f t="shared" si="28"/>
        <v/>
      </c>
      <c r="L92" s="81">
        <v>21</v>
      </c>
      <c r="M92" s="12" t="str">
        <f t="shared" si="29"/>
        <v/>
      </c>
      <c r="N92" s="81">
        <v>21</v>
      </c>
      <c r="O92" s="12" t="str">
        <f t="shared" si="30"/>
        <v/>
      </c>
      <c r="P92" s="59">
        <v>63</v>
      </c>
      <c r="Q92" s="12" t="str">
        <f t="shared" si="31"/>
        <v/>
      </c>
      <c r="R92" s="81">
        <v>21</v>
      </c>
      <c r="S92" s="12" t="str">
        <f t="shared" si="32"/>
        <v/>
      </c>
      <c r="T92" s="81">
        <v>44</v>
      </c>
      <c r="U92" s="12" t="str">
        <f t="shared" si="33"/>
        <v/>
      </c>
      <c r="V92" s="59">
        <v>60</v>
      </c>
      <c r="W92" s="12" t="str">
        <f t="shared" si="34"/>
        <v/>
      </c>
      <c r="X92" s="81">
        <v>19</v>
      </c>
      <c r="Y92" s="12" t="str">
        <f t="shared" si="35"/>
        <v/>
      </c>
      <c r="Z92" s="81">
        <v>22</v>
      </c>
      <c r="AA92" s="12" t="str">
        <f t="shared" si="36"/>
        <v/>
      </c>
      <c r="AB92" s="59">
        <v>62</v>
      </c>
      <c r="AC92" s="12" t="str">
        <f t="shared" si="37"/>
        <v/>
      </c>
      <c r="AD92" s="81">
        <v>21</v>
      </c>
      <c r="AE92" s="12" t="str">
        <f t="shared" si="38"/>
        <v/>
      </c>
      <c r="AF92" s="81">
        <v>22</v>
      </c>
      <c r="AG92" s="12" t="str">
        <f t="shared" si="39"/>
        <v/>
      </c>
      <c r="AH92" s="81">
        <v>20</v>
      </c>
      <c r="AI92" s="12" t="str">
        <f t="shared" si="40"/>
        <v/>
      </c>
      <c r="AJ92" s="81">
        <v>21</v>
      </c>
      <c r="AK92" s="12" t="str">
        <f t="shared" si="41"/>
        <v/>
      </c>
      <c r="AL92" s="14">
        <f t="shared" si="42"/>
        <v>607</v>
      </c>
      <c r="AM92" s="69" t="s">
        <v>387</v>
      </c>
      <c r="AN92" s="14">
        <f t="shared" si="44"/>
        <v>1170</v>
      </c>
      <c r="AO92" s="14" t="str">
        <f t="shared" si="45"/>
        <v>PASS</v>
      </c>
      <c r="AP92" s="14" t="str">
        <f t="shared" si="43"/>
        <v>I</v>
      </c>
    </row>
    <row r="93" spans="2:42" ht="18" customHeight="1">
      <c r="B93" s="75">
        <v>146269</v>
      </c>
      <c r="C93" s="76" t="s">
        <v>225</v>
      </c>
      <c r="D93" s="59">
        <v>60</v>
      </c>
      <c r="E93" s="12" t="str">
        <f t="shared" si="25"/>
        <v/>
      </c>
      <c r="F93" s="81">
        <v>24</v>
      </c>
      <c r="G93" s="12" t="str">
        <f t="shared" si="26"/>
        <v/>
      </c>
      <c r="H93" s="81">
        <v>47</v>
      </c>
      <c r="I93" s="12" t="str">
        <f t="shared" si="27"/>
        <v/>
      </c>
      <c r="J93" s="59">
        <v>74</v>
      </c>
      <c r="K93" s="12" t="str">
        <f t="shared" si="28"/>
        <v/>
      </c>
      <c r="L93" s="81">
        <v>24</v>
      </c>
      <c r="M93" s="12" t="str">
        <f t="shared" si="29"/>
        <v/>
      </c>
      <c r="N93" s="81">
        <v>24</v>
      </c>
      <c r="O93" s="12" t="str">
        <f t="shared" si="30"/>
        <v/>
      </c>
      <c r="P93" s="59">
        <v>54</v>
      </c>
      <c r="Q93" s="12" t="str">
        <f t="shared" si="31"/>
        <v/>
      </c>
      <c r="R93" s="81">
        <v>24</v>
      </c>
      <c r="S93" s="12" t="str">
        <f t="shared" si="32"/>
        <v/>
      </c>
      <c r="T93" s="81">
        <v>47</v>
      </c>
      <c r="U93" s="12" t="str">
        <f t="shared" si="33"/>
        <v/>
      </c>
      <c r="V93" s="59">
        <v>53</v>
      </c>
      <c r="W93" s="12" t="str">
        <f t="shared" si="34"/>
        <v/>
      </c>
      <c r="X93" s="81">
        <v>20</v>
      </c>
      <c r="Y93" s="12" t="str">
        <f t="shared" si="35"/>
        <v/>
      </c>
      <c r="Z93" s="81">
        <v>22</v>
      </c>
      <c r="AA93" s="12" t="str">
        <f t="shared" si="36"/>
        <v/>
      </c>
      <c r="AB93" s="59">
        <v>58</v>
      </c>
      <c r="AC93" s="12" t="str">
        <f t="shared" si="37"/>
        <v/>
      </c>
      <c r="AD93" s="81">
        <v>22</v>
      </c>
      <c r="AE93" s="12" t="str">
        <f t="shared" si="38"/>
        <v/>
      </c>
      <c r="AF93" s="81">
        <v>22</v>
      </c>
      <c r="AG93" s="12" t="str">
        <f t="shared" si="39"/>
        <v/>
      </c>
      <c r="AH93" s="81">
        <v>23</v>
      </c>
      <c r="AI93" s="12" t="str">
        <f t="shared" si="40"/>
        <v/>
      </c>
      <c r="AJ93" s="81">
        <v>24</v>
      </c>
      <c r="AK93" s="12" t="str">
        <f t="shared" si="41"/>
        <v/>
      </c>
      <c r="AL93" s="14">
        <f t="shared" si="42"/>
        <v>622</v>
      </c>
      <c r="AM93" s="69" t="s">
        <v>388</v>
      </c>
      <c r="AN93" s="14">
        <f t="shared" si="44"/>
        <v>1196</v>
      </c>
      <c r="AO93" s="14" t="str">
        <f t="shared" si="45"/>
        <v>PASS</v>
      </c>
      <c r="AP93" s="14" t="str">
        <f t="shared" si="43"/>
        <v>I</v>
      </c>
    </row>
    <row r="94" spans="2:42" ht="18" customHeight="1">
      <c r="B94" s="75">
        <v>146270</v>
      </c>
      <c r="C94" s="76" t="s">
        <v>312</v>
      </c>
      <c r="D94" s="59">
        <v>63</v>
      </c>
      <c r="E94" s="12" t="str">
        <f t="shared" si="25"/>
        <v/>
      </c>
      <c r="F94" s="81">
        <v>23</v>
      </c>
      <c r="G94" s="12" t="str">
        <f t="shared" si="26"/>
        <v/>
      </c>
      <c r="H94" s="81">
        <v>46</v>
      </c>
      <c r="I94" s="12" t="str">
        <f t="shared" si="27"/>
        <v/>
      </c>
      <c r="J94" s="59">
        <v>60</v>
      </c>
      <c r="K94" s="12" t="str">
        <f t="shared" si="28"/>
        <v/>
      </c>
      <c r="L94" s="81">
        <v>23</v>
      </c>
      <c r="M94" s="12" t="str">
        <f t="shared" si="29"/>
        <v/>
      </c>
      <c r="N94" s="81">
        <v>23</v>
      </c>
      <c r="O94" s="12" t="str">
        <f t="shared" si="30"/>
        <v/>
      </c>
      <c r="P94" s="59">
        <v>60</v>
      </c>
      <c r="Q94" s="12" t="str">
        <f t="shared" si="31"/>
        <v/>
      </c>
      <c r="R94" s="81">
        <v>23</v>
      </c>
      <c r="S94" s="12" t="str">
        <f t="shared" si="32"/>
        <v/>
      </c>
      <c r="T94" s="81">
        <v>46</v>
      </c>
      <c r="U94" s="12" t="str">
        <f t="shared" si="33"/>
        <v/>
      </c>
      <c r="V94" s="59">
        <v>52</v>
      </c>
      <c r="W94" s="12" t="str">
        <f t="shared" si="34"/>
        <v/>
      </c>
      <c r="X94" s="81">
        <v>21</v>
      </c>
      <c r="Y94" s="12" t="str">
        <f t="shared" si="35"/>
        <v/>
      </c>
      <c r="Z94" s="81">
        <v>21</v>
      </c>
      <c r="AA94" s="12" t="str">
        <f t="shared" si="36"/>
        <v/>
      </c>
      <c r="AB94" s="59">
        <v>51</v>
      </c>
      <c r="AC94" s="12" t="str">
        <f t="shared" si="37"/>
        <v/>
      </c>
      <c r="AD94" s="81">
        <v>22</v>
      </c>
      <c r="AE94" s="12" t="str">
        <f t="shared" si="38"/>
        <v/>
      </c>
      <c r="AF94" s="81">
        <v>22</v>
      </c>
      <c r="AG94" s="12" t="str">
        <f t="shared" si="39"/>
        <v/>
      </c>
      <c r="AH94" s="81">
        <v>20</v>
      </c>
      <c r="AI94" s="12" t="str">
        <f t="shared" si="40"/>
        <v/>
      </c>
      <c r="AJ94" s="81">
        <v>21</v>
      </c>
      <c r="AK94" s="12" t="str">
        <f t="shared" si="41"/>
        <v/>
      </c>
      <c r="AL94" s="14">
        <f t="shared" si="42"/>
        <v>597</v>
      </c>
      <c r="AM94" s="69" t="s">
        <v>389</v>
      </c>
      <c r="AN94" s="14">
        <f t="shared" si="44"/>
        <v>1127</v>
      </c>
      <c r="AO94" s="14" t="str">
        <f t="shared" si="45"/>
        <v>PASS</v>
      </c>
      <c r="AP94" s="14" t="str">
        <f t="shared" si="43"/>
        <v>I</v>
      </c>
    </row>
    <row r="95" spans="2:42" ht="18" customHeight="1">
      <c r="B95" s="75">
        <v>146271</v>
      </c>
      <c r="C95" s="76" t="s">
        <v>226</v>
      </c>
      <c r="D95" s="59">
        <v>45</v>
      </c>
      <c r="E95" s="12" t="str">
        <f t="shared" si="25"/>
        <v/>
      </c>
      <c r="F95" s="81">
        <v>21</v>
      </c>
      <c r="G95" s="12" t="str">
        <f t="shared" si="26"/>
        <v/>
      </c>
      <c r="H95" s="81">
        <v>42</v>
      </c>
      <c r="I95" s="12" t="str">
        <f t="shared" si="27"/>
        <v/>
      </c>
      <c r="J95" s="59">
        <v>72</v>
      </c>
      <c r="K95" s="12" t="str">
        <f t="shared" si="28"/>
        <v/>
      </c>
      <c r="L95" s="81">
        <v>21</v>
      </c>
      <c r="M95" s="12" t="str">
        <f t="shared" si="29"/>
        <v/>
      </c>
      <c r="N95" s="81">
        <v>21</v>
      </c>
      <c r="O95" s="12" t="str">
        <f t="shared" si="30"/>
        <v/>
      </c>
      <c r="P95" s="59">
        <v>48</v>
      </c>
      <c r="Q95" s="12" t="str">
        <f t="shared" si="31"/>
        <v/>
      </c>
      <c r="R95" s="81">
        <v>21</v>
      </c>
      <c r="S95" s="12" t="str">
        <f t="shared" si="32"/>
        <v/>
      </c>
      <c r="T95" s="81">
        <v>42</v>
      </c>
      <c r="U95" s="12" t="str">
        <f t="shared" si="33"/>
        <v/>
      </c>
      <c r="V95" s="59">
        <v>55</v>
      </c>
      <c r="W95" s="12" t="str">
        <f t="shared" si="34"/>
        <v/>
      </c>
      <c r="X95" s="81">
        <v>20</v>
      </c>
      <c r="Y95" s="12" t="str">
        <f t="shared" si="35"/>
        <v/>
      </c>
      <c r="Z95" s="81">
        <v>23</v>
      </c>
      <c r="AA95" s="12" t="str">
        <f t="shared" si="36"/>
        <v/>
      </c>
      <c r="AB95" s="59">
        <v>55</v>
      </c>
      <c r="AC95" s="12" t="str">
        <f t="shared" si="37"/>
        <v/>
      </c>
      <c r="AD95" s="81">
        <v>22</v>
      </c>
      <c r="AE95" s="12" t="str">
        <f t="shared" si="38"/>
        <v/>
      </c>
      <c r="AF95" s="81">
        <v>22</v>
      </c>
      <c r="AG95" s="12" t="str">
        <f t="shared" si="39"/>
        <v/>
      </c>
      <c r="AH95" s="81">
        <v>20</v>
      </c>
      <c r="AI95" s="12" t="str">
        <f t="shared" si="40"/>
        <v/>
      </c>
      <c r="AJ95" s="81">
        <v>21</v>
      </c>
      <c r="AK95" s="12" t="str">
        <f t="shared" si="41"/>
        <v/>
      </c>
      <c r="AL95" s="14">
        <f t="shared" si="42"/>
        <v>571</v>
      </c>
      <c r="AM95" s="69" t="s">
        <v>390</v>
      </c>
      <c r="AN95" s="14">
        <f t="shared" si="44"/>
        <v>1085</v>
      </c>
      <c r="AO95" s="14" t="str">
        <f t="shared" si="45"/>
        <v>PASS</v>
      </c>
      <c r="AP95" s="14" t="str">
        <f t="shared" si="43"/>
        <v>I</v>
      </c>
    </row>
    <row r="96" spans="2:42" ht="18" customHeight="1">
      <c r="B96" s="75">
        <v>146272</v>
      </c>
      <c r="C96" s="76" t="s">
        <v>227</v>
      </c>
      <c r="D96" s="59">
        <v>45</v>
      </c>
      <c r="E96" s="12" t="str">
        <f t="shared" si="25"/>
        <v/>
      </c>
      <c r="F96" s="81">
        <v>22</v>
      </c>
      <c r="G96" s="12" t="str">
        <f t="shared" si="26"/>
        <v/>
      </c>
      <c r="H96" s="81">
        <v>42</v>
      </c>
      <c r="I96" s="12" t="str">
        <f t="shared" si="27"/>
        <v/>
      </c>
      <c r="J96" s="59">
        <v>47</v>
      </c>
      <c r="K96" s="12" t="str">
        <f t="shared" si="28"/>
        <v/>
      </c>
      <c r="L96" s="81">
        <v>23</v>
      </c>
      <c r="M96" s="12" t="str">
        <f t="shared" si="29"/>
        <v/>
      </c>
      <c r="N96" s="81">
        <v>23</v>
      </c>
      <c r="O96" s="12" t="str">
        <f t="shared" si="30"/>
        <v/>
      </c>
      <c r="P96" s="59">
        <v>46</v>
      </c>
      <c r="Q96" s="12" t="str">
        <f t="shared" si="31"/>
        <v/>
      </c>
      <c r="R96" s="81">
        <v>22</v>
      </c>
      <c r="S96" s="12" t="str">
        <f t="shared" si="32"/>
        <v/>
      </c>
      <c r="T96" s="81">
        <v>42</v>
      </c>
      <c r="U96" s="12" t="str">
        <f t="shared" si="33"/>
        <v/>
      </c>
      <c r="V96" s="59">
        <v>50</v>
      </c>
      <c r="W96" s="12" t="str">
        <f t="shared" si="34"/>
        <v/>
      </c>
      <c r="X96" s="81">
        <v>24</v>
      </c>
      <c r="Y96" s="12" t="str">
        <f t="shared" si="35"/>
        <v/>
      </c>
      <c r="Z96" s="81">
        <v>24</v>
      </c>
      <c r="AA96" s="12" t="str">
        <f t="shared" si="36"/>
        <v/>
      </c>
      <c r="AB96" s="59">
        <v>53</v>
      </c>
      <c r="AC96" s="12" t="str">
        <f t="shared" si="37"/>
        <v/>
      </c>
      <c r="AD96" s="81">
        <v>22</v>
      </c>
      <c r="AE96" s="12" t="str">
        <f t="shared" si="38"/>
        <v/>
      </c>
      <c r="AF96" s="81">
        <v>22</v>
      </c>
      <c r="AG96" s="12" t="str">
        <f t="shared" si="39"/>
        <v/>
      </c>
      <c r="AH96" s="81">
        <v>20</v>
      </c>
      <c r="AI96" s="12" t="str">
        <f t="shared" si="40"/>
        <v/>
      </c>
      <c r="AJ96" s="81">
        <v>21</v>
      </c>
      <c r="AK96" s="12" t="str">
        <f t="shared" si="41"/>
        <v/>
      </c>
      <c r="AL96" s="14">
        <f t="shared" si="42"/>
        <v>548</v>
      </c>
      <c r="AM96" s="69" t="s">
        <v>357</v>
      </c>
      <c r="AN96" s="14">
        <f t="shared" si="44"/>
        <v>1057</v>
      </c>
      <c r="AO96" s="14" t="str">
        <f t="shared" si="45"/>
        <v>PASS</v>
      </c>
      <c r="AP96" s="14" t="str">
        <f t="shared" si="43"/>
        <v>I</v>
      </c>
    </row>
    <row r="97" spans="2:42" ht="18" customHeight="1">
      <c r="B97" s="75">
        <v>146273</v>
      </c>
      <c r="C97" s="76" t="s">
        <v>228</v>
      </c>
      <c r="D97" s="59">
        <v>42</v>
      </c>
      <c r="E97" s="12" t="str">
        <f t="shared" si="25"/>
        <v/>
      </c>
      <c r="F97" s="81">
        <v>19</v>
      </c>
      <c r="G97" s="12" t="str">
        <f t="shared" si="26"/>
        <v/>
      </c>
      <c r="H97" s="81">
        <v>40</v>
      </c>
      <c r="I97" s="12" t="str">
        <f t="shared" si="27"/>
        <v/>
      </c>
      <c r="J97" s="59">
        <v>40</v>
      </c>
      <c r="K97" s="12" t="str">
        <f t="shared" si="28"/>
        <v/>
      </c>
      <c r="L97" s="81">
        <v>19</v>
      </c>
      <c r="M97" s="12" t="str">
        <f t="shared" si="29"/>
        <v/>
      </c>
      <c r="N97" s="81">
        <v>19</v>
      </c>
      <c r="O97" s="12" t="str">
        <f t="shared" si="30"/>
        <v/>
      </c>
      <c r="P97" s="59">
        <v>47</v>
      </c>
      <c r="Q97" s="12" t="str">
        <f t="shared" si="31"/>
        <v/>
      </c>
      <c r="R97" s="81">
        <v>19</v>
      </c>
      <c r="S97" s="12" t="str">
        <f t="shared" si="32"/>
        <v/>
      </c>
      <c r="T97" s="81">
        <v>40</v>
      </c>
      <c r="U97" s="12" t="str">
        <f t="shared" si="33"/>
        <v/>
      </c>
      <c r="V97" s="59">
        <v>41</v>
      </c>
      <c r="W97" s="12" t="str">
        <f t="shared" si="34"/>
        <v/>
      </c>
      <c r="X97" s="81">
        <v>18</v>
      </c>
      <c r="Y97" s="12" t="str">
        <f t="shared" si="35"/>
        <v/>
      </c>
      <c r="Z97" s="81">
        <v>22</v>
      </c>
      <c r="AA97" s="12" t="str">
        <f t="shared" si="36"/>
        <v/>
      </c>
      <c r="AB97" s="59">
        <v>41</v>
      </c>
      <c r="AC97" s="12" t="str">
        <f t="shared" si="37"/>
        <v/>
      </c>
      <c r="AD97" s="81">
        <v>21</v>
      </c>
      <c r="AE97" s="12" t="str">
        <f t="shared" si="38"/>
        <v/>
      </c>
      <c r="AF97" s="81">
        <v>21</v>
      </c>
      <c r="AG97" s="12" t="str">
        <f t="shared" si="39"/>
        <v/>
      </c>
      <c r="AH97" s="81">
        <v>19</v>
      </c>
      <c r="AI97" s="12" t="str">
        <f t="shared" si="40"/>
        <v/>
      </c>
      <c r="AJ97" s="81">
        <v>20</v>
      </c>
      <c r="AK97" s="12" t="str">
        <f t="shared" si="41"/>
        <v/>
      </c>
      <c r="AL97" s="14">
        <f t="shared" si="42"/>
        <v>488</v>
      </c>
      <c r="AM97" s="69">
        <v>0</v>
      </c>
      <c r="AN97" s="14">
        <f t="shared" si="44"/>
        <v>488</v>
      </c>
      <c r="AO97" s="14" t="str">
        <f t="shared" si="45"/>
        <v>PASS</v>
      </c>
      <c r="AP97" s="14" t="str">
        <f t="shared" si="43"/>
        <v>RS 5</v>
      </c>
    </row>
    <row r="98" spans="2:42" ht="18" customHeight="1">
      <c r="B98" s="75">
        <v>146274</v>
      </c>
      <c r="C98" s="76" t="s">
        <v>313</v>
      </c>
      <c r="D98" s="59">
        <v>42</v>
      </c>
      <c r="E98" s="12" t="str">
        <f t="shared" si="25"/>
        <v/>
      </c>
      <c r="F98" s="81">
        <v>23</v>
      </c>
      <c r="G98" s="12" t="str">
        <f t="shared" si="26"/>
        <v/>
      </c>
      <c r="H98" s="81">
        <v>46</v>
      </c>
      <c r="I98" s="12" t="str">
        <f t="shared" si="27"/>
        <v/>
      </c>
      <c r="J98" s="59">
        <v>64</v>
      </c>
      <c r="K98" s="12" t="str">
        <f t="shared" si="28"/>
        <v/>
      </c>
      <c r="L98" s="81">
        <v>23</v>
      </c>
      <c r="M98" s="12" t="str">
        <f t="shared" si="29"/>
        <v/>
      </c>
      <c r="N98" s="81">
        <v>23</v>
      </c>
      <c r="O98" s="12" t="str">
        <f t="shared" si="30"/>
        <v/>
      </c>
      <c r="P98" s="59">
        <v>54</v>
      </c>
      <c r="Q98" s="12" t="str">
        <f t="shared" si="31"/>
        <v/>
      </c>
      <c r="R98" s="81">
        <v>23</v>
      </c>
      <c r="S98" s="12" t="str">
        <f t="shared" si="32"/>
        <v/>
      </c>
      <c r="T98" s="81">
        <v>46</v>
      </c>
      <c r="U98" s="12" t="str">
        <f t="shared" si="33"/>
        <v/>
      </c>
      <c r="V98" s="59">
        <v>42</v>
      </c>
      <c r="W98" s="12" t="str">
        <f t="shared" si="34"/>
        <v/>
      </c>
      <c r="X98" s="81">
        <v>20</v>
      </c>
      <c r="Y98" s="12" t="str">
        <f t="shared" si="35"/>
        <v/>
      </c>
      <c r="Z98" s="81">
        <v>22</v>
      </c>
      <c r="AA98" s="12" t="str">
        <f t="shared" si="36"/>
        <v/>
      </c>
      <c r="AB98" s="59">
        <v>58</v>
      </c>
      <c r="AC98" s="12" t="str">
        <f t="shared" si="37"/>
        <v/>
      </c>
      <c r="AD98" s="81">
        <v>22</v>
      </c>
      <c r="AE98" s="12" t="str">
        <f t="shared" si="38"/>
        <v/>
      </c>
      <c r="AF98" s="81">
        <v>22</v>
      </c>
      <c r="AG98" s="12" t="str">
        <f t="shared" si="39"/>
        <v/>
      </c>
      <c r="AH98" s="81">
        <v>20</v>
      </c>
      <c r="AI98" s="12" t="str">
        <f t="shared" si="40"/>
        <v/>
      </c>
      <c r="AJ98" s="81">
        <v>18</v>
      </c>
      <c r="AK98" s="12" t="str">
        <f t="shared" si="41"/>
        <v/>
      </c>
      <c r="AL98" s="14">
        <f t="shared" si="42"/>
        <v>568</v>
      </c>
      <c r="AM98" s="69" t="s">
        <v>391</v>
      </c>
      <c r="AN98" s="14">
        <f t="shared" si="44"/>
        <v>1089</v>
      </c>
      <c r="AO98" s="14" t="str">
        <f t="shared" si="45"/>
        <v>PASS</v>
      </c>
      <c r="AP98" s="14" t="str">
        <f t="shared" si="43"/>
        <v>I</v>
      </c>
    </row>
    <row r="99" spans="2:42" ht="18" customHeight="1">
      <c r="B99" s="75">
        <v>146275</v>
      </c>
      <c r="C99" s="76" t="s">
        <v>229</v>
      </c>
      <c r="D99" s="59">
        <v>48</v>
      </c>
      <c r="E99" s="12" t="str">
        <f t="shared" si="25"/>
        <v/>
      </c>
      <c r="F99" s="81">
        <v>20</v>
      </c>
      <c r="G99" s="12" t="str">
        <f t="shared" si="26"/>
        <v/>
      </c>
      <c r="H99" s="81">
        <v>45</v>
      </c>
      <c r="I99" s="12" t="str">
        <f t="shared" si="27"/>
        <v/>
      </c>
      <c r="J99" s="59">
        <v>59</v>
      </c>
      <c r="K99" s="12" t="str">
        <f t="shared" si="28"/>
        <v/>
      </c>
      <c r="L99" s="81">
        <v>20</v>
      </c>
      <c r="M99" s="12" t="str">
        <f t="shared" si="29"/>
        <v/>
      </c>
      <c r="N99" s="81">
        <v>20</v>
      </c>
      <c r="O99" s="12" t="str">
        <f t="shared" si="30"/>
        <v/>
      </c>
      <c r="P99" s="59">
        <v>51</v>
      </c>
      <c r="Q99" s="12" t="str">
        <f t="shared" si="31"/>
        <v/>
      </c>
      <c r="R99" s="81">
        <v>20</v>
      </c>
      <c r="S99" s="12" t="str">
        <f t="shared" si="32"/>
        <v/>
      </c>
      <c r="T99" s="81">
        <v>45</v>
      </c>
      <c r="U99" s="12" t="str">
        <f t="shared" si="33"/>
        <v/>
      </c>
      <c r="V99" s="59">
        <v>50</v>
      </c>
      <c r="W99" s="12" t="str">
        <f t="shared" si="34"/>
        <v/>
      </c>
      <c r="X99" s="81">
        <v>18</v>
      </c>
      <c r="Y99" s="12" t="str">
        <f t="shared" si="35"/>
        <v/>
      </c>
      <c r="Z99" s="81">
        <v>23</v>
      </c>
      <c r="AA99" s="12" t="str">
        <f t="shared" si="36"/>
        <v/>
      </c>
      <c r="AB99" s="59">
        <v>44</v>
      </c>
      <c r="AC99" s="12" t="str">
        <f t="shared" si="37"/>
        <v/>
      </c>
      <c r="AD99" s="81">
        <v>21</v>
      </c>
      <c r="AE99" s="12" t="str">
        <f t="shared" si="38"/>
        <v/>
      </c>
      <c r="AF99" s="81">
        <v>21</v>
      </c>
      <c r="AG99" s="12" t="str">
        <f t="shared" si="39"/>
        <v/>
      </c>
      <c r="AH99" s="81">
        <v>19</v>
      </c>
      <c r="AI99" s="12" t="str">
        <f t="shared" si="40"/>
        <v/>
      </c>
      <c r="AJ99" s="81">
        <v>17</v>
      </c>
      <c r="AK99" s="12" t="str">
        <f t="shared" si="41"/>
        <v/>
      </c>
      <c r="AL99" s="14">
        <f t="shared" si="42"/>
        <v>541</v>
      </c>
      <c r="AM99" s="69" t="s">
        <v>376</v>
      </c>
      <c r="AN99" s="14">
        <f t="shared" si="44"/>
        <v>1094</v>
      </c>
      <c r="AO99" s="14" t="str">
        <f t="shared" si="45"/>
        <v>PASS</v>
      </c>
      <c r="AP99" s="14" t="str">
        <f t="shared" si="43"/>
        <v>I</v>
      </c>
    </row>
    <row r="100" spans="2:42" ht="18" customHeight="1">
      <c r="B100" s="75">
        <v>146276</v>
      </c>
      <c r="C100" s="76" t="s">
        <v>230</v>
      </c>
      <c r="D100" s="59">
        <v>2</v>
      </c>
      <c r="E100" s="12" t="str">
        <f t="shared" si="25"/>
        <v>F</v>
      </c>
      <c r="F100" s="81">
        <v>20</v>
      </c>
      <c r="G100" s="12" t="str">
        <f t="shared" si="26"/>
        <v>E</v>
      </c>
      <c r="H100" s="81">
        <v>39</v>
      </c>
      <c r="I100" s="12" t="str">
        <f t="shared" si="27"/>
        <v>E</v>
      </c>
      <c r="J100" s="59">
        <v>2</v>
      </c>
      <c r="K100" s="12" t="str">
        <f t="shared" si="28"/>
        <v>F</v>
      </c>
      <c r="L100" s="81">
        <v>21</v>
      </c>
      <c r="M100" s="12" t="str">
        <f t="shared" si="29"/>
        <v>E</v>
      </c>
      <c r="N100" s="81">
        <v>21</v>
      </c>
      <c r="O100" s="12" t="str">
        <f t="shared" si="30"/>
        <v>E</v>
      </c>
      <c r="P100" s="59" t="s">
        <v>70</v>
      </c>
      <c r="Q100" s="12" t="str">
        <f t="shared" si="31"/>
        <v/>
      </c>
      <c r="R100" s="81">
        <v>19</v>
      </c>
      <c r="S100" s="12" t="str">
        <f t="shared" si="32"/>
        <v>E</v>
      </c>
      <c r="T100" s="81">
        <v>39</v>
      </c>
      <c r="U100" s="12" t="str">
        <f t="shared" si="33"/>
        <v>E</v>
      </c>
      <c r="V100" s="59" t="s">
        <v>70</v>
      </c>
      <c r="W100" s="12" t="str">
        <f t="shared" si="34"/>
        <v/>
      </c>
      <c r="X100" s="81">
        <v>17</v>
      </c>
      <c r="Y100" s="12" t="str">
        <f t="shared" si="35"/>
        <v>E</v>
      </c>
      <c r="Z100" s="81">
        <v>17</v>
      </c>
      <c r="AA100" s="12" t="str">
        <f t="shared" si="36"/>
        <v>E</v>
      </c>
      <c r="AB100" s="59">
        <v>4</v>
      </c>
      <c r="AC100" s="12" t="str">
        <f t="shared" si="37"/>
        <v>F</v>
      </c>
      <c r="AD100" s="81">
        <v>18</v>
      </c>
      <c r="AE100" s="12" t="str">
        <f t="shared" si="38"/>
        <v>E</v>
      </c>
      <c r="AF100" s="81">
        <v>17</v>
      </c>
      <c r="AG100" s="12" t="str">
        <f t="shared" si="39"/>
        <v>E</v>
      </c>
      <c r="AH100" s="81">
        <v>20</v>
      </c>
      <c r="AI100" s="12" t="str">
        <f t="shared" si="40"/>
        <v>E</v>
      </c>
      <c r="AJ100" s="81">
        <v>18</v>
      </c>
      <c r="AK100" s="12" t="str">
        <f t="shared" si="41"/>
        <v>E</v>
      </c>
      <c r="AL100" s="14">
        <f t="shared" si="42"/>
        <v>274</v>
      </c>
      <c r="AM100" s="69">
        <v>0</v>
      </c>
      <c r="AN100" s="14">
        <f t="shared" si="44"/>
        <v>274</v>
      </c>
      <c r="AO100" s="14" t="str">
        <f t="shared" si="45"/>
        <v>FAIL</v>
      </c>
      <c r="AP100" s="14" t="str">
        <f t="shared" si="43"/>
        <v>--</v>
      </c>
    </row>
    <row r="101" spans="2:42" ht="18" customHeight="1">
      <c r="B101" s="75">
        <v>146277</v>
      </c>
      <c r="C101" s="76" t="s">
        <v>231</v>
      </c>
      <c r="D101" s="59">
        <v>63</v>
      </c>
      <c r="E101" s="12" t="str">
        <f t="shared" si="25"/>
        <v/>
      </c>
      <c r="F101" s="81">
        <v>20</v>
      </c>
      <c r="G101" s="12" t="str">
        <f t="shared" si="26"/>
        <v/>
      </c>
      <c r="H101" s="81">
        <v>45</v>
      </c>
      <c r="I101" s="12" t="str">
        <f t="shared" si="27"/>
        <v/>
      </c>
      <c r="J101" s="59">
        <v>61</v>
      </c>
      <c r="K101" s="12" t="str">
        <f t="shared" si="28"/>
        <v/>
      </c>
      <c r="L101" s="81">
        <v>21</v>
      </c>
      <c r="M101" s="12" t="str">
        <f t="shared" si="29"/>
        <v/>
      </c>
      <c r="N101" s="81">
        <v>21</v>
      </c>
      <c r="O101" s="12" t="str">
        <f t="shared" si="30"/>
        <v/>
      </c>
      <c r="P101" s="59">
        <v>66</v>
      </c>
      <c r="Q101" s="12" t="str">
        <f t="shared" si="31"/>
        <v/>
      </c>
      <c r="R101" s="81">
        <v>22</v>
      </c>
      <c r="S101" s="12" t="str">
        <f t="shared" si="32"/>
        <v/>
      </c>
      <c r="T101" s="81">
        <v>45</v>
      </c>
      <c r="U101" s="12" t="str">
        <f t="shared" si="33"/>
        <v/>
      </c>
      <c r="V101" s="59">
        <v>56</v>
      </c>
      <c r="W101" s="12" t="str">
        <f t="shared" si="34"/>
        <v/>
      </c>
      <c r="X101" s="81">
        <v>20</v>
      </c>
      <c r="Y101" s="12" t="str">
        <f t="shared" si="35"/>
        <v/>
      </c>
      <c r="Z101" s="81">
        <v>18</v>
      </c>
      <c r="AA101" s="12" t="str">
        <f t="shared" si="36"/>
        <v/>
      </c>
      <c r="AB101" s="59">
        <v>65</v>
      </c>
      <c r="AC101" s="12" t="str">
        <f t="shared" si="37"/>
        <v/>
      </c>
      <c r="AD101" s="81">
        <v>23</v>
      </c>
      <c r="AE101" s="12" t="str">
        <f t="shared" si="38"/>
        <v/>
      </c>
      <c r="AF101" s="81">
        <v>23</v>
      </c>
      <c r="AG101" s="12" t="str">
        <f t="shared" si="39"/>
        <v/>
      </c>
      <c r="AH101" s="81">
        <v>21</v>
      </c>
      <c r="AI101" s="12" t="str">
        <f t="shared" si="40"/>
        <v/>
      </c>
      <c r="AJ101" s="81">
        <v>19</v>
      </c>
      <c r="AK101" s="12" t="str">
        <f t="shared" si="41"/>
        <v/>
      </c>
      <c r="AL101" s="14">
        <f t="shared" si="42"/>
        <v>609</v>
      </c>
      <c r="AM101" s="69" t="s">
        <v>392</v>
      </c>
      <c r="AN101" s="14">
        <f t="shared" si="44"/>
        <v>1212</v>
      </c>
      <c r="AO101" s="14" t="str">
        <f t="shared" si="45"/>
        <v>PASS</v>
      </c>
      <c r="AP101" s="14" t="str">
        <f t="shared" si="43"/>
        <v>I</v>
      </c>
    </row>
    <row r="102" spans="2:42" ht="18" customHeight="1">
      <c r="B102" s="75">
        <v>146278</v>
      </c>
      <c r="C102" s="76" t="s">
        <v>232</v>
      </c>
      <c r="D102" s="59">
        <v>68</v>
      </c>
      <c r="E102" s="12" t="str">
        <f t="shared" si="25"/>
        <v/>
      </c>
      <c r="F102" s="81">
        <v>22</v>
      </c>
      <c r="G102" s="12" t="str">
        <f t="shared" si="26"/>
        <v/>
      </c>
      <c r="H102" s="81">
        <v>42</v>
      </c>
      <c r="I102" s="12" t="str">
        <f t="shared" si="27"/>
        <v/>
      </c>
      <c r="J102" s="59">
        <v>76</v>
      </c>
      <c r="K102" s="12" t="str">
        <f t="shared" si="28"/>
        <v/>
      </c>
      <c r="L102" s="81">
        <v>23</v>
      </c>
      <c r="M102" s="12" t="str">
        <f t="shared" si="29"/>
        <v/>
      </c>
      <c r="N102" s="81">
        <v>23</v>
      </c>
      <c r="O102" s="12" t="str">
        <f t="shared" si="30"/>
        <v/>
      </c>
      <c r="P102" s="59">
        <v>64</v>
      </c>
      <c r="Q102" s="12" t="str">
        <f t="shared" si="31"/>
        <v/>
      </c>
      <c r="R102" s="81">
        <v>22</v>
      </c>
      <c r="S102" s="12" t="str">
        <f t="shared" si="32"/>
        <v/>
      </c>
      <c r="T102" s="81">
        <v>42</v>
      </c>
      <c r="U102" s="12" t="str">
        <f t="shared" si="33"/>
        <v/>
      </c>
      <c r="V102" s="59">
        <v>66</v>
      </c>
      <c r="W102" s="12" t="str">
        <f t="shared" si="34"/>
        <v/>
      </c>
      <c r="X102" s="81">
        <v>19</v>
      </c>
      <c r="Y102" s="12" t="str">
        <f t="shared" si="35"/>
        <v/>
      </c>
      <c r="Z102" s="81">
        <v>19</v>
      </c>
      <c r="AA102" s="12" t="str">
        <f t="shared" si="36"/>
        <v/>
      </c>
      <c r="AB102" s="59">
        <v>65</v>
      </c>
      <c r="AC102" s="12" t="str">
        <f t="shared" si="37"/>
        <v/>
      </c>
      <c r="AD102" s="81">
        <v>22</v>
      </c>
      <c r="AE102" s="12" t="str">
        <f t="shared" si="38"/>
        <v/>
      </c>
      <c r="AF102" s="81">
        <v>22</v>
      </c>
      <c r="AG102" s="12" t="str">
        <f t="shared" si="39"/>
        <v/>
      </c>
      <c r="AH102" s="81">
        <v>20</v>
      </c>
      <c r="AI102" s="12" t="str">
        <f t="shared" si="40"/>
        <v/>
      </c>
      <c r="AJ102" s="81">
        <v>18</v>
      </c>
      <c r="AK102" s="12" t="str">
        <f t="shared" si="41"/>
        <v/>
      </c>
      <c r="AL102" s="14">
        <f t="shared" si="42"/>
        <v>633</v>
      </c>
      <c r="AM102" s="69" t="s">
        <v>393</v>
      </c>
      <c r="AN102" s="14">
        <f t="shared" si="44"/>
        <v>1196</v>
      </c>
      <c r="AO102" s="14" t="str">
        <f t="shared" si="45"/>
        <v>PASS</v>
      </c>
      <c r="AP102" s="14" t="str">
        <f t="shared" si="43"/>
        <v>I</v>
      </c>
    </row>
    <row r="103" spans="2:42" ht="18" customHeight="1">
      <c r="B103" s="75">
        <v>146279</v>
      </c>
      <c r="C103" s="76" t="s">
        <v>233</v>
      </c>
      <c r="D103" s="59">
        <v>69</v>
      </c>
      <c r="E103" s="12" t="str">
        <f t="shared" si="25"/>
        <v/>
      </c>
      <c r="F103" s="81">
        <v>21</v>
      </c>
      <c r="G103" s="12" t="str">
        <f t="shared" si="26"/>
        <v/>
      </c>
      <c r="H103" s="81">
        <v>46</v>
      </c>
      <c r="I103" s="12" t="str">
        <f t="shared" si="27"/>
        <v/>
      </c>
      <c r="J103" s="59">
        <v>65</v>
      </c>
      <c r="K103" s="12" t="str">
        <f t="shared" si="28"/>
        <v/>
      </c>
      <c r="L103" s="81">
        <v>21</v>
      </c>
      <c r="M103" s="12" t="str">
        <f t="shared" si="29"/>
        <v/>
      </c>
      <c r="N103" s="81">
        <v>21</v>
      </c>
      <c r="O103" s="12" t="str">
        <f t="shared" si="30"/>
        <v/>
      </c>
      <c r="P103" s="59">
        <v>68</v>
      </c>
      <c r="Q103" s="12" t="str">
        <f t="shared" si="31"/>
        <v/>
      </c>
      <c r="R103" s="81">
        <v>22</v>
      </c>
      <c r="S103" s="12" t="str">
        <f t="shared" si="32"/>
        <v/>
      </c>
      <c r="T103" s="81">
        <v>46</v>
      </c>
      <c r="U103" s="12" t="str">
        <f t="shared" si="33"/>
        <v/>
      </c>
      <c r="V103" s="59">
        <v>68</v>
      </c>
      <c r="W103" s="12" t="str">
        <f t="shared" si="34"/>
        <v/>
      </c>
      <c r="X103" s="81">
        <v>19</v>
      </c>
      <c r="Y103" s="12" t="str">
        <f t="shared" si="35"/>
        <v/>
      </c>
      <c r="Z103" s="81">
        <v>23</v>
      </c>
      <c r="AA103" s="12" t="str">
        <f t="shared" si="36"/>
        <v/>
      </c>
      <c r="AB103" s="59">
        <v>71</v>
      </c>
      <c r="AC103" s="12" t="str">
        <f t="shared" si="37"/>
        <v/>
      </c>
      <c r="AD103" s="81">
        <v>21</v>
      </c>
      <c r="AE103" s="12" t="str">
        <f t="shared" si="38"/>
        <v/>
      </c>
      <c r="AF103" s="81">
        <v>21</v>
      </c>
      <c r="AG103" s="12" t="str">
        <f t="shared" si="39"/>
        <v/>
      </c>
      <c r="AH103" s="81">
        <v>19</v>
      </c>
      <c r="AI103" s="12" t="str">
        <f t="shared" si="40"/>
        <v/>
      </c>
      <c r="AJ103" s="81">
        <v>17</v>
      </c>
      <c r="AK103" s="12" t="str">
        <f t="shared" si="41"/>
        <v/>
      </c>
      <c r="AL103" s="14">
        <f t="shared" si="42"/>
        <v>638</v>
      </c>
      <c r="AM103" s="69" t="s">
        <v>369</v>
      </c>
      <c r="AN103" s="14">
        <f t="shared" si="44"/>
        <v>1263</v>
      </c>
      <c r="AO103" s="14" t="str">
        <f t="shared" si="45"/>
        <v>PASS</v>
      </c>
      <c r="AP103" s="14" t="str">
        <f t="shared" si="43"/>
        <v>I</v>
      </c>
    </row>
    <row r="104" spans="2:42" ht="18" customHeight="1">
      <c r="B104" s="75">
        <v>146280</v>
      </c>
      <c r="C104" s="76" t="s">
        <v>314</v>
      </c>
      <c r="D104" s="59">
        <v>55</v>
      </c>
      <c r="E104" s="12" t="str">
        <f t="shared" si="25"/>
        <v/>
      </c>
      <c r="F104" s="81">
        <v>20</v>
      </c>
      <c r="G104" s="12" t="str">
        <f t="shared" si="26"/>
        <v/>
      </c>
      <c r="H104" s="81">
        <v>47</v>
      </c>
      <c r="I104" s="12" t="str">
        <f t="shared" si="27"/>
        <v/>
      </c>
      <c r="J104" s="59">
        <v>63</v>
      </c>
      <c r="K104" s="12" t="str">
        <f t="shared" si="28"/>
        <v/>
      </c>
      <c r="L104" s="81">
        <v>20</v>
      </c>
      <c r="M104" s="12" t="str">
        <f t="shared" si="29"/>
        <v/>
      </c>
      <c r="N104" s="81">
        <v>20</v>
      </c>
      <c r="O104" s="12" t="str">
        <f t="shared" si="30"/>
        <v/>
      </c>
      <c r="P104" s="59">
        <v>59</v>
      </c>
      <c r="Q104" s="12" t="str">
        <f t="shared" si="31"/>
        <v/>
      </c>
      <c r="R104" s="81">
        <v>24</v>
      </c>
      <c r="S104" s="12" t="str">
        <f t="shared" si="32"/>
        <v/>
      </c>
      <c r="T104" s="81">
        <v>47</v>
      </c>
      <c r="U104" s="12" t="str">
        <f t="shared" si="33"/>
        <v/>
      </c>
      <c r="V104" s="59">
        <v>66</v>
      </c>
      <c r="W104" s="12" t="str">
        <f t="shared" si="34"/>
        <v/>
      </c>
      <c r="X104" s="81">
        <v>22</v>
      </c>
      <c r="Y104" s="12" t="str">
        <f t="shared" si="35"/>
        <v/>
      </c>
      <c r="Z104" s="81">
        <v>22</v>
      </c>
      <c r="AA104" s="12" t="str">
        <f t="shared" si="36"/>
        <v/>
      </c>
      <c r="AB104" s="59">
        <v>53</v>
      </c>
      <c r="AC104" s="12" t="str">
        <f t="shared" si="37"/>
        <v/>
      </c>
      <c r="AD104" s="81">
        <v>20</v>
      </c>
      <c r="AE104" s="12" t="str">
        <f t="shared" si="38"/>
        <v/>
      </c>
      <c r="AF104" s="81">
        <v>22</v>
      </c>
      <c r="AG104" s="12" t="str">
        <f t="shared" si="39"/>
        <v/>
      </c>
      <c r="AH104" s="81">
        <v>21</v>
      </c>
      <c r="AI104" s="12" t="str">
        <f t="shared" si="40"/>
        <v/>
      </c>
      <c r="AJ104" s="81">
        <v>19</v>
      </c>
      <c r="AK104" s="12" t="str">
        <f t="shared" si="41"/>
        <v/>
      </c>
      <c r="AL104" s="14">
        <f t="shared" si="42"/>
        <v>600</v>
      </c>
      <c r="AM104" s="69" t="s">
        <v>429</v>
      </c>
      <c r="AN104" s="14">
        <f t="shared" si="44"/>
        <v>1135</v>
      </c>
      <c r="AO104" s="14" t="str">
        <f t="shared" si="45"/>
        <v>PASS</v>
      </c>
      <c r="AP104" s="14" t="str">
        <f t="shared" si="43"/>
        <v>P</v>
      </c>
    </row>
    <row r="105" spans="2:42" ht="18" customHeight="1">
      <c r="B105" s="75">
        <v>146281</v>
      </c>
      <c r="C105" s="76" t="s">
        <v>315</v>
      </c>
      <c r="D105" s="59">
        <v>62</v>
      </c>
      <c r="E105" s="12" t="str">
        <f t="shared" si="25"/>
        <v/>
      </c>
      <c r="F105" s="81">
        <v>24</v>
      </c>
      <c r="G105" s="12" t="str">
        <f t="shared" si="26"/>
        <v/>
      </c>
      <c r="H105" s="81">
        <v>47</v>
      </c>
      <c r="I105" s="12" t="str">
        <f t="shared" si="27"/>
        <v/>
      </c>
      <c r="J105" s="59">
        <v>72</v>
      </c>
      <c r="K105" s="12" t="str">
        <f t="shared" si="28"/>
        <v/>
      </c>
      <c r="L105" s="81">
        <v>23</v>
      </c>
      <c r="M105" s="12" t="str">
        <f t="shared" si="29"/>
        <v/>
      </c>
      <c r="N105" s="81">
        <v>23</v>
      </c>
      <c r="O105" s="12" t="str">
        <f t="shared" si="30"/>
        <v/>
      </c>
      <c r="P105" s="59">
        <v>66</v>
      </c>
      <c r="Q105" s="12" t="str">
        <f t="shared" si="31"/>
        <v/>
      </c>
      <c r="R105" s="81">
        <v>24</v>
      </c>
      <c r="S105" s="12" t="str">
        <f t="shared" si="32"/>
        <v/>
      </c>
      <c r="T105" s="81">
        <v>47</v>
      </c>
      <c r="U105" s="12" t="str">
        <f t="shared" si="33"/>
        <v/>
      </c>
      <c r="V105" s="59">
        <v>70</v>
      </c>
      <c r="W105" s="12" t="str">
        <f t="shared" si="34"/>
        <v/>
      </c>
      <c r="X105" s="81">
        <v>23</v>
      </c>
      <c r="Y105" s="12" t="str">
        <f t="shared" si="35"/>
        <v/>
      </c>
      <c r="Z105" s="81">
        <v>22</v>
      </c>
      <c r="AA105" s="12" t="str">
        <f t="shared" si="36"/>
        <v/>
      </c>
      <c r="AB105" s="59">
        <v>73</v>
      </c>
      <c r="AC105" s="12" t="str">
        <f t="shared" si="37"/>
        <v/>
      </c>
      <c r="AD105" s="81">
        <v>24</v>
      </c>
      <c r="AE105" s="12" t="str">
        <f t="shared" si="38"/>
        <v/>
      </c>
      <c r="AF105" s="81">
        <v>24</v>
      </c>
      <c r="AG105" s="12" t="str">
        <f t="shared" si="39"/>
        <v/>
      </c>
      <c r="AH105" s="81">
        <v>21</v>
      </c>
      <c r="AI105" s="12" t="str">
        <f t="shared" si="40"/>
        <v/>
      </c>
      <c r="AJ105" s="81">
        <v>19</v>
      </c>
      <c r="AK105" s="12" t="str">
        <f t="shared" si="41"/>
        <v/>
      </c>
      <c r="AL105" s="14">
        <f t="shared" si="42"/>
        <v>664</v>
      </c>
      <c r="AM105" s="69" t="s">
        <v>394</v>
      </c>
      <c r="AN105" s="14">
        <f t="shared" si="44"/>
        <v>1248</v>
      </c>
      <c r="AO105" s="14" t="str">
        <f t="shared" si="45"/>
        <v>PASS</v>
      </c>
      <c r="AP105" s="14" t="str">
        <f t="shared" si="43"/>
        <v>I</v>
      </c>
    </row>
    <row r="106" spans="2:42" ht="18" customHeight="1">
      <c r="B106" s="75">
        <v>146282</v>
      </c>
      <c r="C106" s="77" t="s">
        <v>234</v>
      </c>
      <c r="D106" s="59">
        <v>45</v>
      </c>
      <c r="E106" s="12" t="str">
        <f t="shared" ref="E106:E169" si="46">IF(IFERROR(FIND("+",D106),0)," ",
IF(D106="AB","",
IF(D106&lt;$D$24,"F",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F106" s="81">
        <v>23</v>
      </c>
      <c r="G106" s="12" t="str">
        <f t="shared" ref="G106:G169" si="47">IF(IFERROR(FIND("+",F106),0)," ",
IF(F106="AB","",
IF(F106&lt;$F$24,"F",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H106" s="81">
        <v>43</v>
      </c>
      <c r="I106" s="12" t="str">
        <f t="shared" ref="I106:I169" si="48">IF(IFERROR(FIND("+",H106),0)," ",
IF(H106="AB","",
IF(H106&lt;$H$24,"F",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J106" s="59">
        <v>63</v>
      </c>
      <c r="K106" s="12" t="str">
        <f t="shared" ref="K106:K169" si="49">IF(IFERROR(FIND("+",J106),0)," ",
IF(J106="AB","",
IF(J106&lt;$J$24,"F",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L106" s="81">
        <v>24</v>
      </c>
      <c r="M106" s="12" t="str">
        <f t="shared" ref="M106:M169" si="50">IF(IFERROR(FIND("+",L106),0)," ",
IF(L106="AB","",
IF(L106&lt;$L$24,"F",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N106" s="81">
        <v>24</v>
      </c>
      <c r="O106" s="12" t="str">
        <f t="shared" ref="O106:O169" si="51">IF(IFERROR(FIND("+",N106),0)," ",
IF(N106="AB","",
IF(N106&lt;$N$24,"F",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P106" s="59">
        <v>46</v>
      </c>
      <c r="Q106" s="12" t="str">
        <f t="shared" ref="Q106:Q169" si="52">IF(IFERROR(FIND("+",P106),0)," ",
IF(P106="AB","",
IF(P106&lt;$P$24,"F",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R106" s="81">
        <v>23</v>
      </c>
      <c r="S106" s="12" t="str">
        <f t="shared" ref="S106:S169" si="53">IF(IFERROR(FIND("+",R106),0)," ",
IF(R106="AB","",
IF(R106&lt;$R$24,"F",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T106" s="81">
        <v>43</v>
      </c>
      <c r="U106" s="12" t="str">
        <f t="shared" ref="U106:U169" si="54">IF(IFERROR(FIND("+",T106),0)," ",
IF(T106="AB","",
IF(T106&lt;$T$24,"F",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V106" s="59">
        <v>67</v>
      </c>
      <c r="W106" s="12" t="str">
        <f t="shared" ref="W106:W169" si="55">IF(IFERROR(FIND("+",V106),0)," ",
IF(V106="AB","",
IF(V106&lt;$V$24,"F",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X106" s="81">
        <v>21</v>
      </c>
      <c r="Y106" s="12" t="str">
        <f t="shared" ref="Y106:Y169" si="56">IF(IFERROR(FIND("+",X106),0)," ",
IF(X106="AB","",
IF(X106&lt;$X$24,"F",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Z106" s="81">
        <v>20</v>
      </c>
      <c r="AA106" s="12" t="str">
        <f t="shared" ref="AA106:AA169" si="57">IF(IFERROR(FIND("+",Z106),0)," ",
IF(Z106="AB","",
IF(Z106&lt;$Z$24,"F",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AB106" s="59">
        <v>55</v>
      </c>
      <c r="AC106" s="12" t="str">
        <f t="shared" ref="AC106:AC169" si="58">IF(IFERROR(FIND("+",AB106),0)," ",
IF(AB106="AB","",
IF(AB106&lt;$AB$24,"F",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AD106" s="81">
        <v>20</v>
      </c>
      <c r="AE106" s="12" t="str">
        <f t="shared" ref="AE106:AE169" si="59">IF(IFERROR(FIND("+",AD106),0)," ",
IF(AD106="AB","",
IF(AD106&lt;$AD$24,"F",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AF106" s="81">
        <v>20</v>
      </c>
      <c r="AG106" s="12" t="str">
        <f t="shared" ref="AG106:AG169" si="60">IF(IFERROR(FIND("+",AF106),0)," ",
IF(AF106="AB","",
IF(AF106&lt;$AF$24,"F",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AH106" s="81">
        <v>20</v>
      </c>
      <c r="AI106" s="12" t="str">
        <f t="shared" ref="AI106:AI169" si="61">IF(IFERROR(FIND("+",AH106),0)," ",
IF(AH106="AB","",
IF(AH106&lt;$AH$24,"F",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AH106&lt;&gt;"AB",AJ106&lt;&gt;"AB"),"","E"))))</f>
        <v/>
      </c>
      <c r="AJ106" s="81">
        <v>19</v>
      </c>
      <c r="AK106" s="12" t="str">
        <f t="shared" ref="AK106:AK169" si="62">IF(IFERROR(FIND("+",AJ106),0)," ",
IF(AJ106="AB","",
IF(AJ106&lt;$AJ$24,"F",
IF(AND(D106&gt;=$D$24,F106&gt;=$F$24,H106&gt;=$H$24,
J106&gt;=$J$24,L106&gt;=$L$24,
N106&gt;=$N$24,P106&gt;=$P$24,R106&gt;=$R$24,T106&gt;=$T$24,V106&gt;=$V$24,
X106&gt;=$X$24,Z106&gt;=$Z$24,AB106&gt;=$AB$24,AD106&gt;=$AD$24,AF106&gt;=$AF$24,
AH106&gt;=$AH$24,AJ106&gt;=$AJ$24,D106&lt;&gt;"AB",F106&lt;&gt;"AB",H106&lt;&gt;"AB",
J106&lt;&gt;"AB",L106&lt;&gt;"AB",
N106&lt;&gt;"AB",P106&lt;&gt;"AB",R106&lt;&gt;"AB",T106&lt;&gt;"AB",V106&lt;&gt;"AB",
X106&lt;&gt;"AB",Z106&lt;&gt;"AB",AB106&lt;&gt;"AB",AD106&lt;&gt;"AB",AF106&lt;&gt;"AB",
AH106&lt;&gt;"AB",AI106&lt;&gt;"AB"),"","E"))))</f>
        <v/>
      </c>
      <c r="AL106" s="14">
        <f t="shared" si="42"/>
        <v>576</v>
      </c>
      <c r="AM106" s="69" t="s">
        <v>430</v>
      </c>
      <c r="AN106" s="14">
        <f t="shared" si="44"/>
        <v>1113</v>
      </c>
      <c r="AO106" s="14" t="str">
        <f t="shared" si="45"/>
        <v>PASS</v>
      </c>
      <c r="AP106" s="14" t="str">
        <f t="shared" si="43"/>
        <v>P</v>
      </c>
    </row>
    <row r="107" spans="2:42" ht="18" customHeight="1">
      <c r="B107" s="75">
        <v>146283</v>
      </c>
      <c r="C107" s="76" t="s">
        <v>235</v>
      </c>
      <c r="D107" s="59">
        <v>40</v>
      </c>
      <c r="E107" s="12" t="str">
        <f t="shared" si="46"/>
        <v/>
      </c>
      <c r="F107" s="81">
        <v>21</v>
      </c>
      <c r="G107" s="12" t="str">
        <f t="shared" si="47"/>
        <v/>
      </c>
      <c r="H107" s="81">
        <v>40</v>
      </c>
      <c r="I107" s="12" t="str">
        <f t="shared" si="48"/>
        <v/>
      </c>
      <c r="J107" s="59">
        <v>48</v>
      </c>
      <c r="K107" s="12" t="str">
        <f t="shared" si="49"/>
        <v/>
      </c>
      <c r="L107" s="81">
        <v>21</v>
      </c>
      <c r="M107" s="12" t="str">
        <f t="shared" si="50"/>
        <v/>
      </c>
      <c r="N107" s="81">
        <v>21</v>
      </c>
      <c r="O107" s="12" t="str">
        <f t="shared" si="51"/>
        <v/>
      </c>
      <c r="P107" s="59">
        <v>50</v>
      </c>
      <c r="Q107" s="12" t="str">
        <f t="shared" si="52"/>
        <v/>
      </c>
      <c r="R107" s="81">
        <v>21</v>
      </c>
      <c r="S107" s="12" t="str">
        <f t="shared" si="53"/>
        <v/>
      </c>
      <c r="T107" s="81">
        <v>40</v>
      </c>
      <c r="U107" s="12" t="str">
        <f t="shared" si="54"/>
        <v/>
      </c>
      <c r="V107" s="59">
        <v>56</v>
      </c>
      <c r="W107" s="12" t="str">
        <f t="shared" si="55"/>
        <v/>
      </c>
      <c r="X107" s="81">
        <v>18</v>
      </c>
      <c r="Y107" s="12" t="str">
        <f t="shared" si="56"/>
        <v/>
      </c>
      <c r="Z107" s="81">
        <v>19</v>
      </c>
      <c r="AA107" s="12" t="str">
        <f t="shared" si="57"/>
        <v/>
      </c>
      <c r="AB107" s="59">
        <v>56</v>
      </c>
      <c r="AC107" s="12" t="str">
        <f t="shared" si="58"/>
        <v/>
      </c>
      <c r="AD107" s="81">
        <v>20</v>
      </c>
      <c r="AE107" s="12" t="str">
        <f t="shared" si="59"/>
        <v/>
      </c>
      <c r="AF107" s="81">
        <v>20</v>
      </c>
      <c r="AG107" s="12" t="str">
        <f t="shared" si="60"/>
        <v/>
      </c>
      <c r="AH107" s="81">
        <v>22</v>
      </c>
      <c r="AI107" s="12" t="str">
        <f t="shared" si="61"/>
        <v/>
      </c>
      <c r="AJ107" s="81">
        <v>21</v>
      </c>
      <c r="AK107" s="12" t="str">
        <f t="shared" si="62"/>
        <v/>
      </c>
      <c r="AL107" s="14">
        <f t="shared" si="42"/>
        <v>534</v>
      </c>
      <c r="AM107" s="69" t="s">
        <v>431</v>
      </c>
      <c r="AN107" s="14">
        <f t="shared" si="44"/>
        <v>1034</v>
      </c>
      <c r="AO107" s="14" t="str">
        <f t="shared" si="45"/>
        <v>PASS</v>
      </c>
      <c r="AP107" s="14" t="str">
        <f t="shared" si="43"/>
        <v>I</v>
      </c>
    </row>
    <row r="108" spans="2:42" ht="18" customHeight="1">
      <c r="B108" s="75">
        <v>146284</v>
      </c>
      <c r="C108" s="76" t="s">
        <v>236</v>
      </c>
      <c r="D108" s="59">
        <v>56</v>
      </c>
      <c r="E108" s="12" t="str">
        <f t="shared" si="46"/>
        <v/>
      </c>
      <c r="F108" s="81">
        <v>22</v>
      </c>
      <c r="G108" s="12" t="str">
        <f t="shared" si="47"/>
        <v/>
      </c>
      <c r="H108" s="81">
        <v>40</v>
      </c>
      <c r="I108" s="12" t="str">
        <f t="shared" si="48"/>
        <v/>
      </c>
      <c r="J108" s="59">
        <v>60</v>
      </c>
      <c r="K108" s="12" t="str">
        <f t="shared" si="49"/>
        <v/>
      </c>
      <c r="L108" s="81">
        <v>22</v>
      </c>
      <c r="M108" s="12" t="str">
        <f t="shared" si="50"/>
        <v/>
      </c>
      <c r="N108" s="81">
        <v>22</v>
      </c>
      <c r="O108" s="12" t="str">
        <f t="shared" si="51"/>
        <v/>
      </c>
      <c r="P108" s="59">
        <v>59</v>
      </c>
      <c r="Q108" s="12" t="str">
        <f t="shared" si="52"/>
        <v/>
      </c>
      <c r="R108" s="81">
        <v>19</v>
      </c>
      <c r="S108" s="12" t="str">
        <f t="shared" si="53"/>
        <v/>
      </c>
      <c r="T108" s="81">
        <v>40</v>
      </c>
      <c r="U108" s="12" t="str">
        <f t="shared" si="54"/>
        <v/>
      </c>
      <c r="V108" s="59">
        <v>72</v>
      </c>
      <c r="W108" s="12" t="str">
        <f t="shared" si="55"/>
        <v/>
      </c>
      <c r="X108" s="81">
        <v>19</v>
      </c>
      <c r="Y108" s="12" t="str">
        <f t="shared" si="56"/>
        <v/>
      </c>
      <c r="Z108" s="81">
        <v>23</v>
      </c>
      <c r="AA108" s="12" t="str">
        <f t="shared" si="57"/>
        <v/>
      </c>
      <c r="AB108" s="59">
        <v>72</v>
      </c>
      <c r="AC108" s="12" t="str">
        <f t="shared" si="58"/>
        <v/>
      </c>
      <c r="AD108" s="81">
        <v>20</v>
      </c>
      <c r="AE108" s="12" t="str">
        <f t="shared" si="59"/>
        <v/>
      </c>
      <c r="AF108" s="81">
        <v>22</v>
      </c>
      <c r="AG108" s="12" t="str">
        <f t="shared" si="60"/>
        <v/>
      </c>
      <c r="AH108" s="81">
        <v>20</v>
      </c>
      <c r="AI108" s="12" t="str">
        <f t="shared" si="61"/>
        <v/>
      </c>
      <c r="AJ108" s="81">
        <v>19</v>
      </c>
      <c r="AK108" s="12" t="str">
        <f t="shared" si="62"/>
        <v/>
      </c>
      <c r="AL108" s="14">
        <f t="shared" si="42"/>
        <v>607</v>
      </c>
      <c r="AM108" s="69" t="s">
        <v>432</v>
      </c>
      <c r="AN108" s="14">
        <f t="shared" si="44"/>
        <v>1154</v>
      </c>
      <c r="AO108" s="14" t="str">
        <f t="shared" si="45"/>
        <v>PASS</v>
      </c>
      <c r="AP108" s="14" t="str">
        <f t="shared" si="43"/>
        <v>I</v>
      </c>
    </row>
    <row r="109" spans="2:42" ht="18" customHeight="1">
      <c r="B109" s="75">
        <v>146285</v>
      </c>
      <c r="C109" s="76" t="s">
        <v>237</v>
      </c>
      <c r="D109" s="59">
        <v>58</v>
      </c>
      <c r="E109" s="12" t="str">
        <f t="shared" si="46"/>
        <v/>
      </c>
      <c r="F109" s="81">
        <v>23</v>
      </c>
      <c r="G109" s="12" t="str">
        <f t="shared" si="47"/>
        <v/>
      </c>
      <c r="H109" s="81">
        <v>43</v>
      </c>
      <c r="I109" s="12" t="str">
        <f t="shared" si="48"/>
        <v/>
      </c>
      <c r="J109" s="59">
        <v>60</v>
      </c>
      <c r="K109" s="12" t="str">
        <f t="shared" si="49"/>
        <v/>
      </c>
      <c r="L109" s="81">
        <v>23</v>
      </c>
      <c r="M109" s="12" t="str">
        <f t="shared" si="50"/>
        <v/>
      </c>
      <c r="N109" s="81">
        <v>23</v>
      </c>
      <c r="O109" s="12" t="str">
        <f t="shared" si="51"/>
        <v/>
      </c>
      <c r="P109" s="59">
        <v>58</v>
      </c>
      <c r="Q109" s="12" t="str">
        <f t="shared" si="52"/>
        <v/>
      </c>
      <c r="R109" s="81">
        <v>23</v>
      </c>
      <c r="S109" s="12" t="str">
        <f t="shared" si="53"/>
        <v/>
      </c>
      <c r="T109" s="81">
        <v>43</v>
      </c>
      <c r="U109" s="12" t="str">
        <f t="shared" si="54"/>
        <v/>
      </c>
      <c r="V109" s="59">
        <v>68</v>
      </c>
      <c r="W109" s="12" t="str">
        <f t="shared" si="55"/>
        <v/>
      </c>
      <c r="X109" s="81">
        <v>19</v>
      </c>
      <c r="Y109" s="12" t="str">
        <f t="shared" si="56"/>
        <v/>
      </c>
      <c r="Z109" s="81">
        <v>23</v>
      </c>
      <c r="AA109" s="12" t="str">
        <f t="shared" si="57"/>
        <v/>
      </c>
      <c r="AB109" s="59">
        <v>62</v>
      </c>
      <c r="AC109" s="12" t="str">
        <f t="shared" si="58"/>
        <v/>
      </c>
      <c r="AD109" s="81">
        <v>21</v>
      </c>
      <c r="AE109" s="12" t="str">
        <f t="shared" si="59"/>
        <v/>
      </c>
      <c r="AF109" s="81">
        <v>22</v>
      </c>
      <c r="AG109" s="12" t="str">
        <f t="shared" si="60"/>
        <v/>
      </c>
      <c r="AH109" s="81">
        <v>20</v>
      </c>
      <c r="AI109" s="12" t="str">
        <f t="shared" si="61"/>
        <v/>
      </c>
      <c r="AJ109" s="81">
        <v>19</v>
      </c>
      <c r="AK109" s="12" t="str">
        <f t="shared" si="62"/>
        <v/>
      </c>
      <c r="AL109" s="14">
        <f t="shared" si="42"/>
        <v>608</v>
      </c>
      <c r="AM109" s="69" t="s">
        <v>395</v>
      </c>
      <c r="AN109" s="14">
        <f t="shared" si="44"/>
        <v>1130</v>
      </c>
      <c r="AO109" s="14" t="str">
        <f t="shared" si="45"/>
        <v>PASS</v>
      </c>
      <c r="AP109" s="14" t="str">
        <f t="shared" si="43"/>
        <v>I</v>
      </c>
    </row>
    <row r="110" spans="2:42" ht="18" customHeight="1">
      <c r="B110" s="75">
        <v>146286</v>
      </c>
      <c r="C110" s="76" t="s">
        <v>238</v>
      </c>
      <c r="D110" s="59">
        <v>50</v>
      </c>
      <c r="E110" s="12" t="str">
        <f t="shared" si="46"/>
        <v/>
      </c>
      <c r="F110" s="81">
        <v>19</v>
      </c>
      <c r="G110" s="12" t="str">
        <f t="shared" si="47"/>
        <v/>
      </c>
      <c r="H110" s="81">
        <v>42</v>
      </c>
      <c r="I110" s="12" t="str">
        <f t="shared" si="48"/>
        <v/>
      </c>
      <c r="J110" s="59">
        <v>53</v>
      </c>
      <c r="K110" s="12" t="str">
        <f t="shared" si="49"/>
        <v/>
      </c>
      <c r="L110" s="81">
        <v>19</v>
      </c>
      <c r="M110" s="12" t="str">
        <f t="shared" si="50"/>
        <v/>
      </c>
      <c r="N110" s="81">
        <v>19</v>
      </c>
      <c r="O110" s="12" t="str">
        <f t="shared" si="51"/>
        <v/>
      </c>
      <c r="P110" s="59">
        <v>52</v>
      </c>
      <c r="Q110" s="12" t="str">
        <f t="shared" si="52"/>
        <v/>
      </c>
      <c r="R110" s="81">
        <v>19</v>
      </c>
      <c r="S110" s="12" t="str">
        <f t="shared" si="53"/>
        <v/>
      </c>
      <c r="T110" s="81">
        <v>42</v>
      </c>
      <c r="U110" s="12" t="str">
        <f t="shared" si="54"/>
        <v/>
      </c>
      <c r="V110" s="59">
        <v>40</v>
      </c>
      <c r="W110" s="12" t="str">
        <f t="shared" si="55"/>
        <v/>
      </c>
      <c r="X110" s="81">
        <v>16</v>
      </c>
      <c r="Y110" s="12" t="str">
        <f t="shared" si="56"/>
        <v/>
      </c>
      <c r="Z110" s="81">
        <v>20</v>
      </c>
      <c r="AA110" s="12" t="str">
        <f t="shared" si="57"/>
        <v/>
      </c>
      <c r="AB110" s="59">
        <v>51</v>
      </c>
      <c r="AC110" s="12" t="str">
        <f t="shared" si="58"/>
        <v/>
      </c>
      <c r="AD110" s="81">
        <v>19</v>
      </c>
      <c r="AE110" s="12" t="str">
        <f t="shared" si="59"/>
        <v/>
      </c>
      <c r="AF110" s="81">
        <v>19</v>
      </c>
      <c r="AG110" s="12" t="str">
        <f t="shared" si="60"/>
        <v/>
      </c>
      <c r="AH110" s="81">
        <v>21</v>
      </c>
      <c r="AI110" s="12" t="str">
        <f t="shared" si="61"/>
        <v/>
      </c>
      <c r="AJ110" s="81">
        <v>20</v>
      </c>
      <c r="AK110" s="12" t="str">
        <f t="shared" si="62"/>
        <v/>
      </c>
      <c r="AL110" s="14">
        <f t="shared" si="42"/>
        <v>521</v>
      </c>
      <c r="AM110" s="69" t="s">
        <v>433</v>
      </c>
      <c r="AN110" s="14">
        <f t="shared" si="44"/>
        <v>995</v>
      </c>
      <c r="AO110" s="14" t="str">
        <f t="shared" si="45"/>
        <v>PASS</v>
      </c>
      <c r="AP110" s="14" t="str">
        <f t="shared" si="43"/>
        <v>II</v>
      </c>
    </row>
    <row r="111" spans="2:42" ht="18" customHeight="1">
      <c r="B111" s="75">
        <v>146287</v>
      </c>
      <c r="C111" s="76" t="s">
        <v>239</v>
      </c>
      <c r="D111" s="59">
        <v>2</v>
      </c>
      <c r="E111" s="12" t="str">
        <f t="shared" si="46"/>
        <v>F</v>
      </c>
      <c r="F111" s="81">
        <v>20</v>
      </c>
      <c r="G111" s="12" t="str">
        <f t="shared" si="47"/>
        <v>E</v>
      </c>
      <c r="H111" s="81">
        <v>41</v>
      </c>
      <c r="I111" s="12" t="str">
        <f t="shared" si="48"/>
        <v>E</v>
      </c>
      <c r="J111" s="59">
        <v>57</v>
      </c>
      <c r="K111" s="12" t="str">
        <f t="shared" si="49"/>
        <v>E</v>
      </c>
      <c r="L111" s="81">
        <v>20</v>
      </c>
      <c r="M111" s="12" t="str">
        <f t="shared" si="50"/>
        <v>E</v>
      </c>
      <c r="N111" s="81">
        <v>20</v>
      </c>
      <c r="O111" s="12" t="str">
        <f t="shared" si="51"/>
        <v>E</v>
      </c>
      <c r="P111" s="59">
        <v>47</v>
      </c>
      <c r="Q111" s="12" t="str">
        <f t="shared" si="52"/>
        <v>E</v>
      </c>
      <c r="R111" s="81">
        <v>18</v>
      </c>
      <c r="S111" s="12" t="str">
        <f t="shared" si="53"/>
        <v>E</v>
      </c>
      <c r="T111" s="81">
        <v>41</v>
      </c>
      <c r="U111" s="12" t="str">
        <f t="shared" si="54"/>
        <v>E</v>
      </c>
      <c r="V111" s="59">
        <v>4</v>
      </c>
      <c r="W111" s="12" t="str">
        <f t="shared" si="55"/>
        <v>F</v>
      </c>
      <c r="X111" s="81">
        <v>18</v>
      </c>
      <c r="Y111" s="12" t="str">
        <f t="shared" si="56"/>
        <v>E</v>
      </c>
      <c r="Z111" s="81">
        <v>19</v>
      </c>
      <c r="AA111" s="12" t="str">
        <f t="shared" si="57"/>
        <v>E</v>
      </c>
      <c r="AB111" s="59">
        <v>11</v>
      </c>
      <c r="AC111" s="12" t="str">
        <f t="shared" si="58"/>
        <v>F</v>
      </c>
      <c r="AD111" s="81">
        <v>20</v>
      </c>
      <c r="AE111" s="12" t="str">
        <f t="shared" si="59"/>
        <v>E</v>
      </c>
      <c r="AF111" s="81">
        <v>20</v>
      </c>
      <c r="AG111" s="12" t="str">
        <f t="shared" si="60"/>
        <v>E</v>
      </c>
      <c r="AH111" s="81">
        <v>20</v>
      </c>
      <c r="AI111" s="12" t="str">
        <f t="shared" si="61"/>
        <v>E</v>
      </c>
      <c r="AJ111" s="81">
        <v>19</v>
      </c>
      <c r="AK111" s="12" t="str">
        <f t="shared" si="62"/>
        <v>E</v>
      </c>
      <c r="AL111" s="14">
        <f t="shared" si="42"/>
        <v>397</v>
      </c>
      <c r="AM111" s="69">
        <v>0</v>
      </c>
      <c r="AN111" s="14">
        <f t="shared" si="44"/>
        <v>397</v>
      </c>
      <c r="AO111" s="14" t="str">
        <f t="shared" si="45"/>
        <v>FAIL</v>
      </c>
      <c r="AP111" s="14" t="str">
        <f t="shared" si="43"/>
        <v>--</v>
      </c>
    </row>
    <row r="112" spans="2:42" ht="18" customHeight="1">
      <c r="B112" s="75">
        <v>146288</v>
      </c>
      <c r="C112" s="76" t="s">
        <v>240</v>
      </c>
      <c r="D112" s="59">
        <v>27</v>
      </c>
      <c r="E112" s="12" t="str">
        <f t="shared" si="46"/>
        <v>F</v>
      </c>
      <c r="F112" s="81">
        <v>23</v>
      </c>
      <c r="G112" s="12" t="str">
        <f t="shared" si="47"/>
        <v>E</v>
      </c>
      <c r="H112" s="81">
        <v>43</v>
      </c>
      <c r="I112" s="12" t="str">
        <f t="shared" si="48"/>
        <v>E</v>
      </c>
      <c r="J112" s="59">
        <v>57</v>
      </c>
      <c r="K112" s="12" t="str">
        <f t="shared" si="49"/>
        <v>E</v>
      </c>
      <c r="L112" s="81">
        <v>23</v>
      </c>
      <c r="M112" s="12" t="str">
        <f t="shared" si="50"/>
        <v>E</v>
      </c>
      <c r="N112" s="81">
        <v>23</v>
      </c>
      <c r="O112" s="12" t="str">
        <f t="shared" si="51"/>
        <v>E</v>
      </c>
      <c r="P112" s="59">
        <v>49</v>
      </c>
      <c r="Q112" s="12" t="str">
        <f t="shared" si="52"/>
        <v>E</v>
      </c>
      <c r="R112" s="81">
        <v>23</v>
      </c>
      <c r="S112" s="12" t="str">
        <f t="shared" si="53"/>
        <v>E</v>
      </c>
      <c r="T112" s="81">
        <v>43</v>
      </c>
      <c r="U112" s="12" t="str">
        <f t="shared" si="54"/>
        <v>E</v>
      </c>
      <c r="V112" s="59">
        <v>62</v>
      </c>
      <c r="W112" s="12" t="str">
        <f t="shared" si="55"/>
        <v>E</v>
      </c>
      <c r="X112" s="81">
        <v>23</v>
      </c>
      <c r="Y112" s="12" t="str">
        <f t="shared" si="56"/>
        <v>E</v>
      </c>
      <c r="Z112" s="81">
        <v>20</v>
      </c>
      <c r="AA112" s="12" t="str">
        <f t="shared" si="57"/>
        <v>E</v>
      </c>
      <c r="AB112" s="59">
        <v>67</v>
      </c>
      <c r="AC112" s="12" t="str">
        <f t="shared" si="58"/>
        <v>E</v>
      </c>
      <c r="AD112" s="81">
        <v>23</v>
      </c>
      <c r="AE112" s="12" t="str">
        <f t="shared" si="59"/>
        <v>E</v>
      </c>
      <c r="AF112" s="81">
        <v>23</v>
      </c>
      <c r="AG112" s="12" t="str">
        <f t="shared" si="60"/>
        <v>E</v>
      </c>
      <c r="AH112" s="81">
        <v>23</v>
      </c>
      <c r="AI112" s="12" t="str">
        <f t="shared" si="61"/>
        <v>E</v>
      </c>
      <c r="AJ112" s="81">
        <v>22</v>
      </c>
      <c r="AK112" s="12" t="str">
        <f t="shared" si="62"/>
        <v>E</v>
      </c>
      <c r="AL112" s="14">
        <f t="shared" si="42"/>
        <v>574</v>
      </c>
      <c r="AM112" s="69" t="s">
        <v>363</v>
      </c>
      <c r="AN112" s="14">
        <f t="shared" si="44"/>
        <v>1099</v>
      </c>
      <c r="AO112" s="14" t="str">
        <f t="shared" si="45"/>
        <v>FAIL</v>
      </c>
      <c r="AP112" s="14" t="str">
        <f t="shared" si="43"/>
        <v>--</v>
      </c>
    </row>
    <row r="113" spans="2:42" ht="18" customHeight="1">
      <c r="B113" s="75">
        <v>146289</v>
      </c>
      <c r="C113" s="76" t="s">
        <v>241</v>
      </c>
      <c r="D113" s="59">
        <v>41</v>
      </c>
      <c r="E113" s="12" t="str">
        <f t="shared" si="46"/>
        <v/>
      </c>
      <c r="F113" s="81">
        <v>21</v>
      </c>
      <c r="G113" s="12" t="str">
        <f t="shared" si="47"/>
        <v/>
      </c>
      <c r="H113" s="81">
        <v>40</v>
      </c>
      <c r="I113" s="12" t="str">
        <f t="shared" si="48"/>
        <v/>
      </c>
      <c r="J113" s="59">
        <v>57</v>
      </c>
      <c r="K113" s="12" t="str">
        <f t="shared" si="49"/>
        <v/>
      </c>
      <c r="L113" s="81">
        <v>22</v>
      </c>
      <c r="M113" s="12" t="str">
        <f t="shared" si="50"/>
        <v/>
      </c>
      <c r="N113" s="81">
        <v>22</v>
      </c>
      <c r="O113" s="12" t="str">
        <f t="shared" si="51"/>
        <v/>
      </c>
      <c r="P113" s="59">
        <v>48</v>
      </c>
      <c r="Q113" s="12" t="str">
        <f t="shared" si="52"/>
        <v/>
      </c>
      <c r="R113" s="81">
        <v>21</v>
      </c>
      <c r="S113" s="12" t="str">
        <f t="shared" si="53"/>
        <v/>
      </c>
      <c r="T113" s="81">
        <v>40</v>
      </c>
      <c r="U113" s="12" t="str">
        <f t="shared" si="54"/>
        <v/>
      </c>
      <c r="V113" s="59">
        <v>56</v>
      </c>
      <c r="W113" s="12" t="str">
        <f t="shared" si="55"/>
        <v/>
      </c>
      <c r="X113" s="81">
        <v>20</v>
      </c>
      <c r="Y113" s="12" t="str">
        <f t="shared" si="56"/>
        <v/>
      </c>
      <c r="Z113" s="81">
        <v>23</v>
      </c>
      <c r="AA113" s="12" t="str">
        <f t="shared" si="57"/>
        <v/>
      </c>
      <c r="AB113" s="59">
        <v>44</v>
      </c>
      <c r="AC113" s="12" t="str">
        <f t="shared" si="58"/>
        <v/>
      </c>
      <c r="AD113" s="81">
        <v>22</v>
      </c>
      <c r="AE113" s="12" t="str">
        <f t="shared" si="59"/>
        <v/>
      </c>
      <c r="AF113" s="81">
        <v>22</v>
      </c>
      <c r="AG113" s="12" t="str">
        <f t="shared" si="60"/>
        <v/>
      </c>
      <c r="AH113" s="81">
        <v>21</v>
      </c>
      <c r="AI113" s="12" t="str">
        <f t="shared" si="61"/>
        <v/>
      </c>
      <c r="AJ113" s="81">
        <v>20</v>
      </c>
      <c r="AK113" s="12" t="str">
        <f t="shared" si="62"/>
        <v/>
      </c>
      <c r="AL113" s="14">
        <f t="shared" si="42"/>
        <v>540</v>
      </c>
      <c r="AM113" s="69" t="s">
        <v>419</v>
      </c>
      <c r="AN113" s="14">
        <f t="shared" si="44"/>
        <v>1066</v>
      </c>
      <c r="AO113" s="14" t="str">
        <f t="shared" si="45"/>
        <v>PASS</v>
      </c>
      <c r="AP113" s="14" t="str">
        <f t="shared" si="43"/>
        <v>P</v>
      </c>
    </row>
    <row r="114" spans="2:42" ht="18" customHeight="1">
      <c r="B114" s="75">
        <v>146290</v>
      </c>
      <c r="C114" s="76" t="s">
        <v>242</v>
      </c>
      <c r="D114" s="59">
        <v>40</v>
      </c>
      <c r="E114" s="12" t="str">
        <f t="shared" si="46"/>
        <v/>
      </c>
      <c r="F114" s="81">
        <v>20</v>
      </c>
      <c r="G114" s="12" t="str">
        <f t="shared" si="47"/>
        <v/>
      </c>
      <c r="H114" s="81">
        <v>40</v>
      </c>
      <c r="I114" s="12" t="str">
        <f t="shared" si="48"/>
        <v/>
      </c>
      <c r="J114" s="59">
        <v>47</v>
      </c>
      <c r="K114" s="12" t="str">
        <f t="shared" si="49"/>
        <v/>
      </c>
      <c r="L114" s="81">
        <v>20</v>
      </c>
      <c r="M114" s="12" t="str">
        <f t="shared" si="50"/>
        <v/>
      </c>
      <c r="N114" s="81">
        <v>22</v>
      </c>
      <c r="O114" s="12" t="str">
        <f t="shared" si="51"/>
        <v/>
      </c>
      <c r="P114" s="59">
        <v>41</v>
      </c>
      <c r="Q114" s="12" t="str">
        <f t="shared" si="52"/>
        <v/>
      </c>
      <c r="R114" s="81">
        <v>20</v>
      </c>
      <c r="S114" s="12" t="str">
        <f t="shared" si="53"/>
        <v/>
      </c>
      <c r="T114" s="81">
        <v>40</v>
      </c>
      <c r="U114" s="12" t="str">
        <f t="shared" si="54"/>
        <v/>
      </c>
      <c r="V114" s="59">
        <v>44</v>
      </c>
      <c r="W114" s="12" t="str">
        <f t="shared" si="55"/>
        <v/>
      </c>
      <c r="X114" s="81">
        <v>20</v>
      </c>
      <c r="Y114" s="12" t="str">
        <f t="shared" si="56"/>
        <v/>
      </c>
      <c r="Z114" s="81">
        <v>17</v>
      </c>
      <c r="AA114" s="12" t="str">
        <f t="shared" si="57"/>
        <v/>
      </c>
      <c r="AB114" s="59">
        <v>40</v>
      </c>
      <c r="AC114" s="12" t="str">
        <f t="shared" si="58"/>
        <v/>
      </c>
      <c r="AD114" s="81">
        <v>20</v>
      </c>
      <c r="AE114" s="12" t="str">
        <f t="shared" si="59"/>
        <v/>
      </c>
      <c r="AF114" s="81">
        <v>20</v>
      </c>
      <c r="AG114" s="12" t="str">
        <f t="shared" si="60"/>
        <v/>
      </c>
      <c r="AH114" s="81">
        <v>20</v>
      </c>
      <c r="AI114" s="12" t="str">
        <f t="shared" si="61"/>
        <v/>
      </c>
      <c r="AJ114" s="81">
        <v>20</v>
      </c>
      <c r="AK114" s="12" t="str">
        <f t="shared" si="62"/>
        <v/>
      </c>
      <c r="AL114" s="14">
        <f t="shared" si="42"/>
        <v>491</v>
      </c>
      <c r="AM114" s="69" t="s">
        <v>434</v>
      </c>
      <c r="AN114" s="14">
        <f t="shared" si="44"/>
        <v>968</v>
      </c>
      <c r="AO114" s="14" t="str">
        <f t="shared" si="45"/>
        <v>PASS</v>
      </c>
      <c r="AP114" s="14" t="str">
        <f t="shared" si="43"/>
        <v>P</v>
      </c>
    </row>
    <row r="115" spans="2:42" ht="18" customHeight="1">
      <c r="B115" s="75">
        <v>146291</v>
      </c>
      <c r="C115" s="76" t="s">
        <v>243</v>
      </c>
      <c r="D115" s="59">
        <v>46</v>
      </c>
      <c r="E115" s="12" t="str">
        <f t="shared" si="46"/>
        <v/>
      </c>
      <c r="F115" s="81">
        <v>22</v>
      </c>
      <c r="G115" s="12" t="str">
        <f t="shared" si="47"/>
        <v/>
      </c>
      <c r="H115" s="81">
        <v>41</v>
      </c>
      <c r="I115" s="12" t="str">
        <f t="shared" si="48"/>
        <v/>
      </c>
      <c r="J115" s="59">
        <v>47</v>
      </c>
      <c r="K115" s="12" t="str">
        <f t="shared" si="49"/>
        <v/>
      </c>
      <c r="L115" s="81">
        <v>22</v>
      </c>
      <c r="M115" s="12" t="str">
        <f t="shared" si="50"/>
        <v/>
      </c>
      <c r="N115" s="81">
        <v>22</v>
      </c>
      <c r="O115" s="12" t="str">
        <f t="shared" si="51"/>
        <v/>
      </c>
      <c r="P115" s="59">
        <v>52</v>
      </c>
      <c r="Q115" s="12" t="str">
        <f t="shared" si="52"/>
        <v/>
      </c>
      <c r="R115" s="81">
        <v>22</v>
      </c>
      <c r="S115" s="12" t="str">
        <f t="shared" si="53"/>
        <v/>
      </c>
      <c r="T115" s="81">
        <v>41</v>
      </c>
      <c r="U115" s="12" t="str">
        <f t="shared" si="54"/>
        <v/>
      </c>
      <c r="V115" s="59">
        <v>50</v>
      </c>
      <c r="W115" s="12" t="str">
        <f t="shared" si="55"/>
        <v/>
      </c>
      <c r="X115" s="81">
        <v>18</v>
      </c>
      <c r="Y115" s="12" t="str">
        <f t="shared" si="56"/>
        <v/>
      </c>
      <c r="Z115" s="81">
        <v>22</v>
      </c>
      <c r="AA115" s="12" t="str">
        <f t="shared" si="57"/>
        <v/>
      </c>
      <c r="AB115" s="59">
        <v>49</v>
      </c>
      <c r="AC115" s="12" t="str">
        <f t="shared" si="58"/>
        <v/>
      </c>
      <c r="AD115" s="81">
        <v>19</v>
      </c>
      <c r="AE115" s="12" t="str">
        <f t="shared" si="59"/>
        <v/>
      </c>
      <c r="AF115" s="81">
        <v>19</v>
      </c>
      <c r="AG115" s="12" t="str">
        <f t="shared" si="60"/>
        <v/>
      </c>
      <c r="AH115" s="81">
        <v>21</v>
      </c>
      <c r="AI115" s="12" t="str">
        <f t="shared" si="61"/>
        <v/>
      </c>
      <c r="AJ115" s="81">
        <v>21</v>
      </c>
      <c r="AK115" s="12" t="str">
        <f t="shared" si="62"/>
        <v/>
      </c>
      <c r="AL115" s="14">
        <f t="shared" si="42"/>
        <v>534</v>
      </c>
      <c r="AM115" s="69" t="s">
        <v>435</v>
      </c>
      <c r="AN115" s="14">
        <f t="shared" si="44"/>
        <v>1051</v>
      </c>
      <c r="AO115" s="14" t="str">
        <f t="shared" si="45"/>
        <v>PASS</v>
      </c>
      <c r="AP115" s="14" t="str">
        <f t="shared" si="43"/>
        <v>P</v>
      </c>
    </row>
    <row r="116" spans="2:42" ht="18" customHeight="1">
      <c r="B116" s="75">
        <v>146292</v>
      </c>
      <c r="C116" s="76" t="s">
        <v>316</v>
      </c>
      <c r="D116" s="59" t="s">
        <v>449</v>
      </c>
      <c r="E116" s="12" t="str">
        <f t="shared" si="46"/>
        <v/>
      </c>
      <c r="F116" s="81">
        <v>23</v>
      </c>
      <c r="G116" s="12" t="str">
        <f t="shared" si="47"/>
        <v/>
      </c>
      <c r="H116" s="81">
        <v>42</v>
      </c>
      <c r="I116" s="12" t="str">
        <f t="shared" si="48"/>
        <v/>
      </c>
      <c r="J116" s="59">
        <v>46</v>
      </c>
      <c r="K116" s="12" t="str">
        <f t="shared" si="49"/>
        <v/>
      </c>
      <c r="L116" s="81">
        <v>22</v>
      </c>
      <c r="M116" s="12" t="str">
        <f t="shared" si="50"/>
        <v/>
      </c>
      <c r="N116" s="81">
        <v>22</v>
      </c>
      <c r="O116" s="12" t="str">
        <f t="shared" si="51"/>
        <v/>
      </c>
      <c r="P116" s="59">
        <v>58</v>
      </c>
      <c r="Q116" s="12" t="str">
        <f t="shared" si="52"/>
        <v/>
      </c>
      <c r="R116" s="81">
        <v>23</v>
      </c>
      <c r="S116" s="12" t="str">
        <f t="shared" si="53"/>
        <v/>
      </c>
      <c r="T116" s="81">
        <v>42</v>
      </c>
      <c r="U116" s="12" t="str">
        <f t="shared" si="54"/>
        <v/>
      </c>
      <c r="V116" s="59">
        <v>46</v>
      </c>
      <c r="W116" s="12" t="str">
        <f t="shared" si="55"/>
        <v/>
      </c>
      <c r="X116" s="81">
        <v>22</v>
      </c>
      <c r="Y116" s="12" t="str">
        <f t="shared" si="56"/>
        <v/>
      </c>
      <c r="Z116" s="81">
        <v>23</v>
      </c>
      <c r="AA116" s="12" t="str">
        <f t="shared" si="57"/>
        <v/>
      </c>
      <c r="AB116" s="59">
        <v>51</v>
      </c>
      <c r="AC116" s="12" t="str">
        <f t="shared" si="58"/>
        <v/>
      </c>
      <c r="AD116" s="81">
        <v>22</v>
      </c>
      <c r="AE116" s="12" t="str">
        <f t="shared" si="59"/>
        <v/>
      </c>
      <c r="AF116" s="81">
        <v>22</v>
      </c>
      <c r="AG116" s="12" t="str">
        <f t="shared" si="60"/>
        <v/>
      </c>
      <c r="AH116" s="81">
        <v>21</v>
      </c>
      <c r="AI116" s="12" t="str">
        <f t="shared" si="61"/>
        <v/>
      </c>
      <c r="AJ116" s="81">
        <v>21</v>
      </c>
      <c r="AK116" s="12" t="str">
        <f t="shared" si="62"/>
        <v/>
      </c>
      <c r="AL116" s="14" t="s">
        <v>455</v>
      </c>
      <c r="AM116" s="69" t="s">
        <v>147</v>
      </c>
      <c r="AN116" s="14">
        <f t="shared" si="44"/>
        <v>1022</v>
      </c>
      <c r="AO116" s="14" t="str">
        <f t="shared" si="45"/>
        <v>PASS</v>
      </c>
      <c r="AP116" s="14" t="str">
        <f t="shared" si="43"/>
        <v>I</v>
      </c>
    </row>
    <row r="117" spans="2:42" ht="18" customHeight="1">
      <c r="B117" s="75">
        <v>146293</v>
      </c>
      <c r="C117" s="76" t="s">
        <v>244</v>
      </c>
      <c r="D117" s="59">
        <v>47</v>
      </c>
      <c r="E117" s="12" t="str">
        <f t="shared" si="46"/>
        <v/>
      </c>
      <c r="F117" s="81">
        <v>23</v>
      </c>
      <c r="G117" s="12" t="str">
        <f t="shared" si="47"/>
        <v/>
      </c>
      <c r="H117" s="81">
        <v>42</v>
      </c>
      <c r="I117" s="12" t="str">
        <f t="shared" si="48"/>
        <v/>
      </c>
      <c r="J117" s="59">
        <v>40</v>
      </c>
      <c r="K117" s="12" t="str">
        <f t="shared" si="49"/>
        <v/>
      </c>
      <c r="L117" s="81">
        <v>22</v>
      </c>
      <c r="M117" s="12" t="str">
        <f t="shared" si="50"/>
        <v/>
      </c>
      <c r="N117" s="81">
        <v>23</v>
      </c>
      <c r="O117" s="12" t="str">
        <f t="shared" si="51"/>
        <v/>
      </c>
      <c r="P117" s="59">
        <v>49</v>
      </c>
      <c r="Q117" s="12" t="str">
        <f t="shared" si="52"/>
        <v/>
      </c>
      <c r="R117" s="81">
        <v>23</v>
      </c>
      <c r="S117" s="12" t="str">
        <f t="shared" si="53"/>
        <v/>
      </c>
      <c r="T117" s="81">
        <v>42</v>
      </c>
      <c r="U117" s="12" t="str">
        <f t="shared" si="54"/>
        <v/>
      </c>
      <c r="V117" s="59">
        <v>55</v>
      </c>
      <c r="W117" s="12" t="str">
        <f t="shared" si="55"/>
        <v/>
      </c>
      <c r="X117" s="81">
        <v>22</v>
      </c>
      <c r="Y117" s="12" t="str">
        <f t="shared" si="56"/>
        <v/>
      </c>
      <c r="Z117" s="81">
        <v>19</v>
      </c>
      <c r="AA117" s="12" t="str">
        <f t="shared" si="57"/>
        <v/>
      </c>
      <c r="AB117" s="59">
        <v>40</v>
      </c>
      <c r="AC117" s="12" t="str">
        <f t="shared" si="58"/>
        <v/>
      </c>
      <c r="AD117" s="81">
        <v>22</v>
      </c>
      <c r="AE117" s="12" t="str">
        <f t="shared" si="59"/>
        <v/>
      </c>
      <c r="AF117" s="81">
        <v>22</v>
      </c>
      <c r="AG117" s="12" t="str">
        <f t="shared" si="60"/>
        <v/>
      </c>
      <c r="AH117" s="81">
        <v>22</v>
      </c>
      <c r="AI117" s="12" t="str">
        <f t="shared" si="61"/>
        <v/>
      </c>
      <c r="AJ117" s="81">
        <v>22</v>
      </c>
      <c r="AK117" s="12" t="str">
        <f t="shared" si="62"/>
        <v/>
      </c>
      <c r="AL117" s="14">
        <f t="shared" si="42"/>
        <v>535</v>
      </c>
      <c r="AM117" s="69" t="s">
        <v>436</v>
      </c>
      <c r="AN117" s="14">
        <f t="shared" si="44"/>
        <v>1078</v>
      </c>
      <c r="AO117" s="14" t="str">
        <f t="shared" si="45"/>
        <v>PASS</v>
      </c>
      <c r="AP117" s="14" t="str">
        <f t="shared" si="43"/>
        <v>P</v>
      </c>
    </row>
    <row r="118" spans="2:42" ht="18" customHeight="1">
      <c r="B118" s="75">
        <v>146294</v>
      </c>
      <c r="C118" s="76" t="s">
        <v>317</v>
      </c>
      <c r="D118" s="59">
        <v>40</v>
      </c>
      <c r="E118" s="12" t="str">
        <f t="shared" si="46"/>
        <v/>
      </c>
      <c r="F118" s="81">
        <v>23</v>
      </c>
      <c r="G118" s="12" t="str">
        <f t="shared" si="47"/>
        <v/>
      </c>
      <c r="H118" s="81">
        <v>46</v>
      </c>
      <c r="I118" s="12" t="str">
        <f t="shared" si="48"/>
        <v/>
      </c>
      <c r="J118" s="59">
        <v>42</v>
      </c>
      <c r="K118" s="12" t="str">
        <f t="shared" si="49"/>
        <v/>
      </c>
      <c r="L118" s="81">
        <v>23</v>
      </c>
      <c r="M118" s="12" t="str">
        <f t="shared" si="50"/>
        <v/>
      </c>
      <c r="N118" s="81">
        <v>22</v>
      </c>
      <c r="O118" s="12" t="str">
        <f t="shared" si="51"/>
        <v/>
      </c>
      <c r="P118" s="59">
        <v>57</v>
      </c>
      <c r="Q118" s="12" t="str">
        <f t="shared" si="52"/>
        <v/>
      </c>
      <c r="R118" s="81">
        <v>23</v>
      </c>
      <c r="S118" s="12" t="str">
        <f t="shared" si="53"/>
        <v/>
      </c>
      <c r="T118" s="81">
        <v>46</v>
      </c>
      <c r="U118" s="12" t="str">
        <f t="shared" si="54"/>
        <v/>
      </c>
      <c r="V118" s="59">
        <v>49</v>
      </c>
      <c r="W118" s="12" t="str">
        <f t="shared" si="55"/>
        <v/>
      </c>
      <c r="X118" s="81">
        <v>21</v>
      </c>
      <c r="Y118" s="12" t="str">
        <f t="shared" si="56"/>
        <v/>
      </c>
      <c r="Z118" s="81">
        <v>23</v>
      </c>
      <c r="AA118" s="12" t="str">
        <f t="shared" si="57"/>
        <v/>
      </c>
      <c r="AB118" s="59">
        <v>40</v>
      </c>
      <c r="AC118" s="12" t="str">
        <f t="shared" si="58"/>
        <v/>
      </c>
      <c r="AD118" s="81">
        <v>20</v>
      </c>
      <c r="AE118" s="12" t="str">
        <f t="shared" si="59"/>
        <v/>
      </c>
      <c r="AF118" s="81">
        <v>20</v>
      </c>
      <c r="AG118" s="12" t="str">
        <f t="shared" si="60"/>
        <v/>
      </c>
      <c r="AH118" s="81">
        <v>22</v>
      </c>
      <c r="AI118" s="12" t="str">
        <f t="shared" si="61"/>
        <v/>
      </c>
      <c r="AJ118" s="81">
        <v>22</v>
      </c>
      <c r="AK118" s="12" t="str">
        <f t="shared" si="62"/>
        <v/>
      </c>
      <c r="AL118" s="14">
        <f t="shared" si="42"/>
        <v>539</v>
      </c>
      <c r="AM118" s="69">
        <v>0</v>
      </c>
      <c r="AN118" s="14">
        <f t="shared" si="44"/>
        <v>539</v>
      </c>
      <c r="AO118" s="14" t="str">
        <f t="shared" si="45"/>
        <v>PASS</v>
      </c>
      <c r="AP118" s="14" t="str">
        <f t="shared" si="43"/>
        <v>RS 5</v>
      </c>
    </row>
    <row r="119" spans="2:42" ht="18" customHeight="1">
      <c r="B119" s="75">
        <v>146295</v>
      </c>
      <c r="C119" s="76" t="s">
        <v>318</v>
      </c>
      <c r="D119" s="59">
        <v>66</v>
      </c>
      <c r="E119" s="12" t="str">
        <f t="shared" si="46"/>
        <v/>
      </c>
      <c r="F119" s="81">
        <v>22</v>
      </c>
      <c r="G119" s="12" t="str">
        <f t="shared" si="47"/>
        <v/>
      </c>
      <c r="H119" s="81">
        <v>41</v>
      </c>
      <c r="I119" s="12" t="str">
        <f t="shared" si="48"/>
        <v/>
      </c>
      <c r="J119" s="59">
        <v>52</v>
      </c>
      <c r="K119" s="12" t="str">
        <f t="shared" si="49"/>
        <v/>
      </c>
      <c r="L119" s="81">
        <v>22</v>
      </c>
      <c r="M119" s="12" t="str">
        <f t="shared" si="50"/>
        <v/>
      </c>
      <c r="N119" s="81">
        <v>22</v>
      </c>
      <c r="O119" s="12" t="str">
        <f t="shared" si="51"/>
        <v/>
      </c>
      <c r="P119" s="59">
        <v>67</v>
      </c>
      <c r="Q119" s="12" t="str">
        <f t="shared" si="52"/>
        <v/>
      </c>
      <c r="R119" s="81">
        <v>22</v>
      </c>
      <c r="S119" s="12" t="str">
        <f t="shared" si="53"/>
        <v/>
      </c>
      <c r="T119" s="81">
        <v>41</v>
      </c>
      <c r="U119" s="12" t="str">
        <f t="shared" si="54"/>
        <v/>
      </c>
      <c r="V119" s="59">
        <v>49</v>
      </c>
      <c r="W119" s="12" t="str">
        <f t="shared" si="55"/>
        <v/>
      </c>
      <c r="X119" s="81">
        <v>22</v>
      </c>
      <c r="Y119" s="12" t="str">
        <f t="shared" si="56"/>
        <v/>
      </c>
      <c r="Z119" s="81">
        <v>22</v>
      </c>
      <c r="AA119" s="12" t="str">
        <f t="shared" si="57"/>
        <v/>
      </c>
      <c r="AB119" s="59">
        <v>53</v>
      </c>
      <c r="AC119" s="12" t="str">
        <f t="shared" si="58"/>
        <v/>
      </c>
      <c r="AD119" s="81">
        <v>20</v>
      </c>
      <c r="AE119" s="12" t="str">
        <f t="shared" si="59"/>
        <v/>
      </c>
      <c r="AF119" s="81">
        <v>20</v>
      </c>
      <c r="AG119" s="12" t="str">
        <f t="shared" si="60"/>
        <v/>
      </c>
      <c r="AH119" s="81">
        <v>22</v>
      </c>
      <c r="AI119" s="12" t="str">
        <f t="shared" si="61"/>
        <v/>
      </c>
      <c r="AJ119" s="81">
        <v>22</v>
      </c>
      <c r="AK119" s="12" t="str">
        <f t="shared" si="62"/>
        <v/>
      </c>
      <c r="AL119" s="14">
        <f t="shared" si="42"/>
        <v>585</v>
      </c>
      <c r="AM119" s="69" t="s">
        <v>395</v>
      </c>
      <c r="AN119" s="14">
        <f t="shared" si="44"/>
        <v>1107</v>
      </c>
      <c r="AO119" s="14" t="str">
        <f t="shared" si="45"/>
        <v>PASS</v>
      </c>
      <c r="AP119" s="14" t="str">
        <f t="shared" si="43"/>
        <v>I</v>
      </c>
    </row>
    <row r="120" spans="2:42" ht="18" customHeight="1">
      <c r="B120" s="75">
        <v>146296</v>
      </c>
      <c r="C120" s="76" t="s">
        <v>319</v>
      </c>
      <c r="D120" s="59">
        <v>69</v>
      </c>
      <c r="E120" s="12" t="str">
        <f t="shared" si="46"/>
        <v/>
      </c>
      <c r="F120" s="81">
        <v>24</v>
      </c>
      <c r="G120" s="12" t="str">
        <f t="shared" si="47"/>
        <v/>
      </c>
      <c r="H120" s="81">
        <v>47</v>
      </c>
      <c r="I120" s="12" t="str">
        <f t="shared" si="48"/>
        <v/>
      </c>
      <c r="J120" s="59">
        <v>75</v>
      </c>
      <c r="K120" s="12" t="str">
        <f t="shared" si="49"/>
        <v/>
      </c>
      <c r="L120" s="81">
        <v>22</v>
      </c>
      <c r="M120" s="12" t="str">
        <f t="shared" si="50"/>
        <v/>
      </c>
      <c r="N120" s="81">
        <v>23</v>
      </c>
      <c r="O120" s="12" t="str">
        <f t="shared" si="51"/>
        <v/>
      </c>
      <c r="P120" s="59">
        <v>70</v>
      </c>
      <c r="Q120" s="12" t="str">
        <f t="shared" si="52"/>
        <v/>
      </c>
      <c r="R120" s="81">
        <v>22</v>
      </c>
      <c r="S120" s="12" t="str">
        <f t="shared" si="53"/>
        <v/>
      </c>
      <c r="T120" s="81">
        <v>47</v>
      </c>
      <c r="U120" s="12" t="str">
        <f t="shared" si="54"/>
        <v/>
      </c>
      <c r="V120" s="59">
        <v>84</v>
      </c>
      <c r="W120" s="12" t="str">
        <f t="shared" si="55"/>
        <v/>
      </c>
      <c r="X120" s="81">
        <v>23</v>
      </c>
      <c r="Y120" s="12" t="str">
        <f t="shared" si="56"/>
        <v/>
      </c>
      <c r="Z120" s="81">
        <v>21</v>
      </c>
      <c r="AA120" s="12" t="str">
        <f t="shared" si="57"/>
        <v/>
      </c>
      <c r="AB120" s="59">
        <v>62</v>
      </c>
      <c r="AC120" s="12" t="str">
        <f t="shared" si="58"/>
        <v/>
      </c>
      <c r="AD120" s="81">
        <v>24</v>
      </c>
      <c r="AE120" s="12" t="str">
        <f t="shared" si="59"/>
        <v/>
      </c>
      <c r="AF120" s="81">
        <v>24</v>
      </c>
      <c r="AG120" s="12" t="str">
        <f t="shared" si="60"/>
        <v/>
      </c>
      <c r="AH120" s="81">
        <v>21</v>
      </c>
      <c r="AI120" s="12" t="str">
        <f t="shared" si="61"/>
        <v/>
      </c>
      <c r="AJ120" s="81">
        <v>21</v>
      </c>
      <c r="AK120" s="12" t="str">
        <f t="shared" si="62"/>
        <v/>
      </c>
      <c r="AL120" s="14">
        <f t="shared" si="42"/>
        <v>679</v>
      </c>
      <c r="AM120" s="69" t="s">
        <v>396</v>
      </c>
      <c r="AN120" s="14">
        <f t="shared" si="44"/>
        <v>1284</v>
      </c>
      <c r="AO120" s="14" t="str">
        <f t="shared" si="45"/>
        <v>PASS</v>
      </c>
      <c r="AP120" s="14" t="str">
        <f t="shared" si="43"/>
        <v>I</v>
      </c>
    </row>
    <row r="121" spans="2:42" ht="18" customHeight="1">
      <c r="B121" s="75">
        <v>146297</v>
      </c>
      <c r="C121" s="76" t="s">
        <v>320</v>
      </c>
      <c r="D121" s="59">
        <v>56</v>
      </c>
      <c r="E121" s="12" t="str">
        <f t="shared" si="46"/>
        <v/>
      </c>
      <c r="F121" s="81">
        <v>23</v>
      </c>
      <c r="G121" s="12" t="str">
        <f t="shared" si="47"/>
        <v/>
      </c>
      <c r="H121" s="81">
        <v>44</v>
      </c>
      <c r="I121" s="12" t="str">
        <f t="shared" si="48"/>
        <v/>
      </c>
      <c r="J121" s="59">
        <v>55</v>
      </c>
      <c r="K121" s="12" t="str">
        <f t="shared" si="49"/>
        <v/>
      </c>
      <c r="L121" s="81">
        <v>23</v>
      </c>
      <c r="M121" s="12" t="str">
        <f t="shared" si="50"/>
        <v/>
      </c>
      <c r="N121" s="81">
        <v>23</v>
      </c>
      <c r="O121" s="12" t="str">
        <f t="shared" si="51"/>
        <v/>
      </c>
      <c r="P121" s="59">
        <v>56</v>
      </c>
      <c r="Q121" s="12" t="str">
        <f t="shared" si="52"/>
        <v/>
      </c>
      <c r="R121" s="81">
        <v>19</v>
      </c>
      <c r="S121" s="12" t="str">
        <f t="shared" si="53"/>
        <v/>
      </c>
      <c r="T121" s="81">
        <v>44</v>
      </c>
      <c r="U121" s="12" t="str">
        <f t="shared" si="54"/>
        <v/>
      </c>
      <c r="V121" s="59">
        <v>62</v>
      </c>
      <c r="W121" s="12" t="str">
        <f t="shared" si="55"/>
        <v/>
      </c>
      <c r="X121" s="81">
        <v>20</v>
      </c>
      <c r="Y121" s="12" t="str">
        <f t="shared" si="56"/>
        <v/>
      </c>
      <c r="Z121" s="81">
        <v>20</v>
      </c>
      <c r="AA121" s="12" t="str">
        <f t="shared" si="57"/>
        <v/>
      </c>
      <c r="AB121" s="59">
        <v>57</v>
      </c>
      <c r="AC121" s="12" t="str">
        <f t="shared" si="58"/>
        <v/>
      </c>
      <c r="AD121" s="81">
        <v>20</v>
      </c>
      <c r="AE121" s="12" t="str">
        <f t="shared" si="59"/>
        <v/>
      </c>
      <c r="AF121" s="81">
        <v>20</v>
      </c>
      <c r="AG121" s="12" t="str">
        <f t="shared" si="60"/>
        <v/>
      </c>
      <c r="AH121" s="81">
        <v>21</v>
      </c>
      <c r="AI121" s="12" t="str">
        <f t="shared" si="61"/>
        <v/>
      </c>
      <c r="AJ121" s="81">
        <v>21</v>
      </c>
      <c r="AK121" s="12" t="str">
        <f t="shared" si="62"/>
        <v/>
      </c>
      <c r="AL121" s="14">
        <f t="shared" si="42"/>
        <v>584</v>
      </c>
      <c r="AM121" s="69" t="s">
        <v>397</v>
      </c>
      <c r="AN121" s="14">
        <f t="shared" si="44"/>
        <v>1104</v>
      </c>
      <c r="AO121" s="14" t="str">
        <f t="shared" si="45"/>
        <v>PASS</v>
      </c>
      <c r="AP121" s="14" t="str">
        <f t="shared" si="43"/>
        <v>I</v>
      </c>
    </row>
    <row r="122" spans="2:42" ht="18" customHeight="1">
      <c r="B122" s="75">
        <v>146298</v>
      </c>
      <c r="C122" s="76" t="s">
        <v>245</v>
      </c>
      <c r="D122" s="59">
        <v>61</v>
      </c>
      <c r="E122" s="12" t="str">
        <f t="shared" si="46"/>
        <v/>
      </c>
      <c r="F122" s="81">
        <v>23</v>
      </c>
      <c r="G122" s="12" t="str">
        <f t="shared" si="47"/>
        <v/>
      </c>
      <c r="H122" s="81">
        <v>39</v>
      </c>
      <c r="I122" s="12" t="str">
        <f t="shared" si="48"/>
        <v/>
      </c>
      <c r="J122" s="59">
        <v>77</v>
      </c>
      <c r="K122" s="12" t="str">
        <f t="shared" si="49"/>
        <v/>
      </c>
      <c r="L122" s="81">
        <v>23</v>
      </c>
      <c r="M122" s="12" t="str">
        <f t="shared" si="50"/>
        <v/>
      </c>
      <c r="N122" s="81">
        <v>20</v>
      </c>
      <c r="O122" s="12" t="str">
        <f t="shared" si="51"/>
        <v/>
      </c>
      <c r="P122" s="59">
        <v>68</v>
      </c>
      <c r="Q122" s="12" t="str">
        <f t="shared" si="52"/>
        <v/>
      </c>
      <c r="R122" s="81">
        <v>20</v>
      </c>
      <c r="S122" s="12" t="str">
        <f t="shared" si="53"/>
        <v/>
      </c>
      <c r="T122" s="81">
        <v>39</v>
      </c>
      <c r="U122" s="12" t="str">
        <f t="shared" si="54"/>
        <v/>
      </c>
      <c r="V122" s="59">
        <v>55</v>
      </c>
      <c r="W122" s="12" t="str">
        <f t="shared" si="55"/>
        <v/>
      </c>
      <c r="X122" s="81">
        <v>22</v>
      </c>
      <c r="Y122" s="12" t="str">
        <f t="shared" si="56"/>
        <v/>
      </c>
      <c r="Z122" s="81">
        <v>22</v>
      </c>
      <c r="AA122" s="12" t="str">
        <f t="shared" si="57"/>
        <v/>
      </c>
      <c r="AB122" s="59">
        <v>44</v>
      </c>
      <c r="AC122" s="12" t="str">
        <f t="shared" si="58"/>
        <v/>
      </c>
      <c r="AD122" s="81">
        <v>22</v>
      </c>
      <c r="AE122" s="12" t="str">
        <f t="shared" si="59"/>
        <v/>
      </c>
      <c r="AF122" s="81">
        <v>23</v>
      </c>
      <c r="AG122" s="12" t="str">
        <f t="shared" si="60"/>
        <v/>
      </c>
      <c r="AH122" s="81">
        <v>22</v>
      </c>
      <c r="AI122" s="12" t="str">
        <f t="shared" si="61"/>
        <v/>
      </c>
      <c r="AJ122" s="81">
        <v>22</v>
      </c>
      <c r="AK122" s="12" t="str">
        <f t="shared" si="62"/>
        <v/>
      </c>
      <c r="AL122" s="14">
        <f t="shared" si="42"/>
        <v>602</v>
      </c>
      <c r="AM122" s="69" t="s">
        <v>437</v>
      </c>
      <c r="AN122" s="14">
        <f t="shared" si="44"/>
        <v>1135</v>
      </c>
      <c r="AO122" s="14" t="str">
        <f t="shared" si="45"/>
        <v>PASS</v>
      </c>
      <c r="AP122" s="14" t="str">
        <f t="shared" si="43"/>
        <v>I</v>
      </c>
    </row>
    <row r="123" spans="2:42" ht="18" customHeight="1">
      <c r="B123" s="75">
        <v>146299</v>
      </c>
      <c r="C123" s="76" t="s">
        <v>246</v>
      </c>
      <c r="D123" s="59">
        <v>56</v>
      </c>
      <c r="E123" s="12" t="str">
        <f t="shared" si="46"/>
        <v/>
      </c>
      <c r="F123" s="81">
        <v>20</v>
      </c>
      <c r="G123" s="12" t="str">
        <f t="shared" si="47"/>
        <v/>
      </c>
      <c r="H123" s="81">
        <v>42</v>
      </c>
      <c r="I123" s="12" t="str">
        <f t="shared" si="48"/>
        <v/>
      </c>
      <c r="J123" s="59">
        <v>68</v>
      </c>
      <c r="K123" s="12" t="str">
        <f t="shared" si="49"/>
        <v/>
      </c>
      <c r="L123" s="81">
        <v>20</v>
      </c>
      <c r="M123" s="12" t="str">
        <f t="shared" si="50"/>
        <v/>
      </c>
      <c r="N123" s="81">
        <v>21</v>
      </c>
      <c r="O123" s="12" t="str">
        <f t="shared" si="51"/>
        <v/>
      </c>
      <c r="P123" s="59">
        <v>65</v>
      </c>
      <c r="Q123" s="12" t="str">
        <f t="shared" si="52"/>
        <v/>
      </c>
      <c r="R123" s="81">
        <v>18</v>
      </c>
      <c r="S123" s="12" t="str">
        <f t="shared" si="53"/>
        <v/>
      </c>
      <c r="T123" s="81">
        <v>42</v>
      </c>
      <c r="U123" s="12" t="str">
        <f t="shared" si="54"/>
        <v/>
      </c>
      <c r="V123" s="59">
        <v>61</v>
      </c>
      <c r="W123" s="12" t="str">
        <f t="shared" si="55"/>
        <v/>
      </c>
      <c r="X123" s="81">
        <v>21</v>
      </c>
      <c r="Y123" s="12" t="str">
        <f t="shared" si="56"/>
        <v/>
      </c>
      <c r="Z123" s="81">
        <v>21</v>
      </c>
      <c r="AA123" s="12" t="str">
        <f t="shared" si="57"/>
        <v/>
      </c>
      <c r="AB123" s="59">
        <v>62</v>
      </c>
      <c r="AC123" s="12" t="str">
        <f t="shared" si="58"/>
        <v/>
      </c>
      <c r="AD123" s="81">
        <v>21</v>
      </c>
      <c r="AE123" s="12" t="str">
        <f t="shared" si="59"/>
        <v/>
      </c>
      <c r="AF123" s="81">
        <v>19</v>
      </c>
      <c r="AG123" s="12" t="str">
        <f t="shared" si="60"/>
        <v/>
      </c>
      <c r="AH123" s="81">
        <v>20</v>
      </c>
      <c r="AI123" s="12" t="str">
        <f t="shared" si="61"/>
        <v/>
      </c>
      <c r="AJ123" s="81">
        <v>20</v>
      </c>
      <c r="AK123" s="12" t="str">
        <f t="shared" si="62"/>
        <v/>
      </c>
      <c r="AL123" s="14">
        <f t="shared" si="42"/>
        <v>597</v>
      </c>
      <c r="AM123" s="69" t="s">
        <v>398</v>
      </c>
      <c r="AN123" s="14">
        <f t="shared" si="44"/>
        <v>1086</v>
      </c>
      <c r="AO123" s="14" t="str">
        <f t="shared" si="45"/>
        <v>PASS</v>
      </c>
      <c r="AP123" s="14" t="str">
        <f t="shared" si="43"/>
        <v>I</v>
      </c>
    </row>
    <row r="124" spans="2:42" ht="18" customHeight="1">
      <c r="B124" s="75">
        <v>146300</v>
      </c>
      <c r="C124" s="76" t="s">
        <v>321</v>
      </c>
      <c r="D124" s="59">
        <v>70</v>
      </c>
      <c r="E124" s="12" t="str">
        <f t="shared" si="46"/>
        <v/>
      </c>
      <c r="F124" s="81">
        <v>21</v>
      </c>
      <c r="G124" s="12" t="str">
        <f t="shared" si="47"/>
        <v/>
      </c>
      <c r="H124" s="81">
        <v>47</v>
      </c>
      <c r="I124" s="12" t="str">
        <f t="shared" si="48"/>
        <v/>
      </c>
      <c r="J124" s="59">
        <v>57</v>
      </c>
      <c r="K124" s="12" t="str">
        <f t="shared" si="49"/>
        <v/>
      </c>
      <c r="L124" s="81">
        <v>21</v>
      </c>
      <c r="M124" s="12" t="str">
        <f t="shared" si="50"/>
        <v/>
      </c>
      <c r="N124" s="81">
        <v>22</v>
      </c>
      <c r="O124" s="12" t="str">
        <f t="shared" si="51"/>
        <v/>
      </c>
      <c r="P124" s="59">
        <v>61</v>
      </c>
      <c r="Q124" s="12" t="str">
        <f t="shared" si="52"/>
        <v/>
      </c>
      <c r="R124" s="81">
        <v>24</v>
      </c>
      <c r="S124" s="12" t="str">
        <f t="shared" si="53"/>
        <v/>
      </c>
      <c r="T124" s="81">
        <v>47</v>
      </c>
      <c r="U124" s="12" t="str">
        <f t="shared" si="54"/>
        <v/>
      </c>
      <c r="V124" s="59">
        <v>64</v>
      </c>
      <c r="W124" s="12" t="str">
        <f t="shared" si="55"/>
        <v/>
      </c>
      <c r="X124" s="81">
        <v>22</v>
      </c>
      <c r="Y124" s="12" t="str">
        <f t="shared" si="56"/>
        <v/>
      </c>
      <c r="Z124" s="81">
        <v>20</v>
      </c>
      <c r="AA124" s="12" t="str">
        <f t="shared" si="57"/>
        <v/>
      </c>
      <c r="AB124" s="59">
        <v>57</v>
      </c>
      <c r="AC124" s="12" t="str">
        <f t="shared" si="58"/>
        <v/>
      </c>
      <c r="AD124" s="81">
        <v>24</v>
      </c>
      <c r="AE124" s="12" t="str">
        <f t="shared" si="59"/>
        <v/>
      </c>
      <c r="AF124" s="81">
        <v>23</v>
      </c>
      <c r="AG124" s="12" t="str">
        <f t="shared" si="60"/>
        <v/>
      </c>
      <c r="AH124" s="81">
        <v>21</v>
      </c>
      <c r="AI124" s="12" t="str">
        <f t="shared" si="61"/>
        <v/>
      </c>
      <c r="AJ124" s="81">
        <v>21</v>
      </c>
      <c r="AK124" s="12" t="str">
        <f t="shared" si="62"/>
        <v/>
      </c>
      <c r="AL124" s="14">
        <f t="shared" si="42"/>
        <v>622</v>
      </c>
      <c r="AM124" s="69" t="s">
        <v>392</v>
      </c>
      <c r="AN124" s="14">
        <f t="shared" si="44"/>
        <v>1225</v>
      </c>
      <c r="AO124" s="14" t="str">
        <f t="shared" si="45"/>
        <v>PASS</v>
      </c>
      <c r="AP124" s="14" t="str">
        <f t="shared" si="43"/>
        <v>I</v>
      </c>
    </row>
    <row r="125" spans="2:42" ht="18" customHeight="1">
      <c r="B125" s="75">
        <v>146301</v>
      </c>
      <c r="C125" s="76" t="s">
        <v>247</v>
      </c>
      <c r="D125" s="59">
        <v>54</v>
      </c>
      <c r="E125" s="12" t="str">
        <f t="shared" si="46"/>
        <v/>
      </c>
      <c r="F125" s="81">
        <v>22</v>
      </c>
      <c r="G125" s="12" t="str">
        <f t="shared" si="47"/>
        <v/>
      </c>
      <c r="H125" s="81">
        <v>47</v>
      </c>
      <c r="I125" s="12" t="str">
        <f t="shared" si="48"/>
        <v/>
      </c>
      <c r="J125" s="59">
        <v>63</v>
      </c>
      <c r="K125" s="12" t="str">
        <f t="shared" si="49"/>
        <v/>
      </c>
      <c r="L125" s="81">
        <v>22</v>
      </c>
      <c r="M125" s="12" t="str">
        <f t="shared" si="50"/>
        <v/>
      </c>
      <c r="N125" s="81">
        <v>20</v>
      </c>
      <c r="O125" s="12" t="str">
        <f t="shared" si="51"/>
        <v/>
      </c>
      <c r="P125" s="59">
        <v>61</v>
      </c>
      <c r="Q125" s="12" t="str">
        <f t="shared" si="52"/>
        <v/>
      </c>
      <c r="R125" s="81">
        <v>20</v>
      </c>
      <c r="S125" s="12" t="str">
        <f t="shared" si="53"/>
        <v/>
      </c>
      <c r="T125" s="81">
        <v>47</v>
      </c>
      <c r="U125" s="12" t="str">
        <f t="shared" si="54"/>
        <v/>
      </c>
      <c r="V125" s="59">
        <v>56</v>
      </c>
      <c r="W125" s="12" t="str">
        <f t="shared" si="55"/>
        <v/>
      </c>
      <c r="X125" s="81">
        <v>21</v>
      </c>
      <c r="Y125" s="12" t="str">
        <f t="shared" si="56"/>
        <v/>
      </c>
      <c r="Z125" s="81">
        <v>23</v>
      </c>
      <c r="AA125" s="12" t="str">
        <f t="shared" si="57"/>
        <v/>
      </c>
      <c r="AB125" s="59">
        <v>51</v>
      </c>
      <c r="AC125" s="12" t="str">
        <f t="shared" si="58"/>
        <v/>
      </c>
      <c r="AD125" s="81">
        <v>23</v>
      </c>
      <c r="AE125" s="12" t="str">
        <f t="shared" si="59"/>
        <v/>
      </c>
      <c r="AF125" s="81">
        <v>23</v>
      </c>
      <c r="AG125" s="12" t="str">
        <f t="shared" si="60"/>
        <v/>
      </c>
      <c r="AH125" s="81">
        <v>22</v>
      </c>
      <c r="AI125" s="12" t="str">
        <f t="shared" si="61"/>
        <v/>
      </c>
      <c r="AJ125" s="81">
        <v>22</v>
      </c>
      <c r="AK125" s="12" t="str">
        <f t="shared" si="62"/>
        <v/>
      </c>
      <c r="AL125" s="14">
        <f t="shared" si="42"/>
        <v>597</v>
      </c>
      <c r="AM125" s="69" t="s">
        <v>374</v>
      </c>
      <c r="AN125" s="14">
        <f t="shared" si="44"/>
        <v>1132</v>
      </c>
      <c r="AO125" s="14" t="str">
        <f t="shared" si="45"/>
        <v>PASS</v>
      </c>
      <c r="AP125" s="14" t="str">
        <f t="shared" si="43"/>
        <v>I</v>
      </c>
    </row>
    <row r="126" spans="2:42" ht="18" customHeight="1">
      <c r="B126" s="75">
        <v>146302</v>
      </c>
      <c r="C126" s="77" t="s">
        <v>322</v>
      </c>
      <c r="D126" s="59">
        <v>53</v>
      </c>
      <c r="E126" s="12" t="str">
        <f t="shared" si="46"/>
        <v/>
      </c>
      <c r="F126" s="81">
        <v>19</v>
      </c>
      <c r="G126" s="12" t="str">
        <f t="shared" si="47"/>
        <v/>
      </c>
      <c r="H126" s="81">
        <v>40</v>
      </c>
      <c r="I126" s="12" t="str">
        <f t="shared" si="48"/>
        <v/>
      </c>
      <c r="J126" s="59">
        <v>51</v>
      </c>
      <c r="K126" s="12" t="str">
        <f t="shared" si="49"/>
        <v/>
      </c>
      <c r="L126" s="81">
        <v>20</v>
      </c>
      <c r="M126" s="12" t="str">
        <f t="shared" si="50"/>
        <v/>
      </c>
      <c r="N126" s="81">
        <v>20</v>
      </c>
      <c r="O126" s="12" t="str">
        <f t="shared" si="51"/>
        <v/>
      </c>
      <c r="P126" s="59">
        <v>55</v>
      </c>
      <c r="Q126" s="12" t="str">
        <f t="shared" si="52"/>
        <v/>
      </c>
      <c r="R126" s="81">
        <v>19</v>
      </c>
      <c r="S126" s="12" t="str">
        <f t="shared" si="53"/>
        <v/>
      </c>
      <c r="T126" s="81">
        <v>40</v>
      </c>
      <c r="U126" s="12" t="str">
        <f t="shared" si="54"/>
        <v/>
      </c>
      <c r="V126" s="59">
        <v>45</v>
      </c>
      <c r="W126" s="12" t="str">
        <f t="shared" si="55"/>
        <v/>
      </c>
      <c r="X126" s="81">
        <v>17</v>
      </c>
      <c r="Y126" s="12" t="str">
        <f t="shared" si="56"/>
        <v/>
      </c>
      <c r="Z126" s="81">
        <v>20</v>
      </c>
      <c r="AA126" s="12" t="str">
        <f t="shared" si="57"/>
        <v/>
      </c>
      <c r="AB126" s="59">
        <v>54</v>
      </c>
      <c r="AC126" s="12" t="str">
        <f t="shared" si="58"/>
        <v/>
      </c>
      <c r="AD126" s="81">
        <v>20</v>
      </c>
      <c r="AE126" s="12" t="str">
        <f t="shared" si="59"/>
        <v/>
      </c>
      <c r="AF126" s="81">
        <v>19</v>
      </c>
      <c r="AG126" s="12" t="str">
        <f t="shared" si="60"/>
        <v/>
      </c>
      <c r="AH126" s="81">
        <v>20</v>
      </c>
      <c r="AI126" s="12" t="str">
        <f t="shared" si="61"/>
        <v/>
      </c>
      <c r="AJ126" s="81">
        <v>20</v>
      </c>
      <c r="AK126" s="12" t="str">
        <f t="shared" si="62"/>
        <v/>
      </c>
      <c r="AL126" s="14">
        <f t="shared" si="42"/>
        <v>532</v>
      </c>
      <c r="AM126" s="69" t="s">
        <v>399</v>
      </c>
      <c r="AN126" s="14">
        <f t="shared" si="44"/>
        <v>1007</v>
      </c>
      <c r="AO126" s="14" t="str">
        <f t="shared" si="45"/>
        <v>PASS</v>
      </c>
      <c r="AP126" s="14" t="str">
        <f t="shared" si="43"/>
        <v>II</v>
      </c>
    </row>
    <row r="127" spans="2:42" ht="18" customHeight="1">
      <c r="B127" s="75">
        <v>146303</v>
      </c>
      <c r="C127" s="76" t="s">
        <v>323</v>
      </c>
      <c r="D127" s="59">
        <v>40</v>
      </c>
      <c r="E127" s="12" t="str">
        <f t="shared" si="46"/>
        <v/>
      </c>
      <c r="F127" s="81">
        <v>23</v>
      </c>
      <c r="G127" s="12" t="str">
        <f t="shared" si="47"/>
        <v/>
      </c>
      <c r="H127" s="81">
        <v>47</v>
      </c>
      <c r="I127" s="12" t="str">
        <f t="shared" si="48"/>
        <v/>
      </c>
      <c r="J127" s="59">
        <v>65</v>
      </c>
      <c r="K127" s="12" t="str">
        <f t="shared" si="49"/>
        <v/>
      </c>
      <c r="L127" s="81">
        <v>23</v>
      </c>
      <c r="M127" s="12" t="str">
        <f t="shared" si="50"/>
        <v/>
      </c>
      <c r="N127" s="81">
        <v>23</v>
      </c>
      <c r="O127" s="12" t="str">
        <f t="shared" si="51"/>
        <v/>
      </c>
      <c r="P127" s="59">
        <v>64</v>
      </c>
      <c r="Q127" s="12" t="str">
        <f t="shared" si="52"/>
        <v/>
      </c>
      <c r="R127" s="81">
        <v>23</v>
      </c>
      <c r="S127" s="12" t="str">
        <f t="shared" si="53"/>
        <v/>
      </c>
      <c r="T127" s="81">
        <v>47</v>
      </c>
      <c r="U127" s="12" t="str">
        <f t="shared" si="54"/>
        <v/>
      </c>
      <c r="V127" s="59">
        <v>48</v>
      </c>
      <c r="W127" s="12" t="str">
        <f t="shared" si="55"/>
        <v/>
      </c>
      <c r="X127" s="81">
        <v>22</v>
      </c>
      <c r="Y127" s="12" t="str">
        <f t="shared" si="56"/>
        <v/>
      </c>
      <c r="Z127" s="81">
        <v>23</v>
      </c>
      <c r="AA127" s="12" t="str">
        <f t="shared" si="57"/>
        <v/>
      </c>
      <c r="AB127" s="59">
        <v>44</v>
      </c>
      <c r="AC127" s="12" t="str">
        <f t="shared" si="58"/>
        <v/>
      </c>
      <c r="AD127" s="81">
        <v>23</v>
      </c>
      <c r="AE127" s="12" t="str">
        <f t="shared" si="59"/>
        <v/>
      </c>
      <c r="AF127" s="81">
        <v>23</v>
      </c>
      <c r="AG127" s="12" t="str">
        <f t="shared" si="60"/>
        <v/>
      </c>
      <c r="AH127" s="81">
        <v>22</v>
      </c>
      <c r="AI127" s="12" t="str">
        <f t="shared" si="61"/>
        <v/>
      </c>
      <c r="AJ127" s="81">
        <v>22</v>
      </c>
      <c r="AK127" s="12" t="str">
        <f t="shared" si="62"/>
        <v/>
      </c>
      <c r="AL127" s="14">
        <f t="shared" si="42"/>
        <v>582</v>
      </c>
      <c r="AM127" s="69" t="s">
        <v>384</v>
      </c>
      <c r="AN127" s="14">
        <f t="shared" si="44"/>
        <v>1109</v>
      </c>
      <c r="AO127" s="14" t="str">
        <f t="shared" si="45"/>
        <v>PASS</v>
      </c>
      <c r="AP127" s="14" t="str">
        <f t="shared" si="43"/>
        <v>I</v>
      </c>
    </row>
    <row r="128" spans="2:42" ht="18" customHeight="1">
      <c r="B128" s="75">
        <v>146304</v>
      </c>
      <c r="C128" s="76" t="s">
        <v>324</v>
      </c>
      <c r="D128" s="59">
        <v>49</v>
      </c>
      <c r="E128" s="12" t="str">
        <f t="shared" si="46"/>
        <v/>
      </c>
      <c r="F128" s="81">
        <v>23</v>
      </c>
      <c r="G128" s="12" t="str">
        <f t="shared" si="47"/>
        <v/>
      </c>
      <c r="H128" s="81">
        <v>46</v>
      </c>
      <c r="I128" s="12" t="str">
        <f t="shared" si="48"/>
        <v/>
      </c>
      <c r="J128" s="59">
        <v>48</v>
      </c>
      <c r="K128" s="12" t="str">
        <f t="shared" si="49"/>
        <v/>
      </c>
      <c r="L128" s="81">
        <v>23</v>
      </c>
      <c r="M128" s="12" t="str">
        <f t="shared" si="50"/>
        <v/>
      </c>
      <c r="N128" s="81">
        <v>23</v>
      </c>
      <c r="O128" s="12" t="str">
        <f t="shared" si="51"/>
        <v/>
      </c>
      <c r="P128" s="59">
        <v>66</v>
      </c>
      <c r="Q128" s="12" t="str">
        <f t="shared" si="52"/>
        <v/>
      </c>
      <c r="R128" s="81">
        <v>20</v>
      </c>
      <c r="S128" s="12" t="str">
        <f t="shared" si="53"/>
        <v/>
      </c>
      <c r="T128" s="81">
        <v>46</v>
      </c>
      <c r="U128" s="12" t="str">
        <f t="shared" si="54"/>
        <v/>
      </c>
      <c r="V128" s="59">
        <v>60</v>
      </c>
      <c r="W128" s="12" t="str">
        <f t="shared" si="55"/>
        <v/>
      </c>
      <c r="X128" s="81">
        <v>20</v>
      </c>
      <c r="Y128" s="12" t="str">
        <f t="shared" si="56"/>
        <v/>
      </c>
      <c r="Z128" s="81">
        <v>21</v>
      </c>
      <c r="AA128" s="12" t="str">
        <f t="shared" si="57"/>
        <v/>
      </c>
      <c r="AB128" s="59">
        <v>76</v>
      </c>
      <c r="AC128" s="12" t="str">
        <f t="shared" si="58"/>
        <v/>
      </c>
      <c r="AD128" s="81">
        <v>20</v>
      </c>
      <c r="AE128" s="12" t="str">
        <f t="shared" si="59"/>
        <v/>
      </c>
      <c r="AF128" s="81">
        <v>20</v>
      </c>
      <c r="AG128" s="12" t="str">
        <f t="shared" si="60"/>
        <v/>
      </c>
      <c r="AH128" s="81">
        <v>21</v>
      </c>
      <c r="AI128" s="12" t="str">
        <f t="shared" si="61"/>
        <v/>
      </c>
      <c r="AJ128" s="81">
        <v>21</v>
      </c>
      <c r="AK128" s="12" t="str">
        <f t="shared" si="62"/>
        <v/>
      </c>
      <c r="AL128" s="14">
        <f t="shared" si="42"/>
        <v>603</v>
      </c>
      <c r="AM128" s="69" t="s">
        <v>400</v>
      </c>
      <c r="AN128" s="14">
        <f t="shared" si="44"/>
        <v>1096</v>
      </c>
      <c r="AO128" s="14" t="str">
        <f t="shared" si="45"/>
        <v>PASS</v>
      </c>
      <c r="AP128" s="14" t="str">
        <f t="shared" si="43"/>
        <v>I</v>
      </c>
    </row>
    <row r="129" spans="2:42" ht="18" customHeight="1">
      <c r="B129" s="75">
        <v>146305</v>
      </c>
      <c r="C129" s="76" t="s">
        <v>248</v>
      </c>
      <c r="D129" s="59">
        <v>40</v>
      </c>
      <c r="E129" s="12" t="str">
        <f t="shared" si="46"/>
        <v/>
      </c>
      <c r="F129" s="81">
        <v>20</v>
      </c>
      <c r="G129" s="12" t="str">
        <f t="shared" si="47"/>
        <v/>
      </c>
      <c r="H129" s="81">
        <v>41</v>
      </c>
      <c r="I129" s="12" t="str">
        <f t="shared" si="48"/>
        <v/>
      </c>
      <c r="J129" s="59">
        <v>51</v>
      </c>
      <c r="K129" s="12" t="str">
        <f t="shared" si="49"/>
        <v/>
      </c>
      <c r="L129" s="81">
        <v>20</v>
      </c>
      <c r="M129" s="12" t="str">
        <f t="shared" si="50"/>
        <v/>
      </c>
      <c r="N129" s="81">
        <v>20</v>
      </c>
      <c r="O129" s="12" t="str">
        <f t="shared" si="51"/>
        <v/>
      </c>
      <c r="P129" s="59">
        <v>52</v>
      </c>
      <c r="Q129" s="12" t="str">
        <f t="shared" si="52"/>
        <v/>
      </c>
      <c r="R129" s="81">
        <v>19</v>
      </c>
      <c r="S129" s="12" t="str">
        <f t="shared" si="53"/>
        <v/>
      </c>
      <c r="T129" s="81">
        <v>41</v>
      </c>
      <c r="U129" s="12" t="str">
        <f t="shared" si="54"/>
        <v/>
      </c>
      <c r="V129" s="59">
        <v>47</v>
      </c>
      <c r="W129" s="12" t="str">
        <f t="shared" si="55"/>
        <v/>
      </c>
      <c r="X129" s="81">
        <v>18</v>
      </c>
      <c r="Y129" s="12" t="str">
        <f t="shared" si="56"/>
        <v/>
      </c>
      <c r="Z129" s="81">
        <v>20</v>
      </c>
      <c r="AA129" s="12" t="str">
        <f t="shared" si="57"/>
        <v/>
      </c>
      <c r="AB129" s="59">
        <v>40</v>
      </c>
      <c r="AC129" s="12" t="str">
        <f t="shared" si="58"/>
        <v/>
      </c>
      <c r="AD129" s="81">
        <v>19</v>
      </c>
      <c r="AE129" s="12" t="str">
        <f t="shared" si="59"/>
        <v/>
      </c>
      <c r="AF129" s="81">
        <v>20</v>
      </c>
      <c r="AG129" s="12" t="str">
        <f t="shared" si="60"/>
        <v/>
      </c>
      <c r="AH129" s="81">
        <v>20</v>
      </c>
      <c r="AI129" s="12" t="str">
        <f t="shared" si="61"/>
        <v/>
      </c>
      <c r="AJ129" s="81">
        <v>20</v>
      </c>
      <c r="AK129" s="12" t="str">
        <f t="shared" si="62"/>
        <v/>
      </c>
      <c r="AL129" s="14">
        <f t="shared" si="42"/>
        <v>508</v>
      </c>
      <c r="AM129" s="69" t="s">
        <v>438</v>
      </c>
      <c r="AN129" s="14">
        <f t="shared" si="44"/>
        <v>978</v>
      </c>
      <c r="AO129" s="14" t="str">
        <f t="shared" si="45"/>
        <v>PASS</v>
      </c>
      <c r="AP129" s="14" t="str">
        <f t="shared" si="43"/>
        <v>P</v>
      </c>
    </row>
    <row r="130" spans="2:42" ht="18" customHeight="1">
      <c r="B130" s="75">
        <v>146306</v>
      </c>
      <c r="C130" s="76" t="s">
        <v>249</v>
      </c>
      <c r="D130" s="59">
        <v>56</v>
      </c>
      <c r="E130" s="12" t="str">
        <f t="shared" si="46"/>
        <v/>
      </c>
      <c r="F130" s="81">
        <v>21</v>
      </c>
      <c r="G130" s="12" t="str">
        <f t="shared" si="47"/>
        <v/>
      </c>
      <c r="H130" s="81">
        <v>39</v>
      </c>
      <c r="I130" s="12" t="str">
        <f t="shared" si="48"/>
        <v/>
      </c>
      <c r="J130" s="59">
        <v>61</v>
      </c>
      <c r="K130" s="12" t="str">
        <f t="shared" si="49"/>
        <v/>
      </c>
      <c r="L130" s="81">
        <v>21</v>
      </c>
      <c r="M130" s="12" t="str">
        <f t="shared" si="50"/>
        <v/>
      </c>
      <c r="N130" s="81">
        <v>21</v>
      </c>
      <c r="O130" s="12" t="str">
        <f t="shared" si="51"/>
        <v/>
      </c>
      <c r="P130" s="59">
        <v>54</v>
      </c>
      <c r="Q130" s="12" t="str">
        <f t="shared" si="52"/>
        <v/>
      </c>
      <c r="R130" s="81">
        <v>18</v>
      </c>
      <c r="S130" s="12" t="str">
        <f t="shared" si="53"/>
        <v/>
      </c>
      <c r="T130" s="81">
        <v>39</v>
      </c>
      <c r="U130" s="12" t="str">
        <f t="shared" si="54"/>
        <v/>
      </c>
      <c r="V130" s="59">
        <v>58</v>
      </c>
      <c r="W130" s="12" t="str">
        <f t="shared" si="55"/>
        <v/>
      </c>
      <c r="X130" s="81">
        <v>19</v>
      </c>
      <c r="Y130" s="12" t="str">
        <f t="shared" si="56"/>
        <v/>
      </c>
      <c r="Z130" s="81">
        <v>18</v>
      </c>
      <c r="AA130" s="12" t="str">
        <f t="shared" si="57"/>
        <v/>
      </c>
      <c r="AB130" s="59">
        <v>58</v>
      </c>
      <c r="AC130" s="12" t="str">
        <f t="shared" si="58"/>
        <v/>
      </c>
      <c r="AD130" s="81">
        <v>21</v>
      </c>
      <c r="AE130" s="12" t="str">
        <f t="shared" si="59"/>
        <v/>
      </c>
      <c r="AF130" s="81">
        <v>20</v>
      </c>
      <c r="AG130" s="12" t="str">
        <f t="shared" si="60"/>
        <v/>
      </c>
      <c r="AH130" s="81">
        <v>20</v>
      </c>
      <c r="AI130" s="12" t="str">
        <f t="shared" si="61"/>
        <v/>
      </c>
      <c r="AJ130" s="81">
        <v>21</v>
      </c>
      <c r="AK130" s="12" t="str">
        <f t="shared" si="62"/>
        <v/>
      </c>
      <c r="AL130" s="14">
        <f t="shared" si="42"/>
        <v>565</v>
      </c>
      <c r="AM130" s="69" t="s">
        <v>391</v>
      </c>
      <c r="AN130" s="14">
        <f t="shared" si="44"/>
        <v>1086</v>
      </c>
      <c r="AO130" s="14" t="str">
        <f t="shared" si="45"/>
        <v>PASS</v>
      </c>
      <c r="AP130" s="14" t="str">
        <f t="shared" si="43"/>
        <v>I</v>
      </c>
    </row>
    <row r="131" spans="2:42" ht="18" customHeight="1">
      <c r="B131" s="75">
        <v>146307</v>
      </c>
      <c r="C131" s="76" t="s">
        <v>325</v>
      </c>
      <c r="D131" s="59">
        <v>50</v>
      </c>
      <c r="E131" s="12" t="str">
        <f t="shared" si="46"/>
        <v/>
      </c>
      <c r="F131" s="81">
        <v>23</v>
      </c>
      <c r="G131" s="12" t="str">
        <f t="shared" si="47"/>
        <v/>
      </c>
      <c r="H131" s="81">
        <v>45</v>
      </c>
      <c r="I131" s="12" t="str">
        <f t="shared" si="48"/>
        <v/>
      </c>
      <c r="J131" s="59">
        <v>53</v>
      </c>
      <c r="K131" s="12" t="str">
        <f t="shared" si="49"/>
        <v/>
      </c>
      <c r="L131" s="81">
        <v>23</v>
      </c>
      <c r="M131" s="12" t="str">
        <f t="shared" si="50"/>
        <v/>
      </c>
      <c r="N131" s="81">
        <v>23</v>
      </c>
      <c r="O131" s="12" t="str">
        <f t="shared" si="51"/>
        <v/>
      </c>
      <c r="P131" s="59">
        <v>64</v>
      </c>
      <c r="Q131" s="12" t="str">
        <f t="shared" si="52"/>
        <v/>
      </c>
      <c r="R131" s="81">
        <v>22</v>
      </c>
      <c r="S131" s="12" t="str">
        <f t="shared" si="53"/>
        <v/>
      </c>
      <c r="T131" s="81">
        <v>45</v>
      </c>
      <c r="U131" s="12" t="str">
        <f t="shared" si="54"/>
        <v/>
      </c>
      <c r="V131" s="59">
        <v>50</v>
      </c>
      <c r="W131" s="12" t="str">
        <f t="shared" si="55"/>
        <v/>
      </c>
      <c r="X131" s="81">
        <v>21</v>
      </c>
      <c r="Y131" s="12" t="str">
        <f t="shared" si="56"/>
        <v/>
      </c>
      <c r="Z131" s="81">
        <v>19</v>
      </c>
      <c r="AA131" s="12" t="str">
        <f t="shared" si="57"/>
        <v/>
      </c>
      <c r="AB131" s="59">
        <v>61</v>
      </c>
      <c r="AC131" s="12" t="str">
        <f t="shared" si="58"/>
        <v/>
      </c>
      <c r="AD131" s="81">
        <v>23</v>
      </c>
      <c r="AE131" s="12" t="str">
        <f t="shared" si="59"/>
        <v/>
      </c>
      <c r="AF131" s="81">
        <v>22</v>
      </c>
      <c r="AG131" s="12" t="str">
        <f t="shared" si="60"/>
        <v/>
      </c>
      <c r="AH131" s="81">
        <v>22</v>
      </c>
      <c r="AI131" s="12" t="str">
        <f t="shared" si="61"/>
        <v/>
      </c>
      <c r="AJ131" s="81">
        <v>21</v>
      </c>
      <c r="AK131" s="12" t="str">
        <f t="shared" si="62"/>
        <v/>
      </c>
      <c r="AL131" s="14">
        <f t="shared" si="42"/>
        <v>587</v>
      </c>
      <c r="AM131" s="69" t="s">
        <v>401</v>
      </c>
      <c r="AN131" s="14">
        <f t="shared" si="44"/>
        <v>1116</v>
      </c>
      <c r="AO131" s="14" t="str">
        <f t="shared" si="45"/>
        <v>PASS</v>
      </c>
      <c r="AP131" s="14" t="str">
        <f t="shared" si="43"/>
        <v>I</v>
      </c>
    </row>
    <row r="132" spans="2:42" ht="18" customHeight="1">
      <c r="B132" s="75">
        <v>146308</v>
      </c>
      <c r="C132" s="77" t="s">
        <v>250</v>
      </c>
      <c r="D132" s="59">
        <v>45</v>
      </c>
      <c r="E132" s="12" t="str">
        <f t="shared" si="46"/>
        <v>E</v>
      </c>
      <c r="F132" s="81">
        <v>19</v>
      </c>
      <c r="G132" s="12" t="str">
        <f t="shared" si="47"/>
        <v>E</v>
      </c>
      <c r="H132" s="81">
        <v>43</v>
      </c>
      <c r="I132" s="12" t="str">
        <f t="shared" si="48"/>
        <v>E</v>
      </c>
      <c r="J132" s="59">
        <v>40</v>
      </c>
      <c r="K132" s="12" t="str">
        <f t="shared" si="49"/>
        <v>E</v>
      </c>
      <c r="L132" s="81">
        <v>20</v>
      </c>
      <c r="M132" s="12" t="str">
        <f t="shared" si="50"/>
        <v>E</v>
      </c>
      <c r="N132" s="81">
        <v>20</v>
      </c>
      <c r="O132" s="12" t="str">
        <f t="shared" si="51"/>
        <v>E</v>
      </c>
      <c r="P132" s="59">
        <v>44</v>
      </c>
      <c r="Q132" s="12" t="str">
        <f t="shared" si="52"/>
        <v>E</v>
      </c>
      <c r="R132" s="81">
        <v>20</v>
      </c>
      <c r="S132" s="12" t="str">
        <f t="shared" si="53"/>
        <v>E</v>
      </c>
      <c r="T132" s="81">
        <v>43</v>
      </c>
      <c r="U132" s="12" t="str">
        <f t="shared" si="54"/>
        <v>E</v>
      </c>
      <c r="V132" s="59">
        <v>45</v>
      </c>
      <c r="W132" s="12" t="str">
        <f t="shared" si="55"/>
        <v>E</v>
      </c>
      <c r="X132" s="81">
        <v>17</v>
      </c>
      <c r="Y132" s="12" t="str">
        <f t="shared" si="56"/>
        <v>E</v>
      </c>
      <c r="Z132" s="81">
        <v>17</v>
      </c>
      <c r="AA132" s="12" t="str">
        <f t="shared" si="57"/>
        <v>E</v>
      </c>
      <c r="AB132" s="59">
        <v>27</v>
      </c>
      <c r="AC132" s="12" t="str">
        <f t="shared" si="58"/>
        <v>F</v>
      </c>
      <c r="AD132" s="81">
        <v>20</v>
      </c>
      <c r="AE132" s="12" t="str">
        <f t="shared" si="59"/>
        <v>E</v>
      </c>
      <c r="AF132" s="81">
        <v>19</v>
      </c>
      <c r="AG132" s="12" t="str">
        <f t="shared" si="60"/>
        <v>E</v>
      </c>
      <c r="AH132" s="81">
        <v>20</v>
      </c>
      <c r="AI132" s="12" t="str">
        <f t="shared" si="61"/>
        <v>E</v>
      </c>
      <c r="AJ132" s="81">
        <v>21</v>
      </c>
      <c r="AK132" s="12" t="str">
        <f t="shared" si="62"/>
        <v>E</v>
      </c>
      <c r="AL132" s="14">
        <f t="shared" si="42"/>
        <v>480</v>
      </c>
      <c r="AM132" s="69" t="s">
        <v>402</v>
      </c>
      <c r="AN132" s="14">
        <f t="shared" si="44"/>
        <v>958</v>
      </c>
      <c r="AO132" s="14" t="str">
        <f t="shared" si="45"/>
        <v>FAIL</v>
      </c>
      <c r="AP132" s="14" t="str">
        <f t="shared" si="43"/>
        <v>--</v>
      </c>
    </row>
    <row r="133" spans="2:42" ht="18" customHeight="1">
      <c r="B133" s="75">
        <v>146309</v>
      </c>
      <c r="C133" s="76" t="s">
        <v>326</v>
      </c>
      <c r="D133" s="59">
        <v>70</v>
      </c>
      <c r="E133" s="12" t="str">
        <f t="shared" si="46"/>
        <v/>
      </c>
      <c r="F133" s="81">
        <v>24</v>
      </c>
      <c r="G133" s="12" t="str">
        <f t="shared" si="47"/>
        <v/>
      </c>
      <c r="H133" s="81">
        <v>48</v>
      </c>
      <c r="I133" s="12" t="str">
        <f t="shared" si="48"/>
        <v/>
      </c>
      <c r="J133" s="59">
        <v>71</v>
      </c>
      <c r="K133" s="12" t="str">
        <f t="shared" si="49"/>
        <v/>
      </c>
      <c r="L133" s="81">
        <v>23</v>
      </c>
      <c r="M133" s="12" t="str">
        <f t="shared" si="50"/>
        <v/>
      </c>
      <c r="N133" s="81">
        <v>24</v>
      </c>
      <c r="O133" s="12" t="str">
        <f t="shared" si="51"/>
        <v/>
      </c>
      <c r="P133" s="59">
        <v>66</v>
      </c>
      <c r="Q133" s="12" t="str">
        <f t="shared" si="52"/>
        <v/>
      </c>
      <c r="R133" s="81">
        <v>23</v>
      </c>
      <c r="S133" s="12" t="str">
        <f t="shared" si="53"/>
        <v/>
      </c>
      <c r="T133" s="81">
        <v>48</v>
      </c>
      <c r="U133" s="12" t="str">
        <f t="shared" si="54"/>
        <v/>
      </c>
      <c r="V133" s="59">
        <v>57</v>
      </c>
      <c r="W133" s="12" t="str">
        <f t="shared" si="55"/>
        <v/>
      </c>
      <c r="X133" s="81">
        <v>24</v>
      </c>
      <c r="Y133" s="12" t="str">
        <f t="shared" si="56"/>
        <v/>
      </c>
      <c r="Z133" s="81">
        <v>23</v>
      </c>
      <c r="AA133" s="12" t="str">
        <f t="shared" si="57"/>
        <v/>
      </c>
      <c r="AB133" s="59">
        <v>68</v>
      </c>
      <c r="AC133" s="12" t="str">
        <f t="shared" si="58"/>
        <v/>
      </c>
      <c r="AD133" s="81">
        <v>24</v>
      </c>
      <c r="AE133" s="12" t="str">
        <f t="shared" si="59"/>
        <v/>
      </c>
      <c r="AF133" s="81">
        <v>24</v>
      </c>
      <c r="AG133" s="12" t="str">
        <f t="shared" si="60"/>
        <v/>
      </c>
      <c r="AH133" s="81">
        <v>22</v>
      </c>
      <c r="AI133" s="12" t="str">
        <f t="shared" si="61"/>
        <v/>
      </c>
      <c r="AJ133" s="81">
        <v>21</v>
      </c>
      <c r="AK133" s="12" t="str">
        <f t="shared" si="62"/>
        <v/>
      </c>
      <c r="AL133" s="14">
        <f t="shared" si="42"/>
        <v>660</v>
      </c>
      <c r="AM133" s="69" t="s">
        <v>371</v>
      </c>
      <c r="AN133" s="14">
        <f t="shared" si="44"/>
        <v>1259</v>
      </c>
      <c r="AO133" s="14" t="str">
        <f t="shared" si="45"/>
        <v>PASS</v>
      </c>
      <c r="AP133" s="14" t="str">
        <f t="shared" si="43"/>
        <v>I</v>
      </c>
    </row>
    <row r="134" spans="2:42" ht="18" customHeight="1">
      <c r="B134" s="75">
        <v>146310</v>
      </c>
      <c r="C134" s="76" t="s">
        <v>251</v>
      </c>
      <c r="D134" s="59">
        <v>70</v>
      </c>
      <c r="E134" s="12" t="str">
        <f t="shared" si="46"/>
        <v/>
      </c>
      <c r="F134" s="81">
        <v>20</v>
      </c>
      <c r="G134" s="12" t="str">
        <f t="shared" si="47"/>
        <v/>
      </c>
      <c r="H134" s="81">
        <v>46</v>
      </c>
      <c r="I134" s="12" t="str">
        <f t="shared" si="48"/>
        <v/>
      </c>
      <c r="J134" s="59">
        <v>69</v>
      </c>
      <c r="K134" s="12" t="str">
        <f t="shared" si="49"/>
        <v/>
      </c>
      <c r="L134" s="81">
        <v>20</v>
      </c>
      <c r="M134" s="12" t="str">
        <f t="shared" si="50"/>
        <v/>
      </c>
      <c r="N134" s="81">
        <v>20</v>
      </c>
      <c r="O134" s="12" t="str">
        <f t="shared" si="51"/>
        <v/>
      </c>
      <c r="P134" s="59">
        <v>64</v>
      </c>
      <c r="Q134" s="12" t="str">
        <f t="shared" si="52"/>
        <v/>
      </c>
      <c r="R134" s="81">
        <v>20</v>
      </c>
      <c r="S134" s="12" t="str">
        <f t="shared" si="53"/>
        <v/>
      </c>
      <c r="T134" s="81">
        <v>46</v>
      </c>
      <c r="U134" s="12" t="str">
        <f t="shared" si="54"/>
        <v/>
      </c>
      <c r="V134" s="59">
        <v>66</v>
      </c>
      <c r="W134" s="12" t="str">
        <f t="shared" si="55"/>
        <v/>
      </c>
      <c r="X134" s="81">
        <v>18</v>
      </c>
      <c r="Y134" s="12" t="str">
        <f t="shared" si="56"/>
        <v/>
      </c>
      <c r="Z134" s="81">
        <v>19</v>
      </c>
      <c r="AA134" s="12" t="str">
        <f t="shared" si="57"/>
        <v/>
      </c>
      <c r="AB134" s="59">
        <v>64</v>
      </c>
      <c r="AC134" s="12" t="str">
        <f t="shared" si="58"/>
        <v/>
      </c>
      <c r="AD134" s="81">
        <v>20</v>
      </c>
      <c r="AE134" s="12" t="str">
        <f t="shared" si="59"/>
        <v/>
      </c>
      <c r="AF134" s="81">
        <v>19</v>
      </c>
      <c r="AG134" s="12" t="str">
        <f t="shared" si="60"/>
        <v/>
      </c>
      <c r="AH134" s="81">
        <v>20</v>
      </c>
      <c r="AI134" s="12" t="str">
        <f t="shared" si="61"/>
        <v/>
      </c>
      <c r="AJ134" s="81">
        <v>21</v>
      </c>
      <c r="AK134" s="12" t="str">
        <f t="shared" si="62"/>
        <v/>
      </c>
      <c r="AL134" s="14">
        <f t="shared" si="42"/>
        <v>622</v>
      </c>
      <c r="AM134" s="69" t="s">
        <v>385</v>
      </c>
      <c r="AN134" s="14">
        <f t="shared" si="44"/>
        <v>1189</v>
      </c>
      <c r="AO134" s="14" t="str">
        <f t="shared" si="45"/>
        <v>PASS</v>
      </c>
      <c r="AP134" s="14" t="str">
        <f t="shared" si="43"/>
        <v>I</v>
      </c>
    </row>
    <row r="135" spans="2:42" ht="18" customHeight="1">
      <c r="B135" s="75">
        <v>146311</v>
      </c>
      <c r="C135" s="76" t="s">
        <v>252</v>
      </c>
      <c r="D135" s="59">
        <v>57</v>
      </c>
      <c r="E135" s="12" t="str">
        <f t="shared" si="46"/>
        <v/>
      </c>
      <c r="F135" s="81">
        <v>19</v>
      </c>
      <c r="G135" s="12" t="str">
        <f t="shared" si="47"/>
        <v/>
      </c>
      <c r="H135" s="81">
        <v>42</v>
      </c>
      <c r="I135" s="12" t="str">
        <f t="shared" si="48"/>
        <v/>
      </c>
      <c r="J135" s="59">
        <v>62</v>
      </c>
      <c r="K135" s="12" t="str">
        <f t="shared" si="49"/>
        <v/>
      </c>
      <c r="L135" s="81">
        <v>19</v>
      </c>
      <c r="M135" s="12" t="str">
        <f t="shared" si="50"/>
        <v/>
      </c>
      <c r="N135" s="81">
        <v>20</v>
      </c>
      <c r="O135" s="12" t="str">
        <f t="shared" si="51"/>
        <v/>
      </c>
      <c r="P135" s="59">
        <v>56</v>
      </c>
      <c r="Q135" s="12" t="str">
        <f t="shared" si="52"/>
        <v/>
      </c>
      <c r="R135" s="81">
        <v>22</v>
      </c>
      <c r="S135" s="12" t="str">
        <f t="shared" si="53"/>
        <v/>
      </c>
      <c r="T135" s="81">
        <v>40</v>
      </c>
      <c r="U135" s="12" t="str">
        <f t="shared" si="54"/>
        <v/>
      </c>
      <c r="V135" s="59">
        <v>60</v>
      </c>
      <c r="W135" s="12" t="str">
        <f t="shared" si="55"/>
        <v/>
      </c>
      <c r="X135" s="81">
        <v>16</v>
      </c>
      <c r="Y135" s="12" t="str">
        <f t="shared" si="56"/>
        <v/>
      </c>
      <c r="Z135" s="81">
        <v>17</v>
      </c>
      <c r="AA135" s="12" t="str">
        <f t="shared" si="57"/>
        <v/>
      </c>
      <c r="AB135" s="59">
        <v>40</v>
      </c>
      <c r="AC135" s="12" t="str">
        <f t="shared" si="58"/>
        <v/>
      </c>
      <c r="AD135" s="81">
        <v>20</v>
      </c>
      <c r="AE135" s="12" t="str">
        <f t="shared" si="59"/>
        <v/>
      </c>
      <c r="AF135" s="81">
        <v>20</v>
      </c>
      <c r="AG135" s="12" t="str">
        <f t="shared" si="60"/>
        <v/>
      </c>
      <c r="AH135" s="81">
        <v>18</v>
      </c>
      <c r="AI135" s="12" t="str">
        <f t="shared" si="61"/>
        <v/>
      </c>
      <c r="AJ135" s="81">
        <v>19</v>
      </c>
      <c r="AK135" s="12" t="str">
        <f t="shared" si="62"/>
        <v/>
      </c>
      <c r="AL135" s="14">
        <f t="shared" si="42"/>
        <v>547</v>
      </c>
      <c r="AM135" s="69" t="s">
        <v>363</v>
      </c>
      <c r="AN135" s="14">
        <f t="shared" si="44"/>
        <v>1072</v>
      </c>
      <c r="AO135" s="14" t="str">
        <f t="shared" si="45"/>
        <v>PASS</v>
      </c>
      <c r="AP135" s="14" t="str">
        <f t="shared" si="43"/>
        <v>I</v>
      </c>
    </row>
    <row r="136" spans="2:42" ht="18" customHeight="1">
      <c r="B136" s="75">
        <v>146312</v>
      </c>
      <c r="C136" s="76" t="s">
        <v>253</v>
      </c>
      <c r="D136" s="59">
        <v>65</v>
      </c>
      <c r="E136" s="12" t="str">
        <f t="shared" si="46"/>
        <v/>
      </c>
      <c r="F136" s="81">
        <v>22</v>
      </c>
      <c r="G136" s="12" t="str">
        <f t="shared" si="47"/>
        <v/>
      </c>
      <c r="H136" s="81">
        <v>45</v>
      </c>
      <c r="I136" s="12" t="str">
        <f t="shared" si="48"/>
        <v/>
      </c>
      <c r="J136" s="59">
        <v>73</v>
      </c>
      <c r="K136" s="12" t="str">
        <f t="shared" si="49"/>
        <v/>
      </c>
      <c r="L136" s="81">
        <v>23</v>
      </c>
      <c r="M136" s="12" t="str">
        <f t="shared" si="50"/>
        <v/>
      </c>
      <c r="N136" s="81">
        <v>23</v>
      </c>
      <c r="O136" s="12" t="str">
        <f t="shared" si="51"/>
        <v/>
      </c>
      <c r="P136" s="59">
        <v>64</v>
      </c>
      <c r="Q136" s="12" t="str">
        <f t="shared" si="52"/>
        <v/>
      </c>
      <c r="R136" s="81">
        <v>18</v>
      </c>
      <c r="S136" s="12" t="str">
        <f t="shared" si="53"/>
        <v/>
      </c>
      <c r="T136" s="81">
        <v>45</v>
      </c>
      <c r="U136" s="12" t="str">
        <f t="shared" si="54"/>
        <v/>
      </c>
      <c r="V136" s="59">
        <v>58</v>
      </c>
      <c r="W136" s="12" t="str">
        <f t="shared" si="55"/>
        <v/>
      </c>
      <c r="X136" s="81">
        <v>20</v>
      </c>
      <c r="Y136" s="12" t="str">
        <f t="shared" si="56"/>
        <v/>
      </c>
      <c r="Z136" s="81">
        <v>21</v>
      </c>
      <c r="AA136" s="12" t="str">
        <f t="shared" si="57"/>
        <v/>
      </c>
      <c r="AB136" s="59">
        <v>74</v>
      </c>
      <c r="AC136" s="12" t="str">
        <f t="shared" si="58"/>
        <v/>
      </c>
      <c r="AD136" s="81">
        <v>19</v>
      </c>
      <c r="AE136" s="12" t="str">
        <f t="shared" si="59"/>
        <v/>
      </c>
      <c r="AF136" s="81">
        <v>20</v>
      </c>
      <c r="AG136" s="12" t="str">
        <f t="shared" si="60"/>
        <v/>
      </c>
      <c r="AH136" s="81">
        <v>19</v>
      </c>
      <c r="AI136" s="12" t="str">
        <f t="shared" si="61"/>
        <v/>
      </c>
      <c r="AJ136" s="81">
        <v>20</v>
      </c>
      <c r="AK136" s="12" t="str">
        <f t="shared" si="62"/>
        <v/>
      </c>
      <c r="AL136" s="14">
        <f t="shared" si="42"/>
        <v>629</v>
      </c>
      <c r="AM136" s="69" t="s">
        <v>392</v>
      </c>
      <c r="AN136" s="14">
        <f t="shared" si="44"/>
        <v>1232</v>
      </c>
      <c r="AO136" s="14" t="str">
        <f t="shared" si="45"/>
        <v>PASS</v>
      </c>
      <c r="AP136" s="14" t="str">
        <f t="shared" si="43"/>
        <v>I</v>
      </c>
    </row>
    <row r="137" spans="2:42" ht="18" customHeight="1">
      <c r="B137" s="75">
        <v>146313</v>
      </c>
      <c r="C137" s="76" t="s">
        <v>327</v>
      </c>
      <c r="D137" s="59" t="s">
        <v>456</v>
      </c>
      <c r="E137" s="12" t="str">
        <f t="shared" si="46"/>
        <v/>
      </c>
      <c r="F137" s="81">
        <v>22</v>
      </c>
      <c r="G137" s="12" t="str">
        <f t="shared" si="47"/>
        <v/>
      </c>
      <c r="H137" s="81">
        <v>45</v>
      </c>
      <c r="I137" s="12" t="str">
        <f t="shared" si="48"/>
        <v/>
      </c>
      <c r="J137" s="59">
        <v>41</v>
      </c>
      <c r="K137" s="12" t="str">
        <f t="shared" si="49"/>
        <v/>
      </c>
      <c r="L137" s="81">
        <v>22</v>
      </c>
      <c r="M137" s="12" t="str">
        <f t="shared" si="50"/>
        <v/>
      </c>
      <c r="N137" s="81">
        <v>22</v>
      </c>
      <c r="O137" s="12" t="str">
        <f t="shared" si="51"/>
        <v/>
      </c>
      <c r="P137" s="59">
        <v>40</v>
      </c>
      <c r="Q137" s="12" t="str">
        <f t="shared" si="52"/>
        <v/>
      </c>
      <c r="R137" s="81">
        <v>20</v>
      </c>
      <c r="S137" s="12" t="str">
        <f t="shared" si="53"/>
        <v/>
      </c>
      <c r="T137" s="81">
        <v>45</v>
      </c>
      <c r="U137" s="12" t="str">
        <f t="shared" si="54"/>
        <v/>
      </c>
      <c r="V137" s="59">
        <v>44</v>
      </c>
      <c r="W137" s="12" t="str">
        <f t="shared" si="55"/>
        <v/>
      </c>
      <c r="X137" s="81">
        <v>23</v>
      </c>
      <c r="Y137" s="12" t="str">
        <f t="shared" si="56"/>
        <v/>
      </c>
      <c r="Z137" s="81">
        <v>21</v>
      </c>
      <c r="AA137" s="12" t="str">
        <f t="shared" si="57"/>
        <v/>
      </c>
      <c r="AB137" s="59">
        <v>40</v>
      </c>
      <c r="AC137" s="12" t="str">
        <f t="shared" si="58"/>
        <v/>
      </c>
      <c r="AD137" s="81">
        <v>23</v>
      </c>
      <c r="AE137" s="12" t="str">
        <f t="shared" si="59"/>
        <v/>
      </c>
      <c r="AF137" s="81">
        <v>22</v>
      </c>
      <c r="AG137" s="12" t="str">
        <f t="shared" si="60"/>
        <v/>
      </c>
      <c r="AH137" s="81">
        <v>22</v>
      </c>
      <c r="AI137" s="12" t="str">
        <f t="shared" si="61"/>
        <v/>
      </c>
      <c r="AJ137" s="81">
        <v>21</v>
      </c>
      <c r="AK137" s="12" t="str">
        <f t="shared" si="62"/>
        <v/>
      </c>
      <c r="AL137" s="14" t="s">
        <v>457</v>
      </c>
      <c r="AM137" s="69" t="s">
        <v>434</v>
      </c>
      <c r="AN137" s="14">
        <f t="shared" si="44"/>
        <v>984</v>
      </c>
      <c r="AO137" s="14" t="str">
        <f t="shared" si="45"/>
        <v>PASS</v>
      </c>
      <c r="AP137" s="14" t="str">
        <f t="shared" si="43"/>
        <v>P</v>
      </c>
    </row>
    <row r="138" spans="2:42" ht="18" customHeight="1">
      <c r="B138" s="75">
        <v>146314</v>
      </c>
      <c r="C138" s="76" t="s">
        <v>254</v>
      </c>
      <c r="D138" s="59">
        <v>51</v>
      </c>
      <c r="E138" s="12" t="str">
        <f t="shared" si="46"/>
        <v/>
      </c>
      <c r="F138" s="81">
        <v>20</v>
      </c>
      <c r="G138" s="12" t="str">
        <f t="shared" si="47"/>
        <v/>
      </c>
      <c r="H138" s="81">
        <v>43</v>
      </c>
      <c r="I138" s="12" t="str">
        <f t="shared" si="48"/>
        <v/>
      </c>
      <c r="J138" s="59">
        <v>57</v>
      </c>
      <c r="K138" s="12" t="str">
        <f t="shared" si="49"/>
        <v/>
      </c>
      <c r="L138" s="81">
        <v>21</v>
      </c>
      <c r="M138" s="12" t="str">
        <f t="shared" si="50"/>
        <v/>
      </c>
      <c r="N138" s="81">
        <v>24</v>
      </c>
      <c r="O138" s="12" t="str">
        <f t="shared" si="51"/>
        <v/>
      </c>
      <c r="P138" s="59">
        <v>66</v>
      </c>
      <c r="Q138" s="12" t="str">
        <f t="shared" si="52"/>
        <v/>
      </c>
      <c r="R138" s="81">
        <v>18</v>
      </c>
      <c r="S138" s="12" t="str">
        <f t="shared" si="53"/>
        <v/>
      </c>
      <c r="T138" s="81">
        <v>43</v>
      </c>
      <c r="U138" s="12" t="str">
        <f t="shared" si="54"/>
        <v/>
      </c>
      <c r="V138" s="59">
        <v>47</v>
      </c>
      <c r="W138" s="12" t="str">
        <f t="shared" si="55"/>
        <v/>
      </c>
      <c r="X138" s="81">
        <v>18</v>
      </c>
      <c r="Y138" s="12" t="str">
        <f t="shared" si="56"/>
        <v/>
      </c>
      <c r="Z138" s="81">
        <v>19</v>
      </c>
      <c r="AA138" s="12" t="str">
        <f t="shared" si="57"/>
        <v/>
      </c>
      <c r="AB138" s="59">
        <v>65</v>
      </c>
      <c r="AC138" s="12" t="str">
        <f t="shared" si="58"/>
        <v/>
      </c>
      <c r="AD138" s="81">
        <v>21</v>
      </c>
      <c r="AE138" s="12" t="str">
        <f t="shared" si="59"/>
        <v/>
      </c>
      <c r="AF138" s="81">
        <v>21</v>
      </c>
      <c r="AG138" s="12" t="str">
        <f t="shared" si="60"/>
        <v/>
      </c>
      <c r="AH138" s="81">
        <v>22</v>
      </c>
      <c r="AI138" s="12" t="str">
        <f t="shared" si="61"/>
        <v/>
      </c>
      <c r="AJ138" s="81">
        <v>21</v>
      </c>
      <c r="AK138" s="12" t="str">
        <f t="shared" si="62"/>
        <v/>
      </c>
      <c r="AL138" s="14">
        <f t="shared" si="42"/>
        <v>577</v>
      </c>
      <c r="AM138" s="69" t="s">
        <v>350</v>
      </c>
      <c r="AN138" s="14">
        <f t="shared" si="44"/>
        <v>1128</v>
      </c>
      <c r="AO138" s="14" t="str">
        <f t="shared" si="45"/>
        <v>PASS</v>
      </c>
      <c r="AP138" s="14" t="str">
        <f t="shared" si="43"/>
        <v>I</v>
      </c>
    </row>
    <row r="139" spans="2:42" ht="18" customHeight="1">
      <c r="B139" s="75">
        <v>146315</v>
      </c>
      <c r="C139" s="76" t="s">
        <v>255</v>
      </c>
      <c r="D139" s="59">
        <v>53</v>
      </c>
      <c r="E139" s="12" t="str">
        <f t="shared" si="46"/>
        <v/>
      </c>
      <c r="F139" s="81">
        <v>20</v>
      </c>
      <c r="G139" s="12" t="str">
        <f t="shared" si="47"/>
        <v/>
      </c>
      <c r="H139" s="81">
        <v>43</v>
      </c>
      <c r="I139" s="12" t="str">
        <f t="shared" si="48"/>
        <v/>
      </c>
      <c r="J139" s="59">
        <v>62</v>
      </c>
      <c r="K139" s="12" t="str">
        <f t="shared" si="49"/>
        <v/>
      </c>
      <c r="L139" s="81">
        <v>21</v>
      </c>
      <c r="M139" s="12" t="str">
        <f t="shared" si="50"/>
        <v/>
      </c>
      <c r="N139" s="81">
        <v>21</v>
      </c>
      <c r="O139" s="12" t="str">
        <f t="shared" si="51"/>
        <v/>
      </c>
      <c r="P139" s="59">
        <v>48</v>
      </c>
      <c r="Q139" s="12" t="str">
        <f t="shared" si="52"/>
        <v/>
      </c>
      <c r="R139" s="81">
        <v>20</v>
      </c>
      <c r="S139" s="12" t="str">
        <f t="shared" si="53"/>
        <v/>
      </c>
      <c r="T139" s="81">
        <v>43</v>
      </c>
      <c r="U139" s="12" t="str">
        <f t="shared" si="54"/>
        <v/>
      </c>
      <c r="V139" s="59">
        <v>58</v>
      </c>
      <c r="W139" s="12" t="str">
        <f t="shared" si="55"/>
        <v/>
      </c>
      <c r="X139" s="81">
        <v>21</v>
      </c>
      <c r="Y139" s="12" t="str">
        <f t="shared" si="56"/>
        <v/>
      </c>
      <c r="Z139" s="81">
        <v>23</v>
      </c>
      <c r="AA139" s="12" t="str">
        <f t="shared" si="57"/>
        <v/>
      </c>
      <c r="AB139" s="59">
        <v>70</v>
      </c>
      <c r="AC139" s="12" t="str">
        <f t="shared" si="58"/>
        <v/>
      </c>
      <c r="AD139" s="81">
        <v>22</v>
      </c>
      <c r="AE139" s="12" t="str">
        <f t="shared" si="59"/>
        <v/>
      </c>
      <c r="AF139" s="81">
        <v>22</v>
      </c>
      <c r="AG139" s="12" t="str">
        <f t="shared" si="60"/>
        <v/>
      </c>
      <c r="AH139" s="81">
        <v>19</v>
      </c>
      <c r="AI139" s="12" t="str">
        <f t="shared" si="61"/>
        <v/>
      </c>
      <c r="AJ139" s="81">
        <v>18</v>
      </c>
      <c r="AK139" s="12" t="str">
        <f t="shared" si="62"/>
        <v/>
      </c>
      <c r="AL139" s="14">
        <f t="shared" si="42"/>
        <v>584</v>
      </c>
      <c r="AM139" s="69" t="s">
        <v>403</v>
      </c>
      <c r="AN139" s="14">
        <f t="shared" si="44"/>
        <v>1083</v>
      </c>
      <c r="AO139" s="14" t="str">
        <f t="shared" si="45"/>
        <v>PASS</v>
      </c>
      <c r="AP139" s="14" t="str">
        <f t="shared" si="43"/>
        <v>I</v>
      </c>
    </row>
    <row r="140" spans="2:42" ht="18" customHeight="1">
      <c r="B140" s="75">
        <v>146316</v>
      </c>
      <c r="C140" s="76" t="s">
        <v>256</v>
      </c>
      <c r="D140" s="59">
        <v>46</v>
      </c>
      <c r="E140" s="12" t="str">
        <f t="shared" si="46"/>
        <v/>
      </c>
      <c r="F140" s="81">
        <v>21</v>
      </c>
      <c r="G140" s="12" t="str">
        <f t="shared" si="47"/>
        <v/>
      </c>
      <c r="H140" s="81">
        <v>39</v>
      </c>
      <c r="I140" s="12" t="str">
        <f t="shared" si="48"/>
        <v/>
      </c>
      <c r="J140" s="59">
        <v>46</v>
      </c>
      <c r="K140" s="12" t="str">
        <f t="shared" si="49"/>
        <v/>
      </c>
      <c r="L140" s="81">
        <v>21</v>
      </c>
      <c r="M140" s="12" t="str">
        <f t="shared" si="50"/>
        <v/>
      </c>
      <c r="N140" s="81">
        <v>21</v>
      </c>
      <c r="O140" s="12" t="str">
        <f t="shared" si="51"/>
        <v/>
      </c>
      <c r="P140" s="59">
        <v>51</v>
      </c>
      <c r="Q140" s="12" t="str">
        <f t="shared" si="52"/>
        <v/>
      </c>
      <c r="R140" s="81">
        <v>19</v>
      </c>
      <c r="S140" s="12" t="str">
        <f t="shared" si="53"/>
        <v/>
      </c>
      <c r="T140" s="81">
        <v>39</v>
      </c>
      <c r="U140" s="12" t="str">
        <f t="shared" si="54"/>
        <v/>
      </c>
      <c r="V140" s="59">
        <v>43</v>
      </c>
      <c r="W140" s="12" t="str">
        <f t="shared" si="55"/>
        <v/>
      </c>
      <c r="X140" s="81">
        <v>18</v>
      </c>
      <c r="Y140" s="12" t="str">
        <f t="shared" si="56"/>
        <v/>
      </c>
      <c r="Z140" s="81">
        <v>20</v>
      </c>
      <c r="AA140" s="12" t="str">
        <f t="shared" si="57"/>
        <v/>
      </c>
      <c r="AB140" s="59">
        <v>56</v>
      </c>
      <c r="AC140" s="12" t="str">
        <f t="shared" si="58"/>
        <v/>
      </c>
      <c r="AD140" s="81">
        <v>20</v>
      </c>
      <c r="AE140" s="12" t="str">
        <f t="shared" si="59"/>
        <v/>
      </c>
      <c r="AF140" s="81">
        <v>19</v>
      </c>
      <c r="AG140" s="12" t="str">
        <f t="shared" si="60"/>
        <v/>
      </c>
      <c r="AH140" s="81">
        <v>20</v>
      </c>
      <c r="AI140" s="12" t="str">
        <f t="shared" si="61"/>
        <v/>
      </c>
      <c r="AJ140" s="81">
        <v>19</v>
      </c>
      <c r="AK140" s="12" t="str">
        <f t="shared" si="62"/>
        <v/>
      </c>
      <c r="AL140" s="14">
        <f t="shared" si="42"/>
        <v>518</v>
      </c>
      <c r="AM140" s="69" t="s">
        <v>404</v>
      </c>
      <c r="AN140" s="14">
        <f t="shared" si="44"/>
        <v>978</v>
      </c>
      <c r="AO140" s="14" t="str">
        <f t="shared" si="45"/>
        <v>PASS</v>
      </c>
      <c r="AP140" s="14" t="str">
        <f t="shared" si="43"/>
        <v>II</v>
      </c>
    </row>
    <row r="141" spans="2:42" ht="18" customHeight="1">
      <c r="B141" s="75">
        <v>146317</v>
      </c>
      <c r="C141" s="76" t="s">
        <v>257</v>
      </c>
      <c r="D141" s="59">
        <v>63</v>
      </c>
      <c r="E141" s="12" t="str">
        <f t="shared" si="46"/>
        <v/>
      </c>
      <c r="F141" s="81">
        <v>21</v>
      </c>
      <c r="G141" s="12" t="str">
        <f t="shared" si="47"/>
        <v/>
      </c>
      <c r="H141" s="81">
        <v>42</v>
      </c>
      <c r="I141" s="12" t="str">
        <f t="shared" si="48"/>
        <v/>
      </c>
      <c r="J141" s="59">
        <v>79</v>
      </c>
      <c r="K141" s="12" t="str">
        <f t="shared" si="49"/>
        <v/>
      </c>
      <c r="L141" s="81">
        <v>21</v>
      </c>
      <c r="M141" s="12" t="str">
        <f t="shared" si="50"/>
        <v/>
      </c>
      <c r="N141" s="81">
        <v>21</v>
      </c>
      <c r="O141" s="12" t="str">
        <f t="shared" si="51"/>
        <v/>
      </c>
      <c r="P141" s="59">
        <v>54</v>
      </c>
      <c r="Q141" s="12" t="str">
        <f t="shared" si="52"/>
        <v/>
      </c>
      <c r="R141" s="81">
        <v>22</v>
      </c>
      <c r="S141" s="12" t="str">
        <f t="shared" si="53"/>
        <v/>
      </c>
      <c r="T141" s="81">
        <v>42</v>
      </c>
      <c r="U141" s="12" t="str">
        <f t="shared" si="54"/>
        <v/>
      </c>
      <c r="V141" s="59">
        <v>73</v>
      </c>
      <c r="W141" s="12" t="str">
        <f t="shared" si="55"/>
        <v/>
      </c>
      <c r="X141" s="81">
        <v>21</v>
      </c>
      <c r="Y141" s="12" t="str">
        <f t="shared" si="56"/>
        <v/>
      </c>
      <c r="Z141" s="81">
        <v>21</v>
      </c>
      <c r="AA141" s="12" t="str">
        <f t="shared" si="57"/>
        <v/>
      </c>
      <c r="AB141" s="59">
        <v>57</v>
      </c>
      <c r="AC141" s="12" t="str">
        <f t="shared" si="58"/>
        <v/>
      </c>
      <c r="AD141" s="81">
        <v>21</v>
      </c>
      <c r="AE141" s="12" t="str">
        <f t="shared" si="59"/>
        <v/>
      </c>
      <c r="AF141" s="81">
        <v>21</v>
      </c>
      <c r="AG141" s="12" t="str">
        <f t="shared" si="60"/>
        <v/>
      </c>
      <c r="AH141" s="81">
        <v>20</v>
      </c>
      <c r="AI141" s="12" t="str">
        <f t="shared" si="61"/>
        <v/>
      </c>
      <c r="AJ141" s="81">
        <v>19</v>
      </c>
      <c r="AK141" s="12" t="str">
        <f t="shared" si="62"/>
        <v/>
      </c>
      <c r="AL141" s="14">
        <f t="shared" si="42"/>
        <v>618</v>
      </c>
      <c r="AM141" s="69" t="s">
        <v>366</v>
      </c>
      <c r="AN141" s="14">
        <f t="shared" si="44"/>
        <v>1162</v>
      </c>
      <c r="AO141" s="14" t="str">
        <f t="shared" si="45"/>
        <v>PASS</v>
      </c>
      <c r="AP141" s="14" t="str">
        <f t="shared" si="43"/>
        <v>I</v>
      </c>
    </row>
    <row r="142" spans="2:42" ht="18" customHeight="1">
      <c r="B142" s="75">
        <v>146318</v>
      </c>
      <c r="C142" s="76" t="s">
        <v>328</v>
      </c>
      <c r="D142" s="59">
        <v>70</v>
      </c>
      <c r="E142" s="12" t="str">
        <f t="shared" si="46"/>
        <v/>
      </c>
      <c r="F142" s="81">
        <v>22</v>
      </c>
      <c r="G142" s="12" t="str">
        <f t="shared" si="47"/>
        <v/>
      </c>
      <c r="H142" s="81">
        <v>44</v>
      </c>
      <c r="I142" s="12" t="str">
        <f t="shared" si="48"/>
        <v/>
      </c>
      <c r="J142" s="59">
        <v>79</v>
      </c>
      <c r="K142" s="12" t="str">
        <f t="shared" si="49"/>
        <v/>
      </c>
      <c r="L142" s="81">
        <v>22</v>
      </c>
      <c r="M142" s="12" t="str">
        <f t="shared" si="50"/>
        <v/>
      </c>
      <c r="N142" s="81">
        <v>22</v>
      </c>
      <c r="O142" s="12" t="str">
        <f t="shared" si="51"/>
        <v/>
      </c>
      <c r="P142" s="59">
        <v>65</v>
      </c>
      <c r="Q142" s="12" t="str">
        <f t="shared" si="52"/>
        <v/>
      </c>
      <c r="R142" s="81">
        <v>19</v>
      </c>
      <c r="S142" s="12" t="str">
        <f t="shared" si="53"/>
        <v/>
      </c>
      <c r="T142" s="81">
        <v>44</v>
      </c>
      <c r="U142" s="12" t="str">
        <f t="shared" si="54"/>
        <v/>
      </c>
      <c r="V142" s="59">
        <v>77</v>
      </c>
      <c r="W142" s="12" t="str">
        <f t="shared" si="55"/>
        <v/>
      </c>
      <c r="X142" s="81">
        <v>22</v>
      </c>
      <c r="Y142" s="12" t="str">
        <f t="shared" si="56"/>
        <v/>
      </c>
      <c r="Z142" s="81">
        <v>21</v>
      </c>
      <c r="AA142" s="12" t="str">
        <f t="shared" si="57"/>
        <v/>
      </c>
      <c r="AB142" s="59">
        <v>67</v>
      </c>
      <c r="AC142" s="12" t="str">
        <f t="shared" si="58"/>
        <v/>
      </c>
      <c r="AD142" s="81">
        <v>21</v>
      </c>
      <c r="AE142" s="12" t="str">
        <f t="shared" si="59"/>
        <v/>
      </c>
      <c r="AF142" s="81">
        <v>21</v>
      </c>
      <c r="AG142" s="12" t="str">
        <f t="shared" si="60"/>
        <v/>
      </c>
      <c r="AH142" s="81">
        <v>19</v>
      </c>
      <c r="AI142" s="12" t="str">
        <f t="shared" si="61"/>
        <v/>
      </c>
      <c r="AJ142" s="81">
        <v>18</v>
      </c>
      <c r="AK142" s="12" t="str">
        <f t="shared" si="62"/>
        <v/>
      </c>
      <c r="AL142" s="14">
        <f t="shared" si="42"/>
        <v>653</v>
      </c>
      <c r="AM142" s="69" t="s">
        <v>405</v>
      </c>
      <c r="AN142" s="14">
        <f t="shared" si="44"/>
        <v>1249</v>
      </c>
      <c r="AO142" s="14" t="str">
        <f t="shared" si="45"/>
        <v>PASS</v>
      </c>
      <c r="AP142" s="14" t="str">
        <f t="shared" si="43"/>
        <v>I</v>
      </c>
    </row>
    <row r="143" spans="2:42" ht="18" customHeight="1">
      <c r="B143" s="75">
        <v>146319</v>
      </c>
      <c r="C143" s="76" t="s">
        <v>258</v>
      </c>
      <c r="D143" s="59">
        <v>66</v>
      </c>
      <c r="E143" s="12" t="str">
        <f t="shared" si="46"/>
        <v/>
      </c>
      <c r="F143" s="81">
        <v>23</v>
      </c>
      <c r="G143" s="12" t="str">
        <f t="shared" si="47"/>
        <v/>
      </c>
      <c r="H143" s="81">
        <v>43</v>
      </c>
      <c r="I143" s="12" t="str">
        <f t="shared" si="48"/>
        <v/>
      </c>
      <c r="J143" s="59">
        <v>52</v>
      </c>
      <c r="K143" s="12" t="str">
        <f t="shared" si="49"/>
        <v/>
      </c>
      <c r="L143" s="81">
        <v>22</v>
      </c>
      <c r="M143" s="12" t="str">
        <f t="shared" si="50"/>
        <v/>
      </c>
      <c r="N143" s="81">
        <v>23</v>
      </c>
      <c r="O143" s="12" t="str">
        <f t="shared" si="51"/>
        <v/>
      </c>
      <c r="P143" s="59">
        <v>61</v>
      </c>
      <c r="Q143" s="12" t="str">
        <f t="shared" si="52"/>
        <v/>
      </c>
      <c r="R143" s="81">
        <v>23</v>
      </c>
      <c r="S143" s="12" t="str">
        <f t="shared" si="53"/>
        <v/>
      </c>
      <c r="T143" s="81">
        <v>43</v>
      </c>
      <c r="U143" s="12" t="str">
        <f t="shared" si="54"/>
        <v/>
      </c>
      <c r="V143" s="59">
        <v>60</v>
      </c>
      <c r="W143" s="12" t="str">
        <f t="shared" si="55"/>
        <v/>
      </c>
      <c r="X143" s="81">
        <v>18</v>
      </c>
      <c r="Y143" s="12" t="str">
        <f t="shared" si="56"/>
        <v/>
      </c>
      <c r="Z143" s="81">
        <v>20</v>
      </c>
      <c r="AA143" s="12" t="str">
        <f t="shared" si="57"/>
        <v/>
      </c>
      <c r="AB143" s="59">
        <v>41</v>
      </c>
      <c r="AC143" s="12" t="str">
        <f t="shared" si="58"/>
        <v/>
      </c>
      <c r="AD143" s="81">
        <v>20</v>
      </c>
      <c r="AE143" s="12" t="str">
        <f t="shared" si="59"/>
        <v/>
      </c>
      <c r="AF143" s="81">
        <v>21</v>
      </c>
      <c r="AG143" s="12" t="str">
        <f t="shared" si="60"/>
        <v/>
      </c>
      <c r="AH143" s="81">
        <v>19</v>
      </c>
      <c r="AI143" s="12" t="str">
        <f t="shared" si="61"/>
        <v/>
      </c>
      <c r="AJ143" s="81">
        <v>18</v>
      </c>
      <c r="AK143" s="12" t="str">
        <f t="shared" si="62"/>
        <v/>
      </c>
      <c r="AL143" s="14">
        <f t="shared" si="42"/>
        <v>573</v>
      </c>
      <c r="AM143" s="69" t="s">
        <v>406</v>
      </c>
      <c r="AN143" s="14">
        <f t="shared" si="44"/>
        <v>1138</v>
      </c>
      <c r="AO143" s="14" t="str">
        <f t="shared" si="45"/>
        <v>PASS</v>
      </c>
      <c r="AP143" s="14" t="str">
        <f t="shared" si="43"/>
        <v>I</v>
      </c>
    </row>
    <row r="144" spans="2:42" ht="18" customHeight="1">
      <c r="B144" s="75">
        <v>146320</v>
      </c>
      <c r="C144" s="76" t="s">
        <v>259</v>
      </c>
      <c r="D144" s="59">
        <v>65</v>
      </c>
      <c r="E144" s="12" t="str">
        <f t="shared" si="46"/>
        <v/>
      </c>
      <c r="F144" s="81">
        <v>21</v>
      </c>
      <c r="G144" s="12" t="str">
        <f t="shared" si="47"/>
        <v/>
      </c>
      <c r="H144" s="81">
        <v>45</v>
      </c>
      <c r="I144" s="12" t="str">
        <f t="shared" si="48"/>
        <v/>
      </c>
      <c r="J144" s="59">
        <v>72</v>
      </c>
      <c r="K144" s="12" t="str">
        <f t="shared" si="49"/>
        <v/>
      </c>
      <c r="L144" s="81">
        <v>22</v>
      </c>
      <c r="M144" s="12" t="str">
        <f t="shared" si="50"/>
        <v/>
      </c>
      <c r="N144" s="81">
        <v>22</v>
      </c>
      <c r="O144" s="12" t="str">
        <f t="shared" si="51"/>
        <v/>
      </c>
      <c r="P144" s="59">
        <v>66</v>
      </c>
      <c r="Q144" s="12" t="str">
        <f t="shared" si="52"/>
        <v/>
      </c>
      <c r="R144" s="81">
        <v>22</v>
      </c>
      <c r="S144" s="12" t="str">
        <f t="shared" si="53"/>
        <v/>
      </c>
      <c r="T144" s="81">
        <v>45</v>
      </c>
      <c r="U144" s="12" t="str">
        <f t="shared" si="54"/>
        <v/>
      </c>
      <c r="V144" s="59">
        <v>71</v>
      </c>
      <c r="W144" s="12" t="str">
        <f t="shared" si="55"/>
        <v/>
      </c>
      <c r="X144" s="81">
        <v>23</v>
      </c>
      <c r="Y144" s="12" t="str">
        <f t="shared" si="56"/>
        <v/>
      </c>
      <c r="Z144" s="81">
        <v>22</v>
      </c>
      <c r="AA144" s="12" t="str">
        <f t="shared" si="57"/>
        <v/>
      </c>
      <c r="AB144" s="59">
        <v>59</v>
      </c>
      <c r="AC144" s="12" t="str">
        <f t="shared" si="58"/>
        <v/>
      </c>
      <c r="AD144" s="81">
        <v>21</v>
      </c>
      <c r="AE144" s="12" t="str">
        <f t="shared" si="59"/>
        <v/>
      </c>
      <c r="AF144" s="81">
        <v>22</v>
      </c>
      <c r="AG144" s="12" t="str">
        <f t="shared" si="60"/>
        <v/>
      </c>
      <c r="AH144" s="81">
        <v>19</v>
      </c>
      <c r="AI144" s="12" t="str">
        <f t="shared" si="61"/>
        <v/>
      </c>
      <c r="AJ144" s="81">
        <v>18</v>
      </c>
      <c r="AK144" s="12" t="str">
        <f t="shared" si="62"/>
        <v/>
      </c>
      <c r="AL144" s="14">
        <f t="shared" si="42"/>
        <v>635</v>
      </c>
      <c r="AM144" s="69" t="s">
        <v>405</v>
      </c>
      <c r="AN144" s="14">
        <f t="shared" si="44"/>
        <v>1231</v>
      </c>
      <c r="AO144" s="14" t="str">
        <f t="shared" si="45"/>
        <v>PASS</v>
      </c>
      <c r="AP144" s="14" t="str">
        <f t="shared" si="43"/>
        <v>I</v>
      </c>
    </row>
    <row r="145" spans="2:42" ht="18" customHeight="1">
      <c r="B145" s="75">
        <v>146321</v>
      </c>
      <c r="C145" s="76" t="s">
        <v>329</v>
      </c>
      <c r="D145" s="59">
        <v>66</v>
      </c>
      <c r="E145" s="12" t="str">
        <f t="shared" si="46"/>
        <v/>
      </c>
      <c r="F145" s="81">
        <v>22</v>
      </c>
      <c r="G145" s="12" t="str">
        <f t="shared" si="47"/>
        <v/>
      </c>
      <c r="H145" s="81">
        <v>44</v>
      </c>
      <c r="I145" s="12" t="str">
        <f t="shared" si="48"/>
        <v/>
      </c>
      <c r="J145" s="59">
        <v>56</v>
      </c>
      <c r="K145" s="12" t="str">
        <f t="shared" si="49"/>
        <v/>
      </c>
      <c r="L145" s="81">
        <v>22</v>
      </c>
      <c r="M145" s="12" t="str">
        <f t="shared" si="50"/>
        <v/>
      </c>
      <c r="N145" s="81">
        <v>22</v>
      </c>
      <c r="O145" s="12" t="str">
        <f t="shared" si="51"/>
        <v/>
      </c>
      <c r="P145" s="59">
        <v>62</v>
      </c>
      <c r="Q145" s="12" t="str">
        <f t="shared" si="52"/>
        <v/>
      </c>
      <c r="R145" s="81">
        <v>23</v>
      </c>
      <c r="S145" s="12" t="str">
        <f t="shared" si="53"/>
        <v/>
      </c>
      <c r="T145" s="81">
        <v>44</v>
      </c>
      <c r="U145" s="12" t="str">
        <f t="shared" si="54"/>
        <v/>
      </c>
      <c r="V145" s="59">
        <v>53</v>
      </c>
      <c r="W145" s="12" t="str">
        <f t="shared" si="55"/>
        <v/>
      </c>
      <c r="X145" s="81">
        <v>23</v>
      </c>
      <c r="Y145" s="12" t="str">
        <f t="shared" si="56"/>
        <v/>
      </c>
      <c r="Z145" s="81">
        <v>23</v>
      </c>
      <c r="AA145" s="12" t="str">
        <f t="shared" si="57"/>
        <v/>
      </c>
      <c r="AB145" s="59">
        <v>70</v>
      </c>
      <c r="AC145" s="12" t="str">
        <f t="shared" si="58"/>
        <v/>
      </c>
      <c r="AD145" s="81">
        <v>23</v>
      </c>
      <c r="AE145" s="12" t="str">
        <f t="shared" si="59"/>
        <v/>
      </c>
      <c r="AF145" s="81">
        <v>22</v>
      </c>
      <c r="AG145" s="12" t="str">
        <f t="shared" si="60"/>
        <v/>
      </c>
      <c r="AH145" s="81">
        <v>22</v>
      </c>
      <c r="AI145" s="12" t="str">
        <f t="shared" si="61"/>
        <v/>
      </c>
      <c r="AJ145" s="81">
        <v>21</v>
      </c>
      <c r="AK145" s="12" t="str">
        <f t="shared" si="62"/>
        <v/>
      </c>
      <c r="AL145" s="14">
        <f t="shared" si="42"/>
        <v>618</v>
      </c>
      <c r="AM145" s="69" t="s">
        <v>394</v>
      </c>
      <c r="AN145" s="14">
        <f t="shared" si="44"/>
        <v>1202</v>
      </c>
      <c r="AO145" s="14" t="str">
        <f t="shared" si="45"/>
        <v>PASS</v>
      </c>
      <c r="AP145" s="14" t="str">
        <f t="shared" si="43"/>
        <v>I</v>
      </c>
    </row>
    <row r="146" spans="2:42" ht="18" customHeight="1">
      <c r="B146" s="75">
        <v>146322</v>
      </c>
      <c r="C146" s="76" t="s">
        <v>330</v>
      </c>
      <c r="D146" s="59">
        <v>73</v>
      </c>
      <c r="E146" s="12" t="str">
        <f t="shared" si="46"/>
        <v/>
      </c>
      <c r="F146" s="81">
        <v>20</v>
      </c>
      <c r="G146" s="12" t="str">
        <f t="shared" si="47"/>
        <v/>
      </c>
      <c r="H146" s="81">
        <v>42</v>
      </c>
      <c r="I146" s="12" t="str">
        <f t="shared" si="48"/>
        <v/>
      </c>
      <c r="J146" s="59">
        <v>64</v>
      </c>
      <c r="K146" s="12" t="str">
        <f t="shared" si="49"/>
        <v/>
      </c>
      <c r="L146" s="81">
        <v>22</v>
      </c>
      <c r="M146" s="12" t="str">
        <f t="shared" si="50"/>
        <v/>
      </c>
      <c r="N146" s="81">
        <v>22</v>
      </c>
      <c r="O146" s="12" t="str">
        <f t="shared" si="51"/>
        <v/>
      </c>
      <c r="P146" s="59">
        <v>63</v>
      </c>
      <c r="Q146" s="12" t="str">
        <f t="shared" si="52"/>
        <v/>
      </c>
      <c r="R146" s="81">
        <v>22</v>
      </c>
      <c r="S146" s="12" t="str">
        <f t="shared" si="53"/>
        <v/>
      </c>
      <c r="T146" s="81">
        <v>42</v>
      </c>
      <c r="U146" s="12" t="str">
        <f t="shared" si="54"/>
        <v/>
      </c>
      <c r="V146" s="59">
        <v>61</v>
      </c>
      <c r="W146" s="12" t="str">
        <f t="shared" si="55"/>
        <v/>
      </c>
      <c r="X146" s="81">
        <v>20</v>
      </c>
      <c r="Y146" s="12" t="str">
        <f t="shared" si="56"/>
        <v/>
      </c>
      <c r="Z146" s="81">
        <v>18</v>
      </c>
      <c r="AA146" s="12" t="str">
        <f t="shared" si="57"/>
        <v/>
      </c>
      <c r="AB146" s="59">
        <v>69</v>
      </c>
      <c r="AC146" s="12" t="str">
        <f t="shared" si="58"/>
        <v/>
      </c>
      <c r="AD146" s="81">
        <v>21</v>
      </c>
      <c r="AE146" s="12" t="str">
        <f t="shared" si="59"/>
        <v/>
      </c>
      <c r="AF146" s="81">
        <v>22</v>
      </c>
      <c r="AG146" s="12" t="str">
        <f t="shared" si="60"/>
        <v/>
      </c>
      <c r="AH146" s="81">
        <v>21</v>
      </c>
      <c r="AI146" s="12" t="str">
        <f t="shared" si="61"/>
        <v/>
      </c>
      <c r="AJ146" s="81">
        <v>20</v>
      </c>
      <c r="AK146" s="12" t="str">
        <f t="shared" si="62"/>
        <v/>
      </c>
      <c r="AL146" s="14">
        <f t="shared" si="42"/>
        <v>622</v>
      </c>
      <c r="AM146" s="69" t="s">
        <v>376</v>
      </c>
      <c r="AN146" s="14">
        <f t="shared" si="44"/>
        <v>1175</v>
      </c>
      <c r="AO146" s="14" t="str">
        <f t="shared" si="45"/>
        <v>PASS</v>
      </c>
      <c r="AP146" s="14" t="str">
        <f t="shared" si="43"/>
        <v>I</v>
      </c>
    </row>
    <row r="147" spans="2:42" ht="18" customHeight="1">
      <c r="B147" s="75">
        <v>146323</v>
      </c>
      <c r="C147" s="76" t="s">
        <v>260</v>
      </c>
      <c r="D147" s="59">
        <v>27</v>
      </c>
      <c r="E147" s="12" t="str">
        <f t="shared" si="46"/>
        <v>F</v>
      </c>
      <c r="F147" s="81">
        <v>22</v>
      </c>
      <c r="G147" s="12" t="str">
        <f t="shared" si="47"/>
        <v>E</v>
      </c>
      <c r="H147" s="81">
        <v>42</v>
      </c>
      <c r="I147" s="12" t="str">
        <f t="shared" si="48"/>
        <v>E</v>
      </c>
      <c r="J147" s="59">
        <v>4</v>
      </c>
      <c r="K147" s="12" t="str">
        <f t="shared" si="49"/>
        <v>F</v>
      </c>
      <c r="L147" s="81">
        <v>23</v>
      </c>
      <c r="M147" s="12" t="str">
        <f t="shared" si="50"/>
        <v>E</v>
      </c>
      <c r="N147" s="81">
        <v>23</v>
      </c>
      <c r="O147" s="12" t="str">
        <f t="shared" si="51"/>
        <v>E</v>
      </c>
      <c r="P147" s="59">
        <v>41</v>
      </c>
      <c r="Q147" s="12" t="str">
        <f t="shared" si="52"/>
        <v>E</v>
      </c>
      <c r="R147" s="81">
        <v>22</v>
      </c>
      <c r="S147" s="12" t="str">
        <f t="shared" si="53"/>
        <v>E</v>
      </c>
      <c r="T147" s="81">
        <v>42</v>
      </c>
      <c r="U147" s="12" t="str">
        <f t="shared" si="54"/>
        <v>E</v>
      </c>
      <c r="V147" s="59">
        <v>40</v>
      </c>
      <c r="W147" s="12" t="str">
        <f t="shared" si="55"/>
        <v>E</v>
      </c>
      <c r="X147" s="81">
        <v>22</v>
      </c>
      <c r="Y147" s="12" t="str">
        <f t="shared" si="56"/>
        <v>E</v>
      </c>
      <c r="Z147" s="81">
        <v>18</v>
      </c>
      <c r="AA147" s="12" t="str">
        <f t="shared" si="57"/>
        <v>E</v>
      </c>
      <c r="AB147" s="59">
        <v>42</v>
      </c>
      <c r="AC147" s="12" t="str">
        <f t="shared" si="58"/>
        <v>E</v>
      </c>
      <c r="AD147" s="81">
        <v>22</v>
      </c>
      <c r="AE147" s="12" t="str">
        <f t="shared" si="59"/>
        <v>E</v>
      </c>
      <c r="AF147" s="81">
        <v>22</v>
      </c>
      <c r="AG147" s="12" t="str">
        <f t="shared" si="60"/>
        <v>E</v>
      </c>
      <c r="AH147" s="81">
        <v>22</v>
      </c>
      <c r="AI147" s="12" t="str">
        <f t="shared" si="61"/>
        <v>E</v>
      </c>
      <c r="AJ147" s="81">
        <v>21</v>
      </c>
      <c r="AK147" s="12" t="str">
        <f t="shared" si="62"/>
        <v>E</v>
      </c>
      <c r="AL147" s="14">
        <f t="shared" si="42"/>
        <v>455</v>
      </c>
      <c r="AM147" s="69">
        <v>0</v>
      </c>
      <c r="AN147" s="14">
        <f t="shared" si="44"/>
        <v>455</v>
      </c>
      <c r="AO147" s="14" t="str">
        <f t="shared" si="45"/>
        <v>FAIL</v>
      </c>
      <c r="AP147" s="14" t="str">
        <f t="shared" si="43"/>
        <v>--</v>
      </c>
    </row>
    <row r="148" spans="2:42" ht="18" customHeight="1">
      <c r="B148" s="75">
        <v>146324</v>
      </c>
      <c r="C148" s="76" t="s">
        <v>331</v>
      </c>
      <c r="D148" s="59">
        <v>51</v>
      </c>
      <c r="E148" s="12" t="str">
        <f t="shared" si="46"/>
        <v/>
      </c>
      <c r="F148" s="81">
        <v>23</v>
      </c>
      <c r="G148" s="12" t="str">
        <f t="shared" si="47"/>
        <v/>
      </c>
      <c r="H148" s="81">
        <v>45</v>
      </c>
      <c r="I148" s="12" t="str">
        <f t="shared" si="48"/>
        <v/>
      </c>
      <c r="J148" s="59">
        <v>62</v>
      </c>
      <c r="K148" s="12" t="str">
        <f t="shared" si="49"/>
        <v/>
      </c>
      <c r="L148" s="81">
        <v>22</v>
      </c>
      <c r="M148" s="12" t="str">
        <f t="shared" si="50"/>
        <v/>
      </c>
      <c r="N148" s="81">
        <v>22</v>
      </c>
      <c r="O148" s="12" t="str">
        <f t="shared" si="51"/>
        <v/>
      </c>
      <c r="P148" s="59">
        <v>58</v>
      </c>
      <c r="Q148" s="12" t="str">
        <f t="shared" si="52"/>
        <v/>
      </c>
      <c r="R148" s="81">
        <v>23</v>
      </c>
      <c r="S148" s="12" t="str">
        <f t="shared" si="53"/>
        <v/>
      </c>
      <c r="T148" s="81">
        <v>45</v>
      </c>
      <c r="U148" s="12" t="str">
        <f t="shared" si="54"/>
        <v/>
      </c>
      <c r="V148" s="59">
        <v>64</v>
      </c>
      <c r="W148" s="12" t="str">
        <f t="shared" si="55"/>
        <v/>
      </c>
      <c r="X148" s="81">
        <v>21</v>
      </c>
      <c r="Y148" s="12" t="str">
        <f t="shared" si="56"/>
        <v/>
      </c>
      <c r="Z148" s="81">
        <v>20</v>
      </c>
      <c r="AA148" s="12" t="str">
        <f t="shared" si="57"/>
        <v/>
      </c>
      <c r="AB148" s="59">
        <v>58</v>
      </c>
      <c r="AC148" s="12" t="str">
        <f t="shared" si="58"/>
        <v/>
      </c>
      <c r="AD148" s="81">
        <v>22</v>
      </c>
      <c r="AE148" s="12" t="str">
        <f t="shared" si="59"/>
        <v/>
      </c>
      <c r="AF148" s="81">
        <v>22</v>
      </c>
      <c r="AG148" s="12" t="str">
        <f t="shared" si="60"/>
        <v/>
      </c>
      <c r="AH148" s="81">
        <v>21</v>
      </c>
      <c r="AI148" s="12" t="str">
        <f t="shared" si="61"/>
        <v/>
      </c>
      <c r="AJ148" s="81">
        <v>21</v>
      </c>
      <c r="AK148" s="12" t="str">
        <f t="shared" si="62"/>
        <v/>
      </c>
      <c r="AL148" s="14">
        <f t="shared" si="42"/>
        <v>600</v>
      </c>
      <c r="AM148" s="69" t="s">
        <v>362</v>
      </c>
      <c r="AN148" s="14">
        <f t="shared" si="44"/>
        <v>1119</v>
      </c>
      <c r="AO148" s="14" t="str">
        <f t="shared" si="45"/>
        <v>PASS</v>
      </c>
      <c r="AP148" s="14" t="str">
        <f t="shared" si="43"/>
        <v>I</v>
      </c>
    </row>
    <row r="149" spans="2:42" ht="18" customHeight="1">
      <c r="B149" s="75">
        <v>146325</v>
      </c>
      <c r="C149" s="76" t="s">
        <v>261</v>
      </c>
      <c r="D149" s="59">
        <v>61</v>
      </c>
      <c r="E149" s="12" t="str">
        <f t="shared" si="46"/>
        <v/>
      </c>
      <c r="F149" s="81">
        <v>22</v>
      </c>
      <c r="G149" s="12" t="str">
        <f t="shared" si="47"/>
        <v/>
      </c>
      <c r="H149" s="81">
        <v>46</v>
      </c>
      <c r="I149" s="12" t="str">
        <f t="shared" si="48"/>
        <v/>
      </c>
      <c r="J149" s="59">
        <v>55</v>
      </c>
      <c r="K149" s="12" t="str">
        <f t="shared" si="49"/>
        <v/>
      </c>
      <c r="L149" s="81">
        <v>22</v>
      </c>
      <c r="M149" s="12" t="str">
        <f t="shared" si="50"/>
        <v/>
      </c>
      <c r="N149" s="81">
        <v>22</v>
      </c>
      <c r="O149" s="12" t="str">
        <f t="shared" si="51"/>
        <v/>
      </c>
      <c r="P149" s="59">
        <v>60</v>
      </c>
      <c r="Q149" s="12" t="str">
        <f t="shared" si="52"/>
        <v/>
      </c>
      <c r="R149" s="81">
        <v>19</v>
      </c>
      <c r="S149" s="12" t="str">
        <f t="shared" si="53"/>
        <v/>
      </c>
      <c r="T149" s="81">
        <v>46</v>
      </c>
      <c r="U149" s="12" t="str">
        <f t="shared" si="54"/>
        <v/>
      </c>
      <c r="V149" s="59">
        <v>59</v>
      </c>
      <c r="W149" s="12" t="str">
        <f t="shared" si="55"/>
        <v/>
      </c>
      <c r="X149" s="81">
        <v>22</v>
      </c>
      <c r="Y149" s="12" t="str">
        <f t="shared" si="56"/>
        <v/>
      </c>
      <c r="Z149" s="81">
        <v>23</v>
      </c>
      <c r="AA149" s="12" t="str">
        <f t="shared" si="57"/>
        <v/>
      </c>
      <c r="AB149" s="59">
        <v>72</v>
      </c>
      <c r="AC149" s="12" t="str">
        <f t="shared" si="58"/>
        <v/>
      </c>
      <c r="AD149" s="81">
        <v>21</v>
      </c>
      <c r="AE149" s="12" t="str">
        <f t="shared" si="59"/>
        <v/>
      </c>
      <c r="AF149" s="81">
        <v>21</v>
      </c>
      <c r="AG149" s="12" t="str">
        <f t="shared" si="60"/>
        <v/>
      </c>
      <c r="AH149" s="81">
        <v>19</v>
      </c>
      <c r="AI149" s="12" t="str">
        <f t="shared" si="61"/>
        <v/>
      </c>
      <c r="AJ149" s="81">
        <v>19</v>
      </c>
      <c r="AK149" s="12" t="str">
        <f t="shared" si="62"/>
        <v/>
      </c>
      <c r="AL149" s="14">
        <f t="shared" si="42"/>
        <v>609</v>
      </c>
      <c r="AM149" s="69" t="s">
        <v>407</v>
      </c>
      <c r="AN149" s="14">
        <f t="shared" si="44"/>
        <v>1197</v>
      </c>
      <c r="AO149" s="14" t="str">
        <f t="shared" si="45"/>
        <v>PASS</v>
      </c>
      <c r="AP149" s="14" t="str">
        <f t="shared" si="43"/>
        <v>I</v>
      </c>
    </row>
    <row r="150" spans="2:42" ht="18" customHeight="1">
      <c r="B150" s="75">
        <v>146326</v>
      </c>
      <c r="C150" s="76" t="s">
        <v>262</v>
      </c>
      <c r="D150" s="59">
        <v>41</v>
      </c>
      <c r="E150" s="12" t="str">
        <f t="shared" si="46"/>
        <v/>
      </c>
      <c r="F150" s="81">
        <v>22</v>
      </c>
      <c r="G150" s="12" t="str">
        <f t="shared" si="47"/>
        <v/>
      </c>
      <c r="H150" s="81">
        <v>47</v>
      </c>
      <c r="I150" s="12" t="str">
        <f t="shared" si="48"/>
        <v/>
      </c>
      <c r="J150" s="59">
        <v>43</v>
      </c>
      <c r="K150" s="12" t="str">
        <f t="shared" si="49"/>
        <v/>
      </c>
      <c r="L150" s="81">
        <v>22</v>
      </c>
      <c r="M150" s="12" t="str">
        <f t="shared" si="50"/>
        <v/>
      </c>
      <c r="N150" s="81">
        <v>22</v>
      </c>
      <c r="O150" s="12" t="str">
        <f t="shared" si="51"/>
        <v/>
      </c>
      <c r="P150" s="59">
        <v>47</v>
      </c>
      <c r="Q150" s="12" t="str">
        <f t="shared" si="52"/>
        <v/>
      </c>
      <c r="R150" s="81">
        <v>20</v>
      </c>
      <c r="S150" s="12" t="str">
        <f t="shared" si="53"/>
        <v/>
      </c>
      <c r="T150" s="81">
        <v>47</v>
      </c>
      <c r="U150" s="12" t="str">
        <f t="shared" si="54"/>
        <v/>
      </c>
      <c r="V150" s="59">
        <v>57</v>
      </c>
      <c r="W150" s="12" t="str">
        <f t="shared" si="55"/>
        <v/>
      </c>
      <c r="X150" s="81">
        <v>22</v>
      </c>
      <c r="Y150" s="12" t="str">
        <f t="shared" si="56"/>
        <v/>
      </c>
      <c r="Z150" s="81">
        <v>22</v>
      </c>
      <c r="AA150" s="12" t="str">
        <f t="shared" si="57"/>
        <v/>
      </c>
      <c r="AB150" s="59">
        <v>61</v>
      </c>
      <c r="AC150" s="12" t="str">
        <f t="shared" si="58"/>
        <v/>
      </c>
      <c r="AD150" s="81">
        <v>22</v>
      </c>
      <c r="AE150" s="12" t="str">
        <f t="shared" si="59"/>
        <v/>
      </c>
      <c r="AF150" s="81">
        <v>21</v>
      </c>
      <c r="AG150" s="12" t="str">
        <f t="shared" si="60"/>
        <v/>
      </c>
      <c r="AH150" s="81">
        <v>21</v>
      </c>
      <c r="AI150" s="12" t="str">
        <f t="shared" si="61"/>
        <v/>
      </c>
      <c r="AJ150" s="81">
        <v>21</v>
      </c>
      <c r="AK150" s="12" t="str">
        <f t="shared" si="62"/>
        <v/>
      </c>
      <c r="AL150" s="14">
        <f t="shared" si="42"/>
        <v>558</v>
      </c>
      <c r="AM150" s="69" t="s">
        <v>408</v>
      </c>
      <c r="AN150" s="14">
        <f t="shared" si="44"/>
        <v>1065</v>
      </c>
      <c r="AO150" s="14" t="str">
        <f t="shared" si="45"/>
        <v>PASS</v>
      </c>
      <c r="AP150" s="14" t="str">
        <f t="shared" si="43"/>
        <v>I</v>
      </c>
    </row>
    <row r="151" spans="2:42" ht="18" customHeight="1">
      <c r="B151" s="75">
        <v>146327</v>
      </c>
      <c r="C151" s="76" t="s">
        <v>263</v>
      </c>
      <c r="D151" s="59">
        <v>68</v>
      </c>
      <c r="E151" s="12" t="str">
        <f t="shared" si="46"/>
        <v/>
      </c>
      <c r="F151" s="81">
        <v>20</v>
      </c>
      <c r="G151" s="12" t="str">
        <f t="shared" si="47"/>
        <v/>
      </c>
      <c r="H151" s="81">
        <v>44</v>
      </c>
      <c r="I151" s="12" t="str">
        <f t="shared" si="48"/>
        <v/>
      </c>
      <c r="J151" s="59">
        <v>58</v>
      </c>
      <c r="K151" s="12" t="str">
        <f t="shared" si="49"/>
        <v/>
      </c>
      <c r="L151" s="81">
        <v>20</v>
      </c>
      <c r="M151" s="12" t="str">
        <f t="shared" si="50"/>
        <v/>
      </c>
      <c r="N151" s="81">
        <v>20</v>
      </c>
      <c r="O151" s="12" t="str">
        <f t="shared" si="51"/>
        <v/>
      </c>
      <c r="P151" s="59">
        <v>56</v>
      </c>
      <c r="Q151" s="12" t="str">
        <f t="shared" si="52"/>
        <v/>
      </c>
      <c r="R151" s="81">
        <v>19</v>
      </c>
      <c r="S151" s="12" t="str">
        <f t="shared" si="53"/>
        <v/>
      </c>
      <c r="T151" s="81">
        <v>44</v>
      </c>
      <c r="U151" s="12" t="str">
        <f t="shared" si="54"/>
        <v/>
      </c>
      <c r="V151" s="59">
        <v>62</v>
      </c>
      <c r="W151" s="12" t="str">
        <f t="shared" si="55"/>
        <v/>
      </c>
      <c r="X151" s="81">
        <v>22</v>
      </c>
      <c r="Y151" s="12" t="str">
        <f t="shared" si="56"/>
        <v/>
      </c>
      <c r="Z151" s="81">
        <v>23</v>
      </c>
      <c r="AA151" s="12" t="str">
        <f t="shared" si="57"/>
        <v/>
      </c>
      <c r="AB151" s="59">
        <v>66</v>
      </c>
      <c r="AC151" s="12" t="str">
        <f t="shared" si="58"/>
        <v/>
      </c>
      <c r="AD151" s="81">
        <v>20</v>
      </c>
      <c r="AE151" s="12" t="str">
        <f t="shared" si="59"/>
        <v/>
      </c>
      <c r="AF151" s="81">
        <v>20</v>
      </c>
      <c r="AG151" s="12" t="str">
        <f t="shared" si="60"/>
        <v/>
      </c>
      <c r="AH151" s="81">
        <v>20</v>
      </c>
      <c r="AI151" s="12" t="str">
        <f t="shared" si="61"/>
        <v/>
      </c>
      <c r="AJ151" s="81">
        <v>20</v>
      </c>
      <c r="AK151" s="12" t="str">
        <f t="shared" si="62"/>
        <v/>
      </c>
      <c r="AL151" s="14">
        <f t="shared" si="42"/>
        <v>602</v>
      </c>
      <c r="AM151" s="69" t="s">
        <v>409</v>
      </c>
      <c r="AN151" s="14">
        <f t="shared" si="44"/>
        <v>1154</v>
      </c>
      <c r="AO151" s="14" t="str">
        <f t="shared" si="45"/>
        <v>PASS</v>
      </c>
      <c r="AP151" s="14" t="str">
        <f t="shared" si="43"/>
        <v>I</v>
      </c>
    </row>
    <row r="152" spans="2:42" ht="18" customHeight="1">
      <c r="B152" s="75">
        <v>146328</v>
      </c>
      <c r="C152" s="76" t="s">
        <v>264</v>
      </c>
      <c r="D152" s="59">
        <v>59</v>
      </c>
      <c r="E152" s="12" t="str">
        <f t="shared" si="46"/>
        <v/>
      </c>
      <c r="F152" s="81">
        <v>20</v>
      </c>
      <c r="G152" s="12" t="str">
        <f t="shared" si="47"/>
        <v/>
      </c>
      <c r="H152" s="81">
        <v>42</v>
      </c>
      <c r="I152" s="12" t="str">
        <f t="shared" si="48"/>
        <v/>
      </c>
      <c r="J152" s="59">
        <v>60</v>
      </c>
      <c r="K152" s="12" t="str">
        <f t="shared" si="49"/>
        <v/>
      </c>
      <c r="L152" s="81">
        <v>21</v>
      </c>
      <c r="M152" s="12" t="str">
        <f t="shared" si="50"/>
        <v/>
      </c>
      <c r="N152" s="81">
        <v>21</v>
      </c>
      <c r="O152" s="12" t="str">
        <f t="shared" si="51"/>
        <v/>
      </c>
      <c r="P152" s="59">
        <v>56</v>
      </c>
      <c r="Q152" s="12" t="str">
        <f t="shared" si="52"/>
        <v/>
      </c>
      <c r="R152" s="81">
        <v>20</v>
      </c>
      <c r="S152" s="12" t="str">
        <f t="shared" si="53"/>
        <v/>
      </c>
      <c r="T152" s="81">
        <v>42</v>
      </c>
      <c r="U152" s="12" t="str">
        <f t="shared" si="54"/>
        <v/>
      </c>
      <c r="V152" s="59">
        <v>66</v>
      </c>
      <c r="W152" s="12" t="str">
        <f t="shared" si="55"/>
        <v/>
      </c>
      <c r="X152" s="81">
        <v>20</v>
      </c>
      <c r="Y152" s="12" t="str">
        <f t="shared" si="56"/>
        <v/>
      </c>
      <c r="Z152" s="81">
        <v>19</v>
      </c>
      <c r="AA152" s="12" t="str">
        <f t="shared" si="57"/>
        <v/>
      </c>
      <c r="AB152" s="59">
        <v>65</v>
      </c>
      <c r="AC152" s="12" t="str">
        <f t="shared" si="58"/>
        <v/>
      </c>
      <c r="AD152" s="81">
        <v>19</v>
      </c>
      <c r="AE152" s="12" t="str">
        <f t="shared" si="59"/>
        <v/>
      </c>
      <c r="AF152" s="81">
        <v>18</v>
      </c>
      <c r="AG152" s="12" t="str">
        <f t="shared" si="60"/>
        <v/>
      </c>
      <c r="AH152" s="81">
        <v>20</v>
      </c>
      <c r="AI152" s="12" t="str">
        <f t="shared" si="61"/>
        <v/>
      </c>
      <c r="AJ152" s="81">
        <v>20</v>
      </c>
      <c r="AK152" s="12" t="str">
        <f t="shared" si="62"/>
        <v/>
      </c>
      <c r="AL152" s="14">
        <f t="shared" si="42"/>
        <v>588</v>
      </c>
      <c r="AM152" s="69" t="s">
        <v>410</v>
      </c>
      <c r="AN152" s="14">
        <f t="shared" si="44"/>
        <v>1096</v>
      </c>
      <c r="AO152" s="14" t="str">
        <f t="shared" si="45"/>
        <v>PASS</v>
      </c>
      <c r="AP152" s="14" t="str">
        <f t="shared" si="43"/>
        <v>I</v>
      </c>
    </row>
    <row r="153" spans="2:42" ht="18" customHeight="1">
      <c r="B153" s="75">
        <v>146329</v>
      </c>
      <c r="C153" s="76" t="s">
        <v>265</v>
      </c>
      <c r="D153" s="59">
        <v>57</v>
      </c>
      <c r="E153" s="12" t="str">
        <f t="shared" si="46"/>
        <v/>
      </c>
      <c r="F153" s="81">
        <v>21</v>
      </c>
      <c r="G153" s="12" t="str">
        <f t="shared" si="47"/>
        <v/>
      </c>
      <c r="H153" s="81">
        <v>38</v>
      </c>
      <c r="I153" s="12" t="str">
        <f t="shared" si="48"/>
        <v/>
      </c>
      <c r="J153" s="59">
        <v>52</v>
      </c>
      <c r="K153" s="12" t="str">
        <f t="shared" si="49"/>
        <v/>
      </c>
      <c r="L153" s="81">
        <v>21</v>
      </c>
      <c r="M153" s="12" t="str">
        <f t="shared" si="50"/>
        <v/>
      </c>
      <c r="N153" s="81">
        <v>21</v>
      </c>
      <c r="O153" s="12" t="str">
        <f t="shared" si="51"/>
        <v/>
      </c>
      <c r="P153" s="59">
        <v>64</v>
      </c>
      <c r="Q153" s="12" t="str">
        <f t="shared" si="52"/>
        <v/>
      </c>
      <c r="R153" s="81">
        <v>19</v>
      </c>
      <c r="S153" s="12" t="str">
        <f t="shared" si="53"/>
        <v/>
      </c>
      <c r="T153" s="81">
        <v>38</v>
      </c>
      <c r="U153" s="12" t="str">
        <f t="shared" si="54"/>
        <v/>
      </c>
      <c r="V153" s="59">
        <v>57</v>
      </c>
      <c r="W153" s="12" t="str">
        <f t="shared" si="55"/>
        <v/>
      </c>
      <c r="X153" s="81">
        <v>19</v>
      </c>
      <c r="Y153" s="12" t="str">
        <f t="shared" si="56"/>
        <v/>
      </c>
      <c r="Z153" s="81">
        <v>22</v>
      </c>
      <c r="AA153" s="12" t="str">
        <f t="shared" si="57"/>
        <v/>
      </c>
      <c r="AB153" s="59">
        <v>52</v>
      </c>
      <c r="AC153" s="12" t="str">
        <f t="shared" si="58"/>
        <v/>
      </c>
      <c r="AD153" s="81">
        <v>20</v>
      </c>
      <c r="AE153" s="12" t="str">
        <f t="shared" si="59"/>
        <v/>
      </c>
      <c r="AF153" s="81">
        <v>21</v>
      </c>
      <c r="AG153" s="12" t="str">
        <f t="shared" si="60"/>
        <v/>
      </c>
      <c r="AH153" s="81">
        <v>19</v>
      </c>
      <c r="AI153" s="12" t="str">
        <f t="shared" si="61"/>
        <v/>
      </c>
      <c r="AJ153" s="81">
        <v>19</v>
      </c>
      <c r="AK153" s="12" t="str">
        <f t="shared" si="62"/>
        <v/>
      </c>
      <c r="AL153" s="14">
        <f t="shared" ref="AL153:AL185" si="63">SUM(EXTRACTNUMBER(D153),EXTRACTNUMBER(F153),
EXTRACTNUMBER(H153),EXTRACTNUMBER(J153),
EXTRACTNUMBER(L153),EXTRACTNUMBER(N153),
EXTRACTNUMBER(P153),EXTRACTNUMBER(R153),
EXTRACTNUMBER(T153),EXTRACTNUMBER(V153),
EXTRACTNUMBER(X153),EXTRACTNUMBER(Z153),EXTRACTNUMBER(AB153),
EXTRACTNUMBER(AD153),EXTRACTNUMBER(AH153),EXTRACTNUMBER(AF153),EXTRACTNUMBER(AJ153))</f>
        <v>560</v>
      </c>
      <c r="AM153" s="69" t="s">
        <v>411</v>
      </c>
      <c r="AN153" s="14">
        <f t="shared" si="44"/>
        <v>1072</v>
      </c>
      <c r="AO153" s="14" t="str">
        <f t="shared" si="45"/>
        <v>PASS</v>
      </c>
      <c r="AP153" s="14" t="str">
        <f t="shared" ref="AP153:AP185" si="64">IF(AO153="ABSENT","AB",IF(AO153="FAIL","--",
IF(AM153=0,"RS 5",IF(AND(COUNTIF(D153:AK153," "),AO153="pass"),"P",
IF(AND(SUM(EXTRACTNUMBER(AL153),EXTRACTNUMBER(AM153))&gt;=1010,
        NOT(IFERROR(FIND("x",AL153),0)),
        NOT(IFERROR(FIND("x",AM153),0))),"I",
IF(AND(SUM(EXTRACTNUMBER(AL153),EXTRACTNUMBER(AM153))&gt;=850,
      SUM(EXTRACTNUMBER(AL153),EXTRACTNUMBER(AM153))&lt;1010,
      NOT(IFERROR(FIND("x",AL153),0)),
      NOT(IFERROR(FIND("x",AM153),0))),"II",
IF(OR(AND(SUM(EXTRACTNUMBER(AL153),EXTRACTNUMBER(AM153))&lt;850,
SUM(EXTRACTNUMBER(AL153),EXTRACTNUMBER(AM153))&gt;=670),
IFERROR(FIND("x",AL153),0),IFERROR(FIND("x",AM153),0)),"P","--")))))))</f>
        <v>I</v>
      </c>
    </row>
    <row r="154" spans="2:42" ht="18" customHeight="1">
      <c r="B154" s="75">
        <v>146330</v>
      </c>
      <c r="C154" s="76" t="s">
        <v>266</v>
      </c>
      <c r="D154" s="59">
        <v>46</v>
      </c>
      <c r="E154" s="12" t="str">
        <f t="shared" si="46"/>
        <v/>
      </c>
      <c r="F154" s="81">
        <v>19</v>
      </c>
      <c r="G154" s="12" t="str">
        <f t="shared" si="47"/>
        <v/>
      </c>
      <c r="H154" s="81">
        <v>39</v>
      </c>
      <c r="I154" s="12" t="str">
        <f t="shared" si="48"/>
        <v/>
      </c>
      <c r="J154" s="59">
        <v>43</v>
      </c>
      <c r="K154" s="12" t="str">
        <f t="shared" si="49"/>
        <v/>
      </c>
      <c r="L154" s="81">
        <v>19</v>
      </c>
      <c r="M154" s="12" t="str">
        <f t="shared" si="50"/>
        <v/>
      </c>
      <c r="N154" s="81">
        <v>19</v>
      </c>
      <c r="O154" s="12" t="str">
        <f t="shared" si="51"/>
        <v/>
      </c>
      <c r="P154" s="59">
        <v>47</v>
      </c>
      <c r="Q154" s="12" t="str">
        <f t="shared" si="52"/>
        <v/>
      </c>
      <c r="R154" s="81">
        <v>19</v>
      </c>
      <c r="S154" s="12" t="str">
        <f t="shared" si="53"/>
        <v/>
      </c>
      <c r="T154" s="81">
        <v>39</v>
      </c>
      <c r="U154" s="12" t="str">
        <f t="shared" si="54"/>
        <v/>
      </c>
      <c r="V154" s="59">
        <v>43</v>
      </c>
      <c r="W154" s="12" t="str">
        <f t="shared" si="55"/>
        <v/>
      </c>
      <c r="X154" s="81">
        <v>20</v>
      </c>
      <c r="Y154" s="12" t="str">
        <f t="shared" si="56"/>
        <v/>
      </c>
      <c r="Z154" s="81">
        <v>22</v>
      </c>
      <c r="AA154" s="12" t="str">
        <f t="shared" si="57"/>
        <v/>
      </c>
      <c r="AB154" s="59">
        <v>45</v>
      </c>
      <c r="AC154" s="12" t="str">
        <f t="shared" si="58"/>
        <v/>
      </c>
      <c r="AD154" s="81">
        <v>20</v>
      </c>
      <c r="AE154" s="12" t="str">
        <f t="shared" si="59"/>
        <v/>
      </c>
      <c r="AF154" s="81">
        <v>20</v>
      </c>
      <c r="AG154" s="12" t="str">
        <f t="shared" si="60"/>
        <v/>
      </c>
      <c r="AH154" s="81">
        <v>18</v>
      </c>
      <c r="AI154" s="12" t="str">
        <f t="shared" si="61"/>
        <v/>
      </c>
      <c r="AJ154" s="81">
        <v>18</v>
      </c>
      <c r="AK154" s="12" t="str">
        <f t="shared" si="62"/>
        <v/>
      </c>
      <c r="AL154" s="14">
        <f t="shared" si="63"/>
        <v>496</v>
      </c>
      <c r="AM154" s="69" t="s">
        <v>171</v>
      </c>
      <c r="AN154" s="14">
        <f t="shared" ref="AN154:AN185" si="65">IF(COUNTIF(D154:AK154," "),SUM(EXTRACTNUMBER(AL154),EXTRACTNUMBER(AM154)),IF(IFERROR(FIND("x",AM154),0),SUM(EXTRACTNUMBER(AL154),EXTRACTNUMBER(AM154)),IF(AND(SUM(EXTRACTNUMBER(AL154),EXTRACTNUMBER(AM154))&gt;1009,        SUM(EXTRACTNUMBER(AL154),EXTRACTNUMBER(AM154))&lt;1020),
CONCATENATE(SUM(EXTRACTNUMBER(AL154),EXTRACTNUMBER(AM154)),"@",1020-SUM(EXTRACTNUMBER(AL154),EXTRACTNUMBER(AM154))),
IF(AND(SUM(EXTRACTNUMBER(AL154),EXTRACTNUMBER(AM154))&gt;839,   SUM(EXTRACTNUMBER(AL154),EXTRACTNUMBER(AM154))&lt;850),CONCATENATE(SUM(EXTRACTNUMBER(AL154),EXTRACTNUMBER(AM154)),"@",850-SUM(EXTRACTNUMBER(AL154),EXTRACTNUMBER(AM154))),
IF(AND(SUM(EXTRACTNUMBER(AL154),EXTRACTNUMBER(AM154))&gt;669,        SUM(EXTRACTNUMBER(AL154),EXTRACTNUMBER(AM154))&lt;680),
CONCATENATE(SUM(EXTRACTNUMBER(AL154),EXTRACTNUMBER(AM154)),"@",680-SUM(EXTRACTNUMBER(AL154),EXTRACTNUMBER(AM154))),
SUM(EXTRACTNUMBER(AL154),EXTRACTNUMBER(AM154)))))))</f>
        <v>972</v>
      </c>
      <c r="AO154" s="14" t="str">
        <f t="shared" ref="AO154:AO185" si="66">IF(AND(COUNTIF(D154:AK154,"AB")&lt;17-COUNTIF(D154:AK154," "),
COUNTIF(D154:AK154,"AB")&lt;&gt;0),"FAIL",
IF(COUNTIF(D154:AK154,"AB")=17-COUNTIF(D154:AK154," "),"ABSENT",
IF(AND(COUNTIF(D154:AK154,"AB")=0,COUNTIF(D154:AK154,"F")=0),"PASS","FAIL")))</f>
        <v>PASS</v>
      </c>
      <c r="AP154" s="14" t="str">
        <f t="shared" si="64"/>
        <v>P</v>
      </c>
    </row>
    <row r="155" spans="2:42" ht="18" customHeight="1">
      <c r="B155" s="75">
        <v>146331</v>
      </c>
      <c r="C155" s="76" t="s">
        <v>267</v>
      </c>
      <c r="D155" s="59">
        <v>56</v>
      </c>
      <c r="E155" s="12" t="str">
        <f t="shared" si="46"/>
        <v/>
      </c>
      <c r="F155" s="81">
        <v>21</v>
      </c>
      <c r="G155" s="12" t="str">
        <f t="shared" si="47"/>
        <v/>
      </c>
      <c r="H155" s="81">
        <v>41</v>
      </c>
      <c r="I155" s="12" t="str">
        <f t="shared" si="48"/>
        <v/>
      </c>
      <c r="J155" s="59">
        <v>46</v>
      </c>
      <c r="K155" s="12" t="str">
        <f t="shared" si="49"/>
        <v/>
      </c>
      <c r="L155" s="81">
        <v>21</v>
      </c>
      <c r="M155" s="12" t="str">
        <f t="shared" si="50"/>
        <v/>
      </c>
      <c r="N155" s="81">
        <v>21</v>
      </c>
      <c r="O155" s="12" t="str">
        <f t="shared" si="51"/>
        <v/>
      </c>
      <c r="P155" s="59">
        <v>49</v>
      </c>
      <c r="Q155" s="12" t="str">
        <f t="shared" si="52"/>
        <v/>
      </c>
      <c r="R155" s="81">
        <v>22</v>
      </c>
      <c r="S155" s="12" t="str">
        <f t="shared" si="53"/>
        <v/>
      </c>
      <c r="T155" s="81">
        <v>41</v>
      </c>
      <c r="U155" s="12" t="str">
        <f t="shared" si="54"/>
        <v/>
      </c>
      <c r="V155" s="59">
        <v>50</v>
      </c>
      <c r="W155" s="12" t="str">
        <f t="shared" si="55"/>
        <v/>
      </c>
      <c r="X155" s="81">
        <v>20</v>
      </c>
      <c r="Y155" s="12" t="str">
        <f t="shared" si="56"/>
        <v/>
      </c>
      <c r="Z155" s="81">
        <v>17</v>
      </c>
      <c r="AA155" s="12" t="str">
        <f t="shared" si="57"/>
        <v/>
      </c>
      <c r="AB155" s="59">
        <v>42</v>
      </c>
      <c r="AC155" s="12" t="str">
        <f t="shared" si="58"/>
        <v/>
      </c>
      <c r="AD155" s="81">
        <v>21</v>
      </c>
      <c r="AE155" s="12" t="str">
        <f t="shared" si="59"/>
        <v/>
      </c>
      <c r="AF155" s="81">
        <v>21</v>
      </c>
      <c r="AG155" s="12" t="str">
        <f t="shared" si="60"/>
        <v/>
      </c>
      <c r="AH155" s="81">
        <v>20</v>
      </c>
      <c r="AI155" s="12" t="str">
        <f t="shared" si="61"/>
        <v/>
      </c>
      <c r="AJ155" s="81">
        <v>20</v>
      </c>
      <c r="AK155" s="12" t="str">
        <f t="shared" si="62"/>
        <v/>
      </c>
      <c r="AL155" s="14">
        <f t="shared" si="63"/>
        <v>529</v>
      </c>
      <c r="AM155" s="69" t="s">
        <v>412</v>
      </c>
      <c r="AN155" s="14">
        <f t="shared" si="65"/>
        <v>1031</v>
      </c>
      <c r="AO155" s="14" t="str">
        <f t="shared" si="66"/>
        <v>PASS</v>
      </c>
      <c r="AP155" s="14" t="str">
        <f t="shared" si="64"/>
        <v>I</v>
      </c>
    </row>
    <row r="156" spans="2:42" ht="18" customHeight="1">
      <c r="B156" s="75">
        <v>146332</v>
      </c>
      <c r="C156" s="76" t="s">
        <v>332</v>
      </c>
      <c r="D156" s="59">
        <v>58</v>
      </c>
      <c r="E156" s="12" t="str">
        <f t="shared" si="46"/>
        <v/>
      </c>
      <c r="F156" s="81">
        <v>20</v>
      </c>
      <c r="G156" s="12" t="str">
        <f t="shared" si="47"/>
        <v/>
      </c>
      <c r="H156" s="81">
        <v>41</v>
      </c>
      <c r="I156" s="12" t="str">
        <f t="shared" si="48"/>
        <v/>
      </c>
      <c r="J156" s="59">
        <v>59</v>
      </c>
      <c r="K156" s="12" t="str">
        <f t="shared" si="49"/>
        <v/>
      </c>
      <c r="L156" s="81">
        <v>21</v>
      </c>
      <c r="M156" s="12" t="str">
        <f t="shared" si="50"/>
        <v/>
      </c>
      <c r="N156" s="81">
        <v>21</v>
      </c>
      <c r="O156" s="12" t="str">
        <f t="shared" si="51"/>
        <v/>
      </c>
      <c r="P156" s="59">
        <v>55</v>
      </c>
      <c r="Q156" s="12" t="str">
        <f t="shared" si="52"/>
        <v/>
      </c>
      <c r="R156" s="81">
        <v>19</v>
      </c>
      <c r="S156" s="12" t="str">
        <f t="shared" si="53"/>
        <v/>
      </c>
      <c r="T156" s="81">
        <v>41</v>
      </c>
      <c r="U156" s="12" t="str">
        <f t="shared" si="54"/>
        <v/>
      </c>
      <c r="V156" s="59">
        <v>50</v>
      </c>
      <c r="W156" s="12" t="str">
        <f t="shared" si="55"/>
        <v/>
      </c>
      <c r="X156" s="81">
        <v>19</v>
      </c>
      <c r="Y156" s="12" t="str">
        <f t="shared" si="56"/>
        <v/>
      </c>
      <c r="Z156" s="81">
        <v>20</v>
      </c>
      <c r="AA156" s="12" t="str">
        <f t="shared" si="57"/>
        <v/>
      </c>
      <c r="AB156" s="59">
        <v>56</v>
      </c>
      <c r="AC156" s="12" t="str">
        <f t="shared" si="58"/>
        <v/>
      </c>
      <c r="AD156" s="81">
        <v>19</v>
      </c>
      <c r="AE156" s="12" t="str">
        <f t="shared" si="59"/>
        <v/>
      </c>
      <c r="AF156" s="81">
        <v>21</v>
      </c>
      <c r="AG156" s="12" t="str">
        <f t="shared" si="60"/>
        <v/>
      </c>
      <c r="AH156" s="81">
        <v>19</v>
      </c>
      <c r="AI156" s="12" t="str">
        <f t="shared" si="61"/>
        <v/>
      </c>
      <c r="AJ156" s="81">
        <v>19</v>
      </c>
      <c r="AK156" s="12" t="str">
        <f t="shared" si="62"/>
        <v/>
      </c>
      <c r="AL156" s="14">
        <f t="shared" si="63"/>
        <v>558</v>
      </c>
      <c r="AM156" s="69" t="s">
        <v>427</v>
      </c>
      <c r="AN156" s="14">
        <f t="shared" si="65"/>
        <v>1104</v>
      </c>
      <c r="AO156" s="14" t="str">
        <f t="shared" si="66"/>
        <v>PASS</v>
      </c>
      <c r="AP156" s="14" t="str">
        <f t="shared" si="64"/>
        <v>P</v>
      </c>
    </row>
    <row r="157" spans="2:42" ht="18" customHeight="1">
      <c r="B157" s="75">
        <v>146333</v>
      </c>
      <c r="C157" s="76" t="s">
        <v>268</v>
      </c>
      <c r="D157" s="59">
        <v>15</v>
      </c>
      <c r="E157" s="12" t="str">
        <f t="shared" si="46"/>
        <v>F</v>
      </c>
      <c r="F157" s="81">
        <v>21</v>
      </c>
      <c r="G157" s="12" t="str">
        <f t="shared" si="47"/>
        <v>E</v>
      </c>
      <c r="H157" s="81">
        <v>42</v>
      </c>
      <c r="I157" s="12" t="str">
        <f t="shared" si="48"/>
        <v>E</v>
      </c>
      <c r="J157" s="59">
        <v>51</v>
      </c>
      <c r="K157" s="12" t="str">
        <f t="shared" si="49"/>
        <v>E</v>
      </c>
      <c r="L157" s="81">
        <v>23</v>
      </c>
      <c r="M157" s="12" t="str">
        <f t="shared" si="50"/>
        <v>E</v>
      </c>
      <c r="N157" s="81">
        <v>23</v>
      </c>
      <c r="O157" s="12" t="str">
        <f t="shared" si="51"/>
        <v>E</v>
      </c>
      <c r="P157" s="59">
        <v>48</v>
      </c>
      <c r="Q157" s="12" t="str">
        <f t="shared" si="52"/>
        <v>E</v>
      </c>
      <c r="R157" s="81">
        <v>22</v>
      </c>
      <c r="S157" s="12" t="str">
        <f t="shared" si="53"/>
        <v>E</v>
      </c>
      <c r="T157" s="81">
        <v>42</v>
      </c>
      <c r="U157" s="12" t="str">
        <f t="shared" si="54"/>
        <v>E</v>
      </c>
      <c r="V157" s="59">
        <v>41</v>
      </c>
      <c r="W157" s="12" t="str">
        <f t="shared" si="55"/>
        <v>E</v>
      </c>
      <c r="X157" s="81">
        <v>21</v>
      </c>
      <c r="Y157" s="12" t="str">
        <f t="shared" si="56"/>
        <v>E</v>
      </c>
      <c r="Z157" s="81">
        <v>21</v>
      </c>
      <c r="AA157" s="12" t="str">
        <f t="shared" si="57"/>
        <v>E</v>
      </c>
      <c r="AB157" s="59">
        <v>50</v>
      </c>
      <c r="AC157" s="12" t="str">
        <f t="shared" si="58"/>
        <v>E</v>
      </c>
      <c r="AD157" s="81">
        <v>23</v>
      </c>
      <c r="AE157" s="12" t="str">
        <f t="shared" si="59"/>
        <v>E</v>
      </c>
      <c r="AF157" s="81">
        <v>22</v>
      </c>
      <c r="AG157" s="12" t="str">
        <f t="shared" si="60"/>
        <v>E</v>
      </c>
      <c r="AH157" s="81">
        <v>21</v>
      </c>
      <c r="AI157" s="12" t="str">
        <f t="shared" si="61"/>
        <v>E</v>
      </c>
      <c r="AJ157" s="81">
        <v>21</v>
      </c>
      <c r="AK157" s="12" t="str">
        <f t="shared" si="62"/>
        <v>E</v>
      </c>
      <c r="AL157" s="14">
        <f t="shared" si="63"/>
        <v>507</v>
      </c>
      <c r="AM157" s="69" t="s">
        <v>439</v>
      </c>
      <c r="AN157" s="14">
        <f t="shared" si="65"/>
        <v>1026</v>
      </c>
      <c r="AO157" s="14" t="str">
        <f t="shared" si="66"/>
        <v>FAIL</v>
      </c>
      <c r="AP157" s="14" t="str">
        <f t="shared" si="64"/>
        <v>--</v>
      </c>
    </row>
    <row r="158" spans="2:42" ht="18" customHeight="1">
      <c r="B158" s="75">
        <v>146334</v>
      </c>
      <c r="C158" s="76" t="s">
        <v>269</v>
      </c>
      <c r="D158" s="59">
        <v>57</v>
      </c>
      <c r="E158" s="12" t="str">
        <f t="shared" si="46"/>
        <v/>
      </c>
      <c r="F158" s="81">
        <v>23</v>
      </c>
      <c r="G158" s="12" t="str">
        <f t="shared" si="47"/>
        <v/>
      </c>
      <c r="H158" s="81">
        <v>43</v>
      </c>
      <c r="I158" s="12" t="str">
        <f t="shared" si="48"/>
        <v/>
      </c>
      <c r="J158" s="59">
        <v>55</v>
      </c>
      <c r="K158" s="12" t="str">
        <f t="shared" si="49"/>
        <v/>
      </c>
      <c r="L158" s="81">
        <v>22</v>
      </c>
      <c r="M158" s="12" t="str">
        <f t="shared" si="50"/>
        <v/>
      </c>
      <c r="N158" s="81">
        <v>22</v>
      </c>
      <c r="O158" s="12" t="str">
        <f t="shared" si="51"/>
        <v/>
      </c>
      <c r="P158" s="59">
        <v>57</v>
      </c>
      <c r="Q158" s="12" t="str">
        <f t="shared" si="52"/>
        <v/>
      </c>
      <c r="R158" s="81">
        <v>23</v>
      </c>
      <c r="S158" s="12" t="str">
        <f t="shared" si="53"/>
        <v/>
      </c>
      <c r="T158" s="81">
        <v>43</v>
      </c>
      <c r="U158" s="12" t="str">
        <f t="shared" si="54"/>
        <v/>
      </c>
      <c r="V158" s="59">
        <v>50</v>
      </c>
      <c r="W158" s="12" t="str">
        <f t="shared" si="55"/>
        <v/>
      </c>
      <c r="X158" s="81">
        <v>22</v>
      </c>
      <c r="Y158" s="12" t="str">
        <f t="shared" si="56"/>
        <v/>
      </c>
      <c r="Z158" s="81">
        <v>24</v>
      </c>
      <c r="AA158" s="12" t="str">
        <f t="shared" si="57"/>
        <v/>
      </c>
      <c r="AB158" s="59">
        <v>63</v>
      </c>
      <c r="AC158" s="12" t="str">
        <f t="shared" si="58"/>
        <v/>
      </c>
      <c r="AD158" s="81">
        <v>22</v>
      </c>
      <c r="AE158" s="12" t="str">
        <f t="shared" si="59"/>
        <v/>
      </c>
      <c r="AF158" s="81">
        <v>22</v>
      </c>
      <c r="AG158" s="12" t="str">
        <f t="shared" si="60"/>
        <v/>
      </c>
      <c r="AH158" s="81">
        <v>22</v>
      </c>
      <c r="AI158" s="12" t="str">
        <f t="shared" si="61"/>
        <v/>
      </c>
      <c r="AJ158" s="81">
        <v>22</v>
      </c>
      <c r="AK158" s="12" t="str">
        <f t="shared" si="62"/>
        <v/>
      </c>
      <c r="AL158" s="14">
        <f t="shared" si="63"/>
        <v>592</v>
      </c>
      <c r="AM158" s="69" t="s">
        <v>440</v>
      </c>
      <c r="AN158" s="14">
        <f t="shared" si="65"/>
        <v>1140</v>
      </c>
      <c r="AO158" s="14" t="str">
        <f t="shared" si="66"/>
        <v>PASS</v>
      </c>
      <c r="AP158" s="14" t="str">
        <f t="shared" si="64"/>
        <v>P</v>
      </c>
    </row>
    <row r="159" spans="2:42" ht="18" customHeight="1">
      <c r="B159" s="75">
        <v>146335</v>
      </c>
      <c r="C159" s="76" t="s">
        <v>270</v>
      </c>
      <c r="D159" s="59">
        <v>42</v>
      </c>
      <c r="E159" s="12" t="str">
        <f t="shared" si="46"/>
        <v/>
      </c>
      <c r="F159" s="81">
        <v>21</v>
      </c>
      <c r="G159" s="12" t="str">
        <f t="shared" si="47"/>
        <v/>
      </c>
      <c r="H159" s="81">
        <v>45</v>
      </c>
      <c r="I159" s="12" t="str">
        <f t="shared" si="48"/>
        <v/>
      </c>
      <c r="J159" s="59">
        <v>52</v>
      </c>
      <c r="K159" s="12" t="str">
        <f t="shared" si="49"/>
        <v/>
      </c>
      <c r="L159" s="81">
        <v>23</v>
      </c>
      <c r="M159" s="12" t="str">
        <f t="shared" si="50"/>
        <v/>
      </c>
      <c r="N159" s="81">
        <v>23</v>
      </c>
      <c r="O159" s="12" t="str">
        <f t="shared" si="51"/>
        <v/>
      </c>
      <c r="P159" s="59">
        <v>45</v>
      </c>
      <c r="Q159" s="12" t="str">
        <f t="shared" si="52"/>
        <v/>
      </c>
      <c r="R159" s="81">
        <v>20</v>
      </c>
      <c r="S159" s="12" t="str">
        <f t="shared" si="53"/>
        <v/>
      </c>
      <c r="T159" s="81">
        <v>45</v>
      </c>
      <c r="U159" s="12" t="str">
        <f t="shared" si="54"/>
        <v/>
      </c>
      <c r="V159" s="59">
        <v>44</v>
      </c>
      <c r="W159" s="12" t="str">
        <f t="shared" si="55"/>
        <v/>
      </c>
      <c r="X159" s="81">
        <v>21</v>
      </c>
      <c r="Y159" s="12" t="str">
        <f t="shared" si="56"/>
        <v/>
      </c>
      <c r="Z159" s="81">
        <v>22</v>
      </c>
      <c r="AA159" s="12" t="str">
        <f t="shared" si="57"/>
        <v/>
      </c>
      <c r="AB159" s="59">
        <v>57</v>
      </c>
      <c r="AC159" s="12" t="str">
        <f t="shared" si="58"/>
        <v/>
      </c>
      <c r="AD159" s="81">
        <v>23</v>
      </c>
      <c r="AE159" s="12" t="str">
        <f t="shared" si="59"/>
        <v/>
      </c>
      <c r="AF159" s="81">
        <v>23</v>
      </c>
      <c r="AG159" s="12" t="str">
        <f t="shared" si="60"/>
        <v/>
      </c>
      <c r="AH159" s="81">
        <v>21</v>
      </c>
      <c r="AI159" s="12" t="str">
        <f t="shared" si="61"/>
        <v/>
      </c>
      <c r="AJ159" s="81">
        <v>22</v>
      </c>
      <c r="AK159" s="12" t="str">
        <f t="shared" si="62"/>
        <v/>
      </c>
      <c r="AL159" s="14">
        <f t="shared" si="63"/>
        <v>549</v>
      </c>
      <c r="AM159" s="69" t="s">
        <v>441</v>
      </c>
      <c r="AN159" s="14">
        <f t="shared" si="65"/>
        <v>1061</v>
      </c>
      <c r="AO159" s="14" t="str">
        <f t="shared" si="66"/>
        <v>PASS</v>
      </c>
      <c r="AP159" s="14" t="str">
        <f t="shared" si="64"/>
        <v>P</v>
      </c>
    </row>
    <row r="160" spans="2:42" ht="18" customHeight="1">
      <c r="B160" s="75">
        <v>146336</v>
      </c>
      <c r="C160" s="76" t="s">
        <v>271</v>
      </c>
      <c r="D160" s="59">
        <v>69</v>
      </c>
      <c r="E160" s="12" t="str">
        <f t="shared" si="46"/>
        <v/>
      </c>
      <c r="F160" s="81">
        <v>22</v>
      </c>
      <c r="G160" s="12" t="str">
        <f t="shared" si="47"/>
        <v/>
      </c>
      <c r="H160" s="81">
        <v>42</v>
      </c>
      <c r="I160" s="12" t="str">
        <f t="shared" si="48"/>
        <v/>
      </c>
      <c r="J160" s="59">
        <v>77</v>
      </c>
      <c r="K160" s="12" t="str">
        <f t="shared" si="49"/>
        <v/>
      </c>
      <c r="L160" s="81">
        <v>22</v>
      </c>
      <c r="M160" s="12" t="str">
        <f t="shared" si="50"/>
        <v/>
      </c>
      <c r="N160" s="81">
        <v>22</v>
      </c>
      <c r="O160" s="12" t="str">
        <f t="shared" si="51"/>
        <v/>
      </c>
      <c r="P160" s="59">
        <v>62</v>
      </c>
      <c r="Q160" s="12" t="str">
        <f t="shared" si="52"/>
        <v/>
      </c>
      <c r="R160" s="81">
        <v>20</v>
      </c>
      <c r="S160" s="12" t="str">
        <f t="shared" si="53"/>
        <v/>
      </c>
      <c r="T160" s="81">
        <v>42</v>
      </c>
      <c r="U160" s="12" t="str">
        <f t="shared" si="54"/>
        <v/>
      </c>
      <c r="V160" s="59">
        <v>53</v>
      </c>
      <c r="W160" s="12" t="str">
        <f t="shared" si="55"/>
        <v/>
      </c>
      <c r="X160" s="81">
        <v>23</v>
      </c>
      <c r="Y160" s="12" t="str">
        <f t="shared" si="56"/>
        <v/>
      </c>
      <c r="Z160" s="81">
        <v>20</v>
      </c>
      <c r="AA160" s="12" t="str">
        <f t="shared" si="57"/>
        <v/>
      </c>
      <c r="AB160" s="59">
        <v>74</v>
      </c>
      <c r="AC160" s="12" t="str">
        <f t="shared" si="58"/>
        <v/>
      </c>
      <c r="AD160" s="81">
        <v>22</v>
      </c>
      <c r="AE160" s="12" t="str">
        <f t="shared" si="59"/>
        <v/>
      </c>
      <c r="AF160" s="81">
        <v>22</v>
      </c>
      <c r="AG160" s="12" t="str">
        <f t="shared" si="60"/>
        <v/>
      </c>
      <c r="AH160" s="81">
        <v>21</v>
      </c>
      <c r="AI160" s="12" t="str">
        <f t="shared" si="61"/>
        <v/>
      </c>
      <c r="AJ160" s="81">
        <v>22</v>
      </c>
      <c r="AK160" s="12" t="str">
        <f t="shared" si="62"/>
        <v/>
      </c>
      <c r="AL160" s="14">
        <f t="shared" si="63"/>
        <v>635</v>
      </c>
      <c r="AM160" s="69" t="s">
        <v>384</v>
      </c>
      <c r="AN160" s="14">
        <f t="shared" si="65"/>
        <v>1162</v>
      </c>
      <c r="AO160" s="14" t="str">
        <f t="shared" si="66"/>
        <v>PASS</v>
      </c>
      <c r="AP160" s="14" t="str">
        <f t="shared" si="64"/>
        <v>I</v>
      </c>
    </row>
    <row r="161" spans="2:42" ht="18" customHeight="1">
      <c r="B161" s="75">
        <v>146337</v>
      </c>
      <c r="C161" s="77" t="s">
        <v>333</v>
      </c>
      <c r="D161" s="59">
        <v>44</v>
      </c>
      <c r="E161" s="12" t="str">
        <f t="shared" si="46"/>
        <v/>
      </c>
      <c r="F161" s="81">
        <v>23</v>
      </c>
      <c r="G161" s="12" t="str">
        <f t="shared" si="47"/>
        <v/>
      </c>
      <c r="H161" s="81">
        <v>45</v>
      </c>
      <c r="I161" s="12" t="str">
        <f t="shared" si="48"/>
        <v/>
      </c>
      <c r="J161" s="59">
        <v>51</v>
      </c>
      <c r="K161" s="12" t="str">
        <f t="shared" si="49"/>
        <v/>
      </c>
      <c r="L161" s="81">
        <v>23</v>
      </c>
      <c r="M161" s="12" t="str">
        <f t="shared" si="50"/>
        <v/>
      </c>
      <c r="N161" s="81">
        <v>23</v>
      </c>
      <c r="O161" s="12" t="str">
        <f t="shared" si="51"/>
        <v/>
      </c>
      <c r="P161" s="59">
        <v>52</v>
      </c>
      <c r="Q161" s="12" t="str">
        <f t="shared" si="52"/>
        <v/>
      </c>
      <c r="R161" s="81">
        <v>23</v>
      </c>
      <c r="S161" s="12" t="str">
        <f t="shared" si="53"/>
        <v/>
      </c>
      <c r="T161" s="81">
        <v>45</v>
      </c>
      <c r="U161" s="12" t="str">
        <f t="shared" si="54"/>
        <v/>
      </c>
      <c r="V161" s="59">
        <v>40</v>
      </c>
      <c r="W161" s="12" t="str">
        <f t="shared" si="55"/>
        <v/>
      </c>
      <c r="X161" s="81">
        <v>21</v>
      </c>
      <c r="Y161" s="12" t="str">
        <f t="shared" si="56"/>
        <v/>
      </c>
      <c r="Z161" s="81">
        <v>17</v>
      </c>
      <c r="AA161" s="12" t="str">
        <f t="shared" si="57"/>
        <v/>
      </c>
      <c r="AB161" s="59">
        <v>47</v>
      </c>
      <c r="AC161" s="12" t="str">
        <f t="shared" si="58"/>
        <v/>
      </c>
      <c r="AD161" s="81">
        <v>21</v>
      </c>
      <c r="AE161" s="12" t="str">
        <f t="shared" si="59"/>
        <v/>
      </c>
      <c r="AF161" s="81">
        <v>21</v>
      </c>
      <c r="AG161" s="12" t="str">
        <f t="shared" si="60"/>
        <v/>
      </c>
      <c r="AH161" s="81">
        <v>21</v>
      </c>
      <c r="AI161" s="12" t="str">
        <f t="shared" si="61"/>
        <v/>
      </c>
      <c r="AJ161" s="81">
        <v>22</v>
      </c>
      <c r="AK161" s="12" t="str">
        <f t="shared" si="62"/>
        <v/>
      </c>
      <c r="AL161" s="14">
        <f t="shared" si="63"/>
        <v>539</v>
      </c>
      <c r="AM161" s="69" t="s">
        <v>417</v>
      </c>
      <c r="AN161" s="14">
        <f t="shared" si="65"/>
        <v>1059</v>
      </c>
      <c r="AO161" s="14" t="str">
        <f t="shared" si="66"/>
        <v>PASS</v>
      </c>
      <c r="AP161" s="14" t="str">
        <f t="shared" si="64"/>
        <v>P</v>
      </c>
    </row>
    <row r="162" spans="2:42" ht="18" customHeight="1">
      <c r="B162" s="75">
        <v>146338</v>
      </c>
      <c r="C162" s="76" t="s">
        <v>334</v>
      </c>
      <c r="D162" s="59">
        <v>49</v>
      </c>
      <c r="E162" s="12" t="str">
        <f t="shared" si="46"/>
        <v/>
      </c>
      <c r="F162" s="81">
        <v>23</v>
      </c>
      <c r="G162" s="12" t="str">
        <f t="shared" si="47"/>
        <v/>
      </c>
      <c r="H162" s="81">
        <v>45</v>
      </c>
      <c r="I162" s="12" t="str">
        <f t="shared" si="48"/>
        <v/>
      </c>
      <c r="J162" s="59">
        <v>67</v>
      </c>
      <c r="K162" s="12" t="str">
        <f t="shared" si="49"/>
        <v/>
      </c>
      <c r="L162" s="81">
        <v>23</v>
      </c>
      <c r="M162" s="12" t="str">
        <f t="shared" si="50"/>
        <v/>
      </c>
      <c r="N162" s="81">
        <v>23</v>
      </c>
      <c r="O162" s="12" t="str">
        <f t="shared" si="51"/>
        <v/>
      </c>
      <c r="P162" s="59">
        <v>65</v>
      </c>
      <c r="Q162" s="12" t="str">
        <f t="shared" si="52"/>
        <v/>
      </c>
      <c r="R162" s="81">
        <v>23</v>
      </c>
      <c r="S162" s="12" t="str">
        <f t="shared" si="53"/>
        <v/>
      </c>
      <c r="T162" s="81">
        <v>45</v>
      </c>
      <c r="U162" s="12" t="str">
        <f t="shared" si="54"/>
        <v/>
      </c>
      <c r="V162" s="59">
        <v>52</v>
      </c>
      <c r="W162" s="12" t="str">
        <f t="shared" si="55"/>
        <v/>
      </c>
      <c r="X162" s="81">
        <v>23</v>
      </c>
      <c r="Y162" s="12" t="str">
        <f t="shared" si="56"/>
        <v/>
      </c>
      <c r="Z162" s="81">
        <v>19</v>
      </c>
      <c r="AA162" s="12" t="str">
        <f t="shared" si="57"/>
        <v/>
      </c>
      <c r="AB162" s="59">
        <v>56</v>
      </c>
      <c r="AC162" s="12" t="str">
        <f t="shared" si="58"/>
        <v/>
      </c>
      <c r="AD162" s="81">
        <v>23</v>
      </c>
      <c r="AE162" s="12" t="str">
        <f t="shared" si="59"/>
        <v/>
      </c>
      <c r="AF162" s="81">
        <v>22</v>
      </c>
      <c r="AG162" s="12" t="str">
        <f t="shared" si="60"/>
        <v/>
      </c>
      <c r="AH162" s="81">
        <v>22</v>
      </c>
      <c r="AI162" s="12" t="str">
        <f t="shared" si="61"/>
        <v/>
      </c>
      <c r="AJ162" s="81">
        <v>23</v>
      </c>
      <c r="AK162" s="12" t="str">
        <f t="shared" si="62"/>
        <v/>
      </c>
      <c r="AL162" s="14">
        <f t="shared" si="63"/>
        <v>603</v>
      </c>
      <c r="AM162" s="69" t="s">
        <v>359</v>
      </c>
      <c r="AN162" s="14">
        <f t="shared" si="65"/>
        <v>1120</v>
      </c>
      <c r="AO162" s="14" t="str">
        <f t="shared" si="66"/>
        <v>PASS</v>
      </c>
      <c r="AP162" s="14" t="str">
        <f t="shared" si="64"/>
        <v>I</v>
      </c>
    </row>
    <row r="163" spans="2:42" ht="18" customHeight="1">
      <c r="B163" s="75">
        <v>146339</v>
      </c>
      <c r="C163" s="76" t="s">
        <v>272</v>
      </c>
      <c r="D163" s="59">
        <v>49</v>
      </c>
      <c r="E163" s="12" t="str">
        <f t="shared" si="46"/>
        <v/>
      </c>
      <c r="F163" s="81">
        <v>21</v>
      </c>
      <c r="G163" s="12" t="str">
        <f t="shared" si="47"/>
        <v/>
      </c>
      <c r="H163" s="81">
        <v>38</v>
      </c>
      <c r="I163" s="12" t="str">
        <f t="shared" si="48"/>
        <v/>
      </c>
      <c r="J163" s="59">
        <v>50</v>
      </c>
      <c r="K163" s="12" t="str">
        <f t="shared" si="49"/>
        <v/>
      </c>
      <c r="L163" s="81">
        <v>21</v>
      </c>
      <c r="M163" s="12" t="str">
        <f t="shared" si="50"/>
        <v/>
      </c>
      <c r="N163" s="81">
        <v>21</v>
      </c>
      <c r="O163" s="12" t="str">
        <f t="shared" si="51"/>
        <v/>
      </c>
      <c r="P163" s="59">
        <v>44</v>
      </c>
      <c r="Q163" s="12" t="str">
        <f t="shared" si="52"/>
        <v/>
      </c>
      <c r="R163" s="81">
        <v>23</v>
      </c>
      <c r="S163" s="12" t="str">
        <f t="shared" si="53"/>
        <v/>
      </c>
      <c r="T163" s="81">
        <v>38</v>
      </c>
      <c r="U163" s="12" t="str">
        <f t="shared" si="54"/>
        <v/>
      </c>
      <c r="V163" s="59">
        <v>44</v>
      </c>
      <c r="W163" s="12" t="str">
        <f t="shared" si="55"/>
        <v/>
      </c>
      <c r="X163" s="81">
        <v>21</v>
      </c>
      <c r="Y163" s="12" t="str">
        <f t="shared" si="56"/>
        <v/>
      </c>
      <c r="Z163" s="81">
        <v>21</v>
      </c>
      <c r="AA163" s="12" t="str">
        <f t="shared" si="57"/>
        <v/>
      </c>
      <c r="AB163" s="59">
        <v>47</v>
      </c>
      <c r="AC163" s="12" t="str">
        <f t="shared" si="58"/>
        <v/>
      </c>
      <c r="AD163" s="81">
        <v>19</v>
      </c>
      <c r="AE163" s="12" t="str">
        <f t="shared" si="59"/>
        <v/>
      </c>
      <c r="AF163" s="81">
        <v>20</v>
      </c>
      <c r="AG163" s="12" t="str">
        <f t="shared" si="60"/>
        <v/>
      </c>
      <c r="AH163" s="81">
        <v>20</v>
      </c>
      <c r="AI163" s="12" t="str">
        <f t="shared" si="61"/>
        <v/>
      </c>
      <c r="AJ163" s="81">
        <v>21</v>
      </c>
      <c r="AK163" s="12" t="str">
        <f t="shared" si="62"/>
        <v/>
      </c>
      <c r="AL163" s="14">
        <f t="shared" si="63"/>
        <v>518</v>
      </c>
      <c r="AM163" s="69" t="s">
        <v>413</v>
      </c>
      <c r="AN163" s="14">
        <f t="shared" si="65"/>
        <v>986</v>
      </c>
      <c r="AO163" s="14" t="str">
        <f t="shared" si="66"/>
        <v>PASS</v>
      </c>
      <c r="AP163" s="14" t="str">
        <f t="shared" si="64"/>
        <v>II</v>
      </c>
    </row>
    <row r="164" spans="2:42" ht="18" customHeight="1">
      <c r="B164" s="75">
        <v>146340</v>
      </c>
      <c r="C164" s="76" t="s">
        <v>335</v>
      </c>
      <c r="D164" s="59">
        <v>54</v>
      </c>
      <c r="E164" s="12" t="str">
        <f t="shared" si="46"/>
        <v/>
      </c>
      <c r="F164" s="81">
        <v>20</v>
      </c>
      <c r="G164" s="12" t="str">
        <f t="shared" si="47"/>
        <v/>
      </c>
      <c r="H164" s="81">
        <v>40</v>
      </c>
      <c r="I164" s="12" t="str">
        <f t="shared" si="48"/>
        <v/>
      </c>
      <c r="J164" s="59">
        <v>50</v>
      </c>
      <c r="K164" s="12" t="str">
        <f t="shared" si="49"/>
        <v/>
      </c>
      <c r="L164" s="81">
        <v>22</v>
      </c>
      <c r="M164" s="12" t="str">
        <f t="shared" si="50"/>
        <v/>
      </c>
      <c r="N164" s="81">
        <v>22</v>
      </c>
      <c r="O164" s="12" t="str">
        <f t="shared" si="51"/>
        <v/>
      </c>
      <c r="P164" s="59">
        <v>40</v>
      </c>
      <c r="Q164" s="12" t="str">
        <f t="shared" si="52"/>
        <v/>
      </c>
      <c r="R164" s="81">
        <v>22</v>
      </c>
      <c r="S164" s="12" t="str">
        <f t="shared" si="53"/>
        <v/>
      </c>
      <c r="T164" s="81">
        <v>40</v>
      </c>
      <c r="U164" s="12" t="str">
        <f t="shared" si="54"/>
        <v/>
      </c>
      <c r="V164" s="59">
        <v>41</v>
      </c>
      <c r="W164" s="12" t="str">
        <f t="shared" si="55"/>
        <v/>
      </c>
      <c r="X164" s="81">
        <v>22</v>
      </c>
      <c r="Y164" s="12" t="str">
        <f t="shared" si="56"/>
        <v/>
      </c>
      <c r="Z164" s="81">
        <v>18</v>
      </c>
      <c r="AA164" s="12" t="str">
        <f t="shared" si="57"/>
        <v/>
      </c>
      <c r="AB164" s="59">
        <v>49</v>
      </c>
      <c r="AC164" s="12" t="str">
        <f t="shared" si="58"/>
        <v/>
      </c>
      <c r="AD164" s="81">
        <v>22</v>
      </c>
      <c r="AE164" s="12" t="str">
        <f t="shared" si="59"/>
        <v/>
      </c>
      <c r="AF164" s="81">
        <v>22</v>
      </c>
      <c r="AG164" s="12" t="str">
        <f t="shared" si="60"/>
        <v/>
      </c>
      <c r="AH164" s="81">
        <v>22</v>
      </c>
      <c r="AI164" s="12" t="str">
        <f t="shared" si="61"/>
        <v/>
      </c>
      <c r="AJ164" s="81">
        <v>23</v>
      </c>
      <c r="AK164" s="12" t="str">
        <f t="shared" si="62"/>
        <v/>
      </c>
      <c r="AL164" s="14">
        <f t="shared" si="63"/>
        <v>529</v>
      </c>
      <c r="AM164" s="69" t="s">
        <v>414</v>
      </c>
      <c r="AN164" s="14">
        <f t="shared" si="65"/>
        <v>987</v>
      </c>
      <c r="AO164" s="14" t="str">
        <f t="shared" si="66"/>
        <v>PASS</v>
      </c>
      <c r="AP164" s="14" t="str">
        <f t="shared" si="64"/>
        <v>II</v>
      </c>
    </row>
    <row r="165" spans="2:42" ht="18" customHeight="1">
      <c r="B165" s="75">
        <v>146341</v>
      </c>
      <c r="C165" s="76" t="s">
        <v>273</v>
      </c>
      <c r="D165" s="59">
        <v>57</v>
      </c>
      <c r="E165" s="12" t="str">
        <f t="shared" si="46"/>
        <v/>
      </c>
      <c r="F165" s="81">
        <v>21</v>
      </c>
      <c r="G165" s="12" t="str">
        <f t="shared" si="47"/>
        <v/>
      </c>
      <c r="H165" s="81">
        <v>39</v>
      </c>
      <c r="I165" s="12" t="str">
        <f t="shared" si="48"/>
        <v/>
      </c>
      <c r="J165" s="59">
        <v>55</v>
      </c>
      <c r="K165" s="12" t="str">
        <f t="shared" si="49"/>
        <v/>
      </c>
      <c r="L165" s="81">
        <v>21</v>
      </c>
      <c r="M165" s="12" t="str">
        <f t="shared" si="50"/>
        <v/>
      </c>
      <c r="N165" s="81">
        <v>21</v>
      </c>
      <c r="O165" s="12" t="str">
        <f t="shared" si="51"/>
        <v/>
      </c>
      <c r="P165" s="59">
        <v>61</v>
      </c>
      <c r="Q165" s="12" t="str">
        <f t="shared" si="52"/>
        <v/>
      </c>
      <c r="R165" s="81">
        <v>21</v>
      </c>
      <c r="S165" s="12" t="str">
        <f t="shared" si="53"/>
        <v/>
      </c>
      <c r="T165" s="81">
        <v>39</v>
      </c>
      <c r="U165" s="12" t="str">
        <f t="shared" si="54"/>
        <v/>
      </c>
      <c r="V165" s="59">
        <v>46</v>
      </c>
      <c r="W165" s="12" t="str">
        <f t="shared" si="55"/>
        <v/>
      </c>
      <c r="X165" s="81">
        <v>18</v>
      </c>
      <c r="Y165" s="12" t="str">
        <f t="shared" si="56"/>
        <v/>
      </c>
      <c r="Z165" s="81">
        <v>19</v>
      </c>
      <c r="AA165" s="12" t="str">
        <f t="shared" si="57"/>
        <v/>
      </c>
      <c r="AB165" s="59">
        <v>49</v>
      </c>
      <c r="AC165" s="12" t="str">
        <f t="shared" si="58"/>
        <v/>
      </c>
      <c r="AD165" s="81">
        <v>20</v>
      </c>
      <c r="AE165" s="12" t="str">
        <f t="shared" si="59"/>
        <v/>
      </c>
      <c r="AF165" s="81">
        <v>19</v>
      </c>
      <c r="AG165" s="12" t="str">
        <f t="shared" si="60"/>
        <v/>
      </c>
      <c r="AH165" s="81">
        <v>19</v>
      </c>
      <c r="AI165" s="12" t="str">
        <f t="shared" si="61"/>
        <v/>
      </c>
      <c r="AJ165" s="81">
        <v>20</v>
      </c>
      <c r="AK165" s="12" t="str">
        <f t="shared" si="62"/>
        <v/>
      </c>
      <c r="AL165" s="14">
        <f t="shared" si="63"/>
        <v>545</v>
      </c>
      <c r="AM165" s="69" t="s">
        <v>442</v>
      </c>
      <c r="AN165" s="14">
        <f t="shared" si="65"/>
        <v>1058</v>
      </c>
      <c r="AO165" s="14" t="str">
        <f t="shared" si="66"/>
        <v>PASS</v>
      </c>
      <c r="AP165" s="14" t="str">
        <f t="shared" si="64"/>
        <v>P</v>
      </c>
    </row>
    <row r="166" spans="2:42" ht="18" customHeight="1">
      <c r="B166" s="75">
        <v>146342</v>
      </c>
      <c r="C166" s="76" t="s">
        <v>274</v>
      </c>
      <c r="D166" s="59">
        <v>65</v>
      </c>
      <c r="E166" s="12" t="str">
        <f t="shared" si="46"/>
        <v/>
      </c>
      <c r="F166" s="81">
        <v>24</v>
      </c>
      <c r="G166" s="12" t="str">
        <f t="shared" si="47"/>
        <v/>
      </c>
      <c r="H166" s="81">
        <v>48</v>
      </c>
      <c r="I166" s="12" t="str">
        <f t="shared" si="48"/>
        <v/>
      </c>
      <c r="J166" s="59">
        <v>70</v>
      </c>
      <c r="K166" s="12" t="str">
        <f t="shared" si="49"/>
        <v/>
      </c>
      <c r="L166" s="81">
        <v>23</v>
      </c>
      <c r="M166" s="12" t="str">
        <f t="shared" si="50"/>
        <v/>
      </c>
      <c r="N166" s="81">
        <v>24</v>
      </c>
      <c r="O166" s="12" t="str">
        <f t="shared" si="51"/>
        <v/>
      </c>
      <c r="P166" s="59">
        <v>54</v>
      </c>
      <c r="Q166" s="12" t="str">
        <f t="shared" si="52"/>
        <v/>
      </c>
      <c r="R166" s="81">
        <v>24</v>
      </c>
      <c r="S166" s="12" t="str">
        <f t="shared" si="53"/>
        <v/>
      </c>
      <c r="T166" s="81">
        <v>48</v>
      </c>
      <c r="U166" s="12" t="str">
        <f t="shared" si="54"/>
        <v/>
      </c>
      <c r="V166" s="59">
        <v>48</v>
      </c>
      <c r="W166" s="12" t="str">
        <f t="shared" si="55"/>
        <v/>
      </c>
      <c r="X166" s="81">
        <v>23</v>
      </c>
      <c r="Y166" s="12" t="str">
        <f t="shared" si="56"/>
        <v/>
      </c>
      <c r="Z166" s="81">
        <v>23</v>
      </c>
      <c r="AA166" s="12" t="str">
        <f t="shared" si="57"/>
        <v/>
      </c>
      <c r="AB166" s="59">
        <v>78</v>
      </c>
      <c r="AC166" s="12" t="str">
        <f t="shared" si="58"/>
        <v/>
      </c>
      <c r="AD166" s="81">
        <v>24</v>
      </c>
      <c r="AE166" s="12" t="str">
        <f t="shared" si="59"/>
        <v/>
      </c>
      <c r="AF166" s="81">
        <v>24</v>
      </c>
      <c r="AG166" s="12" t="str">
        <f t="shared" si="60"/>
        <v/>
      </c>
      <c r="AH166" s="81">
        <v>22</v>
      </c>
      <c r="AI166" s="12" t="str">
        <f t="shared" si="61"/>
        <v/>
      </c>
      <c r="AJ166" s="81">
        <v>23</v>
      </c>
      <c r="AK166" s="12" t="str">
        <f t="shared" si="62"/>
        <v/>
      </c>
      <c r="AL166" s="14">
        <f t="shared" si="63"/>
        <v>645</v>
      </c>
      <c r="AM166" s="69" t="s">
        <v>415</v>
      </c>
      <c r="AN166" s="14">
        <f t="shared" si="65"/>
        <v>1246</v>
      </c>
      <c r="AO166" s="14" t="str">
        <f t="shared" si="66"/>
        <v>PASS</v>
      </c>
      <c r="AP166" s="14" t="str">
        <f t="shared" si="64"/>
        <v>I</v>
      </c>
    </row>
    <row r="167" spans="2:42" ht="18" customHeight="1">
      <c r="B167" s="75">
        <v>146343</v>
      </c>
      <c r="C167" s="76" t="s">
        <v>275</v>
      </c>
      <c r="D167" s="59">
        <v>65</v>
      </c>
      <c r="E167" s="12" t="str">
        <f t="shared" si="46"/>
        <v/>
      </c>
      <c r="F167" s="81">
        <v>21</v>
      </c>
      <c r="G167" s="12" t="str">
        <f t="shared" si="47"/>
        <v/>
      </c>
      <c r="H167" s="81">
        <v>42</v>
      </c>
      <c r="I167" s="12" t="str">
        <f t="shared" si="48"/>
        <v/>
      </c>
      <c r="J167" s="59">
        <v>57</v>
      </c>
      <c r="K167" s="12" t="str">
        <f t="shared" si="49"/>
        <v/>
      </c>
      <c r="L167" s="81">
        <v>21</v>
      </c>
      <c r="M167" s="12" t="str">
        <f t="shared" si="50"/>
        <v/>
      </c>
      <c r="N167" s="81">
        <v>21</v>
      </c>
      <c r="O167" s="12" t="str">
        <f t="shared" si="51"/>
        <v/>
      </c>
      <c r="P167" s="59">
        <v>56</v>
      </c>
      <c r="Q167" s="12" t="str">
        <f t="shared" si="52"/>
        <v/>
      </c>
      <c r="R167" s="81">
        <v>23</v>
      </c>
      <c r="S167" s="12" t="str">
        <f t="shared" si="53"/>
        <v/>
      </c>
      <c r="T167" s="81">
        <v>41</v>
      </c>
      <c r="U167" s="12" t="str">
        <f t="shared" si="54"/>
        <v/>
      </c>
      <c r="V167" s="59">
        <v>49</v>
      </c>
      <c r="W167" s="12" t="str">
        <f t="shared" si="55"/>
        <v/>
      </c>
      <c r="X167" s="81">
        <v>22</v>
      </c>
      <c r="Y167" s="12" t="str">
        <f t="shared" si="56"/>
        <v/>
      </c>
      <c r="Z167" s="81">
        <v>20</v>
      </c>
      <c r="AA167" s="12" t="str">
        <f t="shared" si="57"/>
        <v/>
      </c>
      <c r="AB167" s="59">
        <v>59</v>
      </c>
      <c r="AC167" s="12" t="str">
        <f t="shared" si="58"/>
        <v/>
      </c>
      <c r="AD167" s="81">
        <v>20</v>
      </c>
      <c r="AE167" s="12" t="str">
        <f t="shared" si="59"/>
        <v/>
      </c>
      <c r="AF167" s="81">
        <v>20</v>
      </c>
      <c r="AG167" s="12" t="str">
        <f t="shared" si="60"/>
        <v/>
      </c>
      <c r="AH167" s="81">
        <v>22</v>
      </c>
      <c r="AI167" s="12" t="str">
        <f t="shared" si="61"/>
        <v/>
      </c>
      <c r="AJ167" s="81">
        <v>20</v>
      </c>
      <c r="AK167" s="12" t="str">
        <f t="shared" si="62"/>
        <v/>
      </c>
      <c r="AL167" s="14">
        <f t="shared" si="63"/>
        <v>579</v>
      </c>
      <c r="AM167" s="69" t="s">
        <v>395</v>
      </c>
      <c r="AN167" s="14">
        <f t="shared" si="65"/>
        <v>1101</v>
      </c>
      <c r="AO167" s="14" t="str">
        <f t="shared" si="66"/>
        <v>PASS</v>
      </c>
      <c r="AP167" s="14" t="str">
        <f t="shared" si="64"/>
        <v>I</v>
      </c>
    </row>
    <row r="168" spans="2:42" ht="18" customHeight="1">
      <c r="B168" s="75">
        <v>146344</v>
      </c>
      <c r="C168" s="76" t="s">
        <v>336</v>
      </c>
      <c r="D168" s="59">
        <v>70</v>
      </c>
      <c r="E168" s="12" t="str">
        <f t="shared" si="46"/>
        <v/>
      </c>
      <c r="F168" s="81">
        <v>24</v>
      </c>
      <c r="G168" s="12" t="str">
        <f t="shared" si="47"/>
        <v/>
      </c>
      <c r="H168" s="81">
        <v>46</v>
      </c>
      <c r="I168" s="12" t="str">
        <f t="shared" si="48"/>
        <v/>
      </c>
      <c r="J168" s="59">
        <v>69</v>
      </c>
      <c r="K168" s="12" t="str">
        <f t="shared" si="49"/>
        <v/>
      </c>
      <c r="L168" s="81">
        <v>24</v>
      </c>
      <c r="M168" s="12" t="str">
        <f t="shared" si="50"/>
        <v/>
      </c>
      <c r="N168" s="81">
        <v>24</v>
      </c>
      <c r="O168" s="12" t="str">
        <f t="shared" si="51"/>
        <v/>
      </c>
      <c r="P168" s="59">
        <v>60</v>
      </c>
      <c r="Q168" s="12" t="str">
        <f t="shared" si="52"/>
        <v/>
      </c>
      <c r="R168" s="81">
        <v>20</v>
      </c>
      <c r="S168" s="12" t="str">
        <f t="shared" si="53"/>
        <v/>
      </c>
      <c r="T168" s="81">
        <v>46</v>
      </c>
      <c r="U168" s="12" t="str">
        <f t="shared" si="54"/>
        <v/>
      </c>
      <c r="V168" s="59">
        <v>65</v>
      </c>
      <c r="W168" s="12" t="str">
        <f t="shared" si="55"/>
        <v/>
      </c>
      <c r="X168" s="81">
        <v>19</v>
      </c>
      <c r="Y168" s="12" t="str">
        <f t="shared" si="56"/>
        <v/>
      </c>
      <c r="Z168" s="81">
        <v>19</v>
      </c>
      <c r="AA168" s="12" t="str">
        <f t="shared" si="57"/>
        <v/>
      </c>
      <c r="AB168" s="59">
        <v>72</v>
      </c>
      <c r="AC168" s="12" t="str">
        <f t="shared" si="58"/>
        <v/>
      </c>
      <c r="AD168" s="81">
        <v>22</v>
      </c>
      <c r="AE168" s="12" t="str">
        <f t="shared" si="59"/>
        <v/>
      </c>
      <c r="AF168" s="81">
        <v>22</v>
      </c>
      <c r="AG168" s="12" t="str">
        <f t="shared" si="60"/>
        <v/>
      </c>
      <c r="AH168" s="81">
        <v>22</v>
      </c>
      <c r="AI168" s="12" t="str">
        <f t="shared" si="61"/>
        <v/>
      </c>
      <c r="AJ168" s="81">
        <v>20</v>
      </c>
      <c r="AK168" s="12" t="str">
        <f t="shared" si="62"/>
        <v/>
      </c>
      <c r="AL168" s="14">
        <f t="shared" si="63"/>
        <v>644</v>
      </c>
      <c r="AM168" s="69" t="s">
        <v>356</v>
      </c>
      <c r="AN168" s="14">
        <f t="shared" si="65"/>
        <v>1203</v>
      </c>
      <c r="AO168" s="14" t="str">
        <f t="shared" si="66"/>
        <v>PASS</v>
      </c>
      <c r="AP168" s="14" t="str">
        <f t="shared" si="64"/>
        <v>I</v>
      </c>
    </row>
    <row r="169" spans="2:42" ht="18" customHeight="1">
      <c r="B169" s="75">
        <v>146345</v>
      </c>
      <c r="C169" s="76" t="s">
        <v>337</v>
      </c>
      <c r="D169" s="59">
        <v>40</v>
      </c>
      <c r="E169" s="12" t="str">
        <f t="shared" si="46"/>
        <v/>
      </c>
      <c r="F169" s="81">
        <v>23</v>
      </c>
      <c r="G169" s="12" t="str">
        <f t="shared" si="47"/>
        <v/>
      </c>
      <c r="H169" s="81">
        <v>46</v>
      </c>
      <c r="I169" s="12" t="str">
        <f t="shared" si="48"/>
        <v/>
      </c>
      <c r="J169" s="59">
        <v>53</v>
      </c>
      <c r="K169" s="12" t="str">
        <f t="shared" si="49"/>
        <v/>
      </c>
      <c r="L169" s="81">
        <v>23</v>
      </c>
      <c r="M169" s="12" t="str">
        <f t="shared" si="50"/>
        <v/>
      </c>
      <c r="N169" s="81">
        <v>23</v>
      </c>
      <c r="O169" s="12" t="str">
        <f t="shared" si="51"/>
        <v/>
      </c>
      <c r="P169" s="59">
        <v>55</v>
      </c>
      <c r="Q169" s="12" t="str">
        <f t="shared" si="52"/>
        <v/>
      </c>
      <c r="R169" s="81">
        <v>24</v>
      </c>
      <c r="S169" s="12" t="str">
        <f t="shared" si="53"/>
        <v/>
      </c>
      <c r="T169" s="81">
        <v>46</v>
      </c>
      <c r="U169" s="12" t="str">
        <f t="shared" si="54"/>
        <v/>
      </c>
      <c r="V169" s="59">
        <v>51</v>
      </c>
      <c r="W169" s="12" t="str">
        <f t="shared" si="55"/>
        <v/>
      </c>
      <c r="X169" s="81">
        <v>22</v>
      </c>
      <c r="Y169" s="12" t="str">
        <f t="shared" si="56"/>
        <v/>
      </c>
      <c r="Z169" s="81">
        <v>22</v>
      </c>
      <c r="AA169" s="12" t="str">
        <f t="shared" si="57"/>
        <v/>
      </c>
      <c r="AB169" s="59">
        <v>67</v>
      </c>
      <c r="AC169" s="12" t="str">
        <f t="shared" si="58"/>
        <v/>
      </c>
      <c r="AD169" s="81">
        <v>22</v>
      </c>
      <c r="AE169" s="12" t="str">
        <f t="shared" si="59"/>
        <v/>
      </c>
      <c r="AF169" s="81">
        <v>22</v>
      </c>
      <c r="AG169" s="12" t="str">
        <f t="shared" si="60"/>
        <v/>
      </c>
      <c r="AH169" s="81">
        <v>22</v>
      </c>
      <c r="AI169" s="12" t="str">
        <f t="shared" si="61"/>
        <v/>
      </c>
      <c r="AJ169" s="81">
        <v>20</v>
      </c>
      <c r="AK169" s="12" t="str">
        <f t="shared" si="62"/>
        <v/>
      </c>
      <c r="AL169" s="14">
        <f t="shared" si="63"/>
        <v>581</v>
      </c>
      <c r="AM169" s="69" t="s">
        <v>384</v>
      </c>
      <c r="AN169" s="14">
        <f t="shared" si="65"/>
        <v>1108</v>
      </c>
      <c r="AO169" s="14" t="str">
        <f t="shared" si="66"/>
        <v>PASS</v>
      </c>
      <c r="AP169" s="14" t="str">
        <f t="shared" si="64"/>
        <v>I</v>
      </c>
    </row>
    <row r="170" spans="2:42" ht="18" customHeight="1">
      <c r="B170" s="75">
        <v>146346</v>
      </c>
      <c r="C170" s="78" t="s">
        <v>276</v>
      </c>
      <c r="D170" s="59">
        <v>45</v>
      </c>
      <c r="E170" s="12" t="str">
        <f t="shared" ref="E170:E185" si="67">IF(IFERROR(FIND("+",D170),0)," ",
IF(D170="AB","",
IF(D170&lt;$D$24,"F",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E</v>
      </c>
      <c r="F170" s="81">
        <v>20</v>
      </c>
      <c r="G170" s="12" t="str">
        <f t="shared" ref="G170:G185" si="68">IF(IFERROR(FIND("+",F170),0)," ",
IF(F170="AB","",
IF(F170&lt;$F$24,"F",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E</v>
      </c>
      <c r="H170" s="81">
        <v>42</v>
      </c>
      <c r="I170" s="12" t="str">
        <f t="shared" ref="I170:I185" si="69">IF(IFERROR(FIND("+",H170),0)," ",
IF(H170="AB","",
IF(H170&lt;$H$24,"F",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E</v>
      </c>
      <c r="J170" s="59" t="s">
        <v>70</v>
      </c>
      <c r="K170" s="12" t="str">
        <f t="shared" ref="K170:K185" si="70">IF(IFERROR(FIND("+",J170),0)," ",
IF(J170="AB","",
IF(J170&lt;$J$24,"F",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
      </c>
      <c r="L170" s="81">
        <v>19</v>
      </c>
      <c r="M170" s="12" t="str">
        <f t="shared" ref="M170:M185" si="71">IF(IFERROR(FIND("+",L170),0)," ",
IF(L170="AB","",
IF(L170&lt;$L$24,"F",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E</v>
      </c>
      <c r="N170" s="81">
        <v>22</v>
      </c>
      <c r="O170" s="12" t="str">
        <f t="shared" ref="O170:O185" si="72">IF(IFERROR(FIND("+",N170),0)," ",
IF(N170="AB","",
IF(N170&lt;$N$24,"F",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E</v>
      </c>
      <c r="P170" s="59">
        <v>5</v>
      </c>
      <c r="Q170" s="12" t="str">
        <f t="shared" ref="Q170:Q185" si="73">IF(IFERROR(FIND("+",P170),0)," ",
IF(P170="AB","",
IF(P170&lt;$P$24,"F",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F</v>
      </c>
      <c r="R170" s="81">
        <v>22</v>
      </c>
      <c r="S170" s="12" t="str">
        <f t="shared" ref="S170:S185" si="74">IF(IFERROR(FIND("+",R170),0)," ",
IF(R170="AB","",
IF(R170&lt;$R$24,"F",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E</v>
      </c>
      <c r="T170" s="81">
        <v>40</v>
      </c>
      <c r="U170" s="12" t="str">
        <f t="shared" ref="U170:U185" si="75">IF(IFERROR(FIND("+",T170),0)," ",
IF(T170="AB","",
IF(T170&lt;$T$24,"F",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E</v>
      </c>
      <c r="V170" s="59" t="s">
        <v>70</v>
      </c>
      <c r="W170" s="12" t="str">
        <f t="shared" ref="W170:W185" si="76">IF(IFERROR(FIND("+",V170),0)," ",
IF(V170="AB","",
IF(V170&lt;$V$24,"F",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
      </c>
      <c r="X170" s="81">
        <v>20</v>
      </c>
      <c r="Y170" s="12" t="str">
        <f t="shared" ref="Y170:Y185" si="77">IF(IFERROR(FIND("+",X170),0)," ",
IF(X170="AB","",
IF(X170&lt;$X$24,"F",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E</v>
      </c>
      <c r="Z170" s="81">
        <v>20</v>
      </c>
      <c r="AA170" s="12" t="str">
        <f t="shared" ref="AA170:AA185" si="78">IF(IFERROR(FIND("+",Z170),0)," ",
IF(Z170="AB","",
IF(Z170&lt;$Z$24,"F",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E</v>
      </c>
      <c r="AB170" s="59">
        <v>45</v>
      </c>
      <c r="AC170" s="12" t="str">
        <f t="shared" ref="AC170:AC185" si="79">IF(IFERROR(FIND("+",AB170),0)," ",
IF(AB170="AB","",
IF(AB170&lt;$AB$24,"F",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E</v>
      </c>
      <c r="AD170" s="81">
        <v>19</v>
      </c>
      <c r="AE170" s="12" t="str">
        <f t="shared" ref="AE170:AE185" si="80">IF(IFERROR(FIND("+",AD170),0)," ",
IF(AD170="AB","",
IF(AD170&lt;$AD$24,"F",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E</v>
      </c>
      <c r="AF170" s="81">
        <v>20</v>
      </c>
      <c r="AG170" s="12" t="str">
        <f t="shared" ref="AG170:AG185" si="81">IF(IFERROR(FIND("+",AF170),0)," ",
IF(AF170="AB","",
IF(AF170&lt;$AF$24,"F",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E</v>
      </c>
      <c r="AH170" s="81">
        <v>18</v>
      </c>
      <c r="AI170" s="12" t="str">
        <f t="shared" ref="AI170:AI185" si="82">IF(IFERROR(FIND("+",AH170),0)," ",
IF(AH170="AB","",
IF(AH170&lt;$AH$24,"F",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AH170&lt;&gt;"AB",AJ170&lt;&gt;"AB"),"","E"))))</f>
        <v>E</v>
      </c>
      <c r="AJ170" s="81">
        <v>19</v>
      </c>
      <c r="AK170" s="12" t="str">
        <f t="shared" ref="AK170:AK185" si="83">IF(IFERROR(FIND("+",AJ170),0)," ",
IF(AJ170="AB","",
IF(AJ170&lt;$AJ$24,"F",
IF(AND(D170&gt;=$D$24,F170&gt;=$F$24,H170&gt;=$H$24,
J170&gt;=$J$24,L170&gt;=$L$24,
N170&gt;=$N$24,P170&gt;=$P$24,R170&gt;=$R$24,T170&gt;=$T$24,V170&gt;=$V$24,
X170&gt;=$X$24,Z170&gt;=$Z$24,AB170&gt;=$AB$24,AD170&gt;=$AD$24,AF170&gt;=$AF$24,
AH170&gt;=$AH$24,AJ170&gt;=$AJ$24,D170&lt;&gt;"AB",F170&lt;&gt;"AB",H170&lt;&gt;"AB",
J170&lt;&gt;"AB",L170&lt;&gt;"AB",
N170&lt;&gt;"AB",P170&lt;&gt;"AB",R170&lt;&gt;"AB",T170&lt;&gt;"AB",V170&lt;&gt;"AB",
X170&lt;&gt;"AB",Z170&lt;&gt;"AB",AB170&lt;&gt;"AB",AD170&lt;&gt;"AB",AF170&lt;&gt;"AB",
AH170&lt;&gt;"AB",AI170&lt;&gt;"AB"),"","E"))))</f>
        <v>E</v>
      </c>
      <c r="AL170" s="14">
        <f t="shared" si="63"/>
        <v>376</v>
      </c>
      <c r="AM170" s="69">
        <v>0</v>
      </c>
      <c r="AN170" s="14">
        <f t="shared" si="65"/>
        <v>376</v>
      </c>
      <c r="AO170" s="14" t="str">
        <f t="shared" si="66"/>
        <v>FAIL</v>
      </c>
      <c r="AP170" s="14" t="str">
        <f t="shared" si="64"/>
        <v>--</v>
      </c>
    </row>
    <row r="171" spans="2:42" ht="18" customHeight="1">
      <c r="B171" s="75">
        <v>146347</v>
      </c>
      <c r="C171" s="76" t="s">
        <v>277</v>
      </c>
      <c r="D171" s="59">
        <v>57</v>
      </c>
      <c r="E171" s="12" t="str">
        <f t="shared" si="67"/>
        <v/>
      </c>
      <c r="F171" s="81">
        <v>19</v>
      </c>
      <c r="G171" s="12" t="str">
        <f t="shared" si="68"/>
        <v/>
      </c>
      <c r="H171" s="81">
        <v>38</v>
      </c>
      <c r="I171" s="12" t="str">
        <f t="shared" si="69"/>
        <v/>
      </c>
      <c r="J171" s="59">
        <v>50</v>
      </c>
      <c r="K171" s="12" t="str">
        <f t="shared" si="70"/>
        <v/>
      </c>
      <c r="L171" s="81">
        <v>19</v>
      </c>
      <c r="M171" s="12" t="str">
        <f t="shared" si="71"/>
        <v/>
      </c>
      <c r="N171" s="81">
        <v>19</v>
      </c>
      <c r="O171" s="12" t="str">
        <f t="shared" si="72"/>
        <v/>
      </c>
      <c r="P171" s="59">
        <v>61</v>
      </c>
      <c r="Q171" s="12" t="str">
        <f t="shared" si="73"/>
        <v/>
      </c>
      <c r="R171" s="81">
        <v>19</v>
      </c>
      <c r="S171" s="12" t="str">
        <f t="shared" si="74"/>
        <v/>
      </c>
      <c r="T171" s="81">
        <v>38</v>
      </c>
      <c r="U171" s="12" t="str">
        <f t="shared" si="75"/>
        <v/>
      </c>
      <c r="V171" s="59">
        <v>55</v>
      </c>
      <c r="W171" s="12" t="str">
        <f t="shared" si="76"/>
        <v/>
      </c>
      <c r="X171" s="81">
        <v>21</v>
      </c>
      <c r="Y171" s="12" t="str">
        <f t="shared" si="77"/>
        <v/>
      </c>
      <c r="Z171" s="81">
        <v>19</v>
      </c>
      <c r="AA171" s="12" t="str">
        <f t="shared" si="78"/>
        <v/>
      </c>
      <c r="AB171" s="59">
        <v>58</v>
      </c>
      <c r="AC171" s="12" t="str">
        <f t="shared" si="79"/>
        <v/>
      </c>
      <c r="AD171" s="81">
        <v>19</v>
      </c>
      <c r="AE171" s="12" t="str">
        <f t="shared" si="80"/>
        <v/>
      </c>
      <c r="AF171" s="81">
        <v>20</v>
      </c>
      <c r="AG171" s="12" t="str">
        <f t="shared" si="81"/>
        <v/>
      </c>
      <c r="AH171" s="81">
        <v>22</v>
      </c>
      <c r="AI171" s="12" t="str">
        <f t="shared" si="82"/>
        <v/>
      </c>
      <c r="AJ171" s="81">
        <v>20</v>
      </c>
      <c r="AK171" s="12" t="str">
        <f t="shared" si="83"/>
        <v/>
      </c>
      <c r="AL171" s="14">
        <f t="shared" si="63"/>
        <v>554</v>
      </c>
      <c r="AM171" s="69" t="s">
        <v>443</v>
      </c>
      <c r="AN171" s="14">
        <f t="shared" si="65"/>
        <v>1056</v>
      </c>
      <c r="AO171" s="14" t="str">
        <f t="shared" si="66"/>
        <v>PASS</v>
      </c>
      <c r="AP171" s="14" t="str">
        <f t="shared" si="64"/>
        <v>P</v>
      </c>
    </row>
    <row r="172" spans="2:42" ht="18" customHeight="1">
      <c r="B172" s="75">
        <v>146348</v>
      </c>
      <c r="C172" s="78" t="s">
        <v>278</v>
      </c>
      <c r="D172" s="59">
        <v>40</v>
      </c>
      <c r="E172" s="12" t="str">
        <f t="shared" si="67"/>
        <v/>
      </c>
      <c r="F172" s="81">
        <v>20</v>
      </c>
      <c r="G172" s="12" t="str">
        <f t="shared" si="68"/>
        <v/>
      </c>
      <c r="H172" s="81">
        <v>42</v>
      </c>
      <c r="I172" s="12" t="str">
        <f t="shared" si="69"/>
        <v/>
      </c>
      <c r="J172" s="59">
        <v>51</v>
      </c>
      <c r="K172" s="12" t="str">
        <f t="shared" si="70"/>
        <v/>
      </c>
      <c r="L172" s="81">
        <v>20</v>
      </c>
      <c r="M172" s="12" t="str">
        <f t="shared" si="71"/>
        <v/>
      </c>
      <c r="N172" s="81">
        <v>20</v>
      </c>
      <c r="O172" s="12" t="str">
        <f t="shared" si="72"/>
        <v/>
      </c>
      <c r="P172" s="59">
        <v>40</v>
      </c>
      <c r="Q172" s="12" t="str">
        <f t="shared" si="73"/>
        <v/>
      </c>
      <c r="R172" s="81">
        <v>19</v>
      </c>
      <c r="S172" s="12" t="str">
        <f t="shared" si="74"/>
        <v/>
      </c>
      <c r="T172" s="81">
        <v>42</v>
      </c>
      <c r="U172" s="12" t="str">
        <f t="shared" si="75"/>
        <v/>
      </c>
      <c r="V172" s="59">
        <v>40</v>
      </c>
      <c r="W172" s="12" t="str">
        <f t="shared" si="76"/>
        <v/>
      </c>
      <c r="X172" s="81">
        <v>20</v>
      </c>
      <c r="Y172" s="12" t="str">
        <f t="shared" si="77"/>
        <v/>
      </c>
      <c r="Z172" s="81">
        <v>18</v>
      </c>
      <c r="AA172" s="12" t="str">
        <f t="shared" si="78"/>
        <v/>
      </c>
      <c r="AB172" s="59">
        <v>43</v>
      </c>
      <c r="AC172" s="12" t="str">
        <f t="shared" si="79"/>
        <v/>
      </c>
      <c r="AD172" s="81">
        <v>19</v>
      </c>
      <c r="AE172" s="12" t="str">
        <f t="shared" si="80"/>
        <v/>
      </c>
      <c r="AF172" s="81">
        <v>19</v>
      </c>
      <c r="AG172" s="12" t="str">
        <f t="shared" si="81"/>
        <v/>
      </c>
      <c r="AH172" s="81">
        <v>20</v>
      </c>
      <c r="AI172" s="12" t="str">
        <f t="shared" si="82"/>
        <v/>
      </c>
      <c r="AJ172" s="81">
        <v>18</v>
      </c>
      <c r="AK172" s="12" t="str">
        <f t="shared" si="83"/>
        <v/>
      </c>
      <c r="AL172" s="14">
        <f t="shared" si="63"/>
        <v>491</v>
      </c>
      <c r="AM172" s="69" t="s">
        <v>444</v>
      </c>
      <c r="AN172" s="14">
        <f t="shared" si="65"/>
        <v>962</v>
      </c>
      <c r="AO172" s="14" t="str">
        <f t="shared" si="66"/>
        <v>PASS</v>
      </c>
      <c r="AP172" s="14" t="str">
        <f t="shared" si="64"/>
        <v>P</v>
      </c>
    </row>
    <row r="173" spans="2:42" ht="18" customHeight="1">
      <c r="B173" s="75">
        <v>146349</v>
      </c>
      <c r="C173" s="78" t="s">
        <v>338</v>
      </c>
      <c r="D173" s="59">
        <v>41</v>
      </c>
      <c r="E173" s="12" t="str">
        <f t="shared" si="67"/>
        <v/>
      </c>
      <c r="F173" s="81">
        <v>20</v>
      </c>
      <c r="G173" s="12" t="str">
        <f t="shared" si="68"/>
        <v/>
      </c>
      <c r="H173" s="81">
        <v>34</v>
      </c>
      <c r="I173" s="12" t="str">
        <f t="shared" si="69"/>
        <v/>
      </c>
      <c r="J173" s="59">
        <v>45</v>
      </c>
      <c r="K173" s="12" t="str">
        <f t="shared" si="70"/>
        <v/>
      </c>
      <c r="L173" s="81">
        <v>20</v>
      </c>
      <c r="M173" s="12" t="str">
        <f t="shared" si="71"/>
        <v/>
      </c>
      <c r="N173" s="81">
        <v>20</v>
      </c>
      <c r="O173" s="12" t="str">
        <f t="shared" si="72"/>
        <v/>
      </c>
      <c r="P173" s="59">
        <v>48</v>
      </c>
      <c r="Q173" s="12" t="str">
        <f t="shared" si="73"/>
        <v/>
      </c>
      <c r="R173" s="81">
        <v>20</v>
      </c>
      <c r="S173" s="12" t="str">
        <f t="shared" si="74"/>
        <v/>
      </c>
      <c r="T173" s="81">
        <v>34</v>
      </c>
      <c r="U173" s="12" t="str">
        <f t="shared" si="75"/>
        <v/>
      </c>
      <c r="V173" s="59">
        <v>46</v>
      </c>
      <c r="W173" s="12" t="str">
        <f t="shared" si="76"/>
        <v/>
      </c>
      <c r="X173" s="81">
        <v>19</v>
      </c>
      <c r="Y173" s="12" t="str">
        <f t="shared" si="77"/>
        <v/>
      </c>
      <c r="Z173" s="81">
        <v>19</v>
      </c>
      <c r="AA173" s="12" t="str">
        <f t="shared" si="78"/>
        <v/>
      </c>
      <c r="AB173" s="59">
        <v>56</v>
      </c>
      <c r="AC173" s="12" t="str">
        <f t="shared" si="79"/>
        <v/>
      </c>
      <c r="AD173" s="81">
        <v>21</v>
      </c>
      <c r="AE173" s="12" t="str">
        <f t="shared" si="80"/>
        <v/>
      </c>
      <c r="AF173" s="81">
        <v>20</v>
      </c>
      <c r="AG173" s="12" t="str">
        <f t="shared" si="81"/>
        <v/>
      </c>
      <c r="AH173" s="81">
        <v>20</v>
      </c>
      <c r="AI173" s="12" t="str">
        <f t="shared" si="82"/>
        <v/>
      </c>
      <c r="AJ173" s="81">
        <v>18</v>
      </c>
      <c r="AK173" s="12" t="str">
        <f t="shared" si="83"/>
        <v/>
      </c>
      <c r="AL173" s="14">
        <f t="shared" si="63"/>
        <v>501</v>
      </c>
      <c r="AM173" s="69" t="s">
        <v>445</v>
      </c>
      <c r="AN173" s="14">
        <f t="shared" si="65"/>
        <v>964</v>
      </c>
      <c r="AO173" s="14" t="str">
        <f t="shared" si="66"/>
        <v>PASS</v>
      </c>
      <c r="AP173" s="14" t="str">
        <f t="shared" si="64"/>
        <v>II</v>
      </c>
    </row>
    <row r="174" spans="2:42" ht="18" customHeight="1">
      <c r="B174" s="75">
        <v>146350</v>
      </c>
      <c r="C174" s="78" t="s">
        <v>279</v>
      </c>
      <c r="D174" s="59">
        <v>29</v>
      </c>
      <c r="E174" s="12" t="str">
        <f t="shared" si="67"/>
        <v>F</v>
      </c>
      <c r="F174" s="81">
        <v>21</v>
      </c>
      <c r="G174" s="12" t="str">
        <f t="shared" si="68"/>
        <v>E</v>
      </c>
      <c r="H174" s="81">
        <v>38</v>
      </c>
      <c r="I174" s="12" t="str">
        <f t="shared" si="69"/>
        <v>E</v>
      </c>
      <c r="J174" s="59">
        <v>40</v>
      </c>
      <c r="K174" s="12" t="str">
        <f t="shared" si="70"/>
        <v>E</v>
      </c>
      <c r="L174" s="81">
        <v>21</v>
      </c>
      <c r="M174" s="12" t="str">
        <f t="shared" si="71"/>
        <v>E</v>
      </c>
      <c r="N174" s="81">
        <v>21</v>
      </c>
      <c r="O174" s="12" t="str">
        <f t="shared" si="72"/>
        <v>E</v>
      </c>
      <c r="P174" s="59">
        <v>24</v>
      </c>
      <c r="Q174" s="12" t="str">
        <f t="shared" si="73"/>
        <v>F</v>
      </c>
      <c r="R174" s="81">
        <v>19</v>
      </c>
      <c r="S174" s="12" t="str">
        <f t="shared" si="74"/>
        <v>E</v>
      </c>
      <c r="T174" s="81">
        <v>38</v>
      </c>
      <c r="U174" s="12" t="str">
        <f t="shared" si="75"/>
        <v>E</v>
      </c>
      <c r="V174" s="59">
        <v>40</v>
      </c>
      <c r="W174" s="12" t="str">
        <f t="shared" si="76"/>
        <v>E</v>
      </c>
      <c r="X174" s="81">
        <v>18</v>
      </c>
      <c r="Y174" s="12" t="str">
        <f t="shared" si="77"/>
        <v>E</v>
      </c>
      <c r="Z174" s="81">
        <v>18</v>
      </c>
      <c r="AA174" s="12" t="str">
        <f t="shared" si="78"/>
        <v>E</v>
      </c>
      <c r="AB174" s="59">
        <v>42</v>
      </c>
      <c r="AC174" s="12" t="str">
        <f t="shared" si="79"/>
        <v>E</v>
      </c>
      <c r="AD174" s="81">
        <v>20</v>
      </c>
      <c r="AE174" s="12" t="str">
        <f t="shared" si="80"/>
        <v>E</v>
      </c>
      <c r="AF174" s="81">
        <v>21</v>
      </c>
      <c r="AG174" s="12" t="str">
        <f t="shared" si="81"/>
        <v>E</v>
      </c>
      <c r="AH174" s="81">
        <v>20</v>
      </c>
      <c r="AI174" s="12" t="str">
        <f t="shared" si="82"/>
        <v>E</v>
      </c>
      <c r="AJ174" s="81">
        <v>18</v>
      </c>
      <c r="AK174" s="12" t="str">
        <f t="shared" si="83"/>
        <v>E</v>
      </c>
      <c r="AL174" s="14">
        <f t="shared" si="63"/>
        <v>448</v>
      </c>
      <c r="AM174" s="69">
        <v>0</v>
      </c>
      <c r="AN174" s="14">
        <f t="shared" si="65"/>
        <v>448</v>
      </c>
      <c r="AO174" s="14" t="str">
        <f t="shared" si="66"/>
        <v>FAIL</v>
      </c>
      <c r="AP174" s="14" t="str">
        <f t="shared" si="64"/>
        <v>--</v>
      </c>
    </row>
    <row r="175" spans="2:42" ht="18" customHeight="1">
      <c r="B175" s="75">
        <v>146351</v>
      </c>
      <c r="C175" s="78" t="s">
        <v>339</v>
      </c>
      <c r="D175" s="59">
        <v>40</v>
      </c>
      <c r="E175" s="12" t="str">
        <f t="shared" si="67"/>
        <v/>
      </c>
      <c r="F175" s="81">
        <v>20</v>
      </c>
      <c r="G175" s="12" t="str">
        <f t="shared" si="68"/>
        <v/>
      </c>
      <c r="H175" s="81">
        <v>40</v>
      </c>
      <c r="I175" s="12" t="str">
        <f t="shared" si="69"/>
        <v/>
      </c>
      <c r="J175" s="59">
        <v>40</v>
      </c>
      <c r="K175" s="12" t="str">
        <f t="shared" si="70"/>
        <v/>
      </c>
      <c r="L175" s="81">
        <v>20</v>
      </c>
      <c r="M175" s="12" t="str">
        <f t="shared" si="71"/>
        <v/>
      </c>
      <c r="N175" s="81">
        <v>20</v>
      </c>
      <c r="O175" s="12" t="str">
        <f t="shared" si="72"/>
        <v/>
      </c>
      <c r="P175" s="59">
        <v>40</v>
      </c>
      <c r="Q175" s="12" t="str">
        <f t="shared" si="73"/>
        <v/>
      </c>
      <c r="R175" s="81">
        <v>22</v>
      </c>
      <c r="S175" s="12" t="str">
        <f t="shared" si="74"/>
        <v/>
      </c>
      <c r="T175" s="81">
        <v>40</v>
      </c>
      <c r="U175" s="12" t="str">
        <f t="shared" si="75"/>
        <v/>
      </c>
      <c r="V175" s="59">
        <v>40</v>
      </c>
      <c r="W175" s="12" t="str">
        <f t="shared" si="76"/>
        <v/>
      </c>
      <c r="X175" s="81">
        <v>20</v>
      </c>
      <c r="Y175" s="12" t="str">
        <f t="shared" si="77"/>
        <v/>
      </c>
      <c r="Z175" s="81">
        <v>22</v>
      </c>
      <c r="AA175" s="12" t="str">
        <f t="shared" si="78"/>
        <v/>
      </c>
      <c r="AB175" s="59">
        <v>40</v>
      </c>
      <c r="AC175" s="12" t="str">
        <f t="shared" si="79"/>
        <v/>
      </c>
      <c r="AD175" s="81">
        <v>21</v>
      </c>
      <c r="AE175" s="12" t="str">
        <f t="shared" si="80"/>
        <v/>
      </c>
      <c r="AF175" s="81">
        <v>21</v>
      </c>
      <c r="AG175" s="12" t="str">
        <f t="shared" si="81"/>
        <v/>
      </c>
      <c r="AH175" s="81">
        <v>21</v>
      </c>
      <c r="AI175" s="12" t="str">
        <f t="shared" si="82"/>
        <v/>
      </c>
      <c r="AJ175" s="81">
        <v>19</v>
      </c>
      <c r="AK175" s="12" t="str">
        <f t="shared" si="83"/>
        <v/>
      </c>
      <c r="AL175" s="14">
        <f t="shared" si="63"/>
        <v>486</v>
      </c>
      <c r="AM175" s="69" t="s">
        <v>171</v>
      </c>
      <c r="AN175" s="14">
        <f t="shared" si="65"/>
        <v>962</v>
      </c>
      <c r="AO175" s="14" t="str">
        <f t="shared" si="66"/>
        <v>PASS</v>
      </c>
      <c r="AP175" s="14" t="str">
        <f t="shared" si="64"/>
        <v>P</v>
      </c>
    </row>
    <row r="176" spans="2:42" ht="18" customHeight="1">
      <c r="B176" s="75">
        <v>146352</v>
      </c>
      <c r="C176" s="78" t="s">
        <v>280</v>
      </c>
      <c r="D176" s="59">
        <v>40</v>
      </c>
      <c r="E176" s="12" t="str">
        <f t="shared" si="67"/>
        <v>E</v>
      </c>
      <c r="F176" s="81">
        <v>19</v>
      </c>
      <c r="G176" s="12" t="str">
        <f t="shared" si="68"/>
        <v>E</v>
      </c>
      <c r="H176" s="81">
        <v>41</v>
      </c>
      <c r="I176" s="12" t="str">
        <f t="shared" si="69"/>
        <v>E</v>
      </c>
      <c r="J176" s="59">
        <v>49</v>
      </c>
      <c r="K176" s="12" t="str">
        <f t="shared" si="70"/>
        <v>E</v>
      </c>
      <c r="L176" s="81">
        <v>19</v>
      </c>
      <c r="M176" s="12" t="str">
        <f t="shared" si="71"/>
        <v>E</v>
      </c>
      <c r="N176" s="81">
        <v>19</v>
      </c>
      <c r="O176" s="12" t="str">
        <f t="shared" si="72"/>
        <v>E</v>
      </c>
      <c r="P176" s="59">
        <v>26</v>
      </c>
      <c r="Q176" s="12" t="str">
        <f t="shared" si="73"/>
        <v>F</v>
      </c>
      <c r="R176" s="81">
        <v>19</v>
      </c>
      <c r="S176" s="12" t="str">
        <f t="shared" si="74"/>
        <v>E</v>
      </c>
      <c r="T176" s="81">
        <v>41</v>
      </c>
      <c r="U176" s="12" t="str">
        <f t="shared" si="75"/>
        <v>E</v>
      </c>
      <c r="V176" s="59">
        <v>25</v>
      </c>
      <c r="W176" s="12" t="str">
        <f t="shared" si="76"/>
        <v>F</v>
      </c>
      <c r="X176" s="81">
        <v>17</v>
      </c>
      <c r="Y176" s="12" t="str">
        <f t="shared" si="77"/>
        <v>E</v>
      </c>
      <c r="Z176" s="81">
        <v>17</v>
      </c>
      <c r="AA176" s="12" t="str">
        <f t="shared" si="78"/>
        <v>E</v>
      </c>
      <c r="AB176" s="59">
        <v>44</v>
      </c>
      <c r="AC176" s="12" t="str">
        <f t="shared" si="79"/>
        <v>E</v>
      </c>
      <c r="AD176" s="81">
        <v>19</v>
      </c>
      <c r="AE176" s="12" t="str">
        <f t="shared" si="80"/>
        <v>E</v>
      </c>
      <c r="AF176" s="81">
        <v>20</v>
      </c>
      <c r="AG176" s="12" t="str">
        <f t="shared" si="81"/>
        <v>E</v>
      </c>
      <c r="AH176" s="81">
        <v>20</v>
      </c>
      <c r="AI176" s="12" t="str">
        <f t="shared" si="82"/>
        <v>E</v>
      </c>
      <c r="AJ176" s="81">
        <v>21</v>
      </c>
      <c r="AK176" s="12" t="str">
        <f t="shared" si="83"/>
        <v>E</v>
      </c>
      <c r="AL176" s="14">
        <f t="shared" si="63"/>
        <v>456</v>
      </c>
      <c r="AM176" s="69" t="s">
        <v>446</v>
      </c>
      <c r="AN176" s="14">
        <f t="shared" si="65"/>
        <v>949</v>
      </c>
      <c r="AO176" s="14" t="str">
        <f t="shared" si="66"/>
        <v>FAIL</v>
      </c>
      <c r="AP176" s="14" t="str">
        <f t="shared" si="64"/>
        <v>--</v>
      </c>
    </row>
    <row r="177" spans="2:46" ht="18" customHeight="1">
      <c r="B177" s="75">
        <v>146353</v>
      </c>
      <c r="C177" s="79" t="s">
        <v>340</v>
      </c>
      <c r="D177" s="59">
        <v>63</v>
      </c>
      <c r="E177" s="12" t="str">
        <f t="shared" si="67"/>
        <v/>
      </c>
      <c r="F177" s="81">
        <v>22</v>
      </c>
      <c r="G177" s="12" t="str">
        <f t="shared" si="68"/>
        <v/>
      </c>
      <c r="H177" s="81">
        <v>44</v>
      </c>
      <c r="I177" s="12" t="str">
        <f t="shared" si="69"/>
        <v/>
      </c>
      <c r="J177" s="59">
        <v>59</v>
      </c>
      <c r="K177" s="12" t="str">
        <f t="shared" si="70"/>
        <v/>
      </c>
      <c r="L177" s="81">
        <v>22</v>
      </c>
      <c r="M177" s="12" t="str">
        <f t="shared" si="71"/>
        <v/>
      </c>
      <c r="N177" s="81">
        <v>22</v>
      </c>
      <c r="O177" s="12" t="str">
        <f t="shared" si="72"/>
        <v/>
      </c>
      <c r="P177" s="59">
        <v>52</v>
      </c>
      <c r="Q177" s="12" t="str">
        <f t="shared" si="73"/>
        <v/>
      </c>
      <c r="R177" s="81">
        <v>20</v>
      </c>
      <c r="S177" s="12" t="str">
        <f t="shared" si="74"/>
        <v/>
      </c>
      <c r="T177" s="81">
        <v>44</v>
      </c>
      <c r="U177" s="12" t="str">
        <f t="shared" si="75"/>
        <v/>
      </c>
      <c r="V177" s="59">
        <v>53</v>
      </c>
      <c r="W177" s="12" t="str">
        <f t="shared" si="76"/>
        <v/>
      </c>
      <c r="X177" s="81">
        <v>22</v>
      </c>
      <c r="Y177" s="12" t="str">
        <f t="shared" si="77"/>
        <v/>
      </c>
      <c r="Z177" s="81">
        <v>18</v>
      </c>
      <c r="AA177" s="12" t="str">
        <f t="shared" si="78"/>
        <v/>
      </c>
      <c r="AB177" s="59">
        <v>57</v>
      </c>
      <c r="AC177" s="12" t="str">
        <f t="shared" si="79"/>
        <v/>
      </c>
      <c r="AD177" s="81">
        <v>22</v>
      </c>
      <c r="AE177" s="12" t="str">
        <f t="shared" si="80"/>
        <v/>
      </c>
      <c r="AF177" s="81">
        <v>20</v>
      </c>
      <c r="AG177" s="12" t="str">
        <f t="shared" si="81"/>
        <v/>
      </c>
      <c r="AH177" s="81">
        <v>21</v>
      </c>
      <c r="AI177" s="12" t="str">
        <f t="shared" si="82"/>
        <v/>
      </c>
      <c r="AJ177" s="81">
        <v>22</v>
      </c>
      <c r="AK177" s="12" t="str">
        <f t="shared" si="83"/>
        <v/>
      </c>
      <c r="AL177" s="14">
        <f t="shared" si="63"/>
        <v>583</v>
      </c>
      <c r="AM177" s="69" t="s">
        <v>416</v>
      </c>
      <c r="AN177" s="14">
        <f t="shared" si="65"/>
        <v>1073</v>
      </c>
      <c r="AO177" s="14" t="str">
        <f t="shared" si="66"/>
        <v>PASS</v>
      </c>
      <c r="AP177" s="14" t="str">
        <f t="shared" si="64"/>
        <v>I</v>
      </c>
    </row>
    <row r="178" spans="2:46" s="53" customFormat="1" ht="18" customHeight="1">
      <c r="B178" s="75">
        <v>146354</v>
      </c>
      <c r="C178" s="80" t="s">
        <v>281</v>
      </c>
      <c r="D178" s="59" t="s">
        <v>70</v>
      </c>
      <c r="E178" s="12" t="str">
        <f t="shared" si="67"/>
        <v/>
      </c>
      <c r="F178" s="81" t="s">
        <v>115</v>
      </c>
      <c r="G178" s="12" t="str">
        <f t="shared" si="68"/>
        <v xml:space="preserve"> </v>
      </c>
      <c r="H178" s="81" t="s">
        <v>123</v>
      </c>
      <c r="I178" s="12" t="str">
        <f t="shared" si="69"/>
        <v xml:space="preserve"> </v>
      </c>
      <c r="J178" s="59" t="s">
        <v>70</v>
      </c>
      <c r="K178" s="12" t="str">
        <f t="shared" si="70"/>
        <v/>
      </c>
      <c r="L178" s="81" t="s">
        <v>115</v>
      </c>
      <c r="M178" s="12" t="str">
        <f t="shared" si="71"/>
        <v xml:space="preserve"> </v>
      </c>
      <c r="N178" s="81" t="s">
        <v>23</v>
      </c>
      <c r="O178" s="12" t="str">
        <f t="shared" si="72"/>
        <v xml:space="preserve"> </v>
      </c>
      <c r="P178" s="59" t="s">
        <v>25</v>
      </c>
      <c r="Q178" s="12" t="str">
        <f t="shared" si="73"/>
        <v xml:space="preserve"> </v>
      </c>
      <c r="R178" s="64" t="s">
        <v>115</v>
      </c>
      <c r="S178" s="12" t="str">
        <f t="shared" si="74"/>
        <v xml:space="preserve"> </v>
      </c>
      <c r="T178" s="81" t="s">
        <v>123</v>
      </c>
      <c r="U178" s="12" t="str">
        <f t="shared" si="75"/>
        <v xml:space="preserve"> </v>
      </c>
      <c r="V178" s="59" t="s">
        <v>117</v>
      </c>
      <c r="W178" s="12" t="str">
        <f t="shared" si="76"/>
        <v xml:space="preserve"> </v>
      </c>
      <c r="X178" s="81" t="s">
        <v>115</v>
      </c>
      <c r="Y178" s="12" t="str">
        <f t="shared" si="77"/>
        <v xml:space="preserve"> </v>
      </c>
      <c r="Z178" s="81" t="s">
        <v>115</v>
      </c>
      <c r="AA178" s="12" t="str">
        <f t="shared" si="78"/>
        <v xml:space="preserve"> </v>
      </c>
      <c r="AB178" s="59" t="s">
        <v>70</v>
      </c>
      <c r="AC178" s="12" t="str">
        <f t="shared" si="79"/>
        <v/>
      </c>
      <c r="AD178" s="81" t="s">
        <v>115</v>
      </c>
      <c r="AE178" s="12" t="str">
        <f t="shared" si="80"/>
        <v xml:space="preserve"> </v>
      </c>
      <c r="AF178" s="81" t="s">
        <v>33</v>
      </c>
      <c r="AG178" s="12" t="str">
        <f t="shared" si="81"/>
        <v xml:space="preserve"> </v>
      </c>
      <c r="AH178" s="81" t="s">
        <v>115</v>
      </c>
      <c r="AI178" s="12" t="str">
        <f t="shared" si="82"/>
        <v xml:space="preserve"> </v>
      </c>
      <c r="AJ178" s="81" t="s">
        <v>115</v>
      </c>
      <c r="AK178" s="12" t="str">
        <f t="shared" si="83"/>
        <v xml:space="preserve"> </v>
      </c>
      <c r="AL178" s="14">
        <f t="shared" si="63"/>
        <v>382</v>
      </c>
      <c r="AM178" s="69">
        <v>0</v>
      </c>
      <c r="AN178" s="14">
        <f t="shared" si="65"/>
        <v>382</v>
      </c>
      <c r="AO178" s="14" t="str">
        <f t="shared" si="66"/>
        <v>ABSENT</v>
      </c>
      <c r="AP178" s="14" t="str">
        <f t="shared" si="64"/>
        <v>AB</v>
      </c>
      <c r="AQ178" s="17"/>
    </row>
    <row r="179" spans="2:46" s="54" customFormat="1" ht="18" customHeight="1">
      <c r="B179" s="75">
        <v>146355</v>
      </c>
      <c r="C179" s="80" t="s">
        <v>341</v>
      </c>
      <c r="D179" s="59" t="s">
        <v>70</v>
      </c>
      <c r="E179" s="12" t="str">
        <f t="shared" si="67"/>
        <v/>
      </c>
      <c r="F179" s="81" t="s">
        <v>32</v>
      </c>
      <c r="G179" s="12" t="str">
        <f t="shared" si="68"/>
        <v xml:space="preserve"> </v>
      </c>
      <c r="H179" s="81" t="s">
        <v>118</v>
      </c>
      <c r="I179" s="12" t="str">
        <f t="shared" si="69"/>
        <v xml:space="preserve"> </v>
      </c>
      <c r="J179" s="59" t="s">
        <v>70</v>
      </c>
      <c r="K179" s="12" t="str">
        <f t="shared" si="70"/>
        <v/>
      </c>
      <c r="L179" s="81" t="s">
        <v>23</v>
      </c>
      <c r="M179" s="12" t="str">
        <f t="shared" si="71"/>
        <v xml:space="preserve"> </v>
      </c>
      <c r="N179" s="81" t="s">
        <v>31</v>
      </c>
      <c r="O179" s="12" t="str">
        <f t="shared" si="72"/>
        <v xml:space="preserve"> </v>
      </c>
      <c r="P179" s="59" t="s">
        <v>70</v>
      </c>
      <c r="Q179" s="12" t="str">
        <f t="shared" si="73"/>
        <v/>
      </c>
      <c r="R179" s="64" t="s">
        <v>35</v>
      </c>
      <c r="S179" s="12" t="str">
        <f t="shared" si="74"/>
        <v xml:space="preserve"> </v>
      </c>
      <c r="T179" s="81" t="s">
        <v>121</v>
      </c>
      <c r="U179" s="12" t="str">
        <f t="shared" si="75"/>
        <v xml:space="preserve"> </v>
      </c>
      <c r="V179" s="59" t="s">
        <v>70</v>
      </c>
      <c r="W179" s="12" t="str">
        <f t="shared" si="76"/>
        <v/>
      </c>
      <c r="X179" s="81" t="s">
        <v>33</v>
      </c>
      <c r="Y179" s="12" t="str">
        <f t="shared" si="77"/>
        <v xml:space="preserve"> </v>
      </c>
      <c r="Z179" s="81" t="s">
        <v>33</v>
      </c>
      <c r="AA179" s="12" t="str">
        <f t="shared" si="78"/>
        <v xml:space="preserve"> </v>
      </c>
      <c r="AB179" s="59" t="s">
        <v>70</v>
      </c>
      <c r="AC179" s="12" t="str">
        <f t="shared" si="79"/>
        <v/>
      </c>
      <c r="AD179" s="81" t="s">
        <v>35</v>
      </c>
      <c r="AE179" s="12" t="str">
        <f t="shared" si="80"/>
        <v xml:space="preserve"> </v>
      </c>
      <c r="AF179" s="81" t="s">
        <v>35</v>
      </c>
      <c r="AG179" s="12" t="str">
        <f t="shared" si="81"/>
        <v xml:space="preserve"> </v>
      </c>
      <c r="AH179" s="81" t="s">
        <v>35</v>
      </c>
      <c r="AI179" s="12" t="str">
        <f t="shared" si="82"/>
        <v xml:space="preserve"> </v>
      </c>
      <c r="AJ179" s="81" t="s">
        <v>35</v>
      </c>
      <c r="AK179" s="12" t="str">
        <f t="shared" si="83"/>
        <v xml:space="preserve"> </v>
      </c>
      <c r="AL179" s="14">
        <f t="shared" si="63"/>
        <v>277</v>
      </c>
      <c r="AM179" s="69">
        <v>0</v>
      </c>
      <c r="AN179" s="14">
        <f t="shared" si="65"/>
        <v>277</v>
      </c>
      <c r="AO179" s="14" t="str">
        <f t="shared" si="66"/>
        <v>ABSENT</v>
      </c>
      <c r="AP179" s="14" t="str">
        <f t="shared" si="64"/>
        <v>AB</v>
      </c>
      <c r="AQ179" s="17"/>
    </row>
    <row r="180" spans="2:46" s="53" customFormat="1" ht="18" customHeight="1">
      <c r="B180" s="75">
        <v>146356</v>
      </c>
      <c r="C180" s="80" t="s">
        <v>130</v>
      </c>
      <c r="D180" s="59" t="s">
        <v>117</v>
      </c>
      <c r="E180" s="12" t="str">
        <f t="shared" si="67"/>
        <v xml:space="preserve"> </v>
      </c>
      <c r="F180" s="81" t="s">
        <v>115</v>
      </c>
      <c r="G180" s="12" t="str">
        <f t="shared" si="68"/>
        <v xml:space="preserve"> </v>
      </c>
      <c r="H180" s="81" t="s">
        <v>114</v>
      </c>
      <c r="I180" s="12" t="str">
        <f t="shared" si="69"/>
        <v xml:space="preserve"> </v>
      </c>
      <c r="J180" s="59" t="s">
        <v>116</v>
      </c>
      <c r="K180" s="12" t="str">
        <f t="shared" si="70"/>
        <v xml:space="preserve"> </v>
      </c>
      <c r="L180" s="81" t="s">
        <v>115</v>
      </c>
      <c r="M180" s="12" t="str">
        <f t="shared" si="71"/>
        <v xml:space="preserve"> </v>
      </c>
      <c r="N180" s="81" t="s">
        <v>120</v>
      </c>
      <c r="O180" s="12" t="str">
        <f t="shared" si="72"/>
        <v xml:space="preserve"> </v>
      </c>
      <c r="P180" s="59">
        <v>44</v>
      </c>
      <c r="Q180" s="12" t="str">
        <f t="shared" si="73"/>
        <v/>
      </c>
      <c r="R180" s="64" t="s">
        <v>115</v>
      </c>
      <c r="S180" s="12" t="str">
        <f t="shared" si="74"/>
        <v xml:space="preserve"> </v>
      </c>
      <c r="T180" s="81" t="s">
        <v>25</v>
      </c>
      <c r="U180" s="12" t="str">
        <f t="shared" si="75"/>
        <v xml:space="preserve"> </v>
      </c>
      <c r="V180" s="59">
        <v>51</v>
      </c>
      <c r="W180" s="12" t="str">
        <f t="shared" si="76"/>
        <v/>
      </c>
      <c r="X180" s="81" t="s">
        <v>115</v>
      </c>
      <c r="Y180" s="12" t="str">
        <f t="shared" si="77"/>
        <v xml:space="preserve"> </v>
      </c>
      <c r="Z180" s="81" t="s">
        <v>115</v>
      </c>
      <c r="AA180" s="12" t="str">
        <f t="shared" si="78"/>
        <v xml:space="preserve"> </v>
      </c>
      <c r="AB180" s="59" t="s">
        <v>117</v>
      </c>
      <c r="AC180" s="12" t="str">
        <f t="shared" si="79"/>
        <v xml:space="preserve"> </v>
      </c>
      <c r="AD180" s="81" t="s">
        <v>115</v>
      </c>
      <c r="AE180" s="12" t="str">
        <f t="shared" si="80"/>
        <v xml:space="preserve"> </v>
      </c>
      <c r="AF180" s="81" t="s">
        <v>35</v>
      </c>
      <c r="AG180" s="12" t="str">
        <f t="shared" si="81"/>
        <v xml:space="preserve"> </v>
      </c>
      <c r="AH180" s="81" t="s">
        <v>115</v>
      </c>
      <c r="AI180" s="12" t="str">
        <f t="shared" si="82"/>
        <v xml:space="preserve"> </v>
      </c>
      <c r="AJ180" s="81" t="s">
        <v>115</v>
      </c>
      <c r="AK180" s="12" t="str">
        <f t="shared" si="83"/>
        <v xml:space="preserve"> </v>
      </c>
      <c r="AL180" s="14">
        <f t="shared" si="63"/>
        <v>537</v>
      </c>
      <c r="AM180" s="69" t="s">
        <v>417</v>
      </c>
      <c r="AN180" s="14">
        <f t="shared" si="65"/>
        <v>1057</v>
      </c>
      <c r="AO180" s="14" t="str">
        <f t="shared" si="66"/>
        <v>PASS</v>
      </c>
      <c r="AP180" s="14" t="str">
        <f t="shared" si="64"/>
        <v>P</v>
      </c>
      <c r="AR180" s="55"/>
      <c r="AT180" s="52"/>
    </row>
    <row r="181" spans="2:46" s="53" customFormat="1" ht="18" customHeight="1">
      <c r="B181" s="75">
        <v>146357</v>
      </c>
      <c r="C181" s="80" t="s">
        <v>282</v>
      </c>
      <c r="D181" s="59" t="s">
        <v>117</v>
      </c>
      <c r="E181" s="12" t="str">
        <f t="shared" si="67"/>
        <v xml:space="preserve"> </v>
      </c>
      <c r="F181" s="81" t="s">
        <v>122</v>
      </c>
      <c r="G181" s="12" t="str">
        <f t="shared" si="68"/>
        <v xml:space="preserve"> </v>
      </c>
      <c r="H181" s="81" t="s">
        <v>342</v>
      </c>
      <c r="I181" s="12" t="str">
        <f t="shared" si="69"/>
        <v xml:space="preserve"> </v>
      </c>
      <c r="J181" s="59" t="s">
        <v>70</v>
      </c>
      <c r="K181" s="12" t="str">
        <f t="shared" si="70"/>
        <v/>
      </c>
      <c r="L181" s="81" t="s">
        <v>32</v>
      </c>
      <c r="M181" s="12" t="str">
        <f t="shared" si="71"/>
        <v xml:space="preserve"> </v>
      </c>
      <c r="N181" s="81" t="s">
        <v>31</v>
      </c>
      <c r="O181" s="12" t="str">
        <f t="shared" si="72"/>
        <v xml:space="preserve"> </v>
      </c>
      <c r="P181" s="59" t="s">
        <v>117</v>
      </c>
      <c r="Q181" s="12" t="str">
        <f t="shared" si="73"/>
        <v xml:space="preserve"> </v>
      </c>
      <c r="R181" s="64" t="s">
        <v>122</v>
      </c>
      <c r="S181" s="12" t="str">
        <f t="shared" si="74"/>
        <v xml:space="preserve"> </v>
      </c>
      <c r="T181" s="81" t="s">
        <v>117</v>
      </c>
      <c r="U181" s="12" t="str">
        <f t="shared" si="75"/>
        <v xml:space="preserve"> </v>
      </c>
      <c r="V181" s="59" t="s">
        <v>70</v>
      </c>
      <c r="W181" s="12" t="str">
        <f t="shared" si="76"/>
        <v/>
      </c>
      <c r="X181" s="81" t="s">
        <v>122</v>
      </c>
      <c r="Y181" s="12" t="str">
        <f t="shared" si="77"/>
        <v xml:space="preserve"> </v>
      </c>
      <c r="Z181" s="81" t="s">
        <v>122</v>
      </c>
      <c r="AA181" s="12" t="str">
        <f t="shared" si="78"/>
        <v xml:space="preserve"> </v>
      </c>
      <c r="AB181" s="59" t="s">
        <v>117</v>
      </c>
      <c r="AC181" s="12" t="str">
        <f t="shared" si="79"/>
        <v xml:space="preserve"> </v>
      </c>
      <c r="AD181" s="81" t="s">
        <v>32</v>
      </c>
      <c r="AE181" s="12" t="str">
        <f t="shared" si="80"/>
        <v xml:space="preserve"> </v>
      </c>
      <c r="AF181" s="81" t="s">
        <v>23</v>
      </c>
      <c r="AG181" s="12" t="str">
        <f t="shared" si="81"/>
        <v xml:space="preserve"> </v>
      </c>
      <c r="AH181" s="81" t="s">
        <v>33</v>
      </c>
      <c r="AI181" s="12" t="str">
        <f t="shared" si="82"/>
        <v xml:space="preserve"> </v>
      </c>
      <c r="AJ181" s="81" t="s">
        <v>33</v>
      </c>
      <c r="AK181" s="12" t="str">
        <f t="shared" si="83"/>
        <v xml:space="preserve"> </v>
      </c>
      <c r="AL181" s="14">
        <f t="shared" si="63"/>
        <v>362</v>
      </c>
      <c r="AM181" s="69">
        <v>0</v>
      </c>
      <c r="AN181" s="14">
        <f t="shared" si="65"/>
        <v>362</v>
      </c>
      <c r="AO181" s="14" t="str">
        <f t="shared" si="66"/>
        <v>ABSENT</v>
      </c>
      <c r="AP181" s="14" t="str">
        <f t="shared" si="64"/>
        <v>AB</v>
      </c>
      <c r="AR181" s="55"/>
      <c r="AT181" s="52"/>
    </row>
    <row r="182" spans="2:46" s="53" customFormat="1" ht="18" customHeight="1">
      <c r="B182" s="75">
        <v>146358</v>
      </c>
      <c r="C182" s="80" t="s">
        <v>132</v>
      </c>
      <c r="D182" s="59">
        <v>44</v>
      </c>
      <c r="E182" s="12" t="str">
        <f t="shared" si="67"/>
        <v/>
      </c>
      <c r="F182" s="81" t="s">
        <v>32</v>
      </c>
      <c r="G182" s="12" t="str">
        <f t="shared" si="68"/>
        <v xml:space="preserve"> </v>
      </c>
      <c r="H182" s="81" t="s">
        <v>123</v>
      </c>
      <c r="I182" s="12" t="str">
        <f t="shared" si="69"/>
        <v xml:space="preserve"> </v>
      </c>
      <c r="J182" s="59" t="s">
        <v>25</v>
      </c>
      <c r="K182" s="12" t="str">
        <f t="shared" si="70"/>
        <v xml:space="preserve"> </v>
      </c>
      <c r="L182" s="81" t="s">
        <v>32</v>
      </c>
      <c r="M182" s="12" t="str">
        <f t="shared" si="71"/>
        <v xml:space="preserve"> </v>
      </c>
      <c r="N182" s="81" t="s">
        <v>23</v>
      </c>
      <c r="O182" s="12" t="str">
        <f t="shared" si="72"/>
        <v xml:space="preserve"> </v>
      </c>
      <c r="P182" s="59" t="s">
        <v>117</v>
      </c>
      <c r="Q182" s="12" t="str">
        <f t="shared" si="73"/>
        <v xml:space="preserve"> </v>
      </c>
      <c r="R182" s="64" t="s">
        <v>32</v>
      </c>
      <c r="S182" s="12" t="str">
        <f t="shared" si="74"/>
        <v xml:space="preserve"> </v>
      </c>
      <c r="T182" s="81" t="s">
        <v>123</v>
      </c>
      <c r="U182" s="12" t="str">
        <f t="shared" si="75"/>
        <v xml:space="preserve"> </v>
      </c>
      <c r="V182" s="59">
        <v>43</v>
      </c>
      <c r="W182" s="12" t="str">
        <f t="shared" si="76"/>
        <v/>
      </c>
      <c r="X182" s="81" t="s">
        <v>23</v>
      </c>
      <c r="Y182" s="12" t="str">
        <f t="shared" si="77"/>
        <v xml:space="preserve"> </v>
      </c>
      <c r="Z182" s="81" t="s">
        <v>35</v>
      </c>
      <c r="AA182" s="12" t="str">
        <f t="shared" si="78"/>
        <v xml:space="preserve"> </v>
      </c>
      <c r="AB182" s="59" t="s">
        <v>24</v>
      </c>
      <c r="AC182" s="12" t="str">
        <f t="shared" si="79"/>
        <v xml:space="preserve"> </v>
      </c>
      <c r="AD182" s="81" t="s">
        <v>32</v>
      </c>
      <c r="AE182" s="12" t="str">
        <f t="shared" si="80"/>
        <v xml:space="preserve"> </v>
      </c>
      <c r="AF182" s="81" t="s">
        <v>23</v>
      </c>
      <c r="AG182" s="12" t="str">
        <f t="shared" si="81"/>
        <v xml:space="preserve"> </v>
      </c>
      <c r="AH182" s="81" t="s">
        <v>23</v>
      </c>
      <c r="AI182" s="12" t="str">
        <f t="shared" si="82"/>
        <v xml:space="preserve"> </v>
      </c>
      <c r="AJ182" s="81" t="s">
        <v>35</v>
      </c>
      <c r="AK182" s="12" t="str">
        <f t="shared" si="83"/>
        <v xml:space="preserve"> </v>
      </c>
      <c r="AL182" s="14">
        <f t="shared" si="63"/>
        <v>487</v>
      </c>
      <c r="AM182" s="69" t="s">
        <v>418</v>
      </c>
      <c r="AN182" s="14">
        <f t="shared" si="65"/>
        <v>951</v>
      </c>
      <c r="AO182" s="14" t="str">
        <f t="shared" si="66"/>
        <v>PASS</v>
      </c>
      <c r="AP182" s="14" t="str">
        <f t="shared" si="64"/>
        <v>P</v>
      </c>
      <c r="AR182" s="55"/>
      <c r="AT182" s="52"/>
    </row>
    <row r="183" spans="2:46" s="53" customFormat="1" ht="18" customHeight="1">
      <c r="B183" s="75">
        <v>146359</v>
      </c>
      <c r="C183" s="80" t="s">
        <v>283</v>
      </c>
      <c r="D183" s="59" t="s">
        <v>70</v>
      </c>
      <c r="E183" s="12" t="str">
        <f t="shared" si="67"/>
        <v/>
      </c>
      <c r="F183" s="81" t="s">
        <v>23</v>
      </c>
      <c r="G183" s="12" t="str">
        <f t="shared" si="68"/>
        <v xml:space="preserve"> </v>
      </c>
      <c r="H183" s="81" t="s">
        <v>25</v>
      </c>
      <c r="I183" s="12" t="str">
        <f t="shared" si="69"/>
        <v xml:space="preserve"> </v>
      </c>
      <c r="J183" s="59" t="s">
        <v>70</v>
      </c>
      <c r="K183" s="12" t="str">
        <f t="shared" si="70"/>
        <v/>
      </c>
      <c r="L183" s="81" t="s">
        <v>28</v>
      </c>
      <c r="M183" s="12" t="str">
        <f t="shared" si="71"/>
        <v xml:space="preserve"> </v>
      </c>
      <c r="N183" s="81" t="s">
        <v>28</v>
      </c>
      <c r="O183" s="12" t="str">
        <f t="shared" si="72"/>
        <v xml:space="preserve"> </v>
      </c>
      <c r="P183" s="59" t="s">
        <v>70</v>
      </c>
      <c r="Q183" s="12" t="str">
        <f t="shared" si="73"/>
        <v/>
      </c>
      <c r="R183" s="64" t="s">
        <v>29</v>
      </c>
      <c r="S183" s="12" t="str">
        <f t="shared" si="74"/>
        <v xml:space="preserve"> </v>
      </c>
      <c r="T183" s="81" t="s">
        <v>30</v>
      </c>
      <c r="U183" s="12" t="str">
        <f t="shared" si="75"/>
        <v xml:space="preserve"> </v>
      </c>
      <c r="V183" s="59" t="s">
        <v>70</v>
      </c>
      <c r="W183" s="12" t="str">
        <f t="shared" si="76"/>
        <v/>
      </c>
      <c r="X183" s="81" t="s">
        <v>23</v>
      </c>
      <c r="Y183" s="12" t="str">
        <f t="shared" si="77"/>
        <v xml:space="preserve"> </v>
      </c>
      <c r="Z183" s="81" t="s">
        <v>33</v>
      </c>
      <c r="AA183" s="12" t="str">
        <f t="shared" si="78"/>
        <v xml:space="preserve"> </v>
      </c>
      <c r="AB183" s="59" t="s">
        <v>70</v>
      </c>
      <c r="AC183" s="12" t="str">
        <f t="shared" si="79"/>
        <v/>
      </c>
      <c r="AD183" s="81" t="s">
        <v>33</v>
      </c>
      <c r="AE183" s="12" t="str">
        <f t="shared" si="80"/>
        <v xml:space="preserve"> </v>
      </c>
      <c r="AF183" s="81" t="s">
        <v>27</v>
      </c>
      <c r="AG183" s="12" t="str">
        <f t="shared" si="81"/>
        <v xml:space="preserve"> </v>
      </c>
      <c r="AH183" s="81" t="s">
        <v>23</v>
      </c>
      <c r="AI183" s="12" t="str">
        <f t="shared" si="82"/>
        <v xml:space="preserve"> </v>
      </c>
      <c r="AJ183" s="81" t="s">
        <v>23</v>
      </c>
      <c r="AK183" s="12" t="str">
        <f t="shared" si="83"/>
        <v xml:space="preserve"> </v>
      </c>
      <c r="AL183" s="14">
        <f t="shared" si="63"/>
        <v>253</v>
      </c>
      <c r="AM183" s="69">
        <v>0</v>
      </c>
      <c r="AN183" s="14">
        <f t="shared" si="65"/>
        <v>253</v>
      </c>
      <c r="AO183" s="14" t="str">
        <f t="shared" si="66"/>
        <v>ABSENT</v>
      </c>
      <c r="AP183" s="14" t="str">
        <f t="shared" si="64"/>
        <v>AB</v>
      </c>
    </row>
    <row r="184" spans="2:46" s="53" customFormat="1" ht="18" customHeight="1">
      <c r="B184" s="75" t="s">
        <v>181</v>
      </c>
      <c r="C184" s="79" t="s">
        <v>284</v>
      </c>
      <c r="D184" s="59">
        <v>5</v>
      </c>
      <c r="E184" s="12" t="str">
        <f t="shared" si="67"/>
        <v>F</v>
      </c>
      <c r="F184" s="81">
        <v>21</v>
      </c>
      <c r="G184" s="12" t="str">
        <f t="shared" si="68"/>
        <v>E</v>
      </c>
      <c r="H184" s="81">
        <v>40</v>
      </c>
      <c r="I184" s="12" t="str">
        <f t="shared" si="69"/>
        <v>E</v>
      </c>
      <c r="J184" s="59">
        <v>40</v>
      </c>
      <c r="K184" s="12" t="str">
        <f t="shared" si="70"/>
        <v>E</v>
      </c>
      <c r="L184" s="81">
        <v>14</v>
      </c>
      <c r="M184" s="12" t="str">
        <f t="shared" si="71"/>
        <v>E</v>
      </c>
      <c r="N184" s="81">
        <v>21</v>
      </c>
      <c r="O184" s="12" t="str">
        <f t="shared" si="72"/>
        <v>E</v>
      </c>
      <c r="P184" s="59">
        <v>0</v>
      </c>
      <c r="Q184" s="12" t="str">
        <f t="shared" si="73"/>
        <v>F</v>
      </c>
      <c r="R184" s="64">
        <v>18</v>
      </c>
      <c r="S184" s="12" t="str">
        <f t="shared" si="74"/>
        <v>E</v>
      </c>
      <c r="T184" s="81">
        <v>35</v>
      </c>
      <c r="U184" s="12" t="str">
        <f t="shared" si="75"/>
        <v>E</v>
      </c>
      <c r="V184" s="59">
        <v>24</v>
      </c>
      <c r="W184" s="12" t="str">
        <f t="shared" si="76"/>
        <v>F</v>
      </c>
      <c r="X184" s="81">
        <v>20</v>
      </c>
      <c r="Y184" s="12" t="str">
        <f t="shared" si="77"/>
        <v>E</v>
      </c>
      <c r="Z184" s="81">
        <v>18</v>
      </c>
      <c r="AA184" s="12" t="str">
        <f t="shared" si="78"/>
        <v>E</v>
      </c>
      <c r="AB184" s="59">
        <v>40</v>
      </c>
      <c r="AC184" s="12" t="str">
        <f t="shared" si="79"/>
        <v>E</v>
      </c>
      <c r="AD184" s="81">
        <v>19</v>
      </c>
      <c r="AE184" s="12" t="str">
        <f t="shared" si="80"/>
        <v>E</v>
      </c>
      <c r="AF184" s="81">
        <v>19</v>
      </c>
      <c r="AG184" s="12" t="str">
        <f t="shared" si="81"/>
        <v>E</v>
      </c>
      <c r="AH184" s="81">
        <v>18</v>
      </c>
      <c r="AI184" s="12" t="str">
        <f t="shared" si="82"/>
        <v>E</v>
      </c>
      <c r="AJ184" s="81">
        <v>19</v>
      </c>
      <c r="AK184" s="12" t="str">
        <f t="shared" si="83"/>
        <v>E</v>
      </c>
      <c r="AL184" s="14">
        <f t="shared" si="63"/>
        <v>371</v>
      </c>
      <c r="AM184" s="69">
        <v>0</v>
      </c>
      <c r="AN184" s="14">
        <f t="shared" si="65"/>
        <v>371</v>
      </c>
      <c r="AO184" s="14" t="str">
        <f t="shared" si="66"/>
        <v>FAIL</v>
      </c>
      <c r="AP184" s="14" t="str">
        <f t="shared" si="64"/>
        <v>--</v>
      </c>
    </row>
    <row r="185" spans="2:46" s="53" customFormat="1" ht="18" customHeight="1">
      <c r="B185" s="75" t="s">
        <v>182</v>
      </c>
      <c r="C185" s="79" t="s">
        <v>285</v>
      </c>
      <c r="D185" s="59">
        <v>34</v>
      </c>
      <c r="E185" s="12" t="str">
        <f t="shared" si="67"/>
        <v>F</v>
      </c>
      <c r="F185" s="81">
        <v>21</v>
      </c>
      <c r="G185" s="12" t="str">
        <f t="shared" si="68"/>
        <v>E</v>
      </c>
      <c r="H185" s="81">
        <v>40</v>
      </c>
      <c r="I185" s="12" t="str">
        <f t="shared" si="69"/>
        <v>E</v>
      </c>
      <c r="J185" s="59">
        <v>40</v>
      </c>
      <c r="K185" s="12" t="str">
        <f t="shared" si="70"/>
        <v>E</v>
      </c>
      <c r="L185" s="81">
        <v>14</v>
      </c>
      <c r="M185" s="12" t="str">
        <f t="shared" si="71"/>
        <v>E</v>
      </c>
      <c r="N185" s="81">
        <v>21</v>
      </c>
      <c r="O185" s="12" t="str">
        <f t="shared" si="72"/>
        <v>E</v>
      </c>
      <c r="P185" s="59">
        <v>30</v>
      </c>
      <c r="Q185" s="12" t="str">
        <f t="shared" si="73"/>
        <v>F</v>
      </c>
      <c r="R185" s="64">
        <v>16</v>
      </c>
      <c r="S185" s="12" t="str">
        <f t="shared" si="74"/>
        <v>E</v>
      </c>
      <c r="T185" s="81">
        <v>35</v>
      </c>
      <c r="U185" s="12" t="str">
        <f t="shared" si="75"/>
        <v>E</v>
      </c>
      <c r="V185" s="59">
        <v>17</v>
      </c>
      <c r="W185" s="12" t="str">
        <f t="shared" si="76"/>
        <v>F</v>
      </c>
      <c r="X185" s="81">
        <v>20</v>
      </c>
      <c r="Y185" s="12" t="str">
        <f t="shared" si="77"/>
        <v>E</v>
      </c>
      <c r="Z185" s="81">
        <v>19</v>
      </c>
      <c r="AA185" s="12" t="str">
        <f t="shared" si="78"/>
        <v>E</v>
      </c>
      <c r="AB185" s="59">
        <v>40</v>
      </c>
      <c r="AC185" s="12" t="str">
        <f t="shared" si="79"/>
        <v>E</v>
      </c>
      <c r="AD185" s="81">
        <v>19</v>
      </c>
      <c r="AE185" s="12" t="str">
        <f t="shared" si="80"/>
        <v>E</v>
      </c>
      <c r="AF185" s="81">
        <v>19</v>
      </c>
      <c r="AG185" s="12" t="str">
        <f t="shared" si="81"/>
        <v>E</v>
      </c>
      <c r="AH185" s="81">
        <v>18</v>
      </c>
      <c r="AI185" s="12" t="str">
        <f t="shared" si="82"/>
        <v>E</v>
      </c>
      <c r="AJ185" s="81">
        <v>19</v>
      </c>
      <c r="AK185" s="12" t="str">
        <f t="shared" si="83"/>
        <v>E</v>
      </c>
      <c r="AL185" s="14">
        <f t="shared" si="63"/>
        <v>422</v>
      </c>
      <c r="AM185" s="69">
        <v>0</v>
      </c>
      <c r="AN185" s="14">
        <f t="shared" si="65"/>
        <v>422</v>
      </c>
      <c r="AO185" s="14" t="str">
        <f t="shared" si="66"/>
        <v>FAIL</v>
      </c>
      <c r="AP185" s="14" t="str">
        <f t="shared" si="64"/>
        <v>--</v>
      </c>
    </row>
    <row r="186" spans="2:46" s="53" customFormat="1">
      <c r="D186" s="65"/>
      <c r="E186" s="50"/>
      <c r="F186" s="65"/>
      <c r="G186" s="50"/>
      <c r="H186" s="65"/>
      <c r="I186" s="50"/>
      <c r="J186" s="65"/>
      <c r="K186" s="50"/>
      <c r="L186" s="65"/>
      <c r="M186" s="50"/>
      <c r="N186" s="65"/>
      <c r="O186" s="50"/>
      <c r="P186" s="65"/>
      <c r="Q186" s="50"/>
      <c r="R186" s="65"/>
      <c r="S186" s="50"/>
      <c r="T186" s="65"/>
      <c r="U186" s="50"/>
      <c r="V186" s="65"/>
      <c r="W186" s="50"/>
      <c r="X186" s="65"/>
      <c r="Y186" s="50"/>
      <c r="Z186" s="65"/>
      <c r="AA186" s="50"/>
      <c r="AB186" s="65"/>
      <c r="AC186" s="50"/>
      <c r="AD186" s="65"/>
      <c r="AE186" s="50"/>
      <c r="AF186" s="65"/>
      <c r="AG186" s="50"/>
      <c r="AH186" s="65"/>
      <c r="AI186" s="50"/>
      <c r="AJ186" s="65"/>
      <c r="AK186" s="50"/>
      <c r="AL186" s="56"/>
      <c r="AM186" s="51"/>
    </row>
    <row r="187" spans="2:46" s="53" customFormat="1">
      <c r="D187" s="65"/>
      <c r="E187" s="50"/>
      <c r="F187" s="65"/>
      <c r="G187" s="50"/>
      <c r="H187" s="65"/>
      <c r="I187" s="50"/>
      <c r="J187" s="65"/>
      <c r="K187" s="50"/>
      <c r="L187" s="65"/>
      <c r="M187" s="50"/>
      <c r="N187" s="65"/>
      <c r="O187" s="50"/>
      <c r="P187" s="65"/>
      <c r="Q187" s="50"/>
      <c r="R187" s="65"/>
      <c r="S187" s="50"/>
      <c r="T187" s="65"/>
      <c r="U187" s="50"/>
      <c r="V187" s="65"/>
      <c r="W187" s="50"/>
      <c r="X187" s="65"/>
      <c r="Y187" s="50"/>
      <c r="Z187" s="65"/>
      <c r="AA187" s="50"/>
      <c r="AB187" s="65"/>
      <c r="AC187" s="50"/>
      <c r="AD187" s="65"/>
      <c r="AE187" s="50"/>
      <c r="AF187" s="65"/>
      <c r="AG187" s="50"/>
      <c r="AH187" s="65"/>
      <c r="AI187" s="50"/>
      <c r="AJ187" s="65"/>
      <c r="AK187" s="50"/>
      <c r="AL187" s="66" t="s">
        <v>48</v>
      </c>
      <c r="AM187" s="51"/>
      <c r="AN187" s="52"/>
      <c r="AO187" s="52"/>
      <c r="AP187" s="67">
        <f>COUNTIF(AO25:AO185,"PASS")+COUNTIF(AO25:AO185,"FAIL")</f>
        <v>157</v>
      </c>
    </row>
    <row r="188" spans="2:46" s="53" customFormat="1">
      <c r="D188" s="65"/>
      <c r="E188" s="50"/>
      <c r="F188" s="65"/>
      <c r="G188" s="50"/>
      <c r="H188" s="65"/>
      <c r="I188" s="50"/>
      <c r="J188" s="65"/>
      <c r="K188" s="50"/>
      <c r="L188" s="65"/>
      <c r="M188" s="50"/>
      <c r="N188" s="65"/>
      <c r="O188" s="50"/>
      <c r="P188" s="65"/>
      <c r="Q188" s="50"/>
      <c r="R188" s="65"/>
      <c r="S188" s="50"/>
      <c r="T188" s="65"/>
      <c r="U188" s="50"/>
      <c r="V188" s="65"/>
      <c r="W188" s="50"/>
      <c r="X188" s="65"/>
      <c r="Y188" s="50"/>
      <c r="Z188" s="65"/>
      <c r="AA188" s="50"/>
      <c r="AB188" s="65"/>
      <c r="AC188" s="50"/>
      <c r="AD188" s="65"/>
      <c r="AE188" s="50"/>
      <c r="AF188" s="65"/>
      <c r="AG188" s="50"/>
      <c r="AH188" s="65"/>
      <c r="AI188" s="50"/>
      <c r="AJ188" s="65"/>
      <c r="AK188" s="50"/>
      <c r="AL188" s="66" t="s">
        <v>49</v>
      </c>
      <c r="AM188" s="51"/>
      <c r="AN188" s="52"/>
      <c r="AO188" s="52"/>
      <c r="AP188" s="16">
        <f>COUNTIF(AP25:AP185,"P")+COUNTIF(AP25:AP185,"I")+COUNTIF(AP25:AP185,"II")</f>
        <v>140</v>
      </c>
    </row>
    <row r="189" spans="2:46" s="53" customFormat="1">
      <c r="D189" s="65"/>
      <c r="E189" s="50"/>
      <c r="F189" s="65"/>
      <c r="G189" s="50"/>
      <c r="H189" s="65"/>
      <c r="I189" s="50"/>
      <c r="J189" s="65"/>
      <c r="K189" s="50"/>
      <c r="L189" s="65"/>
      <c r="M189" s="50"/>
      <c r="N189" s="65"/>
      <c r="O189" s="50"/>
      <c r="P189" s="65"/>
      <c r="Q189" s="50"/>
      <c r="R189" s="65"/>
      <c r="S189" s="50"/>
      <c r="T189" s="65"/>
      <c r="U189" s="50"/>
      <c r="V189" s="65"/>
      <c r="W189" s="50"/>
      <c r="X189" s="65"/>
      <c r="Y189" s="50"/>
      <c r="Z189" s="65"/>
      <c r="AA189" s="50"/>
      <c r="AB189" s="65"/>
      <c r="AC189" s="50"/>
      <c r="AD189" s="65"/>
      <c r="AE189" s="50"/>
      <c r="AF189" s="65"/>
      <c r="AG189" s="50"/>
      <c r="AH189" s="65"/>
      <c r="AI189" s="50"/>
      <c r="AJ189" s="65"/>
      <c r="AK189" s="50"/>
      <c r="AL189" s="66" t="s">
        <v>50</v>
      </c>
      <c r="AM189" s="51"/>
      <c r="AN189" s="52"/>
      <c r="AO189" s="52"/>
      <c r="AP189" s="68">
        <f>AP188/AP187</f>
        <v>0.89171974522292996</v>
      </c>
    </row>
    <row r="190" spans="2:46" s="53" customFormat="1">
      <c r="D190" s="65"/>
      <c r="E190" s="50"/>
      <c r="F190" s="65"/>
      <c r="G190" s="50"/>
      <c r="H190" s="65"/>
      <c r="I190" s="50"/>
      <c r="J190" s="65"/>
      <c r="K190" s="50"/>
      <c r="L190" s="65"/>
      <c r="M190" s="50"/>
      <c r="N190" s="65"/>
      <c r="O190" s="50"/>
      <c r="P190" s="65"/>
      <c r="Q190" s="50"/>
      <c r="R190" s="65"/>
      <c r="S190" s="50"/>
      <c r="T190" s="65"/>
      <c r="U190" s="50"/>
      <c r="V190" s="65"/>
      <c r="W190" s="50"/>
      <c r="X190" s="65"/>
      <c r="Y190" s="50"/>
      <c r="Z190" s="65"/>
      <c r="AA190" s="50"/>
      <c r="AB190" s="65"/>
      <c r="AC190" s="50"/>
      <c r="AD190" s="65"/>
      <c r="AE190" s="50"/>
      <c r="AF190" s="65"/>
      <c r="AG190" s="50"/>
      <c r="AH190" s="65"/>
      <c r="AI190" s="50"/>
      <c r="AJ190" s="65"/>
      <c r="AK190" s="50"/>
      <c r="AL190" s="56"/>
      <c r="AM190" s="51"/>
    </row>
    <row r="191" spans="2:46" s="53" customFormat="1">
      <c r="D191" s="65"/>
      <c r="E191" s="50"/>
      <c r="F191" s="65"/>
      <c r="G191" s="50"/>
      <c r="H191" s="65"/>
      <c r="I191" s="50"/>
      <c r="J191" s="65"/>
      <c r="K191" s="50"/>
      <c r="L191" s="65"/>
      <c r="M191" s="50"/>
      <c r="N191" s="65"/>
      <c r="O191" s="50"/>
      <c r="P191" s="65"/>
      <c r="Q191" s="50"/>
      <c r="R191" s="65"/>
      <c r="S191" s="50"/>
      <c r="T191" s="65"/>
      <c r="U191" s="50"/>
      <c r="V191" s="65"/>
      <c r="W191" s="50"/>
      <c r="X191" s="65"/>
      <c r="Y191" s="50"/>
      <c r="Z191" s="65"/>
      <c r="AA191" s="50"/>
      <c r="AB191" s="65"/>
      <c r="AC191" s="50"/>
      <c r="AD191" s="65"/>
      <c r="AE191" s="50"/>
      <c r="AF191" s="65"/>
      <c r="AG191" s="50"/>
      <c r="AH191" s="65"/>
      <c r="AI191" s="50"/>
      <c r="AJ191" s="65"/>
      <c r="AK191" s="50"/>
      <c r="AL191" s="56"/>
      <c r="AM191" s="51"/>
    </row>
    <row r="192" spans="2:46" s="53" customFormat="1">
      <c r="D192" s="65"/>
      <c r="E192" s="50"/>
      <c r="F192" s="65"/>
      <c r="G192" s="50"/>
      <c r="H192" s="65"/>
      <c r="I192" s="50"/>
      <c r="J192" s="65"/>
      <c r="K192" s="50"/>
      <c r="L192" s="65"/>
      <c r="M192" s="50"/>
      <c r="N192" s="65"/>
      <c r="O192" s="50"/>
      <c r="P192" s="65"/>
      <c r="Q192" s="50"/>
      <c r="R192" s="65"/>
      <c r="S192" s="50"/>
      <c r="T192" s="65"/>
      <c r="U192" s="50"/>
      <c r="V192" s="65"/>
      <c r="W192" s="50"/>
      <c r="X192" s="65"/>
      <c r="Y192" s="50"/>
      <c r="Z192" s="65"/>
      <c r="AA192" s="50"/>
      <c r="AB192" s="65"/>
      <c r="AC192" s="50"/>
      <c r="AD192" s="65"/>
      <c r="AE192" s="50"/>
      <c r="AF192" s="65"/>
      <c r="AG192" s="50"/>
      <c r="AH192" s="65"/>
      <c r="AI192" s="50"/>
      <c r="AJ192" s="65"/>
      <c r="AK192" s="50"/>
      <c r="AL192" s="56"/>
      <c r="AM192" s="51"/>
    </row>
    <row r="193" spans="4:39" s="53" customFormat="1">
      <c r="D193" s="65"/>
      <c r="E193" s="50"/>
      <c r="F193" s="65"/>
      <c r="G193" s="50"/>
      <c r="H193" s="65"/>
      <c r="I193" s="50"/>
      <c r="J193" s="65"/>
      <c r="K193" s="50"/>
      <c r="L193" s="65"/>
      <c r="M193" s="50"/>
      <c r="N193" s="65"/>
      <c r="O193" s="50"/>
      <c r="P193" s="65"/>
      <c r="Q193" s="50"/>
      <c r="R193" s="65"/>
      <c r="S193" s="50"/>
      <c r="T193" s="65"/>
      <c r="U193" s="50"/>
      <c r="V193" s="65"/>
      <c r="W193" s="50"/>
      <c r="X193" s="65"/>
      <c r="Y193" s="50"/>
      <c r="Z193" s="65"/>
      <c r="AA193" s="50"/>
      <c r="AB193" s="65"/>
      <c r="AC193" s="50"/>
      <c r="AD193" s="65"/>
      <c r="AE193" s="50"/>
      <c r="AF193" s="65"/>
      <c r="AG193" s="50"/>
      <c r="AH193" s="65"/>
      <c r="AI193" s="50"/>
      <c r="AJ193" s="65"/>
      <c r="AK193" s="50"/>
      <c r="AL193" s="56"/>
      <c r="AM193" s="51"/>
    </row>
    <row r="194" spans="4:39" s="53" customFormat="1">
      <c r="D194" s="65"/>
      <c r="E194" s="50"/>
      <c r="F194" s="65"/>
      <c r="G194" s="50"/>
      <c r="H194" s="65"/>
      <c r="I194" s="50"/>
      <c r="J194" s="65"/>
      <c r="K194" s="50"/>
      <c r="L194" s="65"/>
      <c r="M194" s="50"/>
      <c r="N194" s="65"/>
      <c r="O194" s="50"/>
      <c r="P194" s="65"/>
      <c r="Q194" s="50"/>
      <c r="R194" s="65"/>
      <c r="S194" s="50"/>
      <c r="T194" s="65"/>
      <c r="U194" s="50"/>
      <c r="V194" s="65"/>
      <c r="W194" s="50"/>
      <c r="X194" s="65"/>
      <c r="Y194" s="50"/>
      <c r="Z194" s="65"/>
      <c r="AA194" s="50"/>
      <c r="AB194" s="65"/>
      <c r="AC194" s="50"/>
      <c r="AD194" s="65"/>
      <c r="AE194" s="50"/>
      <c r="AF194" s="65"/>
      <c r="AG194" s="50"/>
      <c r="AH194" s="65"/>
      <c r="AI194" s="50"/>
      <c r="AJ194" s="65"/>
      <c r="AK194" s="50"/>
      <c r="AL194" s="56"/>
      <c r="AM194" s="51"/>
    </row>
    <row r="195" spans="4:39" s="53" customFormat="1">
      <c r="D195" s="65"/>
      <c r="E195" s="50"/>
      <c r="F195" s="65"/>
      <c r="G195" s="50"/>
      <c r="H195" s="65"/>
      <c r="I195" s="50"/>
      <c r="J195" s="65"/>
      <c r="K195" s="50"/>
      <c r="L195" s="65"/>
      <c r="M195" s="50"/>
      <c r="N195" s="65"/>
      <c r="O195" s="50"/>
      <c r="P195" s="65"/>
      <c r="Q195" s="50"/>
      <c r="R195" s="65"/>
      <c r="S195" s="50"/>
      <c r="T195" s="65"/>
      <c r="U195" s="50"/>
      <c r="V195" s="65"/>
      <c r="W195" s="50"/>
      <c r="X195" s="65"/>
      <c r="Y195" s="50"/>
      <c r="Z195" s="65"/>
      <c r="AA195" s="50"/>
      <c r="AB195" s="65"/>
      <c r="AC195" s="50"/>
      <c r="AD195" s="65"/>
      <c r="AE195" s="50"/>
      <c r="AF195" s="65"/>
      <c r="AG195" s="50"/>
      <c r="AH195" s="65"/>
      <c r="AI195" s="50"/>
      <c r="AJ195" s="65"/>
      <c r="AK195" s="50"/>
      <c r="AL195" s="56"/>
      <c r="AM195" s="51"/>
    </row>
    <row r="196" spans="4:39" s="53" customFormat="1">
      <c r="D196" s="65"/>
      <c r="E196" s="50"/>
      <c r="F196" s="65"/>
      <c r="G196" s="50"/>
      <c r="H196" s="65"/>
      <c r="I196" s="50"/>
      <c r="J196" s="65"/>
      <c r="K196" s="50"/>
      <c r="L196" s="65"/>
      <c r="M196" s="50"/>
      <c r="N196" s="65"/>
      <c r="O196" s="50"/>
      <c r="P196" s="65"/>
      <c r="Q196" s="50"/>
      <c r="R196" s="65"/>
      <c r="S196" s="50"/>
      <c r="T196" s="65"/>
      <c r="U196" s="50"/>
      <c r="V196" s="65"/>
      <c r="W196" s="50"/>
      <c r="X196" s="65"/>
      <c r="Y196" s="50"/>
      <c r="Z196" s="65"/>
      <c r="AA196" s="50"/>
      <c r="AB196" s="65"/>
      <c r="AC196" s="50"/>
      <c r="AD196" s="65"/>
      <c r="AE196" s="50"/>
      <c r="AF196" s="65"/>
      <c r="AG196" s="50"/>
      <c r="AH196" s="65"/>
      <c r="AI196" s="50"/>
      <c r="AJ196" s="65"/>
      <c r="AK196" s="50"/>
      <c r="AL196" s="56"/>
      <c r="AM196" s="51"/>
    </row>
    <row r="197" spans="4:39" s="53" customFormat="1">
      <c r="D197" s="65"/>
      <c r="E197" s="50"/>
      <c r="F197" s="65"/>
      <c r="G197" s="50"/>
      <c r="H197" s="65"/>
      <c r="I197" s="50"/>
      <c r="J197" s="65"/>
      <c r="K197" s="50"/>
      <c r="L197" s="65"/>
      <c r="M197" s="50"/>
      <c r="N197" s="65"/>
      <c r="O197" s="50"/>
      <c r="P197" s="65"/>
      <c r="Q197" s="50"/>
      <c r="R197" s="65"/>
      <c r="S197" s="50"/>
      <c r="T197" s="65"/>
      <c r="U197" s="50"/>
      <c r="V197" s="65"/>
      <c r="W197" s="50"/>
      <c r="X197" s="65"/>
      <c r="Y197" s="50"/>
      <c r="Z197" s="65"/>
      <c r="AA197" s="50"/>
      <c r="AB197" s="65"/>
      <c r="AC197" s="50"/>
      <c r="AD197" s="65"/>
      <c r="AE197" s="50"/>
      <c r="AF197" s="65"/>
      <c r="AG197" s="50"/>
      <c r="AH197" s="65"/>
      <c r="AI197" s="50"/>
      <c r="AJ197" s="65"/>
      <c r="AK197" s="50"/>
      <c r="AL197" s="56"/>
      <c r="AM197" s="51"/>
    </row>
    <row r="198" spans="4:39" s="53" customFormat="1">
      <c r="D198" s="65"/>
      <c r="E198" s="50"/>
      <c r="F198" s="65"/>
      <c r="G198" s="50"/>
      <c r="H198" s="65"/>
      <c r="I198" s="50"/>
      <c r="J198" s="65"/>
      <c r="K198" s="50"/>
      <c r="L198" s="65"/>
      <c r="M198" s="50"/>
      <c r="N198" s="65"/>
      <c r="O198" s="50"/>
      <c r="P198" s="65"/>
      <c r="Q198" s="50"/>
      <c r="R198" s="65"/>
      <c r="S198" s="50"/>
      <c r="T198" s="65"/>
      <c r="U198" s="50"/>
      <c r="V198" s="65"/>
      <c r="W198" s="50"/>
      <c r="X198" s="65"/>
      <c r="Y198" s="50"/>
      <c r="Z198" s="65"/>
      <c r="AA198" s="50"/>
      <c r="AB198" s="65"/>
      <c r="AC198" s="50"/>
      <c r="AD198" s="65"/>
      <c r="AE198" s="50"/>
      <c r="AF198" s="65"/>
      <c r="AG198" s="50"/>
      <c r="AH198" s="65"/>
      <c r="AI198" s="50"/>
      <c r="AJ198" s="65"/>
      <c r="AK198" s="50"/>
      <c r="AL198" s="56"/>
      <c r="AM198" s="51"/>
    </row>
    <row r="199" spans="4:39" s="53" customFormat="1">
      <c r="D199" s="65"/>
      <c r="E199" s="50"/>
      <c r="F199" s="65"/>
      <c r="G199" s="50"/>
      <c r="H199" s="65"/>
      <c r="I199" s="50"/>
      <c r="J199" s="65"/>
      <c r="K199" s="50"/>
      <c r="L199" s="65"/>
      <c r="M199" s="50"/>
      <c r="N199" s="65"/>
      <c r="O199" s="50"/>
      <c r="P199" s="65"/>
      <c r="Q199" s="50"/>
      <c r="R199" s="65"/>
      <c r="S199" s="50"/>
      <c r="T199" s="65"/>
      <c r="U199" s="50"/>
      <c r="V199" s="65"/>
      <c r="W199" s="50"/>
      <c r="X199" s="65"/>
      <c r="Y199" s="50"/>
      <c r="Z199" s="65"/>
      <c r="AA199" s="50"/>
      <c r="AB199" s="65"/>
      <c r="AC199" s="50"/>
      <c r="AD199" s="65"/>
      <c r="AE199" s="50"/>
      <c r="AF199" s="65"/>
      <c r="AG199" s="50"/>
      <c r="AH199" s="65"/>
      <c r="AI199" s="50"/>
      <c r="AJ199" s="65"/>
      <c r="AK199" s="50"/>
      <c r="AL199" s="56"/>
      <c r="AM199" s="51"/>
    </row>
    <row r="200" spans="4:39" s="53" customFormat="1">
      <c r="D200" s="65"/>
      <c r="E200" s="50"/>
      <c r="F200" s="65"/>
      <c r="G200" s="50"/>
      <c r="H200" s="65"/>
      <c r="I200" s="50"/>
      <c r="J200" s="65"/>
      <c r="K200" s="50"/>
      <c r="L200" s="65"/>
      <c r="M200" s="50"/>
      <c r="N200" s="65"/>
      <c r="O200" s="50"/>
      <c r="P200" s="65"/>
      <c r="Q200" s="50"/>
      <c r="R200" s="65"/>
      <c r="S200" s="50"/>
      <c r="T200" s="65"/>
      <c r="U200" s="50"/>
      <c r="V200" s="65"/>
      <c r="W200" s="50"/>
      <c r="X200" s="65"/>
      <c r="Y200" s="50"/>
      <c r="Z200" s="65"/>
      <c r="AA200" s="50"/>
      <c r="AB200" s="65"/>
      <c r="AC200" s="50"/>
      <c r="AD200" s="65"/>
      <c r="AE200" s="50"/>
      <c r="AF200" s="65"/>
      <c r="AG200" s="50"/>
      <c r="AH200" s="65"/>
      <c r="AI200" s="50"/>
      <c r="AJ200" s="65"/>
      <c r="AK200" s="50"/>
      <c r="AL200" s="56"/>
      <c r="AM200" s="51"/>
    </row>
    <row r="201" spans="4:39" s="53" customFormat="1">
      <c r="D201" s="65"/>
      <c r="E201" s="50"/>
      <c r="F201" s="65"/>
      <c r="G201" s="50"/>
      <c r="H201" s="65"/>
      <c r="I201" s="50"/>
      <c r="J201" s="65"/>
      <c r="K201" s="50"/>
      <c r="L201" s="65"/>
      <c r="M201" s="50"/>
      <c r="N201" s="65"/>
      <c r="O201" s="50"/>
      <c r="P201" s="65"/>
      <c r="Q201" s="50"/>
      <c r="R201" s="65"/>
      <c r="S201" s="50"/>
      <c r="T201" s="65"/>
      <c r="U201" s="50"/>
      <c r="V201" s="65"/>
      <c r="W201" s="50"/>
      <c r="X201" s="65"/>
      <c r="Y201" s="50"/>
      <c r="Z201" s="65"/>
      <c r="AA201" s="50"/>
      <c r="AB201" s="65"/>
      <c r="AC201" s="50"/>
      <c r="AD201" s="65"/>
      <c r="AE201" s="50"/>
      <c r="AF201" s="65"/>
      <c r="AG201" s="50"/>
      <c r="AH201" s="65"/>
      <c r="AI201" s="50"/>
      <c r="AJ201" s="65"/>
      <c r="AK201" s="50"/>
      <c r="AL201" s="56"/>
      <c r="AM201" s="51"/>
    </row>
    <row r="202" spans="4:39" s="53" customFormat="1">
      <c r="D202" s="65"/>
      <c r="E202" s="50"/>
      <c r="F202" s="65"/>
      <c r="G202" s="50"/>
      <c r="H202" s="65"/>
      <c r="I202" s="50"/>
      <c r="J202" s="65"/>
      <c r="K202" s="50"/>
      <c r="L202" s="65"/>
      <c r="M202" s="50"/>
      <c r="N202" s="65"/>
      <c r="O202" s="50"/>
      <c r="P202" s="65"/>
      <c r="Q202" s="50"/>
      <c r="R202" s="65"/>
      <c r="S202" s="50"/>
      <c r="T202" s="65"/>
      <c r="U202" s="50"/>
      <c r="V202" s="65"/>
      <c r="W202" s="50"/>
      <c r="X202" s="65"/>
      <c r="Y202" s="50"/>
      <c r="Z202" s="65"/>
      <c r="AA202" s="50"/>
      <c r="AB202" s="65"/>
      <c r="AC202" s="50"/>
      <c r="AD202" s="65"/>
      <c r="AE202" s="50"/>
      <c r="AF202" s="65"/>
      <c r="AG202" s="50"/>
      <c r="AH202" s="65"/>
      <c r="AI202" s="50"/>
      <c r="AJ202" s="65"/>
      <c r="AK202" s="50"/>
      <c r="AL202" s="56"/>
      <c r="AM202" s="51"/>
    </row>
    <row r="203" spans="4:39" s="53" customFormat="1">
      <c r="D203" s="65"/>
      <c r="E203" s="50"/>
      <c r="F203" s="65"/>
      <c r="G203" s="50"/>
      <c r="H203" s="65"/>
      <c r="I203" s="50"/>
      <c r="J203" s="65"/>
      <c r="K203" s="50"/>
      <c r="L203" s="65"/>
      <c r="M203" s="50"/>
      <c r="N203" s="65"/>
      <c r="O203" s="50"/>
      <c r="P203" s="65"/>
      <c r="Q203" s="50"/>
      <c r="R203" s="65"/>
      <c r="S203" s="50"/>
      <c r="T203" s="65"/>
      <c r="U203" s="50"/>
      <c r="V203" s="65"/>
      <c r="W203" s="50"/>
      <c r="X203" s="65"/>
      <c r="Y203" s="50"/>
      <c r="Z203" s="65"/>
      <c r="AA203" s="50"/>
      <c r="AB203" s="65"/>
      <c r="AC203" s="50"/>
      <c r="AD203" s="65"/>
      <c r="AE203" s="50"/>
      <c r="AF203" s="65"/>
      <c r="AG203" s="50"/>
      <c r="AH203" s="65"/>
      <c r="AI203" s="50"/>
      <c r="AJ203" s="65"/>
      <c r="AK203" s="50"/>
      <c r="AL203" s="56"/>
      <c r="AM203" s="51"/>
    </row>
    <row r="204" spans="4:39" s="53" customFormat="1">
      <c r="D204" s="65"/>
      <c r="E204" s="50"/>
      <c r="F204" s="65"/>
      <c r="G204" s="50"/>
      <c r="H204" s="65"/>
      <c r="I204" s="50"/>
      <c r="J204" s="65"/>
      <c r="K204" s="50"/>
      <c r="L204" s="65"/>
      <c r="M204" s="50"/>
      <c r="N204" s="65"/>
      <c r="O204" s="50"/>
      <c r="P204" s="65"/>
      <c r="Q204" s="50"/>
      <c r="R204" s="65"/>
      <c r="S204" s="50"/>
      <c r="T204" s="65"/>
      <c r="U204" s="50"/>
      <c r="V204" s="65"/>
      <c r="W204" s="50"/>
      <c r="X204" s="65"/>
      <c r="Y204" s="50"/>
      <c r="Z204" s="65"/>
      <c r="AA204" s="50"/>
      <c r="AB204" s="65"/>
      <c r="AC204" s="50"/>
      <c r="AD204" s="65"/>
      <c r="AE204" s="50"/>
      <c r="AF204" s="65"/>
      <c r="AG204" s="50"/>
      <c r="AH204" s="65"/>
      <c r="AI204" s="50"/>
      <c r="AJ204" s="65"/>
      <c r="AK204" s="50"/>
      <c r="AL204" s="56"/>
      <c r="AM204" s="51"/>
    </row>
    <row r="205" spans="4:39" s="53" customFormat="1">
      <c r="D205" s="65"/>
      <c r="E205" s="50"/>
      <c r="F205" s="65"/>
      <c r="G205" s="50"/>
      <c r="H205" s="65"/>
      <c r="I205" s="50"/>
      <c r="J205" s="65"/>
      <c r="K205" s="50"/>
      <c r="L205" s="65"/>
      <c r="M205" s="50"/>
      <c r="N205" s="65"/>
      <c r="O205" s="50"/>
      <c r="P205" s="65"/>
      <c r="Q205" s="50"/>
      <c r="R205" s="65"/>
      <c r="S205" s="50"/>
      <c r="T205" s="65"/>
      <c r="U205" s="50"/>
      <c r="V205" s="65"/>
      <c r="W205" s="50"/>
      <c r="X205" s="65"/>
      <c r="Y205" s="50"/>
      <c r="Z205" s="65"/>
      <c r="AA205" s="50"/>
      <c r="AB205" s="65"/>
      <c r="AC205" s="50"/>
      <c r="AD205" s="65"/>
      <c r="AE205" s="50"/>
      <c r="AF205" s="65"/>
      <c r="AG205" s="50"/>
      <c r="AH205" s="65"/>
      <c r="AI205" s="50"/>
      <c r="AJ205" s="65"/>
      <c r="AK205" s="50"/>
      <c r="AL205" s="56"/>
      <c r="AM205" s="51"/>
    </row>
    <row r="206" spans="4:39" s="53" customFormat="1">
      <c r="D206" s="65"/>
      <c r="E206" s="50"/>
      <c r="F206" s="65"/>
      <c r="G206" s="50"/>
      <c r="H206" s="65"/>
      <c r="I206" s="50"/>
      <c r="J206" s="65"/>
      <c r="K206" s="50"/>
      <c r="L206" s="65"/>
      <c r="M206" s="50"/>
      <c r="N206" s="65"/>
      <c r="O206" s="50"/>
      <c r="P206" s="65"/>
      <c r="Q206" s="50"/>
      <c r="R206" s="65"/>
      <c r="S206" s="50"/>
      <c r="T206" s="65"/>
      <c r="U206" s="50"/>
      <c r="V206" s="65"/>
      <c r="W206" s="50"/>
      <c r="X206" s="65"/>
      <c r="Y206" s="50"/>
      <c r="Z206" s="65"/>
      <c r="AA206" s="50"/>
      <c r="AB206" s="65"/>
      <c r="AC206" s="50"/>
      <c r="AD206" s="65"/>
      <c r="AE206" s="50"/>
      <c r="AF206" s="65"/>
      <c r="AG206" s="50"/>
      <c r="AH206" s="65"/>
      <c r="AI206" s="50"/>
      <c r="AJ206" s="65"/>
      <c r="AK206" s="50"/>
      <c r="AL206" s="56"/>
      <c r="AM206" s="51"/>
    </row>
    <row r="207" spans="4:39" s="53" customFormat="1">
      <c r="D207" s="65"/>
      <c r="E207" s="50"/>
      <c r="F207" s="65"/>
      <c r="G207" s="50"/>
      <c r="H207" s="65"/>
      <c r="I207" s="50"/>
      <c r="J207" s="65"/>
      <c r="K207" s="50"/>
      <c r="L207" s="65"/>
      <c r="M207" s="50"/>
      <c r="N207" s="65"/>
      <c r="O207" s="50"/>
      <c r="P207" s="65"/>
      <c r="Q207" s="50"/>
      <c r="R207" s="65"/>
      <c r="S207" s="50"/>
      <c r="T207" s="65"/>
      <c r="U207" s="50"/>
      <c r="V207" s="65"/>
      <c r="W207" s="50"/>
      <c r="X207" s="65"/>
      <c r="Y207" s="50"/>
      <c r="Z207" s="65"/>
      <c r="AA207" s="50"/>
      <c r="AB207" s="65"/>
      <c r="AC207" s="50"/>
      <c r="AD207" s="65"/>
      <c r="AE207" s="50"/>
      <c r="AF207" s="65"/>
      <c r="AG207" s="50"/>
      <c r="AH207" s="65"/>
      <c r="AI207" s="50"/>
      <c r="AJ207" s="65"/>
      <c r="AK207" s="50"/>
      <c r="AL207" s="56"/>
      <c r="AM207" s="51"/>
    </row>
    <row r="208" spans="4:39" s="53" customFormat="1">
      <c r="D208" s="65"/>
      <c r="E208" s="50"/>
      <c r="F208" s="65"/>
      <c r="G208" s="50"/>
      <c r="H208" s="65"/>
      <c r="I208" s="50"/>
      <c r="J208" s="65"/>
      <c r="K208" s="50"/>
      <c r="L208" s="65"/>
      <c r="M208" s="50"/>
      <c r="N208" s="65"/>
      <c r="O208" s="50"/>
      <c r="P208" s="65"/>
      <c r="Q208" s="50"/>
      <c r="R208" s="65"/>
      <c r="S208" s="50"/>
      <c r="T208" s="65"/>
      <c r="U208" s="50"/>
      <c r="V208" s="65"/>
      <c r="W208" s="50"/>
      <c r="X208" s="65"/>
      <c r="Y208" s="50"/>
      <c r="Z208" s="65"/>
      <c r="AA208" s="50"/>
      <c r="AB208" s="65"/>
      <c r="AC208" s="50"/>
      <c r="AD208" s="65"/>
      <c r="AE208" s="50"/>
      <c r="AF208" s="65"/>
      <c r="AG208" s="50"/>
      <c r="AH208" s="65"/>
      <c r="AI208" s="50"/>
      <c r="AJ208" s="65"/>
      <c r="AK208" s="50"/>
      <c r="AL208" s="56"/>
      <c r="AM208" s="51"/>
    </row>
    <row r="209" spans="4:39" s="53" customFormat="1">
      <c r="D209" s="65"/>
      <c r="E209" s="50"/>
      <c r="F209" s="65"/>
      <c r="G209" s="50"/>
      <c r="H209" s="65"/>
      <c r="I209" s="50"/>
      <c r="J209" s="65"/>
      <c r="K209" s="50"/>
      <c r="L209" s="65"/>
      <c r="M209" s="50"/>
      <c r="N209" s="65"/>
      <c r="O209" s="50"/>
      <c r="P209" s="65"/>
      <c r="Q209" s="50"/>
      <c r="R209" s="65"/>
      <c r="S209" s="50"/>
      <c r="T209" s="65"/>
      <c r="U209" s="50"/>
      <c r="V209" s="65"/>
      <c r="W209" s="50"/>
      <c r="X209" s="65"/>
      <c r="Y209" s="50"/>
      <c r="Z209" s="65"/>
      <c r="AA209" s="50"/>
      <c r="AB209" s="65"/>
      <c r="AC209" s="50"/>
      <c r="AD209" s="65"/>
      <c r="AE209" s="50"/>
      <c r="AF209" s="65"/>
      <c r="AG209" s="50"/>
      <c r="AH209" s="65"/>
      <c r="AI209" s="50"/>
      <c r="AJ209" s="65"/>
      <c r="AK209" s="50"/>
      <c r="AL209" s="56"/>
      <c r="AM209" s="51"/>
    </row>
    <row r="210" spans="4:39" s="53" customFormat="1">
      <c r="D210" s="65"/>
      <c r="E210" s="50"/>
      <c r="F210" s="65"/>
      <c r="G210" s="50"/>
      <c r="H210" s="65"/>
      <c r="I210" s="50"/>
      <c r="J210" s="65"/>
      <c r="K210" s="50"/>
      <c r="L210" s="65"/>
      <c r="M210" s="50"/>
      <c r="N210" s="65"/>
      <c r="O210" s="50"/>
      <c r="P210" s="65"/>
      <c r="Q210" s="50"/>
      <c r="R210" s="65"/>
      <c r="S210" s="50"/>
      <c r="T210" s="65"/>
      <c r="U210" s="50"/>
      <c r="V210" s="65"/>
      <c r="W210" s="50"/>
      <c r="X210" s="65"/>
      <c r="Y210" s="50"/>
      <c r="Z210" s="65"/>
      <c r="AA210" s="50"/>
      <c r="AB210" s="65"/>
      <c r="AC210" s="50"/>
      <c r="AD210" s="65"/>
      <c r="AE210" s="50"/>
      <c r="AF210" s="65"/>
      <c r="AG210" s="50"/>
      <c r="AH210" s="65"/>
      <c r="AI210" s="50"/>
      <c r="AJ210" s="65"/>
      <c r="AK210" s="50"/>
      <c r="AL210" s="56"/>
      <c r="AM210" s="51"/>
    </row>
    <row r="211" spans="4:39" s="53" customFormat="1">
      <c r="D211" s="65"/>
      <c r="E211" s="50"/>
      <c r="F211" s="65"/>
      <c r="G211" s="50"/>
      <c r="H211" s="65"/>
      <c r="I211" s="50"/>
      <c r="J211" s="65"/>
      <c r="K211" s="50"/>
      <c r="L211" s="65"/>
      <c r="M211" s="50"/>
      <c r="N211" s="65"/>
      <c r="O211" s="50"/>
      <c r="P211" s="65"/>
      <c r="Q211" s="50"/>
      <c r="R211" s="65"/>
      <c r="S211" s="50"/>
      <c r="T211" s="65"/>
      <c r="U211" s="50"/>
      <c r="V211" s="65"/>
      <c r="W211" s="50"/>
      <c r="X211" s="65"/>
      <c r="Y211" s="50"/>
      <c r="Z211" s="65"/>
      <c r="AA211" s="50"/>
      <c r="AB211" s="65"/>
      <c r="AC211" s="50"/>
      <c r="AD211" s="65"/>
      <c r="AE211" s="50"/>
      <c r="AF211" s="65"/>
      <c r="AG211" s="50"/>
      <c r="AH211" s="65"/>
      <c r="AI211" s="50"/>
      <c r="AJ211" s="65"/>
      <c r="AK211" s="50"/>
      <c r="AL211" s="56"/>
      <c r="AM211" s="51"/>
    </row>
    <row r="212" spans="4:39" s="53" customFormat="1">
      <c r="D212" s="65"/>
      <c r="E212" s="50"/>
      <c r="F212" s="65"/>
      <c r="G212" s="50"/>
      <c r="H212" s="65"/>
      <c r="I212" s="50"/>
      <c r="J212" s="65"/>
      <c r="K212" s="50"/>
      <c r="L212" s="65"/>
      <c r="M212" s="50"/>
      <c r="N212" s="65"/>
      <c r="O212" s="50"/>
      <c r="P212" s="65"/>
      <c r="Q212" s="50"/>
      <c r="R212" s="65"/>
      <c r="S212" s="50"/>
      <c r="T212" s="65"/>
      <c r="U212" s="50"/>
      <c r="V212" s="65"/>
      <c r="W212" s="50"/>
      <c r="X212" s="65"/>
      <c r="Y212" s="50"/>
      <c r="Z212" s="65"/>
      <c r="AA212" s="50"/>
      <c r="AB212" s="65"/>
      <c r="AC212" s="50"/>
      <c r="AD212" s="65"/>
      <c r="AE212" s="50"/>
      <c r="AF212" s="65"/>
      <c r="AG212" s="50"/>
      <c r="AH212" s="65"/>
      <c r="AI212" s="50"/>
      <c r="AJ212" s="65"/>
      <c r="AK212" s="50"/>
      <c r="AL212" s="56"/>
      <c r="AM212" s="51"/>
    </row>
    <row r="213" spans="4:39" s="53" customFormat="1">
      <c r="D213" s="65"/>
      <c r="E213" s="50"/>
      <c r="F213" s="65"/>
      <c r="G213" s="50"/>
      <c r="H213" s="65"/>
      <c r="I213" s="50"/>
      <c r="J213" s="65"/>
      <c r="K213" s="50"/>
      <c r="L213" s="65"/>
      <c r="M213" s="50"/>
      <c r="N213" s="65"/>
      <c r="O213" s="50"/>
      <c r="P213" s="65"/>
      <c r="Q213" s="50"/>
      <c r="R213" s="65"/>
      <c r="S213" s="50"/>
      <c r="T213" s="65"/>
      <c r="U213" s="50"/>
      <c r="V213" s="65"/>
      <c r="W213" s="50"/>
      <c r="X213" s="65"/>
      <c r="Y213" s="50"/>
      <c r="Z213" s="65"/>
      <c r="AA213" s="50"/>
      <c r="AB213" s="65"/>
      <c r="AC213" s="50"/>
      <c r="AD213" s="65"/>
      <c r="AE213" s="50"/>
      <c r="AF213" s="65"/>
      <c r="AG213" s="50"/>
      <c r="AH213" s="65"/>
      <c r="AI213" s="50"/>
      <c r="AJ213" s="65"/>
      <c r="AK213" s="50"/>
      <c r="AL213" s="56"/>
      <c r="AM213" s="51"/>
    </row>
    <row r="214" spans="4:39" s="53" customFormat="1">
      <c r="D214" s="65"/>
      <c r="E214" s="50"/>
      <c r="F214" s="65"/>
      <c r="G214" s="50"/>
      <c r="H214" s="65"/>
      <c r="I214" s="50"/>
      <c r="J214" s="65"/>
      <c r="K214" s="50"/>
      <c r="L214" s="65"/>
      <c r="M214" s="50"/>
      <c r="N214" s="65"/>
      <c r="O214" s="50"/>
      <c r="P214" s="65"/>
      <c r="Q214" s="50"/>
      <c r="R214" s="65"/>
      <c r="S214" s="50"/>
      <c r="T214" s="65"/>
      <c r="U214" s="50"/>
      <c r="V214" s="65"/>
      <c r="W214" s="50"/>
      <c r="X214" s="65"/>
      <c r="Y214" s="50"/>
      <c r="Z214" s="65"/>
      <c r="AA214" s="50"/>
      <c r="AB214" s="65"/>
      <c r="AC214" s="50"/>
      <c r="AD214" s="65"/>
      <c r="AE214" s="50"/>
      <c r="AF214" s="65"/>
      <c r="AG214" s="50"/>
      <c r="AH214" s="65"/>
      <c r="AI214" s="50"/>
      <c r="AJ214" s="65"/>
      <c r="AK214" s="50"/>
      <c r="AL214" s="56"/>
      <c r="AM214" s="51"/>
    </row>
    <row r="215" spans="4:39" s="53" customFormat="1">
      <c r="D215" s="65"/>
      <c r="E215" s="50"/>
      <c r="F215" s="65"/>
      <c r="G215" s="50"/>
      <c r="H215" s="65"/>
      <c r="I215" s="50"/>
      <c r="J215" s="65"/>
      <c r="K215" s="50"/>
      <c r="L215" s="65"/>
      <c r="M215" s="50"/>
      <c r="N215" s="65"/>
      <c r="O215" s="50"/>
      <c r="P215" s="65"/>
      <c r="Q215" s="50"/>
      <c r="R215" s="65"/>
      <c r="S215" s="50"/>
      <c r="T215" s="65"/>
      <c r="U215" s="50"/>
      <c r="V215" s="65"/>
      <c r="W215" s="50"/>
      <c r="X215" s="65"/>
      <c r="Y215" s="50"/>
      <c r="Z215" s="65"/>
      <c r="AA215" s="50"/>
      <c r="AB215" s="65"/>
      <c r="AC215" s="50"/>
      <c r="AD215" s="65"/>
      <c r="AE215" s="50"/>
      <c r="AF215" s="65"/>
      <c r="AG215" s="50"/>
      <c r="AH215" s="65"/>
      <c r="AI215" s="50"/>
      <c r="AJ215" s="65"/>
      <c r="AK215" s="50"/>
      <c r="AL215" s="56"/>
      <c r="AM215" s="51"/>
    </row>
    <row r="216" spans="4:39" s="53" customFormat="1">
      <c r="D216" s="65"/>
      <c r="E216" s="50"/>
      <c r="F216" s="65"/>
      <c r="G216" s="50"/>
      <c r="H216" s="65"/>
      <c r="I216" s="50"/>
      <c r="J216" s="65"/>
      <c r="K216" s="50"/>
      <c r="L216" s="65"/>
      <c r="M216" s="50"/>
      <c r="N216" s="65"/>
      <c r="O216" s="50"/>
      <c r="P216" s="65"/>
      <c r="Q216" s="50"/>
      <c r="R216" s="65"/>
      <c r="S216" s="50"/>
      <c r="T216" s="65"/>
      <c r="U216" s="50"/>
      <c r="V216" s="65"/>
      <c r="W216" s="50"/>
      <c r="X216" s="65"/>
      <c r="Y216" s="50"/>
      <c r="Z216" s="65"/>
      <c r="AA216" s="50"/>
      <c r="AB216" s="65"/>
      <c r="AC216" s="50"/>
      <c r="AD216" s="65"/>
      <c r="AE216" s="50"/>
      <c r="AF216" s="65"/>
      <c r="AG216" s="50"/>
      <c r="AH216" s="65"/>
      <c r="AI216" s="50"/>
      <c r="AJ216" s="65"/>
      <c r="AK216" s="50"/>
      <c r="AL216" s="56"/>
      <c r="AM216" s="51"/>
    </row>
    <row r="217" spans="4:39" s="53" customFormat="1">
      <c r="D217" s="65"/>
      <c r="E217" s="50"/>
      <c r="F217" s="65"/>
      <c r="G217" s="50"/>
      <c r="H217" s="65"/>
      <c r="I217" s="50"/>
      <c r="J217" s="65"/>
      <c r="K217" s="50"/>
      <c r="L217" s="65"/>
      <c r="M217" s="50"/>
      <c r="N217" s="65"/>
      <c r="O217" s="50"/>
      <c r="P217" s="65"/>
      <c r="Q217" s="50"/>
      <c r="R217" s="65"/>
      <c r="S217" s="50"/>
      <c r="T217" s="65"/>
      <c r="U217" s="50"/>
      <c r="V217" s="65"/>
      <c r="W217" s="50"/>
      <c r="X217" s="65"/>
      <c r="Y217" s="50"/>
      <c r="Z217" s="65"/>
      <c r="AA217" s="50"/>
      <c r="AB217" s="65"/>
      <c r="AC217" s="50"/>
      <c r="AD217" s="65"/>
      <c r="AE217" s="50"/>
      <c r="AF217" s="65"/>
      <c r="AG217" s="50"/>
      <c r="AH217" s="65"/>
      <c r="AI217" s="50"/>
      <c r="AJ217" s="65"/>
      <c r="AK217" s="50"/>
      <c r="AL217" s="56"/>
      <c r="AM217" s="51"/>
    </row>
    <row r="218" spans="4:39" s="53" customFormat="1">
      <c r="D218" s="65"/>
      <c r="E218" s="50"/>
      <c r="F218" s="65"/>
      <c r="G218" s="50"/>
      <c r="H218" s="65"/>
      <c r="I218" s="50"/>
      <c r="J218" s="65"/>
      <c r="K218" s="50"/>
      <c r="L218" s="65"/>
      <c r="M218" s="50"/>
      <c r="N218" s="65"/>
      <c r="O218" s="50"/>
      <c r="P218" s="65"/>
      <c r="Q218" s="50"/>
      <c r="R218" s="65"/>
      <c r="S218" s="50"/>
      <c r="T218" s="65"/>
      <c r="U218" s="50"/>
      <c r="V218" s="65"/>
      <c r="W218" s="50"/>
      <c r="X218" s="65"/>
      <c r="Y218" s="50"/>
      <c r="Z218" s="65"/>
      <c r="AA218" s="50"/>
      <c r="AB218" s="65"/>
      <c r="AC218" s="50"/>
      <c r="AD218" s="65"/>
      <c r="AE218" s="50"/>
      <c r="AF218" s="65"/>
      <c r="AG218" s="50"/>
      <c r="AH218" s="65"/>
      <c r="AI218" s="50"/>
      <c r="AJ218" s="65"/>
      <c r="AK218" s="50"/>
      <c r="AL218" s="56"/>
      <c r="AM218" s="51"/>
    </row>
    <row r="219" spans="4:39" s="53" customFormat="1">
      <c r="D219" s="65"/>
      <c r="E219" s="50"/>
      <c r="F219" s="65"/>
      <c r="G219" s="50"/>
      <c r="H219" s="65"/>
      <c r="I219" s="50"/>
      <c r="J219" s="65"/>
      <c r="K219" s="50"/>
      <c r="L219" s="65"/>
      <c r="M219" s="50"/>
      <c r="N219" s="65"/>
      <c r="O219" s="50"/>
      <c r="P219" s="65"/>
      <c r="Q219" s="50"/>
      <c r="R219" s="65"/>
      <c r="S219" s="50"/>
      <c r="T219" s="65"/>
      <c r="U219" s="50"/>
      <c r="V219" s="65"/>
      <c r="W219" s="50"/>
      <c r="X219" s="65"/>
      <c r="Y219" s="50"/>
      <c r="Z219" s="65"/>
      <c r="AA219" s="50"/>
      <c r="AB219" s="65"/>
      <c r="AC219" s="50"/>
      <c r="AD219" s="65"/>
      <c r="AE219" s="50"/>
      <c r="AF219" s="65"/>
      <c r="AG219" s="50"/>
      <c r="AH219" s="65"/>
      <c r="AI219" s="50"/>
      <c r="AJ219" s="65"/>
      <c r="AK219" s="50"/>
      <c r="AL219" s="56"/>
      <c r="AM219" s="51"/>
    </row>
    <row r="220" spans="4:39" s="53" customFormat="1">
      <c r="D220" s="65"/>
      <c r="E220" s="50"/>
      <c r="F220" s="65"/>
      <c r="G220" s="50"/>
      <c r="H220" s="65"/>
      <c r="I220" s="50"/>
      <c r="J220" s="65"/>
      <c r="K220" s="50"/>
      <c r="L220" s="65"/>
      <c r="M220" s="50"/>
      <c r="N220" s="65"/>
      <c r="O220" s="50"/>
      <c r="P220" s="65"/>
      <c r="Q220" s="50"/>
      <c r="R220" s="65"/>
      <c r="S220" s="50"/>
      <c r="T220" s="65"/>
      <c r="U220" s="50"/>
      <c r="V220" s="65"/>
      <c r="W220" s="50"/>
      <c r="X220" s="65"/>
      <c r="Y220" s="50"/>
      <c r="Z220" s="65"/>
      <c r="AA220" s="50"/>
      <c r="AB220" s="65"/>
      <c r="AC220" s="50"/>
      <c r="AD220" s="65"/>
      <c r="AE220" s="50"/>
      <c r="AF220" s="65"/>
      <c r="AG220" s="50"/>
      <c r="AH220" s="65"/>
      <c r="AI220" s="50"/>
      <c r="AJ220" s="65"/>
      <c r="AK220" s="50"/>
      <c r="AL220" s="56"/>
      <c r="AM220" s="51"/>
    </row>
    <row r="221" spans="4:39" s="53" customFormat="1">
      <c r="D221" s="65"/>
      <c r="E221" s="50"/>
      <c r="F221" s="65"/>
      <c r="G221" s="50"/>
      <c r="H221" s="65"/>
      <c r="I221" s="50"/>
      <c r="J221" s="65"/>
      <c r="K221" s="50"/>
      <c r="L221" s="65"/>
      <c r="M221" s="50"/>
      <c r="N221" s="65"/>
      <c r="O221" s="50"/>
      <c r="P221" s="65"/>
      <c r="Q221" s="50"/>
      <c r="R221" s="65"/>
      <c r="S221" s="50"/>
      <c r="T221" s="65"/>
      <c r="U221" s="50"/>
      <c r="V221" s="65"/>
      <c r="W221" s="50"/>
      <c r="X221" s="65"/>
      <c r="Y221" s="50"/>
      <c r="Z221" s="65"/>
      <c r="AA221" s="50"/>
      <c r="AB221" s="65"/>
      <c r="AC221" s="50"/>
      <c r="AD221" s="65"/>
      <c r="AE221" s="50"/>
      <c r="AF221" s="65"/>
      <c r="AG221" s="50"/>
      <c r="AH221" s="65"/>
      <c r="AI221" s="50"/>
      <c r="AJ221" s="65"/>
      <c r="AK221" s="50"/>
      <c r="AL221" s="56"/>
      <c r="AM221" s="51"/>
    </row>
    <row r="222" spans="4:39" s="53" customFormat="1">
      <c r="D222" s="65"/>
      <c r="E222" s="50"/>
      <c r="F222" s="65"/>
      <c r="G222" s="50"/>
      <c r="H222" s="65"/>
      <c r="I222" s="50"/>
      <c r="J222" s="65"/>
      <c r="K222" s="50"/>
      <c r="L222" s="65"/>
      <c r="M222" s="50"/>
      <c r="N222" s="65"/>
      <c r="O222" s="50"/>
      <c r="P222" s="65"/>
      <c r="Q222" s="50"/>
      <c r="R222" s="65"/>
      <c r="S222" s="50"/>
      <c r="T222" s="65"/>
      <c r="U222" s="50"/>
      <c r="V222" s="65"/>
      <c r="W222" s="50"/>
      <c r="X222" s="65"/>
      <c r="Y222" s="50"/>
      <c r="Z222" s="65"/>
      <c r="AA222" s="50"/>
      <c r="AB222" s="65"/>
      <c r="AC222" s="50"/>
      <c r="AD222" s="65"/>
      <c r="AE222" s="50"/>
      <c r="AF222" s="65"/>
      <c r="AG222" s="50"/>
      <c r="AH222" s="65"/>
      <c r="AI222" s="50"/>
      <c r="AJ222" s="65"/>
      <c r="AK222" s="50"/>
      <c r="AL222" s="56"/>
      <c r="AM222" s="51"/>
    </row>
    <row r="223" spans="4:39" s="53" customFormat="1">
      <c r="D223" s="65"/>
      <c r="E223" s="50"/>
      <c r="F223" s="65"/>
      <c r="G223" s="50"/>
      <c r="H223" s="65"/>
      <c r="I223" s="50"/>
      <c r="J223" s="65"/>
      <c r="K223" s="50"/>
      <c r="L223" s="65"/>
      <c r="M223" s="50"/>
      <c r="N223" s="65"/>
      <c r="O223" s="50"/>
      <c r="P223" s="65"/>
      <c r="Q223" s="50"/>
      <c r="R223" s="65"/>
      <c r="S223" s="50"/>
      <c r="T223" s="65"/>
      <c r="U223" s="50"/>
      <c r="V223" s="65"/>
      <c r="W223" s="50"/>
      <c r="X223" s="65"/>
      <c r="Y223" s="50"/>
      <c r="Z223" s="65"/>
      <c r="AA223" s="50"/>
      <c r="AB223" s="65"/>
      <c r="AC223" s="50"/>
      <c r="AD223" s="65"/>
      <c r="AE223" s="50"/>
      <c r="AF223" s="65"/>
      <c r="AG223" s="50"/>
      <c r="AH223" s="65"/>
      <c r="AI223" s="50"/>
      <c r="AJ223" s="65"/>
      <c r="AK223" s="50"/>
      <c r="AL223" s="56"/>
      <c r="AM223" s="51"/>
    </row>
    <row r="224" spans="4:39" s="53" customFormat="1">
      <c r="D224" s="65"/>
      <c r="E224" s="50"/>
      <c r="F224" s="65"/>
      <c r="G224" s="50"/>
      <c r="H224" s="65"/>
      <c r="I224" s="50"/>
      <c r="J224" s="65"/>
      <c r="K224" s="50"/>
      <c r="L224" s="65"/>
      <c r="M224" s="50"/>
      <c r="N224" s="65"/>
      <c r="O224" s="50"/>
      <c r="P224" s="65"/>
      <c r="Q224" s="50"/>
      <c r="R224" s="65"/>
      <c r="S224" s="50"/>
      <c r="T224" s="65"/>
      <c r="U224" s="50"/>
      <c r="V224" s="65"/>
      <c r="W224" s="50"/>
      <c r="X224" s="65"/>
      <c r="Y224" s="50"/>
      <c r="Z224" s="65"/>
      <c r="AA224" s="50"/>
      <c r="AB224" s="65"/>
      <c r="AC224" s="50"/>
      <c r="AD224" s="65"/>
      <c r="AE224" s="50"/>
      <c r="AF224" s="65"/>
      <c r="AG224" s="50"/>
      <c r="AH224" s="65"/>
      <c r="AI224" s="50"/>
      <c r="AJ224" s="65"/>
      <c r="AK224" s="50"/>
      <c r="AL224" s="56"/>
      <c r="AM224" s="51"/>
    </row>
    <row r="225" spans="4:39" s="53" customFormat="1">
      <c r="D225" s="65"/>
      <c r="E225" s="50"/>
      <c r="F225" s="65"/>
      <c r="G225" s="50"/>
      <c r="H225" s="65"/>
      <c r="I225" s="50"/>
      <c r="J225" s="65"/>
      <c r="K225" s="50"/>
      <c r="L225" s="65"/>
      <c r="M225" s="50"/>
      <c r="N225" s="65"/>
      <c r="O225" s="50"/>
      <c r="P225" s="65"/>
      <c r="Q225" s="50"/>
      <c r="R225" s="65"/>
      <c r="S225" s="50"/>
      <c r="T225" s="65"/>
      <c r="U225" s="50"/>
      <c r="V225" s="65"/>
      <c r="W225" s="50"/>
      <c r="X225" s="65"/>
      <c r="Y225" s="50"/>
      <c r="Z225" s="65"/>
      <c r="AA225" s="50"/>
      <c r="AB225" s="65"/>
      <c r="AC225" s="50"/>
      <c r="AD225" s="65"/>
      <c r="AE225" s="50"/>
      <c r="AF225" s="65"/>
      <c r="AG225" s="50"/>
      <c r="AH225" s="65"/>
      <c r="AI225" s="50"/>
      <c r="AJ225" s="65"/>
      <c r="AK225" s="50"/>
      <c r="AL225" s="56"/>
      <c r="AM225" s="51"/>
    </row>
    <row r="226" spans="4:39" s="53" customFormat="1">
      <c r="D226" s="65"/>
      <c r="E226" s="50"/>
      <c r="F226" s="65"/>
      <c r="G226" s="50"/>
      <c r="H226" s="65"/>
      <c r="I226" s="50"/>
      <c r="J226" s="65"/>
      <c r="K226" s="50"/>
      <c r="L226" s="65"/>
      <c r="M226" s="50"/>
      <c r="N226" s="65"/>
      <c r="O226" s="50"/>
      <c r="P226" s="65"/>
      <c r="Q226" s="50"/>
      <c r="R226" s="65"/>
      <c r="S226" s="50"/>
      <c r="T226" s="65"/>
      <c r="U226" s="50"/>
      <c r="V226" s="65"/>
      <c r="W226" s="50"/>
      <c r="X226" s="65"/>
      <c r="Y226" s="50"/>
      <c r="Z226" s="65"/>
      <c r="AA226" s="50"/>
      <c r="AB226" s="65"/>
      <c r="AC226" s="50"/>
      <c r="AD226" s="65"/>
      <c r="AE226" s="50"/>
      <c r="AF226" s="65"/>
      <c r="AG226" s="50"/>
      <c r="AH226" s="65"/>
      <c r="AI226" s="50"/>
      <c r="AJ226" s="65"/>
      <c r="AK226" s="50"/>
      <c r="AL226" s="56"/>
      <c r="AM226" s="51"/>
    </row>
    <row r="227" spans="4:39" s="53" customFormat="1">
      <c r="D227" s="65"/>
      <c r="E227" s="50"/>
      <c r="F227" s="65"/>
      <c r="G227" s="50"/>
      <c r="H227" s="65"/>
      <c r="I227" s="50"/>
      <c r="J227" s="65"/>
      <c r="K227" s="50"/>
      <c r="L227" s="65"/>
      <c r="M227" s="50"/>
      <c r="N227" s="65"/>
      <c r="O227" s="50"/>
      <c r="P227" s="65"/>
      <c r="Q227" s="50"/>
      <c r="R227" s="65"/>
      <c r="S227" s="50"/>
      <c r="T227" s="65"/>
      <c r="U227" s="50"/>
      <c r="V227" s="65"/>
      <c r="W227" s="50"/>
      <c r="X227" s="65"/>
      <c r="Y227" s="50"/>
      <c r="Z227" s="65"/>
      <c r="AA227" s="50"/>
      <c r="AB227" s="65"/>
      <c r="AC227" s="50"/>
      <c r="AD227" s="65"/>
      <c r="AE227" s="50"/>
      <c r="AF227" s="65"/>
      <c r="AG227" s="50"/>
      <c r="AH227" s="65"/>
      <c r="AI227" s="50"/>
      <c r="AJ227" s="65"/>
      <c r="AK227" s="50"/>
      <c r="AL227" s="56"/>
      <c r="AM227" s="51"/>
    </row>
    <row r="228" spans="4:39" s="53" customFormat="1">
      <c r="D228" s="65"/>
      <c r="E228" s="50"/>
      <c r="F228" s="65"/>
      <c r="G228" s="50"/>
      <c r="H228" s="65"/>
      <c r="I228" s="50"/>
      <c r="J228" s="65"/>
      <c r="K228" s="50"/>
      <c r="L228" s="65"/>
      <c r="M228" s="50"/>
      <c r="N228" s="65"/>
      <c r="O228" s="50"/>
      <c r="P228" s="65"/>
      <c r="Q228" s="50"/>
      <c r="R228" s="65"/>
      <c r="S228" s="50"/>
      <c r="T228" s="65"/>
      <c r="U228" s="50"/>
      <c r="V228" s="65"/>
      <c r="W228" s="50"/>
      <c r="X228" s="65"/>
      <c r="Y228" s="50"/>
      <c r="Z228" s="65"/>
      <c r="AA228" s="50"/>
      <c r="AB228" s="65"/>
      <c r="AC228" s="50"/>
      <c r="AD228" s="65"/>
      <c r="AE228" s="50"/>
      <c r="AF228" s="65"/>
      <c r="AG228" s="50"/>
      <c r="AH228" s="65"/>
      <c r="AI228" s="50"/>
      <c r="AJ228" s="65"/>
      <c r="AK228" s="50"/>
      <c r="AL228" s="56"/>
      <c r="AM228" s="51"/>
    </row>
    <row r="229" spans="4:39" s="53" customFormat="1">
      <c r="D229" s="65"/>
      <c r="E229" s="50"/>
      <c r="F229" s="65"/>
      <c r="G229" s="50"/>
      <c r="H229" s="65"/>
      <c r="I229" s="50"/>
      <c r="J229" s="65"/>
      <c r="K229" s="50"/>
      <c r="L229" s="65"/>
      <c r="M229" s="50"/>
      <c r="N229" s="65"/>
      <c r="O229" s="50"/>
      <c r="P229" s="65"/>
      <c r="Q229" s="50"/>
      <c r="R229" s="65"/>
      <c r="S229" s="50"/>
      <c r="T229" s="65"/>
      <c r="U229" s="50"/>
      <c r="V229" s="65"/>
      <c r="W229" s="50"/>
      <c r="X229" s="65"/>
      <c r="Y229" s="50"/>
      <c r="Z229" s="65"/>
      <c r="AA229" s="50"/>
      <c r="AB229" s="65"/>
      <c r="AC229" s="50"/>
      <c r="AD229" s="65"/>
      <c r="AE229" s="50"/>
      <c r="AF229" s="65"/>
      <c r="AG229" s="50"/>
      <c r="AH229" s="65"/>
      <c r="AI229" s="50"/>
      <c r="AJ229" s="65"/>
      <c r="AK229" s="50"/>
      <c r="AL229" s="56"/>
      <c r="AM229" s="51"/>
    </row>
    <row r="230" spans="4:39" s="53" customFormat="1">
      <c r="D230" s="65"/>
      <c r="E230" s="50"/>
      <c r="F230" s="65"/>
      <c r="G230" s="50"/>
      <c r="H230" s="65"/>
      <c r="I230" s="50"/>
      <c r="J230" s="65"/>
      <c r="K230" s="50"/>
      <c r="L230" s="65"/>
      <c r="M230" s="50"/>
      <c r="N230" s="65"/>
      <c r="O230" s="50"/>
      <c r="P230" s="65"/>
      <c r="Q230" s="50"/>
      <c r="R230" s="65"/>
      <c r="S230" s="50"/>
      <c r="T230" s="65"/>
      <c r="U230" s="50"/>
      <c r="V230" s="65"/>
      <c r="W230" s="50"/>
      <c r="X230" s="65"/>
      <c r="Y230" s="50"/>
      <c r="Z230" s="65"/>
      <c r="AA230" s="50"/>
      <c r="AB230" s="65"/>
      <c r="AC230" s="50"/>
      <c r="AD230" s="65"/>
      <c r="AE230" s="50"/>
      <c r="AF230" s="65"/>
      <c r="AG230" s="50"/>
      <c r="AH230" s="65"/>
      <c r="AI230" s="50"/>
      <c r="AJ230" s="65"/>
      <c r="AK230" s="50"/>
      <c r="AL230" s="56"/>
      <c r="AM230" s="51"/>
    </row>
    <row r="231" spans="4:39" s="53" customFormat="1">
      <c r="D231" s="65"/>
      <c r="E231" s="50"/>
      <c r="F231" s="65"/>
      <c r="G231" s="50"/>
      <c r="H231" s="65"/>
      <c r="I231" s="50"/>
      <c r="J231" s="65"/>
      <c r="K231" s="50"/>
      <c r="L231" s="65"/>
      <c r="M231" s="50"/>
      <c r="N231" s="65"/>
      <c r="O231" s="50"/>
      <c r="P231" s="65"/>
      <c r="Q231" s="50"/>
      <c r="R231" s="65"/>
      <c r="S231" s="50"/>
      <c r="T231" s="65"/>
      <c r="U231" s="50"/>
      <c r="V231" s="65"/>
      <c r="W231" s="50"/>
      <c r="X231" s="65"/>
      <c r="Y231" s="50"/>
      <c r="Z231" s="65"/>
      <c r="AA231" s="50"/>
      <c r="AB231" s="65"/>
      <c r="AC231" s="50"/>
      <c r="AD231" s="65"/>
      <c r="AE231" s="50"/>
      <c r="AF231" s="65"/>
      <c r="AG231" s="50"/>
      <c r="AH231" s="65"/>
      <c r="AI231" s="50"/>
      <c r="AJ231" s="65"/>
      <c r="AK231" s="50"/>
      <c r="AL231" s="56"/>
      <c r="AM231" s="51"/>
    </row>
    <row r="232" spans="4:39" s="53" customFormat="1">
      <c r="D232" s="65"/>
      <c r="E232" s="50"/>
      <c r="F232" s="65"/>
      <c r="G232" s="50"/>
      <c r="H232" s="65"/>
      <c r="I232" s="50"/>
      <c r="J232" s="65"/>
      <c r="K232" s="50"/>
      <c r="L232" s="65"/>
      <c r="M232" s="50"/>
      <c r="N232" s="65"/>
      <c r="O232" s="50"/>
      <c r="P232" s="65"/>
      <c r="Q232" s="50"/>
      <c r="R232" s="65"/>
      <c r="S232" s="50"/>
      <c r="T232" s="65"/>
      <c r="U232" s="50"/>
      <c r="V232" s="65"/>
      <c r="W232" s="50"/>
      <c r="X232" s="65"/>
      <c r="Y232" s="50"/>
      <c r="Z232" s="65"/>
      <c r="AA232" s="50"/>
      <c r="AB232" s="65"/>
      <c r="AC232" s="50"/>
      <c r="AD232" s="65"/>
      <c r="AE232" s="50"/>
      <c r="AF232" s="65"/>
      <c r="AG232" s="50"/>
      <c r="AH232" s="65"/>
      <c r="AI232" s="50"/>
      <c r="AJ232" s="65"/>
      <c r="AK232" s="50"/>
      <c r="AL232" s="56"/>
      <c r="AM232" s="51"/>
    </row>
    <row r="233" spans="4:39" s="53" customFormat="1">
      <c r="D233" s="65"/>
      <c r="E233" s="50"/>
      <c r="F233" s="65"/>
      <c r="G233" s="50"/>
      <c r="H233" s="65"/>
      <c r="I233" s="50"/>
      <c r="J233" s="65"/>
      <c r="K233" s="50"/>
      <c r="L233" s="65"/>
      <c r="M233" s="50"/>
      <c r="N233" s="65"/>
      <c r="O233" s="50"/>
      <c r="P233" s="65"/>
      <c r="Q233" s="50"/>
      <c r="R233" s="65"/>
      <c r="S233" s="50"/>
      <c r="T233" s="65"/>
      <c r="U233" s="50"/>
      <c r="V233" s="65"/>
      <c r="W233" s="50"/>
      <c r="X233" s="65"/>
      <c r="Y233" s="50"/>
      <c r="Z233" s="65"/>
      <c r="AA233" s="50"/>
      <c r="AB233" s="65"/>
      <c r="AC233" s="50"/>
      <c r="AD233" s="65"/>
      <c r="AE233" s="50"/>
      <c r="AF233" s="65"/>
      <c r="AG233" s="50"/>
      <c r="AH233" s="65"/>
      <c r="AI233" s="50"/>
      <c r="AJ233" s="65"/>
      <c r="AK233" s="50"/>
      <c r="AL233" s="56"/>
      <c r="AM233" s="51"/>
    </row>
    <row r="234" spans="4:39" s="53" customFormat="1">
      <c r="D234" s="65"/>
      <c r="E234" s="50"/>
      <c r="F234" s="65"/>
      <c r="G234" s="50"/>
      <c r="H234" s="65"/>
      <c r="I234" s="50"/>
      <c r="J234" s="65"/>
      <c r="K234" s="50"/>
      <c r="L234" s="65"/>
      <c r="M234" s="50"/>
      <c r="N234" s="65"/>
      <c r="O234" s="50"/>
      <c r="P234" s="65"/>
      <c r="Q234" s="50"/>
      <c r="R234" s="65"/>
      <c r="S234" s="50"/>
      <c r="T234" s="65"/>
      <c r="U234" s="50"/>
      <c r="V234" s="65"/>
      <c r="W234" s="50"/>
      <c r="X234" s="65"/>
      <c r="Y234" s="50"/>
      <c r="Z234" s="65"/>
      <c r="AA234" s="50"/>
      <c r="AB234" s="65"/>
      <c r="AC234" s="50"/>
      <c r="AD234" s="65"/>
      <c r="AE234" s="50"/>
      <c r="AF234" s="65"/>
      <c r="AG234" s="50"/>
      <c r="AH234" s="65"/>
      <c r="AI234" s="50"/>
      <c r="AJ234" s="65"/>
      <c r="AK234" s="50"/>
      <c r="AL234" s="56"/>
      <c r="AM234" s="51"/>
    </row>
    <row r="235" spans="4:39" s="53" customFormat="1">
      <c r="D235" s="65"/>
      <c r="E235" s="50"/>
      <c r="F235" s="65"/>
      <c r="G235" s="50"/>
      <c r="H235" s="65"/>
      <c r="I235" s="50"/>
      <c r="J235" s="65"/>
      <c r="K235" s="50"/>
      <c r="L235" s="65"/>
      <c r="M235" s="50"/>
      <c r="N235" s="65"/>
      <c r="O235" s="50"/>
      <c r="P235" s="65"/>
      <c r="Q235" s="50"/>
      <c r="R235" s="65"/>
      <c r="S235" s="50"/>
      <c r="T235" s="65"/>
      <c r="U235" s="50"/>
      <c r="V235" s="65"/>
      <c r="W235" s="50"/>
      <c r="X235" s="65"/>
      <c r="Y235" s="50"/>
      <c r="Z235" s="65"/>
      <c r="AA235" s="50"/>
      <c r="AB235" s="65"/>
      <c r="AC235" s="50"/>
      <c r="AD235" s="65"/>
      <c r="AE235" s="50"/>
      <c r="AF235" s="65"/>
      <c r="AG235" s="50"/>
      <c r="AH235" s="65"/>
      <c r="AI235" s="50"/>
      <c r="AJ235" s="65"/>
      <c r="AK235" s="50"/>
      <c r="AL235" s="56"/>
      <c r="AM235" s="51"/>
    </row>
    <row r="236" spans="4:39" s="53" customFormat="1">
      <c r="D236" s="65"/>
      <c r="E236" s="50"/>
      <c r="F236" s="65"/>
      <c r="G236" s="50"/>
      <c r="H236" s="65"/>
      <c r="I236" s="50"/>
      <c r="J236" s="65"/>
      <c r="K236" s="50"/>
      <c r="L236" s="65"/>
      <c r="M236" s="50"/>
      <c r="N236" s="65"/>
      <c r="O236" s="50"/>
      <c r="P236" s="65"/>
      <c r="Q236" s="50"/>
      <c r="R236" s="65"/>
      <c r="S236" s="50"/>
      <c r="T236" s="65"/>
      <c r="U236" s="50"/>
      <c r="V236" s="65"/>
      <c r="W236" s="50"/>
      <c r="X236" s="65"/>
      <c r="Y236" s="50"/>
      <c r="Z236" s="65"/>
      <c r="AA236" s="50"/>
      <c r="AB236" s="65"/>
      <c r="AC236" s="50"/>
      <c r="AD236" s="65"/>
      <c r="AE236" s="50"/>
      <c r="AF236" s="65"/>
      <c r="AG236" s="50"/>
      <c r="AH236" s="65"/>
      <c r="AI236" s="50"/>
      <c r="AJ236" s="65"/>
      <c r="AK236" s="50"/>
      <c r="AL236" s="56"/>
      <c r="AM236" s="51"/>
    </row>
    <row r="237" spans="4:39" s="53" customFormat="1">
      <c r="D237" s="65"/>
      <c r="E237" s="50"/>
      <c r="F237" s="65"/>
      <c r="G237" s="50"/>
      <c r="H237" s="65"/>
      <c r="I237" s="50"/>
      <c r="J237" s="65"/>
      <c r="K237" s="50"/>
      <c r="L237" s="65"/>
      <c r="M237" s="50"/>
      <c r="N237" s="65"/>
      <c r="O237" s="50"/>
      <c r="P237" s="65"/>
      <c r="Q237" s="50"/>
      <c r="R237" s="65"/>
      <c r="S237" s="50"/>
      <c r="T237" s="65"/>
      <c r="U237" s="50"/>
      <c r="V237" s="65"/>
      <c r="W237" s="50"/>
      <c r="X237" s="65"/>
      <c r="Y237" s="50"/>
      <c r="Z237" s="65"/>
      <c r="AA237" s="50"/>
      <c r="AB237" s="65"/>
      <c r="AC237" s="50"/>
      <c r="AD237" s="65"/>
      <c r="AE237" s="50"/>
      <c r="AF237" s="65"/>
      <c r="AG237" s="50"/>
      <c r="AH237" s="65"/>
      <c r="AI237" s="50"/>
      <c r="AJ237" s="65"/>
      <c r="AK237" s="50"/>
      <c r="AL237" s="56"/>
      <c r="AM237" s="51"/>
    </row>
    <row r="238" spans="4:39" s="53" customFormat="1">
      <c r="D238" s="65"/>
      <c r="E238" s="50"/>
      <c r="F238" s="65"/>
      <c r="G238" s="50"/>
      <c r="H238" s="65"/>
      <c r="I238" s="50"/>
      <c r="J238" s="65"/>
      <c r="K238" s="50"/>
      <c r="L238" s="65"/>
      <c r="M238" s="50"/>
      <c r="N238" s="65"/>
      <c r="O238" s="50"/>
      <c r="P238" s="65"/>
      <c r="Q238" s="50"/>
      <c r="R238" s="65"/>
      <c r="S238" s="50"/>
      <c r="T238" s="65"/>
      <c r="U238" s="50"/>
      <c r="V238" s="65"/>
      <c r="W238" s="50"/>
      <c r="X238" s="65"/>
      <c r="Y238" s="50"/>
      <c r="Z238" s="65"/>
      <c r="AA238" s="50"/>
      <c r="AB238" s="65"/>
      <c r="AC238" s="50"/>
      <c r="AD238" s="65"/>
      <c r="AE238" s="50"/>
      <c r="AF238" s="65"/>
      <c r="AG238" s="50"/>
      <c r="AH238" s="65"/>
      <c r="AI238" s="50"/>
      <c r="AJ238" s="65"/>
      <c r="AK238" s="50"/>
      <c r="AL238" s="56"/>
      <c r="AM238" s="51"/>
    </row>
    <row r="239" spans="4:39" s="53" customFormat="1">
      <c r="D239" s="65"/>
      <c r="E239" s="50"/>
      <c r="F239" s="65"/>
      <c r="G239" s="50"/>
      <c r="H239" s="65"/>
      <c r="I239" s="50"/>
      <c r="J239" s="65"/>
      <c r="K239" s="50"/>
      <c r="L239" s="65"/>
      <c r="M239" s="50"/>
      <c r="N239" s="65"/>
      <c r="O239" s="50"/>
      <c r="P239" s="65"/>
      <c r="Q239" s="50"/>
      <c r="R239" s="65"/>
      <c r="S239" s="50"/>
      <c r="T239" s="65"/>
      <c r="U239" s="50"/>
      <c r="V239" s="65"/>
      <c r="W239" s="50"/>
      <c r="X239" s="65"/>
      <c r="Y239" s="50"/>
      <c r="Z239" s="65"/>
      <c r="AA239" s="50"/>
      <c r="AB239" s="65"/>
      <c r="AC239" s="50"/>
      <c r="AD239" s="65"/>
      <c r="AE239" s="50"/>
      <c r="AF239" s="65"/>
      <c r="AG239" s="50"/>
      <c r="AH239" s="65"/>
      <c r="AI239" s="50"/>
      <c r="AJ239" s="65"/>
      <c r="AK239" s="50"/>
      <c r="AL239" s="56"/>
      <c r="AM239" s="51"/>
    </row>
    <row r="240" spans="4:39" s="53" customFormat="1">
      <c r="D240" s="65"/>
      <c r="E240" s="50"/>
      <c r="F240" s="65"/>
      <c r="G240" s="50"/>
      <c r="H240" s="65"/>
      <c r="I240" s="50"/>
      <c r="J240" s="65"/>
      <c r="K240" s="50"/>
      <c r="L240" s="65"/>
      <c r="M240" s="50"/>
      <c r="N240" s="65"/>
      <c r="O240" s="50"/>
      <c r="P240" s="65"/>
      <c r="Q240" s="50"/>
      <c r="R240" s="65"/>
      <c r="S240" s="50"/>
      <c r="T240" s="65"/>
      <c r="U240" s="50"/>
      <c r="V240" s="65"/>
      <c r="W240" s="50"/>
      <c r="X240" s="65"/>
      <c r="Y240" s="50"/>
      <c r="Z240" s="65"/>
      <c r="AA240" s="50"/>
      <c r="AB240" s="65"/>
      <c r="AC240" s="50"/>
      <c r="AD240" s="65"/>
      <c r="AE240" s="50"/>
      <c r="AF240" s="65"/>
      <c r="AG240" s="50"/>
      <c r="AH240" s="65"/>
      <c r="AI240" s="50"/>
      <c r="AJ240" s="65"/>
      <c r="AK240" s="50"/>
      <c r="AL240" s="56"/>
      <c r="AM240" s="51"/>
    </row>
    <row r="241" spans="4:39" s="53" customFormat="1">
      <c r="D241" s="65"/>
      <c r="E241" s="50"/>
      <c r="F241" s="65"/>
      <c r="G241" s="50"/>
      <c r="H241" s="65"/>
      <c r="I241" s="50"/>
      <c r="J241" s="65"/>
      <c r="K241" s="50"/>
      <c r="L241" s="65"/>
      <c r="M241" s="50"/>
      <c r="N241" s="65"/>
      <c r="O241" s="50"/>
      <c r="P241" s="65"/>
      <c r="Q241" s="50"/>
      <c r="R241" s="65"/>
      <c r="S241" s="50"/>
      <c r="T241" s="65"/>
      <c r="U241" s="50"/>
      <c r="V241" s="65"/>
      <c r="W241" s="50"/>
      <c r="X241" s="65"/>
      <c r="Y241" s="50"/>
      <c r="Z241" s="65"/>
      <c r="AA241" s="50"/>
      <c r="AB241" s="65"/>
      <c r="AC241" s="50"/>
      <c r="AD241" s="65"/>
      <c r="AE241" s="50"/>
      <c r="AF241" s="65"/>
      <c r="AG241" s="50"/>
      <c r="AH241" s="65"/>
      <c r="AI241" s="50"/>
      <c r="AJ241" s="65"/>
      <c r="AK241" s="50"/>
      <c r="AL241" s="56"/>
      <c r="AM241" s="51"/>
    </row>
    <row r="242" spans="4:39" s="53" customFormat="1">
      <c r="D242" s="65"/>
      <c r="E242" s="50"/>
      <c r="F242" s="65"/>
      <c r="G242" s="50"/>
      <c r="H242" s="65"/>
      <c r="I242" s="50"/>
      <c r="J242" s="65"/>
      <c r="K242" s="50"/>
      <c r="L242" s="65"/>
      <c r="M242" s="50"/>
      <c r="N242" s="65"/>
      <c r="O242" s="50"/>
      <c r="P242" s="65"/>
      <c r="Q242" s="50"/>
      <c r="R242" s="65"/>
      <c r="S242" s="50"/>
      <c r="T242" s="65"/>
      <c r="U242" s="50"/>
      <c r="V242" s="65"/>
      <c r="W242" s="50"/>
      <c r="X242" s="65"/>
      <c r="Y242" s="50"/>
      <c r="Z242" s="65"/>
      <c r="AA242" s="50"/>
      <c r="AB242" s="65"/>
      <c r="AC242" s="50"/>
      <c r="AD242" s="65"/>
      <c r="AE242" s="50"/>
      <c r="AF242" s="65"/>
      <c r="AG242" s="50"/>
      <c r="AH242" s="65"/>
      <c r="AI242" s="50"/>
      <c r="AJ242" s="65"/>
      <c r="AK242" s="50"/>
      <c r="AL242" s="56"/>
      <c r="AM242" s="51"/>
    </row>
    <row r="243" spans="4:39" s="53" customFormat="1">
      <c r="D243" s="65"/>
      <c r="E243" s="50"/>
      <c r="F243" s="65"/>
      <c r="G243" s="50"/>
      <c r="H243" s="65"/>
      <c r="I243" s="50"/>
      <c r="J243" s="65"/>
      <c r="K243" s="50"/>
      <c r="L243" s="65"/>
      <c r="M243" s="50"/>
      <c r="N243" s="65"/>
      <c r="O243" s="50"/>
      <c r="P243" s="65"/>
      <c r="Q243" s="50"/>
      <c r="R243" s="65"/>
      <c r="S243" s="50"/>
      <c r="T243" s="65"/>
      <c r="U243" s="50"/>
      <c r="V243" s="65"/>
      <c r="W243" s="50"/>
      <c r="X243" s="65"/>
      <c r="Y243" s="50"/>
      <c r="Z243" s="65"/>
      <c r="AA243" s="50"/>
      <c r="AB243" s="65"/>
      <c r="AC243" s="50"/>
      <c r="AD243" s="65"/>
      <c r="AE243" s="50"/>
      <c r="AF243" s="65"/>
      <c r="AG243" s="50"/>
      <c r="AH243" s="65"/>
      <c r="AI243" s="50"/>
      <c r="AJ243" s="65"/>
      <c r="AK243" s="50"/>
      <c r="AL243" s="56"/>
      <c r="AM243" s="51"/>
    </row>
    <row r="244" spans="4:39" s="53" customFormat="1">
      <c r="D244" s="65"/>
      <c r="E244" s="50"/>
      <c r="F244" s="65"/>
      <c r="G244" s="50"/>
      <c r="H244" s="65"/>
      <c r="I244" s="50"/>
      <c r="J244" s="65"/>
      <c r="K244" s="50"/>
      <c r="L244" s="65"/>
      <c r="M244" s="50"/>
      <c r="N244" s="65"/>
      <c r="O244" s="50"/>
      <c r="P244" s="65"/>
      <c r="Q244" s="50"/>
      <c r="R244" s="65"/>
      <c r="S244" s="50"/>
      <c r="T244" s="65"/>
      <c r="U244" s="50"/>
      <c r="V244" s="65"/>
      <c r="W244" s="50"/>
      <c r="X244" s="65"/>
      <c r="Y244" s="50"/>
      <c r="Z244" s="65"/>
      <c r="AA244" s="50"/>
      <c r="AB244" s="65"/>
      <c r="AC244" s="50"/>
      <c r="AD244" s="65"/>
      <c r="AE244" s="50"/>
      <c r="AF244" s="65"/>
      <c r="AG244" s="50"/>
      <c r="AH244" s="65"/>
      <c r="AI244" s="50"/>
      <c r="AJ244" s="65"/>
      <c r="AK244" s="50"/>
      <c r="AL244" s="56"/>
      <c r="AM244" s="51"/>
    </row>
    <row r="245" spans="4:39" s="53" customFormat="1">
      <c r="D245" s="65"/>
      <c r="E245" s="50"/>
      <c r="F245" s="65"/>
      <c r="G245" s="50"/>
      <c r="H245" s="65"/>
      <c r="I245" s="50"/>
      <c r="J245" s="65"/>
      <c r="K245" s="50"/>
      <c r="L245" s="65"/>
      <c r="M245" s="50"/>
      <c r="N245" s="65"/>
      <c r="O245" s="50"/>
      <c r="P245" s="65"/>
      <c r="Q245" s="50"/>
      <c r="R245" s="65"/>
      <c r="S245" s="50"/>
      <c r="T245" s="65"/>
      <c r="U245" s="50"/>
      <c r="V245" s="65"/>
      <c r="W245" s="50"/>
      <c r="X245" s="65"/>
      <c r="Y245" s="50"/>
      <c r="Z245" s="65"/>
      <c r="AA245" s="50"/>
      <c r="AB245" s="65"/>
      <c r="AC245" s="50"/>
      <c r="AD245" s="65"/>
      <c r="AE245" s="50"/>
      <c r="AF245" s="65"/>
      <c r="AG245" s="50"/>
      <c r="AH245" s="65"/>
      <c r="AI245" s="50"/>
      <c r="AJ245" s="65"/>
      <c r="AK245" s="50"/>
      <c r="AL245" s="56"/>
      <c r="AM245" s="51"/>
    </row>
    <row r="246" spans="4:39" s="53" customFormat="1">
      <c r="D246" s="65"/>
      <c r="E246" s="50"/>
      <c r="F246" s="65"/>
      <c r="G246" s="50"/>
      <c r="H246" s="65"/>
      <c r="I246" s="50"/>
      <c r="J246" s="65"/>
      <c r="K246" s="50"/>
      <c r="L246" s="65"/>
      <c r="M246" s="50"/>
      <c r="N246" s="65"/>
      <c r="O246" s="50"/>
      <c r="P246" s="65"/>
      <c r="Q246" s="50"/>
      <c r="R246" s="65"/>
      <c r="S246" s="50"/>
      <c r="T246" s="65"/>
      <c r="U246" s="50"/>
      <c r="V246" s="65"/>
      <c r="W246" s="50"/>
      <c r="X246" s="65"/>
      <c r="Y246" s="50"/>
      <c r="Z246" s="65"/>
      <c r="AA246" s="50"/>
      <c r="AB246" s="65"/>
      <c r="AC246" s="50"/>
      <c r="AD246" s="65"/>
      <c r="AE246" s="50"/>
      <c r="AF246" s="65"/>
      <c r="AG246" s="50"/>
      <c r="AH246" s="65"/>
      <c r="AI246" s="50"/>
      <c r="AJ246" s="65"/>
      <c r="AK246" s="50"/>
      <c r="AL246" s="56"/>
      <c r="AM246" s="51"/>
    </row>
    <row r="247" spans="4:39" s="53" customFormat="1">
      <c r="D247" s="65"/>
      <c r="E247" s="50"/>
      <c r="F247" s="65"/>
      <c r="G247" s="50"/>
      <c r="H247" s="65"/>
      <c r="I247" s="50"/>
      <c r="J247" s="65"/>
      <c r="K247" s="50"/>
      <c r="L247" s="65"/>
      <c r="M247" s="50"/>
      <c r="N247" s="65"/>
      <c r="O247" s="50"/>
      <c r="P247" s="65"/>
      <c r="Q247" s="50"/>
      <c r="R247" s="65"/>
      <c r="S247" s="50"/>
      <c r="T247" s="65"/>
      <c r="U247" s="50"/>
      <c r="V247" s="65"/>
      <c r="W247" s="50"/>
      <c r="X247" s="65"/>
      <c r="Y247" s="50"/>
      <c r="Z247" s="65"/>
      <c r="AA247" s="50"/>
      <c r="AB247" s="65"/>
      <c r="AC247" s="50"/>
      <c r="AD247" s="65"/>
      <c r="AE247" s="50"/>
      <c r="AF247" s="65"/>
      <c r="AG247" s="50"/>
      <c r="AH247" s="65"/>
      <c r="AI247" s="50"/>
      <c r="AJ247" s="65"/>
      <c r="AK247" s="50"/>
      <c r="AL247" s="56"/>
      <c r="AM247" s="51"/>
    </row>
    <row r="248" spans="4:39" s="53" customFormat="1">
      <c r="D248" s="65"/>
      <c r="E248" s="50"/>
      <c r="F248" s="65"/>
      <c r="G248" s="50"/>
      <c r="H248" s="65"/>
      <c r="I248" s="50"/>
      <c r="J248" s="65"/>
      <c r="K248" s="50"/>
      <c r="L248" s="65"/>
      <c r="M248" s="50"/>
      <c r="N248" s="65"/>
      <c r="O248" s="50"/>
      <c r="P248" s="65"/>
      <c r="Q248" s="50"/>
      <c r="R248" s="65"/>
      <c r="S248" s="50"/>
      <c r="T248" s="65"/>
      <c r="U248" s="50"/>
      <c r="V248" s="65"/>
      <c r="W248" s="50"/>
      <c r="X248" s="65"/>
      <c r="Y248" s="50"/>
      <c r="Z248" s="65"/>
      <c r="AA248" s="50"/>
      <c r="AB248" s="65"/>
      <c r="AC248" s="50"/>
      <c r="AD248" s="65"/>
      <c r="AE248" s="50"/>
      <c r="AF248" s="65"/>
      <c r="AG248" s="50"/>
      <c r="AH248" s="65"/>
      <c r="AI248" s="50"/>
      <c r="AJ248" s="65"/>
      <c r="AK248" s="50"/>
      <c r="AL248" s="56"/>
      <c r="AM248" s="51"/>
    </row>
    <row r="249" spans="4:39" s="53" customFormat="1">
      <c r="D249" s="65"/>
      <c r="E249" s="50"/>
      <c r="F249" s="65"/>
      <c r="G249" s="50"/>
      <c r="H249" s="65"/>
      <c r="I249" s="50"/>
      <c r="J249" s="65"/>
      <c r="K249" s="50"/>
      <c r="L249" s="65"/>
      <c r="M249" s="50"/>
      <c r="N249" s="65"/>
      <c r="O249" s="50"/>
      <c r="P249" s="65"/>
      <c r="Q249" s="50"/>
      <c r="R249" s="65"/>
      <c r="S249" s="50"/>
      <c r="T249" s="65"/>
      <c r="U249" s="50"/>
      <c r="V249" s="65"/>
      <c r="W249" s="50"/>
      <c r="X249" s="65"/>
      <c r="Y249" s="50"/>
      <c r="Z249" s="65"/>
      <c r="AA249" s="50"/>
      <c r="AB249" s="65"/>
      <c r="AC249" s="50"/>
      <c r="AD249" s="65"/>
      <c r="AE249" s="50"/>
      <c r="AF249" s="65"/>
      <c r="AG249" s="50"/>
      <c r="AH249" s="65"/>
      <c r="AI249" s="50"/>
      <c r="AJ249" s="65"/>
      <c r="AK249" s="50"/>
      <c r="AL249" s="56"/>
      <c r="AM249" s="51"/>
    </row>
    <row r="250" spans="4:39" s="53" customFormat="1">
      <c r="D250" s="65"/>
      <c r="E250" s="50"/>
      <c r="F250" s="65"/>
      <c r="G250" s="50"/>
      <c r="H250" s="65"/>
      <c r="I250" s="50"/>
      <c r="J250" s="65"/>
      <c r="K250" s="50"/>
      <c r="L250" s="65"/>
      <c r="M250" s="50"/>
      <c r="N250" s="65"/>
      <c r="O250" s="50"/>
      <c r="P250" s="65"/>
      <c r="Q250" s="50"/>
      <c r="R250" s="65"/>
      <c r="S250" s="50"/>
      <c r="T250" s="65"/>
      <c r="U250" s="50"/>
      <c r="V250" s="65"/>
      <c r="W250" s="50"/>
      <c r="X250" s="65"/>
      <c r="Y250" s="50"/>
      <c r="Z250" s="65"/>
      <c r="AA250" s="50"/>
      <c r="AB250" s="65"/>
      <c r="AC250" s="50"/>
      <c r="AD250" s="65"/>
      <c r="AE250" s="50"/>
      <c r="AF250" s="65"/>
      <c r="AG250" s="50"/>
      <c r="AH250" s="65"/>
      <c r="AI250" s="50"/>
      <c r="AJ250" s="65"/>
      <c r="AK250" s="50"/>
      <c r="AL250" s="56"/>
      <c r="AM250" s="51"/>
    </row>
    <row r="251" spans="4:39" s="53" customFormat="1">
      <c r="D251" s="65"/>
      <c r="E251" s="50"/>
      <c r="F251" s="65"/>
      <c r="G251" s="50"/>
      <c r="H251" s="65"/>
      <c r="I251" s="50"/>
      <c r="J251" s="65"/>
      <c r="K251" s="50"/>
      <c r="L251" s="65"/>
      <c r="M251" s="50"/>
      <c r="N251" s="65"/>
      <c r="O251" s="50"/>
      <c r="P251" s="65"/>
      <c r="Q251" s="50"/>
      <c r="R251" s="65"/>
      <c r="S251" s="50"/>
      <c r="T251" s="65"/>
      <c r="U251" s="50"/>
      <c r="V251" s="65"/>
      <c r="W251" s="50"/>
      <c r="X251" s="65"/>
      <c r="Y251" s="50"/>
      <c r="Z251" s="65"/>
      <c r="AA251" s="50"/>
      <c r="AB251" s="65"/>
      <c r="AC251" s="50"/>
      <c r="AD251" s="65"/>
      <c r="AE251" s="50"/>
      <c r="AF251" s="65"/>
      <c r="AG251" s="50"/>
      <c r="AH251" s="65"/>
      <c r="AI251" s="50"/>
      <c r="AJ251" s="65"/>
      <c r="AK251" s="50"/>
      <c r="AL251" s="56"/>
      <c r="AM251" s="51"/>
    </row>
    <row r="252" spans="4:39" s="53" customFormat="1">
      <c r="D252" s="65"/>
      <c r="E252" s="50"/>
      <c r="F252" s="65"/>
      <c r="G252" s="50"/>
      <c r="H252" s="65"/>
      <c r="I252" s="50"/>
      <c r="J252" s="65"/>
      <c r="K252" s="50"/>
      <c r="L252" s="65"/>
      <c r="M252" s="50"/>
      <c r="N252" s="65"/>
      <c r="O252" s="50"/>
      <c r="P252" s="65"/>
      <c r="Q252" s="50"/>
      <c r="R252" s="65"/>
      <c r="S252" s="50"/>
      <c r="T252" s="65"/>
      <c r="U252" s="50"/>
      <c r="V252" s="65"/>
      <c r="W252" s="50"/>
      <c r="X252" s="65"/>
      <c r="Y252" s="50"/>
      <c r="Z252" s="65"/>
      <c r="AA252" s="50"/>
      <c r="AB252" s="65"/>
      <c r="AC252" s="50"/>
      <c r="AD252" s="65"/>
      <c r="AE252" s="50"/>
      <c r="AF252" s="65"/>
      <c r="AG252" s="50"/>
      <c r="AH252" s="65"/>
      <c r="AI252" s="50"/>
      <c r="AJ252" s="65"/>
      <c r="AK252" s="50"/>
      <c r="AL252" s="56"/>
      <c r="AM252" s="51"/>
    </row>
    <row r="253" spans="4:39" s="53" customFormat="1">
      <c r="D253" s="65"/>
      <c r="E253" s="50"/>
      <c r="F253" s="65"/>
      <c r="G253" s="50"/>
      <c r="H253" s="65"/>
      <c r="I253" s="50"/>
      <c r="J253" s="65"/>
      <c r="K253" s="50"/>
      <c r="L253" s="65"/>
      <c r="M253" s="50"/>
      <c r="N253" s="65"/>
      <c r="O253" s="50"/>
      <c r="P253" s="65"/>
      <c r="Q253" s="50"/>
      <c r="R253" s="65"/>
      <c r="S253" s="50"/>
      <c r="T253" s="65"/>
      <c r="U253" s="50"/>
      <c r="V253" s="65"/>
      <c r="W253" s="50"/>
      <c r="X253" s="65"/>
      <c r="Y253" s="50"/>
      <c r="Z253" s="65"/>
      <c r="AA253" s="50"/>
      <c r="AB253" s="65"/>
      <c r="AC253" s="50"/>
      <c r="AD253" s="65"/>
      <c r="AE253" s="50"/>
      <c r="AF253" s="65"/>
      <c r="AG253" s="50"/>
      <c r="AH253" s="65"/>
      <c r="AI253" s="50"/>
      <c r="AJ253" s="65"/>
      <c r="AK253" s="50"/>
      <c r="AL253" s="56"/>
      <c r="AM253" s="51"/>
    </row>
    <row r="254" spans="4:39" s="53" customFormat="1">
      <c r="D254" s="65"/>
      <c r="E254" s="50"/>
      <c r="F254" s="65"/>
      <c r="G254" s="50"/>
      <c r="H254" s="65"/>
      <c r="I254" s="50"/>
      <c r="J254" s="65"/>
      <c r="K254" s="50"/>
      <c r="L254" s="65"/>
      <c r="M254" s="50"/>
      <c r="N254" s="65"/>
      <c r="O254" s="50"/>
      <c r="P254" s="65"/>
      <c r="Q254" s="50"/>
      <c r="R254" s="65"/>
      <c r="S254" s="50"/>
      <c r="T254" s="65"/>
      <c r="U254" s="50"/>
      <c r="V254" s="65"/>
      <c r="W254" s="50"/>
      <c r="X254" s="65"/>
      <c r="Y254" s="50"/>
      <c r="Z254" s="65"/>
      <c r="AA254" s="50"/>
      <c r="AB254" s="65"/>
      <c r="AC254" s="50"/>
      <c r="AD254" s="65"/>
      <c r="AE254" s="50"/>
      <c r="AF254" s="65"/>
      <c r="AG254" s="50"/>
      <c r="AH254" s="65"/>
      <c r="AI254" s="50"/>
      <c r="AJ254" s="65"/>
      <c r="AK254" s="50"/>
      <c r="AL254" s="56"/>
      <c r="AM254" s="51"/>
    </row>
    <row r="255" spans="4:39" s="53" customFormat="1">
      <c r="D255" s="65"/>
      <c r="E255" s="50"/>
      <c r="F255" s="65"/>
      <c r="G255" s="50"/>
      <c r="H255" s="65"/>
      <c r="I255" s="50"/>
      <c r="J255" s="65"/>
      <c r="K255" s="50"/>
      <c r="L255" s="65"/>
      <c r="M255" s="50"/>
      <c r="N255" s="65"/>
      <c r="O255" s="50"/>
      <c r="P255" s="65"/>
      <c r="Q255" s="50"/>
      <c r="R255" s="65"/>
      <c r="S255" s="50"/>
      <c r="T255" s="65"/>
      <c r="U255" s="50"/>
      <c r="V255" s="65"/>
      <c r="W255" s="50"/>
      <c r="X255" s="65"/>
      <c r="Y255" s="50"/>
      <c r="Z255" s="65"/>
      <c r="AA255" s="50"/>
      <c r="AB255" s="65"/>
      <c r="AC255" s="50"/>
      <c r="AD255" s="65"/>
      <c r="AE255" s="50"/>
      <c r="AF255" s="65"/>
      <c r="AG255" s="50"/>
      <c r="AH255" s="65"/>
      <c r="AI255" s="50"/>
      <c r="AJ255" s="65"/>
      <c r="AK255" s="50"/>
      <c r="AL255" s="56"/>
      <c r="AM255" s="51"/>
    </row>
    <row r="256" spans="4:39" s="53" customFormat="1">
      <c r="D256" s="65"/>
      <c r="E256" s="50"/>
      <c r="F256" s="65"/>
      <c r="G256" s="50"/>
      <c r="H256" s="65"/>
      <c r="I256" s="50"/>
      <c r="J256" s="65"/>
      <c r="K256" s="50"/>
      <c r="L256" s="65"/>
      <c r="M256" s="50"/>
      <c r="N256" s="65"/>
      <c r="O256" s="50"/>
      <c r="P256" s="65"/>
      <c r="Q256" s="50"/>
      <c r="R256" s="65"/>
      <c r="S256" s="50"/>
      <c r="T256" s="65"/>
      <c r="U256" s="50"/>
      <c r="V256" s="65"/>
      <c r="W256" s="50"/>
      <c r="X256" s="65"/>
      <c r="Y256" s="50"/>
      <c r="Z256" s="65"/>
      <c r="AA256" s="50"/>
      <c r="AB256" s="65"/>
      <c r="AC256" s="50"/>
      <c r="AD256" s="65"/>
      <c r="AE256" s="50"/>
      <c r="AF256" s="65"/>
      <c r="AG256" s="50"/>
      <c r="AH256" s="65"/>
      <c r="AI256" s="50"/>
      <c r="AJ256" s="65"/>
      <c r="AK256" s="50"/>
      <c r="AL256" s="56"/>
      <c r="AM256" s="51"/>
    </row>
    <row r="257" spans="4:39" s="53" customFormat="1">
      <c r="D257" s="65"/>
      <c r="E257" s="50"/>
      <c r="F257" s="65"/>
      <c r="G257" s="50"/>
      <c r="H257" s="65"/>
      <c r="I257" s="50"/>
      <c r="J257" s="65"/>
      <c r="K257" s="50"/>
      <c r="L257" s="65"/>
      <c r="M257" s="50"/>
      <c r="N257" s="65"/>
      <c r="O257" s="50"/>
      <c r="P257" s="65"/>
      <c r="Q257" s="50"/>
      <c r="R257" s="65"/>
      <c r="S257" s="50"/>
      <c r="T257" s="65"/>
      <c r="U257" s="50"/>
      <c r="V257" s="65"/>
      <c r="W257" s="50"/>
      <c r="X257" s="65"/>
      <c r="Y257" s="50"/>
      <c r="Z257" s="65"/>
      <c r="AA257" s="50"/>
      <c r="AB257" s="65"/>
      <c r="AC257" s="50"/>
      <c r="AD257" s="65"/>
      <c r="AE257" s="50"/>
      <c r="AF257" s="65"/>
      <c r="AG257" s="50"/>
      <c r="AH257" s="65"/>
      <c r="AI257" s="50"/>
      <c r="AJ257" s="65"/>
      <c r="AK257" s="50"/>
      <c r="AL257" s="56"/>
      <c r="AM257" s="51"/>
    </row>
    <row r="258" spans="4:39" s="53" customFormat="1">
      <c r="D258" s="65"/>
      <c r="E258" s="50"/>
      <c r="F258" s="65"/>
      <c r="G258" s="50"/>
      <c r="H258" s="65"/>
      <c r="I258" s="50"/>
      <c r="J258" s="65"/>
      <c r="K258" s="50"/>
      <c r="L258" s="65"/>
      <c r="M258" s="50"/>
      <c r="N258" s="65"/>
      <c r="O258" s="50"/>
      <c r="P258" s="65"/>
      <c r="Q258" s="50"/>
      <c r="R258" s="65"/>
      <c r="S258" s="50"/>
      <c r="T258" s="65"/>
      <c r="U258" s="50"/>
      <c r="V258" s="65"/>
      <c r="W258" s="50"/>
      <c r="X258" s="65"/>
      <c r="Y258" s="50"/>
      <c r="Z258" s="65"/>
      <c r="AA258" s="50"/>
      <c r="AB258" s="65"/>
      <c r="AC258" s="50"/>
      <c r="AD258" s="65"/>
      <c r="AE258" s="50"/>
      <c r="AF258" s="65"/>
      <c r="AG258" s="50"/>
      <c r="AH258" s="65"/>
      <c r="AI258" s="50"/>
      <c r="AJ258" s="65"/>
      <c r="AK258" s="50"/>
      <c r="AL258" s="56"/>
      <c r="AM258" s="51"/>
    </row>
    <row r="259" spans="4:39" s="53" customFormat="1">
      <c r="D259" s="65"/>
      <c r="E259" s="50"/>
      <c r="F259" s="65"/>
      <c r="G259" s="50"/>
      <c r="H259" s="65"/>
      <c r="I259" s="50"/>
      <c r="J259" s="65"/>
      <c r="K259" s="50"/>
      <c r="L259" s="65"/>
      <c r="M259" s="50"/>
      <c r="N259" s="65"/>
      <c r="O259" s="50"/>
      <c r="P259" s="65"/>
      <c r="Q259" s="50"/>
      <c r="R259" s="65"/>
      <c r="S259" s="50"/>
      <c r="T259" s="65"/>
      <c r="U259" s="50"/>
      <c r="V259" s="65"/>
      <c r="W259" s="50"/>
      <c r="X259" s="65"/>
      <c r="Y259" s="50"/>
      <c r="Z259" s="65"/>
      <c r="AA259" s="50"/>
      <c r="AB259" s="65"/>
      <c r="AC259" s="50"/>
      <c r="AD259" s="65"/>
      <c r="AE259" s="50"/>
      <c r="AF259" s="65"/>
      <c r="AG259" s="50"/>
      <c r="AH259" s="65"/>
      <c r="AI259" s="50"/>
      <c r="AJ259" s="65"/>
      <c r="AK259" s="50"/>
      <c r="AL259" s="56"/>
      <c r="AM259" s="51"/>
    </row>
    <row r="260" spans="4:39" s="53" customFormat="1">
      <c r="D260" s="65"/>
      <c r="E260" s="50"/>
      <c r="F260" s="65"/>
      <c r="G260" s="50"/>
      <c r="H260" s="65"/>
      <c r="I260" s="50"/>
      <c r="J260" s="65"/>
      <c r="K260" s="50"/>
      <c r="L260" s="65"/>
      <c r="M260" s="50"/>
      <c r="N260" s="65"/>
      <c r="O260" s="50"/>
      <c r="P260" s="65"/>
      <c r="Q260" s="50"/>
      <c r="R260" s="65"/>
      <c r="S260" s="50"/>
      <c r="T260" s="65"/>
      <c r="U260" s="50"/>
      <c r="V260" s="65"/>
      <c r="W260" s="50"/>
      <c r="X260" s="65"/>
      <c r="Y260" s="50"/>
      <c r="Z260" s="65"/>
      <c r="AA260" s="50"/>
      <c r="AB260" s="65"/>
      <c r="AC260" s="50"/>
      <c r="AD260" s="65"/>
      <c r="AE260" s="50"/>
      <c r="AF260" s="65"/>
      <c r="AG260" s="50"/>
      <c r="AH260" s="65"/>
      <c r="AI260" s="50"/>
      <c r="AJ260" s="65"/>
      <c r="AK260" s="50"/>
      <c r="AL260" s="56"/>
      <c r="AM260" s="51"/>
    </row>
    <row r="261" spans="4:39" s="53" customFormat="1">
      <c r="D261" s="65"/>
      <c r="E261" s="50"/>
      <c r="F261" s="65"/>
      <c r="G261" s="50"/>
      <c r="H261" s="65"/>
      <c r="I261" s="50"/>
      <c r="J261" s="65"/>
      <c r="K261" s="50"/>
      <c r="L261" s="65"/>
      <c r="M261" s="50"/>
      <c r="N261" s="65"/>
      <c r="O261" s="50"/>
      <c r="P261" s="65"/>
      <c r="Q261" s="50"/>
      <c r="R261" s="65"/>
      <c r="S261" s="50"/>
      <c r="T261" s="65"/>
      <c r="U261" s="50"/>
      <c r="V261" s="65"/>
      <c r="W261" s="50"/>
      <c r="X261" s="65"/>
      <c r="Y261" s="50"/>
      <c r="Z261" s="65"/>
      <c r="AA261" s="50"/>
      <c r="AB261" s="65"/>
      <c r="AC261" s="50"/>
      <c r="AD261" s="65"/>
      <c r="AE261" s="50"/>
      <c r="AF261" s="65"/>
      <c r="AG261" s="50"/>
      <c r="AH261" s="65"/>
      <c r="AI261" s="50"/>
      <c r="AJ261" s="65"/>
      <c r="AK261" s="50"/>
      <c r="AL261" s="56"/>
      <c r="AM261" s="51"/>
    </row>
    <row r="262" spans="4:39" s="53" customFormat="1">
      <c r="D262" s="65"/>
      <c r="E262" s="50"/>
      <c r="F262" s="65"/>
      <c r="G262" s="50"/>
      <c r="H262" s="65"/>
      <c r="I262" s="50"/>
      <c r="J262" s="65"/>
      <c r="K262" s="50"/>
      <c r="L262" s="65"/>
      <c r="M262" s="50"/>
      <c r="N262" s="65"/>
      <c r="O262" s="50"/>
      <c r="P262" s="65"/>
      <c r="Q262" s="50"/>
      <c r="R262" s="65"/>
      <c r="S262" s="50"/>
      <c r="T262" s="65"/>
      <c r="U262" s="50"/>
      <c r="V262" s="65"/>
      <c r="W262" s="50"/>
      <c r="X262" s="65"/>
      <c r="Y262" s="50"/>
      <c r="Z262" s="65"/>
      <c r="AA262" s="50"/>
      <c r="AB262" s="65"/>
      <c r="AC262" s="50"/>
      <c r="AD262" s="65"/>
      <c r="AE262" s="50"/>
      <c r="AF262" s="65"/>
      <c r="AG262" s="50"/>
      <c r="AH262" s="65"/>
      <c r="AI262" s="50"/>
      <c r="AJ262" s="65"/>
      <c r="AK262" s="50"/>
      <c r="AL262" s="56"/>
      <c r="AM262" s="51"/>
    </row>
    <row r="263" spans="4:39" s="53" customFormat="1">
      <c r="D263" s="65"/>
      <c r="E263" s="50"/>
      <c r="F263" s="65"/>
      <c r="G263" s="50"/>
      <c r="H263" s="65"/>
      <c r="I263" s="50"/>
      <c r="J263" s="65"/>
      <c r="K263" s="50"/>
      <c r="L263" s="65"/>
      <c r="M263" s="50"/>
      <c r="N263" s="65"/>
      <c r="O263" s="50"/>
      <c r="P263" s="65"/>
      <c r="Q263" s="50"/>
      <c r="R263" s="65"/>
      <c r="S263" s="50"/>
      <c r="T263" s="65"/>
      <c r="U263" s="50"/>
      <c r="V263" s="65"/>
      <c r="W263" s="50"/>
      <c r="X263" s="65"/>
      <c r="Y263" s="50"/>
      <c r="Z263" s="65"/>
      <c r="AA263" s="50"/>
      <c r="AB263" s="65"/>
      <c r="AC263" s="50"/>
      <c r="AD263" s="65"/>
      <c r="AE263" s="50"/>
      <c r="AF263" s="65"/>
      <c r="AG263" s="50"/>
      <c r="AH263" s="65"/>
      <c r="AI263" s="50"/>
      <c r="AJ263" s="65"/>
      <c r="AK263" s="50"/>
      <c r="AL263" s="56"/>
      <c r="AM263" s="51"/>
    </row>
    <row r="264" spans="4:39" s="53" customFormat="1">
      <c r="D264" s="65"/>
      <c r="E264" s="50"/>
      <c r="F264" s="65"/>
      <c r="G264" s="50"/>
      <c r="H264" s="65"/>
      <c r="I264" s="50"/>
      <c r="J264" s="65"/>
      <c r="K264" s="50"/>
      <c r="L264" s="65"/>
      <c r="M264" s="50"/>
      <c r="N264" s="65"/>
      <c r="O264" s="50"/>
      <c r="P264" s="65"/>
      <c r="Q264" s="50"/>
      <c r="R264" s="65"/>
      <c r="S264" s="50"/>
      <c r="T264" s="65"/>
      <c r="U264" s="50"/>
      <c r="V264" s="65"/>
      <c r="W264" s="50"/>
      <c r="X264" s="65"/>
      <c r="Y264" s="50"/>
      <c r="Z264" s="65"/>
      <c r="AA264" s="50"/>
      <c r="AB264" s="65"/>
      <c r="AC264" s="50"/>
      <c r="AD264" s="65"/>
      <c r="AE264" s="50"/>
      <c r="AF264" s="65"/>
      <c r="AG264" s="50"/>
      <c r="AH264" s="65"/>
      <c r="AI264" s="50"/>
      <c r="AJ264" s="65"/>
      <c r="AK264" s="50"/>
      <c r="AL264" s="56"/>
      <c r="AM264" s="51"/>
    </row>
    <row r="265" spans="4:39" s="53" customFormat="1">
      <c r="D265" s="65"/>
      <c r="E265" s="50"/>
      <c r="F265" s="65"/>
      <c r="G265" s="50"/>
      <c r="H265" s="65"/>
      <c r="I265" s="50"/>
      <c r="J265" s="65"/>
      <c r="K265" s="50"/>
      <c r="L265" s="65"/>
      <c r="M265" s="50"/>
      <c r="N265" s="65"/>
      <c r="O265" s="50"/>
      <c r="P265" s="65"/>
      <c r="Q265" s="50"/>
      <c r="R265" s="65"/>
      <c r="S265" s="50"/>
      <c r="T265" s="65"/>
      <c r="U265" s="50"/>
      <c r="V265" s="65"/>
      <c r="W265" s="50"/>
      <c r="X265" s="65"/>
      <c r="Y265" s="50"/>
      <c r="Z265" s="65"/>
      <c r="AA265" s="50"/>
      <c r="AB265" s="65"/>
      <c r="AC265" s="50"/>
      <c r="AD265" s="65"/>
      <c r="AE265" s="50"/>
      <c r="AF265" s="65"/>
      <c r="AG265" s="50"/>
      <c r="AH265" s="65"/>
      <c r="AI265" s="50"/>
      <c r="AJ265" s="65"/>
      <c r="AK265" s="50"/>
      <c r="AL265" s="56"/>
      <c r="AM265" s="51"/>
    </row>
    <row r="266" spans="4:39" s="53" customFormat="1">
      <c r="D266" s="65"/>
      <c r="E266" s="50"/>
      <c r="F266" s="65"/>
      <c r="G266" s="50"/>
      <c r="H266" s="65"/>
      <c r="I266" s="50"/>
      <c r="J266" s="65"/>
      <c r="K266" s="50"/>
      <c r="L266" s="65"/>
      <c r="M266" s="50"/>
      <c r="N266" s="65"/>
      <c r="O266" s="50"/>
      <c r="P266" s="65"/>
      <c r="Q266" s="50"/>
      <c r="R266" s="65"/>
      <c r="S266" s="50"/>
      <c r="T266" s="65"/>
      <c r="U266" s="50"/>
      <c r="V266" s="65"/>
      <c r="W266" s="50"/>
      <c r="X266" s="65"/>
      <c r="Y266" s="50"/>
      <c r="Z266" s="65"/>
      <c r="AA266" s="50"/>
      <c r="AB266" s="65"/>
      <c r="AC266" s="50"/>
      <c r="AD266" s="65"/>
      <c r="AE266" s="50"/>
      <c r="AF266" s="65"/>
      <c r="AG266" s="50"/>
      <c r="AH266" s="65"/>
      <c r="AI266" s="50"/>
      <c r="AJ266" s="65"/>
      <c r="AK266" s="50"/>
      <c r="AL266" s="56"/>
      <c r="AM266" s="51"/>
    </row>
    <row r="267" spans="4:39" s="53" customFormat="1">
      <c r="D267" s="65"/>
      <c r="E267" s="50"/>
      <c r="F267" s="65"/>
      <c r="G267" s="50"/>
      <c r="H267" s="65"/>
      <c r="I267" s="50"/>
      <c r="J267" s="65"/>
      <c r="K267" s="50"/>
      <c r="L267" s="65"/>
      <c r="M267" s="50"/>
      <c r="N267" s="65"/>
      <c r="O267" s="50"/>
      <c r="P267" s="65"/>
      <c r="Q267" s="50"/>
      <c r="R267" s="65"/>
      <c r="S267" s="50"/>
      <c r="T267" s="65"/>
      <c r="U267" s="50"/>
      <c r="V267" s="65"/>
      <c r="W267" s="50"/>
      <c r="X267" s="65"/>
      <c r="Y267" s="50"/>
      <c r="Z267" s="65"/>
      <c r="AA267" s="50"/>
      <c r="AB267" s="65"/>
      <c r="AC267" s="50"/>
      <c r="AD267" s="65"/>
      <c r="AE267" s="50"/>
      <c r="AF267" s="65"/>
      <c r="AG267" s="50"/>
      <c r="AH267" s="65"/>
      <c r="AI267" s="50"/>
      <c r="AJ267" s="65"/>
      <c r="AK267" s="50"/>
      <c r="AL267" s="56"/>
      <c r="AM267" s="51"/>
    </row>
    <row r="268" spans="4:39" s="53" customFormat="1">
      <c r="D268" s="65"/>
      <c r="E268" s="50"/>
      <c r="F268" s="65"/>
      <c r="G268" s="50"/>
      <c r="H268" s="65"/>
      <c r="I268" s="50"/>
      <c r="J268" s="65"/>
      <c r="K268" s="50"/>
      <c r="L268" s="65"/>
      <c r="M268" s="50"/>
      <c r="N268" s="65"/>
      <c r="O268" s="50"/>
      <c r="P268" s="65"/>
      <c r="Q268" s="50"/>
      <c r="R268" s="65"/>
      <c r="S268" s="50"/>
      <c r="T268" s="65"/>
      <c r="U268" s="50"/>
      <c r="V268" s="65"/>
      <c r="W268" s="50"/>
      <c r="X268" s="65"/>
      <c r="Y268" s="50"/>
      <c r="Z268" s="65"/>
      <c r="AA268" s="50"/>
      <c r="AB268" s="65"/>
      <c r="AC268" s="50"/>
      <c r="AD268" s="65"/>
      <c r="AE268" s="50"/>
      <c r="AF268" s="65"/>
      <c r="AG268" s="50"/>
      <c r="AH268" s="65"/>
      <c r="AI268" s="50"/>
      <c r="AJ268" s="65"/>
      <c r="AK268" s="50"/>
      <c r="AL268" s="56"/>
      <c r="AM268" s="51"/>
    </row>
    <row r="269" spans="4:39" s="53" customFormat="1">
      <c r="D269" s="65"/>
      <c r="E269" s="50"/>
      <c r="F269" s="65"/>
      <c r="G269" s="50"/>
      <c r="H269" s="65"/>
      <c r="I269" s="50"/>
      <c r="J269" s="65"/>
      <c r="K269" s="50"/>
      <c r="L269" s="65"/>
      <c r="M269" s="50"/>
      <c r="N269" s="65"/>
      <c r="O269" s="50"/>
      <c r="P269" s="65"/>
      <c r="Q269" s="50"/>
      <c r="R269" s="65"/>
      <c r="S269" s="50"/>
      <c r="T269" s="65"/>
      <c r="U269" s="50"/>
      <c r="V269" s="65"/>
      <c r="W269" s="50"/>
      <c r="X269" s="65"/>
      <c r="Y269" s="50"/>
      <c r="Z269" s="65"/>
      <c r="AA269" s="50"/>
      <c r="AB269" s="65"/>
      <c r="AC269" s="50"/>
      <c r="AD269" s="65"/>
      <c r="AE269" s="50"/>
      <c r="AF269" s="65"/>
      <c r="AG269" s="50"/>
      <c r="AH269" s="65"/>
      <c r="AI269" s="50"/>
      <c r="AJ269" s="65"/>
      <c r="AK269" s="50"/>
      <c r="AL269" s="56"/>
      <c r="AM269" s="51"/>
    </row>
    <row r="270" spans="4:39" s="53" customFormat="1">
      <c r="D270" s="65"/>
      <c r="E270" s="50"/>
      <c r="F270" s="65"/>
      <c r="G270" s="50"/>
      <c r="H270" s="65"/>
      <c r="I270" s="50"/>
      <c r="J270" s="65"/>
      <c r="K270" s="50"/>
      <c r="L270" s="65"/>
      <c r="M270" s="50"/>
      <c r="N270" s="65"/>
      <c r="O270" s="50"/>
      <c r="P270" s="65"/>
      <c r="Q270" s="50"/>
      <c r="R270" s="65"/>
      <c r="S270" s="50"/>
      <c r="T270" s="65"/>
      <c r="U270" s="50"/>
      <c r="V270" s="65"/>
      <c r="W270" s="50"/>
      <c r="X270" s="65"/>
      <c r="Y270" s="50"/>
      <c r="Z270" s="65"/>
      <c r="AA270" s="50"/>
      <c r="AB270" s="65"/>
      <c r="AC270" s="50"/>
      <c r="AD270" s="65"/>
      <c r="AE270" s="50"/>
      <c r="AF270" s="65"/>
      <c r="AG270" s="50"/>
      <c r="AH270" s="65"/>
      <c r="AI270" s="50"/>
      <c r="AJ270" s="65"/>
      <c r="AK270" s="50"/>
      <c r="AL270" s="56"/>
      <c r="AM270" s="51"/>
    </row>
    <row r="271" spans="4:39" s="53" customFormat="1">
      <c r="D271" s="65"/>
      <c r="E271" s="50"/>
      <c r="F271" s="65"/>
      <c r="G271" s="50"/>
      <c r="H271" s="65"/>
      <c r="I271" s="50"/>
      <c r="J271" s="65"/>
      <c r="K271" s="50"/>
      <c r="L271" s="65"/>
      <c r="M271" s="50"/>
      <c r="N271" s="65"/>
      <c r="O271" s="50"/>
      <c r="P271" s="65"/>
      <c r="Q271" s="50"/>
      <c r="R271" s="65"/>
      <c r="S271" s="50"/>
      <c r="T271" s="65"/>
      <c r="U271" s="50"/>
      <c r="V271" s="65"/>
      <c r="W271" s="50"/>
      <c r="X271" s="65"/>
      <c r="Y271" s="50"/>
      <c r="Z271" s="65"/>
      <c r="AA271" s="50"/>
      <c r="AB271" s="65"/>
      <c r="AC271" s="50"/>
      <c r="AD271" s="65"/>
      <c r="AE271" s="50"/>
      <c r="AF271" s="65"/>
      <c r="AG271" s="50"/>
      <c r="AH271" s="65"/>
      <c r="AI271" s="50"/>
      <c r="AJ271" s="65"/>
      <c r="AK271" s="50"/>
      <c r="AL271" s="56"/>
      <c r="AM271" s="51"/>
    </row>
    <row r="272" spans="4:39" s="53" customFormat="1">
      <c r="D272" s="65"/>
      <c r="E272" s="50"/>
      <c r="F272" s="65"/>
      <c r="G272" s="50"/>
      <c r="H272" s="65"/>
      <c r="I272" s="50"/>
      <c r="J272" s="65"/>
      <c r="K272" s="50"/>
      <c r="L272" s="65"/>
      <c r="M272" s="50"/>
      <c r="N272" s="65"/>
      <c r="O272" s="50"/>
      <c r="P272" s="65"/>
      <c r="Q272" s="50"/>
      <c r="R272" s="65"/>
      <c r="S272" s="50"/>
      <c r="T272" s="65"/>
      <c r="U272" s="50"/>
      <c r="V272" s="65"/>
      <c r="W272" s="50"/>
      <c r="X272" s="65"/>
      <c r="Y272" s="50"/>
      <c r="Z272" s="65"/>
      <c r="AA272" s="50"/>
      <c r="AB272" s="65"/>
      <c r="AC272" s="50"/>
      <c r="AD272" s="65"/>
      <c r="AE272" s="50"/>
      <c r="AF272" s="65"/>
      <c r="AG272" s="50"/>
      <c r="AH272" s="65"/>
      <c r="AI272" s="50"/>
      <c r="AJ272" s="65"/>
      <c r="AK272" s="50"/>
      <c r="AL272" s="56"/>
      <c r="AM272" s="51"/>
    </row>
    <row r="273" spans="4:39" s="53" customFormat="1">
      <c r="D273" s="65"/>
      <c r="E273" s="50"/>
      <c r="F273" s="65"/>
      <c r="G273" s="50"/>
      <c r="H273" s="65"/>
      <c r="I273" s="50"/>
      <c r="J273" s="65"/>
      <c r="K273" s="50"/>
      <c r="L273" s="65"/>
      <c r="M273" s="50"/>
      <c r="N273" s="65"/>
      <c r="O273" s="50"/>
      <c r="P273" s="65"/>
      <c r="Q273" s="50"/>
      <c r="R273" s="65"/>
      <c r="S273" s="50"/>
      <c r="T273" s="65"/>
      <c r="U273" s="50"/>
      <c r="V273" s="65"/>
      <c r="W273" s="50"/>
      <c r="X273" s="65"/>
      <c r="Y273" s="50"/>
      <c r="Z273" s="65"/>
      <c r="AA273" s="50"/>
      <c r="AB273" s="65"/>
      <c r="AC273" s="50"/>
      <c r="AD273" s="65"/>
      <c r="AE273" s="50"/>
      <c r="AF273" s="65"/>
      <c r="AG273" s="50"/>
      <c r="AH273" s="65"/>
      <c r="AI273" s="50"/>
      <c r="AJ273" s="65"/>
      <c r="AK273" s="50"/>
      <c r="AL273" s="56"/>
      <c r="AM273" s="51"/>
    </row>
    <row r="274" spans="4:39" s="53" customFormat="1">
      <c r="D274" s="65"/>
      <c r="E274" s="50"/>
      <c r="F274" s="65"/>
      <c r="G274" s="50"/>
      <c r="H274" s="65"/>
      <c r="I274" s="50"/>
      <c r="J274" s="65"/>
      <c r="K274" s="50"/>
      <c r="L274" s="65"/>
      <c r="M274" s="50"/>
      <c r="N274" s="65"/>
      <c r="O274" s="50"/>
      <c r="P274" s="65"/>
      <c r="Q274" s="50"/>
      <c r="R274" s="65"/>
      <c r="S274" s="50"/>
      <c r="T274" s="65"/>
      <c r="U274" s="50"/>
      <c r="V274" s="65"/>
      <c r="W274" s="50"/>
      <c r="X274" s="65"/>
      <c r="Y274" s="50"/>
      <c r="Z274" s="65"/>
      <c r="AA274" s="50"/>
      <c r="AB274" s="65"/>
      <c r="AC274" s="50"/>
      <c r="AD274" s="65"/>
      <c r="AE274" s="50"/>
      <c r="AF274" s="65"/>
      <c r="AG274" s="50"/>
      <c r="AH274" s="65"/>
      <c r="AI274" s="50"/>
      <c r="AJ274" s="65"/>
      <c r="AK274" s="50"/>
      <c r="AL274" s="56"/>
      <c r="AM274" s="51"/>
    </row>
    <row r="275" spans="4:39" s="53" customFormat="1">
      <c r="D275" s="65"/>
      <c r="E275" s="50"/>
      <c r="F275" s="65"/>
      <c r="G275" s="50"/>
      <c r="H275" s="65"/>
      <c r="I275" s="50"/>
      <c r="J275" s="65"/>
      <c r="K275" s="50"/>
      <c r="L275" s="65"/>
      <c r="M275" s="50"/>
      <c r="N275" s="65"/>
      <c r="O275" s="50"/>
      <c r="P275" s="65"/>
      <c r="Q275" s="50"/>
      <c r="R275" s="65"/>
      <c r="S275" s="50"/>
      <c r="T275" s="65"/>
      <c r="U275" s="50"/>
      <c r="V275" s="65"/>
      <c r="W275" s="50"/>
      <c r="X275" s="65"/>
      <c r="Y275" s="50"/>
      <c r="Z275" s="65"/>
      <c r="AA275" s="50"/>
      <c r="AB275" s="65"/>
      <c r="AC275" s="50"/>
      <c r="AD275" s="65"/>
      <c r="AE275" s="50"/>
      <c r="AF275" s="65"/>
      <c r="AG275" s="50"/>
      <c r="AH275" s="65"/>
      <c r="AI275" s="50"/>
      <c r="AJ275" s="65"/>
      <c r="AK275" s="50"/>
      <c r="AL275" s="56"/>
      <c r="AM275" s="51"/>
    </row>
    <row r="276" spans="4:39" s="53" customFormat="1">
      <c r="D276" s="65"/>
      <c r="E276" s="50"/>
      <c r="F276" s="65"/>
      <c r="G276" s="50"/>
      <c r="H276" s="65"/>
      <c r="I276" s="50"/>
      <c r="J276" s="65"/>
      <c r="K276" s="50"/>
      <c r="L276" s="65"/>
      <c r="M276" s="50"/>
      <c r="N276" s="65"/>
      <c r="O276" s="50"/>
      <c r="P276" s="65"/>
      <c r="Q276" s="50"/>
      <c r="R276" s="65"/>
      <c r="S276" s="50"/>
      <c r="T276" s="65"/>
      <c r="U276" s="50"/>
      <c r="V276" s="65"/>
      <c r="W276" s="50"/>
      <c r="X276" s="65"/>
      <c r="Y276" s="50"/>
      <c r="Z276" s="65"/>
      <c r="AA276" s="50"/>
      <c r="AB276" s="65"/>
      <c r="AC276" s="50"/>
      <c r="AD276" s="65"/>
      <c r="AE276" s="50"/>
      <c r="AF276" s="65"/>
      <c r="AG276" s="50"/>
      <c r="AH276" s="65"/>
      <c r="AI276" s="50"/>
      <c r="AJ276" s="65"/>
      <c r="AK276" s="50"/>
      <c r="AL276" s="56"/>
      <c r="AM276" s="51"/>
    </row>
    <row r="277" spans="4:39" s="53" customFormat="1">
      <c r="D277" s="65"/>
      <c r="E277" s="50"/>
      <c r="F277" s="65"/>
      <c r="G277" s="50"/>
      <c r="H277" s="65"/>
      <c r="I277" s="50"/>
      <c r="J277" s="65"/>
      <c r="K277" s="50"/>
      <c r="L277" s="65"/>
      <c r="M277" s="50"/>
      <c r="N277" s="65"/>
      <c r="O277" s="50"/>
      <c r="P277" s="65"/>
      <c r="Q277" s="50"/>
      <c r="R277" s="65"/>
      <c r="S277" s="50"/>
      <c r="T277" s="65"/>
      <c r="U277" s="50"/>
      <c r="V277" s="65"/>
      <c r="W277" s="50"/>
      <c r="X277" s="65"/>
      <c r="Y277" s="50"/>
      <c r="Z277" s="65"/>
      <c r="AA277" s="50"/>
      <c r="AB277" s="65"/>
      <c r="AC277" s="50"/>
      <c r="AD277" s="65"/>
      <c r="AE277" s="50"/>
      <c r="AF277" s="65"/>
      <c r="AG277" s="50"/>
      <c r="AH277" s="65"/>
      <c r="AI277" s="50"/>
      <c r="AJ277" s="65"/>
      <c r="AK277" s="50"/>
      <c r="AL277" s="56"/>
      <c r="AM277" s="51"/>
    </row>
    <row r="278" spans="4:39" s="53" customFormat="1">
      <c r="D278" s="65"/>
      <c r="E278" s="50"/>
      <c r="F278" s="65"/>
      <c r="G278" s="50"/>
      <c r="H278" s="65"/>
      <c r="I278" s="50"/>
      <c r="J278" s="65"/>
      <c r="K278" s="50"/>
      <c r="L278" s="65"/>
      <c r="M278" s="50"/>
      <c r="N278" s="65"/>
      <c r="O278" s="50"/>
      <c r="P278" s="65"/>
      <c r="Q278" s="50"/>
      <c r="R278" s="65"/>
      <c r="S278" s="50"/>
      <c r="T278" s="65"/>
      <c r="U278" s="50"/>
      <c r="V278" s="65"/>
      <c r="W278" s="50"/>
      <c r="X278" s="65"/>
      <c r="Y278" s="50"/>
      <c r="Z278" s="65"/>
      <c r="AA278" s="50"/>
      <c r="AB278" s="65"/>
      <c r="AC278" s="50"/>
      <c r="AD278" s="65"/>
      <c r="AE278" s="50"/>
      <c r="AF278" s="65"/>
      <c r="AG278" s="50"/>
      <c r="AH278" s="65"/>
      <c r="AI278" s="50"/>
      <c r="AJ278" s="65"/>
      <c r="AK278" s="50"/>
      <c r="AL278" s="56"/>
      <c r="AM278" s="51"/>
    </row>
    <row r="279" spans="4:39" s="53" customFormat="1">
      <c r="D279" s="65"/>
      <c r="E279" s="50"/>
      <c r="F279" s="65"/>
      <c r="G279" s="50"/>
      <c r="H279" s="65"/>
      <c r="I279" s="50"/>
      <c r="J279" s="65"/>
      <c r="K279" s="50"/>
      <c r="L279" s="65"/>
      <c r="M279" s="50"/>
      <c r="N279" s="65"/>
      <c r="O279" s="50"/>
      <c r="P279" s="65"/>
      <c r="Q279" s="50"/>
      <c r="R279" s="65"/>
      <c r="S279" s="50"/>
      <c r="T279" s="65"/>
      <c r="U279" s="50"/>
      <c r="V279" s="65"/>
      <c r="W279" s="50"/>
      <c r="X279" s="65"/>
      <c r="Y279" s="50"/>
      <c r="Z279" s="65"/>
      <c r="AA279" s="50"/>
      <c r="AB279" s="65"/>
      <c r="AC279" s="50"/>
      <c r="AD279" s="65"/>
      <c r="AE279" s="50"/>
      <c r="AF279" s="65"/>
      <c r="AG279" s="50"/>
      <c r="AH279" s="65"/>
      <c r="AI279" s="50"/>
      <c r="AJ279" s="65"/>
      <c r="AK279" s="50"/>
      <c r="AL279" s="56"/>
      <c r="AM279" s="51"/>
    </row>
    <row r="280" spans="4:39" s="53" customFormat="1">
      <c r="D280" s="65"/>
      <c r="E280" s="50"/>
      <c r="F280" s="65"/>
      <c r="G280" s="50"/>
      <c r="H280" s="65"/>
      <c r="I280" s="50"/>
      <c r="J280" s="65"/>
      <c r="K280" s="50"/>
      <c r="L280" s="65"/>
      <c r="M280" s="50"/>
      <c r="N280" s="65"/>
      <c r="O280" s="50"/>
      <c r="P280" s="65"/>
      <c r="Q280" s="50"/>
      <c r="R280" s="65"/>
      <c r="S280" s="50"/>
      <c r="T280" s="65"/>
      <c r="U280" s="50"/>
      <c r="V280" s="65"/>
      <c r="W280" s="50"/>
      <c r="X280" s="65"/>
      <c r="Y280" s="50"/>
      <c r="Z280" s="65"/>
      <c r="AA280" s="50"/>
      <c r="AB280" s="65"/>
      <c r="AC280" s="50"/>
      <c r="AD280" s="65"/>
      <c r="AE280" s="50"/>
      <c r="AF280" s="65"/>
      <c r="AG280" s="50"/>
      <c r="AH280" s="65"/>
      <c r="AI280" s="50"/>
      <c r="AJ280" s="65"/>
      <c r="AK280" s="50"/>
      <c r="AL280" s="56"/>
      <c r="AM280" s="51"/>
    </row>
    <row r="281" spans="4:39" s="53" customFormat="1">
      <c r="D281" s="65"/>
      <c r="E281" s="50"/>
      <c r="F281" s="65"/>
      <c r="G281" s="50"/>
      <c r="H281" s="65"/>
      <c r="I281" s="50"/>
      <c r="J281" s="65"/>
      <c r="K281" s="50"/>
      <c r="L281" s="65"/>
      <c r="M281" s="50"/>
      <c r="N281" s="65"/>
      <c r="O281" s="50"/>
      <c r="P281" s="65"/>
      <c r="Q281" s="50"/>
      <c r="R281" s="65"/>
      <c r="S281" s="50"/>
      <c r="T281" s="65"/>
      <c r="U281" s="50"/>
      <c r="V281" s="65"/>
      <c r="W281" s="50"/>
      <c r="X281" s="65"/>
      <c r="Y281" s="50"/>
      <c r="Z281" s="65"/>
      <c r="AA281" s="50"/>
      <c r="AB281" s="65"/>
      <c r="AC281" s="50"/>
      <c r="AD281" s="65"/>
      <c r="AE281" s="50"/>
      <c r="AF281" s="65"/>
      <c r="AG281" s="50"/>
      <c r="AH281" s="65"/>
      <c r="AI281" s="50"/>
      <c r="AJ281" s="65"/>
      <c r="AK281" s="50"/>
      <c r="AL281" s="56"/>
      <c r="AM281" s="51"/>
    </row>
    <row r="282" spans="4:39" s="53" customFormat="1">
      <c r="D282" s="65"/>
      <c r="E282" s="50"/>
      <c r="F282" s="65"/>
      <c r="G282" s="50"/>
      <c r="H282" s="65"/>
      <c r="I282" s="50"/>
      <c r="J282" s="65"/>
      <c r="K282" s="50"/>
      <c r="L282" s="65"/>
      <c r="M282" s="50"/>
      <c r="N282" s="65"/>
      <c r="O282" s="50"/>
      <c r="P282" s="65"/>
      <c r="Q282" s="50"/>
      <c r="R282" s="65"/>
      <c r="S282" s="50"/>
      <c r="T282" s="65"/>
      <c r="U282" s="50"/>
      <c r="V282" s="65"/>
      <c r="W282" s="50"/>
      <c r="X282" s="65"/>
      <c r="Y282" s="50"/>
      <c r="Z282" s="65"/>
      <c r="AA282" s="50"/>
      <c r="AB282" s="65"/>
      <c r="AC282" s="50"/>
      <c r="AD282" s="65"/>
      <c r="AE282" s="50"/>
      <c r="AF282" s="65"/>
      <c r="AG282" s="50"/>
      <c r="AH282" s="65"/>
      <c r="AI282" s="50"/>
      <c r="AJ282" s="65"/>
      <c r="AK282" s="50"/>
      <c r="AL282" s="56"/>
      <c r="AM282" s="51"/>
    </row>
    <row r="283" spans="4:39" s="53" customFormat="1">
      <c r="D283" s="65"/>
      <c r="E283" s="50"/>
      <c r="F283" s="65"/>
      <c r="G283" s="50"/>
      <c r="H283" s="65"/>
      <c r="I283" s="50"/>
      <c r="J283" s="65"/>
      <c r="K283" s="50"/>
      <c r="L283" s="65"/>
      <c r="M283" s="50"/>
      <c r="N283" s="65"/>
      <c r="O283" s="50"/>
      <c r="P283" s="65"/>
      <c r="Q283" s="50"/>
      <c r="R283" s="65"/>
      <c r="S283" s="50"/>
      <c r="T283" s="65"/>
      <c r="U283" s="50"/>
      <c r="V283" s="65"/>
      <c r="W283" s="50"/>
      <c r="X283" s="65"/>
      <c r="Y283" s="50"/>
      <c r="Z283" s="65"/>
      <c r="AA283" s="50"/>
      <c r="AB283" s="65"/>
      <c r="AC283" s="50"/>
      <c r="AD283" s="65"/>
      <c r="AE283" s="50"/>
      <c r="AF283" s="65"/>
      <c r="AG283" s="50"/>
      <c r="AH283" s="65"/>
      <c r="AI283" s="50"/>
      <c r="AJ283" s="65"/>
      <c r="AK283" s="50"/>
      <c r="AL283" s="56"/>
      <c r="AM283" s="51"/>
    </row>
    <row r="284" spans="4:39" s="53" customFormat="1">
      <c r="D284" s="65"/>
      <c r="E284" s="50"/>
      <c r="F284" s="65"/>
      <c r="G284" s="50"/>
      <c r="H284" s="65"/>
      <c r="I284" s="50"/>
      <c r="J284" s="65"/>
      <c r="K284" s="50"/>
      <c r="L284" s="65"/>
      <c r="M284" s="50"/>
      <c r="N284" s="65"/>
      <c r="O284" s="50"/>
      <c r="P284" s="65"/>
      <c r="Q284" s="50"/>
      <c r="R284" s="65"/>
      <c r="S284" s="50"/>
      <c r="T284" s="65"/>
      <c r="U284" s="50"/>
      <c r="V284" s="65"/>
      <c r="W284" s="50"/>
      <c r="X284" s="65"/>
      <c r="Y284" s="50"/>
      <c r="Z284" s="65"/>
      <c r="AA284" s="50"/>
      <c r="AB284" s="65"/>
      <c r="AC284" s="50"/>
      <c r="AD284" s="65"/>
      <c r="AE284" s="50"/>
      <c r="AF284" s="65"/>
      <c r="AG284" s="50"/>
      <c r="AH284" s="65"/>
      <c r="AI284" s="50"/>
      <c r="AJ284" s="65"/>
      <c r="AK284" s="50"/>
      <c r="AL284" s="56"/>
      <c r="AM284" s="51"/>
    </row>
    <row r="285" spans="4:39" s="53" customFormat="1">
      <c r="D285" s="65"/>
      <c r="E285" s="50"/>
      <c r="F285" s="65"/>
      <c r="G285" s="50"/>
      <c r="H285" s="65"/>
      <c r="I285" s="50"/>
      <c r="J285" s="65"/>
      <c r="K285" s="50"/>
      <c r="L285" s="65"/>
      <c r="M285" s="50"/>
      <c r="N285" s="65"/>
      <c r="O285" s="50"/>
      <c r="P285" s="65"/>
      <c r="Q285" s="50"/>
      <c r="R285" s="65"/>
      <c r="S285" s="50"/>
      <c r="T285" s="65"/>
      <c r="U285" s="50"/>
      <c r="V285" s="65"/>
      <c r="W285" s="50"/>
      <c r="X285" s="65"/>
      <c r="Y285" s="50"/>
      <c r="Z285" s="65"/>
      <c r="AA285" s="50"/>
      <c r="AB285" s="65"/>
      <c r="AC285" s="50"/>
      <c r="AD285" s="65"/>
      <c r="AE285" s="50"/>
      <c r="AF285" s="65"/>
      <c r="AG285" s="50"/>
      <c r="AH285" s="65"/>
      <c r="AI285" s="50"/>
      <c r="AJ285" s="65"/>
      <c r="AK285" s="50"/>
      <c r="AL285" s="56"/>
      <c r="AM285" s="51"/>
    </row>
    <row r="286" spans="4:39" s="53" customFormat="1">
      <c r="D286" s="65"/>
      <c r="E286" s="50"/>
      <c r="F286" s="65"/>
      <c r="G286" s="50"/>
      <c r="H286" s="65"/>
      <c r="I286" s="50"/>
      <c r="J286" s="65"/>
      <c r="K286" s="50"/>
      <c r="L286" s="65"/>
      <c r="M286" s="50"/>
      <c r="N286" s="65"/>
      <c r="O286" s="50"/>
      <c r="P286" s="65"/>
      <c r="Q286" s="50"/>
      <c r="R286" s="65"/>
      <c r="S286" s="50"/>
      <c r="T286" s="65"/>
      <c r="U286" s="50"/>
      <c r="V286" s="65"/>
      <c r="W286" s="50"/>
      <c r="X286" s="65"/>
      <c r="Y286" s="50"/>
      <c r="Z286" s="65"/>
      <c r="AA286" s="50"/>
      <c r="AB286" s="65"/>
      <c r="AC286" s="50"/>
      <c r="AD286" s="65"/>
      <c r="AE286" s="50"/>
      <c r="AF286" s="65"/>
      <c r="AG286" s="50"/>
      <c r="AH286" s="65"/>
      <c r="AI286" s="50"/>
      <c r="AJ286" s="65"/>
      <c r="AK286" s="50"/>
      <c r="AL286" s="56"/>
      <c r="AM286" s="51"/>
    </row>
    <row r="287" spans="4:39" s="53" customFormat="1">
      <c r="D287" s="65"/>
      <c r="E287" s="50"/>
      <c r="F287" s="65"/>
      <c r="G287" s="50"/>
      <c r="H287" s="65"/>
      <c r="I287" s="50"/>
      <c r="J287" s="65"/>
      <c r="K287" s="50"/>
      <c r="L287" s="65"/>
      <c r="M287" s="50"/>
      <c r="N287" s="65"/>
      <c r="O287" s="50"/>
      <c r="P287" s="65"/>
      <c r="Q287" s="50"/>
      <c r="R287" s="65"/>
      <c r="S287" s="50"/>
      <c r="T287" s="65"/>
      <c r="U287" s="50"/>
      <c r="V287" s="65"/>
      <c r="W287" s="50"/>
      <c r="X287" s="65"/>
      <c r="Y287" s="50"/>
      <c r="Z287" s="65"/>
      <c r="AA287" s="50"/>
      <c r="AB287" s="65"/>
      <c r="AC287" s="50"/>
      <c r="AD287" s="65"/>
      <c r="AE287" s="50"/>
      <c r="AF287" s="65"/>
      <c r="AG287" s="50"/>
      <c r="AH287" s="65"/>
      <c r="AI287" s="50"/>
      <c r="AJ287" s="65"/>
      <c r="AK287" s="50"/>
      <c r="AL287" s="56"/>
      <c r="AM287" s="51"/>
    </row>
    <row r="288" spans="4:39" s="53" customFormat="1">
      <c r="D288" s="65"/>
      <c r="E288" s="50"/>
      <c r="F288" s="65"/>
      <c r="G288" s="50"/>
      <c r="H288" s="65"/>
      <c r="I288" s="50"/>
      <c r="J288" s="65"/>
      <c r="K288" s="50"/>
      <c r="L288" s="65"/>
      <c r="M288" s="50"/>
      <c r="N288" s="65"/>
      <c r="O288" s="50"/>
      <c r="P288" s="65"/>
      <c r="Q288" s="50"/>
      <c r="R288" s="65"/>
      <c r="S288" s="50"/>
      <c r="T288" s="65"/>
      <c r="U288" s="50"/>
      <c r="V288" s="65"/>
      <c r="W288" s="50"/>
      <c r="X288" s="65"/>
      <c r="Y288" s="50"/>
      <c r="Z288" s="65"/>
      <c r="AA288" s="50"/>
      <c r="AB288" s="65"/>
      <c r="AC288" s="50"/>
      <c r="AD288" s="65"/>
      <c r="AE288" s="50"/>
      <c r="AF288" s="65"/>
      <c r="AG288" s="50"/>
      <c r="AH288" s="65"/>
      <c r="AI288" s="50"/>
      <c r="AJ288" s="65"/>
      <c r="AK288" s="50"/>
      <c r="AL288" s="56"/>
      <c r="AM288" s="51"/>
    </row>
    <row r="289" spans="4:39" s="53" customFormat="1">
      <c r="D289" s="65"/>
      <c r="E289" s="50"/>
      <c r="F289" s="65"/>
      <c r="G289" s="50"/>
      <c r="H289" s="65"/>
      <c r="I289" s="50"/>
      <c r="J289" s="65"/>
      <c r="K289" s="50"/>
      <c r="L289" s="65"/>
      <c r="M289" s="50"/>
      <c r="N289" s="65"/>
      <c r="O289" s="50"/>
      <c r="P289" s="65"/>
      <c r="Q289" s="50"/>
      <c r="R289" s="65"/>
      <c r="S289" s="50"/>
      <c r="T289" s="65"/>
      <c r="U289" s="50"/>
      <c r="V289" s="65"/>
      <c r="W289" s="50"/>
      <c r="X289" s="65"/>
      <c r="Y289" s="50"/>
      <c r="Z289" s="65"/>
      <c r="AA289" s="50"/>
      <c r="AB289" s="65"/>
      <c r="AC289" s="50"/>
      <c r="AD289" s="65"/>
      <c r="AE289" s="50"/>
      <c r="AF289" s="65"/>
      <c r="AG289" s="50"/>
      <c r="AH289" s="65"/>
      <c r="AI289" s="50"/>
      <c r="AJ289" s="65"/>
      <c r="AK289" s="50"/>
      <c r="AL289" s="56"/>
      <c r="AM289" s="51"/>
    </row>
    <row r="290" spans="4:39" s="53" customFormat="1">
      <c r="D290" s="65"/>
      <c r="E290" s="50"/>
      <c r="F290" s="65"/>
      <c r="G290" s="50"/>
      <c r="H290" s="65"/>
      <c r="I290" s="50"/>
      <c r="J290" s="65"/>
      <c r="K290" s="50"/>
      <c r="L290" s="65"/>
      <c r="M290" s="50"/>
      <c r="N290" s="65"/>
      <c r="O290" s="50"/>
      <c r="P290" s="65"/>
      <c r="Q290" s="50"/>
      <c r="R290" s="65"/>
      <c r="S290" s="50"/>
      <c r="T290" s="65"/>
      <c r="U290" s="50"/>
      <c r="V290" s="65"/>
      <c r="W290" s="50"/>
      <c r="X290" s="65"/>
      <c r="Y290" s="50"/>
      <c r="Z290" s="65"/>
      <c r="AA290" s="50"/>
      <c r="AB290" s="65"/>
      <c r="AC290" s="50"/>
      <c r="AD290" s="65"/>
      <c r="AE290" s="50"/>
      <c r="AF290" s="65"/>
      <c r="AG290" s="50"/>
      <c r="AH290" s="65"/>
      <c r="AI290" s="50"/>
      <c r="AJ290" s="65"/>
      <c r="AK290" s="50"/>
      <c r="AL290" s="56"/>
      <c r="AM290" s="51"/>
    </row>
    <row r="291" spans="4:39" s="53" customFormat="1">
      <c r="D291" s="65"/>
      <c r="E291" s="50"/>
      <c r="F291" s="65"/>
      <c r="G291" s="50"/>
      <c r="H291" s="65"/>
      <c r="I291" s="50"/>
      <c r="J291" s="65"/>
      <c r="K291" s="50"/>
      <c r="L291" s="65"/>
      <c r="M291" s="50"/>
      <c r="N291" s="65"/>
      <c r="O291" s="50"/>
      <c r="P291" s="65"/>
      <c r="Q291" s="50"/>
      <c r="R291" s="65"/>
      <c r="S291" s="50"/>
      <c r="T291" s="65"/>
      <c r="U291" s="50"/>
      <c r="V291" s="65"/>
      <c r="W291" s="50"/>
      <c r="X291" s="65"/>
      <c r="Y291" s="50"/>
      <c r="Z291" s="65"/>
      <c r="AA291" s="50"/>
      <c r="AB291" s="65"/>
      <c r="AC291" s="50"/>
      <c r="AD291" s="65"/>
      <c r="AE291" s="50"/>
      <c r="AF291" s="65"/>
      <c r="AG291" s="50"/>
      <c r="AH291" s="65"/>
      <c r="AI291" s="50"/>
      <c r="AJ291" s="65"/>
      <c r="AK291" s="50"/>
      <c r="AL291" s="56"/>
      <c r="AM291" s="51"/>
    </row>
    <row r="292" spans="4:39" s="53" customFormat="1">
      <c r="D292" s="65"/>
      <c r="E292" s="50"/>
      <c r="F292" s="65"/>
      <c r="G292" s="50"/>
      <c r="H292" s="65"/>
      <c r="I292" s="50"/>
      <c r="J292" s="65"/>
      <c r="K292" s="50"/>
      <c r="L292" s="65"/>
      <c r="M292" s="50"/>
      <c r="N292" s="65"/>
      <c r="O292" s="50"/>
      <c r="P292" s="65"/>
      <c r="Q292" s="50"/>
      <c r="R292" s="65"/>
      <c r="S292" s="50"/>
      <c r="T292" s="65"/>
      <c r="U292" s="50"/>
      <c r="V292" s="65"/>
      <c r="W292" s="50"/>
      <c r="X292" s="65"/>
      <c r="Y292" s="50"/>
      <c r="Z292" s="65"/>
      <c r="AA292" s="50"/>
      <c r="AB292" s="65"/>
      <c r="AC292" s="50"/>
      <c r="AD292" s="65"/>
      <c r="AE292" s="50"/>
      <c r="AF292" s="65"/>
      <c r="AG292" s="50"/>
      <c r="AH292" s="65"/>
      <c r="AI292" s="50"/>
      <c r="AJ292" s="65"/>
      <c r="AK292" s="50"/>
      <c r="AL292" s="56"/>
      <c r="AM292" s="51"/>
    </row>
    <row r="293" spans="4:39" s="53" customFormat="1">
      <c r="D293" s="65"/>
      <c r="E293" s="50"/>
      <c r="F293" s="65"/>
      <c r="G293" s="50"/>
      <c r="H293" s="65"/>
      <c r="I293" s="50"/>
      <c r="J293" s="65"/>
      <c r="K293" s="50"/>
      <c r="L293" s="65"/>
      <c r="M293" s="50"/>
      <c r="N293" s="65"/>
      <c r="O293" s="50"/>
      <c r="P293" s="65"/>
      <c r="Q293" s="50"/>
      <c r="R293" s="65"/>
      <c r="S293" s="50"/>
      <c r="T293" s="65"/>
      <c r="U293" s="50"/>
      <c r="V293" s="65"/>
      <c r="W293" s="50"/>
      <c r="X293" s="65"/>
      <c r="Y293" s="50"/>
      <c r="Z293" s="65"/>
      <c r="AA293" s="50"/>
      <c r="AB293" s="65"/>
      <c r="AC293" s="50"/>
      <c r="AD293" s="65"/>
      <c r="AE293" s="50"/>
      <c r="AF293" s="65"/>
      <c r="AG293" s="50"/>
      <c r="AH293" s="65"/>
      <c r="AI293" s="50"/>
      <c r="AJ293" s="65"/>
      <c r="AK293" s="50"/>
      <c r="AL293" s="56"/>
      <c r="AM293" s="51"/>
    </row>
    <row r="294" spans="4:39" s="53" customFormat="1">
      <c r="D294" s="65"/>
      <c r="E294" s="50"/>
      <c r="F294" s="65"/>
      <c r="G294" s="50"/>
      <c r="H294" s="65"/>
      <c r="I294" s="50"/>
      <c r="J294" s="65"/>
      <c r="K294" s="50"/>
      <c r="L294" s="65"/>
      <c r="M294" s="50"/>
      <c r="N294" s="65"/>
      <c r="O294" s="50"/>
      <c r="P294" s="65"/>
      <c r="Q294" s="50"/>
      <c r="R294" s="65"/>
      <c r="S294" s="50"/>
      <c r="T294" s="65"/>
      <c r="U294" s="50"/>
      <c r="V294" s="65"/>
      <c r="W294" s="50"/>
      <c r="X294" s="65"/>
      <c r="Y294" s="50"/>
      <c r="Z294" s="65"/>
      <c r="AA294" s="50"/>
      <c r="AB294" s="65"/>
      <c r="AC294" s="50"/>
      <c r="AD294" s="65"/>
      <c r="AE294" s="50"/>
      <c r="AF294" s="65"/>
      <c r="AG294" s="50"/>
      <c r="AH294" s="65"/>
      <c r="AI294" s="50"/>
      <c r="AJ294" s="65"/>
      <c r="AK294" s="50"/>
      <c r="AL294" s="56"/>
      <c r="AM294" s="51"/>
    </row>
    <row r="295" spans="4:39" s="53" customFormat="1">
      <c r="D295" s="65"/>
      <c r="E295" s="50"/>
      <c r="F295" s="65"/>
      <c r="G295" s="50"/>
      <c r="H295" s="65"/>
      <c r="I295" s="50"/>
      <c r="J295" s="65"/>
      <c r="K295" s="50"/>
      <c r="L295" s="65"/>
      <c r="M295" s="50"/>
      <c r="N295" s="65"/>
      <c r="O295" s="50"/>
      <c r="P295" s="65"/>
      <c r="Q295" s="50"/>
      <c r="R295" s="65"/>
      <c r="S295" s="50"/>
      <c r="T295" s="65"/>
      <c r="U295" s="50"/>
      <c r="V295" s="65"/>
      <c r="W295" s="50"/>
      <c r="X295" s="65"/>
      <c r="Y295" s="50"/>
      <c r="Z295" s="65"/>
      <c r="AA295" s="50"/>
      <c r="AB295" s="65"/>
      <c r="AC295" s="50"/>
      <c r="AD295" s="65"/>
      <c r="AE295" s="50"/>
      <c r="AF295" s="65"/>
      <c r="AG295" s="50"/>
      <c r="AH295" s="65"/>
      <c r="AI295" s="50"/>
      <c r="AJ295" s="65"/>
      <c r="AK295" s="50"/>
      <c r="AL295" s="56"/>
      <c r="AM295" s="51"/>
    </row>
    <row r="296" spans="4:39" s="53" customFormat="1">
      <c r="D296" s="65"/>
      <c r="E296" s="50"/>
      <c r="F296" s="65"/>
      <c r="G296" s="50"/>
      <c r="H296" s="65"/>
      <c r="I296" s="50"/>
      <c r="J296" s="65"/>
      <c r="K296" s="50"/>
      <c r="L296" s="65"/>
      <c r="M296" s="50"/>
      <c r="N296" s="65"/>
      <c r="O296" s="50"/>
      <c r="P296" s="65"/>
      <c r="Q296" s="50"/>
      <c r="R296" s="65"/>
      <c r="S296" s="50"/>
      <c r="T296" s="65"/>
      <c r="U296" s="50"/>
      <c r="V296" s="65"/>
      <c r="W296" s="50"/>
      <c r="X296" s="65"/>
      <c r="Y296" s="50"/>
      <c r="Z296" s="65"/>
      <c r="AA296" s="50"/>
      <c r="AB296" s="65"/>
      <c r="AC296" s="50"/>
      <c r="AD296" s="65"/>
      <c r="AE296" s="50"/>
      <c r="AF296" s="65"/>
      <c r="AG296" s="50"/>
      <c r="AH296" s="65"/>
      <c r="AI296" s="50"/>
      <c r="AJ296" s="65"/>
      <c r="AK296" s="50"/>
      <c r="AL296" s="56"/>
      <c r="AM296" s="51"/>
    </row>
    <row r="297" spans="4:39" s="53" customFormat="1">
      <c r="D297" s="65"/>
      <c r="E297" s="50"/>
      <c r="F297" s="65"/>
      <c r="G297" s="50"/>
      <c r="H297" s="65"/>
      <c r="I297" s="50"/>
      <c r="J297" s="65"/>
      <c r="K297" s="50"/>
      <c r="L297" s="65"/>
      <c r="M297" s="50"/>
      <c r="N297" s="65"/>
      <c r="O297" s="50"/>
      <c r="P297" s="65"/>
      <c r="Q297" s="50"/>
      <c r="R297" s="65"/>
      <c r="S297" s="50"/>
      <c r="T297" s="65"/>
      <c r="U297" s="50"/>
      <c r="V297" s="65"/>
      <c r="W297" s="50"/>
      <c r="X297" s="65"/>
      <c r="Y297" s="50"/>
      <c r="Z297" s="65"/>
      <c r="AA297" s="50"/>
      <c r="AB297" s="65"/>
      <c r="AC297" s="50"/>
      <c r="AD297" s="65"/>
      <c r="AE297" s="50"/>
      <c r="AF297" s="65"/>
      <c r="AG297" s="50"/>
      <c r="AH297" s="65"/>
      <c r="AI297" s="50"/>
      <c r="AJ297" s="65"/>
      <c r="AK297" s="50"/>
      <c r="AL297" s="56"/>
      <c r="AM297" s="51"/>
    </row>
    <row r="298" spans="4:39" s="53" customFormat="1">
      <c r="D298" s="65"/>
      <c r="E298" s="50"/>
      <c r="F298" s="65"/>
      <c r="G298" s="50"/>
      <c r="H298" s="65"/>
      <c r="I298" s="50"/>
      <c r="J298" s="65"/>
      <c r="K298" s="50"/>
      <c r="L298" s="65"/>
      <c r="M298" s="50"/>
      <c r="N298" s="65"/>
      <c r="O298" s="50"/>
      <c r="P298" s="65"/>
      <c r="Q298" s="50"/>
      <c r="R298" s="65"/>
      <c r="S298" s="50"/>
      <c r="T298" s="65"/>
      <c r="U298" s="50"/>
      <c r="V298" s="65"/>
      <c r="W298" s="50"/>
      <c r="X298" s="65"/>
      <c r="Y298" s="50"/>
      <c r="Z298" s="65"/>
      <c r="AA298" s="50"/>
      <c r="AB298" s="65"/>
      <c r="AC298" s="50"/>
      <c r="AD298" s="65"/>
      <c r="AE298" s="50"/>
      <c r="AF298" s="65"/>
      <c r="AG298" s="50"/>
      <c r="AH298" s="65"/>
      <c r="AI298" s="50"/>
      <c r="AJ298" s="65"/>
      <c r="AK298" s="50"/>
      <c r="AL298" s="56"/>
      <c r="AM298" s="51"/>
    </row>
    <row r="299" spans="4:39" s="53" customFormat="1">
      <c r="D299" s="65"/>
      <c r="E299" s="50"/>
      <c r="F299" s="65"/>
      <c r="G299" s="50"/>
      <c r="H299" s="65"/>
      <c r="I299" s="50"/>
      <c r="J299" s="65"/>
      <c r="K299" s="50"/>
      <c r="L299" s="65"/>
      <c r="M299" s="50"/>
      <c r="N299" s="65"/>
      <c r="O299" s="50"/>
      <c r="P299" s="65"/>
      <c r="Q299" s="50"/>
      <c r="R299" s="65"/>
      <c r="S299" s="50"/>
      <c r="T299" s="65"/>
      <c r="U299" s="50"/>
      <c r="V299" s="65"/>
      <c r="W299" s="50"/>
      <c r="X299" s="65"/>
      <c r="Y299" s="50"/>
      <c r="Z299" s="65"/>
      <c r="AA299" s="50"/>
      <c r="AB299" s="65"/>
      <c r="AC299" s="50"/>
      <c r="AD299" s="65"/>
      <c r="AE299" s="50"/>
      <c r="AF299" s="65"/>
      <c r="AG299" s="50"/>
      <c r="AH299" s="65"/>
      <c r="AI299" s="50"/>
      <c r="AJ299" s="65"/>
      <c r="AK299" s="50"/>
      <c r="AL299" s="56"/>
      <c r="AM299" s="51"/>
    </row>
    <row r="300" spans="4:39" s="53" customFormat="1">
      <c r="D300" s="65"/>
      <c r="E300" s="50"/>
      <c r="F300" s="65"/>
      <c r="G300" s="50"/>
      <c r="H300" s="65"/>
      <c r="I300" s="50"/>
      <c r="J300" s="65"/>
      <c r="K300" s="50"/>
      <c r="L300" s="65"/>
      <c r="M300" s="50"/>
      <c r="N300" s="65"/>
      <c r="O300" s="50"/>
      <c r="P300" s="65"/>
      <c r="Q300" s="50"/>
      <c r="R300" s="65"/>
      <c r="S300" s="50"/>
      <c r="T300" s="65"/>
      <c r="U300" s="50"/>
      <c r="V300" s="65"/>
      <c r="W300" s="50"/>
      <c r="X300" s="65"/>
      <c r="Y300" s="50"/>
      <c r="Z300" s="65"/>
      <c r="AA300" s="50"/>
      <c r="AB300" s="65"/>
      <c r="AC300" s="50"/>
      <c r="AD300" s="65"/>
      <c r="AE300" s="50"/>
      <c r="AF300" s="65"/>
      <c r="AG300" s="50"/>
      <c r="AH300" s="65"/>
      <c r="AI300" s="50"/>
      <c r="AJ300" s="65"/>
      <c r="AK300" s="50"/>
      <c r="AL300" s="56"/>
      <c r="AM300" s="51"/>
    </row>
    <row r="301" spans="4:39" s="53" customFormat="1">
      <c r="D301" s="65"/>
      <c r="E301" s="50"/>
      <c r="F301" s="65"/>
      <c r="G301" s="50"/>
      <c r="H301" s="65"/>
      <c r="I301" s="50"/>
      <c r="J301" s="65"/>
      <c r="K301" s="50"/>
      <c r="L301" s="65"/>
      <c r="M301" s="50"/>
      <c r="N301" s="65"/>
      <c r="O301" s="50"/>
      <c r="P301" s="65"/>
      <c r="Q301" s="50"/>
      <c r="R301" s="65"/>
      <c r="S301" s="50"/>
      <c r="T301" s="65"/>
      <c r="U301" s="50"/>
      <c r="V301" s="65"/>
      <c r="W301" s="50"/>
      <c r="X301" s="65"/>
      <c r="Y301" s="50"/>
      <c r="Z301" s="65"/>
      <c r="AA301" s="50"/>
      <c r="AB301" s="65"/>
      <c r="AC301" s="50"/>
      <c r="AD301" s="65"/>
      <c r="AE301" s="50"/>
      <c r="AF301" s="65"/>
      <c r="AG301" s="50"/>
      <c r="AH301" s="65"/>
      <c r="AI301" s="50"/>
      <c r="AJ301" s="65"/>
      <c r="AK301" s="50"/>
      <c r="AL301" s="56"/>
      <c r="AM301" s="51"/>
    </row>
    <row r="302" spans="4:39" s="53" customFormat="1">
      <c r="D302" s="65"/>
      <c r="E302" s="50"/>
      <c r="F302" s="65"/>
      <c r="G302" s="50"/>
      <c r="H302" s="65"/>
      <c r="I302" s="50"/>
      <c r="J302" s="65"/>
      <c r="K302" s="50"/>
      <c r="L302" s="65"/>
      <c r="M302" s="50"/>
      <c r="N302" s="65"/>
      <c r="O302" s="50"/>
      <c r="P302" s="65"/>
      <c r="Q302" s="50"/>
      <c r="R302" s="65"/>
      <c r="S302" s="50"/>
      <c r="T302" s="65"/>
      <c r="U302" s="50"/>
      <c r="V302" s="65"/>
      <c r="W302" s="50"/>
      <c r="X302" s="65"/>
      <c r="Y302" s="50"/>
      <c r="Z302" s="65"/>
      <c r="AA302" s="50"/>
      <c r="AB302" s="65"/>
      <c r="AC302" s="50"/>
      <c r="AD302" s="65"/>
      <c r="AE302" s="50"/>
      <c r="AF302" s="65"/>
      <c r="AG302" s="50"/>
      <c r="AH302" s="65"/>
      <c r="AI302" s="50"/>
      <c r="AJ302" s="65"/>
      <c r="AK302" s="50"/>
      <c r="AL302" s="56"/>
      <c r="AM302" s="51"/>
    </row>
    <row r="303" spans="4:39" s="53" customFormat="1">
      <c r="D303" s="65"/>
      <c r="E303" s="50"/>
      <c r="F303" s="65"/>
      <c r="G303" s="50"/>
      <c r="H303" s="65"/>
      <c r="I303" s="50"/>
      <c r="J303" s="65"/>
      <c r="K303" s="50"/>
      <c r="L303" s="65"/>
      <c r="M303" s="50"/>
      <c r="N303" s="65"/>
      <c r="O303" s="50"/>
      <c r="P303" s="65"/>
      <c r="Q303" s="50"/>
      <c r="R303" s="65"/>
      <c r="S303" s="50"/>
      <c r="T303" s="65"/>
      <c r="U303" s="50"/>
      <c r="V303" s="65"/>
      <c r="W303" s="50"/>
      <c r="X303" s="65"/>
      <c r="Y303" s="50"/>
      <c r="Z303" s="65"/>
      <c r="AA303" s="50"/>
      <c r="AB303" s="65"/>
      <c r="AC303" s="50"/>
      <c r="AD303" s="65"/>
      <c r="AE303" s="50"/>
      <c r="AF303" s="65"/>
      <c r="AG303" s="50"/>
      <c r="AH303" s="65"/>
      <c r="AI303" s="50"/>
      <c r="AJ303" s="65"/>
      <c r="AK303" s="50"/>
      <c r="AL303" s="56"/>
      <c r="AM303" s="51"/>
    </row>
    <row r="304" spans="4:39" s="53" customFormat="1">
      <c r="D304" s="65"/>
      <c r="E304" s="50"/>
      <c r="F304" s="65"/>
      <c r="G304" s="50"/>
      <c r="H304" s="65"/>
      <c r="I304" s="50"/>
      <c r="J304" s="65"/>
      <c r="K304" s="50"/>
      <c r="L304" s="65"/>
      <c r="M304" s="50"/>
      <c r="N304" s="65"/>
      <c r="O304" s="50"/>
      <c r="P304" s="65"/>
      <c r="Q304" s="50"/>
      <c r="R304" s="65"/>
      <c r="S304" s="50"/>
      <c r="T304" s="65"/>
      <c r="U304" s="50"/>
      <c r="V304" s="65"/>
      <c r="W304" s="50"/>
      <c r="X304" s="65"/>
      <c r="Y304" s="50"/>
      <c r="Z304" s="65"/>
      <c r="AA304" s="50"/>
      <c r="AB304" s="65"/>
      <c r="AC304" s="50"/>
      <c r="AD304" s="65"/>
      <c r="AE304" s="50"/>
      <c r="AF304" s="65"/>
      <c r="AG304" s="50"/>
      <c r="AH304" s="65"/>
      <c r="AI304" s="50"/>
      <c r="AJ304" s="65"/>
      <c r="AK304" s="50"/>
      <c r="AL304" s="56"/>
      <c r="AM304" s="51"/>
    </row>
    <row r="305" spans="4:39" s="53" customFormat="1">
      <c r="D305" s="65"/>
      <c r="E305" s="50"/>
      <c r="F305" s="65"/>
      <c r="G305" s="50"/>
      <c r="H305" s="65"/>
      <c r="I305" s="50"/>
      <c r="J305" s="65"/>
      <c r="K305" s="50"/>
      <c r="L305" s="65"/>
      <c r="M305" s="50"/>
      <c r="N305" s="65"/>
      <c r="O305" s="50"/>
      <c r="P305" s="65"/>
      <c r="Q305" s="50"/>
      <c r="R305" s="65"/>
      <c r="S305" s="50"/>
      <c r="T305" s="65"/>
      <c r="U305" s="50"/>
      <c r="V305" s="65"/>
      <c r="W305" s="50"/>
      <c r="X305" s="65"/>
      <c r="Y305" s="50"/>
      <c r="Z305" s="65"/>
      <c r="AA305" s="50"/>
      <c r="AB305" s="65"/>
      <c r="AC305" s="50"/>
      <c r="AD305" s="65"/>
      <c r="AE305" s="50"/>
      <c r="AF305" s="65"/>
      <c r="AG305" s="50"/>
      <c r="AH305" s="65"/>
      <c r="AI305" s="50"/>
      <c r="AJ305" s="65"/>
      <c r="AK305" s="50"/>
      <c r="AL305" s="56"/>
      <c r="AM305" s="51"/>
    </row>
    <row r="306" spans="4:39" s="53" customFormat="1">
      <c r="D306" s="65"/>
      <c r="E306" s="50"/>
      <c r="F306" s="65"/>
      <c r="G306" s="50"/>
      <c r="H306" s="65"/>
      <c r="I306" s="50"/>
      <c r="J306" s="65"/>
      <c r="K306" s="50"/>
      <c r="L306" s="65"/>
      <c r="M306" s="50"/>
      <c r="N306" s="65"/>
      <c r="O306" s="50"/>
      <c r="P306" s="65"/>
      <c r="Q306" s="50"/>
      <c r="R306" s="65"/>
      <c r="S306" s="50"/>
      <c r="T306" s="65"/>
      <c r="U306" s="50"/>
      <c r="V306" s="65"/>
      <c r="W306" s="50"/>
      <c r="X306" s="65"/>
      <c r="Y306" s="50"/>
      <c r="Z306" s="65"/>
      <c r="AA306" s="50"/>
      <c r="AB306" s="65"/>
      <c r="AC306" s="50"/>
      <c r="AD306" s="65"/>
      <c r="AE306" s="50"/>
      <c r="AF306" s="65"/>
      <c r="AG306" s="50"/>
      <c r="AH306" s="65"/>
      <c r="AI306" s="50"/>
      <c r="AJ306" s="65"/>
      <c r="AK306" s="50"/>
      <c r="AL306" s="56"/>
      <c r="AM306" s="51"/>
    </row>
    <row r="307" spans="4:39" s="53" customFormat="1">
      <c r="D307" s="65"/>
      <c r="E307" s="50"/>
      <c r="F307" s="65"/>
      <c r="G307" s="50"/>
      <c r="H307" s="65"/>
      <c r="I307" s="50"/>
      <c r="J307" s="65"/>
      <c r="K307" s="50"/>
      <c r="L307" s="65"/>
      <c r="M307" s="50"/>
      <c r="N307" s="65"/>
      <c r="O307" s="50"/>
      <c r="P307" s="65"/>
      <c r="Q307" s="50"/>
      <c r="R307" s="65"/>
      <c r="S307" s="50"/>
      <c r="T307" s="65"/>
      <c r="U307" s="50"/>
      <c r="V307" s="65"/>
      <c r="W307" s="50"/>
      <c r="X307" s="65"/>
      <c r="Y307" s="50"/>
      <c r="Z307" s="65"/>
      <c r="AA307" s="50"/>
      <c r="AB307" s="65"/>
      <c r="AC307" s="50"/>
      <c r="AD307" s="65"/>
      <c r="AE307" s="50"/>
      <c r="AF307" s="65"/>
      <c r="AG307" s="50"/>
      <c r="AH307" s="65"/>
      <c r="AI307" s="50"/>
      <c r="AJ307" s="65"/>
      <c r="AK307" s="50"/>
      <c r="AL307" s="56"/>
      <c r="AM307" s="51"/>
    </row>
    <row r="308" spans="4:39" s="53" customFormat="1">
      <c r="D308" s="65"/>
      <c r="E308" s="50"/>
      <c r="F308" s="65"/>
      <c r="G308" s="50"/>
      <c r="H308" s="65"/>
      <c r="I308" s="50"/>
      <c r="J308" s="65"/>
      <c r="K308" s="50"/>
      <c r="L308" s="65"/>
      <c r="M308" s="50"/>
      <c r="N308" s="65"/>
      <c r="O308" s="50"/>
      <c r="P308" s="65"/>
      <c r="Q308" s="50"/>
      <c r="R308" s="65"/>
      <c r="S308" s="50"/>
      <c r="T308" s="65"/>
      <c r="U308" s="50"/>
      <c r="V308" s="65"/>
      <c r="W308" s="50"/>
      <c r="X308" s="65"/>
      <c r="Y308" s="50"/>
      <c r="Z308" s="65"/>
      <c r="AA308" s="50"/>
      <c r="AB308" s="65"/>
      <c r="AC308" s="50"/>
      <c r="AD308" s="65"/>
      <c r="AE308" s="50"/>
      <c r="AF308" s="65"/>
      <c r="AG308" s="50"/>
      <c r="AH308" s="65"/>
      <c r="AI308" s="50"/>
      <c r="AJ308" s="65"/>
      <c r="AK308" s="50"/>
      <c r="AL308" s="56"/>
      <c r="AM308" s="51"/>
    </row>
    <row r="309" spans="4:39" s="53" customFormat="1">
      <c r="D309" s="65"/>
      <c r="E309" s="50"/>
      <c r="F309" s="65"/>
      <c r="G309" s="50"/>
      <c r="H309" s="65"/>
      <c r="I309" s="50"/>
      <c r="J309" s="65"/>
      <c r="K309" s="50"/>
      <c r="L309" s="65"/>
      <c r="M309" s="50"/>
      <c r="N309" s="65"/>
      <c r="O309" s="50"/>
      <c r="P309" s="65"/>
      <c r="Q309" s="50"/>
      <c r="R309" s="65"/>
      <c r="S309" s="50"/>
      <c r="T309" s="65"/>
      <c r="U309" s="50"/>
      <c r="V309" s="65"/>
      <c r="W309" s="50"/>
      <c r="X309" s="65"/>
      <c r="Y309" s="50"/>
      <c r="Z309" s="65"/>
      <c r="AA309" s="50"/>
      <c r="AB309" s="65"/>
      <c r="AC309" s="50"/>
      <c r="AD309" s="65"/>
      <c r="AE309" s="50"/>
      <c r="AF309" s="65"/>
      <c r="AG309" s="50"/>
      <c r="AH309" s="65"/>
      <c r="AI309" s="50"/>
      <c r="AJ309" s="65"/>
      <c r="AK309" s="50"/>
      <c r="AL309" s="56"/>
      <c r="AM309" s="51"/>
    </row>
  </sheetData>
  <mergeCells count="65">
    <mergeCell ref="AF18:AO18"/>
    <mergeCell ref="C21:C22"/>
    <mergeCell ref="B21:B24"/>
    <mergeCell ref="D21:I21"/>
    <mergeCell ref="J21:O21"/>
    <mergeCell ref="P21:U21"/>
    <mergeCell ref="D23:E23"/>
    <mergeCell ref="F23:G23"/>
    <mergeCell ref="H23:I23"/>
    <mergeCell ref="J23:K23"/>
    <mergeCell ref="N24:O24"/>
    <mergeCell ref="P24:Q24"/>
    <mergeCell ref="D24:E24"/>
    <mergeCell ref="F24:G24"/>
    <mergeCell ref="H24:I24"/>
    <mergeCell ref="J24:K24"/>
    <mergeCell ref="L24:M24"/>
    <mergeCell ref="V21:AA21"/>
    <mergeCell ref="D22:E22"/>
    <mergeCell ref="F22:G22"/>
    <mergeCell ref="H22:I22"/>
    <mergeCell ref="J22:K22"/>
    <mergeCell ref="L22:M22"/>
    <mergeCell ref="N22:O22"/>
    <mergeCell ref="T22:U22"/>
    <mergeCell ref="P22:Q22"/>
    <mergeCell ref="R22:S22"/>
    <mergeCell ref="X23:Y23"/>
    <mergeCell ref="Z23:AA23"/>
    <mergeCell ref="V22:W22"/>
    <mergeCell ref="X22:Y22"/>
    <mergeCell ref="Z22:AA22"/>
    <mergeCell ref="P23:Q23"/>
    <mergeCell ref="R23:S23"/>
    <mergeCell ref="L23:M23"/>
    <mergeCell ref="T23:U23"/>
    <mergeCell ref="V23:W23"/>
    <mergeCell ref="N23:O23"/>
    <mergeCell ref="AD24:AE24"/>
    <mergeCell ref="X24:Y24"/>
    <mergeCell ref="Z24:AA24"/>
    <mergeCell ref="R24:S24"/>
    <mergeCell ref="T24:U24"/>
    <mergeCell ref="V24:W24"/>
    <mergeCell ref="AB24:AC24"/>
    <mergeCell ref="AF24:AG24"/>
    <mergeCell ref="AH22:AI22"/>
    <mergeCell ref="AF23:AG23"/>
    <mergeCell ref="AJ22:AK22"/>
    <mergeCell ref="AF22:AG22"/>
    <mergeCell ref="AB21:AG21"/>
    <mergeCell ref="AH23:AI23"/>
    <mergeCell ref="AJ23:AK23"/>
    <mergeCell ref="AB23:AC23"/>
    <mergeCell ref="AD23:AE23"/>
    <mergeCell ref="AB22:AC22"/>
    <mergeCell ref="AD22:AE22"/>
    <mergeCell ref="AN22:AN24"/>
    <mergeCell ref="AO21:AO24"/>
    <mergeCell ref="AP21:AP24"/>
    <mergeCell ref="AH21:AK21"/>
    <mergeCell ref="AL22:AL24"/>
    <mergeCell ref="AM22:AM24"/>
    <mergeCell ref="AH24:AI24"/>
    <mergeCell ref="AJ24:AK24"/>
  </mergeCells>
  <conditionalFormatting sqref="AD2:AD8 AL9 D1:D1048576 J1:J1048576 P1:P1048576 V2:V1048576 AB1:AB1048576">
    <cfRule type="cellIs" dxfId="26" priority="41" operator="lessThan">
      <formula>40</formula>
    </cfRule>
  </conditionalFormatting>
  <conditionalFormatting sqref="AF17 AR180:AR182 AJ17 AH17 AB1:AB8 V1:V8 AJ1:AJ15 F1:F15 AD1:AD17 AH1:AH15 AF1:AF15 T39:T41 H39:H41 F17:F1048576 L1:L1048576 N1:N1048576 X9:X1048576 Z1:Z1048576 AD19:AD1048576 AF19:AF1048576 AH19:AH1048576 AJ19:AJ1048576 R1:R1048576">
    <cfRule type="cellIs" dxfId="25" priority="40" operator="lessThan">
      <formula>10</formula>
    </cfRule>
  </conditionalFormatting>
  <conditionalFormatting sqref="AR180:AR182 H17 H1:H15 H19:H1048576 T1:T1048576">
    <cfRule type="cellIs" dxfId="24" priority="39" operator="lessThan">
      <formula>20</formula>
    </cfRule>
  </conditionalFormatting>
  <conditionalFormatting sqref="AO180:AO182 AQ180:AQ182 AS180:AS182 AK17 K17 G17 AI17 AG17 K1:K15 G1:G15 AI1:AI15 AC1:AC17 AE1:AE15 AG1:AG15 AK1:AK15 E1:E1048576 K19:K1048576 Q1:Q1048576 W1:W1048576 AC19:AC1048576 G19:G1048576 M1:M1048576 O1:O1048576 Y1:Y1048576 AA1:AA1048576 AE17:AE1048576 AG19:AG1048576 AI19:AI1048576 AK19:AK1048576 I1:I1048576 U1:U1048576 S1:S1048576">
    <cfRule type="cellIs" dxfId="23" priority="38" operator="equal">
      <formula>"F"</formula>
    </cfRule>
  </conditionalFormatting>
  <conditionalFormatting sqref="AO17 AO1:AO15 AO19:AO1048576">
    <cfRule type="cellIs" dxfId="22" priority="37" operator="equal">
      <formula>"FAIL"</formula>
    </cfRule>
  </conditionalFormatting>
  <conditionalFormatting sqref="AF17 AR180:AR182 AJ17 H17 AH17 AD1:AD17 AJ1:AJ15 H1:H15 F1:F15 AH1:AH15 AF1:AF15 AL9 D1:D1048576 F17:F1048576 L1:L1048576 N1:N1048576 X9:X1048576 Z1:Z1048576 AD19:AD1048576 AF19:AF1048576 AH19:AH1048576 AJ19:AJ1048576 H19:H1048576 T1:T1048576 R1:R1048576 J1:J1048576 P1:P1048576 V1:V1048576 AB1:AB1048576">
    <cfRule type="cellIs" dxfId="21" priority="36" operator="equal">
      <formula>"AB"</formula>
    </cfRule>
  </conditionalFormatting>
  <conditionalFormatting sqref="H42:H185">
    <cfRule type="cellIs" dxfId="20" priority="2" operator="lessThan">
      <formula>10</formula>
    </cfRule>
  </conditionalFormatting>
  <conditionalFormatting sqref="T42:T185">
    <cfRule type="cellIs" dxfId="19" priority="1" operator="lessThan">
      <formula>10</formula>
    </cfRule>
  </conditionalFormatting>
  <pageMargins left="0.56000000000000005" right="0.70866141732283472" top="1.3385826771653544" bottom="2.2834645669291338" header="0.43307086614173229" footer="0.70866141732283472"/>
  <pageSetup paperSize="8" orientation="landscape" r:id="rId1"/>
  <headerFooter>
    <oddHeader>&amp;C&amp;"-,Bold"&amp;16University of Mumbai
Atharva college of Engineering Malad(W),Mumbai -400095
               Statement of Marks for T.Y.B.E Semester-VI  May/June 2014 Examination         Branch :- Computer Engineering</oddHeader>
    <oddFooter>&amp;L               &amp;G</oddFooter>
  </headerFooter>
  <drawing r:id="rId2"/>
  <legacyDrawingHF r:id="rId3"/>
</worksheet>
</file>

<file path=xl/worksheets/sheet2.xml><?xml version="1.0" encoding="utf-8"?>
<worksheet xmlns="http://schemas.openxmlformats.org/spreadsheetml/2006/main" xmlns:r="http://schemas.openxmlformats.org/officeDocument/2006/relationships">
  <sheetPr codeName="Sheet2"/>
  <dimension ref="A1:J18"/>
  <sheetViews>
    <sheetView view="pageBreakPreview" zoomScale="70" zoomScaleSheetLayoutView="70" workbookViewId="0">
      <selection sqref="A1:J18"/>
    </sheetView>
  </sheetViews>
  <sheetFormatPr defaultRowHeight="15"/>
  <cols>
    <col min="1" max="1" width="6.42578125" customWidth="1"/>
    <col min="2" max="2" width="29.5703125" customWidth="1"/>
    <col min="3" max="3" width="17.28515625" customWidth="1"/>
    <col min="4" max="4" width="19" customWidth="1"/>
    <col min="5" max="5" width="9.140625" customWidth="1"/>
    <col min="6" max="6" width="8" customWidth="1"/>
    <col min="8" max="8" width="8.85546875" customWidth="1"/>
    <col min="9" max="9" width="11.28515625" customWidth="1"/>
    <col min="10" max="10" width="10.42578125" customWidth="1"/>
  </cols>
  <sheetData>
    <row r="1" spans="1:10" s="1" customFormat="1" ht="18.75">
      <c r="A1" s="95" t="s">
        <v>458</v>
      </c>
      <c r="B1" s="95"/>
      <c r="C1" s="95"/>
      <c r="D1" s="95"/>
      <c r="E1" s="95"/>
      <c r="F1" s="95"/>
      <c r="G1" s="95"/>
      <c r="H1" s="95"/>
      <c r="I1" s="95"/>
      <c r="J1" s="95"/>
    </row>
    <row r="2" spans="1:10" s="1" customFormat="1" ht="18.75">
      <c r="A2" s="95" t="s">
        <v>459</v>
      </c>
      <c r="B2" s="95"/>
      <c r="C2" s="95"/>
      <c r="D2" s="95"/>
      <c r="E2" s="95"/>
      <c r="F2" s="95"/>
      <c r="G2" s="95"/>
      <c r="H2" s="95"/>
      <c r="I2" s="95"/>
      <c r="J2" s="95"/>
    </row>
    <row r="3" spans="1:10" s="1" customFormat="1" ht="15.75">
      <c r="A3" s="19"/>
      <c r="B3" s="2"/>
    </row>
    <row r="4" spans="1:10" s="1" customFormat="1" ht="15.75">
      <c r="A4" s="19" t="s">
        <v>36</v>
      </c>
    </row>
    <row r="5" spans="1:10" s="1" customFormat="1"/>
    <row r="6" spans="1:10" s="4" customFormat="1" ht="81" customHeight="1">
      <c r="A6" s="3" t="s">
        <v>37</v>
      </c>
      <c r="B6" s="3" t="s">
        <v>38</v>
      </c>
      <c r="C6" s="3" t="s">
        <v>39</v>
      </c>
      <c r="D6" s="3" t="s">
        <v>40</v>
      </c>
      <c r="E6" s="3" t="s">
        <v>41</v>
      </c>
      <c r="F6" s="3" t="s">
        <v>42</v>
      </c>
      <c r="G6" s="3" t="s">
        <v>43</v>
      </c>
      <c r="H6" s="3" t="s">
        <v>44</v>
      </c>
      <c r="I6" s="3" t="s">
        <v>45</v>
      </c>
      <c r="J6" s="3" t="s">
        <v>46</v>
      </c>
    </row>
    <row r="7" spans="1:10" ht="34.5" customHeight="1">
      <c r="A7" s="22">
        <v>1</v>
      </c>
      <c r="B7" s="23" t="s">
        <v>63</v>
      </c>
      <c r="C7" s="70" t="s">
        <v>158</v>
      </c>
      <c r="D7" s="82" t="s">
        <v>462</v>
      </c>
      <c r="E7" s="21">
        <f>GAZET!D2</f>
        <v>156</v>
      </c>
      <c r="F7" s="21">
        <f>GAZET!D4</f>
        <v>146</v>
      </c>
      <c r="G7" s="20">
        <f>F7/E7</f>
        <v>0.9358974358974359</v>
      </c>
      <c r="H7" s="21">
        <f>GAZET!D8</f>
        <v>101</v>
      </c>
      <c r="I7" s="21">
        <f>F7-H7</f>
        <v>45</v>
      </c>
      <c r="J7" s="21" t="s">
        <v>47</v>
      </c>
    </row>
    <row r="8" spans="1:10" ht="45.75" customHeight="1">
      <c r="A8" s="22">
        <v>2</v>
      </c>
      <c r="B8" s="24" t="s">
        <v>64</v>
      </c>
      <c r="C8" s="70" t="s">
        <v>154</v>
      </c>
      <c r="D8" s="71" t="s">
        <v>157</v>
      </c>
      <c r="E8" s="21">
        <f>GAZET!J2</f>
        <v>154</v>
      </c>
      <c r="F8" s="21">
        <f>GAZET!J4</f>
        <v>152</v>
      </c>
      <c r="G8" s="20">
        <f t="shared" ref="G8:G11" si="0">F8/E8</f>
        <v>0.98701298701298701</v>
      </c>
      <c r="H8" s="21">
        <f>GAZET!J8</f>
        <v>76</v>
      </c>
      <c r="I8" s="21">
        <f t="shared" ref="I8:I10" si="1">F8-H8</f>
        <v>76</v>
      </c>
      <c r="J8" s="21" t="s">
        <v>47</v>
      </c>
    </row>
    <row r="9" spans="1:10" ht="47.25" customHeight="1">
      <c r="A9" s="22">
        <v>3</v>
      </c>
      <c r="B9" s="24" t="s">
        <v>65</v>
      </c>
      <c r="C9" s="71" t="s">
        <v>155</v>
      </c>
      <c r="D9" s="71" t="s">
        <v>69</v>
      </c>
      <c r="E9" s="21">
        <f>GAZET!P2</f>
        <v>155</v>
      </c>
      <c r="F9" s="21">
        <f>GAZET!P4</f>
        <v>150</v>
      </c>
      <c r="G9" s="20">
        <f t="shared" si="0"/>
        <v>0.967741935483871</v>
      </c>
      <c r="H9" s="21">
        <f>GAZET!P8</f>
        <v>104</v>
      </c>
      <c r="I9" s="21">
        <f t="shared" si="1"/>
        <v>46</v>
      </c>
      <c r="J9" s="21" t="s">
        <v>47</v>
      </c>
    </row>
    <row r="10" spans="1:10" ht="43.5" customHeight="1">
      <c r="A10" s="22">
        <v>4</v>
      </c>
      <c r="B10" s="24" t="s">
        <v>66</v>
      </c>
      <c r="C10" s="82" t="s">
        <v>156</v>
      </c>
      <c r="D10" s="82" t="s">
        <v>460</v>
      </c>
      <c r="E10" s="21">
        <f>GAZET!V2</f>
        <v>155</v>
      </c>
      <c r="F10" s="21">
        <f>GAZET!V4</f>
        <v>149</v>
      </c>
      <c r="G10" s="20">
        <f t="shared" si="0"/>
        <v>0.96129032258064517</v>
      </c>
      <c r="H10" s="21">
        <f>GAZET!V8</f>
        <v>108</v>
      </c>
      <c r="I10" s="21">
        <f t="shared" si="1"/>
        <v>41</v>
      </c>
      <c r="J10" s="21" t="s">
        <v>47</v>
      </c>
    </row>
    <row r="11" spans="1:10" ht="36.75" customHeight="1">
      <c r="A11" s="22">
        <v>5</v>
      </c>
      <c r="B11" s="24" t="s">
        <v>67</v>
      </c>
      <c r="C11" s="82" t="s">
        <v>461</v>
      </c>
      <c r="D11" s="71" t="s">
        <v>68</v>
      </c>
      <c r="E11" s="21">
        <f>GAZET!AB2</f>
        <v>155</v>
      </c>
      <c r="F11" s="21">
        <f>GAZET!AB4</f>
        <v>152</v>
      </c>
      <c r="G11" s="20">
        <f t="shared" si="0"/>
        <v>0.98064516129032253</v>
      </c>
      <c r="H11" s="21">
        <f>GAZET!AB8</f>
        <v>101</v>
      </c>
      <c r="I11" s="21">
        <f>GAZET!AB7</f>
        <v>51</v>
      </c>
      <c r="J11" s="21">
        <v>3</v>
      </c>
    </row>
    <row r="13" spans="1:10" ht="15.75">
      <c r="B13" s="18" t="s">
        <v>48</v>
      </c>
      <c r="C13" s="8">
        <f>GAZET!AP187</f>
        <v>157</v>
      </c>
      <c r="D13" s="5"/>
    </row>
    <row r="14" spans="1:10" ht="15.75">
      <c r="B14" s="18" t="s">
        <v>49</v>
      </c>
      <c r="C14" s="8">
        <f>GAZET!AP188</f>
        <v>140</v>
      </c>
      <c r="D14" s="5"/>
    </row>
    <row r="15" spans="1:10" ht="15.75">
      <c r="B15" s="18" t="s">
        <v>50</v>
      </c>
      <c r="C15" s="9">
        <f>GAZET!AP189</f>
        <v>0.89171974522292996</v>
      </c>
      <c r="D15" s="6"/>
    </row>
    <row r="16" spans="1:10" ht="15.75">
      <c r="B16" s="19" t="s">
        <v>77</v>
      </c>
      <c r="C16" s="1" t="s">
        <v>76</v>
      </c>
      <c r="E16" s="1"/>
    </row>
    <row r="17" spans="2:6" ht="15.75">
      <c r="B17" s="18" t="s">
        <v>78</v>
      </c>
      <c r="C17" s="7">
        <v>41843</v>
      </c>
    </row>
    <row r="18" spans="2:6">
      <c r="F18" t="s">
        <v>75</v>
      </c>
    </row>
  </sheetData>
  <mergeCells count="2">
    <mergeCell ref="A1:J1"/>
    <mergeCell ref="A2:J2"/>
  </mergeCells>
  <pageMargins left="0.7" right="0.7" top="0.75" bottom="0.75" header="0.3" footer="0.3"/>
  <pageSetup paperSize="9" scale="101" orientation="landscape" r:id="rId1"/>
  <headerFooter>
    <oddHeader>&amp;C&amp;18&amp;UUNIVERSITY OF MUMBAI</oddHeader>
  </headerFooter>
  <legacyDrawing r:id="rId2"/>
</worksheet>
</file>

<file path=xl/worksheets/sheet3.xml><?xml version="1.0" encoding="utf-8"?>
<worksheet xmlns="http://schemas.openxmlformats.org/spreadsheetml/2006/main" xmlns:r="http://schemas.openxmlformats.org/officeDocument/2006/relationships">
  <dimension ref="A1:AP18"/>
  <sheetViews>
    <sheetView workbookViewId="0">
      <selection activeCell="AP17" sqref="AP17"/>
    </sheetView>
  </sheetViews>
  <sheetFormatPr defaultColWidth="3.7109375" defaultRowHeight="15" customHeight="1"/>
  <cols>
    <col min="1" max="1" width="15.85546875" customWidth="1"/>
    <col min="2" max="2" width="29.140625" customWidth="1"/>
    <col min="37" max="37" width="9.85546875" customWidth="1"/>
    <col min="38" max="38" width="9.5703125" customWidth="1"/>
    <col min="39" max="39" width="10.42578125" customWidth="1"/>
    <col min="40" max="40" width="8" customWidth="1"/>
    <col min="41" max="41" width="6.7109375" customWidth="1"/>
    <col min="42" max="42" width="39.42578125" customWidth="1"/>
    <col min="43" max="43" width="4.85546875" customWidth="1"/>
  </cols>
  <sheetData>
    <row r="1" spans="1:42" ht="15" customHeight="1">
      <c r="A1" t="s">
        <v>92</v>
      </c>
      <c r="B1" t="s">
        <v>93</v>
      </c>
      <c r="C1" t="s">
        <v>94</v>
      </c>
      <c r="E1" t="s">
        <v>95</v>
      </c>
      <c r="G1" t="s">
        <v>96</v>
      </c>
      <c r="I1" t="s">
        <v>97</v>
      </c>
      <c r="K1" t="s">
        <v>98</v>
      </c>
      <c r="M1" t="s">
        <v>99</v>
      </c>
      <c r="O1" t="s">
        <v>100</v>
      </c>
      <c r="Q1" t="s">
        <v>101</v>
      </c>
      <c r="S1" t="s">
        <v>102</v>
      </c>
      <c r="U1" t="s">
        <v>103</v>
      </c>
      <c r="W1" t="s">
        <v>104</v>
      </c>
      <c r="Y1" t="s">
        <v>105</v>
      </c>
      <c r="AA1" t="s">
        <v>113</v>
      </c>
      <c r="AC1" t="s">
        <v>106</v>
      </c>
      <c r="AE1" t="s">
        <v>107</v>
      </c>
      <c r="AG1" t="s">
        <v>108</v>
      </c>
      <c r="AI1" t="s">
        <v>109</v>
      </c>
      <c r="AK1" t="s">
        <v>110</v>
      </c>
      <c r="AL1" t="s">
        <v>111</v>
      </c>
      <c r="AM1" t="s">
        <v>7</v>
      </c>
      <c r="AN1" t="s">
        <v>8</v>
      </c>
      <c r="AO1" t="s">
        <v>9</v>
      </c>
      <c r="AP1" t="s">
        <v>112</v>
      </c>
    </row>
    <row r="2" spans="1:42" ht="15" customHeight="1">
      <c r="A2" s="72">
        <v>236201</v>
      </c>
      <c r="B2" s="73" t="s">
        <v>128</v>
      </c>
      <c r="C2" s="59" t="s">
        <v>70</v>
      </c>
      <c r="D2" s="15" t="s">
        <v>86</v>
      </c>
      <c r="E2" s="64" t="s">
        <v>115</v>
      </c>
      <c r="F2" s="15" t="s">
        <v>90</v>
      </c>
      <c r="G2" s="64" t="s">
        <v>123</v>
      </c>
      <c r="H2" s="12" t="s">
        <v>90</v>
      </c>
      <c r="I2" s="59" t="s">
        <v>70</v>
      </c>
      <c r="J2" s="15" t="s">
        <v>86</v>
      </c>
      <c r="K2" s="64" t="s">
        <v>115</v>
      </c>
      <c r="L2" s="15" t="s">
        <v>90</v>
      </c>
      <c r="M2" s="64" t="s">
        <v>23</v>
      </c>
      <c r="N2" s="12" t="s">
        <v>90</v>
      </c>
      <c r="O2" s="59" t="s">
        <v>25</v>
      </c>
      <c r="P2" s="15" t="s">
        <v>90</v>
      </c>
      <c r="Q2" s="64" t="s">
        <v>115</v>
      </c>
      <c r="R2" s="15" t="s">
        <v>90</v>
      </c>
      <c r="S2" s="64" t="s">
        <v>123</v>
      </c>
      <c r="T2" s="12" t="s">
        <v>90</v>
      </c>
      <c r="U2" s="59" t="s">
        <v>117</v>
      </c>
      <c r="V2" s="15" t="s">
        <v>90</v>
      </c>
      <c r="W2" s="64" t="s">
        <v>115</v>
      </c>
      <c r="X2" s="15" t="s">
        <v>90</v>
      </c>
      <c r="Y2" s="64" t="s">
        <v>115</v>
      </c>
      <c r="Z2" s="12" t="s">
        <v>90</v>
      </c>
      <c r="AA2" s="59" t="s">
        <v>70</v>
      </c>
      <c r="AB2" s="12" t="s">
        <v>86</v>
      </c>
      <c r="AC2" s="64" t="s">
        <v>115</v>
      </c>
      <c r="AD2" s="12" t="s">
        <v>90</v>
      </c>
      <c r="AE2" s="64" t="s">
        <v>33</v>
      </c>
      <c r="AF2" s="12" t="s">
        <v>90</v>
      </c>
      <c r="AG2" s="64" t="s">
        <v>115</v>
      </c>
      <c r="AH2" s="15" t="s">
        <v>90</v>
      </c>
      <c r="AI2" s="64" t="s">
        <v>115</v>
      </c>
      <c r="AJ2" s="12" t="s">
        <v>90</v>
      </c>
      <c r="AK2" s="14">
        <v>382</v>
      </c>
      <c r="AL2" s="69">
        <v>0</v>
      </c>
      <c r="AM2" s="14">
        <v>382</v>
      </c>
      <c r="AN2" s="14" t="s">
        <v>91</v>
      </c>
      <c r="AO2" s="14" t="s">
        <v>70</v>
      </c>
      <c r="AP2" s="57" t="s">
        <v>159</v>
      </c>
    </row>
    <row r="3" spans="1:42" ht="15" customHeight="1">
      <c r="A3" s="72">
        <v>236202</v>
      </c>
      <c r="B3" s="73" t="s">
        <v>129</v>
      </c>
      <c r="C3" s="59" t="s">
        <v>117</v>
      </c>
      <c r="D3" s="12" t="s">
        <v>90</v>
      </c>
      <c r="E3" s="64" t="s">
        <v>115</v>
      </c>
      <c r="F3" s="12" t="s">
        <v>90</v>
      </c>
      <c r="G3" s="64" t="s">
        <v>25</v>
      </c>
      <c r="H3" s="12" t="s">
        <v>90</v>
      </c>
      <c r="I3" s="59">
        <v>45</v>
      </c>
      <c r="J3" s="12" t="s">
        <v>86</v>
      </c>
      <c r="K3" s="64" t="s">
        <v>115</v>
      </c>
      <c r="L3" s="12" t="s">
        <v>90</v>
      </c>
      <c r="M3" s="64" t="s">
        <v>120</v>
      </c>
      <c r="N3" s="12" t="s">
        <v>90</v>
      </c>
      <c r="O3" s="59" t="s">
        <v>34</v>
      </c>
      <c r="P3" s="12" t="s">
        <v>90</v>
      </c>
      <c r="Q3" s="64" t="s">
        <v>115</v>
      </c>
      <c r="R3" s="12" t="s">
        <v>90</v>
      </c>
      <c r="S3" s="64" t="s">
        <v>24</v>
      </c>
      <c r="T3" s="12" t="s">
        <v>90</v>
      </c>
      <c r="U3" s="59" t="s">
        <v>117</v>
      </c>
      <c r="V3" s="12" t="s">
        <v>90</v>
      </c>
      <c r="W3" s="64" t="s">
        <v>115</v>
      </c>
      <c r="X3" s="12" t="s">
        <v>90</v>
      </c>
      <c r="Y3" s="64" t="s">
        <v>120</v>
      </c>
      <c r="Z3" s="12" t="s">
        <v>90</v>
      </c>
      <c r="AA3" s="59">
        <v>52</v>
      </c>
      <c r="AB3" s="12" t="s">
        <v>86</v>
      </c>
      <c r="AC3" s="64" t="s">
        <v>115</v>
      </c>
      <c r="AD3" s="12" t="s">
        <v>90</v>
      </c>
      <c r="AE3" s="64" t="s">
        <v>120</v>
      </c>
      <c r="AF3" s="12" t="s">
        <v>90</v>
      </c>
      <c r="AG3" s="64" t="s">
        <v>115</v>
      </c>
      <c r="AH3" s="12" t="s">
        <v>90</v>
      </c>
      <c r="AI3" s="64" t="s">
        <v>115</v>
      </c>
      <c r="AJ3" s="12" t="s">
        <v>90</v>
      </c>
      <c r="AK3" s="14">
        <v>540</v>
      </c>
      <c r="AL3" s="69" t="s">
        <v>171</v>
      </c>
      <c r="AM3" s="14">
        <v>1016</v>
      </c>
      <c r="AN3" s="14" t="s">
        <v>87</v>
      </c>
      <c r="AO3" s="14" t="s">
        <v>89</v>
      </c>
      <c r="AP3" s="57" t="s">
        <v>175</v>
      </c>
    </row>
    <row r="4" spans="1:42" ht="15" customHeight="1">
      <c r="A4" s="72">
        <v>236203</v>
      </c>
      <c r="B4" s="73" t="s">
        <v>130</v>
      </c>
      <c r="C4" s="59" t="s">
        <v>117</v>
      </c>
      <c r="D4" s="12" t="s">
        <v>90</v>
      </c>
      <c r="E4" s="64" t="s">
        <v>115</v>
      </c>
      <c r="F4" s="12" t="s">
        <v>90</v>
      </c>
      <c r="G4" s="64" t="s">
        <v>114</v>
      </c>
      <c r="H4" s="12" t="s">
        <v>90</v>
      </c>
      <c r="I4" s="59">
        <v>45</v>
      </c>
      <c r="J4" s="12" t="s">
        <v>82</v>
      </c>
      <c r="K4" s="64" t="s">
        <v>115</v>
      </c>
      <c r="L4" s="12" t="s">
        <v>90</v>
      </c>
      <c r="M4" s="64" t="s">
        <v>120</v>
      </c>
      <c r="N4" s="12" t="s">
        <v>90</v>
      </c>
      <c r="O4" s="59">
        <v>6</v>
      </c>
      <c r="P4" s="12" t="s">
        <v>83</v>
      </c>
      <c r="Q4" s="64" t="s">
        <v>115</v>
      </c>
      <c r="R4" s="12" t="s">
        <v>90</v>
      </c>
      <c r="S4" s="64" t="s">
        <v>25</v>
      </c>
      <c r="T4" s="12" t="s">
        <v>90</v>
      </c>
      <c r="U4" s="59">
        <v>14</v>
      </c>
      <c r="V4" s="12" t="s">
        <v>83</v>
      </c>
      <c r="W4" s="64" t="s">
        <v>115</v>
      </c>
      <c r="X4" s="12" t="s">
        <v>90</v>
      </c>
      <c r="Y4" s="64" t="s">
        <v>115</v>
      </c>
      <c r="Z4" s="12" t="s">
        <v>90</v>
      </c>
      <c r="AA4" s="59" t="s">
        <v>117</v>
      </c>
      <c r="AB4" s="12" t="s">
        <v>90</v>
      </c>
      <c r="AC4" s="64" t="s">
        <v>115</v>
      </c>
      <c r="AD4" s="12" t="s">
        <v>90</v>
      </c>
      <c r="AE4" s="64" t="s">
        <v>35</v>
      </c>
      <c r="AF4" s="12" t="s">
        <v>90</v>
      </c>
      <c r="AG4" s="64" t="s">
        <v>115</v>
      </c>
      <c r="AH4" s="12" t="s">
        <v>90</v>
      </c>
      <c r="AI4" s="64" t="s">
        <v>115</v>
      </c>
      <c r="AJ4" s="12" t="s">
        <v>90</v>
      </c>
      <c r="AK4" s="14">
        <v>462</v>
      </c>
      <c r="AL4" s="69">
        <v>0</v>
      </c>
      <c r="AM4" s="14">
        <v>462</v>
      </c>
      <c r="AN4" s="14" t="s">
        <v>84</v>
      </c>
      <c r="AO4" s="14" t="s">
        <v>85</v>
      </c>
      <c r="AP4" s="57" t="s">
        <v>161</v>
      </c>
    </row>
    <row r="5" spans="1:42" ht="15" customHeight="1">
      <c r="A5" s="72">
        <v>236204</v>
      </c>
      <c r="B5" s="73" t="s">
        <v>131</v>
      </c>
      <c r="C5" s="59" t="s">
        <v>117</v>
      </c>
      <c r="D5" s="12" t="s">
        <v>90</v>
      </c>
      <c r="E5" s="64" t="s">
        <v>115</v>
      </c>
      <c r="F5" s="12" t="s">
        <v>90</v>
      </c>
      <c r="G5" s="64" t="s">
        <v>24</v>
      </c>
      <c r="H5" s="12" t="s">
        <v>90</v>
      </c>
      <c r="I5" s="59">
        <v>62</v>
      </c>
      <c r="J5" s="12" t="s">
        <v>86</v>
      </c>
      <c r="K5" s="64" t="s">
        <v>115</v>
      </c>
      <c r="L5" s="12" t="s">
        <v>90</v>
      </c>
      <c r="M5" s="64" t="s">
        <v>35</v>
      </c>
      <c r="N5" s="12" t="s">
        <v>90</v>
      </c>
      <c r="O5" s="59" t="s">
        <v>118</v>
      </c>
      <c r="P5" s="12" t="s">
        <v>90</v>
      </c>
      <c r="Q5" s="64" t="s">
        <v>115</v>
      </c>
      <c r="R5" s="12" t="s">
        <v>90</v>
      </c>
      <c r="S5" s="64" t="s">
        <v>24</v>
      </c>
      <c r="T5" s="12" t="s">
        <v>90</v>
      </c>
      <c r="U5" s="59" t="s">
        <v>119</v>
      </c>
      <c r="V5" s="12" t="s">
        <v>90</v>
      </c>
      <c r="W5" s="64" t="s">
        <v>115</v>
      </c>
      <c r="X5" s="12" t="s">
        <v>90</v>
      </c>
      <c r="Y5" s="64" t="s">
        <v>120</v>
      </c>
      <c r="Z5" s="12" t="s">
        <v>90</v>
      </c>
      <c r="AA5" s="59" t="s">
        <v>118</v>
      </c>
      <c r="AB5" s="12" t="s">
        <v>90</v>
      </c>
      <c r="AC5" s="64" t="s">
        <v>115</v>
      </c>
      <c r="AD5" s="12" t="s">
        <v>90</v>
      </c>
      <c r="AE5" s="64" t="s">
        <v>35</v>
      </c>
      <c r="AF5" s="12" t="s">
        <v>90</v>
      </c>
      <c r="AG5" s="64" t="s">
        <v>115</v>
      </c>
      <c r="AH5" s="12" t="s">
        <v>90</v>
      </c>
      <c r="AI5" s="64" t="s">
        <v>124</v>
      </c>
      <c r="AJ5" s="12" t="s">
        <v>90</v>
      </c>
      <c r="AK5" s="14">
        <v>543</v>
      </c>
      <c r="AL5" s="69" t="s">
        <v>143</v>
      </c>
      <c r="AM5" s="14">
        <v>1056</v>
      </c>
      <c r="AN5" s="14" t="s">
        <v>87</v>
      </c>
      <c r="AO5" s="14" t="s">
        <v>89</v>
      </c>
      <c r="AP5" s="57" t="s">
        <v>162</v>
      </c>
    </row>
    <row r="6" spans="1:42" ht="15" customHeight="1">
      <c r="A6" s="72">
        <v>236205</v>
      </c>
      <c r="B6" s="73" t="s">
        <v>132</v>
      </c>
      <c r="C6" s="59">
        <v>17</v>
      </c>
      <c r="D6" s="12" t="s">
        <v>83</v>
      </c>
      <c r="E6" s="64" t="s">
        <v>32</v>
      </c>
      <c r="F6" s="12" t="s">
        <v>90</v>
      </c>
      <c r="G6" s="64" t="s">
        <v>123</v>
      </c>
      <c r="H6" s="12" t="s">
        <v>90</v>
      </c>
      <c r="I6" s="59">
        <v>44</v>
      </c>
      <c r="J6" s="12" t="s">
        <v>82</v>
      </c>
      <c r="K6" s="64" t="s">
        <v>32</v>
      </c>
      <c r="L6" s="12" t="s">
        <v>90</v>
      </c>
      <c r="M6" s="64" t="s">
        <v>23</v>
      </c>
      <c r="N6" s="12" t="s">
        <v>90</v>
      </c>
      <c r="O6" s="59" t="s">
        <v>117</v>
      </c>
      <c r="P6" s="12" t="s">
        <v>90</v>
      </c>
      <c r="Q6" s="64" t="s">
        <v>32</v>
      </c>
      <c r="R6" s="12" t="s">
        <v>90</v>
      </c>
      <c r="S6" s="64" t="s">
        <v>123</v>
      </c>
      <c r="T6" s="12" t="s">
        <v>90</v>
      </c>
      <c r="U6" s="59">
        <v>7</v>
      </c>
      <c r="V6" s="12" t="s">
        <v>83</v>
      </c>
      <c r="W6" s="64" t="s">
        <v>23</v>
      </c>
      <c r="X6" s="12" t="s">
        <v>90</v>
      </c>
      <c r="Y6" s="64" t="s">
        <v>35</v>
      </c>
      <c r="Z6" s="12" t="s">
        <v>90</v>
      </c>
      <c r="AA6" s="59" t="s">
        <v>24</v>
      </c>
      <c r="AB6" s="12" t="s">
        <v>90</v>
      </c>
      <c r="AC6" s="64" t="s">
        <v>32</v>
      </c>
      <c r="AD6" s="12" t="s">
        <v>90</v>
      </c>
      <c r="AE6" s="64" t="s">
        <v>23</v>
      </c>
      <c r="AF6" s="12" t="s">
        <v>90</v>
      </c>
      <c r="AG6" s="64" t="s">
        <v>23</v>
      </c>
      <c r="AH6" s="12" t="s">
        <v>90</v>
      </c>
      <c r="AI6" s="64" t="s">
        <v>35</v>
      </c>
      <c r="AJ6" s="12" t="s">
        <v>90</v>
      </c>
      <c r="AK6" s="14">
        <v>424</v>
      </c>
      <c r="AL6" s="69">
        <v>0</v>
      </c>
      <c r="AM6" s="14">
        <v>424</v>
      </c>
      <c r="AN6" s="14" t="s">
        <v>84</v>
      </c>
      <c r="AO6" s="14" t="s">
        <v>85</v>
      </c>
      <c r="AP6" s="57" t="s">
        <v>163</v>
      </c>
    </row>
    <row r="7" spans="1:42" ht="15" customHeight="1">
      <c r="A7" s="72">
        <v>236206</v>
      </c>
      <c r="B7" s="73" t="s">
        <v>133</v>
      </c>
      <c r="C7" s="59">
        <v>49</v>
      </c>
      <c r="D7" s="12" t="s">
        <v>86</v>
      </c>
      <c r="E7" s="64" t="s">
        <v>32</v>
      </c>
      <c r="F7" s="12" t="s">
        <v>90</v>
      </c>
      <c r="G7" s="64" t="s">
        <v>114</v>
      </c>
      <c r="H7" s="12" t="s">
        <v>90</v>
      </c>
      <c r="I7" s="59" t="s">
        <v>126</v>
      </c>
      <c r="J7" s="12" t="s">
        <v>90</v>
      </c>
      <c r="K7" s="64" t="s">
        <v>35</v>
      </c>
      <c r="L7" s="12" t="s">
        <v>90</v>
      </c>
      <c r="M7" s="64" t="s">
        <v>115</v>
      </c>
      <c r="N7" s="12" t="s">
        <v>90</v>
      </c>
      <c r="O7" s="59" t="s">
        <v>144</v>
      </c>
      <c r="P7" s="12" t="s">
        <v>90</v>
      </c>
      <c r="Q7" s="64" t="s">
        <v>32</v>
      </c>
      <c r="R7" s="12" t="s">
        <v>90</v>
      </c>
      <c r="S7" s="64" t="s">
        <v>114</v>
      </c>
      <c r="T7" s="12" t="s">
        <v>90</v>
      </c>
      <c r="U7" s="59" t="s">
        <v>126</v>
      </c>
      <c r="V7" s="12" t="s">
        <v>90</v>
      </c>
      <c r="W7" s="64" t="s">
        <v>23</v>
      </c>
      <c r="X7" s="12" t="s">
        <v>90</v>
      </c>
      <c r="Y7" s="64" t="s">
        <v>35</v>
      </c>
      <c r="Z7" s="12" t="s">
        <v>90</v>
      </c>
      <c r="AA7" s="59" t="s">
        <v>117</v>
      </c>
      <c r="AB7" s="12" t="s">
        <v>90</v>
      </c>
      <c r="AC7" s="64" t="s">
        <v>32</v>
      </c>
      <c r="AD7" s="12" t="s">
        <v>90</v>
      </c>
      <c r="AE7" s="64" t="s">
        <v>120</v>
      </c>
      <c r="AF7" s="12" t="s">
        <v>90</v>
      </c>
      <c r="AG7" s="64" t="s">
        <v>23</v>
      </c>
      <c r="AH7" s="12" t="s">
        <v>90</v>
      </c>
      <c r="AI7" s="64" t="s">
        <v>23</v>
      </c>
      <c r="AJ7" s="12" t="s">
        <v>90</v>
      </c>
      <c r="AK7" s="14">
        <v>532</v>
      </c>
      <c r="AL7" s="69" t="s">
        <v>145</v>
      </c>
      <c r="AM7" s="14">
        <v>1050</v>
      </c>
      <c r="AN7" s="14" t="s">
        <v>87</v>
      </c>
      <c r="AO7" s="14" t="s">
        <v>89</v>
      </c>
      <c r="AP7" s="57" t="s">
        <v>164</v>
      </c>
    </row>
    <row r="8" spans="1:42" ht="15" customHeight="1">
      <c r="A8" s="72">
        <v>236207</v>
      </c>
      <c r="B8" s="73" t="s">
        <v>134</v>
      </c>
      <c r="C8" s="59" t="s">
        <v>117</v>
      </c>
      <c r="D8" s="12" t="s">
        <v>90</v>
      </c>
      <c r="E8" s="64" t="s">
        <v>115</v>
      </c>
      <c r="F8" s="12" t="s">
        <v>90</v>
      </c>
      <c r="G8" s="64" t="s">
        <v>25</v>
      </c>
      <c r="H8" s="12" t="s">
        <v>90</v>
      </c>
      <c r="I8" s="59">
        <v>41</v>
      </c>
      <c r="J8" s="12" t="s">
        <v>86</v>
      </c>
      <c r="K8" s="64" t="s">
        <v>115</v>
      </c>
      <c r="L8" s="12" t="s">
        <v>90</v>
      </c>
      <c r="M8" s="64" t="s">
        <v>120</v>
      </c>
      <c r="N8" s="12" t="s">
        <v>90</v>
      </c>
      <c r="O8" s="59" t="s">
        <v>114</v>
      </c>
      <c r="P8" s="12" t="s">
        <v>90</v>
      </c>
      <c r="Q8" s="64" t="s">
        <v>115</v>
      </c>
      <c r="R8" s="12" t="s">
        <v>90</v>
      </c>
      <c r="S8" s="64" t="s">
        <v>24</v>
      </c>
      <c r="T8" s="12" t="s">
        <v>90</v>
      </c>
      <c r="U8" s="59" t="s">
        <v>116</v>
      </c>
      <c r="V8" s="12" t="s">
        <v>90</v>
      </c>
      <c r="W8" s="64" t="s">
        <v>115</v>
      </c>
      <c r="X8" s="12" t="s">
        <v>90</v>
      </c>
      <c r="Y8" s="64" t="s">
        <v>120</v>
      </c>
      <c r="Z8" s="12" t="s">
        <v>90</v>
      </c>
      <c r="AA8" s="59" t="s">
        <v>146</v>
      </c>
      <c r="AB8" s="12" t="s">
        <v>90</v>
      </c>
      <c r="AC8" s="64" t="s">
        <v>115</v>
      </c>
      <c r="AD8" s="12" t="s">
        <v>90</v>
      </c>
      <c r="AE8" s="64" t="s">
        <v>120</v>
      </c>
      <c r="AF8" s="12" t="s">
        <v>90</v>
      </c>
      <c r="AG8" s="64" t="s">
        <v>115</v>
      </c>
      <c r="AH8" s="12" t="s">
        <v>90</v>
      </c>
      <c r="AI8" s="64" t="s">
        <v>115</v>
      </c>
      <c r="AJ8" s="12" t="s">
        <v>90</v>
      </c>
      <c r="AK8" s="14">
        <v>536</v>
      </c>
      <c r="AL8" s="69" t="s">
        <v>172</v>
      </c>
      <c r="AM8" s="14">
        <v>1045</v>
      </c>
      <c r="AN8" s="14" t="s">
        <v>87</v>
      </c>
      <c r="AO8" s="14" t="s">
        <v>89</v>
      </c>
      <c r="AP8" s="57" t="s">
        <v>176</v>
      </c>
    </row>
    <row r="9" spans="1:42" ht="15" customHeight="1">
      <c r="A9" s="72">
        <v>236208</v>
      </c>
      <c r="B9" s="74" t="s">
        <v>135</v>
      </c>
      <c r="C9" s="59" t="s">
        <v>70</v>
      </c>
      <c r="D9" s="12" t="s">
        <v>86</v>
      </c>
      <c r="E9" s="64" t="s">
        <v>23</v>
      </c>
      <c r="F9" s="12" t="s">
        <v>90</v>
      </c>
      <c r="G9" s="64" t="s">
        <v>25</v>
      </c>
      <c r="H9" s="12" t="s">
        <v>90</v>
      </c>
      <c r="I9" s="59" t="s">
        <v>70</v>
      </c>
      <c r="J9" s="12" t="s">
        <v>86</v>
      </c>
      <c r="K9" s="64" t="s">
        <v>28</v>
      </c>
      <c r="L9" s="12" t="s">
        <v>90</v>
      </c>
      <c r="M9" s="64" t="s">
        <v>28</v>
      </c>
      <c r="N9" s="12" t="s">
        <v>90</v>
      </c>
      <c r="O9" s="59" t="s">
        <v>70</v>
      </c>
      <c r="P9" s="12" t="s">
        <v>86</v>
      </c>
      <c r="Q9" s="64" t="s">
        <v>29</v>
      </c>
      <c r="R9" s="12" t="s">
        <v>90</v>
      </c>
      <c r="S9" s="64" t="s">
        <v>30</v>
      </c>
      <c r="T9" s="12" t="s">
        <v>90</v>
      </c>
      <c r="U9" s="59" t="s">
        <v>70</v>
      </c>
      <c r="V9" s="12" t="s">
        <v>86</v>
      </c>
      <c r="W9" s="64" t="s">
        <v>23</v>
      </c>
      <c r="X9" s="12" t="s">
        <v>90</v>
      </c>
      <c r="Y9" s="64" t="s">
        <v>33</v>
      </c>
      <c r="Z9" s="12" t="s">
        <v>90</v>
      </c>
      <c r="AA9" s="59">
        <v>6</v>
      </c>
      <c r="AB9" s="12" t="s">
        <v>83</v>
      </c>
      <c r="AC9" s="64" t="s">
        <v>33</v>
      </c>
      <c r="AD9" s="12" t="s">
        <v>90</v>
      </c>
      <c r="AE9" s="64" t="s">
        <v>27</v>
      </c>
      <c r="AF9" s="12" t="s">
        <v>90</v>
      </c>
      <c r="AG9" s="64" t="s">
        <v>23</v>
      </c>
      <c r="AH9" s="12" t="s">
        <v>90</v>
      </c>
      <c r="AI9" s="64" t="s">
        <v>23</v>
      </c>
      <c r="AJ9" s="12" t="s">
        <v>90</v>
      </c>
      <c r="AK9" s="14">
        <v>259</v>
      </c>
      <c r="AL9" s="69">
        <v>0</v>
      </c>
      <c r="AM9" s="14">
        <v>259</v>
      </c>
      <c r="AN9" s="14" t="s">
        <v>84</v>
      </c>
      <c r="AO9" s="14" t="s">
        <v>85</v>
      </c>
      <c r="AP9" s="57" t="s">
        <v>165</v>
      </c>
    </row>
    <row r="10" spans="1:42" ht="15" customHeight="1">
      <c r="A10" s="72">
        <v>236209</v>
      </c>
      <c r="B10" s="73" t="s">
        <v>136</v>
      </c>
      <c r="C10" s="59" t="s">
        <v>117</v>
      </c>
      <c r="D10" s="12" t="s">
        <v>90</v>
      </c>
      <c r="E10" s="64" t="s">
        <v>115</v>
      </c>
      <c r="F10" s="12" t="s">
        <v>90</v>
      </c>
      <c r="G10" s="64" t="s">
        <v>24</v>
      </c>
      <c r="H10" s="12" t="s">
        <v>90</v>
      </c>
      <c r="I10" s="59" t="s">
        <v>117</v>
      </c>
      <c r="J10" s="12" t="s">
        <v>90</v>
      </c>
      <c r="K10" s="64" t="s">
        <v>115</v>
      </c>
      <c r="L10" s="12" t="s">
        <v>90</v>
      </c>
      <c r="M10" s="64" t="s">
        <v>35</v>
      </c>
      <c r="N10" s="12" t="s">
        <v>90</v>
      </c>
      <c r="O10" s="59" t="s">
        <v>118</v>
      </c>
      <c r="P10" s="12" t="s">
        <v>90</v>
      </c>
      <c r="Q10" s="64" t="s">
        <v>115</v>
      </c>
      <c r="R10" s="12" t="s">
        <v>90</v>
      </c>
      <c r="S10" s="64" t="s">
        <v>24</v>
      </c>
      <c r="T10" s="12" t="s">
        <v>90</v>
      </c>
      <c r="U10" s="59" t="s">
        <v>146</v>
      </c>
      <c r="V10" s="12" t="s">
        <v>90</v>
      </c>
      <c r="W10" s="64" t="s">
        <v>115</v>
      </c>
      <c r="X10" s="12" t="s">
        <v>90</v>
      </c>
      <c r="Y10" s="64" t="s">
        <v>120</v>
      </c>
      <c r="Z10" s="12" t="s">
        <v>90</v>
      </c>
      <c r="AA10" s="59">
        <v>55</v>
      </c>
      <c r="AB10" s="12" t="s">
        <v>86</v>
      </c>
      <c r="AC10" s="64" t="s">
        <v>115</v>
      </c>
      <c r="AD10" s="12" t="s">
        <v>90</v>
      </c>
      <c r="AE10" s="64" t="s">
        <v>32</v>
      </c>
      <c r="AF10" s="12" t="s">
        <v>90</v>
      </c>
      <c r="AG10" s="64" t="s">
        <v>115</v>
      </c>
      <c r="AH10" s="12" t="s">
        <v>90</v>
      </c>
      <c r="AI10" s="64" t="s">
        <v>115</v>
      </c>
      <c r="AJ10" s="12" t="s">
        <v>90</v>
      </c>
      <c r="AK10" s="14">
        <v>534</v>
      </c>
      <c r="AL10" s="69" t="s">
        <v>173</v>
      </c>
      <c r="AM10" s="14">
        <v>1009</v>
      </c>
      <c r="AN10" s="14" t="s">
        <v>87</v>
      </c>
      <c r="AO10" s="14" t="s">
        <v>89</v>
      </c>
      <c r="AP10" s="57" t="s">
        <v>177</v>
      </c>
    </row>
    <row r="11" spans="1:42" ht="15" customHeight="1">
      <c r="A11" s="72">
        <v>236210</v>
      </c>
      <c r="B11" s="73" t="s">
        <v>137</v>
      </c>
      <c r="C11" s="59" t="s">
        <v>117</v>
      </c>
      <c r="D11" s="12" t="s">
        <v>90</v>
      </c>
      <c r="E11" s="64" t="s">
        <v>35</v>
      </c>
      <c r="F11" s="12" t="s">
        <v>90</v>
      </c>
      <c r="G11" s="64" t="s">
        <v>24</v>
      </c>
      <c r="H11" s="12" t="s">
        <v>90</v>
      </c>
      <c r="I11" s="59" t="s">
        <v>118</v>
      </c>
      <c r="J11" s="12" t="s">
        <v>90</v>
      </c>
      <c r="K11" s="64" t="s">
        <v>35</v>
      </c>
      <c r="L11" s="12" t="s">
        <v>90</v>
      </c>
      <c r="M11" s="64" t="s">
        <v>35</v>
      </c>
      <c r="N11" s="12" t="s">
        <v>90</v>
      </c>
      <c r="O11" s="59" t="s">
        <v>26</v>
      </c>
      <c r="P11" s="12" t="s">
        <v>90</v>
      </c>
      <c r="Q11" s="64" t="s">
        <v>35</v>
      </c>
      <c r="R11" s="12" t="s">
        <v>90</v>
      </c>
      <c r="S11" s="64" t="s">
        <v>24</v>
      </c>
      <c r="T11" s="12" t="s">
        <v>90</v>
      </c>
      <c r="U11" s="59" t="s">
        <v>119</v>
      </c>
      <c r="V11" s="12" t="s">
        <v>90</v>
      </c>
      <c r="W11" s="64" t="s">
        <v>35</v>
      </c>
      <c r="X11" s="12" t="s">
        <v>90</v>
      </c>
      <c r="Y11" s="64" t="s">
        <v>35</v>
      </c>
      <c r="Z11" s="12" t="s">
        <v>90</v>
      </c>
      <c r="AA11" s="59">
        <v>68</v>
      </c>
      <c r="AB11" s="12" t="s">
        <v>86</v>
      </c>
      <c r="AC11" s="64" t="s">
        <v>35</v>
      </c>
      <c r="AD11" s="12" t="s">
        <v>90</v>
      </c>
      <c r="AE11" s="64" t="s">
        <v>23</v>
      </c>
      <c r="AF11" s="12" t="s">
        <v>90</v>
      </c>
      <c r="AG11" s="64" t="s">
        <v>35</v>
      </c>
      <c r="AH11" s="12" t="s">
        <v>90</v>
      </c>
      <c r="AI11" s="64" t="s">
        <v>35</v>
      </c>
      <c r="AJ11" s="12" t="s">
        <v>90</v>
      </c>
      <c r="AK11" s="14">
        <v>539</v>
      </c>
      <c r="AL11" s="69" t="s">
        <v>153</v>
      </c>
      <c r="AM11" s="14">
        <v>1000</v>
      </c>
      <c r="AN11" s="14" t="s">
        <v>87</v>
      </c>
      <c r="AO11" s="14" t="s">
        <v>89</v>
      </c>
      <c r="AP11" s="57" t="s">
        <v>166</v>
      </c>
    </row>
    <row r="12" spans="1:42" ht="15" customHeight="1">
      <c r="A12" s="72">
        <v>236211</v>
      </c>
      <c r="B12" s="73" t="s">
        <v>21</v>
      </c>
      <c r="C12" s="59" t="s">
        <v>127</v>
      </c>
      <c r="D12" s="12" t="s">
        <v>90</v>
      </c>
      <c r="E12" s="64" t="s">
        <v>33</v>
      </c>
      <c r="F12" s="12" t="s">
        <v>90</v>
      </c>
      <c r="G12" s="64" t="s">
        <v>117</v>
      </c>
      <c r="H12" s="12" t="s">
        <v>90</v>
      </c>
      <c r="I12" s="59" t="s">
        <v>117</v>
      </c>
      <c r="J12" s="12" t="s">
        <v>90</v>
      </c>
      <c r="K12" s="64" t="s">
        <v>33</v>
      </c>
      <c r="L12" s="12" t="s">
        <v>90</v>
      </c>
      <c r="M12" s="64" t="s">
        <v>31</v>
      </c>
      <c r="N12" s="12" t="s">
        <v>90</v>
      </c>
      <c r="O12" s="59">
        <v>52</v>
      </c>
      <c r="P12" s="12" t="s">
        <v>86</v>
      </c>
      <c r="Q12" s="64" t="s">
        <v>33</v>
      </c>
      <c r="R12" s="12" t="s">
        <v>90</v>
      </c>
      <c r="S12" s="64" t="s">
        <v>117</v>
      </c>
      <c r="T12" s="12" t="s">
        <v>90</v>
      </c>
      <c r="U12" s="59" t="s">
        <v>25</v>
      </c>
      <c r="V12" s="12" t="s">
        <v>90</v>
      </c>
      <c r="W12" s="64" t="s">
        <v>33</v>
      </c>
      <c r="X12" s="12" t="s">
        <v>90</v>
      </c>
      <c r="Y12" s="64" t="s">
        <v>32</v>
      </c>
      <c r="Z12" s="12" t="s">
        <v>90</v>
      </c>
      <c r="AA12" s="59" t="s">
        <v>118</v>
      </c>
      <c r="AB12" s="12" t="s">
        <v>90</v>
      </c>
      <c r="AC12" s="64" t="s">
        <v>120</v>
      </c>
      <c r="AD12" s="12" t="s">
        <v>90</v>
      </c>
      <c r="AE12" s="64" t="s">
        <v>35</v>
      </c>
      <c r="AF12" s="12" t="s">
        <v>90</v>
      </c>
      <c r="AG12" s="64" t="s">
        <v>32</v>
      </c>
      <c r="AH12" s="12" t="s">
        <v>90</v>
      </c>
      <c r="AI12" s="64" t="s">
        <v>35</v>
      </c>
      <c r="AJ12" s="12" t="s">
        <v>90</v>
      </c>
      <c r="AK12" s="14">
        <v>500</v>
      </c>
      <c r="AL12" s="69">
        <v>0</v>
      </c>
      <c r="AM12" s="14">
        <v>500</v>
      </c>
      <c r="AN12" s="14" t="s">
        <v>87</v>
      </c>
      <c r="AO12" s="14" t="s">
        <v>88</v>
      </c>
      <c r="AP12" s="57" t="s">
        <v>167</v>
      </c>
    </row>
    <row r="13" spans="1:42" ht="15" customHeight="1">
      <c r="A13" s="72">
        <v>236212</v>
      </c>
      <c r="B13" s="73" t="s">
        <v>138</v>
      </c>
      <c r="C13" s="59" t="s">
        <v>114</v>
      </c>
      <c r="D13" s="12" t="s">
        <v>90</v>
      </c>
      <c r="E13" s="64" t="s">
        <v>32</v>
      </c>
      <c r="F13" s="12" t="s">
        <v>90</v>
      </c>
      <c r="G13" s="64" t="s">
        <v>123</v>
      </c>
      <c r="H13" s="12" t="s">
        <v>90</v>
      </c>
      <c r="I13" s="59">
        <v>46</v>
      </c>
      <c r="J13" s="12" t="s">
        <v>86</v>
      </c>
      <c r="K13" s="64" t="s">
        <v>23</v>
      </c>
      <c r="L13" s="12" t="s">
        <v>90</v>
      </c>
      <c r="M13" s="64" t="s">
        <v>32</v>
      </c>
      <c r="N13" s="12" t="s">
        <v>90</v>
      </c>
      <c r="O13" s="59" t="s">
        <v>126</v>
      </c>
      <c r="P13" s="12" t="s">
        <v>90</v>
      </c>
      <c r="Q13" s="64" t="s">
        <v>35</v>
      </c>
      <c r="R13" s="12" t="s">
        <v>90</v>
      </c>
      <c r="S13" s="64" t="s">
        <v>123</v>
      </c>
      <c r="T13" s="12" t="s">
        <v>90</v>
      </c>
      <c r="U13" s="59">
        <v>50</v>
      </c>
      <c r="V13" s="12" t="s">
        <v>86</v>
      </c>
      <c r="W13" s="64" t="s">
        <v>120</v>
      </c>
      <c r="X13" s="12" t="s">
        <v>90</v>
      </c>
      <c r="Y13" s="64" t="s">
        <v>35</v>
      </c>
      <c r="Z13" s="12" t="s">
        <v>90</v>
      </c>
      <c r="AA13" s="59" t="s">
        <v>118</v>
      </c>
      <c r="AB13" s="12" t="s">
        <v>90</v>
      </c>
      <c r="AC13" s="64" t="s">
        <v>35</v>
      </c>
      <c r="AD13" s="12" t="s">
        <v>90</v>
      </c>
      <c r="AE13" s="64" t="s">
        <v>35</v>
      </c>
      <c r="AF13" s="12" t="s">
        <v>90</v>
      </c>
      <c r="AG13" s="64" t="s">
        <v>120</v>
      </c>
      <c r="AH13" s="12" t="s">
        <v>90</v>
      </c>
      <c r="AI13" s="64" t="s">
        <v>35</v>
      </c>
      <c r="AJ13" s="12" t="s">
        <v>90</v>
      </c>
      <c r="AK13" s="14">
        <v>513</v>
      </c>
      <c r="AL13" s="69" t="s">
        <v>147</v>
      </c>
      <c r="AM13" s="14">
        <v>994</v>
      </c>
      <c r="AN13" s="14" t="s">
        <v>87</v>
      </c>
      <c r="AO13" s="14" t="s">
        <v>89</v>
      </c>
      <c r="AP13" s="57" t="s">
        <v>168</v>
      </c>
    </row>
    <row r="14" spans="1:42" ht="15" customHeight="1">
      <c r="A14" s="72">
        <v>236213</v>
      </c>
      <c r="B14" s="73" t="s">
        <v>22</v>
      </c>
      <c r="C14" s="59" t="s">
        <v>116</v>
      </c>
      <c r="D14" s="12" t="s">
        <v>90</v>
      </c>
      <c r="E14" s="64" t="s">
        <v>115</v>
      </c>
      <c r="F14" s="12" t="s">
        <v>90</v>
      </c>
      <c r="G14" s="64" t="s">
        <v>121</v>
      </c>
      <c r="H14" s="12" t="s">
        <v>90</v>
      </c>
      <c r="I14" s="59">
        <v>55</v>
      </c>
      <c r="J14" s="12" t="s">
        <v>86</v>
      </c>
      <c r="K14" s="64" t="s">
        <v>120</v>
      </c>
      <c r="L14" s="12" t="s">
        <v>90</v>
      </c>
      <c r="M14" s="64" t="s">
        <v>23</v>
      </c>
      <c r="N14" s="12" t="s">
        <v>90</v>
      </c>
      <c r="O14" s="59" t="s">
        <v>117</v>
      </c>
      <c r="P14" s="12" t="s">
        <v>90</v>
      </c>
      <c r="Q14" s="64" t="s">
        <v>115</v>
      </c>
      <c r="R14" s="12" t="s">
        <v>90</v>
      </c>
      <c r="S14" s="64" t="s">
        <v>30</v>
      </c>
      <c r="T14" s="12" t="s">
        <v>90</v>
      </c>
      <c r="U14" s="59" t="s">
        <v>25</v>
      </c>
      <c r="V14" s="12" t="s">
        <v>90</v>
      </c>
      <c r="W14" s="64" t="s">
        <v>115</v>
      </c>
      <c r="X14" s="12" t="s">
        <v>90</v>
      </c>
      <c r="Y14" s="64" t="s">
        <v>23</v>
      </c>
      <c r="Z14" s="12" t="s">
        <v>90</v>
      </c>
      <c r="AA14" s="59" t="s">
        <v>126</v>
      </c>
      <c r="AB14" s="12" t="s">
        <v>90</v>
      </c>
      <c r="AC14" s="64" t="s">
        <v>115</v>
      </c>
      <c r="AD14" s="12" t="s">
        <v>90</v>
      </c>
      <c r="AE14" s="64" t="s">
        <v>23</v>
      </c>
      <c r="AF14" s="12" t="s">
        <v>90</v>
      </c>
      <c r="AG14" s="64" t="s">
        <v>120</v>
      </c>
      <c r="AH14" s="12" t="s">
        <v>90</v>
      </c>
      <c r="AI14" s="64" t="s">
        <v>115</v>
      </c>
      <c r="AJ14" s="12" t="s">
        <v>90</v>
      </c>
      <c r="AK14" s="14">
        <v>525</v>
      </c>
      <c r="AL14" s="69" t="s">
        <v>152</v>
      </c>
      <c r="AM14" s="14">
        <v>1031</v>
      </c>
      <c r="AN14" s="14" t="s">
        <v>87</v>
      </c>
      <c r="AO14" s="14" t="s">
        <v>89</v>
      </c>
      <c r="AP14" s="57" t="s">
        <v>169</v>
      </c>
    </row>
    <row r="15" spans="1:42" ht="15" customHeight="1">
      <c r="A15" s="72">
        <v>236214</v>
      </c>
      <c r="B15" s="73" t="s">
        <v>139</v>
      </c>
      <c r="C15" s="59" t="s">
        <v>117</v>
      </c>
      <c r="D15" s="12" t="s">
        <v>90</v>
      </c>
      <c r="E15" s="64" t="s">
        <v>23</v>
      </c>
      <c r="F15" s="12" t="s">
        <v>90</v>
      </c>
      <c r="G15" s="64" t="s">
        <v>123</v>
      </c>
      <c r="H15" s="12" t="s">
        <v>90</v>
      </c>
      <c r="I15" s="59" t="s">
        <v>117</v>
      </c>
      <c r="J15" s="12" t="s">
        <v>90</v>
      </c>
      <c r="K15" s="64" t="s">
        <v>120</v>
      </c>
      <c r="L15" s="12" t="s">
        <v>90</v>
      </c>
      <c r="M15" s="64" t="s">
        <v>23</v>
      </c>
      <c r="N15" s="12" t="s">
        <v>90</v>
      </c>
      <c r="O15" s="59">
        <v>40</v>
      </c>
      <c r="P15" s="12" t="s">
        <v>86</v>
      </c>
      <c r="Q15" s="64" t="s">
        <v>23</v>
      </c>
      <c r="R15" s="12" t="s">
        <v>90</v>
      </c>
      <c r="S15" s="64" t="s">
        <v>25</v>
      </c>
      <c r="T15" s="12" t="s">
        <v>90</v>
      </c>
      <c r="U15" s="59" t="s">
        <v>117</v>
      </c>
      <c r="V15" s="12" t="s">
        <v>90</v>
      </c>
      <c r="W15" s="64" t="s">
        <v>23</v>
      </c>
      <c r="X15" s="12" t="s">
        <v>90</v>
      </c>
      <c r="Y15" s="64" t="s">
        <v>23</v>
      </c>
      <c r="Z15" s="12" t="s">
        <v>90</v>
      </c>
      <c r="AA15" s="59" t="s">
        <v>117</v>
      </c>
      <c r="AB15" s="12" t="s">
        <v>90</v>
      </c>
      <c r="AC15" s="64" t="s">
        <v>23</v>
      </c>
      <c r="AD15" s="12" t="s">
        <v>90</v>
      </c>
      <c r="AE15" s="64" t="s">
        <v>35</v>
      </c>
      <c r="AF15" s="12" t="s">
        <v>90</v>
      </c>
      <c r="AG15" s="64" t="s">
        <v>115</v>
      </c>
      <c r="AH15" s="12" t="s">
        <v>90</v>
      </c>
      <c r="AI15" s="64" t="s">
        <v>120</v>
      </c>
      <c r="AJ15" s="12" t="s">
        <v>90</v>
      </c>
      <c r="AK15" s="14">
        <v>490</v>
      </c>
      <c r="AL15" s="69" t="s">
        <v>174</v>
      </c>
      <c r="AM15" s="14">
        <v>944</v>
      </c>
      <c r="AN15" s="14" t="s">
        <v>87</v>
      </c>
      <c r="AO15" s="14" t="s">
        <v>89</v>
      </c>
      <c r="AP15" s="57" t="s">
        <v>178</v>
      </c>
    </row>
    <row r="16" spans="1:42" ht="15" customHeight="1">
      <c r="A16" s="72">
        <v>236215</v>
      </c>
      <c r="B16" s="73" t="s">
        <v>140</v>
      </c>
      <c r="C16" s="59" t="s">
        <v>146</v>
      </c>
      <c r="D16" s="12" t="s">
        <v>90</v>
      </c>
      <c r="E16" s="64" t="s">
        <v>23</v>
      </c>
      <c r="F16" s="12" t="s">
        <v>90</v>
      </c>
      <c r="G16" s="64" t="s">
        <v>117</v>
      </c>
      <c r="H16" s="12" t="s">
        <v>90</v>
      </c>
      <c r="I16" s="59">
        <v>55</v>
      </c>
      <c r="J16" s="12" t="s">
        <v>86</v>
      </c>
      <c r="K16" s="64" t="s">
        <v>120</v>
      </c>
      <c r="L16" s="12" t="s">
        <v>90</v>
      </c>
      <c r="M16" s="64" t="s">
        <v>23</v>
      </c>
      <c r="N16" s="12" t="s">
        <v>90</v>
      </c>
      <c r="O16" s="59" t="s">
        <v>126</v>
      </c>
      <c r="P16" s="12" t="s">
        <v>90</v>
      </c>
      <c r="Q16" s="64" t="s">
        <v>120</v>
      </c>
      <c r="R16" s="12" t="s">
        <v>90</v>
      </c>
      <c r="S16" s="64" t="s">
        <v>117</v>
      </c>
      <c r="T16" s="12" t="s">
        <v>90</v>
      </c>
      <c r="U16" s="59" t="s">
        <v>34</v>
      </c>
      <c r="V16" s="12" t="s">
        <v>90</v>
      </c>
      <c r="W16" s="64" t="s">
        <v>120</v>
      </c>
      <c r="X16" s="12" t="s">
        <v>90</v>
      </c>
      <c r="Y16" s="64" t="s">
        <v>120</v>
      </c>
      <c r="Z16" s="12" t="s">
        <v>90</v>
      </c>
      <c r="AA16" s="59" t="s">
        <v>24</v>
      </c>
      <c r="AB16" s="12" t="s">
        <v>90</v>
      </c>
      <c r="AC16" s="64" t="s">
        <v>120</v>
      </c>
      <c r="AD16" s="12" t="s">
        <v>90</v>
      </c>
      <c r="AE16" s="64" t="s">
        <v>23</v>
      </c>
      <c r="AF16" s="12" t="s">
        <v>90</v>
      </c>
      <c r="AG16" s="64" t="s">
        <v>120</v>
      </c>
      <c r="AH16" s="12" t="s">
        <v>90</v>
      </c>
      <c r="AI16" s="64" t="s">
        <v>115</v>
      </c>
      <c r="AJ16" s="12" t="s">
        <v>90</v>
      </c>
      <c r="AK16" s="14">
        <v>540</v>
      </c>
      <c r="AL16" s="69">
        <v>0</v>
      </c>
      <c r="AM16" s="14">
        <v>540</v>
      </c>
      <c r="AN16" s="14" t="s">
        <v>87</v>
      </c>
      <c r="AO16" s="14" t="s">
        <v>88</v>
      </c>
      <c r="AP16" s="57" t="s">
        <v>160</v>
      </c>
    </row>
    <row r="17" spans="1:42" ht="15" customHeight="1">
      <c r="A17" s="72">
        <v>236216</v>
      </c>
      <c r="B17" s="73" t="s">
        <v>141</v>
      </c>
      <c r="C17" s="59" t="s">
        <v>118</v>
      </c>
      <c r="D17" s="12" t="str">
        <f t="shared" ref="D17" si="0">IF(IFERROR(FIND("+",C17),0)," ",
IF(C17="AB","",
IF(C17&lt;$D$24,"F",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E17" s="64" t="s">
        <v>122</v>
      </c>
      <c r="F17" s="12" t="str">
        <f t="shared" ref="F17" si="1">IF(IFERROR(FIND("+",E17),0)," ",
IF(E17="AB","",
IF(E17&lt;$F$24,"F",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G17" s="64" t="s">
        <v>148</v>
      </c>
      <c r="H17" s="12" t="str">
        <f t="shared" ref="H17" si="2">IF(IFERROR(FIND("+",G17),0)," ",
IF(G17="AB","",
IF(G17&lt;$H$24,"F",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I17" s="59">
        <v>41</v>
      </c>
      <c r="J17" s="12" t="str">
        <f t="shared" ref="J17" si="3">IF(IFERROR(FIND("+",I17),0)," ",
IF(I17="AB","",
IF(I17&lt;$J$24,"F",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c>
      <c r="K17" s="64" t="s">
        <v>149</v>
      </c>
      <c r="L17" s="12" t="str">
        <f t="shared" ref="L17" si="4">IF(IFERROR(FIND("+",K17),0)," ",
IF(K17="AB","",
IF(K17&lt;$L$24,"F",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M17" s="64" t="s">
        <v>122</v>
      </c>
      <c r="N17" s="12" t="str">
        <f t="shared" ref="N17" si="5">IF(IFERROR(FIND("+",M17),0)," ",
IF(M17="AB","",
IF(M17&lt;$N$24,"F",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O17" s="59" t="s">
        <v>117</v>
      </c>
      <c r="P17" s="12" t="str">
        <f t="shared" ref="P17" si="6">IF(IFERROR(FIND("+",O17),0)," ",
IF(O17="AB","",
IF(O17&lt;$P$24,"F",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Q17" s="64" t="s">
        <v>33</v>
      </c>
      <c r="R17" s="12" t="str">
        <f t="shared" ref="R17" si="7">IF(IFERROR(FIND("+",Q17),0)," ",
IF(Q17="AB","",
IF(Q17&lt;$R$24,"F",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S17" s="64" t="s">
        <v>150</v>
      </c>
      <c r="T17" s="12" t="str">
        <f t="shared" ref="T17" si="8">IF(IFERROR(FIND("+",S17),0)," ",
IF(S17="AB","",
IF(S17&lt;$T$24,"F",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U17" s="59" t="s">
        <v>117</v>
      </c>
      <c r="V17" s="12" t="str">
        <f t="shared" ref="V17" si="9">IF(IFERROR(FIND("+",U17),0)," ",
IF(U17="AB","",
IF(U17&lt;$V$24,"F",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W17" s="64" t="s">
        <v>27</v>
      </c>
      <c r="X17" s="12" t="str">
        <f t="shared" ref="X17" si="10">IF(IFERROR(FIND("+",W17),0)," ",
IF(W17="AB","",
IF(W17&lt;$X$24,"F",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Y17" s="64" t="s">
        <v>27</v>
      </c>
      <c r="Z17" s="12" t="str">
        <f t="shared" ref="Z17" si="11">IF(IFERROR(FIND("+",Y17),0)," ",
IF(Y17="AB","",
IF(Y17&lt;$Z$24,"F",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AA17" s="59" t="s">
        <v>118</v>
      </c>
      <c r="AB17" s="12" t="str">
        <f t="shared" ref="AB17" si="12">IF(IFERROR(FIND("+",AA17),0)," ",
IF(AA17="AB","",
IF(AA17&lt;$AB$24,"F",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AC17" s="64" t="s">
        <v>149</v>
      </c>
      <c r="AD17" s="12" t="str">
        <f t="shared" ref="AD17" si="13">IF(IFERROR(FIND("+",AC17),0)," ",
IF(AC17="AB","",
IF(AC17&lt;$AD$24,"F",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AE17" s="64" t="s">
        <v>32</v>
      </c>
      <c r="AF17" s="12" t="str">
        <f t="shared" ref="AF17" si="14">IF(IFERROR(FIND("+",AE17),0)," ",
IF(AE17="AB","",
IF(AE17&lt;$AF$24,"F",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AG17" s="64" t="s">
        <v>149</v>
      </c>
      <c r="AH17" s="12" t="str">
        <f t="shared" ref="AH17" si="15">IF(IFERROR(FIND("+",AG17),0)," ",
IF(AG17="AB","",
IF(AG17&lt;$AH$24,"F",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AG17&lt;&gt;"AB",AI17&lt;&gt;"AB"),"","E"))))</f>
        <v xml:space="preserve"> </v>
      </c>
      <c r="AI17" s="64" t="s">
        <v>35</v>
      </c>
      <c r="AJ17" s="12" t="str">
        <f t="shared" ref="AJ17" si="16">IF(IFERROR(FIND("+",AI17),0)," ",
IF(AI17="AB","",
IF(AI17&lt;$AJ$24,"F",
IF(AND(C17&gt;=$D$24,E17&gt;=$F$24,G17&gt;=$H$24,
I17&gt;=$J$24,K17&gt;=$L$24,
M17&gt;=$N$24,O17&gt;=$P$24,Q17&gt;=$R$24,S17&gt;=$T$24,U17&gt;=$V$24,
W17&gt;=$X$24,Y17&gt;=$Z$24,AA17&gt;=$AB$24,AC17&gt;=$AD$24,AE17&gt;=$AF$24,
AG17&gt;=$AH$24,AI17&gt;=$AJ$24,C17&lt;&gt;"AB",E17&lt;&gt;"AB",G17&lt;&gt;"AB",
I17&lt;&gt;"AB",K17&lt;&gt;"AB",
M17&lt;&gt;"AB",O17&lt;&gt;"AB",Q17&lt;&gt;"AB",S17&lt;&gt;"AB",U17&lt;&gt;"AB",
W17&lt;&gt;"AB",Y17&lt;&gt;"AB",AA17&lt;&gt;"AB",AC17&lt;&gt;"AB",AE17&lt;&gt;"AB",
AG17&lt;&gt;"AB",AH17&lt;&gt;"AB"),"","E"))))</f>
        <v xml:space="preserve"> </v>
      </c>
      <c r="AK17" s="14">
        <f t="shared" ref="AK17" si="17">SUM(EXTRACTNUMBER(C17),EXTRACTNUMBER(E17),
EXTRACTNUMBER(G17),EXTRACTNUMBER(I17),
EXTRACTNUMBER(K17),EXTRACTNUMBER(M17),
EXTRACTNUMBER(O17),EXTRACTNUMBER(Q17),
EXTRACTNUMBER(S17),EXTRACTNUMBER(U17),
EXTRACTNUMBER(W17),EXTRACTNUMBER(Y17),EXTRACTNUMBER(AA17),
EXTRACTNUMBER(AC17),EXTRACTNUMBER(AG17),EXTRACTNUMBER(AE17),EXTRACTNUMBER(AI17))</f>
        <v>419</v>
      </c>
      <c r="AL17" s="69" t="s">
        <v>179</v>
      </c>
      <c r="AM17" s="14">
        <f t="shared" ref="AM17" si="18">IF(COUNTIF(C17:AJ17," "),SUM(EXTRACTNUMBER(AK17),EXTRACTNUMBER(AL17)),IF(IFERROR(FIND("x",AL17),0),SUM(EXTRACTNUMBER(AK17),EXTRACTNUMBER(AL17)),IF(AND(SUM(EXTRACTNUMBER(AK17),EXTRACTNUMBER(AL17))&gt;1009,        SUM(EXTRACTNUMBER(AK17),EXTRACTNUMBER(AL17))&lt;1020),
CONCATENATE(SUM(EXTRACTNUMBER(AK17),EXTRACTNUMBER(AL17)),"@",1020-SUM(EXTRACTNUMBER(AK17),EXTRACTNUMBER(AL17))),
IF(AND(SUM(EXTRACTNUMBER(AK17),EXTRACTNUMBER(AL17))&gt;839,   SUM(EXTRACTNUMBER(AK17),EXTRACTNUMBER(AL17))&lt;850),CONCATENATE(SUM(EXTRACTNUMBER(AK17),EXTRACTNUMBER(AL17)),"@",850-SUM(EXTRACTNUMBER(AK17),EXTRACTNUMBER(AL17))),
IF(AND(SUM(EXTRACTNUMBER(AK17),EXTRACTNUMBER(AL17))&gt;669,        SUM(EXTRACTNUMBER(AK17),EXTRACTNUMBER(AL17))&lt;680),
CONCATENATE(SUM(EXTRACTNUMBER(AK17),EXTRACTNUMBER(AL17)),"@",680-SUM(EXTRACTNUMBER(AK17),EXTRACTNUMBER(AL17))),
SUM(EXTRACTNUMBER(AK17),EXTRACTNUMBER(AL17)))))))</f>
        <v>871</v>
      </c>
      <c r="AN17" s="14" t="str">
        <f t="shared" ref="AN17" si="19">IF(AND(COUNTIF(C17:AJ17,"AB")&lt;17-COUNTIF(C17:AJ17," "),
COUNTIF(C17:AJ17,"AB")&lt;&gt;0),"FAIL",
IF(COUNTIF(C17:AJ17,"AB")=17-COUNTIF(C17:AJ17," "),"ABSENT",
IF(AND(COUNTIF(C17:AJ17,"AB")=0,COUNTIF(C17:AJ17,"F")=0),"PASS","FAIL")))</f>
        <v>PASS</v>
      </c>
      <c r="AO17" s="14" t="str">
        <f t="shared" ref="AO17" si="20">IF(AN17="ABSENT","AB",IF(AN17="FAIL","--",
IF(AL17=0,"RS 5",IF(AND(COUNTIF(C17:AJ17," "),AN17="pass"),"P",
IF(AND(SUM(EXTRACTNUMBER(AK17),EXTRACTNUMBER(AL17))&gt;=1010,
        NOT(IFERROR(FIND("x",AK17),0)),
        NOT(IFERROR(FIND("x",AL17),0))),"I",
IF(AND(SUM(EXTRACTNUMBER(AK17),EXTRACTNUMBER(AL17))&gt;=850,
      SUM(EXTRACTNUMBER(AK17),EXTRACTNUMBER(AL17))&lt;1010,
      NOT(IFERROR(FIND("x",AK17),0)),
      NOT(IFERROR(FIND("x",AL17),0))),"II",
IF(OR(AND(SUM(EXTRACTNUMBER(AK17),EXTRACTNUMBER(AL17))&lt;850,
SUM(EXTRACTNUMBER(AK17),EXTRACTNUMBER(AL17))&gt;=670),
IFERROR(FIND("x",AK17),0),IFERROR(FIND("x",AL17),0)),"P","--")))))))</f>
        <v>P</v>
      </c>
      <c r="AP17" s="57" t="s">
        <v>180</v>
      </c>
    </row>
    <row r="18" spans="1:42" ht="15" customHeight="1">
      <c r="A18" s="72">
        <v>236217</v>
      </c>
      <c r="B18" s="73" t="s">
        <v>142</v>
      </c>
      <c r="C18" s="59" t="s">
        <v>117</v>
      </c>
      <c r="D18" s="12" t="s">
        <v>90</v>
      </c>
      <c r="E18" s="64" t="s">
        <v>115</v>
      </c>
      <c r="F18" s="12" t="s">
        <v>90</v>
      </c>
      <c r="G18" s="64" t="s">
        <v>24</v>
      </c>
      <c r="H18" s="12" t="s">
        <v>90</v>
      </c>
      <c r="I18" s="59">
        <v>45</v>
      </c>
      <c r="J18" s="12" t="s">
        <v>86</v>
      </c>
      <c r="K18" s="64" t="s">
        <v>115</v>
      </c>
      <c r="L18" s="12" t="s">
        <v>90</v>
      </c>
      <c r="M18" s="64" t="s">
        <v>35</v>
      </c>
      <c r="N18" s="12" t="s">
        <v>90</v>
      </c>
      <c r="O18" s="59" t="s">
        <v>27</v>
      </c>
      <c r="P18" s="12" t="s">
        <v>90</v>
      </c>
      <c r="Q18" s="64" t="s">
        <v>115</v>
      </c>
      <c r="R18" s="12" t="s">
        <v>90</v>
      </c>
      <c r="S18" s="64" t="s">
        <v>24</v>
      </c>
      <c r="T18" s="12" t="s">
        <v>90</v>
      </c>
      <c r="U18" s="59" t="s">
        <v>125</v>
      </c>
      <c r="V18" s="12" t="s">
        <v>90</v>
      </c>
      <c r="W18" s="64" t="s">
        <v>115</v>
      </c>
      <c r="X18" s="12" t="s">
        <v>90</v>
      </c>
      <c r="Y18" s="64" t="s">
        <v>120</v>
      </c>
      <c r="Z18" s="12" t="s">
        <v>90</v>
      </c>
      <c r="AA18" s="59" t="s">
        <v>26</v>
      </c>
      <c r="AB18" s="12" t="s">
        <v>90</v>
      </c>
      <c r="AC18" s="64" t="s">
        <v>115</v>
      </c>
      <c r="AD18" s="12" t="s">
        <v>90</v>
      </c>
      <c r="AE18" s="64" t="s">
        <v>35</v>
      </c>
      <c r="AF18" s="12" t="s">
        <v>90</v>
      </c>
      <c r="AG18" s="64" t="s">
        <v>115</v>
      </c>
      <c r="AH18" s="12" t="s">
        <v>90</v>
      </c>
      <c r="AI18" s="64" t="s">
        <v>115</v>
      </c>
      <c r="AJ18" s="12" t="s">
        <v>90</v>
      </c>
      <c r="AK18" s="14">
        <v>501</v>
      </c>
      <c r="AL18" s="69" t="s">
        <v>151</v>
      </c>
      <c r="AM18" s="14">
        <v>1005</v>
      </c>
      <c r="AN18" s="14" t="s">
        <v>87</v>
      </c>
      <c r="AO18" s="14" t="s">
        <v>89</v>
      </c>
      <c r="AP18" s="57" t="s">
        <v>170</v>
      </c>
    </row>
  </sheetData>
  <conditionalFormatting sqref="AS2 CI2 DY2 FO2 HE2 IU2 KK2 MA2 NQ2 PG2 QW2 SM2 UC2 VS2 XI2 YY2 AAO2 ACE2 ADU2 AFK2 AHA2 AIQ2 AKG2 ALW2 ANM2 APC2 AQS2 ASI2 ATY2 AVO2 AXE2 AYU2 BAK2 BCA2 BDQ2 BFG2 BGW2 BIM2 BKC2 BLS2 BNI2 BOY2 BQO2 BSE2 BTU2 BVK2 BXA2 BYQ2 CAG2 CBW2 CDM2 CFC2 CGS2 CII2 CJY2 CLO2 CNE2 COU2 CQK2 CSA2 CTQ2 CVG2 CWW2 CYM2 DAC2 DBS2 DDI2 DEY2 DGO2 DIE2 DJU2 DLK2 DNA2 DOQ2 DQG2 DRW2 DTM2 DVC2 DWS2 DYI2 DZY2 EBO2 EDE2 EEU2 EGK2 EIA2 EJQ2 ELG2 EMW2 EOM2 EQC2 ERS2 ETI2 EUY2 EWO2 EYE2 EZU2 FBK2 FDA2 FEQ2 FGG2 FHW2 FJM2 FLC2 FMS2 FOI2 FPY2 FRO2 FTE2 FUU2 FWK2 FYA2 FZQ2 GBG2 GCW2 GEM2 GGC2 GHS2 GJI2 GKY2 GMO2 GOE2 GPU2 GRK2 GTA2 GUQ2 GWG2 GXW2 GZM2 HBC2 HCS2 HEI2 HFY2 HHO2 HJE2 HKU2 HMK2 HOA2 HPQ2 HRG2 HSW2 HUM2 HWC2 HXS2 HZI2 IAY2 ICO2 IEE2 IFU2 IHK2 IJA2 IKQ2 IMG2 INW2 IPM2 IRC2 ISS2 IUI2 IVY2 IXO2 IZE2 JAU2 JCK2 JEA2 JFQ2 JHG2 JIW2 JKM2 JMC2 JNS2 JPI2 JQY2 JSO2 JUE2 JVU2 JXK2 JZA2 KAQ2 KCG2 KDW2 KFM2 KHC2 KIS2 KKI2 KLY2 KNO2 KPE2 KQU2 KSK2 KUA2 KVQ2 KXG2 KYW2 LAM2 LCC2 LDS2 LFI2 LGY2 LIO2 LKE2 LLU2 LNK2 LPA2 LQQ2 LSG2 LTW2 LVM2 LXC2 LYS2 MAI2 MBY2 MDO2 MFE2 MGU2 MIK2 MKA2 MLQ2 MNG2 MOW2 MQM2 MSC2 MTS2 MVI2 MWY2 MYO2 NAE2 NBU2 NDK2 NFA2 NGQ2 NIG2 NJW2 NLM2 NNC2 NOS2 NQI2 NRY2 NTO2 NVE2 NWU2 NYK2 OAA2 OBQ2 ODG2 OEW2 OGM2 OIC2 OJS2 OLI2 OMY2 OOO2 OQE2 ORU2 OTK2 OVA2 OWQ2 OYG2 OZW2 PBM2 PDC2 PES2 PGI2 PHY2 PJO2 PLE2 PMU2 POK2 PQA2 PRQ2 PTG2 PUW2 PWM2 PYC2 PZS2 QBI2 QCY2 QEO2 QGE2 QHU2 QJK2 QLA2 QMQ2 QOG2 QPW2 QRM2 QTC2 QUS2 QWI2 QXY2 QZO2 RBE2 RCU2 REK2 RGA2 RHQ2 RJG2 RKW2 RMM2 ROC2 RPS2 RRI2 RSY2 RUO2 RWE2 RXU2 RZK2 SBA2 SCQ2 SEG2 SFW2 SHM2 SJC2 SKS2 SMI2 SNY2 SPO2 SRE2 SSU2 SUK2 SWA2 SXQ2 SZG2 TAW2 TCM2 TEC2 TFS2 THI2 TIY2 TKO2 TME2 TNU2 TPK2 TRA2 TSQ2 TUG2 TVW2 TXM2 TZC2 UAS2 UCI2 UDY2 UFO2 UHE2 UIU2 UKK2 UMA2 UNQ2 UPG2 UQW2 USM2 UUC2 UVS2 UXI2 UYY2 VAO2 VCE2 VDU2 VFK2 VHA2 VIQ2 VKG2 VLW2 VNM2 VPC2 VQS2 VSI2 VTY2 VVO2 VXE2 VYU2 WAK2 WCA2 WDQ2 WFG2 WGW2 WIM2 WKC2 WLS2 WNI2 WOY2 WQO2 WSE2 WTU2 WVK2 WXA2 WYQ2 XAG2 XBW2 XDM2 XFC2 AY2 CO2 EE2 FU2 HK2 JA2 KQ2 MG2 NW2 PM2 RC2 SS2 UI2 VY2 XO2 ZE2 AAU2 ACK2 AEA2 AFQ2 AHG2 AIW2 AKM2 AMC2 ANS2 API2 AQY2 ASO2 AUE2 AVU2 AXK2 AZA2 BAQ2 BCG2 BDW2 BFM2 BHC2 BIS2 BKI2 BLY2 BNO2 BPE2 BQU2 BSK2 BUA2 BVQ2 BXG2 BYW2 CAM2 CCC2 CDS2 CFI2 CGY2 CIO2 CKE2 CLU2 CNK2 CPA2 CQQ2 CSG2 CTW2 CVM2 CXC2 CYS2 DAI2 DBY2 DDO2 DFE2 DGU2 DIK2 DKA2 DLQ2 DNG2 DOW2 DQM2 DSC2 DTS2 DVI2 DWY2 DYO2 EAE2 EBU2 EDK2 EFA2 EGQ2 EIG2 EJW2 ELM2 ENC2 EOS2 EQI2 ERY2 ETO2 EVE2 EWU2 EYK2 FAA2 FBQ2 FDG2 FEW2 FGM2 FIC2 FJS2 FLI2 FMY2 FOO2 FQE2 FRU2 FTK2 FVA2 FWQ2 FYG2 FZW2 GBM2 GDC2 GES2 GGI2 GHY2 GJO2 GLE2 GMU2 GOK2 GQA2 GRQ2 GTG2 GUW2 GWM2 GYC2 GZS2 HBI2 HCY2 HEO2 HGE2 HHU2 HJK2 HLA2 HMQ2 HOG2 HPW2 HRM2 HTC2 HUS2 HWI2 HXY2 HZO2 IBE2 ICU2 IEK2 IGA2 IHQ2 IJG2 IKW2 IMM2 IOC2 IPS2 IRI2 ISY2 IUO2 IWE2 IXU2 IZK2 JBA2 JCQ2 JEG2 JFW2 JHM2 JJC2 JKS2 JMI2 JNY2 JPO2 JRE2 JSU2 JUK2 JWA2 JXQ2 JZG2 KAW2 KCM2 KEC2 KFS2 KHI2 KIY2 KKO2 KME2 KNU2 KPK2 KRA2 KSQ2 KUG2 KVW2 KXM2 KZC2 LAS2 LCI2 LDY2 LFO2 LHE2 LIU2 LKK2 LMA2 LNQ2 LPG2 LQW2 LSM2 LUC2 LVS2 LXI2 LYY2 MAO2 MCE2 MDU2 MFK2 MHA2 MIQ2 MKG2 MLW2 MNM2 MPC2 MQS2 MSI2 MTY2 MVO2 MXE2 MYU2 NAK2 NCA2 NDQ2 NFG2 NGW2 NIM2 NKC2 NLS2 NNI2 NOY2 NQO2 NSE2 NTU2 NVK2 NXA2 NYQ2 OAG2 OBW2 ODM2 OFC2 OGS2 OII2 OJY2 OLO2 ONE2 OOU2 OQK2 OSA2 OTQ2 OVG2 OWW2 OYM2 PAC2 PBS2 PDI2 PEY2 PGO2 PIE2 PJU2 PLK2 PNA2 POQ2 PQG2 PRW2 PTM2 PVC2 PWS2 PYI2 PZY2 QBO2 QDE2 QEU2 QGK2 QIA2 QJQ2 QLG2 QMW2 QOM2 QQC2 QRS2 QTI2 QUY2 QWO2 QYE2 QZU2 RBK2 RDA2 REQ2 RGG2 RHW2 RJM2 RLC2 RMS2 ROI2 RPY2 RRO2 RTE2 RUU2 RWK2 RYA2 RZQ2 SBG2 SCW2 SEM2 SGC2 SHS2 SJI2 SKY2 SMO2 SOE2 SPU2 SRK2 STA2 SUQ2 SWG2 SXW2 SZM2 TBC2 TCS2 TEI2 TFY2 THO2 TJE2 TKU2 TMK2 TOA2 TPQ2 TRG2 TSW2 TUM2 TWC2 TXS2 TZI2 UAY2 UCO2 UEE2 UFU2 UHK2 UJA2 UKQ2 UMG2 UNW2 UPM2 URC2 USS2 UUI2 UVY2 UXO2 UZE2 VAU2 VCK2 VEA2 VFQ2 VHG2 VIW2 VKM2 VMC2 VNS2 VPI2 VQY2 VSO2 VUE2 VVU2 VXK2 VZA2 WAQ2 WCG2 WDW2 WFM2 WHC2 WIS2 WKI2 WLY2 WNO2 WPE2 WQU2 WSK2 WUA2 WVQ2 WXG2 WYW2 XAM2 XCC2 XDS2 BE2 CU2 EK2 GA2 HQ2 JG2 KW2 MM2 OC2 PS2 RI2 SY2 UO2 WE2 XU2 ZK2 ABA2 ACQ2 AEG2 AFW2 AHM2 AJC2 AKS2 AMI2 ANY2 APO2 ARE2 ASU2 AUK2 AWA2 AXQ2 AZG2 BAW2 BCM2 BEC2 BFS2 BHI2 BIY2 BKO2 BME2 BNU2 BPK2 BRA2 BSQ2 BUG2 BVW2 BXM2 BZC2 CAS2 CCI2 CDY2 CFO2 CHE2 CIU2 CKK2 CMA2 CNQ2 CPG2 CQW2 CSM2 CUC2 CVS2 CXI2 CYY2 DAO2 DCE2 DDU2 DFK2 DHA2 DIQ2 DKG2 DLW2 DNM2 DPC2 DQS2 DSI2 DTY2 DVO2 DXE2 DYU2 EAK2 ECA2 EDQ2 EFG2 EGW2 EIM2 EKC2 ELS2 ENI2 EOY2 EQO2 ESE2 ETU2 EVK2 EXA2 EYQ2 FAG2 FBW2 FDM2 FFC2 FGS2 FII2 FJY2 FLO2 FNE2 FOU2 FQK2 FSA2 FTQ2 FVG2 FWW2 FYM2 GAC2 GBS2 GDI2 GEY2 GGO2 GIE2 GJU2 GLK2 GNA2 GOQ2 GQG2 GRW2 GTM2 GVC2 GWS2 GYI2 GZY2 HBO2 HDE2 HEU2 HGK2 HIA2 HJQ2 HLG2 HMW2 HOM2 HQC2 HRS2 HTI2 HUY2 HWO2 HYE2 HZU2 IBK2 IDA2 IEQ2 IGG2 IHW2 IJM2 ILC2 IMS2 IOI2 IPY2 IRO2 ITE2 IUU2 IWK2 IYA2 IZQ2 JBG2 JCW2 JEM2 JGC2 JHS2 JJI2 JKY2 JMO2 JOE2 JPU2 JRK2 JTA2 JUQ2 JWG2 JXW2 JZM2 KBC2 KCS2 KEI2 KFY2 KHO2 KJE2 KKU2 KMK2 KOA2 KPQ2 KRG2 KSW2 KUM2 KWC2 KXS2 KZI2 LAY2 LCO2 LEE2 LFU2 LHK2 LJA2 LKQ2 LMG2 LNW2 LPM2 LRC2 LSS2 LUI2 LVY2 LXO2 LZE2 MAU2 MCK2 MEA2 MFQ2 MHG2 MIW2 MKM2 MMC2 MNS2 MPI2 MQY2 MSO2 MUE2 MVU2 MXK2 MZA2 NAQ2 NCG2 NDW2 NFM2 NHC2 NIS2 NKI2 NLY2 NNO2 NPE2 NQU2 NSK2 NUA2 NVQ2 NXG2 NYW2 OAM2 OCC2 ODS2 OFI2 OGY2 OIO2 OKE2 OLU2 ONK2 OPA2 OQQ2 OSG2 OTW2 OVM2 OXC2 OYS2 PAI2 PBY2 PDO2 PFE2 PGU2 PIK2 PKA2 PLQ2 PNG2 POW2 PQM2 PSC2 PTS2 PVI2 PWY2 PYO2 QAE2 QBU2 QDK2 QFA2 QGQ2 QIG2 QJW2 QLM2 QNC2 QOS2 QQI2 QRY2 QTO2 QVE2 QWU2 QYK2 RAA2 RBQ2 RDG2 REW2 RGM2 RIC2 RJS2 RLI2 RMY2 ROO2 RQE2 RRU2 RTK2 RVA2 RWQ2 RYG2 RZW2 SBM2 SDC2 SES2 SGI2 SHY2 SJO2 SLE2 SMU2 SOK2 SQA2 SRQ2 STG2 SUW2 SWM2 SYC2 SZS2 TBI2 TCY2 TEO2 TGE2 THU2 TJK2 TLA2 TMQ2 TOG2 TPW2 TRM2 TTC2 TUS2 TWI2 TXY2 TZO2 UBE2 UCU2 UEK2 UGA2 UHQ2 UJG2 UKW2 UMM2 UOC2 UPS2 URI2 USY2 UUO2 UWE2 UXU2 UZK2 VBA2 VCQ2 VEG2 VFW2 VHM2 VJC2 VKS2 VMI2 VNY2 VPO2 VRE2 VSU2 VUK2 VWA2 VXQ2 VZG2 WAW2 WCM2 WEC2 WFS2 WHI2 WIY2 WKO2 WME2 WNU2 WPK2 WRA2 WSQ2 WUG2 WVW2 WXM2 WZC2 XAS2 XCI2 XDY2 BK2 DA2 EQ2 GG2 HW2 JM2 LC2 MS2 OI2 PY2 RO2 TE2 UU2 WK2 YA2 ZQ2 ABG2 ACW2 AEM2 AGC2 AHS2 AJI2 AKY2 AMO2 AOE2 APU2 ARK2 ATA2 AUQ2 AWG2 AXW2 AZM2 BBC2 BCS2 BEI2 BFY2 BHO2 BJE2 BKU2 BMK2 BOA2 BPQ2 BRG2 BSW2 BUM2 BWC2 BXS2 BZI2 CAY2 CCO2 CEE2 CFU2 CHK2 CJA2 CKQ2 CMG2 CNW2 CPM2 CRC2 CSS2 CUI2 CVY2 CXO2 CZE2 DAU2 DCK2 DEA2 DFQ2 DHG2 DIW2 DKM2 DMC2 DNS2 DPI2 DQY2 DSO2 DUE2 DVU2 DXK2 DZA2 EAQ2 ECG2 EDW2 EFM2 EHC2 EIS2 EKI2 ELY2 ENO2 EPE2 EQU2 ESK2 EUA2 EVQ2 EXG2 EYW2 FAM2 FCC2 FDS2 FFI2 FGY2 FIO2 FKE2 FLU2 FNK2 FPA2 FQQ2 FSG2 FTW2 FVM2 FXC2 FYS2 GAI2 GBY2 GDO2 GFE2 GGU2 GIK2 GKA2 GLQ2 GNG2 GOW2 GQM2 GSC2 GTS2 GVI2 GWY2 GYO2 HAE2 HBU2 HDK2 HFA2 HGQ2 HIG2 HJW2 HLM2 HNC2 HOS2 HQI2 HRY2 HTO2 HVE2 HWU2 HYK2 IAA2 IBQ2 IDG2 IEW2 IGM2 IIC2 IJS2 ILI2 IMY2 IOO2 IQE2 IRU2 ITK2 IVA2 IWQ2 IYG2 IZW2 JBM2 JDC2 JES2 JGI2 JHY2 JJO2 JLE2 JMU2 JOK2 JQA2 JRQ2 JTG2 JUW2 JWM2 JYC2 JZS2 KBI2 KCY2 KEO2 KGE2 KHU2 KJK2 KLA2 KMQ2 KOG2 KPW2 KRM2 KTC2 KUS2 KWI2 KXY2 KZO2 LBE2 LCU2 LEK2 LGA2 LHQ2 LJG2 LKW2 LMM2 LOC2 LPS2 LRI2 LSY2 LUO2 LWE2 LXU2 LZK2 MBA2 MCQ2 MEG2 MFW2 MHM2 MJC2 MKS2 MMI2 MNY2 MPO2 MRE2 MSU2 MUK2 MWA2 MXQ2 MZG2 NAW2 NCM2 NEC2 NFS2 NHI2 NIY2 NKO2 NME2 NNU2 NPK2 NRA2 NSQ2 NUG2 NVW2 NXM2 NZC2 OAS2 OCI2 ODY2 OFO2 OHE2 OIU2 OKK2 OMA2 ONQ2 OPG2 OQW2 OSM2 OUC2 OVS2 OXI2 OYY2 PAO2 PCE2 PDU2 PFK2 PHA2 PIQ2 PKG2 PLW2 PNM2 PPC2 PQS2 PSI2 PTY2 PVO2 PXE2 PYU2 QAK2 QCA2 QDQ2 QFG2 QGW2 QIM2 QKC2 QLS2 QNI2 QOY2 QQO2 QSE2 QTU2 QVK2 QXA2 QYQ2 RAG2 RBW2 RDM2 RFC2 RGS2 RII2 RJY2 RLO2 RNE2 ROU2 RQK2 RSA2 RTQ2 RVG2 RWW2 RYM2 SAC2 SBS2 SDI2 SEY2 SGO2 SIE2 SJU2 SLK2 SNA2 SOQ2 SQG2 SRW2 STM2 SVC2 SWS2 SYI2 SZY2 TBO2 TDE2 TEU2 TGK2 TIA2 TJQ2 TLG2 TMW2 TOM2 TQC2 TRS2 TTI2 TUY2 TWO2 TYE2 TZU2 UBK2 UDA2 UEQ2 UGG2 UHW2 UJM2 ULC2 UMS2 UOI2 UPY2 URO2 UTE2 UUU2 UWK2 UYA2 UZQ2 VBG2 VCW2 VEM2 VGC2 VHS2 VJI2 VKY2 VMO2 VOE2 VPU2 VRK2 VTA2 VUQ2 VWG2 VXW2 VZM2 WBC2 WCS2 WEI2 WFY2 WHO2 WJE2 WKU2 WMK2 WOA2 WPQ2 WRG2 WSW2 WUM2 WWC2 WXS2 WZI2 XAY2 XCO2 XEE2 BQ2 DG2 EW2 GM2 IC2 JS2 LI2 MY2 OO2 QE2 RU2 TK2 VA2 WQ2 YG2 ZW2 ABM2 ADC2 AES2 AGI2 AHY2 AJO2 ALE2 AMU2 AOK2 AQA2 ARQ2 ATG2 AUW2 AWM2 AYC2 AZS2 BBI2 BCY2 BEO2 BGE2 BHU2 BJK2 BLA2 BMQ2 BOG2 BPW2 BRM2 BTC2 BUS2 BWI2 BXY2 BZO2 CBE2 CCU2 CEK2 CGA2 CHQ2 CJG2 CKW2 CMM2 COC2 CPS2 CRI2 CSY2 CUO2 CWE2 CXU2 CZK2 DBA2 DCQ2 DEG2 DFW2 DHM2 DJC2 DKS2 DMI2 DNY2 DPO2 DRE2 DSU2 DUK2 DWA2 DXQ2 DZG2 EAW2 ECM2 EEC2 EFS2 EHI2 EIY2 EKO2 EME2 ENU2 EPK2 ERA2 ESQ2 EUG2 EVW2 EXM2 EZC2 FAS2 FCI2 FDY2 FFO2 FHE2 FIU2 FKK2 FMA2 FNQ2 FPG2 FQW2 FSM2 FUC2 FVS2 FXI2 FYY2 GAO2 GCE2 GDU2 GFK2 GHA2 GIQ2 GKG2 GLW2 GNM2 GPC2 GQS2 GSI2 GTY2 GVO2 GXE2 GYU2 HAK2 HCA2 HDQ2 HFG2 HGW2 HIM2 HKC2 HLS2 HNI2 HOY2 HQO2 HSE2 HTU2 HVK2 HXA2 HYQ2 IAG2 IBW2 IDM2 IFC2 IGS2 III2 IJY2 ILO2 INE2 IOU2 IQK2 ISA2 ITQ2 IVG2 IWW2 IYM2 JAC2 JBS2 JDI2 JEY2 JGO2 JIE2 JJU2 JLK2 JNA2 JOQ2 JQG2 JRW2 JTM2 JVC2 JWS2 JYI2 JZY2 KBO2 KDE2 KEU2 KGK2 KIA2 KJQ2 KLG2 KMW2 KOM2 KQC2 KRS2 KTI2 KUY2 KWO2 KYE2 KZU2 LBK2 LDA2 LEQ2 LGG2 LHW2 LJM2 LLC2 LMS2 LOI2 LPY2 LRO2 LTE2 LUU2 LWK2 LYA2 LZQ2 MBG2 MCW2 MEM2 MGC2 MHS2 MJI2 MKY2 MMO2 MOE2 MPU2 MRK2 MTA2 MUQ2 MWG2 MXW2 MZM2 NBC2 NCS2 NEI2 NFY2 NHO2 NJE2 NKU2 NMK2 NOA2 NPQ2 NRG2 NSW2 NUM2 NWC2 NXS2 NZI2 OAY2 OCO2 OEE2 OFU2 OHK2 OJA2 OKQ2 OMG2 ONW2 OPM2 ORC2 OSS2 OUI2 OVY2 OXO2 OZE2 PAU2 PCK2 PEA2 PFQ2 PHG2 PIW2 PKM2 PMC2 PNS2 PPI2 PQY2 PSO2 PUE2 PVU2 PXK2 PZA2 QAQ2 QCG2 QDW2 QFM2 QHC2 QIS2 QKI2 QLY2 QNO2 QPE2 QQU2 QSK2 QUA2 QVQ2 QXG2 QYW2 RAM2 RCC2 RDS2 RFI2 RGY2 RIO2 RKE2 RLU2 RNK2 RPA2 RQQ2 RSG2 RTW2 RVM2 RXC2 RYS2 SAI2 SBY2 SDO2 SFE2 SGU2 SIK2 SKA2 SLQ2 SNG2 SOW2 SQM2 SSC2 STS2 SVI2 SWY2 SYO2 TAE2 TBU2 TDK2 TFA2 TGQ2 TIG2 TJW2 TLM2 TNC2 TOS2 TQI2 TRY2 TTO2 TVE2 TWU2 TYK2 UAA2 UBQ2 UDG2 UEW2 UGM2 UIC2 UJS2 ULI2 UMY2 UOO2 UQE2 URU2 UTK2 UVA2 UWQ2 UYG2 UZW2 VBM2 VDC2 VES2 VGI2 VHY2 VJO2 VLE2 VMU2 VOK2 VQA2 VRQ2 VTG2 VUW2 VWM2 VYC2 VZS2 WBI2 WCY2 WEO2 WGE2 WHU2 WJK2 WLA2 WMQ2 WOG2 WPW2 WRM2 WTC2 WUS2 WWI2 WXY2 WZO2 XBE2 XCU2 XEK2 C2:C15 I2:I15 O2:O15 U2:U15 AA2:AA15">
    <cfRule type="cellIs" dxfId="18" priority="32" operator="lessThan">
      <formula>40</formula>
    </cfRule>
  </conditionalFormatting>
  <conditionalFormatting sqref="E2:E15 K2:K15 M2:M15 Q2:Q15 W2:W15 Y2:Y15 AC2:AC15 AE2:AE15 AG2:AG15 AI2:AI15">
    <cfRule type="cellIs" dxfId="17" priority="31" operator="lessThan">
      <formula>10</formula>
    </cfRule>
  </conditionalFormatting>
  <conditionalFormatting sqref="G2:G15 S2:S15">
    <cfRule type="cellIs" dxfId="16" priority="30" operator="lessThan">
      <formula>20</formula>
    </cfRule>
  </conditionalFormatting>
  <conditionalFormatting sqref="AB2:AB15 J2:J15 F2:F15 AF2:AF15 AH2:AH15 AJ2:AJ15 AD2:AD15 H2:H15 L2:L15 N2:N15 P2:P15 R2:R15 T2:T15 V2:V15 X2:X15 Z2:Z15 D2:D15">
    <cfRule type="cellIs" dxfId="15" priority="29" operator="equal">
      <formula>"F"</formula>
    </cfRule>
  </conditionalFormatting>
  <conditionalFormatting sqref="AN2:AN15">
    <cfRule type="cellIs" dxfId="14" priority="28" operator="equal">
      <formula>"FAIL"</formula>
    </cfRule>
  </conditionalFormatting>
  <conditionalFormatting sqref="G2:G15 E2:E15 K2:K15 M2:M15 Q2:Q15 W2:W15 Y2:Y15 AC2:AC15 AE2:AE15 AG2:AG15 AI2:AI15 S2:S15 C2:C15 I2:I15 O2:O15 U2:U15 AA2:AA15">
    <cfRule type="cellIs" dxfId="13" priority="27" operator="equal">
      <formula>"AB"</formula>
    </cfRule>
  </conditionalFormatting>
  <conditionalFormatting sqref="C2:C18 I2:I18 U2:U18 O2:O18 AA2:AA18">
    <cfRule type="cellIs" dxfId="12" priority="13" operator="lessThan">
      <formula>40</formula>
    </cfRule>
  </conditionalFormatting>
  <conditionalFormatting sqref="K2:K18 Q2:Q18 S16:S18 W2:W18 AC2:AC18 AE2:AE18 AG2:AG18 E2:E18 G16:G18 M2:M18 Y2:Y18 AI2:AI18">
    <cfRule type="cellIs" dxfId="11" priority="12" operator="lessThan">
      <formula>10</formula>
    </cfRule>
  </conditionalFormatting>
  <conditionalFormatting sqref="G2:G18 S2:S18">
    <cfRule type="cellIs" dxfId="10" priority="11" operator="lessThan">
      <formula>20</formula>
    </cfRule>
  </conditionalFormatting>
  <conditionalFormatting sqref="D2:D18 F2:F18 H2:H18 J2:J18 L2:L18 N2:N18 P2:P18 R2:R18 T2:T18 V2:V18 Z2:Z18 X2:X18 AB2:AB18 AD2:AD18 AF2:AF18 AH2:AH18 AJ2:AJ18">
    <cfRule type="cellIs" dxfId="9" priority="10" operator="equal">
      <formula>"F"</formula>
    </cfRule>
  </conditionalFormatting>
  <conditionalFormatting sqref="AN2:AN18">
    <cfRule type="cellIs" dxfId="8" priority="9" operator="equal">
      <formula>"FAIL"</formula>
    </cfRule>
  </conditionalFormatting>
  <conditionalFormatting sqref="C2:C18 I2:I18 U2:U18 K2:K18 Q2:Q18 W2:W18 AC2:AC18 AE2:AE18 AG2:AG18 E2:E18 M2:M18 G2:G18 O2:O18 AA2:AA18 S2:S18 Y2:Y18 AI2:AI18">
    <cfRule type="cellIs" dxfId="7" priority="8" operator="equal">
      <formula>"AB"</formula>
    </cfRule>
  </conditionalFormatting>
  <conditionalFormatting sqref="AN2:AN18">
    <cfRule type="cellIs" dxfId="6" priority="7" operator="equal">
      <formula>"FAIL"</formula>
    </cfRule>
  </conditionalFormatting>
  <conditionalFormatting sqref="C17 I17 U17 O17 AA17">
    <cfRule type="cellIs" dxfId="5" priority="6" operator="lessThan">
      <formula>40</formula>
    </cfRule>
  </conditionalFormatting>
  <conditionalFormatting sqref="K17 Q17 S17 W17 AC17 AE17 AG17 E17 G17 M17 Y17 AI17">
    <cfRule type="cellIs" dxfId="4" priority="5" operator="lessThan">
      <formula>10</formula>
    </cfRule>
  </conditionalFormatting>
  <conditionalFormatting sqref="G17 S17">
    <cfRule type="cellIs" dxfId="3" priority="4" operator="lessThan">
      <formula>20</formula>
    </cfRule>
  </conditionalFormatting>
  <conditionalFormatting sqref="D17 F17 H17 J17 L17 N17 P17 R17 T17 V17 Z17 X17 AB17 AD17 AF17 AH17 AJ17">
    <cfRule type="cellIs" dxfId="2" priority="3" operator="equal">
      <formula>"F"</formula>
    </cfRule>
  </conditionalFormatting>
  <conditionalFormatting sqref="AN17">
    <cfRule type="cellIs" dxfId="1" priority="2" operator="equal">
      <formula>"FAIL"</formula>
    </cfRule>
  </conditionalFormatting>
  <conditionalFormatting sqref="C17 I17 U17 K17 Q17 W17 AC17 AE17 AG17 E17 M17 G17 O17 AA17 S17 Y17 AI17">
    <cfRule type="cellIs" dxfId="0" priority="1" operator="equal">
      <formula>"AB"</formula>
    </cfRule>
  </conditionalFormatting>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GAZET</vt:lpstr>
      <vt:lpstr>ANALYSIS</vt:lpstr>
      <vt:lpstr>MarkSheet</vt:lpstr>
      <vt:lpstr>GAZET!Print_Area</vt:lpstr>
      <vt:lpstr>GAZET!Print_Titles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PARAG</dc:creator>
  <cp:lastModifiedBy>admin</cp:lastModifiedBy>
  <cp:lastPrinted>2014-08-30T04:27:52Z</cp:lastPrinted>
  <dcterms:created xsi:type="dcterms:W3CDTF">2012-04-17T07:05:30Z</dcterms:created>
  <dcterms:modified xsi:type="dcterms:W3CDTF">2015-06-09T09:22:05Z</dcterms:modified>
</cp:coreProperties>
</file>