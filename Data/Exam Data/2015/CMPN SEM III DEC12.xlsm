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 activeTab="2"/>
  </bookViews>
  <sheets>
    <sheet name="GAZET" sheetId="1" r:id="rId1"/>
    <sheet name="analysis" sheetId="2" r:id="rId2"/>
    <sheet name="MarkSheet" sheetId="4" r:id="rId3"/>
  </sheets>
  <functionGroups/>
  <definedNames>
    <definedName name="_xlnm.Print_Area" localSheetId="1">analysis!$A$1:$K$20</definedName>
    <definedName name="_xlnm.Print_Area" localSheetId="0">GAZET!$B$28:$AI$270</definedName>
    <definedName name="_xlnm.Print_Titles" localSheetId="0">GAZET!$18:$27</definedName>
  </definedNames>
  <calcPr calcId="124519"/>
</workbook>
</file>

<file path=xl/calcChain.xml><?xml version="1.0" encoding="utf-8"?>
<calcChain xmlns="http://schemas.openxmlformats.org/spreadsheetml/2006/main">
  <c r="AB244" i="4"/>
  <c r="V244"/>
  <c r="R244"/>
  <c r="N244"/>
  <c r="H244"/>
  <c r="AF242"/>
  <c r="AD242"/>
  <c r="AB242"/>
  <c r="Z242"/>
  <c r="X242"/>
  <c r="V242"/>
  <c r="T242"/>
  <c r="R242"/>
  <c r="P242"/>
  <c r="N242"/>
  <c r="L242"/>
  <c r="J242"/>
  <c r="H242"/>
  <c r="F242"/>
  <c r="D242"/>
  <c r="AH242" s="1"/>
  <c r="AF241"/>
  <c r="AD241"/>
  <c r="AB241"/>
  <c r="Z241"/>
  <c r="X241"/>
  <c r="V241"/>
  <c r="T241"/>
  <c r="R241"/>
  <c r="P241"/>
  <c r="N241"/>
  <c r="L241"/>
  <c r="J241"/>
  <c r="H241"/>
  <c r="F241"/>
  <c r="D241"/>
  <c r="AH241" s="1"/>
  <c r="AF240"/>
  <c r="AD240"/>
  <c r="AB240"/>
  <c r="Z240"/>
  <c r="X240"/>
  <c r="V240"/>
  <c r="T240"/>
  <c r="R240"/>
  <c r="P240"/>
  <c r="N240"/>
  <c r="L240"/>
  <c r="J240"/>
  <c r="H240"/>
  <c r="F240"/>
  <c r="D240"/>
  <c r="AH240" s="1"/>
  <c r="AF238"/>
  <c r="AD238"/>
  <c r="AB238"/>
  <c r="Z238"/>
  <c r="X238"/>
  <c r="V238"/>
  <c r="T238"/>
  <c r="R238"/>
  <c r="P238"/>
  <c r="N238"/>
  <c r="L238"/>
  <c r="J238"/>
  <c r="H238"/>
  <c r="F238"/>
  <c r="D238"/>
  <c r="AH238" s="1"/>
  <c r="AF237"/>
  <c r="AD237"/>
  <c r="AB237"/>
  <c r="Z237"/>
  <c r="X237"/>
  <c r="V237"/>
  <c r="T237"/>
  <c r="R237"/>
  <c r="P237"/>
  <c r="N237"/>
  <c r="L237"/>
  <c r="J237"/>
  <c r="H237"/>
  <c r="F237"/>
  <c r="D237"/>
  <c r="AH237" s="1"/>
  <c r="AF236"/>
  <c r="AD236"/>
  <c r="AB236"/>
  <c r="Z236"/>
  <c r="X236"/>
  <c r="V236"/>
  <c r="T236"/>
  <c r="R236"/>
  <c r="P236"/>
  <c r="N236"/>
  <c r="L236"/>
  <c r="J236"/>
  <c r="H236"/>
  <c r="F236"/>
  <c r="D236"/>
  <c r="AH236" s="1"/>
  <c r="AF235"/>
  <c r="AD235"/>
  <c r="AB235"/>
  <c r="Z235"/>
  <c r="X235"/>
  <c r="V235"/>
  <c r="T235"/>
  <c r="R235"/>
  <c r="P235"/>
  <c r="N235"/>
  <c r="L235"/>
  <c r="J235"/>
  <c r="H235"/>
  <c r="F235"/>
  <c r="D235"/>
  <c r="AH235" s="1"/>
  <c r="AF234"/>
  <c r="AD234"/>
  <c r="AB234"/>
  <c r="Z234"/>
  <c r="X234"/>
  <c r="V234"/>
  <c r="T234"/>
  <c r="R234"/>
  <c r="P234"/>
  <c r="N234"/>
  <c r="L234"/>
  <c r="J234"/>
  <c r="H234"/>
  <c r="F234"/>
  <c r="D234"/>
  <c r="AH234" s="1"/>
  <c r="AF233"/>
  <c r="AD233"/>
  <c r="AB233"/>
  <c r="Z233"/>
  <c r="X233"/>
  <c r="V233"/>
  <c r="T233"/>
  <c r="R233"/>
  <c r="P233"/>
  <c r="N233"/>
  <c r="L233"/>
  <c r="J233"/>
  <c r="H233"/>
  <c r="F233"/>
  <c r="D233"/>
  <c r="AH233" s="1"/>
  <c r="H232"/>
  <c r="D232"/>
  <c r="AI13"/>
  <c r="AI25"/>
  <c r="AI67"/>
  <c r="AI77"/>
  <c r="AI85"/>
  <c r="AI100"/>
  <c r="AI115"/>
  <c r="AI209"/>
  <c r="AI211"/>
  <c r="AI213"/>
  <c r="AI215"/>
  <c r="AI219"/>
  <c r="AI223"/>
  <c r="AI225"/>
  <c r="AI227"/>
  <c r="AI229"/>
  <c r="AI233"/>
  <c r="AI235"/>
  <c r="AI237"/>
  <c r="AI241"/>
  <c r="AG243"/>
  <c r="AI243" s="1"/>
  <c r="AG244"/>
  <c r="AG231"/>
  <c r="AI231" s="1"/>
  <c r="AI10"/>
  <c r="AI14"/>
  <c r="AI204"/>
  <c r="AI210"/>
  <c r="AI212"/>
  <c r="AI214"/>
  <c r="AI222"/>
  <c r="AI226"/>
  <c r="AI228"/>
  <c r="AI230"/>
  <c r="AI234"/>
  <c r="AI236"/>
  <c r="AI238"/>
  <c r="AI240"/>
  <c r="AI242"/>
  <c r="AI244"/>
  <c r="AG239"/>
  <c r="AI239" s="1"/>
  <c r="AG232"/>
  <c r="AI232" s="1"/>
  <c r="AF231" l="1"/>
  <c r="AD231"/>
  <c r="AB231"/>
  <c r="Z231"/>
  <c r="X231"/>
  <c r="V231"/>
  <c r="T231"/>
  <c r="R231"/>
  <c r="P231"/>
  <c r="N231"/>
  <c r="H231"/>
  <c r="F231"/>
  <c r="D231"/>
  <c r="AF230"/>
  <c r="AD230"/>
  <c r="AB230"/>
  <c r="Z230"/>
  <c r="X230"/>
  <c r="V230"/>
  <c r="T230"/>
  <c r="R230"/>
  <c r="P230"/>
  <c r="N230"/>
  <c r="L230"/>
  <c r="J230"/>
  <c r="H230"/>
  <c r="F230"/>
  <c r="D230"/>
  <c r="AH230" s="1"/>
  <c r="AF229"/>
  <c r="AD229"/>
  <c r="AB229"/>
  <c r="Z229"/>
  <c r="X229"/>
  <c r="V229"/>
  <c r="T229"/>
  <c r="R229"/>
  <c r="P229"/>
  <c r="N229"/>
  <c r="L229"/>
  <c r="J229"/>
  <c r="H229"/>
  <c r="F229"/>
  <c r="D229"/>
  <c r="AH229" s="1"/>
  <c r="AF228"/>
  <c r="AD228"/>
  <c r="AB228"/>
  <c r="Z228"/>
  <c r="X228"/>
  <c r="V228"/>
  <c r="T228"/>
  <c r="R228"/>
  <c r="P228"/>
  <c r="N228"/>
  <c r="L228"/>
  <c r="J228"/>
  <c r="H228"/>
  <c r="F228"/>
  <c r="D228"/>
  <c r="AH228" s="1"/>
  <c r="AF227"/>
  <c r="AD227"/>
  <c r="AB227"/>
  <c r="Z227"/>
  <c r="X227"/>
  <c r="V227"/>
  <c r="T227"/>
  <c r="R227"/>
  <c r="P227"/>
  <c r="N227"/>
  <c r="L227"/>
  <c r="J227"/>
  <c r="H227"/>
  <c r="F227"/>
  <c r="D227"/>
  <c r="AH227" s="1"/>
  <c r="AF226"/>
  <c r="AD226"/>
  <c r="AB226"/>
  <c r="Z226"/>
  <c r="X226"/>
  <c r="V226"/>
  <c r="T226"/>
  <c r="R226"/>
  <c r="P226"/>
  <c r="N226"/>
  <c r="L226"/>
  <c r="J226"/>
  <c r="H226"/>
  <c r="F226"/>
  <c r="D226"/>
  <c r="AH226" s="1"/>
  <c r="AF225"/>
  <c r="AD225"/>
  <c r="AB225"/>
  <c r="Z225"/>
  <c r="X225"/>
  <c r="V225"/>
  <c r="T225"/>
  <c r="R225"/>
  <c r="P225"/>
  <c r="N225"/>
  <c r="L225"/>
  <c r="J225"/>
  <c r="H225"/>
  <c r="F225"/>
  <c r="D225"/>
  <c r="AH225" s="1"/>
  <c r="AF223"/>
  <c r="AD223"/>
  <c r="AB223"/>
  <c r="Z223"/>
  <c r="X223"/>
  <c r="V223"/>
  <c r="T223"/>
  <c r="R223"/>
  <c r="P223"/>
  <c r="N223"/>
  <c r="L223"/>
  <c r="J223"/>
  <c r="H223"/>
  <c r="F223"/>
  <c r="D223"/>
  <c r="AH223" s="1"/>
  <c r="AF222"/>
  <c r="AD222"/>
  <c r="AB222"/>
  <c r="Z222"/>
  <c r="X222"/>
  <c r="V222"/>
  <c r="T222"/>
  <c r="R222"/>
  <c r="P222"/>
  <c r="N222"/>
  <c r="L222"/>
  <c r="J222"/>
  <c r="H222"/>
  <c r="F222"/>
  <c r="D222"/>
  <c r="AH222" s="1"/>
  <c r="Z221"/>
  <c r="L221"/>
  <c r="D221"/>
  <c r="AB220"/>
  <c r="V220"/>
  <c r="R220"/>
  <c r="N220"/>
  <c r="H220"/>
  <c r="AF219"/>
  <c r="AD219"/>
  <c r="AB219"/>
  <c r="Z219"/>
  <c r="X219"/>
  <c r="V219"/>
  <c r="T219"/>
  <c r="R219"/>
  <c r="P219"/>
  <c r="N219"/>
  <c r="L219"/>
  <c r="J219"/>
  <c r="H219"/>
  <c r="F219"/>
  <c r="D219"/>
  <c r="AH219" s="1"/>
  <c r="AB217"/>
  <c r="V217"/>
  <c r="R217"/>
  <c r="N217"/>
  <c r="H217"/>
  <c r="D217"/>
  <c r="AG218"/>
  <c r="AI218" s="1"/>
  <c r="AG221"/>
  <c r="AI221" s="1"/>
  <c r="AG224"/>
  <c r="AI224" s="1"/>
  <c r="AG220"/>
  <c r="AI220" s="1"/>
  <c r="AG216"/>
  <c r="AI216" s="1"/>
  <c r="AG217"/>
  <c r="AI217" s="1"/>
  <c r="AF216" l="1"/>
  <c r="AD216"/>
  <c r="AB216"/>
  <c r="Z216"/>
  <c r="X216"/>
  <c r="V216"/>
  <c r="T216"/>
  <c r="R216"/>
  <c r="P216"/>
  <c r="N216"/>
  <c r="L216"/>
  <c r="J216"/>
  <c r="F216"/>
  <c r="AF215"/>
  <c r="AD215"/>
  <c r="AB215"/>
  <c r="Z215"/>
  <c r="X215"/>
  <c r="V215"/>
  <c r="T215"/>
  <c r="R215"/>
  <c r="P215"/>
  <c r="N215"/>
  <c r="L215"/>
  <c r="J215"/>
  <c r="H215"/>
  <c r="F215"/>
  <c r="D215"/>
  <c r="AH215" s="1"/>
  <c r="AF214"/>
  <c r="AD214"/>
  <c r="AB214"/>
  <c r="Z214"/>
  <c r="X214"/>
  <c r="V214"/>
  <c r="T214"/>
  <c r="R214"/>
  <c r="P214"/>
  <c r="N214"/>
  <c r="L214"/>
  <c r="J214"/>
  <c r="H214"/>
  <c r="F214"/>
  <c r="D214"/>
  <c r="AH214" s="1"/>
  <c r="AF213"/>
  <c r="AD213"/>
  <c r="AB213"/>
  <c r="Z213"/>
  <c r="X213"/>
  <c r="V213"/>
  <c r="T213"/>
  <c r="R213"/>
  <c r="P213"/>
  <c r="N213"/>
  <c r="L213"/>
  <c r="J213"/>
  <c r="H213"/>
  <c r="F213"/>
  <c r="D213"/>
  <c r="AH213" s="1"/>
  <c r="AF212"/>
  <c r="AD212"/>
  <c r="AB212"/>
  <c r="Z212"/>
  <c r="X212"/>
  <c r="V212"/>
  <c r="T212"/>
  <c r="R212"/>
  <c r="P212"/>
  <c r="N212"/>
  <c r="L212"/>
  <c r="J212"/>
  <c r="H212"/>
  <c r="F212"/>
  <c r="D212"/>
  <c r="AH212" s="1"/>
  <c r="AF211"/>
  <c r="AD211"/>
  <c r="AB211"/>
  <c r="Z211"/>
  <c r="X211"/>
  <c r="V211"/>
  <c r="T211"/>
  <c r="R211"/>
  <c r="P211"/>
  <c r="N211"/>
  <c r="L211"/>
  <c r="J211"/>
  <c r="H211"/>
  <c r="F211"/>
  <c r="D211"/>
  <c r="AH211" s="1"/>
  <c r="AF210"/>
  <c r="AD210"/>
  <c r="AB210"/>
  <c r="Z210"/>
  <c r="X210"/>
  <c r="V210"/>
  <c r="T210"/>
  <c r="R210"/>
  <c r="P210"/>
  <c r="N210"/>
  <c r="L210"/>
  <c r="J210"/>
  <c r="H210"/>
  <c r="F210"/>
  <c r="D210"/>
  <c r="AH210" s="1"/>
  <c r="AF209"/>
  <c r="AD209"/>
  <c r="AB209"/>
  <c r="Z209"/>
  <c r="X209"/>
  <c r="V209"/>
  <c r="T209"/>
  <c r="R209"/>
  <c r="P209"/>
  <c r="N209"/>
  <c r="L209"/>
  <c r="J209"/>
  <c r="H209"/>
  <c r="F209"/>
  <c r="D209"/>
  <c r="AH209" s="1"/>
  <c r="AB208"/>
  <c r="V208"/>
  <c r="R208"/>
  <c r="N208"/>
  <c r="H208"/>
  <c r="AB207"/>
  <c r="V207"/>
  <c r="R207"/>
  <c r="N207"/>
  <c r="H207"/>
  <c r="D207"/>
  <c r="AB206"/>
  <c r="V206"/>
  <c r="R206"/>
  <c r="N206"/>
  <c r="H206"/>
  <c r="AB205"/>
  <c r="Z205"/>
  <c r="V205"/>
  <c r="R205"/>
  <c r="N205"/>
  <c r="L205"/>
  <c r="AF204"/>
  <c r="AD204"/>
  <c r="AB204"/>
  <c r="Z204"/>
  <c r="X204"/>
  <c r="V204"/>
  <c r="T204"/>
  <c r="R204"/>
  <c r="P204"/>
  <c r="N204"/>
  <c r="L204"/>
  <c r="J204"/>
  <c r="H204"/>
  <c r="F204"/>
  <c r="D204"/>
  <c r="AH204" s="1"/>
  <c r="AF203"/>
  <c r="AD203"/>
  <c r="AB203"/>
  <c r="Z203"/>
  <c r="X203"/>
  <c r="V203"/>
  <c r="T203"/>
  <c r="R203"/>
  <c r="P203"/>
  <c r="N203"/>
  <c r="L203"/>
  <c r="J203"/>
  <c r="H203"/>
  <c r="F203"/>
  <c r="AF202"/>
  <c r="AD202"/>
  <c r="AB202"/>
  <c r="Z202"/>
  <c r="X202"/>
  <c r="V202"/>
  <c r="T202"/>
  <c r="R202"/>
  <c r="P202"/>
  <c r="N202"/>
  <c r="L202"/>
  <c r="J202"/>
  <c r="H202"/>
  <c r="F202"/>
  <c r="D202"/>
  <c r="AH202" s="1"/>
  <c r="AF201"/>
  <c r="AD201"/>
  <c r="AB201"/>
  <c r="Z201"/>
  <c r="X201"/>
  <c r="V201"/>
  <c r="T201"/>
  <c r="R201"/>
  <c r="P201"/>
  <c r="N201"/>
  <c r="L201"/>
  <c r="J201"/>
  <c r="F201"/>
  <c r="D201"/>
  <c r="AF200"/>
  <c r="AD200"/>
  <c r="AB200"/>
  <c r="Z200"/>
  <c r="X200"/>
  <c r="V200"/>
  <c r="T200"/>
  <c r="R200"/>
  <c r="P200"/>
  <c r="N200"/>
  <c r="L200"/>
  <c r="J200"/>
  <c r="H200"/>
  <c r="F200"/>
  <c r="AF199"/>
  <c r="AD199"/>
  <c r="AB199"/>
  <c r="Z199"/>
  <c r="X199"/>
  <c r="V199"/>
  <c r="T199"/>
  <c r="R199"/>
  <c r="P199"/>
  <c r="N199"/>
  <c r="L199"/>
  <c r="J199"/>
  <c r="H199"/>
  <c r="F199"/>
  <c r="D199"/>
  <c r="AH199" s="1"/>
  <c r="AF198"/>
  <c r="AD198"/>
  <c r="Z198"/>
  <c r="X198"/>
  <c r="V198"/>
  <c r="T198"/>
  <c r="R198"/>
  <c r="P198"/>
  <c r="N198"/>
  <c r="L198"/>
  <c r="J198"/>
  <c r="F198"/>
  <c r="AF197"/>
  <c r="AD197"/>
  <c r="AB197"/>
  <c r="Z197"/>
  <c r="X197"/>
  <c r="V197"/>
  <c r="T197"/>
  <c r="R197"/>
  <c r="P197"/>
  <c r="N197"/>
  <c r="L197"/>
  <c r="J197"/>
  <c r="H197"/>
  <c r="F197"/>
  <c r="D197"/>
  <c r="AH197" s="1"/>
  <c r="AF196"/>
  <c r="AD196"/>
  <c r="Z196"/>
  <c r="X196"/>
  <c r="V196"/>
  <c r="T196"/>
  <c r="R196"/>
  <c r="P196"/>
  <c r="N196"/>
  <c r="L196"/>
  <c r="J196"/>
  <c r="H196"/>
  <c r="F196"/>
  <c r="D196"/>
  <c r="AF195"/>
  <c r="AD195"/>
  <c r="AB195"/>
  <c r="Z195"/>
  <c r="X195"/>
  <c r="V195"/>
  <c r="T195"/>
  <c r="R195"/>
  <c r="P195"/>
  <c r="N195"/>
  <c r="L195"/>
  <c r="J195"/>
  <c r="H195"/>
  <c r="F195"/>
  <c r="D195"/>
  <c r="AH195" s="1"/>
  <c r="AF194"/>
  <c r="AD194"/>
  <c r="AB194"/>
  <c r="Z194"/>
  <c r="X194"/>
  <c r="V194"/>
  <c r="T194"/>
  <c r="R194"/>
  <c r="P194"/>
  <c r="L194"/>
  <c r="J194"/>
  <c r="H194"/>
  <c r="F194"/>
  <c r="D194"/>
  <c r="AF193"/>
  <c r="AD193"/>
  <c r="AB193"/>
  <c r="Z193"/>
  <c r="X193"/>
  <c r="V193"/>
  <c r="T193"/>
  <c r="R193"/>
  <c r="P193"/>
  <c r="N193"/>
  <c r="L193"/>
  <c r="J193"/>
  <c r="H193"/>
  <c r="F193"/>
  <c r="D193"/>
  <c r="AH193" s="1"/>
  <c r="AF192"/>
  <c r="AD192"/>
  <c r="Z192"/>
  <c r="X192"/>
  <c r="V192"/>
  <c r="T192"/>
  <c r="R192"/>
  <c r="P192"/>
  <c r="L192"/>
  <c r="J192"/>
  <c r="H192"/>
  <c r="F192"/>
  <c r="D192"/>
  <c r="AF191"/>
  <c r="AD191"/>
  <c r="Z191"/>
  <c r="X191"/>
  <c r="V191"/>
  <c r="T191"/>
  <c r="R191"/>
  <c r="P191"/>
  <c r="N191"/>
  <c r="L191"/>
  <c r="J191"/>
  <c r="H191"/>
  <c r="F191"/>
  <c r="D191"/>
  <c r="AF190"/>
  <c r="AD190"/>
  <c r="AB190"/>
  <c r="Z190"/>
  <c r="X190"/>
  <c r="V190"/>
  <c r="T190"/>
  <c r="R190"/>
  <c r="P190"/>
  <c r="N190"/>
  <c r="L190"/>
  <c r="J190"/>
  <c r="F190"/>
  <c r="D190"/>
  <c r="AF189"/>
  <c r="AD189"/>
  <c r="Z189"/>
  <c r="X189"/>
  <c r="V189"/>
  <c r="T189"/>
  <c r="R189"/>
  <c r="P189"/>
  <c r="N189"/>
  <c r="L189"/>
  <c r="J189"/>
  <c r="H189"/>
  <c r="F189"/>
  <c r="D189"/>
  <c r="AF188"/>
  <c r="AD188"/>
  <c r="Z188"/>
  <c r="X188"/>
  <c r="V188"/>
  <c r="T188"/>
  <c r="R188"/>
  <c r="P188"/>
  <c r="N188"/>
  <c r="L188"/>
  <c r="J188"/>
  <c r="F188"/>
  <c r="D188"/>
  <c r="AF187"/>
  <c r="AD187"/>
  <c r="Z187"/>
  <c r="X187"/>
  <c r="V187"/>
  <c r="T187"/>
  <c r="R187"/>
  <c r="P187"/>
  <c r="N187"/>
  <c r="L187"/>
  <c r="J187"/>
  <c r="H187"/>
  <c r="F187"/>
  <c r="D187"/>
  <c r="AF186"/>
  <c r="AD186"/>
  <c r="AB186"/>
  <c r="Z186"/>
  <c r="X186"/>
  <c r="V186"/>
  <c r="T186"/>
  <c r="R186"/>
  <c r="P186"/>
  <c r="N186"/>
  <c r="L186"/>
  <c r="J186"/>
  <c r="F186"/>
  <c r="AF185"/>
  <c r="AD185"/>
  <c r="AB185"/>
  <c r="Z185"/>
  <c r="X185"/>
  <c r="T185"/>
  <c r="R185"/>
  <c r="P185"/>
  <c r="N185"/>
  <c r="L185"/>
  <c r="J185"/>
  <c r="H185"/>
  <c r="F185"/>
  <c r="D185"/>
  <c r="AF184"/>
  <c r="AD184"/>
  <c r="AB184"/>
  <c r="Z184"/>
  <c r="X184"/>
  <c r="V184"/>
  <c r="T184"/>
  <c r="R184"/>
  <c r="P184"/>
  <c r="N184"/>
  <c r="L184"/>
  <c r="J184"/>
  <c r="H184"/>
  <c r="F184"/>
  <c r="D184"/>
  <c r="AH184" s="1"/>
  <c r="AF183"/>
  <c r="AD183"/>
  <c r="AB183"/>
  <c r="Z183"/>
  <c r="X183"/>
  <c r="V183"/>
  <c r="T183"/>
  <c r="R183"/>
  <c r="P183"/>
  <c r="N183"/>
  <c r="L183"/>
  <c r="J183"/>
  <c r="H183"/>
  <c r="F183"/>
  <c r="AF182"/>
  <c r="AD182"/>
  <c r="Z182"/>
  <c r="X182"/>
  <c r="V182"/>
  <c r="T182"/>
  <c r="R182"/>
  <c r="P182"/>
  <c r="N182"/>
  <c r="L182"/>
  <c r="J182"/>
  <c r="F182"/>
  <c r="D182"/>
  <c r="AF181"/>
  <c r="AD181"/>
  <c r="AB181"/>
  <c r="Z181"/>
  <c r="X181"/>
  <c r="V181"/>
  <c r="T181"/>
  <c r="R181"/>
  <c r="P181"/>
  <c r="N181"/>
  <c r="L181"/>
  <c r="J181"/>
  <c r="F181"/>
  <c r="D181"/>
  <c r="AF180"/>
  <c r="AD180"/>
  <c r="AB180"/>
  <c r="Z180"/>
  <c r="X180"/>
  <c r="V180"/>
  <c r="T180"/>
  <c r="R180"/>
  <c r="P180"/>
  <c r="L180"/>
  <c r="J180"/>
  <c r="H180"/>
  <c r="F180"/>
  <c r="AF179"/>
  <c r="AD179"/>
  <c r="Z179"/>
  <c r="X179"/>
  <c r="V179"/>
  <c r="T179"/>
  <c r="R179"/>
  <c r="P179"/>
  <c r="N179"/>
  <c r="L179"/>
  <c r="J179"/>
  <c r="F179"/>
  <c r="D179"/>
  <c r="AF178"/>
  <c r="AD178"/>
  <c r="Z178"/>
  <c r="X178"/>
  <c r="V178"/>
  <c r="T178"/>
  <c r="R178"/>
  <c r="P178"/>
  <c r="N178"/>
  <c r="L178"/>
  <c r="J178"/>
  <c r="F178"/>
  <c r="D178"/>
  <c r="AF177"/>
  <c r="AD177"/>
  <c r="AB177"/>
  <c r="Z177"/>
  <c r="X177"/>
  <c r="V177"/>
  <c r="T177"/>
  <c r="R177"/>
  <c r="P177"/>
  <c r="N177"/>
  <c r="L177"/>
  <c r="J177"/>
  <c r="H177"/>
  <c r="F177"/>
  <c r="D177"/>
  <c r="AH177" s="1"/>
  <c r="AF176"/>
  <c r="AD176"/>
  <c r="AB176"/>
  <c r="Z176"/>
  <c r="X176"/>
  <c r="V176"/>
  <c r="T176"/>
  <c r="R176"/>
  <c r="P176"/>
  <c r="N176"/>
  <c r="L176"/>
  <c r="J176"/>
  <c r="F176"/>
  <c r="D176"/>
  <c r="AF175"/>
  <c r="AD175"/>
  <c r="AB175"/>
  <c r="Z175"/>
  <c r="X175"/>
  <c r="V175"/>
  <c r="T175"/>
  <c r="R175"/>
  <c r="P175"/>
  <c r="N175"/>
  <c r="L175"/>
  <c r="J175"/>
  <c r="F175"/>
  <c r="D175"/>
  <c r="AF174"/>
  <c r="AD174"/>
  <c r="Z174"/>
  <c r="X174"/>
  <c r="V174"/>
  <c r="T174"/>
  <c r="R174"/>
  <c r="P174"/>
  <c r="N174"/>
  <c r="L174"/>
  <c r="J174"/>
  <c r="H174"/>
  <c r="F174"/>
  <c r="D174"/>
  <c r="AF173"/>
  <c r="AD173"/>
  <c r="Z173"/>
  <c r="X173"/>
  <c r="T173"/>
  <c r="R173"/>
  <c r="P173"/>
  <c r="N173"/>
  <c r="L173"/>
  <c r="J173"/>
  <c r="F173"/>
  <c r="D173"/>
  <c r="AF172"/>
  <c r="AD172"/>
  <c r="AB172"/>
  <c r="Z172"/>
  <c r="X172"/>
  <c r="V172"/>
  <c r="T172"/>
  <c r="R172"/>
  <c r="P172"/>
  <c r="N172"/>
  <c r="L172"/>
  <c r="J172"/>
  <c r="H172"/>
  <c r="F172"/>
  <c r="AF171"/>
  <c r="AD171"/>
  <c r="AB171"/>
  <c r="Z171"/>
  <c r="X171"/>
  <c r="V171"/>
  <c r="T171"/>
  <c r="R171"/>
  <c r="P171"/>
  <c r="N171"/>
  <c r="L171"/>
  <c r="J171"/>
  <c r="H171"/>
  <c r="F171"/>
  <c r="D171"/>
  <c r="AH171" s="1"/>
  <c r="AF170"/>
  <c r="AD170"/>
  <c r="AB170"/>
  <c r="Z170"/>
  <c r="X170"/>
  <c r="V170"/>
  <c r="T170"/>
  <c r="R170"/>
  <c r="P170"/>
  <c r="N170"/>
  <c r="L170"/>
  <c r="J170"/>
  <c r="H170"/>
  <c r="F170"/>
  <c r="D170"/>
  <c r="AH170" s="1"/>
  <c r="AF169"/>
  <c r="AD169"/>
  <c r="AB169"/>
  <c r="Z169"/>
  <c r="X169"/>
  <c r="V169"/>
  <c r="T169"/>
  <c r="R169"/>
  <c r="P169"/>
  <c r="N169"/>
  <c r="L169"/>
  <c r="J169"/>
  <c r="F169"/>
  <c r="AF168"/>
  <c r="AD168"/>
  <c r="AB168"/>
  <c r="Z168"/>
  <c r="X168"/>
  <c r="V168"/>
  <c r="T168"/>
  <c r="R168"/>
  <c r="P168"/>
  <c r="N168"/>
  <c r="L168"/>
  <c r="J168"/>
  <c r="F168"/>
  <c r="AF167"/>
  <c r="AD167"/>
  <c r="Z167"/>
  <c r="X167"/>
  <c r="V167"/>
  <c r="T167"/>
  <c r="R167"/>
  <c r="P167"/>
  <c r="N167"/>
  <c r="L167"/>
  <c r="J167"/>
  <c r="H167"/>
  <c r="F167"/>
  <c r="D167"/>
  <c r="AF166"/>
  <c r="AD166"/>
  <c r="Z166"/>
  <c r="X166"/>
  <c r="T166"/>
  <c r="R166"/>
  <c r="P166"/>
  <c r="L166"/>
  <c r="J166"/>
  <c r="F166"/>
  <c r="AF165"/>
  <c r="AD165"/>
  <c r="Z165"/>
  <c r="X165"/>
  <c r="V165"/>
  <c r="T165"/>
  <c r="R165"/>
  <c r="P165"/>
  <c r="N165"/>
  <c r="L165"/>
  <c r="J165"/>
  <c r="F165"/>
  <c r="D165"/>
  <c r="AF164"/>
  <c r="AD164"/>
  <c r="AB164"/>
  <c r="Z164"/>
  <c r="X164"/>
  <c r="V164"/>
  <c r="T164"/>
  <c r="R164"/>
  <c r="P164"/>
  <c r="N164"/>
  <c r="L164"/>
  <c r="J164"/>
  <c r="H164"/>
  <c r="F164"/>
  <c r="AF163"/>
  <c r="AD163"/>
  <c r="AB163"/>
  <c r="Z163"/>
  <c r="X163"/>
  <c r="V163"/>
  <c r="T163"/>
  <c r="R163"/>
  <c r="P163"/>
  <c r="N163"/>
  <c r="L163"/>
  <c r="J163"/>
  <c r="H163"/>
  <c r="F163"/>
  <c r="D163"/>
  <c r="AH163" s="1"/>
  <c r="AF162"/>
  <c r="AD162"/>
  <c r="Z162"/>
  <c r="X162"/>
  <c r="V162"/>
  <c r="T162"/>
  <c r="R162"/>
  <c r="P162"/>
  <c r="N162"/>
  <c r="L162"/>
  <c r="J162"/>
  <c r="H162"/>
  <c r="F162"/>
  <c r="D162"/>
  <c r="AF161"/>
  <c r="AD161"/>
  <c r="AB161"/>
  <c r="Z161"/>
  <c r="X161"/>
  <c r="V161"/>
  <c r="T161"/>
  <c r="R161"/>
  <c r="P161"/>
  <c r="N161"/>
  <c r="L161"/>
  <c r="J161"/>
  <c r="H161"/>
  <c r="F161"/>
  <c r="AF160"/>
  <c r="AD160"/>
  <c r="Z160"/>
  <c r="X160"/>
  <c r="V160"/>
  <c r="T160"/>
  <c r="R160"/>
  <c r="P160"/>
  <c r="N160"/>
  <c r="L160"/>
  <c r="J160"/>
  <c r="H160"/>
  <c r="F160"/>
  <c r="D160"/>
  <c r="AF159"/>
  <c r="AD159"/>
  <c r="AB159"/>
  <c r="Z159"/>
  <c r="X159"/>
  <c r="V159"/>
  <c r="T159"/>
  <c r="R159"/>
  <c r="P159"/>
  <c r="N159"/>
  <c r="L159"/>
  <c r="J159"/>
  <c r="F159"/>
  <c r="D159"/>
  <c r="AF158"/>
  <c r="AD158"/>
  <c r="AB158"/>
  <c r="Z158"/>
  <c r="X158"/>
  <c r="V158"/>
  <c r="T158"/>
  <c r="R158"/>
  <c r="P158"/>
  <c r="N158"/>
  <c r="L158"/>
  <c r="J158"/>
  <c r="H158"/>
  <c r="F158"/>
  <c r="D158"/>
  <c r="AH158" s="1"/>
  <c r="AF157"/>
  <c r="AD157"/>
  <c r="Z157"/>
  <c r="X157"/>
  <c r="V157"/>
  <c r="T157"/>
  <c r="R157"/>
  <c r="P157"/>
  <c r="L157"/>
  <c r="J157"/>
  <c r="F157"/>
  <c r="D157"/>
  <c r="AF156"/>
  <c r="AD156"/>
  <c r="Z156"/>
  <c r="X156"/>
  <c r="V156"/>
  <c r="T156"/>
  <c r="R156"/>
  <c r="P156"/>
  <c r="L156"/>
  <c r="J156"/>
  <c r="F156"/>
  <c r="D156"/>
  <c r="AF155"/>
  <c r="AD155"/>
  <c r="AB155"/>
  <c r="Z155"/>
  <c r="X155"/>
  <c r="V155"/>
  <c r="T155"/>
  <c r="R155"/>
  <c r="P155"/>
  <c r="N155"/>
  <c r="L155"/>
  <c r="J155"/>
  <c r="F155"/>
  <c r="D155"/>
  <c r="AF154"/>
  <c r="AD154"/>
  <c r="AB154"/>
  <c r="Z154"/>
  <c r="X154"/>
  <c r="V154"/>
  <c r="T154"/>
  <c r="R154"/>
  <c r="P154"/>
  <c r="N154"/>
  <c r="L154"/>
  <c r="J154"/>
  <c r="F154"/>
  <c r="AF153"/>
  <c r="AD153"/>
  <c r="AB153"/>
  <c r="Z153"/>
  <c r="X153"/>
  <c r="V153"/>
  <c r="T153"/>
  <c r="P153"/>
  <c r="L153"/>
  <c r="J153"/>
  <c r="H153"/>
  <c r="F153"/>
  <c r="D153"/>
  <c r="AF152"/>
  <c r="AD152"/>
  <c r="AB152"/>
  <c r="Z152"/>
  <c r="X152"/>
  <c r="V152"/>
  <c r="T152"/>
  <c r="R152"/>
  <c r="P152"/>
  <c r="N152"/>
  <c r="L152"/>
  <c r="J152"/>
  <c r="H152"/>
  <c r="F152"/>
  <c r="AF151"/>
  <c r="AD151"/>
  <c r="AB151"/>
  <c r="Z151"/>
  <c r="X151"/>
  <c r="V151"/>
  <c r="T151"/>
  <c r="R151"/>
  <c r="P151"/>
  <c r="N151"/>
  <c r="L151"/>
  <c r="J151"/>
  <c r="F151"/>
  <c r="D151"/>
  <c r="AF150"/>
  <c r="AD150"/>
  <c r="AB150"/>
  <c r="Z150"/>
  <c r="X150"/>
  <c r="V150"/>
  <c r="T150"/>
  <c r="R150"/>
  <c r="P150"/>
  <c r="N150"/>
  <c r="L150"/>
  <c r="J150"/>
  <c r="H150"/>
  <c r="F150"/>
  <c r="D150"/>
  <c r="AH150" s="1"/>
  <c r="AF149"/>
  <c r="AD149"/>
  <c r="AB149"/>
  <c r="Z149"/>
  <c r="X149"/>
  <c r="V149"/>
  <c r="T149"/>
  <c r="R149"/>
  <c r="P149"/>
  <c r="L149"/>
  <c r="J149"/>
  <c r="H149"/>
  <c r="F149"/>
  <c r="AF148"/>
  <c r="AD148"/>
  <c r="Z148"/>
  <c r="X148"/>
  <c r="V148"/>
  <c r="T148"/>
  <c r="R148"/>
  <c r="P148"/>
  <c r="N148"/>
  <c r="L148"/>
  <c r="J148"/>
  <c r="H148"/>
  <c r="F148"/>
  <c r="AF147"/>
  <c r="AD147"/>
  <c r="Z147"/>
  <c r="X147"/>
  <c r="V147"/>
  <c r="T147"/>
  <c r="R147"/>
  <c r="P147"/>
  <c r="N147"/>
  <c r="L147"/>
  <c r="J147"/>
  <c r="F147"/>
  <c r="D147"/>
  <c r="H126"/>
  <c r="AF115"/>
  <c r="AD115"/>
  <c r="AB115"/>
  <c r="Z115"/>
  <c r="X115"/>
  <c r="V115"/>
  <c r="T115"/>
  <c r="R115"/>
  <c r="P115"/>
  <c r="N115"/>
  <c r="L115"/>
  <c r="J115"/>
  <c r="H115"/>
  <c r="F115"/>
  <c r="D115"/>
  <c r="AH115" s="1"/>
  <c r="AF100"/>
  <c r="AD100"/>
  <c r="AB100"/>
  <c r="Z100"/>
  <c r="X100"/>
  <c r="V100"/>
  <c r="T100"/>
  <c r="R100"/>
  <c r="P100"/>
  <c r="N100"/>
  <c r="L100"/>
  <c r="J100"/>
  <c r="H100"/>
  <c r="F100"/>
  <c r="D100"/>
  <c r="AH100" s="1"/>
  <c r="AB88"/>
  <c r="V88"/>
  <c r="R88"/>
  <c r="H88"/>
  <c r="D88"/>
  <c r="AB78"/>
  <c r="V78"/>
  <c r="R78"/>
  <c r="N78"/>
  <c r="R35"/>
  <c r="D35"/>
  <c r="AG29" i="1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G217"/>
  <c r="AG218"/>
  <c r="AG219"/>
  <c r="AG220"/>
  <c r="AG221"/>
  <c r="AG222"/>
  <c r="AG223"/>
  <c r="AG224"/>
  <c r="AG225"/>
  <c r="AG226"/>
  <c r="AG227"/>
  <c r="AG228"/>
  <c r="AG229"/>
  <c r="AG230"/>
  <c r="AG231"/>
  <c r="AG232"/>
  <c r="AG233"/>
  <c r="AG234"/>
  <c r="AG235"/>
  <c r="AG236"/>
  <c r="AG237"/>
  <c r="AG238"/>
  <c r="AG239"/>
  <c r="AG240"/>
  <c r="AG241"/>
  <c r="AG242"/>
  <c r="AG243"/>
  <c r="AG244"/>
  <c r="AG245"/>
  <c r="AG246"/>
  <c r="AG247"/>
  <c r="AG248"/>
  <c r="AG249"/>
  <c r="AG250"/>
  <c r="AG251"/>
  <c r="AG252"/>
  <c r="AG253"/>
  <c r="AG254"/>
  <c r="AG255"/>
  <c r="AG256"/>
  <c r="AG257"/>
  <c r="AG258"/>
  <c r="AG259"/>
  <c r="AG260"/>
  <c r="AG261"/>
  <c r="AG262"/>
  <c r="AG263"/>
  <c r="AG264"/>
  <c r="AG265"/>
  <c r="AG266"/>
  <c r="AG267"/>
  <c r="AG268"/>
  <c r="AG269"/>
  <c r="AG270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E217"/>
  <c r="AE218"/>
  <c r="AE219"/>
  <c r="AE220"/>
  <c r="AE221"/>
  <c r="AE222"/>
  <c r="AE223"/>
  <c r="AE224"/>
  <c r="AE225"/>
  <c r="AE226"/>
  <c r="AE227"/>
  <c r="AE228"/>
  <c r="AE229"/>
  <c r="AE230"/>
  <c r="AE231"/>
  <c r="AE232"/>
  <c r="AE233"/>
  <c r="AE234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59"/>
  <c r="AE260"/>
  <c r="AE261"/>
  <c r="AE262"/>
  <c r="AE263"/>
  <c r="AE264"/>
  <c r="AE265"/>
  <c r="AE266"/>
  <c r="AE267"/>
  <c r="AE268"/>
  <c r="AE269"/>
  <c r="AE270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35"/>
  <c r="AC236"/>
  <c r="AC237"/>
  <c r="AC238"/>
  <c r="AC239"/>
  <c r="AC240"/>
  <c r="AC241"/>
  <c r="AC242"/>
  <c r="AC243"/>
  <c r="AC244"/>
  <c r="AC245"/>
  <c r="AC246"/>
  <c r="AC247"/>
  <c r="AC248"/>
  <c r="AC249"/>
  <c r="AC250"/>
  <c r="AC251"/>
  <c r="AC252"/>
  <c r="AC253"/>
  <c r="AC254"/>
  <c r="AC255"/>
  <c r="AC256"/>
  <c r="AC257"/>
  <c r="AC258"/>
  <c r="AC259"/>
  <c r="AC260"/>
  <c r="AC261"/>
  <c r="AC262"/>
  <c r="AC263"/>
  <c r="AC264"/>
  <c r="AC265"/>
  <c r="AC266"/>
  <c r="AC267"/>
  <c r="AC268"/>
  <c r="AC269"/>
  <c r="AC270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AA217"/>
  <c r="AA218"/>
  <c r="AA219"/>
  <c r="AA220"/>
  <c r="AA221"/>
  <c r="AA222"/>
  <c r="AA223"/>
  <c r="AA224"/>
  <c r="AA225"/>
  <c r="AA226"/>
  <c r="AA227"/>
  <c r="AA228"/>
  <c r="AA229"/>
  <c r="AA230"/>
  <c r="AA231"/>
  <c r="AA232"/>
  <c r="AA233"/>
  <c r="AA234"/>
  <c r="AA235"/>
  <c r="AA236"/>
  <c r="AA237"/>
  <c r="AA238"/>
  <c r="AA239"/>
  <c r="AA240"/>
  <c r="AA241"/>
  <c r="AA242"/>
  <c r="AA243"/>
  <c r="AA244"/>
  <c r="AA245"/>
  <c r="AA246"/>
  <c r="AA247"/>
  <c r="AA248"/>
  <c r="AA249"/>
  <c r="AA250"/>
  <c r="AA251"/>
  <c r="AA252"/>
  <c r="AA253"/>
  <c r="AA254"/>
  <c r="AA255"/>
  <c r="AA256"/>
  <c r="AA257"/>
  <c r="AA258"/>
  <c r="AA259"/>
  <c r="AA260"/>
  <c r="AA261"/>
  <c r="AA262"/>
  <c r="AA263"/>
  <c r="AA264"/>
  <c r="AA265"/>
  <c r="AA266"/>
  <c r="AA267"/>
  <c r="AA268"/>
  <c r="AA269"/>
  <c r="AA270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1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AF12"/>
  <c r="AF5" s="1"/>
  <c r="AB12"/>
  <c r="AB5" s="1"/>
  <c r="V12"/>
  <c r="V5" s="1"/>
  <c r="R12"/>
  <c r="R5" s="1"/>
  <c r="N12"/>
  <c r="N5" s="1"/>
  <c r="H12"/>
  <c r="H5" s="1"/>
  <c r="D12"/>
  <c r="D5" s="1"/>
  <c r="AF10"/>
  <c r="AF9"/>
  <c r="AF8"/>
  <c r="AF6"/>
  <c r="AB10"/>
  <c r="AB9"/>
  <c r="AB8"/>
  <c r="AB6"/>
  <c r="V10"/>
  <c r="V9"/>
  <c r="V8"/>
  <c r="V6"/>
  <c r="R10"/>
  <c r="R9"/>
  <c r="R8"/>
  <c r="R6"/>
  <c r="N10"/>
  <c r="N9"/>
  <c r="N8"/>
  <c r="N6"/>
  <c r="H10"/>
  <c r="H9"/>
  <c r="H8"/>
  <c r="H6"/>
  <c r="D10"/>
  <c r="D9"/>
  <c r="D8"/>
  <c r="D6"/>
  <c r="AG200" i="4"/>
  <c r="AI200" s="1"/>
  <c r="AG192"/>
  <c r="AI192" s="1"/>
  <c r="AG184"/>
  <c r="AI184" s="1"/>
  <c r="AG173"/>
  <c r="AI173" s="1"/>
  <c r="AG168"/>
  <c r="AI168" s="1"/>
  <c r="AG160"/>
  <c r="AI160" s="1"/>
  <c r="AG151"/>
  <c r="AI151" s="1"/>
  <c r="AG139"/>
  <c r="AI139" s="1"/>
  <c r="AG129"/>
  <c r="AI129" s="1"/>
  <c r="AG120"/>
  <c r="AI120" s="1"/>
  <c r="AG109"/>
  <c r="AI109" s="1"/>
  <c r="AG98"/>
  <c r="AI98" s="1"/>
  <c r="AG86"/>
  <c r="AI86" s="1"/>
  <c r="AG78"/>
  <c r="AI78" s="1"/>
  <c r="AG68"/>
  <c r="AI68" s="1"/>
  <c r="AG60"/>
  <c r="AI60" s="1"/>
  <c r="AG52"/>
  <c r="AI52" s="1"/>
  <c r="AG42"/>
  <c r="AI42" s="1"/>
  <c r="AG34"/>
  <c r="AI34" s="1"/>
  <c r="AG26"/>
  <c r="AI26" s="1"/>
  <c r="AG18"/>
  <c r="AI18" s="1"/>
  <c r="AG2"/>
  <c r="AH159" i="1"/>
  <c r="AH227"/>
  <c r="AH56"/>
  <c r="AH129"/>
  <c r="AH198"/>
  <c r="AH265"/>
  <c r="AH91"/>
  <c r="AH166"/>
  <c r="AH233"/>
  <c r="AH58"/>
  <c r="AH131"/>
  <c r="AH200"/>
  <c r="AH267"/>
  <c r="AH128"/>
  <c r="AH197"/>
  <c r="AH264"/>
  <c r="AH97"/>
  <c r="AH169"/>
  <c r="AH236"/>
  <c r="AH61"/>
  <c r="AH135"/>
  <c r="AH203"/>
  <c r="AH270"/>
  <c r="AH99"/>
  <c r="AH171"/>
  <c r="AH238"/>
  <c r="AH63"/>
  <c r="AH132"/>
  <c r="AH268"/>
  <c r="AH155"/>
  <c r="AH48"/>
  <c r="AH191"/>
  <c r="AH84"/>
  <c r="AH226"/>
  <c r="AH154"/>
  <c r="AH52"/>
  <c r="AH194"/>
  <c r="AH87"/>
  <c r="AH229"/>
  <c r="AH127"/>
  <c r="AG201" i="4"/>
  <c r="AI201" s="1"/>
  <c r="AG194"/>
  <c r="AI194" s="1"/>
  <c r="AG180"/>
  <c r="AI180" s="1"/>
  <c r="AG176"/>
  <c r="AI176" s="1"/>
  <c r="AG163"/>
  <c r="AI163" s="1"/>
  <c r="AG154"/>
  <c r="AI154" s="1"/>
  <c r="AG149"/>
  <c r="AI149" s="1"/>
  <c r="AG144"/>
  <c r="AI144" s="1"/>
  <c r="AG136"/>
  <c r="AI136" s="1"/>
  <c r="AG126"/>
  <c r="AI126" s="1"/>
  <c r="AG118"/>
  <c r="AI118" s="1"/>
  <c r="AG110"/>
  <c r="AI110" s="1"/>
  <c r="AG101"/>
  <c r="AI101" s="1"/>
  <c r="AG91"/>
  <c r="AI91" s="1"/>
  <c r="AG83"/>
  <c r="AI83" s="1"/>
  <c r="AG75"/>
  <c r="AI75" s="1"/>
  <c r="AG65"/>
  <c r="AI65" s="1"/>
  <c r="AG57"/>
  <c r="AI57" s="1"/>
  <c r="AG48"/>
  <c r="AI48" s="1"/>
  <c r="AG39"/>
  <c r="AI39" s="1"/>
  <c r="AG31"/>
  <c r="AI31" s="1"/>
  <c r="AG23"/>
  <c r="AI23" s="1"/>
  <c r="AG15"/>
  <c r="AI15" s="1"/>
  <c r="AG7"/>
  <c r="AI7" s="1"/>
  <c r="AH150" i="1"/>
  <c r="AH47"/>
  <c r="AH190"/>
  <c r="AH28"/>
  <c r="AH241"/>
  <c r="AH140"/>
  <c r="AH31"/>
  <c r="AH205"/>
  <c r="AH105"/>
  <c r="AH244"/>
  <c r="AH143"/>
  <c r="AH34"/>
  <c r="AH179"/>
  <c r="AH72"/>
  <c r="AH263"/>
  <c r="AG206" i="4"/>
  <c r="AI206" s="1"/>
  <c r="AG197"/>
  <c r="AI197" s="1"/>
  <c r="AG190"/>
  <c r="AI190" s="1"/>
  <c r="AG183"/>
  <c r="AI183" s="1"/>
  <c r="AG171"/>
  <c r="AI171" s="1"/>
  <c r="AG167"/>
  <c r="AI167" s="1"/>
  <c r="AG158"/>
  <c r="AI158" s="1"/>
  <c r="AG145"/>
  <c r="AI145" s="1"/>
  <c r="AG137"/>
  <c r="AI137" s="1"/>
  <c r="AG127"/>
  <c r="AI127" s="1"/>
  <c r="AG117"/>
  <c r="AI117" s="1"/>
  <c r="AG106"/>
  <c r="AI106" s="1"/>
  <c r="AG95"/>
  <c r="AI95" s="1"/>
  <c r="AG84"/>
  <c r="AI84" s="1"/>
  <c r="AG76"/>
  <c r="AI76" s="1"/>
  <c r="AG66"/>
  <c r="AI66" s="1"/>
  <c r="AG58"/>
  <c r="AI58" s="1"/>
  <c r="AG49"/>
  <c r="AI49" s="1"/>
  <c r="AG40"/>
  <c r="AI40" s="1"/>
  <c r="AG32"/>
  <c r="AI32" s="1"/>
  <c r="AG24"/>
  <c r="AI24" s="1"/>
  <c r="AG16"/>
  <c r="AI16" s="1"/>
  <c r="AG8"/>
  <c r="AI8" s="1"/>
  <c r="AH104" i="1"/>
  <c r="AH176"/>
  <c r="AH243"/>
  <c r="AH73"/>
  <c r="AH147"/>
  <c r="AH215"/>
  <c r="AH38"/>
  <c r="AH110"/>
  <c r="AH182"/>
  <c r="AH250"/>
  <c r="AH75"/>
  <c r="AH149"/>
  <c r="AH218"/>
  <c r="AH42"/>
  <c r="AH146"/>
  <c r="AH214"/>
  <c r="AH43"/>
  <c r="AH114"/>
  <c r="AH185"/>
  <c r="AH253"/>
  <c r="AH79"/>
  <c r="AH152"/>
  <c r="AH221"/>
  <c r="AH45"/>
  <c r="AH117"/>
  <c r="AH187"/>
  <c r="AH255"/>
  <c r="AH81"/>
  <c r="AH168"/>
  <c r="AH64"/>
  <c r="AH206"/>
  <c r="AH83"/>
  <c r="AH225"/>
  <c r="AH123"/>
  <c r="AH259"/>
  <c r="AH189"/>
  <c r="AH86"/>
  <c r="AH228"/>
  <c r="AH106"/>
  <c r="AH262"/>
  <c r="AH163"/>
  <c r="AG202" i="4"/>
  <c r="AI202" s="1"/>
  <c r="AG195"/>
  <c r="AI195" s="1"/>
  <c r="AG185"/>
  <c r="AI185" s="1"/>
  <c r="AG177"/>
  <c r="AI177" s="1"/>
  <c r="AG166"/>
  <c r="AI166" s="1"/>
  <c r="AG156"/>
  <c r="AI156" s="1"/>
  <c r="AG150"/>
  <c r="AI150" s="1"/>
  <c r="AG146"/>
  <c r="AI146" s="1"/>
  <c r="AG138"/>
  <c r="AI138" s="1"/>
  <c r="AG128"/>
  <c r="AI128" s="1"/>
  <c r="AG121"/>
  <c r="AI121" s="1"/>
  <c r="AG112"/>
  <c r="AI112" s="1"/>
  <c r="AG103"/>
  <c r="AI103" s="1"/>
  <c r="AG94"/>
  <c r="AI94" s="1"/>
  <c r="AG81"/>
  <c r="AI81" s="1"/>
  <c r="AG63"/>
  <c r="AI63" s="1"/>
  <c r="AG55"/>
  <c r="AI55" s="1"/>
  <c r="AG46"/>
  <c r="AI46" s="1"/>
  <c r="AG37"/>
  <c r="AI37" s="1"/>
  <c r="AG29"/>
  <c r="AI29" s="1"/>
  <c r="AG17"/>
  <c r="AI17" s="1"/>
  <c r="AG5"/>
  <c r="AI5" s="1"/>
  <c r="AH184" i="1"/>
  <c r="AH101"/>
  <c r="AH224"/>
  <c r="AH139"/>
  <c r="AH30"/>
  <c r="AH175"/>
  <c r="AH94"/>
  <c r="AH239"/>
  <c r="AH142"/>
  <c r="AH53"/>
  <c r="AH178"/>
  <c r="AH70"/>
  <c r="AH213"/>
  <c r="AH50"/>
  <c r="AH55"/>
  <c r="AG193" i="4"/>
  <c r="AI193" s="1"/>
  <c r="AG169"/>
  <c r="AI169" s="1"/>
  <c r="AG155"/>
  <c r="AI155" s="1"/>
  <c r="AG131"/>
  <c r="AI131" s="1"/>
  <c r="AG111"/>
  <c r="AI111" s="1"/>
  <c r="AG90"/>
  <c r="AI90" s="1"/>
  <c r="AG72"/>
  <c r="AI72" s="1"/>
  <c r="AG62"/>
  <c r="AI62" s="1"/>
  <c r="AG44"/>
  <c r="AI44" s="1"/>
  <c r="AG28"/>
  <c r="AI28" s="1"/>
  <c r="AG4"/>
  <c r="AI4" s="1"/>
  <c r="AH210" i="1"/>
  <c r="AH109"/>
  <c r="AH181"/>
  <c r="AH74"/>
  <c r="AH216"/>
  <c r="AH112"/>
  <c r="AH251"/>
  <c r="AH180"/>
  <c r="AH78"/>
  <c r="AH220"/>
  <c r="AH116"/>
  <c r="AH254"/>
  <c r="AH153"/>
  <c r="AH46"/>
  <c r="AH235"/>
  <c r="AH257"/>
  <c r="AH49"/>
  <c r="AH118"/>
  <c r="AH161"/>
  <c r="AH195"/>
  <c r="AG208" i="4"/>
  <c r="AI208" s="1"/>
  <c r="AG189"/>
  <c r="AI189" s="1"/>
  <c r="AG174"/>
  <c r="AI174" s="1"/>
  <c r="AG153"/>
  <c r="AI153" s="1"/>
  <c r="AG142"/>
  <c r="AI142" s="1"/>
  <c r="AG125"/>
  <c r="AI125" s="1"/>
  <c r="AG107"/>
  <c r="AI107" s="1"/>
  <c r="AG88"/>
  <c r="AI88" s="1"/>
  <c r="AG59"/>
  <c r="AI59" s="1"/>
  <c r="AG41"/>
  <c r="AI41" s="1"/>
  <c r="AG21"/>
  <c r="AI21" s="1"/>
  <c r="AH113" i="1"/>
  <c r="AH173"/>
  <c r="AH207"/>
  <c r="AH242"/>
  <c r="AH68"/>
  <c r="AH126"/>
  <c r="AH144"/>
  <c r="AH230"/>
  <c r="AG205" i="4"/>
  <c r="AI205" s="1"/>
  <c r="AG196"/>
  <c r="AI196" s="1"/>
  <c r="AG188"/>
  <c r="AI188" s="1"/>
  <c r="AG181"/>
  <c r="AI181" s="1"/>
  <c r="AG170"/>
  <c r="AI170" s="1"/>
  <c r="AG165"/>
  <c r="AI165" s="1"/>
  <c r="AG157"/>
  <c r="AI157" s="1"/>
  <c r="AG143"/>
  <c r="AI143" s="1"/>
  <c r="AG135"/>
  <c r="AI135" s="1"/>
  <c r="AG124"/>
  <c r="AI124" s="1"/>
  <c r="AG113"/>
  <c r="AI113" s="1"/>
  <c r="AG104"/>
  <c r="AI104" s="1"/>
  <c r="AG92"/>
  <c r="AI92" s="1"/>
  <c r="AG82"/>
  <c r="AI82" s="1"/>
  <c r="AG74"/>
  <c r="AI74" s="1"/>
  <c r="AG64"/>
  <c r="AI64" s="1"/>
  <c r="AG56"/>
  <c r="AI56" s="1"/>
  <c r="AG47"/>
  <c r="AI47" s="1"/>
  <c r="AG38"/>
  <c r="AI38" s="1"/>
  <c r="AG30"/>
  <c r="AI30" s="1"/>
  <c r="AG22"/>
  <c r="AI22" s="1"/>
  <c r="AG6"/>
  <c r="AI6" s="1"/>
  <c r="AH124" i="1"/>
  <c r="AH193"/>
  <c r="AH260"/>
  <c r="AH90"/>
  <c r="AH165"/>
  <c r="AH232"/>
  <c r="AH57"/>
  <c r="AH130"/>
  <c r="AH199"/>
  <c r="AH266"/>
  <c r="AH92"/>
  <c r="AH167"/>
  <c r="AH234"/>
  <c r="AH77"/>
  <c r="AH164"/>
  <c r="AH231"/>
  <c r="AH60"/>
  <c r="AH133"/>
  <c r="AH202"/>
  <c r="AH269"/>
  <c r="AH98"/>
  <c r="AH170"/>
  <c r="AH237"/>
  <c r="AH62"/>
  <c r="AH136"/>
  <c r="AH204"/>
  <c r="AH102"/>
  <c r="AH100"/>
  <c r="AH201"/>
  <c r="AH82"/>
  <c r="AH240"/>
  <c r="AH121"/>
  <c r="AH258"/>
  <c r="AH157"/>
  <c r="AH59"/>
  <c r="AH223"/>
  <c r="AH125"/>
  <c r="AH261"/>
  <c r="AH162"/>
  <c r="AH54"/>
  <c r="AG207" i="4"/>
  <c r="AI207" s="1"/>
  <c r="AG198"/>
  <c r="AI198" s="1"/>
  <c r="AG186"/>
  <c r="AI186" s="1"/>
  <c r="AG178"/>
  <c r="AI178" s="1"/>
  <c r="AG172"/>
  <c r="AI172" s="1"/>
  <c r="AG159"/>
  <c r="AI159" s="1"/>
  <c r="AG152"/>
  <c r="AI152" s="1"/>
  <c r="AG147"/>
  <c r="AI147" s="1"/>
  <c r="AG140"/>
  <c r="AI140" s="1"/>
  <c r="AG130"/>
  <c r="AI130" s="1"/>
  <c r="AG123"/>
  <c r="AI123" s="1"/>
  <c r="AG114"/>
  <c r="AI114" s="1"/>
  <c r="AG105"/>
  <c r="AI105" s="1"/>
  <c r="AG97"/>
  <c r="AI97" s="1"/>
  <c r="AG87"/>
  <c r="AI87" s="1"/>
  <c r="AG79"/>
  <c r="AI79" s="1"/>
  <c r="AG71"/>
  <c r="AI71" s="1"/>
  <c r="AG61"/>
  <c r="AI61" s="1"/>
  <c r="AG53"/>
  <c r="AI53" s="1"/>
  <c r="AG43"/>
  <c r="AI43" s="1"/>
  <c r="AG35"/>
  <c r="AI35" s="1"/>
  <c r="AG27"/>
  <c r="AI27" s="1"/>
  <c r="AG19"/>
  <c r="AI19" s="1"/>
  <c r="AG11"/>
  <c r="AI11" s="1"/>
  <c r="AG3"/>
  <c r="AI3" s="1"/>
  <c r="AH219" i="1"/>
  <c r="AH138"/>
  <c r="AH29"/>
  <c r="AH174"/>
  <c r="AH66"/>
  <c r="AH209"/>
  <c r="AH137"/>
  <c r="AH32"/>
  <c r="AH177"/>
  <c r="AH69"/>
  <c r="AH212"/>
  <c r="AH107"/>
  <c r="AH247"/>
  <c r="AH196"/>
  <c r="AH89"/>
  <c r="AG203" i="4"/>
  <c r="AI203" s="1"/>
  <c r="AG187"/>
  <c r="AI187" s="1"/>
  <c r="AG175"/>
  <c r="AI175" s="1"/>
  <c r="AG164"/>
  <c r="AI164" s="1"/>
  <c r="AG141"/>
  <c r="AI141" s="1"/>
  <c r="AG122"/>
  <c r="AI122" s="1"/>
  <c r="AG102"/>
  <c r="AI102" s="1"/>
  <c r="AG80"/>
  <c r="AI80" s="1"/>
  <c r="AG54"/>
  <c r="AI54" s="1"/>
  <c r="AG36"/>
  <c r="AI36" s="1"/>
  <c r="AG20"/>
  <c r="AI20" s="1"/>
  <c r="AG12"/>
  <c r="AI12" s="1"/>
  <c r="AH141" i="1"/>
  <c r="AH37"/>
  <c r="AH249"/>
  <c r="AH148"/>
  <c r="AH41"/>
  <c r="AH183"/>
  <c r="AH108"/>
  <c r="AH248"/>
  <c r="AH151"/>
  <c r="AH44"/>
  <c r="AH186"/>
  <c r="AH80"/>
  <c r="AH222"/>
  <c r="AH67"/>
  <c r="AH120"/>
  <c r="AH156"/>
  <c r="AH192"/>
  <c r="AH256"/>
  <c r="AH33"/>
  <c r="AH88"/>
  <c r="AG199" i="4"/>
  <c r="AI199" s="1"/>
  <c r="AG179"/>
  <c r="AI179" s="1"/>
  <c r="AG161"/>
  <c r="AI161" s="1"/>
  <c r="AG148"/>
  <c r="AI148" s="1"/>
  <c r="AG133"/>
  <c r="AI133" s="1"/>
  <c r="AG116"/>
  <c r="AI116" s="1"/>
  <c r="AG99"/>
  <c r="AI99" s="1"/>
  <c r="AG73"/>
  <c r="AI73" s="1"/>
  <c r="AG51"/>
  <c r="AI51" s="1"/>
  <c r="AG33"/>
  <c r="AI33" s="1"/>
  <c r="AG9"/>
  <c r="AI9" s="1"/>
  <c r="AH252" i="1"/>
  <c r="AH65"/>
  <c r="AH245"/>
  <c r="AH172"/>
  <c r="AH211"/>
  <c r="AH246"/>
  <c r="AH35"/>
  <c r="AH85"/>
  <c r="AF7" l="1"/>
  <c r="AF11" s="1"/>
  <c r="AB7"/>
  <c r="AB11" s="1"/>
  <c r="V7"/>
  <c r="V11" s="1"/>
  <c r="R7"/>
  <c r="R11" s="1"/>
  <c r="N7"/>
  <c r="N11" s="1"/>
  <c r="H7"/>
  <c r="H11" s="1"/>
  <c r="O28"/>
  <c r="I28"/>
  <c r="AI187"/>
  <c r="AI191"/>
  <c r="AI195"/>
  <c r="AI203"/>
  <c r="AI207"/>
  <c r="AI211"/>
  <c r="AI215"/>
  <c r="AI231"/>
  <c r="AI235"/>
  <c r="AI239"/>
  <c r="AI247"/>
  <c r="AI251"/>
  <c r="AI255"/>
  <c r="AI259"/>
  <c r="AI263"/>
  <c r="W28"/>
  <c r="AJ177"/>
  <c r="AH208"/>
  <c r="AJ150"/>
  <c r="AJ182"/>
  <c r="AI2" i="4"/>
  <c r="AJ194" i="1"/>
  <c r="AH160"/>
  <c r="AJ153"/>
  <c r="AJ186"/>
  <c r="AH158"/>
  <c r="AJ262"/>
  <c r="AJ237"/>
  <c r="AH188"/>
  <c r="AJ206"/>
  <c r="AJ266"/>
  <c r="AJ253"/>
  <c r="AH217"/>
  <c r="AI228" l="1"/>
  <c r="AI244"/>
  <c r="AI248"/>
  <c r="AI256"/>
  <c r="AI252"/>
  <c r="AI267"/>
  <c r="AI268"/>
  <c r="AI264"/>
  <c r="AI260"/>
  <c r="AI240"/>
  <c r="AI236"/>
  <c r="AI208"/>
  <c r="AI192"/>
  <c r="AI227"/>
  <c r="AI224"/>
  <c r="AI223"/>
  <c r="AI220"/>
  <c r="AI219"/>
  <c r="AI216"/>
  <c r="AI212"/>
  <c r="AI204"/>
  <c r="AI200"/>
  <c r="AI199"/>
  <c r="AI196"/>
  <c r="AI188"/>
  <c r="AI184"/>
  <c r="AI183"/>
  <c r="AI243"/>
  <c r="AI179"/>
  <c r="AI175"/>
  <c r="AI180"/>
  <c r="AI176"/>
  <c r="AI172"/>
  <c r="AI232"/>
  <c r="AI171"/>
  <c r="AI167"/>
  <c r="AI163"/>
  <c r="AI159"/>
  <c r="AI155"/>
  <c r="AI151"/>
  <c r="AI168"/>
  <c r="AI164"/>
  <c r="AI160"/>
  <c r="AI156"/>
  <c r="AI152"/>
  <c r="AI148"/>
  <c r="AI270"/>
  <c r="AI269"/>
  <c r="AI265"/>
  <c r="AI261"/>
  <c r="AI253"/>
  <c r="AI249"/>
  <c r="AI245"/>
  <c r="AI241"/>
  <c r="AI237"/>
  <c r="AI233"/>
  <c r="AI229"/>
  <c r="AI225"/>
  <c r="AI221"/>
  <c r="AI217"/>
  <c r="AI213"/>
  <c r="AI209"/>
  <c r="AI205"/>
  <c r="AI201"/>
  <c r="AI197"/>
  <c r="AI193"/>
  <c r="AI189"/>
  <c r="AI185"/>
  <c r="AI181"/>
  <c r="AI177"/>
  <c r="AI173"/>
  <c r="AI169"/>
  <c r="AI165"/>
  <c r="AI161"/>
  <c r="AI157"/>
  <c r="AI153"/>
  <c r="AI149"/>
  <c r="AI266"/>
  <c r="AI262"/>
  <c r="AI258"/>
  <c r="AI254"/>
  <c r="AI250"/>
  <c r="AI246"/>
  <c r="AI238"/>
  <c r="AI234"/>
  <c r="AI230"/>
  <c r="AI226"/>
  <c r="AI222"/>
  <c r="AI218"/>
  <c r="AI214"/>
  <c r="AI210"/>
  <c r="AI206"/>
  <c r="AI202"/>
  <c r="AI198"/>
  <c r="AI194"/>
  <c r="AI190"/>
  <c r="AI186"/>
  <c r="AI182"/>
  <c r="AI178"/>
  <c r="AI174"/>
  <c r="AI170"/>
  <c r="AI166"/>
  <c r="AI162"/>
  <c r="AI158"/>
  <c r="AI154"/>
  <c r="AI150"/>
  <c r="AJ151"/>
  <c r="AJ229"/>
  <c r="AJ215"/>
  <c r="AJ265"/>
  <c r="AJ239"/>
  <c r="AJ174"/>
  <c r="AJ267"/>
  <c r="AJ181"/>
  <c r="AJ189"/>
  <c r="AJ257"/>
  <c r="AJ219"/>
  <c r="AJ185"/>
  <c r="AJ213"/>
  <c r="AJ160"/>
  <c r="AJ216"/>
  <c r="AJ256"/>
  <c r="AJ183"/>
  <c r="AJ180"/>
  <c r="AJ163"/>
  <c r="AJ263"/>
  <c r="AJ202"/>
  <c r="AJ268"/>
  <c r="AJ156"/>
  <c r="AJ245"/>
  <c r="AJ210"/>
  <c r="AJ223"/>
  <c r="AJ269"/>
  <c r="AJ240"/>
  <c r="AJ250"/>
  <c r="AJ191"/>
  <c r="AJ258"/>
  <c r="AJ172"/>
  <c r="AJ190"/>
  <c r="AJ270"/>
  <c r="AJ148"/>
  <c r="AJ171"/>
  <c r="AJ252"/>
  <c r="AJ247"/>
  <c r="AJ243"/>
  <c r="AJ170"/>
  <c r="AJ173"/>
  <c r="AJ188"/>
  <c r="AJ204"/>
  <c r="AJ205"/>
  <c r="AJ251"/>
  <c r="AJ226"/>
  <c r="AJ149"/>
  <c r="AJ165"/>
  <c r="AJ236"/>
  <c r="AJ201"/>
  <c r="AJ167"/>
  <c r="AJ158"/>
  <c r="AJ152"/>
  <c r="AJ220"/>
  <c r="AJ214"/>
  <c r="AJ193"/>
  <c r="AJ212"/>
  <c r="AJ161"/>
  <c r="AJ197"/>
  <c r="AJ162"/>
  <c r="AJ195"/>
  <c r="AJ249"/>
  <c r="AJ166"/>
  <c r="AJ207"/>
  <c r="AJ196"/>
  <c r="AJ261"/>
  <c r="AJ259"/>
  <c r="AJ230"/>
  <c r="AJ231"/>
  <c r="AJ238"/>
  <c r="AJ209"/>
  <c r="AJ227"/>
  <c r="AJ157"/>
  <c r="AJ199"/>
  <c r="AJ241"/>
  <c r="AJ203"/>
  <c r="AJ192"/>
  <c r="AJ208"/>
  <c r="AJ221"/>
  <c r="AJ168"/>
  <c r="AJ234"/>
  <c r="AJ178"/>
  <c r="AJ248"/>
  <c r="AJ225"/>
  <c r="AJ260"/>
  <c r="AJ164"/>
  <c r="AJ254"/>
  <c r="AJ154"/>
  <c r="AJ228"/>
  <c r="AJ232"/>
  <c r="AJ235"/>
  <c r="AJ217"/>
  <c r="AJ176"/>
  <c r="AJ155"/>
  <c r="AJ218"/>
  <c r="AJ222"/>
  <c r="AJ159"/>
  <c r="AJ224"/>
  <c r="AJ200"/>
  <c r="AJ198"/>
  <c r="AJ244"/>
  <c r="AJ255"/>
  <c r="AJ184"/>
  <c r="AJ169"/>
  <c r="AJ242"/>
  <c r="AJ175"/>
  <c r="AJ179"/>
  <c r="AJ264"/>
  <c r="AJ246"/>
  <c r="AJ233"/>
  <c r="E12" i="2" l="1"/>
  <c r="E11"/>
  <c r="E10"/>
  <c r="E9"/>
  <c r="E8"/>
  <c r="AG28" i="1"/>
  <c r="AE28"/>
  <c r="AA28"/>
  <c r="AC28"/>
  <c r="Y28"/>
  <c r="U28"/>
  <c r="S28"/>
  <c r="Q28"/>
  <c r="M28"/>
  <c r="K28"/>
  <c r="G28"/>
  <c r="E28"/>
  <c r="AH119"/>
  <c r="AH95"/>
  <c r="AH71"/>
  <c r="AH134"/>
  <c r="AH145"/>
  <c r="AH115"/>
  <c r="AJ187"/>
  <c r="AH76"/>
  <c r="AJ211"/>
  <c r="AH96"/>
  <c r="AI28" l="1"/>
  <c r="AI90"/>
  <c r="AI86"/>
  <c r="AI82"/>
  <c r="AI78"/>
  <c r="AI74"/>
  <c r="AI87"/>
  <c r="AI83"/>
  <c r="AI79"/>
  <c r="AI75"/>
  <c r="AI88"/>
  <c r="AI84"/>
  <c r="AI80"/>
  <c r="AI76"/>
  <c r="AI72"/>
  <c r="AI89"/>
  <c r="AI85"/>
  <c r="AI81"/>
  <c r="AI77"/>
  <c r="AI73"/>
  <c r="AI146"/>
  <c r="AI142"/>
  <c r="AI138"/>
  <c r="AI134"/>
  <c r="AI130"/>
  <c r="AI126"/>
  <c r="AI122"/>
  <c r="AI118"/>
  <c r="AI114"/>
  <c r="AI106"/>
  <c r="AI102"/>
  <c r="AI98"/>
  <c r="AI94"/>
  <c r="AI143"/>
  <c r="AI139"/>
  <c r="AI135"/>
  <c r="AI131"/>
  <c r="AI127"/>
  <c r="AI123"/>
  <c r="AI119"/>
  <c r="AI115"/>
  <c r="AI111"/>
  <c r="AI107"/>
  <c r="AI103"/>
  <c r="AI99"/>
  <c r="AI95"/>
  <c r="AI91"/>
  <c r="AI144"/>
  <c r="AI140"/>
  <c r="AI136"/>
  <c r="AI132"/>
  <c r="AI128"/>
  <c r="AI124"/>
  <c r="AI120"/>
  <c r="AI116"/>
  <c r="AI112"/>
  <c r="AI108"/>
  <c r="AI104"/>
  <c r="AI100"/>
  <c r="AI96"/>
  <c r="AI92"/>
  <c r="AI145"/>
  <c r="AI141"/>
  <c r="AI137"/>
  <c r="AI133"/>
  <c r="AI129"/>
  <c r="AI125"/>
  <c r="AI121"/>
  <c r="AI117"/>
  <c r="AI113"/>
  <c r="AI109"/>
  <c r="AI105"/>
  <c r="AI101"/>
  <c r="AI97"/>
  <c r="AI93"/>
  <c r="H11" i="2"/>
  <c r="H9"/>
  <c r="H10"/>
  <c r="H12"/>
  <c r="D7" i="1"/>
  <c r="E7" i="2"/>
  <c r="AI110" i="1"/>
  <c r="AI39"/>
  <c r="AI38"/>
  <c r="AI36"/>
  <c r="AI34"/>
  <c r="AI32"/>
  <c r="AI70"/>
  <c r="AI68"/>
  <c r="AI66"/>
  <c r="AI64"/>
  <c r="AI62"/>
  <c r="AI60"/>
  <c r="AI58"/>
  <c r="AI56"/>
  <c r="AI54"/>
  <c r="AI52"/>
  <c r="AI50"/>
  <c r="AI48"/>
  <c r="AI46"/>
  <c r="AI44"/>
  <c r="AI42"/>
  <c r="AI29"/>
  <c r="AI69"/>
  <c r="AI67"/>
  <c r="AI65"/>
  <c r="AI63"/>
  <c r="AI61"/>
  <c r="AI59"/>
  <c r="AI57"/>
  <c r="AI55"/>
  <c r="AI53"/>
  <c r="AI51"/>
  <c r="AI49"/>
  <c r="AI47"/>
  <c r="AI45"/>
  <c r="AI43"/>
  <c r="AI41"/>
  <c r="AI40"/>
  <c r="AI37"/>
  <c r="AI35"/>
  <c r="AI33"/>
  <c r="AI31"/>
  <c r="AI30"/>
  <c r="AI71"/>
  <c r="AI147"/>
  <c r="AJ133"/>
  <c r="AJ140"/>
  <c r="AJ43"/>
  <c r="AJ113"/>
  <c r="AJ144"/>
  <c r="AJ130"/>
  <c r="AJ112"/>
  <c r="AJ103"/>
  <c r="AJ92"/>
  <c r="AJ61"/>
  <c r="AJ102"/>
  <c r="AJ51"/>
  <c r="AJ134"/>
  <c r="AJ142"/>
  <c r="AJ135"/>
  <c r="AJ101"/>
  <c r="AJ60"/>
  <c r="AJ123"/>
  <c r="AJ49"/>
  <c r="AJ35"/>
  <c r="AJ146"/>
  <c r="AJ132"/>
  <c r="AJ32"/>
  <c r="AJ118"/>
  <c r="AJ129"/>
  <c r="AJ40"/>
  <c r="AJ131"/>
  <c r="AJ138"/>
  <c r="AJ36"/>
  <c r="AJ44"/>
  <c r="AJ33"/>
  <c r="AJ63"/>
  <c r="AJ52"/>
  <c r="AJ109"/>
  <c r="AJ39"/>
  <c r="AJ28"/>
  <c r="AJ67"/>
  <c r="AJ31"/>
  <c r="AJ121"/>
  <c r="AJ55"/>
  <c r="AJ64"/>
  <c r="AJ46"/>
  <c r="AJ48"/>
  <c r="AJ119"/>
  <c r="AJ53"/>
  <c r="AJ110"/>
  <c r="AJ95"/>
  <c r="AJ99"/>
  <c r="AJ41"/>
  <c r="AJ100"/>
  <c r="AJ57"/>
  <c r="AJ108"/>
  <c r="AJ34"/>
  <c r="AJ59"/>
  <c r="AJ106"/>
  <c r="AJ111"/>
  <c r="AJ120"/>
  <c r="AJ70"/>
  <c r="AJ68"/>
  <c r="AJ124"/>
  <c r="AJ58"/>
  <c r="AJ127"/>
  <c r="AJ62"/>
  <c r="AJ29"/>
  <c r="AJ45"/>
  <c r="AJ128"/>
  <c r="AJ125"/>
  <c r="AJ136"/>
  <c r="AJ38"/>
  <c r="AJ50"/>
  <c r="AJ47"/>
  <c r="AJ143"/>
  <c r="AJ126"/>
  <c r="AJ139"/>
  <c r="AJ66"/>
  <c r="AJ94"/>
  <c r="AJ54"/>
  <c r="AJ147"/>
  <c r="AJ145"/>
  <c r="AJ56"/>
  <c r="AJ96"/>
  <c r="AJ97"/>
  <c r="AJ114"/>
  <c r="AJ69"/>
  <c r="AJ115"/>
  <c r="AJ37"/>
  <c r="AJ117"/>
  <c r="AJ104"/>
  <c r="AJ107"/>
  <c r="AJ91"/>
  <c r="AJ105"/>
  <c r="AJ116"/>
  <c r="AJ71"/>
  <c r="AJ65"/>
  <c r="AJ93"/>
  <c r="AJ98"/>
  <c r="AJ42"/>
  <c r="AJ141"/>
  <c r="AJ137"/>
  <c r="AJ122"/>
  <c r="AI272" l="1"/>
  <c r="C14" i="2" s="1"/>
  <c r="AI273" i="1"/>
  <c r="F12" i="2"/>
  <c r="I12" s="1"/>
  <c r="AJ272" i="1"/>
  <c r="F11" i="2"/>
  <c r="G11" s="1"/>
  <c r="F9"/>
  <c r="I9" s="1"/>
  <c r="F10"/>
  <c r="G10" s="1"/>
  <c r="F8"/>
  <c r="H8"/>
  <c r="F7"/>
  <c r="D11" i="1"/>
  <c r="H7" i="2" s="1"/>
  <c r="AJ81" i="1"/>
  <c r="AJ85"/>
  <c r="AJ90"/>
  <c r="AJ87"/>
  <c r="AJ77"/>
  <c r="AJ78"/>
  <c r="AJ80"/>
  <c r="AJ30"/>
  <c r="AJ82"/>
  <c r="AJ83"/>
  <c r="AJ86"/>
  <c r="AJ84"/>
  <c r="AJ88"/>
  <c r="AJ73"/>
  <c r="AJ75"/>
  <c r="AJ72"/>
  <c r="AJ79"/>
  <c r="AJ89"/>
  <c r="AJ76"/>
  <c r="AJ74"/>
  <c r="G12" i="2" l="1"/>
  <c r="G9"/>
  <c r="I11"/>
  <c r="I10"/>
  <c r="AI274" i="1"/>
  <c r="C16" i="2" s="1"/>
  <c r="C15"/>
  <c r="G7"/>
  <c r="I7"/>
  <c r="G8"/>
  <c r="I8"/>
  <c r="AI96" i="4"/>
  <c r="AH96"/>
  <c r="AI50"/>
  <c r="AI70"/>
  <c r="AI93"/>
  <c r="AI108"/>
  <c r="AI132"/>
  <c r="AI162"/>
  <c r="AI191"/>
  <c r="AI45"/>
  <c r="AI69"/>
  <c r="AI89"/>
  <c r="AI119"/>
  <c r="AI134"/>
  <c r="AI182"/>
  <c r="AD8"/>
  <c r="AD61"/>
  <c r="AD109"/>
  <c r="AD101"/>
  <c r="AD43"/>
  <c r="AD244"/>
  <c r="AD39"/>
  <c r="AD46"/>
  <c r="AD55"/>
  <c r="AD76"/>
  <c r="AD51"/>
  <c r="AD20"/>
  <c r="AD218"/>
  <c r="AD9"/>
  <c r="AD60"/>
  <c r="AD123"/>
  <c r="AD111"/>
  <c r="AD44"/>
  <c r="AD63"/>
  <c r="AD217"/>
  <c r="AD114"/>
  <c r="AD87"/>
  <c r="AD68"/>
  <c r="AD16"/>
  <c r="AD206"/>
  <c r="AD141"/>
  <c r="AD142"/>
  <c r="AD62"/>
  <c r="AD34"/>
  <c r="AD5"/>
  <c r="AD25"/>
  <c r="AD70"/>
  <c r="AD57"/>
  <c r="AD92"/>
  <c r="AD146"/>
  <c r="AD205"/>
  <c r="AD138"/>
  <c r="AD110"/>
  <c r="AD36"/>
  <c r="AD17"/>
  <c r="AD127"/>
  <c r="AD48"/>
  <c r="AD207"/>
  <c r="AD122"/>
  <c r="AD83"/>
  <c r="AD144"/>
  <c r="AD137"/>
  <c r="AD37"/>
  <c r="AD71"/>
  <c r="AD131"/>
  <c r="AD66"/>
  <c r="AD102"/>
  <c r="AD50"/>
  <c r="AD133"/>
  <c r="AD143"/>
  <c r="AD13"/>
  <c r="AD99"/>
  <c r="AD64"/>
  <c r="AD32"/>
  <c r="AD31"/>
  <c r="AD23"/>
  <c r="AD28"/>
  <c r="AD67"/>
  <c r="AD125"/>
  <c r="AD98"/>
  <c r="AD78"/>
  <c r="AD140"/>
  <c r="AD208"/>
  <c r="AD26"/>
  <c r="AD104"/>
  <c r="AD56"/>
  <c r="AD88"/>
  <c r="AD89"/>
  <c r="AD97"/>
  <c r="AD2"/>
  <c r="AD65"/>
  <c r="AD136"/>
  <c r="AD30"/>
  <c r="AD3"/>
  <c r="AD12"/>
  <c r="AD7"/>
  <c r="AD24"/>
  <c r="AD86"/>
  <c r="AD47"/>
  <c r="AD112"/>
  <c r="AD40"/>
  <c r="AD132"/>
  <c r="AD108"/>
  <c r="AD106"/>
  <c r="AD124"/>
  <c r="AD45"/>
  <c r="AD35"/>
  <c r="AD93"/>
  <c r="AD18"/>
  <c r="AD14"/>
  <c r="AD91"/>
  <c r="AD49"/>
  <c r="AD84"/>
  <c r="AD59"/>
  <c r="AD107"/>
  <c r="AD58"/>
  <c r="AD73"/>
  <c r="AD113"/>
  <c r="AD119"/>
  <c r="AD80"/>
  <c r="AD134"/>
  <c r="AD232"/>
  <c r="AD22"/>
  <c r="AD4"/>
  <c r="AD94"/>
  <c r="AD72"/>
  <c r="AD243"/>
  <c r="AD10"/>
  <c r="AD116"/>
  <c r="AD121"/>
  <c r="AD105"/>
  <c r="AD139"/>
  <c r="AD126"/>
  <c r="AD135"/>
  <c r="AD95"/>
  <c r="AD33"/>
  <c r="AD128"/>
  <c r="AD29"/>
  <c r="AD69"/>
  <c r="AD239"/>
  <c r="AD75"/>
  <c r="AD54"/>
  <c r="AD38"/>
  <c r="AD129"/>
  <c r="AD79"/>
  <c r="AD19"/>
  <c r="AD81"/>
  <c r="AD117"/>
  <c r="AD145"/>
  <c r="AD15"/>
  <c r="AD53"/>
  <c r="AD77"/>
  <c r="AD224"/>
  <c r="AD220"/>
  <c r="AD6"/>
  <c r="AD221"/>
  <c r="AD41"/>
  <c r="AD85"/>
  <c r="AD120"/>
  <c r="AD130"/>
  <c r="AD11"/>
  <c r="AD42"/>
  <c r="AD82"/>
  <c r="AD118"/>
  <c r="AD52"/>
  <c r="AD90"/>
  <c r="AD103"/>
  <c r="AD21"/>
  <c r="AD27"/>
  <c r="AD74"/>
  <c r="Z130"/>
  <c r="Z121"/>
  <c r="Z129"/>
  <c r="Z22"/>
  <c r="Z43"/>
  <c r="Z137"/>
  <c r="Z217"/>
  <c r="Z143"/>
  <c r="Z80"/>
  <c r="Z16"/>
  <c r="Z244"/>
  <c r="Z69"/>
  <c r="Z110"/>
  <c r="Z26"/>
  <c r="Z85"/>
  <c r="Z3"/>
  <c r="Z79"/>
  <c r="Z127"/>
  <c r="Z33"/>
  <c r="Z59"/>
  <c r="Z243"/>
  <c r="Z7"/>
  <c r="Z44"/>
  <c r="Z224"/>
  <c r="Z68"/>
  <c r="Z106"/>
  <c r="Z92"/>
  <c r="Z57"/>
  <c r="Z4"/>
  <c r="Z116"/>
  <c r="Z88"/>
  <c r="Z19"/>
  <c r="Z91"/>
  <c r="Z52"/>
  <c r="Z21"/>
  <c r="Z13"/>
  <c r="Z82"/>
  <c r="Z45"/>
  <c r="Z32"/>
  <c r="Z140"/>
  <c r="Z5"/>
  <c r="Z31"/>
  <c r="Z38"/>
  <c r="Z98"/>
  <c r="Z132"/>
  <c r="Z117"/>
  <c r="Z18"/>
  <c r="Z40"/>
  <c r="Z60"/>
  <c r="Z36"/>
  <c r="Z87"/>
  <c r="Z144"/>
  <c r="Z62"/>
  <c r="Z105"/>
  <c r="Z70"/>
  <c r="Z131"/>
  <c r="Z41"/>
  <c r="Z48"/>
  <c r="Z29"/>
  <c r="Z25"/>
  <c r="Z207"/>
  <c r="Z94"/>
  <c r="Z78"/>
  <c r="Z118"/>
  <c r="Z139"/>
  <c r="Z63"/>
  <c r="Z46"/>
  <c r="Z107"/>
  <c r="Z34"/>
  <c r="Z77"/>
  <c r="Z55"/>
  <c r="Z119"/>
  <c r="Z35"/>
  <c r="Z123"/>
  <c r="Z14"/>
  <c r="Z136"/>
  <c r="Z220"/>
  <c r="Z103"/>
  <c r="Z58"/>
  <c r="Z28"/>
  <c r="Z99"/>
  <c r="Z53"/>
  <c r="Z65"/>
  <c r="Z56"/>
  <c r="Z17"/>
  <c r="Z125"/>
  <c r="Z67"/>
  <c r="Z122"/>
  <c r="Z84"/>
  <c r="Z218"/>
  <c r="Z145"/>
  <c r="Z12"/>
  <c r="Z71"/>
  <c r="Z135"/>
  <c r="Z50"/>
  <c r="Z142"/>
  <c r="Z113"/>
  <c r="Z64"/>
  <c r="Z20"/>
  <c r="Z206"/>
  <c r="Z111"/>
  <c r="Z37"/>
  <c r="Z61"/>
  <c r="Z138"/>
  <c r="Z73"/>
  <c r="Z89"/>
  <c r="Z24"/>
  <c r="Z146"/>
  <c r="Z114"/>
  <c r="Z104"/>
  <c r="Z126"/>
  <c r="Z109"/>
  <c r="Z2"/>
  <c r="Z9"/>
  <c r="Z108"/>
  <c r="Z93"/>
  <c r="Z101"/>
  <c r="Z81"/>
  <c r="Z95"/>
  <c r="Z90"/>
  <c r="Z134"/>
  <c r="Z51"/>
  <c r="Z74"/>
  <c r="Z120"/>
  <c r="Z97"/>
  <c r="Z239"/>
  <c r="Z128"/>
  <c r="Z102"/>
  <c r="Z42"/>
  <c r="Z49"/>
  <c r="Z141"/>
  <c r="Z75"/>
  <c r="Z124"/>
  <c r="Z76"/>
  <c r="Z6"/>
  <c r="Z47"/>
  <c r="Z10"/>
  <c r="Z15"/>
  <c r="Z66"/>
  <c r="Z72"/>
  <c r="Z39"/>
  <c r="Z30"/>
  <c r="Z8"/>
  <c r="Z232"/>
  <c r="Z86"/>
  <c r="Z83"/>
  <c r="Z208"/>
  <c r="Z23"/>
  <c r="Z112"/>
  <c r="Z11"/>
  <c r="Z133"/>
  <c r="Z54"/>
  <c r="Z27"/>
  <c r="J86"/>
  <c r="J78"/>
  <c r="J81"/>
  <c r="J122"/>
  <c r="J69"/>
  <c r="J72"/>
  <c r="J6"/>
  <c r="J76"/>
  <c r="J64"/>
  <c r="J12"/>
  <c r="J74"/>
  <c r="J224"/>
  <c r="J126"/>
  <c r="J111"/>
  <c r="J110"/>
  <c r="J34"/>
  <c r="J145"/>
  <c r="J106"/>
  <c r="J58"/>
  <c r="J4"/>
  <c r="J98"/>
  <c r="J144"/>
  <c r="J35"/>
  <c r="J109"/>
  <c r="J231"/>
  <c r="J13"/>
  <c r="J24"/>
  <c r="J205"/>
  <c r="J46"/>
  <c r="J44"/>
  <c r="J129"/>
  <c r="J54"/>
  <c r="J65"/>
  <c r="J125"/>
  <c r="J48"/>
  <c r="J36"/>
  <c r="J128"/>
  <c r="J32"/>
  <c r="J93"/>
  <c r="J7"/>
  <c r="J40"/>
  <c r="J101"/>
  <c r="J33"/>
  <c r="J73"/>
  <c r="J239"/>
  <c r="J15"/>
  <c r="J232"/>
  <c r="J2"/>
  <c r="J140"/>
  <c r="J146"/>
  <c r="J141"/>
  <c r="J21"/>
  <c r="J221"/>
  <c r="J99"/>
  <c r="J60"/>
  <c r="J62"/>
  <c r="J95"/>
  <c r="J94"/>
  <c r="J89"/>
  <c r="J14"/>
  <c r="J61"/>
  <c r="J87"/>
  <c r="J137"/>
  <c r="J131"/>
  <c r="J30"/>
  <c r="J42"/>
  <c r="J119"/>
  <c r="J121"/>
  <c r="J20"/>
  <c r="J139"/>
  <c r="J56"/>
  <c r="J31"/>
  <c r="J104"/>
  <c r="J84"/>
  <c r="J71"/>
  <c r="J116"/>
  <c r="J68"/>
  <c r="J55"/>
  <c r="J135"/>
  <c r="J120"/>
  <c r="J85"/>
  <c r="J134"/>
  <c r="J59"/>
  <c r="J130"/>
  <c r="J97"/>
  <c r="J83"/>
  <c r="J17"/>
  <c r="J132"/>
  <c r="J28"/>
  <c r="J70"/>
  <c r="J90"/>
  <c r="J92"/>
  <c r="J80"/>
  <c r="J123"/>
  <c r="J127"/>
  <c r="J88"/>
  <c r="J23"/>
  <c r="J75"/>
  <c r="J5"/>
  <c r="J218"/>
  <c r="J112"/>
  <c r="J45"/>
  <c r="J133"/>
  <c r="J53"/>
  <c r="J51"/>
  <c r="J105"/>
  <c r="J142"/>
  <c r="J37"/>
  <c r="J102"/>
  <c r="J114"/>
  <c r="J26"/>
  <c r="J118"/>
  <c r="J29"/>
  <c r="J220"/>
  <c r="J3"/>
  <c r="J124"/>
  <c r="J50"/>
  <c r="J207"/>
  <c r="J49"/>
  <c r="J91"/>
  <c r="J19"/>
  <c r="J82"/>
  <c r="J8"/>
  <c r="J206"/>
  <c r="J38"/>
  <c r="J18"/>
  <c r="J16"/>
  <c r="J52"/>
  <c r="J9"/>
  <c r="J57"/>
  <c r="J244"/>
  <c r="J39"/>
  <c r="J108"/>
  <c r="J41"/>
  <c r="J136"/>
  <c r="J77"/>
  <c r="J67"/>
  <c r="J113"/>
  <c r="J117"/>
  <c r="J10"/>
  <c r="J208"/>
  <c r="J79"/>
  <c r="J25"/>
  <c r="J11"/>
  <c r="J243"/>
  <c r="J217"/>
  <c r="J103"/>
  <c r="J138"/>
  <c r="J143"/>
  <c r="J107"/>
  <c r="J66"/>
  <c r="J43"/>
  <c r="J22"/>
  <c r="J47"/>
  <c r="J63"/>
  <c r="J27"/>
  <c r="F99"/>
  <c r="F218"/>
  <c r="F30"/>
  <c r="F34"/>
  <c r="F139"/>
  <c r="F118"/>
  <c r="F127"/>
  <c r="F205"/>
  <c r="F15"/>
  <c r="F97"/>
  <c r="F144"/>
  <c r="F52"/>
  <c r="F36"/>
  <c r="F69"/>
  <c r="F55"/>
  <c r="F138"/>
  <c r="F5"/>
  <c r="F41"/>
  <c r="F63"/>
  <c r="F123"/>
  <c r="F56"/>
  <c r="F12"/>
  <c r="F224"/>
  <c r="F75"/>
  <c r="F66"/>
  <c r="F25"/>
  <c r="F107"/>
  <c r="F73"/>
  <c r="F50"/>
  <c r="F206"/>
  <c r="F64"/>
  <c r="F239"/>
  <c r="F45"/>
  <c r="F13"/>
  <c r="F109"/>
  <c r="F24"/>
  <c r="F87"/>
  <c r="F47"/>
  <c r="F65"/>
  <c r="F82"/>
  <c r="F28"/>
  <c r="F4"/>
  <c r="F103"/>
  <c r="F84"/>
  <c r="F20"/>
  <c r="F49"/>
  <c r="F108"/>
  <c r="F8"/>
  <c r="F137"/>
  <c r="F26"/>
  <c r="F102"/>
  <c r="F120"/>
  <c r="F3"/>
  <c r="F93"/>
  <c r="F104"/>
  <c r="F77"/>
  <c r="F67"/>
  <c r="F94"/>
  <c r="F128"/>
  <c r="F22"/>
  <c r="F129"/>
  <c r="F40"/>
  <c r="F53"/>
  <c r="F58"/>
  <c r="F71"/>
  <c r="F117"/>
  <c r="F43"/>
  <c r="F9"/>
  <c r="F39"/>
  <c r="F38"/>
  <c r="F19"/>
  <c r="F80"/>
  <c r="F145"/>
  <c r="F91"/>
  <c r="F98"/>
  <c r="F142"/>
  <c r="F136"/>
  <c r="F61"/>
  <c r="F17"/>
  <c r="F114"/>
  <c r="F110"/>
  <c r="F46"/>
  <c r="F85"/>
  <c r="F74"/>
  <c r="F62"/>
  <c r="F59"/>
  <c r="F92"/>
  <c r="F10"/>
  <c r="F220"/>
  <c r="F106"/>
  <c r="F42"/>
  <c r="F132"/>
  <c r="F89"/>
  <c r="F119"/>
  <c r="F135"/>
  <c r="F140"/>
  <c r="F124"/>
  <c r="F32"/>
  <c r="F44"/>
  <c r="F79"/>
  <c r="F122"/>
  <c r="F126"/>
  <c r="F86"/>
  <c r="F125"/>
  <c r="F48"/>
  <c r="F76"/>
  <c r="F105"/>
  <c r="F60"/>
  <c r="F131"/>
  <c r="F37"/>
  <c r="F18"/>
  <c r="F208"/>
  <c r="F33"/>
  <c r="F78"/>
  <c r="F95"/>
  <c r="F133"/>
  <c r="F23"/>
  <c r="F11"/>
  <c r="F83"/>
  <c r="F90"/>
  <c r="F68"/>
  <c r="F243"/>
  <c r="F51"/>
  <c r="F6"/>
  <c r="F31"/>
  <c r="F101"/>
  <c r="F7"/>
  <c r="F121"/>
  <c r="F81"/>
  <c r="F130"/>
  <c r="F141"/>
  <c r="F146"/>
  <c r="F116"/>
  <c r="F134"/>
  <c r="F2"/>
  <c r="F113"/>
  <c r="F111"/>
  <c r="F54"/>
  <c r="F143"/>
  <c r="F70"/>
  <c r="F29"/>
  <c r="F21"/>
  <c r="F72"/>
  <c r="F112"/>
  <c r="F16"/>
  <c r="F57"/>
  <c r="F244"/>
  <c r="F14"/>
  <c r="AH27"/>
  <c r="D216"/>
  <c r="AF79"/>
  <c r="AF4"/>
  <c r="AF127"/>
  <c r="AF133"/>
  <c r="AF39"/>
  <c r="AF217"/>
  <c r="AF123"/>
  <c r="AF129"/>
  <c r="AF114"/>
  <c r="AF94"/>
  <c r="AF17"/>
  <c r="AF120"/>
  <c r="AF10"/>
  <c r="AF138"/>
  <c r="AF34"/>
  <c r="AF207"/>
  <c r="AF105"/>
  <c r="AF128"/>
  <c r="AF61"/>
  <c r="AF116"/>
  <c r="AF103"/>
  <c r="AF43"/>
  <c r="AF119"/>
  <c r="AF111"/>
  <c r="AF6"/>
  <c r="AF87"/>
  <c r="AF81"/>
  <c r="AF110"/>
  <c r="AF134"/>
  <c r="AF93"/>
  <c r="AF72"/>
  <c r="AF113"/>
  <c r="AF95"/>
  <c r="AF63"/>
  <c r="AF142"/>
  <c r="AF3"/>
  <c r="AF86"/>
  <c r="AF52"/>
  <c r="AF37"/>
  <c r="AF143"/>
  <c r="AF53"/>
  <c r="AF73"/>
  <c r="AF50"/>
  <c r="AF108"/>
  <c r="AF65"/>
  <c r="AF121"/>
  <c r="AF41"/>
  <c r="AF25"/>
  <c r="AF218"/>
  <c r="AF2"/>
  <c r="AF208"/>
  <c r="AF56"/>
  <c r="AF13"/>
  <c r="AF136"/>
  <c r="AF137"/>
  <c r="AF144"/>
  <c r="AF68"/>
  <c r="AF205"/>
  <c r="AF109"/>
  <c r="AF69"/>
  <c r="AF60"/>
  <c r="AF16"/>
  <c r="AF244"/>
  <c r="AF62"/>
  <c r="AF77"/>
  <c r="AF101"/>
  <c r="AF64"/>
  <c r="AF38"/>
  <c r="AF243"/>
  <c r="AF26"/>
  <c r="AF57"/>
  <c r="AF67"/>
  <c r="AF18"/>
  <c r="AF21"/>
  <c r="AF7"/>
  <c r="AF122"/>
  <c r="AF85"/>
  <c r="AF22"/>
  <c r="AF80"/>
  <c r="AF36"/>
  <c r="AF125"/>
  <c r="AF20"/>
  <c r="AF8"/>
  <c r="AF83"/>
  <c r="AF28"/>
  <c r="AF140"/>
  <c r="AF98"/>
  <c r="AF118"/>
  <c r="AF55"/>
  <c r="AF45"/>
  <c r="AF70"/>
  <c r="AF42"/>
  <c r="AF24"/>
  <c r="AF239"/>
  <c r="AF117"/>
  <c r="AF47"/>
  <c r="AF33"/>
  <c r="AF131"/>
  <c r="AF82"/>
  <c r="AF71"/>
  <c r="AF106"/>
  <c r="AF59"/>
  <c r="AF75"/>
  <c r="AF92"/>
  <c r="AF12"/>
  <c r="AF107"/>
  <c r="AF91"/>
  <c r="AF220"/>
  <c r="AF104"/>
  <c r="AF141"/>
  <c r="AF74"/>
  <c r="AF232"/>
  <c r="AF32"/>
  <c r="AF44"/>
  <c r="AF49"/>
  <c r="AF146"/>
  <c r="AF124"/>
  <c r="AF19"/>
  <c r="AF132"/>
  <c r="AF11"/>
  <c r="AF102"/>
  <c r="AF224"/>
  <c r="AF99"/>
  <c r="AF97"/>
  <c r="AF84"/>
  <c r="AF15"/>
  <c r="AF29"/>
  <c r="AF135"/>
  <c r="AF9"/>
  <c r="AF145"/>
  <c r="AF54"/>
  <c r="AF35"/>
  <c r="AF206"/>
  <c r="AF40"/>
  <c r="AF23"/>
  <c r="AF30"/>
  <c r="AF51"/>
  <c r="AF112"/>
  <c r="AF78"/>
  <c r="AF48"/>
  <c r="AF89"/>
  <c r="AF221"/>
  <c r="AF31"/>
  <c r="AF46"/>
  <c r="AF76"/>
  <c r="AF88"/>
  <c r="AF90"/>
  <c r="AF66"/>
  <c r="AF126"/>
  <c r="AF130"/>
  <c r="AF14"/>
  <c r="AF58"/>
  <c r="AF5"/>
  <c r="AF139"/>
  <c r="AF27"/>
  <c r="X140"/>
  <c r="X22"/>
  <c r="X33"/>
  <c r="X85"/>
  <c r="X38"/>
  <c r="X53"/>
  <c r="X51"/>
  <c r="X3"/>
  <c r="X4"/>
  <c r="X243"/>
  <c r="X141"/>
  <c r="X32"/>
  <c r="X19"/>
  <c r="X127"/>
  <c r="X125"/>
  <c r="X111"/>
  <c r="X34"/>
  <c r="X217"/>
  <c r="X120"/>
  <c r="X44"/>
  <c r="X132"/>
  <c r="X52"/>
  <c r="X13"/>
  <c r="X220"/>
  <c r="X29"/>
  <c r="X42"/>
  <c r="X23"/>
  <c r="X58"/>
  <c r="X70"/>
  <c r="X12"/>
  <c r="X116"/>
  <c r="X105"/>
  <c r="X205"/>
  <c r="X30"/>
  <c r="X79"/>
  <c r="X5"/>
  <c r="X121"/>
  <c r="X146"/>
  <c r="X88"/>
  <c r="X103"/>
  <c r="X9"/>
  <c r="X54"/>
  <c r="X142"/>
  <c r="X84"/>
  <c r="X107"/>
  <c r="X89"/>
  <c r="X118"/>
  <c r="X224"/>
  <c r="X97"/>
  <c r="X117"/>
  <c r="X239"/>
  <c r="X108"/>
  <c r="X92"/>
  <c r="X37"/>
  <c r="X75"/>
  <c r="X36"/>
  <c r="X56"/>
  <c r="X20"/>
  <c r="X10"/>
  <c r="X2"/>
  <c r="X126"/>
  <c r="X99"/>
  <c r="X7"/>
  <c r="X137"/>
  <c r="X41"/>
  <c r="X47"/>
  <c r="X87"/>
  <c r="X26"/>
  <c r="X145"/>
  <c r="X94"/>
  <c r="X67"/>
  <c r="X61"/>
  <c r="X46"/>
  <c r="X57"/>
  <c r="X101"/>
  <c r="X218"/>
  <c r="X110"/>
  <c r="X28"/>
  <c r="X50"/>
  <c r="X95"/>
  <c r="X122"/>
  <c r="X113"/>
  <c r="X143"/>
  <c r="X76"/>
  <c r="X78"/>
  <c r="X64"/>
  <c r="X90"/>
  <c r="X73"/>
  <c r="X55"/>
  <c r="X31"/>
  <c r="X74"/>
  <c r="X144"/>
  <c r="X25"/>
  <c r="X72"/>
  <c r="X134"/>
  <c r="X71"/>
  <c r="X59"/>
  <c r="X21"/>
  <c r="X83"/>
  <c r="X6"/>
  <c r="X60"/>
  <c r="X124"/>
  <c r="X119"/>
  <c r="X65"/>
  <c r="X138"/>
  <c r="X207"/>
  <c r="X109"/>
  <c r="X93"/>
  <c r="X104"/>
  <c r="X45"/>
  <c r="X8"/>
  <c r="X66"/>
  <c r="X232"/>
  <c r="X15"/>
  <c r="X139"/>
  <c r="X48"/>
  <c r="X123"/>
  <c r="X40"/>
  <c r="X77"/>
  <c r="X91"/>
  <c r="X208"/>
  <c r="X17"/>
  <c r="X112"/>
  <c r="X69"/>
  <c r="X18"/>
  <c r="X62"/>
  <c r="X80"/>
  <c r="X39"/>
  <c r="X244"/>
  <c r="X130"/>
  <c r="X24"/>
  <c r="X81"/>
  <c r="X43"/>
  <c r="X135"/>
  <c r="X98"/>
  <c r="X128"/>
  <c r="X63"/>
  <c r="X49"/>
  <c r="X106"/>
  <c r="X131"/>
  <c r="X133"/>
  <c r="X221"/>
  <c r="X35"/>
  <c r="X136"/>
  <c r="X14"/>
  <c r="X129"/>
  <c r="X68"/>
  <c r="X86"/>
  <c r="X102"/>
  <c r="X16"/>
  <c r="X114"/>
  <c r="X206"/>
  <c r="X82"/>
  <c r="X11"/>
  <c r="X27"/>
  <c r="T243"/>
  <c r="T71"/>
  <c r="T63"/>
  <c r="T106"/>
  <c r="T111"/>
  <c r="T11"/>
  <c r="T34"/>
  <c r="T18"/>
  <c r="T123"/>
  <c r="T16"/>
  <c r="T206"/>
  <c r="T72"/>
  <c r="T60"/>
  <c r="T145"/>
  <c r="T108"/>
  <c r="T207"/>
  <c r="T84"/>
  <c r="T102"/>
  <c r="T68"/>
  <c r="T45"/>
  <c r="T224"/>
  <c r="T142"/>
  <c r="T4"/>
  <c r="T98"/>
  <c r="T70"/>
  <c r="T140"/>
  <c r="T24"/>
  <c r="T144"/>
  <c r="T124"/>
  <c r="T7"/>
  <c r="T37"/>
  <c r="T31"/>
  <c r="T15"/>
  <c r="T146"/>
  <c r="T81"/>
  <c r="T87"/>
  <c r="T2"/>
  <c r="T114"/>
  <c r="T205"/>
  <c r="T13"/>
  <c r="T135"/>
  <c r="T52"/>
  <c r="T94"/>
  <c r="T53"/>
  <c r="T40"/>
  <c r="T29"/>
  <c r="T78"/>
  <c r="T91"/>
  <c r="T136"/>
  <c r="T69"/>
  <c r="T79"/>
  <c r="T127"/>
  <c r="T3"/>
  <c r="T32"/>
  <c r="T141"/>
  <c r="T61"/>
  <c r="T134"/>
  <c r="T208"/>
  <c r="T92"/>
  <c r="T97"/>
  <c r="T64"/>
  <c r="T46"/>
  <c r="T95"/>
  <c r="T83"/>
  <c r="T126"/>
  <c r="T239"/>
  <c r="T90"/>
  <c r="T125"/>
  <c r="T131"/>
  <c r="T117"/>
  <c r="T33"/>
  <c r="T113"/>
  <c r="T19"/>
  <c r="T20"/>
  <c r="T56"/>
  <c r="T244"/>
  <c r="T73"/>
  <c r="T50"/>
  <c r="T129"/>
  <c r="T130"/>
  <c r="T9"/>
  <c r="T74"/>
  <c r="T85"/>
  <c r="T93"/>
  <c r="T132"/>
  <c r="T119"/>
  <c r="T5"/>
  <c r="T21"/>
  <c r="T59"/>
  <c r="T66"/>
  <c r="T23"/>
  <c r="T232"/>
  <c r="T28"/>
  <c r="T122"/>
  <c r="T138"/>
  <c r="T17"/>
  <c r="T109"/>
  <c r="T58"/>
  <c r="T104"/>
  <c r="T105"/>
  <c r="T39"/>
  <c r="T110"/>
  <c r="T82"/>
  <c r="T10"/>
  <c r="T47"/>
  <c r="T43"/>
  <c r="T86"/>
  <c r="T57"/>
  <c r="T112"/>
  <c r="T26"/>
  <c r="T99"/>
  <c r="T42"/>
  <c r="T77"/>
  <c r="T25"/>
  <c r="T80"/>
  <c r="T133"/>
  <c r="T88"/>
  <c r="T221"/>
  <c r="T118"/>
  <c r="T38"/>
  <c r="T55"/>
  <c r="T220"/>
  <c r="T62"/>
  <c r="T128"/>
  <c r="T120"/>
  <c r="T48"/>
  <c r="T103"/>
  <c r="T101"/>
  <c r="T51"/>
  <c r="T121"/>
  <c r="T143"/>
  <c r="T30"/>
  <c r="T12"/>
  <c r="T76"/>
  <c r="T14"/>
  <c r="T8"/>
  <c r="T89"/>
  <c r="T217"/>
  <c r="T49"/>
  <c r="T107"/>
  <c r="T54"/>
  <c r="T67"/>
  <c r="T22"/>
  <c r="T36"/>
  <c r="T137"/>
  <c r="T6"/>
  <c r="T218"/>
  <c r="T35"/>
  <c r="T139"/>
  <c r="T44"/>
  <c r="T75"/>
  <c r="T116"/>
  <c r="T65"/>
  <c r="T27"/>
  <c r="T41"/>
  <c r="P73"/>
  <c r="P232"/>
  <c r="P79"/>
  <c r="P101"/>
  <c r="P43"/>
  <c r="P145"/>
  <c r="P20"/>
  <c r="P9"/>
  <c r="P132"/>
  <c r="P207"/>
  <c r="P106"/>
  <c r="P93"/>
  <c r="P6"/>
  <c r="P134"/>
  <c r="P103"/>
  <c r="P67"/>
  <c r="P53"/>
  <c r="P41"/>
  <c r="P23"/>
  <c r="P224"/>
  <c r="P139"/>
  <c r="P75"/>
  <c r="P144"/>
  <c r="P29"/>
  <c r="P22"/>
  <c r="P206"/>
  <c r="P35"/>
  <c r="P4"/>
  <c r="P58"/>
  <c r="P50"/>
  <c r="P77"/>
  <c r="P76"/>
  <c r="P121"/>
  <c r="P55"/>
  <c r="P135"/>
  <c r="P102"/>
  <c r="P47"/>
  <c r="P239"/>
  <c r="P36"/>
  <c r="P104"/>
  <c r="P60"/>
  <c r="P146"/>
  <c r="P44"/>
  <c r="P39"/>
  <c r="P62"/>
  <c r="P3"/>
  <c r="P87"/>
  <c r="P85"/>
  <c r="P24"/>
  <c r="P74"/>
  <c r="P37"/>
  <c r="P14"/>
  <c r="P7"/>
  <c r="P68"/>
  <c r="P122"/>
  <c r="P70"/>
  <c r="P143"/>
  <c r="P120"/>
  <c r="P45"/>
  <c r="P125"/>
  <c r="P10"/>
  <c r="P98"/>
  <c r="P11"/>
  <c r="P54"/>
  <c r="P17"/>
  <c r="P66"/>
  <c r="P218"/>
  <c r="P69"/>
  <c r="P244"/>
  <c r="P52"/>
  <c r="P130"/>
  <c r="P18"/>
  <c r="P136"/>
  <c r="P61"/>
  <c r="P131"/>
  <c r="P88"/>
  <c r="P205"/>
  <c r="P142"/>
  <c r="P118"/>
  <c r="P243"/>
  <c r="P141"/>
  <c r="P89"/>
  <c r="P65"/>
  <c r="P86"/>
  <c r="P138"/>
  <c r="P13"/>
  <c r="P48"/>
  <c r="P208"/>
  <c r="P81"/>
  <c r="P8"/>
  <c r="P83"/>
  <c r="P63"/>
  <c r="P80"/>
  <c r="P117"/>
  <c r="P107"/>
  <c r="P40"/>
  <c r="P128"/>
  <c r="P56"/>
  <c r="P99"/>
  <c r="P78"/>
  <c r="P112"/>
  <c r="P34"/>
  <c r="P59"/>
  <c r="P119"/>
  <c r="P51"/>
  <c r="P137"/>
  <c r="P12"/>
  <c r="P129"/>
  <c r="P21"/>
  <c r="P15"/>
  <c r="P105"/>
  <c r="P95"/>
  <c r="P42"/>
  <c r="P123"/>
  <c r="P140"/>
  <c r="P113"/>
  <c r="P124"/>
  <c r="P19"/>
  <c r="P71"/>
  <c r="P90"/>
  <c r="P46"/>
  <c r="P94"/>
  <c r="P32"/>
  <c r="P97"/>
  <c r="P116"/>
  <c r="P111"/>
  <c r="P33"/>
  <c r="P217"/>
  <c r="P64"/>
  <c r="P25"/>
  <c r="P109"/>
  <c r="P49"/>
  <c r="P126"/>
  <c r="P110"/>
  <c r="P72"/>
  <c r="P92"/>
  <c r="P31"/>
  <c r="P221"/>
  <c r="P26"/>
  <c r="P133"/>
  <c r="P16"/>
  <c r="P91"/>
  <c r="P30"/>
  <c r="P220"/>
  <c r="P5"/>
  <c r="P114"/>
  <c r="P82"/>
  <c r="P84"/>
  <c r="P57"/>
  <c r="P2"/>
  <c r="P28"/>
  <c r="P108"/>
  <c r="P38"/>
  <c r="P127"/>
  <c r="P27"/>
  <c r="L31"/>
  <c r="L121"/>
  <c r="L103"/>
  <c r="L116"/>
  <c r="L19"/>
  <c r="L101"/>
  <c r="L69"/>
  <c r="L61"/>
  <c r="L143"/>
  <c r="L21"/>
  <c r="L218"/>
  <c r="L44"/>
  <c r="L130"/>
  <c r="L56"/>
  <c r="L39"/>
  <c r="L108"/>
  <c r="L41"/>
  <c r="L33"/>
  <c r="L64"/>
  <c r="L142"/>
  <c r="L57"/>
  <c r="L231"/>
  <c r="L72"/>
  <c r="L59"/>
  <c r="L105"/>
  <c r="L84"/>
  <c r="L232"/>
  <c r="L71"/>
  <c r="L114"/>
  <c r="L16"/>
  <c r="L32"/>
  <c r="L118"/>
  <c r="L6"/>
  <c r="L58"/>
  <c r="L224"/>
  <c r="L76"/>
  <c r="L14"/>
  <c r="L54"/>
  <c r="L140"/>
  <c r="L133"/>
  <c r="L23"/>
  <c r="L106"/>
  <c r="L48"/>
  <c r="L128"/>
  <c r="L42"/>
  <c r="L60"/>
  <c r="L89"/>
  <c r="L77"/>
  <c r="L82"/>
  <c r="L74"/>
  <c r="L88"/>
  <c r="L66"/>
  <c r="L137"/>
  <c r="L79"/>
  <c r="L94"/>
  <c r="L99"/>
  <c r="L91"/>
  <c r="L90"/>
  <c r="L86"/>
  <c r="L135"/>
  <c r="L63"/>
  <c r="L117"/>
  <c r="L134"/>
  <c r="L26"/>
  <c r="L4"/>
  <c r="L83"/>
  <c r="L239"/>
  <c r="L243"/>
  <c r="L51"/>
  <c r="L43"/>
  <c r="L145"/>
  <c r="L136"/>
  <c r="L68"/>
  <c r="L55"/>
  <c r="L98"/>
  <c r="L5"/>
  <c r="L78"/>
  <c r="L12"/>
  <c r="L139"/>
  <c r="L53"/>
  <c r="L119"/>
  <c r="L102"/>
  <c r="L17"/>
  <c r="L38"/>
  <c r="L208"/>
  <c r="L123"/>
  <c r="L35"/>
  <c r="L52"/>
  <c r="L111"/>
  <c r="L110"/>
  <c r="L62"/>
  <c r="L3"/>
  <c r="L144"/>
  <c r="L30"/>
  <c r="L220"/>
  <c r="L36"/>
  <c r="L93"/>
  <c r="L22"/>
  <c r="L141"/>
  <c r="L131"/>
  <c r="L2"/>
  <c r="L109"/>
  <c r="L146"/>
  <c r="L29"/>
  <c r="L206"/>
  <c r="L81"/>
  <c r="L20"/>
  <c r="L15"/>
  <c r="L8"/>
  <c r="L37"/>
  <c r="L47"/>
  <c r="L138"/>
  <c r="L67"/>
  <c r="L120"/>
  <c r="L95"/>
  <c r="L80"/>
  <c r="L92"/>
  <c r="L65"/>
  <c r="L87"/>
  <c r="L40"/>
  <c r="L127"/>
  <c r="L9"/>
  <c r="L122"/>
  <c r="L124"/>
  <c r="L132"/>
  <c r="L125"/>
  <c r="L18"/>
  <c r="L10"/>
  <c r="L129"/>
  <c r="L49"/>
  <c r="L104"/>
  <c r="L126"/>
  <c r="L7"/>
  <c r="L25"/>
  <c r="L50"/>
  <c r="L34"/>
  <c r="L97"/>
  <c r="L45"/>
  <c r="L244"/>
  <c r="L85"/>
  <c r="L75"/>
  <c r="L113"/>
  <c r="L207"/>
  <c r="L112"/>
  <c r="L217"/>
  <c r="L13"/>
  <c r="L24"/>
  <c r="L28"/>
  <c r="L107"/>
  <c r="L11"/>
  <c r="L73"/>
  <c r="L46"/>
  <c r="L27"/>
  <c r="L70"/>
  <c r="V91"/>
  <c r="V113"/>
  <c r="V120"/>
  <c r="V73"/>
  <c r="V131"/>
  <c r="V119"/>
  <c r="V12"/>
  <c r="V47"/>
  <c r="V44"/>
  <c r="V22"/>
  <c r="V103"/>
  <c r="V138"/>
  <c r="V134"/>
  <c r="V16"/>
  <c r="V52"/>
  <c r="V30"/>
  <c r="V141"/>
  <c r="V23"/>
  <c r="V122"/>
  <c r="V75"/>
  <c r="V42"/>
  <c r="V239"/>
  <c r="V21"/>
  <c r="V221"/>
  <c r="V2"/>
  <c r="V126"/>
  <c r="V28"/>
  <c r="V79"/>
  <c r="V63"/>
  <c r="V146"/>
  <c r="V32"/>
  <c r="V31"/>
  <c r="V132"/>
  <c r="V51"/>
  <c r="V56"/>
  <c r="V65"/>
  <c r="V118"/>
  <c r="V71"/>
  <c r="V58"/>
  <c r="V224"/>
  <c r="V24"/>
  <c r="V92"/>
  <c r="V34"/>
  <c r="V66"/>
  <c r="V8"/>
  <c r="V15"/>
  <c r="V143"/>
  <c r="V139"/>
  <c r="V9"/>
  <c r="V35"/>
  <c r="V104"/>
  <c r="V106"/>
  <c r="V55"/>
  <c r="V136"/>
  <c r="V218"/>
  <c r="V140"/>
  <c r="V7"/>
  <c r="V53"/>
  <c r="V93"/>
  <c r="V112"/>
  <c r="V109"/>
  <c r="V45"/>
  <c r="V38"/>
  <c r="V25"/>
  <c r="V64"/>
  <c r="V133"/>
  <c r="V121"/>
  <c r="V97"/>
  <c r="V77"/>
  <c r="V89"/>
  <c r="V62"/>
  <c r="V125"/>
  <c r="V83"/>
  <c r="V49"/>
  <c r="V5"/>
  <c r="V69"/>
  <c r="V61"/>
  <c r="V14"/>
  <c r="V20"/>
  <c r="V124"/>
  <c r="V48"/>
  <c r="V110"/>
  <c r="V85"/>
  <c r="V26"/>
  <c r="V70"/>
  <c r="V54"/>
  <c r="V46"/>
  <c r="V60"/>
  <c r="V84"/>
  <c r="V82"/>
  <c r="V74"/>
  <c r="V13"/>
  <c r="V33"/>
  <c r="V50"/>
  <c r="V80"/>
  <c r="V6"/>
  <c r="V18"/>
  <c r="V145"/>
  <c r="V129"/>
  <c r="V57"/>
  <c r="V68"/>
  <c r="V99"/>
  <c r="V130"/>
  <c r="V101"/>
  <c r="V128"/>
  <c r="V105"/>
  <c r="V137"/>
  <c r="V135"/>
  <c r="V232"/>
  <c r="V102"/>
  <c r="V37"/>
  <c r="V108"/>
  <c r="V10"/>
  <c r="V40"/>
  <c r="V76"/>
  <c r="V11"/>
  <c r="V19"/>
  <c r="V39"/>
  <c r="V3"/>
  <c r="V98"/>
  <c r="V17"/>
  <c r="V41"/>
  <c r="V86"/>
  <c r="V107"/>
  <c r="V142"/>
  <c r="V87"/>
  <c r="V173"/>
  <c r="V144"/>
  <c r="V111"/>
  <c r="V95"/>
  <c r="V36"/>
  <c r="V4"/>
  <c r="V29"/>
  <c r="V43"/>
  <c r="V243"/>
  <c r="V127"/>
  <c r="V117"/>
  <c r="V81"/>
  <c r="V116"/>
  <c r="V67"/>
  <c r="V72"/>
  <c r="V94"/>
  <c r="V59"/>
  <c r="V114"/>
  <c r="V166"/>
  <c r="V90"/>
  <c r="V123"/>
  <c r="R126"/>
  <c r="R26"/>
  <c r="R108"/>
  <c r="R232"/>
  <c r="R137"/>
  <c r="R6"/>
  <c r="R113"/>
  <c r="R32"/>
  <c r="R15"/>
  <c r="R143"/>
  <c r="R218"/>
  <c r="R16"/>
  <c r="R28"/>
  <c r="R72"/>
  <c r="R51"/>
  <c r="R104"/>
  <c r="R139"/>
  <c r="R4"/>
  <c r="R84"/>
  <c r="R3"/>
  <c r="R92"/>
  <c r="R58"/>
  <c r="R65"/>
  <c r="R22"/>
  <c r="R81"/>
  <c r="R47"/>
  <c r="R31"/>
  <c r="R46"/>
  <c r="R83"/>
  <c r="R7"/>
  <c r="R116"/>
  <c r="R61"/>
  <c r="R71"/>
  <c r="R107"/>
  <c r="R44"/>
  <c r="R55"/>
  <c r="R127"/>
  <c r="R91"/>
  <c r="R124"/>
  <c r="R48"/>
  <c r="R49"/>
  <c r="R40"/>
  <c r="R14"/>
  <c r="R69"/>
  <c r="R38"/>
  <c r="R112"/>
  <c r="R138"/>
  <c r="R74"/>
  <c r="R140"/>
  <c r="R145"/>
  <c r="R53"/>
  <c r="R224"/>
  <c r="R10"/>
  <c r="R21"/>
  <c r="R24"/>
  <c r="R120"/>
  <c r="R73"/>
  <c r="R66"/>
  <c r="R221"/>
  <c r="R87"/>
  <c r="R25"/>
  <c r="R99"/>
  <c r="R39"/>
  <c r="R110"/>
  <c r="R119"/>
  <c r="R106"/>
  <c r="R12"/>
  <c r="R54"/>
  <c r="R57"/>
  <c r="R52"/>
  <c r="R111"/>
  <c r="R85"/>
  <c r="R121"/>
  <c r="R13"/>
  <c r="R5"/>
  <c r="R11"/>
  <c r="R18"/>
  <c r="R80"/>
  <c r="R8"/>
  <c r="R153"/>
  <c r="R146"/>
  <c r="R118"/>
  <c r="R130"/>
  <c r="R50"/>
  <c r="R134"/>
  <c r="R243"/>
  <c r="R43"/>
  <c r="R60"/>
  <c r="R75"/>
  <c r="R59"/>
  <c r="R77"/>
  <c r="R34"/>
  <c r="R105"/>
  <c r="R114"/>
  <c r="R33"/>
  <c r="R97"/>
  <c r="R94"/>
  <c r="R93"/>
  <c r="R136"/>
  <c r="R67"/>
  <c r="R41"/>
  <c r="R125"/>
  <c r="R45"/>
  <c r="R141"/>
  <c r="R36"/>
  <c r="R62"/>
  <c r="R101"/>
  <c r="R109"/>
  <c r="R19"/>
  <c r="R70"/>
  <c r="R129"/>
  <c r="R102"/>
  <c r="R86"/>
  <c r="R64"/>
  <c r="R17"/>
  <c r="R56"/>
  <c r="R128"/>
  <c r="R82"/>
  <c r="R98"/>
  <c r="R90"/>
  <c r="R144"/>
  <c r="R29"/>
  <c r="R20"/>
  <c r="R30"/>
  <c r="R142"/>
  <c r="R135"/>
  <c r="R89"/>
  <c r="R239"/>
  <c r="R79"/>
  <c r="R42"/>
  <c r="R95"/>
  <c r="R122"/>
  <c r="R103"/>
  <c r="R2"/>
  <c r="R23"/>
  <c r="R132"/>
  <c r="R9"/>
  <c r="R37"/>
  <c r="R117"/>
  <c r="R63"/>
  <c r="R123"/>
  <c r="R133"/>
  <c r="R131"/>
  <c r="R68"/>
  <c r="R76"/>
  <c r="R27"/>
  <c r="N117"/>
  <c r="N75"/>
  <c r="N139"/>
  <c r="N145"/>
  <c r="N157"/>
  <c r="N33"/>
  <c r="N114"/>
  <c r="N63"/>
  <c r="N97"/>
  <c r="N7"/>
  <c r="N79"/>
  <c r="N144"/>
  <c r="N180"/>
  <c r="N11"/>
  <c r="N19"/>
  <c r="N136"/>
  <c r="N3"/>
  <c r="N40"/>
  <c r="N64"/>
  <c r="N66"/>
  <c r="N124"/>
  <c r="N54"/>
  <c r="N39"/>
  <c r="N6"/>
  <c r="N127"/>
  <c r="N24"/>
  <c r="N38"/>
  <c r="N70"/>
  <c r="N41"/>
  <c r="N134"/>
  <c r="N224"/>
  <c r="N72"/>
  <c r="N126"/>
  <c r="N146"/>
  <c r="N50"/>
  <c r="N113"/>
  <c r="N65"/>
  <c r="N232"/>
  <c r="N21"/>
  <c r="N90"/>
  <c r="N92"/>
  <c r="N108"/>
  <c r="N140"/>
  <c r="N15"/>
  <c r="N118"/>
  <c r="N34"/>
  <c r="N103"/>
  <c r="N25"/>
  <c r="N67"/>
  <c r="N101"/>
  <c r="N55"/>
  <c r="N36"/>
  <c r="N122"/>
  <c r="N57"/>
  <c r="N128"/>
  <c r="N141"/>
  <c r="N94"/>
  <c r="N107"/>
  <c r="N10"/>
  <c r="N84"/>
  <c r="N59"/>
  <c r="N99"/>
  <c r="N221"/>
  <c r="N123"/>
  <c r="N52"/>
  <c r="N125"/>
  <c r="N12"/>
  <c r="N18"/>
  <c r="N35"/>
  <c r="N129"/>
  <c r="N32"/>
  <c r="N110"/>
  <c r="N51"/>
  <c r="N142"/>
  <c r="N45"/>
  <c r="N132"/>
  <c r="N109"/>
  <c r="N73"/>
  <c r="N49"/>
  <c r="N56"/>
  <c r="N43"/>
  <c r="N83"/>
  <c r="N218"/>
  <c r="N5"/>
  <c r="N95"/>
  <c r="N42"/>
  <c r="N86"/>
  <c r="N46"/>
  <c r="N121"/>
  <c r="N119"/>
  <c r="N91"/>
  <c r="N111"/>
  <c r="N69"/>
  <c r="N61"/>
  <c r="N82"/>
  <c r="N239"/>
  <c r="N81"/>
  <c r="N17"/>
  <c r="N135"/>
  <c r="N80"/>
  <c r="N88"/>
  <c r="N105"/>
  <c r="N120"/>
  <c r="N131"/>
  <c r="N22"/>
  <c r="N26"/>
  <c r="N116"/>
  <c r="N14"/>
  <c r="N143"/>
  <c r="N20"/>
  <c r="N93"/>
  <c r="N137"/>
  <c r="N29"/>
  <c r="N47"/>
  <c r="N76"/>
  <c r="N130"/>
  <c r="N87"/>
  <c r="N166"/>
  <c r="N112"/>
  <c r="N13"/>
  <c r="N104"/>
  <c r="N37"/>
  <c r="N102"/>
  <c r="N8"/>
  <c r="N98"/>
  <c r="N53"/>
  <c r="N60"/>
  <c r="N74"/>
  <c r="N71"/>
  <c r="N62"/>
  <c r="N106"/>
  <c r="N68"/>
  <c r="N31"/>
  <c r="N138"/>
  <c r="N28"/>
  <c r="N89"/>
  <c r="N23"/>
  <c r="N156"/>
  <c r="N48"/>
  <c r="N85"/>
  <c r="N44"/>
  <c r="N16"/>
  <c r="N2"/>
  <c r="N9"/>
  <c r="N58"/>
  <c r="N30"/>
  <c r="N4"/>
  <c r="N133"/>
  <c r="N77"/>
  <c r="N149"/>
  <c r="N243"/>
  <c r="H56"/>
  <c r="H110"/>
  <c r="H24"/>
  <c r="H104"/>
  <c r="H121"/>
  <c r="H95"/>
  <c r="H101"/>
  <c r="H135"/>
  <c r="H138"/>
  <c r="H40"/>
  <c r="H62"/>
  <c r="H239"/>
  <c r="H131"/>
  <c r="H216"/>
  <c r="H75"/>
  <c r="H127"/>
  <c r="H2"/>
  <c r="H49"/>
  <c r="H25"/>
  <c r="H51"/>
  <c r="H39"/>
  <c r="H38"/>
  <c r="H7"/>
  <c r="H99"/>
  <c r="H59"/>
  <c r="H33"/>
  <c r="H12"/>
  <c r="H41"/>
  <c r="H82"/>
  <c r="H134"/>
  <c r="H10"/>
  <c r="H43"/>
  <c r="H16"/>
  <c r="H111"/>
  <c r="H61"/>
  <c r="H58"/>
  <c r="H108"/>
  <c r="H74"/>
  <c r="H9"/>
  <c r="H3"/>
  <c r="H23"/>
  <c r="H71"/>
  <c r="H120"/>
  <c r="H205"/>
  <c r="H103"/>
  <c r="H79"/>
  <c r="H137"/>
  <c r="H19"/>
  <c r="H26"/>
  <c r="H221"/>
  <c r="H169"/>
  <c r="H65"/>
  <c r="H144"/>
  <c r="H5"/>
  <c r="H83"/>
  <c r="H11"/>
  <c r="H141"/>
  <c r="H77"/>
  <c r="H63"/>
  <c r="H87"/>
  <c r="H243"/>
  <c r="H90"/>
  <c r="H218"/>
  <c r="H186"/>
  <c r="H8"/>
  <c r="H35"/>
  <c r="H54"/>
  <c r="H119"/>
  <c r="H47"/>
  <c r="H64"/>
  <c r="H68"/>
  <c r="H93"/>
  <c r="H224"/>
  <c r="H105"/>
  <c r="H98"/>
  <c r="H92"/>
  <c r="H42"/>
  <c r="H97"/>
  <c r="H4"/>
  <c r="H36"/>
  <c r="H85"/>
  <c r="H86"/>
  <c r="H17"/>
  <c r="H66"/>
  <c r="H29"/>
  <c r="H76"/>
  <c r="H198"/>
  <c r="H15"/>
  <c r="H14"/>
  <c r="H37"/>
  <c r="H154"/>
  <c r="H46"/>
  <c r="H113"/>
  <c r="H55"/>
  <c r="H140"/>
  <c r="H146"/>
  <c r="H31"/>
  <c r="H114"/>
  <c r="H20"/>
  <c r="H53"/>
  <c r="H106"/>
  <c r="H28"/>
  <c r="H130"/>
  <c r="H123"/>
  <c r="H78"/>
  <c r="H69"/>
  <c r="H139"/>
  <c r="H30"/>
  <c r="H142"/>
  <c r="H128"/>
  <c r="H6"/>
  <c r="H107"/>
  <c r="H125"/>
  <c r="H22"/>
  <c r="H133"/>
  <c r="H57"/>
  <c r="H80"/>
  <c r="H116"/>
  <c r="H118"/>
  <c r="H44"/>
  <c r="H32"/>
  <c r="H117"/>
  <c r="H91"/>
  <c r="H52"/>
  <c r="H70"/>
  <c r="H81"/>
  <c r="H50"/>
  <c r="H145"/>
  <c r="H168"/>
  <c r="H73"/>
  <c r="H102"/>
  <c r="H129"/>
  <c r="H112"/>
  <c r="H45"/>
  <c r="H72"/>
  <c r="H84"/>
  <c r="H89"/>
  <c r="H109"/>
  <c r="H94"/>
  <c r="H18"/>
  <c r="H48"/>
  <c r="H136"/>
  <c r="H13"/>
  <c r="H67"/>
  <c r="H124"/>
  <c r="H166"/>
  <c r="H143"/>
  <c r="H60"/>
  <c r="H132"/>
  <c r="H122"/>
  <c r="H34"/>
  <c r="H21"/>
  <c r="AB36"/>
  <c r="AB105"/>
  <c r="AB11"/>
  <c r="AB94"/>
  <c r="AB136"/>
  <c r="AB65"/>
  <c r="AB95"/>
  <c r="AB71"/>
  <c r="AB67"/>
  <c r="AB57"/>
  <c r="AB25"/>
  <c r="AB123"/>
  <c r="AB5"/>
  <c r="AB80"/>
  <c r="AB89"/>
  <c r="AB41"/>
  <c r="AB51"/>
  <c r="AB134"/>
  <c r="AB102"/>
  <c r="AB38"/>
  <c r="AB43"/>
  <c r="AB138"/>
  <c r="AB91"/>
  <c r="AB16"/>
  <c r="AB224"/>
  <c r="AB49"/>
  <c r="AB116"/>
  <c r="AB122"/>
  <c r="AB75"/>
  <c r="AB87"/>
  <c r="AB33"/>
  <c r="AB28"/>
  <c r="AB98"/>
  <c r="AB82"/>
  <c r="AB156"/>
  <c r="AB83"/>
  <c r="AB92"/>
  <c r="AB111"/>
  <c r="AB144"/>
  <c r="AB40"/>
  <c r="AB42"/>
  <c r="AB85"/>
  <c r="AB128"/>
  <c r="AB106"/>
  <c r="AB131"/>
  <c r="AB15"/>
  <c r="AB64"/>
  <c r="AB137"/>
  <c r="AB113"/>
  <c r="AB53"/>
  <c r="AB218"/>
  <c r="AB125"/>
  <c r="AB97"/>
  <c r="AB19"/>
  <c r="AB7"/>
  <c r="AB66"/>
  <c r="AB133"/>
  <c r="AB21"/>
  <c r="AB56"/>
  <c r="AB14"/>
  <c r="AB179"/>
  <c r="AB58"/>
  <c r="AB129"/>
  <c r="AB118"/>
  <c r="AB142"/>
  <c r="AB147"/>
  <c r="AB103"/>
  <c r="AB143"/>
  <c r="AB165"/>
  <c r="AB10"/>
  <c r="AB79"/>
  <c r="AB46"/>
  <c r="AB30"/>
  <c r="AB101"/>
  <c r="AB232"/>
  <c r="AB112"/>
  <c r="AB59"/>
  <c r="AB55"/>
  <c r="AB107"/>
  <c r="AB24"/>
  <c r="AB114"/>
  <c r="AB2"/>
  <c r="AB166"/>
  <c r="AB99"/>
  <c r="AB35"/>
  <c r="AB104"/>
  <c r="AB108"/>
  <c r="AB50"/>
  <c r="AB18"/>
  <c r="AB110"/>
  <c r="AB13"/>
  <c r="AB63"/>
  <c r="AB54"/>
  <c r="AB173"/>
  <c r="AB17"/>
  <c r="AB221"/>
  <c r="AB39"/>
  <c r="AB182"/>
  <c r="AB48"/>
  <c r="AB157"/>
  <c r="AB12"/>
  <c r="AB124"/>
  <c r="AB198"/>
  <c r="AB141"/>
  <c r="AB6"/>
  <c r="AB140"/>
  <c r="AB3"/>
  <c r="AB29"/>
  <c r="AB47"/>
  <c r="AB23"/>
  <c r="AB126"/>
  <c r="AB239"/>
  <c r="AB188"/>
  <c r="AB127"/>
  <c r="AB26"/>
  <c r="AB130"/>
  <c r="AB74"/>
  <c r="AB45"/>
  <c r="AB31"/>
  <c r="AB109"/>
  <c r="AB72"/>
  <c r="AB76"/>
  <c r="AB121"/>
  <c r="AB86"/>
  <c r="AB69"/>
  <c r="AB145"/>
  <c r="AB34"/>
  <c r="AB90"/>
  <c r="AB135"/>
  <c r="AB20"/>
  <c r="AB8"/>
  <c r="AB60"/>
  <c r="AB84"/>
  <c r="AB77"/>
  <c r="AB68"/>
  <c r="AB148"/>
  <c r="AB120"/>
  <c r="AB132"/>
  <c r="AB9"/>
  <c r="AB178"/>
  <c r="AB4"/>
  <c r="AB139"/>
  <c r="AB61"/>
  <c r="AB81"/>
  <c r="AB146"/>
  <c r="AB52"/>
  <c r="AB93"/>
  <c r="AB22"/>
  <c r="AB70"/>
  <c r="AB32"/>
  <c r="AB192"/>
  <c r="AB62"/>
  <c r="AB117"/>
  <c r="AB44"/>
  <c r="AB243"/>
  <c r="AB37"/>
  <c r="AB73"/>
  <c r="AB119"/>
  <c r="AG108"/>
  <c r="D108"/>
  <c r="AH108"/>
  <c r="AG89"/>
  <c r="D89"/>
  <c r="AH89"/>
  <c r="D169"/>
  <c r="AH169"/>
  <c r="D58"/>
  <c r="AH58"/>
  <c r="D75"/>
  <c r="AH75"/>
  <c r="D64"/>
  <c r="AH64"/>
  <c r="D126"/>
  <c r="AH126"/>
  <c r="D141"/>
  <c r="AH141"/>
  <c r="F217"/>
  <c r="AH217"/>
  <c r="D136"/>
  <c r="AH136"/>
  <c r="D122"/>
  <c r="AH122"/>
  <c r="D203"/>
  <c r="AH203"/>
  <c r="D42"/>
  <c r="AH42"/>
  <c r="D49"/>
  <c r="AH49"/>
  <c r="D34"/>
  <c r="AH34"/>
  <c r="D46"/>
  <c r="AH46"/>
  <c r="D83"/>
  <c r="AH83"/>
  <c r="D76"/>
  <c r="AH76"/>
  <c r="D180"/>
  <c r="AH180"/>
  <c r="D103"/>
  <c r="AH103"/>
  <c r="D12"/>
  <c r="AH12"/>
  <c r="D121"/>
  <c r="AH121"/>
  <c r="D73"/>
  <c r="AH73"/>
  <c r="D113"/>
  <c r="AH113"/>
  <c r="AB174"/>
  <c r="AH174"/>
  <c r="D17"/>
  <c r="AH17"/>
  <c r="H155"/>
  <c r="AH155"/>
  <c r="AG132"/>
  <c r="D132"/>
  <c r="AH132"/>
  <c r="D110"/>
  <c r="AH110"/>
  <c r="D112"/>
  <c r="AH112"/>
  <c r="D79"/>
  <c r="AH79"/>
  <c r="D124"/>
  <c r="AH124"/>
  <c r="H179"/>
  <c r="AH179"/>
  <c r="H175"/>
  <c r="AH175"/>
  <c r="D172"/>
  <c r="AH172"/>
  <c r="D20"/>
  <c r="AH20"/>
  <c r="D62"/>
  <c r="AH62"/>
  <c r="D130"/>
  <c r="AH130"/>
  <c r="D55"/>
  <c r="AH55"/>
  <c r="D81"/>
  <c r="AH81"/>
  <c r="D47"/>
  <c r="AH47"/>
  <c r="D125"/>
  <c r="AH125"/>
  <c r="D87"/>
  <c r="AH87"/>
  <c r="D98"/>
  <c r="AH98"/>
  <c r="D154"/>
  <c r="AH154"/>
  <c r="D66"/>
  <c r="AH66"/>
  <c r="D71"/>
  <c r="AH71"/>
  <c r="D140"/>
  <c r="AH140"/>
  <c r="D10"/>
  <c r="AH10"/>
  <c r="D59"/>
  <c r="AH59"/>
  <c r="D123"/>
  <c r="AH123"/>
  <c r="D200"/>
  <c r="AH200"/>
  <c r="D131"/>
  <c r="AH131"/>
  <c r="D36"/>
  <c r="AH36"/>
  <c r="D97"/>
  <c r="AH97"/>
  <c r="D31"/>
  <c r="AH31"/>
  <c r="D198"/>
  <c r="AH198"/>
  <c r="D6"/>
  <c r="AH6"/>
  <c r="D90"/>
  <c r="AH90"/>
  <c r="AG191"/>
  <c r="AB191"/>
  <c r="AH191"/>
  <c r="AB160"/>
  <c r="AH160"/>
  <c r="H178"/>
  <c r="AH178"/>
  <c r="D168"/>
  <c r="AH168"/>
  <c r="H188"/>
  <c r="AH188"/>
  <c r="D95"/>
  <c r="AH95"/>
  <c r="D152"/>
  <c r="AH152"/>
  <c r="D145"/>
  <c r="AH145"/>
  <c r="D38"/>
  <c r="AH38"/>
  <c r="D135"/>
  <c r="AH135"/>
  <c r="H157"/>
  <c r="AH157"/>
  <c r="D149"/>
  <c r="AH149"/>
  <c r="H181"/>
  <c r="AH181"/>
  <c r="D28"/>
  <c r="AH28"/>
  <c r="D127"/>
  <c r="AH127"/>
  <c r="D68"/>
  <c r="AH68"/>
  <c r="F207"/>
  <c r="AH207"/>
  <c r="D39"/>
  <c r="AH39"/>
  <c r="D139"/>
  <c r="AH139"/>
  <c r="D82"/>
  <c r="AH82"/>
  <c r="D99"/>
  <c r="AH99"/>
  <c r="AG182"/>
  <c r="H182"/>
  <c r="AH182"/>
  <c r="D104"/>
  <c r="AH104"/>
  <c r="D54"/>
  <c r="AH54"/>
  <c r="D138"/>
  <c r="AH138"/>
  <c r="H147"/>
  <c r="AH147"/>
  <c r="AB196"/>
  <c r="AH196"/>
  <c r="AH162"/>
  <c r="AB162"/>
  <c r="AG162"/>
  <c r="D7"/>
  <c r="AH7"/>
  <c r="D61"/>
  <c r="AH61"/>
  <c r="D102"/>
  <c r="AH102"/>
  <c r="AH50"/>
  <c r="D50"/>
  <c r="AG50"/>
  <c r="D133"/>
  <c r="AH133"/>
  <c r="D218"/>
  <c r="AH218"/>
  <c r="D3"/>
  <c r="AH3"/>
  <c r="D144"/>
  <c r="AH144"/>
  <c r="D208"/>
  <c r="AH208"/>
  <c r="D72"/>
  <c r="AH72"/>
  <c r="D161"/>
  <c r="AH161"/>
  <c r="D43"/>
  <c r="AH43"/>
  <c r="AH119"/>
  <c r="D119"/>
  <c r="AG119"/>
  <c r="D117"/>
  <c r="AH117"/>
  <c r="D30"/>
  <c r="AH30"/>
  <c r="D205"/>
  <c r="AH205"/>
  <c r="AB189"/>
  <c r="AH189"/>
  <c r="D85"/>
  <c r="AH85"/>
  <c r="H173"/>
  <c r="AH173"/>
  <c r="D13"/>
  <c r="AH13"/>
  <c r="D128"/>
  <c r="AH128"/>
  <c r="D118"/>
  <c r="AH118"/>
  <c r="F232"/>
  <c r="AH232"/>
  <c r="D114"/>
  <c r="AH114"/>
  <c r="D120"/>
  <c r="AH120"/>
  <c r="D137"/>
  <c r="AH137"/>
  <c r="D5"/>
  <c r="AH5"/>
  <c r="D74"/>
  <c r="AH74"/>
  <c r="D33"/>
  <c r="AH33"/>
  <c r="D91"/>
  <c r="AH91"/>
  <c r="D40"/>
  <c r="AH40"/>
  <c r="D244"/>
  <c r="AH244"/>
  <c r="D22"/>
  <c r="AH22"/>
  <c r="D84"/>
  <c r="AH84"/>
  <c r="AH70"/>
  <c r="D70"/>
  <c r="AG70"/>
  <c r="D48"/>
  <c r="AH48"/>
  <c r="D60"/>
  <c r="AH60"/>
  <c r="D63"/>
  <c r="AH63"/>
  <c r="V27"/>
  <c r="V185"/>
  <c r="AH185"/>
  <c r="D80"/>
  <c r="AH80"/>
  <c r="D9"/>
  <c r="AH9"/>
  <c r="H156"/>
  <c r="AH156"/>
  <c r="D67"/>
  <c r="AH67"/>
  <c r="D164"/>
  <c r="AH164"/>
  <c r="D105"/>
  <c r="AH105"/>
  <c r="AB167"/>
  <c r="AH167"/>
  <c r="D109"/>
  <c r="AH109"/>
  <c r="D183"/>
  <c r="AH183"/>
  <c r="D129"/>
  <c r="AH129"/>
  <c r="D220"/>
  <c r="AH220"/>
  <c r="D44"/>
  <c r="AH44"/>
  <c r="D166"/>
  <c r="AH166"/>
  <c r="D57"/>
  <c r="AH57"/>
  <c r="D53"/>
  <c r="AH53"/>
  <c r="H159"/>
  <c r="AH159"/>
  <c r="D18"/>
  <c r="AH18"/>
  <c r="D78"/>
  <c r="AH78"/>
  <c r="D142"/>
  <c r="AH142"/>
  <c r="D23"/>
  <c r="AH23"/>
  <c r="N192"/>
  <c r="AH192"/>
  <c r="D21"/>
  <c r="AH21"/>
  <c r="D243"/>
  <c r="AH243"/>
  <c r="D29"/>
  <c r="AH29"/>
  <c r="D26"/>
  <c r="AH26"/>
  <c r="D24"/>
  <c r="AH24"/>
  <c r="D146"/>
  <c r="AH146"/>
  <c r="AH134"/>
  <c r="D134"/>
  <c r="AG134"/>
  <c r="D15"/>
  <c r="AH15"/>
  <c r="D111"/>
  <c r="AH111"/>
  <c r="D77"/>
  <c r="AH77"/>
  <c r="D107"/>
  <c r="AH107"/>
  <c r="D86"/>
  <c r="AH86"/>
  <c r="D4"/>
  <c r="AH4"/>
  <c r="H190"/>
  <c r="AH190"/>
  <c r="D52"/>
  <c r="AH52"/>
  <c r="F88"/>
  <c r="AH88"/>
  <c r="H201"/>
  <c r="AH201"/>
  <c r="D32"/>
  <c r="AH32"/>
  <c r="N194"/>
  <c r="AH194"/>
  <c r="D92"/>
  <c r="AH92"/>
  <c r="D224"/>
  <c r="AH224"/>
  <c r="AG93"/>
  <c r="D93"/>
  <c r="AH93"/>
  <c r="AH45"/>
  <c r="D45"/>
  <c r="AG45"/>
  <c r="D19"/>
  <c r="AH19"/>
  <c r="D8"/>
  <c r="AH8"/>
  <c r="H165"/>
  <c r="AH165"/>
  <c r="D116"/>
  <c r="AH116"/>
  <c r="N27"/>
  <c r="N153"/>
  <c r="AH153"/>
  <c r="D11"/>
  <c r="AH11"/>
  <c r="D14"/>
  <c r="AH14"/>
  <c r="D41"/>
  <c r="AH41"/>
  <c r="F35"/>
  <c r="AH35"/>
  <c r="D106"/>
  <c r="AH106"/>
  <c r="D101"/>
  <c r="AH101"/>
  <c r="D186"/>
  <c r="AH186"/>
  <c r="D206"/>
  <c r="AH206"/>
  <c r="AB27"/>
  <c r="AB187"/>
  <c r="AH187"/>
  <c r="H151"/>
  <c r="AH151"/>
  <c r="D148"/>
  <c r="AH148"/>
  <c r="D56"/>
  <c r="AH56"/>
  <c r="D37"/>
  <c r="AH37"/>
  <c r="F27"/>
  <c r="F221"/>
  <c r="AH221"/>
  <c r="D239"/>
  <c r="AH239"/>
  <c r="D2"/>
  <c r="AH2"/>
  <c r="D65"/>
  <c r="AH65"/>
  <c r="D25"/>
  <c r="AH25"/>
  <c r="D143"/>
  <c r="AH143"/>
  <c r="AH69"/>
  <c r="D69"/>
  <c r="AG69"/>
  <c r="H27"/>
  <c r="H176"/>
  <c r="AH176"/>
  <c r="D16"/>
  <c r="AH16"/>
  <c r="D94"/>
  <c r="AH94"/>
  <c r="D27"/>
  <c r="D51"/>
  <c r="AH51"/>
</calcChain>
</file>

<file path=xl/comments1.xml><?xml version="1.0" encoding="utf-8"?>
<comments xmlns="http://schemas.openxmlformats.org/spreadsheetml/2006/main">
  <authors>
    <author>Student</author>
  </authors>
  <commentList>
    <comment ref="E6" author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<sst xmlns="http://schemas.openxmlformats.org/spreadsheetml/2006/main" count="3392" uniqueCount="465">
  <si>
    <t>EXAM SEAT NO.</t>
  </si>
  <si>
    <t>NAME OF CANDIDATE</t>
  </si>
  <si>
    <t>AM III</t>
  </si>
  <si>
    <t>EDLC</t>
  </si>
  <si>
    <t>DSGT</t>
  </si>
  <si>
    <t>DLDA</t>
  </si>
  <si>
    <t>DSF</t>
  </si>
  <si>
    <t>COA</t>
  </si>
  <si>
    <t>PCT</t>
  </si>
  <si>
    <t>REMARKS</t>
  </si>
  <si>
    <t>TH</t>
  </si>
  <si>
    <t>TW</t>
  </si>
  <si>
    <t>P</t>
  </si>
  <si>
    <t>MAX</t>
  </si>
  <si>
    <t>MIN</t>
  </si>
  <si>
    <t>DSGT :- Discrete Structure &amp; Graph Theory</t>
  </si>
  <si>
    <t xml:space="preserve"> </t>
  </si>
  <si>
    <t>COA :- Computer Organization &amp; Architecture</t>
  </si>
  <si>
    <t xml:space="preserve">  EDLC  :-  Electronics Devices &amp; Linear Circuits</t>
  </si>
  <si>
    <t>AM III   :- Applied Mathematics-III</t>
  </si>
  <si>
    <t>DSF  :- Data Structures and Files</t>
  </si>
  <si>
    <t>DLDA  :- Digital Logic Design and Application</t>
  </si>
  <si>
    <t>TOTAL</t>
  </si>
  <si>
    <t>ADMANE PRADIP VIDNYANRAO</t>
  </si>
  <si>
    <t>CHAUDHARI AJINKYA VIJAY</t>
  </si>
  <si>
    <t>CHAURASIA ANAND BHAIYALAL</t>
  </si>
  <si>
    <t>CHETTIER SANJAY GANESHAN</t>
  </si>
  <si>
    <t>DEOLE ADITYA VIKRAM</t>
  </si>
  <si>
    <t>DEORE SANKET GOVIND</t>
  </si>
  <si>
    <t>DESAI MIHIR BHUPESH</t>
  </si>
  <si>
    <t>DESAI SMIT PARSHURAM</t>
  </si>
  <si>
    <t>EDAVI PRATIK PRAKASH</t>
  </si>
  <si>
    <t>GAIKWAD NITISH RAVINDRA</t>
  </si>
  <si>
    <t>GHUNAVAT ATUL ISHVAR</t>
  </si>
  <si>
    <t>KADIWALA REHAN KARIM</t>
  </si>
  <si>
    <t>KATARE SUNITA DATTU</t>
  </si>
  <si>
    <t>KELUSKAR PRAVIN PURUSHOTTAM</t>
  </si>
  <si>
    <t>KENI YATIN NARENDRA</t>
  </si>
  <si>
    <t>KESARKAR SONALI SHAM</t>
  </si>
  <si>
    <t>KEWAT ATUL BHARATBHUSHAN</t>
  </si>
  <si>
    <t>LONDE SUNNY RAVINDRA</t>
  </si>
  <si>
    <t>MISTRY YUVRAJ SHAILESH</t>
  </si>
  <si>
    <t>PAKHARE MAHESH MAHADEO</t>
  </si>
  <si>
    <t>PARANDE MANDAR MANGESH</t>
  </si>
  <si>
    <t>PARKAR SIDDHANT RAJIV</t>
  </si>
  <si>
    <t>PATEL JAY BIPIN</t>
  </si>
  <si>
    <t>PATIL GAURAV BHAURAO</t>
  </si>
  <si>
    <t>PATIL VISHAL SHRIKANT</t>
  </si>
  <si>
    <t>PATWARDHAN ANIKET ASHOK</t>
  </si>
  <si>
    <t>PIMPLE ROSHAN ASHOK</t>
  </si>
  <si>
    <t>SAKHALE NIMESH HEMANT</t>
  </si>
  <si>
    <t>SHUKLA MANOJ SHOBHNATH</t>
  </si>
  <si>
    <t>THAKUR OMKAR PRALHAD</t>
  </si>
  <si>
    <t>VANMALI SANKET DILIP</t>
  </si>
  <si>
    <t>KAMBLE ABHISHEK DINKAR</t>
  </si>
  <si>
    <t>45+</t>
  </si>
  <si>
    <t>40+</t>
  </si>
  <si>
    <t>47+</t>
  </si>
  <si>
    <t>44+</t>
  </si>
  <si>
    <t>53+</t>
  </si>
  <si>
    <t>57+</t>
  </si>
  <si>
    <t>46+</t>
  </si>
  <si>
    <t>56+</t>
  </si>
  <si>
    <t>42+</t>
  </si>
  <si>
    <t>43+</t>
  </si>
  <si>
    <t>41+</t>
  </si>
  <si>
    <t>15+</t>
  </si>
  <si>
    <t>14+</t>
  </si>
  <si>
    <t>16+</t>
  </si>
  <si>
    <t>17+</t>
  </si>
  <si>
    <t>19+</t>
  </si>
  <si>
    <t>18+</t>
  </si>
  <si>
    <t>21+</t>
  </si>
  <si>
    <t>23+</t>
  </si>
  <si>
    <t>20+</t>
  </si>
  <si>
    <t>22+</t>
  </si>
  <si>
    <t>10+</t>
  </si>
  <si>
    <t>51+</t>
  </si>
  <si>
    <t>60+</t>
  </si>
  <si>
    <t>48+</t>
  </si>
  <si>
    <t>50+</t>
  </si>
  <si>
    <t>49+</t>
  </si>
  <si>
    <t>67+</t>
  </si>
  <si>
    <t>11+</t>
  </si>
  <si>
    <t>24+</t>
  </si>
  <si>
    <t>52+</t>
  </si>
  <si>
    <t>55+</t>
  </si>
  <si>
    <t>62+</t>
  </si>
  <si>
    <t>61+</t>
  </si>
  <si>
    <t>63+</t>
  </si>
  <si>
    <t>54+</t>
  </si>
  <si>
    <t>66+</t>
  </si>
  <si>
    <t>58+</t>
  </si>
  <si>
    <t>59+</t>
  </si>
  <si>
    <t>73+</t>
  </si>
  <si>
    <t>64+</t>
  </si>
  <si>
    <t>71+</t>
  </si>
  <si>
    <t>30+</t>
  </si>
  <si>
    <t>39+</t>
  </si>
  <si>
    <t>36+</t>
  </si>
  <si>
    <t>25+</t>
  </si>
  <si>
    <t>38+</t>
  </si>
  <si>
    <t>35+</t>
  </si>
  <si>
    <t>AB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</si>
  <si>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</si>
  <si>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</si>
  <si>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</si>
  <si>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</si>
  <si>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</si>
  <si>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</si>
  <si>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</si>
  <si>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AM</t>
  </si>
  <si>
    <t>S NO.</t>
  </si>
  <si>
    <t>Subject Name</t>
  </si>
  <si>
    <t>Name of Examiner</t>
  </si>
  <si>
    <t>Total no of students appeared</t>
  </si>
  <si>
    <t>Total no of students passed</t>
  </si>
  <si>
    <t>% of Passing in the subjects</t>
  </si>
  <si>
    <t>No of grace marks awarded in the subject by examiner</t>
  </si>
  <si>
    <t>03</t>
  </si>
  <si>
    <t>(Signature of principal with College seal)</t>
  </si>
  <si>
    <t>Applied Mathematics-III</t>
  </si>
  <si>
    <t>Electronics Devices &amp; Linear Circuits</t>
  </si>
  <si>
    <t>Discrete Structure &amp; Graph Theory</t>
  </si>
  <si>
    <t>Digital Logic Design and Application</t>
  </si>
  <si>
    <t>Data Structures and Files</t>
  </si>
  <si>
    <t>Computer Organization &amp; Architecture</t>
  </si>
  <si>
    <t>Overall Percentage of Passing  :</t>
  </si>
  <si>
    <t>Total No. of Students Appeared :</t>
  </si>
  <si>
    <t>Total No. of Students Passed :</t>
  </si>
  <si>
    <t>Total no of students appeared:</t>
  </si>
  <si>
    <t>Total no of students passed:</t>
  </si>
  <si>
    <t>Overall Percentage of passing:</t>
  </si>
  <si>
    <t>Branch : Computer Engineering</t>
  </si>
  <si>
    <t>Number of candidates scored marks above 60</t>
  </si>
  <si>
    <t>Name of Moderator</t>
  </si>
  <si>
    <t>Prof.Anuradha Kapoor      (ACE)</t>
  </si>
  <si>
    <t>Prof. Rashmi Thakur     (TCET)</t>
  </si>
  <si>
    <t>Prof. Swapna Patil        (VIVA)</t>
  </si>
  <si>
    <t>Candidates scored marks between 40 &amp; 60</t>
  </si>
  <si>
    <t>num</t>
  </si>
  <si>
    <t>name</t>
  </si>
  <si>
    <t>AM-III-TH</t>
  </si>
  <si>
    <t>AM-III-TW</t>
  </si>
  <si>
    <t>EDLC-TH</t>
  </si>
  <si>
    <t>EDLC-TW</t>
  </si>
  <si>
    <t>EDLC-P</t>
  </si>
  <si>
    <t>DSGT-TH</t>
  </si>
  <si>
    <t>DSGT-TW</t>
  </si>
  <si>
    <t>DCDA-TH</t>
  </si>
  <si>
    <t>DLDA-TW</t>
  </si>
  <si>
    <t>DSH-TH</t>
  </si>
  <si>
    <t>DSF-TW</t>
  </si>
  <si>
    <t>DSF-P</t>
  </si>
  <si>
    <t>COA-TH</t>
  </si>
  <si>
    <t>COA-TW</t>
  </si>
  <si>
    <t>PCT-TW</t>
  </si>
  <si>
    <t>TOT</t>
  </si>
  <si>
    <t>SPELLNUMBER</t>
  </si>
  <si>
    <t xml:space="preserve"> PCT :- Presentation and Communication Techniques </t>
  </si>
  <si>
    <t>AMIN RISHITA VIJAYKUMAR</t>
  </si>
  <si>
    <t>AMRE PRITAM ANILKUMAR</t>
  </si>
  <si>
    <t>ANSAN SUNNY SALAMA</t>
  </si>
  <si>
    <t>ASRANI BHARTI LACHMAN</t>
  </si>
  <si>
    <t>BADE AMIT KERAMBA</t>
  </si>
  <si>
    <t>BAGWE KARAN VINAY</t>
  </si>
  <si>
    <t>BANDIVADEKAR RUTALI DILIP</t>
  </si>
  <si>
    <t>BARBHAYA RISHI DIVYESH</t>
  </si>
  <si>
    <t>BELWALKAR MANALI CHANDRAKANT</t>
  </si>
  <si>
    <t>BHAGAT DOLLY DEEPAK</t>
  </si>
  <si>
    <t>BHALERAO DEVENDRA SURESH</t>
  </si>
  <si>
    <t>BHOITE KISHORI PRABHAKAR</t>
  </si>
  <si>
    <t>BORSE KIRAN HILAL</t>
  </si>
  <si>
    <t>CHAUHAN ANJALI RAJU</t>
  </si>
  <si>
    <t>CHAVAN GAURAV SHRIDHAR</t>
  </si>
  <si>
    <t>CHAVAN KOMAL DATTATRAY</t>
  </si>
  <si>
    <t>CHAVAN SHASHANK GAJANAN</t>
  </si>
  <si>
    <t>CHAVHAN AMOL SUBHASH</t>
  </si>
  <si>
    <t>CHILE AKSHAY VISHWANATH</t>
  </si>
  <si>
    <t>CHILKA PRIYANKA RAJENDRA</t>
  </si>
  <si>
    <t>CHITRE ABHISHEK ANIL</t>
  </si>
  <si>
    <t>CHONKAR SHRIKAR RAVINDRA</t>
  </si>
  <si>
    <t>DADAS JITESH TATYA</t>
  </si>
  <si>
    <t>DALVI NILESHA NANDKISHOR</t>
  </si>
  <si>
    <t>DANDE AKASH NARAYAN</t>
  </si>
  <si>
    <t>DAVE RAJENDRA AJAY</t>
  </si>
  <si>
    <t>DEEPALI GANPATI KHOT</t>
  </si>
  <si>
    <t>DESAI CHINMAY PRAKASH</t>
  </si>
  <si>
    <t>DEVLEKAR RAHUL PRAKASH</t>
  </si>
  <si>
    <t>DHULE AMEY YASHWANT</t>
  </si>
  <si>
    <t>ERANGALE VINIT MANOJ</t>
  </si>
  <si>
    <t>ERRAGONI MAHESH BUCHAIAM</t>
  </si>
  <si>
    <t>GAJUL POOJA GOPAL</t>
  </si>
  <si>
    <t>GALANDE BHUSHAN RAMESH</t>
  </si>
  <si>
    <t>GAWADE MAHESH SHIVAJI</t>
  </si>
  <si>
    <t>GAWADE SHRADDHA SHRIKANT</t>
  </si>
  <si>
    <t>GAWAI SUPRIYA SUBHASH</t>
  </si>
  <si>
    <t>GOHIL VIRAL RAJESHBHAI</t>
  </si>
  <si>
    <t>GUPTA SHIVA AJAY</t>
  </si>
  <si>
    <t>GURABE MANISHA VISHNU</t>
  </si>
  <si>
    <t>GURAV ABHIJIT SHRIPAT</t>
  </si>
  <si>
    <t>GURAV KAMINEE PRAKASH</t>
  </si>
  <si>
    <t>HEGDE PARIKSHIT KRISHNA</t>
  </si>
  <si>
    <t>JADHAV SNEHA AMARSINGH</t>
  </si>
  <si>
    <t>JINESH KUMAR KAMADAR</t>
  </si>
  <si>
    <t>JOSHI DIVYA ASHOK</t>
  </si>
  <si>
    <t>KADDI ASHUTOSH RAVINDRA</t>
  </si>
  <si>
    <t>KAMBLE ROHAN SUNIL</t>
  </si>
  <si>
    <t>KESARKAR ANKITA DILIP</t>
  </si>
  <si>
    <t>KEYAL ATULKUMAR SAJJANKUMAR</t>
  </si>
  <si>
    <t>KHAINAR VAISHALI VIJAY</t>
  </si>
  <si>
    <t>KHANDARE ASHWINI DNYANDEO</t>
  </si>
  <si>
    <t>KHATRI CHINTAN BIPIN (CBSC)</t>
  </si>
  <si>
    <t>KODAM MANIKIRAN MADHUSUDHAN (CBSC)</t>
  </si>
  <si>
    <t>KOLI NEHA NANDU</t>
  </si>
  <si>
    <t>KUBAL PRIYANKA KAMALAKAR</t>
  </si>
  <si>
    <t>KUBAL SARIKA KAMALAKAR</t>
  </si>
  <si>
    <t>KUCHEKAR KARISHMA APPASAHEB</t>
  </si>
  <si>
    <t>KULKARNI NIKHIL NAGESH</t>
  </si>
  <si>
    <t>KUTTY ROHIT KRISHNAN</t>
  </si>
  <si>
    <t>LANDGE SNEHAL PRAKASH</t>
  </si>
  <si>
    <t>MANIAR KARAN BHARATBHAI (CBSC)</t>
  </si>
  <si>
    <t>MANJARE SAGAR RAMDAS</t>
  </si>
  <si>
    <t>MARDE ASHISH VASUDEO</t>
  </si>
  <si>
    <t>MHATRE DEVIKA RAVINDRA</t>
  </si>
  <si>
    <t>MORE SAURABH SUDHIR</t>
  </si>
  <si>
    <t>NADKAR AAQUIB FAIYAZ</t>
  </si>
  <si>
    <t>NAGWEKAR DEVEN SUHAS</t>
  </si>
  <si>
    <t>NAIK MADHURA MILIND</t>
  </si>
  <si>
    <t>NEMAN PRATEEK DASHRATH</t>
  </si>
  <si>
    <t>PADSALA CHIRAG GOKUL</t>
  </si>
  <si>
    <t>PAI SIDDHANT SUHAS</t>
  </si>
  <si>
    <t>PALAV ROHIT DHANANJAY</t>
  </si>
  <si>
    <t>PANCHAL KOMAL NITIN</t>
  </si>
  <si>
    <t>PANDEY KARISHMA AJEETKUMAR</t>
  </si>
  <si>
    <t>PANDEY SANTOSHKUMAR RAJKUMAR</t>
  </si>
  <si>
    <t>PARADKAR ABHISHEK NARAYAN</t>
  </si>
  <si>
    <t>PARDHIYE PRATHMESH VIJAY</t>
  </si>
  <si>
    <t>PARMAR ANKIT RAMNIKLAL</t>
  </si>
  <si>
    <t>PARMAR BHUSHAN BHARAT</t>
  </si>
  <si>
    <t>PATHARE ABHISHEK AVINASH</t>
  </si>
  <si>
    <t>PATHARE ROHIT SANJAY</t>
  </si>
  <si>
    <t>PATIL AADITYA SAKHARAM</t>
  </si>
  <si>
    <t>PATIL ABHILESH NITIN</t>
  </si>
  <si>
    <t>PATIL ADITYA GURUNATH</t>
  </si>
  <si>
    <t>PATIL AKSHAY PRADEEP</t>
  </si>
  <si>
    <t>PATIL MAYUR BHALERAO</t>
  </si>
  <si>
    <t>PATIL MRUNAL SHASHIKANT</t>
  </si>
  <si>
    <t>PATIL OMKAR KISHORE</t>
  </si>
  <si>
    <t>PATIL SANKET SUNIL</t>
  </si>
  <si>
    <t>PATIL SNEHAL VASANT</t>
  </si>
  <si>
    <t>PAWAR SONALI BHIMSING</t>
  </si>
  <si>
    <t>PENDHARI DIPALI SAKHARAM (TFWS)</t>
  </si>
  <si>
    <t>PIMPLE SAYALI PRABHAKAR</t>
  </si>
  <si>
    <t>POOJARI DHANRAJ MUTHAYYA</t>
  </si>
  <si>
    <t>PRAJAPATI PRAMOD RAMJIT</t>
  </si>
  <si>
    <t>PURI NAMITA RAMDAS</t>
  </si>
  <si>
    <t>QAMAR JUNAID MOHD</t>
  </si>
  <si>
    <t>RAMTEKE VIPUL ASHOK</t>
  </si>
  <si>
    <t>RAUT JUHI DILIP</t>
  </si>
  <si>
    <t>RAUT NEHA MOHAN</t>
  </si>
  <si>
    <t>SANKHE RAHUL GANGADHAR</t>
  </si>
  <si>
    <t>SANKPAL KIRAN PRAKASH</t>
  </si>
  <si>
    <t>SAPLE NIKITA DILIP</t>
  </si>
  <si>
    <t xml:space="preserve">SAWANT  RIDHIMA  AJAY </t>
  </si>
  <si>
    <t>SAWANT ROHIT RAMCHANDRA</t>
  </si>
  <si>
    <t>SAWANT SHREYAS SUBHASH</t>
  </si>
  <si>
    <t xml:space="preserve">SETH SAURAV </t>
  </si>
  <si>
    <t>SHAH FIYANSH DINESH</t>
  </si>
  <si>
    <t>SHAH JETEN PARAG</t>
  </si>
  <si>
    <t>SHAH KARAN VIPULKUMAR</t>
  </si>
  <si>
    <t>SHAH KETUK PANKAJKUMAR</t>
  </si>
  <si>
    <t>SHAH KOMAL PARTH</t>
  </si>
  <si>
    <t>SHAH NISHAL PARESHKUMAR</t>
  </si>
  <si>
    <t>SHAH PARAS PANKAJ</t>
  </si>
  <si>
    <t>SHARMA PRADEEP RAMAJEET</t>
  </si>
  <si>
    <t>SHETTY CHAITRA BALAKRISHNA</t>
  </si>
  <si>
    <t>SHETTY RISHI CHANDRASHEKAR</t>
  </si>
  <si>
    <t>SHEWALE PALLAVI KALIDAS</t>
  </si>
  <si>
    <t>SHINDE AAMOD ARUN</t>
  </si>
  <si>
    <t>SHINDE ANIKET ANANT</t>
  </si>
  <si>
    <t>SHINDE PRATIKSHA DNYANESHWAR</t>
  </si>
  <si>
    <t>SHROFF RUCHIT RAJIV</t>
  </si>
  <si>
    <t>SHUKLA AKASHKUMAR LALITKUMAR</t>
  </si>
  <si>
    <t>SINGH NIKET NARENDRAKUMAR</t>
  </si>
  <si>
    <t>SINGH SATISH SHARDA</t>
  </si>
  <si>
    <t>SINGH VIKRAM  RAVINDRA</t>
  </si>
  <si>
    <t>SINKAR VINIT PRADIP</t>
  </si>
  <si>
    <t>SOMAIYA JAINIM DILIP</t>
  </si>
  <si>
    <t>SONI RAINIK OMPRAKASH</t>
  </si>
  <si>
    <t>SRIKANTH RAVEE</t>
  </si>
  <si>
    <t>SUMAN  SIDDAHARTH SURESH</t>
  </si>
  <si>
    <t>SURVE ABHISHEK RAMAKANT</t>
  </si>
  <si>
    <t>SURVE NEHA VILAS</t>
  </si>
  <si>
    <t>TANDEL LINA LAXMAN</t>
  </si>
  <si>
    <t>TELAP DINKAR BHASKAR</t>
  </si>
  <si>
    <t>UBALE SANCHI SANDEET</t>
  </si>
  <si>
    <t>UPADHYAY PRASHANT VIJAY</t>
  </si>
  <si>
    <t>VARSHINI RAMARAJ</t>
  </si>
  <si>
    <t>VYAS SAGAR MAHENDRA</t>
  </si>
  <si>
    <t>WALINJKAR KRITIKA BHUSHAN</t>
  </si>
  <si>
    <t>WANI TEJAS VILAS</t>
  </si>
  <si>
    <t>ZEPLE PRIYANKA KESHAV</t>
  </si>
  <si>
    <t>PATIL HEENALI SURENDRA</t>
  </si>
  <si>
    <t>BAJETHA  GAURAV SINGH</t>
  </si>
  <si>
    <t>BHANDARE RAJKUMAR NAGORAO</t>
  </si>
  <si>
    <t>BOLINJKAR SNEHA VIJAY</t>
  </si>
  <si>
    <t>CHANDGUDE TEJAL SURESH</t>
  </si>
  <si>
    <t>CHAUDHARY YOGESH AJIT</t>
  </si>
  <si>
    <t>DHANDEKAR SNEHAL PRAKASH</t>
  </si>
  <si>
    <t>GOSAVI MANJIRI DINKAR</t>
  </si>
  <si>
    <t>HULYALKAR SAYALI SUHAS</t>
  </si>
  <si>
    <t>MADHWA TANUJ RADHEYSHYAM</t>
  </si>
  <si>
    <t>MORE DEVANGI PRAKASH</t>
  </si>
  <si>
    <t>NIKAM PRIYANKA SHANKAR</t>
  </si>
  <si>
    <t>OZA ADITYA SUNILKUMAR</t>
  </si>
  <si>
    <t>PATIL RAVINDRA YASHWANT</t>
  </si>
  <si>
    <t>PATIL SANJALI SANDIP</t>
  </si>
  <si>
    <t>PATKAR DIPIKA SANTOSH</t>
  </si>
  <si>
    <t>PAWAR MINAKSHI SHATRU</t>
  </si>
  <si>
    <t>PEVEKAR NEHA BALKRISHNA</t>
  </si>
  <si>
    <t>RANE YUGANDHARA CHANDRAMOHAN</t>
  </si>
  <si>
    <t>SAWANT SWATI MADHAV</t>
  </si>
  <si>
    <t>SHIVALKAR AKSHAY PRALHAD</t>
  </si>
  <si>
    <t>SURVE RUPESH SUDHAKAR</t>
  </si>
  <si>
    <t>SURYAWANSHI PRIYANKA MADHUKAR</t>
  </si>
  <si>
    <t>THAKKAR JIGNAL NILESH</t>
  </si>
  <si>
    <t>223401*</t>
  </si>
  <si>
    <t>223402*</t>
  </si>
  <si>
    <t>VISHWAKARMA PARSHURAM SHIVMURAT</t>
  </si>
  <si>
    <t>223403*</t>
  </si>
  <si>
    <t>WARADE SONAL EKNATH</t>
  </si>
  <si>
    <t>PC3001</t>
  </si>
  <si>
    <t xml:space="preserve"> ANSARI ASIF I.</t>
  </si>
  <si>
    <t>PC3002</t>
  </si>
  <si>
    <t xml:space="preserve">BANKAR SANSKAR </t>
  </si>
  <si>
    <t>PC3003</t>
  </si>
  <si>
    <t xml:space="preserve"> BHAGAL ABHISHEK  </t>
  </si>
  <si>
    <t>PC3004</t>
  </si>
  <si>
    <t xml:space="preserve">BHARMA JASPREET KAUR </t>
  </si>
  <si>
    <t>PC3005</t>
  </si>
  <si>
    <t>BHUJUAD NETRA</t>
  </si>
  <si>
    <t>PC3006</t>
  </si>
  <si>
    <t>BIST  ASHISH</t>
  </si>
  <si>
    <t>PC3007</t>
  </si>
  <si>
    <t>CHAVHAN   RAVI</t>
  </si>
  <si>
    <t>PC3008</t>
  </si>
  <si>
    <t>CHAVHAN AMOL</t>
  </si>
  <si>
    <t>PC3009</t>
  </si>
  <si>
    <t xml:space="preserve">DRIVEDI  ANUPAM </t>
  </si>
  <si>
    <t>PC3010</t>
  </si>
  <si>
    <t>GAIKWAD ASHISH   A.</t>
  </si>
  <si>
    <t>PC3011</t>
  </si>
  <si>
    <t xml:space="preserve"> GANDH   I  JAY.N</t>
  </si>
  <si>
    <t>PC3012</t>
  </si>
  <si>
    <t xml:space="preserve">GANDHI ANMOL </t>
  </si>
  <si>
    <t>PC3013</t>
  </si>
  <si>
    <t>GOGTE  PUSHKAR</t>
  </si>
  <si>
    <t>PC3014</t>
  </si>
  <si>
    <t xml:space="preserve"> GRACY  JOSEPH</t>
  </si>
  <si>
    <t>PC3015</t>
  </si>
  <si>
    <t>KALGUTKAR SANUJ</t>
  </si>
  <si>
    <t>PC3016</t>
  </si>
  <si>
    <t>KHEDEKAR  OMKAR</t>
  </si>
  <si>
    <t>PC3017</t>
  </si>
  <si>
    <t xml:space="preserve"> KOLI SHREYA RAVINDRA </t>
  </si>
  <si>
    <t>PC3018</t>
  </si>
  <si>
    <t xml:space="preserve"> KUMAR  YASHIKA   J</t>
  </si>
  <si>
    <t>PC3019</t>
  </si>
  <si>
    <t xml:space="preserve"> KUTTY ROHIT</t>
  </si>
  <si>
    <t>PC3020</t>
  </si>
  <si>
    <t xml:space="preserve"> MEHATA  PRANAV</t>
  </si>
  <si>
    <t>PC3021</t>
  </si>
  <si>
    <t xml:space="preserve">MESTRI SIDDESH </t>
  </si>
  <si>
    <t>PC3022</t>
  </si>
  <si>
    <t xml:space="preserve">MHATRE  ROHAN </t>
  </si>
  <si>
    <t>PC3023</t>
  </si>
  <si>
    <t xml:space="preserve"> PATIL NETRALI  S</t>
  </si>
  <si>
    <t>PC3024</t>
  </si>
  <si>
    <t>RAMTEKE YASHIKA</t>
  </si>
  <si>
    <t>PC3025</t>
  </si>
  <si>
    <t>RAO SRAVAN</t>
  </si>
  <si>
    <t>PC3026</t>
  </si>
  <si>
    <t xml:space="preserve"> RAVEE  SRIKANT H</t>
  </si>
  <si>
    <t>PC3027</t>
  </si>
  <si>
    <t>REDDY SUMMEDH  V.</t>
  </si>
  <si>
    <t>PC3028</t>
  </si>
  <si>
    <t>SABLE SAGAR  B.</t>
  </si>
  <si>
    <t>PC3029</t>
  </si>
  <si>
    <t>SAHOTA  ANMOL</t>
  </si>
  <si>
    <t>PC3030</t>
  </si>
  <si>
    <t>SANJE  MANGESH    N</t>
  </si>
  <si>
    <t>PC3031</t>
  </si>
  <si>
    <t>SHAH KARAN</t>
  </si>
  <si>
    <t>PC3032</t>
  </si>
  <si>
    <t>SHETTY RISHI</t>
  </si>
  <si>
    <t>PC3033</t>
  </si>
  <si>
    <t>SHIRKE  SWAPNIL</t>
  </si>
  <si>
    <t>PC3034</t>
  </si>
  <si>
    <t>SUNIL KUMAR  RAHUL   E</t>
  </si>
  <si>
    <t>PC3035</t>
  </si>
  <si>
    <t>SURVE    ABHISHEK</t>
  </si>
  <si>
    <t>PC3036</t>
  </si>
  <si>
    <t>TIWARI APOORV</t>
  </si>
  <si>
    <t>PC3037</t>
  </si>
  <si>
    <t>TUNGAR SUCHANDRA</t>
  </si>
  <si>
    <t>PC3038</t>
  </si>
  <si>
    <t xml:space="preserve"> UBALE HEENALI S</t>
  </si>
  <si>
    <t>PC3039</t>
  </si>
  <si>
    <t>WADE SALONI</t>
  </si>
  <si>
    <t>PC3040</t>
  </si>
  <si>
    <t>THAKKER PARTH JAYESH</t>
  </si>
  <si>
    <t>PC3041</t>
  </si>
  <si>
    <t>YEDE AKASH NIVRUTTI</t>
  </si>
  <si>
    <t>91+</t>
  </si>
  <si>
    <t>76+</t>
  </si>
  <si>
    <t>75+</t>
  </si>
  <si>
    <t>84+</t>
  </si>
  <si>
    <t>SHARMA SHIVAM SUBASH</t>
  </si>
  <si>
    <t>72+</t>
  </si>
  <si>
    <t>NULL</t>
  </si>
  <si>
    <t>36*</t>
  </si>
  <si>
    <t>500*</t>
  </si>
  <si>
    <t>479*</t>
  </si>
  <si>
    <t>35*</t>
  </si>
  <si>
    <t>460*</t>
  </si>
  <si>
    <t>31*</t>
  </si>
  <si>
    <t>492*</t>
  </si>
  <si>
    <t>431*</t>
  </si>
  <si>
    <t>476*</t>
  </si>
  <si>
    <t>488*</t>
  </si>
  <si>
    <t>388*</t>
  </si>
  <si>
    <t>514*</t>
  </si>
  <si>
    <t>446*</t>
  </si>
  <si>
    <t>468*</t>
  </si>
  <si>
    <t>482*</t>
  </si>
  <si>
    <t>34*</t>
  </si>
  <si>
    <t>Prof.Prajakta Patil       (ACE)</t>
  </si>
  <si>
    <t>Prof. Vinita Gupta      (TCET)</t>
  </si>
  <si>
    <t>Prof.Chetana Anilkumar               (ACE)</t>
  </si>
  <si>
    <t>Prof. Mahindra Patil         (ACE)</t>
  </si>
  <si>
    <t>Prof.Swapnil Wani          (ACE)</t>
  </si>
  <si>
    <t>No of grace</t>
  </si>
  <si>
    <t>Name of the college:</t>
  </si>
  <si>
    <t>Date:</t>
  </si>
  <si>
    <t>Atharva College of Engineering, Malad (W)</t>
  </si>
  <si>
    <t xml:space="preserve">Statistical Data in various subjects prescribed at the S.E. SEM. (III)  Second  Half of 2012 Examination held by college </t>
  </si>
  <si>
    <t>on behalf of the University in the month of  Nov /Dec 2012.</t>
  </si>
  <si>
    <t>Prof. Sunil Katkar           (VCET)</t>
  </si>
  <si>
    <t>Prof. Anand Khandare            (TCET)</t>
  </si>
  <si>
    <t>Prof. Priyanka Chaumwal              (ACE)</t>
  </si>
  <si>
    <t>18/01/2013</t>
  </si>
  <si>
    <t>000</t>
  </si>
  <si>
    <t>09</t>
  </si>
  <si>
    <t>07</t>
  </si>
  <si>
    <t>00</t>
  </si>
  <si>
    <t>05</t>
  </si>
  <si>
    <t>02</t>
  </si>
  <si>
    <t>04</t>
  </si>
  <si>
    <t>08</t>
  </si>
  <si>
    <t>01</t>
  </si>
  <si>
    <t>06</t>
  </si>
  <si>
    <t>33*</t>
  </si>
  <si>
    <t>433*</t>
  </si>
  <si>
    <t>40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</si>
</sst>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22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theme="1"/>
      <name val="Times New Roman"/>
      <family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6" fillId="0" borderId="0"/>
    <xf numFmtId="9" fontId="9" fillId="0" borderId="0" applyFont="0" applyFill="0" applyBorder="0" applyAlignment="0" applyProtection="0"/>
  </cellStyleXfs>
  <cellXfs count="87">
    <xf numFmtId="0" fontId="0" fillId="0" borderId="0" xfId="0"/>
    <xf numFmtId="0" fontId="10" fillId="0" borderId="0" xfId="0" applyFont="1"/>
    <xf numFmtId="0" fontId="11" fillId="0" borderId="1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165" fontId="0" fillId="0" borderId="15" xfId="0" applyNumberForma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locked="0"/>
    </xf>
    <xf numFmtId="164" fontId="0" fillId="0" borderId="0" xfId="0" applyNumberForma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8" fillId="0" borderId="0" xfId="0" applyFont="1" applyFill="1" applyBorder="1" applyAlignment="1" applyProtection="1">
      <alignment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left"/>
      <protection locked="0"/>
    </xf>
    <xf numFmtId="164" fontId="2" fillId="0" borderId="0" xfId="0" applyNumberFormat="1" applyFont="1" applyBorder="1" applyAlignment="1" applyProtection="1">
      <alignment horizontal="left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0" borderId="12" xfId="0" applyBorder="1" applyProtection="1">
      <protection locked="0"/>
    </xf>
    <xf numFmtId="164" fontId="0" fillId="0" borderId="12" xfId="0" applyNumberFormat="1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right" vertical="center"/>
      <protection locked="0"/>
    </xf>
    <xf numFmtId="0" fontId="14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0" fontId="0" fillId="0" borderId="0" xfId="2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hidden="1"/>
    </xf>
    <xf numFmtId="0" fontId="1" fillId="0" borderId="15" xfId="0" applyFont="1" applyBorder="1" applyAlignment="1" applyProtection="1">
      <alignment horizontal="right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vertical="center" wrapText="1"/>
      <protection locked="0"/>
    </xf>
    <xf numFmtId="164" fontId="7" fillId="0" borderId="16" xfId="1" applyNumberFormat="1" applyFont="1" applyFill="1" applyBorder="1" applyAlignment="1" applyProtection="1">
      <alignment horizontal="left" vertical="center" wrapText="1"/>
      <protection locked="0"/>
    </xf>
    <xf numFmtId="0" fontId="0" fillId="0" borderId="16" xfId="0" applyBorder="1" applyAlignment="1" applyProtection="1">
      <alignment vertical="center"/>
      <protection hidden="1"/>
    </xf>
    <xf numFmtId="0" fontId="0" fillId="0" borderId="14" xfId="0" applyFont="1" applyBorder="1" applyAlignment="1" applyProtection="1">
      <alignment horizontal="center" vertical="center"/>
      <protection hidden="1"/>
    </xf>
    <xf numFmtId="164" fontId="7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0" fillId="0" borderId="15" xfId="0" applyBorder="1" applyAlignment="1" applyProtection="1">
      <alignment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5" fillId="0" borderId="10" xfId="0" applyFont="1" applyBorder="1" applyAlignment="1" applyProtection="1">
      <alignment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 applyProtection="1">
      <alignment vertical="center" wrapText="1"/>
      <protection locked="0"/>
    </xf>
    <xf numFmtId="0" fontId="18" fillId="0" borderId="10" xfId="0" applyFont="1" applyBorder="1" applyAlignment="1" applyProtection="1">
      <alignment vertical="center" wrapText="1"/>
      <protection locked="0"/>
    </xf>
    <xf numFmtId="0" fontId="17" fillId="0" borderId="10" xfId="0" applyFont="1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horizontal="center" vertical="center"/>
      <protection hidden="1"/>
    </xf>
    <xf numFmtId="0" fontId="1" fillId="0" borderId="10" xfId="0" applyFont="1" applyBorder="1" applyAlignment="1">
      <alignment horizontal="center" vertical="center" wrapText="1"/>
    </xf>
    <xf numFmtId="0" fontId="20" fillId="0" borderId="10" xfId="0" applyFont="1" applyBorder="1" applyAlignment="1">
      <alignment horizontal="left" vertical="center" wrapText="1"/>
    </xf>
    <xf numFmtId="0" fontId="21" fillId="0" borderId="10" xfId="0" applyNumberFormat="1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10" fontId="21" fillId="0" borderId="10" xfId="2" applyNumberFormat="1" applyFont="1" applyBorder="1" applyAlignment="1">
      <alignment horizontal="center" vertical="center" wrapText="1"/>
    </xf>
    <xf numFmtId="49" fontId="21" fillId="0" borderId="10" xfId="0" applyNumberFormat="1" applyFont="1" applyBorder="1" applyAlignment="1">
      <alignment horizontal="center" vertical="center" wrapText="1"/>
    </xf>
    <xf numFmtId="164" fontId="21" fillId="0" borderId="10" xfId="0" applyNumberFormat="1" applyFont="1" applyBorder="1" applyAlignment="1">
      <alignment horizontal="center" vertical="center" wrapText="1"/>
    </xf>
    <xf numFmtId="0" fontId="21" fillId="0" borderId="10" xfId="0" applyNumberFormat="1" applyFont="1" applyBorder="1" applyAlignment="1">
      <alignment horizontal="left" vertical="center" wrapText="1"/>
    </xf>
    <xf numFmtId="0" fontId="1" fillId="0" borderId="0" xfId="0" applyFont="1"/>
    <xf numFmtId="0" fontId="21" fillId="0" borderId="0" xfId="0" applyFont="1"/>
    <xf numFmtId="0" fontId="21" fillId="0" borderId="0" xfId="0" applyFont="1" applyAlignment="1">
      <alignment horizontal="left" vertical="top"/>
    </xf>
    <xf numFmtId="10" fontId="21" fillId="0" borderId="0" xfId="2" applyNumberFormat="1" applyFont="1" applyAlignment="1">
      <alignment horizontal="left" vertical="top"/>
    </xf>
    <xf numFmtId="14" fontId="21" fillId="0" borderId="0" xfId="0" applyNumberFormat="1" applyFont="1" applyAlignment="1">
      <alignment horizontal="left"/>
    </xf>
    <xf numFmtId="49" fontId="15" fillId="0" borderId="10" xfId="0" applyNumberFormat="1" applyFont="1" applyBorder="1" applyAlignment="1" applyProtection="1">
      <alignment horizontal="center" vertical="center" wrapText="1"/>
      <protection locked="0"/>
    </xf>
    <xf numFmtId="49" fontId="16" fillId="0" borderId="10" xfId="0" applyNumberFormat="1" applyFont="1" applyBorder="1" applyAlignment="1" applyProtection="1">
      <alignment horizontal="center" vertical="center" wrapText="1"/>
      <protection locked="0"/>
    </xf>
    <xf numFmtId="49" fontId="7" fillId="0" borderId="16" xfId="1" applyNumberFormat="1" applyFont="1" applyFill="1" applyBorder="1" applyAlignment="1" applyProtection="1">
      <alignment horizontal="left" vertical="center" wrapText="1"/>
      <protection locked="0"/>
    </xf>
    <xf numFmtId="49" fontId="0" fillId="0" borderId="16" xfId="0" applyNumberFormat="1" applyBorder="1" applyAlignment="1" applyProtection="1">
      <alignment vertical="center"/>
      <protection hidden="1"/>
    </xf>
    <xf numFmtId="49" fontId="0" fillId="0" borderId="14" xfId="0" applyNumberFormat="1" applyFont="1" applyBorder="1" applyAlignment="1" applyProtection="1">
      <alignment horizontal="center" vertical="center"/>
      <protection hidden="1"/>
    </xf>
    <xf numFmtId="49" fontId="7" fillId="0" borderId="14" xfId="1" applyNumberFormat="1" applyFont="1" applyFill="1" applyBorder="1" applyAlignment="1" applyProtection="1">
      <alignment horizontal="left" vertical="center" wrapText="1"/>
      <protection locked="0"/>
    </xf>
    <xf numFmtId="49" fontId="0" fillId="0" borderId="15" xfId="0" applyNumberFormat="1" applyBorder="1" applyAlignment="1" applyProtection="1">
      <alignment vertical="center"/>
      <protection hidden="1"/>
    </xf>
    <xf numFmtId="49" fontId="0" fillId="0" borderId="14" xfId="0" applyNumberFormat="1" applyBorder="1" applyAlignment="1" applyProtection="1">
      <alignment horizontal="center" vertical="center"/>
      <protection hidden="1"/>
    </xf>
    <xf numFmtId="49" fontId="0" fillId="0" borderId="15" xfId="0" applyNumberForma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2" xfId="0" applyFont="1" applyBorder="1" applyAlignment="1" applyProtection="1">
      <alignment horizontal="center"/>
      <protection locked="0"/>
    </xf>
    <xf numFmtId="0" fontId="1" fillId="0" borderId="11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_Sheet1" xfId="1"/>
    <cellStyle name="Percent" xfId="2" builtinId="5"/>
  </cellStyles>
  <dxfs count="44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</dxf>
    <dxf>
      <fill>
        <patternFill>
          <fgColor rgb="FF00990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ill>
        <patternFill>
          <fgColor rgb="FF00990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0099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2762249</xdr:colOff>
      <xdr:row>25</xdr:row>
      <xdr:rowOff>0</xdr:rowOff>
    </xdr:from>
    <xdr:to>
      <xdr:col>2</xdr:col>
      <xdr:colOff>2771774</xdr:colOff>
      <xdr:row>27</xdr:row>
      <xdr:rowOff>0</xdr:rowOff>
    </xdr:to>
    <xdr:cxnSp macro="">
      <xdr:nvCxnSpPr>
        <xdr:cNvPr id="5" name="Straight Connector 4"/>
        <xdr:cNvCxnSpPr/>
      </xdr:nvCxnSpPr>
      <xdr:spPr>
        <a:xfrm rot="16200000" flipH="1">
          <a:off x="4033837" y="5138737"/>
          <a:ext cx="419100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3:AL274"/>
  <sheetViews>
    <sheetView showRuler="0" topLeftCell="A97" workbookViewId="0">
      <selection activeCell="AH123" sqref="AH123"/>
    </sheetView>
  </sheetViews>
  <sheetFormatPr defaultColWidth="9.140625" defaultRowHeight="15"/>
  <cols>
    <col min="1" max="1" width="12.7109375" style="5" customWidth="1"/>
    <col min="2" max="2" width="9.42578125" style="5" customWidth="1"/>
    <col min="3" max="3" width="47.5703125" style="5" customWidth="1"/>
    <col min="4" max="4" width="3.85546875" style="6" customWidth="1"/>
    <col min="5" max="5" width="1.7109375" style="5" customWidth="1"/>
    <col min="6" max="6" width="3.85546875" style="6" customWidth="1"/>
    <col min="7" max="7" width="1.7109375" style="5" customWidth="1"/>
    <col min="8" max="8" width="3.85546875" style="6" customWidth="1"/>
    <col min="9" max="9" width="1.7109375" style="5" customWidth="1"/>
    <col min="10" max="10" width="3.85546875" style="6" customWidth="1"/>
    <col min="11" max="11" width="1.7109375" style="5" customWidth="1"/>
    <col min="12" max="12" width="3.85546875" style="6" customWidth="1"/>
    <col min="13" max="13" width="1.7109375" style="5" customWidth="1"/>
    <col min="14" max="14" width="3.85546875" style="6" customWidth="1"/>
    <col min="15" max="15" width="1.7109375" style="5" customWidth="1"/>
    <col min="16" max="16" width="3.85546875" style="6" customWidth="1"/>
    <col min="17" max="17" width="2.5703125" style="5" customWidth="1"/>
    <col min="18" max="18" width="3.85546875" style="6" customWidth="1"/>
    <col min="19" max="19" width="1.7109375" style="5" customWidth="1"/>
    <col min="20" max="20" width="3.85546875" style="6" customWidth="1"/>
    <col min="21" max="21" width="1.7109375" style="5" customWidth="1"/>
    <col min="22" max="22" width="3.85546875" style="6" customWidth="1"/>
    <col min="23" max="23" width="1.7109375" style="5" customWidth="1"/>
    <col min="24" max="24" width="3.85546875" style="6" customWidth="1"/>
    <col min="25" max="25" width="1.7109375" style="5" customWidth="1"/>
    <col min="26" max="26" width="3.85546875" style="6" customWidth="1"/>
    <col min="27" max="27" width="1.7109375" style="5" customWidth="1"/>
    <col min="28" max="28" width="3.85546875" style="6" customWidth="1"/>
    <col min="29" max="29" width="1.7109375" style="5" customWidth="1"/>
    <col min="30" max="30" width="3.85546875" style="6" customWidth="1"/>
    <col min="31" max="31" width="1.7109375" style="5" customWidth="1"/>
    <col min="32" max="32" width="4.28515625" style="6" customWidth="1"/>
    <col min="33" max="33" width="1.5703125" style="5" customWidth="1"/>
    <col min="34" max="34" width="9.140625" style="7"/>
    <col min="35" max="35" width="10.28515625" style="8" customWidth="1"/>
    <col min="36" max="36" width="26.7109375" style="9" customWidth="1"/>
    <col min="37" max="16384" width="9.140625" style="9"/>
  </cols>
  <sheetData>
    <row r="3" spans="3:34">
      <c r="D3" s="6" t="s">
        <v>111</v>
      </c>
      <c r="H3" s="6" t="s">
        <v>3</v>
      </c>
      <c r="N3" s="6" t="s">
        <v>4</v>
      </c>
      <c r="R3" s="6" t="s">
        <v>5</v>
      </c>
      <c r="V3" s="6" t="s">
        <v>6</v>
      </c>
      <c r="AB3" s="6" t="s">
        <v>7</v>
      </c>
      <c r="AE3" s="5" t="s">
        <v>8</v>
      </c>
    </row>
    <row r="5" spans="3:34">
      <c r="C5" s="10" t="s">
        <v>104</v>
      </c>
      <c r="D5" s="6">
        <f>COUNT(D28:D270)+D12</f>
        <v>167</v>
      </c>
      <c r="H5" s="6">
        <f>COUNT(H28:H270)+H12</f>
        <v>171</v>
      </c>
      <c r="N5" s="6">
        <f>COUNT(N28:N270)+N12</f>
        <v>156</v>
      </c>
      <c r="R5" s="6">
        <f>COUNT(R28:R270)+R12</f>
        <v>147</v>
      </c>
      <c r="V5" s="6">
        <f>COUNT(V28:V270)+V12</f>
        <v>150</v>
      </c>
      <c r="AB5" s="6">
        <f>COUNT(AB28:AB270)+AB12</f>
        <v>168</v>
      </c>
      <c r="AE5" s="6"/>
      <c r="AF5" s="6">
        <f>COUNT(AF28:AF270)+AF12</f>
        <v>156</v>
      </c>
    </row>
    <row r="6" spans="3:34">
      <c r="C6" s="10" t="s">
        <v>105</v>
      </c>
      <c r="D6" s="6">
        <f>COUNTIF(E28:E270,"=F")</f>
        <v>97</v>
      </c>
      <c r="H6" s="6">
        <f>COUNTIF(I28:I270,"=F")</f>
        <v>30</v>
      </c>
      <c r="N6" s="6">
        <f>COUNTIF(O28:O270,"=F")</f>
        <v>21</v>
      </c>
      <c r="R6" s="6">
        <f>COUNTIF(S28:S270,"=F")</f>
        <v>10</v>
      </c>
      <c r="V6" s="6">
        <f>COUNTIF(W28:W270,"=F")</f>
        <v>25</v>
      </c>
      <c r="AB6" s="6">
        <f>COUNTIF(AC28:AC270,"=F")</f>
        <v>48</v>
      </c>
      <c r="AF6" s="6">
        <f>COUNTIF(AG28:AG270,"=F")</f>
        <v>0</v>
      </c>
    </row>
    <row r="7" spans="3:34">
      <c r="C7" s="10" t="s">
        <v>106</v>
      </c>
      <c r="D7" s="6">
        <f>D5-D6</f>
        <v>70</v>
      </c>
      <c r="H7" s="6">
        <f>H5-H6</f>
        <v>141</v>
      </c>
      <c r="N7" s="6">
        <f>N5-N6</f>
        <v>135</v>
      </c>
      <c r="R7" s="6">
        <f>R5-R6</f>
        <v>137</v>
      </c>
      <c r="V7" s="6">
        <f>V5-V6</f>
        <v>125</v>
      </c>
      <c r="AB7" s="6">
        <f>AB5-AB6</f>
        <v>120</v>
      </c>
      <c r="AF7" s="6">
        <f>AF5-AF6</f>
        <v>156</v>
      </c>
    </row>
    <row r="8" spans="3:34">
      <c r="C8" s="10" t="s">
        <v>107</v>
      </c>
      <c r="D8" s="6">
        <f>AVERAGE(D28:D270)</f>
        <v>28.419161676646706</v>
      </c>
      <c r="H8" s="6">
        <f>AVERAGE(H28:H270)</f>
        <v>49.28654970760234</v>
      </c>
      <c r="N8" s="6">
        <f>AVERAGE(N28:N270)</f>
        <v>53.544871794871796</v>
      </c>
      <c r="R8" s="6">
        <f>AVERAGE(R28:R270)</f>
        <v>50.856164383561641</v>
      </c>
      <c r="V8" s="6">
        <f>AVERAGE(V28:V270)</f>
        <v>43.5</v>
      </c>
      <c r="AB8" s="6">
        <f>AVERAGE(AB28:AB270)</f>
        <v>38.440993788819874</v>
      </c>
      <c r="AF8" s="6">
        <f>AVERAGE(AF28:AF270)</f>
        <v>39.17307692307692</v>
      </c>
    </row>
    <row r="9" spans="3:34">
      <c r="C9" s="10" t="s">
        <v>108</v>
      </c>
      <c r="D9" s="6">
        <f>MAX(D28:D270)</f>
        <v>83</v>
      </c>
      <c r="H9" s="6">
        <f>MAX(H28:H270)</f>
        <v>85</v>
      </c>
      <c r="N9" s="6">
        <f>MAX(N28:N270)</f>
        <v>94</v>
      </c>
      <c r="R9" s="6">
        <f>MAX(R28:R270)</f>
        <v>82</v>
      </c>
      <c r="V9" s="6">
        <f>MAX(V28:V270)</f>
        <v>71</v>
      </c>
      <c r="AB9" s="6">
        <f>MAX(AB28:AB270)</f>
        <v>60</v>
      </c>
      <c r="AF9" s="6">
        <f>MAX(AF28:AF270)</f>
        <v>47</v>
      </c>
    </row>
    <row r="10" spans="3:34">
      <c r="C10" s="10" t="s">
        <v>109</v>
      </c>
      <c r="D10" s="6">
        <f>COUNTIF(D28:D270,"&gt;=60")</f>
        <v>6</v>
      </c>
      <c r="H10" s="6">
        <f>COUNTIF(H28:H270,"&gt;=60")</f>
        <v>59</v>
      </c>
      <c r="N10" s="6">
        <f>COUNTIF(N28:N270,"&gt;=60")</f>
        <v>62</v>
      </c>
      <c r="R10" s="6">
        <f>COUNTIF(R28:R270,"&gt;=60")</f>
        <v>40</v>
      </c>
      <c r="V10" s="6">
        <f>COUNTIF(V28:V270,"&gt;=60")</f>
        <v>15</v>
      </c>
      <c r="AB10" s="6">
        <f>COUNTIF(AB28:AB270,"&gt;=60")</f>
        <v>1</v>
      </c>
      <c r="AF10" s="6">
        <f>COUNTIF(AF28:AF270,"&gt;=60")</f>
        <v>0</v>
      </c>
    </row>
    <row r="11" spans="3:34">
      <c r="C11" s="11" t="s">
        <v>110</v>
      </c>
      <c r="D11" s="6">
        <f>D7-D10</f>
        <v>64</v>
      </c>
      <c r="H11" s="6">
        <f>H7-H10</f>
        <v>82</v>
      </c>
      <c r="N11" s="6">
        <f>N7-N10</f>
        <v>73</v>
      </c>
      <c r="R11" s="6">
        <f>R7-R10</f>
        <v>97</v>
      </c>
      <c r="V11" s="6">
        <f>V7-V10</f>
        <v>110</v>
      </c>
      <c r="AB11" s="6">
        <f>AB7-AB10</f>
        <v>119</v>
      </c>
      <c r="AF11" s="6">
        <f>AF7-AF10</f>
        <v>156</v>
      </c>
    </row>
    <row r="12" spans="3:34">
      <c r="C12" s="11" t="s">
        <v>442</v>
      </c>
      <c r="D12" s="6">
        <f>COUNTIF(D28:D270,"??~*")</f>
        <v>0</v>
      </c>
      <c r="H12" s="6">
        <f>COUNTIF(H28:H270,"??~*")</f>
        <v>0</v>
      </c>
      <c r="N12" s="6">
        <f>COUNTIF(N28:N270,"??~*")</f>
        <v>0</v>
      </c>
      <c r="R12" s="6">
        <f>COUNTIF(R28:R270,"??~*")</f>
        <v>1</v>
      </c>
      <c r="V12" s="6">
        <f>COUNTIF(V28:V270,"??~*")</f>
        <v>0</v>
      </c>
      <c r="AB12" s="6">
        <f>COUNTIF(AB28:AB270,"??~*")</f>
        <v>7</v>
      </c>
      <c r="AF12" s="6">
        <f>COUNTIF(AF28:AF270,"??~*")</f>
        <v>0</v>
      </c>
    </row>
    <row r="16" spans="3:34" ht="14.25" customHeight="1">
      <c r="AH16" s="30"/>
    </row>
    <row r="17" spans="1:38" hidden="1"/>
    <row r="18" spans="1:38" ht="17.25" hidden="1">
      <c r="B18" s="12" t="s">
        <v>19</v>
      </c>
      <c r="C18" s="12"/>
      <c r="D18" s="13" t="s">
        <v>18</v>
      </c>
      <c r="E18" s="12"/>
      <c r="G18" s="12"/>
      <c r="H18" s="13"/>
      <c r="I18" s="12"/>
      <c r="J18" s="13"/>
      <c r="K18" s="12"/>
      <c r="L18" s="13"/>
      <c r="M18" s="12"/>
      <c r="N18" s="13"/>
      <c r="O18" s="14"/>
      <c r="P18" s="13"/>
      <c r="Q18" s="14"/>
      <c r="S18" s="14"/>
      <c r="T18" s="13"/>
      <c r="U18" s="14"/>
      <c r="V18" s="13" t="s">
        <v>15</v>
      </c>
      <c r="W18" s="14"/>
      <c r="X18" s="13"/>
      <c r="Y18" s="14"/>
      <c r="Z18" s="13"/>
      <c r="AA18" s="14"/>
      <c r="AB18" s="13"/>
      <c r="AC18" s="14"/>
      <c r="AD18" s="13"/>
      <c r="AE18" s="14"/>
      <c r="AF18" s="13"/>
      <c r="AG18" s="14"/>
      <c r="AH18" s="15"/>
      <c r="AI18" s="16"/>
      <c r="AJ18" s="17"/>
      <c r="AK18" s="17" t="s">
        <v>16</v>
      </c>
      <c r="AL18" s="18"/>
    </row>
    <row r="19" spans="1:38" ht="17.25">
      <c r="B19" s="12"/>
      <c r="C19" s="14"/>
      <c r="D19" s="13"/>
      <c r="E19" s="14"/>
      <c r="F19" s="13"/>
      <c r="G19" s="14"/>
      <c r="H19" s="13"/>
      <c r="I19" s="14"/>
      <c r="J19" s="13"/>
      <c r="K19" s="14"/>
      <c r="L19" s="13"/>
      <c r="M19" s="14"/>
      <c r="N19" s="13"/>
      <c r="O19" s="14"/>
      <c r="P19" s="13"/>
      <c r="Q19" s="14"/>
      <c r="R19" s="13"/>
      <c r="S19" s="14"/>
      <c r="T19" s="13"/>
      <c r="U19" s="14"/>
      <c r="V19" s="13"/>
      <c r="W19" s="14"/>
      <c r="X19" s="13"/>
      <c r="Y19" s="14"/>
      <c r="Z19" s="13"/>
      <c r="AA19" s="14"/>
      <c r="AB19" s="13"/>
      <c r="AC19" s="14"/>
      <c r="AD19" s="13"/>
      <c r="AE19" s="14"/>
      <c r="AF19" s="13"/>
      <c r="AG19" s="14"/>
      <c r="AH19" s="15"/>
      <c r="AI19" s="16"/>
      <c r="AJ19" s="17"/>
      <c r="AK19" s="17"/>
      <c r="AL19" s="18"/>
    </row>
    <row r="20" spans="1:38" ht="17.25">
      <c r="B20" s="12" t="s">
        <v>21</v>
      </c>
      <c r="C20" s="12"/>
      <c r="D20" s="13" t="s">
        <v>20</v>
      </c>
      <c r="E20" s="12"/>
      <c r="H20" s="13"/>
      <c r="I20" s="12"/>
      <c r="J20" s="13"/>
      <c r="K20" s="12"/>
      <c r="L20" s="13"/>
      <c r="N20" s="13"/>
      <c r="O20" s="14"/>
      <c r="Q20" s="14"/>
      <c r="S20" s="14"/>
      <c r="T20" s="13"/>
      <c r="U20" s="14"/>
      <c r="V20" s="13" t="s">
        <v>17</v>
      </c>
      <c r="W20" s="14"/>
      <c r="X20" s="13"/>
      <c r="Y20" s="14"/>
      <c r="AA20" s="14"/>
      <c r="AB20" s="13"/>
      <c r="AC20" s="14"/>
      <c r="AD20" s="13"/>
      <c r="AE20" s="14"/>
      <c r="AF20" s="13"/>
      <c r="AG20" s="14"/>
      <c r="AH20" s="15"/>
      <c r="AI20" s="16"/>
      <c r="AJ20" s="17"/>
      <c r="AK20" s="17"/>
      <c r="AL20" s="18"/>
    </row>
    <row r="21" spans="1:38" ht="17.25">
      <c r="B21" s="12"/>
      <c r="C21" s="12"/>
      <c r="D21" s="13"/>
      <c r="E21" s="12"/>
      <c r="H21" s="13"/>
      <c r="I21" s="12"/>
      <c r="J21" s="13"/>
      <c r="K21" s="12"/>
      <c r="L21" s="13"/>
      <c r="N21" s="13"/>
      <c r="O21" s="14"/>
      <c r="Q21" s="14"/>
      <c r="S21" s="14"/>
      <c r="T21" s="13"/>
      <c r="U21" s="14"/>
      <c r="V21" s="13"/>
      <c r="W21" s="14"/>
      <c r="X21" s="13"/>
      <c r="Y21" s="14"/>
      <c r="AA21" s="14"/>
      <c r="AB21" s="13"/>
      <c r="AC21" s="14"/>
      <c r="AD21" s="13"/>
      <c r="AE21" s="14"/>
      <c r="AF21" s="13"/>
      <c r="AG21" s="14"/>
      <c r="AH21" s="15"/>
      <c r="AI21" s="16"/>
      <c r="AJ21" s="17"/>
      <c r="AK21" s="17"/>
      <c r="AL21" s="18"/>
    </row>
    <row r="22" spans="1:38" ht="17.25">
      <c r="B22" s="13" t="s">
        <v>159</v>
      </c>
    </row>
    <row r="23" spans="1:38" s="5" customFormat="1">
      <c r="C23" s="19"/>
      <c r="D23" s="20"/>
      <c r="E23" s="19"/>
      <c r="F23" s="20"/>
      <c r="G23" s="19"/>
      <c r="H23" s="20"/>
      <c r="I23" s="19"/>
      <c r="J23" s="20"/>
      <c r="K23" s="19"/>
      <c r="L23" s="20"/>
      <c r="M23" s="19"/>
      <c r="N23" s="20"/>
      <c r="O23" s="19"/>
      <c r="P23" s="20"/>
      <c r="Q23" s="19"/>
      <c r="R23" s="6"/>
      <c r="T23" s="6"/>
      <c r="V23" s="6"/>
      <c r="X23" s="6"/>
      <c r="Z23" s="6"/>
      <c r="AB23" s="6"/>
      <c r="AD23" s="6"/>
      <c r="AF23" s="20"/>
      <c r="AG23" s="19"/>
      <c r="AH23" s="21"/>
      <c r="AI23" s="22"/>
    </row>
    <row r="24" spans="1:38" ht="15.75">
      <c r="A24" s="9"/>
      <c r="B24" s="73" t="s">
        <v>0</v>
      </c>
      <c r="C24" s="86" t="s">
        <v>1</v>
      </c>
      <c r="D24" s="75" t="s">
        <v>2</v>
      </c>
      <c r="E24" s="76"/>
      <c r="F24" s="76"/>
      <c r="G24" s="77"/>
      <c r="H24" s="75" t="s">
        <v>3</v>
      </c>
      <c r="I24" s="76"/>
      <c r="J24" s="76"/>
      <c r="K24" s="76"/>
      <c r="L24" s="76"/>
      <c r="M24" s="77"/>
      <c r="N24" s="75" t="s">
        <v>4</v>
      </c>
      <c r="O24" s="76"/>
      <c r="P24" s="76"/>
      <c r="Q24" s="77"/>
      <c r="R24" s="80" t="s">
        <v>5</v>
      </c>
      <c r="S24" s="81"/>
      <c r="T24" s="81"/>
      <c r="U24" s="82"/>
      <c r="V24" s="80" t="s">
        <v>6</v>
      </c>
      <c r="W24" s="81"/>
      <c r="X24" s="81"/>
      <c r="Y24" s="81"/>
      <c r="Z24" s="81"/>
      <c r="AA24" s="82"/>
      <c r="AB24" s="80" t="s">
        <v>7</v>
      </c>
      <c r="AC24" s="81"/>
      <c r="AD24" s="81"/>
      <c r="AE24" s="82"/>
      <c r="AF24" s="75" t="s">
        <v>8</v>
      </c>
      <c r="AG24" s="77"/>
      <c r="AH24" s="23" t="s">
        <v>22</v>
      </c>
      <c r="AI24" s="78" t="s">
        <v>9</v>
      </c>
    </row>
    <row r="25" spans="1:38" ht="16.5" thickBot="1">
      <c r="A25" s="9"/>
      <c r="B25" s="73"/>
      <c r="C25" s="86"/>
      <c r="D25" s="69" t="s">
        <v>10</v>
      </c>
      <c r="E25" s="70"/>
      <c r="F25" s="69" t="s">
        <v>11</v>
      </c>
      <c r="G25" s="70"/>
      <c r="H25" s="69" t="s">
        <v>10</v>
      </c>
      <c r="I25" s="70"/>
      <c r="J25" s="69" t="s">
        <v>11</v>
      </c>
      <c r="K25" s="70"/>
      <c r="L25" s="69" t="s">
        <v>12</v>
      </c>
      <c r="M25" s="70"/>
      <c r="N25" s="69" t="s">
        <v>10</v>
      </c>
      <c r="O25" s="70"/>
      <c r="P25" s="69" t="s">
        <v>11</v>
      </c>
      <c r="Q25" s="70"/>
      <c r="R25" s="69" t="s">
        <v>10</v>
      </c>
      <c r="S25" s="70"/>
      <c r="T25" s="69" t="s">
        <v>11</v>
      </c>
      <c r="U25" s="70"/>
      <c r="V25" s="69" t="s">
        <v>10</v>
      </c>
      <c r="W25" s="70"/>
      <c r="X25" s="69" t="s">
        <v>11</v>
      </c>
      <c r="Y25" s="70"/>
      <c r="Z25" s="69" t="s">
        <v>12</v>
      </c>
      <c r="AA25" s="70"/>
      <c r="AB25" s="69" t="s">
        <v>10</v>
      </c>
      <c r="AC25" s="70"/>
      <c r="AD25" s="69" t="s">
        <v>11</v>
      </c>
      <c r="AE25" s="70"/>
      <c r="AF25" s="69" t="s">
        <v>11</v>
      </c>
      <c r="AG25" s="70"/>
      <c r="AH25" s="83">
        <v>850</v>
      </c>
      <c r="AI25" s="78"/>
    </row>
    <row r="26" spans="1:38" ht="16.5" thickBot="1">
      <c r="A26" s="9"/>
      <c r="B26" s="73"/>
      <c r="C26" s="29" t="s">
        <v>13</v>
      </c>
      <c r="D26" s="67">
        <v>100</v>
      </c>
      <c r="E26" s="68"/>
      <c r="F26" s="67">
        <v>25</v>
      </c>
      <c r="G26" s="68"/>
      <c r="H26" s="67">
        <v>100</v>
      </c>
      <c r="I26" s="68"/>
      <c r="J26" s="67">
        <v>25</v>
      </c>
      <c r="K26" s="68"/>
      <c r="L26" s="67">
        <v>25</v>
      </c>
      <c r="M26" s="68"/>
      <c r="N26" s="67">
        <v>100</v>
      </c>
      <c r="O26" s="68"/>
      <c r="P26" s="67">
        <v>25</v>
      </c>
      <c r="Q26" s="68"/>
      <c r="R26" s="67">
        <v>100</v>
      </c>
      <c r="S26" s="68"/>
      <c r="T26" s="67">
        <v>25</v>
      </c>
      <c r="U26" s="68"/>
      <c r="V26" s="67">
        <v>100</v>
      </c>
      <c r="W26" s="68"/>
      <c r="X26" s="67">
        <v>25</v>
      </c>
      <c r="Y26" s="68"/>
      <c r="Z26" s="67">
        <v>25</v>
      </c>
      <c r="AA26" s="68"/>
      <c r="AB26" s="67">
        <v>100</v>
      </c>
      <c r="AC26" s="68"/>
      <c r="AD26" s="67">
        <v>25</v>
      </c>
      <c r="AE26" s="68"/>
      <c r="AF26" s="67">
        <v>50</v>
      </c>
      <c r="AG26" s="68"/>
      <c r="AH26" s="84"/>
      <c r="AI26" s="78"/>
    </row>
    <row r="27" spans="1:38" ht="16.5" thickBot="1">
      <c r="A27" s="9"/>
      <c r="B27" s="74"/>
      <c r="C27" s="24" t="s">
        <v>14</v>
      </c>
      <c r="D27" s="71">
        <v>40</v>
      </c>
      <c r="E27" s="72"/>
      <c r="F27" s="71">
        <v>10</v>
      </c>
      <c r="G27" s="72"/>
      <c r="H27" s="71">
        <v>40</v>
      </c>
      <c r="I27" s="72"/>
      <c r="J27" s="71">
        <v>10</v>
      </c>
      <c r="K27" s="72"/>
      <c r="L27" s="71">
        <v>10</v>
      </c>
      <c r="M27" s="72"/>
      <c r="N27" s="71">
        <v>40</v>
      </c>
      <c r="O27" s="72"/>
      <c r="P27" s="71">
        <v>10</v>
      </c>
      <c r="Q27" s="72"/>
      <c r="R27" s="71">
        <v>40</v>
      </c>
      <c r="S27" s="72"/>
      <c r="T27" s="71">
        <v>10</v>
      </c>
      <c r="U27" s="72"/>
      <c r="V27" s="71">
        <v>40</v>
      </c>
      <c r="W27" s="72"/>
      <c r="X27" s="71">
        <v>10</v>
      </c>
      <c r="Y27" s="72"/>
      <c r="Z27" s="71">
        <v>10</v>
      </c>
      <c r="AA27" s="72"/>
      <c r="AB27" s="71">
        <v>40</v>
      </c>
      <c r="AC27" s="72"/>
      <c r="AD27" s="71">
        <v>10</v>
      </c>
      <c r="AE27" s="72"/>
      <c r="AF27" s="71">
        <v>20</v>
      </c>
      <c r="AG27" s="72"/>
      <c r="AH27" s="85"/>
      <c r="AI27" s="79"/>
    </row>
    <row r="28" spans="1:38" s="5" customFormat="1" ht="15" customHeight="1">
      <c r="B28" s="31">
        <v>223201</v>
      </c>
      <c r="C28" s="32" t="s">
        <v>160</v>
      </c>
      <c r="D28" s="33">
        <v>20</v>
      </c>
      <c r="E28" s="34" t="str">
        <f>IF(IFERROR(FIND("+",D28),0)," ",
IF(D28="AB","",
IF(D28&lt;$D$27,"F",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F</v>
      </c>
      <c r="F28" s="35">
        <v>17</v>
      </c>
      <c r="G28" s="34" t="str">
        <f>IF(IFERROR(FIND("+",F28),0)," ",
IF(F28="AB","",
IF(F28&lt;$F$27,"F",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H28" s="36">
        <v>42</v>
      </c>
      <c r="I28" s="34" t="str">
        <f>IF(IFERROR(FIND("+",H28),0)," ",
IF(H28="AB","",
IF(H28&lt;$H$27,"F",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J28" s="35">
        <v>23</v>
      </c>
      <c r="K28" s="34" t="str">
        <f>IF(IFERROR(FIND("+",J28),0)," ",
IF(J28="AB","",
IF(J28&lt;$J$27,"F",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L28" s="35">
        <v>18</v>
      </c>
      <c r="M28" s="34" t="str">
        <f>IF(IFERROR(FIND("+",L28),0)," ",
IF(L28="AB","",
IF(L28&lt;$L$27,"F",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N28" s="36">
        <v>44</v>
      </c>
      <c r="O28" s="34" t="str">
        <f t="shared" ref="O28:O91" si="0">IF(IFERROR(FIND("+",N28),0)," ",
IF(N28="AB","",
IF(N28&lt;$N$27,"F",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P28" s="35">
        <v>19</v>
      </c>
      <c r="Q28" s="37" t="str">
        <f>IF(IFERROR(FIND("+",P28),0)," ",
IF(P28="AB","",
IF(P28&lt;$P$27,"F",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R28" s="33">
        <v>40</v>
      </c>
      <c r="S28" s="34" t="str">
        <f>IF(IFERROR(FIND("+",R28),0)," ",
IF(R28="AB","",
IF(R28&lt;$R$27,"F",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T28" s="35">
        <v>20</v>
      </c>
      <c r="U28" s="37" t="str">
        <f>IF(IFERROR(FIND("+",T28),0)," ",
IF(T28="AB","",
IF(T28&lt;$T$27,"F",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V28" s="33">
        <v>40</v>
      </c>
      <c r="W28" s="34" t="str">
        <f>IF(IFERROR(FIND("+",V28),0)," ",
IF(V28="AB","",
IF(V28&lt;$V$27,"F",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X28" s="35">
        <v>21</v>
      </c>
      <c r="Y28" s="37" t="str">
        <f>IF(IFERROR(FIND("+",X28),0)," ",
IF(X28="AB","",
IF(X28&lt;$X$27,"F",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Z28" s="35">
        <v>20</v>
      </c>
      <c r="AA28" s="37" t="str">
        <f>IF(IFERROR(FIND("+",Z28),0)," ",
IF(Z28="AB","",
IF(Z28&lt;$Z$27,"F",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AB28" s="33">
        <v>33</v>
      </c>
      <c r="AC28" s="34" t="str">
        <f>IF(IFERROR(FIND("+",AB28),0)," ",
IF(AB28="AB","",
IF(AB28&lt;$AB$27,"F",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F</v>
      </c>
      <c r="AD28" s="35">
        <v>13</v>
      </c>
      <c r="AE28" s="34" t="str">
        <f>IF(IFERROR(FIND("+",AD28),0)," ",
IF(AD28="AB","",
IF(AD28&lt;$AD$27,"F",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AF28" s="35">
        <v>41</v>
      </c>
      <c r="AG28" s="37" t="str">
        <f>IF(IFERROR(FIND("+",AF28),0)," ",
IF(AF28="AB","",
IF(AF28&lt;$AF$27,"F",
IF(AND(D28&gt;=$D$27,F28&gt;=$F$27,H28&gt;=$H$27,
J28&gt;=$J$27,L28&gt;=$L$27,
N28&gt;=$N$27,P28&gt;=$P$27,R28&gt;=$R$27,T28&gt;=$T$27,V28&gt;=$V$27,
X28&gt;=$X$27,Z28&gt;=$Z$27,AB28&gt;=$AB$27,AD28&gt;=$AD$27,AF28&gt;=$AF$27,
D28&lt;&gt;"AB",F28&lt;&gt;"AB",H28&lt;&gt;"AB",
J28&lt;&gt;"AB",L28&lt;&gt;"AB",
N28&lt;&gt;"AB",P28&lt;&gt;"AB",R28&lt;&gt;"AB",T28&lt;&gt;"AB",V28&lt;&gt;"AB",
X28&lt;&gt;"AB",Z28&lt;&gt;"AB",AB28&lt;&gt;"AB",AD28&lt;&gt;"AB",AF28&lt;&gt;"AB"),"","E"))))</f>
        <v>E</v>
      </c>
      <c r="AH28" s="4">
        <f>IF(OR(AND(D28&gt;=31,D28&lt;40),AND(H28&gt;=31,H28&lt;40),AND(N28&gt;=31,N28&lt;40),AND(R28&gt;=31,R28&lt;40),AND(V28&gt;=31,V28&lt;40),AND(AB28&gt;=11,AB28&lt;20)),IF(AND(OR(COUNTIF(D28:AG28,"=31")&gt;=1,COUNTIF(D28:AG28,"=32")&gt;=1,COUNTIF(D28:AG28,"=33")&gt;=1,COUNTIF(D28:AG28,"=34")&gt;=1,COUNTIF(D28:AG28,"=35")&gt;=1,COUNTIF(D28:AG28,"=36")&gt;=1 ),COUNTIF(D28:AG28,"")=0,COUNTIF(D28:AG28," ")=0,COUNTIF(D28:AG28,"F")=1),CONCATENATE(SUM(EXTRACTNUMBER(D28),EXTRACTNUMBER(F28),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EXTRACTNUMBER(AD28),EXTRACTNUMBER(AF28)),"*"),IF(AND(COUNTIF(D28:AG28,"=34")&gt;=1,COUNTIF(D28:AG28,"=35")&gt;=1,COUNTIF(D28:AG28,"f")=2,COUNTIF(D28:AG28,"")=0,COUNTIF(D28:AG28,"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EXTRACTNUMBER(AD28),EXTRACTNUMBER(AF28)),"*"),IF(AND(COUNTIF(D28:AG28,"=36")&gt;=2,COUNTIF(D28:AG28,"f")=2,COUNTIF(D28:AG28,"")=0,COUNTIF(D28:AG28,"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EXTRACTNUMBER(AD28),EXTRACTNUMBER(AF28))))),SUM(EXTRACTNUMBER(D28),EXTRACTNUMBER(F28),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EXTRACTNUMBER(AD28),EXTRACTNUMBER(AF28)))</f>
        <v>411</v>
      </c>
      <c r="AI28" s="38" t="str">
        <f>IF(AND(COUNTIF(D28:AG28,"AB")&lt;15-COUNTIF(D28:AG28," "),
COUNTIF(D28:AG28,"AB")&lt;&gt;0),"FAIL",
IF(COUNTIF(D28:AG28,"AB")=15-COUNTIF(D28:AG28," "),"ABSENT",
IF(AND(COUNTIF(D28:AG28,"AB")=0,COUNTIF(D28:AG28,"F")=0),"PASS","FAIL")))</f>
        <v>FAIL</v>
      </c>
      <c r="AJ28" s="28" t="str">
        <f>spellnumber(EXTRACTnUMBER_TOT(AH28))</f>
        <v xml:space="preserve">Four Hundred Eleven </v>
      </c>
      <c r="AK28" s="5">
        <v>411</v>
      </c>
    </row>
    <row r="29" spans="1:38" s="5" customFormat="1" ht="15" customHeight="1">
      <c r="B29" s="31">
        <v>223202</v>
      </c>
      <c r="C29" s="32" t="s">
        <v>161</v>
      </c>
      <c r="D29" s="33">
        <v>40</v>
      </c>
      <c r="E29" s="34" t="str">
        <f t="shared" ref="E29:E92" si="1">IF(IFERROR(FIND("+",D29),0)," ",
IF(D29="AB","",
IF(D29&lt;$D$27,"F",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F29" s="35">
        <v>23</v>
      </c>
      <c r="G29" s="34" t="str">
        <f t="shared" ref="G29:G92" si="2">IF(IFERROR(FIND("+",F29),0)," ",
IF(F29="AB","",
IF(F29&lt;$F$27,"F",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H29" s="36">
        <v>70</v>
      </c>
      <c r="I29" s="34" t="str">
        <f t="shared" ref="I29:I92" si="3">IF(IFERROR(FIND("+",H29),0)," ",
IF(H29="AB","",
IF(H29&lt;$H$27,"F",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J29" s="35">
        <v>20</v>
      </c>
      <c r="K29" s="34" t="str">
        <f t="shared" ref="K29:K92" si="4">IF(IFERROR(FIND("+",J29),0)," ",
IF(J29="AB","",
IF(J29&lt;$J$27,"F",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L29" s="35">
        <v>19</v>
      </c>
      <c r="M29" s="34" t="str">
        <f t="shared" ref="M29:M92" si="5">IF(IFERROR(FIND("+",L29),0)," ",
IF(L29="AB","",
IF(L29&lt;$L$27,"F",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N29" s="36">
        <v>76</v>
      </c>
      <c r="O29" s="34" t="str">
        <f t="shared" si="0"/>
        <v/>
      </c>
      <c r="P29" s="35">
        <v>23</v>
      </c>
      <c r="Q29" s="37" t="str">
        <f t="shared" ref="Q29:Q92" si="6">IF(IFERROR(FIND("+",P29),0)," ",
IF(P29="AB","",
IF(P29&lt;$P$27,"F",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R29" s="33">
        <v>58</v>
      </c>
      <c r="S29" s="34" t="str">
        <f t="shared" ref="S29:S92" si="7">IF(IFERROR(FIND("+",R29),0)," ",
IF(R29="AB","",
IF(R29&lt;$R$27,"F",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T29" s="35">
        <v>21</v>
      </c>
      <c r="U29" s="37" t="str">
        <f t="shared" ref="U29:U92" si="8">IF(IFERROR(FIND("+",T29),0)," ",
IF(T29="AB","",
IF(T29&lt;$T$27,"F",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V29" s="33">
        <v>63</v>
      </c>
      <c r="W29" s="34" t="str">
        <f t="shared" ref="W29:W92" si="9">IF(IFERROR(FIND("+",V29),0)," ",
IF(V29="AB","",
IF(V29&lt;$V$27,"F",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X29" s="35">
        <v>22</v>
      </c>
      <c r="Y29" s="37" t="str">
        <f t="shared" ref="Y29:Y92" si="10">IF(IFERROR(FIND("+",X29),0)," ",
IF(X29="AB","",
IF(X29&lt;$X$27,"F",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Z29" s="35">
        <v>22</v>
      </c>
      <c r="AA29" s="37" t="str">
        <f t="shared" ref="AA29:AA92" si="11">IF(IFERROR(FIND("+",Z29),0)," ",
IF(Z29="AB","",
IF(Z29&lt;$Z$27,"F",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AB29" s="33">
        <v>41</v>
      </c>
      <c r="AC29" s="34" t="str">
        <f t="shared" ref="AC29:AC92" si="12">IF(IFERROR(FIND("+",AB29),0)," ",
IF(AB29="AB","",
IF(AB29&lt;$AB$27,"F",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AD29" s="35">
        <v>24</v>
      </c>
      <c r="AE29" s="34" t="str">
        <f t="shared" ref="AE29:AE92" si="13">IF(IFERROR(FIND("+",AD29),0)," ",
IF(AD29="AB","",
IF(AD29&lt;$AD$27,"F",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AF29" s="35">
        <v>44</v>
      </c>
      <c r="AG29" s="37" t="str">
        <f t="shared" ref="AG29:AG92" si="14">IF(IFERROR(FIND("+",AF29),0)," ",
IF(AF29="AB","",
IF(AF29&lt;$AF$27,"F",
IF(AND(D29&gt;=$D$27,F29&gt;=$F$27,H29&gt;=$H$27,
J29&gt;=$J$27,L29&gt;=$L$27,
N29&gt;=$N$27,P29&gt;=$P$27,R29&gt;=$R$27,T29&gt;=$T$27,V29&gt;=$V$27,
X29&gt;=$X$27,Z29&gt;=$Z$27,AB29&gt;=$AB$27,AD29&gt;=$AD$27,AF29&gt;=$AF$27,
D29&lt;&gt;"AB",F29&lt;&gt;"AB",H29&lt;&gt;"AB",
J29&lt;&gt;"AB",L29&lt;&gt;"AB",
N29&lt;&gt;"AB",P29&lt;&gt;"AB",R29&lt;&gt;"AB",T29&lt;&gt;"AB",V29&lt;&gt;"AB",
X29&lt;&gt;"AB",Z29&lt;&gt;"AB",AB29&lt;&gt;"AB",AD29&lt;&gt;"AB",AF29&lt;&gt;"AB"),"","E"))))</f>
        <v/>
      </c>
      <c r="AH29" s="4">
        <f>IF(OR(AND(D29&gt;=31,D29&lt;40),AND(H29&gt;=31,H29&lt;40),AND(N29&gt;=31,N29&lt;40),AND(R29&gt;=31,R29&lt;40),AND(V29&gt;=31,V29&lt;40),AND(AB29&gt;=11,AB29&lt;20)),IF(AND(OR(COUNTIF(D29:AG29,"=31")&gt;=1,COUNTIF(D29:AG29,"=32")&gt;=1,COUNTIF(D29:AG29,"=33")&gt;=1,COUNTIF(D29:AG29,"=34")&gt;=1,COUNTIF(D29:AG29,"=35")&gt;=1,COUNTIF(D29:AG29,"=36")&gt;=1 ),COUNTIF(D29:AG29,"")=0,COUNTIF(D29:AG29," ")=0,COUNTIF(D29:AG29,"F")=1),CONCATENATE(SUM(EXTRACTNUMBER(D29),EXTRACTNUMBER(F29),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EXTRACTNUMBER(AD29),EXTRACTNUMBER(AF29)),"*"),IF(AND(COUNTIF(D29:AG29,"=34")&gt;=1,COUNTIF(D29:AG29,"=35")&gt;=1,COUNTIF(D29:AG29,"f")=2,COUNTIF(D29:AG29,"")=0,COUNTIF(D29:AG29,"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EXTRACTNUMBER(AD29),EXTRACTNUMBER(AF29)),"*"),IF(AND(COUNTIF(D29:AG29,"=36")&gt;=2,COUNTIF(D29:AG29,"f")=2,COUNTIF(D29:AG29,"")=0,COUNTIF(D29:AG29,"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EXTRACTNUMBER(AD29),EXTRACTNUMBER(AF29))))),SUM(EXTRACTNUMBER(D29),EXTRACTNUMBER(F29),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EXTRACTNUMBER(AD29),EXTRACTNUMBER(AF29)))</f>
        <v>566</v>
      </c>
      <c r="AI29" s="38" t="str">
        <f t="shared" ref="AI29:AI90" si="15">IF(AND(COUNTIF(D29:AG29,"AB")&lt;15-COUNTIF(D29:AG29," "),
COUNTIF(D29:AG29,"AB")&lt;&gt;0),"FAIL",
IF(COUNTIF(D29:AG29,"AB")=15-COUNTIF(D29:AG29," "),"ABSENT",
IF(AND(COUNTIF(D29:AG29,"AB")=0,COUNTIF(D29:AG29,"F")=0),"PASS","FAIL")))</f>
        <v>PASS</v>
      </c>
      <c r="AJ29" s="28" t="str">
        <f>spellnumber(EXTRACTnUMBER_TOT(AH29))</f>
        <v xml:space="preserve">Five Hundred Sixty Six </v>
      </c>
      <c r="AK29" s="5">
        <v>566</v>
      </c>
    </row>
    <row r="30" spans="1:38" s="5" customFormat="1" ht="15" customHeight="1">
      <c r="B30" s="31">
        <v>223203</v>
      </c>
      <c r="C30" s="32" t="s">
        <v>162</v>
      </c>
      <c r="D30" s="33">
        <v>40</v>
      </c>
      <c r="E30" s="34" t="str">
        <f t="shared" si="1"/>
        <v>E</v>
      </c>
      <c r="F30" s="35">
        <v>17</v>
      </c>
      <c r="G30" s="34" t="str">
        <f t="shared" si="2"/>
        <v>E</v>
      </c>
      <c r="H30" s="36">
        <v>40</v>
      </c>
      <c r="I30" s="34" t="str">
        <f t="shared" si="3"/>
        <v>E</v>
      </c>
      <c r="J30" s="35">
        <v>20</v>
      </c>
      <c r="K30" s="34" t="str">
        <f t="shared" si="4"/>
        <v>E</v>
      </c>
      <c r="L30" s="35">
        <v>17</v>
      </c>
      <c r="M30" s="34" t="str">
        <f t="shared" si="5"/>
        <v>E</v>
      </c>
      <c r="N30" s="36">
        <v>44</v>
      </c>
      <c r="O30" s="34" t="str">
        <f t="shared" si="0"/>
        <v>E</v>
      </c>
      <c r="P30" s="35">
        <v>18</v>
      </c>
      <c r="Q30" s="37" t="str">
        <f t="shared" si="6"/>
        <v>E</v>
      </c>
      <c r="R30" s="33">
        <v>20</v>
      </c>
      <c r="S30" s="34" t="str">
        <f t="shared" si="7"/>
        <v>F</v>
      </c>
      <c r="T30" s="35">
        <v>20</v>
      </c>
      <c r="U30" s="37" t="str">
        <f t="shared" si="8"/>
        <v>E</v>
      </c>
      <c r="V30" s="33">
        <v>19</v>
      </c>
      <c r="W30" s="34" t="str">
        <f t="shared" si="9"/>
        <v>F</v>
      </c>
      <c r="X30" s="35">
        <v>19</v>
      </c>
      <c r="Y30" s="37" t="str">
        <f t="shared" si="10"/>
        <v>E</v>
      </c>
      <c r="Z30" s="35">
        <v>15</v>
      </c>
      <c r="AA30" s="37" t="str">
        <f t="shared" si="11"/>
        <v>E</v>
      </c>
      <c r="AB30" s="33">
        <v>28</v>
      </c>
      <c r="AC30" s="34" t="str">
        <f t="shared" si="12"/>
        <v>F</v>
      </c>
      <c r="AD30" s="35">
        <v>19</v>
      </c>
      <c r="AE30" s="34" t="str">
        <f t="shared" si="13"/>
        <v>E</v>
      </c>
      <c r="AF30" s="35">
        <v>40</v>
      </c>
      <c r="AG30" s="37" t="str">
        <f t="shared" si="14"/>
        <v>E</v>
      </c>
      <c r="AH30" s="4">
        <f>IF(OR(AND(D30&gt;=31,D30&lt;40),AND(H30&gt;=31,H30&lt;40),AND(N30&gt;=31,N30&lt;40),AND(R30&gt;=31,R30&lt;40),AND(V30&gt;=31,V30&lt;40),AND(AB30&gt;=11,AB30&lt;20)),IF(AND(OR(COUNTIF(D30:AG30,"=31")&gt;=1,COUNTIF(D30:AG30,"=32")&gt;=1,COUNTIF(D30:AG30,"=33")&gt;=1,COUNTIF(D30:AG30,"=34")&gt;=1,COUNTIF(D30:AG30,"=35")&gt;=1,COUNTIF(D30:AG30,"=36")&gt;=1 ),COUNTIF(D30:AG30,"")=0,COUNTIF(D30:AG30," ")=0,COUNTIF(D30:AG30,"F")=1),CONCATENATE(SUM(EXTRACTNUMBER(D30),EXTRACTNUMBER(F30),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EXTRACTNUMBER(AD30),EXTRACTNUMBER(AF30)),"*"),IF(AND(COUNTIF(D30:AG30,"=34")&gt;=1,COUNTIF(D30:AG30,"=35")&gt;=1,COUNTIF(D30:AG30,"f")=2,COUNTIF(D30:AG30,"")=0,COUNTIF(D30:AG30,"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EXTRACTNUMBER(AD30),EXTRACTNUMBER(AF30)),"*"),IF(AND(COUNTIF(D30:AG30,"=36")&gt;=2,COUNTIF(D30:AG30,"f")=2,COUNTIF(D30:AG30,"")=0,COUNTIF(D30:AG30,"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EXTRACTNUMBER(AD30),EXTRACTNUMBER(AF30))))),SUM(EXTRACTNUMBER(D30),EXTRACTNUMBER(F30),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EXTRACTNUMBER(AD30),EXTRACTNUMBER(AF30)))</f>
        <v>376</v>
      </c>
      <c r="AI30" s="38" t="str">
        <f t="shared" si="15"/>
        <v>FAIL</v>
      </c>
      <c r="AJ30" s="28" t="str">
        <f>spellnumber(EXTRACTnUMBER_TOT(AH30))</f>
        <v xml:space="preserve">Three Hundred Seventy Six </v>
      </c>
      <c r="AK30" s="5">
        <v>376</v>
      </c>
    </row>
    <row r="31" spans="1:38" s="5" customFormat="1" ht="15" customHeight="1">
      <c r="B31" s="31">
        <v>223204</v>
      </c>
      <c r="C31" s="32" t="s">
        <v>163</v>
      </c>
      <c r="D31" s="33">
        <v>41</v>
      </c>
      <c r="E31" s="34" t="str">
        <f t="shared" si="1"/>
        <v/>
      </c>
      <c r="F31" s="35">
        <v>23</v>
      </c>
      <c r="G31" s="34" t="str">
        <f t="shared" si="2"/>
        <v/>
      </c>
      <c r="H31" s="36">
        <v>71</v>
      </c>
      <c r="I31" s="34" t="str">
        <f t="shared" si="3"/>
        <v/>
      </c>
      <c r="J31" s="35">
        <v>23</v>
      </c>
      <c r="K31" s="34" t="str">
        <f t="shared" si="4"/>
        <v/>
      </c>
      <c r="L31" s="35">
        <v>18</v>
      </c>
      <c r="M31" s="34" t="str">
        <f t="shared" si="5"/>
        <v/>
      </c>
      <c r="N31" s="36">
        <v>62</v>
      </c>
      <c r="O31" s="34" t="str">
        <f t="shared" si="0"/>
        <v/>
      </c>
      <c r="P31" s="35">
        <v>20</v>
      </c>
      <c r="Q31" s="37" t="str">
        <f t="shared" si="6"/>
        <v/>
      </c>
      <c r="R31" s="33">
        <v>55</v>
      </c>
      <c r="S31" s="34" t="str">
        <f t="shared" si="7"/>
        <v/>
      </c>
      <c r="T31" s="35">
        <v>20</v>
      </c>
      <c r="U31" s="37" t="str">
        <f t="shared" si="8"/>
        <v/>
      </c>
      <c r="V31" s="33">
        <v>49</v>
      </c>
      <c r="W31" s="34" t="str">
        <f t="shared" si="9"/>
        <v/>
      </c>
      <c r="X31" s="35">
        <v>20</v>
      </c>
      <c r="Y31" s="37" t="str">
        <f t="shared" si="10"/>
        <v/>
      </c>
      <c r="Z31" s="35">
        <v>20</v>
      </c>
      <c r="AA31" s="37" t="str">
        <f t="shared" si="11"/>
        <v/>
      </c>
      <c r="AB31" s="33">
        <v>52</v>
      </c>
      <c r="AC31" s="34" t="str">
        <f t="shared" si="12"/>
        <v/>
      </c>
      <c r="AD31" s="35">
        <v>14</v>
      </c>
      <c r="AE31" s="34" t="str">
        <f t="shared" si="13"/>
        <v/>
      </c>
      <c r="AF31" s="35">
        <v>41</v>
      </c>
      <c r="AG31" s="37" t="str">
        <f t="shared" si="14"/>
        <v/>
      </c>
      <c r="AH31" s="4">
        <f>IF(OR(AND(D31&gt;=31,D31&lt;40),AND(H31&gt;=31,H31&lt;40),AND(N31&gt;=31,N31&lt;40),AND(R31&gt;=31,R31&lt;40),AND(V31&gt;=31,V31&lt;40),AND(AB31&gt;=11,AB31&lt;20)),IF(AND(OR(COUNTIF(D31:AG31,"=31")&gt;=1,COUNTIF(D31:AG31,"=32")&gt;=1,COUNTIF(D31:AG31,"=33")&gt;=1,COUNTIF(D31:AG31,"=34")&gt;=1,COUNTIF(D31:AG31,"=35")&gt;=1,COUNTIF(D31:AG31,"=36")&gt;=1 ),COUNTIF(D31:AG31,"")=0,COUNTIF(D31:AG31," ")=0,COUNTIF(D31:AG31,"F")=1),CONCATENATE(SUM(EXTRACTNUMBER(D31),EXTRACTNUMBER(F31),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EXTRACTNUMBER(AD31),EXTRACTNUMBER(AF31)),"*"),IF(AND(COUNTIF(D31:AG31,"=34")&gt;=1,COUNTIF(D31:AG31,"=35")&gt;=1,COUNTIF(D31:AG31,"f")=2,COUNTIF(D31:AG31,"")=0,COUNTIF(D31:AG31,"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EXTRACTNUMBER(AD31),EXTRACTNUMBER(AF31)),"*"),IF(AND(COUNTIF(D31:AG31,"=36")&gt;=2,COUNTIF(D31:AG31,"f")=2,COUNTIF(D31:AG31,"")=0,COUNTIF(D31:AG31,"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EXTRACTNUMBER(AD31),EXTRACTNUMBER(AF31))))),SUM(EXTRACTNUMBER(D31),EXTRACTNUMBER(F31),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EXTRACTNUMBER(AD31),EXTRACTNUMBER(AF31)))</f>
        <v>529</v>
      </c>
      <c r="AI31" s="38" t="str">
        <f t="shared" si="15"/>
        <v>PASS</v>
      </c>
      <c r="AJ31" s="28" t="str">
        <f>spellnumber(EXTRACTnUMBER_TOT(AH31))</f>
        <v xml:space="preserve">Five Hundred Twenty Nine </v>
      </c>
      <c r="AK31" s="5">
        <v>529</v>
      </c>
    </row>
    <row r="32" spans="1:38" s="5" customFormat="1" ht="15" customHeight="1">
      <c r="B32" s="31">
        <v>223205</v>
      </c>
      <c r="C32" s="32" t="s">
        <v>164</v>
      </c>
      <c r="D32" s="33">
        <v>14</v>
      </c>
      <c r="E32" s="34" t="str">
        <f t="shared" si="1"/>
        <v>F</v>
      </c>
      <c r="F32" s="35">
        <v>15</v>
      </c>
      <c r="G32" s="34" t="str">
        <f t="shared" si="2"/>
        <v>E</v>
      </c>
      <c r="H32" s="36">
        <v>53</v>
      </c>
      <c r="I32" s="34" t="str">
        <f t="shared" si="3"/>
        <v>E</v>
      </c>
      <c r="J32" s="35">
        <v>20</v>
      </c>
      <c r="K32" s="34" t="str">
        <f t="shared" si="4"/>
        <v>E</v>
      </c>
      <c r="L32" s="35">
        <v>19</v>
      </c>
      <c r="M32" s="34" t="str">
        <f t="shared" si="5"/>
        <v>E</v>
      </c>
      <c r="N32" s="36">
        <v>40</v>
      </c>
      <c r="O32" s="34" t="str">
        <f t="shared" si="0"/>
        <v>E</v>
      </c>
      <c r="P32" s="35">
        <v>18</v>
      </c>
      <c r="Q32" s="37" t="str">
        <f t="shared" si="6"/>
        <v>E</v>
      </c>
      <c r="R32" s="33">
        <v>45</v>
      </c>
      <c r="S32" s="34" t="str">
        <f t="shared" si="7"/>
        <v>E</v>
      </c>
      <c r="T32" s="35">
        <v>21</v>
      </c>
      <c r="U32" s="37" t="str">
        <f t="shared" si="8"/>
        <v>E</v>
      </c>
      <c r="V32" s="33">
        <v>40</v>
      </c>
      <c r="W32" s="34" t="str">
        <f t="shared" si="9"/>
        <v>E</v>
      </c>
      <c r="X32" s="35">
        <v>14</v>
      </c>
      <c r="Y32" s="37" t="str">
        <f t="shared" si="10"/>
        <v>E</v>
      </c>
      <c r="Z32" s="35">
        <v>16</v>
      </c>
      <c r="AA32" s="37" t="str">
        <f t="shared" si="11"/>
        <v>E</v>
      </c>
      <c r="AB32" s="33">
        <v>45</v>
      </c>
      <c r="AC32" s="34" t="str">
        <f t="shared" si="12"/>
        <v>E</v>
      </c>
      <c r="AD32" s="35">
        <v>21</v>
      </c>
      <c r="AE32" s="34" t="str">
        <f t="shared" si="13"/>
        <v>E</v>
      </c>
      <c r="AF32" s="35">
        <v>40</v>
      </c>
      <c r="AG32" s="37" t="str">
        <f t="shared" si="14"/>
        <v>E</v>
      </c>
      <c r="AH32" s="4">
        <f>IF(OR(AND(D32&gt;=31,D32&lt;40),AND(H32&gt;=31,H32&lt;40),AND(N32&gt;=31,N32&lt;40),AND(R32&gt;=31,R32&lt;40),AND(V32&gt;=31,V32&lt;40),AND(AB32&gt;=11,AB32&lt;20)),IF(AND(OR(COUNTIF(D32:AG32,"=31")&gt;=1,COUNTIF(D32:AG32,"=32")&gt;=1,COUNTIF(D32:AG32,"=33")&gt;=1,COUNTIF(D32:AG32,"=34")&gt;=1,COUNTIF(D32:AG32,"=35")&gt;=1,COUNTIF(D32:AG32,"=36")&gt;=1 ),COUNTIF(D32:AG32,"")=0,COUNTIF(D32:AG32," ")=0,COUNTIF(D32:AG32,"F")=1),CONCATENATE(SUM(EXTRACTNUMBER(D32),EXTRACTNUMBER(F32),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EXTRACTNUMBER(AD32),EXTRACTNUMBER(AF32)),"*"),IF(AND(COUNTIF(D32:AG32,"=34")&gt;=1,COUNTIF(D32:AG32,"=35")&gt;=1,COUNTIF(D32:AG32,"f")=2,COUNTIF(D32:AG32,"")=0,COUNTIF(D32:AG32,"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EXTRACTNUMBER(AD32),EXTRACTNUMBER(AF32)),"*"),IF(AND(COUNTIF(D32:AG32,"=36")&gt;=2,COUNTIF(D32:AG32,"f")=2,COUNTIF(D32:AG32,"")=0,COUNTIF(D32:AG32,"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EXTRACTNUMBER(AD32),EXTRACTNUMBER(AF32))))),SUM(EXTRACTNUMBER(D32),EXTRACTNUMBER(F32),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EXTRACTNUMBER(AD32),EXTRACTNUMBER(AF32)))</f>
        <v>421</v>
      </c>
      <c r="AI32" s="38" t="str">
        <f t="shared" si="15"/>
        <v>FAIL</v>
      </c>
      <c r="AJ32" s="28" t="str">
        <f>spellnumber(EXTRACTnUMBER_TOT(AH32))</f>
        <v xml:space="preserve">Four Hundred Twenty One </v>
      </c>
      <c r="AK32" s="5">
        <v>421</v>
      </c>
    </row>
    <row r="33" spans="2:37" s="5" customFormat="1" ht="15" customHeight="1">
      <c r="B33" s="31">
        <v>223206</v>
      </c>
      <c r="C33" s="32" t="s">
        <v>165</v>
      </c>
      <c r="D33" s="33">
        <v>48</v>
      </c>
      <c r="E33" s="34" t="str">
        <f t="shared" si="1"/>
        <v/>
      </c>
      <c r="F33" s="35">
        <v>20</v>
      </c>
      <c r="G33" s="34" t="str">
        <f t="shared" si="2"/>
        <v/>
      </c>
      <c r="H33" s="36">
        <v>76</v>
      </c>
      <c r="I33" s="34" t="str">
        <f t="shared" si="3"/>
        <v/>
      </c>
      <c r="J33" s="35">
        <v>18</v>
      </c>
      <c r="K33" s="34" t="str">
        <f t="shared" si="4"/>
        <v/>
      </c>
      <c r="L33" s="35">
        <v>18</v>
      </c>
      <c r="M33" s="34" t="str">
        <f t="shared" si="5"/>
        <v/>
      </c>
      <c r="N33" s="36">
        <v>78</v>
      </c>
      <c r="O33" s="34" t="str">
        <f t="shared" si="0"/>
        <v/>
      </c>
      <c r="P33" s="35">
        <v>17</v>
      </c>
      <c r="Q33" s="37" t="str">
        <f t="shared" si="6"/>
        <v/>
      </c>
      <c r="R33" s="33">
        <v>56</v>
      </c>
      <c r="S33" s="34" t="str">
        <f t="shared" si="7"/>
        <v/>
      </c>
      <c r="T33" s="35">
        <v>18</v>
      </c>
      <c r="U33" s="37" t="str">
        <f t="shared" si="8"/>
        <v/>
      </c>
      <c r="V33" s="33">
        <v>62</v>
      </c>
      <c r="W33" s="34" t="str">
        <f t="shared" si="9"/>
        <v/>
      </c>
      <c r="X33" s="35">
        <v>16</v>
      </c>
      <c r="Y33" s="37" t="str">
        <f t="shared" si="10"/>
        <v/>
      </c>
      <c r="Z33" s="35">
        <v>17</v>
      </c>
      <c r="AA33" s="37" t="str">
        <f t="shared" si="11"/>
        <v/>
      </c>
      <c r="AB33" s="33">
        <v>48</v>
      </c>
      <c r="AC33" s="34" t="str">
        <f t="shared" si="12"/>
        <v/>
      </c>
      <c r="AD33" s="35">
        <v>22</v>
      </c>
      <c r="AE33" s="34" t="str">
        <f t="shared" si="13"/>
        <v/>
      </c>
      <c r="AF33" s="35">
        <v>39</v>
      </c>
      <c r="AG33" s="37" t="str">
        <f t="shared" si="14"/>
        <v/>
      </c>
      <c r="AH33" s="4">
        <f>IF(OR(AND(D33&gt;=31,D33&lt;40),AND(H33&gt;=31,H33&lt;40),AND(N33&gt;=31,N33&lt;40),AND(R33&gt;=31,R33&lt;40),AND(V33&gt;=31,V33&lt;40),AND(AB33&gt;=11,AB33&lt;20)),IF(AND(OR(COUNTIF(D33:AG33,"=31")&gt;=1,COUNTIF(D33:AG33,"=32")&gt;=1,COUNTIF(D33:AG33,"=33")&gt;=1,COUNTIF(D33:AG33,"=34")&gt;=1,COUNTIF(D33:AG33,"=35")&gt;=1,COUNTIF(D33:AG33,"=36")&gt;=1 ),COUNTIF(D33:AG33,"")=0,COUNTIF(D33:AG33," ")=0,COUNTIF(D33:AG33,"F")=1),CONCATENATE(SUM(EXTRACTNUMBER(D33),EXTRACTNUMBER(F33),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EXTRACTNUMBER(AD33),EXTRACTNUMBER(AF33)),"*"),IF(AND(COUNTIF(D33:AG33,"=34")&gt;=1,COUNTIF(D33:AG33,"=35")&gt;=1,COUNTIF(D33:AG33,"f")=2,COUNTIF(D33:AG33,"")=0,COUNTIF(D33:AG33,"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EXTRACTNUMBER(AD33),EXTRACTNUMBER(AF33)),"*"),IF(AND(COUNTIF(D33:AG33,"=36")&gt;=2,COUNTIF(D33:AG33,"f")=2,COUNTIF(D33:AG33,"")=0,COUNTIF(D33:AG33,"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EXTRACTNUMBER(AD33),EXTRACTNUMBER(AF33))))),SUM(EXTRACTNUMBER(D33),EXTRACTNUMBER(F33),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EXTRACTNUMBER(AD33),EXTRACTNUMBER(AF33)))</f>
        <v>553</v>
      </c>
      <c r="AI33" s="38" t="str">
        <f t="shared" si="15"/>
        <v>PASS</v>
      </c>
      <c r="AJ33" s="28" t="str">
        <f>spellnumber(EXTRACTnUMBER_TOT(AH33))</f>
        <v xml:space="preserve">Five Hundred Fifty Three </v>
      </c>
      <c r="AK33" s="5">
        <v>553</v>
      </c>
    </row>
    <row r="34" spans="2:37" s="5" customFormat="1" ht="15" customHeight="1">
      <c r="B34" s="31">
        <v>223207</v>
      </c>
      <c r="C34" s="32" t="s">
        <v>166</v>
      </c>
      <c r="D34" s="33">
        <v>69</v>
      </c>
      <c r="E34" s="34" t="str">
        <f t="shared" si="1"/>
        <v/>
      </c>
      <c r="F34" s="35">
        <v>21</v>
      </c>
      <c r="G34" s="34" t="str">
        <f t="shared" si="2"/>
        <v/>
      </c>
      <c r="H34" s="36">
        <v>83</v>
      </c>
      <c r="I34" s="34" t="str">
        <f t="shared" si="3"/>
        <v/>
      </c>
      <c r="J34" s="35">
        <v>23</v>
      </c>
      <c r="K34" s="34" t="str">
        <f t="shared" si="4"/>
        <v/>
      </c>
      <c r="L34" s="35">
        <v>18</v>
      </c>
      <c r="M34" s="34" t="str">
        <f t="shared" si="5"/>
        <v/>
      </c>
      <c r="N34" s="36">
        <v>85</v>
      </c>
      <c r="O34" s="34" t="str">
        <f t="shared" si="0"/>
        <v/>
      </c>
      <c r="P34" s="35">
        <v>23</v>
      </c>
      <c r="Q34" s="37" t="str">
        <f t="shared" si="6"/>
        <v/>
      </c>
      <c r="R34" s="33">
        <v>70</v>
      </c>
      <c r="S34" s="34" t="str">
        <f t="shared" si="7"/>
        <v/>
      </c>
      <c r="T34" s="35">
        <v>23</v>
      </c>
      <c r="U34" s="37" t="str">
        <f t="shared" si="8"/>
        <v/>
      </c>
      <c r="V34" s="33">
        <v>57</v>
      </c>
      <c r="W34" s="34" t="str">
        <f t="shared" si="9"/>
        <v/>
      </c>
      <c r="X34" s="35">
        <v>23</v>
      </c>
      <c r="Y34" s="37" t="str">
        <f t="shared" si="10"/>
        <v/>
      </c>
      <c r="Z34" s="35">
        <v>23</v>
      </c>
      <c r="AA34" s="37" t="str">
        <f t="shared" si="11"/>
        <v/>
      </c>
      <c r="AB34" s="33">
        <v>41</v>
      </c>
      <c r="AC34" s="34" t="str">
        <f t="shared" si="12"/>
        <v/>
      </c>
      <c r="AD34" s="35">
        <v>18</v>
      </c>
      <c r="AE34" s="34" t="str">
        <f t="shared" si="13"/>
        <v/>
      </c>
      <c r="AF34" s="35">
        <v>39</v>
      </c>
      <c r="AG34" s="37" t="str">
        <f t="shared" si="14"/>
        <v/>
      </c>
      <c r="AH34" s="4">
        <f>IF(OR(AND(D34&gt;=31,D34&lt;40),AND(H34&gt;=31,H34&lt;40),AND(N34&gt;=31,N34&lt;40),AND(R34&gt;=31,R34&lt;40),AND(V34&gt;=31,V34&lt;40),AND(AB34&gt;=11,AB34&lt;20)),IF(AND(OR(COUNTIF(D34:AG34,"=31")&gt;=1,COUNTIF(D34:AG34,"=32")&gt;=1,COUNTIF(D34:AG34,"=33")&gt;=1,COUNTIF(D34:AG34,"=34")&gt;=1,COUNTIF(D34:AG34,"=35")&gt;=1,COUNTIF(D34:AG34,"=36")&gt;=1 ),COUNTIF(D34:AG34,"")=0,COUNTIF(D34:AG34," ")=0,COUNTIF(D34:AG34,"F")=1),CONCATENATE(SUM(EXTRACTNUMBER(D34),EXTRACTNUMBER(F34),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EXTRACTNUMBER(AD34),EXTRACTNUMBER(AF34)),"*"),IF(AND(COUNTIF(D34:AG34,"=34")&gt;=1,COUNTIF(D34:AG34,"=35")&gt;=1,COUNTIF(D34:AG34,"f")=2,COUNTIF(D34:AG34,"")=0,COUNTIF(D34:AG34,"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EXTRACTNUMBER(AD34),EXTRACTNUMBER(AF34)),"*"),IF(AND(COUNTIF(D34:AG34,"=36")&gt;=2,COUNTIF(D34:AG34,"f")=2,COUNTIF(D34:AG34,"")=0,COUNTIF(D34:AG34,"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EXTRACTNUMBER(AD34),EXTRACTNUMBER(AF34))))),SUM(EXTRACTNUMBER(D34),EXTRACTNUMBER(F34),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EXTRACTNUMBER(AD34),EXTRACTNUMBER(AF34)))</f>
        <v>616</v>
      </c>
      <c r="AI34" s="38" t="str">
        <f t="shared" si="15"/>
        <v>PASS</v>
      </c>
      <c r="AJ34" s="28" t="str">
        <f>spellnumber(EXTRACTnUMBER_TOT(AH34))</f>
        <v xml:space="preserve">Six Hundred Sixteen </v>
      </c>
      <c r="AK34" s="5">
        <v>616</v>
      </c>
    </row>
    <row r="35" spans="2:37" s="5" customFormat="1" ht="15" customHeight="1">
      <c r="B35" s="31">
        <v>223208</v>
      </c>
      <c r="C35" s="32" t="s">
        <v>167</v>
      </c>
      <c r="D35" s="33">
        <v>10</v>
      </c>
      <c r="E35" s="34" t="str">
        <f t="shared" si="1"/>
        <v>F</v>
      </c>
      <c r="F35" s="35">
        <v>15</v>
      </c>
      <c r="G35" s="34" t="str">
        <f t="shared" si="2"/>
        <v>E</v>
      </c>
      <c r="H35" s="36">
        <v>49</v>
      </c>
      <c r="I35" s="34" t="str">
        <f t="shared" si="3"/>
        <v>E</v>
      </c>
      <c r="J35" s="35">
        <v>21</v>
      </c>
      <c r="K35" s="34" t="str">
        <f t="shared" si="4"/>
        <v>E</v>
      </c>
      <c r="L35" s="35">
        <v>19</v>
      </c>
      <c r="M35" s="34" t="str">
        <f t="shared" si="5"/>
        <v>E</v>
      </c>
      <c r="N35" s="36">
        <v>56</v>
      </c>
      <c r="O35" s="34" t="str">
        <f t="shared" si="0"/>
        <v>E</v>
      </c>
      <c r="P35" s="35">
        <v>16</v>
      </c>
      <c r="Q35" s="37" t="str">
        <f t="shared" si="6"/>
        <v>E</v>
      </c>
      <c r="R35" s="33">
        <v>52</v>
      </c>
      <c r="S35" s="34" t="str">
        <f t="shared" si="7"/>
        <v>E</v>
      </c>
      <c r="T35" s="35">
        <v>20</v>
      </c>
      <c r="U35" s="37" t="str">
        <f t="shared" si="8"/>
        <v>E</v>
      </c>
      <c r="V35" s="33">
        <v>23</v>
      </c>
      <c r="W35" s="34" t="str">
        <f t="shared" si="9"/>
        <v>F</v>
      </c>
      <c r="X35" s="35">
        <v>15</v>
      </c>
      <c r="Y35" s="37" t="str">
        <f t="shared" si="10"/>
        <v>E</v>
      </c>
      <c r="Z35" s="35">
        <v>17</v>
      </c>
      <c r="AA35" s="37" t="str">
        <f t="shared" si="11"/>
        <v>E</v>
      </c>
      <c r="AB35" s="33">
        <v>44</v>
      </c>
      <c r="AC35" s="34" t="str">
        <f t="shared" si="12"/>
        <v>E</v>
      </c>
      <c r="AD35" s="35">
        <v>19</v>
      </c>
      <c r="AE35" s="34" t="str">
        <f t="shared" si="13"/>
        <v>E</v>
      </c>
      <c r="AF35" s="35">
        <v>36</v>
      </c>
      <c r="AG35" s="37" t="str">
        <f t="shared" si="14"/>
        <v>E</v>
      </c>
      <c r="AH35" s="4">
        <f>IF(OR(AND(D35&gt;=31,D35&lt;40),AND(H35&gt;=31,H35&lt;40),AND(N35&gt;=31,N35&lt;40),AND(R35&gt;=31,R35&lt;40),AND(V35&gt;=31,V35&lt;40),AND(AB35&gt;=11,AB35&lt;20)),IF(AND(OR(COUNTIF(D35:AG35,"=31")&gt;=1,COUNTIF(D35:AG35,"=32")&gt;=1,COUNTIF(D35:AG35,"=33")&gt;=1,COUNTIF(D35:AG35,"=34")&gt;=1,COUNTIF(D35:AG35,"=35")&gt;=1,COUNTIF(D35:AG35,"=36")&gt;=1 ),COUNTIF(D35:AG35,"")=0,COUNTIF(D35:AG35," ")=0,COUNTIF(D35:AG35,"F")=1),CONCATENATE(SUM(EXTRACTNUMBER(D35),EXTRACTNUMBER(F35),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EXTRACTNUMBER(AD35),EXTRACTNUMBER(AF35)),"*"),IF(AND(COUNTIF(D35:AG35,"=34")&gt;=1,COUNTIF(D35:AG35,"=35")&gt;=1,COUNTIF(D35:AG35,"f")=2,COUNTIF(D35:AG35,"")=0,COUNTIF(D35:AG35,"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EXTRACTNUMBER(AD35),EXTRACTNUMBER(AF35)),"*"),IF(AND(COUNTIF(D35:AG35,"=36")&gt;=2,COUNTIF(D35:AG35,"f")=2,COUNTIF(D35:AG35,"")=0,COUNTIF(D35:AG35,"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EXTRACTNUMBER(AD35),EXTRACTNUMBER(AF35)),"*"),SUM(EXTRACTNUMBER(D35),EXTRACTNUMBER(F35),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EXTRACTNUMBER(AD35),EXTRACTNUMBER(AF35))))),SUM(EXTRACTNUMBER(D35),EXTRACTNUMBER(F35),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EXTRACTNUMBER(AD35),EXTRACTNUMBER(AF35)))</f>
        <v>412</v>
      </c>
      <c r="AI35" s="38" t="str">
        <f t="shared" si="15"/>
        <v>FAIL</v>
      </c>
      <c r="AJ35" s="28" t="str">
        <f>spellnumber(EXTRACTnUMBER_TOT(AH35))</f>
        <v xml:space="preserve">Four Hundred Twelve </v>
      </c>
      <c r="AK35" s="5">
        <v>412</v>
      </c>
    </row>
    <row r="36" spans="2:37" s="5" customFormat="1" ht="15" customHeight="1">
      <c r="B36" s="31">
        <v>223209</v>
      </c>
      <c r="C36" s="32" t="s">
        <v>168</v>
      </c>
      <c r="D36" s="33">
        <v>45</v>
      </c>
      <c r="E36" s="34" t="str">
        <f t="shared" si="1"/>
        <v/>
      </c>
      <c r="F36" s="35">
        <v>21</v>
      </c>
      <c r="G36" s="34" t="str">
        <f t="shared" si="2"/>
        <v/>
      </c>
      <c r="H36" s="36">
        <v>50</v>
      </c>
      <c r="I36" s="34" t="str">
        <f t="shared" si="3"/>
        <v/>
      </c>
      <c r="J36" s="35">
        <v>19</v>
      </c>
      <c r="K36" s="34" t="str">
        <f t="shared" si="4"/>
        <v/>
      </c>
      <c r="L36" s="35">
        <v>19</v>
      </c>
      <c r="M36" s="34" t="str">
        <f t="shared" si="5"/>
        <v/>
      </c>
      <c r="N36" s="36">
        <v>52</v>
      </c>
      <c r="O36" s="34" t="str">
        <f t="shared" si="0"/>
        <v/>
      </c>
      <c r="P36" s="35">
        <v>17</v>
      </c>
      <c r="Q36" s="37" t="str">
        <f t="shared" si="6"/>
        <v/>
      </c>
      <c r="R36" s="33">
        <v>68</v>
      </c>
      <c r="S36" s="34" t="str">
        <f t="shared" si="7"/>
        <v/>
      </c>
      <c r="T36" s="35">
        <v>23</v>
      </c>
      <c r="U36" s="37" t="str">
        <f t="shared" si="8"/>
        <v/>
      </c>
      <c r="V36" s="33">
        <v>47</v>
      </c>
      <c r="W36" s="34" t="str">
        <f t="shared" si="9"/>
        <v/>
      </c>
      <c r="X36" s="35">
        <v>20</v>
      </c>
      <c r="Y36" s="37" t="str">
        <f t="shared" si="10"/>
        <v/>
      </c>
      <c r="Z36" s="35">
        <v>20</v>
      </c>
      <c r="AA36" s="37" t="str">
        <f t="shared" si="11"/>
        <v/>
      </c>
      <c r="AB36" s="33" t="s">
        <v>421</v>
      </c>
      <c r="AC36" s="34" t="str">
        <f t="shared" si="12"/>
        <v/>
      </c>
      <c r="AD36" s="35">
        <v>21</v>
      </c>
      <c r="AE36" s="34" t="str">
        <f t="shared" si="13"/>
        <v/>
      </c>
      <c r="AF36" s="35">
        <v>42</v>
      </c>
      <c r="AG36" s="37" t="str">
        <f t="shared" si="14"/>
        <v/>
      </c>
      <c r="AH36" s="4" t="s">
        <v>422</v>
      </c>
      <c r="AI36" s="38" t="str">
        <f t="shared" si="15"/>
        <v>PASS</v>
      </c>
      <c r="AJ36" s="28" t="str">
        <f>spellnumber(EXTRACTnUMBER_TOT(AH36))</f>
        <v xml:space="preserve">Five Hundred  </v>
      </c>
      <c r="AK36" s="5" t="s">
        <v>422</v>
      </c>
    </row>
    <row r="37" spans="2:37" s="5" customFormat="1" ht="15" customHeight="1">
      <c r="B37" s="31">
        <v>223210</v>
      </c>
      <c r="C37" s="32" t="s">
        <v>169</v>
      </c>
      <c r="D37" s="33">
        <v>27</v>
      </c>
      <c r="E37" s="34" t="str">
        <f t="shared" si="1"/>
        <v>F</v>
      </c>
      <c r="F37" s="35">
        <v>16</v>
      </c>
      <c r="G37" s="34" t="str">
        <f t="shared" si="2"/>
        <v>E</v>
      </c>
      <c r="H37" s="36">
        <v>57</v>
      </c>
      <c r="I37" s="34" t="str">
        <f t="shared" si="3"/>
        <v>E</v>
      </c>
      <c r="J37" s="35">
        <v>20</v>
      </c>
      <c r="K37" s="34" t="str">
        <f t="shared" si="4"/>
        <v>E</v>
      </c>
      <c r="L37" s="35">
        <v>18</v>
      </c>
      <c r="M37" s="34" t="str">
        <f t="shared" si="5"/>
        <v>E</v>
      </c>
      <c r="N37" s="36">
        <v>50</v>
      </c>
      <c r="O37" s="34" t="str">
        <f t="shared" si="0"/>
        <v>E</v>
      </c>
      <c r="P37" s="35">
        <v>20</v>
      </c>
      <c r="Q37" s="37" t="str">
        <f t="shared" si="6"/>
        <v>E</v>
      </c>
      <c r="R37" s="33">
        <v>49</v>
      </c>
      <c r="S37" s="34" t="str">
        <f t="shared" si="7"/>
        <v>E</v>
      </c>
      <c r="T37" s="35">
        <v>21</v>
      </c>
      <c r="U37" s="37" t="str">
        <f t="shared" si="8"/>
        <v>E</v>
      </c>
      <c r="V37" s="33">
        <v>61</v>
      </c>
      <c r="W37" s="34" t="str">
        <f t="shared" si="9"/>
        <v>E</v>
      </c>
      <c r="X37" s="35">
        <v>23</v>
      </c>
      <c r="Y37" s="37" t="str">
        <f t="shared" si="10"/>
        <v>E</v>
      </c>
      <c r="Z37" s="35">
        <v>23</v>
      </c>
      <c r="AA37" s="37" t="str">
        <f t="shared" si="11"/>
        <v>E</v>
      </c>
      <c r="AB37" s="33">
        <v>41</v>
      </c>
      <c r="AC37" s="34" t="str">
        <f t="shared" si="12"/>
        <v>E</v>
      </c>
      <c r="AD37" s="35">
        <v>23</v>
      </c>
      <c r="AE37" s="34" t="str">
        <f t="shared" si="13"/>
        <v>E</v>
      </c>
      <c r="AF37" s="35">
        <v>40</v>
      </c>
      <c r="AG37" s="37" t="str">
        <f t="shared" si="14"/>
        <v>E</v>
      </c>
      <c r="AH37" s="4">
        <f>IF(OR(AND(D37&gt;=31,D37&lt;40),AND(H37&gt;=31,H37&lt;40),AND(N37&gt;=31,N37&lt;40),AND(R37&gt;=31,R37&lt;40),AND(V37&gt;=31,V37&lt;40),AND(AB37&gt;=11,AB37&lt;20)),IF(AND(OR(COUNTIF(D37:AG37,"=31")&gt;=1,COUNTIF(D37:AG37,"=32")&gt;=1,COUNTIF(D37:AG37,"=33")&gt;=1,COUNTIF(D37:AG37,"=34")&gt;=1,COUNTIF(D37:AG37,"=35")&gt;=1,COUNTIF(D37:AG37,"=36")&gt;=1 ),COUNTIF(D37:AG37,"")=0,COUNTIF(D37:AG37," ")=0,COUNTIF(D37:AG37,"F")=1),CONCATENATE(SUM(EXTRACTNUMBER(D37),EXTRACTNUMBER(F37),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EXTRACTNUMBER(AD37),EXTRACTNUMBER(AF37)),"*"),IF(AND(COUNTIF(D37:AG37,"=34")&gt;=1,COUNTIF(D37:AG37,"=35")&gt;=1,COUNTIF(D37:AG37,"f")=2,COUNTIF(D37:AG37,"")=0,COUNTIF(D37:AG37,"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EXTRACTNUMBER(AD37),EXTRACTNUMBER(AF37)),"*"),IF(AND(COUNTIF(D37:AG37,"=36")&gt;=2,COUNTIF(D37:AG37,"f")=2,COUNTIF(D37:AG37,"")=0,COUNTIF(D37:AG37,"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EXTRACTNUMBER(AD37),EXTRACTNUMBER(AF37)),"*"),SUM(EXTRACTNUMBER(D37),EXTRACTNUMBER(F37),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EXTRACTNUMBER(AD37),EXTRACTNUMBER(AF37))))),SUM(EXTRACTNUMBER(D37),EXTRACTNUMBER(F37),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EXTRACTNUMBER(AD37),EXTRACTNUMBER(AF37)))</f>
        <v>489</v>
      </c>
      <c r="AI37" s="38" t="str">
        <f t="shared" si="15"/>
        <v>FAIL</v>
      </c>
      <c r="AJ37" s="28" t="str">
        <f>spellnumber(EXTRACTnUMBER_TOT(AH37))</f>
        <v xml:space="preserve">Four Hundred Eighty Nine </v>
      </c>
      <c r="AK37" s="5">
        <v>489</v>
      </c>
    </row>
    <row r="38" spans="2:37" s="5" customFormat="1" ht="15" customHeight="1">
      <c r="B38" s="31">
        <v>223211</v>
      </c>
      <c r="C38" s="32" t="s">
        <v>170</v>
      </c>
      <c r="D38" s="33">
        <v>9</v>
      </c>
      <c r="E38" s="34" t="str">
        <f t="shared" si="1"/>
        <v>F</v>
      </c>
      <c r="F38" s="35">
        <v>15</v>
      </c>
      <c r="G38" s="34" t="str">
        <f t="shared" si="2"/>
        <v>E</v>
      </c>
      <c r="H38" s="36">
        <v>40</v>
      </c>
      <c r="I38" s="34" t="str">
        <f t="shared" si="3"/>
        <v>E</v>
      </c>
      <c r="J38" s="35">
        <v>22</v>
      </c>
      <c r="K38" s="34" t="str">
        <f t="shared" si="4"/>
        <v>E</v>
      </c>
      <c r="L38" s="35">
        <v>20</v>
      </c>
      <c r="M38" s="34" t="str">
        <f t="shared" si="5"/>
        <v>E</v>
      </c>
      <c r="N38" s="36">
        <v>40</v>
      </c>
      <c r="O38" s="34" t="str">
        <f t="shared" si="0"/>
        <v>E</v>
      </c>
      <c r="P38" s="35">
        <v>17</v>
      </c>
      <c r="Q38" s="37" t="str">
        <f t="shared" si="6"/>
        <v>E</v>
      </c>
      <c r="R38" s="33">
        <v>45</v>
      </c>
      <c r="S38" s="34" t="str">
        <f t="shared" si="7"/>
        <v>E</v>
      </c>
      <c r="T38" s="35">
        <v>22</v>
      </c>
      <c r="U38" s="37" t="str">
        <f t="shared" si="8"/>
        <v>E</v>
      </c>
      <c r="V38" s="33">
        <v>40</v>
      </c>
      <c r="W38" s="34" t="str">
        <f t="shared" si="9"/>
        <v>E</v>
      </c>
      <c r="X38" s="35">
        <v>14</v>
      </c>
      <c r="Y38" s="37" t="str">
        <f t="shared" si="10"/>
        <v>E</v>
      </c>
      <c r="Z38" s="35">
        <v>16</v>
      </c>
      <c r="AA38" s="37" t="str">
        <f t="shared" si="11"/>
        <v>E</v>
      </c>
      <c r="AB38" s="33">
        <v>40</v>
      </c>
      <c r="AC38" s="34" t="str">
        <f t="shared" si="12"/>
        <v>E</v>
      </c>
      <c r="AD38" s="35">
        <v>19</v>
      </c>
      <c r="AE38" s="34" t="str">
        <f t="shared" si="13"/>
        <v>E</v>
      </c>
      <c r="AF38" s="35">
        <v>30</v>
      </c>
      <c r="AG38" s="37" t="str">
        <f t="shared" si="14"/>
        <v>E</v>
      </c>
      <c r="AH38" s="4">
        <f>IF(OR(AND(D38&gt;=31,D38&lt;40),AND(H38&gt;=31,H38&lt;40),AND(N38&gt;=31,N38&lt;40),AND(R38&gt;=31,R38&lt;40),AND(V38&gt;=31,V38&lt;40),AND(AB38&gt;=11,AB38&lt;20)),IF(AND(OR(COUNTIF(D38:AG38,"=31")&gt;=1,COUNTIF(D38:AG38,"=32")&gt;=1,COUNTIF(D38:AG38,"=33")&gt;=1,COUNTIF(D38:AG38,"=34")&gt;=1,COUNTIF(D38:AG38,"=35")&gt;=1,COUNTIF(D38:AG38,"=36")&gt;=1 ),COUNTIF(D38:AG38,"")=0,COUNTIF(D38:AG38," ")=0,COUNTIF(D38:AG38,"F")=1),CONCATENATE(SUM(EXTRACTNUMBER(D38),EXTRACTNUMBER(F38),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EXTRACTNUMBER(AD38),EXTRACTNUMBER(AF38)),"*"),IF(AND(COUNTIF(D38:AG38,"=34")&gt;=1,COUNTIF(D38:AG38,"=35")&gt;=1,COUNTIF(D38:AG38,"f")=2,COUNTIF(D38:AG38,"")=0,COUNTIF(D38:AG38,"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EXTRACTNUMBER(AD38),EXTRACTNUMBER(AF38)),"*"),IF(AND(COUNTIF(D38:AG38,"=36")&gt;=2,COUNTIF(D38:AG38,"f")=2,COUNTIF(D38:AG38,"")=0,COUNTIF(D38:AG38,"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EXTRACTNUMBER(AD38),EXTRACTNUMBER(AF38)),"*"),SUM(EXTRACTNUMBER(D38),EXTRACTNUMBER(F38),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EXTRACTNUMBER(AD38),EXTRACTNUMBER(AF38))))),SUM(EXTRACTNUMBER(D38),EXTRACTNUMBER(F38),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EXTRACTNUMBER(AD38),EXTRACTNUMBER(AF38)))</f>
        <v>389</v>
      </c>
      <c r="AI38" s="38" t="str">
        <f t="shared" si="15"/>
        <v>FAIL</v>
      </c>
      <c r="AJ38" s="28" t="str">
        <f>spellnumber(EXTRACTnUMBER_TOT(AH38))</f>
        <v xml:space="preserve">Three Hundred Eighty Nine </v>
      </c>
      <c r="AK38" s="5">
        <v>389</v>
      </c>
    </row>
    <row r="39" spans="2:37" s="5" customFormat="1" ht="15" customHeight="1">
      <c r="B39" s="31">
        <v>223212</v>
      </c>
      <c r="C39" s="32" t="s">
        <v>171</v>
      </c>
      <c r="D39" s="33">
        <v>40</v>
      </c>
      <c r="E39" s="34" t="str">
        <f t="shared" si="1"/>
        <v/>
      </c>
      <c r="F39" s="35">
        <v>20</v>
      </c>
      <c r="G39" s="34" t="str">
        <f t="shared" si="2"/>
        <v/>
      </c>
      <c r="H39" s="36">
        <v>44</v>
      </c>
      <c r="I39" s="34" t="str">
        <f t="shared" si="3"/>
        <v/>
      </c>
      <c r="J39" s="35">
        <v>20</v>
      </c>
      <c r="K39" s="34" t="str">
        <f t="shared" si="4"/>
        <v/>
      </c>
      <c r="L39" s="35">
        <v>21</v>
      </c>
      <c r="M39" s="34" t="str">
        <f t="shared" si="5"/>
        <v/>
      </c>
      <c r="N39" s="36">
        <v>54</v>
      </c>
      <c r="O39" s="34" t="str">
        <f t="shared" si="0"/>
        <v/>
      </c>
      <c r="P39" s="35">
        <v>23</v>
      </c>
      <c r="Q39" s="37" t="str">
        <f t="shared" si="6"/>
        <v/>
      </c>
      <c r="R39" s="33">
        <v>47</v>
      </c>
      <c r="S39" s="34" t="str">
        <f t="shared" si="7"/>
        <v/>
      </c>
      <c r="T39" s="35">
        <v>21</v>
      </c>
      <c r="U39" s="37" t="str">
        <f t="shared" si="8"/>
        <v/>
      </c>
      <c r="V39" s="33">
        <v>47</v>
      </c>
      <c r="W39" s="34" t="str">
        <f t="shared" si="9"/>
        <v/>
      </c>
      <c r="X39" s="35">
        <v>20</v>
      </c>
      <c r="Y39" s="37" t="str">
        <f t="shared" si="10"/>
        <v/>
      </c>
      <c r="Z39" s="35">
        <v>21</v>
      </c>
      <c r="AA39" s="37" t="str">
        <f t="shared" si="11"/>
        <v/>
      </c>
      <c r="AB39" s="33" t="s">
        <v>421</v>
      </c>
      <c r="AC39" s="34" t="str">
        <f t="shared" si="12"/>
        <v/>
      </c>
      <c r="AD39" s="35">
        <v>22</v>
      </c>
      <c r="AE39" s="34" t="str">
        <f t="shared" si="13"/>
        <v/>
      </c>
      <c r="AF39" s="35">
        <v>43</v>
      </c>
      <c r="AG39" s="37" t="str">
        <f t="shared" si="14"/>
        <v/>
      </c>
      <c r="AH39" s="4" t="s">
        <v>423</v>
      </c>
      <c r="AI39" s="38" t="str">
        <f t="shared" si="15"/>
        <v>PASS</v>
      </c>
      <c r="AJ39" s="28" t="str">
        <f>spellnumber(EXTRACTnUMBER_TOT(AH39))</f>
        <v xml:space="preserve">Four Hundred Seventy Nine </v>
      </c>
      <c r="AK39" s="5" t="s">
        <v>423</v>
      </c>
    </row>
    <row r="40" spans="2:37" s="5" customFormat="1" ht="15" customHeight="1">
      <c r="B40" s="31">
        <v>223213</v>
      </c>
      <c r="C40" s="39" t="s">
        <v>172</v>
      </c>
      <c r="D40" s="33">
        <v>40</v>
      </c>
      <c r="E40" s="34" t="str">
        <f t="shared" si="1"/>
        <v/>
      </c>
      <c r="F40" s="35">
        <v>16</v>
      </c>
      <c r="G40" s="34" t="str">
        <f t="shared" si="2"/>
        <v/>
      </c>
      <c r="H40" s="36">
        <v>66</v>
      </c>
      <c r="I40" s="34" t="str">
        <f t="shared" si="3"/>
        <v/>
      </c>
      <c r="J40" s="35">
        <v>17</v>
      </c>
      <c r="K40" s="34" t="str">
        <f t="shared" si="4"/>
        <v/>
      </c>
      <c r="L40" s="35">
        <v>17</v>
      </c>
      <c r="M40" s="34" t="str">
        <f t="shared" si="5"/>
        <v/>
      </c>
      <c r="N40" s="36">
        <v>55</v>
      </c>
      <c r="O40" s="34" t="str">
        <f t="shared" si="0"/>
        <v/>
      </c>
      <c r="P40" s="35">
        <v>14</v>
      </c>
      <c r="Q40" s="37" t="str">
        <f t="shared" si="6"/>
        <v/>
      </c>
      <c r="R40" s="33">
        <v>49</v>
      </c>
      <c r="S40" s="34" t="str">
        <f t="shared" si="7"/>
        <v/>
      </c>
      <c r="T40" s="35">
        <v>18</v>
      </c>
      <c r="U40" s="37" t="str">
        <f t="shared" si="8"/>
        <v/>
      </c>
      <c r="V40" s="33">
        <v>52</v>
      </c>
      <c r="W40" s="34" t="str">
        <f t="shared" si="9"/>
        <v/>
      </c>
      <c r="X40" s="35">
        <v>13</v>
      </c>
      <c r="Y40" s="37" t="str">
        <f t="shared" si="10"/>
        <v/>
      </c>
      <c r="Z40" s="35">
        <v>16</v>
      </c>
      <c r="AA40" s="37" t="str">
        <f t="shared" si="11"/>
        <v/>
      </c>
      <c r="AB40" s="33" t="s">
        <v>424</v>
      </c>
      <c r="AC40" s="34" t="str">
        <f t="shared" si="12"/>
        <v/>
      </c>
      <c r="AD40" s="35">
        <v>19</v>
      </c>
      <c r="AE40" s="34" t="str">
        <f t="shared" si="13"/>
        <v/>
      </c>
      <c r="AF40" s="35">
        <v>33</v>
      </c>
      <c r="AG40" s="37" t="str">
        <f t="shared" si="14"/>
        <v/>
      </c>
      <c r="AH40" s="4" t="s">
        <v>425</v>
      </c>
      <c r="AI40" s="38" t="str">
        <f t="shared" si="15"/>
        <v>PASS</v>
      </c>
      <c r="AJ40" s="28" t="str">
        <f>spellnumber(EXTRACTnUMBER_TOT(AH40))</f>
        <v xml:space="preserve">Four Hundred Sixty  </v>
      </c>
      <c r="AK40" s="5" t="s">
        <v>425</v>
      </c>
    </row>
    <row r="41" spans="2:37" s="5" customFormat="1" ht="15" customHeight="1">
      <c r="B41" s="31">
        <v>223215</v>
      </c>
      <c r="C41" s="32" t="s">
        <v>173</v>
      </c>
      <c r="D41" s="33">
        <v>7</v>
      </c>
      <c r="E41" s="34" t="str">
        <f t="shared" si="1"/>
        <v>F</v>
      </c>
      <c r="F41" s="35">
        <v>16</v>
      </c>
      <c r="G41" s="34" t="str">
        <f t="shared" si="2"/>
        <v>E</v>
      </c>
      <c r="H41" s="36">
        <v>23</v>
      </c>
      <c r="I41" s="34" t="str">
        <f t="shared" si="3"/>
        <v>F</v>
      </c>
      <c r="J41" s="35">
        <v>18</v>
      </c>
      <c r="K41" s="34" t="str">
        <f t="shared" si="4"/>
        <v>E</v>
      </c>
      <c r="L41" s="35">
        <v>19</v>
      </c>
      <c r="M41" s="34" t="str">
        <f t="shared" si="5"/>
        <v>E</v>
      </c>
      <c r="N41" s="36">
        <v>40</v>
      </c>
      <c r="O41" s="34" t="str">
        <f t="shared" si="0"/>
        <v>E</v>
      </c>
      <c r="P41" s="35">
        <v>19</v>
      </c>
      <c r="Q41" s="37" t="str">
        <f t="shared" si="6"/>
        <v>E</v>
      </c>
      <c r="R41" s="33">
        <v>26</v>
      </c>
      <c r="S41" s="34" t="str">
        <f t="shared" si="7"/>
        <v>F</v>
      </c>
      <c r="T41" s="35">
        <v>20</v>
      </c>
      <c r="U41" s="37" t="str">
        <f t="shared" si="8"/>
        <v>E</v>
      </c>
      <c r="V41" s="33">
        <v>29</v>
      </c>
      <c r="W41" s="34" t="str">
        <f t="shared" si="9"/>
        <v>F</v>
      </c>
      <c r="X41" s="35">
        <v>15</v>
      </c>
      <c r="Y41" s="37" t="str">
        <f t="shared" si="10"/>
        <v>E</v>
      </c>
      <c r="Z41" s="35">
        <v>17</v>
      </c>
      <c r="AA41" s="37" t="str">
        <f t="shared" si="11"/>
        <v>E</v>
      </c>
      <c r="AB41" s="33">
        <v>36</v>
      </c>
      <c r="AC41" s="34" t="str">
        <f t="shared" si="12"/>
        <v>F</v>
      </c>
      <c r="AD41" s="35">
        <v>18</v>
      </c>
      <c r="AE41" s="34" t="str">
        <f t="shared" si="13"/>
        <v>E</v>
      </c>
      <c r="AF41" s="35">
        <v>41</v>
      </c>
      <c r="AG41" s="37" t="str">
        <f t="shared" si="14"/>
        <v>E</v>
      </c>
      <c r="AH41" s="4">
        <f>IF(OR(AND(D41&gt;=31,D41&lt;40),AND(H41&gt;=31,H41&lt;40),AND(N41&gt;=31,N41&lt;40),AND(R41&gt;=31,R41&lt;40),AND(V41&gt;=31,V41&lt;40),AND(AB41&gt;=11,AB41&lt;20)),IF(AND(OR(COUNTIF(D41:AG41,"=31")&gt;=1,COUNTIF(D41:AG41,"=32")&gt;=1,COUNTIF(D41:AG41,"=33")&gt;=1,COUNTIF(D41:AG41,"=34")&gt;=1,COUNTIF(D41:AG41,"=35")&gt;=1,COUNTIF(D41:AG41,"=36")&gt;=1 ),COUNTIF(D41:AG41,"")=0,COUNTIF(D41:AG41," ")=0,COUNTIF(D41:AG41,"F")=1),CONCATENATE(SUM(EXTRACTNUMBER(D41),EXTRACTNUMBER(F41),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EXTRACTNUMBER(AD41),EXTRACTNUMBER(AF41)),"*"),IF(AND(COUNTIF(D41:AG41,"=34")&gt;=1,COUNTIF(D41:AG41,"=35")&gt;=1,COUNTIF(D41:AG41,"f")=2,COUNTIF(D41:AG41,"")=0,COUNTIF(D41:AG41,"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EXTRACTNUMBER(AD41),EXTRACTNUMBER(AF41)),"*"),IF(AND(COUNTIF(D41:AG41,"=36")&gt;=2,COUNTIF(D41:AG41,"f")=2,COUNTIF(D41:AG41,"")=0,COUNTIF(D41:AG41,"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EXTRACTNUMBER(AD41),EXTRACTNUMBER(AF41)),"*"),SUM(EXTRACTNUMBER(D41),EXTRACTNUMBER(F41),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EXTRACTNUMBER(AD41),EXTRACTNUMBER(AF41))))),SUM(EXTRACTNUMBER(D41),EXTRACTNUMBER(F41),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EXTRACTNUMBER(AD41),EXTRACTNUMBER(AF41)))</f>
        <v>344</v>
      </c>
      <c r="AI41" s="38" t="str">
        <f t="shared" si="15"/>
        <v>FAIL</v>
      </c>
      <c r="AJ41" s="28" t="str">
        <f>spellnumber(EXTRACTnUMBER_TOT(AH41))</f>
        <v xml:space="preserve">Three Hundred Forty Four </v>
      </c>
      <c r="AK41" s="5">
        <v>344</v>
      </c>
    </row>
    <row r="42" spans="2:37" s="5" customFormat="1" ht="15" customHeight="1">
      <c r="B42" s="31">
        <v>223216</v>
      </c>
      <c r="C42" s="32" t="s">
        <v>174</v>
      </c>
      <c r="D42" s="33">
        <v>47</v>
      </c>
      <c r="E42" s="34" t="str">
        <f t="shared" si="1"/>
        <v/>
      </c>
      <c r="F42" s="35">
        <v>24</v>
      </c>
      <c r="G42" s="34" t="str">
        <f t="shared" si="2"/>
        <v/>
      </c>
      <c r="H42" s="36">
        <v>66</v>
      </c>
      <c r="I42" s="34" t="str">
        <f t="shared" si="3"/>
        <v/>
      </c>
      <c r="J42" s="35">
        <v>18</v>
      </c>
      <c r="K42" s="34" t="str">
        <f t="shared" si="4"/>
        <v/>
      </c>
      <c r="L42" s="35">
        <v>19</v>
      </c>
      <c r="M42" s="34" t="str">
        <f t="shared" si="5"/>
        <v/>
      </c>
      <c r="N42" s="36">
        <v>57</v>
      </c>
      <c r="O42" s="34" t="str">
        <f t="shared" si="0"/>
        <v/>
      </c>
      <c r="P42" s="35">
        <v>23</v>
      </c>
      <c r="Q42" s="37" t="str">
        <f t="shared" si="6"/>
        <v/>
      </c>
      <c r="R42" s="33">
        <v>50</v>
      </c>
      <c r="S42" s="34" t="str">
        <f t="shared" si="7"/>
        <v/>
      </c>
      <c r="T42" s="35">
        <v>22</v>
      </c>
      <c r="U42" s="37" t="str">
        <f t="shared" si="8"/>
        <v/>
      </c>
      <c r="V42" s="33">
        <v>54</v>
      </c>
      <c r="W42" s="34" t="str">
        <f t="shared" si="9"/>
        <v/>
      </c>
      <c r="X42" s="35">
        <v>19</v>
      </c>
      <c r="Y42" s="37" t="str">
        <f t="shared" si="10"/>
        <v/>
      </c>
      <c r="Z42" s="35">
        <v>20</v>
      </c>
      <c r="AA42" s="37" t="str">
        <f t="shared" si="11"/>
        <v/>
      </c>
      <c r="AB42" s="33">
        <v>40</v>
      </c>
      <c r="AC42" s="34" t="str">
        <f t="shared" si="12"/>
        <v/>
      </c>
      <c r="AD42" s="35">
        <v>24</v>
      </c>
      <c r="AE42" s="34" t="str">
        <f t="shared" si="13"/>
        <v/>
      </c>
      <c r="AF42" s="35">
        <v>41</v>
      </c>
      <c r="AG42" s="37" t="str">
        <f t="shared" si="14"/>
        <v/>
      </c>
      <c r="AH42" s="4">
        <f>IF(OR(AND(D42&gt;=31,D42&lt;40),AND(H42&gt;=31,H42&lt;40),AND(N42&gt;=31,N42&lt;40),AND(R42&gt;=31,R42&lt;40),AND(V42&gt;=31,V42&lt;40),AND(AB42&gt;=11,AB42&lt;20)),IF(AND(OR(COUNTIF(D42:AG42,"=31")&gt;=1,COUNTIF(D42:AG42,"=32")&gt;=1,COUNTIF(D42:AG42,"=33")&gt;=1,COUNTIF(D42:AG42,"=34")&gt;=1,COUNTIF(D42:AG42,"=35")&gt;=1,COUNTIF(D42:AG42,"=36")&gt;=1 ),COUNTIF(D42:AG42,"")=0,COUNTIF(D42:AG42," ")=0,COUNTIF(D42:AG42,"F")=1),CONCATENATE(SUM(EXTRACTNUMBER(D42),EXTRACTNUMBER(F42),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EXTRACTNUMBER(AD42),EXTRACTNUMBER(AF42)),"*"),IF(AND(COUNTIF(D42:AG42,"=34")&gt;=1,COUNTIF(D42:AG42,"=35")&gt;=1,COUNTIF(D42:AG42,"f")=2,COUNTIF(D42:AG42,"")=0,COUNTIF(D42:AG42,"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EXTRACTNUMBER(AD42),EXTRACTNUMBER(AF42)),"*"),IF(AND(COUNTIF(D42:AG42,"=36")&gt;=2,COUNTIF(D42:AG42,"f")=2,COUNTIF(D42:AG42,"")=0,COUNTIF(D42:AG42,"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EXTRACTNUMBER(AD42),EXTRACTNUMBER(AF42)),"*"),SUM(EXTRACTNUMBER(D42),EXTRACTNUMBER(F42),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EXTRACTNUMBER(AD42),EXTRACTNUMBER(AF42))))),SUM(EXTRACTNUMBER(D42),EXTRACTNUMBER(F42),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EXTRACTNUMBER(AD42),EXTRACTNUMBER(AF42)))</f>
        <v>524</v>
      </c>
      <c r="AI42" s="38" t="str">
        <f t="shared" si="15"/>
        <v>PASS</v>
      </c>
      <c r="AJ42" s="28" t="str">
        <f>spellnumber(EXTRACTnUMBER_TOT(AH42))</f>
        <v xml:space="preserve">Five Hundred Twenty Four </v>
      </c>
      <c r="AK42" s="5">
        <v>524</v>
      </c>
    </row>
    <row r="43" spans="2:37" s="5" customFormat="1" ht="15" customHeight="1">
      <c r="B43" s="31">
        <v>223217</v>
      </c>
      <c r="C43" s="32" t="s">
        <v>175</v>
      </c>
      <c r="D43" s="33">
        <v>14</v>
      </c>
      <c r="E43" s="34" t="str">
        <f t="shared" si="1"/>
        <v>F</v>
      </c>
      <c r="F43" s="35">
        <v>15</v>
      </c>
      <c r="G43" s="34" t="str">
        <f t="shared" si="2"/>
        <v>E</v>
      </c>
      <c r="H43" s="36">
        <v>49</v>
      </c>
      <c r="I43" s="34" t="str">
        <f t="shared" si="3"/>
        <v>E</v>
      </c>
      <c r="J43" s="35">
        <v>20</v>
      </c>
      <c r="K43" s="34" t="str">
        <f t="shared" si="4"/>
        <v>E</v>
      </c>
      <c r="L43" s="35">
        <v>18</v>
      </c>
      <c r="M43" s="34" t="str">
        <f t="shared" si="5"/>
        <v>E</v>
      </c>
      <c r="N43" s="36">
        <v>52</v>
      </c>
      <c r="O43" s="34" t="str">
        <f t="shared" si="0"/>
        <v>E</v>
      </c>
      <c r="P43" s="35">
        <v>18</v>
      </c>
      <c r="Q43" s="37" t="str">
        <f t="shared" si="6"/>
        <v>E</v>
      </c>
      <c r="R43" s="33">
        <v>63</v>
      </c>
      <c r="S43" s="34" t="str">
        <f t="shared" si="7"/>
        <v>E</v>
      </c>
      <c r="T43" s="35">
        <v>22</v>
      </c>
      <c r="U43" s="37" t="str">
        <f t="shared" si="8"/>
        <v>E</v>
      </c>
      <c r="V43" s="33">
        <v>40</v>
      </c>
      <c r="W43" s="34" t="str">
        <f t="shared" si="9"/>
        <v>E</v>
      </c>
      <c r="X43" s="35">
        <v>20</v>
      </c>
      <c r="Y43" s="37" t="str">
        <f t="shared" si="10"/>
        <v>E</v>
      </c>
      <c r="Z43" s="35">
        <v>20</v>
      </c>
      <c r="AA43" s="37" t="str">
        <f t="shared" si="11"/>
        <v>E</v>
      </c>
      <c r="AB43" s="33">
        <v>45</v>
      </c>
      <c r="AC43" s="34" t="str">
        <f t="shared" si="12"/>
        <v>E</v>
      </c>
      <c r="AD43" s="35">
        <v>23</v>
      </c>
      <c r="AE43" s="34" t="str">
        <f t="shared" si="13"/>
        <v>E</v>
      </c>
      <c r="AF43" s="35">
        <v>41</v>
      </c>
      <c r="AG43" s="37" t="str">
        <f t="shared" si="14"/>
        <v>E</v>
      </c>
      <c r="AH43" s="4">
        <f>IF(OR(AND(D43&gt;=31,D43&lt;40),AND(H43&gt;=31,H43&lt;40),AND(N43&gt;=31,N43&lt;40),AND(R43&gt;=31,R43&lt;40),AND(V43&gt;=31,V43&lt;40),AND(AB43&gt;=11,AB43&lt;20)),IF(AND(OR(COUNTIF(D43:AG43,"=31")&gt;=1,COUNTIF(D43:AG43,"=32")&gt;=1,COUNTIF(D43:AG43,"=33")&gt;=1,COUNTIF(D43:AG43,"=34")&gt;=1,COUNTIF(D43:AG43,"=35")&gt;=1,COUNTIF(D43:AG43,"=36")&gt;=1 ),COUNTIF(D43:AG43,"")=0,COUNTIF(D43:AG43," ")=0,COUNTIF(D43:AG43,"F")=1),CONCATENATE(SUM(EXTRACTNUMBER(D43),EXTRACTNUMBER(F43),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EXTRACTNUMBER(AD43),EXTRACTNUMBER(AF43)),"*"),IF(AND(COUNTIF(D43:AG43,"=34")&gt;=1,COUNTIF(D43:AG43,"=35")&gt;=1,COUNTIF(D43:AG43,"f")=2,COUNTIF(D43:AG43,"")=0,COUNTIF(D43:AG43,"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EXTRACTNUMBER(AD43),EXTRACTNUMBER(AF43)),"*"),IF(AND(COUNTIF(D43:AG43,"=36")&gt;=2,COUNTIF(D43:AG43,"f")=2,COUNTIF(D43:AG43,"")=0,COUNTIF(D43:AG43,"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EXTRACTNUMBER(AD43),EXTRACTNUMBER(AF43)),"*"),SUM(EXTRACTNUMBER(D43),EXTRACTNUMBER(F43),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EXTRACTNUMBER(AD43),EXTRACTNUMBER(AF43))))),SUM(EXTRACTNUMBER(D43),EXTRACTNUMBER(F43),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EXTRACTNUMBER(AD43),EXTRACTNUMBER(AF43)))</f>
        <v>460</v>
      </c>
      <c r="AI43" s="38" t="str">
        <f t="shared" si="15"/>
        <v>FAIL</v>
      </c>
      <c r="AJ43" s="28" t="str">
        <f>spellnumber(EXTRACTnUMBER_TOT(AH43))</f>
        <v xml:space="preserve">Four Hundred Sixty  </v>
      </c>
      <c r="AK43" s="5">
        <v>460</v>
      </c>
    </row>
    <row r="44" spans="2:37" s="5" customFormat="1" ht="15" customHeight="1">
      <c r="B44" s="31">
        <v>223218</v>
      </c>
      <c r="C44" s="32" t="s">
        <v>176</v>
      </c>
      <c r="D44" s="33">
        <v>41</v>
      </c>
      <c r="E44" s="34" t="str">
        <f t="shared" si="1"/>
        <v/>
      </c>
      <c r="F44" s="35">
        <v>21</v>
      </c>
      <c r="G44" s="34" t="str">
        <f t="shared" si="2"/>
        <v/>
      </c>
      <c r="H44" s="36">
        <v>56</v>
      </c>
      <c r="I44" s="34" t="str">
        <f t="shared" si="3"/>
        <v/>
      </c>
      <c r="J44" s="35">
        <v>23</v>
      </c>
      <c r="K44" s="34" t="str">
        <f t="shared" si="4"/>
        <v/>
      </c>
      <c r="L44" s="35">
        <v>18</v>
      </c>
      <c r="M44" s="34" t="str">
        <f t="shared" si="5"/>
        <v/>
      </c>
      <c r="N44" s="36">
        <v>51</v>
      </c>
      <c r="O44" s="34" t="str">
        <f t="shared" si="0"/>
        <v/>
      </c>
      <c r="P44" s="35">
        <v>23</v>
      </c>
      <c r="Q44" s="37" t="str">
        <f t="shared" si="6"/>
        <v/>
      </c>
      <c r="R44" s="33">
        <v>57</v>
      </c>
      <c r="S44" s="34" t="str">
        <f t="shared" si="7"/>
        <v/>
      </c>
      <c r="T44" s="35">
        <v>23</v>
      </c>
      <c r="U44" s="37" t="str">
        <f t="shared" si="8"/>
        <v/>
      </c>
      <c r="V44" s="33">
        <v>48</v>
      </c>
      <c r="W44" s="34" t="str">
        <f t="shared" si="9"/>
        <v/>
      </c>
      <c r="X44" s="35">
        <v>21</v>
      </c>
      <c r="Y44" s="37" t="str">
        <f t="shared" si="10"/>
        <v/>
      </c>
      <c r="Z44" s="35">
        <v>21</v>
      </c>
      <c r="AA44" s="37" t="str">
        <f t="shared" si="11"/>
        <v/>
      </c>
      <c r="AB44" s="33">
        <v>40</v>
      </c>
      <c r="AC44" s="34" t="str">
        <f t="shared" si="12"/>
        <v/>
      </c>
      <c r="AD44" s="35">
        <v>18</v>
      </c>
      <c r="AE44" s="34" t="str">
        <f t="shared" si="13"/>
        <v/>
      </c>
      <c r="AF44" s="35">
        <v>38</v>
      </c>
      <c r="AG44" s="37" t="str">
        <f t="shared" si="14"/>
        <v/>
      </c>
      <c r="AH44" s="4">
        <f>IF(OR(AND(D44&gt;=31,D44&lt;40),AND(H44&gt;=31,H44&lt;40),AND(N44&gt;=31,N44&lt;40),AND(R44&gt;=31,R44&lt;40),AND(V44&gt;=31,V44&lt;40),AND(AB44&gt;=11,AB44&lt;20)),IF(AND(OR(COUNTIF(D44:AG44,"=31")&gt;=1,COUNTIF(D44:AG44,"=32")&gt;=1,COUNTIF(D44:AG44,"=33")&gt;=1,COUNTIF(D44:AG44,"=34")&gt;=1,COUNTIF(D44:AG44,"=35")&gt;=1,COUNTIF(D44:AG44,"=36")&gt;=1 ),COUNTIF(D44:AG44,"")=0,COUNTIF(D44:AG44," ")=0,COUNTIF(D44:AG44,"F")=1),CONCATENATE(SUM(EXTRACTNUMBER(D44),EXTRACTNUMBER(F44),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EXTRACTNUMBER(AD44),EXTRACTNUMBER(AF44)),"*"),IF(AND(COUNTIF(D44:AG44,"=34")&gt;=1,COUNTIF(D44:AG44,"=35")&gt;=1,COUNTIF(D44:AG44,"f")=2,COUNTIF(D44:AG44,"")=0,COUNTIF(D44:AG44,"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EXTRACTNUMBER(AD44),EXTRACTNUMBER(AF44)),"*"),IF(AND(COUNTIF(D44:AG44,"=36")&gt;=2,COUNTIF(D44:AG44,"f")=2,COUNTIF(D44:AG44,"")=0,COUNTIF(D44:AG44,"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EXTRACTNUMBER(AD44),EXTRACTNUMBER(AF44)),"*"),SUM(EXTRACTNUMBER(D44),EXTRACTNUMBER(F44),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EXTRACTNUMBER(AD44),EXTRACTNUMBER(AF44))))),SUM(EXTRACTNUMBER(D44),EXTRACTNUMBER(F44),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EXTRACTNUMBER(AD44),EXTRACTNUMBER(AF44)))</f>
        <v>499</v>
      </c>
      <c r="AI44" s="38" t="str">
        <f t="shared" si="15"/>
        <v>PASS</v>
      </c>
      <c r="AJ44" s="28" t="str">
        <f>spellnumber(EXTRACTnUMBER_TOT(AH44))</f>
        <v xml:space="preserve">Four Hundred NinetyNine </v>
      </c>
      <c r="AK44" s="5">
        <v>499</v>
      </c>
    </row>
    <row r="45" spans="2:37" s="5" customFormat="1" ht="15" customHeight="1">
      <c r="B45" s="31">
        <v>223219</v>
      </c>
      <c r="C45" s="39" t="s">
        <v>177</v>
      </c>
      <c r="D45" s="33">
        <v>17</v>
      </c>
      <c r="E45" s="34" t="str">
        <f t="shared" si="1"/>
        <v>F</v>
      </c>
      <c r="F45" s="35">
        <v>15</v>
      </c>
      <c r="G45" s="34" t="str">
        <f t="shared" si="2"/>
        <v>E</v>
      </c>
      <c r="H45" s="36">
        <v>23</v>
      </c>
      <c r="I45" s="34" t="str">
        <f t="shared" si="3"/>
        <v>F</v>
      </c>
      <c r="J45" s="35">
        <v>23</v>
      </c>
      <c r="K45" s="34" t="str">
        <f t="shared" si="4"/>
        <v>E</v>
      </c>
      <c r="L45" s="35">
        <v>17</v>
      </c>
      <c r="M45" s="34" t="str">
        <f t="shared" si="5"/>
        <v>E</v>
      </c>
      <c r="N45" s="36">
        <v>51</v>
      </c>
      <c r="O45" s="34" t="str">
        <f t="shared" si="0"/>
        <v>E</v>
      </c>
      <c r="P45" s="35">
        <v>20</v>
      </c>
      <c r="Q45" s="37" t="str">
        <f t="shared" si="6"/>
        <v>E</v>
      </c>
      <c r="R45" s="33">
        <v>40</v>
      </c>
      <c r="S45" s="34" t="str">
        <f t="shared" si="7"/>
        <v>E</v>
      </c>
      <c r="T45" s="35">
        <v>16</v>
      </c>
      <c r="U45" s="37" t="str">
        <f t="shared" si="8"/>
        <v>E</v>
      </c>
      <c r="V45" s="33">
        <v>40</v>
      </c>
      <c r="W45" s="34" t="str">
        <f t="shared" si="9"/>
        <v>E</v>
      </c>
      <c r="X45" s="35">
        <v>18</v>
      </c>
      <c r="Y45" s="37" t="str">
        <f t="shared" si="10"/>
        <v>E</v>
      </c>
      <c r="Z45" s="35">
        <v>19</v>
      </c>
      <c r="AA45" s="37" t="str">
        <f t="shared" si="11"/>
        <v>E</v>
      </c>
      <c r="AB45" s="33">
        <v>26</v>
      </c>
      <c r="AC45" s="34" t="str">
        <f t="shared" si="12"/>
        <v>F</v>
      </c>
      <c r="AD45" s="35">
        <v>14</v>
      </c>
      <c r="AE45" s="34" t="str">
        <f t="shared" si="13"/>
        <v>E</v>
      </c>
      <c r="AF45" s="35">
        <v>43</v>
      </c>
      <c r="AG45" s="37" t="str">
        <f t="shared" si="14"/>
        <v>E</v>
      </c>
      <c r="AH45" s="4">
        <f>IF(OR(AND(D45&gt;=31,D45&lt;40),AND(H45&gt;=31,H45&lt;40),AND(N45&gt;=31,N45&lt;40),AND(R45&gt;=31,R45&lt;40),AND(V45&gt;=31,V45&lt;40),AND(AB45&gt;=11,AB45&lt;20)),IF(AND(OR(COUNTIF(D45:AG45,"=31")&gt;=1,COUNTIF(D45:AG45,"=32")&gt;=1,COUNTIF(D45:AG45,"=33")&gt;=1,COUNTIF(D45:AG45,"=34")&gt;=1,COUNTIF(D45:AG45,"=35")&gt;=1,COUNTIF(D45:AG45,"=36")&gt;=1 ),COUNTIF(D45:AG45,"")=0,COUNTIF(D45:AG45," ")=0,COUNTIF(D45:AG45,"F")=1),CONCATENATE(SUM(EXTRACTNUMBER(D45),EXTRACTNUMBER(F45),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EXTRACTNUMBER(AD45),EXTRACTNUMBER(AF45)),"*"),IF(AND(COUNTIF(D45:AG45,"=34")&gt;=1,COUNTIF(D45:AG45,"=35")&gt;=1,COUNTIF(D45:AG45,"f")=2,COUNTIF(D45:AG45,"")=0,COUNTIF(D45:AG45,"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EXTRACTNUMBER(AD45),EXTRACTNUMBER(AF45)),"*"),IF(AND(COUNTIF(D45:AG45,"=36")&gt;=2,COUNTIF(D45:AG45,"f")=2,COUNTIF(D45:AG45,"")=0,COUNTIF(D45:AG45,"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EXTRACTNUMBER(AD45),EXTRACTNUMBER(AF45)),"*"),SUM(EXTRACTNUMBER(D45),EXTRACTNUMBER(F45),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EXTRACTNUMBER(AD45),EXTRACTNUMBER(AF45))))),SUM(EXTRACTNUMBER(D45),EXTRACTNUMBER(F45),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EXTRACTNUMBER(AD45),EXTRACTNUMBER(AF45)))</f>
        <v>382</v>
      </c>
      <c r="AI45" s="38" t="str">
        <f t="shared" si="15"/>
        <v>FAIL</v>
      </c>
      <c r="AJ45" s="28" t="str">
        <f>spellnumber(EXTRACTnUMBER_TOT(AH45))</f>
        <v xml:space="preserve">Three Hundred Eighty Two </v>
      </c>
      <c r="AK45" s="5">
        <v>382</v>
      </c>
    </row>
    <row r="46" spans="2:37" s="5" customFormat="1" ht="15" customHeight="1">
      <c r="B46" s="31">
        <v>223220</v>
      </c>
      <c r="C46" s="32" t="s">
        <v>178</v>
      </c>
      <c r="D46" s="33">
        <v>40</v>
      </c>
      <c r="E46" s="34" t="str">
        <f t="shared" si="1"/>
        <v>E</v>
      </c>
      <c r="F46" s="35">
        <v>15</v>
      </c>
      <c r="G46" s="34" t="str">
        <f t="shared" si="2"/>
        <v>E</v>
      </c>
      <c r="H46" s="36">
        <v>54</v>
      </c>
      <c r="I46" s="34" t="str">
        <f t="shared" si="3"/>
        <v>E</v>
      </c>
      <c r="J46" s="35">
        <v>17</v>
      </c>
      <c r="K46" s="34" t="str">
        <f t="shared" si="4"/>
        <v>E</v>
      </c>
      <c r="L46" s="35">
        <v>19</v>
      </c>
      <c r="M46" s="34" t="str">
        <f t="shared" si="5"/>
        <v>E</v>
      </c>
      <c r="N46" s="36">
        <v>62</v>
      </c>
      <c r="O46" s="34" t="str">
        <f t="shared" si="0"/>
        <v>E</v>
      </c>
      <c r="P46" s="35">
        <v>15</v>
      </c>
      <c r="Q46" s="37" t="str">
        <f t="shared" si="6"/>
        <v>E</v>
      </c>
      <c r="R46" s="33">
        <v>47</v>
      </c>
      <c r="S46" s="34" t="str">
        <f t="shared" si="7"/>
        <v>E</v>
      </c>
      <c r="T46" s="35">
        <v>19</v>
      </c>
      <c r="U46" s="37" t="str">
        <f t="shared" si="8"/>
        <v>E</v>
      </c>
      <c r="V46" s="33">
        <v>40</v>
      </c>
      <c r="W46" s="34" t="str">
        <f t="shared" si="9"/>
        <v>E</v>
      </c>
      <c r="X46" s="35">
        <v>19</v>
      </c>
      <c r="Y46" s="37" t="str">
        <f t="shared" si="10"/>
        <v>E</v>
      </c>
      <c r="Z46" s="35">
        <v>18</v>
      </c>
      <c r="AA46" s="37" t="str">
        <f t="shared" si="11"/>
        <v>E</v>
      </c>
      <c r="AB46" s="33">
        <v>29</v>
      </c>
      <c r="AC46" s="34" t="str">
        <f t="shared" si="12"/>
        <v>F</v>
      </c>
      <c r="AD46" s="35">
        <v>17</v>
      </c>
      <c r="AE46" s="34" t="str">
        <f t="shared" si="13"/>
        <v>E</v>
      </c>
      <c r="AF46" s="35">
        <v>40</v>
      </c>
      <c r="AG46" s="37" t="str">
        <f t="shared" si="14"/>
        <v>E</v>
      </c>
      <c r="AH46" s="4">
        <f>IF(OR(AND(D46&gt;=31,D46&lt;40),AND(H46&gt;=31,H46&lt;40),AND(N46&gt;=31,N46&lt;40),AND(R46&gt;=31,R46&lt;40),AND(V46&gt;=31,V46&lt;40),AND(AB46&gt;=11,AB46&lt;20)),IF(AND(OR(COUNTIF(D46:AG46,"=31")&gt;=1,COUNTIF(D46:AG46,"=32")&gt;=1,COUNTIF(D46:AG46,"=33")&gt;=1,COUNTIF(D46:AG46,"=34")&gt;=1,COUNTIF(D46:AG46,"=35")&gt;=1,COUNTIF(D46:AG46,"=36")&gt;=1 ),COUNTIF(D46:AG46,"")=0,COUNTIF(D46:AG46," ")=0,COUNTIF(D46:AG46,"F")=1),CONCATENATE(SUM(EXTRACTNUMBER(D46),EXTRACTNUMBER(F46),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EXTRACTNUMBER(AD46),EXTRACTNUMBER(AF46)),"*"),IF(AND(COUNTIF(D46:AG46,"=34")&gt;=1,COUNTIF(D46:AG46,"=35")&gt;=1,COUNTIF(D46:AG46,"f")=2,COUNTIF(D46:AG46,"")=0,COUNTIF(D46:AG46,"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EXTRACTNUMBER(AD46),EXTRACTNUMBER(AF46)),"*"),IF(AND(COUNTIF(D46:AG46,"=36")&gt;=2,COUNTIF(D46:AG46,"f")=2,COUNTIF(D46:AG46,"")=0,COUNTIF(D46:AG46,"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EXTRACTNUMBER(AD46),EXTRACTNUMBER(AF46)),"*"),SUM(EXTRACTNUMBER(D46),EXTRACTNUMBER(F46),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EXTRACTNUMBER(AD46),EXTRACTNUMBER(AF46))))),SUM(EXTRACTNUMBER(D46),EXTRACTNUMBER(F46),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EXTRACTNUMBER(AD46),EXTRACTNUMBER(AF46)))</f>
        <v>451</v>
      </c>
      <c r="AI46" s="38" t="str">
        <f t="shared" si="15"/>
        <v>FAIL</v>
      </c>
      <c r="AJ46" s="28" t="str">
        <f>spellnumber(EXTRACTnUMBER_TOT(AH46))</f>
        <v xml:space="preserve">Four Hundred Fifty One </v>
      </c>
      <c r="AK46" s="5">
        <v>451</v>
      </c>
    </row>
    <row r="47" spans="2:37" s="5" customFormat="1" ht="15" customHeight="1">
      <c r="B47" s="31">
        <v>223221</v>
      </c>
      <c r="C47" s="32" t="s">
        <v>179</v>
      </c>
      <c r="D47" s="33">
        <v>45</v>
      </c>
      <c r="E47" s="34" t="str">
        <f t="shared" si="1"/>
        <v/>
      </c>
      <c r="F47" s="35">
        <v>21</v>
      </c>
      <c r="G47" s="34" t="str">
        <f t="shared" si="2"/>
        <v/>
      </c>
      <c r="H47" s="36">
        <v>60</v>
      </c>
      <c r="I47" s="34" t="str">
        <f t="shared" si="3"/>
        <v/>
      </c>
      <c r="J47" s="35">
        <v>23</v>
      </c>
      <c r="K47" s="34" t="str">
        <f t="shared" si="4"/>
        <v/>
      </c>
      <c r="L47" s="35">
        <v>20</v>
      </c>
      <c r="M47" s="34" t="str">
        <f t="shared" si="5"/>
        <v/>
      </c>
      <c r="N47" s="36">
        <v>77</v>
      </c>
      <c r="O47" s="34" t="str">
        <f t="shared" si="0"/>
        <v/>
      </c>
      <c r="P47" s="35">
        <v>20</v>
      </c>
      <c r="Q47" s="37" t="str">
        <f t="shared" si="6"/>
        <v/>
      </c>
      <c r="R47" s="33">
        <v>66</v>
      </c>
      <c r="S47" s="34" t="str">
        <f t="shared" si="7"/>
        <v/>
      </c>
      <c r="T47" s="35">
        <v>22</v>
      </c>
      <c r="U47" s="37" t="str">
        <f t="shared" si="8"/>
        <v/>
      </c>
      <c r="V47" s="33">
        <v>64</v>
      </c>
      <c r="W47" s="34" t="str">
        <f t="shared" si="9"/>
        <v/>
      </c>
      <c r="X47" s="35">
        <v>21</v>
      </c>
      <c r="Y47" s="37" t="str">
        <f t="shared" si="10"/>
        <v/>
      </c>
      <c r="Z47" s="35">
        <v>21</v>
      </c>
      <c r="AA47" s="37" t="str">
        <f t="shared" si="11"/>
        <v/>
      </c>
      <c r="AB47" s="33">
        <v>42</v>
      </c>
      <c r="AC47" s="34" t="str">
        <f t="shared" si="12"/>
        <v/>
      </c>
      <c r="AD47" s="35">
        <v>15</v>
      </c>
      <c r="AE47" s="34" t="str">
        <f t="shared" si="13"/>
        <v/>
      </c>
      <c r="AF47" s="35">
        <v>41</v>
      </c>
      <c r="AG47" s="37" t="str">
        <f t="shared" si="14"/>
        <v/>
      </c>
      <c r="AH47" s="4">
        <f>IF(OR(AND(D47&gt;=31,D47&lt;40),AND(H47&gt;=31,H47&lt;40),AND(N47&gt;=31,N47&lt;40),AND(R47&gt;=31,R47&lt;40),AND(V47&gt;=31,V47&lt;40),AND(AB47&gt;=11,AB47&lt;20)),IF(AND(OR(COUNTIF(D47:AG47,"=31")&gt;=1,COUNTIF(D47:AG47,"=32")&gt;=1,COUNTIF(D47:AG47,"=33")&gt;=1,COUNTIF(D47:AG47,"=34")&gt;=1,COUNTIF(D47:AG47,"=35")&gt;=1,COUNTIF(D47:AG47,"=36")&gt;=1 ),COUNTIF(D47:AG47,"")=0,COUNTIF(D47:AG47," ")=0,COUNTIF(D47:AG47,"F")=1),CONCATENATE(SUM(EXTRACTNUMBER(D47),EXTRACTNUMBER(F47),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EXTRACTNUMBER(AD47),EXTRACTNUMBER(AF47)),"*"),IF(AND(COUNTIF(D47:AG47,"=34")&gt;=1,COUNTIF(D47:AG47,"=35")&gt;=1,COUNTIF(D47:AG47,"f")=2,COUNTIF(D47:AG47,"")=0,COUNTIF(D47:AG47,"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EXTRACTNUMBER(AD47),EXTRACTNUMBER(AF47)),"*"),IF(AND(COUNTIF(D47:AG47,"=36")&gt;=2,COUNTIF(D47:AG47,"f")=2,COUNTIF(D47:AG47,"")=0,COUNTIF(D47:AG47,"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EXTRACTNUMBER(AD47),EXTRACTNUMBER(AF47)),"*"),SUM(EXTRACTNUMBER(D47),EXTRACTNUMBER(F47),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EXTRACTNUMBER(AD47),EXTRACTNUMBER(AF47))))),SUM(EXTRACTNUMBER(D47),EXTRACTNUMBER(F47),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EXTRACTNUMBER(AD47),EXTRACTNUMBER(AF47)))</f>
        <v>558</v>
      </c>
      <c r="AI47" s="38" t="str">
        <f t="shared" si="15"/>
        <v>PASS</v>
      </c>
      <c r="AJ47" s="28" t="str">
        <f>spellnumber(EXTRACTnUMBER_TOT(AH47))</f>
        <v xml:space="preserve">Five Hundred Fifty Eight </v>
      </c>
      <c r="AK47" s="5">
        <v>558</v>
      </c>
    </row>
    <row r="48" spans="2:37" s="5" customFormat="1" ht="15" customHeight="1">
      <c r="B48" s="31">
        <v>223222</v>
      </c>
      <c r="C48" s="39" t="s">
        <v>180</v>
      </c>
      <c r="D48" s="33">
        <v>17</v>
      </c>
      <c r="E48" s="34" t="str">
        <f t="shared" si="1"/>
        <v>F</v>
      </c>
      <c r="F48" s="35">
        <v>10</v>
      </c>
      <c r="G48" s="34" t="str">
        <f t="shared" si="2"/>
        <v>E</v>
      </c>
      <c r="H48" s="36">
        <v>26</v>
      </c>
      <c r="I48" s="34" t="str">
        <f t="shared" si="3"/>
        <v>F</v>
      </c>
      <c r="J48" s="35">
        <v>17</v>
      </c>
      <c r="K48" s="34" t="str">
        <f t="shared" si="4"/>
        <v>E</v>
      </c>
      <c r="L48" s="35">
        <v>18</v>
      </c>
      <c r="M48" s="34" t="str">
        <f t="shared" si="5"/>
        <v>E</v>
      </c>
      <c r="N48" s="36">
        <v>46</v>
      </c>
      <c r="O48" s="34" t="str">
        <f t="shared" si="0"/>
        <v>E</v>
      </c>
      <c r="P48" s="35">
        <v>17</v>
      </c>
      <c r="Q48" s="37" t="str">
        <f t="shared" si="6"/>
        <v>E</v>
      </c>
      <c r="R48" s="33">
        <v>42</v>
      </c>
      <c r="S48" s="34" t="str">
        <f t="shared" si="7"/>
        <v>E</v>
      </c>
      <c r="T48" s="35">
        <v>14</v>
      </c>
      <c r="U48" s="37" t="str">
        <f t="shared" si="8"/>
        <v>E</v>
      </c>
      <c r="V48" s="33">
        <v>2</v>
      </c>
      <c r="W48" s="34" t="str">
        <f t="shared" si="9"/>
        <v>F</v>
      </c>
      <c r="X48" s="35">
        <v>14</v>
      </c>
      <c r="Y48" s="37" t="str">
        <f t="shared" si="10"/>
        <v>E</v>
      </c>
      <c r="Z48" s="35">
        <v>16</v>
      </c>
      <c r="AA48" s="37" t="str">
        <f t="shared" si="11"/>
        <v>E</v>
      </c>
      <c r="AB48" s="33">
        <v>22</v>
      </c>
      <c r="AC48" s="34" t="str">
        <f t="shared" si="12"/>
        <v>F</v>
      </c>
      <c r="AD48" s="35">
        <v>12</v>
      </c>
      <c r="AE48" s="34" t="str">
        <f t="shared" si="13"/>
        <v>E</v>
      </c>
      <c r="AF48" s="35">
        <v>38</v>
      </c>
      <c r="AG48" s="37" t="str">
        <f t="shared" si="14"/>
        <v>E</v>
      </c>
      <c r="AH48" s="4">
        <f>IF(OR(AND(D48&gt;=31,D48&lt;40),AND(H48&gt;=31,H48&lt;40),AND(N48&gt;=31,N48&lt;40),AND(R48&gt;=31,R48&lt;40),AND(V48&gt;=31,V48&lt;40),AND(AB48&gt;=11,AB48&lt;20)),IF(AND(OR(COUNTIF(D48:AG48,"=31")&gt;=1,COUNTIF(D48:AG48,"=32")&gt;=1,COUNTIF(D48:AG48,"=33")&gt;=1,COUNTIF(D48:AG48,"=34")&gt;=1,COUNTIF(D48:AG48,"=35")&gt;=1,COUNTIF(D48:AG48,"=36")&gt;=1 ),COUNTIF(D48:AG48,"")=0,COUNTIF(D48:AG48," ")=0,COUNTIF(D48:AG48,"F")=1),CONCATENATE(SUM(EXTRACTNUMBER(D48),EXTRACTNUMBER(F48),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EXTRACTNUMBER(AD48),EXTRACTNUMBER(AF48)),"*"),IF(AND(COUNTIF(D48:AG48,"=34")&gt;=1,COUNTIF(D48:AG48,"=35")&gt;=1,COUNTIF(D48:AG48,"f")=2,COUNTIF(D48:AG48,"")=0,COUNTIF(D48:AG48,"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EXTRACTNUMBER(AD48),EXTRACTNUMBER(AF48)),"*"),IF(AND(COUNTIF(D48:AG48,"=36")&gt;=2,COUNTIF(D48:AG48,"f")=2,COUNTIF(D48:AG48,"")=0,COUNTIF(D48:AG48,"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EXTRACTNUMBER(AD48),EXTRACTNUMBER(AF48)),"*"),SUM(EXTRACTNUMBER(D48),EXTRACTNUMBER(F48),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EXTRACTNUMBER(AD48),EXTRACTNUMBER(AF48))))),SUM(EXTRACTNUMBER(D48),EXTRACTNUMBER(F48),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EXTRACTNUMBER(AD48),EXTRACTNUMBER(AF48)))</f>
        <v>311</v>
      </c>
      <c r="AI48" s="38" t="str">
        <f t="shared" si="15"/>
        <v>FAIL</v>
      </c>
      <c r="AJ48" s="28" t="str">
        <f>spellnumber(EXTRACTnUMBER_TOT(AH48))</f>
        <v xml:space="preserve">Three Hundred Eleven </v>
      </c>
      <c r="AK48" s="5">
        <v>311</v>
      </c>
    </row>
    <row r="49" spans="2:37" s="5" customFormat="1" ht="15" customHeight="1">
      <c r="B49" s="31">
        <v>223223</v>
      </c>
      <c r="C49" s="32" t="s">
        <v>181</v>
      </c>
      <c r="D49" s="33">
        <v>24</v>
      </c>
      <c r="E49" s="34" t="str">
        <f t="shared" si="1"/>
        <v>F</v>
      </c>
      <c r="F49" s="35">
        <v>16</v>
      </c>
      <c r="G49" s="34" t="str">
        <f t="shared" si="2"/>
        <v>E</v>
      </c>
      <c r="H49" s="36">
        <v>40</v>
      </c>
      <c r="I49" s="34" t="str">
        <f t="shared" si="3"/>
        <v>E</v>
      </c>
      <c r="J49" s="35">
        <v>20</v>
      </c>
      <c r="K49" s="34" t="str">
        <f t="shared" si="4"/>
        <v>E</v>
      </c>
      <c r="L49" s="35">
        <v>18</v>
      </c>
      <c r="M49" s="34" t="str">
        <f t="shared" si="5"/>
        <v>E</v>
      </c>
      <c r="N49" s="36">
        <v>40</v>
      </c>
      <c r="O49" s="34" t="str">
        <f t="shared" si="0"/>
        <v>E</v>
      </c>
      <c r="P49" s="35">
        <v>20</v>
      </c>
      <c r="Q49" s="37" t="str">
        <f t="shared" si="6"/>
        <v>E</v>
      </c>
      <c r="R49" s="33">
        <v>46</v>
      </c>
      <c r="S49" s="34" t="str">
        <f t="shared" si="7"/>
        <v>E</v>
      </c>
      <c r="T49" s="35">
        <v>21</v>
      </c>
      <c r="U49" s="37" t="str">
        <f t="shared" si="8"/>
        <v>E</v>
      </c>
      <c r="V49" s="33">
        <v>41</v>
      </c>
      <c r="W49" s="34" t="str">
        <f t="shared" si="9"/>
        <v>E</v>
      </c>
      <c r="X49" s="35">
        <v>15</v>
      </c>
      <c r="Y49" s="37" t="str">
        <f t="shared" si="10"/>
        <v>E</v>
      </c>
      <c r="Z49" s="35">
        <v>17</v>
      </c>
      <c r="AA49" s="37" t="str">
        <f t="shared" si="11"/>
        <v>E</v>
      </c>
      <c r="AB49" s="33">
        <v>43</v>
      </c>
      <c r="AC49" s="34" t="str">
        <f t="shared" si="12"/>
        <v>E</v>
      </c>
      <c r="AD49" s="35">
        <v>20</v>
      </c>
      <c r="AE49" s="34" t="str">
        <f t="shared" si="13"/>
        <v>E</v>
      </c>
      <c r="AF49" s="35">
        <v>41</v>
      </c>
      <c r="AG49" s="37" t="str">
        <f t="shared" si="14"/>
        <v>E</v>
      </c>
      <c r="AH49" s="4">
        <f>IF(OR(AND(D49&gt;=31,D49&lt;40),AND(H49&gt;=31,H49&lt;40),AND(N49&gt;=31,N49&lt;40),AND(R49&gt;=31,R49&lt;40),AND(V49&gt;=31,V49&lt;40),AND(AB49&gt;=11,AB49&lt;20)),IF(AND(OR(COUNTIF(D49:AG49,"=31")&gt;=1,COUNTIF(D49:AG49,"=32")&gt;=1,COUNTIF(D49:AG49,"=33")&gt;=1,COUNTIF(D49:AG49,"=34")&gt;=1,COUNTIF(D49:AG49,"=35")&gt;=1,COUNTIF(D49:AG49,"=36")&gt;=1 ),COUNTIF(D49:AG49,"")=0,COUNTIF(D49:AG49," ")=0,COUNTIF(D49:AG49,"F")=1),CONCATENATE(SUM(EXTRACTNUMBER(D49),EXTRACTNUMBER(F49),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EXTRACTNUMBER(AD49),EXTRACTNUMBER(AF49)),"*"),IF(AND(COUNTIF(D49:AG49,"=34")&gt;=1,COUNTIF(D49:AG49,"=35")&gt;=1,COUNTIF(D49:AG49,"f")=2,COUNTIF(D49:AG49,"")=0,COUNTIF(D49:AG49,"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EXTRACTNUMBER(AD49),EXTRACTNUMBER(AF49)),"*"),IF(AND(COUNTIF(D49:AG49,"=36")&gt;=2,COUNTIF(D49:AG49,"f")=2,COUNTIF(D49:AG49,"")=0,COUNTIF(D49:AG49,"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EXTRACTNUMBER(AD49),EXTRACTNUMBER(AF49)),"*"),SUM(EXTRACTNUMBER(D49),EXTRACTNUMBER(F49),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EXTRACTNUMBER(AD49),EXTRACTNUMBER(AF49))))),SUM(EXTRACTNUMBER(D49),EXTRACTNUMBER(F49),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EXTRACTNUMBER(AD49),EXTRACTNUMBER(AF49)))</f>
        <v>422</v>
      </c>
      <c r="AI49" s="38" t="str">
        <f t="shared" si="15"/>
        <v>FAIL</v>
      </c>
      <c r="AJ49" s="28" t="str">
        <f>spellnumber(EXTRACTnUMBER_TOT(AH49))</f>
        <v xml:space="preserve">Four Hundred Twenty Two </v>
      </c>
      <c r="AK49" s="5">
        <v>422</v>
      </c>
    </row>
    <row r="50" spans="2:37" s="5" customFormat="1" ht="15" customHeight="1">
      <c r="B50" s="31">
        <v>223224</v>
      </c>
      <c r="C50" s="32" t="s">
        <v>182</v>
      </c>
      <c r="D50" s="33">
        <v>0</v>
      </c>
      <c r="E50" s="34" t="str">
        <f t="shared" si="1"/>
        <v>F</v>
      </c>
      <c r="F50" s="35">
        <v>10</v>
      </c>
      <c r="G50" s="34" t="str">
        <f t="shared" si="2"/>
        <v>E</v>
      </c>
      <c r="H50" s="36">
        <v>24</v>
      </c>
      <c r="I50" s="34" t="str">
        <f t="shared" si="3"/>
        <v>F</v>
      </c>
      <c r="J50" s="35">
        <v>23</v>
      </c>
      <c r="K50" s="34" t="str">
        <f t="shared" si="4"/>
        <v>E</v>
      </c>
      <c r="L50" s="35">
        <v>19</v>
      </c>
      <c r="M50" s="34" t="str">
        <f t="shared" si="5"/>
        <v>E</v>
      </c>
      <c r="N50" s="36">
        <v>42</v>
      </c>
      <c r="O50" s="34" t="str">
        <f t="shared" si="0"/>
        <v>E</v>
      </c>
      <c r="P50" s="35">
        <v>12</v>
      </c>
      <c r="Q50" s="37" t="str">
        <f t="shared" si="6"/>
        <v>E</v>
      </c>
      <c r="R50" s="33">
        <v>45</v>
      </c>
      <c r="S50" s="34" t="str">
        <f t="shared" si="7"/>
        <v>E</v>
      </c>
      <c r="T50" s="35">
        <v>15</v>
      </c>
      <c r="U50" s="37" t="str">
        <f t="shared" si="8"/>
        <v>E</v>
      </c>
      <c r="V50" s="33">
        <v>9</v>
      </c>
      <c r="W50" s="34" t="str">
        <f t="shared" si="9"/>
        <v>F</v>
      </c>
      <c r="X50" s="35">
        <v>18</v>
      </c>
      <c r="Y50" s="37" t="str">
        <f t="shared" si="10"/>
        <v>E</v>
      </c>
      <c r="Z50" s="35">
        <v>18</v>
      </c>
      <c r="AA50" s="37" t="str">
        <f t="shared" si="11"/>
        <v>E</v>
      </c>
      <c r="AB50" s="33">
        <v>10</v>
      </c>
      <c r="AC50" s="34" t="str">
        <f t="shared" si="12"/>
        <v>F</v>
      </c>
      <c r="AD50" s="35">
        <v>12</v>
      </c>
      <c r="AE50" s="34" t="str">
        <f t="shared" si="13"/>
        <v>E</v>
      </c>
      <c r="AF50" s="35">
        <v>39</v>
      </c>
      <c r="AG50" s="37" t="str">
        <f t="shared" si="14"/>
        <v>E</v>
      </c>
      <c r="AH50" s="4">
        <f>IF(OR(AND(D50&gt;=31,D50&lt;40),AND(H50&gt;=31,H50&lt;40),AND(N50&gt;=31,N50&lt;40),AND(R50&gt;=31,R50&lt;40),AND(V50&gt;=31,V50&lt;40),AND(AB50&gt;=11,AB50&lt;20)),IF(AND(OR(COUNTIF(D50:AG50,"=31")&gt;=1,COUNTIF(D50:AG50,"=32")&gt;=1,COUNTIF(D50:AG50,"=33")&gt;=1,COUNTIF(D50:AG50,"=34")&gt;=1,COUNTIF(D50:AG50,"=35")&gt;=1,COUNTIF(D50:AG50,"=36")&gt;=1 ),COUNTIF(D50:AG50,"")=0,COUNTIF(D50:AG50," ")=0,COUNTIF(D50:AG50,"F")=1),CONCATENATE(SUM(EXTRACTNUMBER(D50),EXTRACTNUMBER(F50),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EXTRACTNUMBER(AD50),EXTRACTNUMBER(AF50)),"*"),IF(AND(COUNTIF(D50:AG50,"=34")&gt;=1,COUNTIF(D50:AG50,"=35")&gt;=1,COUNTIF(D50:AG50,"f")=2,COUNTIF(D50:AG50,"")=0,COUNTIF(D50:AG50,"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EXTRACTNUMBER(AD50),EXTRACTNUMBER(AF50)),"*"),IF(AND(COUNTIF(D50:AG50,"=36")&gt;=2,COUNTIF(D50:AG50,"f")=2,COUNTIF(D50:AG50,"")=0,COUNTIF(D50:AG50,"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EXTRACTNUMBER(AD50),EXTRACTNUMBER(AF50)),"*"),SUM(EXTRACTNUMBER(D50),EXTRACTNUMBER(F50),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EXTRACTNUMBER(AD50),EXTRACTNUMBER(AF50))))),SUM(EXTRACTNUMBER(D50),EXTRACTNUMBER(F50),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EXTRACTNUMBER(AD50),EXTRACTNUMBER(AF50)))</f>
        <v>296</v>
      </c>
      <c r="AI50" s="38" t="str">
        <f t="shared" si="15"/>
        <v>FAIL</v>
      </c>
      <c r="AJ50" s="28" t="str">
        <f>spellnumber(EXTRACTnUMBER_TOT(AH50))</f>
        <v xml:space="preserve">Two Hundred NinetySix </v>
      </c>
      <c r="AK50" s="5">
        <v>296</v>
      </c>
    </row>
    <row r="51" spans="2:37" s="5" customFormat="1" ht="15" customHeight="1">
      <c r="B51" s="31">
        <v>223225</v>
      </c>
      <c r="C51" s="32" t="s">
        <v>183</v>
      </c>
      <c r="D51" s="33">
        <v>51</v>
      </c>
      <c r="E51" s="34" t="str">
        <f t="shared" si="1"/>
        <v/>
      </c>
      <c r="F51" s="35">
        <v>15</v>
      </c>
      <c r="G51" s="34" t="str">
        <f t="shared" si="2"/>
        <v/>
      </c>
      <c r="H51" s="36">
        <v>43</v>
      </c>
      <c r="I51" s="34" t="str">
        <f t="shared" si="3"/>
        <v/>
      </c>
      <c r="J51" s="35">
        <v>23</v>
      </c>
      <c r="K51" s="34" t="str">
        <f t="shared" si="4"/>
        <v/>
      </c>
      <c r="L51" s="35">
        <v>17</v>
      </c>
      <c r="M51" s="34" t="str">
        <f t="shared" si="5"/>
        <v/>
      </c>
      <c r="N51" s="36">
        <v>66</v>
      </c>
      <c r="O51" s="34" t="str">
        <f t="shared" si="0"/>
        <v/>
      </c>
      <c r="P51" s="35">
        <v>23</v>
      </c>
      <c r="Q51" s="37" t="str">
        <f t="shared" si="6"/>
        <v/>
      </c>
      <c r="R51" s="33">
        <v>57</v>
      </c>
      <c r="S51" s="34" t="str">
        <f t="shared" si="7"/>
        <v/>
      </c>
      <c r="T51" s="35">
        <v>23</v>
      </c>
      <c r="U51" s="37" t="str">
        <f t="shared" si="8"/>
        <v/>
      </c>
      <c r="V51" s="33">
        <v>43</v>
      </c>
      <c r="W51" s="34" t="str">
        <f t="shared" si="9"/>
        <v/>
      </c>
      <c r="X51" s="35">
        <v>21</v>
      </c>
      <c r="Y51" s="37" t="str">
        <f t="shared" si="10"/>
        <v/>
      </c>
      <c r="Z51" s="35">
        <v>22</v>
      </c>
      <c r="AA51" s="37" t="str">
        <f t="shared" si="11"/>
        <v/>
      </c>
      <c r="AB51" s="33" t="s">
        <v>426</v>
      </c>
      <c r="AC51" s="34" t="str">
        <f t="shared" si="12"/>
        <v/>
      </c>
      <c r="AD51" s="35">
        <v>18</v>
      </c>
      <c r="AE51" s="34" t="str">
        <f t="shared" si="13"/>
        <v/>
      </c>
      <c r="AF51" s="35">
        <v>39</v>
      </c>
      <c r="AG51" s="37" t="str">
        <f t="shared" si="14"/>
        <v/>
      </c>
      <c r="AH51" s="4" t="s">
        <v>427</v>
      </c>
      <c r="AI51" s="38" t="str">
        <f t="shared" si="15"/>
        <v>PASS</v>
      </c>
      <c r="AJ51" s="28" t="str">
        <f>spellnumber(EXTRACTnUMBER_TOT(AH51))</f>
        <v xml:space="preserve">Four Hundred NinetyTwo </v>
      </c>
      <c r="AK51" s="5" t="s">
        <v>427</v>
      </c>
    </row>
    <row r="52" spans="2:37" s="5" customFormat="1" ht="15" customHeight="1">
      <c r="B52" s="31">
        <v>223226</v>
      </c>
      <c r="C52" s="32" t="s">
        <v>184</v>
      </c>
      <c r="D52" s="33">
        <v>53</v>
      </c>
      <c r="E52" s="34" t="str">
        <f t="shared" si="1"/>
        <v/>
      </c>
      <c r="F52" s="35">
        <v>17</v>
      </c>
      <c r="G52" s="34" t="str">
        <f t="shared" si="2"/>
        <v/>
      </c>
      <c r="H52" s="36">
        <v>63</v>
      </c>
      <c r="I52" s="34" t="str">
        <f t="shared" si="3"/>
        <v/>
      </c>
      <c r="J52" s="35">
        <v>23</v>
      </c>
      <c r="K52" s="34" t="str">
        <f t="shared" si="4"/>
        <v/>
      </c>
      <c r="L52" s="35">
        <v>17</v>
      </c>
      <c r="M52" s="34" t="str">
        <f t="shared" si="5"/>
        <v/>
      </c>
      <c r="N52" s="36">
        <v>67</v>
      </c>
      <c r="O52" s="34" t="str">
        <f t="shared" si="0"/>
        <v/>
      </c>
      <c r="P52" s="35">
        <v>23</v>
      </c>
      <c r="Q52" s="37" t="str">
        <f t="shared" si="6"/>
        <v/>
      </c>
      <c r="R52" s="33">
        <v>77</v>
      </c>
      <c r="S52" s="34" t="str">
        <f t="shared" si="7"/>
        <v/>
      </c>
      <c r="T52" s="35">
        <v>23</v>
      </c>
      <c r="U52" s="37" t="str">
        <f t="shared" si="8"/>
        <v/>
      </c>
      <c r="V52" s="33">
        <v>47</v>
      </c>
      <c r="W52" s="34" t="str">
        <f t="shared" si="9"/>
        <v/>
      </c>
      <c r="X52" s="35">
        <v>21</v>
      </c>
      <c r="Y52" s="37" t="str">
        <f t="shared" si="10"/>
        <v/>
      </c>
      <c r="Z52" s="35">
        <v>20</v>
      </c>
      <c r="AA52" s="37" t="str">
        <f t="shared" si="11"/>
        <v/>
      </c>
      <c r="AB52" s="33">
        <v>50</v>
      </c>
      <c r="AC52" s="34" t="str">
        <f t="shared" si="12"/>
        <v/>
      </c>
      <c r="AD52" s="35">
        <v>13</v>
      </c>
      <c r="AE52" s="34" t="str">
        <f t="shared" si="13"/>
        <v/>
      </c>
      <c r="AF52" s="35">
        <v>39</v>
      </c>
      <c r="AG52" s="37" t="str">
        <f t="shared" si="14"/>
        <v/>
      </c>
      <c r="AH52" s="4">
        <f>IF(OR(AND(D52&gt;=31,D52&lt;40),AND(H52&gt;=31,H52&lt;40),AND(N52&gt;=31,N52&lt;40),AND(R52&gt;=31,R52&lt;40),AND(V52&gt;=31,V52&lt;40),AND(AB52&gt;=11,AB52&lt;20)),IF(AND(OR(COUNTIF(D52:AG52,"=31")&gt;=1,COUNTIF(D52:AG52,"=32")&gt;=1,COUNTIF(D52:AG52,"=33")&gt;=1,COUNTIF(D52:AG52,"=34")&gt;=1,COUNTIF(D52:AG52,"=35")&gt;=1,COUNTIF(D52:AG52,"=36")&gt;=1 ),COUNTIF(D52:AG52,"")=0,COUNTIF(D52:AG52," ")=0,COUNTIF(D52:AG52,"F")=1),CONCATENATE(SUM(EXTRACTNUMBER(D52),EXTRACTNUMBER(F52),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EXTRACTNUMBER(AD52),EXTRACTNUMBER(AF52)),"*"),IF(AND(COUNTIF(D52:AG52,"=34")&gt;=1,COUNTIF(D52:AG52,"=35")&gt;=1,COUNTIF(D52:AG52,"f")=2,COUNTIF(D52:AG52,"")=0,COUNTIF(D52:AG52,"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EXTRACTNUMBER(AD52),EXTRACTNUMBER(AF52)),"*"),IF(AND(COUNTIF(D52:AG52,"=36")&gt;=2,COUNTIF(D52:AG52,"f")=2,COUNTIF(D52:AG52,"")=0,COUNTIF(D52:AG52,"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EXTRACTNUMBER(AD52),EXTRACTNUMBER(AF52)),"*"),SUM(EXTRACTNUMBER(D52),EXTRACTNUMBER(F52),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EXTRACTNUMBER(AD52),EXTRACTNUMBER(AF52))))),SUM(EXTRACTNUMBER(D52),EXTRACTNUMBER(F52),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EXTRACTNUMBER(AD52),EXTRACTNUMBER(AF52)))</f>
        <v>553</v>
      </c>
      <c r="AI52" s="38" t="str">
        <f t="shared" si="15"/>
        <v>PASS</v>
      </c>
      <c r="AJ52" s="28" t="str">
        <f>spellnumber(EXTRACTnUMBER_TOT(AH52))</f>
        <v xml:space="preserve">Five Hundred Fifty Three </v>
      </c>
      <c r="AK52" s="5">
        <v>553</v>
      </c>
    </row>
    <row r="53" spans="2:37" s="5" customFormat="1" ht="15" customHeight="1">
      <c r="B53" s="31">
        <v>223227</v>
      </c>
      <c r="C53" s="32" t="s">
        <v>185</v>
      </c>
      <c r="D53" s="33">
        <v>15</v>
      </c>
      <c r="E53" s="34" t="str">
        <f t="shared" si="1"/>
        <v>F</v>
      </c>
      <c r="F53" s="35">
        <v>18</v>
      </c>
      <c r="G53" s="34" t="str">
        <f t="shared" si="2"/>
        <v>E</v>
      </c>
      <c r="H53" s="36">
        <v>65</v>
      </c>
      <c r="I53" s="34" t="str">
        <f t="shared" si="3"/>
        <v>E</v>
      </c>
      <c r="J53" s="35">
        <v>21</v>
      </c>
      <c r="K53" s="34" t="str">
        <f t="shared" si="4"/>
        <v>E</v>
      </c>
      <c r="L53" s="35">
        <v>18</v>
      </c>
      <c r="M53" s="34" t="str">
        <f t="shared" si="5"/>
        <v>E</v>
      </c>
      <c r="N53" s="36">
        <v>53</v>
      </c>
      <c r="O53" s="34" t="str">
        <f t="shared" si="0"/>
        <v>E</v>
      </c>
      <c r="P53" s="35">
        <v>16</v>
      </c>
      <c r="Q53" s="37" t="str">
        <f t="shared" si="6"/>
        <v>E</v>
      </c>
      <c r="R53" s="33">
        <v>57</v>
      </c>
      <c r="S53" s="34" t="str">
        <f t="shared" si="7"/>
        <v>E</v>
      </c>
      <c r="T53" s="35">
        <v>22</v>
      </c>
      <c r="U53" s="37" t="str">
        <f t="shared" si="8"/>
        <v>E</v>
      </c>
      <c r="V53" s="33">
        <v>43</v>
      </c>
      <c r="W53" s="34" t="str">
        <f t="shared" si="9"/>
        <v>E</v>
      </c>
      <c r="X53" s="35">
        <v>19</v>
      </c>
      <c r="Y53" s="37" t="str">
        <f t="shared" si="10"/>
        <v>E</v>
      </c>
      <c r="Z53" s="35">
        <v>18</v>
      </c>
      <c r="AA53" s="37" t="str">
        <f t="shared" si="11"/>
        <v>E</v>
      </c>
      <c r="AB53" s="33">
        <v>34</v>
      </c>
      <c r="AC53" s="34" t="str">
        <f t="shared" si="12"/>
        <v>F</v>
      </c>
      <c r="AD53" s="35">
        <v>18</v>
      </c>
      <c r="AE53" s="34" t="str">
        <f t="shared" si="13"/>
        <v>E</v>
      </c>
      <c r="AF53" s="35">
        <v>40</v>
      </c>
      <c r="AG53" s="37" t="str">
        <f t="shared" si="14"/>
        <v>E</v>
      </c>
      <c r="AH53" s="4">
        <f>IF(OR(AND(D53&gt;=31,D53&lt;40),AND(H53&gt;=31,H53&lt;40),AND(N53&gt;=31,N53&lt;40),AND(R53&gt;=31,R53&lt;40),AND(V53&gt;=31,V53&lt;40),AND(AB53&gt;=11,AB53&lt;20)),IF(AND(OR(COUNTIF(D53:AG53,"=31")&gt;=1,COUNTIF(D53:AG53,"=32")&gt;=1,COUNTIF(D53:AG53,"=33")&gt;=1,COUNTIF(D53:AG53,"=34")&gt;=1,COUNTIF(D53:AG53,"=35")&gt;=1,COUNTIF(D53:AG53,"=36")&gt;=1 ),COUNTIF(D53:AG53,"")=0,COUNTIF(D53:AG53," ")=0,COUNTIF(D53:AG53,"F")=1),CONCATENATE(SUM(EXTRACTNUMBER(D53),EXTRACTNUMBER(F53),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EXTRACTNUMBER(AD53),EXTRACTNUMBER(AF53)),"*"),IF(AND(COUNTIF(D53:AG53,"=34")&gt;=1,COUNTIF(D53:AG53,"=35")&gt;=1,COUNTIF(D53:AG53,"f")=2,COUNTIF(D53:AG53,"")=0,COUNTIF(D53:AG53,"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EXTRACTNUMBER(AD53),EXTRACTNUMBER(AF53)),"*"),IF(AND(COUNTIF(D53:AG53,"=36")&gt;=2,COUNTIF(D53:AG53,"f")=2,COUNTIF(D53:AG53,"")=0,COUNTIF(D53:AG53,"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EXTRACTNUMBER(AD53),EXTRACTNUMBER(AF53)),"*"),SUM(EXTRACTNUMBER(D53),EXTRACTNUMBER(F53),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EXTRACTNUMBER(AD53),EXTRACTNUMBER(AF53))))),SUM(EXTRACTNUMBER(D53),EXTRACTNUMBER(F53),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EXTRACTNUMBER(AD53),EXTRACTNUMBER(AF53)))</f>
        <v>457</v>
      </c>
      <c r="AI53" s="38" t="str">
        <f t="shared" si="15"/>
        <v>FAIL</v>
      </c>
      <c r="AJ53" s="28" t="str">
        <f>spellnumber(EXTRACTnUMBER_TOT(AH53))</f>
        <v xml:space="preserve">Four Hundred Fifty Seven </v>
      </c>
      <c r="AK53" s="5">
        <v>457</v>
      </c>
    </row>
    <row r="54" spans="2:37" s="5" customFormat="1" ht="15" customHeight="1">
      <c r="B54" s="31">
        <v>223228</v>
      </c>
      <c r="C54" s="32" t="s">
        <v>186</v>
      </c>
      <c r="D54" s="33">
        <v>20</v>
      </c>
      <c r="E54" s="34" t="str">
        <f t="shared" si="1"/>
        <v>F</v>
      </c>
      <c r="F54" s="35">
        <v>18</v>
      </c>
      <c r="G54" s="34" t="str">
        <f t="shared" si="2"/>
        <v>E</v>
      </c>
      <c r="H54" s="36">
        <v>85</v>
      </c>
      <c r="I54" s="34" t="str">
        <f t="shared" si="3"/>
        <v>E</v>
      </c>
      <c r="J54" s="35">
        <v>24</v>
      </c>
      <c r="K54" s="34" t="str">
        <f t="shared" si="4"/>
        <v>E</v>
      </c>
      <c r="L54" s="35">
        <v>17</v>
      </c>
      <c r="M54" s="34" t="str">
        <f t="shared" si="5"/>
        <v>E</v>
      </c>
      <c r="N54" s="36">
        <v>76</v>
      </c>
      <c r="O54" s="34" t="str">
        <f t="shared" si="0"/>
        <v>E</v>
      </c>
      <c r="P54" s="35">
        <v>19</v>
      </c>
      <c r="Q54" s="37" t="str">
        <f t="shared" si="6"/>
        <v>E</v>
      </c>
      <c r="R54" s="33">
        <v>80</v>
      </c>
      <c r="S54" s="34" t="str">
        <f t="shared" si="7"/>
        <v>E</v>
      </c>
      <c r="T54" s="35">
        <v>21</v>
      </c>
      <c r="U54" s="37" t="str">
        <f t="shared" si="8"/>
        <v>E</v>
      </c>
      <c r="V54" s="33">
        <v>65</v>
      </c>
      <c r="W54" s="34" t="str">
        <f t="shared" si="9"/>
        <v>E</v>
      </c>
      <c r="X54" s="35">
        <v>23</v>
      </c>
      <c r="Y54" s="37" t="str">
        <f t="shared" si="10"/>
        <v>E</v>
      </c>
      <c r="Z54" s="35">
        <v>23</v>
      </c>
      <c r="AA54" s="37" t="str">
        <f t="shared" si="11"/>
        <v>E</v>
      </c>
      <c r="AB54" s="33">
        <v>54</v>
      </c>
      <c r="AC54" s="34" t="str">
        <f t="shared" si="12"/>
        <v>E</v>
      </c>
      <c r="AD54" s="35">
        <v>24</v>
      </c>
      <c r="AE54" s="34" t="str">
        <f t="shared" si="13"/>
        <v>E</v>
      </c>
      <c r="AF54" s="35">
        <v>40</v>
      </c>
      <c r="AG54" s="37" t="str">
        <f t="shared" si="14"/>
        <v>E</v>
      </c>
      <c r="AH54" s="4">
        <f>IF(OR(AND(D54&gt;=31,D54&lt;40),AND(H54&gt;=31,H54&lt;40),AND(N54&gt;=31,N54&lt;40),AND(R54&gt;=31,R54&lt;40),AND(V54&gt;=31,V54&lt;40),AND(AB54&gt;=11,AB54&lt;20)),IF(AND(OR(COUNTIF(D54:AG54,"=31")&gt;=1,COUNTIF(D54:AG54,"=32")&gt;=1,COUNTIF(D54:AG54,"=33")&gt;=1,COUNTIF(D54:AG54,"=34")&gt;=1,COUNTIF(D54:AG54,"=35")&gt;=1,COUNTIF(D54:AG54,"=36")&gt;=1 ),COUNTIF(D54:AG54,"")=0,COUNTIF(D54:AG54," ")=0,COUNTIF(D54:AG54,"F")=1),CONCATENATE(SUM(EXTRACTNUMBER(D54),EXTRACTNUMBER(F54),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EXTRACTNUMBER(AD54),EXTRACTNUMBER(AF54)),"*"),IF(AND(COUNTIF(D54:AG54,"=34")&gt;=1,COUNTIF(D54:AG54,"=35")&gt;=1,COUNTIF(D54:AG54,"f")=2,COUNTIF(D54:AG54,"")=0,COUNTIF(D54:AG54,"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EXTRACTNUMBER(AD54),EXTRACTNUMBER(AF54)),"*"),IF(AND(COUNTIF(D54:AG54,"=36")&gt;=2,COUNTIF(D54:AG54,"f")=2,COUNTIF(D54:AG54,"")=0,COUNTIF(D54:AG54,"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EXTRACTNUMBER(AD54),EXTRACTNUMBER(AF54)),"*"),SUM(EXTRACTNUMBER(D54),EXTRACTNUMBER(F54),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EXTRACTNUMBER(AD54),EXTRACTNUMBER(AF54))))),SUM(EXTRACTNUMBER(D54),EXTRACTNUMBER(F54),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EXTRACTNUMBER(AD54),EXTRACTNUMBER(AF54)))</f>
        <v>589</v>
      </c>
      <c r="AI54" s="38" t="str">
        <f t="shared" si="15"/>
        <v>FAIL</v>
      </c>
      <c r="AJ54" s="28" t="str">
        <f>spellnumber(EXTRACTnUMBER_TOT(AH54))</f>
        <v xml:space="preserve">Five Hundred Eighty Nine </v>
      </c>
      <c r="AK54" s="5">
        <v>589</v>
      </c>
    </row>
    <row r="55" spans="2:37" s="5" customFormat="1" ht="15" customHeight="1">
      <c r="B55" s="31">
        <v>223229</v>
      </c>
      <c r="C55" s="32" t="s">
        <v>187</v>
      </c>
      <c r="D55" s="33">
        <v>0</v>
      </c>
      <c r="E55" s="34" t="str">
        <f t="shared" si="1"/>
        <v>F</v>
      </c>
      <c r="F55" s="35">
        <v>14</v>
      </c>
      <c r="G55" s="34" t="str">
        <f t="shared" si="2"/>
        <v>E</v>
      </c>
      <c r="H55" s="36">
        <v>14</v>
      </c>
      <c r="I55" s="34" t="str">
        <f t="shared" si="3"/>
        <v>F</v>
      </c>
      <c r="J55" s="35">
        <v>18</v>
      </c>
      <c r="K55" s="34" t="str">
        <f t="shared" si="4"/>
        <v>E</v>
      </c>
      <c r="L55" s="35">
        <v>18</v>
      </c>
      <c r="M55" s="34" t="str">
        <f t="shared" si="5"/>
        <v>E</v>
      </c>
      <c r="N55" s="36">
        <v>18</v>
      </c>
      <c r="O55" s="34" t="str">
        <f t="shared" si="0"/>
        <v>F</v>
      </c>
      <c r="P55" s="35">
        <v>12</v>
      </c>
      <c r="Q55" s="37" t="str">
        <f t="shared" si="6"/>
        <v>E</v>
      </c>
      <c r="R55" s="33">
        <v>49</v>
      </c>
      <c r="S55" s="34" t="str">
        <f t="shared" si="7"/>
        <v>E</v>
      </c>
      <c r="T55" s="35">
        <v>14</v>
      </c>
      <c r="U55" s="37" t="str">
        <f t="shared" si="8"/>
        <v>E</v>
      </c>
      <c r="V55" s="33">
        <v>11</v>
      </c>
      <c r="W55" s="34" t="str">
        <f t="shared" si="9"/>
        <v>F</v>
      </c>
      <c r="X55" s="35">
        <v>16</v>
      </c>
      <c r="Y55" s="37" t="str">
        <f t="shared" si="10"/>
        <v>E</v>
      </c>
      <c r="Z55" s="35">
        <v>17</v>
      </c>
      <c r="AA55" s="37" t="str">
        <f t="shared" si="11"/>
        <v>E</v>
      </c>
      <c r="AB55" s="33">
        <v>25</v>
      </c>
      <c r="AC55" s="34" t="str">
        <f t="shared" si="12"/>
        <v>F</v>
      </c>
      <c r="AD55" s="35">
        <v>21</v>
      </c>
      <c r="AE55" s="34" t="str">
        <f t="shared" si="13"/>
        <v>E</v>
      </c>
      <c r="AF55" s="35">
        <v>32</v>
      </c>
      <c r="AG55" s="37" t="str">
        <f t="shared" si="14"/>
        <v>E</v>
      </c>
      <c r="AH55" s="4">
        <f>IF(OR(AND(D55&gt;=31,D55&lt;40),AND(H55&gt;=31,H55&lt;40),AND(N55&gt;=31,N55&lt;40),AND(R55&gt;=31,R55&lt;40),AND(V55&gt;=31,V55&lt;40),AND(AB55&gt;=11,AB55&lt;20)),IF(AND(OR(COUNTIF(D55:AG55,"=31")&gt;=1,COUNTIF(D55:AG55,"=32")&gt;=1,COUNTIF(D55:AG55,"=33")&gt;=1,COUNTIF(D55:AG55,"=34")&gt;=1,COUNTIF(D55:AG55,"=35")&gt;=1,COUNTIF(D55:AG55,"=36")&gt;=1 ),COUNTIF(D55:AG55,"")=0,COUNTIF(D55:AG55," ")=0,COUNTIF(D55:AG55,"F")=1),CONCATENATE(SUM(EXTRACTNUMBER(D55),EXTRACTNUMBER(F55),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EXTRACTNUMBER(AD55),EXTRACTNUMBER(AF55)),"*"),IF(AND(COUNTIF(D55:AG55,"=34")&gt;=1,COUNTIF(D55:AG55,"=35")&gt;=1,COUNTIF(D55:AG55,"f")=2,COUNTIF(D55:AG55,"")=0,COUNTIF(D55:AG55,"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EXTRACTNUMBER(AD55),EXTRACTNUMBER(AF55)),"*"),IF(AND(COUNTIF(D55:AG55,"=36")&gt;=2,COUNTIF(D55:AG55,"f")=2,COUNTIF(D55:AG55,"")=0,COUNTIF(D55:AG55,"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EXTRACTNUMBER(AD55),EXTRACTNUMBER(AF55)),"*"),SUM(EXTRACTNUMBER(D55),EXTRACTNUMBER(F55),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EXTRACTNUMBER(AD55),EXTRACTNUMBER(AF55))))),SUM(EXTRACTNUMBER(D55),EXTRACTNUMBER(F55),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EXTRACTNUMBER(AD55),EXTRACTNUMBER(AF55)))</f>
        <v>279</v>
      </c>
      <c r="AI55" s="38" t="str">
        <f t="shared" si="15"/>
        <v>FAIL</v>
      </c>
      <c r="AJ55" s="28" t="str">
        <f>spellnumber(EXTRACTnUMBER_TOT(AH55))</f>
        <v xml:space="preserve">Two Hundred Seventy Nine </v>
      </c>
      <c r="AK55" s="5">
        <v>279</v>
      </c>
    </row>
    <row r="56" spans="2:37" s="5" customFormat="1" ht="15" customHeight="1">
      <c r="B56" s="31">
        <v>223230</v>
      </c>
      <c r="C56" s="32" t="s">
        <v>188</v>
      </c>
      <c r="D56" s="33">
        <v>17</v>
      </c>
      <c r="E56" s="34" t="str">
        <f t="shared" si="1"/>
        <v>F</v>
      </c>
      <c r="F56" s="35">
        <v>17</v>
      </c>
      <c r="G56" s="34" t="str">
        <f t="shared" si="2"/>
        <v>E</v>
      </c>
      <c r="H56" s="36">
        <v>57</v>
      </c>
      <c r="I56" s="34" t="str">
        <f t="shared" si="3"/>
        <v>E</v>
      </c>
      <c r="J56" s="35">
        <v>21</v>
      </c>
      <c r="K56" s="34" t="str">
        <f t="shared" si="4"/>
        <v>E</v>
      </c>
      <c r="L56" s="35">
        <v>19</v>
      </c>
      <c r="M56" s="34" t="str">
        <f t="shared" si="5"/>
        <v>E</v>
      </c>
      <c r="N56" s="36">
        <v>58</v>
      </c>
      <c r="O56" s="34" t="str">
        <f t="shared" si="0"/>
        <v>E</v>
      </c>
      <c r="P56" s="35">
        <v>19</v>
      </c>
      <c r="Q56" s="37" t="str">
        <f t="shared" si="6"/>
        <v>E</v>
      </c>
      <c r="R56" s="33">
        <v>50</v>
      </c>
      <c r="S56" s="34" t="str">
        <f t="shared" si="7"/>
        <v>E</v>
      </c>
      <c r="T56" s="35">
        <v>21</v>
      </c>
      <c r="U56" s="37" t="str">
        <f t="shared" si="8"/>
        <v>E</v>
      </c>
      <c r="V56" s="33">
        <v>46</v>
      </c>
      <c r="W56" s="34" t="str">
        <f t="shared" si="9"/>
        <v>E</v>
      </c>
      <c r="X56" s="35">
        <v>18</v>
      </c>
      <c r="Y56" s="37" t="str">
        <f t="shared" si="10"/>
        <v>E</v>
      </c>
      <c r="Z56" s="35">
        <v>18</v>
      </c>
      <c r="AA56" s="37" t="str">
        <f t="shared" si="11"/>
        <v>E</v>
      </c>
      <c r="AB56" s="33">
        <v>21</v>
      </c>
      <c r="AC56" s="34" t="str">
        <f t="shared" si="12"/>
        <v>F</v>
      </c>
      <c r="AD56" s="35">
        <v>16</v>
      </c>
      <c r="AE56" s="34" t="str">
        <f t="shared" si="13"/>
        <v>E</v>
      </c>
      <c r="AF56" s="35">
        <v>39</v>
      </c>
      <c r="AG56" s="37" t="str">
        <f t="shared" si="14"/>
        <v>E</v>
      </c>
      <c r="AH56" s="4">
        <f>IF(OR(AND(D56&gt;=31,D56&lt;40),AND(H56&gt;=31,H56&lt;40),AND(N56&gt;=31,N56&lt;40),AND(R56&gt;=31,R56&lt;40),AND(V56&gt;=31,V56&lt;40),AND(AB56&gt;=11,AB56&lt;20)),IF(AND(OR(COUNTIF(D56:AG56,"=31")&gt;=1,COUNTIF(D56:AG56,"=32")&gt;=1,COUNTIF(D56:AG56,"=33")&gt;=1,COUNTIF(D56:AG56,"=34")&gt;=1,COUNTIF(D56:AG56,"=35")&gt;=1,COUNTIF(D56:AG56,"=36")&gt;=1 ),COUNTIF(D56:AG56,"")=0,COUNTIF(D56:AG56," ")=0,COUNTIF(D56:AG56,"F")=1),CONCATENATE(SUM(EXTRACTNUMBER(D56),EXTRACTNUMBER(F56),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EXTRACTNUMBER(AD56),EXTRACTNUMBER(AF56)),"*"),IF(AND(COUNTIF(D56:AG56,"=34")&gt;=1,COUNTIF(D56:AG56,"=35")&gt;=1,COUNTIF(D56:AG56,"f")=2,COUNTIF(D56:AG56,"")=0,COUNTIF(D56:AG56,"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EXTRACTNUMBER(AD56),EXTRACTNUMBER(AF56)),"*"),IF(AND(COUNTIF(D56:AG56,"=36")&gt;=2,COUNTIF(D56:AG56,"f")=2,COUNTIF(D56:AG56,"")=0,COUNTIF(D56:AG56,"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EXTRACTNUMBER(AD56),EXTRACTNUMBER(AF56)),"*"),SUM(EXTRACTNUMBER(D56),EXTRACTNUMBER(F56),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EXTRACTNUMBER(AD56),EXTRACTNUMBER(AF56))))),SUM(EXTRACTNUMBER(D56),EXTRACTNUMBER(F56),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EXTRACTNUMBER(AD56),EXTRACTNUMBER(AF56)))</f>
        <v>437</v>
      </c>
      <c r="AI56" s="38" t="str">
        <f t="shared" si="15"/>
        <v>FAIL</v>
      </c>
      <c r="AJ56" s="28" t="str">
        <f>spellnumber(EXTRACTnUMBER_TOT(AH56))</f>
        <v xml:space="preserve">Four Hundred Thirty Seven </v>
      </c>
      <c r="AK56" s="5">
        <v>437</v>
      </c>
    </row>
    <row r="57" spans="2:37" s="5" customFormat="1" ht="15" customHeight="1">
      <c r="B57" s="31">
        <v>223231</v>
      </c>
      <c r="C57" s="32" t="s">
        <v>189</v>
      </c>
      <c r="D57" s="33">
        <v>40</v>
      </c>
      <c r="E57" s="34" t="str">
        <f t="shared" si="1"/>
        <v/>
      </c>
      <c r="F57" s="35">
        <v>17</v>
      </c>
      <c r="G57" s="34" t="str">
        <f t="shared" si="2"/>
        <v/>
      </c>
      <c r="H57" s="36">
        <v>51</v>
      </c>
      <c r="I57" s="34" t="str">
        <f t="shared" si="3"/>
        <v/>
      </c>
      <c r="J57" s="35">
        <v>19</v>
      </c>
      <c r="K57" s="34" t="str">
        <f t="shared" si="4"/>
        <v/>
      </c>
      <c r="L57" s="35">
        <v>19</v>
      </c>
      <c r="M57" s="34" t="str">
        <f t="shared" si="5"/>
        <v/>
      </c>
      <c r="N57" s="36">
        <v>49</v>
      </c>
      <c r="O57" s="34" t="str">
        <f t="shared" si="0"/>
        <v/>
      </c>
      <c r="P57" s="35">
        <v>22</v>
      </c>
      <c r="Q57" s="37" t="str">
        <f t="shared" si="6"/>
        <v/>
      </c>
      <c r="R57" s="33">
        <v>50</v>
      </c>
      <c r="S57" s="34" t="str">
        <f t="shared" si="7"/>
        <v/>
      </c>
      <c r="T57" s="35">
        <v>21</v>
      </c>
      <c r="U57" s="37" t="str">
        <f t="shared" si="8"/>
        <v/>
      </c>
      <c r="V57" s="33">
        <v>50</v>
      </c>
      <c r="W57" s="34" t="str">
        <f t="shared" si="9"/>
        <v/>
      </c>
      <c r="X57" s="35">
        <v>20</v>
      </c>
      <c r="Y57" s="37" t="str">
        <f t="shared" si="10"/>
        <v/>
      </c>
      <c r="Z57" s="35">
        <v>19</v>
      </c>
      <c r="AA57" s="37" t="str">
        <f t="shared" si="11"/>
        <v/>
      </c>
      <c r="AB57" s="33">
        <v>40</v>
      </c>
      <c r="AC57" s="34" t="str">
        <f t="shared" si="12"/>
        <v/>
      </c>
      <c r="AD57" s="35">
        <v>18</v>
      </c>
      <c r="AE57" s="34" t="str">
        <f t="shared" si="13"/>
        <v/>
      </c>
      <c r="AF57" s="35">
        <v>40</v>
      </c>
      <c r="AG57" s="37" t="str">
        <f t="shared" si="14"/>
        <v/>
      </c>
      <c r="AH57" s="4">
        <f>IF(OR(AND(D57&gt;=31,D57&lt;40),AND(H57&gt;=31,H57&lt;40),AND(N57&gt;=31,N57&lt;40),AND(R57&gt;=31,R57&lt;40),AND(V57&gt;=31,V57&lt;40),AND(AB57&gt;=11,AB57&lt;20)),IF(AND(OR(COUNTIF(D57:AG57,"=31")&gt;=1,COUNTIF(D57:AG57,"=32")&gt;=1,COUNTIF(D57:AG57,"=33")&gt;=1,COUNTIF(D57:AG57,"=34")&gt;=1,COUNTIF(D57:AG57,"=35")&gt;=1,COUNTIF(D57:AG57,"=36")&gt;=1 ),COUNTIF(D57:AG57,"")=0,COUNTIF(D57:AG57," ")=0,COUNTIF(D57:AG57,"F")=1),CONCATENATE(SUM(EXTRACTNUMBER(D57),EXTRACTNUMBER(F57),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EXTRACTNUMBER(AD57),EXTRACTNUMBER(AF57)),"*"),IF(AND(COUNTIF(D57:AG57,"=34")&gt;=1,COUNTIF(D57:AG57,"=35")&gt;=1,COUNTIF(D57:AG57,"f")=2,COUNTIF(D57:AG57,"")=0,COUNTIF(D57:AG57,"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EXTRACTNUMBER(AD57),EXTRACTNUMBER(AF57)),"*"),IF(AND(COUNTIF(D57:AG57,"=36")&gt;=2,COUNTIF(D57:AG57,"f")=2,COUNTIF(D57:AG57,"")=0,COUNTIF(D57:AG57,"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EXTRACTNUMBER(AD57),EXTRACTNUMBER(AF57)),"*"),SUM(EXTRACTNUMBER(D57),EXTRACTNUMBER(F57),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EXTRACTNUMBER(AD57),EXTRACTNUMBER(AF57))))),SUM(EXTRACTNUMBER(D57),EXTRACTNUMBER(F57),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EXTRACTNUMBER(AD57),EXTRACTNUMBER(AF57)))</f>
        <v>475</v>
      </c>
      <c r="AI57" s="38" t="str">
        <f t="shared" si="15"/>
        <v>PASS</v>
      </c>
      <c r="AJ57" s="28" t="str">
        <f>spellnumber(EXTRACTnUMBER_TOT(AH57))</f>
        <v xml:space="preserve">Four Hundred Seventy Five </v>
      </c>
      <c r="AK57" s="5">
        <v>475</v>
      </c>
    </row>
    <row r="58" spans="2:37" s="5" customFormat="1" ht="15" customHeight="1">
      <c r="B58" s="31">
        <v>223232</v>
      </c>
      <c r="C58" s="32" t="s">
        <v>190</v>
      </c>
      <c r="D58" s="33">
        <v>40</v>
      </c>
      <c r="E58" s="34" t="str">
        <f t="shared" si="1"/>
        <v>E</v>
      </c>
      <c r="F58" s="35">
        <v>18</v>
      </c>
      <c r="G58" s="34" t="str">
        <f t="shared" si="2"/>
        <v>E</v>
      </c>
      <c r="H58" s="36">
        <v>48</v>
      </c>
      <c r="I58" s="34" t="str">
        <f t="shared" si="3"/>
        <v>E</v>
      </c>
      <c r="J58" s="35">
        <v>23</v>
      </c>
      <c r="K58" s="34" t="str">
        <f t="shared" si="4"/>
        <v>E</v>
      </c>
      <c r="L58" s="35">
        <v>18</v>
      </c>
      <c r="M58" s="34" t="str">
        <f t="shared" si="5"/>
        <v>E</v>
      </c>
      <c r="N58" s="36">
        <v>64</v>
      </c>
      <c r="O58" s="34" t="str">
        <f t="shared" si="0"/>
        <v>E</v>
      </c>
      <c r="P58" s="35">
        <v>23</v>
      </c>
      <c r="Q58" s="37" t="str">
        <f t="shared" si="6"/>
        <v>E</v>
      </c>
      <c r="R58" s="33">
        <v>68</v>
      </c>
      <c r="S58" s="34" t="str">
        <f t="shared" si="7"/>
        <v>E</v>
      </c>
      <c r="T58" s="35">
        <v>23</v>
      </c>
      <c r="U58" s="37" t="str">
        <f t="shared" si="8"/>
        <v>E</v>
      </c>
      <c r="V58" s="33">
        <v>52</v>
      </c>
      <c r="W58" s="34" t="str">
        <f t="shared" si="9"/>
        <v>E</v>
      </c>
      <c r="X58" s="35">
        <v>23</v>
      </c>
      <c r="Y58" s="37" t="str">
        <f t="shared" si="10"/>
        <v>E</v>
      </c>
      <c r="Z58" s="35">
        <v>23</v>
      </c>
      <c r="AA58" s="37" t="str">
        <f t="shared" si="11"/>
        <v>E</v>
      </c>
      <c r="AB58" s="33">
        <v>28</v>
      </c>
      <c r="AC58" s="34" t="str">
        <f t="shared" si="12"/>
        <v>F</v>
      </c>
      <c r="AD58" s="35">
        <v>18</v>
      </c>
      <c r="AE58" s="34" t="str">
        <f t="shared" si="13"/>
        <v>E</v>
      </c>
      <c r="AF58" s="35">
        <v>43</v>
      </c>
      <c r="AG58" s="37" t="str">
        <f t="shared" si="14"/>
        <v>E</v>
      </c>
      <c r="AH58" s="4">
        <f>IF(OR(AND(D58&gt;=31,D58&lt;40),AND(H58&gt;=31,H58&lt;40),AND(N58&gt;=31,N58&lt;40),AND(R58&gt;=31,R58&lt;40),AND(V58&gt;=31,V58&lt;40),AND(AB58&gt;=11,AB58&lt;20)),IF(AND(OR(COUNTIF(D58:AG58,"=31")&gt;=1,COUNTIF(D58:AG58,"=32")&gt;=1,COUNTIF(D58:AG58,"=33")&gt;=1,COUNTIF(D58:AG58,"=34")&gt;=1,COUNTIF(D58:AG58,"=35")&gt;=1,COUNTIF(D58:AG58,"=36")&gt;=1 ),COUNTIF(D58:AG58,"")=0,COUNTIF(D58:AG58," ")=0,COUNTIF(D58:AG58,"F")=1),CONCATENATE(SUM(EXTRACTNUMBER(D58),EXTRACTNUMBER(F58),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EXTRACTNUMBER(AD58),EXTRACTNUMBER(AF58)),"*"),IF(AND(COUNTIF(D58:AG58,"=34")&gt;=1,COUNTIF(D58:AG58,"=35")&gt;=1,COUNTIF(D58:AG58,"f")=2,COUNTIF(D58:AG58,"")=0,COUNTIF(D58:AG58,"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EXTRACTNUMBER(AD58),EXTRACTNUMBER(AF58)),"*"),IF(AND(COUNTIF(D58:AG58,"=36")&gt;=2,COUNTIF(D58:AG58,"f")=2,COUNTIF(D58:AG58,"")=0,COUNTIF(D58:AG58,"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EXTRACTNUMBER(AD58),EXTRACTNUMBER(AF58)),"*"),SUM(EXTRACTNUMBER(D58),EXTRACTNUMBER(F58),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EXTRACTNUMBER(AD58),EXTRACTNUMBER(AF58))))),SUM(EXTRACTNUMBER(D58),EXTRACTNUMBER(F58),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EXTRACTNUMBER(AD58),EXTRACTNUMBER(AF58)))</f>
        <v>512</v>
      </c>
      <c r="AI58" s="38" t="str">
        <f t="shared" si="15"/>
        <v>FAIL</v>
      </c>
      <c r="AJ58" s="28" t="str">
        <f>spellnumber(EXTRACTnUMBER_TOT(AH58))</f>
        <v xml:space="preserve">Five Hundred Twelve </v>
      </c>
      <c r="AK58" s="5">
        <v>512</v>
      </c>
    </row>
    <row r="59" spans="2:37" s="5" customFormat="1" ht="15" customHeight="1">
      <c r="B59" s="31">
        <v>223233</v>
      </c>
      <c r="C59" s="32" t="s">
        <v>191</v>
      </c>
      <c r="D59" s="33">
        <v>40</v>
      </c>
      <c r="E59" s="34" t="str">
        <f t="shared" si="1"/>
        <v/>
      </c>
      <c r="F59" s="35">
        <v>18</v>
      </c>
      <c r="G59" s="34" t="str">
        <f t="shared" si="2"/>
        <v/>
      </c>
      <c r="H59" s="36">
        <v>71</v>
      </c>
      <c r="I59" s="34" t="str">
        <f t="shared" si="3"/>
        <v/>
      </c>
      <c r="J59" s="35">
        <v>20</v>
      </c>
      <c r="K59" s="34" t="str">
        <f t="shared" si="4"/>
        <v/>
      </c>
      <c r="L59" s="35">
        <v>18</v>
      </c>
      <c r="M59" s="34" t="str">
        <f t="shared" si="5"/>
        <v/>
      </c>
      <c r="N59" s="36">
        <v>57</v>
      </c>
      <c r="O59" s="34" t="str">
        <f t="shared" si="0"/>
        <v/>
      </c>
      <c r="P59" s="35">
        <v>18</v>
      </c>
      <c r="Q59" s="37" t="str">
        <f t="shared" si="6"/>
        <v/>
      </c>
      <c r="R59" s="33">
        <v>53</v>
      </c>
      <c r="S59" s="34" t="str">
        <f t="shared" si="7"/>
        <v/>
      </c>
      <c r="T59" s="35">
        <v>20</v>
      </c>
      <c r="U59" s="37" t="str">
        <f t="shared" si="8"/>
        <v/>
      </c>
      <c r="V59" s="33">
        <v>54</v>
      </c>
      <c r="W59" s="34" t="str">
        <f t="shared" si="9"/>
        <v/>
      </c>
      <c r="X59" s="35">
        <v>21</v>
      </c>
      <c r="Y59" s="37" t="str">
        <f t="shared" si="10"/>
        <v/>
      </c>
      <c r="Z59" s="35">
        <v>21</v>
      </c>
      <c r="AA59" s="37" t="str">
        <f t="shared" si="11"/>
        <v/>
      </c>
      <c r="AB59" s="33">
        <v>47</v>
      </c>
      <c r="AC59" s="34" t="str">
        <f t="shared" si="12"/>
        <v/>
      </c>
      <c r="AD59" s="35">
        <v>23</v>
      </c>
      <c r="AE59" s="34" t="str">
        <f t="shared" si="13"/>
        <v/>
      </c>
      <c r="AF59" s="35">
        <v>41</v>
      </c>
      <c r="AG59" s="37" t="str">
        <f t="shared" si="14"/>
        <v/>
      </c>
      <c r="AH59" s="4">
        <f>IF(OR(AND(D59&gt;=31,D59&lt;40),AND(H59&gt;=31,H59&lt;40),AND(N59&gt;=31,N59&lt;40),AND(R59&gt;=31,R59&lt;40),AND(V59&gt;=31,V59&lt;40),AND(AB59&gt;=11,AB59&lt;20)),IF(AND(OR(COUNTIF(D59:AG59,"=31")&gt;=1,COUNTIF(D59:AG59,"=32")&gt;=1,COUNTIF(D59:AG59,"=33")&gt;=1,COUNTIF(D59:AG59,"=34")&gt;=1,COUNTIF(D59:AG59,"=35")&gt;=1,COUNTIF(D59:AG59,"=36")&gt;=1 ),COUNTIF(D59:AG59,"")=0,COUNTIF(D59:AG59," ")=0,COUNTIF(D59:AG59,"F")=1),CONCATENATE(SUM(EXTRACTNUMBER(D59),EXTRACTNUMBER(F59),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EXTRACTNUMBER(AD59),EXTRACTNUMBER(AF59)),"*"),IF(AND(COUNTIF(D59:AG59,"=34")&gt;=1,COUNTIF(D59:AG59,"=35")&gt;=1,COUNTIF(D59:AG59,"f")=2,COUNTIF(D59:AG59,"")=0,COUNTIF(D59:AG59,"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EXTRACTNUMBER(AD59),EXTRACTNUMBER(AF59)),"*"),IF(AND(COUNTIF(D59:AG59,"=36")&gt;=2,COUNTIF(D59:AG59,"f")=2,COUNTIF(D59:AG59,"")=0,COUNTIF(D59:AG59,"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EXTRACTNUMBER(AD59),EXTRACTNUMBER(AF59)),"*"),SUM(EXTRACTNUMBER(D59),EXTRACTNUMBER(F59),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EXTRACTNUMBER(AD59),EXTRACTNUMBER(AF59))))),SUM(EXTRACTNUMBER(D59),EXTRACTNUMBER(F59),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EXTRACTNUMBER(AD59),EXTRACTNUMBER(AF59)))</f>
        <v>522</v>
      </c>
      <c r="AI59" s="38" t="str">
        <f t="shared" si="15"/>
        <v>PASS</v>
      </c>
      <c r="AJ59" s="28" t="str">
        <f>spellnumber(EXTRACTnUMBER_TOT(AH59))</f>
        <v xml:space="preserve">Five Hundred Twenty Two </v>
      </c>
      <c r="AK59" s="5">
        <v>522</v>
      </c>
    </row>
    <row r="60" spans="2:37" s="5" customFormat="1" ht="15" customHeight="1">
      <c r="B60" s="31">
        <v>223234</v>
      </c>
      <c r="C60" s="32" t="s">
        <v>192</v>
      </c>
      <c r="D60" s="33">
        <v>45</v>
      </c>
      <c r="E60" s="34" t="str">
        <f t="shared" si="1"/>
        <v/>
      </c>
      <c r="F60" s="35">
        <v>22</v>
      </c>
      <c r="G60" s="34" t="str">
        <f t="shared" si="2"/>
        <v/>
      </c>
      <c r="H60" s="36">
        <v>55</v>
      </c>
      <c r="I60" s="34" t="str">
        <f t="shared" si="3"/>
        <v/>
      </c>
      <c r="J60" s="35">
        <v>23</v>
      </c>
      <c r="K60" s="34" t="str">
        <f t="shared" si="4"/>
        <v/>
      </c>
      <c r="L60" s="35">
        <v>18</v>
      </c>
      <c r="M60" s="34" t="str">
        <f t="shared" si="5"/>
        <v/>
      </c>
      <c r="N60" s="36">
        <v>57</v>
      </c>
      <c r="O60" s="34" t="str">
        <f t="shared" si="0"/>
        <v/>
      </c>
      <c r="P60" s="35">
        <v>19</v>
      </c>
      <c r="Q60" s="37" t="str">
        <f t="shared" si="6"/>
        <v/>
      </c>
      <c r="R60" s="33">
        <v>51</v>
      </c>
      <c r="S60" s="34" t="str">
        <f t="shared" si="7"/>
        <v/>
      </c>
      <c r="T60" s="35">
        <v>21</v>
      </c>
      <c r="U60" s="37" t="str">
        <f t="shared" si="8"/>
        <v/>
      </c>
      <c r="V60" s="33">
        <v>48</v>
      </c>
      <c r="W60" s="34" t="str">
        <f t="shared" si="9"/>
        <v/>
      </c>
      <c r="X60" s="35">
        <v>20</v>
      </c>
      <c r="Y60" s="37" t="str">
        <f t="shared" si="10"/>
        <v/>
      </c>
      <c r="Z60" s="35">
        <v>22</v>
      </c>
      <c r="AA60" s="37" t="str">
        <f t="shared" si="11"/>
        <v/>
      </c>
      <c r="AB60" s="33">
        <v>41</v>
      </c>
      <c r="AC60" s="34" t="str">
        <f t="shared" si="12"/>
        <v/>
      </c>
      <c r="AD60" s="35">
        <v>22</v>
      </c>
      <c r="AE60" s="34" t="str">
        <f t="shared" si="13"/>
        <v/>
      </c>
      <c r="AF60" s="35">
        <v>42</v>
      </c>
      <c r="AG60" s="37" t="str">
        <f t="shared" si="14"/>
        <v/>
      </c>
      <c r="AH60" s="4">
        <f>IF(OR(AND(D60&gt;=31,D60&lt;40),AND(H60&gt;=31,H60&lt;40),AND(N60&gt;=31,N60&lt;40),AND(R60&gt;=31,R60&lt;40),AND(V60&gt;=31,V60&lt;40),AND(AB60&gt;=11,AB60&lt;20)),IF(AND(OR(COUNTIF(D60:AG60,"=31")&gt;=1,COUNTIF(D60:AG60,"=32")&gt;=1,COUNTIF(D60:AG60,"=33")&gt;=1,COUNTIF(D60:AG60,"=34")&gt;=1,COUNTIF(D60:AG60,"=35")&gt;=1,COUNTIF(D60:AG60,"=36")&gt;=1 ),COUNTIF(D60:AG60,"")=0,COUNTIF(D60:AG60," ")=0,COUNTIF(D60:AG60,"F")=1),CONCATENATE(SUM(EXTRACTNUMBER(D60),EXTRACTNUMBER(F60),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EXTRACTNUMBER(AD60),EXTRACTNUMBER(AF60)),"*"),IF(AND(COUNTIF(D60:AG60,"=34")&gt;=1,COUNTIF(D60:AG60,"=35")&gt;=1,COUNTIF(D60:AG60,"f")=2,COUNTIF(D60:AG60,"")=0,COUNTIF(D60:AG60,"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EXTRACTNUMBER(AD60),EXTRACTNUMBER(AF60)),"*"),IF(AND(COUNTIF(D60:AG60,"=36")&gt;=2,COUNTIF(D60:AG60,"f")=2,COUNTIF(D60:AG60,"")=0,COUNTIF(D60:AG60,"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EXTRACTNUMBER(AD60),EXTRACTNUMBER(AF60)),"*"),SUM(EXTRACTNUMBER(D60),EXTRACTNUMBER(F60),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EXTRACTNUMBER(AD60),EXTRACTNUMBER(AF60))))),SUM(EXTRACTNUMBER(D60),EXTRACTNUMBER(F60),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EXTRACTNUMBER(AD60),EXTRACTNUMBER(AF60)))</f>
        <v>506</v>
      </c>
      <c r="AI60" s="38" t="str">
        <f t="shared" si="15"/>
        <v>PASS</v>
      </c>
      <c r="AJ60" s="28" t="str">
        <f>spellnumber(EXTRACTnUMBER_TOT(AH60))</f>
        <v xml:space="preserve">Five Hundred Six </v>
      </c>
      <c r="AK60" s="5">
        <v>506</v>
      </c>
    </row>
    <row r="61" spans="2:37" s="5" customFormat="1" ht="15" customHeight="1">
      <c r="B61" s="31">
        <v>223235</v>
      </c>
      <c r="C61" s="32" t="s">
        <v>193</v>
      </c>
      <c r="D61" s="33" t="s">
        <v>103</v>
      </c>
      <c r="E61" s="34" t="str">
        <f t="shared" si="1"/>
        <v/>
      </c>
      <c r="F61" s="35">
        <v>11</v>
      </c>
      <c r="G61" s="34" t="str">
        <f t="shared" si="2"/>
        <v>E</v>
      </c>
      <c r="H61" s="36">
        <v>43</v>
      </c>
      <c r="I61" s="34" t="str">
        <f t="shared" si="3"/>
        <v>E</v>
      </c>
      <c r="J61" s="35">
        <v>19</v>
      </c>
      <c r="K61" s="34" t="str">
        <f t="shared" si="4"/>
        <v>E</v>
      </c>
      <c r="L61" s="35">
        <v>17</v>
      </c>
      <c r="M61" s="34" t="str">
        <f t="shared" si="5"/>
        <v>E</v>
      </c>
      <c r="N61" s="36">
        <v>28</v>
      </c>
      <c r="O61" s="34" t="str">
        <f t="shared" si="0"/>
        <v>F</v>
      </c>
      <c r="P61" s="35">
        <v>12</v>
      </c>
      <c r="Q61" s="37" t="str">
        <f t="shared" si="6"/>
        <v>E</v>
      </c>
      <c r="R61" s="33" t="s">
        <v>103</v>
      </c>
      <c r="S61" s="34" t="str">
        <f t="shared" si="7"/>
        <v/>
      </c>
      <c r="T61" s="35">
        <v>14</v>
      </c>
      <c r="U61" s="37" t="str">
        <f t="shared" si="8"/>
        <v>E</v>
      </c>
      <c r="V61" s="33">
        <v>19</v>
      </c>
      <c r="W61" s="34" t="str">
        <f t="shared" si="9"/>
        <v>F</v>
      </c>
      <c r="X61" s="35">
        <v>13</v>
      </c>
      <c r="Y61" s="37" t="str">
        <f t="shared" si="10"/>
        <v>E</v>
      </c>
      <c r="Z61" s="35">
        <v>17</v>
      </c>
      <c r="AA61" s="37" t="str">
        <f t="shared" si="11"/>
        <v>E</v>
      </c>
      <c r="AB61" s="33">
        <v>40</v>
      </c>
      <c r="AC61" s="34" t="str">
        <f t="shared" si="12"/>
        <v>E</v>
      </c>
      <c r="AD61" s="35">
        <v>20</v>
      </c>
      <c r="AE61" s="34" t="str">
        <f t="shared" si="13"/>
        <v>E</v>
      </c>
      <c r="AF61" s="35">
        <v>36</v>
      </c>
      <c r="AG61" s="37" t="str">
        <f t="shared" si="14"/>
        <v>E</v>
      </c>
      <c r="AH61" s="4">
        <f>IF(OR(AND(D61&gt;=31,D61&lt;40),AND(H61&gt;=31,H61&lt;40),AND(N61&gt;=31,N61&lt;40),AND(R61&gt;=31,R61&lt;40),AND(V61&gt;=31,V61&lt;40),AND(AB61&gt;=11,AB61&lt;20)),IF(AND(OR(COUNTIF(D61:AG61,"=31")&gt;=1,COUNTIF(D61:AG61,"=32")&gt;=1,COUNTIF(D61:AG61,"=33")&gt;=1,COUNTIF(D61:AG61,"=34")&gt;=1,COUNTIF(D61:AG61,"=35")&gt;=1,COUNTIF(D61:AG61,"=36")&gt;=1 ),COUNTIF(D61:AG61,"")=0,COUNTIF(D61:AG61," ")=0,COUNTIF(D61:AG61,"F")=1),CONCATENATE(SUM(EXTRACTNUMBER(D61),EXTRACTNUMBER(F61),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EXTRACTNUMBER(AD61),EXTRACTNUMBER(AF61)),"*"),IF(AND(COUNTIF(D61:AG61,"=34")&gt;=1,COUNTIF(D61:AG61,"=35")&gt;=1,COUNTIF(D61:AG61,"f")=2,COUNTIF(D61:AG61,"")=0,COUNTIF(D61:AG61,"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EXTRACTNUMBER(AD61),EXTRACTNUMBER(AF61)),"*"),IF(AND(COUNTIF(D61:AG61,"=36")&gt;=2,COUNTIF(D61:AG61,"f")=2,COUNTIF(D61:AG61,"")=0,COUNTIF(D61:AG61,"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EXTRACTNUMBER(AD61),EXTRACTNUMBER(AF61)),"*"),SUM(EXTRACTNUMBER(D61),EXTRACTNUMBER(F61),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EXTRACTNUMBER(AD61),EXTRACTNUMBER(AF61))))),SUM(EXTRACTNUMBER(D61),EXTRACTNUMBER(F61),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EXTRACTNUMBER(AD61),EXTRACTNUMBER(AF61)))</f>
        <v>289</v>
      </c>
      <c r="AI61" s="38" t="str">
        <f t="shared" si="15"/>
        <v>FAIL</v>
      </c>
      <c r="AJ61" s="28" t="str">
        <f>spellnumber(EXTRACTnUMBER_TOT(AH61))</f>
        <v xml:space="preserve">Two Hundred Eighty Nine </v>
      </c>
      <c r="AK61" s="5">
        <v>289</v>
      </c>
    </row>
    <row r="62" spans="2:37" s="5" customFormat="1" ht="15" customHeight="1">
      <c r="B62" s="31">
        <v>223236</v>
      </c>
      <c r="C62" s="32" t="s">
        <v>194</v>
      </c>
      <c r="D62" s="33">
        <v>40</v>
      </c>
      <c r="E62" s="34" t="str">
        <f t="shared" si="1"/>
        <v/>
      </c>
      <c r="F62" s="35">
        <v>21</v>
      </c>
      <c r="G62" s="34" t="str">
        <f t="shared" si="2"/>
        <v/>
      </c>
      <c r="H62" s="36">
        <v>62</v>
      </c>
      <c r="I62" s="34" t="str">
        <f t="shared" si="3"/>
        <v/>
      </c>
      <c r="J62" s="35">
        <v>18</v>
      </c>
      <c r="K62" s="34" t="str">
        <f t="shared" si="4"/>
        <v/>
      </c>
      <c r="L62" s="35">
        <v>19</v>
      </c>
      <c r="M62" s="34" t="str">
        <f t="shared" si="5"/>
        <v/>
      </c>
      <c r="N62" s="36">
        <v>52</v>
      </c>
      <c r="O62" s="34" t="str">
        <f t="shared" si="0"/>
        <v/>
      </c>
      <c r="P62" s="35">
        <v>17</v>
      </c>
      <c r="Q62" s="37" t="str">
        <f t="shared" si="6"/>
        <v/>
      </c>
      <c r="R62" s="33">
        <v>62</v>
      </c>
      <c r="S62" s="34" t="str">
        <f t="shared" si="7"/>
        <v/>
      </c>
      <c r="T62" s="35">
        <v>20</v>
      </c>
      <c r="U62" s="37" t="str">
        <f t="shared" si="8"/>
        <v/>
      </c>
      <c r="V62" s="33">
        <v>55</v>
      </c>
      <c r="W62" s="34" t="str">
        <f t="shared" si="9"/>
        <v/>
      </c>
      <c r="X62" s="35">
        <v>22</v>
      </c>
      <c r="Y62" s="37" t="str">
        <f t="shared" si="10"/>
        <v/>
      </c>
      <c r="Z62" s="35">
        <v>21</v>
      </c>
      <c r="AA62" s="37" t="str">
        <f t="shared" si="11"/>
        <v/>
      </c>
      <c r="AB62" s="33">
        <v>50</v>
      </c>
      <c r="AC62" s="34" t="str">
        <f t="shared" si="12"/>
        <v/>
      </c>
      <c r="AD62" s="35">
        <v>22</v>
      </c>
      <c r="AE62" s="34" t="str">
        <f t="shared" si="13"/>
        <v/>
      </c>
      <c r="AF62" s="35">
        <v>36</v>
      </c>
      <c r="AG62" s="37" t="str">
        <f t="shared" si="14"/>
        <v/>
      </c>
      <c r="AH62" s="4">
        <f>IF(OR(AND(D62&gt;=31,D62&lt;40),AND(H62&gt;=31,H62&lt;40),AND(N62&gt;=31,N62&lt;40),AND(R62&gt;=31,R62&lt;40),AND(V62&gt;=31,V62&lt;40),AND(AB62&gt;=11,AB62&lt;20)),IF(AND(OR(COUNTIF(D62:AG62,"=31")&gt;=1,COUNTIF(D62:AG62,"=32")&gt;=1,COUNTIF(D62:AG62,"=33")&gt;=1,COUNTIF(D62:AG62,"=34")&gt;=1,COUNTIF(D62:AG62,"=35")&gt;=1,COUNTIF(D62:AG62,"=36")&gt;=1 ),COUNTIF(D62:AG62,"")=0,COUNTIF(D62:AG62," ")=0,COUNTIF(D62:AG62,"F")=1),CONCATENATE(SUM(EXTRACTNUMBER(D62),EXTRACTNUMBER(F62),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EXTRACTNUMBER(AD62),EXTRACTNUMBER(AF62)),"*"),IF(AND(COUNTIF(D62:AG62,"=34")&gt;=1,COUNTIF(D62:AG62,"=35")&gt;=1,COUNTIF(D62:AG62,"f")=2,COUNTIF(D62:AG62,"")=0,COUNTIF(D62:AG62,"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EXTRACTNUMBER(AD62),EXTRACTNUMBER(AF62)),"*"),IF(AND(COUNTIF(D62:AG62,"=36")&gt;=2,COUNTIF(D62:AG62,"f")=2,COUNTIF(D62:AG62,"")=0,COUNTIF(D62:AG62,"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EXTRACTNUMBER(AD62),EXTRACTNUMBER(AF62)),"*"),SUM(EXTRACTNUMBER(D62),EXTRACTNUMBER(F62),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EXTRACTNUMBER(AD62),EXTRACTNUMBER(AF62))))),SUM(EXTRACTNUMBER(D62),EXTRACTNUMBER(F62),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EXTRACTNUMBER(AD62),EXTRACTNUMBER(AF62)))</f>
        <v>517</v>
      </c>
      <c r="AI62" s="38" t="str">
        <f t="shared" si="15"/>
        <v>PASS</v>
      </c>
      <c r="AJ62" s="28" t="str">
        <f>spellnumber(EXTRACTnUMBER_TOT(AH62))</f>
        <v xml:space="preserve">Five Hundred Seventeen </v>
      </c>
      <c r="AK62" s="5">
        <v>517</v>
      </c>
    </row>
    <row r="63" spans="2:37" s="5" customFormat="1" ht="15" customHeight="1">
      <c r="B63" s="31">
        <v>223237</v>
      </c>
      <c r="C63" s="32" t="s">
        <v>195</v>
      </c>
      <c r="D63" s="33">
        <v>40</v>
      </c>
      <c r="E63" s="34" t="str">
        <f t="shared" si="1"/>
        <v/>
      </c>
      <c r="F63" s="35">
        <v>16</v>
      </c>
      <c r="G63" s="34" t="str">
        <f t="shared" si="2"/>
        <v/>
      </c>
      <c r="H63" s="36">
        <v>66</v>
      </c>
      <c r="I63" s="34" t="str">
        <f t="shared" si="3"/>
        <v/>
      </c>
      <c r="J63" s="35">
        <v>23</v>
      </c>
      <c r="K63" s="34" t="str">
        <f t="shared" si="4"/>
        <v/>
      </c>
      <c r="L63" s="35">
        <v>18</v>
      </c>
      <c r="M63" s="34" t="str">
        <f t="shared" si="5"/>
        <v/>
      </c>
      <c r="N63" s="36">
        <v>58</v>
      </c>
      <c r="O63" s="34" t="str">
        <f t="shared" si="0"/>
        <v/>
      </c>
      <c r="P63" s="35">
        <v>22</v>
      </c>
      <c r="Q63" s="37" t="str">
        <f t="shared" si="6"/>
        <v/>
      </c>
      <c r="R63" s="33">
        <v>71</v>
      </c>
      <c r="S63" s="34" t="str">
        <f t="shared" si="7"/>
        <v/>
      </c>
      <c r="T63" s="35">
        <v>24</v>
      </c>
      <c r="U63" s="37" t="str">
        <f t="shared" si="8"/>
        <v/>
      </c>
      <c r="V63" s="33">
        <v>53</v>
      </c>
      <c r="W63" s="34" t="str">
        <f t="shared" si="9"/>
        <v/>
      </c>
      <c r="X63" s="35">
        <v>24</v>
      </c>
      <c r="Y63" s="37" t="str">
        <f t="shared" si="10"/>
        <v/>
      </c>
      <c r="Z63" s="35">
        <v>24</v>
      </c>
      <c r="AA63" s="37" t="str">
        <f t="shared" si="11"/>
        <v/>
      </c>
      <c r="AB63" s="33">
        <v>60</v>
      </c>
      <c r="AC63" s="34" t="str">
        <f t="shared" si="12"/>
        <v/>
      </c>
      <c r="AD63" s="35">
        <v>23</v>
      </c>
      <c r="AE63" s="34" t="str">
        <f t="shared" si="13"/>
        <v/>
      </c>
      <c r="AF63" s="35">
        <v>42</v>
      </c>
      <c r="AG63" s="37" t="str">
        <f t="shared" si="14"/>
        <v/>
      </c>
      <c r="AH63" s="4">
        <f>IF(OR(AND(D63&gt;=31,D63&lt;40),AND(H63&gt;=31,H63&lt;40),AND(N63&gt;=31,N63&lt;40),AND(R63&gt;=31,R63&lt;40),AND(V63&gt;=31,V63&lt;40),AND(AB63&gt;=11,AB63&lt;20)),IF(AND(OR(COUNTIF(D63:AG63,"=31")&gt;=1,COUNTIF(D63:AG63,"=32")&gt;=1,COUNTIF(D63:AG63,"=33")&gt;=1,COUNTIF(D63:AG63,"=34")&gt;=1,COUNTIF(D63:AG63,"=35")&gt;=1,COUNTIF(D63:AG63,"=36")&gt;=1 ),COUNTIF(D63:AG63,"")=0,COUNTIF(D63:AG63," ")=0,COUNTIF(D63:AG63,"F")=1),CONCATENATE(SUM(EXTRACTNUMBER(D63),EXTRACTNUMBER(F63),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EXTRACTNUMBER(AD63),EXTRACTNUMBER(AF63)),"*"),IF(AND(COUNTIF(D63:AG63,"=34")&gt;=1,COUNTIF(D63:AG63,"=35")&gt;=1,COUNTIF(D63:AG63,"f")=2,COUNTIF(D63:AG63,"")=0,COUNTIF(D63:AG63,"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EXTRACTNUMBER(AD63),EXTRACTNUMBER(AF63)),"*"),IF(AND(COUNTIF(D63:AG63,"=36")&gt;=2,COUNTIF(D63:AG63,"f")=2,COUNTIF(D63:AG63,"")=0,COUNTIF(D63:AG63,"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EXTRACTNUMBER(AD63),EXTRACTNUMBER(AF63)),"*"),SUM(EXTRACTNUMBER(D63),EXTRACTNUMBER(F63),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EXTRACTNUMBER(AD63),EXTRACTNUMBER(AF63))))),SUM(EXTRACTNUMBER(D63),EXTRACTNUMBER(F63),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EXTRACTNUMBER(AD63),EXTRACTNUMBER(AF63)))</f>
        <v>564</v>
      </c>
      <c r="AI63" s="38" t="str">
        <f t="shared" si="15"/>
        <v>PASS</v>
      </c>
      <c r="AJ63" s="28" t="str">
        <f>spellnumber(EXTRACTnUMBER_TOT(AH63))</f>
        <v xml:space="preserve">Five Hundred Sixty Four </v>
      </c>
      <c r="AK63" s="5">
        <v>564</v>
      </c>
    </row>
    <row r="64" spans="2:37" s="5" customFormat="1" ht="15" customHeight="1">
      <c r="B64" s="31">
        <v>223238</v>
      </c>
      <c r="C64" s="32" t="s">
        <v>196</v>
      </c>
      <c r="D64" s="33">
        <v>40</v>
      </c>
      <c r="E64" s="34" t="str">
        <f t="shared" si="1"/>
        <v/>
      </c>
      <c r="F64" s="35">
        <v>24</v>
      </c>
      <c r="G64" s="34" t="str">
        <f t="shared" si="2"/>
        <v/>
      </c>
      <c r="H64" s="36">
        <v>74</v>
      </c>
      <c r="I64" s="34" t="str">
        <f t="shared" si="3"/>
        <v/>
      </c>
      <c r="J64" s="35">
        <v>19</v>
      </c>
      <c r="K64" s="34" t="str">
        <f t="shared" si="4"/>
        <v/>
      </c>
      <c r="L64" s="35">
        <v>17</v>
      </c>
      <c r="M64" s="34" t="str">
        <f t="shared" si="5"/>
        <v/>
      </c>
      <c r="N64" s="36">
        <v>49</v>
      </c>
      <c r="O64" s="34" t="str">
        <f t="shared" si="0"/>
        <v/>
      </c>
      <c r="P64" s="35">
        <v>23</v>
      </c>
      <c r="Q64" s="37" t="str">
        <f t="shared" si="6"/>
        <v/>
      </c>
      <c r="R64" s="33">
        <v>52</v>
      </c>
      <c r="S64" s="34" t="str">
        <f t="shared" si="7"/>
        <v/>
      </c>
      <c r="T64" s="35">
        <v>23</v>
      </c>
      <c r="U64" s="37" t="str">
        <f t="shared" si="8"/>
        <v/>
      </c>
      <c r="V64" s="33">
        <v>58</v>
      </c>
      <c r="W64" s="34" t="str">
        <f t="shared" si="9"/>
        <v/>
      </c>
      <c r="X64" s="35">
        <v>21</v>
      </c>
      <c r="Y64" s="37" t="str">
        <f t="shared" si="10"/>
        <v/>
      </c>
      <c r="Z64" s="35">
        <v>21</v>
      </c>
      <c r="AA64" s="37" t="str">
        <f t="shared" si="11"/>
        <v/>
      </c>
      <c r="AB64" s="33">
        <v>50</v>
      </c>
      <c r="AC64" s="34" t="str">
        <f t="shared" si="12"/>
        <v/>
      </c>
      <c r="AD64" s="35">
        <v>21</v>
      </c>
      <c r="AE64" s="34" t="str">
        <f t="shared" si="13"/>
        <v/>
      </c>
      <c r="AF64" s="35">
        <v>40</v>
      </c>
      <c r="AG64" s="37" t="str">
        <f t="shared" si="14"/>
        <v/>
      </c>
      <c r="AH64" s="4">
        <f>IF(OR(AND(D64&gt;=31,D64&lt;40),AND(H64&gt;=31,H64&lt;40),AND(N64&gt;=31,N64&lt;40),AND(R64&gt;=31,R64&lt;40),AND(V64&gt;=31,V64&lt;40),AND(AB64&gt;=11,AB64&lt;20)),IF(AND(OR(COUNTIF(D64:AG64,"=31")&gt;=1,COUNTIF(D64:AG64,"=32")&gt;=1,COUNTIF(D64:AG64,"=33")&gt;=1,COUNTIF(D64:AG64,"=34")&gt;=1,COUNTIF(D64:AG64,"=35")&gt;=1,COUNTIF(D64:AG64,"=36")&gt;=1 ),COUNTIF(D64:AG64,"")=0,COUNTIF(D64:AG64," ")=0,COUNTIF(D64:AG64,"F")=1),CONCATENATE(SUM(EXTRACTNUMBER(D64),EXTRACTNUMBER(F64),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EXTRACTNUMBER(AD64),EXTRACTNUMBER(AF64)),"*"),IF(AND(COUNTIF(D64:AG64,"=34")&gt;=1,COUNTIF(D64:AG64,"=35")&gt;=1,COUNTIF(D64:AG64,"f")=2,COUNTIF(D64:AG64,"")=0,COUNTIF(D64:AG64,"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EXTRACTNUMBER(AD64),EXTRACTNUMBER(AF64)),"*"),IF(AND(COUNTIF(D64:AG64,"=36")&gt;=2,COUNTIF(D64:AG64,"f")=2,COUNTIF(D64:AG64,"")=0,COUNTIF(D64:AG64,"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EXTRACTNUMBER(AD64),EXTRACTNUMBER(AF64)),"*"),SUM(EXTRACTNUMBER(D64),EXTRACTNUMBER(F64),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EXTRACTNUMBER(AD64),EXTRACTNUMBER(AF64))))),SUM(EXTRACTNUMBER(D64),EXTRACTNUMBER(F64),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EXTRACTNUMBER(AD64),EXTRACTNUMBER(AF64)))</f>
        <v>532</v>
      </c>
      <c r="AI64" s="38" t="str">
        <f t="shared" si="15"/>
        <v>PASS</v>
      </c>
      <c r="AJ64" s="28" t="str">
        <f>spellnumber(EXTRACTnUMBER_TOT(AH64))</f>
        <v xml:space="preserve">Five Hundred Thirty Two </v>
      </c>
      <c r="AK64" s="5">
        <v>532</v>
      </c>
    </row>
    <row r="65" spans="2:37" s="5" customFormat="1" ht="15" customHeight="1">
      <c r="B65" s="31">
        <v>223239</v>
      </c>
      <c r="C65" s="32" t="s">
        <v>197</v>
      </c>
      <c r="D65" s="33">
        <v>29</v>
      </c>
      <c r="E65" s="34" t="str">
        <f t="shared" si="1"/>
        <v>F</v>
      </c>
      <c r="F65" s="35">
        <v>18</v>
      </c>
      <c r="G65" s="34" t="str">
        <f t="shared" si="2"/>
        <v>E</v>
      </c>
      <c r="H65" s="36">
        <v>78</v>
      </c>
      <c r="I65" s="34" t="str">
        <f t="shared" si="3"/>
        <v>E</v>
      </c>
      <c r="J65" s="35">
        <v>22</v>
      </c>
      <c r="K65" s="34" t="str">
        <f t="shared" si="4"/>
        <v>E</v>
      </c>
      <c r="L65" s="35">
        <v>19</v>
      </c>
      <c r="M65" s="34" t="str">
        <f t="shared" si="5"/>
        <v>E</v>
      </c>
      <c r="N65" s="36">
        <v>44</v>
      </c>
      <c r="O65" s="34" t="str">
        <f t="shared" si="0"/>
        <v>E</v>
      </c>
      <c r="P65" s="35">
        <v>19</v>
      </c>
      <c r="Q65" s="37" t="str">
        <f t="shared" si="6"/>
        <v>E</v>
      </c>
      <c r="R65" s="33">
        <v>65</v>
      </c>
      <c r="S65" s="34" t="str">
        <f t="shared" si="7"/>
        <v>E</v>
      </c>
      <c r="T65" s="35">
        <v>20</v>
      </c>
      <c r="U65" s="37" t="str">
        <f t="shared" si="8"/>
        <v>E</v>
      </c>
      <c r="V65" s="33">
        <v>52</v>
      </c>
      <c r="W65" s="34" t="str">
        <f t="shared" si="9"/>
        <v>E</v>
      </c>
      <c r="X65" s="35">
        <v>21</v>
      </c>
      <c r="Y65" s="37" t="str">
        <f t="shared" si="10"/>
        <v>E</v>
      </c>
      <c r="Z65" s="35">
        <v>21</v>
      </c>
      <c r="AA65" s="37" t="str">
        <f t="shared" si="11"/>
        <v>E</v>
      </c>
      <c r="AB65" s="33">
        <v>44</v>
      </c>
      <c r="AC65" s="34" t="str">
        <f t="shared" si="12"/>
        <v>E</v>
      </c>
      <c r="AD65" s="35">
        <v>19</v>
      </c>
      <c r="AE65" s="34" t="str">
        <f t="shared" si="13"/>
        <v>E</v>
      </c>
      <c r="AF65" s="35">
        <v>39</v>
      </c>
      <c r="AG65" s="37" t="str">
        <f t="shared" si="14"/>
        <v>E</v>
      </c>
      <c r="AH65" s="4">
        <f>IF(OR(AND(D65&gt;=31,D65&lt;40),AND(H65&gt;=31,H65&lt;40),AND(N65&gt;=31,N65&lt;40),AND(R65&gt;=31,R65&lt;40),AND(V65&gt;=31,V65&lt;40),AND(AB65&gt;=11,AB65&lt;20)),IF(AND(OR(COUNTIF(D65:AG65,"=31")&gt;=1,COUNTIF(D65:AG65,"=32")&gt;=1,COUNTIF(D65:AG65,"=33")&gt;=1,COUNTIF(D65:AG65,"=34")&gt;=1,COUNTIF(D65:AG65,"=35")&gt;=1,COUNTIF(D65:AG65,"=36")&gt;=1 ),COUNTIF(D65:AG65,"")=0,COUNTIF(D65:AG65," ")=0,COUNTIF(D65:AG65,"F")=1),CONCATENATE(SUM(EXTRACTNUMBER(D65),EXTRACTNUMBER(F65),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EXTRACTNUMBER(AD65),EXTRACTNUMBER(AF65)),"*"),IF(AND(COUNTIF(D65:AG65,"=34")&gt;=1,COUNTIF(D65:AG65,"=35")&gt;=1,COUNTIF(D65:AG65,"f")=2,COUNTIF(D65:AG65,"")=0,COUNTIF(D65:AG65,"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EXTRACTNUMBER(AD65),EXTRACTNUMBER(AF65)),"*"),IF(AND(COUNTIF(D65:AG65,"=36")&gt;=2,COUNTIF(D65:AG65,"f")=2,COUNTIF(D65:AG65,"")=0,COUNTIF(D65:AG65,"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EXTRACTNUMBER(AD65),EXTRACTNUMBER(AF65)),"*"),SUM(EXTRACTNUMBER(D65),EXTRACTNUMBER(F65),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EXTRACTNUMBER(AD65),EXTRACTNUMBER(AF65))))),SUM(EXTRACTNUMBER(D65),EXTRACTNUMBER(F65),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EXTRACTNUMBER(AD65),EXTRACTNUMBER(AF65)))</f>
        <v>510</v>
      </c>
      <c r="AI65" s="38" t="str">
        <f t="shared" si="15"/>
        <v>FAIL</v>
      </c>
      <c r="AJ65" s="28" t="str">
        <f>spellnumber(EXTRACTnUMBER_TOT(AH65))</f>
        <v xml:space="preserve">Five Hundred Ten </v>
      </c>
      <c r="AK65" s="5">
        <v>510</v>
      </c>
    </row>
    <row r="66" spans="2:37" s="5" customFormat="1" ht="15" customHeight="1">
      <c r="B66" s="31">
        <v>223240</v>
      </c>
      <c r="C66" s="32" t="s">
        <v>198</v>
      </c>
      <c r="D66" s="33">
        <v>83</v>
      </c>
      <c r="E66" s="34" t="str">
        <f t="shared" si="1"/>
        <v/>
      </c>
      <c r="F66" s="35">
        <v>24</v>
      </c>
      <c r="G66" s="34" t="str">
        <f t="shared" si="2"/>
        <v/>
      </c>
      <c r="H66" s="36">
        <v>85</v>
      </c>
      <c r="I66" s="34" t="str">
        <f t="shared" si="3"/>
        <v/>
      </c>
      <c r="J66" s="35">
        <v>24</v>
      </c>
      <c r="K66" s="34" t="str">
        <f t="shared" si="4"/>
        <v/>
      </c>
      <c r="L66" s="35">
        <v>21</v>
      </c>
      <c r="M66" s="34" t="str">
        <f t="shared" si="5"/>
        <v/>
      </c>
      <c r="N66" s="36">
        <v>94</v>
      </c>
      <c r="O66" s="34" t="str">
        <f t="shared" si="0"/>
        <v/>
      </c>
      <c r="P66" s="35">
        <v>24</v>
      </c>
      <c r="Q66" s="37" t="str">
        <f t="shared" si="6"/>
        <v/>
      </c>
      <c r="R66" s="33">
        <v>82</v>
      </c>
      <c r="S66" s="34" t="str">
        <f t="shared" si="7"/>
        <v/>
      </c>
      <c r="T66" s="35">
        <v>24</v>
      </c>
      <c r="U66" s="37" t="str">
        <f t="shared" si="8"/>
        <v/>
      </c>
      <c r="V66" s="33">
        <v>60</v>
      </c>
      <c r="W66" s="34" t="str">
        <f t="shared" si="9"/>
        <v/>
      </c>
      <c r="X66" s="35">
        <v>24</v>
      </c>
      <c r="Y66" s="37" t="str">
        <f t="shared" si="10"/>
        <v/>
      </c>
      <c r="Z66" s="35">
        <v>24</v>
      </c>
      <c r="AA66" s="37" t="str">
        <f t="shared" si="11"/>
        <v/>
      </c>
      <c r="AB66" s="33">
        <v>48</v>
      </c>
      <c r="AC66" s="34" t="str">
        <f t="shared" si="12"/>
        <v/>
      </c>
      <c r="AD66" s="35">
        <v>24</v>
      </c>
      <c r="AE66" s="34" t="str">
        <f t="shared" si="13"/>
        <v/>
      </c>
      <c r="AF66" s="35">
        <v>46</v>
      </c>
      <c r="AG66" s="37" t="str">
        <f t="shared" si="14"/>
        <v/>
      </c>
      <c r="AH66" s="4">
        <f>IF(OR(AND(D66&gt;=31,D66&lt;40),AND(H66&gt;=31,H66&lt;40),AND(N66&gt;=31,N66&lt;40),AND(R66&gt;=31,R66&lt;40),AND(V66&gt;=31,V66&lt;40),AND(AB66&gt;=11,AB66&lt;20)),IF(AND(OR(COUNTIF(D66:AG66,"=31")&gt;=1,COUNTIF(D66:AG66,"=32")&gt;=1,COUNTIF(D66:AG66,"=33")&gt;=1,COUNTIF(D66:AG66,"=34")&gt;=1,COUNTIF(D66:AG66,"=35")&gt;=1,COUNTIF(D66:AG66,"=36")&gt;=1 ),COUNTIF(D66:AG66,"")=0,COUNTIF(D66:AG66," ")=0,COUNTIF(D66:AG66,"F")=1),CONCATENATE(SUM(EXTRACTNUMBER(D66),EXTRACTNUMBER(F66),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EXTRACTNUMBER(AD66),EXTRACTNUMBER(AF66)),"*"),IF(AND(COUNTIF(D66:AG66,"=34")&gt;=1,COUNTIF(D66:AG66,"=35")&gt;=1,COUNTIF(D66:AG66,"f")=2,COUNTIF(D66:AG66,"")=0,COUNTIF(D66:AG66,"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EXTRACTNUMBER(AD66),EXTRACTNUMBER(AF66)),"*"),IF(AND(COUNTIF(D66:AG66,"=36")&gt;=2,COUNTIF(D66:AG66,"f")=2,COUNTIF(D66:AG66,"")=0,COUNTIF(D66:AG66,"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EXTRACTNUMBER(AD66),EXTRACTNUMBER(AF66)),"*"),SUM(EXTRACTNUMBER(D66),EXTRACTNUMBER(F66),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EXTRACTNUMBER(AD66),EXTRACTNUMBER(AF66))))),SUM(EXTRACTNUMBER(D66),EXTRACTNUMBER(F66),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EXTRACTNUMBER(AD66),EXTRACTNUMBER(AF66)))</f>
        <v>687</v>
      </c>
      <c r="AI66" s="38" t="str">
        <f t="shared" si="15"/>
        <v>PASS</v>
      </c>
      <c r="AJ66" s="28" t="str">
        <f>spellnumber(EXTRACTnUMBER_TOT(AH66))</f>
        <v xml:space="preserve">Six Hundred Eighty Seven </v>
      </c>
      <c r="AK66" s="5">
        <v>687</v>
      </c>
    </row>
    <row r="67" spans="2:37" s="5" customFormat="1" ht="15" customHeight="1">
      <c r="B67" s="31">
        <v>223241</v>
      </c>
      <c r="C67" s="32" t="s">
        <v>199</v>
      </c>
      <c r="D67" s="33">
        <v>50</v>
      </c>
      <c r="E67" s="34" t="str">
        <f t="shared" si="1"/>
        <v/>
      </c>
      <c r="F67" s="35">
        <v>22</v>
      </c>
      <c r="G67" s="34" t="str">
        <f t="shared" si="2"/>
        <v/>
      </c>
      <c r="H67" s="36">
        <v>71</v>
      </c>
      <c r="I67" s="34" t="str">
        <f t="shared" si="3"/>
        <v/>
      </c>
      <c r="J67" s="35">
        <v>20</v>
      </c>
      <c r="K67" s="34" t="str">
        <f t="shared" si="4"/>
        <v/>
      </c>
      <c r="L67" s="35">
        <v>18</v>
      </c>
      <c r="M67" s="34" t="str">
        <f t="shared" si="5"/>
        <v/>
      </c>
      <c r="N67" s="36">
        <v>72</v>
      </c>
      <c r="O67" s="34" t="str">
        <f t="shared" si="0"/>
        <v/>
      </c>
      <c r="P67" s="35">
        <v>23</v>
      </c>
      <c r="Q67" s="37" t="str">
        <f t="shared" si="6"/>
        <v/>
      </c>
      <c r="R67" s="33">
        <v>68</v>
      </c>
      <c r="S67" s="34" t="str">
        <f t="shared" si="7"/>
        <v/>
      </c>
      <c r="T67" s="35">
        <v>24</v>
      </c>
      <c r="U67" s="37" t="str">
        <f t="shared" si="8"/>
        <v/>
      </c>
      <c r="V67" s="33">
        <v>66</v>
      </c>
      <c r="W67" s="34" t="str">
        <f t="shared" si="9"/>
        <v/>
      </c>
      <c r="X67" s="35">
        <v>22</v>
      </c>
      <c r="Y67" s="37" t="str">
        <f t="shared" si="10"/>
        <v/>
      </c>
      <c r="Z67" s="35">
        <v>21</v>
      </c>
      <c r="AA67" s="37" t="str">
        <f t="shared" si="11"/>
        <v/>
      </c>
      <c r="AB67" s="33">
        <v>52</v>
      </c>
      <c r="AC67" s="34" t="str">
        <f t="shared" si="12"/>
        <v/>
      </c>
      <c r="AD67" s="35">
        <v>22</v>
      </c>
      <c r="AE67" s="34" t="str">
        <f t="shared" si="13"/>
        <v/>
      </c>
      <c r="AF67" s="35">
        <v>39</v>
      </c>
      <c r="AG67" s="37" t="str">
        <f t="shared" si="14"/>
        <v/>
      </c>
      <c r="AH67" s="4">
        <f>IF(OR(AND(D67&gt;=31,D67&lt;40),AND(H67&gt;=31,H67&lt;40),AND(N67&gt;=31,N67&lt;40),AND(R67&gt;=31,R67&lt;40),AND(V67&gt;=31,V67&lt;40),AND(AB67&gt;=11,AB67&lt;20)),IF(AND(OR(COUNTIF(D67:AG67,"=31")&gt;=1,COUNTIF(D67:AG67,"=32")&gt;=1,COUNTIF(D67:AG67,"=33")&gt;=1,COUNTIF(D67:AG67,"=34")&gt;=1,COUNTIF(D67:AG67,"=35")&gt;=1,COUNTIF(D67:AG67,"=36")&gt;=1 ),COUNTIF(D67:AG67,"")=0,COUNTIF(D67:AG67," ")=0,COUNTIF(D67:AG67,"F")=1),CONCATENATE(SUM(EXTRACTNUMBER(D67),EXTRACTNUMBER(F67),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EXTRACTNUMBER(AD67),EXTRACTNUMBER(AF67)),"*"),IF(AND(COUNTIF(D67:AG67,"=34")&gt;=1,COUNTIF(D67:AG67,"=35")&gt;=1,COUNTIF(D67:AG67,"f")=2,COUNTIF(D67:AG67,"")=0,COUNTIF(D67:AG67,"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EXTRACTNUMBER(AD67),EXTRACTNUMBER(AF67)),"*"),IF(AND(COUNTIF(D67:AG67,"=36")&gt;=2,COUNTIF(D67:AG67,"f")=2,COUNTIF(D67:AG67,"")=0,COUNTIF(D67:AG67,"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EXTRACTNUMBER(AD67),EXTRACTNUMBER(AF67)),"*"),SUM(EXTRACTNUMBER(D67),EXTRACTNUMBER(F67),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EXTRACTNUMBER(AD67),EXTRACTNUMBER(AF67))))),SUM(EXTRACTNUMBER(D67),EXTRACTNUMBER(F67),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EXTRACTNUMBER(AD67),EXTRACTNUMBER(AF67)))</f>
        <v>590</v>
      </c>
      <c r="AI67" s="38" t="str">
        <f t="shared" si="15"/>
        <v>PASS</v>
      </c>
      <c r="AJ67" s="28" t="str">
        <f>spellnumber(EXTRACTnUMBER_TOT(AH67))</f>
        <v xml:space="preserve">Five Hundred Ninety </v>
      </c>
      <c r="AK67" s="5">
        <v>590</v>
      </c>
    </row>
    <row r="68" spans="2:37" s="5" customFormat="1" ht="15" customHeight="1">
      <c r="B68" s="31">
        <v>223242</v>
      </c>
      <c r="C68" s="32" t="s">
        <v>200</v>
      </c>
      <c r="D68" s="33">
        <v>26</v>
      </c>
      <c r="E68" s="34" t="str">
        <f t="shared" si="1"/>
        <v>F</v>
      </c>
      <c r="F68" s="35">
        <v>15</v>
      </c>
      <c r="G68" s="34" t="str">
        <f t="shared" si="2"/>
        <v>E</v>
      </c>
      <c r="H68" s="36">
        <v>40</v>
      </c>
      <c r="I68" s="34" t="str">
        <f t="shared" si="3"/>
        <v>E</v>
      </c>
      <c r="J68" s="35">
        <v>18</v>
      </c>
      <c r="K68" s="34" t="str">
        <f t="shared" si="4"/>
        <v>E</v>
      </c>
      <c r="L68" s="35">
        <v>19</v>
      </c>
      <c r="M68" s="34" t="str">
        <f t="shared" si="5"/>
        <v>E</v>
      </c>
      <c r="N68" s="36">
        <v>44</v>
      </c>
      <c r="O68" s="34" t="str">
        <f t="shared" si="0"/>
        <v>E</v>
      </c>
      <c r="P68" s="35">
        <v>16</v>
      </c>
      <c r="Q68" s="37" t="str">
        <f t="shared" si="6"/>
        <v>E</v>
      </c>
      <c r="R68" s="33">
        <v>60</v>
      </c>
      <c r="S68" s="34" t="str">
        <f t="shared" si="7"/>
        <v>E</v>
      </c>
      <c r="T68" s="35">
        <v>20</v>
      </c>
      <c r="U68" s="37" t="str">
        <f t="shared" si="8"/>
        <v>E</v>
      </c>
      <c r="V68" s="33">
        <v>45</v>
      </c>
      <c r="W68" s="34" t="str">
        <f t="shared" si="9"/>
        <v>E</v>
      </c>
      <c r="X68" s="35">
        <v>17</v>
      </c>
      <c r="Y68" s="37" t="str">
        <f t="shared" si="10"/>
        <v>E</v>
      </c>
      <c r="Z68" s="35">
        <v>18</v>
      </c>
      <c r="AA68" s="37" t="str">
        <f t="shared" si="11"/>
        <v>E</v>
      </c>
      <c r="AB68" s="33">
        <v>42</v>
      </c>
      <c r="AC68" s="34" t="str">
        <f t="shared" si="12"/>
        <v>E</v>
      </c>
      <c r="AD68" s="35">
        <v>19</v>
      </c>
      <c r="AE68" s="34" t="str">
        <f t="shared" si="13"/>
        <v>E</v>
      </c>
      <c r="AF68" s="35">
        <v>32</v>
      </c>
      <c r="AG68" s="37" t="str">
        <f t="shared" si="14"/>
        <v>E</v>
      </c>
      <c r="AH68" s="4">
        <f>IF(OR(AND(D68&gt;=31,D68&lt;40),AND(H68&gt;=31,H68&lt;40),AND(N68&gt;=31,N68&lt;40),AND(R68&gt;=31,R68&lt;40),AND(V68&gt;=31,V68&lt;40),AND(AB68&gt;=11,AB68&lt;20)),IF(AND(OR(COUNTIF(D68:AG68,"=31")&gt;=1,COUNTIF(D68:AG68,"=32")&gt;=1,COUNTIF(D68:AG68,"=33")&gt;=1,COUNTIF(D68:AG68,"=34")&gt;=1,COUNTIF(D68:AG68,"=35")&gt;=1,COUNTIF(D68:AG68,"=36")&gt;=1 ),COUNTIF(D68:AG68,"")=0,COUNTIF(D68:AG68," ")=0,COUNTIF(D68:AG68,"F")=1),CONCATENATE(SUM(EXTRACTNUMBER(D68),EXTRACTNUMBER(F68),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EXTRACTNUMBER(AD68),EXTRACTNUMBER(AF68)),"*"),IF(AND(COUNTIF(D68:AG68,"=34")&gt;=1,COUNTIF(D68:AG68,"=35")&gt;=1,COUNTIF(D68:AG68,"f")=2,COUNTIF(D68:AG68,"")=0,COUNTIF(D68:AG68,"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EXTRACTNUMBER(AD68),EXTRACTNUMBER(AF68)),"*"),IF(AND(COUNTIF(D68:AG68,"=36")&gt;=2,COUNTIF(D68:AG68,"f")=2,COUNTIF(D68:AG68,"")=0,COUNTIF(D68:AG68," ")=0),CONCATENATE(SUM(EXTRACTNUMBER(D68),EXTRACTNUMBER(F68),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EXTRACTNUMBER(AD68),EXTRACTNUMBER(AF68)),"*"),SUM(EXTRACTNUMBER(D68),EXTRACTNUMBER(F68),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EXTRACTNUMBER(AD68),EXTRACTNUMBER(AF68))))),SUM(EXTRACTNUMBER(D68),EXTRACTNUMBER(F68),
EXTRACTNUMBER(H68),EXTRACTNUMBER(J68),
EXTRACTNUMBER(L68),EXTRACTNUMBER(N68),
EXTRACTNUMBER(P68),EXTRACTNUMBER(R68),
EXTRACTNUMBER(T68),EXTRACTNUMBER(V68),
EXTRACTNUMBER(X68),EXTRACTNUMBER(Z68),EXTRACTNUMBER(AB68),
EXTRACTNUMBER(AD68),EXTRACTNUMBER(AF68)))</f>
        <v>431</v>
      </c>
      <c r="AI68" s="38" t="str">
        <f t="shared" si="15"/>
        <v>FAIL</v>
      </c>
      <c r="AJ68" s="28" t="str">
        <f>spellnumber(EXTRACTnUMBER_TOT(AH68))</f>
        <v xml:space="preserve">Four Hundred Thirty One </v>
      </c>
      <c r="AK68" s="5" t="s">
        <v>428</v>
      </c>
    </row>
    <row r="69" spans="2:37" s="5" customFormat="1" ht="15" customHeight="1">
      <c r="B69" s="31">
        <v>223243</v>
      </c>
      <c r="C69" s="32" t="s">
        <v>201</v>
      </c>
      <c r="D69" s="33">
        <v>69</v>
      </c>
      <c r="E69" s="34" t="str">
        <f t="shared" si="1"/>
        <v/>
      </c>
      <c r="F69" s="35">
        <v>21</v>
      </c>
      <c r="G69" s="34" t="str">
        <f t="shared" si="2"/>
        <v/>
      </c>
      <c r="H69" s="36">
        <v>65</v>
      </c>
      <c r="I69" s="34" t="str">
        <f t="shared" si="3"/>
        <v/>
      </c>
      <c r="J69" s="35">
        <v>23</v>
      </c>
      <c r="K69" s="34" t="str">
        <f t="shared" si="4"/>
        <v/>
      </c>
      <c r="L69" s="35">
        <v>19</v>
      </c>
      <c r="M69" s="34" t="str">
        <f t="shared" si="5"/>
        <v/>
      </c>
      <c r="N69" s="36">
        <v>79</v>
      </c>
      <c r="O69" s="34" t="str">
        <f t="shared" si="0"/>
        <v/>
      </c>
      <c r="P69" s="35">
        <v>23</v>
      </c>
      <c r="Q69" s="37" t="str">
        <f t="shared" si="6"/>
        <v/>
      </c>
      <c r="R69" s="33">
        <v>57</v>
      </c>
      <c r="S69" s="34" t="str">
        <f t="shared" si="7"/>
        <v/>
      </c>
      <c r="T69" s="35">
        <v>22</v>
      </c>
      <c r="U69" s="37" t="str">
        <f t="shared" si="8"/>
        <v/>
      </c>
      <c r="V69" s="33">
        <v>51</v>
      </c>
      <c r="W69" s="34" t="str">
        <f t="shared" si="9"/>
        <v/>
      </c>
      <c r="X69" s="35">
        <v>19</v>
      </c>
      <c r="Y69" s="37" t="str">
        <f t="shared" si="10"/>
        <v/>
      </c>
      <c r="Z69" s="35">
        <v>19</v>
      </c>
      <c r="AA69" s="37" t="str">
        <f t="shared" si="11"/>
        <v/>
      </c>
      <c r="AB69" s="33">
        <v>51</v>
      </c>
      <c r="AC69" s="34" t="str">
        <f t="shared" si="12"/>
        <v/>
      </c>
      <c r="AD69" s="35">
        <v>21</v>
      </c>
      <c r="AE69" s="34" t="str">
        <f t="shared" si="13"/>
        <v/>
      </c>
      <c r="AF69" s="35">
        <v>40</v>
      </c>
      <c r="AG69" s="37" t="str">
        <f t="shared" si="14"/>
        <v/>
      </c>
      <c r="AH69" s="4">
        <f>IF(OR(AND(D69&gt;=31,D69&lt;40),AND(H69&gt;=31,H69&lt;40),AND(N69&gt;=31,N69&lt;40),AND(R69&gt;=31,R69&lt;40),AND(V69&gt;=31,V69&lt;40),AND(AB69&gt;=11,AB69&lt;20)),IF(AND(OR(COUNTIF(D69:AG69,"=31")&gt;=1,COUNTIF(D69:AG69,"=32")&gt;=1,COUNTIF(D69:AG69,"=33")&gt;=1,COUNTIF(D69:AG69,"=34")&gt;=1,COUNTIF(D69:AG69,"=35")&gt;=1,COUNTIF(D69:AG69,"=36")&gt;=1 ),COUNTIF(D69:AG69,"")=0,COUNTIF(D69:AG69," ")=0,COUNTIF(D69:AG69,"F")=1),CONCATENATE(SUM(EXTRACTNUMBER(D69),EXTRACTNUMBER(F69),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EXTRACTNUMBER(AD69),EXTRACTNUMBER(AF69)),"*"),IF(AND(COUNTIF(D69:AG69,"=34")&gt;=1,COUNTIF(D69:AG69,"=35")&gt;=1,COUNTIF(D69:AG69,"f")=2,COUNTIF(D69:AG69,"")=0,COUNTIF(D69:AG69,"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EXTRACTNUMBER(AD69),EXTRACTNUMBER(AF69)),"*"),IF(AND(COUNTIF(D69:AG69,"=36")&gt;=2,COUNTIF(D69:AG69,"f")=2,COUNTIF(D69:AG69,"")=0,COUNTIF(D69:AG69,"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EXTRACTNUMBER(AD69),EXTRACTNUMBER(AF69)),"*"),SUM(EXTRACTNUMBER(D69),EXTRACTNUMBER(F69),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EXTRACTNUMBER(AD69),EXTRACTNUMBER(AF69))))),SUM(EXTRACTNUMBER(D69),EXTRACTNUMBER(F69),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EXTRACTNUMBER(AD69),EXTRACTNUMBER(AF69)))</f>
        <v>579</v>
      </c>
      <c r="AI69" s="38" t="str">
        <f t="shared" si="15"/>
        <v>PASS</v>
      </c>
      <c r="AJ69" s="28" t="str">
        <f>spellnumber(EXTRACTnUMBER_TOT(AH69))</f>
        <v xml:space="preserve">Five Hundred Seventy Nine </v>
      </c>
      <c r="AK69" s="5">
        <v>579</v>
      </c>
    </row>
    <row r="70" spans="2:37" s="5" customFormat="1" ht="15" customHeight="1">
      <c r="B70" s="31">
        <v>223244</v>
      </c>
      <c r="C70" s="32" t="s">
        <v>202</v>
      </c>
      <c r="D70" s="33">
        <v>54</v>
      </c>
      <c r="E70" s="34" t="str">
        <f t="shared" si="1"/>
        <v/>
      </c>
      <c r="F70" s="35">
        <v>20</v>
      </c>
      <c r="G70" s="34" t="str">
        <f t="shared" si="2"/>
        <v/>
      </c>
      <c r="H70" s="36">
        <v>68</v>
      </c>
      <c r="I70" s="34" t="str">
        <f t="shared" si="3"/>
        <v/>
      </c>
      <c r="J70" s="35">
        <v>20</v>
      </c>
      <c r="K70" s="34" t="str">
        <f t="shared" si="4"/>
        <v/>
      </c>
      <c r="L70" s="35">
        <v>19</v>
      </c>
      <c r="M70" s="34" t="str">
        <f t="shared" si="5"/>
        <v/>
      </c>
      <c r="N70" s="36">
        <v>56</v>
      </c>
      <c r="O70" s="34" t="str">
        <f t="shared" si="0"/>
        <v/>
      </c>
      <c r="P70" s="35">
        <v>19</v>
      </c>
      <c r="Q70" s="37" t="str">
        <f t="shared" si="6"/>
        <v/>
      </c>
      <c r="R70" s="33">
        <v>68</v>
      </c>
      <c r="S70" s="34" t="str">
        <f t="shared" si="7"/>
        <v/>
      </c>
      <c r="T70" s="35">
        <v>21</v>
      </c>
      <c r="U70" s="37" t="str">
        <f t="shared" si="8"/>
        <v/>
      </c>
      <c r="V70" s="33">
        <v>52</v>
      </c>
      <c r="W70" s="34" t="str">
        <f t="shared" si="9"/>
        <v/>
      </c>
      <c r="X70" s="35">
        <v>19</v>
      </c>
      <c r="Y70" s="37" t="str">
        <f t="shared" si="10"/>
        <v/>
      </c>
      <c r="Z70" s="35">
        <v>20</v>
      </c>
      <c r="AA70" s="37" t="str">
        <f t="shared" si="11"/>
        <v/>
      </c>
      <c r="AB70" s="33">
        <v>40</v>
      </c>
      <c r="AC70" s="34" t="str">
        <f t="shared" si="12"/>
        <v/>
      </c>
      <c r="AD70" s="35">
        <v>21</v>
      </c>
      <c r="AE70" s="34" t="str">
        <f t="shared" si="13"/>
        <v/>
      </c>
      <c r="AF70" s="35">
        <v>41</v>
      </c>
      <c r="AG70" s="37" t="str">
        <f t="shared" si="14"/>
        <v/>
      </c>
      <c r="AH70" s="4">
        <f>IF(OR(AND(D70&gt;=31,D70&lt;40),AND(H70&gt;=31,H70&lt;40),AND(N70&gt;=31,N70&lt;40),AND(R70&gt;=31,R70&lt;40),AND(V70&gt;=31,V70&lt;40),AND(AB70&gt;=11,AB70&lt;20)),IF(AND(OR(COUNTIF(D70:AG70,"=31")&gt;=1,COUNTIF(D70:AG70,"=32")&gt;=1,COUNTIF(D70:AG70,"=33")&gt;=1,COUNTIF(D70:AG70,"=34")&gt;=1,COUNTIF(D70:AG70,"=35")&gt;=1,COUNTIF(D70:AG70,"=36")&gt;=1 ),COUNTIF(D70:AG70,"")=0,COUNTIF(D70:AG70," ")=0,COUNTIF(D70:AG70,"F")=1),CONCATENATE(SUM(EXTRACTNUMBER(D70),EXTRACTNUMBER(F70),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EXTRACTNUMBER(AD70),EXTRACTNUMBER(AF70)),"*"),IF(AND(COUNTIF(D70:AG70,"=34")&gt;=1,COUNTIF(D70:AG70,"=35")&gt;=1,COUNTIF(D70:AG70,"f")=2,COUNTIF(D70:AG70,"")=0,COUNTIF(D70:AG70,"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EXTRACTNUMBER(AD70),EXTRACTNUMBER(AF70)),"*"),IF(AND(COUNTIF(D70:AG70,"=36")&gt;=2,COUNTIF(D70:AG70,"f")=2,COUNTIF(D70:AG70,"")=0,COUNTIF(D70:AG70,"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EXTRACTNUMBER(AD70),EXTRACTNUMBER(AF70)),"*"),SUM(EXTRACTNUMBER(D70),EXTRACTNUMBER(F70),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EXTRACTNUMBER(AD70),EXTRACTNUMBER(AF70))))),SUM(EXTRACTNUMBER(D70),EXTRACTNUMBER(F70),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EXTRACTNUMBER(AD70),EXTRACTNUMBER(AF70)))</f>
        <v>538</v>
      </c>
      <c r="AI70" s="38" t="str">
        <f t="shared" si="15"/>
        <v>PASS</v>
      </c>
      <c r="AJ70" s="28" t="str">
        <f>spellnumber(EXTRACTnUMBER_TOT(AH70))</f>
        <v xml:space="preserve">Five Hundred Thirty Eight </v>
      </c>
      <c r="AK70" s="5">
        <v>538</v>
      </c>
    </row>
    <row r="71" spans="2:37" s="5" customFormat="1" ht="15" customHeight="1">
      <c r="B71" s="31">
        <v>223245</v>
      </c>
      <c r="C71" s="32" t="s">
        <v>203</v>
      </c>
      <c r="D71" s="33">
        <v>5</v>
      </c>
      <c r="E71" s="34" t="str">
        <f t="shared" si="1"/>
        <v>F</v>
      </c>
      <c r="F71" s="35">
        <v>13</v>
      </c>
      <c r="G71" s="34" t="str">
        <f t="shared" si="2"/>
        <v>E</v>
      </c>
      <c r="H71" s="36">
        <v>43</v>
      </c>
      <c r="I71" s="34" t="str">
        <f t="shared" si="3"/>
        <v>E</v>
      </c>
      <c r="J71" s="35">
        <v>20</v>
      </c>
      <c r="K71" s="34" t="str">
        <f t="shared" si="4"/>
        <v>E</v>
      </c>
      <c r="L71" s="35">
        <v>18</v>
      </c>
      <c r="M71" s="34" t="str">
        <f t="shared" si="5"/>
        <v>E</v>
      </c>
      <c r="N71" s="36">
        <v>31</v>
      </c>
      <c r="O71" s="34" t="str">
        <f t="shared" si="0"/>
        <v>F</v>
      </c>
      <c r="P71" s="35">
        <v>18</v>
      </c>
      <c r="Q71" s="37" t="str">
        <f t="shared" si="6"/>
        <v>E</v>
      </c>
      <c r="R71" s="33">
        <v>40</v>
      </c>
      <c r="S71" s="34" t="str">
        <f t="shared" si="7"/>
        <v>E</v>
      </c>
      <c r="T71" s="35">
        <v>21</v>
      </c>
      <c r="U71" s="37" t="str">
        <f t="shared" si="8"/>
        <v>E</v>
      </c>
      <c r="V71" s="33">
        <v>29</v>
      </c>
      <c r="W71" s="34" t="str">
        <f t="shared" si="9"/>
        <v>F</v>
      </c>
      <c r="X71" s="35">
        <v>18</v>
      </c>
      <c r="Y71" s="37" t="str">
        <f t="shared" si="10"/>
        <v>E</v>
      </c>
      <c r="Z71" s="35">
        <v>20</v>
      </c>
      <c r="AA71" s="37" t="str">
        <f t="shared" si="11"/>
        <v>E</v>
      </c>
      <c r="AB71" s="33">
        <v>40</v>
      </c>
      <c r="AC71" s="34" t="str">
        <f t="shared" si="12"/>
        <v>E</v>
      </c>
      <c r="AD71" s="35">
        <v>18</v>
      </c>
      <c r="AE71" s="34" t="str">
        <f t="shared" si="13"/>
        <v>E</v>
      </c>
      <c r="AF71" s="35">
        <v>44</v>
      </c>
      <c r="AG71" s="37" t="str">
        <f t="shared" si="14"/>
        <v>E</v>
      </c>
      <c r="AH71" s="4">
        <f>IF(OR(AND(D71&gt;=31,D71&lt;40),AND(H71&gt;=31,H71&lt;40),AND(N71&gt;=31,N71&lt;40),AND(R71&gt;=31,R71&lt;40),AND(V71&gt;=31,V71&lt;40),AND(AB71&gt;=11,AB71&lt;20)),IF(AND(OR(COUNTIF(D71:AG71,"=31")&gt;=1,COUNTIF(D71:AG71,"=32")&gt;=1,COUNTIF(D71:AG71,"=33")&gt;=1,COUNTIF(D71:AG71,"=34")&gt;=1,COUNTIF(D71:AG71,"=35")&gt;=1,COUNTIF(D71:AG71,"=36")&gt;=1 ),COUNTIF(D71:AG71,"")=0,COUNTIF(D71:AG71," ")=0,COUNTIF(D71:AG71,"F")=1),CONCATENATE(SUM(EXTRACTNUMBER(D71),EXTRACTNUMBER(F71),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EXTRACTNUMBER(AD71),EXTRACTNUMBER(AF71)),"*"),IF(AND(COUNTIF(D71:AG71,"=34")&gt;=1,COUNTIF(D71:AG71,"=35")&gt;=1,COUNTIF(D71:AG71,"f")=2,COUNTIF(D71:AG71,"")=0,COUNTIF(D71:AG71,"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EXTRACTNUMBER(AD71),EXTRACTNUMBER(AF71)),"*"),IF(AND(COUNTIF(D71:AG71,"=36")&gt;=2,COUNTIF(D71:AG71,"f")=2,COUNTIF(D71:AG71,"")=0,COUNTIF(D71:AG71,"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EXTRACTNUMBER(AD71),EXTRACTNUMBER(AF71)),"*"),SUM(EXTRACTNUMBER(D71),EXTRACTNUMBER(F71),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EXTRACTNUMBER(AD71),EXTRACTNUMBER(AF71))))),SUM(EXTRACTNUMBER(D71),EXTRACTNUMBER(F71),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EXTRACTNUMBER(AD71),EXTRACTNUMBER(AF71)))</f>
        <v>378</v>
      </c>
      <c r="AI71" s="38" t="str">
        <f t="shared" si="15"/>
        <v>FAIL</v>
      </c>
      <c r="AJ71" s="28" t="str">
        <f>spellnumber(EXTRACTnUMBER_TOT(AH71))</f>
        <v xml:space="preserve">Three Hundred Seventy Eight </v>
      </c>
      <c r="AK71" s="5">
        <v>378</v>
      </c>
    </row>
    <row r="72" spans="2:37" ht="15" customHeight="1">
      <c r="B72" s="31">
        <v>223246</v>
      </c>
      <c r="C72" s="32" t="s">
        <v>204</v>
      </c>
      <c r="D72" s="33">
        <v>73</v>
      </c>
      <c r="E72" s="34" t="str">
        <f t="shared" si="1"/>
        <v/>
      </c>
      <c r="F72" s="35">
        <v>24</v>
      </c>
      <c r="G72" s="34" t="str">
        <f t="shared" si="2"/>
        <v/>
      </c>
      <c r="H72" s="36">
        <v>73</v>
      </c>
      <c r="I72" s="34" t="str">
        <f t="shared" si="3"/>
        <v/>
      </c>
      <c r="J72" s="35">
        <v>24</v>
      </c>
      <c r="K72" s="34" t="str">
        <f t="shared" si="4"/>
        <v/>
      </c>
      <c r="L72" s="35">
        <v>21</v>
      </c>
      <c r="M72" s="34" t="str">
        <f t="shared" si="5"/>
        <v/>
      </c>
      <c r="N72" s="36">
        <v>77</v>
      </c>
      <c r="O72" s="34" t="str">
        <f t="shared" si="0"/>
        <v/>
      </c>
      <c r="P72" s="35">
        <v>24</v>
      </c>
      <c r="Q72" s="37" t="str">
        <f t="shared" si="6"/>
        <v/>
      </c>
      <c r="R72" s="33">
        <v>65</v>
      </c>
      <c r="S72" s="34" t="str">
        <f t="shared" si="7"/>
        <v/>
      </c>
      <c r="T72" s="35">
        <v>23</v>
      </c>
      <c r="U72" s="37" t="str">
        <f t="shared" si="8"/>
        <v/>
      </c>
      <c r="V72" s="33">
        <v>53</v>
      </c>
      <c r="W72" s="34" t="str">
        <f t="shared" si="9"/>
        <v/>
      </c>
      <c r="X72" s="35">
        <v>21</v>
      </c>
      <c r="Y72" s="37" t="str">
        <f t="shared" si="10"/>
        <v/>
      </c>
      <c r="Z72" s="35">
        <v>20</v>
      </c>
      <c r="AA72" s="37" t="str">
        <f t="shared" si="11"/>
        <v/>
      </c>
      <c r="AB72" s="33">
        <v>46</v>
      </c>
      <c r="AC72" s="34" t="str">
        <f t="shared" si="12"/>
        <v/>
      </c>
      <c r="AD72" s="35">
        <v>24</v>
      </c>
      <c r="AE72" s="34" t="str">
        <f t="shared" si="13"/>
        <v/>
      </c>
      <c r="AF72" s="35">
        <v>47</v>
      </c>
      <c r="AG72" s="37" t="str">
        <f t="shared" si="14"/>
        <v/>
      </c>
      <c r="AH72" s="4">
        <f>IF(OR(AND(D72&gt;=31,D72&lt;40),AND(H72&gt;=31,H72&lt;40),AND(N72&gt;=31,N72&lt;40),AND(R72&gt;=31,R72&lt;40),AND(V72&gt;=31,V72&lt;40),AND(AB72&gt;=11,AB72&lt;20)),IF(AND(OR(COUNTIF(D72:AG72,"=31")&gt;=1,COUNTIF(D72:AG72,"=32")&gt;=1,COUNTIF(D72:AG72,"=33")&gt;=1,COUNTIF(D72:AG72,"=34")&gt;=1,COUNTIF(D72:AG72,"=35")&gt;=1,COUNTIF(D72:AG72,"=36")&gt;=1 ),COUNTIF(D72:AG72,"")=0,COUNTIF(D72:AG72," ")=0,COUNTIF(D72:AG72,"F")=1),CONCATENATE(SUM(EXTRACTNUMBER(D72),EXTRACTNUMBER(F72),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EXTRACTNUMBER(AD72),EXTRACTNUMBER(AF72)),"*"),IF(AND(COUNTIF(D72:AG72,"=34")&gt;=1,COUNTIF(D72:AG72,"=35")&gt;=1,COUNTIF(D72:AG72,"f")=2,COUNTIF(D72:AG72,"")=0,COUNTIF(D72:AG72,"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EXTRACTNUMBER(AD72),EXTRACTNUMBER(AF72)),"*"),IF(AND(COUNTIF(D72:AG72,"=36")&gt;=2,COUNTIF(D72:AG72,"f")=2,COUNTIF(D72:AG72,"")=0,COUNTIF(D72:AG72,"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EXTRACTNUMBER(AD72),EXTRACTNUMBER(AF72)),"*"),SUM(EXTRACTNUMBER(D72),EXTRACTNUMBER(F72),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EXTRACTNUMBER(AD72),EXTRACTNUMBER(AF72))))),SUM(EXTRACTNUMBER(D72),EXTRACTNUMBER(F72),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EXTRACTNUMBER(AD72),EXTRACTNUMBER(AF72)))</f>
        <v>615</v>
      </c>
      <c r="AI72" s="38" t="str">
        <f t="shared" si="15"/>
        <v>PASS</v>
      </c>
      <c r="AJ72" s="28" t="str">
        <f>spellnumber(EXTRACTnUMBER_TOT(AH72))</f>
        <v xml:space="preserve">Six Hundred Fifteen </v>
      </c>
      <c r="AK72" s="9">
        <v>615</v>
      </c>
    </row>
    <row r="73" spans="2:37" ht="15" customHeight="1">
      <c r="B73" s="31">
        <v>223247</v>
      </c>
      <c r="C73" s="32" t="s">
        <v>205</v>
      </c>
      <c r="D73" s="33">
        <v>53</v>
      </c>
      <c r="E73" s="34" t="str">
        <f t="shared" si="1"/>
        <v/>
      </c>
      <c r="F73" s="35">
        <v>18</v>
      </c>
      <c r="G73" s="34" t="str">
        <f t="shared" si="2"/>
        <v/>
      </c>
      <c r="H73" s="36">
        <v>61</v>
      </c>
      <c r="I73" s="34" t="str">
        <f t="shared" si="3"/>
        <v/>
      </c>
      <c r="J73" s="35">
        <v>19</v>
      </c>
      <c r="K73" s="34" t="str">
        <f t="shared" si="4"/>
        <v/>
      </c>
      <c r="L73" s="35">
        <v>19</v>
      </c>
      <c r="M73" s="34" t="str">
        <f t="shared" si="5"/>
        <v/>
      </c>
      <c r="N73" s="36">
        <v>64</v>
      </c>
      <c r="O73" s="34" t="str">
        <f t="shared" si="0"/>
        <v/>
      </c>
      <c r="P73" s="35">
        <v>19</v>
      </c>
      <c r="Q73" s="37" t="str">
        <f t="shared" si="6"/>
        <v/>
      </c>
      <c r="R73" s="33">
        <v>62</v>
      </c>
      <c r="S73" s="34" t="str">
        <f t="shared" si="7"/>
        <v/>
      </c>
      <c r="T73" s="35">
        <v>21</v>
      </c>
      <c r="U73" s="37" t="str">
        <f t="shared" si="8"/>
        <v/>
      </c>
      <c r="V73" s="33">
        <v>40</v>
      </c>
      <c r="W73" s="34" t="str">
        <f t="shared" si="9"/>
        <v/>
      </c>
      <c r="X73" s="35">
        <v>20</v>
      </c>
      <c r="Y73" s="37" t="str">
        <f t="shared" si="10"/>
        <v/>
      </c>
      <c r="Z73" s="35">
        <v>19</v>
      </c>
      <c r="AA73" s="37" t="str">
        <f t="shared" si="11"/>
        <v/>
      </c>
      <c r="AB73" s="33">
        <v>40</v>
      </c>
      <c r="AC73" s="34" t="str">
        <f t="shared" si="12"/>
        <v/>
      </c>
      <c r="AD73" s="35">
        <v>15</v>
      </c>
      <c r="AE73" s="34" t="str">
        <f t="shared" si="13"/>
        <v/>
      </c>
      <c r="AF73" s="35">
        <v>41</v>
      </c>
      <c r="AG73" s="37" t="str">
        <f t="shared" si="14"/>
        <v/>
      </c>
      <c r="AH73" s="4">
        <f>IF(OR(AND(D73&gt;=31,D73&lt;40),AND(H73&gt;=31,H73&lt;40),AND(N73&gt;=31,N73&lt;40),AND(R73&gt;=31,R73&lt;40),AND(V73&gt;=31,V73&lt;40),AND(AB73&gt;=11,AB73&lt;20)),IF(AND(OR(COUNTIF(D73:AG73,"=31")&gt;=1,COUNTIF(D73:AG73,"=32")&gt;=1,COUNTIF(D73:AG73,"=33")&gt;=1,COUNTIF(D73:AG73,"=34")&gt;=1,COUNTIF(D73:AG73,"=35")&gt;=1,COUNTIF(D73:AG73,"=36")&gt;=1 ),COUNTIF(D73:AG73,"")=0,COUNTIF(D73:AG73," ")=0,COUNTIF(D73:AG73,"F")=1),CONCATENATE(SUM(EXTRACTNUMBER(D73),EXTRACTNUMBER(F73),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EXTRACTNUMBER(AD73),EXTRACTNUMBER(AF73)),"*"),IF(AND(COUNTIF(D73:AG73,"=34")&gt;=1,COUNTIF(D73:AG73,"=35")&gt;=1,COUNTIF(D73:AG73,"f")=2,COUNTIF(D73:AG73,"")=0,COUNTIF(D73:AG73,"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EXTRACTNUMBER(AD73),EXTRACTNUMBER(AF73)),"*"),IF(AND(COUNTIF(D73:AG73,"=36")&gt;=2,COUNTIF(D73:AG73,"f")=2,COUNTIF(D73:AG73,"")=0,COUNTIF(D73:AG73,"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EXTRACTNUMBER(AD73),EXTRACTNUMBER(AF73)),"*"),SUM(EXTRACTNUMBER(D73),EXTRACTNUMBER(F73),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EXTRACTNUMBER(AD73),EXTRACTNUMBER(AF73))))),SUM(EXTRACTNUMBER(D73),EXTRACTNUMBER(F73),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EXTRACTNUMBER(AD73),EXTRACTNUMBER(AF73)))</f>
        <v>511</v>
      </c>
      <c r="AI73" s="38" t="str">
        <f t="shared" si="15"/>
        <v>PASS</v>
      </c>
      <c r="AJ73" s="28" t="str">
        <f>spellnumber(EXTRACTnUMBER_TOT(AH73))</f>
        <v xml:space="preserve">Five Hundred Eleven </v>
      </c>
      <c r="AK73" s="9">
        <v>511</v>
      </c>
    </row>
    <row r="74" spans="2:37" ht="15" customHeight="1">
      <c r="B74" s="31">
        <v>223248</v>
      </c>
      <c r="C74" s="32" t="s">
        <v>206</v>
      </c>
      <c r="D74" s="33">
        <v>16</v>
      </c>
      <c r="E74" s="34" t="str">
        <f t="shared" si="1"/>
        <v>F</v>
      </c>
      <c r="F74" s="35">
        <v>16</v>
      </c>
      <c r="G74" s="34" t="str">
        <f t="shared" si="2"/>
        <v>E</v>
      </c>
      <c r="H74" s="36">
        <v>45</v>
      </c>
      <c r="I74" s="34" t="str">
        <f t="shared" si="3"/>
        <v>E</v>
      </c>
      <c r="J74" s="35">
        <v>23</v>
      </c>
      <c r="K74" s="34" t="str">
        <f t="shared" si="4"/>
        <v>E</v>
      </c>
      <c r="L74" s="35">
        <v>20</v>
      </c>
      <c r="M74" s="34" t="str">
        <f t="shared" si="5"/>
        <v>E</v>
      </c>
      <c r="N74" s="36">
        <v>57</v>
      </c>
      <c r="O74" s="34" t="str">
        <f t="shared" si="0"/>
        <v>E</v>
      </c>
      <c r="P74" s="35">
        <v>23</v>
      </c>
      <c r="Q74" s="37" t="str">
        <f t="shared" si="6"/>
        <v>E</v>
      </c>
      <c r="R74" s="33">
        <v>51</v>
      </c>
      <c r="S74" s="34" t="str">
        <f t="shared" si="7"/>
        <v>E</v>
      </c>
      <c r="T74" s="35">
        <v>23</v>
      </c>
      <c r="U74" s="37" t="str">
        <f t="shared" si="8"/>
        <v>E</v>
      </c>
      <c r="V74" s="33">
        <v>42</v>
      </c>
      <c r="W74" s="34" t="str">
        <f t="shared" si="9"/>
        <v>E</v>
      </c>
      <c r="X74" s="35">
        <v>20</v>
      </c>
      <c r="Y74" s="37" t="str">
        <f t="shared" si="10"/>
        <v>E</v>
      </c>
      <c r="Z74" s="35">
        <v>18</v>
      </c>
      <c r="AA74" s="37" t="str">
        <f t="shared" si="11"/>
        <v>E</v>
      </c>
      <c r="AB74" s="33">
        <v>49</v>
      </c>
      <c r="AC74" s="34" t="str">
        <f t="shared" si="12"/>
        <v>E</v>
      </c>
      <c r="AD74" s="35">
        <v>18</v>
      </c>
      <c r="AE74" s="34" t="str">
        <f t="shared" si="13"/>
        <v>E</v>
      </c>
      <c r="AF74" s="35">
        <v>41</v>
      </c>
      <c r="AG74" s="37" t="str">
        <f t="shared" si="14"/>
        <v>E</v>
      </c>
      <c r="AH74" s="4">
        <f>IF(OR(AND(D74&gt;=31,D74&lt;40),AND(H74&gt;=31,H74&lt;40),AND(N74&gt;=31,N74&lt;40),AND(R74&gt;=31,R74&lt;40),AND(V74&gt;=31,V74&lt;40),AND(AB74&gt;=11,AB74&lt;20)),IF(AND(OR(COUNTIF(D74:AG74,"=31")&gt;=1,COUNTIF(D74:AG74,"=32")&gt;=1,COUNTIF(D74:AG74,"=33")&gt;=1,COUNTIF(D74:AG74,"=34")&gt;=1,COUNTIF(D74:AG74,"=35")&gt;=1,COUNTIF(D74:AG74,"=36")&gt;=1 ),COUNTIF(D74:AG74,"")=0,COUNTIF(D74:AG74," ")=0,COUNTIF(D74:AG74,"F")=1),CONCATENATE(SUM(EXTRACTNUMBER(D74),EXTRACTNUMBER(F74),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EXTRACTNUMBER(AD74),EXTRACTNUMBER(AF74)),"*"),IF(AND(COUNTIF(D74:AG74,"=34")&gt;=1,COUNTIF(D74:AG74,"=35")&gt;=1,COUNTIF(D74:AG74,"f")=2,COUNTIF(D74:AG74,"")=0,COUNTIF(D74:AG74,"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EXTRACTNUMBER(AD74),EXTRACTNUMBER(AF74)),"*"),IF(AND(COUNTIF(D74:AG74,"=36")&gt;=2,COUNTIF(D74:AG74,"f")=2,COUNTIF(D74:AG74,"")=0,COUNTIF(D74:AG74,"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EXTRACTNUMBER(AD74),EXTRACTNUMBER(AF74)),"*"),SUM(EXTRACTNUMBER(D74),EXTRACTNUMBER(F74),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EXTRACTNUMBER(AD74),EXTRACTNUMBER(AF74))))),SUM(EXTRACTNUMBER(D74),EXTRACTNUMBER(F74),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EXTRACTNUMBER(AD74),EXTRACTNUMBER(AF74)))</f>
        <v>462</v>
      </c>
      <c r="AI74" s="38" t="str">
        <f t="shared" si="15"/>
        <v>FAIL</v>
      </c>
      <c r="AJ74" s="28" t="str">
        <f>spellnumber(EXTRACTnUMBER_TOT(AH74))</f>
        <v xml:space="preserve">Four Hundred Sixty Two </v>
      </c>
      <c r="AK74" s="9">
        <v>462</v>
      </c>
    </row>
    <row r="75" spans="2:37" ht="15" customHeight="1">
      <c r="B75" s="31">
        <v>223249</v>
      </c>
      <c r="C75" s="32" t="s">
        <v>207</v>
      </c>
      <c r="D75" s="33">
        <v>23</v>
      </c>
      <c r="E75" s="34" t="str">
        <f t="shared" si="1"/>
        <v>F</v>
      </c>
      <c r="F75" s="35">
        <v>15</v>
      </c>
      <c r="G75" s="34" t="str">
        <f t="shared" si="2"/>
        <v>E</v>
      </c>
      <c r="H75" s="36">
        <v>59</v>
      </c>
      <c r="I75" s="34" t="str">
        <f t="shared" si="3"/>
        <v>E</v>
      </c>
      <c r="J75" s="35">
        <v>20</v>
      </c>
      <c r="K75" s="34" t="str">
        <f t="shared" si="4"/>
        <v>E</v>
      </c>
      <c r="L75" s="35">
        <v>19</v>
      </c>
      <c r="M75" s="34" t="str">
        <f t="shared" si="5"/>
        <v>E</v>
      </c>
      <c r="N75" s="36">
        <v>63</v>
      </c>
      <c r="O75" s="34" t="str">
        <f t="shared" si="0"/>
        <v>E</v>
      </c>
      <c r="P75" s="35">
        <v>20</v>
      </c>
      <c r="Q75" s="37" t="str">
        <f t="shared" si="6"/>
        <v>E</v>
      </c>
      <c r="R75" s="33">
        <v>54</v>
      </c>
      <c r="S75" s="34" t="str">
        <f t="shared" si="7"/>
        <v>E</v>
      </c>
      <c r="T75" s="35">
        <v>20</v>
      </c>
      <c r="U75" s="37" t="str">
        <f t="shared" si="8"/>
        <v>E</v>
      </c>
      <c r="V75" s="33">
        <v>40</v>
      </c>
      <c r="W75" s="34" t="str">
        <f t="shared" si="9"/>
        <v>E</v>
      </c>
      <c r="X75" s="35">
        <v>18</v>
      </c>
      <c r="Y75" s="37" t="str">
        <f t="shared" si="10"/>
        <v>E</v>
      </c>
      <c r="Z75" s="35">
        <v>18</v>
      </c>
      <c r="AA75" s="37" t="str">
        <f t="shared" si="11"/>
        <v>E</v>
      </c>
      <c r="AB75" s="33">
        <v>45</v>
      </c>
      <c r="AC75" s="34" t="str">
        <f t="shared" si="12"/>
        <v>E</v>
      </c>
      <c r="AD75" s="35">
        <v>19</v>
      </c>
      <c r="AE75" s="34" t="str">
        <f t="shared" si="13"/>
        <v>E</v>
      </c>
      <c r="AF75" s="35">
        <v>38</v>
      </c>
      <c r="AG75" s="37" t="str">
        <f t="shared" si="14"/>
        <v>E</v>
      </c>
      <c r="AH75" s="4">
        <f>IF(OR(AND(D75&gt;=31,D75&lt;40),AND(H75&gt;=31,H75&lt;40),AND(N75&gt;=31,N75&lt;40),AND(R75&gt;=31,R75&lt;40),AND(V75&gt;=31,V75&lt;40),AND(AB75&gt;=11,AB75&lt;20)),IF(AND(OR(COUNTIF(D75:AG75,"=31")&gt;=1,COUNTIF(D75:AG75,"=32")&gt;=1,COUNTIF(D75:AG75,"=33")&gt;=1,COUNTIF(D75:AG75,"=34")&gt;=1,COUNTIF(D75:AG75,"=35")&gt;=1,COUNTIF(D75:AG75,"=36")&gt;=1 ),COUNTIF(D75:AG75,"")=0,COUNTIF(D75:AG75," ")=0,COUNTIF(D75:AG75,"F")=1),CONCATENATE(SUM(EXTRACTNUMBER(D75),EXTRACTNUMBER(F75),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EXTRACTNUMBER(AD75),EXTRACTNUMBER(AF75)),"*"),IF(AND(COUNTIF(D75:AG75,"=34")&gt;=1,COUNTIF(D75:AG75,"=35")&gt;=1,COUNTIF(D75:AG75,"f")=2,COUNTIF(D75:AG75,"")=0,COUNTIF(D75:AG75,"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EXTRACTNUMBER(AD75),EXTRACTNUMBER(AF75)),"*"),IF(AND(COUNTIF(D75:AG75,"=36")&gt;=2,COUNTIF(D75:AG75,"f")=2,COUNTIF(D75:AG75,"")=0,COUNTIF(D75:AG75,"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EXTRACTNUMBER(AD75),EXTRACTNUMBER(AF75)),"*"),SUM(EXTRACTNUMBER(D75),EXTRACTNUMBER(F75),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EXTRACTNUMBER(AD75),EXTRACTNUMBER(AF75))))),SUM(EXTRACTNUMBER(D75),EXTRACTNUMBER(F75),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EXTRACTNUMBER(AD75),EXTRACTNUMBER(AF75)))</f>
        <v>471</v>
      </c>
      <c r="AI75" s="38" t="str">
        <f t="shared" si="15"/>
        <v>FAIL</v>
      </c>
      <c r="AJ75" s="28" t="str">
        <f>spellnumber(EXTRACTnUMBER_TOT(AH75))</f>
        <v xml:space="preserve">Four Hundred Seventy One </v>
      </c>
      <c r="AK75" s="9">
        <v>471</v>
      </c>
    </row>
    <row r="76" spans="2:37" ht="15" customHeight="1">
      <c r="B76" s="31">
        <v>223250</v>
      </c>
      <c r="C76" s="32" t="s">
        <v>208</v>
      </c>
      <c r="D76" s="33">
        <v>43</v>
      </c>
      <c r="E76" s="34" t="str">
        <f t="shared" si="1"/>
        <v>E</v>
      </c>
      <c r="F76" s="35">
        <v>19</v>
      </c>
      <c r="G76" s="34" t="str">
        <f t="shared" si="2"/>
        <v>E</v>
      </c>
      <c r="H76" s="36">
        <v>33</v>
      </c>
      <c r="I76" s="34" t="str">
        <f t="shared" si="3"/>
        <v>F</v>
      </c>
      <c r="J76" s="35">
        <v>19</v>
      </c>
      <c r="K76" s="34" t="str">
        <f t="shared" si="4"/>
        <v>E</v>
      </c>
      <c r="L76" s="35">
        <v>19</v>
      </c>
      <c r="M76" s="34" t="str">
        <f t="shared" si="5"/>
        <v>E</v>
      </c>
      <c r="N76" s="36">
        <v>57</v>
      </c>
      <c r="O76" s="34" t="str">
        <f t="shared" si="0"/>
        <v>E</v>
      </c>
      <c r="P76" s="35">
        <v>20</v>
      </c>
      <c r="Q76" s="37" t="str">
        <f t="shared" si="6"/>
        <v>E</v>
      </c>
      <c r="R76" s="33">
        <v>54</v>
      </c>
      <c r="S76" s="34" t="str">
        <f t="shared" si="7"/>
        <v>E</v>
      </c>
      <c r="T76" s="35">
        <v>20</v>
      </c>
      <c r="U76" s="37" t="str">
        <f t="shared" si="8"/>
        <v>E</v>
      </c>
      <c r="V76" s="33">
        <v>44</v>
      </c>
      <c r="W76" s="34" t="str">
        <f t="shared" si="9"/>
        <v>E</v>
      </c>
      <c r="X76" s="35">
        <v>17</v>
      </c>
      <c r="Y76" s="37" t="str">
        <f t="shared" si="10"/>
        <v>E</v>
      </c>
      <c r="Z76" s="35">
        <v>18</v>
      </c>
      <c r="AA76" s="37" t="str">
        <f t="shared" si="11"/>
        <v>E</v>
      </c>
      <c r="AB76" s="33">
        <v>25</v>
      </c>
      <c r="AC76" s="34" t="str">
        <f t="shared" si="12"/>
        <v>F</v>
      </c>
      <c r="AD76" s="35">
        <v>22</v>
      </c>
      <c r="AE76" s="34" t="str">
        <f t="shared" si="13"/>
        <v>E</v>
      </c>
      <c r="AF76" s="35">
        <v>40</v>
      </c>
      <c r="AG76" s="37" t="str">
        <f t="shared" si="14"/>
        <v>E</v>
      </c>
      <c r="AH76" s="4">
        <f>IF(OR(AND(D76&gt;=31,D76&lt;40),AND(H76&gt;=31,H76&lt;40),AND(N76&gt;=31,N76&lt;40),AND(R76&gt;=31,R76&lt;40),AND(V76&gt;=31,V76&lt;40),AND(AB76&gt;=11,AB76&lt;20)),IF(AND(OR(COUNTIF(D76:AG76,"=31")&gt;=1,COUNTIF(D76:AG76,"=32")&gt;=1,COUNTIF(D76:AG76,"=33")&gt;=1,COUNTIF(D76:AG76,"=34")&gt;=1,COUNTIF(D76:AG76,"=35")&gt;=1,COUNTIF(D76:AG76,"=36")&gt;=1 ),COUNTIF(D76:AG76,"")=0,COUNTIF(D76:AG76," ")=0,COUNTIF(D76:AG76,"F")=1),CONCATENATE(SUM(EXTRACTNUMBER(D76),EXTRACTNUMBER(F76),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EXTRACTNUMBER(AD76),EXTRACTNUMBER(AF76)),"*"),IF(AND(COUNTIF(D76:AG76,"=34")&gt;=1,COUNTIF(D76:AG76,"=35")&gt;=1,COUNTIF(D76:AG76,"f")=2,COUNTIF(D76:AG76,"")=0,COUNTIF(D76:AG76,"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EXTRACTNUMBER(AD76),EXTRACTNUMBER(AF76)),"*"),IF(AND(COUNTIF(D76:AG76,"=36")&gt;=2,COUNTIF(D76:AG76,"f")=2,COUNTIF(D76:AG76,"")=0,COUNTIF(D76:AG76,"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EXTRACTNUMBER(AD76),EXTRACTNUMBER(AF76)),"*"),SUM(EXTRACTNUMBER(D76),EXTRACTNUMBER(F76),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EXTRACTNUMBER(AD76),EXTRACTNUMBER(AF76))))),SUM(EXTRACTNUMBER(D76),EXTRACTNUMBER(F76),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EXTRACTNUMBER(AD76),EXTRACTNUMBER(AF76)))</f>
        <v>450</v>
      </c>
      <c r="AI76" s="38" t="str">
        <f t="shared" si="15"/>
        <v>FAIL</v>
      </c>
      <c r="AJ76" s="28" t="str">
        <f>spellnumber(EXTRACTnUMBER_TOT(AH76))</f>
        <v xml:space="preserve">Four Hundred Fifty  </v>
      </c>
      <c r="AK76" s="9">
        <v>450</v>
      </c>
    </row>
    <row r="77" spans="2:37" ht="15" customHeight="1">
      <c r="B77" s="31">
        <v>223251</v>
      </c>
      <c r="C77" s="32" t="s">
        <v>209</v>
      </c>
      <c r="D77" s="33">
        <v>51</v>
      </c>
      <c r="E77" s="34" t="str">
        <f t="shared" si="1"/>
        <v/>
      </c>
      <c r="F77" s="35">
        <v>21</v>
      </c>
      <c r="G77" s="34" t="str">
        <f t="shared" si="2"/>
        <v/>
      </c>
      <c r="H77" s="36">
        <v>60</v>
      </c>
      <c r="I77" s="34" t="str">
        <f t="shared" si="3"/>
        <v/>
      </c>
      <c r="J77" s="35">
        <v>24</v>
      </c>
      <c r="K77" s="34" t="str">
        <f t="shared" si="4"/>
        <v/>
      </c>
      <c r="L77" s="35">
        <v>18</v>
      </c>
      <c r="M77" s="34" t="str">
        <f t="shared" si="5"/>
        <v/>
      </c>
      <c r="N77" s="36">
        <v>80</v>
      </c>
      <c r="O77" s="34" t="str">
        <f t="shared" si="0"/>
        <v/>
      </c>
      <c r="P77" s="35">
        <v>20</v>
      </c>
      <c r="Q77" s="37" t="str">
        <f t="shared" si="6"/>
        <v/>
      </c>
      <c r="R77" s="33">
        <v>72</v>
      </c>
      <c r="S77" s="34" t="str">
        <f t="shared" si="7"/>
        <v/>
      </c>
      <c r="T77" s="35">
        <v>22</v>
      </c>
      <c r="U77" s="37" t="str">
        <f t="shared" si="8"/>
        <v/>
      </c>
      <c r="V77" s="33">
        <v>56</v>
      </c>
      <c r="W77" s="34" t="str">
        <f t="shared" si="9"/>
        <v/>
      </c>
      <c r="X77" s="35">
        <v>21</v>
      </c>
      <c r="Y77" s="37" t="str">
        <f t="shared" si="10"/>
        <v/>
      </c>
      <c r="Z77" s="35">
        <v>20</v>
      </c>
      <c r="AA77" s="37" t="str">
        <f t="shared" si="11"/>
        <v/>
      </c>
      <c r="AB77" s="33">
        <v>59</v>
      </c>
      <c r="AC77" s="34" t="str">
        <f t="shared" si="12"/>
        <v/>
      </c>
      <c r="AD77" s="35">
        <v>23</v>
      </c>
      <c r="AE77" s="34" t="str">
        <f t="shared" si="13"/>
        <v/>
      </c>
      <c r="AF77" s="35">
        <v>37</v>
      </c>
      <c r="AG77" s="37" t="str">
        <f t="shared" si="14"/>
        <v/>
      </c>
      <c r="AH77" s="4">
        <f>IF(OR(AND(D77&gt;=31,D77&lt;40),AND(H77&gt;=31,H77&lt;40),AND(N77&gt;=31,N77&lt;40),AND(R77&gt;=31,R77&lt;40),AND(V77&gt;=31,V77&lt;40),AND(AB77&gt;=11,AB77&lt;20)),IF(AND(OR(COUNTIF(D77:AG77,"=31")&gt;=1,COUNTIF(D77:AG77,"=32")&gt;=1,COUNTIF(D77:AG77,"=33")&gt;=1,COUNTIF(D77:AG77,"=34")&gt;=1,COUNTIF(D77:AG77,"=35")&gt;=1,COUNTIF(D77:AG77,"=36")&gt;=1 ),COUNTIF(D77:AG77,"")=0,COUNTIF(D77:AG77," ")=0,COUNTIF(D77:AG77,"F")=1),CONCATENATE(SUM(EXTRACTNUMBER(D77),EXTRACTNUMBER(F77),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EXTRACTNUMBER(AD77),EXTRACTNUMBER(AF77)),"*"),IF(AND(COUNTIF(D77:AG77,"=34")&gt;=1,COUNTIF(D77:AG77,"=35")&gt;=1,COUNTIF(D77:AG77,"f")=2,COUNTIF(D77:AG77,"")=0,COUNTIF(D77:AG77,"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EXTRACTNUMBER(AD77),EXTRACTNUMBER(AF77)),"*"),IF(AND(COUNTIF(D77:AG77,"=36")&gt;=2,COUNTIF(D77:AG77,"f")=2,COUNTIF(D77:AG77,"")=0,COUNTIF(D77:AG77,"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EXTRACTNUMBER(AD77),EXTRACTNUMBER(AF77)),"*"),SUM(EXTRACTNUMBER(D77),EXTRACTNUMBER(F77),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EXTRACTNUMBER(AD77),EXTRACTNUMBER(AF77))))),SUM(EXTRACTNUMBER(D77),EXTRACTNUMBER(F77),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EXTRACTNUMBER(AD77),EXTRACTNUMBER(AF77)))</f>
        <v>584</v>
      </c>
      <c r="AI77" s="38" t="str">
        <f t="shared" si="15"/>
        <v>PASS</v>
      </c>
      <c r="AJ77" s="28" t="str">
        <f>spellnumber(EXTRACTnUMBER_TOT(AH77))</f>
        <v xml:space="preserve">Five Hundred Eighty Four </v>
      </c>
      <c r="AK77" s="9">
        <v>584</v>
      </c>
    </row>
    <row r="78" spans="2:37" ht="15" customHeight="1">
      <c r="B78" s="31">
        <v>223252</v>
      </c>
      <c r="C78" s="32" t="s">
        <v>210</v>
      </c>
      <c r="D78" s="33">
        <v>40</v>
      </c>
      <c r="E78" s="34" t="str">
        <f t="shared" si="1"/>
        <v/>
      </c>
      <c r="F78" s="35">
        <v>13</v>
      </c>
      <c r="G78" s="34" t="str">
        <f t="shared" si="2"/>
        <v/>
      </c>
      <c r="H78" s="36">
        <v>43</v>
      </c>
      <c r="I78" s="34" t="str">
        <f t="shared" si="3"/>
        <v/>
      </c>
      <c r="J78" s="35">
        <v>19</v>
      </c>
      <c r="K78" s="34" t="str">
        <f t="shared" si="4"/>
        <v/>
      </c>
      <c r="L78" s="35">
        <v>17</v>
      </c>
      <c r="M78" s="34" t="str">
        <f t="shared" si="5"/>
        <v/>
      </c>
      <c r="N78" s="36">
        <v>74</v>
      </c>
      <c r="O78" s="34" t="str">
        <f t="shared" si="0"/>
        <v/>
      </c>
      <c r="P78" s="35">
        <v>20</v>
      </c>
      <c r="Q78" s="37" t="str">
        <f t="shared" si="6"/>
        <v/>
      </c>
      <c r="R78" s="33">
        <v>40</v>
      </c>
      <c r="S78" s="34" t="str">
        <f t="shared" si="7"/>
        <v/>
      </c>
      <c r="T78" s="35">
        <v>22</v>
      </c>
      <c r="U78" s="37" t="str">
        <f t="shared" si="8"/>
        <v/>
      </c>
      <c r="V78" s="33">
        <v>40</v>
      </c>
      <c r="W78" s="34" t="str">
        <f t="shared" si="9"/>
        <v/>
      </c>
      <c r="X78" s="35">
        <v>17</v>
      </c>
      <c r="Y78" s="37" t="str">
        <f t="shared" si="10"/>
        <v/>
      </c>
      <c r="Z78" s="35">
        <v>17</v>
      </c>
      <c r="AA78" s="37" t="str">
        <f t="shared" si="11"/>
        <v/>
      </c>
      <c r="AB78" s="33">
        <v>42</v>
      </c>
      <c r="AC78" s="34" t="str">
        <f t="shared" si="12"/>
        <v/>
      </c>
      <c r="AD78" s="35">
        <v>21</v>
      </c>
      <c r="AE78" s="34" t="str">
        <f t="shared" si="13"/>
        <v/>
      </c>
      <c r="AF78" s="35">
        <v>46</v>
      </c>
      <c r="AG78" s="37" t="str">
        <f t="shared" si="14"/>
        <v/>
      </c>
      <c r="AH78" s="4">
        <f>IF(OR(AND(D78&gt;=31,D78&lt;40),AND(H78&gt;=31,H78&lt;40),AND(N78&gt;=31,N78&lt;40),AND(R78&gt;=31,R78&lt;40),AND(V78&gt;=31,V78&lt;40),AND(AB78&gt;=11,AB78&lt;20)),IF(AND(OR(COUNTIF(D78:AG78,"=31")&gt;=1,COUNTIF(D78:AG78,"=32")&gt;=1,COUNTIF(D78:AG78,"=33")&gt;=1,COUNTIF(D78:AG78,"=34")&gt;=1,COUNTIF(D78:AG78,"=35")&gt;=1,COUNTIF(D78:AG78,"=36")&gt;=1 ),COUNTIF(D78:AG78,"")=0,COUNTIF(D78:AG78," ")=0,COUNTIF(D78:AG78,"F")=1),CONCATENATE(SUM(EXTRACTNUMBER(D78),EXTRACTNUMBER(F78),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EXTRACTNUMBER(AD78),EXTRACTNUMBER(AF78)),"*"),IF(AND(COUNTIF(D78:AG78,"=34")&gt;=1,COUNTIF(D78:AG78,"=35")&gt;=1,COUNTIF(D78:AG78,"f")=2,COUNTIF(D78:AG78,"")=0,COUNTIF(D78:AG78,"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EXTRACTNUMBER(AD78),EXTRACTNUMBER(AF78)),"*"),IF(AND(COUNTIF(D78:AG78,"=36")&gt;=2,COUNTIF(D78:AG78,"f")=2,COUNTIF(D78:AG78,"")=0,COUNTIF(D78:AG78,"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EXTRACTNUMBER(AD78),EXTRACTNUMBER(AF78)),"*"),SUM(EXTRACTNUMBER(D78),EXTRACTNUMBER(F78),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EXTRACTNUMBER(AD78),EXTRACTNUMBER(AF78))))),SUM(EXTRACTNUMBER(D78),EXTRACTNUMBER(F78),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EXTRACTNUMBER(AD78),EXTRACTNUMBER(AF78)))</f>
        <v>471</v>
      </c>
      <c r="AI78" s="38" t="str">
        <f t="shared" si="15"/>
        <v>PASS</v>
      </c>
      <c r="AJ78" s="28" t="str">
        <f>spellnumber(EXTRACTnUMBER_TOT(AH78))</f>
        <v xml:space="preserve">Four Hundred Seventy One </v>
      </c>
      <c r="AK78" s="9">
        <v>471</v>
      </c>
    </row>
    <row r="79" spans="2:37" ht="15" customHeight="1">
      <c r="B79" s="31">
        <v>223253</v>
      </c>
      <c r="C79" s="32" t="s">
        <v>211</v>
      </c>
      <c r="D79" s="33">
        <v>40</v>
      </c>
      <c r="E79" s="34" t="str">
        <f t="shared" si="1"/>
        <v/>
      </c>
      <c r="F79" s="35">
        <v>18</v>
      </c>
      <c r="G79" s="34" t="str">
        <f t="shared" si="2"/>
        <v/>
      </c>
      <c r="H79" s="36">
        <v>67</v>
      </c>
      <c r="I79" s="34" t="str">
        <f t="shared" si="3"/>
        <v/>
      </c>
      <c r="J79" s="35">
        <v>19</v>
      </c>
      <c r="K79" s="34" t="str">
        <f t="shared" si="4"/>
        <v/>
      </c>
      <c r="L79" s="35">
        <v>19</v>
      </c>
      <c r="M79" s="34" t="str">
        <f t="shared" si="5"/>
        <v/>
      </c>
      <c r="N79" s="36">
        <v>68</v>
      </c>
      <c r="O79" s="34" t="str">
        <f t="shared" si="0"/>
        <v/>
      </c>
      <c r="P79" s="35">
        <v>19</v>
      </c>
      <c r="Q79" s="37" t="str">
        <f t="shared" si="6"/>
        <v/>
      </c>
      <c r="R79" s="33">
        <v>57</v>
      </c>
      <c r="S79" s="34" t="str">
        <f t="shared" si="7"/>
        <v/>
      </c>
      <c r="T79" s="35">
        <v>21</v>
      </c>
      <c r="U79" s="37" t="str">
        <f t="shared" si="8"/>
        <v/>
      </c>
      <c r="V79" s="33">
        <v>43</v>
      </c>
      <c r="W79" s="34" t="str">
        <f t="shared" si="9"/>
        <v/>
      </c>
      <c r="X79" s="35">
        <v>21</v>
      </c>
      <c r="Y79" s="37" t="str">
        <f t="shared" si="10"/>
        <v/>
      </c>
      <c r="Z79" s="35">
        <v>20</v>
      </c>
      <c r="AA79" s="37" t="str">
        <f t="shared" si="11"/>
        <v/>
      </c>
      <c r="AB79" s="33">
        <v>40</v>
      </c>
      <c r="AC79" s="34" t="str">
        <f t="shared" si="12"/>
        <v/>
      </c>
      <c r="AD79" s="35">
        <v>18</v>
      </c>
      <c r="AE79" s="34" t="str">
        <f t="shared" si="13"/>
        <v/>
      </c>
      <c r="AF79" s="35">
        <v>44</v>
      </c>
      <c r="AG79" s="37" t="str">
        <f t="shared" si="14"/>
        <v/>
      </c>
      <c r="AH79" s="4">
        <f>IF(OR(AND(D79&gt;=31,D79&lt;40),AND(H79&gt;=31,H79&lt;40),AND(N79&gt;=31,N79&lt;40),AND(R79&gt;=31,R79&lt;40),AND(V79&gt;=31,V79&lt;40),AND(AB79&gt;=11,AB79&lt;20)),IF(AND(OR(COUNTIF(D79:AG79,"=31")&gt;=1,COUNTIF(D79:AG79,"=32")&gt;=1,COUNTIF(D79:AG79,"=33")&gt;=1,COUNTIF(D79:AG79,"=34")&gt;=1,COUNTIF(D79:AG79,"=35")&gt;=1,COUNTIF(D79:AG79,"=36")&gt;=1 ),COUNTIF(D79:AG79,"")=0,COUNTIF(D79:AG79," ")=0,COUNTIF(D79:AG79,"F")=1),CONCATENATE(SUM(EXTRACTNUMBER(D79),EXTRACTNUMBER(F79),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EXTRACTNUMBER(AD79),EXTRACTNUMBER(AF79)),"*"),IF(AND(COUNTIF(D79:AG79,"=34")&gt;=1,COUNTIF(D79:AG79,"=35")&gt;=1,COUNTIF(D79:AG79,"f")=2,COUNTIF(D79:AG79,"")=0,COUNTIF(D79:AG79,"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EXTRACTNUMBER(AD79),EXTRACTNUMBER(AF79)),"*"),IF(AND(COUNTIF(D79:AG79,"=36")&gt;=2,COUNTIF(D79:AG79,"f")=2,COUNTIF(D79:AG79,"")=0,COUNTIF(D79:AG79,"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EXTRACTNUMBER(AD79),EXTRACTNUMBER(AF79)),"*"),SUM(EXTRACTNUMBER(D79),EXTRACTNUMBER(F79),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EXTRACTNUMBER(AD79),EXTRACTNUMBER(AF79))))),SUM(EXTRACTNUMBER(D79),EXTRACTNUMBER(F79),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EXTRACTNUMBER(AD79),EXTRACTNUMBER(AF79)))</f>
        <v>514</v>
      </c>
      <c r="AI79" s="38" t="str">
        <f t="shared" si="15"/>
        <v>PASS</v>
      </c>
      <c r="AJ79" s="28" t="str">
        <f>spellnumber(EXTRACTnUMBER_TOT(AH79))</f>
        <v xml:space="preserve">Five Hundred Fourteen </v>
      </c>
      <c r="AK79" s="9">
        <v>514</v>
      </c>
    </row>
    <row r="80" spans="2:37" ht="15" customHeight="1">
      <c r="B80" s="31">
        <v>223254</v>
      </c>
      <c r="C80" s="32" t="s">
        <v>212</v>
      </c>
      <c r="D80" s="33">
        <v>50</v>
      </c>
      <c r="E80" s="34" t="str">
        <f t="shared" si="1"/>
        <v/>
      </c>
      <c r="F80" s="35">
        <v>23</v>
      </c>
      <c r="G80" s="34" t="str">
        <f t="shared" si="2"/>
        <v/>
      </c>
      <c r="H80" s="36">
        <v>55</v>
      </c>
      <c r="I80" s="34" t="str">
        <f t="shared" si="3"/>
        <v/>
      </c>
      <c r="J80" s="35">
        <v>22</v>
      </c>
      <c r="K80" s="34" t="str">
        <f t="shared" si="4"/>
        <v/>
      </c>
      <c r="L80" s="35">
        <v>20</v>
      </c>
      <c r="M80" s="34" t="str">
        <f t="shared" si="5"/>
        <v/>
      </c>
      <c r="N80" s="36">
        <v>66</v>
      </c>
      <c r="O80" s="34" t="str">
        <f t="shared" si="0"/>
        <v/>
      </c>
      <c r="P80" s="35">
        <v>23</v>
      </c>
      <c r="Q80" s="37" t="str">
        <f t="shared" si="6"/>
        <v/>
      </c>
      <c r="R80" s="33">
        <v>60</v>
      </c>
      <c r="S80" s="34" t="str">
        <f t="shared" si="7"/>
        <v/>
      </c>
      <c r="T80" s="35">
        <v>21</v>
      </c>
      <c r="U80" s="37" t="str">
        <f t="shared" si="8"/>
        <v/>
      </c>
      <c r="V80" s="33">
        <v>50</v>
      </c>
      <c r="W80" s="34" t="str">
        <f t="shared" si="9"/>
        <v/>
      </c>
      <c r="X80" s="35">
        <v>22</v>
      </c>
      <c r="Y80" s="37" t="str">
        <f t="shared" si="10"/>
        <v/>
      </c>
      <c r="Z80" s="35">
        <v>22</v>
      </c>
      <c r="AA80" s="37" t="str">
        <f t="shared" si="11"/>
        <v/>
      </c>
      <c r="AB80" s="33">
        <v>40</v>
      </c>
      <c r="AC80" s="34" t="str">
        <f t="shared" si="12"/>
        <v/>
      </c>
      <c r="AD80" s="35">
        <v>24</v>
      </c>
      <c r="AE80" s="34" t="str">
        <f t="shared" si="13"/>
        <v/>
      </c>
      <c r="AF80" s="35">
        <v>46</v>
      </c>
      <c r="AG80" s="37" t="str">
        <f t="shared" si="14"/>
        <v/>
      </c>
      <c r="AH80" s="4">
        <f>IF(OR(AND(D80&gt;=31,D80&lt;40),AND(H80&gt;=31,H80&lt;40),AND(N80&gt;=31,N80&lt;40),AND(R80&gt;=31,R80&lt;40),AND(V80&gt;=31,V80&lt;40),AND(AB80&gt;=11,AB80&lt;20)),IF(AND(OR(COUNTIF(D80:AG80,"=31")&gt;=1,COUNTIF(D80:AG80,"=32")&gt;=1,COUNTIF(D80:AG80,"=33")&gt;=1,COUNTIF(D80:AG80,"=34")&gt;=1,COUNTIF(D80:AG80,"=35")&gt;=1,COUNTIF(D80:AG80,"=36")&gt;=1 ),COUNTIF(D80:AG80,"")=0,COUNTIF(D80:AG80," ")=0,COUNTIF(D80:AG80,"F")=1),CONCATENATE(SUM(EXTRACTNUMBER(D80),EXTRACTNUMBER(F80),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EXTRACTNUMBER(AD80),EXTRACTNUMBER(AF80)),"*"),IF(AND(COUNTIF(D80:AG80,"=34")&gt;=1,COUNTIF(D80:AG80,"=35")&gt;=1,COUNTIF(D80:AG80,"f")=2,COUNTIF(D80:AG80,"")=0,COUNTIF(D80:AG80,"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EXTRACTNUMBER(AD80),EXTRACTNUMBER(AF80)),"*"),IF(AND(COUNTIF(D80:AG80,"=36")&gt;=2,COUNTIF(D80:AG80,"f")=2,COUNTIF(D80:AG80,"")=0,COUNTIF(D80:AG80,"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EXTRACTNUMBER(AD80),EXTRACTNUMBER(AF80)),"*"),SUM(EXTRACTNUMBER(D80),EXTRACTNUMBER(F80),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EXTRACTNUMBER(AD80),EXTRACTNUMBER(AF80))))),SUM(EXTRACTNUMBER(D80),EXTRACTNUMBER(F80),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EXTRACTNUMBER(AD80),EXTRACTNUMBER(AF80)))</f>
        <v>544</v>
      </c>
      <c r="AI80" s="38" t="str">
        <f t="shared" si="15"/>
        <v>PASS</v>
      </c>
      <c r="AJ80" s="28" t="str">
        <f>spellnumber(EXTRACTnUMBER_TOT(AH80))</f>
        <v xml:space="preserve">Five Hundred Forty Four </v>
      </c>
      <c r="AK80" s="9">
        <v>544</v>
      </c>
    </row>
    <row r="81" spans="2:37" ht="15" customHeight="1">
      <c r="B81" s="31">
        <v>223255</v>
      </c>
      <c r="C81" s="32" t="s">
        <v>213</v>
      </c>
      <c r="D81" s="33">
        <v>45</v>
      </c>
      <c r="E81" s="34" t="str">
        <f t="shared" si="1"/>
        <v/>
      </c>
      <c r="F81" s="35">
        <v>24</v>
      </c>
      <c r="G81" s="34" t="str">
        <f t="shared" si="2"/>
        <v/>
      </c>
      <c r="H81" s="36">
        <v>57</v>
      </c>
      <c r="I81" s="34" t="str">
        <f t="shared" si="3"/>
        <v/>
      </c>
      <c r="J81" s="35">
        <v>23</v>
      </c>
      <c r="K81" s="34" t="str">
        <f t="shared" si="4"/>
        <v/>
      </c>
      <c r="L81" s="35">
        <v>18</v>
      </c>
      <c r="M81" s="34" t="str">
        <f t="shared" si="5"/>
        <v/>
      </c>
      <c r="N81" s="36">
        <v>69</v>
      </c>
      <c r="O81" s="34" t="str">
        <f t="shared" si="0"/>
        <v/>
      </c>
      <c r="P81" s="35">
        <v>23</v>
      </c>
      <c r="Q81" s="37" t="str">
        <f t="shared" si="6"/>
        <v/>
      </c>
      <c r="R81" s="33">
        <v>67</v>
      </c>
      <c r="S81" s="34" t="str">
        <f t="shared" si="7"/>
        <v/>
      </c>
      <c r="T81" s="35">
        <v>23</v>
      </c>
      <c r="U81" s="37" t="str">
        <f t="shared" si="8"/>
        <v/>
      </c>
      <c r="V81" s="33">
        <v>48</v>
      </c>
      <c r="W81" s="34" t="str">
        <f t="shared" si="9"/>
        <v/>
      </c>
      <c r="X81" s="35">
        <v>18</v>
      </c>
      <c r="Y81" s="37" t="str">
        <f t="shared" si="10"/>
        <v/>
      </c>
      <c r="Z81" s="35">
        <v>19</v>
      </c>
      <c r="AA81" s="37" t="str">
        <f t="shared" si="11"/>
        <v/>
      </c>
      <c r="AB81" s="33">
        <v>40</v>
      </c>
      <c r="AC81" s="34" t="str">
        <f t="shared" si="12"/>
        <v/>
      </c>
      <c r="AD81" s="35">
        <v>22</v>
      </c>
      <c r="AE81" s="34" t="str">
        <f t="shared" si="13"/>
        <v/>
      </c>
      <c r="AF81" s="35">
        <v>46</v>
      </c>
      <c r="AG81" s="37" t="str">
        <f t="shared" si="14"/>
        <v/>
      </c>
      <c r="AH81" s="4">
        <f>IF(OR(AND(D81&gt;=31,D81&lt;40),AND(H81&gt;=31,H81&lt;40),AND(N81&gt;=31,N81&lt;40),AND(R81&gt;=31,R81&lt;40),AND(V81&gt;=31,V81&lt;40),AND(AB81&gt;=11,AB81&lt;20)),IF(AND(OR(COUNTIF(D81:AG81,"=31")&gt;=1,COUNTIF(D81:AG81,"=32")&gt;=1,COUNTIF(D81:AG81,"=33")&gt;=1,COUNTIF(D81:AG81,"=34")&gt;=1,COUNTIF(D81:AG81,"=35")&gt;=1,COUNTIF(D81:AG81,"=36")&gt;=1 ),COUNTIF(D81:AG81,"")=0,COUNTIF(D81:AG81," ")=0,COUNTIF(D81:AG81,"F")=1),CONCATENATE(SUM(EXTRACTNUMBER(D81),EXTRACTNUMBER(F81),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EXTRACTNUMBER(AD81),EXTRACTNUMBER(AF81)),"*"),IF(AND(COUNTIF(D81:AG81,"=34")&gt;=1,COUNTIF(D81:AG81,"=35")&gt;=1,COUNTIF(D81:AG81,"f")=2,COUNTIF(D81:AG81,"")=0,COUNTIF(D81:AG81,"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EXTRACTNUMBER(AD81),EXTRACTNUMBER(AF81)),"*"),IF(AND(COUNTIF(D81:AG81,"=36")&gt;=2,COUNTIF(D81:AG81,"f")=2,COUNTIF(D81:AG81,"")=0,COUNTIF(D81:AG81," ")=0),CONCATENATE(SUM(EXTRACTNUMBER(D81),EXTRACTNUMBER(F81),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EXTRACTNUMBER(AD81),EXTRACTNUMBER(AF81)),"*"),SUM(EXTRACTNUMBER(D81),EXTRACTNUMBER(F81),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EXTRACTNUMBER(AD81),EXTRACTNUMBER(AF81))))),SUM(EXTRACTNUMBER(D81),EXTRACTNUMBER(F81),
EXTRACTNUMBER(H81),EXTRACTNUMBER(J81),
EXTRACTNUMBER(L81),EXTRACTNUMBER(N81),
EXTRACTNUMBER(P81),EXTRACTNUMBER(R81),
EXTRACTNUMBER(T81),EXTRACTNUMBER(V81),
EXTRACTNUMBER(X81),EXTRACTNUMBER(Z81),EXTRACTNUMBER(AB81),
EXTRACTNUMBER(AD81),EXTRACTNUMBER(AF81)))</f>
        <v>542</v>
      </c>
      <c r="AI81" s="38" t="str">
        <f t="shared" si="15"/>
        <v>PASS</v>
      </c>
      <c r="AJ81" s="28" t="str">
        <f>spellnumber(EXTRACTnUMBER_TOT(AH81))</f>
        <v xml:space="preserve">Five Hundred Forty Two </v>
      </c>
      <c r="AK81" s="9">
        <v>542</v>
      </c>
    </row>
    <row r="82" spans="2:37" ht="15" customHeight="1">
      <c r="B82" s="31">
        <v>223256</v>
      </c>
      <c r="C82" s="32" t="s">
        <v>214</v>
      </c>
      <c r="D82" s="33">
        <v>40</v>
      </c>
      <c r="E82" s="34" t="str">
        <f t="shared" si="1"/>
        <v/>
      </c>
      <c r="F82" s="35">
        <v>17</v>
      </c>
      <c r="G82" s="34" t="str">
        <f t="shared" si="2"/>
        <v/>
      </c>
      <c r="H82" s="36">
        <v>66</v>
      </c>
      <c r="I82" s="34" t="str">
        <f t="shared" si="3"/>
        <v/>
      </c>
      <c r="J82" s="35">
        <v>20</v>
      </c>
      <c r="K82" s="34" t="str">
        <f t="shared" si="4"/>
        <v/>
      </c>
      <c r="L82" s="35">
        <v>19</v>
      </c>
      <c r="M82" s="34" t="str">
        <f t="shared" si="5"/>
        <v/>
      </c>
      <c r="N82" s="36">
        <v>63</v>
      </c>
      <c r="O82" s="34" t="str">
        <f t="shared" si="0"/>
        <v/>
      </c>
      <c r="P82" s="35">
        <v>20</v>
      </c>
      <c r="Q82" s="37" t="str">
        <f t="shared" si="6"/>
        <v/>
      </c>
      <c r="R82" s="33">
        <v>43</v>
      </c>
      <c r="S82" s="34" t="str">
        <f t="shared" si="7"/>
        <v/>
      </c>
      <c r="T82" s="35">
        <v>20</v>
      </c>
      <c r="U82" s="37" t="str">
        <f t="shared" si="8"/>
        <v/>
      </c>
      <c r="V82" s="33">
        <v>55</v>
      </c>
      <c r="W82" s="34" t="str">
        <f t="shared" si="9"/>
        <v/>
      </c>
      <c r="X82" s="35">
        <v>19</v>
      </c>
      <c r="Y82" s="37" t="str">
        <f t="shared" si="10"/>
        <v/>
      </c>
      <c r="Z82" s="35">
        <v>18</v>
      </c>
      <c r="AA82" s="37" t="str">
        <f t="shared" si="11"/>
        <v/>
      </c>
      <c r="AB82" s="33">
        <v>49</v>
      </c>
      <c r="AC82" s="34" t="str">
        <f t="shared" si="12"/>
        <v/>
      </c>
      <c r="AD82" s="35">
        <v>23</v>
      </c>
      <c r="AE82" s="34" t="str">
        <f t="shared" si="13"/>
        <v/>
      </c>
      <c r="AF82" s="35">
        <v>43</v>
      </c>
      <c r="AG82" s="37" t="str">
        <f t="shared" si="14"/>
        <v/>
      </c>
      <c r="AH82" s="4">
        <f>IF(OR(AND(D82&gt;=31,D82&lt;40),AND(H82&gt;=31,H82&lt;40),AND(N82&gt;=31,N82&lt;40),AND(R82&gt;=31,R82&lt;40),AND(V82&gt;=31,V82&lt;40),AND(AB82&gt;=11,AB82&lt;20)),IF(AND(OR(COUNTIF(D82:AG82,"=31")&gt;=1,COUNTIF(D82:AG82,"=32")&gt;=1,COUNTIF(D82:AG82,"=33")&gt;=1,COUNTIF(D82:AG82,"=34")&gt;=1,COUNTIF(D82:AG82,"=35")&gt;=1,COUNTIF(D82:AG82,"=36")&gt;=1 ),COUNTIF(D82:AG82,"")=0,COUNTIF(D82:AG82," ")=0,COUNTIF(D82:AG82,"F")=1),CONCATENATE(SUM(EXTRACTNUMBER(D82),EXTRACTNUMBER(F82),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EXTRACTNUMBER(AD82),EXTRACTNUMBER(AF82)),"*"),IF(AND(COUNTIF(D82:AG82,"=34")&gt;=1,COUNTIF(D82:AG82,"=35")&gt;=1,COUNTIF(D82:AG82,"f")=2,COUNTIF(D82:AG82,"")=0,COUNTIF(D82:AG82,"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EXTRACTNUMBER(AD82),EXTRACTNUMBER(AF82)),"*"),IF(AND(COUNTIF(D82:AG82,"=36")&gt;=2,COUNTIF(D82:AG82,"f")=2,COUNTIF(D82:AG82,"")=0,COUNTIF(D82:AG82,"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EXTRACTNUMBER(AD82),EXTRACTNUMBER(AF82)),"*"),SUM(EXTRACTNUMBER(D82),EXTRACTNUMBER(F82),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EXTRACTNUMBER(AD82),EXTRACTNUMBER(AF82))))),SUM(EXTRACTNUMBER(D82),EXTRACTNUMBER(F82),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EXTRACTNUMBER(AD82),EXTRACTNUMBER(AF82)))</f>
        <v>515</v>
      </c>
      <c r="AI82" s="38" t="str">
        <f t="shared" si="15"/>
        <v>PASS</v>
      </c>
      <c r="AJ82" s="28" t="str">
        <f>spellnumber(EXTRACTnUMBER_TOT(AH82))</f>
        <v xml:space="preserve">Five Hundred Fifteen </v>
      </c>
      <c r="AK82" s="9">
        <v>515</v>
      </c>
    </row>
    <row r="83" spans="2:37" ht="15" customHeight="1">
      <c r="B83" s="31">
        <v>223257</v>
      </c>
      <c r="C83" s="32" t="s">
        <v>215</v>
      </c>
      <c r="D83" s="33">
        <v>19</v>
      </c>
      <c r="E83" s="34" t="str">
        <f t="shared" si="1"/>
        <v>F</v>
      </c>
      <c r="F83" s="35">
        <v>15</v>
      </c>
      <c r="G83" s="34" t="str">
        <f t="shared" si="2"/>
        <v>E</v>
      </c>
      <c r="H83" s="36">
        <v>50</v>
      </c>
      <c r="I83" s="34" t="str">
        <f t="shared" si="3"/>
        <v>E</v>
      </c>
      <c r="J83" s="35">
        <v>22</v>
      </c>
      <c r="K83" s="34" t="str">
        <f t="shared" si="4"/>
        <v>E</v>
      </c>
      <c r="L83" s="35">
        <v>18</v>
      </c>
      <c r="M83" s="34" t="str">
        <f t="shared" si="5"/>
        <v>E</v>
      </c>
      <c r="N83" s="36">
        <v>77</v>
      </c>
      <c r="O83" s="34" t="str">
        <f t="shared" si="0"/>
        <v>E</v>
      </c>
      <c r="P83" s="35">
        <v>19</v>
      </c>
      <c r="Q83" s="37" t="str">
        <f t="shared" si="6"/>
        <v>E</v>
      </c>
      <c r="R83" s="33">
        <v>50</v>
      </c>
      <c r="S83" s="34" t="str">
        <f t="shared" si="7"/>
        <v>E</v>
      </c>
      <c r="T83" s="35">
        <v>21</v>
      </c>
      <c r="U83" s="37" t="str">
        <f t="shared" si="8"/>
        <v>E</v>
      </c>
      <c r="V83" s="33">
        <v>51</v>
      </c>
      <c r="W83" s="34" t="str">
        <f t="shared" si="9"/>
        <v>E</v>
      </c>
      <c r="X83" s="35">
        <v>21</v>
      </c>
      <c r="Y83" s="37" t="str">
        <f t="shared" si="10"/>
        <v>E</v>
      </c>
      <c r="Z83" s="35">
        <v>22</v>
      </c>
      <c r="AA83" s="37" t="str">
        <f t="shared" si="11"/>
        <v>E</v>
      </c>
      <c r="AB83" s="33">
        <v>47</v>
      </c>
      <c r="AC83" s="34" t="str">
        <f t="shared" si="12"/>
        <v>E</v>
      </c>
      <c r="AD83" s="35">
        <v>22</v>
      </c>
      <c r="AE83" s="34" t="str">
        <f t="shared" si="13"/>
        <v>E</v>
      </c>
      <c r="AF83" s="35">
        <v>40</v>
      </c>
      <c r="AG83" s="37" t="str">
        <f t="shared" si="14"/>
        <v>E</v>
      </c>
      <c r="AH83" s="4">
        <f>IF(OR(AND(D83&gt;=31,D83&lt;40),AND(H83&gt;=31,H83&lt;40),AND(N83&gt;=31,N83&lt;40),AND(R83&gt;=31,R83&lt;40),AND(V83&gt;=31,V83&lt;40),AND(AB83&gt;=11,AB83&lt;20)),IF(AND(OR(COUNTIF(D83:AG83,"=31")&gt;=1,COUNTIF(D83:AG83,"=32")&gt;=1,COUNTIF(D83:AG83,"=33")&gt;=1,COUNTIF(D83:AG83,"=34")&gt;=1,COUNTIF(D83:AG83,"=35")&gt;=1,COUNTIF(D83:AG83,"=36")&gt;=1 ),COUNTIF(D83:AG83,"")=0,COUNTIF(D83:AG83," ")=0,COUNTIF(D83:AG83,"F")=1),CONCATENATE(SUM(EXTRACTNUMBER(D83),EXTRACTNUMBER(F83),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EXTRACTNUMBER(AD83),EXTRACTNUMBER(AF83)),"*"),IF(AND(COUNTIF(D83:AG83,"=34")&gt;=1,COUNTIF(D83:AG83,"=35")&gt;=1,COUNTIF(D83:AG83,"f")=2,COUNTIF(D83:AG83,"")=0,COUNTIF(D83:AG83,"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EXTRACTNUMBER(AD83),EXTRACTNUMBER(AF83)),"*"),IF(AND(COUNTIF(D83:AG83,"=36")&gt;=2,COUNTIF(D83:AG83,"f")=2,COUNTIF(D83:AG83,"")=0,COUNTIF(D83:AG83,"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EXTRACTNUMBER(AD83),EXTRACTNUMBER(AF83)),"*"),SUM(EXTRACTNUMBER(D83),EXTRACTNUMBER(F83),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EXTRACTNUMBER(AD83),EXTRACTNUMBER(AF83))))),SUM(EXTRACTNUMBER(D83),EXTRACTNUMBER(F83),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EXTRACTNUMBER(AD83),EXTRACTNUMBER(AF83)))</f>
        <v>494</v>
      </c>
      <c r="AI83" s="38" t="str">
        <f t="shared" si="15"/>
        <v>FAIL</v>
      </c>
      <c r="AJ83" s="28" t="str">
        <f>spellnumber(EXTRACTnUMBER_TOT(AH83))</f>
        <v xml:space="preserve">Four Hundred NinetyFour </v>
      </c>
      <c r="AK83" s="9">
        <v>494</v>
      </c>
    </row>
    <row r="84" spans="2:37" ht="15" customHeight="1">
      <c r="B84" s="31">
        <v>223258</v>
      </c>
      <c r="C84" s="32" t="s">
        <v>216</v>
      </c>
      <c r="D84" s="33">
        <v>22</v>
      </c>
      <c r="E84" s="34" t="str">
        <f t="shared" si="1"/>
        <v>F</v>
      </c>
      <c r="F84" s="35">
        <v>15</v>
      </c>
      <c r="G84" s="34" t="str">
        <f t="shared" si="2"/>
        <v>E</v>
      </c>
      <c r="H84" s="36">
        <v>47</v>
      </c>
      <c r="I84" s="34" t="str">
        <f t="shared" si="3"/>
        <v>E</v>
      </c>
      <c r="J84" s="35">
        <v>22</v>
      </c>
      <c r="K84" s="34" t="str">
        <f t="shared" si="4"/>
        <v>E</v>
      </c>
      <c r="L84" s="35">
        <v>18</v>
      </c>
      <c r="M84" s="34" t="str">
        <f t="shared" si="5"/>
        <v>E</v>
      </c>
      <c r="N84" s="36">
        <v>68</v>
      </c>
      <c r="O84" s="34" t="str">
        <f t="shared" si="0"/>
        <v>E</v>
      </c>
      <c r="P84" s="35">
        <v>19</v>
      </c>
      <c r="Q84" s="37" t="str">
        <f t="shared" si="6"/>
        <v>E</v>
      </c>
      <c r="R84" s="33">
        <v>61</v>
      </c>
      <c r="S84" s="34" t="str">
        <f t="shared" si="7"/>
        <v>E</v>
      </c>
      <c r="T84" s="35">
        <v>21</v>
      </c>
      <c r="U84" s="37" t="str">
        <f t="shared" si="8"/>
        <v>E</v>
      </c>
      <c r="V84" s="33">
        <v>44</v>
      </c>
      <c r="W84" s="34" t="str">
        <f t="shared" si="9"/>
        <v>E</v>
      </c>
      <c r="X84" s="35">
        <v>21</v>
      </c>
      <c r="Y84" s="37" t="str">
        <f t="shared" si="10"/>
        <v>E</v>
      </c>
      <c r="Z84" s="35">
        <v>22</v>
      </c>
      <c r="AA84" s="37" t="str">
        <f t="shared" si="11"/>
        <v>E</v>
      </c>
      <c r="AB84" s="33">
        <v>43</v>
      </c>
      <c r="AC84" s="34" t="str">
        <f t="shared" si="12"/>
        <v>E</v>
      </c>
      <c r="AD84" s="35">
        <v>22</v>
      </c>
      <c r="AE84" s="34" t="str">
        <f t="shared" si="13"/>
        <v>E</v>
      </c>
      <c r="AF84" s="35">
        <v>40</v>
      </c>
      <c r="AG84" s="37" t="str">
        <f t="shared" si="14"/>
        <v>E</v>
      </c>
      <c r="AH84" s="4">
        <f>IF(OR(AND(D84&gt;=31,D84&lt;40),AND(H84&gt;=31,H84&lt;40),AND(N84&gt;=31,N84&lt;40),AND(R84&gt;=31,R84&lt;40),AND(V84&gt;=31,V84&lt;40),AND(AB84&gt;=11,AB84&lt;20)),IF(AND(OR(COUNTIF(D84:AG84,"=31")&gt;=1,COUNTIF(D84:AG84,"=32")&gt;=1,COUNTIF(D84:AG84,"=33")&gt;=1,COUNTIF(D84:AG84,"=34")&gt;=1,COUNTIF(D84:AG84,"=35")&gt;=1,COUNTIF(D84:AG84,"=36")&gt;=1 ),COUNTIF(D84:AG84,"")=0,COUNTIF(D84:AG84," ")=0,COUNTIF(D84:AG84,"F")=1),CONCATENATE(SUM(EXTRACTNUMBER(D84),EXTRACTNUMBER(F84),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EXTRACTNUMBER(AD84),EXTRACTNUMBER(AF84)),"*"),IF(AND(COUNTIF(D84:AG84,"=34")&gt;=1,COUNTIF(D84:AG84,"=35")&gt;=1,COUNTIF(D84:AG84,"f")=2,COUNTIF(D84:AG84,"")=0,COUNTIF(D84:AG84,"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EXTRACTNUMBER(AD84),EXTRACTNUMBER(AF84)),"*"),IF(AND(COUNTIF(D84:AG84,"=36")&gt;=2,COUNTIF(D84:AG84,"f")=2,COUNTIF(D84:AG84,"")=0,COUNTIF(D84:AG84," ")=0),CONCATENATE(SUM(EXTRACTNUMBER(D84),EXTRACTNUMBER(F84),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EXTRACTNUMBER(AD84),EXTRACTNUMBER(AF84)),"*"),SUM(EXTRACTNUMBER(D84),EXTRACTNUMBER(F84),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EXTRACTNUMBER(AD84),EXTRACTNUMBER(AF84))))),SUM(EXTRACTNUMBER(D84),EXTRACTNUMBER(F84),
EXTRACTNUMBER(H84),EXTRACTNUMBER(J84),
EXTRACTNUMBER(L84),EXTRACTNUMBER(N84),
EXTRACTNUMBER(P84),EXTRACTNUMBER(R84),
EXTRACTNUMBER(T84),EXTRACTNUMBER(V84),
EXTRACTNUMBER(X84),EXTRACTNUMBER(Z84),EXTRACTNUMBER(AB84),
EXTRACTNUMBER(AD84),EXTRACTNUMBER(AF84)))</f>
        <v>485</v>
      </c>
      <c r="AI84" s="38" t="str">
        <f t="shared" si="15"/>
        <v>FAIL</v>
      </c>
      <c r="AJ84" s="28" t="str">
        <f>spellnumber(EXTRACTnUMBER_TOT(AH84))</f>
        <v xml:space="preserve">Four Hundred Eighty Five </v>
      </c>
      <c r="AK84" s="9">
        <v>485</v>
      </c>
    </row>
    <row r="85" spans="2:37" ht="15" customHeight="1">
      <c r="B85" s="31">
        <v>223259</v>
      </c>
      <c r="C85" s="39" t="s">
        <v>217</v>
      </c>
      <c r="D85" s="33">
        <v>40</v>
      </c>
      <c r="E85" s="34" t="str">
        <f t="shared" si="1"/>
        <v>E</v>
      </c>
      <c r="F85" s="35">
        <v>16</v>
      </c>
      <c r="G85" s="34" t="str">
        <f t="shared" si="2"/>
        <v>E</v>
      </c>
      <c r="H85" s="36">
        <v>26</v>
      </c>
      <c r="I85" s="34" t="str">
        <f t="shared" si="3"/>
        <v>F</v>
      </c>
      <c r="J85" s="35">
        <v>19</v>
      </c>
      <c r="K85" s="34" t="str">
        <f t="shared" si="4"/>
        <v>E</v>
      </c>
      <c r="L85" s="35">
        <v>19</v>
      </c>
      <c r="M85" s="34" t="str">
        <f t="shared" si="5"/>
        <v>E</v>
      </c>
      <c r="N85" s="36">
        <v>50</v>
      </c>
      <c r="O85" s="34" t="str">
        <f t="shared" si="0"/>
        <v>E</v>
      </c>
      <c r="P85" s="35">
        <v>22</v>
      </c>
      <c r="Q85" s="37" t="str">
        <f t="shared" si="6"/>
        <v>E</v>
      </c>
      <c r="R85" s="33">
        <v>50</v>
      </c>
      <c r="S85" s="34" t="str">
        <f t="shared" si="7"/>
        <v>E</v>
      </c>
      <c r="T85" s="35">
        <v>20</v>
      </c>
      <c r="U85" s="37" t="str">
        <f t="shared" si="8"/>
        <v>E</v>
      </c>
      <c r="V85" s="33">
        <v>49</v>
      </c>
      <c r="W85" s="34" t="str">
        <f t="shared" si="9"/>
        <v>E</v>
      </c>
      <c r="X85" s="35">
        <v>18</v>
      </c>
      <c r="Y85" s="37" t="str">
        <f t="shared" si="10"/>
        <v>E</v>
      </c>
      <c r="Z85" s="35">
        <v>18</v>
      </c>
      <c r="AA85" s="37" t="str">
        <f t="shared" si="11"/>
        <v>E</v>
      </c>
      <c r="AB85" s="33">
        <v>44</v>
      </c>
      <c r="AC85" s="34" t="str">
        <f t="shared" si="12"/>
        <v>E</v>
      </c>
      <c r="AD85" s="35">
        <v>20</v>
      </c>
      <c r="AE85" s="34" t="str">
        <f t="shared" si="13"/>
        <v>E</v>
      </c>
      <c r="AF85" s="35">
        <v>41</v>
      </c>
      <c r="AG85" s="37" t="str">
        <f t="shared" si="14"/>
        <v>E</v>
      </c>
      <c r="AH85" s="4">
        <f>IF(OR(AND(D85&gt;=31,D85&lt;40),AND(H85&gt;=31,H85&lt;40),AND(N85&gt;=31,N85&lt;40),AND(R85&gt;=31,R85&lt;40),AND(V85&gt;=31,V85&lt;40),AND(AB85&gt;=11,AB85&lt;20)),IF(AND(OR(COUNTIF(D85:AG85,"=31")&gt;=1,COUNTIF(D85:AG85,"=32")&gt;=1,COUNTIF(D85:AG85,"=33")&gt;=1,COUNTIF(D85:AG85,"=34")&gt;=1,COUNTIF(D85:AG85,"=35")&gt;=1,COUNTIF(D85:AG85,"=36")&gt;=1 ),COUNTIF(D85:AG85,"")=0,COUNTIF(D85:AG85," ")=0,COUNTIF(D85:AG85,"F")=1),CONCATENATE(SUM(EXTRACTNUMBER(D85),EXTRACTNUMBER(F85),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EXTRACTNUMBER(AD85),EXTRACTNUMBER(AF85)),"*"),IF(AND(COUNTIF(D85:AG85,"=34")&gt;=1,COUNTIF(D85:AG85,"=35")&gt;=1,COUNTIF(D85:AG85,"f")=2,COUNTIF(D85:AG85,"")=0,COUNTIF(D85:AG85,"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EXTRACTNUMBER(AD85),EXTRACTNUMBER(AF85)),"*"),IF(AND(COUNTIF(D85:AG85,"=36")&gt;=2,COUNTIF(D85:AG85,"f")=2,COUNTIF(D85:AG85,"")=0,COUNTIF(D85:AG85,"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EXTRACTNUMBER(AD85),EXTRACTNUMBER(AF85)),"*"),SUM(EXTRACTNUMBER(D85),EXTRACTNUMBER(F85),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EXTRACTNUMBER(AD85),EXTRACTNUMBER(AF85))))),SUM(EXTRACTNUMBER(D85),EXTRACTNUMBER(F85),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EXTRACTNUMBER(AD85),EXTRACTNUMBER(AF85)))</f>
        <v>452</v>
      </c>
      <c r="AI85" s="38" t="str">
        <f t="shared" si="15"/>
        <v>FAIL</v>
      </c>
      <c r="AJ85" s="28" t="str">
        <f>spellnumber(EXTRACTnUMBER_TOT(AH85))</f>
        <v xml:space="preserve">Four Hundred Fifty Two </v>
      </c>
      <c r="AK85" s="9">
        <v>452</v>
      </c>
    </row>
    <row r="86" spans="2:37" ht="15" customHeight="1">
      <c r="B86" s="31">
        <v>223260</v>
      </c>
      <c r="C86" s="32" t="s">
        <v>218</v>
      </c>
      <c r="D86" s="33">
        <v>50</v>
      </c>
      <c r="E86" s="34" t="str">
        <f t="shared" si="1"/>
        <v/>
      </c>
      <c r="F86" s="35">
        <v>17</v>
      </c>
      <c r="G86" s="34" t="str">
        <f t="shared" si="2"/>
        <v/>
      </c>
      <c r="H86" s="36">
        <v>63</v>
      </c>
      <c r="I86" s="34" t="str">
        <f t="shared" si="3"/>
        <v/>
      </c>
      <c r="J86" s="35">
        <v>18</v>
      </c>
      <c r="K86" s="34" t="str">
        <f t="shared" si="4"/>
        <v/>
      </c>
      <c r="L86" s="35">
        <v>18</v>
      </c>
      <c r="M86" s="34" t="str">
        <f t="shared" si="5"/>
        <v/>
      </c>
      <c r="N86" s="36">
        <v>79</v>
      </c>
      <c r="O86" s="34" t="str">
        <f t="shared" si="0"/>
        <v/>
      </c>
      <c r="P86" s="35">
        <v>20</v>
      </c>
      <c r="Q86" s="37" t="str">
        <f t="shared" si="6"/>
        <v/>
      </c>
      <c r="R86" s="33">
        <v>73</v>
      </c>
      <c r="S86" s="34" t="str">
        <f t="shared" si="7"/>
        <v/>
      </c>
      <c r="T86" s="35">
        <v>22</v>
      </c>
      <c r="U86" s="37" t="str">
        <f t="shared" si="8"/>
        <v/>
      </c>
      <c r="V86" s="33">
        <v>47</v>
      </c>
      <c r="W86" s="34" t="str">
        <f t="shared" si="9"/>
        <v/>
      </c>
      <c r="X86" s="35">
        <v>19</v>
      </c>
      <c r="Y86" s="37" t="str">
        <f t="shared" si="10"/>
        <v/>
      </c>
      <c r="Z86" s="35">
        <v>19</v>
      </c>
      <c r="AA86" s="37" t="str">
        <f t="shared" si="11"/>
        <v/>
      </c>
      <c r="AB86" s="33">
        <v>50</v>
      </c>
      <c r="AC86" s="34" t="str">
        <f t="shared" si="12"/>
        <v/>
      </c>
      <c r="AD86" s="35">
        <v>23</v>
      </c>
      <c r="AE86" s="34" t="str">
        <f t="shared" si="13"/>
        <v/>
      </c>
      <c r="AF86" s="35">
        <v>45</v>
      </c>
      <c r="AG86" s="37" t="str">
        <f t="shared" si="14"/>
        <v/>
      </c>
      <c r="AH86" s="4">
        <f>IF(OR(AND(D86&gt;=31,D86&lt;40),AND(H86&gt;=31,H86&lt;40),AND(N86&gt;=31,N86&lt;40),AND(R86&gt;=31,R86&lt;40),AND(V86&gt;=31,V86&lt;40),AND(AB86&gt;=11,AB86&lt;20)),IF(AND(OR(COUNTIF(D86:AG86,"=31")&gt;=1,COUNTIF(D86:AG86,"=32")&gt;=1,COUNTIF(D86:AG86,"=33")&gt;=1,COUNTIF(D86:AG86,"=34")&gt;=1,COUNTIF(D86:AG86,"=35")&gt;=1,COUNTIF(D86:AG86,"=36")&gt;=1 ),COUNTIF(D86:AG86,"")=0,COUNTIF(D86:AG86," ")=0,COUNTIF(D86:AG86,"F")=1),CONCATENATE(SUM(EXTRACTNUMBER(D86),EXTRACTNUMBER(F86),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EXTRACTNUMBER(AD86),EXTRACTNUMBER(AF86)),"*"),IF(AND(COUNTIF(D86:AG86,"=34")&gt;=1,COUNTIF(D86:AG86,"=35")&gt;=1,COUNTIF(D86:AG86,"f")=2,COUNTIF(D86:AG86,"")=0,COUNTIF(D86:AG86,"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EXTRACTNUMBER(AD86),EXTRACTNUMBER(AF86)),"*"),IF(AND(COUNTIF(D86:AG86,"=36")&gt;=2,COUNTIF(D86:AG86,"f")=2,COUNTIF(D86:AG86,"")=0,COUNTIF(D86:AG86,"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EXTRACTNUMBER(AD86),EXTRACTNUMBER(AF86)),"*"),SUM(EXTRACTNUMBER(D86),EXTRACTNUMBER(F86),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EXTRACTNUMBER(AD86),EXTRACTNUMBER(AF86))))),SUM(EXTRACTNUMBER(D86),EXTRACTNUMBER(F86),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EXTRACTNUMBER(AD86),EXTRACTNUMBER(AF86)))</f>
        <v>563</v>
      </c>
      <c r="AI86" s="38" t="str">
        <f t="shared" si="15"/>
        <v>PASS</v>
      </c>
      <c r="AJ86" s="28" t="str">
        <f>spellnumber(EXTRACTnUMBER_TOT(AH86))</f>
        <v xml:space="preserve">Five Hundred Sixty Three </v>
      </c>
      <c r="AK86" s="9">
        <v>563</v>
      </c>
    </row>
    <row r="87" spans="2:37" ht="15" customHeight="1">
      <c r="B87" s="31">
        <v>223261</v>
      </c>
      <c r="C87" s="39" t="s">
        <v>219</v>
      </c>
      <c r="D87" s="33">
        <v>21</v>
      </c>
      <c r="E87" s="34" t="str">
        <f t="shared" si="1"/>
        <v>F</v>
      </c>
      <c r="F87" s="35">
        <v>14</v>
      </c>
      <c r="G87" s="34" t="str">
        <f t="shared" si="2"/>
        <v>E</v>
      </c>
      <c r="H87" s="36">
        <v>55</v>
      </c>
      <c r="I87" s="34" t="str">
        <f t="shared" si="3"/>
        <v>E</v>
      </c>
      <c r="J87" s="35">
        <v>23</v>
      </c>
      <c r="K87" s="34" t="str">
        <f t="shared" si="4"/>
        <v>E</v>
      </c>
      <c r="L87" s="35">
        <v>19</v>
      </c>
      <c r="M87" s="34" t="str">
        <f t="shared" si="5"/>
        <v>E</v>
      </c>
      <c r="N87" s="36">
        <v>43</v>
      </c>
      <c r="O87" s="34" t="str">
        <f t="shared" si="0"/>
        <v>E</v>
      </c>
      <c r="P87" s="35">
        <v>23</v>
      </c>
      <c r="Q87" s="37" t="str">
        <f t="shared" si="6"/>
        <v>E</v>
      </c>
      <c r="R87" s="33">
        <v>40</v>
      </c>
      <c r="S87" s="34" t="str">
        <f t="shared" si="7"/>
        <v>E</v>
      </c>
      <c r="T87" s="35">
        <v>23</v>
      </c>
      <c r="U87" s="37" t="str">
        <f t="shared" si="8"/>
        <v>E</v>
      </c>
      <c r="V87" s="33">
        <v>40</v>
      </c>
      <c r="W87" s="34" t="str">
        <f t="shared" si="9"/>
        <v>E</v>
      </c>
      <c r="X87" s="35">
        <v>18</v>
      </c>
      <c r="Y87" s="37" t="str">
        <f t="shared" si="10"/>
        <v>E</v>
      </c>
      <c r="Z87" s="35">
        <v>18</v>
      </c>
      <c r="AA87" s="37" t="str">
        <f t="shared" si="11"/>
        <v>E</v>
      </c>
      <c r="AB87" s="33">
        <v>33</v>
      </c>
      <c r="AC87" s="34" t="str">
        <f t="shared" si="12"/>
        <v>F</v>
      </c>
      <c r="AD87" s="35">
        <v>18</v>
      </c>
      <c r="AE87" s="34" t="str">
        <f t="shared" si="13"/>
        <v>E</v>
      </c>
      <c r="AF87" s="35">
        <v>42</v>
      </c>
      <c r="AG87" s="37" t="str">
        <f t="shared" si="14"/>
        <v>E</v>
      </c>
      <c r="AH87" s="4">
        <f>IF(OR(AND(D87&gt;=31,D87&lt;40),AND(H87&gt;=31,H87&lt;40),AND(N87&gt;=31,N87&lt;40),AND(R87&gt;=31,R87&lt;40),AND(V87&gt;=31,V87&lt;40),AND(AB87&gt;=11,AB87&lt;20)),IF(AND(OR(COUNTIF(D87:AG87,"=31")&gt;=1,COUNTIF(D87:AG87,"=32")&gt;=1,COUNTIF(D87:AG87,"=33")&gt;=1,COUNTIF(D87:AG87,"=34")&gt;=1,COUNTIF(D87:AG87,"=35")&gt;=1,COUNTIF(D87:AG87,"=36")&gt;=1 ),COUNTIF(D87:AG87,"")=0,COUNTIF(D87:AG87," ")=0,COUNTIF(D87:AG87,"F")=1),CONCATENATE(SUM(EXTRACTNUMBER(D87),EXTRACTNUMBER(F87),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EXTRACTNUMBER(AD87),EXTRACTNUMBER(AF87)),"*"),IF(AND(COUNTIF(D87:AG87,"=34")&gt;=1,COUNTIF(D87:AG87,"=35")&gt;=1,COUNTIF(D87:AG87,"f")=2,COUNTIF(D87:AG87,"")=0,COUNTIF(D87:AG87,"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EXTRACTNUMBER(AD87),EXTRACTNUMBER(AF87)),"*"),IF(AND(COUNTIF(D87:AG87,"=36")&gt;=2,COUNTIF(D87:AG87,"f")=2,COUNTIF(D87:AG87,"")=0,COUNTIF(D87:AG87,"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EXTRACTNUMBER(AD87),EXTRACTNUMBER(AF87)),"*"),SUM(EXTRACTNUMBER(D87),EXTRACTNUMBER(F87),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EXTRACTNUMBER(AD87),EXTRACTNUMBER(AF87))))),SUM(EXTRACTNUMBER(D87),EXTRACTNUMBER(F87),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EXTRACTNUMBER(AD87),EXTRACTNUMBER(AF87)))</f>
        <v>430</v>
      </c>
      <c r="AI87" s="38" t="str">
        <f t="shared" si="15"/>
        <v>FAIL</v>
      </c>
      <c r="AJ87" s="28" t="str">
        <f>spellnumber(EXTRACTnUMBER_TOT(AH87))</f>
        <v xml:space="preserve">Four Hundred Thirty  </v>
      </c>
      <c r="AK87" s="9">
        <v>430</v>
      </c>
    </row>
    <row r="88" spans="2:37" ht="15" customHeight="1">
      <c r="B88" s="31">
        <v>223262</v>
      </c>
      <c r="C88" s="32" t="s">
        <v>220</v>
      </c>
      <c r="D88" s="33">
        <v>2</v>
      </c>
      <c r="E88" s="34" t="str">
        <f t="shared" si="1"/>
        <v>F</v>
      </c>
      <c r="F88" s="35">
        <v>17</v>
      </c>
      <c r="G88" s="34" t="str">
        <f t="shared" si="2"/>
        <v>E</v>
      </c>
      <c r="H88" s="36">
        <v>41</v>
      </c>
      <c r="I88" s="34" t="str">
        <f t="shared" si="3"/>
        <v>E</v>
      </c>
      <c r="J88" s="35">
        <v>21</v>
      </c>
      <c r="K88" s="34" t="str">
        <f t="shared" si="4"/>
        <v>E</v>
      </c>
      <c r="L88" s="35">
        <v>17</v>
      </c>
      <c r="M88" s="34" t="str">
        <f t="shared" si="5"/>
        <v>E</v>
      </c>
      <c r="N88" s="36">
        <v>42</v>
      </c>
      <c r="O88" s="34" t="str">
        <f t="shared" si="0"/>
        <v>E</v>
      </c>
      <c r="P88" s="35">
        <v>19</v>
      </c>
      <c r="Q88" s="37" t="str">
        <f t="shared" si="6"/>
        <v>E</v>
      </c>
      <c r="R88" s="33">
        <v>40</v>
      </c>
      <c r="S88" s="34" t="str">
        <f t="shared" si="7"/>
        <v>E</v>
      </c>
      <c r="T88" s="35">
        <v>20</v>
      </c>
      <c r="U88" s="37" t="str">
        <f t="shared" si="8"/>
        <v>E</v>
      </c>
      <c r="V88" s="33">
        <v>40</v>
      </c>
      <c r="W88" s="34" t="str">
        <f t="shared" si="9"/>
        <v>E</v>
      </c>
      <c r="X88" s="35">
        <v>18</v>
      </c>
      <c r="Y88" s="37" t="str">
        <f t="shared" si="10"/>
        <v>E</v>
      </c>
      <c r="Z88" s="35">
        <v>18</v>
      </c>
      <c r="AA88" s="37" t="str">
        <f t="shared" si="11"/>
        <v>E</v>
      </c>
      <c r="AB88" s="33">
        <v>40</v>
      </c>
      <c r="AC88" s="34" t="str">
        <f t="shared" si="12"/>
        <v>E</v>
      </c>
      <c r="AD88" s="35">
        <v>20</v>
      </c>
      <c r="AE88" s="34" t="str">
        <f t="shared" si="13"/>
        <v>E</v>
      </c>
      <c r="AF88" s="35">
        <v>41</v>
      </c>
      <c r="AG88" s="37" t="str">
        <f t="shared" si="14"/>
        <v>E</v>
      </c>
      <c r="AH88" s="4">
        <f>IF(OR(AND(D88&gt;=31,D88&lt;40),AND(H88&gt;=31,H88&lt;40),AND(N88&gt;=31,N88&lt;40),AND(R88&gt;=31,R88&lt;40),AND(V88&gt;=31,V88&lt;40),AND(AB88&gt;=11,AB88&lt;20)),IF(AND(OR(COUNTIF(D88:AG88,"=31")&gt;=1,COUNTIF(D88:AG88,"=32")&gt;=1,COUNTIF(D88:AG88,"=33")&gt;=1,COUNTIF(D88:AG88,"=34")&gt;=1,COUNTIF(D88:AG88,"=35")&gt;=1,COUNTIF(D88:AG88,"=36")&gt;=1 ),COUNTIF(D88:AG88,"")=0,COUNTIF(D88:AG88," ")=0,COUNTIF(D88:AG88,"F")=1),CONCATENATE(SUM(EXTRACTNUMBER(D88),EXTRACTNUMBER(F88),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EXTRACTNUMBER(AD88),EXTRACTNUMBER(AF88)),"*"),IF(AND(COUNTIF(D88:AG88,"=34")&gt;=1,COUNTIF(D88:AG88,"=35")&gt;=1,COUNTIF(D88:AG88,"f")=2,COUNTIF(D88:AG88,"")=0,COUNTIF(D88:AG88,"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EXTRACTNUMBER(AD88),EXTRACTNUMBER(AF88)),"*"),IF(AND(COUNTIF(D88:AG88,"=36")&gt;=2,COUNTIF(D88:AG88,"f")=2,COUNTIF(D88:AG88,"")=0,COUNTIF(D88:AG88,"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EXTRACTNUMBER(AD88),EXTRACTNUMBER(AF88)),"*"),SUM(EXTRACTNUMBER(D88),EXTRACTNUMBER(F88),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EXTRACTNUMBER(AD88),EXTRACTNUMBER(AF88))))),SUM(EXTRACTNUMBER(D88),EXTRACTNUMBER(F88),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EXTRACTNUMBER(AD88),EXTRACTNUMBER(AF88)))</f>
        <v>396</v>
      </c>
      <c r="AI88" s="38" t="str">
        <f t="shared" si="15"/>
        <v>FAIL</v>
      </c>
      <c r="AJ88" s="28" t="str">
        <f>spellnumber(EXTRACTnUMBER_TOT(AH88))</f>
        <v xml:space="preserve">Three Hundred NinetySix </v>
      </c>
      <c r="AK88" s="9">
        <v>396</v>
      </c>
    </row>
    <row r="89" spans="2:37" ht="15" customHeight="1">
      <c r="B89" s="31">
        <v>223263</v>
      </c>
      <c r="C89" s="32" t="s">
        <v>221</v>
      </c>
      <c r="D89" s="33">
        <v>40</v>
      </c>
      <c r="E89" s="34" t="str">
        <f t="shared" si="1"/>
        <v/>
      </c>
      <c r="F89" s="35">
        <v>22</v>
      </c>
      <c r="G89" s="34" t="str">
        <f t="shared" si="2"/>
        <v/>
      </c>
      <c r="H89" s="36">
        <v>69</v>
      </c>
      <c r="I89" s="34" t="str">
        <f t="shared" si="3"/>
        <v/>
      </c>
      <c r="J89" s="35">
        <v>18</v>
      </c>
      <c r="K89" s="34" t="str">
        <f t="shared" si="4"/>
        <v/>
      </c>
      <c r="L89" s="35">
        <v>18</v>
      </c>
      <c r="M89" s="34" t="str">
        <f t="shared" si="5"/>
        <v/>
      </c>
      <c r="N89" s="36">
        <v>40</v>
      </c>
      <c r="O89" s="34" t="str">
        <f t="shared" si="0"/>
        <v/>
      </c>
      <c r="P89" s="35">
        <v>22</v>
      </c>
      <c r="Q89" s="37" t="str">
        <f t="shared" si="6"/>
        <v/>
      </c>
      <c r="R89" s="33">
        <v>50</v>
      </c>
      <c r="S89" s="34" t="str">
        <f t="shared" si="7"/>
        <v/>
      </c>
      <c r="T89" s="35">
        <v>21</v>
      </c>
      <c r="U89" s="37" t="str">
        <f t="shared" si="8"/>
        <v/>
      </c>
      <c r="V89" s="33">
        <v>45</v>
      </c>
      <c r="W89" s="34" t="str">
        <f t="shared" si="9"/>
        <v/>
      </c>
      <c r="X89" s="35">
        <v>19</v>
      </c>
      <c r="Y89" s="37" t="str">
        <f t="shared" si="10"/>
        <v/>
      </c>
      <c r="Z89" s="35">
        <v>18</v>
      </c>
      <c r="AA89" s="37" t="str">
        <f t="shared" si="11"/>
        <v/>
      </c>
      <c r="AB89" s="33">
        <v>45</v>
      </c>
      <c r="AC89" s="34" t="str">
        <f t="shared" si="12"/>
        <v/>
      </c>
      <c r="AD89" s="35">
        <v>21</v>
      </c>
      <c r="AE89" s="34" t="str">
        <f t="shared" si="13"/>
        <v/>
      </c>
      <c r="AF89" s="35">
        <v>42</v>
      </c>
      <c r="AG89" s="37" t="str">
        <f t="shared" si="14"/>
        <v/>
      </c>
      <c r="AH89" s="4">
        <f>IF(OR(AND(D89&gt;=31,D89&lt;40),AND(H89&gt;=31,H89&lt;40),AND(N89&gt;=31,N89&lt;40),AND(R89&gt;=31,R89&lt;40),AND(V89&gt;=31,V89&lt;40),AND(AB89&gt;=11,AB89&lt;20)),IF(AND(OR(COUNTIF(D89:AG89,"=31")&gt;=1,COUNTIF(D89:AG89,"=32")&gt;=1,COUNTIF(D89:AG89,"=33")&gt;=1,COUNTIF(D89:AG89,"=34")&gt;=1,COUNTIF(D89:AG89,"=35")&gt;=1,COUNTIF(D89:AG89,"=36")&gt;=1 ),COUNTIF(D89:AG89,"")=0,COUNTIF(D89:AG89," ")=0,COUNTIF(D89:AG89,"F")=1),CONCATENATE(SUM(EXTRACTNUMBER(D89),EXTRACTNUMBER(F89),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EXTRACTNUMBER(AD89),EXTRACTNUMBER(AF89)),"*"),IF(AND(COUNTIF(D89:AG89,"=34")&gt;=1,COUNTIF(D89:AG89,"=35")&gt;=1,COUNTIF(D89:AG89,"f")=2,COUNTIF(D89:AG89,"")=0,COUNTIF(D89:AG89,"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EXTRACTNUMBER(AD89),EXTRACTNUMBER(AF89)),"*"),IF(AND(COUNTIF(D89:AG89,"=36")&gt;=2,COUNTIF(D89:AG89,"f")=2,COUNTIF(D89:AG89,"")=0,COUNTIF(D89:AG89,"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EXTRACTNUMBER(AD89),EXTRACTNUMBER(AF89)),"*"),SUM(EXTRACTNUMBER(D89),EXTRACTNUMBER(F89),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EXTRACTNUMBER(AD89),EXTRACTNUMBER(AF89))))),SUM(EXTRACTNUMBER(D89),EXTRACTNUMBER(F89),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EXTRACTNUMBER(AD89),EXTRACTNUMBER(AF89)))</f>
        <v>490</v>
      </c>
      <c r="AI89" s="38" t="str">
        <f t="shared" si="15"/>
        <v>PASS</v>
      </c>
      <c r="AJ89" s="28" t="str">
        <f>spellnumber(EXTRACTnUMBER_TOT(AH89))</f>
        <v xml:space="preserve">Four Hundred Ninety </v>
      </c>
      <c r="AK89" s="9">
        <v>490</v>
      </c>
    </row>
    <row r="90" spans="2:37" ht="15" customHeight="1">
      <c r="B90" s="31">
        <v>223264</v>
      </c>
      <c r="C90" s="32" t="s">
        <v>222</v>
      </c>
      <c r="D90" s="33">
        <v>44</v>
      </c>
      <c r="E90" s="34" t="str">
        <f t="shared" si="1"/>
        <v/>
      </c>
      <c r="F90" s="35">
        <v>21</v>
      </c>
      <c r="G90" s="34" t="str">
        <f t="shared" si="2"/>
        <v/>
      </c>
      <c r="H90" s="36">
        <v>75</v>
      </c>
      <c r="I90" s="34" t="str">
        <f t="shared" si="3"/>
        <v/>
      </c>
      <c r="J90" s="35">
        <v>19</v>
      </c>
      <c r="K90" s="34" t="str">
        <f t="shared" si="4"/>
        <v/>
      </c>
      <c r="L90" s="35">
        <v>17</v>
      </c>
      <c r="M90" s="34" t="str">
        <f t="shared" si="5"/>
        <v/>
      </c>
      <c r="N90" s="36">
        <v>71</v>
      </c>
      <c r="O90" s="34" t="str">
        <f t="shared" si="0"/>
        <v/>
      </c>
      <c r="P90" s="35">
        <v>24</v>
      </c>
      <c r="Q90" s="37" t="str">
        <f t="shared" si="6"/>
        <v/>
      </c>
      <c r="R90" s="33">
        <v>77</v>
      </c>
      <c r="S90" s="34" t="str">
        <f t="shared" si="7"/>
        <v/>
      </c>
      <c r="T90" s="35">
        <v>22</v>
      </c>
      <c r="U90" s="37" t="str">
        <f t="shared" si="8"/>
        <v/>
      </c>
      <c r="V90" s="33">
        <v>55</v>
      </c>
      <c r="W90" s="34" t="str">
        <f t="shared" si="9"/>
        <v/>
      </c>
      <c r="X90" s="35">
        <v>20</v>
      </c>
      <c r="Y90" s="37" t="str">
        <f t="shared" si="10"/>
        <v/>
      </c>
      <c r="Z90" s="35">
        <v>19</v>
      </c>
      <c r="AA90" s="37" t="str">
        <f t="shared" si="11"/>
        <v/>
      </c>
      <c r="AB90" s="33">
        <v>44</v>
      </c>
      <c r="AC90" s="34" t="str">
        <f t="shared" si="12"/>
        <v/>
      </c>
      <c r="AD90" s="35">
        <v>23</v>
      </c>
      <c r="AE90" s="34" t="str">
        <f t="shared" si="13"/>
        <v/>
      </c>
      <c r="AF90" s="35">
        <v>41</v>
      </c>
      <c r="AG90" s="37" t="str">
        <f t="shared" si="14"/>
        <v/>
      </c>
      <c r="AH90" s="4">
        <f>IF(OR(AND(D90&gt;=31,D90&lt;40),AND(H90&gt;=31,H90&lt;40),AND(N90&gt;=31,N90&lt;40),AND(R90&gt;=31,R90&lt;40),AND(V90&gt;=31,V90&lt;40),AND(AB90&gt;=11,AB90&lt;20)),IF(AND(OR(COUNTIF(D90:AG90,"=31")&gt;=1,COUNTIF(D90:AG90,"=32")&gt;=1,COUNTIF(D90:AG90,"=33")&gt;=1,COUNTIF(D90:AG90,"=34")&gt;=1,COUNTIF(D90:AG90,"=35")&gt;=1,COUNTIF(D90:AG90,"=36")&gt;=1 ),COUNTIF(D90:AG90,"")=0,COUNTIF(D90:AG90," ")=0,COUNTIF(D90:AG90,"F")=1),CONCATENATE(SUM(EXTRACTNUMBER(D90),EXTRACTNUMBER(F90),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EXTRACTNUMBER(AD90),EXTRACTNUMBER(AF90)),"*"),IF(AND(COUNTIF(D90:AG90,"=34")&gt;=1,COUNTIF(D90:AG90,"=35")&gt;=1,COUNTIF(D90:AG90,"f")=2,COUNTIF(D90:AG90,"")=0,COUNTIF(D90:AG90,"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EXTRACTNUMBER(AD90),EXTRACTNUMBER(AF90)),"*"),IF(AND(COUNTIF(D90:AG90,"=36")&gt;=2,COUNTIF(D90:AG90,"f")=2,COUNTIF(D90:AG90,"")=0,COUNTIF(D90:AG90,"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EXTRACTNUMBER(AD90),EXTRACTNUMBER(AF90)),"*"),SUM(EXTRACTNUMBER(D90),EXTRACTNUMBER(F90),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EXTRACTNUMBER(AD90),EXTRACTNUMBER(AF90))))),SUM(EXTRACTNUMBER(D90),EXTRACTNUMBER(F90),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EXTRACTNUMBER(AD90),EXTRACTNUMBER(AF90)))</f>
        <v>572</v>
      </c>
      <c r="AI90" s="38" t="str">
        <f t="shared" si="15"/>
        <v>PASS</v>
      </c>
      <c r="AJ90" s="28" t="str">
        <f>spellnumber(EXTRACTnUMBER_TOT(AH90))</f>
        <v xml:space="preserve">Five Hundred Seventy Two </v>
      </c>
      <c r="AK90" s="9">
        <v>572</v>
      </c>
    </row>
    <row r="91" spans="2:37" ht="15" customHeight="1">
      <c r="B91" s="31">
        <v>223265</v>
      </c>
      <c r="C91" s="32" t="s">
        <v>223</v>
      </c>
      <c r="D91" s="33">
        <v>5</v>
      </c>
      <c r="E91" s="34" t="str">
        <f t="shared" si="1"/>
        <v>F</v>
      </c>
      <c r="F91" s="35">
        <v>14</v>
      </c>
      <c r="G91" s="34" t="str">
        <f t="shared" si="2"/>
        <v>E</v>
      </c>
      <c r="H91" s="36">
        <v>57</v>
      </c>
      <c r="I91" s="34" t="str">
        <f t="shared" si="3"/>
        <v>E</v>
      </c>
      <c r="J91" s="35">
        <v>19</v>
      </c>
      <c r="K91" s="34" t="str">
        <f t="shared" si="4"/>
        <v>E</v>
      </c>
      <c r="L91" s="35">
        <v>18</v>
      </c>
      <c r="M91" s="34" t="str">
        <f t="shared" si="5"/>
        <v>E</v>
      </c>
      <c r="N91" s="36">
        <v>49</v>
      </c>
      <c r="O91" s="34" t="str">
        <f t="shared" si="0"/>
        <v>E</v>
      </c>
      <c r="P91" s="35">
        <v>16</v>
      </c>
      <c r="Q91" s="37" t="str">
        <f t="shared" si="6"/>
        <v>E</v>
      </c>
      <c r="R91" s="33">
        <v>40</v>
      </c>
      <c r="S91" s="34" t="str">
        <f t="shared" si="7"/>
        <v>E</v>
      </c>
      <c r="T91" s="35">
        <v>19</v>
      </c>
      <c r="U91" s="37" t="str">
        <f t="shared" si="8"/>
        <v>E</v>
      </c>
      <c r="V91" s="33">
        <v>41</v>
      </c>
      <c r="W91" s="34" t="str">
        <f t="shared" si="9"/>
        <v>E</v>
      </c>
      <c r="X91" s="35">
        <v>17</v>
      </c>
      <c r="Y91" s="37" t="str">
        <f t="shared" si="10"/>
        <v>E</v>
      </c>
      <c r="Z91" s="35">
        <v>17</v>
      </c>
      <c r="AA91" s="37" t="str">
        <f t="shared" si="11"/>
        <v>E</v>
      </c>
      <c r="AB91" s="33">
        <v>34</v>
      </c>
      <c r="AC91" s="34" t="str">
        <f t="shared" si="12"/>
        <v>F</v>
      </c>
      <c r="AD91" s="35">
        <v>13</v>
      </c>
      <c r="AE91" s="34" t="str">
        <f t="shared" si="13"/>
        <v>E</v>
      </c>
      <c r="AF91" s="35">
        <v>39</v>
      </c>
      <c r="AG91" s="37" t="str">
        <f t="shared" si="14"/>
        <v>E</v>
      </c>
      <c r="AH91" s="4">
        <f>IF(OR(AND(D91&gt;=31,D91&lt;40),AND(H91&gt;=31,H91&lt;40),AND(N91&gt;=31,N91&lt;40),AND(R91&gt;=31,R91&lt;40),AND(V91&gt;=31,V91&lt;40),AND(AB91&gt;=11,AB91&lt;20)),IF(AND(OR(COUNTIF(D91:AG91,"=31")&gt;=1,COUNTIF(D91:AG91,"=32")&gt;=1,COUNTIF(D91:AG91,"=33")&gt;=1,COUNTIF(D91:AG91,"=34")&gt;=1,COUNTIF(D91:AG91,"=35")&gt;=1,COUNTIF(D91:AG91,"=36")&gt;=1 ),COUNTIF(D91:AG91,"")=0,COUNTIF(D91:AG91," ")=0,COUNTIF(D91:AG91,"F")=1),CONCATENATE(SUM(EXTRACTNUMBER(D91),EXTRACTNUMBER(F91),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EXTRACTNUMBER(AD91),EXTRACTNUMBER(AF91)),"*"),IF(AND(COUNTIF(D91:AG91,"=34")&gt;=1,COUNTIF(D91:AG91,"=35")&gt;=1,COUNTIF(D91:AG91,"f")=2,COUNTIF(D91:AG91,"")=0,COUNTIF(D91:AG91,"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EXTRACTNUMBER(AD91),EXTRACTNUMBER(AF91)),"*"),IF(AND(COUNTIF(D91:AG91,"=36")&gt;=2,COUNTIF(D91:AG91,"f")=2,COUNTIF(D91:AG91,"")=0,COUNTIF(D91:AG91,"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EXTRACTNUMBER(AD91),EXTRACTNUMBER(AF91)),"*"),SUM(EXTRACTNUMBER(D91),EXTRACTNUMBER(F91),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EXTRACTNUMBER(AD91),EXTRACTNUMBER(AF91))))),SUM(EXTRACTNUMBER(D91),EXTRACTNUMBER(F91),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EXTRACTNUMBER(AD91),EXTRACTNUMBER(AF91)))</f>
        <v>398</v>
      </c>
      <c r="AI91" s="38" t="str">
        <f t="shared" ref="AI91:AI154" si="16">IF(AND(COUNTIF(D91:AG91,"AB")&lt;15-COUNTIF(D91:AG91," "),
COUNTIF(D91:AG91,"AB")&lt;&gt;0),"FAIL",
IF(COUNTIF(D91:AG91,"AB")=15-COUNTIF(D91:AG91," "),"ABSENT",
IF(AND(COUNTIF(D91:AG91,"AB")=0,COUNTIF(D91:AG91,"F")=0),"PASS","FAIL")))</f>
        <v>FAIL</v>
      </c>
      <c r="AJ91" s="28" t="str">
        <f>spellnumber(EXTRACTnUMBER_TOT(AH91))</f>
        <v xml:space="preserve">Three Hundred NinetyEight </v>
      </c>
      <c r="AK91" s="9">
        <v>398</v>
      </c>
    </row>
    <row r="92" spans="2:37" ht="15" customHeight="1">
      <c r="B92" s="31">
        <v>223266</v>
      </c>
      <c r="C92" s="32" t="s">
        <v>224</v>
      </c>
      <c r="D92" s="33">
        <v>26</v>
      </c>
      <c r="E92" s="34" t="str">
        <f t="shared" si="1"/>
        <v>F</v>
      </c>
      <c r="F92" s="35">
        <v>12</v>
      </c>
      <c r="G92" s="34" t="str">
        <f t="shared" si="2"/>
        <v>E</v>
      </c>
      <c r="H92" s="36">
        <v>40</v>
      </c>
      <c r="I92" s="34" t="str">
        <f t="shared" si="3"/>
        <v>E</v>
      </c>
      <c r="J92" s="35">
        <v>19</v>
      </c>
      <c r="K92" s="34" t="str">
        <f t="shared" si="4"/>
        <v>E</v>
      </c>
      <c r="L92" s="35">
        <v>19</v>
      </c>
      <c r="M92" s="34" t="str">
        <f t="shared" si="5"/>
        <v>E</v>
      </c>
      <c r="N92" s="36">
        <v>58</v>
      </c>
      <c r="O92" s="34" t="str">
        <f t="shared" ref="O92:O155" si="17">IF(IFERROR(FIND("+",N92),0)," ",
IF(N92="AB","",
IF(N92&lt;$N$27,"F",
IF(AND(D92&gt;=$D$27,F92&gt;=$F$27,H92&gt;=$H$27,
J92&gt;=$J$27,L92&gt;=$L$27,
N92&gt;=$N$27,P92&gt;=$P$27,R92&gt;=$R$27,T92&gt;=$T$27,V92&gt;=$V$27,
X92&gt;=$X$27,Z92&gt;=$Z$27,AB92&gt;=$AB$27,AD92&gt;=$AD$27,AF92&gt;=$AF$27,
D92&lt;&gt;"AB",F92&lt;&gt;"AB",H92&lt;&gt;"AB",
J92&lt;&gt;"AB",L92&lt;&gt;"AB",
N92&lt;&gt;"AB",P92&lt;&gt;"AB",R92&lt;&gt;"AB",T92&lt;&gt;"AB",V92&lt;&gt;"AB",
X92&lt;&gt;"AB",Z92&lt;&gt;"AB",AB92&lt;&gt;"AB",AD92&lt;&gt;"AB",AF92&lt;&gt;"AB"),"","E"))))</f>
        <v>E</v>
      </c>
      <c r="P92" s="35">
        <v>20</v>
      </c>
      <c r="Q92" s="37" t="str">
        <f t="shared" si="6"/>
        <v>E</v>
      </c>
      <c r="R92" s="33">
        <v>44</v>
      </c>
      <c r="S92" s="34" t="str">
        <f t="shared" si="7"/>
        <v>E</v>
      </c>
      <c r="T92" s="35">
        <v>20</v>
      </c>
      <c r="U92" s="37" t="str">
        <f t="shared" si="8"/>
        <v>E</v>
      </c>
      <c r="V92" s="33">
        <v>40</v>
      </c>
      <c r="W92" s="34" t="str">
        <f t="shared" si="9"/>
        <v>E</v>
      </c>
      <c r="X92" s="35">
        <v>19</v>
      </c>
      <c r="Y92" s="37" t="str">
        <f t="shared" si="10"/>
        <v>E</v>
      </c>
      <c r="Z92" s="35">
        <v>20</v>
      </c>
      <c r="AA92" s="37" t="str">
        <f t="shared" si="11"/>
        <v>E</v>
      </c>
      <c r="AB92" s="33">
        <v>41</v>
      </c>
      <c r="AC92" s="34" t="str">
        <f t="shared" si="12"/>
        <v>E</v>
      </c>
      <c r="AD92" s="35">
        <v>22</v>
      </c>
      <c r="AE92" s="34" t="str">
        <f t="shared" si="13"/>
        <v>E</v>
      </c>
      <c r="AF92" s="35">
        <v>42</v>
      </c>
      <c r="AG92" s="37" t="str">
        <f t="shared" si="14"/>
        <v>E</v>
      </c>
      <c r="AH92" s="4">
        <f>IF(OR(AND(D92&gt;=31,D92&lt;40),AND(H92&gt;=31,H92&lt;40),AND(N92&gt;=31,N92&lt;40),AND(R92&gt;=31,R92&lt;40),AND(V92&gt;=31,V92&lt;40),AND(AB92&gt;=11,AB92&lt;20)),IF(AND(OR(COUNTIF(D92:AG92,"=31")&gt;=1,COUNTIF(D92:AG92,"=32")&gt;=1,COUNTIF(D92:AG92,"=33")&gt;=1,COUNTIF(D92:AG92,"=34")&gt;=1,COUNTIF(D92:AG92,"=35")&gt;=1,COUNTIF(D92:AG92,"=36")&gt;=1 ),COUNTIF(D92:AG92,"")=0,COUNTIF(D92:AG92," ")=0,COUNTIF(D92:AG92,"F")=1),CONCATENATE(SUM(EXTRACTNUMBER(D92),EXTRACTNUMBER(F92),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EXTRACTNUMBER(AD92),EXTRACTNUMBER(AF92)),"*"),IF(AND(COUNTIF(D92:AG92,"=34")&gt;=1,COUNTIF(D92:AG92,"=35")&gt;=1,COUNTIF(D92:AG92,"f")=2,COUNTIF(D92:AG92,"")=0,COUNTIF(D92:AG92,"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EXTRACTNUMBER(AD92),EXTRACTNUMBER(AF92)),"*"),IF(AND(COUNTIF(D92:AG92,"=36")&gt;=2,COUNTIF(D92:AG92,"f")=2,COUNTIF(D92:AG92,"")=0,COUNTIF(D92:AG92,"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EXTRACTNUMBER(AD92),EXTRACTNUMBER(AF92)),"*"),SUM(EXTRACTNUMBER(D92),EXTRACTNUMBER(F92),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EXTRACTNUMBER(AD92),EXTRACTNUMBER(AF92))))),SUM(EXTRACTNUMBER(D92),EXTRACTNUMBER(F92),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EXTRACTNUMBER(AD92),EXTRACTNUMBER(AF92)))</f>
        <v>442</v>
      </c>
      <c r="AI92" s="38" t="str">
        <f t="shared" si="16"/>
        <v>FAIL</v>
      </c>
      <c r="AJ92" s="28" t="str">
        <f>spellnumber(EXTRACTnUMBER_TOT(AH92))</f>
        <v xml:space="preserve">Four Hundred Forty Two </v>
      </c>
      <c r="AK92" s="9">
        <v>442</v>
      </c>
    </row>
    <row r="93" spans="2:37" ht="15" customHeight="1">
      <c r="B93" s="31">
        <v>223267</v>
      </c>
      <c r="C93" s="32" t="s">
        <v>225</v>
      </c>
      <c r="D93" s="33">
        <v>48</v>
      </c>
      <c r="E93" s="34" t="str">
        <f t="shared" ref="E93:E156" si="18">IF(IFERROR(FIND("+",D93),0)," ",
IF(D93="AB","",
IF(D93&lt;$D$27,"F",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F93" s="35">
        <v>21</v>
      </c>
      <c r="G93" s="34" t="str">
        <f t="shared" ref="G93:G156" si="19">IF(IFERROR(FIND("+",F93),0)," ",
IF(F93="AB","",
IF(F93&lt;$F$27,"F",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H93" s="36">
        <v>62</v>
      </c>
      <c r="I93" s="34" t="str">
        <f t="shared" ref="I93:I156" si="20">IF(IFERROR(FIND("+",H93),0)," ",
IF(H93="AB","",
IF(H93&lt;$H$27,"F",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J93" s="35">
        <v>19</v>
      </c>
      <c r="K93" s="34" t="str">
        <f t="shared" ref="K93:K156" si="21">IF(IFERROR(FIND("+",J93),0)," ",
IF(J93="AB","",
IF(J93&lt;$J$27,"F",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L93" s="35">
        <v>19</v>
      </c>
      <c r="M93" s="34" t="str">
        <f t="shared" ref="M93:M156" si="22">IF(IFERROR(FIND("+",L93),0)," ",
IF(L93="AB","",
IF(L93&lt;$L$27,"F",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N93" s="36">
        <v>45</v>
      </c>
      <c r="O93" s="34" t="str">
        <f t="shared" si="17"/>
        <v/>
      </c>
      <c r="P93" s="35">
        <v>20</v>
      </c>
      <c r="Q93" s="37" t="str">
        <f t="shared" ref="Q93:Q156" si="23">IF(IFERROR(FIND("+",P93),0)," ",
IF(P93="AB","",
IF(P93&lt;$P$27,"F",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R93" s="33">
        <v>48</v>
      </c>
      <c r="S93" s="34" t="str">
        <f t="shared" ref="S93:S156" si="24">IF(IFERROR(FIND("+",R93),0)," ",
IF(R93="AB","",
IF(R93&lt;$R$27,"F",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T93" s="35">
        <v>19</v>
      </c>
      <c r="U93" s="37" t="str">
        <f t="shared" ref="U93:U156" si="25">IF(IFERROR(FIND("+",T93),0)," ",
IF(T93="AB","",
IF(T93&lt;$T$27,"F",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V93" s="33">
        <v>49</v>
      </c>
      <c r="W93" s="34" t="str">
        <f t="shared" ref="W93:W156" si="26">IF(IFERROR(FIND("+",V93),0)," ",
IF(V93="AB","",
IF(V93&lt;$V$27,"F",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X93" s="35">
        <v>19</v>
      </c>
      <c r="Y93" s="37" t="str">
        <f t="shared" ref="Y93:Y156" si="27">IF(IFERROR(FIND("+",X93),0)," ",
IF(X93="AB","",
IF(X93&lt;$X$27,"F",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Z93" s="35">
        <v>19</v>
      </c>
      <c r="AA93" s="37" t="str">
        <f t="shared" ref="AA93:AA156" si="28">IF(IFERROR(FIND("+",Z93),0)," ",
IF(Z93="AB","",
IF(Z93&lt;$Z$27,"F",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AB93" s="33" t="s">
        <v>426</v>
      </c>
      <c r="AC93" s="34" t="str">
        <f t="shared" ref="AC93:AC156" si="29">IF(IFERROR(FIND("+",AB93),0)," ",
IF(AB93="AB","",
IF(AB93&lt;$AB$27,"F",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AD93" s="35">
        <v>18</v>
      </c>
      <c r="AE93" s="34" t="str">
        <f t="shared" ref="AE93:AE156" si="30">IF(IFERROR(FIND("+",AD93),0)," ",
IF(AD93="AB","",
IF(AD93&lt;$AD$27,"F",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AF93" s="35">
        <v>39</v>
      </c>
      <c r="AG93" s="37" t="str">
        <f t="shared" ref="AG93:AG156" si="31">IF(IFERROR(FIND("+",AF93),0)," ",
IF(AF93="AB","",
IF(AF93&lt;$AF$27,"F",
IF(AND(D93&gt;=$D$27,F93&gt;=$F$27,H93&gt;=$H$27,
J93&gt;=$J$27,L93&gt;=$L$27,
N93&gt;=$N$27,P93&gt;=$P$27,R93&gt;=$R$27,T93&gt;=$T$27,V93&gt;=$V$27,
X93&gt;=$X$27,Z93&gt;=$Z$27,AB93&gt;=$AB$27,AD93&gt;=$AD$27,AF93&gt;=$AF$27,
D93&lt;&gt;"AB",F93&lt;&gt;"AB",H93&lt;&gt;"AB",
J93&lt;&gt;"AB",L93&lt;&gt;"AB",
N93&lt;&gt;"AB",P93&lt;&gt;"AB",R93&lt;&gt;"AB",T93&lt;&gt;"AB",V93&lt;&gt;"AB",
X93&lt;&gt;"AB",Z93&lt;&gt;"AB",AB93&lt;&gt;"AB",AD93&lt;&gt;"AB",AF93&lt;&gt;"AB"),"","E"))))</f>
        <v/>
      </c>
      <c r="AH93" s="4" t="s">
        <v>429</v>
      </c>
      <c r="AI93" s="38" t="str">
        <f t="shared" si="16"/>
        <v>PASS</v>
      </c>
      <c r="AJ93" s="28" t="str">
        <f>spellnumber(EXTRACTnUMBER_TOT(AH93))</f>
        <v xml:space="preserve">Four Hundred Seventy Six </v>
      </c>
      <c r="AK93" s="9" t="s">
        <v>429</v>
      </c>
    </row>
    <row r="94" spans="2:37" ht="15" customHeight="1">
      <c r="B94" s="31">
        <v>223268</v>
      </c>
      <c r="C94" s="32" t="s">
        <v>226</v>
      </c>
      <c r="D94" s="33">
        <v>17</v>
      </c>
      <c r="E94" s="34" t="str">
        <f t="shared" si="18"/>
        <v>F</v>
      </c>
      <c r="F94" s="35">
        <v>17</v>
      </c>
      <c r="G94" s="34" t="str">
        <f t="shared" si="19"/>
        <v>E</v>
      </c>
      <c r="H94" s="36">
        <v>61</v>
      </c>
      <c r="I94" s="34" t="str">
        <f t="shared" si="20"/>
        <v>E</v>
      </c>
      <c r="J94" s="35">
        <v>19</v>
      </c>
      <c r="K94" s="34" t="str">
        <f t="shared" si="21"/>
        <v>E</v>
      </c>
      <c r="L94" s="35">
        <v>18</v>
      </c>
      <c r="M94" s="34" t="str">
        <f t="shared" si="22"/>
        <v>E</v>
      </c>
      <c r="N94" s="36">
        <v>47</v>
      </c>
      <c r="O94" s="34" t="str">
        <f t="shared" si="17"/>
        <v>E</v>
      </c>
      <c r="P94" s="35">
        <v>20</v>
      </c>
      <c r="Q94" s="37" t="str">
        <f t="shared" si="23"/>
        <v>E</v>
      </c>
      <c r="R94" s="33">
        <v>44</v>
      </c>
      <c r="S94" s="34" t="str">
        <f t="shared" si="24"/>
        <v>E</v>
      </c>
      <c r="T94" s="35">
        <v>19</v>
      </c>
      <c r="U94" s="37" t="str">
        <f t="shared" si="25"/>
        <v>E</v>
      </c>
      <c r="V94" s="33">
        <v>40</v>
      </c>
      <c r="W94" s="34" t="str">
        <f t="shared" si="26"/>
        <v>E</v>
      </c>
      <c r="X94" s="35">
        <v>16</v>
      </c>
      <c r="Y94" s="37" t="str">
        <f t="shared" si="27"/>
        <v>E</v>
      </c>
      <c r="Z94" s="35">
        <v>17</v>
      </c>
      <c r="AA94" s="37" t="str">
        <f t="shared" si="28"/>
        <v>E</v>
      </c>
      <c r="AB94" s="33">
        <v>27</v>
      </c>
      <c r="AC94" s="34" t="str">
        <f t="shared" si="29"/>
        <v>F</v>
      </c>
      <c r="AD94" s="35">
        <v>17</v>
      </c>
      <c r="AE94" s="34" t="str">
        <f t="shared" si="30"/>
        <v>E</v>
      </c>
      <c r="AF94" s="35">
        <v>40</v>
      </c>
      <c r="AG94" s="37" t="str">
        <f t="shared" si="31"/>
        <v>E</v>
      </c>
      <c r="AH94" s="4">
        <f>IF(OR(AND(D94&gt;=31,D94&lt;40),AND(H94&gt;=31,H94&lt;40),AND(N94&gt;=31,N94&lt;40),AND(R94&gt;=31,R94&lt;40),AND(V94&gt;=31,V94&lt;40),AND(AB94&gt;=11,AB94&lt;20)),IF(AND(OR(COUNTIF(D94:AG94,"=31")&gt;=1,COUNTIF(D94:AG94,"=32")&gt;=1,COUNTIF(D94:AG94,"=33")&gt;=1,COUNTIF(D94:AG94,"=34")&gt;=1,COUNTIF(D94:AG94,"=35")&gt;=1,COUNTIF(D94:AG94,"=36")&gt;=1 ),COUNTIF(D94:AG94,"")=0,COUNTIF(D94:AG94," ")=0,COUNTIF(D94:AG94,"F")=1),CONCATENATE(SUM(EXTRACTNUMBER(D94),EXTRACTNUMBER(F94),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EXTRACTNUMBER(AD94),EXTRACTNUMBER(AF94)),"*"),IF(AND(COUNTIF(D94:AG94,"=34")&gt;=1,COUNTIF(D94:AG94,"=35")&gt;=1,COUNTIF(D94:AG94,"f")=2,COUNTIF(D94:AG94,"")=0,COUNTIF(D94:AG94,"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EXTRACTNUMBER(AD94),EXTRACTNUMBER(AF94)),"*"),IF(AND(COUNTIF(D94:AG94,"=36")&gt;=2,COUNTIF(D94:AG94,"f")=2,COUNTIF(D94:AG94,"")=0,COUNTIF(D94:AG94,"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EXTRACTNUMBER(AD94),EXTRACTNUMBER(AF94)),"*"),SUM(EXTRACTNUMBER(D94),EXTRACTNUMBER(F94),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EXTRACTNUMBER(AD94),EXTRACTNUMBER(AF94))))),SUM(EXTRACTNUMBER(D94),EXTRACTNUMBER(F94),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EXTRACTNUMBER(AD94),EXTRACTNUMBER(AF94)))</f>
        <v>419</v>
      </c>
      <c r="AI94" s="38" t="str">
        <f t="shared" si="16"/>
        <v>FAIL</v>
      </c>
      <c r="AJ94" s="28" t="str">
        <f>spellnumber(EXTRACTnUMBER_TOT(AH94))</f>
        <v xml:space="preserve">Four Hundred Nineteen </v>
      </c>
      <c r="AK94" s="9">
        <v>419</v>
      </c>
    </row>
    <row r="95" spans="2:37" ht="15" customHeight="1">
      <c r="B95" s="31">
        <v>223269</v>
      </c>
      <c r="C95" s="32" t="s">
        <v>227</v>
      </c>
      <c r="D95" s="33">
        <v>4</v>
      </c>
      <c r="E95" s="34" t="str">
        <f t="shared" si="18"/>
        <v>F</v>
      </c>
      <c r="F95" s="35">
        <v>10</v>
      </c>
      <c r="G95" s="34" t="str">
        <f t="shared" si="19"/>
        <v>E</v>
      </c>
      <c r="H95" s="36">
        <v>40</v>
      </c>
      <c r="I95" s="34" t="str">
        <f t="shared" si="20"/>
        <v>E</v>
      </c>
      <c r="J95" s="35">
        <v>19</v>
      </c>
      <c r="K95" s="34" t="str">
        <f t="shared" si="21"/>
        <v>E</v>
      </c>
      <c r="L95" s="35">
        <v>18</v>
      </c>
      <c r="M95" s="34" t="str">
        <f t="shared" si="22"/>
        <v>E</v>
      </c>
      <c r="N95" s="36">
        <v>40</v>
      </c>
      <c r="O95" s="34" t="str">
        <f t="shared" si="17"/>
        <v>E</v>
      </c>
      <c r="P95" s="35">
        <v>16</v>
      </c>
      <c r="Q95" s="37" t="str">
        <f t="shared" si="23"/>
        <v>E</v>
      </c>
      <c r="R95" s="33">
        <v>40</v>
      </c>
      <c r="S95" s="34" t="str">
        <f t="shared" si="24"/>
        <v>E</v>
      </c>
      <c r="T95" s="35">
        <v>14</v>
      </c>
      <c r="U95" s="37" t="str">
        <f t="shared" si="25"/>
        <v>E</v>
      </c>
      <c r="V95" s="33">
        <v>22</v>
      </c>
      <c r="W95" s="34" t="str">
        <f t="shared" si="26"/>
        <v>F</v>
      </c>
      <c r="X95" s="35">
        <v>20</v>
      </c>
      <c r="Y95" s="37" t="str">
        <f t="shared" si="27"/>
        <v>E</v>
      </c>
      <c r="Z95" s="35">
        <v>21</v>
      </c>
      <c r="AA95" s="37" t="str">
        <f t="shared" si="28"/>
        <v>E</v>
      </c>
      <c r="AB95" s="33">
        <v>15</v>
      </c>
      <c r="AC95" s="34" t="str">
        <f t="shared" si="29"/>
        <v>F</v>
      </c>
      <c r="AD95" s="35">
        <v>15</v>
      </c>
      <c r="AE95" s="34" t="str">
        <f t="shared" si="30"/>
        <v>E</v>
      </c>
      <c r="AF95" s="35">
        <v>41</v>
      </c>
      <c r="AG95" s="37" t="str">
        <f t="shared" si="31"/>
        <v>E</v>
      </c>
      <c r="AH95" s="4">
        <f>IF(OR(AND(D95&gt;=31,D95&lt;40),AND(H95&gt;=31,H95&lt;40),AND(N95&gt;=31,N95&lt;40),AND(R95&gt;=31,R95&lt;40),AND(V95&gt;=31,V95&lt;40),AND(AB95&gt;=11,AB95&lt;20)),IF(AND(OR(COUNTIF(D95:AG95,"=31")&gt;=1,COUNTIF(D95:AG95,"=32")&gt;=1,COUNTIF(D95:AG95,"=33")&gt;=1,COUNTIF(D95:AG95,"=34")&gt;=1,COUNTIF(D95:AG95,"=35")&gt;=1,COUNTIF(D95:AG95,"=36")&gt;=1 ),COUNTIF(D95:AG95,"")=0,COUNTIF(D95:AG95," ")=0,COUNTIF(D95:AG95,"F")=1),CONCATENATE(SUM(EXTRACTNUMBER(D95),EXTRACTNUMBER(F95),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EXTRACTNUMBER(AD95),EXTRACTNUMBER(AF95)),"*"),IF(AND(COUNTIF(D95:AG95,"=34")&gt;=1,COUNTIF(D95:AG95,"=35")&gt;=1,COUNTIF(D95:AG95,"f")=2,COUNTIF(D95:AG95,"")=0,COUNTIF(D95:AG95,"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EXTRACTNUMBER(AD95),EXTRACTNUMBER(AF95)),"*"),IF(AND(COUNTIF(D95:AG95,"=36")&gt;=2,COUNTIF(D95:AG95,"f")=2,COUNTIF(D95:AG95,"")=0,COUNTIF(D95:AG95,"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EXTRACTNUMBER(AD95),EXTRACTNUMBER(AF95)),"*"),SUM(EXTRACTNUMBER(D95),EXTRACTNUMBER(F95),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EXTRACTNUMBER(AD95),EXTRACTNUMBER(AF95))))),SUM(EXTRACTNUMBER(D95),EXTRACTNUMBER(F95),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EXTRACTNUMBER(AD95),EXTRACTNUMBER(AF95)))</f>
        <v>335</v>
      </c>
      <c r="AI95" s="38" t="str">
        <f t="shared" si="16"/>
        <v>FAIL</v>
      </c>
      <c r="AJ95" s="28" t="str">
        <f>spellnumber(EXTRACTnUMBER_TOT(AH95))</f>
        <v xml:space="preserve">Three Hundred Thirty Five </v>
      </c>
      <c r="AK95" s="9">
        <v>335</v>
      </c>
    </row>
    <row r="96" spans="2:37" ht="15" customHeight="1">
      <c r="B96" s="31">
        <v>223270</v>
      </c>
      <c r="C96" s="32" t="s">
        <v>228</v>
      </c>
      <c r="D96" s="33">
        <v>40</v>
      </c>
      <c r="E96" s="34" t="str">
        <f t="shared" si="18"/>
        <v>E</v>
      </c>
      <c r="F96" s="35">
        <v>22</v>
      </c>
      <c r="G96" s="34" t="str">
        <f t="shared" si="19"/>
        <v>E</v>
      </c>
      <c r="H96" s="36">
        <v>61</v>
      </c>
      <c r="I96" s="34" t="str">
        <f t="shared" si="20"/>
        <v>E</v>
      </c>
      <c r="J96" s="35">
        <v>18</v>
      </c>
      <c r="K96" s="34" t="str">
        <f t="shared" si="21"/>
        <v>E</v>
      </c>
      <c r="L96" s="35">
        <v>19</v>
      </c>
      <c r="M96" s="34" t="str">
        <f t="shared" si="22"/>
        <v>E</v>
      </c>
      <c r="N96" s="36">
        <v>50</v>
      </c>
      <c r="O96" s="34" t="str">
        <f t="shared" si="17"/>
        <v>E</v>
      </c>
      <c r="P96" s="35">
        <v>23</v>
      </c>
      <c r="Q96" s="37" t="str">
        <f t="shared" si="23"/>
        <v>E</v>
      </c>
      <c r="R96" s="33">
        <v>54</v>
      </c>
      <c r="S96" s="34" t="str">
        <f t="shared" si="24"/>
        <v>E</v>
      </c>
      <c r="T96" s="35">
        <v>23</v>
      </c>
      <c r="U96" s="37" t="str">
        <f t="shared" si="25"/>
        <v>E</v>
      </c>
      <c r="V96" s="33">
        <v>45</v>
      </c>
      <c r="W96" s="34" t="str">
        <f t="shared" si="26"/>
        <v>E</v>
      </c>
      <c r="X96" s="35">
        <v>24</v>
      </c>
      <c r="Y96" s="37" t="str">
        <f t="shared" si="27"/>
        <v>E</v>
      </c>
      <c r="Z96" s="35">
        <v>24</v>
      </c>
      <c r="AA96" s="37" t="str">
        <f t="shared" si="28"/>
        <v>E</v>
      </c>
      <c r="AB96" s="33">
        <v>14</v>
      </c>
      <c r="AC96" s="34" t="str">
        <f t="shared" si="29"/>
        <v>F</v>
      </c>
      <c r="AD96" s="35">
        <v>21</v>
      </c>
      <c r="AE96" s="34" t="str">
        <f t="shared" si="30"/>
        <v>E</v>
      </c>
      <c r="AF96" s="35">
        <v>46</v>
      </c>
      <c r="AG96" s="37" t="str">
        <f t="shared" si="31"/>
        <v>E</v>
      </c>
      <c r="AH96" s="4">
        <f>IF(OR(AND(D96&gt;=31,D96&lt;40),AND(H96&gt;=31,H96&lt;40),AND(N96&gt;=31,N96&lt;40),AND(R96&gt;=31,R96&lt;40),AND(V96&gt;=31,V96&lt;40),AND(AB96&gt;=11,AB96&lt;20)),IF(AND(OR(COUNTIF(D96:AG96,"=31")&gt;=1,COUNTIF(D96:AG96,"=32")&gt;=1,COUNTIF(D96:AG96,"=33")&gt;=1,COUNTIF(D96:AG96,"=34")&gt;=1,COUNTIF(D96:AG96,"=35")&gt;=1,COUNTIF(D96:AG96,"=36")&gt;=1 ),COUNTIF(D96:AG96,"")=0,COUNTIF(D96:AG96," ")=0,COUNTIF(D96:AG96,"F")=1),CONCATENATE(SUM(EXTRACTNUMBER(D96),EXTRACTNUMBER(F96),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EXTRACTNUMBER(AD96),EXTRACTNUMBER(AF96)),"*"),IF(AND(COUNTIF(D96:AG96,"=34")&gt;=1,COUNTIF(D96:AG96,"=35")&gt;=1,COUNTIF(D96:AG96,"f")=2,COUNTIF(D96:AG96,"")=0,COUNTIF(D96:AG96,"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EXTRACTNUMBER(AD96),EXTRACTNUMBER(AF96)),"*"),IF(AND(COUNTIF(D96:AG96,"=36")&gt;=2,COUNTIF(D96:AG96,"f")=2,COUNTIF(D96:AG96,"")=0,COUNTIF(D96:AG96,"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EXTRACTNUMBER(AD96),EXTRACTNUMBER(AF96)),"*"),SUM(EXTRACTNUMBER(D96),EXTRACTNUMBER(F96),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EXTRACTNUMBER(AD96),EXTRACTNUMBER(AF96))))),SUM(EXTRACTNUMBER(D96),EXTRACTNUMBER(F96),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EXTRACTNUMBER(AD96),EXTRACTNUMBER(AF96)))</f>
        <v>484</v>
      </c>
      <c r="AI96" s="38" t="str">
        <f t="shared" si="16"/>
        <v>FAIL</v>
      </c>
      <c r="AJ96" s="28" t="str">
        <f>spellnumber(EXTRACTnUMBER_TOT(AH96))</f>
        <v xml:space="preserve">Four Hundred Eighty Four </v>
      </c>
      <c r="AK96" s="9">
        <v>484</v>
      </c>
    </row>
    <row r="97" spans="2:37" ht="15" customHeight="1">
      <c r="B97" s="31">
        <v>223271</v>
      </c>
      <c r="C97" s="32" t="s">
        <v>229</v>
      </c>
      <c r="D97" s="33">
        <v>10</v>
      </c>
      <c r="E97" s="34" t="str">
        <f t="shared" si="18"/>
        <v>F</v>
      </c>
      <c r="F97" s="35">
        <v>11</v>
      </c>
      <c r="G97" s="34" t="str">
        <f t="shared" si="19"/>
        <v>E</v>
      </c>
      <c r="H97" s="36">
        <v>44</v>
      </c>
      <c r="I97" s="34" t="str">
        <f t="shared" si="20"/>
        <v>E</v>
      </c>
      <c r="J97" s="35">
        <v>19</v>
      </c>
      <c r="K97" s="34" t="str">
        <f t="shared" si="21"/>
        <v>E</v>
      </c>
      <c r="L97" s="35">
        <v>19</v>
      </c>
      <c r="M97" s="34" t="str">
        <f t="shared" si="22"/>
        <v>E</v>
      </c>
      <c r="N97" s="36">
        <v>48</v>
      </c>
      <c r="O97" s="34" t="str">
        <f t="shared" si="17"/>
        <v>E</v>
      </c>
      <c r="P97" s="35">
        <v>17</v>
      </c>
      <c r="Q97" s="37" t="str">
        <f t="shared" si="23"/>
        <v>E</v>
      </c>
      <c r="R97" s="33">
        <v>40</v>
      </c>
      <c r="S97" s="34" t="str">
        <f t="shared" si="24"/>
        <v>E</v>
      </c>
      <c r="T97" s="35">
        <v>20</v>
      </c>
      <c r="U97" s="37" t="str">
        <f t="shared" si="25"/>
        <v>E</v>
      </c>
      <c r="V97" s="33">
        <v>40</v>
      </c>
      <c r="W97" s="34" t="str">
        <f t="shared" si="26"/>
        <v>E</v>
      </c>
      <c r="X97" s="35">
        <v>19</v>
      </c>
      <c r="Y97" s="37" t="str">
        <f t="shared" si="27"/>
        <v>E</v>
      </c>
      <c r="Z97" s="35">
        <v>20</v>
      </c>
      <c r="AA97" s="37" t="str">
        <f t="shared" si="28"/>
        <v>E</v>
      </c>
      <c r="AB97" s="33">
        <v>48</v>
      </c>
      <c r="AC97" s="34" t="str">
        <f t="shared" si="29"/>
        <v>E</v>
      </c>
      <c r="AD97" s="35">
        <v>24</v>
      </c>
      <c r="AE97" s="34" t="str">
        <f t="shared" si="30"/>
        <v>E</v>
      </c>
      <c r="AF97" s="35">
        <v>41</v>
      </c>
      <c r="AG97" s="37" t="str">
        <f t="shared" si="31"/>
        <v>E</v>
      </c>
      <c r="AH97" s="4">
        <f>IF(OR(AND(D97&gt;=31,D97&lt;40),AND(H97&gt;=31,H97&lt;40),AND(N97&gt;=31,N97&lt;40),AND(R97&gt;=31,R97&lt;40),AND(V97&gt;=31,V97&lt;40),AND(AB97&gt;=11,AB97&lt;20)),IF(AND(OR(COUNTIF(D97:AG97,"=31")&gt;=1,COUNTIF(D97:AG97,"=32")&gt;=1,COUNTIF(D97:AG97,"=33")&gt;=1,COUNTIF(D97:AG97,"=34")&gt;=1,COUNTIF(D97:AG97,"=35")&gt;=1,COUNTIF(D97:AG97,"=36")&gt;=1 ),COUNTIF(D97:AG97,"")=0,COUNTIF(D97:AG97," ")=0,COUNTIF(D97:AG97,"F")=1),CONCATENATE(SUM(EXTRACTNUMBER(D97),EXTRACTNUMBER(F97),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EXTRACTNUMBER(AD97),EXTRACTNUMBER(AF97)),"*"),IF(AND(COUNTIF(D97:AG97,"=34")&gt;=1,COUNTIF(D97:AG97,"=35")&gt;=1,COUNTIF(D97:AG97,"f")=2,COUNTIF(D97:AG97,"")=0,COUNTIF(D97:AG97,"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EXTRACTNUMBER(AD97),EXTRACTNUMBER(AF97)),"*"),IF(AND(COUNTIF(D97:AG97,"=36")&gt;=2,COUNTIF(D97:AG97,"f")=2,COUNTIF(D97:AG97,"")=0,COUNTIF(D97:AG97,"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EXTRACTNUMBER(AD97),EXTRACTNUMBER(AF97)),"*"),SUM(EXTRACTNUMBER(D97),EXTRACTNUMBER(F97),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EXTRACTNUMBER(AD97),EXTRACTNUMBER(AF97))))),SUM(EXTRACTNUMBER(D97),EXTRACTNUMBER(F97),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EXTRACTNUMBER(AD97),EXTRACTNUMBER(AF97)))</f>
        <v>420</v>
      </c>
      <c r="AI97" s="38" t="str">
        <f t="shared" si="16"/>
        <v>FAIL</v>
      </c>
      <c r="AJ97" s="28" t="str">
        <f>spellnumber(EXTRACTnUMBER_TOT(AH97))</f>
        <v xml:space="preserve">Four Hundred Twenty  </v>
      </c>
      <c r="AK97" s="9">
        <v>420</v>
      </c>
    </row>
    <row r="98" spans="2:37" ht="15" customHeight="1">
      <c r="B98" s="31">
        <v>223272</v>
      </c>
      <c r="C98" s="32" t="s">
        <v>230</v>
      </c>
      <c r="D98" s="33">
        <v>13</v>
      </c>
      <c r="E98" s="34" t="str">
        <f t="shared" si="18"/>
        <v>F</v>
      </c>
      <c r="F98" s="35">
        <v>13</v>
      </c>
      <c r="G98" s="34" t="str">
        <f t="shared" si="19"/>
        <v>E</v>
      </c>
      <c r="H98" s="36">
        <v>40</v>
      </c>
      <c r="I98" s="34" t="str">
        <f t="shared" si="20"/>
        <v>E</v>
      </c>
      <c r="J98" s="35">
        <v>19</v>
      </c>
      <c r="K98" s="34" t="str">
        <f t="shared" si="21"/>
        <v>E</v>
      </c>
      <c r="L98" s="35">
        <v>18</v>
      </c>
      <c r="M98" s="34" t="str">
        <f t="shared" si="22"/>
        <v>E</v>
      </c>
      <c r="N98" s="36">
        <v>47</v>
      </c>
      <c r="O98" s="34" t="str">
        <f t="shared" si="17"/>
        <v>E</v>
      </c>
      <c r="P98" s="35">
        <v>17</v>
      </c>
      <c r="Q98" s="37" t="str">
        <f t="shared" si="23"/>
        <v>E</v>
      </c>
      <c r="R98" s="33">
        <v>44</v>
      </c>
      <c r="S98" s="34" t="str">
        <f t="shared" si="24"/>
        <v>E</v>
      </c>
      <c r="T98" s="35">
        <v>19</v>
      </c>
      <c r="U98" s="37" t="str">
        <f t="shared" si="25"/>
        <v>E</v>
      </c>
      <c r="V98" s="33">
        <v>40</v>
      </c>
      <c r="W98" s="34" t="str">
        <f t="shared" si="26"/>
        <v>E</v>
      </c>
      <c r="X98" s="35">
        <v>15</v>
      </c>
      <c r="Y98" s="37" t="str">
        <f t="shared" si="27"/>
        <v>E</v>
      </c>
      <c r="Z98" s="35">
        <v>16</v>
      </c>
      <c r="AA98" s="37" t="str">
        <f t="shared" si="28"/>
        <v>E</v>
      </c>
      <c r="AB98" s="33">
        <v>41</v>
      </c>
      <c r="AC98" s="34" t="str">
        <f t="shared" si="29"/>
        <v>E</v>
      </c>
      <c r="AD98" s="35">
        <v>14</v>
      </c>
      <c r="AE98" s="34" t="str">
        <f t="shared" si="30"/>
        <v>E</v>
      </c>
      <c r="AF98" s="35">
        <v>37</v>
      </c>
      <c r="AG98" s="37" t="str">
        <f t="shared" si="31"/>
        <v>E</v>
      </c>
      <c r="AH98" s="4">
        <f>IF(OR(AND(D98&gt;=31,D98&lt;40),AND(H98&gt;=31,H98&lt;40),AND(N98&gt;=31,N98&lt;40),AND(R98&gt;=31,R98&lt;40),AND(V98&gt;=31,V98&lt;40),AND(AB98&gt;=11,AB98&lt;20)),IF(AND(OR(COUNTIF(D98:AG98,"=31")&gt;=1,COUNTIF(D98:AG98,"=32")&gt;=1,COUNTIF(D98:AG98,"=33")&gt;=1,COUNTIF(D98:AG98,"=34")&gt;=1,COUNTIF(D98:AG98,"=35")&gt;=1,COUNTIF(D98:AG98,"=36")&gt;=1 ),COUNTIF(D98:AG98,"")=0,COUNTIF(D98:AG98," ")=0,COUNTIF(D98:AG98,"F")=1),CONCATENATE(SUM(EXTRACTNUMBER(D98),EXTRACTNUMBER(F98),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EXTRACTNUMBER(AD98),EXTRACTNUMBER(AF98)),"*"),IF(AND(COUNTIF(D98:AG98,"=34")&gt;=1,COUNTIF(D98:AG98,"=35")&gt;=1,COUNTIF(D98:AG98,"f")=2,COUNTIF(D98:AG98,"")=0,COUNTIF(D98:AG98,"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EXTRACTNUMBER(AD98),EXTRACTNUMBER(AF98)),"*"),IF(AND(COUNTIF(D98:AG98,"=36")&gt;=2,COUNTIF(D98:AG98,"f")=2,COUNTIF(D98:AG98,"")=0,COUNTIF(D98:AG98,"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EXTRACTNUMBER(AD98),EXTRACTNUMBER(AF98)),"*"),SUM(EXTRACTNUMBER(D98),EXTRACTNUMBER(F98),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EXTRACTNUMBER(AD98),EXTRACTNUMBER(AF98))))),SUM(EXTRACTNUMBER(D98),EXTRACTNUMBER(F98),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EXTRACTNUMBER(AD98),EXTRACTNUMBER(AF98)))</f>
        <v>393</v>
      </c>
      <c r="AI98" s="38" t="str">
        <f t="shared" si="16"/>
        <v>FAIL</v>
      </c>
      <c r="AJ98" s="28" t="str">
        <f>spellnumber(EXTRACTnUMBER_TOT(AH98))</f>
        <v xml:space="preserve">Three Hundred NinetyThree </v>
      </c>
      <c r="AK98" s="9">
        <v>393</v>
      </c>
    </row>
    <row r="99" spans="2:37" ht="15" customHeight="1">
      <c r="B99" s="31">
        <v>223273</v>
      </c>
      <c r="C99" s="32" t="s">
        <v>231</v>
      </c>
      <c r="D99" s="33">
        <v>40</v>
      </c>
      <c r="E99" s="34" t="str">
        <f t="shared" si="18"/>
        <v/>
      </c>
      <c r="F99" s="35">
        <v>18</v>
      </c>
      <c r="G99" s="34" t="str">
        <f t="shared" si="19"/>
        <v/>
      </c>
      <c r="H99" s="36">
        <v>62</v>
      </c>
      <c r="I99" s="34" t="str">
        <f t="shared" si="20"/>
        <v/>
      </c>
      <c r="J99" s="35">
        <v>19</v>
      </c>
      <c r="K99" s="34" t="str">
        <f t="shared" si="21"/>
        <v/>
      </c>
      <c r="L99" s="35">
        <v>20</v>
      </c>
      <c r="M99" s="34" t="str">
        <f t="shared" si="22"/>
        <v/>
      </c>
      <c r="N99" s="36">
        <v>69</v>
      </c>
      <c r="O99" s="34" t="str">
        <f t="shared" si="17"/>
        <v/>
      </c>
      <c r="P99" s="35">
        <v>22</v>
      </c>
      <c r="Q99" s="37" t="str">
        <f t="shared" si="23"/>
        <v/>
      </c>
      <c r="R99" s="33">
        <v>52</v>
      </c>
      <c r="S99" s="34" t="str">
        <f t="shared" si="24"/>
        <v/>
      </c>
      <c r="T99" s="35">
        <v>21</v>
      </c>
      <c r="U99" s="37" t="str">
        <f t="shared" si="25"/>
        <v/>
      </c>
      <c r="V99" s="33">
        <v>53</v>
      </c>
      <c r="W99" s="34" t="str">
        <f t="shared" si="26"/>
        <v/>
      </c>
      <c r="X99" s="35">
        <v>18</v>
      </c>
      <c r="Y99" s="37" t="str">
        <f t="shared" si="27"/>
        <v/>
      </c>
      <c r="Z99" s="35">
        <v>18</v>
      </c>
      <c r="AA99" s="37" t="str">
        <f t="shared" si="28"/>
        <v/>
      </c>
      <c r="AB99" s="33">
        <v>51</v>
      </c>
      <c r="AC99" s="34" t="str">
        <f t="shared" si="29"/>
        <v/>
      </c>
      <c r="AD99" s="35">
        <v>24</v>
      </c>
      <c r="AE99" s="34" t="str">
        <f t="shared" si="30"/>
        <v/>
      </c>
      <c r="AF99" s="35">
        <v>41</v>
      </c>
      <c r="AG99" s="37" t="str">
        <f t="shared" si="31"/>
        <v/>
      </c>
      <c r="AH99" s="4">
        <f>IF(OR(AND(D99&gt;=31,D99&lt;40),AND(H99&gt;=31,H99&lt;40),AND(N99&gt;=31,N99&lt;40),AND(R99&gt;=31,R99&lt;40),AND(V99&gt;=31,V99&lt;40),AND(AB99&gt;=11,AB99&lt;20)),IF(AND(OR(COUNTIF(D99:AG99,"=31")&gt;=1,COUNTIF(D99:AG99,"=32")&gt;=1,COUNTIF(D99:AG99,"=33")&gt;=1,COUNTIF(D99:AG99,"=34")&gt;=1,COUNTIF(D99:AG99,"=35")&gt;=1,COUNTIF(D99:AG99,"=36")&gt;=1 ),COUNTIF(D99:AG99,"")=0,COUNTIF(D99:AG99," ")=0,COUNTIF(D99:AG99,"F")=1),CONCATENATE(SUM(EXTRACTNUMBER(D99),EXTRACTNUMBER(F99),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EXTRACTNUMBER(AD99),EXTRACTNUMBER(AF99)),"*"),IF(AND(COUNTIF(D99:AG99,"=34")&gt;=1,COUNTIF(D99:AG99,"=35")&gt;=1,COUNTIF(D99:AG99,"f")=2,COUNTIF(D99:AG99,"")=0,COUNTIF(D99:AG99,"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EXTRACTNUMBER(AD99),EXTRACTNUMBER(AF99)),"*"),IF(AND(COUNTIF(D99:AG99,"=36")&gt;=2,COUNTIF(D99:AG99,"f")=2,COUNTIF(D99:AG99,"")=0,COUNTIF(D99:AG99,"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EXTRACTNUMBER(AD99),EXTRACTNUMBER(AF99)),"*"),SUM(EXTRACTNUMBER(D99),EXTRACTNUMBER(F99),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EXTRACTNUMBER(AD99),EXTRACTNUMBER(AF99))))),SUM(EXTRACTNUMBER(D99),EXTRACTNUMBER(F99),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EXTRACTNUMBER(AD99),EXTRACTNUMBER(AF99)))</f>
        <v>528</v>
      </c>
      <c r="AI99" s="38" t="str">
        <f t="shared" si="16"/>
        <v>PASS</v>
      </c>
      <c r="AJ99" s="28" t="str">
        <f>spellnumber(EXTRACTnUMBER_TOT(AH99))</f>
        <v xml:space="preserve">Five Hundred Twenty Eight </v>
      </c>
      <c r="AK99" s="9">
        <v>528</v>
      </c>
    </row>
    <row r="100" spans="2:37" ht="15" customHeight="1">
      <c r="B100" s="31">
        <v>223274</v>
      </c>
      <c r="C100" s="32" t="s">
        <v>232</v>
      </c>
      <c r="D100" s="33">
        <v>40</v>
      </c>
      <c r="E100" s="34" t="str">
        <f t="shared" si="18"/>
        <v/>
      </c>
      <c r="F100" s="35">
        <v>16</v>
      </c>
      <c r="G100" s="34" t="str">
        <f t="shared" si="19"/>
        <v/>
      </c>
      <c r="H100" s="36">
        <v>62</v>
      </c>
      <c r="I100" s="34" t="str">
        <f t="shared" si="20"/>
        <v/>
      </c>
      <c r="J100" s="35">
        <v>21</v>
      </c>
      <c r="K100" s="34" t="str">
        <f t="shared" si="21"/>
        <v/>
      </c>
      <c r="L100" s="35">
        <v>24</v>
      </c>
      <c r="M100" s="34" t="str">
        <f t="shared" si="22"/>
        <v/>
      </c>
      <c r="N100" s="36">
        <v>65</v>
      </c>
      <c r="O100" s="34" t="str">
        <f t="shared" si="17"/>
        <v/>
      </c>
      <c r="P100" s="35">
        <v>19</v>
      </c>
      <c r="Q100" s="37" t="str">
        <f t="shared" si="23"/>
        <v/>
      </c>
      <c r="R100" s="33">
        <v>59</v>
      </c>
      <c r="S100" s="34" t="str">
        <f t="shared" si="24"/>
        <v/>
      </c>
      <c r="T100" s="35">
        <v>20</v>
      </c>
      <c r="U100" s="37" t="str">
        <f t="shared" si="25"/>
        <v/>
      </c>
      <c r="V100" s="33">
        <v>52</v>
      </c>
      <c r="W100" s="34" t="str">
        <f t="shared" si="26"/>
        <v/>
      </c>
      <c r="X100" s="35">
        <v>19</v>
      </c>
      <c r="Y100" s="37" t="str">
        <f t="shared" si="27"/>
        <v/>
      </c>
      <c r="Z100" s="35">
        <v>18</v>
      </c>
      <c r="AA100" s="37" t="str">
        <f t="shared" si="28"/>
        <v/>
      </c>
      <c r="AB100" s="33">
        <v>54</v>
      </c>
      <c r="AC100" s="34" t="str">
        <f t="shared" si="29"/>
        <v/>
      </c>
      <c r="AD100" s="35">
        <v>18</v>
      </c>
      <c r="AE100" s="34" t="str">
        <f t="shared" si="30"/>
        <v/>
      </c>
      <c r="AF100" s="35">
        <v>38</v>
      </c>
      <c r="AG100" s="37" t="str">
        <f t="shared" si="31"/>
        <v/>
      </c>
      <c r="AH100" s="4">
        <f>IF(OR(AND(D100&gt;=31,D100&lt;40),AND(H100&gt;=31,H100&lt;40),AND(N100&gt;=31,N100&lt;40),AND(R100&gt;=31,R100&lt;40),AND(V100&gt;=31,V100&lt;40),AND(AB100&gt;=11,AB100&lt;20)),IF(AND(OR(COUNTIF(D100:AG100,"=31")&gt;=1,COUNTIF(D100:AG100,"=32")&gt;=1,COUNTIF(D100:AG100,"=33")&gt;=1,COUNTIF(D100:AG100,"=34")&gt;=1,COUNTIF(D100:AG100,"=35")&gt;=1,COUNTIF(D100:AG100,"=36")&gt;=1 ),COUNTIF(D100:AG100,"")=0,COUNTIF(D100:AG100," ")=0,COUNTIF(D100:AG100,"F")=1),CONCATENATE(SUM(EXTRACTNUMBER(D100),EXTRACTNUMBER(F100),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EXTRACTNUMBER(AD100),EXTRACTNUMBER(AF100)),"*"),IF(AND(COUNTIF(D100:AG100,"=34")&gt;=1,COUNTIF(D100:AG100,"=35")&gt;=1,COUNTIF(D100:AG100,"f")=2,COUNTIF(D100:AG100,"")=0,COUNTIF(D100:AG100,"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EXTRACTNUMBER(AD100),EXTRACTNUMBER(AF100)),"*"),IF(AND(COUNTIF(D100:AG100,"=36")&gt;=2,COUNTIF(D100:AG100,"f")=2,COUNTIF(D100:AG100,"")=0,COUNTIF(D100:AG100,"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EXTRACTNUMBER(AD100),EXTRACTNUMBER(AF100)),"*"),SUM(EXTRACTNUMBER(D100),EXTRACTNUMBER(F100),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EXTRACTNUMBER(AD100),EXTRACTNUMBER(AF100))))),SUM(EXTRACTNUMBER(D100),EXTRACTNUMBER(F100),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EXTRACTNUMBER(AD100),EXTRACTNUMBER(AF100)))</f>
        <v>525</v>
      </c>
      <c r="AI100" s="38" t="str">
        <f t="shared" si="16"/>
        <v>PASS</v>
      </c>
      <c r="AJ100" s="28" t="str">
        <f>spellnumber(EXTRACTnUMBER_TOT(AH100))</f>
        <v xml:space="preserve">Five Hundred Twenty Five </v>
      </c>
      <c r="AK100" s="9">
        <v>525</v>
      </c>
    </row>
    <row r="101" spans="2:37" ht="15" customHeight="1">
      <c r="B101" s="31">
        <v>223275</v>
      </c>
      <c r="C101" s="32" t="s">
        <v>233</v>
      </c>
      <c r="D101" s="33">
        <v>16</v>
      </c>
      <c r="E101" s="34" t="str">
        <f t="shared" si="18"/>
        <v>F</v>
      </c>
      <c r="F101" s="35">
        <v>15</v>
      </c>
      <c r="G101" s="34" t="str">
        <f t="shared" si="19"/>
        <v>E</v>
      </c>
      <c r="H101" s="36">
        <v>52</v>
      </c>
      <c r="I101" s="34" t="str">
        <f t="shared" si="20"/>
        <v>E</v>
      </c>
      <c r="J101" s="35">
        <v>20</v>
      </c>
      <c r="K101" s="34" t="str">
        <f t="shared" si="21"/>
        <v>E</v>
      </c>
      <c r="L101" s="35">
        <v>18</v>
      </c>
      <c r="M101" s="34" t="str">
        <f t="shared" si="22"/>
        <v>E</v>
      </c>
      <c r="N101" s="36">
        <v>28</v>
      </c>
      <c r="O101" s="34" t="str">
        <f t="shared" si="17"/>
        <v>F</v>
      </c>
      <c r="P101" s="35">
        <v>17</v>
      </c>
      <c r="Q101" s="37" t="str">
        <f t="shared" si="23"/>
        <v>E</v>
      </c>
      <c r="R101" s="33">
        <v>41</v>
      </c>
      <c r="S101" s="34" t="str">
        <f t="shared" si="24"/>
        <v>E</v>
      </c>
      <c r="T101" s="35">
        <v>20</v>
      </c>
      <c r="U101" s="37" t="str">
        <f t="shared" si="25"/>
        <v>E</v>
      </c>
      <c r="V101" s="33">
        <v>17</v>
      </c>
      <c r="W101" s="34" t="str">
        <f t="shared" si="26"/>
        <v>F</v>
      </c>
      <c r="X101" s="35">
        <v>17</v>
      </c>
      <c r="Y101" s="37" t="str">
        <f t="shared" si="27"/>
        <v>E</v>
      </c>
      <c r="Z101" s="35">
        <v>18</v>
      </c>
      <c r="AA101" s="37" t="str">
        <f t="shared" si="28"/>
        <v>E</v>
      </c>
      <c r="AB101" s="33">
        <v>40</v>
      </c>
      <c r="AC101" s="34" t="str">
        <f t="shared" si="29"/>
        <v>E</v>
      </c>
      <c r="AD101" s="35">
        <v>21</v>
      </c>
      <c r="AE101" s="34" t="str">
        <f t="shared" si="30"/>
        <v>E</v>
      </c>
      <c r="AF101" s="35">
        <v>40</v>
      </c>
      <c r="AG101" s="37" t="str">
        <f t="shared" si="31"/>
        <v>E</v>
      </c>
      <c r="AH101" s="4">
        <f>IF(OR(AND(D101&gt;=31,D101&lt;40),AND(H101&gt;=31,H101&lt;40),AND(N101&gt;=31,N101&lt;40),AND(R101&gt;=31,R101&lt;40),AND(V101&gt;=31,V101&lt;40),AND(AB101&gt;=11,AB101&lt;20)),IF(AND(OR(COUNTIF(D101:AG101,"=31")&gt;=1,COUNTIF(D101:AG101,"=32")&gt;=1,COUNTIF(D101:AG101,"=33")&gt;=1,COUNTIF(D101:AG101,"=34")&gt;=1,COUNTIF(D101:AG101,"=35")&gt;=1,COUNTIF(D101:AG101,"=36")&gt;=1 ),COUNTIF(D101:AG101,"")=0,COUNTIF(D101:AG101," ")=0,COUNTIF(D101:AG101,"F")=1),CONCATENATE(SUM(EXTRACTNUMBER(D101),EXTRACTNUMBER(F101),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EXTRACTNUMBER(AD101),EXTRACTNUMBER(AF101)),"*"),IF(AND(COUNTIF(D101:AG101,"=34")&gt;=1,COUNTIF(D101:AG101,"=35")&gt;=1,COUNTIF(D101:AG101,"f")=2,COUNTIF(D101:AG101,"")=0,COUNTIF(D101:AG101,"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EXTRACTNUMBER(AD101),EXTRACTNUMBER(AF101)),"*"),IF(AND(COUNTIF(D101:AG101,"=36")&gt;=2,COUNTIF(D101:AG101,"f")=2,COUNTIF(D101:AG101,"")=0,COUNTIF(D101:AG101,"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EXTRACTNUMBER(AD101),EXTRACTNUMBER(AF101)),"*"),SUM(EXTRACTNUMBER(D101),EXTRACTNUMBER(F101),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EXTRACTNUMBER(AD101),EXTRACTNUMBER(AF101))))),SUM(EXTRACTNUMBER(D101),EXTRACTNUMBER(F101),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EXTRACTNUMBER(AD101),EXTRACTNUMBER(AF101)))</f>
        <v>380</v>
      </c>
      <c r="AI101" s="38" t="str">
        <f t="shared" si="16"/>
        <v>FAIL</v>
      </c>
      <c r="AJ101" s="28" t="str">
        <f>spellnumber(EXTRACTnUMBER_TOT(AH101))</f>
        <v xml:space="preserve">Three Hundred Eighty  </v>
      </c>
      <c r="AK101" s="9">
        <v>380</v>
      </c>
    </row>
    <row r="102" spans="2:37" ht="15" customHeight="1">
      <c r="B102" s="31">
        <v>223276</v>
      </c>
      <c r="C102" s="32" t="s">
        <v>234</v>
      </c>
      <c r="D102" s="33">
        <v>71</v>
      </c>
      <c r="E102" s="34" t="str">
        <f t="shared" si="18"/>
        <v/>
      </c>
      <c r="F102" s="35">
        <v>24</v>
      </c>
      <c r="G102" s="34" t="str">
        <f t="shared" si="19"/>
        <v/>
      </c>
      <c r="H102" s="36">
        <v>81</v>
      </c>
      <c r="I102" s="34" t="str">
        <f t="shared" si="20"/>
        <v/>
      </c>
      <c r="J102" s="35">
        <v>24</v>
      </c>
      <c r="K102" s="34" t="str">
        <f t="shared" si="21"/>
        <v/>
      </c>
      <c r="L102" s="35">
        <v>19</v>
      </c>
      <c r="M102" s="34" t="str">
        <f t="shared" si="22"/>
        <v/>
      </c>
      <c r="N102" s="36">
        <v>76</v>
      </c>
      <c r="O102" s="34" t="str">
        <f t="shared" si="17"/>
        <v/>
      </c>
      <c r="P102" s="35">
        <v>24</v>
      </c>
      <c r="Q102" s="37" t="str">
        <f t="shared" si="23"/>
        <v/>
      </c>
      <c r="R102" s="33">
        <v>76</v>
      </c>
      <c r="S102" s="34" t="str">
        <f t="shared" si="24"/>
        <v/>
      </c>
      <c r="T102" s="35">
        <v>24</v>
      </c>
      <c r="U102" s="37" t="str">
        <f t="shared" si="25"/>
        <v/>
      </c>
      <c r="V102" s="33">
        <v>50</v>
      </c>
      <c r="W102" s="34" t="str">
        <f t="shared" si="26"/>
        <v/>
      </c>
      <c r="X102" s="35">
        <v>24</v>
      </c>
      <c r="Y102" s="37" t="str">
        <f t="shared" si="27"/>
        <v/>
      </c>
      <c r="Z102" s="35">
        <v>24</v>
      </c>
      <c r="AA102" s="37" t="str">
        <f t="shared" si="28"/>
        <v/>
      </c>
      <c r="AB102" s="33">
        <v>54</v>
      </c>
      <c r="AC102" s="34" t="str">
        <f t="shared" si="29"/>
        <v/>
      </c>
      <c r="AD102" s="35">
        <v>24</v>
      </c>
      <c r="AE102" s="34" t="str">
        <f t="shared" si="30"/>
        <v/>
      </c>
      <c r="AF102" s="35">
        <v>47</v>
      </c>
      <c r="AG102" s="37" t="str">
        <f t="shared" si="31"/>
        <v/>
      </c>
      <c r="AH102" s="4">
        <f>IF(OR(AND(D102&gt;=31,D102&lt;40),AND(H102&gt;=31,H102&lt;40),AND(N102&gt;=31,N102&lt;40),AND(R102&gt;=31,R102&lt;40),AND(V102&gt;=31,V102&lt;40),AND(AB102&gt;=31,AB102&lt;40)),IF(AND(OR(COUNTIF(D102:AG102,"=31")&gt;=1,COUNTIF(D102:AG102,"=32")&gt;=1,COUNTIF(D102:AG102,"=33")&gt;=1,COUNTIF(D102:AG102,"=34")&gt;=1,COUNTIF(D102:AG102,"=35")&gt;=1,COUNTIF(D102:AG102,"=36")&gt;=1 ),COUNTIF(D102:AG102,"")=0,COUNTIF(D102:AG102," ")=0,COUNTIF(D102:AG102,"F")=1),CONCATENATE(SUM(EXTRACTNUMBER(D102),EXTRACTNUMBER(F102),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EXTRACTNUMBER(AD102),EXTRACTNUMBER(AF102)),"*"),IF(AND(COUNTIF(D102:AG102,"=34")&gt;=1,COUNTIF(D102:AG102,"=35")&gt;=1,COUNTIF(D102:AG102,"f")=2,COUNTIF(D102:AG102,"")=0,COUNTIF(D102:AG102,"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EXTRACTNUMBER(AD102),EXTRACTNUMBER(AF102)),"*"),IF(AND(COUNTIF(D102:AG102,"=36")&gt;=2,COUNTIF(D102:AG102,"f")=2,COUNTIF(D102:AG102,"")=0,COUNTIF(D102:AG102," ")=0),CONCATENATE(SUM(EXTRACTNUMBER(D102),EXTRACTNUMBER(F102),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EXTRACTNUMBER(AD102),EXTRACTNUMBER(AF102)),"*"),SUM(EXTRACTNUMBER(D102),EXTRACTNUMBER(F102),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EXTRACTNUMBER(AD102),EXTRACTNUMBER(AF102))))),SUM(EXTRACTNUMBER(D102),EXTRACTNUMBER(F102),
EXTRACTNUMBER(H102),EXTRACTNUMBER(J102),
EXTRACTNUMBER(L102),EXTRACTNUMBER(N102),
EXTRACTNUMBER(P102),EXTRACTNUMBER(R102),
EXTRACTNUMBER(T102),EXTRACTNUMBER(V102),
EXTRACTNUMBER(X102),EXTRACTNUMBER(Z102),EXTRACTNUMBER(AB102),
EXTRACTNUMBER(AD102),EXTRACTNUMBER(AF102)))</f>
        <v>642</v>
      </c>
      <c r="AI102" s="38" t="str">
        <f t="shared" si="16"/>
        <v>PASS</v>
      </c>
      <c r="AJ102" s="28" t="str">
        <f>spellnumber(EXTRACTnUMBER_TOT(AH102))</f>
        <v xml:space="preserve">Six Hundred Forty Two </v>
      </c>
      <c r="AK102" s="9">
        <v>642</v>
      </c>
    </row>
    <row r="103" spans="2:37" ht="15" customHeight="1">
      <c r="B103" s="31">
        <v>223277</v>
      </c>
      <c r="C103" s="32" t="s">
        <v>235</v>
      </c>
      <c r="D103" s="33">
        <v>40</v>
      </c>
      <c r="E103" s="34" t="str">
        <f t="shared" si="18"/>
        <v/>
      </c>
      <c r="F103" s="35">
        <v>22</v>
      </c>
      <c r="G103" s="34" t="str">
        <f t="shared" si="19"/>
        <v/>
      </c>
      <c r="H103" s="36">
        <v>64</v>
      </c>
      <c r="I103" s="34" t="str">
        <f t="shared" si="20"/>
        <v/>
      </c>
      <c r="J103" s="35">
        <v>19</v>
      </c>
      <c r="K103" s="34" t="str">
        <f t="shared" si="21"/>
        <v/>
      </c>
      <c r="L103" s="35">
        <v>18</v>
      </c>
      <c r="M103" s="34" t="str">
        <f t="shared" si="22"/>
        <v/>
      </c>
      <c r="N103" s="36">
        <v>59</v>
      </c>
      <c r="O103" s="34" t="str">
        <f t="shared" si="17"/>
        <v/>
      </c>
      <c r="P103" s="35">
        <v>19</v>
      </c>
      <c r="Q103" s="37" t="str">
        <f t="shared" si="23"/>
        <v/>
      </c>
      <c r="R103" s="33">
        <v>58</v>
      </c>
      <c r="S103" s="34" t="str">
        <f t="shared" si="24"/>
        <v/>
      </c>
      <c r="T103" s="35">
        <v>21</v>
      </c>
      <c r="U103" s="37" t="str">
        <f t="shared" si="25"/>
        <v/>
      </c>
      <c r="V103" s="33">
        <v>49</v>
      </c>
      <c r="W103" s="34" t="str">
        <f t="shared" si="26"/>
        <v/>
      </c>
      <c r="X103" s="35">
        <v>18</v>
      </c>
      <c r="Y103" s="37" t="str">
        <f t="shared" si="27"/>
        <v/>
      </c>
      <c r="Z103" s="35">
        <v>19</v>
      </c>
      <c r="AA103" s="37" t="str">
        <f t="shared" si="28"/>
        <v/>
      </c>
      <c r="AB103" s="33" t="s">
        <v>426</v>
      </c>
      <c r="AC103" s="34" t="str">
        <f t="shared" si="29"/>
        <v/>
      </c>
      <c r="AD103" s="35">
        <v>14</v>
      </c>
      <c r="AE103" s="34" t="str">
        <f t="shared" si="30"/>
        <v/>
      </c>
      <c r="AF103" s="35">
        <v>37</v>
      </c>
      <c r="AG103" s="37" t="str">
        <f t="shared" si="31"/>
        <v/>
      </c>
      <c r="AH103" s="4" t="s">
        <v>430</v>
      </c>
      <c r="AI103" s="38" t="str">
        <f t="shared" si="16"/>
        <v>PASS</v>
      </c>
      <c r="AJ103" s="28" t="str">
        <f>spellnumber(EXTRACTnUMBER_TOT(AH103))</f>
        <v xml:space="preserve">Four Hundred Eighty Eight </v>
      </c>
      <c r="AK103" s="9" t="s">
        <v>430</v>
      </c>
    </row>
    <row r="104" spans="2:37" ht="15" customHeight="1">
      <c r="B104" s="31">
        <v>223278</v>
      </c>
      <c r="C104" s="32" t="s">
        <v>236</v>
      </c>
      <c r="D104" s="33">
        <v>2</v>
      </c>
      <c r="E104" s="34" t="str">
        <f t="shared" si="18"/>
        <v>F</v>
      </c>
      <c r="F104" s="35">
        <v>14</v>
      </c>
      <c r="G104" s="34" t="str">
        <f t="shared" si="19"/>
        <v>E</v>
      </c>
      <c r="H104" s="36">
        <v>0</v>
      </c>
      <c r="I104" s="34" t="str">
        <f t="shared" si="20"/>
        <v>F</v>
      </c>
      <c r="J104" s="35">
        <v>16</v>
      </c>
      <c r="K104" s="34" t="str">
        <f t="shared" si="21"/>
        <v>E</v>
      </c>
      <c r="L104" s="35">
        <v>16</v>
      </c>
      <c r="M104" s="34" t="str">
        <f t="shared" si="22"/>
        <v>E</v>
      </c>
      <c r="N104" s="36" t="s">
        <v>103</v>
      </c>
      <c r="O104" s="34" t="str">
        <f t="shared" si="17"/>
        <v/>
      </c>
      <c r="P104" s="35">
        <v>12</v>
      </c>
      <c r="Q104" s="37" t="str">
        <f t="shared" si="23"/>
        <v>E</v>
      </c>
      <c r="R104" s="33" t="s">
        <v>103</v>
      </c>
      <c r="S104" s="34" t="str">
        <f t="shared" si="24"/>
        <v/>
      </c>
      <c r="T104" s="35">
        <v>14</v>
      </c>
      <c r="U104" s="37" t="str">
        <f t="shared" si="25"/>
        <v>E</v>
      </c>
      <c r="V104" s="33" t="s">
        <v>103</v>
      </c>
      <c r="W104" s="34" t="str">
        <f t="shared" si="26"/>
        <v/>
      </c>
      <c r="X104" s="35">
        <v>14</v>
      </c>
      <c r="Y104" s="37" t="str">
        <f t="shared" si="27"/>
        <v>E</v>
      </c>
      <c r="Z104" s="35">
        <v>16</v>
      </c>
      <c r="AA104" s="37" t="str">
        <f t="shared" si="28"/>
        <v>E</v>
      </c>
      <c r="AB104" s="33" t="s">
        <v>103</v>
      </c>
      <c r="AC104" s="34" t="str">
        <f t="shared" si="29"/>
        <v/>
      </c>
      <c r="AD104" s="35">
        <v>19</v>
      </c>
      <c r="AE104" s="34" t="str">
        <f t="shared" si="30"/>
        <v>E</v>
      </c>
      <c r="AF104" s="35">
        <v>30</v>
      </c>
      <c r="AG104" s="37" t="str">
        <f t="shared" si="31"/>
        <v>E</v>
      </c>
      <c r="AH104" s="4">
        <f>IF(OR(AND(D104&gt;=31,D104&lt;40),AND(H104&gt;=31,H104&lt;40),AND(N104&gt;=31,N104&lt;40),AND(R104&gt;=31,R104&lt;40),AND(V104&gt;=31,V104&lt;40),AND(AB104&gt;=31,AB104&lt;40)),IF(AND(OR(COUNTIF(D104:AG104,"=31")&gt;=1,COUNTIF(D104:AG104,"=32")&gt;=1,COUNTIF(D104:AG104,"=33")&gt;=1,COUNTIF(D104:AG104,"=34")&gt;=1,COUNTIF(D104:AG104,"=35")&gt;=1,COUNTIF(D104:AG104,"=36")&gt;=1 ),COUNTIF(D104:AG104,"")=0,COUNTIF(D104:AG104," ")=0,COUNTIF(D104:AG104,"F")=1),CONCATENATE(SUM(EXTRACTNUMBER(D104),EXTRACTNUMBER(F104),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EXTRACTNUMBER(AD104),EXTRACTNUMBER(AF104)),"*"),IF(AND(COUNTIF(D104:AG104,"=34")&gt;=1,COUNTIF(D104:AG104,"=35")&gt;=1,COUNTIF(D104:AG104,"f")=2,COUNTIF(D104:AG104,"")=0,COUNTIF(D104:AG104,"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EXTRACTNUMBER(AD104),EXTRACTNUMBER(AF104)),"*"),IF(AND(COUNTIF(D104:AG104,"=36")&gt;=2,COUNTIF(D104:AG104,"f")=2,COUNTIF(D104:AG104,"")=0,COUNTIF(D104:AG104,"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EXTRACTNUMBER(AD104),EXTRACTNUMBER(AF104)),"*"),SUM(EXTRACTNUMBER(D104),EXTRACTNUMBER(F104),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EXTRACTNUMBER(AD104),EXTRACTNUMBER(AF104))))),SUM(EXTRACTNUMBER(D104),EXTRACTNUMBER(F104),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EXTRACTNUMBER(AD104),EXTRACTNUMBER(AF104)))</f>
        <v>153</v>
      </c>
      <c r="AI104" s="38" t="str">
        <f t="shared" si="16"/>
        <v>FAIL</v>
      </c>
      <c r="AJ104" s="28" t="str">
        <f>spellnumber(EXTRACTnUMBER_TOT(AH104))</f>
        <v xml:space="preserve">One Hundred Fifty Three </v>
      </c>
      <c r="AK104" s="9">
        <v>153</v>
      </c>
    </row>
    <row r="105" spans="2:37" ht="15" customHeight="1">
      <c r="B105" s="31">
        <v>223279</v>
      </c>
      <c r="C105" s="32" t="s">
        <v>237</v>
      </c>
      <c r="D105" s="33">
        <v>8</v>
      </c>
      <c r="E105" s="34" t="str">
        <f t="shared" si="18"/>
        <v>F</v>
      </c>
      <c r="F105" s="35">
        <v>12</v>
      </c>
      <c r="G105" s="34" t="str">
        <f t="shared" si="19"/>
        <v>E</v>
      </c>
      <c r="H105" s="36">
        <v>40</v>
      </c>
      <c r="I105" s="34" t="str">
        <f t="shared" si="20"/>
        <v>E</v>
      </c>
      <c r="J105" s="35">
        <v>19</v>
      </c>
      <c r="K105" s="34" t="str">
        <f t="shared" si="21"/>
        <v>E</v>
      </c>
      <c r="L105" s="35">
        <v>17</v>
      </c>
      <c r="M105" s="34" t="str">
        <f t="shared" si="22"/>
        <v>E</v>
      </c>
      <c r="N105" s="36">
        <v>16</v>
      </c>
      <c r="O105" s="34" t="str">
        <f t="shared" si="17"/>
        <v>F</v>
      </c>
      <c r="P105" s="35">
        <v>17</v>
      </c>
      <c r="Q105" s="37" t="str">
        <f t="shared" si="23"/>
        <v>E</v>
      </c>
      <c r="R105" s="33">
        <v>45</v>
      </c>
      <c r="S105" s="34" t="str">
        <f t="shared" si="24"/>
        <v>E</v>
      </c>
      <c r="T105" s="35">
        <v>20</v>
      </c>
      <c r="U105" s="37" t="str">
        <f t="shared" si="25"/>
        <v>E</v>
      </c>
      <c r="V105" s="33">
        <v>40</v>
      </c>
      <c r="W105" s="34" t="str">
        <f t="shared" si="26"/>
        <v>E</v>
      </c>
      <c r="X105" s="35">
        <v>14</v>
      </c>
      <c r="Y105" s="37" t="str">
        <f t="shared" si="27"/>
        <v>E</v>
      </c>
      <c r="Z105" s="35">
        <v>16</v>
      </c>
      <c r="AA105" s="37" t="str">
        <f t="shared" si="28"/>
        <v>E</v>
      </c>
      <c r="AB105" s="33">
        <v>40</v>
      </c>
      <c r="AC105" s="34" t="str">
        <f t="shared" si="29"/>
        <v>E</v>
      </c>
      <c r="AD105" s="35">
        <v>20</v>
      </c>
      <c r="AE105" s="34" t="str">
        <f t="shared" si="30"/>
        <v>E</v>
      </c>
      <c r="AF105" s="35">
        <v>36</v>
      </c>
      <c r="AG105" s="37" t="str">
        <f t="shared" si="31"/>
        <v>E</v>
      </c>
      <c r="AH105" s="4">
        <f>IF(OR(AND(D105&gt;=31,D105&lt;40),AND(H105&gt;=31,H105&lt;40),AND(N105&gt;=31,N105&lt;40),AND(R105&gt;=31,R105&lt;40),AND(V105&gt;=31,V105&lt;40),AND(AB105&gt;=31,AB105&lt;40)),IF(AND(OR(COUNTIF(D105:AG105,"=31")&gt;=1,COUNTIF(D105:AG105,"=32")&gt;=1,COUNTIF(D105:AG105,"=33")&gt;=1,COUNTIF(D105:AG105,"=34")&gt;=1,COUNTIF(D105:AG105,"=35")&gt;=1,COUNTIF(D105:AG105,"=36")&gt;=1 ),COUNTIF(D105:AG105,"")=0,COUNTIF(D105:AG105," ")=0,COUNTIF(D105:AG105,"F")=1),CONCATENATE(SUM(EXTRACTNUMBER(D105),EXTRACTNUMBER(F105),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EXTRACTNUMBER(AD105),EXTRACTNUMBER(AF105)),"*"),IF(AND(COUNTIF(D105:AG105,"=34")&gt;=1,COUNTIF(D105:AG105,"=35")&gt;=1,COUNTIF(D105:AG105,"f")=2,COUNTIF(D105:AG105,"")=0,COUNTIF(D105:AG105,"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EXTRACTNUMBER(AD105),EXTRACTNUMBER(AF105)),"*"),IF(AND(COUNTIF(D105:AG105,"=36")&gt;=2,COUNTIF(D105:AG105,"f")=2,COUNTIF(D105:AG105,"")=0,COUNTIF(D105:AG105,"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EXTRACTNUMBER(AD105),EXTRACTNUMBER(AF105)),"*"),SUM(EXTRACTNUMBER(D105),EXTRACTNUMBER(F105),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EXTRACTNUMBER(AD105),EXTRACTNUMBER(AF105))))),SUM(EXTRACTNUMBER(D105),EXTRACTNUMBER(F105),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EXTRACTNUMBER(AD105),EXTRACTNUMBER(AF105)))</f>
        <v>360</v>
      </c>
      <c r="AI105" s="38" t="str">
        <f t="shared" si="16"/>
        <v>FAIL</v>
      </c>
      <c r="AJ105" s="28" t="str">
        <f>spellnumber(EXTRACTnUMBER_TOT(AH105))</f>
        <v xml:space="preserve">Three Hundred Sixty  </v>
      </c>
      <c r="AK105" s="9">
        <v>360</v>
      </c>
    </row>
    <row r="106" spans="2:37" ht="15" customHeight="1">
      <c r="B106" s="31">
        <v>223280</v>
      </c>
      <c r="C106" s="32" t="s">
        <v>238</v>
      </c>
      <c r="D106" s="33">
        <v>7</v>
      </c>
      <c r="E106" s="34" t="str">
        <f t="shared" si="18"/>
        <v>F</v>
      </c>
      <c r="F106" s="35">
        <v>16</v>
      </c>
      <c r="G106" s="34" t="str">
        <f t="shared" si="19"/>
        <v>E</v>
      </c>
      <c r="H106" s="36">
        <v>44</v>
      </c>
      <c r="I106" s="34" t="str">
        <f t="shared" si="20"/>
        <v>E</v>
      </c>
      <c r="J106" s="35">
        <v>19</v>
      </c>
      <c r="K106" s="34" t="str">
        <f t="shared" si="21"/>
        <v>E</v>
      </c>
      <c r="L106" s="35">
        <v>24</v>
      </c>
      <c r="M106" s="34" t="str">
        <f t="shared" si="22"/>
        <v>E</v>
      </c>
      <c r="N106" s="36">
        <v>42</v>
      </c>
      <c r="O106" s="34" t="str">
        <f t="shared" si="17"/>
        <v>E</v>
      </c>
      <c r="P106" s="35">
        <v>17</v>
      </c>
      <c r="Q106" s="37" t="str">
        <f t="shared" si="23"/>
        <v>E</v>
      </c>
      <c r="R106" s="33">
        <v>46</v>
      </c>
      <c r="S106" s="34" t="str">
        <f t="shared" si="24"/>
        <v>E</v>
      </c>
      <c r="T106" s="35">
        <v>18</v>
      </c>
      <c r="U106" s="37" t="str">
        <f t="shared" si="25"/>
        <v>E</v>
      </c>
      <c r="V106" s="33">
        <v>25</v>
      </c>
      <c r="W106" s="34" t="str">
        <f t="shared" si="26"/>
        <v>F</v>
      </c>
      <c r="X106" s="35">
        <v>22</v>
      </c>
      <c r="Y106" s="37" t="str">
        <f t="shared" si="27"/>
        <v>E</v>
      </c>
      <c r="Z106" s="35">
        <v>21</v>
      </c>
      <c r="AA106" s="37" t="str">
        <f t="shared" si="28"/>
        <v>E</v>
      </c>
      <c r="AB106" s="33">
        <v>23</v>
      </c>
      <c r="AC106" s="34" t="str">
        <f t="shared" si="29"/>
        <v>F</v>
      </c>
      <c r="AD106" s="35">
        <v>18</v>
      </c>
      <c r="AE106" s="34" t="str">
        <f t="shared" si="30"/>
        <v>E</v>
      </c>
      <c r="AF106" s="35">
        <v>40</v>
      </c>
      <c r="AG106" s="37" t="str">
        <f t="shared" si="31"/>
        <v>E</v>
      </c>
      <c r="AH106" s="4">
        <f>IF(OR(AND(D106&gt;=31,D106&lt;40),AND(H106&gt;=31,H106&lt;40),AND(N106&gt;=31,N106&lt;40),AND(R106&gt;=31,R106&lt;40),AND(V106&gt;=31,V106&lt;40),AND(AB106&gt;=31,AB106&lt;40)),IF(AND(OR(COUNTIF(D106:AG106,"=31")&gt;=1,COUNTIF(D106:AG106,"=32")&gt;=1,COUNTIF(D106:AG106,"=33")&gt;=1,COUNTIF(D106:AG106,"=34")&gt;=1,COUNTIF(D106:AG106,"=35")&gt;=1,COUNTIF(D106:AG106,"=36")&gt;=1 ),COUNTIF(D106:AG106,"")=0,COUNTIF(D106:AG106," ")=0,COUNTIF(D106:AG106,"F")=1),CONCATENATE(SUM(EXTRACTNUMBER(D106),EXTRACTNUMBER(F106),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EXTRACTNUMBER(AD106),EXTRACTNUMBER(AF106)),"*"),IF(AND(COUNTIF(D106:AG106,"=34")&gt;=1,COUNTIF(D106:AG106,"=35")&gt;=1,COUNTIF(D106:AG106,"f")=2,COUNTIF(D106:AG106,"")=0,COUNTIF(D106:AG106,"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EXTRACTNUMBER(AD106),EXTRACTNUMBER(AF106)),"*"),IF(AND(COUNTIF(D106:AG106,"=36")&gt;=2,COUNTIF(D106:AG106,"f")=2,COUNTIF(D106:AG106,"")=0,COUNTIF(D106:AG106,"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EXTRACTNUMBER(AD106),EXTRACTNUMBER(AF106)),"*"),SUM(EXTRACTNUMBER(D106),EXTRACTNUMBER(F106),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EXTRACTNUMBER(AD106),EXTRACTNUMBER(AF106))))),SUM(EXTRACTNUMBER(D106),EXTRACTNUMBER(F106),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EXTRACTNUMBER(AD106),EXTRACTNUMBER(AF106)))</f>
        <v>382</v>
      </c>
      <c r="AI106" s="38" t="str">
        <f t="shared" si="16"/>
        <v>FAIL</v>
      </c>
      <c r="AJ106" s="28" t="str">
        <f>spellnumber(EXTRACTnUMBER_TOT(AH106))</f>
        <v xml:space="preserve">Three Hundred Eighty Two </v>
      </c>
      <c r="AK106" s="9">
        <v>382</v>
      </c>
    </row>
    <row r="107" spans="2:37" ht="15" customHeight="1">
      <c r="B107" s="31">
        <v>223281</v>
      </c>
      <c r="C107" s="32" t="s">
        <v>239</v>
      </c>
      <c r="D107" s="33">
        <v>13</v>
      </c>
      <c r="E107" s="34" t="str">
        <f t="shared" si="18"/>
        <v>F</v>
      </c>
      <c r="F107" s="35">
        <v>15</v>
      </c>
      <c r="G107" s="34" t="str">
        <f t="shared" si="19"/>
        <v>E</v>
      </c>
      <c r="H107" s="36">
        <v>25</v>
      </c>
      <c r="I107" s="34" t="str">
        <f t="shared" si="20"/>
        <v>F</v>
      </c>
      <c r="J107" s="35">
        <v>20</v>
      </c>
      <c r="K107" s="34" t="str">
        <f t="shared" si="21"/>
        <v>E</v>
      </c>
      <c r="L107" s="35">
        <v>16</v>
      </c>
      <c r="M107" s="34" t="str">
        <f t="shared" si="22"/>
        <v>E</v>
      </c>
      <c r="N107" s="36">
        <v>28</v>
      </c>
      <c r="O107" s="34" t="str">
        <f t="shared" si="17"/>
        <v>F</v>
      </c>
      <c r="P107" s="35">
        <v>17</v>
      </c>
      <c r="Q107" s="37" t="str">
        <f t="shared" si="23"/>
        <v>E</v>
      </c>
      <c r="R107" s="33">
        <v>28</v>
      </c>
      <c r="S107" s="34" t="str">
        <f t="shared" si="24"/>
        <v>F</v>
      </c>
      <c r="T107" s="35">
        <v>20</v>
      </c>
      <c r="U107" s="37" t="str">
        <f t="shared" si="25"/>
        <v>E</v>
      </c>
      <c r="V107" s="33">
        <v>23</v>
      </c>
      <c r="W107" s="34" t="str">
        <f t="shared" si="26"/>
        <v>F</v>
      </c>
      <c r="X107" s="35">
        <v>16</v>
      </c>
      <c r="Y107" s="37" t="str">
        <f t="shared" si="27"/>
        <v>E</v>
      </c>
      <c r="Z107" s="35">
        <v>18</v>
      </c>
      <c r="AA107" s="37" t="str">
        <f t="shared" si="28"/>
        <v>E</v>
      </c>
      <c r="AB107" s="33">
        <v>17</v>
      </c>
      <c r="AC107" s="34" t="str">
        <f t="shared" si="29"/>
        <v>F</v>
      </c>
      <c r="AD107" s="35">
        <v>19</v>
      </c>
      <c r="AE107" s="34" t="str">
        <f t="shared" si="30"/>
        <v>E</v>
      </c>
      <c r="AF107" s="35">
        <v>37</v>
      </c>
      <c r="AG107" s="37" t="str">
        <f t="shared" si="31"/>
        <v>E</v>
      </c>
      <c r="AH107" s="4">
        <f>IF(OR(AND(D107&gt;=31,D107&lt;40),AND(H107&gt;=31,H107&lt;40),AND(N107&gt;=31,N107&lt;40),AND(R107&gt;=31,R107&lt;40),AND(V107&gt;=31,V107&lt;40),AND(AB107&gt;=31,AB107&lt;40)),IF(AND(OR(COUNTIF(D107:AG107,"=31")&gt;=1,COUNTIF(D107:AG107,"=32")&gt;=1,COUNTIF(D107:AG107,"=33")&gt;=1,COUNTIF(D107:AG107,"=34")&gt;=1,COUNTIF(D107:AG107,"=35")&gt;=1,COUNTIF(D107:AG107,"=36")&gt;=1 ),COUNTIF(D107:AG107,"")=0,COUNTIF(D107:AG107," ")=0,COUNTIF(D107:AG107,"F")=1),CONCATENATE(SUM(EXTRACTNUMBER(D107),EXTRACTNUMBER(F107),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EXTRACTNUMBER(AD107),EXTRACTNUMBER(AF107)),"*"),IF(AND(COUNTIF(D107:AG107,"=34")&gt;=1,COUNTIF(D107:AG107,"=35")&gt;=1,COUNTIF(D107:AG107,"f")=2,COUNTIF(D107:AG107,"")=0,COUNTIF(D107:AG107,"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EXTRACTNUMBER(AD107),EXTRACTNUMBER(AF107)),"*"),IF(AND(COUNTIF(D107:AG107,"=36")&gt;=2,COUNTIF(D107:AG107,"f")=2,COUNTIF(D107:AG107,"")=0,COUNTIF(D107:AG107,"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EXTRACTNUMBER(AD107),EXTRACTNUMBER(AF107)),"*"),SUM(EXTRACTNUMBER(D107),EXTRACTNUMBER(F107),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EXTRACTNUMBER(AD107),EXTRACTNUMBER(AF107))))),SUM(EXTRACTNUMBER(D107),EXTRACTNUMBER(F107),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EXTRACTNUMBER(AD107),EXTRACTNUMBER(AF107)))</f>
        <v>312</v>
      </c>
      <c r="AI107" s="38" t="str">
        <f t="shared" si="16"/>
        <v>FAIL</v>
      </c>
      <c r="AJ107" s="28" t="str">
        <f>spellnumber(EXTRACTnUMBER_TOT(AH107))</f>
        <v xml:space="preserve">Three Hundred Twelve </v>
      </c>
      <c r="AK107" s="9">
        <v>312</v>
      </c>
    </row>
    <row r="108" spans="2:37" ht="15" customHeight="1">
      <c r="B108" s="31">
        <v>223282</v>
      </c>
      <c r="C108" s="32" t="s">
        <v>240</v>
      </c>
      <c r="D108" s="33">
        <v>19</v>
      </c>
      <c r="E108" s="34" t="str">
        <f t="shared" si="18"/>
        <v>F</v>
      </c>
      <c r="F108" s="35">
        <v>18</v>
      </c>
      <c r="G108" s="34" t="str">
        <f t="shared" si="19"/>
        <v>E</v>
      </c>
      <c r="H108" s="36">
        <v>25</v>
      </c>
      <c r="I108" s="34" t="str">
        <f t="shared" si="20"/>
        <v>F</v>
      </c>
      <c r="J108" s="35">
        <v>20</v>
      </c>
      <c r="K108" s="34" t="str">
        <f t="shared" si="21"/>
        <v>E</v>
      </c>
      <c r="L108" s="35">
        <v>17</v>
      </c>
      <c r="M108" s="34" t="str">
        <f t="shared" si="22"/>
        <v>E</v>
      </c>
      <c r="N108" s="36">
        <v>52</v>
      </c>
      <c r="O108" s="34" t="str">
        <f t="shared" si="17"/>
        <v>E</v>
      </c>
      <c r="P108" s="35">
        <v>19</v>
      </c>
      <c r="Q108" s="37" t="str">
        <f t="shared" si="23"/>
        <v>E</v>
      </c>
      <c r="R108" s="33">
        <v>40</v>
      </c>
      <c r="S108" s="34" t="str">
        <f t="shared" si="24"/>
        <v>E</v>
      </c>
      <c r="T108" s="35">
        <v>20</v>
      </c>
      <c r="U108" s="37" t="str">
        <f t="shared" si="25"/>
        <v>E</v>
      </c>
      <c r="V108" s="33">
        <v>40</v>
      </c>
      <c r="W108" s="34" t="str">
        <f t="shared" si="26"/>
        <v>E</v>
      </c>
      <c r="X108" s="35">
        <v>16</v>
      </c>
      <c r="Y108" s="37" t="str">
        <f t="shared" si="27"/>
        <v>E</v>
      </c>
      <c r="Z108" s="35">
        <v>17</v>
      </c>
      <c r="AA108" s="37" t="str">
        <f t="shared" si="28"/>
        <v>E</v>
      </c>
      <c r="AB108" s="33">
        <v>51</v>
      </c>
      <c r="AC108" s="34" t="str">
        <f t="shared" si="29"/>
        <v>E</v>
      </c>
      <c r="AD108" s="35">
        <v>21</v>
      </c>
      <c r="AE108" s="34" t="str">
        <f t="shared" si="30"/>
        <v>E</v>
      </c>
      <c r="AF108" s="35">
        <v>45</v>
      </c>
      <c r="AG108" s="37" t="str">
        <f t="shared" si="31"/>
        <v>E</v>
      </c>
      <c r="AH108" s="4">
        <f>IF(OR(AND(D108&gt;=31,D108&lt;40),AND(H108&gt;=31,H108&lt;40),AND(N108&gt;=31,N108&lt;40),AND(R108&gt;=31,R108&lt;40),AND(V108&gt;=31,V108&lt;40),AND(AB108&gt;=31,AB108&lt;40)),IF(AND(OR(COUNTIF(D108:AG108,"=31")&gt;=1,COUNTIF(D108:AG108,"=32")&gt;=1,COUNTIF(D108:AG108,"=33")&gt;=1,COUNTIF(D108:AG108,"=34")&gt;=1,COUNTIF(D108:AG108,"=35")&gt;=1,COUNTIF(D108:AG108,"=36")&gt;=1 ),COUNTIF(D108:AG108,"")=0,COUNTIF(D108:AG108," ")=0,COUNTIF(D108:AG108,"F")=1),CONCATENATE(SUM(EXTRACTNUMBER(D108),EXTRACTNUMBER(F108),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EXTRACTNUMBER(AD108),EXTRACTNUMBER(AF108)),"*"),IF(AND(COUNTIF(D108:AG108,"=34")&gt;=1,COUNTIF(D108:AG108,"=35")&gt;=1,COUNTIF(D108:AG108,"f")=2,COUNTIF(D108:AG108,"")=0,COUNTIF(D108:AG108,"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EXTRACTNUMBER(AD108),EXTRACTNUMBER(AF108)),"*"),IF(AND(COUNTIF(D108:AG108,"=36")&gt;=2,COUNTIF(D108:AG108,"f")=2,COUNTIF(D108:AG108,"")=0,COUNTIF(D108:AG108,"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EXTRACTNUMBER(AD108),EXTRACTNUMBER(AF108)),"*"),SUM(EXTRACTNUMBER(D108),EXTRACTNUMBER(F108),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EXTRACTNUMBER(AD108),EXTRACTNUMBER(AF108))))),SUM(EXTRACTNUMBER(D108),EXTRACTNUMBER(F108),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EXTRACTNUMBER(AD108),EXTRACTNUMBER(AF108)))</f>
        <v>420</v>
      </c>
      <c r="AI108" s="38" t="str">
        <f t="shared" si="16"/>
        <v>FAIL</v>
      </c>
      <c r="AJ108" s="28" t="str">
        <f>spellnumber(EXTRACTnUMBER_TOT(AH108))</f>
        <v xml:space="preserve">Four Hundred Twenty  </v>
      </c>
      <c r="AK108" s="9">
        <v>420</v>
      </c>
    </row>
    <row r="109" spans="2:37" ht="15" customHeight="1">
      <c r="B109" s="31">
        <v>223283</v>
      </c>
      <c r="C109" s="32" t="s">
        <v>241</v>
      </c>
      <c r="D109" s="33">
        <v>1</v>
      </c>
      <c r="E109" s="34" t="str">
        <f t="shared" si="18"/>
        <v>F</v>
      </c>
      <c r="F109" s="35">
        <v>12</v>
      </c>
      <c r="G109" s="34" t="str">
        <f t="shared" si="19"/>
        <v>E</v>
      </c>
      <c r="H109" s="36">
        <v>52</v>
      </c>
      <c r="I109" s="34" t="str">
        <f t="shared" si="20"/>
        <v>E</v>
      </c>
      <c r="J109" s="35">
        <v>18</v>
      </c>
      <c r="K109" s="34" t="str">
        <f t="shared" si="21"/>
        <v>E</v>
      </c>
      <c r="L109" s="35">
        <v>17</v>
      </c>
      <c r="M109" s="34" t="str">
        <f t="shared" si="22"/>
        <v>E</v>
      </c>
      <c r="N109" s="36">
        <v>40</v>
      </c>
      <c r="O109" s="34" t="str">
        <f t="shared" si="17"/>
        <v>E</v>
      </c>
      <c r="P109" s="35">
        <v>16</v>
      </c>
      <c r="Q109" s="37" t="str">
        <f t="shared" si="23"/>
        <v>E</v>
      </c>
      <c r="R109" s="33">
        <v>46</v>
      </c>
      <c r="S109" s="34" t="str">
        <f t="shared" si="24"/>
        <v>E</v>
      </c>
      <c r="T109" s="35">
        <v>20</v>
      </c>
      <c r="U109" s="37" t="str">
        <f t="shared" si="25"/>
        <v>E</v>
      </c>
      <c r="V109" s="33">
        <v>40</v>
      </c>
      <c r="W109" s="34" t="str">
        <f t="shared" si="26"/>
        <v>E</v>
      </c>
      <c r="X109" s="35">
        <v>17</v>
      </c>
      <c r="Y109" s="37" t="str">
        <f t="shared" si="27"/>
        <v>E</v>
      </c>
      <c r="Z109" s="35">
        <v>18</v>
      </c>
      <c r="AA109" s="37" t="str">
        <f t="shared" si="28"/>
        <v>E</v>
      </c>
      <c r="AB109" s="33">
        <v>40</v>
      </c>
      <c r="AC109" s="34" t="str">
        <f t="shared" si="29"/>
        <v>E</v>
      </c>
      <c r="AD109" s="35">
        <v>19</v>
      </c>
      <c r="AE109" s="34" t="str">
        <f t="shared" si="30"/>
        <v>E</v>
      </c>
      <c r="AF109" s="35">
        <v>32</v>
      </c>
      <c r="AG109" s="37" t="str">
        <f t="shared" si="31"/>
        <v>E</v>
      </c>
      <c r="AH109" s="4">
        <f>IF(OR(AND(D109&gt;=31,D109&lt;40),AND(H109&gt;=31,H109&lt;40),AND(N109&gt;=31,N109&lt;40),AND(R109&gt;=31,R109&lt;40),AND(V109&gt;=31,V109&lt;40),AND(AB109&gt;=31,AB109&lt;40)),IF(AND(OR(COUNTIF(D109:AG109,"=31")&gt;=1,COUNTIF(D109:AG109,"=32")&gt;=1,COUNTIF(D109:AG109,"=33")&gt;=1,COUNTIF(D109:AG109,"=34")&gt;=1,COUNTIF(D109:AG109,"=35")&gt;=1,COUNTIF(D109:AG109,"=36")&gt;=1 ),COUNTIF(D109:AG109,"")=0,COUNTIF(D109:AG109," ")=0,COUNTIF(D109:AG109,"F")=1),CONCATENATE(SUM(EXTRACTNUMBER(D109),EXTRACTNUMBER(F109),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EXTRACTNUMBER(AD109),EXTRACTNUMBER(AF109)),"*"),IF(AND(COUNTIF(D109:AG109,"=34")&gt;=1,COUNTIF(D109:AG109,"=35")&gt;=1,COUNTIF(D109:AG109,"f")=2,COUNTIF(D109:AG109,"")=0,COUNTIF(D109:AG109,"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EXTRACTNUMBER(AD109),EXTRACTNUMBER(AF109)),"*"),IF(AND(COUNTIF(D109:AG109,"=36")&gt;=2,COUNTIF(D109:AG109,"f")=2,COUNTIF(D109:AG109,"")=0,COUNTIF(D109:AG109,"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EXTRACTNUMBER(AD109),EXTRACTNUMBER(AF109)),"*"),SUM(EXTRACTNUMBER(D109),EXTRACTNUMBER(F109),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EXTRACTNUMBER(AD109),EXTRACTNUMBER(AF109))))),SUM(EXTRACTNUMBER(D109),EXTRACTNUMBER(F109),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EXTRACTNUMBER(AD109),EXTRACTNUMBER(AF109)))</f>
        <v>388</v>
      </c>
      <c r="AI109" s="38" t="str">
        <f t="shared" si="16"/>
        <v>FAIL</v>
      </c>
      <c r="AJ109" s="28" t="str">
        <f>spellnumber(EXTRACTnUMBER_TOT(AH109))</f>
        <v xml:space="preserve">Three Hundred Eighty Eight </v>
      </c>
      <c r="AK109" s="9" t="s">
        <v>431</v>
      </c>
    </row>
    <row r="110" spans="2:37" ht="15" customHeight="1">
      <c r="B110" s="31">
        <v>223284</v>
      </c>
      <c r="C110" s="32" t="s">
        <v>242</v>
      </c>
      <c r="D110" s="33">
        <v>40</v>
      </c>
      <c r="E110" s="34" t="str">
        <f t="shared" si="18"/>
        <v/>
      </c>
      <c r="F110" s="35">
        <v>18</v>
      </c>
      <c r="G110" s="34" t="str">
        <f t="shared" si="19"/>
        <v/>
      </c>
      <c r="H110" s="36">
        <v>82</v>
      </c>
      <c r="I110" s="34" t="str">
        <f t="shared" si="20"/>
        <v/>
      </c>
      <c r="J110" s="35">
        <v>23</v>
      </c>
      <c r="K110" s="34" t="str">
        <f t="shared" si="21"/>
        <v/>
      </c>
      <c r="L110" s="35">
        <v>18</v>
      </c>
      <c r="M110" s="34" t="str">
        <f t="shared" si="22"/>
        <v/>
      </c>
      <c r="N110" s="36">
        <v>76</v>
      </c>
      <c r="O110" s="34" t="str">
        <f t="shared" si="17"/>
        <v/>
      </c>
      <c r="P110" s="35">
        <v>23</v>
      </c>
      <c r="Q110" s="37" t="str">
        <f t="shared" si="23"/>
        <v/>
      </c>
      <c r="R110" s="33">
        <v>66</v>
      </c>
      <c r="S110" s="34" t="str">
        <f t="shared" si="24"/>
        <v/>
      </c>
      <c r="T110" s="35">
        <v>23</v>
      </c>
      <c r="U110" s="37" t="str">
        <f t="shared" si="25"/>
        <v/>
      </c>
      <c r="V110" s="33">
        <v>56</v>
      </c>
      <c r="W110" s="34" t="str">
        <f t="shared" si="26"/>
        <v/>
      </c>
      <c r="X110" s="35">
        <v>20</v>
      </c>
      <c r="Y110" s="37" t="str">
        <f t="shared" si="27"/>
        <v/>
      </c>
      <c r="Z110" s="35">
        <v>21</v>
      </c>
      <c r="AA110" s="37" t="str">
        <f t="shared" si="28"/>
        <v/>
      </c>
      <c r="AB110" s="33">
        <v>40</v>
      </c>
      <c r="AC110" s="34" t="str">
        <f t="shared" si="29"/>
        <v/>
      </c>
      <c r="AD110" s="35">
        <v>18</v>
      </c>
      <c r="AE110" s="34" t="str">
        <f t="shared" si="30"/>
        <v/>
      </c>
      <c r="AF110" s="35">
        <v>41</v>
      </c>
      <c r="AG110" s="37" t="str">
        <f t="shared" si="31"/>
        <v/>
      </c>
      <c r="AH110" s="4">
        <f>IF(OR(AND(D110&gt;=31,D110&lt;40),AND(H110&gt;=31,H110&lt;40),AND(N110&gt;=31,N110&lt;40),AND(R110&gt;=31,R110&lt;40),AND(V110&gt;=31,V110&lt;40),AND(AB110&gt;=31,AB110&lt;40)),IF(AND(OR(COUNTIF(D110:AG110,"=31")&gt;=1,COUNTIF(D110:AG110,"=32")&gt;=1,COUNTIF(D110:AG110,"=33")&gt;=1,COUNTIF(D110:AG110,"=34")&gt;=1,COUNTIF(D110:AG110,"=35")&gt;=1,COUNTIF(D110:AG110,"=36")&gt;=1 ),COUNTIF(D110:AG110,"")=0,COUNTIF(D110:AG110," ")=0,COUNTIF(D110:AG110,"F")=1),CONCATENATE(SUM(EXTRACTNUMBER(D110),EXTRACTNUMBER(F110),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EXTRACTNUMBER(AD110),EXTRACTNUMBER(AF110)),"*"),IF(AND(COUNTIF(D110:AG110,"=34")&gt;=1,COUNTIF(D110:AG110,"=35")&gt;=1,COUNTIF(D110:AG110,"f")=2,COUNTIF(D110:AG110,"")=0,COUNTIF(D110:AG110,"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EXTRACTNUMBER(AD110),EXTRACTNUMBER(AF110)),"*"),IF(AND(COUNTIF(D110:AG110,"=36")&gt;=2,COUNTIF(D110:AG110,"f")=2,COUNTIF(D110:AG110,"")=0,COUNTIF(D110:AG110,"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EXTRACTNUMBER(AD110),EXTRACTNUMBER(AF110)),"*"),SUM(EXTRACTNUMBER(D110),EXTRACTNUMBER(F110),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EXTRACTNUMBER(AD110),EXTRACTNUMBER(AF110))))),SUM(EXTRACTNUMBER(D110),EXTRACTNUMBER(F110),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EXTRACTNUMBER(AD110),EXTRACTNUMBER(AF110)))</f>
        <v>565</v>
      </c>
      <c r="AI110" s="38" t="str">
        <f t="shared" si="16"/>
        <v>PASS</v>
      </c>
      <c r="AJ110" s="28" t="str">
        <f>spellnumber(EXTRACTnUMBER_TOT(AH110))</f>
        <v xml:space="preserve">Five Hundred Sixty Five </v>
      </c>
      <c r="AK110" s="9">
        <v>565</v>
      </c>
    </row>
    <row r="111" spans="2:37" ht="15" customHeight="1">
      <c r="B111" s="31">
        <v>223285</v>
      </c>
      <c r="C111" s="32" t="s">
        <v>243</v>
      </c>
      <c r="D111" s="33">
        <v>51</v>
      </c>
      <c r="E111" s="34" t="str">
        <f t="shared" si="18"/>
        <v/>
      </c>
      <c r="F111" s="35">
        <v>15</v>
      </c>
      <c r="G111" s="34" t="str">
        <f t="shared" si="19"/>
        <v/>
      </c>
      <c r="H111" s="36">
        <v>61</v>
      </c>
      <c r="I111" s="34" t="str">
        <f t="shared" si="20"/>
        <v/>
      </c>
      <c r="J111" s="35">
        <v>19</v>
      </c>
      <c r="K111" s="34" t="str">
        <f t="shared" si="21"/>
        <v/>
      </c>
      <c r="L111" s="35">
        <v>17</v>
      </c>
      <c r="M111" s="34" t="str">
        <f t="shared" si="22"/>
        <v/>
      </c>
      <c r="N111" s="36">
        <v>80</v>
      </c>
      <c r="O111" s="34" t="str">
        <f t="shared" si="17"/>
        <v/>
      </c>
      <c r="P111" s="35">
        <v>17</v>
      </c>
      <c r="Q111" s="37" t="str">
        <f t="shared" si="23"/>
        <v/>
      </c>
      <c r="R111" s="33">
        <v>61</v>
      </c>
      <c r="S111" s="34" t="str">
        <f t="shared" si="24"/>
        <v/>
      </c>
      <c r="T111" s="35">
        <v>18</v>
      </c>
      <c r="U111" s="37" t="str">
        <f t="shared" si="25"/>
        <v/>
      </c>
      <c r="V111" s="33">
        <v>45</v>
      </c>
      <c r="W111" s="34" t="str">
        <f t="shared" si="26"/>
        <v/>
      </c>
      <c r="X111" s="35">
        <v>21</v>
      </c>
      <c r="Y111" s="37" t="str">
        <f t="shared" si="27"/>
        <v/>
      </c>
      <c r="Z111" s="35">
        <v>21</v>
      </c>
      <c r="AA111" s="37" t="str">
        <f t="shared" si="28"/>
        <v/>
      </c>
      <c r="AB111" s="33" t="s">
        <v>436</v>
      </c>
      <c r="AC111" s="34" t="str">
        <f t="shared" si="29"/>
        <v/>
      </c>
      <c r="AD111" s="35">
        <v>14</v>
      </c>
      <c r="AE111" s="34" t="str">
        <f t="shared" si="30"/>
        <v/>
      </c>
      <c r="AF111" s="35">
        <v>40</v>
      </c>
      <c r="AG111" s="37" t="str">
        <f t="shared" si="31"/>
        <v/>
      </c>
      <c r="AH111" s="4" t="s">
        <v>432</v>
      </c>
      <c r="AI111" s="38" t="str">
        <f t="shared" si="16"/>
        <v>PASS</v>
      </c>
      <c r="AJ111" s="28" t="str">
        <f>spellnumber(EXTRACTnUMBER_TOT(AH111))</f>
        <v xml:space="preserve">Five Hundred Fourteen </v>
      </c>
      <c r="AK111" s="9" t="s">
        <v>432</v>
      </c>
    </row>
    <row r="112" spans="2:37" ht="15" customHeight="1">
      <c r="B112" s="31">
        <v>223286</v>
      </c>
      <c r="C112" s="32" t="s">
        <v>244</v>
      </c>
      <c r="D112" s="33">
        <v>8</v>
      </c>
      <c r="E112" s="34" t="str">
        <f t="shared" si="18"/>
        <v>F</v>
      </c>
      <c r="F112" s="35">
        <v>10</v>
      </c>
      <c r="G112" s="34" t="str">
        <f t="shared" si="19"/>
        <v>E</v>
      </c>
      <c r="H112" s="36">
        <v>13</v>
      </c>
      <c r="I112" s="34" t="str">
        <f t="shared" si="20"/>
        <v>F</v>
      </c>
      <c r="J112" s="35">
        <v>19</v>
      </c>
      <c r="K112" s="34" t="str">
        <f t="shared" si="21"/>
        <v>E</v>
      </c>
      <c r="L112" s="35">
        <v>17</v>
      </c>
      <c r="M112" s="34" t="str">
        <f t="shared" si="22"/>
        <v>E</v>
      </c>
      <c r="N112" s="36">
        <v>20</v>
      </c>
      <c r="O112" s="34" t="str">
        <f t="shared" si="17"/>
        <v>F</v>
      </c>
      <c r="P112" s="35">
        <v>12</v>
      </c>
      <c r="Q112" s="37" t="str">
        <f t="shared" si="23"/>
        <v>E</v>
      </c>
      <c r="R112" s="33">
        <v>4</v>
      </c>
      <c r="S112" s="34" t="str">
        <f t="shared" si="24"/>
        <v>F</v>
      </c>
      <c r="T112" s="35">
        <v>14</v>
      </c>
      <c r="U112" s="37" t="str">
        <f t="shared" si="25"/>
        <v>E</v>
      </c>
      <c r="V112" s="33">
        <v>8</v>
      </c>
      <c r="W112" s="34" t="str">
        <f t="shared" si="26"/>
        <v>F</v>
      </c>
      <c r="X112" s="35">
        <v>20</v>
      </c>
      <c r="Y112" s="37" t="str">
        <f t="shared" si="27"/>
        <v>E</v>
      </c>
      <c r="Z112" s="35">
        <v>18</v>
      </c>
      <c r="AA112" s="37" t="str">
        <f t="shared" si="28"/>
        <v>E</v>
      </c>
      <c r="AB112" s="33">
        <v>0</v>
      </c>
      <c r="AC112" s="34" t="str">
        <f t="shared" si="29"/>
        <v>F</v>
      </c>
      <c r="AD112" s="35">
        <v>20</v>
      </c>
      <c r="AE112" s="34" t="str">
        <f t="shared" si="30"/>
        <v>E</v>
      </c>
      <c r="AF112" s="35">
        <v>35</v>
      </c>
      <c r="AG112" s="37" t="str">
        <f t="shared" si="31"/>
        <v>E</v>
      </c>
      <c r="AH112" s="4">
        <f>IF(OR(AND(D112&gt;=31,D112&lt;40),AND(H112&gt;=31,H112&lt;40),AND(N112&gt;=31,N112&lt;40),AND(R112&gt;=31,R112&lt;40),AND(V112&gt;=31,V112&lt;40),AND(AB112&gt;=31,AB112&lt;40)),IF(AND(OR(COUNTIF(D112:AG112,"=31")&gt;=1,COUNTIF(D112:AG112,"=32")&gt;=1,COUNTIF(D112:AG112,"=33")&gt;=1,COUNTIF(D112:AG112,"=34")&gt;=1,COUNTIF(D112:AG112,"=35")&gt;=1,COUNTIF(D112:AG112,"=36")&gt;=1 ),COUNTIF(D112:AG112,"")=0,COUNTIF(D112:AG112," ")=0,COUNTIF(D112:AG112,"F")=1),CONCATENATE(SUM(EXTRACTNUMBER(D112),EXTRACTNUMBER(F112),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EXTRACTNUMBER(AD112),EXTRACTNUMBER(AF112)),"*"),IF(AND(COUNTIF(D112:AG112,"=34")&gt;=1,COUNTIF(D112:AG112,"=35")&gt;=1,COUNTIF(D112:AG112,"f")=2,COUNTIF(D112:AG112,"")=0,COUNTIF(D112:AG112,"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EXTRACTNUMBER(AD112),EXTRACTNUMBER(AF112)),"*"),IF(AND(COUNTIF(D112:AG112,"=36")&gt;=2,COUNTIF(D112:AG112,"f")=2,COUNTIF(D112:AG112,"")=0,COUNTIF(D112:AG112," ")=0),CONCATENATE(SUM(EXTRACTNUMBER(D112),EXTRACTNUMBER(F112),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EXTRACTNUMBER(AD112),EXTRACTNUMBER(AF112)),"*"),SUM(EXTRACTNUMBER(D112),EXTRACTNUMBER(F112),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EXTRACTNUMBER(AD112),EXTRACTNUMBER(AF112))))),SUM(EXTRACTNUMBER(D112),EXTRACTNUMBER(F112),
EXTRACTNUMBER(H112),EXTRACTNUMBER(J112),
EXTRACTNUMBER(L112),EXTRACTNUMBER(N112),
EXTRACTNUMBER(P112),EXTRACTNUMBER(R112),
EXTRACTNUMBER(T112),EXTRACTNUMBER(V112),
EXTRACTNUMBER(X112),EXTRACTNUMBER(Z112),EXTRACTNUMBER(AB112),
EXTRACTNUMBER(AD112),EXTRACTNUMBER(AF112)))</f>
        <v>218</v>
      </c>
      <c r="AI112" s="38" t="str">
        <f t="shared" si="16"/>
        <v>FAIL</v>
      </c>
      <c r="AJ112" s="28" t="str">
        <f>spellnumber(EXTRACTnUMBER_TOT(AH112))</f>
        <v xml:space="preserve">Two Hundred Eighteen </v>
      </c>
      <c r="AK112" s="9">
        <v>218</v>
      </c>
    </row>
    <row r="113" spans="2:37" ht="15" customHeight="1">
      <c r="B113" s="31">
        <v>223287</v>
      </c>
      <c r="C113" s="32" t="s">
        <v>245</v>
      </c>
      <c r="D113" s="33">
        <v>27</v>
      </c>
      <c r="E113" s="34" t="str">
        <f t="shared" si="18"/>
        <v>F</v>
      </c>
      <c r="F113" s="35">
        <v>16</v>
      </c>
      <c r="G113" s="34" t="str">
        <f t="shared" si="19"/>
        <v>E</v>
      </c>
      <c r="H113" s="36">
        <v>40</v>
      </c>
      <c r="I113" s="34" t="str">
        <f t="shared" si="20"/>
        <v>E</v>
      </c>
      <c r="J113" s="35">
        <v>19</v>
      </c>
      <c r="K113" s="34" t="str">
        <f t="shared" si="21"/>
        <v>E</v>
      </c>
      <c r="L113" s="35">
        <v>18</v>
      </c>
      <c r="M113" s="34" t="str">
        <f t="shared" si="22"/>
        <v>E</v>
      </c>
      <c r="N113" s="36">
        <v>46</v>
      </c>
      <c r="O113" s="34" t="str">
        <f t="shared" si="17"/>
        <v>E</v>
      </c>
      <c r="P113" s="35">
        <v>14</v>
      </c>
      <c r="Q113" s="37" t="str">
        <f t="shared" si="23"/>
        <v>E</v>
      </c>
      <c r="R113" s="33">
        <v>40</v>
      </c>
      <c r="S113" s="34" t="str">
        <f t="shared" si="24"/>
        <v>E</v>
      </c>
      <c r="T113" s="35">
        <v>22</v>
      </c>
      <c r="U113" s="37" t="str">
        <f t="shared" si="25"/>
        <v>E</v>
      </c>
      <c r="V113" s="33">
        <v>40</v>
      </c>
      <c r="W113" s="34" t="str">
        <f t="shared" si="26"/>
        <v>E</v>
      </c>
      <c r="X113" s="35">
        <v>19</v>
      </c>
      <c r="Y113" s="37" t="str">
        <f t="shared" si="27"/>
        <v>E</v>
      </c>
      <c r="Z113" s="35">
        <v>18</v>
      </c>
      <c r="AA113" s="37" t="str">
        <f t="shared" si="28"/>
        <v>E</v>
      </c>
      <c r="AB113" s="33">
        <v>40</v>
      </c>
      <c r="AC113" s="34" t="str">
        <f t="shared" si="29"/>
        <v>E</v>
      </c>
      <c r="AD113" s="35">
        <v>20</v>
      </c>
      <c r="AE113" s="34" t="str">
        <f t="shared" si="30"/>
        <v>E</v>
      </c>
      <c r="AF113" s="35">
        <v>40</v>
      </c>
      <c r="AG113" s="37" t="str">
        <f t="shared" si="31"/>
        <v>E</v>
      </c>
      <c r="AH113" s="4">
        <f>IF(OR(AND(D113&gt;=31,D113&lt;40),AND(H113&gt;=31,H113&lt;40),AND(N113&gt;=31,N113&lt;40),AND(R113&gt;=31,R113&lt;40),AND(V113&gt;=31,V113&lt;40),AND(AB113&gt;=31,AB113&lt;40)),IF(AND(OR(COUNTIF(D113:AG113,"=31")&gt;=1,COUNTIF(D113:AG113,"=32")&gt;=1,COUNTIF(D113:AG113,"=33")&gt;=1,COUNTIF(D113:AG113,"=34")&gt;=1,COUNTIF(D113:AG113,"=35")&gt;=1,COUNTIF(D113:AG113,"=36")&gt;=1 ),COUNTIF(D113:AG113,"")=0,COUNTIF(D113:AG113," ")=0,COUNTIF(D113:AG113,"F")=1),CONCATENATE(SUM(EXTRACTNUMBER(D113),EXTRACTNUMBER(F113),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EXTRACTNUMBER(AD113),EXTRACTNUMBER(AF113)),"*"),IF(AND(COUNTIF(D113:AG113,"=34")&gt;=1,COUNTIF(D113:AG113,"=35")&gt;=1,COUNTIF(D113:AG113,"f")=2,COUNTIF(D113:AG113,"")=0,COUNTIF(D113:AG113,"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EXTRACTNUMBER(AD113),EXTRACTNUMBER(AF113)),"*"),IF(AND(COUNTIF(D113:AG113,"=36")&gt;=2,COUNTIF(D113:AG113,"f")=2,COUNTIF(D113:AG113,"")=0,COUNTIF(D113:AG113,"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EXTRACTNUMBER(AD113),EXTRACTNUMBER(AF113)),"*"),SUM(EXTRACTNUMBER(D113),EXTRACTNUMBER(F113),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EXTRACTNUMBER(AD113),EXTRACTNUMBER(AF113))))),SUM(EXTRACTNUMBER(D113),EXTRACTNUMBER(F113),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EXTRACTNUMBER(AD113),EXTRACTNUMBER(AF113)))</f>
        <v>419</v>
      </c>
      <c r="AI113" s="38" t="str">
        <f t="shared" si="16"/>
        <v>FAIL</v>
      </c>
      <c r="AJ113" s="28" t="str">
        <f>spellnumber(EXTRACTnUMBER_TOT(AH113))</f>
        <v xml:space="preserve">Four Hundred Nineteen </v>
      </c>
      <c r="AK113" s="9">
        <v>419</v>
      </c>
    </row>
    <row r="114" spans="2:37" ht="15" customHeight="1">
      <c r="B114" s="31">
        <v>223288</v>
      </c>
      <c r="C114" s="39" t="s">
        <v>246</v>
      </c>
      <c r="D114" s="33" t="s">
        <v>103</v>
      </c>
      <c r="E114" s="34" t="str">
        <f t="shared" si="18"/>
        <v/>
      </c>
      <c r="F114" s="35">
        <v>14</v>
      </c>
      <c r="G114" s="34" t="str">
        <f t="shared" si="19"/>
        <v>E</v>
      </c>
      <c r="H114" s="36" t="s">
        <v>103</v>
      </c>
      <c r="I114" s="34" t="str">
        <f t="shared" si="20"/>
        <v/>
      </c>
      <c r="J114" s="35">
        <v>18</v>
      </c>
      <c r="K114" s="34" t="str">
        <f t="shared" si="21"/>
        <v>E</v>
      </c>
      <c r="L114" s="35">
        <v>17</v>
      </c>
      <c r="M114" s="34" t="str">
        <f t="shared" si="22"/>
        <v>E</v>
      </c>
      <c r="N114" s="36">
        <v>24</v>
      </c>
      <c r="O114" s="34" t="str">
        <f t="shared" si="17"/>
        <v>F</v>
      </c>
      <c r="P114" s="35">
        <v>12</v>
      </c>
      <c r="Q114" s="37" t="str">
        <f t="shared" si="23"/>
        <v>E</v>
      </c>
      <c r="R114" s="33" t="s">
        <v>103</v>
      </c>
      <c r="S114" s="34" t="str">
        <f t="shared" si="24"/>
        <v/>
      </c>
      <c r="T114" s="35">
        <v>20</v>
      </c>
      <c r="U114" s="37" t="str">
        <f t="shared" si="25"/>
        <v>E</v>
      </c>
      <c r="V114" s="33" t="s">
        <v>103</v>
      </c>
      <c r="W114" s="34" t="str">
        <f t="shared" si="26"/>
        <v/>
      </c>
      <c r="X114" s="35">
        <v>14</v>
      </c>
      <c r="Y114" s="37" t="str">
        <f t="shared" si="27"/>
        <v>E</v>
      </c>
      <c r="Z114" s="35">
        <v>16</v>
      </c>
      <c r="AA114" s="37" t="str">
        <f t="shared" si="28"/>
        <v>E</v>
      </c>
      <c r="AB114" s="33" t="s">
        <v>103</v>
      </c>
      <c r="AC114" s="34" t="str">
        <f t="shared" si="29"/>
        <v/>
      </c>
      <c r="AD114" s="35">
        <v>19</v>
      </c>
      <c r="AE114" s="34" t="str">
        <f t="shared" si="30"/>
        <v>E</v>
      </c>
      <c r="AF114" s="35">
        <v>36</v>
      </c>
      <c r="AG114" s="37" t="str">
        <f t="shared" si="31"/>
        <v>E</v>
      </c>
      <c r="AH114" s="4">
        <f>IF(OR(AND(D114&gt;=31,D114&lt;40),AND(H114&gt;=31,H114&lt;40),AND(N114&gt;=31,N114&lt;40),AND(R114&gt;=31,R114&lt;40),AND(V114&gt;=31,V114&lt;40),AND(AB114&gt;=31,AB114&lt;40)),IF(AND(OR(COUNTIF(D114:AG114,"=31")&gt;=1,COUNTIF(D114:AG114,"=32")&gt;=1,COUNTIF(D114:AG114,"=33")&gt;=1,COUNTIF(D114:AG114,"=34")&gt;=1,COUNTIF(D114:AG114,"=35")&gt;=1,COUNTIF(D114:AG114,"=36")&gt;=1 ),COUNTIF(D114:AG114,"")=0,COUNTIF(D114:AG114," ")=0,COUNTIF(D114:AG114,"F")=1),CONCATENATE(SUM(EXTRACTNUMBER(D114),EXTRACTNUMBER(F114),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EXTRACTNUMBER(AD114),EXTRACTNUMBER(AF114)),"*"),IF(AND(COUNTIF(D114:AG114,"=34")&gt;=1,COUNTIF(D114:AG114,"=35")&gt;=1,COUNTIF(D114:AG114,"f")=2,COUNTIF(D114:AG114,"")=0,COUNTIF(D114:AG114,"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EXTRACTNUMBER(AD114),EXTRACTNUMBER(AF114)),"*"),IF(AND(COUNTIF(D114:AG114,"=36")&gt;=2,COUNTIF(D114:AG114,"f")=2,COUNTIF(D114:AG114,"")=0,COUNTIF(D114:AG114," ")=0),CONCATENATE(SUM(EXTRACTNUMBER(D114),EXTRACTNUMBER(F114),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EXTRACTNUMBER(AD114),EXTRACTNUMBER(AF114)),"*"),SUM(EXTRACTNUMBER(D114),EXTRACTNUMBER(F114),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EXTRACTNUMBER(AD114),EXTRACTNUMBER(AF114))))),SUM(EXTRACTNUMBER(D114),EXTRACTNUMBER(F114),
EXTRACTNUMBER(H114),EXTRACTNUMBER(J114),
EXTRACTNUMBER(L114),EXTRACTNUMBER(N114),
EXTRACTNUMBER(P114),EXTRACTNUMBER(R114),
EXTRACTNUMBER(T114),EXTRACTNUMBER(V114),
EXTRACTNUMBER(X114),EXTRACTNUMBER(Z114),EXTRACTNUMBER(AB114),
EXTRACTNUMBER(AD114),EXTRACTNUMBER(AF114)))</f>
        <v>190</v>
      </c>
      <c r="AI114" s="38" t="str">
        <f t="shared" si="16"/>
        <v>FAIL</v>
      </c>
      <c r="AJ114" s="28" t="str">
        <f>spellnumber(EXTRACTnUMBER_TOT(AH114))</f>
        <v xml:space="preserve">One Hundred Ninety </v>
      </c>
      <c r="AK114" s="9">
        <v>190</v>
      </c>
    </row>
    <row r="115" spans="2:37" ht="15" customHeight="1">
      <c r="B115" s="31">
        <v>223289</v>
      </c>
      <c r="C115" s="32" t="s">
        <v>247</v>
      </c>
      <c r="D115" s="33">
        <v>6</v>
      </c>
      <c r="E115" s="34" t="str">
        <f t="shared" si="18"/>
        <v>F</v>
      </c>
      <c r="F115" s="35">
        <v>14</v>
      </c>
      <c r="G115" s="34" t="str">
        <f t="shared" si="19"/>
        <v>E</v>
      </c>
      <c r="H115" s="36">
        <v>33</v>
      </c>
      <c r="I115" s="34" t="str">
        <f t="shared" si="20"/>
        <v>F</v>
      </c>
      <c r="J115" s="35">
        <v>19</v>
      </c>
      <c r="K115" s="34" t="str">
        <f t="shared" si="21"/>
        <v>E</v>
      </c>
      <c r="L115" s="35">
        <v>18</v>
      </c>
      <c r="M115" s="34" t="str">
        <f t="shared" si="22"/>
        <v>E</v>
      </c>
      <c r="N115" s="36">
        <v>25</v>
      </c>
      <c r="O115" s="34" t="str">
        <f t="shared" si="17"/>
        <v>F</v>
      </c>
      <c r="P115" s="35">
        <v>19</v>
      </c>
      <c r="Q115" s="37" t="str">
        <f t="shared" si="23"/>
        <v>E</v>
      </c>
      <c r="R115" s="33">
        <v>42</v>
      </c>
      <c r="S115" s="34" t="str">
        <f t="shared" si="24"/>
        <v>E</v>
      </c>
      <c r="T115" s="35">
        <v>20</v>
      </c>
      <c r="U115" s="37" t="str">
        <f t="shared" si="25"/>
        <v>E</v>
      </c>
      <c r="V115" s="33">
        <v>22</v>
      </c>
      <c r="W115" s="34" t="str">
        <f t="shared" si="26"/>
        <v>F</v>
      </c>
      <c r="X115" s="35">
        <v>16</v>
      </c>
      <c r="Y115" s="37" t="str">
        <f t="shared" si="27"/>
        <v>E</v>
      </c>
      <c r="Z115" s="35">
        <v>18</v>
      </c>
      <c r="AA115" s="37" t="str">
        <f t="shared" si="28"/>
        <v>E</v>
      </c>
      <c r="AB115" s="33">
        <v>40</v>
      </c>
      <c r="AC115" s="34" t="str">
        <f t="shared" si="29"/>
        <v>E</v>
      </c>
      <c r="AD115" s="35">
        <v>19</v>
      </c>
      <c r="AE115" s="34" t="str">
        <f t="shared" si="30"/>
        <v>E</v>
      </c>
      <c r="AF115" s="35">
        <v>44</v>
      </c>
      <c r="AG115" s="37" t="str">
        <f t="shared" si="31"/>
        <v>E</v>
      </c>
      <c r="AH115" s="4">
        <f>IF(OR(AND(D115&gt;=31,D115&lt;40),AND(H115&gt;=31,H115&lt;40),AND(N115&gt;=31,N115&lt;40),AND(R115&gt;=31,R115&lt;40),AND(V115&gt;=31,V115&lt;40),AND(AB115&gt;=31,AB115&lt;40)),IF(AND(OR(COUNTIF(D115:AG115,"=31")&gt;=1,COUNTIF(D115:AG115,"=32")&gt;=1,COUNTIF(D115:AG115,"=33")&gt;=1,COUNTIF(D115:AG115,"=34")&gt;=1,COUNTIF(D115:AG115,"=35")&gt;=1,COUNTIF(D115:AG115,"=36")&gt;=1 ),COUNTIF(D115:AG115,"")=0,COUNTIF(D115:AG115," ")=0,COUNTIF(D115:AG115,"F")=1),CONCATENATE(SUM(EXTRACTNUMBER(D115),EXTRACTNUMBER(F115),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EXTRACTNUMBER(AD115),EXTRACTNUMBER(AF115)),"*"),IF(AND(COUNTIF(D115:AG115,"=34")&gt;=1,COUNTIF(D115:AG115,"=35")&gt;=1,COUNTIF(D115:AG115,"f")=2,COUNTIF(D115:AG115,"")=0,COUNTIF(D115:AG115,"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EXTRACTNUMBER(AD115),EXTRACTNUMBER(AF115)),"*"),IF(AND(COUNTIF(D115:AG115,"=36")&gt;=2,COUNTIF(D115:AG115,"f")=2,COUNTIF(D115:AG115,"")=0,COUNTIF(D115:AG115,"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EXTRACTNUMBER(AD115),EXTRACTNUMBER(AF115)),"*"),SUM(EXTRACTNUMBER(D115),EXTRACTNUMBER(F115),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EXTRACTNUMBER(AD115),EXTRACTNUMBER(AF115))))),SUM(EXTRACTNUMBER(D115),EXTRACTNUMBER(F115),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EXTRACTNUMBER(AD115),EXTRACTNUMBER(AF115)))</f>
        <v>355</v>
      </c>
      <c r="AI115" s="38" t="str">
        <f t="shared" si="16"/>
        <v>FAIL</v>
      </c>
      <c r="AJ115" s="28" t="str">
        <f>spellnumber(EXTRACTnUMBER_TOT(AH115))</f>
        <v xml:space="preserve">Three Hundred Fifty Five </v>
      </c>
      <c r="AK115" s="9">
        <v>355</v>
      </c>
    </row>
    <row r="116" spans="2:37" ht="15" customHeight="1">
      <c r="B116" s="31">
        <v>223290</v>
      </c>
      <c r="C116" s="32" t="s">
        <v>248</v>
      </c>
      <c r="D116" s="33">
        <v>23</v>
      </c>
      <c r="E116" s="34" t="str">
        <f t="shared" si="18"/>
        <v>F</v>
      </c>
      <c r="F116" s="35">
        <v>16</v>
      </c>
      <c r="G116" s="34" t="str">
        <f t="shared" si="19"/>
        <v>E</v>
      </c>
      <c r="H116" s="36">
        <v>17</v>
      </c>
      <c r="I116" s="34" t="str">
        <f t="shared" si="20"/>
        <v>F</v>
      </c>
      <c r="J116" s="35">
        <v>18</v>
      </c>
      <c r="K116" s="34" t="str">
        <f t="shared" si="21"/>
        <v>E</v>
      </c>
      <c r="L116" s="35">
        <v>19</v>
      </c>
      <c r="M116" s="34" t="str">
        <f t="shared" si="22"/>
        <v>E</v>
      </c>
      <c r="N116" s="36">
        <v>53</v>
      </c>
      <c r="O116" s="34" t="str">
        <f t="shared" si="17"/>
        <v>E</v>
      </c>
      <c r="P116" s="35">
        <v>18</v>
      </c>
      <c r="Q116" s="37" t="str">
        <f t="shared" si="23"/>
        <v>E</v>
      </c>
      <c r="R116" s="33">
        <v>40</v>
      </c>
      <c r="S116" s="34" t="str">
        <f t="shared" si="24"/>
        <v>E</v>
      </c>
      <c r="T116" s="35">
        <v>20</v>
      </c>
      <c r="U116" s="37" t="str">
        <f t="shared" si="25"/>
        <v>E</v>
      </c>
      <c r="V116" s="33">
        <v>4</v>
      </c>
      <c r="W116" s="34" t="str">
        <f t="shared" si="26"/>
        <v>F</v>
      </c>
      <c r="X116" s="35">
        <v>14</v>
      </c>
      <c r="Y116" s="37" t="str">
        <f t="shared" si="27"/>
        <v>E</v>
      </c>
      <c r="Z116" s="35">
        <v>16</v>
      </c>
      <c r="AA116" s="37" t="str">
        <f t="shared" si="28"/>
        <v>E</v>
      </c>
      <c r="AB116" s="33">
        <v>17</v>
      </c>
      <c r="AC116" s="34" t="str">
        <f t="shared" si="29"/>
        <v>F</v>
      </c>
      <c r="AD116" s="35">
        <v>18</v>
      </c>
      <c r="AE116" s="34" t="str">
        <f t="shared" si="30"/>
        <v>E</v>
      </c>
      <c r="AF116" s="35">
        <v>39</v>
      </c>
      <c r="AG116" s="37" t="str">
        <f t="shared" si="31"/>
        <v>E</v>
      </c>
      <c r="AH116" s="4">
        <f>IF(OR(AND(D116&gt;=31,D116&lt;40),AND(H116&gt;=31,H116&lt;40),AND(N116&gt;=31,N116&lt;40),AND(R116&gt;=31,R116&lt;40),AND(V116&gt;=31,V116&lt;40),AND(AB116&gt;=31,AB116&lt;40)),IF(AND(OR(COUNTIF(D116:AG116,"=31")&gt;=1,COUNTIF(D116:AG116,"=32")&gt;=1,COUNTIF(D116:AG116,"=33")&gt;=1,COUNTIF(D116:AG116,"=34")&gt;=1,COUNTIF(D116:AG116,"=35")&gt;=1,COUNTIF(D116:AG116,"=36")&gt;=1 ),COUNTIF(D116:AG116,"")=0,COUNTIF(D116:AG116," ")=0,COUNTIF(D116:AG116,"F")=1),CONCATENATE(SUM(EXTRACTNUMBER(D116),EXTRACTNUMBER(F116),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EXTRACTNUMBER(AD116),EXTRACTNUMBER(AF116)),"*"),IF(AND(COUNTIF(D116:AG116,"=34")&gt;=1,COUNTIF(D116:AG116,"=35")&gt;=1,COUNTIF(D116:AG116,"f")=2,COUNTIF(D116:AG116,"")=0,COUNTIF(D116:AG116,"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EXTRACTNUMBER(AD116),EXTRACTNUMBER(AF116)),"*"),IF(AND(COUNTIF(D116:AG116,"=36")&gt;=2,COUNTIF(D116:AG116,"f")=2,COUNTIF(D116:AG116,"")=0,COUNTIF(D116:AG116,"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EXTRACTNUMBER(AD116),EXTRACTNUMBER(AF116)),"*"),SUM(EXTRACTNUMBER(D116),EXTRACTNUMBER(F116),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EXTRACTNUMBER(AD116),EXTRACTNUMBER(AF116))))),SUM(EXTRACTNUMBER(D116),EXTRACTNUMBER(F116),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EXTRACTNUMBER(AD116),EXTRACTNUMBER(AF116)))</f>
        <v>332</v>
      </c>
      <c r="AI116" s="38" t="str">
        <f t="shared" si="16"/>
        <v>FAIL</v>
      </c>
      <c r="AJ116" s="28" t="str">
        <f>spellnumber(EXTRACTnUMBER_TOT(AH116))</f>
        <v xml:space="preserve">Three Hundred Thirty Two </v>
      </c>
      <c r="AK116" s="9">
        <v>332</v>
      </c>
    </row>
    <row r="117" spans="2:37" ht="15" customHeight="1">
      <c r="B117" s="31">
        <v>223291</v>
      </c>
      <c r="C117" s="32" t="s">
        <v>249</v>
      </c>
      <c r="D117" s="33">
        <v>12</v>
      </c>
      <c r="E117" s="34" t="str">
        <f t="shared" si="18"/>
        <v>F</v>
      </c>
      <c r="F117" s="35">
        <v>15</v>
      </c>
      <c r="G117" s="34" t="str">
        <f t="shared" si="19"/>
        <v>E</v>
      </c>
      <c r="H117" s="36">
        <v>55</v>
      </c>
      <c r="I117" s="34" t="str">
        <f t="shared" si="20"/>
        <v>E</v>
      </c>
      <c r="J117" s="35">
        <v>19</v>
      </c>
      <c r="K117" s="34" t="str">
        <f t="shared" si="21"/>
        <v>E</v>
      </c>
      <c r="L117" s="35">
        <v>18</v>
      </c>
      <c r="M117" s="34" t="str">
        <f t="shared" si="22"/>
        <v>E</v>
      </c>
      <c r="N117" s="36">
        <v>40</v>
      </c>
      <c r="O117" s="34" t="str">
        <f t="shared" si="17"/>
        <v>E</v>
      </c>
      <c r="P117" s="35">
        <v>15</v>
      </c>
      <c r="Q117" s="37" t="str">
        <f t="shared" si="23"/>
        <v>E</v>
      </c>
      <c r="R117" s="33">
        <v>60</v>
      </c>
      <c r="S117" s="34" t="str">
        <f t="shared" si="24"/>
        <v>E</v>
      </c>
      <c r="T117" s="35">
        <v>21</v>
      </c>
      <c r="U117" s="37" t="str">
        <f t="shared" si="25"/>
        <v>E</v>
      </c>
      <c r="V117" s="33">
        <v>40</v>
      </c>
      <c r="W117" s="34" t="str">
        <f t="shared" si="26"/>
        <v>E</v>
      </c>
      <c r="X117" s="35">
        <v>18</v>
      </c>
      <c r="Y117" s="37" t="str">
        <f t="shared" si="27"/>
        <v>E</v>
      </c>
      <c r="Z117" s="35">
        <v>19</v>
      </c>
      <c r="AA117" s="37" t="str">
        <f t="shared" si="28"/>
        <v>E</v>
      </c>
      <c r="AB117" s="33">
        <v>30</v>
      </c>
      <c r="AC117" s="34" t="str">
        <f t="shared" si="29"/>
        <v>F</v>
      </c>
      <c r="AD117" s="35">
        <v>20</v>
      </c>
      <c r="AE117" s="34" t="str">
        <f t="shared" si="30"/>
        <v>E</v>
      </c>
      <c r="AF117" s="35">
        <v>41</v>
      </c>
      <c r="AG117" s="37" t="str">
        <f t="shared" si="31"/>
        <v>E</v>
      </c>
      <c r="AH117" s="4">
        <f>IF(OR(AND(D117&gt;=31,D117&lt;40),AND(H117&gt;=31,H117&lt;40),AND(N117&gt;=31,N117&lt;40),AND(R117&gt;=31,R117&lt;40),AND(V117&gt;=31,V117&lt;40),AND(AB117&gt;=31,AB117&lt;40)),IF(AND(OR(COUNTIF(D117:AG117,"=31")&gt;=1,COUNTIF(D117:AG117,"=32")&gt;=1,COUNTIF(D117:AG117,"=33")&gt;=1,COUNTIF(D117:AG117,"=34")&gt;=1,COUNTIF(D117:AG117,"=35")&gt;=1,COUNTIF(D117:AG117,"=36")&gt;=1 ),COUNTIF(D117:AG117,"")=0,COUNTIF(D117:AG117," ")=0,COUNTIF(D117:AG117,"F")=1),CONCATENATE(SUM(EXTRACTNUMBER(D117),EXTRACTNUMBER(F117),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EXTRACTNUMBER(AD117),EXTRACTNUMBER(AF117)),"*"),IF(AND(COUNTIF(D117:AG117,"=34")&gt;=1,COUNTIF(D117:AG117,"=35")&gt;=1,COUNTIF(D117:AG117,"f")=2,COUNTIF(D117:AG117,"")=0,COUNTIF(D117:AG117,"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EXTRACTNUMBER(AD117),EXTRACTNUMBER(AF117)),"*"),IF(AND(COUNTIF(D117:AG117,"=36")&gt;=2,COUNTIF(D117:AG117,"f")=2,COUNTIF(D117:AG117,"")=0,COUNTIF(D117:AG117,"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EXTRACTNUMBER(AD117),EXTRACTNUMBER(AF117)),"*"),SUM(EXTRACTNUMBER(D117),EXTRACTNUMBER(F117),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EXTRACTNUMBER(AD117),EXTRACTNUMBER(AF117))))),SUM(EXTRACTNUMBER(D117),EXTRACTNUMBER(F117),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EXTRACTNUMBER(AD117),EXTRACTNUMBER(AF117)))</f>
        <v>423</v>
      </c>
      <c r="AI117" s="38" t="str">
        <f t="shared" si="16"/>
        <v>FAIL</v>
      </c>
      <c r="AJ117" s="28" t="str">
        <f>spellnumber(EXTRACTnUMBER_TOT(AH117))</f>
        <v xml:space="preserve">Four Hundred Twenty Three </v>
      </c>
      <c r="AK117" s="9">
        <v>423</v>
      </c>
    </row>
    <row r="118" spans="2:37" ht="15" customHeight="1">
      <c r="B118" s="31">
        <v>223292</v>
      </c>
      <c r="C118" s="32" t="s">
        <v>250</v>
      </c>
      <c r="D118" s="33">
        <v>42</v>
      </c>
      <c r="E118" s="34" t="str">
        <f t="shared" si="18"/>
        <v/>
      </c>
      <c r="F118" s="35">
        <v>17</v>
      </c>
      <c r="G118" s="34" t="str">
        <f t="shared" si="19"/>
        <v/>
      </c>
      <c r="H118" s="36">
        <v>40</v>
      </c>
      <c r="I118" s="34" t="str">
        <f t="shared" si="20"/>
        <v/>
      </c>
      <c r="J118" s="35">
        <v>22</v>
      </c>
      <c r="K118" s="34" t="str">
        <f t="shared" si="21"/>
        <v/>
      </c>
      <c r="L118" s="35">
        <v>18</v>
      </c>
      <c r="M118" s="34" t="str">
        <f t="shared" si="22"/>
        <v/>
      </c>
      <c r="N118" s="36">
        <v>63</v>
      </c>
      <c r="O118" s="34" t="str">
        <f t="shared" si="17"/>
        <v/>
      </c>
      <c r="P118" s="35">
        <v>20</v>
      </c>
      <c r="Q118" s="37" t="str">
        <f t="shared" si="23"/>
        <v/>
      </c>
      <c r="R118" s="33">
        <v>51</v>
      </c>
      <c r="S118" s="34" t="str">
        <f t="shared" si="24"/>
        <v/>
      </c>
      <c r="T118" s="35">
        <v>23</v>
      </c>
      <c r="U118" s="37" t="str">
        <f t="shared" si="25"/>
        <v/>
      </c>
      <c r="V118" s="33">
        <v>50</v>
      </c>
      <c r="W118" s="34" t="str">
        <f t="shared" si="26"/>
        <v/>
      </c>
      <c r="X118" s="35">
        <v>21</v>
      </c>
      <c r="Y118" s="37" t="str">
        <f t="shared" si="27"/>
        <v/>
      </c>
      <c r="Z118" s="35">
        <v>22</v>
      </c>
      <c r="AA118" s="37" t="str">
        <f t="shared" si="28"/>
        <v/>
      </c>
      <c r="AB118" s="33">
        <v>43</v>
      </c>
      <c r="AC118" s="34" t="str">
        <f t="shared" si="29"/>
        <v/>
      </c>
      <c r="AD118" s="35">
        <v>23</v>
      </c>
      <c r="AE118" s="34" t="str">
        <f t="shared" si="30"/>
        <v/>
      </c>
      <c r="AF118" s="35">
        <v>38</v>
      </c>
      <c r="AG118" s="37" t="str">
        <f t="shared" si="31"/>
        <v/>
      </c>
      <c r="AH118" s="4">
        <f>IF(OR(AND(D118&gt;=31,D118&lt;40),AND(H118&gt;=31,H118&lt;40),AND(N118&gt;=31,N118&lt;40),AND(R118&gt;=31,R118&lt;40),AND(V118&gt;=31,V118&lt;40),AND(AB118&gt;=31,AB118&lt;40)),IF(AND(OR(COUNTIF(D118:AG118,"=31")&gt;=1,COUNTIF(D118:AG118,"=32")&gt;=1,COUNTIF(D118:AG118,"=33")&gt;=1,COUNTIF(D118:AG118,"=34")&gt;=1,COUNTIF(D118:AG118,"=35")&gt;=1,COUNTIF(D118:AG118,"=36")&gt;=1 ),COUNTIF(D118:AG118,"")=0,COUNTIF(D118:AG118," ")=0,COUNTIF(D118:AG118,"F")=1),CONCATENATE(SUM(EXTRACTNUMBER(D118),EXTRACTNUMBER(F118),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EXTRACTNUMBER(AD118),EXTRACTNUMBER(AF118)),"*"),IF(AND(COUNTIF(D118:AG118,"=34")&gt;=1,COUNTIF(D118:AG118,"=35")&gt;=1,COUNTIF(D118:AG118,"f")=2,COUNTIF(D118:AG118,"")=0,COUNTIF(D118:AG118,"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EXTRACTNUMBER(AD118),EXTRACTNUMBER(AF118)),"*"),IF(AND(COUNTIF(D118:AG118,"=36")&gt;=2,COUNTIF(D118:AG118,"f")=2,COUNTIF(D118:AG118,"")=0,COUNTIF(D118:AG118,"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EXTRACTNUMBER(AD118),EXTRACTNUMBER(AF118)),"*"),SUM(EXTRACTNUMBER(D118),EXTRACTNUMBER(F118),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EXTRACTNUMBER(AD118),EXTRACTNUMBER(AF118))))),SUM(EXTRACTNUMBER(D118),EXTRACTNUMBER(F118),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EXTRACTNUMBER(AD118),EXTRACTNUMBER(AF118)))</f>
        <v>493</v>
      </c>
      <c r="AI118" s="38" t="str">
        <f t="shared" si="16"/>
        <v>PASS</v>
      </c>
      <c r="AJ118" s="28" t="str">
        <f>spellnumber(EXTRACTnUMBER_TOT(AH118))</f>
        <v xml:space="preserve">Four Hundred NinetyThree </v>
      </c>
      <c r="AK118" s="9">
        <v>493</v>
      </c>
    </row>
    <row r="119" spans="2:37" ht="15" customHeight="1">
      <c r="B119" s="31">
        <v>223293</v>
      </c>
      <c r="C119" s="32" t="s">
        <v>251</v>
      </c>
      <c r="D119" s="33">
        <v>18</v>
      </c>
      <c r="E119" s="34" t="str">
        <f t="shared" si="18"/>
        <v>F</v>
      </c>
      <c r="F119" s="35">
        <v>16</v>
      </c>
      <c r="G119" s="34" t="str">
        <f t="shared" si="19"/>
        <v>E</v>
      </c>
      <c r="H119" s="36">
        <v>32</v>
      </c>
      <c r="I119" s="34" t="str">
        <f t="shared" si="20"/>
        <v>F</v>
      </c>
      <c r="J119" s="35">
        <v>19</v>
      </c>
      <c r="K119" s="34" t="str">
        <f t="shared" si="21"/>
        <v>E</v>
      </c>
      <c r="L119" s="35">
        <v>19</v>
      </c>
      <c r="M119" s="34" t="str">
        <f t="shared" si="22"/>
        <v>E</v>
      </c>
      <c r="N119" s="36">
        <v>40</v>
      </c>
      <c r="O119" s="34" t="str">
        <f t="shared" si="17"/>
        <v>E</v>
      </c>
      <c r="P119" s="35">
        <v>19</v>
      </c>
      <c r="Q119" s="37" t="str">
        <f t="shared" si="23"/>
        <v>E</v>
      </c>
      <c r="R119" s="33">
        <v>63</v>
      </c>
      <c r="S119" s="34" t="str">
        <f t="shared" si="24"/>
        <v>E</v>
      </c>
      <c r="T119" s="35">
        <v>20</v>
      </c>
      <c r="U119" s="37" t="str">
        <f t="shared" si="25"/>
        <v>E</v>
      </c>
      <c r="V119" s="33">
        <v>41</v>
      </c>
      <c r="W119" s="34" t="str">
        <f t="shared" si="26"/>
        <v>E</v>
      </c>
      <c r="X119" s="35">
        <v>17</v>
      </c>
      <c r="Y119" s="37" t="str">
        <f t="shared" si="27"/>
        <v>E</v>
      </c>
      <c r="Z119" s="35">
        <v>19</v>
      </c>
      <c r="AA119" s="37" t="str">
        <f t="shared" si="28"/>
        <v>E</v>
      </c>
      <c r="AB119" s="33">
        <v>59</v>
      </c>
      <c r="AC119" s="34" t="str">
        <f t="shared" si="29"/>
        <v>E</v>
      </c>
      <c r="AD119" s="35">
        <v>21</v>
      </c>
      <c r="AE119" s="34" t="str">
        <f t="shared" si="30"/>
        <v>E</v>
      </c>
      <c r="AF119" s="35">
        <v>40</v>
      </c>
      <c r="AG119" s="37" t="str">
        <f t="shared" si="31"/>
        <v>E</v>
      </c>
      <c r="AH119" s="4">
        <f>IF(OR(AND(D119&gt;=31,D119&lt;40),AND(H119&gt;=31,H119&lt;40),AND(N119&gt;=31,N119&lt;40),AND(R119&gt;=31,R119&lt;40),AND(V119&gt;=31,V119&lt;40),AND(AB119&gt;=31,AB119&lt;40)),IF(AND(OR(COUNTIF(D119:AG119,"=31")&gt;=1,COUNTIF(D119:AG119,"=32")&gt;=1,COUNTIF(D119:AG119,"=33")&gt;=1,COUNTIF(D119:AG119,"=34")&gt;=1,COUNTIF(D119:AG119,"=35")&gt;=1,COUNTIF(D119:AG119,"=36")&gt;=1 ),COUNTIF(D119:AG119,"")=0,COUNTIF(D119:AG119," ")=0,COUNTIF(D119:AG119,"F")=1),CONCATENATE(SUM(EXTRACTNUMBER(D119),EXTRACTNUMBER(F119),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EXTRACTNUMBER(AD119),EXTRACTNUMBER(AF119)),"*"),IF(AND(COUNTIF(D119:AG119,"=34")&gt;=1,COUNTIF(D119:AG119,"=35")&gt;=1,COUNTIF(D119:AG119,"f")=2,COUNTIF(D119:AG119,"")=0,COUNTIF(D119:AG119,"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EXTRACTNUMBER(AD119),EXTRACTNUMBER(AF119)),"*"),IF(AND(COUNTIF(D119:AG119,"=36")&gt;=2,COUNTIF(D119:AG119,"f")=2,COUNTIF(D119:AG119,"")=0,COUNTIF(D119:AG119,"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EXTRACTNUMBER(AD119),EXTRACTNUMBER(AF119)),"*"),SUM(EXTRACTNUMBER(D119),EXTRACTNUMBER(F119),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EXTRACTNUMBER(AD119),EXTRACTNUMBER(AF119))))),SUM(EXTRACTNUMBER(D119),EXTRACTNUMBER(F119),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EXTRACTNUMBER(AD119),EXTRACTNUMBER(AF119)))</f>
        <v>443</v>
      </c>
      <c r="AI119" s="38" t="str">
        <f t="shared" si="16"/>
        <v>FAIL</v>
      </c>
      <c r="AJ119" s="28" t="str">
        <f>spellnumber(EXTRACTnUMBER_TOT(AH119))</f>
        <v xml:space="preserve">Four Hundred Forty Three </v>
      </c>
      <c r="AK119" s="9">
        <v>443</v>
      </c>
    </row>
    <row r="120" spans="2:37" ht="15" customHeight="1">
      <c r="B120" s="31">
        <v>223294</v>
      </c>
      <c r="C120" s="32" t="s">
        <v>252</v>
      </c>
      <c r="D120" s="33">
        <v>27</v>
      </c>
      <c r="E120" s="34" t="str">
        <f t="shared" si="18"/>
        <v>F</v>
      </c>
      <c r="F120" s="35">
        <v>24</v>
      </c>
      <c r="G120" s="34" t="str">
        <f t="shared" si="19"/>
        <v>E</v>
      </c>
      <c r="H120" s="36">
        <v>54</v>
      </c>
      <c r="I120" s="34" t="str">
        <f t="shared" si="20"/>
        <v>E</v>
      </c>
      <c r="J120" s="35">
        <v>24</v>
      </c>
      <c r="K120" s="34" t="str">
        <f t="shared" si="21"/>
        <v>E</v>
      </c>
      <c r="L120" s="35">
        <v>19</v>
      </c>
      <c r="M120" s="34" t="str">
        <f t="shared" si="22"/>
        <v>E</v>
      </c>
      <c r="N120" s="36">
        <v>67</v>
      </c>
      <c r="O120" s="34" t="str">
        <f t="shared" si="17"/>
        <v>E</v>
      </c>
      <c r="P120" s="35">
        <v>24</v>
      </c>
      <c r="Q120" s="37" t="str">
        <f t="shared" si="23"/>
        <v>E</v>
      </c>
      <c r="R120" s="33">
        <v>46</v>
      </c>
      <c r="S120" s="34" t="str">
        <f t="shared" si="24"/>
        <v>E</v>
      </c>
      <c r="T120" s="35">
        <v>24</v>
      </c>
      <c r="U120" s="37" t="str">
        <f t="shared" si="25"/>
        <v>E</v>
      </c>
      <c r="V120" s="33">
        <v>54</v>
      </c>
      <c r="W120" s="34" t="str">
        <f t="shared" si="26"/>
        <v>E</v>
      </c>
      <c r="X120" s="35">
        <v>23</v>
      </c>
      <c r="Y120" s="37" t="str">
        <f t="shared" si="27"/>
        <v>E</v>
      </c>
      <c r="Z120" s="35">
        <v>23</v>
      </c>
      <c r="AA120" s="37" t="str">
        <f t="shared" si="28"/>
        <v>E</v>
      </c>
      <c r="AB120" s="33">
        <v>51</v>
      </c>
      <c r="AC120" s="34" t="str">
        <f t="shared" si="29"/>
        <v>E</v>
      </c>
      <c r="AD120" s="35">
        <v>23</v>
      </c>
      <c r="AE120" s="34" t="str">
        <f t="shared" si="30"/>
        <v>E</v>
      </c>
      <c r="AF120" s="35">
        <v>44</v>
      </c>
      <c r="AG120" s="37" t="str">
        <f t="shared" si="31"/>
        <v>E</v>
      </c>
      <c r="AH120" s="4">
        <f>IF(OR(AND(D120&gt;=31,D120&lt;40),AND(H120&gt;=31,H120&lt;40),AND(N120&gt;=31,N120&lt;40),AND(R120&gt;=31,R120&lt;40),AND(V120&gt;=31,V120&lt;40),AND(AB120&gt;=31,AB120&lt;40)),IF(AND(OR(COUNTIF(D120:AG120,"=31")&gt;=1,COUNTIF(D120:AG120,"=32")&gt;=1,COUNTIF(D120:AG120,"=33")&gt;=1,COUNTIF(D120:AG120,"=34")&gt;=1,COUNTIF(D120:AG120,"=35")&gt;=1,COUNTIF(D120:AG120,"=36")&gt;=1 ),COUNTIF(D120:AG120,"")=0,COUNTIF(D120:AG120," ")=0,COUNTIF(D120:AG120,"F")=1),CONCATENATE(SUM(EXTRACTNUMBER(D120),EXTRACTNUMBER(F120),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EXTRACTNUMBER(AD120),EXTRACTNUMBER(AF120)),"*"),IF(AND(COUNTIF(D120:AG120,"=34")&gt;=1,COUNTIF(D120:AG120,"=35")&gt;=1,COUNTIF(D120:AG120,"f")=2,COUNTIF(D120:AG120,"")=0,COUNTIF(D120:AG120,"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EXTRACTNUMBER(AD120),EXTRACTNUMBER(AF120)),"*"),IF(AND(COUNTIF(D120:AG120,"=36")&gt;=2,COUNTIF(D120:AG120,"f")=2,COUNTIF(D120:AG120,"")=0,COUNTIF(D120:AG120,"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EXTRACTNUMBER(AD120),EXTRACTNUMBER(AF120)),"*"),SUM(EXTRACTNUMBER(D120),EXTRACTNUMBER(F120),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EXTRACTNUMBER(AD120),EXTRACTNUMBER(AF120))))),SUM(EXTRACTNUMBER(D120),EXTRACTNUMBER(F120),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EXTRACTNUMBER(AD120),EXTRACTNUMBER(AF120)))</f>
        <v>527</v>
      </c>
      <c r="AI120" s="38" t="str">
        <f t="shared" si="16"/>
        <v>FAIL</v>
      </c>
      <c r="AJ120" s="28" t="str">
        <f>spellnumber(EXTRACTnUMBER_TOT(AH120))</f>
        <v xml:space="preserve">Five Hundred Twenty Seven </v>
      </c>
      <c r="AK120" s="9">
        <v>527</v>
      </c>
    </row>
    <row r="121" spans="2:37" ht="15" customHeight="1">
      <c r="B121" s="31">
        <v>223295</v>
      </c>
      <c r="C121" s="32" t="s">
        <v>253</v>
      </c>
      <c r="D121" s="33">
        <v>18</v>
      </c>
      <c r="E121" s="34" t="str">
        <f t="shared" si="18"/>
        <v>F</v>
      </c>
      <c r="F121" s="35">
        <v>16</v>
      </c>
      <c r="G121" s="34" t="str">
        <f t="shared" si="19"/>
        <v>E</v>
      </c>
      <c r="H121" s="36">
        <v>62</v>
      </c>
      <c r="I121" s="34" t="str">
        <f t="shared" si="20"/>
        <v>E</v>
      </c>
      <c r="J121" s="35">
        <v>20</v>
      </c>
      <c r="K121" s="34" t="str">
        <f t="shared" si="21"/>
        <v>E</v>
      </c>
      <c r="L121" s="35">
        <v>18</v>
      </c>
      <c r="M121" s="34" t="str">
        <f t="shared" si="22"/>
        <v>E</v>
      </c>
      <c r="N121" s="36">
        <v>59</v>
      </c>
      <c r="O121" s="34" t="str">
        <f t="shared" si="17"/>
        <v>E</v>
      </c>
      <c r="P121" s="35">
        <v>20</v>
      </c>
      <c r="Q121" s="37" t="str">
        <f t="shared" si="23"/>
        <v>E</v>
      </c>
      <c r="R121" s="33">
        <v>62</v>
      </c>
      <c r="S121" s="34" t="str">
        <f t="shared" si="24"/>
        <v>E</v>
      </c>
      <c r="T121" s="35">
        <v>21</v>
      </c>
      <c r="U121" s="37" t="str">
        <f t="shared" si="25"/>
        <v>E</v>
      </c>
      <c r="V121" s="33">
        <v>42</v>
      </c>
      <c r="W121" s="34" t="str">
        <f t="shared" si="26"/>
        <v>E</v>
      </c>
      <c r="X121" s="35">
        <v>18</v>
      </c>
      <c r="Y121" s="37" t="str">
        <f t="shared" si="27"/>
        <v>E</v>
      </c>
      <c r="Z121" s="35">
        <v>19</v>
      </c>
      <c r="AA121" s="37" t="str">
        <f t="shared" si="28"/>
        <v>E</v>
      </c>
      <c r="AB121" s="33">
        <v>56</v>
      </c>
      <c r="AC121" s="34" t="str">
        <f t="shared" si="29"/>
        <v>E</v>
      </c>
      <c r="AD121" s="35">
        <v>22</v>
      </c>
      <c r="AE121" s="34" t="str">
        <f t="shared" si="30"/>
        <v>E</v>
      </c>
      <c r="AF121" s="35">
        <v>40</v>
      </c>
      <c r="AG121" s="37" t="str">
        <f t="shared" si="31"/>
        <v>E</v>
      </c>
      <c r="AH121" s="4">
        <f>IF(OR(AND(D121&gt;=31,D121&lt;40),AND(H121&gt;=31,H121&lt;40),AND(N121&gt;=31,N121&lt;40),AND(R121&gt;=31,R121&lt;40),AND(V121&gt;=31,V121&lt;40),AND(AB121&gt;=31,AB121&lt;40)),IF(AND(OR(COUNTIF(D121:AG121,"=31")&gt;=1,COUNTIF(D121:AG121,"=32")&gt;=1,COUNTIF(D121:AG121,"=33")&gt;=1,COUNTIF(D121:AG121,"=34")&gt;=1,COUNTIF(D121:AG121,"=35")&gt;=1,COUNTIF(D121:AG121,"=36")&gt;=1 ),COUNTIF(D121:AG121,"")=0,COUNTIF(D121:AG121," ")=0,COUNTIF(D121:AG121,"F")=1),CONCATENATE(SUM(EXTRACTNUMBER(D121),EXTRACTNUMBER(F121),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EXTRACTNUMBER(AD121),EXTRACTNUMBER(AF121)),"*"),IF(AND(COUNTIF(D121:AG121,"=34")&gt;=1,COUNTIF(D121:AG121,"=35")&gt;=1,COUNTIF(D121:AG121,"f")=2,COUNTIF(D121:AG121,"")=0,COUNTIF(D121:AG121,"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EXTRACTNUMBER(AD121),EXTRACTNUMBER(AF121)),"*"),IF(AND(COUNTIF(D121:AG121,"=36")&gt;=2,COUNTIF(D121:AG121,"f")=2,COUNTIF(D121:AG121,"")=0,COUNTIF(D121:AG121,"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EXTRACTNUMBER(AD121),EXTRACTNUMBER(AF121)),"*"),SUM(EXTRACTNUMBER(D121),EXTRACTNUMBER(F121),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EXTRACTNUMBER(AD121),EXTRACTNUMBER(AF121))))),SUM(EXTRACTNUMBER(D121),EXTRACTNUMBER(F121),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EXTRACTNUMBER(AD121),EXTRACTNUMBER(AF121)))</f>
        <v>493</v>
      </c>
      <c r="AI121" s="38" t="str">
        <f t="shared" si="16"/>
        <v>FAIL</v>
      </c>
      <c r="AJ121" s="28" t="str">
        <f>spellnumber(EXTRACTnUMBER_TOT(AH121))</f>
        <v xml:space="preserve">Four Hundred NinetyThree </v>
      </c>
      <c r="AK121" s="9">
        <v>493</v>
      </c>
    </row>
    <row r="122" spans="2:37" ht="15" customHeight="1">
      <c r="B122" s="31">
        <v>223296</v>
      </c>
      <c r="C122" s="32" t="s">
        <v>254</v>
      </c>
      <c r="D122" s="33">
        <v>40</v>
      </c>
      <c r="E122" s="34"/>
      <c r="F122" s="35">
        <v>16</v>
      </c>
      <c r="G122" s="34"/>
      <c r="H122" s="36">
        <v>48</v>
      </c>
      <c r="I122" s="34"/>
      <c r="J122" s="35">
        <v>20</v>
      </c>
      <c r="K122" s="34"/>
      <c r="L122" s="35">
        <v>18</v>
      </c>
      <c r="M122" s="34"/>
      <c r="N122" s="36">
        <v>47</v>
      </c>
      <c r="O122" s="34"/>
      <c r="P122" s="35">
        <v>20</v>
      </c>
      <c r="Q122" s="37"/>
      <c r="R122" s="33" t="s">
        <v>462</v>
      </c>
      <c r="S122" s="34"/>
      <c r="T122" s="35">
        <v>23</v>
      </c>
      <c r="U122" s="37"/>
      <c r="V122" s="33">
        <v>40</v>
      </c>
      <c r="W122" s="34"/>
      <c r="X122" s="35">
        <v>18</v>
      </c>
      <c r="Y122" s="37"/>
      <c r="Z122" s="35">
        <v>18</v>
      </c>
      <c r="AA122" s="37"/>
      <c r="AB122" s="33">
        <v>40</v>
      </c>
      <c r="AC122" s="34"/>
      <c r="AD122" s="35">
        <v>18</v>
      </c>
      <c r="AE122" s="34"/>
      <c r="AF122" s="35">
        <v>34</v>
      </c>
      <c r="AG122" s="37"/>
      <c r="AH122" s="4" t="s">
        <v>463</v>
      </c>
      <c r="AI122" s="38" t="str">
        <f t="shared" si="16"/>
        <v>PASS</v>
      </c>
      <c r="AJ122" s="28" t="str">
        <f>spellnumber(EXTRACTnUMBER_TOT(AH122))</f>
        <v xml:space="preserve">Four Hundred Thirty Three </v>
      </c>
      <c r="AK122" s="9">
        <v>426</v>
      </c>
    </row>
    <row r="123" spans="2:37" ht="15" customHeight="1">
      <c r="B123" s="31">
        <v>223297</v>
      </c>
      <c r="C123" s="32" t="s">
        <v>255</v>
      </c>
      <c r="D123" s="33">
        <v>40</v>
      </c>
      <c r="E123" s="34" t="str">
        <f t="shared" si="18"/>
        <v/>
      </c>
      <c r="F123" s="35">
        <v>17</v>
      </c>
      <c r="G123" s="34" t="str">
        <f t="shared" si="19"/>
        <v/>
      </c>
      <c r="H123" s="36">
        <v>64</v>
      </c>
      <c r="I123" s="34" t="str">
        <f t="shared" si="20"/>
        <v/>
      </c>
      <c r="J123" s="35">
        <v>21</v>
      </c>
      <c r="K123" s="34" t="str">
        <f t="shared" si="21"/>
        <v/>
      </c>
      <c r="L123" s="35">
        <v>17</v>
      </c>
      <c r="M123" s="34" t="str">
        <f t="shared" si="22"/>
        <v/>
      </c>
      <c r="N123" s="36">
        <v>69</v>
      </c>
      <c r="O123" s="34" t="str">
        <f t="shared" si="17"/>
        <v/>
      </c>
      <c r="P123" s="35">
        <v>18</v>
      </c>
      <c r="Q123" s="37" t="str">
        <f t="shared" si="23"/>
        <v/>
      </c>
      <c r="R123" s="33">
        <v>48</v>
      </c>
      <c r="S123" s="34" t="str">
        <f t="shared" si="24"/>
        <v/>
      </c>
      <c r="T123" s="35">
        <v>23</v>
      </c>
      <c r="U123" s="37" t="str">
        <f t="shared" si="25"/>
        <v/>
      </c>
      <c r="V123" s="33">
        <v>52</v>
      </c>
      <c r="W123" s="34" t="str">
        <f t="shared" si="26"/>
        <v/>
      </c>
      <c r="X123" s="35">
        <v>19</v>
      </c>
      <c r="Y123" s="37" t="str">
        <f t="shared" si="27"/>
        <v/>
      </c>
      <c r="Z123" s="35">
        <v>18</v>
      </c>
      <c r="AA123" s="37" t="str">
        <f t="shared" si="28"/>
        <v/>
      </c>
      <c r="AB123" s="33">
        <v>40</v>
      </c>
      <c r="AC123" s="34" t="str">
        <f t="shared" si="29"/>
        <v/>
      </c>
      <c r="AD123" s="35">
        <v>20</v>
      </c>
      <c r="AE123" s="34" t="str">
        <f t="shared" si="30"/>
        <v/>
      </c>
      <c r="AF123" s="35">
        <v>37</v>
      </c>
      <c r="AG123" s="37" t="str">
        <f t="shared" si="31"/>
        <v/>
      </c>
      <c r="AH123" s="4">
        <f>IF(OR(AND(D123&gt;=31,D123&lt;40),AND(H123&gt;=31,H123&lt;40),AND(N123&gt;=31,N123&lt;40),AND(R123&gt;=31,R123&lt;40),AND(V123&gt;=31,V123&lt;40),AND(AB123&gt;=31,AB123&lt;40)),IF(AND(OR(COUNTIF(D123:AG123,"=31")&gt;=1,COUNTIF(D123:AG123,"=32")&gt;=1,COUNTIF(D123:AG123,"=33")&gt;=1,COUNTIF(D123:AG123,"=34")&gt;=1,COUNTIF(D123:AG123,"=35")&gt;=1,COUNTIF(D123:AG123,"=36")&gt;=1 ),COUNTIF(D123:AG123,"")=0,COUNTIF(D123:AG123," ")=0,COUNTIF(D123:AG123,"F")=1),CONCATENATE(SUM(EXTRACTNUMBER(D123),EXTRACTNUMBER(F123),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EXTRACTNUMBER(AD123),EXTRACTNUMBER(AF123)),"*"),IF(AND(COUNTIF(D123:AG123,"=34")&gt;=1,COUNTIF(D123:AG123,"=35")&gt;=1,COUNTIF(D123:AG123,"f")=2,COUNTIF(D123:AG123,"")=0,COUNTIF(D123:AG123,"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EXTRACTNUMBER(AD123),EXTRACTNUMBER(AF123)),"*"),IF(AND(COUNTIF(D123:AG123,"=36")&gt;=2,COUNTIF(D123:AG123,"f")=2,COUNTIF(D123:AG123,"")=0,COUNTIF(D123:AG123,"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EXTRACTNUMBER(AD123),EXTRACTNUMBER(AF123)),"*"),SUM(EXTRACTNUMBER(D123),EXTRACTNUMBER(F123),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EXTRACTNUMBER(AD123),EXTRACTNUMBER(AF123))))),SUM(EXTRACTNUMBER(D123),EXTRACTNUMBER(F123),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EXTRACTNUMBER(AD123),EXTRACTNUMBER(AF123)))</f>
        <v>503</v>
      </c>
      <c r="AI123" s="38" t="str">
        <f t="shared" si="16"/>
        <v>PASS</v>
      </c>
      <c r="AJ123" s="28" t="str">
        <f>spellnumber(EXTRACTnUMBER_TOT(AH123))</f>
        <v xml:space="preserve">Five Hundred Three </v>
      </c>
      <c r="AK123" s="9">
        <v>503</v>
      </c>
    </row>
    <row r="124" spans="2:37" ht="15" customHeight="1">
      <c r="B124" s="31">
        <v>223298</v>
      </c>
      <c r="C124" s="32" t="s">
        <v>256</v>
      </c>
      <c r="D124" s="33">
        <v>52</v>
      </c>
      <c r="E124" s="34" t="str">
        <f t="shared" si="18"/>
        <v/>
      </c>
      <c r="F124" s="35">
        <v>18</v>
      </c>
      <c r="G124" s="34" t="str">
        <f t="shared" si="19"/>
        <v/>
      </c>
      <c r="H124" s="36">
        <v>83</v>
      </c>
      <c r="I124" s="34" t="str">
        <f t="shared" si="20"/>
        <v/>
      </c>
      <c r="J124" s="35">
        <v>20</v>
      </c>
      <c r="K124" s="34" t="str">
        <f t="shared" si="21"/>
        <v/>
      </c>
      <c r="L124" s="35">
        <v>20</v>
      </c>
      <c r="M124" s="34" t="str">
        <f t="shared" si="22"/>
        <v/>
      </c>
      <c r="N124" s="36">
        <v>90</v>
      </c>
      <c r="O124" s="34" t="str">
        <f t="shared" si="17"/>
        <v/>
      </c>
      <c r="P124" s="35">
        <v>23</v>
      </c>
      <c r="Q124" s="37" t="str">
        <f t="shared" si="23"/>
        <v/>
      </c>
      <c r="R124" s="33">
        <v>80</v>
      </c>
      <c r="S124" s="34" t="str">
        <f t="shared" si="24"/>
        <v/>
      </c>
      <c r="T124" s="35">
        <v>21</v>
      </c>
      <c r="U124" s="37" t="str">
        <f t="shared" si="25"/>
        <v/>
      </c>
      <c r="V124" s="33">
        <v>67</v>
      </c>
      <c r="W124" s="34" t="str">
        <f t="shared" si="26"/>
        <v/>
      </c>
      <c r="X124" s="35">
        <v>23</v>
      </c>
      <c r="Y124" s="37" t="str">
        <f t="shared" si="27"/>
        <v/>
      </c>
      <c r="Z124" s="35">
        <v>23</v>
      </c>
      <c r="AA124" s="37" t="str">
        <f t="shared" si="28"/>
        <v/>
      </c>
      <c r="AB124" s="33">
        <v>59</v>
      </c>
      <c r="AC124" s="34" t="str">
        <f t="shared" si="29"/>
        <v/>
      </c>
      <c r="AD124" s="35">
        <v>22</v>
      </c>
      <c r="AE124" s="34" t="str">
        <f t="shared" si="30"/>
        <v/>
      </c>
      <c r="AF124" s="35">
        <v>42</v>
      </c>
      <c r="AG124" s="37" t="str">
        <f t="shared" si="31"/>
        <v/>
      </c>
      <c r="AH124" s="4">
        <f>IF(OR(AND(D124&gt;=31,D124&lt;40),AND(H124&gt;=31,H124&lt;40),AND(N124&gt;=31,N124&lt;40),AND(R124&gt;=31,R124&lt;40),AND(V124&gt;=31,V124&lt;40),AND(AB124&gt;=31,AB124&lt;40)),IF(AND(OR(COUNTIF(D124:AG124,"=31")&gt;=1,COUNTIF(D124:AG124,"=32")&gt;=1,COUNTIF(D124:AG124,"=33")&gt;=1,COUNTIF(D124:AG124,"=34")&gt;=1,COUNTIF(D124:AG124,"=35")&gt;=1,COUNTIF(D124:AG124,"=36")&gt;=1 ),COUNTIF(D124:AG124,"")=0,COUNTIF(D124:AG124," ")=0,COUNTIF(D124:AG124,"F")=1),CONCATENATE(SUM(EXTRACTNUMBER(D124),EXTRACTNUMBER(F124),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EXTRACTNUMBER(AD124),EXTRACTNUMBER(AF124)),"*"),IF(AND(COUNTIF(D124:AG124,"=34")&gt;=1,COUNTIF(D124:AG124,"=35")&gt;=1,COUNTIF(D124:AG124,"f")=2,COUNTIF(D124:AG124,"")=0,COUNTIF(D124:AG124,"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EXTRACTNUMBER(AD124),EXTRACTNUMBER(AF124)),"*"),IF(AND(COUNTIF(D124:AG124,"=36")&gt;=2,COUNTIF(D124:AG124,"f")=2,COUNTIF(D124:AG124,"")=0,COUNTIF(D124:AG124,"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EXTRACTNUMBER(AD124),EXTRACTNUMBER(AF124)),"*"),SUM(EXTRACTNUMBER(D124),EXTRACTNUMBER(F124),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EXTRACTNUMBER(AD124),EXTRACTNUMBER(AF124))))),SUM(EXTRACTNUMBER(D124),EXTRACTNUMBER(F124),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EXTRACTNUMBER(AD124),EXTRACTNUMBER(AF124)))</f>
        <v>643</v>
      </c>
      <c r="AI124" s="38" t="str">
        <f t="shared" si="16"/>
        <v>PASS</v>
      </c>
      <c r="AJ124" s="28" t="str">
        <f>spellnumber(EXTRACTnUMBER_TOT(AH124))</f>
        <v xml:space="preserve">Six Hundred Forty Three </v>
      </c>
      <c r="AK124" s="9">
        <v>643</v>
      </c>
    </row>
    <row r="125" spans="2:37" ht="15" customHeight="1">
      <c r="B125" s="31">
        <v>223299</v>
      </c>
      <c r="C125" s="32" t="s">
        <v>257</v>
      </c>
      <c r="D125" s="33">
        <v>45</v>
      </c>
      <c r="E125" s="34" t="str">
        <f t="shared" si="18"/>
        <v/>
      </c>
      <c r="F125" s="35">
        <v>23</v>
      </c>
      <c r="G125" s="34" t="str">
        <f t="shared" si="19"/>
        <v/>
      </c>
      <c r="H125" s="36">
        <v>62</v>
      </c>
      <c r="I125" s="34" t="str">
        <f t="shared" si="20"/>
        <v/>
      </c>
      <c r="J125" s="35">
        <v>23</v>
      </c>
      <c r="K125" s="34" t="str">
        <f t="shared" si="21"/>
        <v/>
      </c>
      <c r="L125" s="35">
        <v>18</v>
      </c>
      <c r="M125" s="34" t="str">
        <f t="shared" si="22"/>
        <v/>
      </c>
      <c r="N125" s="36">
        <v>69</v>
      </c>
      <c r="O125" s="34" t="str">
        <f t="shared" si="17"/>
        <v/>
      </c>
      <c r="P125" s="35">
        <v>24</v>
      </c>
      <c r="Q125" s="37" t="str">
        <f t="shared" si="23"/>
        <v/>
      </c>
      <c r="R125" s="33">
        <v>62</v>
      </c>
      <c r="S125" s="34" t="str">
        <f t="shared" si="24"/>
        <v/>
      </c>
      <c r="T125" s="35">
        <v>23</v>
      </c>
      <c r="U125" s="37" t="str">
        <f t="shared" si="25"/>
        <v/>
      </c>
      <c r="V125" s="33">
        <v>60</v>
      </c>
      <c r="W125" s="34" t="str">
        <f t="shared" si="26"/>
        <v/>
      </c>
      <c r="X125" s="35">
        <v>19</v>
      </c>
      <c r="Y125" s="37" t="str">
        <f t="shared" si="27"/>
        <v/>
      </c>
      <c r="Z125" s="35">
        <v>20</v>
      </c>
      <c r="AA125" s="37" t="str">
        <f t="shared" si="28"/>
        <v/>
      </c>
      <c r="AB125" s="33">
        <v>52</v>
      </c>
      <c r="AC125" s="34" t="str">
        <f t="shared" si="29"/>
        <v/>
      </c>
      <c r="AD125" s="35">
        <v>23</v>
      </c>
      <c r="AE125" s="34" t="str">
        <f t="shared" si="30"/>
        <v/>
      </c>
      <c r="AF125" s="35">
        <v>39</v>
      </c>
      <c r="AG125" s="37" t="str">
        <f t="shared" si="31"/>
        <v/>
      </c>
      <c r="AH125" s="4">
        <f>IF(OR(AND(D125&gt;=31,D125&lt;40),AND(H125&gt;=31,H125&lt;40),AND(N125&gt;=31,N125&lt;40),AND(R125&gt;=31,R125&lt;40),AND(V125&gt;=31,V125&lt;40),AND(AB125&gt;=31,AB125&lt;40)),IF(AND(OR(COUNTIF(D125:AG125,"=31")&gt;=1,COUNTIF(D125:AG125,"=32")&gt;=1,COUNTIF(D125:AG125,"=33")&gt;=1,COUNTIF(D125:AG125,"=34")&gt;=1,COUNTIF(D125:AG125,"=35")&gt;=1,COUNTIF(D125:AG125,"=36")&gt;=1 ),COUNTIF(D125:AG125,"")=0,COUNTIF(D125:AG125," ")=0,COUNTIF(D125:AG125,"F")=1),CONCATENATE(SUM(EXTRACTNUMBER(D125),EXTRACTNUMBER(F125),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EXTRACTNUMBER(AD125),EXTRACTNUMBER(AF125)),"*"),IF(AND(COUNTIF(D125:AG125,"=34")&gt;=1,COUNTIF(D125:AG125,"=35")&gt;=1,COUNTIF(D125:AG125,"f")=2,COUNTIF(D125:AG125,"")=0,COUNTIF(D125:AG125,"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EXTRACTNUMBER(AD125),EXTRACTNUMBER(AF125)),"*"),IF(AND(COUNTIF(D125:AG125,"=36")&gt;=2,COUNTIF(D125:AG125,"f")=2,COUNTIF(D125:AG125,"")=0,COUNTIF(D125:AG125,"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EXTRACTNUMBER(AD125),EXTRACTNUMBER(AF125)),"*"),SUM(EXTRACTNUMBER(D125),EXTRACTNUMBER(F125),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EXTRACTNUMBER(AD125),EXTRACTNUMBER(AF125))))),SUM(EXTRACTNUMBER(D125),EXTRACTNUMBER(F125),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EXTRACTNUMBER(AD125),EXTRACTNUMBER(AF125)))</f>
        <v>562</v>
      </c>
      <c r="AI125" s="38" t="str">
        <f t="shared" si="16"/>
        <v>PASS</v>
      </c>
      <c r="AJ125" s="28" t="str">
        <f>spellnumber(EXTRACTnUMBER_TOT(AH125))</f>
        <v xml:space="preserve">Five Hundred Sixty Two </v>
      </c>
      <c r="AK125" s="9">
        <v>562</v>
      </c>
    </row>
    <row r="126" spans="2:37" ht="15" customHeight="1">
      <c r="B126" s="31">
        <v>223300</v>
      </c>
      <c r="C126" s="39" t="s">
        <v>258</v>
      </c>
      <c r="D126" s="33" t="s">
        <v>103</v>
      </c>
      <c r="E126" s="34" t="str">
        <f t="shared" si="18"/>
        <v/>
      </c>
      <c r="F126" s="35" t="s">
        <v>103</v>
      </c>
      <c r="G126" s="34" t="str">
        <f t="shared" si="19"/>
        <v/>
      </c>
      <c r="H126" s="36" t="s">
        <v>103</v>
      </c>
      <c r="I126" s="34" t="str">
        <f t="shared" si="20"/>
        <v/>
      </c>
      <c r="J126" s="35" t="s">
        <v>103</v>
      </c>
      <c r="K126" s="34" t="str">
        <f t="shared" si="21"/>
        <v/>
      </c>
      <c r="L126" s="35" t="s">
        <v>103</v>
      </c>
      <c r="M126" s="34" t="str">
        <f t="shared" si="22"/>
        <v/>
      </c>
      <c r="N126" s="36" t="s">
        <v>103</v>
      </c>
      <c r="O126" s="34" t="str">
        <f t="shared" si="17"/>
        <v/>
      </c>
      <c r="P126" s="35" t="s">
        <v>103</v>
      </c>
      <c r="Q126" s="37" t="str">
        <f t="shared" si="23"/>
        <v/>
      </c>
      <c r="R126" s="33" t="s">
        <v>103</v>
      </c>
      <c r="S126" s="34" t="str">
        <f t="shared" si="24"/>
        <v/>
      </c>
      <c r="T126" s="35" t="s">
        <v>103</v>
      </c>
      <c r="U126" s="37" t="str">
        <f t="shared" si="25"/>
        <v/>
      </c>
      <c r="V126" s="33" t="s">
        <v>103</v>
      </c>
      <c r="W126" s="34" t="str">
        <f t="shared" si="26"/>
        <v/>
      </c>
      <c r="X126" s="35" t="s">
        <v>103</v>
      </c>
      <c r="Y126" s="37" t="str">
        <f t="shared" si="27"/>
        <v/>
      </c>
      <c r="Z126" s="35" t="s">
        <v>103</v>
      </c>
      <c r="AA126" s="37" t="str">
        <f t="shared" si="28"/>
        <v/>
      </c>
      <c r="AB126" s="33" t="s">
        <v>103</v>
      </c>
      <c r="AC126" s="34" t="str">
        <f t="shared" si="29"/>
        <v/>
      </c>
      <c r="AD126" s="44" t="s">
        <v>103</v>
      </c>
      <c r="AE126" s="34" t="str">
        <f t="shared" si="30"/>
        <v/>
      </c>
      <c r="AF126" s="35" t="s">
        <v>103</v>
      </c>
      <c r="AG126" s="37" t="str">
        <f t="shared" si="31"/>
        <v/>
      </c>
      <c r="AH126" s="4">
        <f>IF(OR(AND(D126&gt;=31,D126&lt;40),AND(H126&gt;=31,H126&lt;40),AND(N126&gt;=31,N126&lt;40),AND(R126&gt;=31,R126&lt;40),AND(V126&gt;=31,V126&lt;40),AND(AB126&gt;=31,AB126&lt;40)),IF(AND(OR(COUNTIF(D126:AG126,"=31")&gt;=1,COUNTIF(D126:AG126,"=32")&gt;=1,COUNTIF(D126:AG126,"=33")&gt;=1,COUNTIF(D126:AG126,"=34")&gt;=1,COUNTIF(D126:AG126,"=35")&gt;=1,COUNTIF(D126:AG126,"=36")&gt;=1 ),COUNTIF(D126:AG126,"")=0,COUNTIF(D126:AG126," ")=0,COUNTIF(D126:AG126,"F")=1),CONCATENATE(SUM(EXTRACTNUMBER(D126),EXTRACTNUMBER(F126),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EXTRACTNUMBER(AD126),EXTRACTNUMBER(AF126)),"*"),IF(AND(COUNTIF(D126:AG126,"=34")&gt;=1,COUNTIF(D126:AG126,"=35")&gt;=1,COUNTIF(D126:AG126,"f")=2,COUNTIF(D126:AG126,"")=0,COUNTIF(D126:AG126,"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EXTRACTNUMBER(AD126),EXTRACTNUMBER(AF126)),"*"),IF(AND(COUNTIF(D126:AG126,"=36")&gt;=2,COUNTIF(D126:AG126,"f")=2,COUNTIF(D126:AG126,"")=0,COUNTIF(D126:AG126,"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EXTRACTNUMBER(AD126),EXTRACTNUMBER(AF126)),"*"),SUM(EXTRACTNUMBER(D126),EXTRACTNUMBER(F126),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EXTRACTNUMBER(AD126),EXTRACTNUMBER(AF126))))),SUM(EXTRACTNUMBER(D126),EXTRACTNUMBER(F126),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EXTRACTNUMBER(AD126),EXTRACTNUMBER(AF126)))</f>
        <v>0</v>
      </c>
      <c r="AI126" s="38" t="str">
        <f t="shared" si="16"/>
        <v>ABSENT</v>
      </c>
      <c r="AJ126" s="28" t="str">
        <f>spellnumber(EXTRACTnUMBER_TOT(AH126))</f>
        <v xml:space="preserve"> </v>
      </c>
      <c r="AK126" s="9">
        <v>20</v>
      </c>
    </row>
    <row r="127" spans="2:37" ht="15" customHeight="1">
      <c r="B127" s="31">
        <v>223301</v>
      </c>
      <c r="C127" s="32" t="s">
        <v>259</v>
      </c>
      <c r="D127" s="33">
        <v>27</v>
      </c>
      <c r="E127" s="34" t="str">
        <f t="shared" si="18"/>
        <v>F</v>
      </c>
      <c r="F127" s="35">
        <v>16</v>
      </c>
      <c r="G127" s="34" t="str">
        <f t="shared" si="19"/>
        <v>E</v>
      </c>
      <c r="H127" s="36">
        <v>40</v>
      </c>
      <c r="I127" s="34" t="str">
        <f t="shared" si="20"/>
        <v>E</v>
      </c>
      <c r="J127" s="35">
        <v>21</v>
      </c>
      <c r="K127" s="34" t="str">
        <f t="shared" si="21"/>
        <v>E</v>
      </c>
      <c r="L127" s="35">
        <v>17</v>
      </c>
      <c r="M127" s="34" t="str">
        <f t="shared" si="22"/>
        <v>E</v>
      </c>
      <c r="N127" s="36">
        <v>76</v>
      </c>
      <c r="O127" s="34" t="str">
        <f t="shared" si="17"/>
        <v>E</v>
      </c>
      <c r="P127" s="35">
        <v>20</v>
      </c>
      <c r="Q127" s="37" t="str">
        <f t="shared" si="23"/>
        <v>E</v>
      </c>
      <c r="R127" s="33">
        <v>71</v>
      </c>
      <c r="S127" s="34" t="str">
        <f t="shared" si="24"/>
        <v>E</v>
      </c>
      <c r="T127" s="35">
        <v>23</v>
      </c>
      <c r="U127" s="37" t="str">
        <f t="shared" si="25"/>
        <v>E</v>
      </c>
      <c r="V127" s="33">
        <v>58</v>
      </c>
      <c r="W127" s="34" t="str">
        <f t="shared" si="26"/>
        <v>E</v>
      </c>
      <c r="X127" s="35">
        <v>19</v>
      </c>
      <c r="Y127" s="37" t="str">
        <f t="shared" si="27"/>
        <v>E</v>
      </c>
      <c r="Z127" s="35">
        <v>19</v>
      </c>
      <c r="AA127" s="37" t="str">
        <f t="shared" si="28"/>
        <v>E</v>
      </c>
      <c r="AB127" s="33">
        <v>40</v>
      </c>
      <c r="AC127" s="34" t="str">
        <f t="shared" si="29"/>
        <v>E</v>
      </c>
      <c r="AD127" s="35">
        <v>22</v>
      </c>
      <c r="AE127" s="34" t="str">
        <f t="shared" si="30"/>
        <v>E</v>
      </c>
      <c r="AF127" s="35">
        <v>41</v>
      </c>
      <c r="AG127" s="37" t="str">
        <f t="shared" si="31"/>
        <v>E</v>
      </c>
      <c r="AH127" s="4">
        <f>IF(OR(AND(D127&gt;=31,D127&lt;40),AND(H127&gt;=31,H127&lt;40),AND(N127&gt;=31,N127&lt;40),AND(R127&gt;=31,R127&lt;40),AND(V127&gt;=31,V127&lt;40),AND(AB127&gt;=31,AB127&lt;40)),IF(AND(OR(COUNTIF(D127:AG127,"=31")&gt;=1,COUNTIF(D127:AG127,"=32")&gt;=1,COUNTIF(D127:AG127,"=33")&gt;=1,COUNTIF(D127:AG127,"=34")&gt;=1,COUNTIF(D127:AG127,"=35")&gt;=1,COUNTIF(D127:AG127,"=36")&gt;=1 ),COUNTIF(D127:AG127,"")=0,COUNTIF(D127:AG127," ")=0,COUNTIF(D127:AG127,"F")=1),CONCATENATE(SUM(EXTRACTNUMBER(D127),EXTRACTNUMBER(F127),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EXTRACTNUMBER(AD127),EXTRACTNUMBER(AF127)),"*"),IF(AND(COUNTIF(D127:AG127,"=34")&gt;=1,COUNTIF(D127:AG127,"=35")&gt;=1,COUNTIF(D127:AG127,"f")=2,COUNTIF(D127:AG127,"")=0,COUNTIF(D127:AG127,"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EXTRACTNUMBER(AD127),EXTRACTNUMBER(AF127)),"*"),IF(AND(COUNTIF(D127:AG127,"=36")&gt;=2,COUNTIF(D127:AG127,"f")=2,COUNTIF(D127:AG127,"")=0,COUNTIF(D127:AG127,"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EXTRACTNUMBER(AD127),EXTRACTNUMBER(AF127)),"*"),SUM(EXTRACTNUMBER(D127),EXTRACTNUMBER(F127),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EXTRACTNUMBER(AD127),EXTRACTNUMBER(AF127))))),SUM(EXTRACTNUMBER(D127),EXTRACTNUMBER(F127),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EXTRACTNUMBER(AD127),EXTRACTNUMBER(AF127)))</f>
        <v>510</v>
      </c>
      <c r="AI127" s="38" t="str">
        <f t="shared" si="16"/>
        <v>FAIL</v>
      </c>
      <c r="AJ127" s="28" t="str">
        <f>spellnumber(EXTRACTnUMBER_TOT(AH127))</f>
        <v xml:space="preserve">Five Hundred Ten </v>
      </c>
      <c r="AK127" s="9">
        <v>510</v>
      </c>
    </row>
    <row r="128" spans="2:37" ht="15" customHeight="1">
      <c r="B128" s="31">
        <v>223302</v>
      </c>
      <c r="C128" s="32" t="s">
        <v>260</v>
      </c>
      <c r="D128" s="33">
        <v>13</v>
      </c>
      <c r="E128" s="34" t="str">
        <f t="shared" si="18"/>
        <v>F</v>
      </c>
      <c r="F128" s="35">
        <v>15</v>
      </c>
      <c r="G128" s="34" t="str">
        <f t="shared" si="19"/>
        <v>E</v>
      </c>
      <c r="H128" s="36">
        <v>66</v>
      </c>
      <c r="I128" s="34" t="str">
        <f t="shared" si="20"/>
        <v>E</v>
      </c>
      <c r="J128" s="35">
        <v>21</v>
      </c>
      <c r="K128" s="34" t="str">
        <f t="shared" si="21"/>
        <v>E</v>
      </c>
      <c r="L128" s="35">
        <v>17</v>
      </c>
      <c r="M128" s="34" t="str">
        <f t="shared" si="22"/>
        <v>E</v>
      </c>
      <c r="N128" s="36">
        <v>42</v>
      </c>
      <c r="O128" s="34" t="str">
        <f t="shared" si="17"/>
        <v>E</v>
      </c>
      <c r="P128" s="35">
        <v>20</v>
      </c>
      <c r="Q128" s="37" t="str">
        <f t="shared" si="23"/>
        <v>E</v>
      </c>
      <c r="R128" s="33">
        <v>51</v>
      </c>
      <c r="S128" s="34" t="str">
        <f t="shared" si="24"/>
        <v>E</v>
      </c>
      <c r="T128" s="35">
        <v>21</v>
      </c>
      <c r="U128" s="37" t="str">
        <f t="shared" si="25"/>
        <v>E</v>
      </c>
      <c r="V128" s="33">
        <v>49</v>
      </c>
      <c r="W128" s="34" t="str">
        <f t="shared" si="26"/>
        <v>E</v>
      </c>
      <c r="X128" s="35">
        <v>18</v>
      </c>
      <c r="Y128" s="37" t="str">
        <f t="shared" si="27"/>
        <v>E</v>
      </c>
      <c r="Z128" s="35">
        <v>19</v>
      </c>
      <c r="AA128" s="37" t="str">
        <f t="shared" si="28"/>
        <v>E</v>
      </c>
      <c r="AB128" s="33">
        <v>52</v>
      </c>
      <c r="AC128" s="34" t="str">
        <f t="shared" si="29"/>
        <v>E</v>
      </c>
      <c r="AD128" s="35">
        <v>21</v>
      </c>
      <c r="AE128" s="34" t="str">
        <f t="shared" si="30"/>
        <v>E</v>
      </c>
      <c r="AF128" s="35">
        <v>40</v>
      </c>
      <c r="AG128" s="37" t="str">
        <f t="shared" si="31"/>
        <v>E</v>
      </c>
      <c r="AH128" s="4">
        <f>IF(OR(AND(D128&gt;=31,D128&lt;40),AND(H128&gt;=31,H128&lt;40),AND(N128&gt;=31,N128&lt;40),AND(R128&gt;=31,R128&lt;40),AND(V128&gt;=31,V128&lt;40),AND(AB128&gt;=31,AB128&lt;40)),IF(AND(OR(COUNTIF(D128:AG128,"=31")&gt;=1,COUNTIF(D128:AG128,"=32")&gt;=1,COUNTIF(D128:AG128,"=33")&gt;=1,COUNTIF(D128:AG128,"=34")&gt;=1,COUNTIF(D128:AG128,"=35")&gt;=1,COUNTIF(D128:AG128,"=36")&gt;=1 ),COUNTIF(D128:AG128,"")=0,COUNTIF(D128:AG128," ")=0,COUNTIF(D128:AG128,"F")=1),CONCATENATE(SUM(EXTRACTNUMBER(D128),EXTRACTNUMBER(F128),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EXTRACTNUMBER(AD128),EXTRACTNUMBER(AF128)),"*"),IF(AND(COUNTIF(D128:AG128,"=34")&gt;=1,COUNTIF(D128:AG128,"=35")&gt;=1,COUNTIF(D128:AG128,"f")=2,COUNTIF(D128:AG128,"")=0,COUNTIF(D128:AG128,"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EXTRACTNUMBER(AD128),EXTRACTNUMBER(AF128)),"*"),IF(AND(COUNTIF(D128:AG128,"=36")&gt;=2,COUNTIF(D128:AG128,"f")=2,COUNTIF(D128:AG128,"")=0,COUNTIF(D128:AG128,"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EXTRACTNUMBER(AD128),EXTRACTNUMBER(AF128)),"*"),SUM(EXTRACTNUMBER(D128),EXTRACTNUMBER(F128),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EXTRACTNUMBER(AD128),EXTRACTNUMBER(AF128))))),SUM(EXTRACTNUMBER(D128),EXTRACTNUMBER(F128),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EXTRACTNUMBER(AD128),EXTRACTNUMBER(AF128)))</f>
        <v>465</v>
      </c>
      <c r="AI128" s="38" t="str">
        <f t="shared" si="16"/>
        <v>FAIL</v>
      </c>
      <c r="AJ128" s="28" t="str">
        <f>spellnumber(EXTRACTnUMBER_TOT(AH128))</f>
        <v xml:space="preserve">Four Hundred Sixty Five </v>
      </c>
      <c r="AK128" s="9">
        <v>465</v>
      </c>
    </row>
    <row r="129" spans="2:37" ht="15" customHeight="1">
      <c r="B129" s="31">
        <v>223303</v>
      </c>
      <c r="C129" s="32" t="s">
        <v>261</v>
      </c>
      <c r="D129" s="33">
        <v>15</v>
      </c>
      <c r="E129" s="34" t="str">
        <f t="shared" si="18"/>
        <v>F</v>
      </c>
      <c r="F129" s="35">
        <v>13</v>
      </c>
      <c r="G129" s="34" t="str">
        <f t="shared" si="19"/>
        <v>E</v>
      </c>
      <c r="H129" s="36">
        <v>11</v>
      </c>
      <c r="I129" s="34" t="str">
        <f t="shared" si="20"/>
        <v>F</v>
      </c>
      <c r="J129" s="35">
        <v>19</v>
      </c>
      <c r="K129" s="34" t="str">
        <f t="shared" si="21"/>
        <v>E</v>
      </c>
      <c r="L129" s="35">
        <v>18</v>
      </c>
      <c r="M129" s="34" t="str">
        <f t="shared" si="22"/>
        <v>E</v>
      </c>
      <c r="N129" s="36">
        <v>41</v>
      </c>
      <c r="O129" s="34" t="str">
        <f t="shared" si="17"/>
        <v>E</v>
      </c>
      <c r="P129" s="35">
        <v>16</v>
      </c>
      <c r="Q129" s="37" t="str">
        <f t="shared" si="23"/>
        <v>E</v>
      </c>
      <c r="R129" s="33">
        <v>40</v>
      </c>
      <c r="S129" s="34" t="str">
        <f t="shared" si="24"/>
        <v>E</v>
      </c>
      <c r="T129" s="35">
        <v>21</v>
      </c>
      <c r="U129" s="37" t="str">
        <f t="shared" si="25"/>
        <v>E</v>
      </c>
      <c r="V129" s="33">
        <v>40</v>
      </c>
      <c r="W129" s="34" t="str">
        <f t="shared" si="26"/>
        <v>E</v>
      </c>
      <c r="X129" s="35">
        <v>18</v>
      </c>
      <c r="Y129" s="37" t="str">
        <f t="shared" si="27"/>
        <v>E</v>
      </c>
      <c r="Z129" s="35">
        <v>18</v>
      </c>
      <c r="AA129" s="37" t="str">
        <f t="shared" si="28"/>
        <v>E</v>
      </c>
      <c r="AB129" s="33">
        <v>26</v>
      </c>
      <c r="AC129" s="34" t="str">
        <f t="shared" si="29"/>
        <v>F</v>
      </c>
      <c r="AD129" s="35">
        <v>23</v>
      </c>
      <c r="AE129" s="34" t="str">
        <f t="shared" si="30"/>
        <v>E</v>
      </c>
      <c r="AF129" s="35">
        <v>40</v>
      </c>
      <c r="AG129" s="37" t="str">
        <f t="shared" si="31"/>
        <v>E</v>
      </c>
      <c r="AH129" s="4">
        <f>IF(OR(AND(D129&gt;=31,D129&lt;40),AND(H129&gt;=31,H129&lt;40),AND(N129&gt;=31,N129&lt;40),AND(R129&gt;=31,R129&lt;40),AND(V129&gt;=31,V129&lt;40),AND(AB129&gt;=31,AB129&lt;40)),IF(AND(OR(COUNTIF(D129:AG129,"=31")&gt;=1,COUNTIF(D129:AG129,"=32")&gt;=1,COUNTIF(D129:AG129,"=33")&gt;=1,COUNTIF(D129:AG129,"=34")&gt;=1,COUNTIF(D129:AG129,"=35")&gt;=1,COUNTIF(D129:AG129,"=36")&gt;=1 ),COUNTIF(D129:AG129,"")=0,COUNTIF(D129:AG129," ")=0,COUNTIF(D129:AG129,"F")=1),CONCATENATE(SUM(EXTRACTNUMBER(D129),EXTRACTNUMBER(F129),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EXTRACTNUMBER(AD129),EXTRACTNUMBER(AF129)),"*"),IF(AND(COUNTIF(D129:AG129,"=34")&gt;=1,COUNTIF(D129:AG129,"=35")&gt;=1,COUNTIF(D129:AG129,"f")=2,COUNTIF(D129:AG129,"")=0,COUNTIF(D129:AG129,"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EXTRACTNUMBER(AD129),EXTRACTNUMBER(AF129)),"*"),IF(AND(COUNTIF(D129:AG129,"=36")&gt;=2,COUNTIF(D129:AG129,"f")=2,COUNTIF(D129:AG129,"")=0,COUNTIF(D129:AG129,"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EXTRACTNUMBER(AD129),EXTRACTNUMBER(AF129)),"*"),SUM(EXTRACTNUMBER(D129),EXTRACTNUMBER(F129),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EXTRACTNUMBER(AD129),EXTRACTNUMBER(AF129))))),SUM(EXTRACTNUMBER(D129),EXTRACTNUMBER(F129),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EXTRACTNUMBER(AD129),EXTRACTNUMBER(AF129)))</f>
        <v>359</v>
      </c>
      <c r="AI129" s="38" t="str">
        <f t="shared" si="16"/>
        <v>FAIL</v>
      </c>
      <c r="AJ129" s="28" t="str">
        <f>spellnumber(EXTRACTnUMBER_TOT(AH129))</f>
        <v xml:space="preserve">Three Hundred Fifty Nine </v>
      </c>
      <c r="AK129" s="9">
        <v>359</v>
      </c>
    </row>
    <row r="130" spans="2:37" ht="15" customHeight="1">
      <c r="B130" s="31">
        <v>223304</v>
      </c>
      <c r="C130" s="32" t="s">
        <v>262</v>
      </c>
      <c r="D130" s="33">
        <v>21</v>
      </c>
      <c r="E130" s="34" t="str">
        <f t="shared" si="18"/>
        <v>F</v>
      </c>
      <c r="F130" s="35">
        <v>15</v>
      </c>
      <c r="G130" s="34" t="str">
        <f t="shared" si="19"/>
        <v>E</v>
      </c>
      <c r="H130" s="36">
        <v>61</v>
      </c>
      <c r="I130" s="34" t="str">
        <f t="shared" si="20"/>
        <v>E</v>
      </c>
      <c r="J130" s="35">
        <v>20</v>
      </c>
      <c r="K130" s="34" t="str">
        <f t="shared" si="21"/>
        <v>E</v>
      </c>
      <c r="L130" s="35">
        <v>18</v>
      </c>
      <c r="M130" s="34" t="str">
        <f t="shared" si="22"/>
        <v>E</v>
      </c>
      <c r="N130" s="36">
        <v>41</v>
      </c>
      <c r="O130" s="34" t="str">
        <f t="shared" si="17"/>
        <v>E</v>
      </c>
      <c r="P130" s="35">
        <v>16</v>
      </c>
      <c r="Q130" s="37" t="str">
        <f t="shared" si="23"/>
        <v>E</v>
      </c>
      <c r="R130" s="33">
        <v>41</v>
      </c>
      <c r="S130" s="34" t="str">
        <f t="shared" si="24"/>
        <v>E</v>
      </c>
      <c r="T130" s="35">
        <v>19</v>
      </c>
      <c r="U130" s="37" t="str">
        <f t="shared" si="25"/>
        <v>E</v>
      </c>
      <c r="V130" s="33">
        <v>40</v>
      </c>
      <c r="W130" s="34" t="str">
        <f t="shared" si="26"/>
        <v>E</v>
      </c>
      <c r="X130" s="35">
        <v>21</v>
      </c>
      <c r="Y130" s="37" t="str">
        <f t="shared" si="27"/>
        <v>E</v>
      </c>
      <c r="Z130" s="35">
        <v>20</v>
      </c>
      <c r="AA130" s="37" t="str">
        <f t="shared" si="28"/>
        <v>E</v>
      </c>
      <c r="AB130" s="33">
        <v>46</v>
      </c>
      <c r="AC130" s="34" t="str">
        <f t="shared" si="29"/>
        <v>E</v>
      </c>
      <c r="AD130" s="35">
        <v>23</v>
      </c>
      <c r="AE130" s="34" t="str">
        <f t="shared" si="30"/>
        <v>E</v>
      </c>
      <c r="AF130" s="35">
        <v>38</v>
      </c>
      <c r="AG130" s="37" t="str">
        <f t="shared" si="31"/>
        <v>E</v>
      </c>
      <c r="AH130" s="4">
        <f>IF(OR(AND(D130&gt;=31,D130&lt;40),AND(H130&gt;=31,H130&lt;40),AND(N130&gt;=31,N130&lt;40),AND(R130&gt;=31,R130&lt;40),AND(V130&gt;=31,V130&lt;40),AND(AB130&gt;=31,AB130&lt;40)),IF(AND(OR(COUNTIF(D130:AG130,"=31")&gt;=1,COUNTIF(D130:AG130,"=32")&gt;=1,COUNTIF(D130:AG130,"=33")&gt;=1,COUNTIF(D130:AG130,"=34")&gt;=1,COUNTIF(D130:AG130,"=35")&gt;=1,COUNTIF(D130:AG130,"=36")&gt;=1 ),COUNTIF(D130:AG130,"")=0,COUNTIF(D130:AG130," ")=0,COUNTIF(D130:AG130,"F")=1),CONCATENATE(SUM(EXTRACTNUMBER(D130),EXTRACTNUMBER(F130),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EXTRACTNUMBER(AD130),EXTRACTNUMBER(AF130)),"*"),IF(AND(COUNTIF(D130:AG130,"=34")&gt;=1,COUNTIF(D130:AG130,"=35")&gt;=1,COUNTIF(D130:AG130,"f")=2,COUNTIF(D130:AG130,"")=0,COUNTIF(D130:AG130,"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EXTRACTNUMBER(AD130),EXTRACTNUMBER(AF130)),"*"),IF(AND(COUNTIF(D130:AG130,"=36")&gt;=2,COUNTIF(D130:AG130,"f")=2,COUNTIF(D130:AG130,"")=0,COUNTIF(D130:AG130,"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EXTRACTNUMBER(AD130),EXTRACTNUMBER(AF130)),"*"),SUM(EXTRACTNUMBER(D130),EXTRACTNUMBER(F130),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EXTRACTNUMBER(AD130),EXTRACTNUMBER(AF130))))),SUM(EXTRACTNUMBER(D130),EXTRACTNUMBER(F130),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EXTRACTNUMBER(AD130),EXTRACTNUMBER(AF130)))</f>
        <v>440</v>
      </c>
      <c r="AI130" s="38" t="str">
        <f t="shared" si="16"/>
        <v>FAIL</v>
      </c>
      <c r="AJ130" s="28" t="str">
        <f>spellnumber(EXTRACTnUMBER_TOT(AH130))</f>
        <v xml:space="preserve">Four Hundred Forty  </v>
      </c>
      <c r="AK130" s="9">
        <v>440</v>
      </c>
    </row>
    <row r="131" spans="2:37" ht="15" customHeight="1">
      <c r="B131" s="31">
        <v>223305</v>
      </c>
      <c r="C131" s="32" t="s">
        <v>263</v>
      </c>
      <c r="D131" s="33">
        <v>40</v>
      </c>
      <c r="E131" s="34" t="str">
        <f t="shared" si="18"/>
        <v/>
      </c>
      <c r="F131" s="35">
        <v>18</v>
      </c>
      <c r="G131" s="34" t="str">
        <f t="shared" si="19"/>
        <v/>
      </c>
      <c r="H131" s="36">
        <v>50</v>
      </c>
      <c r="I131" s="34" t="str">
        <f t="shared" si="20"/>
        <v/>
      </c>
      <c r="J131" s="35">
        <v>24</v>
      </c>
      <c r="K131" s="34" t="str">
        <f t="shared" si="21"/>
        <v/>
      </c>
      <c r="L131" s="35">
        <v>19</v>
      </c>
      <c r="M131" s="34" t="str">
        <f t="shared" si="22"/>
        <v/>
      </c>
      <c r="N131" s="36">
        <v>72</v>
      </c>
      <c r="O131" s="34" t="str">
        <f t="shared" si="17"/>
        <v/>
      </c>
      <c r="P131" s="35">
        <v>19</v>
      </c>
      <c r="Q131" s="37" t="str">
        <f t="shared" si="23"/>
        <v/>
      </c>
      <c r="R131" s="33">
        <v>45</v>
      </c>
      <c r="S131" s="34" t="str">
        <f t="shared" si="24"/>
        <v/>
      </c>
      <c r="T131" s="35">
        <v>23</v>
      </c>
      <c r="U131" s="37" t="str">
        <f t="shared" si="25"/>
        <v/>
      </c>
      <c r="V131" s="33">
        <v>52</v>
      </c>
      <c r="W131" s="34" t="str">
        <f t="shared" si="26"/>
        <v/>
      </c>
      <c r="X131" s="35">
        <v>22</v>
      </c>
      <c r="Y131" s="37" t="str">
        <f t="shared" si="27"/>
        <v/>
      </c>
      <c r="Z131" s="35">
        <v>22</v>
      </c>
      <c r="AA131" s="37" t="str">
        <f t="shared" si="28"/>
        <v/>
      </c>
      <c r="AB131" s="33">
        <v>43</v>
      </c>
      <c r="AC131" s="34" t="str">
        <f t="shared" si="29"/>
        <v/>
      </c>
      <c r="AD131" s="35">
        <v>22</v>
      </c>
      <c r="AE131" s="34" t="str">
        <f t="shared" si="30"/>
        <v/>
      </c>
      <c r="AF131" s="35">
        <v>39</v>
      </c>
      <c r="AG131" s="37" t="str">
        <f t="shared" si="31"/>
        <v/>
      </c>
      <c r="AH131" s="4">
        <f>IF(OR(AND(D131&gt;=31,D131&lt;40),AND(H131&gt;=31,H131&lt;40),AND(N131&gt;=31,N131&lt;40),AND(R131&gt;=31,R131&lt;40),AND(V131&gt;=31,V131&lt;40),AND(AB131&gt;=31,AB131&lt;40)),IF(AND(OR(COUNTIF(D131:AG131,"=31")&gt;=1,COUNTIF(D131:AG131,"=32")&gt;=1,COUNTIF(D131:AG131,"=33")&gt;=1,COUNTIF(D131:AG131,"=34")&gt;=1,COUNTIF(D131:AG131,"=35")&gt;=1,COUNTIF(D131:AG131,"=36")&gt;=1 ),COUNTIF(D131:AG131,"")=0,COUNTIF(D131:AG131," ")=0,COUNTIF(D131:AG131,"F")=1),CONCATENATE(SUM(EXTRACTNUMBER(D131),EXTRACTNUMBER(F131),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EXTRACTNUMBER(AD131),EXTRACTNUMBER(AF131)),"*"),IF(AND(COUNTIF(D131:AG131,"=34")&gt;=1,COUNTIF(D131:AG131,"=35")&gt;=1,COUNTIF(D131:AG131,"f")=2,COUNTIF(D131:AG131,"")=0,COUNTIF(D131:AG131,"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EXTRACTNUMBER(AD131),EXTRACTNUMBER(AF131)),"*"),IF(AND(COUNTIF(D131:AG131,"=36")&gt;=2,COUNTIF(D131:AG131,"f")=2,COUNTIF(D131:AG131,"")=0,COUNTIF(D131:AG131,"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EXTRACTNUMBER(AD131),EXTRACTNUMBER(AF131)),"*"),SUM(EXTRACTNUMBER(D131),EXTRACTNUMBER(F131),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EXTRACTNUMBER(AD131),EXTRACTNUMBER(AF131))))),SUM(EXTRACTNUMBER(D131),EXTRACTNUMBER(F131),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EXTRACTNUMBER(AD131),EXTRACTNUMBER(AF131)))</f>
        <v>510</v>
      </c>
      <c r="AI131" s="38" t="str">
        <f t="shared" si="16"/>
        <v>PASS</v>
      </c>
      <c r="AJ131" s="28" t="str">
        <f>spellnumber(EXTRACTnUMBER_TOT(AH131))</f>
        <v xml:space="preserve">Five Hundred Ten </v>
      </c>
      <c r="AK131" s="9">
        <v>510</v>
      </c>
    </row>
    <row r="132" spans="2:37" ht="15" customHeight="1">
      <c r="B132" s="31">
        <v>223306</v>
      </c>
      <c r="C132" s="32" t="s">
        <v>264</v>
      </c>
      <c r="D132" s="33">
        <v>56</v>
      </c>
      <c r="E132" s="34" t="str">
        <f t="shared" si="18"/>
        <v/>
      </c>
      <c r="F132" s="35">
        <v>24</v>
      </c>
      <c r="G132" s="34" t="str">
        <f t="shared" si="19"/>
        <v/>
      </c>
      <c r="H132" s="36">
        <v>67</v>
      </c>
      <c r="I132" s="34" t="str">
        <f t="shared" si="20"/>
        <v/>
      </c>
      <c r="J132" s="35">
        <v>24</v>
      </c>
      <c r="K132" s="34" t="str">
        <f t="shared" si="21"/>
        <v/>
      </c>
      <c r="L132" s="35">
        <v>20</v>
      </c>
      <c r="M132" s="34" t="str">
        <f t="shared" si="22"/>
        <v/>
      </c>
      <c r="N132" s="36">
        <v>72</v>
      </c>
      <c r="O132" s="34" t="str">
        <f t="shared" si="17"/>
        <v/>
      </c>
      <c r="P132" s="35">
        <v>24</v>
      </c>
      <c r="Q132" s="37" t="str">
        <f t="shared" si="23"/>
        <v/>
      </c>
      <c r="R132" s="33">
        <v>41</v>
      </c>
      <c r="S132" s="34" t="str">
        <f t="shared" si="24"/>
        <v/>
      </c>
      <c r="T132" s="35">
        <v>24</v>
      </c>
      <c r="U132" s="37" t="str">
        <f t="shared" si="25"/>
        <v/>
      </c>
      <c r="V132" s="33">
        <v>52</v>
      </c>
      <c r="W132" s="34" t="str">
        <f t="shared" si="26"/>
        <v/>
      </c>
      <c r="X132" s="35">
        <v>23</v>
      </c>
      <c r="Y132" s="37" t="str">
        <f t="shared" si="27"/>
        <v/>
      </c>
      <c r="Z132" s="35">
        <v>24</v>
      </c>
      <c r="AA132" s="37" t="str">
        <f t="shared" si="28"/>
        <v/>
      </c>
      <c r="AB132" s="33">
        <v>48</v>
      </c>
      <c r="AC132" s="34" t="str">
        <f t="shared" si="29"/>
        <v/>
      </c>
      <c r="AD132" s="35">
        <v>24</v>
      </c>
      <c r="AE132" s="34" t="str">
        <f t="shared" si="30"/>
        <v/>
      </c>
      <c r="AF132" s="35">
        <v>47</v>
      </c>
      <c r="AG132" s="37" t="str">
        <f t="shared" si="31"/>
        <v/>
      </c>
      <c r="AH132" s="4">
        <f>IF(OR(AND(D132&gt;=31,D132&lt;40),AND(H132&gt;=31,H132&lt;40),AND(N132&gt;=31,N132&lt;40),AND(R132&gt;=31,R132&lt;40),AND(V132&gt;=31,V132&lt;40),AND(AB132&gt;=31,AB132&lt;40)),IF(AND(OR(COUNTIF(D132:AG132,"=31")&gt;=1,COUNTIF(D132:AG132,"=32")&gt;=1,COUNTIF(D132:AG132,"=33")&gt;=1,COUNTIF(D132:AG132,"=34")&gt;=1,COUNTIF(D132:AG132,"=35")&gt;=1,COUNTIF(D132:AG132,"=36")&gt;=1 ),COUNTIF(D132:AG132,"")=0,COUNTIF(D132:AG132," ")=0,COUNTIF(D132:AG132,"F")=1),CONCATENATE(SUM(EXTRACTNUMBER(D132),EXTRACTNUMBER(F132),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EXTRACTNUMBER(AD132),EXTRACTNUMBER(AF132)),"*"),IF(AND(COUNTIF(D132:AG132,"=34")&gt;=1,COUNTIF(D132:AG132,"=35")&gt;=1,COUNTIF(D132:AG132,"f")=2,COUNTIF(D132:AG132,"")=0,COUNTIF(D132:AG132,"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EXTRACTNUMBER(AD132),EXTRACTNUMBER(AF132)),"*"),IF(AND(COUNTIF(D132:AG132,"=36")&gt;=2,COUNTIF(D132:AG132,"f")=2,COUNTIF(D132:AG132,"")=0,COUNTIF(D132:AG132,"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EXTRACTNUMBER(AD132),EXTRACTNUMBER(AF132)),"*"),SUM(EXTRACTNUMBER(D132),EXTRACTNUMBER(F132),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EXTRACTNUMBER(AD132),EXTRACTNUMBER(AF132))))),SUM(EXTRACTNUMBER(D132),EXTRACTNUMBER(F132),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EXTRACTNUMBER(AD132),EXTRACTNUMBER(AF132)))</f>
        <v>570</v>
      </c>
      <c r="AI132" s="38" t="str">
        <f t="shared" si="16"/>
        <v>PASS</v>
      </c>
      <c r="AJ132" s="28" t="str">
        <f>spellnumber(EXTRACTnUMBER_TOT(AH132))</f>
        <v xml:space="preserve">Five Hundred Seventy  </v>
      </c>
      <c r="AK132" s="9">
        <v>570</v>
      </c>
    </row>
    <row r="133" spans="2:37" ht="15" customHeight="1">
      <c r="B133" s="31">
        <v>223307</v>
      </c>
      <c r="C133" s="32" t="s">
        <v>265</v>
      </c>
      <c r="D133" s="33">
        <v>14</v>
      </c>
      <c r="E133" s="34" t="str">
        <f t="shared" si="18"/>
        <v>F</v>
      </c>
      <c r="F133" s="35">
        <v>17</v>
      </c>
      <c r="G133" s="34" t="str">
        <f t="shared" si="19"/>
        <v>E</v>
      </c>
      <c r="H133" s="36">
        <v>61</v>
      </c>
      <c r="I133" s="34" t="str">
        <f t="shared" si="20"/>
        <v>E</v>
      </c>
      <c r="J133" s="35">
        <v>19</v>
      </c>
      <c r="K133" s="34" t="str">
        <f t="shared" si="21"/>
        <v>E</v>
      </c>
      <c r="L133" s="35">
        <v>17</v>
      </c>
      <c r="M133" s="34" t="str">
        <f t="shared" si="22"/>
        <v>E</v>
      </c>
      <c r="N133" s="36">
        <v>52</v>
      </c>
      <c r="O133" s="34" t="str">
        <f t="shared" si="17"/>
        <v>E</v>
      </c>
      <c r="P133" s="35">
        <v>17</v>
      </c>
      <c r="Q133" s="37" t="str">
        <f t="shared" si="23"/>
        <v>E</v>
      </c>
      <c r="R133" s="33">
        <v>50</v>
      </c>
      <c r="S133" s="34" t="str">
        <f t="shared" si="24"/>
        <v>E</v>
      </c>
      <c r="T133" s="35">
        <v>19</v>
      </c>
      <c r="U133" s="37" t="str">
        <f t="shared" si="25"/>
        <v>E</v>
      </c>
      <c r="V133" s="33">
        <v>47</v>
      </c>
      <c r="W133" s="34" t="str">
        <f t="shared" si="26"/>
        <v>E</v>
      </c>
      <c r="X133" s="35">
        <v>21</v>
      </c>
      <c r="Y133" s="37" t="str">
        <f t="shared" si="27"/>
        <v>E</v>
      </c>
      <c r="Z133" s="35">
        <v>21</v>
      </c>
      <c r="AA133" s="37" t="str">
        <f t="shared" si="28"/>
        <v>E</v>
      </c>
      <c r="AB133" s="33">
        <v>49</v>
      </c>
      <c r="AC133" s="34" t="str">
        <f t="shared" si="29"/>
        <v>E</v>
      </c>
      <c r="AD133" s="35">
        <v>21</v>
      </c>
      <c r="AE133" s="34" t="str">
        <f t="shared" si="30"/>
        <v>E</v>
      </c>
      <c r="AF133" s="35">
        <v>40</v>
      </c>
      <c r="AG133" s="37" t="str">
        <f t="shared" si="31"/>
        <v>E</v>
      </c>
      <c r="AH133" s="4">
        <f>IF(OR(AND(D133&gt;=31,D133&lt;40),AND(H133&gt;=31,H133&lt;40),AND(N133&gt;=31,N133&lt;40),AND(R133&gt;=31,R133&lt;40),AND(V133&gt;=31,V133&lt;40),AND(AB133&gt;=31,AB133&lt;40)),IF(AND(OR(COUNTIF(D133:AG133,"=31")&gt;=1,COUNTIF(D133:AG133,"=32")&gt;=1,COUNTIF(D133:AG133,"=33")&gt;=1,COUNTIF(D133:AG133,"=34")&gt;=1,COUNTIF(D133:AG133,"=35")&gt;=1,COUNTIF(D133:AG133,"=36")&gt;=1 ),COUNTIF(D133:AG133,"")=0,COUNTIF(D133:AG133," ")=0,COUNTIF(D133:AG133,"F")=1),CONCATENATE(SUM(EXTRACTNUMBER(D133),EXTRACTNUMBER(F133),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EXTRACTNUMBER(AD133),EXTRACTNUMBER(AF133)),"*"),IF(AND(COUNTIF(D133:AG133,"=34")&gt;=1,COUNTIF(D133:AG133,"=35")&gt;=1,COUNTIF(D133:AG133,"f")=2,COUNTIF(D133:AG133,"")=0,COUNTIF(D133:AG133,"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EXTRACTNUMBER(AD133),EXTRACTNUMBER(AF133)),"*"),IF(AND(COUNTIF(D133:AG133,"=36")&gt;=2,COUNTIF(D133:AG133,"f")=2,COUNTIF(D133:AG133,"")=0,COUNTIF(D133:AG133,"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EXTRACTNUMBER(AD133),EXTRACTNUMBER(AF133)),"*"),SUM(EXTRACTNUMBER(D133),EXTRACTNUMBER(F133),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EXTRACTNUMBER(AD133),EXTRACTNUMBER(AF133))))),SUM(EXTRACTNUMBER(D133),EXTRACTNUMBER(F133),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EXTRACTNUMBER(AD133),EXTRACTNUMBER(AF133)))</f>
        <v>465</v>
      </c>
      <c r="AI133" s="38" t="str">
        <f t="shared" si="16"/>
        <v>FAIL</v>
      </c>
      <c r="AJ133" s="28" t="str">
        <f>spellnumber(EXTRACTnUMBER_TOT(AH133))</f>
        <v xml:space="preserve">Four Hundred Sixty Five </v>
      </c>
      <c r="AK133" s="9">
        <v>465</v>
      </c>
    </row>
    <row r="134" spans="2:37" ht="15" customHeight="1">
      <c r="B134" s="31">
        <v>223308</v>
      </c>
      <c r="C134" s="32" t="s">
        <v>266</v>
      </c>
      <c r="D134" s="33">
        <v>40</v>
      </c>
      <c r="E134" s="34" t="str">
        <f t="shared" si="18"/>
        <v>E</v>
      </c>
      <c r="F134" s="35">
        <v>13</v>
      </c>
      <c r="G134" s="34" t="str">
        <f t="shared" si="19"/>
        <v>E</v>
      </c>
      <c r="H134" s="36">
        <v>20</v>
      </c>
      <c r="I134" s="34" t="str">
        <f t="shared" si="20"/>
        <v>F</v>
      </c>
      <c r="J134" s="35">
        <v>18</v>
      </c>
      <c r="K134" s="34" t="str">
        <f t="shared" si="21"/>
        <v>E</v>
      </c>
      <c r="L134" s="35">
        <v>18</v>
      </c>
      <c r="M134" s="34" t="str">
        <f t="shared" si="22"/>
        <v>E</v>
      </c>
      <c r="N134" s="36">
        <v>40</v>
      </c>
      <c r="O134" s="34" t="str">
        <f t="shared" si="17"/>
        <v>E</v>
      </c>
      <c r="P134" s="35">
        <v>16</v>
      </c>
      <c r="Q134" s="37" t="str">
        <f t="shared" si="23"/>
        <v>E</v>
      </c>
      <c r="R134" s="33">
        <v>28</v>
      </c>
      <c r="S134" s="34" t="str">
        <f t="shared" si="24"/>
        <v>F</v>
      </c>
      <c r="T134" s="35">
        <v>15</v>
      </c>
      <c r="U134" s="37" t="str">
        <f t="shared" si="25"/>
        <v>E</v>
      </c>
      <c r="V134" s="33">
        <v>52</v>
      </c>
      <c r="W134" s="34" t="str">
        <f t="shared" si="26"/>
        <v>E</v>
      </c>
      <c r="X134" s="35">
        <v>17</v>
      </c>
      <c r="Y134" s="37" t="str">
        <f t="shared" si="27"/>
        <v>E</v>
      </c>
      <c r="Z134" s="35">
        <v>18</v>
      </c>
      <c r="AA134" s="37" t="str">
        <f t="shared" si="28"/>
        <v>E</v>
      </c>
      <c r="AB134" s="33">
        <v>34</v>
      </c>
      <c r="AC134" s="34" t="str">
        <f t="shared" si="29"/>
        <v>F</v>
      </c>
      <c r="AD134" s="35">
        <v>22</v>
      </c>
      <c r="AE134" s="34" t="str">
        <f t="shared" si="30"/>
        <v>E</v>
      </c>
      <c r="AF134" s="35">
        <v>38</v>
      </c>
      <c r="AG134" s="37" t="str">
        <f t="shared" si="31"/>
        <v>E</v>
      </c>
      <c r="AH134" s="4">
        <f>IF(OR(AND(D134&gt;=31,D134&lt;40),AND(H134&gt;=31,H134&lt;40),AND(N134&gt;=31,N134&lt;40),AND(R134&gt;=31,R134&lt;40),AND(V134&gt;=31,V134&lt;40),AND(AB134&gt;=31,AB134&lt;40)),IF(AND(OR(COUNTIF(D134:AG134,"=31")&gt;=1,COUNTIF(D134:AG134,"=32")&gt;=1,COUNTIF(D134:AG134,"=33")&gt;=1,COUNTIF(D134:AG134,"=34")&gt;=1,COUNTIF(D134:AG134,"=35")&gt;=1,COUNTIF(D134:AG134,"=36")&gt;=1 ),COUNTIF(D134:AG134,"")=0,COUNTIF(D134:AG134," ")=0,COUNTIF(D134:AG134,"F")=1),CONCATENATE(SUM(EXTRACTNUMBER(D134),EXTRACTNUMBER(F134),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EXTRACTNUMBER(AD134),EXTRACTNUMBER(AF134)),"*"),IF(AND(COUNTIF(D134:AG134,"=34")&gt;=1,COUNTIF(D134:AG134,"=35")&gt;=1,COUNTIF(D134:AG134,"f")=2,COUNTIF(D134:AG134,"")=0,COUNTIF(D134:AG134,"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EXTRACTNUMBER(AD134),EXTRACTNUMBER(AF134)),"*"),IF(AND(COUNTIF(D134:AG134,"=36")&gt;=2,COUNTIF(D134:AG134,"f")=2,COUNTIF(D134:AG134,"")=0,COUNTIF(D134:AG134,"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EXTRACTNUMBER(AD134),EXTRACTNUMBER(AF134)),"*"),SUM(EXTRACTNUMBER(D134),EXTRACTNUMBER(F134),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EXTRACTNUMBER(AD134),EXTRACTNUMBER(AF134))))),SUM(EXTRACTNUMBER(D134),EXTRACTNUMBER(F134),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EXTRACTNUMBER(AD134),EXTRACTNUMBER(AF134)))</f>
        <v>389</v>
      </c>
      <c r="AI134" s="38" t="str">
        <f t="shared" si="16"/>
        <v>FAIL</v>
      </c>
      <c r="AJ134" s="28" t="str">
        <f>spellnumber(EXTRACTnUMBER_TOT(AH134))</f>
        <v xml:space="preserve">Three Hundred Eighty Nine </v>
      </c>
      <c r="AK134" s="9">
        <v>389</v>
      </c>
    </row>
    <row r="135" spans="2:37" ht="15" customHeight="1">
      <c r="B135" s="31">
        <v>223309</v>
      </c>
      <c r="C135" s="32" t="s">
        <v>267</v>
      </c>
      <c r="D135" s="33">
        <v>59</v>
      </c>
      <c r="E135" s="34" t="str">
        <f t="shared" si="18"/>
        <v/>
      </c>
      <c r="F135" s="35">
        <v>16</v>
      </c>
      <c r="G135" s="34" t="str">
        <f t="shared" si="19"/>
        <v/>
      </c>
      <c r="H135" s="36">
        <v>77</v>
      </c>
      <c r="I135" s="34" t="str">
        <f t="shared" si="20"/>
        <v/>
      </c>
      <c r="J135" s="35">
        <v>23</v>
      </c>
      <c r="K135" s="34" t="str">
        <f t="shared" si="21"/>
        <v/>
      </c>
      <c r="L135" s="35">
        <v>17</v>
      </c>
      <c r="M135" s="34" t="str">
        <f t="shared" si="22"/>
        <v/>
      </c>
      <c r="N135" s="36">
        <v>77</v>
      </c>
      <c r="O135" s="34" t="str">
        <f t="shared" si="17"/>
        <v/>
      </c>
      <c r="P135" s="35">
        <v>23</v>
      </c>
      <c r="Q135" s="37" t="str">
        <f t="shared" si="23"/>
        <v/>
      </c>
      <c r="R135" s="33">
        <v>67</v>
      </c>
      <c r="S135" s="34" t="str">
        <f t="shared" si="24"/>
        <v/>
      </c>
      <c r="T135" s="35">
        <v>23</v>
      </c>
      <c r="U135" s="37" t="str">
        <f t="shared" si="25"/>
        <v/>
      </c>
      <c r="V135" s="33">
        <v>60</v>
      </c>
      <c r="W135" s="34" t="str">
        <f t="shared" si="26"/>
        <v/>
      </c>
      <c r="X135" s="35">
        <v>19</v>
      </c>
      <c r="Y135" s="37" t="str">
        <f t="shared" si="27"/>
        <v/>
      </c>
      <c r="Z135" s="35">
        <v>20</v>
      </c>
      <c r="AA135" s="37" t="str">
        <f t="shared" si="28"/>
        <v/>
      </c>
      <c r="AB135" s="33">
        <v>46</v>
      </c>
      <c r="AC135" s="34" t="str">
        <f t="shared" si="29"/>
        <v/>
      </c>
      <c r="AD135" s="35">
        <v>23</v>
      </c>
      <c r="AE135" s="34" t="str">
        <f t="shared" si="30"/>
        <v/>
      </c>
      <c r="AF135" s="35">
        <v>31</v>
      </c>
      <c r="AG135" s="37" t="str">
        <f t="shared" si="31"/>
        <v/>
      </c>
      <c r="AH135" s="4">
        <f>IF(OR(AND(D135&gt;=31,D135&lt;40),AND(H135&gt;=31,H135&lt;40),AND(N135&gt;=31,N135&lt;40),AND(R135&gt;=31,R135&lt;40),AND(V135&gt;=31,V135&lt;40),AND(AB135&gt;=31,AB135&lt;40)),IF(AND(OR(COUNTIF(D135:AG135,"=31")&gt;=1,COUNTIF(D135:AG135,"=32")&gt;=1,COUNTIF(D135:AG135,"=33")&gt;=1,COUNTIF(D135:AG135,"=34")&gt;=1,COUNTIF(D135:AG135,"=35")&gt;=1,COUNTIF(D135:AG135,"=36")&gt;=1 ),COUNTIF(D135:AG135,"")=0,COUNTIF(D135:AG135," ")=0,COUNTIF(D135:AG135,"F")=1),CONCATENATE(SUM(EXTRACTNUMBER(D135),EXTRACTNUMBER(F135),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EXTRACTNUMBER(AD135),EXTRACTNUMBER(AF135)),"*"),IF(AND(COUNTIF(D135:AG135,"=34")&gt;=1,COUNTIF(D135:AG135,"=35")&gt;=1,COUNTIF(D135:AG135,"f")=2,COUNTIF(D135:AG135,"")=0,COUNTIF(D135:AG135,"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EXTRACTNUMBER(AD135),EXTRACTNUMBER(AF135)),"*"),IF(AND(COUNTIF(D135:AG135,"=36")&gt;=2,COUNTIF(D135:AG135,"f")=2,COUNTIF(D135:AG135,"")=0,COUNTIF(D135:AG135,"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EXTRACTNUMBER(AD135),EXTRACTNUMBER(AF135)),"*"),SUM(EXTRACTNUMBER(D135),EXTRACTNUMBER(F135),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EXTRACTNUMBER(AD135),EXTRACTNUMBER(AF135))))),SUM(EXTRACTNUMBER(D135),EXTRACTNUMBER(F135),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EXTRACTNUMBER(AD135),EXTRACTNUMBER(AF135)))</f>
        <v>581</v>
      </c>
      <c r="AI135" s="38" t="str">
        <f t="shared" si="16"/>
        <v>PASS</v>
      </c>
      <c r="AJ135" s="28" t="str">
        <f>spellnumber(EXTRACTnUMBER_TOT(AH135))</f>
        <v xml:space="preserve">Five Hundred Eighty One </v>
      </c>
      <c r="AK135" s="9">
        <v>581</v>
      </c>
    </row>
    <row r="136" spans="2:37" ht="15" customHeight="1">
      <c r="B136" s="31">
        <v>223310</v>
      </c>
      <c r="C136" s="32" t="s">
        <v>268</v>
      </c>
      <c r="D136" s="33">
        <v>16</v>
      </c>
      <c r="E136" s="34" t="str">
        <f t="shared" si="18"/>
        <v>F</v>
      </c>
      <c r="F136" s="35">
        <v>15</v>
      </c>
      <c r="G136" s="34" t="str">
        <f t="shared" si="19"/>
        <v>E</v>
      </c>
      <c r="H136" s="36">
        <v>70</v>
      </c>
      <c r="I136" s="34" t="str">
        <f t="shared" si="20"/>
        <v>E</v>
      </c>
      <c r="J136" s="35">
        <v>24</v>
      </c>
      <c r="K136" s="34" t="str">
        <f t="shared" si="21"/>
        <v>E</v>
      </c>
      <c r="L136" s="35">
        <v>18</v>
      </c>
      <c r="M136" s="34" t="str">
        <f t="shared" si="22"/>
        <v>E</v>
      </c>
      <c r="N136" s="36">
        <v>66</v>
      </c>
      <c r="O136" s="34" t="str">
        <f t="shared" si="17"/>
        <v>E</v>
      </c>
      <c r="P136" s="35">
        <v>20</v>
      </c>
      <c r="Q136" s="37" t="str">
        <f t="shared" si="23"/>
        <v>E</v>
      </c>
      <c r="R136" s="33">
        <v>71</v>
      </c>
      <c r="S136" s="34" t="str">
        <f t="shared" si="24"/>
        <v>E</v>
      </c>
      <c r="T136" s="35">
        <v>20</v>
      </c>
      <c r="U136" s="37" t="str">
        <f t="shared" si="25"/>
        <v>E</v>
      </c>
      <c r="V136" s="33">
        <v>45</v>
      </c>
      <c r="W136" s="34" t="str">
        <f t="shared" si="26"/>
        <v>E</v>
      </c>
      <c r="X136" s="35">
        <v>16</v>
      </c>
      <c r="Y136" s="37" t="str">
        <f t="shared" si="27"/>
        <v>E</v>
      </c>
      <c r="Z136" s="35">
        <v>17</v>
      </c>
      <c r="AA136" s="37" t="str">
        <f t="shared" si="28"/>
        <v>E</v>
      </c>
      <c r="AB136" s="33">
        <v>50</v>
      </c>
      <c r="AC136" s="34" t="str">
        <f t="shared" si="29"/>
        <v>E</v>
      </c>
      <c r="AD136" s="35">
        <v>21</v>
      </c>
      <c r="AE136" s="34" t="str">
        <f t="shared" si="30"/>
        <v>E</v>
      </c>
      <c r="AF136" s="35">
        <v>44</v>
      </c>
      <c r="AG136" s="37" t="str">
        <f t="shared" si="31"/>
        <v>E</v>
      </c>
      <c r="AH136" s="4">
        <f>IF(OR(AND(D136&gt;=31,D136&lt;40),AND(H136&gt;=31,H136&lt;40),AND(N136&gt;=31,N136&lt;40),AND(R136&gt;=31,R136&lt;40),AND(V136&gt;=31,V136&lt;40),AND(AB136&gt;=31,AB136&lt;40)),IF(AND(OR(COUNTIF(D136:AG136,"=31")&gt;=1,COUNTIF(D136:AG136,"=32")&gt;=1,COUNTIF(D136:AG136,"=33")&gt;=1,COUNTIF(D136:AG136,"=34")&gt;=1,COUNTIF(D136:AG136,"=35")&gt;=1,COUNTIF(D136:AG136,"=36")&gt;=1 ),COUNTIF(D136:AG136,"")=0,COUNTIF(D136:AG136," ")=0,COUNTIF(D136:AG136,"F")=1),CONCATENATE(SUM(EXTRACTNUMBER(D136),EXTRACTNUMBER(F136),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EXTRACTNUMBER(AD136),EXTRACTNUMBER(AF136)),"*"),IF(AND(COUNTIF(D136:AG136,"=34")&gt;=1,COUNTIF(D136:AG136,"=35")&gt;=1,COUNTIF(D136:AG136,"f")=2,COUNTIF(D136:AG136,"")=0,COUNTIF(D136:AG136,"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EXTRACTNUMBER(AD136),EXTRACTNUMBER(AF136)),"*"),IF(AND(COUNTIF(D136:AG136,"=36")&gt;=2,COUNTIF(D136:AG136,"f")=2,COUNTIF(D136:AG136,"")=0,COUNTIF(D136:AG136,"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EXTRACTNUMBER(AD136),EXTRACTNUMBER(AF136)),"*"),SUM(EXTRACTNUMBER(D136),EXTRACTNUMBER(F136),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EXTRACTNUMBER(AD136),EXTRACTNUMBER(AF136))))),SUM(EXTRACTNUMBER(D136),EXTRACTNUMBER(F136),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EXTRACTNUMBER(AD136),EXTRACTNUMBER(AF136)))</f>
        <v>513</v>
      </c>
      <c r="AI136" s="38" t="str">
        <f t="shared" si="16"/>
        <v>FAIL</v>
      </c>
      <c r="AJ136" s="28" t="str">
        <f>spellnumber(EXTRACTnUMBER_TOT(AH136))</f>
        <v xml:space="preserve">Five Hundred Thirteen </v>
      </c>
      <c r="AK136" s="9">
        <v>513</v>
      </c>
    </row>
    <row r="137" spans="2:37" ht="15" customHeight="1">
      <c r="B137" s="31">
        <v>223311</v>
      </c>
      <c r="C137" s="32" t="s">
        <v>269</v>
      </c>
      <c r="D137" s="33">
        <v>41</v>
      </c>
      <c r="E137" s="34" t="str">
        <f t="shared" si="18"/>
        <v/>
      </c>
      <c r="F137" s="35">
        <v>21</v>
      </c>
      <c r="G137" s="34" t="str">
        <f t="shared" si="19"/>
        <v/>
      </c>
      <c r="H137" s="36">
        <v>66</v>
      </c>
      <c r="I137" s="34" t="str">
        <f t="shared" si="20"/>
        <v/>
      </c>
      <c r="J137" s="35">
        <v>20</v>
      </c>
      <c r="K137" s="34" t="str">
        <f t="shared" si="21"/>
        <v/>
      </c>
      <c r="L137" s="35">
        <v>19</v>
      </c>
      <c r="M137" s="34" t="str">
        <f t="shared" si="22"/>
        <v/>
      </c>
      <c r="N137" s="36">
        <v>70</v>
      </c>
      <c r="O137" s="34" t="str">
        <f t="shared" si="17"/>
        <v/>
      </c>
      <c r="P137" s="35">
        <v>20</v>
      </c>
      <c r="Q137" s="37" t="str">
        <f t="shared" si="23"/>
        <v/>
      </c>
      <c r="R137" s="33">
        <v>54</v>
      </c>
      <c r="S137" s="34" t="str">
        <f t="shared" si="24"/>
        <v/>
      </c>
      <c r="T137" s="35">
        <v>22</v>
      </c>
      <c r="U137" s="37" t="str">
        <f t="shared" si="25"/>
        <v/>
      </c>
      <c r="V137" s="33">
        <v>52</v>
      </c>
      <c r="W137" s="34" t="str">
        <f t="shared" si="26"/>
        <v/>
      </c>
      <c r="X137" s="35">
        <v>16</v>
      </c>
      <c r="Y137" s="37" t="str">
        <f t="shared" si="27"/>
        <v/>
      </c>
      <c r="Z137" s="35">
        <v>17</v>
      </c>
      <c r="AA137" s="37" t="str">
        <f t="shared" si="28"/>
        <v/>
      </c>
      <c r="AB137" s="33">
        <v>40</v>
      </c>
      <c r="AC137" s="34" t="str">
        <f t="shared" si="29"/>
        <v/>
      </c>
      <c r="AD137" s="35">
        <v>22</v>
      </c>
      <c r="AE137" s="34" t="str">
        <f t="shared" si="30"/>
        <v/>
      </c>
      <c r="AF137" s="35">
        <v>40</v>
      </c>
      <c r="AG137" s="37" t="str">
        <f t="shared" si="31"/>
        <v/>
      </c>
      <c r="AH137" s="4">
        <f>IF(OR(AND(D137&gt;=31,D137&lt;40),AND(H137&gt;=31,H137&lt;40),AND(N137&gt;=31,N137&lt;40),AND(R137&gt;=31,R137&lt;40),AND(V137&gt;=31,V137&lt;40),AND(AB137&gt;=31,AB137&lt;40)),IF(AND(OR(COUNTIF(D137:AG137,"=31")&gt;=1,COUNTIF(D137:AG137,"=32")&gt;=1,COUNTIF(D137:AG137,"=33")&gt;=1,COUNTIF(D137:AG137,"=34")&gt;=1,COUNTIF(D137:AG137,"=35")&gt;=1,COUNTIF(D137:AG137,"=36")&gt;=1 ),COUNTIF(D137:AG137,"")=0,COUNTIF(D137:AG137," ")=0,COUNTIF(D137:AG137,"F")=1),CONCATENATE(SUM(EXTRACTNUMBER(D137),EXTRACTNUMBER(F137),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EXTRACTNUMBER(AD137),EXTRACTNUMBER(AF137)),"*"),IF(AND(COUNTIF(D137:AG137,"=34")&gt;=1,COUNTIF(D137:AG137,"=35")&gt;=1,COUNTIF(D137:AG137,"f")=2,COUNTIF(D137:AG137,"")=0,COUNTIF(D137:AG137,"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EXTRACTNUMBER(AD137),EXTRACTNUMBER(AF137)),"*"),IF(AND(COUNTIF(D137:AG137,"=36")&gt;=2,COUNTIF(D137:AG137,"f")=2,COUNTIF(D137:AG137,"")=0,COUNTIF(D137:AG137,"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EXTRACTNUMBER(AD137),EXTRACTNUMBER(AF137)),"*"),SUM(EXTRACTNUMBER(D137),EXTRACTNUMBER(F137),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EXTRACTNUMBER(AD137),EXTRACTNUMBER(AF137))))),SUM(EXTRACTNUMBER(D137),EXTRACTNUMBER(F137),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EXTRACTNUMBER(AD137),EXTRACTNUMBER(AF137)))</f>
        <v>520</v>
      </c>
      <c r="AI137" s="38" t="str">
        <f t="shared" si="16"/>
        <v>PASS</v>
      </c>
      <c r="AJ137" s="28" t="str">
        <f>spellnumber(EXTRACTnUMBER_TOT(AH137))</f>
        <v xml:space="preserve">Five Hundred Twenty  </v>
      </c>
      <c r="AK137" s="9">
        <v>520</v>
      </c>
    </row>
    <row r="138" spans="2:37" ht="15" customHeight="1">
      <c r="B138" s="31">
        <v>223312</v>
      </c>
      <c r="C138" s="39" t="s">
        <v>270</v>
      </c>
      <c r="D138" s="33">
        <v>41</v>
      </c>
      <c r="E138" s="34" t="str">
        <f t="shared" si="18"/>
        <v>E</v>
      </c>
      <c r="F138" s="35">
        <v>18</v>
      </c>
      <c r="G138" s="34" t="str">
        <f t="shared" si="19"/>
        <v>E</v>
      </c>
      <c r="H138" s="36">
        <v>52</v>
      </c>
      <c r="I138" s="34" t="str">
        <f t="shared" si="20"/>
        <v>E</v>
      </c>
      <c r="J138" s="35">
        <v>19</v>
      </c>
      <c r="K138" s="34" t="str">
        <f t="shared" si="21"/>
        <v>E</v>
      </c>
      <c r="L138" s="35">
        <v>18</v>
      </c>
      <c r="M138" s="34" t="str">
        <f t="shared" si="22"/>
        <v>E</v>
      </c>
      <c r="N138" s="36">
        <v>64</v>
      </c>
      <c r="O138" s="34" t="str">
        <f t="shared" si="17"/>
        <v>E</v>
      </c>
      <c r="P138" s="35">
        <v>16</v>
      </c>
      <c r="Q138" s="37" t="str">
        <f t="shared" si="23"/>
        <v>E</v>
      </c>
      <c r="R138" s="33">
        <v>40</v>
      </c>
      <c r="S138" s="34" t="str">
        <f t="shared" si="24"/>
        <v>E</v>
      </c>
      <c r="T138" s="35">
        <v>20</v>
      </c>
      <c r="U138" s="37" t="str">
        <f t="shared" si="25"/>
        <v>E</v>
      </c>
      <c r="V138" s="33">
        <v>47</v>
      </c>
      <c r="W138" s="34" t="str">
        <f t="shared" si="26"/>
        <v>E</v>
      </c>
      <c r="X138" s="35">
        <v>19</v>
      </c>
      <c r="Y138" s="37" t="str">
        <f t="shared" si="27"/>
        <v>E</v>
      </c>
      <c r="Z138" s="35">
        <v>20</v>
      </c>
      <c r="AA138" s="37" t="str">
        <f t="shared" si="28"/>
        <v>E</v>
      </c>
      <c r="AB138" s="33">
        <v>16</v>
      </c>
      <c r="AC138" s="34" t="str">
        <f t="shared" si="29"/>
        <v>F</v>
      </c>
      <c r="AD138" s="35">
        <v>21</v>
      </c>
      <c r="AE138" s="34" t="str">
        <f t="shared" si="30"/>
        <v>E</v>
      </c>
      <c r="AF138" s="35">
        <v>35</v>
      </c>
      <c r="AG138" s="37" t="str">
        <f t="shared" si="31"/>
        <v>E</v>
      </c>
      <c r="AH138" s="4">
        <f>IF(OR(AND(D138&gt;=31,D138&lt;40),AND(H138&gt;=31,H138&lt;40),AND(N138&gt;=31,N138&lt;40),AND(R138&gt;=31,R138&lt;40),AND(V138&gt;=31,V138&lt;40),AND(AB138&gt;=31,AB138&lt;40)),IF(AND(OR(COUNTIF(D138:AG138,"=31")&gt;=1,COUNTIF(D138:AG138,"=32")&gt;=1,COUNTIF(D138:AG138,"=33")&gt;=1,COUNTIF(D138:AG138,"=34")&gt;=1,COUNTIF(D138:AG138,"=35")&gt;=1,COUNTIF(D138:AG138,"=36")&gt;=1 ),COUNTIF(D138:AG138,"")=0,COUNTIF(D138:AG138," ")=0,COUNTIF(D138:AG138,"F")=1),CONCATENATE(SUM(EXTRACTNUMBER(D138),EXTRACTNUMBER(F138),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EXTRACTNUMBER(AD138),EXTRACTNUMBER(AF138)),"*"),IF(AND(COUNTIF(D138:AG138,"=34")&gt;=1,COUNTIF(D138:AG138,"=35")&gt;=1,COUNTIF(D138:AG138,"f")=2,COUNTIF(D138:AG138,"")=0,COUNTIF(D138:AG138,"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EXTRACTNUMBER(AD138),EXTRACTNUMBER(AF138)),"*"),IF(AND(COUNTIF(D138:AG138,"=36")&gt;=2,COUNTIF(D138:AG138,"f")=2,COUNTIF(D138:AG138,"")=0,COUNTIF(D138:AG138,"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EXTRACTNUMBER(AD138),EXTRACTNUMBER(AF138)),"*"),SUM(EXTRACTNUMBER(D138),EXTRACTNUMBER(F138),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EXTRACTNUMBER(AD138),EXTRACTNUMBER(AF138))))),SUM(EXTRACTNUMBER(D138),EXTRACTNUMBER(F138),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EXTRACTNUMBER(AD138),EXTRACTNUMBER(AF138)))</f>
        <v>446</v>
      </c>
      <c r="AI138" s="38" t="str">
        <f t="shared" si="16"/>
        <v>FAIL</v>
      </c>
      <c r="AJ138" s="28" t="str">
        <f>spellnumber(EXTRACTnUMBER_TOT(AH138))</f>
        <v xml:space="preserve">Four Hundred Forty Six </v>
      </c>
      <c r="AK138" s="9" t="s">
        <v>433</v>
      </c>
    </row>
    <row r="139" spans="2:37" ht="15" customHeight="1">
      <c r="B139" s="31">
        <v>223313</v>
      </c>
      <c r="C139" s="32" t="s">
        <v>271</v>
      </c>
      <c r="D139" s="33">
        <v>40</v>
      </c>
      <c r="E139" s="34" t="str">
        <f t="shared" si="18"/>
        <v/>
      </c>
      <c r="F139" s="35">
        <v>20</v>
      </c>
      <c r="G139" s="34" t="str">
        <f t="shared" si="19"/>
        <v/>
      </c>
      <c r="H139" s="36">
        <v>51</v>
      </c>
      <c r="I139" s="34" t="str">
        <f t="shared" si="20"/>
        <v/>
      </c>
      <c r="J139" s="35">
        <v>19</v>
      </c>
      <c r="K139" s="34" t="str">
        <f t="shared" si="21"/>
        <v/>
      </c>
      <c r="L139" s="35">
        <v>18</v>
      </c>
      <c r="M139" s="34" t="str">
        <f t="shared" si="22"/>
        <v/>
      </c>
      <c r="N139" s="36">
        <v>57</v>
      </c>
      <c r="O139" s="34" t="str">
        <f t="shared" si="17"/>
        <v/>
      </c>
      <c r="P139" s="35">
        <v>19</v>
      </c>
      <c r="Q139" s="37" t="str">
        <f t="shared" si="23"/>
        <v/>
      </c>
      <c r="R139" s="33">
        <v>50</v>
      </c>
      <c r="S139" s="34" t="str">
        <f t="shared" si="24"/>
        <v/>
      </c>
      <c r="T139" s="35">
        <v>22</v>
      </c>
      <c r="U139" s="37" t="str">
        <f t="shared" si="25"/>
        <v/>
      </c>
      <c r="V139" s="33">
        <v>48</v>
      </c>
      <c r="W139" s="34" t="str">
        <f t="shared" si="26"/>
        <v/>
      </c>
      <c r="X139" s="35">
        <v>18</v>
      </c>
      <c r="Y139" s="37" t="str">
        <f t="shared" si="27"/>
        <v/>
      </c>
      <c r="Z139" s="35">
        <v>19</v>
      </c>
      <c r="AA139" s="37" t="str">
        <f t="shared" si="28"/>
        <v/>
      </c>
      <c r="AB139" s="33">
        <v>48</v>
      </c>
      <c r="AC139" s="34" t="str">
        <f t="shared" si="29"/>
        <v/>
      </c>
      <c r="AD139" s="35">
        <v>22</v>
      </c>
      <c r="AE139" s="34" t="str">
        <f t="shared" si="30"/>
        <v/>
      </c>
      <c r="AF139" s="35">
        <v>37</v>
      </c>
      <c r="AG139" s="37" t="str">
        <f t="shared" si="31"/>
        <v/>
      </c>
      <c r="AH139" s="4">
        <f>IF(OR(AND(D139&gt;=31,D139&lt;40),AND(H139&gt;=31,H139&lt;40),AND(N139&gt;=31,N139&lt;40),AND(R139&gt;=31,R139&lt;40),AND(V139&gt;=31,V139&lt;40),AND(AB139&gt;=31,AB139&lt;40)),IF(AND(OR(COUNTIF(D139:AG139,"=31")&gt;=1,COUNTIF(D139:AG139,"=32")&gt;=1,COUNTIF(D139:AG139,"=33")&gt;=1,COUNTIF(D139:AG139,"=34")&gt;=1,COUNTIF(D139:AG139,"=35")&gt;=1,COUNTIF(D139:AG139,"=36")&gt;=1 ),COUNTIF(D139:AG139,"")=0,COUNTIF(D139:AG139," ")=0,COUNTIF(D139:AG139,"F")=1),CONCATENATE(SUM(EXTRACTNUMBER(D139),EXTRACTNUMBER(F139),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EXTRACTNUMBER(AD139),EXTRACTNUMBER(AF139)),"*"),IF(AND(COUNTIF(D139:AG139,"=34")&gt;=1,COUNTIF(D139:AG139,"=35")&gt;=1,COUNTIF(D139:AG139,"f")=2,COUNTIF(D139:AG139,"")=0,COUNTIF(D139:AG139,"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EXTRACTNUMBER(AD139),EXTRACTNUMBER(AF139)),"*"),IF(AND(COUNTIF(D139:AG139,"=36")&gt;=2,COUNTIF(D139:AG139,"f")=2,COUNTIF(D139:AG139,"")=0,COUNTIF(D139:AG139,"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EXTRACTNUMBER(AD139),EXTRACTNUMBER(AF139)),"*"),SUM(EXTRACTNUMBER(D139),EXTRACTNUMBER(F139),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EXTRACTNUMBER(AD139),EXTRACTNUMBER(AF139))))),SUM(EXTRACTNUMBER(D139),EXTRACTNUMBER(F139),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EXTRACTNUMBER(AD139),EXTRACTNUMBER(AF139)))</f>
        <v>488</v>
      </c>
      <c r="AI139" s="38" t="str">
        <f t="shared" si="16"/>
        <v>PASS</v>
      </c>
      <c r="AJ139" s="28" t="str">
        <f>spellnumber(EXTRACTnUMBER_TOT(AH139))</f>
        <v xml:space="preserve">Four Hundred Eighty Eight </v>
      </c>
      <c r="AK139" s="9">
        <v>488</v>
      </c>
    </row>
    <row r="140" spans="2:37" ht="15" customHeight="1">
      <c r="B140" s="31">
        <v>223314</v>
      </c>
      <c r="C140" s="32" t="s">
        <v>272</v>
      </c>
      <c r="D140" s="33">
        <v>55</v>
      </c>
      <c r="E140" s="34" t="str">
        <f t="shared" si="18"/>
        <v/>
      </c>
      <c r="F140" s="35">
        <v>14</v>
      </c>
      <c r="G140" s="34" t="str">
        <f t="shared" si="19"/>
        <v/>
      </c>
      <c r="H140" s="36">
        <v>81</v>
      </c>
      <c r="I140" s="34" t="str">
        <f t="shared" si="20"/>
        <v/>
      </c>
      <c r="J140" s="35">
        <v>19</v>
      </c>
      <c r="K140" s="34" t="str">
        <f t="shared" si="21"/>
        <v/>
      </c>
      <c r="L140" s="35">
        <v>19</v>
      </c>
      <c r="M140" s="34" t="str">
        <f t="shared" si="22"/>
        <v/>
      </c>
      <c r="N140" s="36">
        <v>78</v>
      </c>
      <c r="O140" s="34" t="str">
        <f t="shared" si="17"/>
        <v/>
      </c>
      <c r="P140" s="35">
        <v>20</v>
      </c>
      <c r="Q140" s="37" t="str">
        <f t="shared" si="23"/>
        <v/>
      </c>
      <c r="R140" s="33">
        <v>74</v>
      </c>
      <c r="S140" s="34" t="str">
        <f t="shared" si="24"/>
        <v/>
      </c>
      <c r="T140" s="35">
        <v>22</v>
      </c>
      <c r="U140" s="37" t="str">
        <f t="shared" si="25"/>
        <v/>
      </c>
      <c r="V140" s="33">
        <v>70</v>
      </c>
      <c r="W140" s="34" t="str">
        <f t="shared" si="26"/>
        <v/>
      </c>
      <c r="X140" s="35">
        <v>17</v>
      </c>
      <c r="Y140" s="37" t="str">
        <f t="shared" si="27"/>
        <v/>
      </c>
      <c r="Z140" s="35">
        <v>19</v>
      </c>
      <c r="AA140" s="37" t="str">
        <f t="shared" si="28"/>
        <v/>
      </c>
      <c r="AB140" s="33">
        <v>52</v>
      </c>
      <c r="AC140" s="34" t="str">
        <f t="shared" si="29"/>
        <v/>
      </c>
      <c r="AD140" s="35">
        <v>20</v>
      </c>
      <c r="AE140" s="34" t="str">
        <f t="shared" si="30"/>
        <v/>
      </c>
      <c r="AF140" s="35">
        <v>30</v>
      </c>
      <c r="AG140" s="37" t="str">
        <f t="shared" si="31"/>
        <v/>
      </c>
      <c r="AH140" s="4">
        <f>IF(OR(AND(D140&gt;=31,D140&lt;40),AND(H140&gt;=31,H140&lt;40),AND(N140&gt;=31,N140&lt;40),AND(R140&gt;=31,R140&lt;40),AND(V140&gt;=31,V140&lt;40),AND(AB140&gt;=31,AB140&lt;40)),IF(AND(OR(COUNTIF(D140:AG140,"=31")&gt;=1,COUNTIF(D140:AG140,"=32")&gt;=1,COUNTIF(D140:AG140,"=33")&gt;=1,COUNTIF(D140:AG140,"=34")&gt;=1,COUNTIF(D140:AG140,"=35")&gt;=1,COUNTIF(D140:AG140,"=36")&gt;=1 ),COUNTIF(D140:AG140,"")=0,COUNTIF(D140:AG140," ")=0,COUNTIF(D140:AG140,"F")=1),CONCATENATE(SUM(EXTRACTNUMBER(D140),EXTRACTNUMBER(F140),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EXTRACTNUMBER(AD140),EXTRACTNUMBER(AF140)),"*"),IF(AND(COUNTIF(D140:AG140,"=34")&gt;=1,COUNTIF(D140:AG140,"=35")&gt;=1,COUNTIF(D140:AG140,"f")=2,COUNTIF(D140:AG140,"")=0,COUNTIF(D140:AG140,"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EXTRACTNUMBER(AD140),EXTRACTNUMBER(AF140)),"*"),IF(AND(COUNTIF(D140:AG140,"=36")&gt;=2,COUNTIF(D140:AG140,"f")=2,COUNTIF(D140:AG140,"")=0,COUNTIF(D140:AG140,"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EXTRACTNUMBER(AD140),EXTRACTNUMBER(AF140)),"*"),SUM(EXTRACTNUMBER(D140),EXTRACTNUMBER(F140),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EXTRACTNUMBER(AD140),EXTRACTNUMBER(AF140))))),SUM(EXTRACTNUMBER(D140),EXTRACTNUMBER(F140),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EXTRACTNUMBER(AD140),EXTRACTNUMBER(AF140)))</f>
        <v>590</v>
      </c>
      <c r="AI140" s="38" t="str">
        <f t="shared" si="16"/>
        <v>PASS</v>
      </c>
      <c r="AJ140" s="28" t="str">
        <f>spellnumber(EXTRACTnUMBER_TOT(AH140))</f>
        <v xml:space="preserve">Five Hundred Ninety </v>
      </c>
      <c r="AK140" s="9">
        <v>590</v>
      </c>
    </row>
    <row r="141" spans="2:37" ht="15" customHeight="1">
      <c r="B141" s="31">
        <v>223315</v>
      </c>
      <c r="C141" s="39" t="s">
        <v>273</v>
      </c>
      <c r="D141" s="33" t="s">
        <v>103</v>
      </c>
      <c r="E141" s="34" t="str">
        <f t="shared" si="18"/>
        <v/>
      </c>
      <c r="F141" s="35" t="s">
        <v>103</v>
      </c>
      <c r="G141" s="34" t="str">
        <f t="shared" si="19"/>
        <v/>
      </c>
      <c r="H141" s="36" t="s">
        <v>103</v>
      </c>
      <c r="I141" s="34" t="str">
        <f t="shared" si="20"/>
        <v/>
      </c>
      <c r="J141" s="35" t="s">
        <v>103</v>
      </c>
      <c r="K141" s="34" t="str">
        <f t="shared" si="21"/>
        <v/>
      </c>
      <c r="L141" s="35" t="s">
        <v>103</v>
      </c>
      <c r="M141" s="34" t="str">
        <f t="shared" si="22"/>
        <v/>
      </c>
      <c r="N141" s="36" t="s">
        <v>103</v>
      </c>
      <c r="O141" s="34" t="str">
        <f t="shared" si="17"/>
        <v/>
      </c>
      <c r="P141" s="35" t="s">
        <v>103</v>
      </c>
      <c r="Q141" s="37" t="str">
        <f t="shared" si="23"/>
        <v/>
      </c>
      <c r="R141" s="33" t="s">
        <v>103</v>
      </c>
      <c r="S141" s="34" t="str">
        <f t="shared" si="24"/>
        <v/>
      </c>
      <c r="T141" s="35" t="s">
        <v>103</v>
      </c>
      <c r="U141" s="37" t="str">
        <f t="shared" si="25"/>
        <v/>
      </c>
      <c r="V141" s="33" t="s">
        <v>103</v>
      </c>
      <c r="W141" s="34" t="str">
        <f t="shared" si="26"/>
        <v/>
      </c>
      <c r="X141" s="35" t="s">
        <v>103</v>
      </c>
      <c r="Y141" s="37" t="str">
        <f t="shared" si="27"/>
        <v/>
      </c>
      <c r="Z141" s="35" t="s">
        <v>103</v>
      </c>
      <c r="AA141" s="37" t="str">
        <f t="shared" si="28"/>
        <v/>
      </c>
      <c r="AB141" s="33" t="s">
        <v>103</v>
      </c>
      <c r="AC141" s="34" t="str">
        <f t="shared" si="29"/>
        <v/>
      </c>
      <c r="AD141" s="44" t="s">
        <v>103</v>
      </c>
      <c r="AE141" s="34" t="str">
        <f t="shared" si="30"/>
        <v/>
      </c>
      <c r="AF141" s="35" t="s">
        <v>103</v>
      </c>
      <c r="AG141" s="37" t="str">
        <f t="shared" si="31"/>
        <v/>
      </c>
      <c r="AH141" s="4">
        <f>IF(OR(AND(D141&gt;=31,D141&lt;40),AND(H141&gt;=31,H141&lt;40),AND(N141&gt;=31,N141&lt;40),AND(R141&gt;=31,R141&lt;40),AND(V141&gt;=31,V141&lt;40),AND(AB141&gt;=31,AB141&lt;40)),IF(AND(OR(COUNTIF(D141:AG141,"=31")&gt;=1,COUNTIF(D141:AG141,"=32")&gt;=1,COUNTIF(D141:AG141,"=33")&gt;=1,COUNTIF(D141:AG141,"=34")&gt;=1,COUNTIF(D141:AG141,"=35")&gt;=1,COUNTIF(D141:AG141,"=36")&gt;=1 ),COUNTIF(D141:AG141,"")=0,COUNTIF(D141:AG141," ")=0,COUNTIF(D141:AG141,"F")=1),CONCATENATE(SUM(EXTRACTNUMBER(D141),EXTRACTNUMBER(F141),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EXTRACTNUMBER(AD141),EXTRACTNUMBER(AF141)),"*"),IF(AND(COUNTIF(D141:AG141,"=34")&gt;=1,COUNTIF(D141:AG141,"=35")&gt;=1,COUNTIF(D141:AG141,"f")=2,COUNTIF(D141:AG141,"")=0,COUNTIF(D141:AG141,"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EXTRACTNUMBER(AD141),EXTRACTNUMBER(AF141)),"*"),IF(AND(COUNTIF(D141:AG141,"=36")&gt;=2,COUNTIF(D141:AG141,"f")=2,COUNTIF(D141:AG141,"")=0,COUNTIF(D141:AG141,"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EXTRACTNUMBER(AD141),EXTRACTNUMBER(AF141)),"*"),SUM(EXTRACTNUMBER(D141),EXTRACTNUMBER(F141),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EXTRACTNUMBER(AD141),EXTRACTNUMBER(AF141))))),SUM(EXTRACTNUMBER(D141),EXTRACTNUMBER(F141),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EXTRACTNUMBER(AD141),EXTRACTNUMBER(AF141)))</f>
        <v>0</v>
      </c>
      <c r="AI141" s="38" t="str">
        <f t="shared" si="16"/>
        <v>ABSENT</v>
      </c>
      <c r="AJ141" s="28" t="str">
        <f>spellnumber(EXTRACTnUMBER_TOT(AH141))</f>
        <v xml:space="preserve"> </v>
      </c>
      <c r="AK141" s="9">
        <v>19</v>
      </c>
    </row>
    <row r="142" spans="2:37" ht="15" customHeight="1">
      <c r="B142" s="31">
        <v>223316</v>
      </c>
      <c r="C142" s="32" t="s">
        <v>274</v>
      </c>
      <c r="D142" s="33">
        <v>27</v>
      </c>
      <c r="E142" s="34" t="str">
        <f t="shared" si="18"/>
        <v>F</v>
      </c>
      <c r="F142" s="35">
        <v>17</v>
      </c>
      <c r="G142" s="34" t="str">
        <f t="shared" si="19"/>
        <v>E</v>
      </c>
      <c r="H142" s="36">
        <v>68</v>
      </c>
      <c r="I142" s="34" t="str">
        <f t="shared" si="20"/>
        <v>E</v>
      </c>
      <c r="J142" s="35">
        <v>24</v>
      </c>
      <c r="K142" s="34" t="str">
        <f t="shared" si="21"/>
        <v>E</v>
      </c>
      <c r="L142" s="35">
        <v>20</v>
      </c>
      <c r="M142" s="34" t="str">
        <f t="shared" si="22"/>
        <v>E</v>
      </c>
      <c r="N142" s="36">
        <v>66</v>
      </c>
      <c r="O142" s="34" t="str">
        <f t="shared" si="17"/>
        <v>E</v>
      </c>
      <c r="P142" s="35">
        <v>19</v>
      </c>
      <c r="Q142" s="37" t="str">
        <f t="shared" si="23"/>
        <v>E</v>
      </c>
      <c r="R142" s="33">
        <v>61</v>
      </c>
      <c r="S142" s="34" t="str">
        <f t="shared" si="24"/>
        <v>E</v>
      </c>
      <c r="T142" s="35">
        <v>21</v>
      </c>
      <c r="U142" s="37" t="str">
        <f t="shared" si="25"/>
        <v>E</v>
      </c>
      <c r="V142" s="33">
        <v>55</v>
      </c>
      <c r="W142" s="34" t="str">
        <f t="shared" si="26"/>
        <v>E</v>
      </c>
      <c r="X142" s="35">
        <v>22</v>
      </c>
      <c r="Y142" s="37" t="str">
        <f t="shared" si="27"/>
        <v>E</v>
      </c>
      <c r="Z142" s="35">
        <v>20</v>
      </c>
      <c r="AA142" s="37" t="str">
        <f t="shared" si="28"/>
        <v>E</v>
      </c>
      <c r="AB142" s="33">
        <v>46</v>
      </c>
      <c r="AC142" s="34" t="str">
        <f t="shared" si="29"/>
        <v>E</v>
      </c>
      <c r="AD142" s="35">
        <v>24</v>
      </c>
      <c r="AE142" s="34" t="str">
        <f t="shared" si="30"/>
        <v>E</v>
      </c>
      <c r="AF142" s="35">
        <v>40</v>
      </c>
      <c r="AG142" s="37" t="str">
        <f t="shared" si="31"/>
        <v>E</v>
      </c>
      <c r="AH142" s="4">
        <f>IF(OR(AND(D142&gt;=31,D142&lt;40),AND(H142&gt;=31,H142&lt;40),AND(N142&gt;=31,N142&lt;40),AND(R142&gt;=31,R142&lt;40),AND(V142&gt;=31,V142&lt;40),AND(AB142&gt;=31,AB142&lt;40)),IF(AND(OR(COUNTIF(D142:AG142,"=31")&gt;=1,COUNTIF(D142:AG142,"=32")&gt;=1,COUNTIF(D142:AG142,"=33")&gt;=1,COUNTIF(D142:AG142,"=34")&gt;=1,COUNTIF(D142:AG142,"=35")&gt;=1,COUNTIF(D142:AG142,"=36")&gt;=1 ),COUNTIF(D142:AG142,"")=0,COUNTIF(D142:AG142," ")=0,COUNTIF(D142:AG142,"F")=1),CONCATENATE(SUM(EXTRACTNUMBER(D142),EXTRACTNUMBER(F142),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EXTRACTNUMBER(AD142),EXTRACTNUMBER(AF142)),"*"),IF(AND(COUNTIF(D142:AG142,"=34")&gt;=1,COUNTIF(D142:AG142,"=35")&gt;=1,COUNTIF(D142:AG142,"f")=2,COUNTIF(D142:AG142,"")=0,COUNTIF(D142:AG142,"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EXTRACTNUMBER(AD142),EXTRACTNUMBER(AF142)),"*"),IF(AND(COUNTIF(D142:AG142,"=36")&gt;=2,COUNTIF(D142:AG142,"f")=2,COUNTIF(D142:AG142,"")=0,COUNTIF(D142:AG142,"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EXTRACTNUMBER(AD142),EXTRACTNUMBER(AF142)),"*"),SUM(EXTRACTNUMBER(D142),EXTRACTNUMBER(F142),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EXTRACTNUMBER(AD142),EXTRACTNUMBER(AF142))))),SUM(EXTRACTNUMBER(D142),EXTRACTNUMBER(F142),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EXTRACTNUMBER(AD142),EXTRACTNUMBER(AF142)))</f>
        <v>530</v>
      </c>
      <c r="AI142" s="38" t="str">
        <f t="shared" si="16"/>
        <v>FAIL</v>
      </c>
      <c r="AJ142" s="28" t="str">
        <f>spellnumber(EXTRACTnUMBER_TOT(AH142))</f>
        <v xml:space="preserve">Five Hundred Thirty  </v>
      </c>
      <c r="AK142" s="9">
        <v>530</v>
      </c>
    </row>
    <row r="143" spans="2:37" ht="15" customHeight="1">
      <c r="B143" s="31">
        <v>223317</v>
      </c>
      <c r="C143" s="32" t="s">
        <v>275</v>
      </c>
      <c r="D143" s="33">
        <v>40</v>
      </c>
      <c r="E143" s="34" t="str">
        <f t="shared" si="18"/>
        <v/>
      </c>
      <c r="F143" s="35">
        <v>24</v>
      </c>
      <c r="G143" s="34" t="str">
        <f t="shared" si="19"/>
        <v/>
      </c>
      <c r="H143" s="36">
        <v>74</v>
      </c>
      <c r="I143" s="34" t="str">
        <f t="shared" si="20"/>
        <v/>
      </c>
      <c r="J143" s="35">
        <v>22</v>
      </c>
      <c r="K143" s="34" t="str">
        <f t="shared" si="21"/>
        <v/>
      </c>
      <c r="L143" s="35">
        <v>18</v>
      </c>
      <c r="M143" s="34" t="str">
        <f t="shared" si="22"/>
        <v/>
      </c>
      <c r="N143" s="36">
        <v>85</v>
      </c>
      <c r="O143" s="34" t="str">
        <f t="shared" si="17"/>
        <v/>
      </c>
      <c r="P143" s="35">
        <v>23</v>
      </c>
      <c r="Q143" s="37" t="str">
        <f t="shared" si="23"/>
        <v/>
      </c>
      <c r="R143" s="33">
        <v>63</v>
      </c>
      <c r="S143" s="34" t="str">
        <f t="shared" si="24"/>
        <v/>
      </c>
      <c r="T143" s="35">
        <v>23</v>
      </c>
      <c r="U143" s="37" t="str">
        <f t="shared" si="25"/>
        <v/>
      </c>
      <c r="V143" s="33">
        <v>71</v>
      </c>
      <c r="W143" s="34" t="str">
        <f t="shared" si="26"/>
        <v/>
      </c>
      <c r="X143" s="35">
        <v>19</v>
      </c>
      <c r="Y143" s="37" t="str">
        <f t="shared" si="27"/>
        <v/>
      </c>
      <c r="Z143" s="35">
        <v>18</v>
      </c>
      <c r="AA143" s="37" t="str">
        <f t="shared" si="28"/>
        <v/>
      </c>
      <c r="AB143" s="33">
        <v>40</v>
      </c>
      <c r="AC143" s="34" t="str">
        <f t="shared" si="29"/>
        <v/>
      </c>
      <c r="AD143" s="35">
        <v>23</v>
      </c>
      <c r="AE143" s="34" t="str">
        <f t="shared" si="30"/>
        <v/>
      </c>
      <c r="AF143" s="35">
        <v>44</v>
      </c>
      <c r="AG143" s="37" t="str">
        <f t="shared" si="31"/>
        <v/>
      </c>
      <c r="AH143" s="4">
        <f>IF(OR(AND(D143&gt;=31,D143&lt;40),AND(H143&gt;=31,H143&lt;40),AND(N143&gt;=31,N143&lt;40),AND(R143&gt;=31,R143&lt;40),AND(V143&gt;=31,V143&lt;40),AND(AB143&gt;=31,AB143&lt;40)),IF(AND(OR(COUNTIF(D143:AG143,"=31")&gt;=1,COUNTIF(D143:AG143,"=32")&gt;=1,COUNTIF(D143:AG143,"=33")&gt;=1,COUNTIF(D143:AG143,"=34")&gt;=1,COUNTIF(D143:AG143,"=35")&gt;=1,COUNTIF(D143:AG143,"=36")&gt;=1 ),COUNTIF(D143:AG143,"")=0,COUNTIF(D143:AG143," ")=0,COUNTIF(D143:AG143,"F")=1),CONCATENATE(SUM(EXTRACTNUMBER(D143),EXTRACTNUMBER(F143),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EXTRACTNUMBER(AD143),EXTRACTNUMBER(AF143)),"*"),IF(AND(COUNTIF(D143:AG143,"=34")&gt;=1,COUNTIF(D143:AG143,"=35")&gt;=1,COUNTIF(D143:AG143,"f")=2,COUNTIF(D143:AG143,"")=0,COUNTIF(D143:AG143,"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EXTRACTNUMBER(AD143),EXTRACTNUMBER(AF143)),"*"),IF(AND(COUNTIF(D143:AG143,"=36")&gt;=2,COUNTIF(D143:AG143,"f")=2,COUNTIF(D143:AG143,"")=0,COUNTIF(D143:AG143,"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EXTRACTNUMBER(AD143),EXTRACTNUMBER(AF143)),"*"),SUM(EXTRACTNUMBER(D143),EXTRACTNUMBER(F143),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EXTRACTNUMBER(AD143),EXTRACTNUMBER(AF143))))),SUM(EXTRACTNUMBER(D143),EXTRACTNUMBER(F143),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EXTRACTNUMBER(AD143),EXTRACTNUMBER(AF143)))</f>
        <v>587</v>
      </c>
      <c r="AI143" s="38" t="str">
        <f t="shared" si="16"/>
        <v>PASS</v>
      </c>
      <c r="AJ143" s="28" t="str">
        <f>spellnumber(EXTRACTnUMBER_TOT(AH143))</f>
        <v xml:space="preserve">Five Hundred Eighty Seven </v>
      </c>
      <c r="AK143" s="9">
        <v>587</v>
      </c>
    </row>
    <row r="144" spans="2:37" ht="15" customHeight="1">
      <c r="B144" s="31">
        <v>223318</v>
      </c>
      <c r="C144" s="32" t="s">
        <v>276</v>
      </c>
      <c r="D144" s="33">
        <v>56</v>
      </c>
      <c r="E144" s="34" t="str">
        <f t="shared" si="18"/>
        <v/>
      </c>
      <c r="F144" s="35">
        <v>15</v>
      </c>
      <c r="G144" s="34" t="str">
        <f t="shared" si="19"/>
        <v/>
      </c>
      <c r="H144" s="36">
        <v>67</v>
      </c>
      <c r="I144" s="34" t="str">
        <f t="shared" si="20"/>
        <v/>
      </c>
      <c r="J144" s="35">
        <v>18</v>
      </c>
      <c r="K144" s="34" t="str">
        <f t="shared" si="21"/>
        <v/>
      </c>
      <c r="L144" s="35">
        <v>18</v>
      </c>
      <c r="M144" s="34" t="str">
        <f t="shared" si="22"/>
        <v/>
      </c>
      <c r="N144" s="36">
        <v>78</v>
      </c>
      <c r="O144" s="34" t="str">
        <f t="shared" si="17"/>
        <v/>
      </c>
      <c r="P144" s="35">
        <v>12</v>
      </c>
      <c r="Q144" s="37" t="str">
        <f t="shared" si="23"/>
        <v/>
      </c>
      <c r="R144" s="33">
        <v>77</v>
      </c>
      <c r="S144" s="34" t="str">
        <f t="shared" si="24"/>
        <v/>
      </c>
      <c r="T144" s="35">
        <v>15</v>
      </c>
      <c r="U144" s="37" t="str">
        <f t="shared" si="25"/>
        <v/>
      </c>
      <c r="V144" s="33">
        <v>53</v>
      </c>
      <c r="W144" s="34" t="str">
        <f t="shared" si="26"/>
        <v/>
      </c>
      <c r="X144" s="35">
        <v>17</v>
      </c>
      <c r="Y144" s="37" t="str">
        <f t="shared" si="27"/>
        <v/>
      </c>
      <c r="Z144" s="35">
        <v>18</v>
      </c>
      <c r="AA144" s="37" t="str">
        <f t="shared" si="28"/>
        <v/>
      </c>
      <c r="AB144" s="33">
        <v>53</v>
      </c>
      <c r="AC144" s="34" t="str">
        <f t="shared" si="29"/>
        <v/>
      </c>
      <c r="AD144" s="35">
        <v>18</v>
      </c>
      <c r="AE144" s="34" t="str">
        <f t="shared" si="30"/>
        <v/>
      </c>
      <c r="AF144" s="35">
        <v>36</v>
      </c>
      <c r="AG144" s="37" t="str">
        <f t="shared" si="31"/>
        <v/>
      </c>
      <c r="AH144" s="4">
        <f>IF(OR(AND(D144&gt;=31,D144&lt;40),AND(H144&gt;=31,H144&lt;40),AND(N144&gt;=31,N144&lt;40),AND(R144&gt;=31,R144&lt;40),AND(V144&gt;=31,V144&lt;40),AND(AB144&gt;=31,AB144&lt;40)),IF(AND(OR(COUNTIF(D144:AG144,"=31")&gt;=1,COUNTIF(D144:AG144,"=32")&gt;=1,COUNTIF(D144:AG144,"=33")&gt;=1,COUNTIF(D144:AG144,"=34")&gt;=1,COUNTIF(D144:AG144,"=35")&gt;=1,COUNTIF(D144:AG144,"=36")&gt;=1 ),COUNTIF(D144:AG144,"")=0,COUNTIF(D144:AG144," ")=0,COUNTIF(D144:AG144,"F")=1),CONCATENATE(SUM(EXTRACTNUMBER(D144),EXTRACTNUMBER(F144),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EXTRACTNUMBER(AD144),EXTRACTNUMBER(AF144)),"*"),IF(AND(COUNTIF(D144:AG144,"=34")&gt;=1,COUNTIF(D144:AG144,"=35")&gt;=1,COUNTIF(D144:AG144,"f")=2,COUNTIF(D144:AG144,"")=0,COUNTIF(D144:AG144,"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EXTRACTNUMBER(AD144),EXTRACTNUMBER(AF144)),"*"),IF(AND(COUNTIF(D144:AG144,"=36")&gt;=2,COUNTIF(D144:AG144,"f")=2,COUNTIF(D144:AG144,"")=0,COUNTIF(D144:AG144,"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EXTRACTNUMBER(AD144),EXTRACTNUMBER(AF144)),"*"),SUM(EXTRACTNUMBER(D144),EXTRACTNUMBER(F144),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EXTRACTNUMBER(AD144),EXTRACTNUMBER(AF144))))),SUM(EXTRACTNUMBER(D144),EXTRACTNUMBER(F144),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EXTRACTNUMBER(AD144),EXTRACTNUMBER(AF144)))</f>
        <v>551</v>
      </c>
      <c r="AI144" s="38" t="str">
        <f t="shared" si="16"/>
        <v>PASS</v>
      </c>
      <c r="AJ144" s="28" t="str">
        <f>spellnumber(EXTRACTnUMBER_TOT(AH144))</f>
        <v xml:space="preserve">Five Hundred Fifty One </v>
      </c>
      <c r="AK144" s="9">
        <v>551</v>
      </c>
    </row>
    <row r="145" spans="2:37" ht="15" customHeight="1">
      <c r="B145" s="31">
        <v>223319</v>
      </c>
      <c r="C145" s="39" t="s">
        <v>277</v>
      </c>
      <c r="D145" s="33">
        <v>20</v>
      </c>
      <c r="E145" s="34" t="str">
        <f t="shared" si="18"/>
        <v>F</v>
      </c>
      <c r="F145" s="35">
        <v>12</v>
      </c>
      <c r="G145" s="34" t="str">
        <f t="shared" si="19"/>
        <v>E</v>
      </c>
      <c r="H145" s="36">
        <v>40</v>
      </c>
      <c r="I145" s="34" t="str">
        <f t="shared" si="20"/>
        <v>E</v>
      </c>
      <c r="J145" s="35">
        <v>21</v>
      </c>
      <c r="K145" s="34" t="str">
        <f t="shared" si="21"/>
        <v>E</v>
      </c>
      <c r="L145" s="35">
        <v>19</v>
      </c>
      <c r="M145" s="34" t="str">
        <f t="shared" si="22"/>
        <v>E</v>
      </c>
      <c r="N145" s="36">
        <v>31</v>
      </c>
      <c r="O145" s="34" t="str">
        <f t="shared" si="17"/>
        <v>F</v>
      </c>
      <c r="P145" s="35">
        <v>17</v>
      </c>
      <c r="Q145" s="37" t="str">
        <f t="shared" si="23"/>
        <v>E</v>
      </c>
      <c r="R145" s="33">
        <v>20</v>
      </c>
      <c r="S145" s="34" t="str">
        <f t="shared" si="24"/>
        <v>F</v>
      </c>
      <c r="T145" s="35">
        <v>20</v>
      </c>
      <c r="U145" s="37" t="str">
        <f t="shared" si="25"/>
        <v>E</v>
      </c>
      <c r="V145" s="33">
        <v>40</v>
      </c>
      <c r="W145" s="34" t="str">
        <f t="shared" si="26"/>
        <v>E</v>
      </c>
      <c r="X145" s="35">
        <v>17</v>
      </c>
      <c r="Y145" s="37" t="str">
        <f t="shared" si="27"/>
        <v>E</v>
      </c>
      <c r="Z145" s="35">
        <v>19</v>
      </c>
      <c r="AA145" s="37" t="str">
        <f t="shared" si="28"/>
        <v>E</v>
      </c>
      <c r="AB145" s="33">
        <v>14</v>
      </c>
      <c r="AC145" s="34" t="str">
        <f t="shared" si="29"/>
        <v>F</v>
      </c>
      <c r="AD145" s="35">
        <v>19</v>
      </c>
      <c r="AE145" s="34" t="str">
        <f t="shared" si="30"/>
        <v>E</v>
      </c>
      <c r="AF145" s="35">
        <v>33</v>
      </c>
      <c r="AG145" s="37" t="str">
        <f t="shared" si="31"/>
        <v>E</v>
      </c>
      <c r="AH145" s="4">
        <f>IF(OR(AND(D145&gt;=31,D145&lt;40),AND(H145&gt;=31,H145&lt;40),AND(N145&gt;=31,N145&lt;40),AND(R145&gt;=31,R145&lt;40),AND(V145&gt;=31,V145&lt;40),AND(AB145&gt;=31,AB145&lt;40)),IF(AND(OR(COUNTIF(D145:AG145,"=31")&gt;=1,COUNTIF(D145:AG145,"=32")&gt;=1,COUNTIF(D145:AG145,"=33")&gt;=1,COUNTIF(D145:AG145,"=34")&gt;=1,COUNTIF(D145:AG145,"=35")&gt;=1,COUNTIF(D145:AG145,"=36")&gt;=1 ),COUNTIF(D145:AG145,"")=0,COUNTIF(D145:AG145," ")=0,COUNTIF(D145:AG145,"F")=1),CONCATENATE(SUM(EXTRACTNUMBER(D145),EXTRACTNUMBER(F145),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EXTRACTNUMBER(AD145),EXTRACTNUMBER(AF145)),"*"),IF(AND(COUNTIF(D145:AG145,"=34")&gt;=1,COUNTIF(D145:AG145,"=35")&gt;=1,COUNTIF(D145:AG145,"f")=2,COUNTIF(D145:AG145,"")=0,COUNTIF(D145:AG145,"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EXTRACTNUMBER(AD145),EXTRACTNUMBER(AF145)),"*"),IF(AND(COUNTIF(D145:AG145,"=36")&gt;=2,COUNTIF(D145:AG145,"f")=2,COUNTIF(D145:AG145,"")=0,COUNTIF(D145:AG145,"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EXTRACTNUMBER(AD145),EXTRACTNUMBER(AF145)),"*"),SUM(EXTRACTNUMBER(D145),EXTRACTNUMBER(F145),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EXTRACTNUMBER(AD145),EXTRACTNUMBER(AF145))))),SUM(EXTRACTNUMBER(D145),EXTRACTNUMBER(F145),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EXTRACTNUMBER(AD145),EXTRACTNUMBER(AF145)))</f>
        <v>342</v>
      </c>
      <c r="AI145" s="38" t="str">
        <f t="shared" si="16"/>
        <v>FAIL</v>
      </c>
      <c r="AJ145" s="28" t="str">
        <f>spellnumber(EXTRACTnUMBER_TOT(AH145))</f>
        <v xml:space="preserve">Three Hundred Forty Two </v>
      </c>
      <c r="AK145" s="9">
        <v>342</v>
      </c>
    </row>
    <row r="146" spans="2:37" ht="15" customHeight="1">
      <c r="B146" s="31">
        <v>223320</v>
      </c>
      <c r="C146" s="32" t="s">
        <v>278</v>
      </c>
      <c r="D146" s="33">
        <v>23</v>
      </c>
      <c r="E146" s="34" t="str">
        <f t="shared" si="18"/>
        <v>F</v>
      </c>
      <c r="F146" s="35">
        <v>15</v>
      </c>
      <c r="G146" s="34" t="str">
        <f t="shared" si="19"/>
        <v>E</v>
      </c>
      <c r="H146" s="36">
        <v>46</v>
      </c>
      <c r="I146" s="34" t="str">
        <f t="shared" si="20"/>
        <v>E</v>
      </c>
      <c r="J146" s="35">
        <v>20</v>
      </c>
      <c r="K146" s="34" t="str">
        <f t="shared" si="21"/>
        <v>E</v>
      </c>
      <c r="L146" s="35">
        <v>19</v>
      </c>
      <c r="M146" s="34" t="str">
        <f t="shared" si="22"/>
        <v>E</v>
      </c>
      <c r="N146" s="36">
        <v>44</v>
      </c>
      <c r="O146" s="34" t="str">
        <f t="shared" si="17"/>
        <v>E</v>
      </c>
      <c r="P146" s="35">
        <v>17</v>
      </c>
      <c r="Q146" s="37" t="str">
        <f t="shared" si="23"/>
        <v>E</v>
      </c>
      <c r="R146" s="33">
        <v>59</v>
      </c>
      <c r="S146" s="34" t="str">
        <f t="shared" si="24"/>
        <v>E</v>
      </c>
      <c r="T146" s="35">
        <v>20</v>
      </c>
      <c r="U146" s="37" t="str">
        <f t="shared" si="25"/>
        <v>E</v>
      </c>
      <c r="V146" s="33">
        <v>46</v>
      </c>
      <c r="W146" s="34" t="str">
        <f t="shared" si="26"/>
        <v>E</v>
      </c>
      <c r="X146" s="35">
        <v>22</v>
      </c>
      <c r="Y146" s="37" t="str">
        <f t="shared" si="27"/>
        <v>E</v>
      </c>
      <c r="Z146" s="35">
        <v>22</v>
      </c>
      <c r="AA146" s="37" t="str">
        <f t="shared" si="28"/>
        <v>E</v>
      </c>
      <c r="AB146" s="33">
        <v>40</v>
      </c>
      <c r="AC146" s="34" t="str">
        <f t="shared" si="29"/>
        <v>E</v>
      </c>
      <c r="AD146" s="35">
        <v>23</v>
      </c>
      <c r="AE146" s="34" t="str">
        <f t="shared" si="30"/>
        <v>E</v>
      </c>
      <c r="AF146" s="35">
        <v>41</v>
      </c>
      <c r="AG146" s="37" t="str">
        <f t="shared" si="31"/>
        <v>E</v>
      </c>
      <c r="AH146" s="4">
        <f>IF(OR(AND(D146&gt;=31,D146&lt;40),AND(H146&gt;=31,H146&lt;40),AND(N146&gt;=31,N146&lt;40),AND(R146&gt;=31,R146&lt;40),AND(V146&gt;=31,V146&lt;40),AND(AB146&gt;=31,AB146&lt;40)),IF(AND(OR(COUNTIF(D146:AG146,"=31")&gt;=1,COUNTIF(D146:AG146,"=32")&gt;=1,COUNTIF(D146:AG146,"=33")&gt;=1,COUNTIF(D146:AG146,"=34")&gt;=1,COUNTIF(D146:AG146,"=35")&gt;=1,COUNTIF(D146:AG146,"=36")&gt;=1 ),COUNTIF(D146:AG146,"")=0,COUNTIF(D146:AG146," ")=0,COUNTIF(D146:AG146,"F")=1),CONCATENATE(SUM(EXTRACTNUMBER(D146),EXTRACTNUMBER(F146),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EXTRACTNUMBER(AD146),EXTRACTNUMBER(AF146)),"*"),IF(AND(COUNTIF(D146:AG146,"=34")&gt;=1,COUNTIF(D146:AG146,"=35")&gt;=1,COUNTIF(D146:AG146,"f")=2,COUNTIF(D146:AG146,"")=0,COUNTIF(D146:AG146,"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EXTRACTNUMBER(AD146),EXTRACTNUMBER(AF146)),"*"),IF(AND(COUNTIF(D146:AG146,"=36")&gt;=2,COUNTIF(D146:AG146,"f")=2,COUNTIF(D146:AG146,"")=0,COUNTIF(D146:AG146,"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EXTRACTNUMBER(AD146),EXTRACTNUMBER(AF146)),"*"),SUM(EXTRACTNUMBER(D146),EXTRACTNUMBER(F146),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EXTRACTNUMBER(AD146),EXTRACTNUMBER(AF146))))),SUM(EXTRACTNUMBER(D146),EXTRACTNUMBER(F146),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EXTRACTNUMBER(AD146),EXTRACTNUMBER(AF146)))</f>
        <v>457</v>
      </c>
      <c r="AI146" s="38" t="str">
        <f t="shared" si="16"/>
        <v>FAIL</v>
      </c>
      <c r="AJ146" s="28" t="str">
        <f>spellnumber(EXTRACTnUMBER_TOT(AH146))</f>
        <v xml:space="preserve">Four Hundred Fifty Seven </v>
      </c>
      <c r="AK146" s="9">
        <v>457</v>
      </c>
    </row>
    <row r="147" spans="2:37" ht="15" customHeight="1">
      <c r="B147" s="31">
        <v>223321</v>
      </c>
      <c r="C147" s="32" t="s">
        <v>279</v>
      </c>
      <c r="D147" s="33">
        <v>12</v>
      </c>
      <c r="E147" s="34" t="str">
        <f t="shared" si="18"/>
        <v>F</v>
      </c>
      <c r="F147" s="35">
        <v>14</v>
      </c>
      <c r="G147" s="34" t="str">
        <f t="shared" si="19"/>
        <v>E</v>
      </c>
      <c r="H147" s="36">
        <v>42</v>
      </c>
      <c r="I147" s="34" t="str">
        <f t="shared" si="20"/>
        <v>E</v>
      </c>
      <c r="J147" s="35">
        <v>18</v>
      </c>
      <c r="K147" s="34" t="str">
        <f t="shared" si="21"/>
        <v>E</v>
      </c>
      <c r="L147" s="35">
        <v>17</v>
      </c>
      <c r="M147" s="34" t="str">
        <f t="shared" si="22"/>
        <v>E</v>
      </c>
      <c r="N147" s="36">
        <v>60</v>
      </c>
      <c r="O147" s="34" t="str">
        <f t="shared" si="17"/>
        <v>E</v>
      </c>
      <c r="P147" s="35">
        <v>15</v>
      </c>
      <c r="Q147" s="37" t="str">
        <f t="shared" si="23"/>
        <v>E</v>
      </c>
      <c r="R147" s="33">
        <v>40</v>
      </c>
      <c r="S147" s="34" t="str">
        <f t="shared" si="24"/>
        <v>E</v>
      </c>
      <c r="T147" s="35">
        <v>15</v>
      </c>
      <c r="U147" s="37" t="str">
        <f t="shared" si="25"/>
        <v>E</v>
      </c>
      <c r="V147" s="33">
        <v>40</v>
      </c>
      <c r="W147" s="34" t="str">
        <f t="shared" si="26"/>
        <v>E</v>
      </c>
      <c r="X147" s="35">
        <v>17</v>
      </c>
      <c r="Y147" s="37" t="str">
        <f t="shared" si="27"/>
        <v>E</v>
      </c>
      <c r="Z147" s="35">
        <v>18</v>
      </c>
      <c r="AA147" s="37" t="str">
        <f t="shared" si="28"/>
        <v>E</v>
      </c>
      <c r="AB147" s="33">
        <v>41</v>
      </c>
      <c r="AC147" s="34" t="str">
        <f t="shared" si="29"/>
        <v>E</v>
      </c>
      <c r="AD147" s="35">
        <v>21</v>
      </c>
      <c r="AE147" s="34" t="str">
        <f t="shared" si="30"/>
        <v>E</v>
      </c>
      <c r="AF147" s="35">
        <v>27</v>
      </c>
      <c r="AG147" s="37" t="str">
        <f t="shared" si="31"/>
        <v>E</v>
      </c>
      <c r="AH147" s="4">
        <f>IF(OR(AND(D147&gt;=31,D147&lt;40),AND(H147&gt;=31,H147&lt;40),AND(N147&gt;=31,N147&lt;40),AND(R147&gt;=31,R147&lt;40),AND(V147&gt;=31,V147&lt;40),AND(AB147&gt;=31,AB147&lt;40)),IF(AND(OR(COUNTIF(D147:AG147,"=31")&gt;=1,COUNTIF(D147:AG147,"=32")&gt;=1,COUNTIF(D147:AG147,"=33")&gt;=1,COUNTIF(D147:AG147,"=34")&gt;=1,COUNTIF(D147:AG147,"=35")&gt;=1,COUNTIF(D147:AG147,"=36")&gt;=1 ),COUNTIF(D147:AG147,"")=0,COUNTIF(D147:AG147," ")=0,COUNTIF(D147:AG147,"F")=1),CONCATENATE(SUM(EXTRACTNUMBER(D147),EXTRACTNUMBER(F147),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EXTRACTNUMBER(AD147),EXTRACTNUMBER(AF147)),"*"),IF(AND(COUNTIF(D147:AG147,"=34")&gt;=1,COUNTIF(D147:AG147,"=35")&gt;=1,COUNTIF(D147:AG147,"f")=2,COUNTIF(D147:AG147,"")=0,COUNTIF(D147:AG147,"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EXTRACTNUMBER(AD147),EXTRACTNUMBER(AF147)),"*"),IF(AND(COUNTIF(D147:AG147,"=36")&gt;=2,COUNTIF(D147:AG147,"f")=2,COUNTIF(D147:AG147,"")=0,COUNTIF(D147:AG147,"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EXTRACTNUMBER(AD147),EXTRACTNUMBER(AF147)),"*"),SUM(EXTRACTNUMBER(D147),EXTRACTNUMBER(F147),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EXTRACTNUMBER(AD147),EXTRACTNUMBER(AF147))))),SUM(EXTRACTNUMBER(D147),EXTRACTNUMBER(F147),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EXTRACTNUMBER(AD147),EXTRACTNUMBER(AF147)))</f>
        <v>397</v>
      </c>
      <c r="AI147" s="38" t="str">
        <f t="shared" si="16"/>
        <v>FAIL</v>
      </c>
      <c r="AJ147" s="28" t="str">
        <f>spellnumber(EXTRACTnUMBER_TOT(AH147))</f>
        <v xml:space="preserve">Three Hundred NinetySeven </v>
      </c>
      <c r="AK147" s="9">
        <v>397</v>
      </c>
    </row>
    <row r="148" spans="2:37" ht="15" customHeight="1">
      <c r="B148" s="31">
        <v>223322</v>
      </c>
      <c r="C148" s="32" t="s">
        <v>280</v>
      </c>
      <c r="D148" s="33">
        <v>40</v>
      </c>
      <c r="E148" s="34" t="str">
        <f t="shared" si="18"/>
        <v/>
      </c>
      <c r="F148" s="35">
        <v>18</v>
      </c>
      <c r="G148" s="34" t="str">
        <f t="shared" si="19"/>
        <v/>
      </c>
      <c r="H148" s="36">
        <v>59</v>
      </c>
      <c r="I148" s="34" t="str">
        <f t="shared" si="20"/>
        <v/>
      </c>
      <c r="J148" s="35">
        <v>19</v>
      </c>
      <c r="K148" s="34" t="str">
        <f t="shared" si="21"/>
        <v/>
      </c>
      <c r="L148" s="35">
        <v>19</v>
      </c>
      <c r="M148" s="34" t="str">
        <f t="shared" si="22"/>
        <v/>
      </c>
      <c r="N148" s="36">
        <v>73</v>
      </c>
      <c r="O148" s="34" t="str">
        <f t="shared" si="17"/>
        <v/>
      </c>
      <c r="P148" s="35">
        <v>20</v>
      </c>
      <c r="Q148" s="37" t="str">
        <f t="shared" si="23"/>
        <v/>
      </c>
      <c r="R148" s="33">
        <v>62</v>
      </c>
      <c r="S148" s="34" t="str">
        <f t="shared" si="24"/>
        <v/>
      </c>
      <c r="T148" s="35">
        <v>20</v>
      </c>
      <c r="U148" s="37" t="str">
        <f t="shared" si="25"/>
        <v/>
      </c>
      <c r="V148" s="33">
        <v>62</v>
      </c>
      <c r="W148" s="34" t="str">
        <f t="shared" si="26"/>
        <v/>
      </c>
      <c r="X148" s="35">
        <v>20</v>
      </c>
      <c r="Y148" s="37" t="str">
        <f t="shared" si="27"/>
        <v/>
      </c>
      <c r="Z148" s="35">
        <v>20</v>
      </c>
      <c r="AA148" s="37" t="str">
        <f t="shared" si="28"/>
        <v/>
      </c>
      <c r="AB148" s="33">
        <v>50</v>
      </c>
      <c r="AC148" s="34" t="str">
        <f t="shared" si="29"/>
        <v/>
      </c>
      <c r="AD148" s="35">
        <v>20</v>
      </c>
      <c r="AE148" s="34" t="str">
        <f t="shared" si="30"/>
        <v/>
      </c>
      <c r="AF148" s="35">
        <v>34</v>
      </c>
      <c r="AG148" s="37" t="str">
        <f t="shared" si="31"/>
        <v/>
      </c>
      <c r="AH148" s="4">
        <f>IF(OR(AND(D148&gt;=31,D148&lt;40),AND(H148&gt;=31,H148&lt;40),AND(N148&gt;=31,N148&lt;40),AND(R148&gt;=31,R148&lt;40),AND(V148&gt;=31,V148&lt;40),AND(AB148&gt;=31,AB148&lt;40)),IF(AND(OR(COUNTIF(D148:AG148,"=31")&gt;=1,COUNTIF(D148:AG148,"=32")&gt;=1,COUNTIF(D148:AG148,"=33")&gt;=1,COUNTIF(D148:AG148,"=34")&gt;=1,COUNTIF(D148:AG148,"=35")&gt;=1,COUNTIF(D148:AG148,"=36")&gt;=1 ),COUNTIF(D148:AG148,"")=0,COUNTIF(D148:AG148," ")=0,COUNTIF(D148:AG148,"F")=1),CONCATENATE(SUM(EXTRACTNUMBER(D148),EXTRACTNUMBER(F148),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EXTRACTNUMBER(AD148),EXTRACTNUMBER(AF148)),"*"),IF(AND(COUNTIF(D148:AG148,"=34")&gt;=1,COUNTIF(D148:AG148,"=35")&gt;=1,COUNTIF(D148:AG148,"f")=2,COUNTIF(D148:AG148,"")=0,COUNTIF(D148:AG148,"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EXTRACTNUMBER(AD148),EXTRACTNUMBER(AF148)),"*"),IF(AND(COUNTIF(D148:AG148,"=36")&gt;=2,COUNTIF(D148:AG148,"f")=2,COUNTIF(D148:AG148,"")=0,COUNTIF(D148:AG148,"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EXTRACTNUMBER(AD148),EXTRACTNUMBER(AF148)),"*"),SUM(EXTRACTNUMBER(D148),EXTRACTNUMBER(F148),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EXTRACTNUMBER(AD148),EXTRACTNUMBER(AF148))))),SUM(EXTRACTNUMBER(D148),EXTRACTNUMBER(F148),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EXTRACTNUMBER(AD148),EXTRACTNUMBER(AF148)))</f>
        <v>536</v>
      </c>
      <c r="AI148" s="38" t="str">
        <f t="shared" si="16"/>
        <v>PASS</v>
      </c>
      <c r="AJ148" s="28" t="str">
        <f>spellnumber(EXTRACTnUMBER_TOT(AH148))</f>
        <v xml:space="preserve">Five Hundred Thirty Six </v>
      </c>
      <c r="AK148" s="9">
        <v>536</v>
      </c>
    </row>
    <row r="149" spans="2:37" ht="15" customHeight="1">
      <c r="B149" s="31">
        <v>223323</v>
      </c>
      <c r="C149" s="39" t="s">
        <v>281</v>
      </c>
      <c r="D149" s="33">
        <v>26</v>
      </c>
      <c r="E149" s="34" t="str">
        <f t="shared" si="18"/>
        <v>F</v>
      </c>
      <c r="F149" s="35">
        <v>18</v>
      </c>
      <c r="G149" s="34" t="str">
        <f t="shared" si="19"/>
        <v>E</v>
      </c>
      <c r="H149" s="36">
        <v>54</v>
      </c>
      <c r="I149" s="34" t="str">
        <f t="shared" si="20"/>
        <v>E</v>
      </c>
      <c r="J149" s="35">
        <v>19</v>
      </c>
      <c r="K149" s="34" t="str">
        <f t="shared" si="21"/>
        <v>E</v>
      </c>
      <c r="L149" s="35">
        <v>18</v>
      </c>
      <c r="M149" s="34" t="str">
        <f t="shared" si="22"/>
        <v>E</v>
      </c>
      <c r="N149" s="36">
        <v>60</v>
      </c>
      <c r="O149" s="34" t="str">
        <f t="shared" si="17"/>
        <v>E</v>
      </c>
      <c r="P149" s="35">
        <v>23</v>
      </c>
      <c r="Q149" s="37" t="str">
        <f t="shared" si="23"/>
        <v>E</v>
      </c>
      <c r="R149" s="33">
        <v>43</v>
      </c>
      <c r="S149" s="34" t="str">
        <f t="shared" si="24"/>
        <v>E</v>
      </c>
      <c r="T149" s="35">
        <v>21</v>
      </c>
      <c r="U149" s="37" t="str">
        <f t="shared" si="25"/>
        <v>E</v>
      </c>
      <c r="V149" s="33">
        <v>52</v>
      </c>
      <c r="W149" s="34" t="str">
        <f t="shared" si="26"/>
        <v>E</v>
      </c>
      <c r="X149" s="35">
        <v>19</v>
      </c>
      <c r="Y149" s="37" t="str">
        <f t="shared" si="27"/>
        <v>E</v>
      </c>
      <c r="Z149" s="35">
        <v>20</v>
      </c>
      <c r="AA149" s="37" t="str">
        <f t="shared" si="28"/>
        <v>E</v>
      </c>
      <c r="AB149" s="33">
        <v>44</v>
      </c>
      <c r="AC149" s="34" t="str">
        <f t="shared" si="29"/>
        <v>E</v>
      </c>
      <c r="AD149" s="35">
        <v>19</v>
      </c>
      <c r="AE149" s="34" t="str">
        <f t="shared" si="30"/>
        <v>E</v>
      </c>
      <c r="AF149" s="35">
        <v>43</v>
      </c>
      <c r="AG149" s="37" t="str">
        <f t="shared" si="31"/>
        <v>E</v>
      </c>
      <c r="AH149" s="4">
        <f>IF(OR(AND(D149&gt;=31,D149&lt;40),AND(H149&gt;=31,H149&lt;40),AND(N149&gt;=31,N149&lt;40),AND(R149&gt;=31,R149&lt;40),AND(V149&gt;=31,V149&lt;40),AND(AB149&gt;=31,AB149&lt;40)),IF(AND(OR(COUNTIF(D149:AG149,"=31")&gt;=1,COUNTIF(D149:AG149,"=32")&gt;=1,COUNTIF(D149:AG149,"=33")&gt;=1,COUNTIF(D149:AG149,"=34")&gt;=1,COUNTIF(D149:AG149,"=35")&gt;=1,COUNTIF(D149:AG149,"=36")&gt;=1 ),COUNTIF(D149:AG149,"")=0,COUNTIF(D149:AG149," ")=0,COUNTIF(D149:AG149,"F")=1),CONCATENATE(SUM(EXTRACTNUMBER(D149),EXTRACTNUMBER(F149),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EXTRACTNUMBER(AD149),EXTRACTNUMBER(AF149)),"*"),IF(AND(COUNTIF(D149:AG149,"=34")&gt;=1,COUNTIF(D149:AG149,"=35")&gt;=1,COUNTIF(D149:AG149,"f")=2,COUNTIF(D149:AG149,"")=0,COUNTIF(D149:AG149,"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EXTRACTNUMBER(AD149),EXTRACTNUMBER(AF149)),"*"),IF(AND(COUNTIF(D149:AG149,"=36")&gt;=2,COUNTIF(D149:AG149,"f")=2,COUNTIF(D149:AG149,"")=0,COUNTIF(D149:AG149,"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EXTRACTNUMBER(AD149),EXTRACTNUMBER(AF149)),"*"),SUM(EXTRACTNUMBER(D149),EXTRACTNUMBER(F149),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EXTRACTNUMBER(AD149),EXTRACTNUMBER(AF149))))),SUM(EXTRACTNUMBER(D149),EXTRACTNUMBER(F149),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EXTRACTNUMBER(AD149),EXTRACTNUMBER(AF149)))</f>
        <v>479</v>
      </c>
      <c r="AI149" s="38" t="str">
        <f t="shared" si="16"/>
        <v>FAIL</v>
      </c>
      <c r="AJ149" s="28" t="str">
        <f>spellnumber(EXTRACTnUMBER_TOT(AH149))</f>
        <v xml:space="preserve">Four Hundred Seventy Nine </v>
      </c>
      <c r="AK149" s="9">
        <v>479</v>
      </c>
    </row>
    <row r="150" spans="2:37" ht="15" customHeight="1">
      <c r="B150" s="31">
        <v>223324</v>
      </c>
      <c r="C150" s="32" t="s">
        <v>282</v>
      </c>
      <c r="D150" s="33">
        <v>42</v>
      </c>
      <c r="E150" s="34" t="str">
        <f t="shared" si="18"/>
        <v/>
      </c>
      <c r="F150" s="35">
        <v>22</v>
      </c>
      <c r="G150" s="34" t="str">
        <f t="shared" si="19"/>
        <v/>
      </c>
      <c r="H150" s="36">
        <v>44</v>
      </c>
      <c r="I150" s="34" t="str">
        <f t="shared" si="20"/>
        <v/>
      </c>
      <c r="J150" s="35">
        <v>23</v>
      </c>
      <c r="K150" s="34" t="str">
        <f t="shared" si="21"/>
        <v/>
      </c>
      <c r="L150" s="35">
        <v>19</v>
      </c>
      <c r="M150" s="34" t="str">
        <f t="shared" si="22"/>
        <v/>
      </c>
      <c r="N150" s="36">
        <v>65</v>
      </c>
      <c r="O150" s="34" t="str">
        <f t="shared" si="17"/>
        <v/>
      </c>
      <c r="P150" s="35">
        <v>20</v>
      </c>
      <c r="Q150" s="37" t="str">
        <f t="shared" si="23"/>
        <v/>
      </c>
      <c r="R150" s="33">
        <v>41</v>
      </c>
      <c r="S150" s="34" t="str">
        <f t="shared" si="24"/>
        <v/>
      </c>
      <c r="T150" s="35">
        <v>23</v>
      </c>
      <c r="U150" s="37" t="str">
        <f t="shared" si="25"/>
        <v/>
      </c>
      <c r="V150" s="33">
        <v>50</v>
      </c>
      <c r="W150" s="34" t="str">
        <f t="shared" si="26"/>
        <v/>
      </c>
      <c r="X150" s="35">
        <v>23</v>
      </c>
      <c r="Y150" s="37" t="str">
        <f t="shared" si="27"/>
        <v/>
      </c>
      <c r="Z150" s="35">
        <v>23</v>
      </c>
      <c r="AA150" s="37" t="str">
        <f t="shared" si="28"/>
        <v/>
      </c>
      <c r="AB150" s="33">
        <v>40</v>
      </c>
      <c r="AC150" s="34" t="str">
        <f t="shared" si="29"/>
        <v/>
      </c>
      <c r="AD150" s="35">
        <v>23</v>
      </c>
      <c r="AE150" s="34" t="str">
        <f t="shared" si="30"/>
        <v/>
      </c>
      <c r="AF150" s="35">
        <v>46</v>
      </c>
      <c r="AG150" s="37" t="str">
        <f t="shared" si="31"/>
        <v/>
      </c>
      <c r="AH150" s="4">
        <f>IF(OR(AND(D150&gt;=31,D150&lt;40),AND(H150&gt;=31,H150&lt;40),AND(N150&gt;=31,N150&lt;40),AND(R150&gt;=31,R150&lt;40),AND(V150&gt;=31,V150&lt;40),AND(AB150&gt;=31,AB150&lt;40)),IF(AND(OR(COUNTIF(D150:AG150,"=31")&gt;=1,COUNTIF(D150:AG150,"=32")&gt;=1,COUNTIF(D150:AG150,"=33")&gt;=1,COUNTIF(D150:AG150,"=34")&gt;=1,COUNTIF(D150:AG150,"=35")&gt;=1,COUNTIF(D150:AG150,"=36")&gt;=1 ),COUNTIF(D150:AG150,"")=0,COUNTIF(D150:AG150," ")=0,COUNTIF(D150:AG150,"F")=1),CONCATENATE(SUM(EXTRACTNUMBER(D150),EXTRACTNUMBER(F150),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EXTRACTNUMBER(AD150),EXTRACTNUMBER(AF150)),"*"),IF(AND(COUNTIF(D150:AG150,"=34")&gt;=1,COUNTIF(D150:AG150,"=35")&gt;=1,COUNTIF(D150:AG150,"f")=2,COUNTIF(D150:AG150,"")=0,COUNTIF(D150:AG150,"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EXTRACTNUMBER(AD150),EXTRACTNUMBER(AF150)),"*"),IF(AND(COUNTIF(D150:AG150,"=36")&gt;=2,COUNTIF(D150:AG150,"f")=2,COUNTIF(D150:AG150,"")=0,COUNTIF(D150:AG150,"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EXTRACTNUMBER(AD150),EXTRACTNUMBER(AF150)),"*"),SUM(EXTRACTNUMBER(D150),EXTRACTNUMBER(F150),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EXTRACTNUMBER(AD150),EXTRACTNUMBER(AF150))))),SUM(EXTRACTNUMBER(D150),EXTRACTNUMBER(F150),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EXTRACTNUMBER(AD150),EXTRACTNUMBER(AF150)))</f>
        <v>504</v>
      </c>
      <c r="AI150" s="38" t="str">
        <f t="shared" si="16"/>
        <v>PASS</v>
      </c>
      <c r="AJ150" s="28" t="str">
        <f>spellnumber(EXTRACTnUMBER_TOT(AH150))</f>
        <v xml:space="preserve">Five Hundred Four </v>
      </c>
      <c r="AK150" s="9">
        <v>504</v>
      </c>
    </row>
    <row r="151" spans="2:37" ht="15" customHeight="1">
      <c r="B151" s="31">
        <v>223325</v>
      </c>
      <c r="C151" s="32" t="s">
        <v>283</v>
      </c>
      <c r="D151" s="33">
        <v>40</v>
      </c>
      <c r="E151" s="34" t="str">
        <f t="shared" si="18"/>
        <v>E</v>
      </c>
      <c r="F151" s="35">
        <v>18</v>
      </c>
      <c r="G151" s="34" t="str">
        <f t="shared" si="19"/>
        <v>E</v>
      </c>
      <c r="H151" s="36">
        <v>40</v>
      </c>
      <c r="I151" s="34" t="str">
        <f t="shared" si="20"/>
        <v>E</v>
      </c>
      <c r="J151" s="35">
        <v>19</v>
      </c>
      <c r="K151" s="34" t="str">
        <f t="shared" si="21"/>
        <v>E</v>
      </c>
      <c r="L151" s="35">
        <v>19</v>
      </c>
      <c r="M151" s="34" t="str">
        <f t="shared" si="22"/>
        <v>E</v>
      </c>
      <c r="N151" s="36">
        <v>53</v>
      </c>
      <c r="O151" s="34" t="str">
        <f t="shared" si="17"/>
        <v>E</v>
      </c>
      <c r="P151" s="35">
        <v>16</v>
      </c>
      <c r="Q151" s="37" t="str">
        <f t="shared" si="23"/>
        <v>E</v>
      </c>
      <c r="R151" s="33">
        <v>40</v>
      </c>
      <c r="S151" s="34" t="str">
        <f t="shared" si="24"/>
        <v>E</v>
      </c>
      <c r="T151" s="35">
        <v>21</v>
      </c>
      <c r="U151" s="37" t="str">
        <f t="shared" si="25"/>
        <v>E</v>
      </c>
      <c r="V151" s="33">
        <v>46</v>
      </c>
      <c r="W151" s="34" t="str">
        <f t="shared" si="26"/>
        <v>E</v>
      </c>
      <c r="X151" s="35">
        <v>19</v>
      </c>
      <c r="Y151" s="37" t="str">
        <f t="shared" si="27"/>
        <v>E</v>
      </c>
      <c r="Z151" s="35">
        <v>20</v>
      </c>
      <c r="AA151" s="37" t="str">
        <f t="shared" si="28"/>
        <v>E</v>
      </c>
      <c r="AB151" s="33">
        <v>27</v>
      </c>
      <c r="AC151" s="34" t="str">
        <f t="shared" si="29"/>
        <v>F</v>
      </c>
      <c r="AD151" s="35">
        <v>21</v>
      </c>
      <c r="AE151" s="34" t="str">
        <f t="shared" si="30"/>
        <v>E</v>
      </c>
      <c r="AF151" s="35">
        <v>30</v>
      </c>
      <c r="AG151" s="37" t="str">
        <f t="shared" si="31"/>
        <v>E</v>
      </c>
      <c r="AH151" s="4">
        <f>IF(OR(AND(D151&gt;=31,D151&lt;40),AND(H151&gt;=31,H151&lt;40),AND(N151&gt;=31,N151&lt;40),AND(R151&gt;=31,R151&lt;40),AND(V151&gt;=31,V151&lt;40),AND(AB151&gt;=31,AB151&lt;40)),IF(AND(OR(COUNTIF(D151:AG151,"=31")&gt;=1,COUNTIF(D151:AG151,"=32")&gt;=1,COUNTIF(D151:AG151,"=33")&gt;=1,COUNTIF(D151:AG151,"=34")&gt;=1,COUNTIF(D151:AG151,"=35")&gt;=1,COUNTIF(D151:AG151,"=36")&gt;=1 ),COUNTIF(D151:AG151,"")=0,COUNTIF(D151:AG151," ")=0,COUNTIF(D151:AG151,"F")=1),CONCATENATE(SUM(EXTRACTNUMBER(D151),EXTRACTNUMBER(F151),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EXTRACTNUMBER(AD151),EXTRACTNUMBER(AF151)),"*"),IF(AND(COUNTIF(D151:AG151,"=34")&gt;=1,COUNTIF(D151:AG151,"=35")&gt;=1,COUNTIF(D151:AG151,"f")=2,COUNTIF(D151:AG151,"")=0,COUNTIF(D151:AG151,"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EXTRACTNUMBER(AD151),EXTRACTNUMBER(AF151)),"*"),IF(AND(COUNTIF(D151:AG151,"=36")&gt;=2,COUNTIF(D151:AG151,"f")=2,COUNTIF(D151:AG151,"")=0,COUNTIF(D151:AG151,"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EXTRACTNUMBER(AD151),EXTRACTNUMBER(AF151)),"*"),SUM(EXTRACTNUMBER(D151),EXTRACTNUMBER(F151),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EXTRACTNUMBER(AD151),EXTRACTNUMBER(AF151))))),SUM(EXTRACTNUMBER(D151),EXTRACTNUMBER(F151),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EXTRACTNUMBER(AD151),EXTRACTNUMBER(AF151)))</f>
        <v>429</v>
      </c>
      <c r="AI151" s="38" t="str">
        <f t="shared" si="16"/>
        <v>FAIL</v>
      </c>
      <c r="AJ151" s="28" t="str">
        <f>spellnumber(EXTRACTnUMBER_TOT(AH151))</f>
        <v xml:space="preserve">Four Hundred Twenty Nine </v>
      </c>
      <c r="AK151" s="9">
        <v>429</v>
      </c>
    </row>
    <row r="152" spans="2:37" ht="15" customHeight="1">
      <c r="B152" s="31">
        <v>223326</v>
      </c>
      <c r="C152" s="32" t="s">
        <v>284</v>
      </c>
      <c r="D152" s="33">
        <v>19</v>
      </c>
      <c r="E152" s="34" t="str">
        <f t="shared" si="18"/>
        <v>F</v>
      </c>
      <c r="F152" s="35">
        <v>16</v>
      </c>
      <c r="G152" s="34" t="str">
        <f t="shared" si="19"/>
        <v>E</v>
      </c>
      <c r="H152" s="36" t="s">
        <v>103</v>
      </c>
      <c r="I152" s="34" t="str">
        <f t="shared" si="20"/>
        <v/>
      </c>
      <c r="J152" s="35">
        <v>19</v>
      </c>
      <c r="K152" s="34" t="str">
        <f t="shared" si="21"/>
        <v>E</v>
      </c>
      <c r="L152" s="35">
        <v>17</v>
      </c>
      <c r="M152" s="34" t="str">
        <f t="shared" si="22"/>
        <v>E</v>
      </c>
      <c r="N152" s="36">
        <v>61</v>
      </c>
      <c r="O152" s="34" t="str">
        <f t="shared" si="17"/>
        <v>E</v>
      </c>
      <c r="P152" s="35">
        <v>16</v>
      </c>
      <c r="Q152" s="37" t="str">
        <f t="shared" si="23"/>
        <v>E</v>
      </c>
      <c r="R152" s="33">
        <v>46</v>
      </c>
      <c r="S152" s="34" t="str">
        <f t="shared" si="24"/>
        <v>E</v>
      </c>
      <c r="T152" s="35">
        <v>22</v>
      </c>
      <c r="U152" s="37" t="str">
        <f t="shared" si="25"/>
        <v>E</v>
      </c>
      <c r="V152" s="33">
        <v>40</v>
      </c>
      <c r="W152" s="34" t="str">
        <f t="shared" si="26"/>
        <v>E</v>
      </c>
      <c r="X152" s="35">
        <v>20</v>
      </c>
      <c r="Y152" s="37" t="str">
        <f t="shared" si="27"/>
        <v>E</v>
      </c>
      <c r="Z152" s="35">
        <v>20</v>
      </c>
      <c r="AA152" s="37" t="str">
        <f t="shared" si="28"/>
        <v>E</v>
      </c>
      <c r="AB152" s="33">
        <v>30</v>
      </c>
      <c r="AC152" s="34" t="str">
        <f t="shared" si="29"/>
        <v>F</v>
      </c>
      <c r="AD152" s="35">
        <v>22</v>
      </c>
      <c r="AE152" s="34" t="str">
        <f t="shared" si="30"/>
        <v>E</v>
      </c>
      <c r="AF152" s="35">
        <v>40</v>
      </c>
      <c r="AG152" s="37" t="str">
        <f t="shared" si="31"/>
        <v>E</v>
      </c>
      <c r="AH152" s="4">
        <f>IF(OR(AND(D152&gt;=31,D152&lt;40),AND(H152&gt;=31,H152&lt;40),AND(N152&gt;=31,N152&lt;40),AND(R152&gt;=31,R152&lt;40),AND(V152&gt;=31,V152&lt;40),AND(AB152&gt;=31,AB152&lt;40)),IF(AND(OR(COUNTIF(D152:AG152,"=31")&gt;=1,COUNTIF(D152:AG152,"=32")&gt;=1,COUNTIF(D152:AG152,"=33")&gt;=1,COUNTIF(D152:AG152,"=34")&gt;=1,COUNTIF(D152:AG152,"=35")&gt;=1,COUNTIF(D152:AG152,"=36")&gt;=1 ),COUNTIF(D152:AG152,"")=0,COUNTIF(D152:AG152," ")=0,COUNTIF(D152:AG152,"F")=1),CONCATENATE(SUM(EXTRACTNUMBER(D152),EXTRACTNUMBER(F152),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EXTRACTNUMBER(AD152),EXTRACTNUMBER(AF152)),"*"),IF(AND(COUNTIF(D152:AG152,"=34")&gt;=1,COUNTIF(D152:AG152,"=35")&gt;=1,COUNTIF(D152:AG152,"f")=2,COUNTIF(D152:AG152,"")=0,COUNTIF(D152:AG152,"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EXTRACTNUMBER(AD152),EXTRACTNUMBER(AF152)),"*"),IF(AND(COUNTIF(D152:AG152,"=36")&gt;=2,COUNTIF(D152:AG152,"f")=2,COUNTIF(D152:AG152,"")=0,COUNTIF(D152:AG152,"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EXTRACTNUMBER(AD152),EXTRACTNUMBER(AF152)),"*"),SUM(EXTRACTNUMBER(D152),EXTRACTNUMBER(F152),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EXTRACTNUMBER(AD152),EXTRACTNUMBER(AF152))))),SUM(EXTRACTNUMBER(D152),EXTRACTNUMBER(F152),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EXTRACTNUMBER(AD152),EXTRACTNUMBER(AF152)))</f>
        <v>388</v>
      </c>
      <c r="AI152" s="38" t="str">
        <f t="shared" si="16"/>
        <v>FAIL</v>
      </c>
      <c r="AJ152" s="28" t="str">
        <f>spellnumber(EXTRACTnUMBER_TOT(AH152))</f>
        <v xml:space="preserve">Three Hundred Eighty Eight </v>
      </c>
      <c r="AK152" s="9">
        <v>388</v>
      </c>
    </row>
    <row r="153" spans="2:37" ht="15" customHeight="1">
      <c r="B153" s="31">
        <v>223327</v>
      </c>
      <c r="C153" s="32" t="s">
        <v>285</v>
      </c>
      <c r="D153" s="33">
        <v>50</v>
      </c>
      <c r="E153" s="34" t="str">
        <f t="shared" si="18"/>
        <v/>
      </c>
      <c r="F153" s="35">
        <v>18</v>
      </c>
      <c r="G153" s="34" t="str">
        <f t="shared" si="19"/>
        <v/>
      </c>
      <c r="H153" s="36">
        <v>72</v>
      </c>
      <c r="I153" s="34" t="str">
        <f t="shared" si="20"/>
        <v/>
      </c>
      <c r="J153" s="35">
        <v>18</v>
      </c>
      <c r="K153" s="34" t="str">
        <f t="shared" si="21"/>
        <v/>
      </c>
      <c r="L153" s="35">
        <v>19</v>
      </c>
      <c r="M153" s="34" t="str">
        <f t="shared" si="22"/>
        <v/>
      </c>
      <c r="N153" s="36">
        <v>80</v>
      </c>
      <c r="O153" s="34" t="str">
        <f t="shared" si="17"/>
        <v/>
      </c>
      <c r="P153" s="35">
        <v>16</v>
      </c>
      <c r="Q153" s="37" t="str">
        <f t="shared" si="23"/>
        <v/>
      </c>
      <c r="R153" s="33">
        <v>71</v>
      </c>
      <c r="S153" s="34" t="str">
        <f t="shared" si="24"/>
        <v/>
      </c>
      <c r="T153" s="35">
        <v>22</v>
      </c>
      <c r="U153" s="37" t="str">
        <f t="shared" si="25"/>
        <v/>
      </c>
      <c r="V153" s="33">
        <v>56</v>
      </c>
      <c r="W153" s="34" t="str">
        <f t="shared" si="26"/>
        <v/>
      </c>
      <c r="X153" s="35">
        <v>20</v>
      </c>
      <c r="Y153" s="37" t="str">
        <f t="shared" si="27"/>
        <v/>
      </c>
      <c r="Z153" s="35">
        <v>19</v>
      </c>
      <c r="AA153" s="37" t="str">
        <f t="shared" si="28"/>
        <v/>
      </c>
      <c r="AB153" s="33">
        <v>55</v>
      </c>
      <c r="AC153" s="34" t="str">
        <f t="shared" si="29"/>
        <v/>
      </c>
      <c r="AD153" s="35">
        <v>21</v>
      </c>
      <c r="AE153" s="34" t="str">
        <f t="shared" si="30"/>
        <v/>
      </c>
      <c r="AF153" s="35">
        <v>40</v>
      </c>
      <c r="AG153" s="37" t="str">
        <f t="shared" si="31"/>
        <v/>
      </c>
      <c r="AH153" s="4">
        <f>IF(OR(AND(D153&gt;=31,D153&lt;40),AND(H153&gt;=31,H153&lt;40),AND(N153&gt;=31,N153&lt;40),AND(R153&gt;=31,R153&lt;40),AND(V153&gt;=31,V153&lt;40),AND(AB153&gt;=31,AB153&lt;40)),IF(AND(OR(COUNTIF(D153:AG153,"=31")&gt;=1,COUNTIF(D153:AG153,"=32")&gt;=1,COUNTIF(D153:AG153,"=33")&gt;=1,COUNTIF(D153:AG153,"=34")&gt;=1,COUNTIF(D153:AG153,"=35")&gt;=1,COUNTIF(D153:AG153,"=36")&gt;=1 ),COUNTIF(D153:AG153,"")=0,COUNTIF(D153:AG153," ")=0,COUNTIF(D153:AG153,"F")=1),CONCATENATE(SUM(EXTRACTNUMBER(D153),EXTRACTNUMBER(F153),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EXTRACTNUMBER(AD153),EXTRACTNUMBER(AF153)),"*"),IF(AND(COUNTIF(D153:AG153,"=34")&gt;=1,COUNTIF(D153:AG153,"=35")&gt;=1,COUNTIF(D153:AG153,"f")=2,COUNTIF(D153:AG153,"")=0,COUNTIF(D153:AG153,"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EXTRACTNUMBER(AD153),EXTRACTNUMBER(AF153)),"*"),IF(AND(COUNTIF(D153:AG153,"=36")&gt;=2,COUNTIF(D153:AG153,"f")=2,COUNTIF(D153:AG153,"")=0,COUNTIF(D153:AG153,"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EXTRACTNUMBER(AD153),EXTRACTNUMBER(AF153)),"*"),SUM(EXTRACTNUMBER(D153),EXTRACTNUMBER(F153),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EXTRACTNUMBER(AD153),EXTRACTNUMBER(AF153))))),SUM(EXTRACTNUMBER(D153),EXTRACTNUMBER(F153),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EXTRACTNUMBER(AD153),EXTRACTNUMBER(AF153)))</f>
        <v>577</v>
      </c>
      <c r="AI153" s="38" t="str">
        <f t="shared" si="16"/>
        <v>PASS</v>
      </c>
      <c r="AJ153" s="28" t="str">
        <f>spellnumber(EXTRACTnUMBER_TOT(AH153))</f>
        <v xml:space="preserve">Five Hundred Seventy Seven </v>
      </c>
      <c r="AK153" s="9">
        <v>577</v>
      </c>
    </row>
    <row r="154" spans="2:37" ht="15" customHeight="1">
      <c r="B154" s="31">
        <v>223328</v>
      </c>
      <c r="C154" s="32" t="s">
        <v>286</v>
      </c>
      <c r="D154" s="33">
        <v>40</v>
      </c>
      <c r="E154" s="34" t="str">
        <f t="shared" si="18"/>
        <v/>
      </c>
      <c r="F154" s="35">
        <v>20</v>
      </c>
      <c r="G154" s="34" t="str">
        <f t="shared" si="19"/>
        <v/>
      </c>
      <c r="H154" s="36">
        <v>66</v>
      </c>
      <c r="I154" s="34" t="str">
        <f t="shared" si="20"/>
        <v/>
      </c>
      <c r="J154" s="35">
        <v>18</v>
      </c>
      <c r="K154" s="34" t="str">
        <f t="shared" si="21"/>
        <v/>
      </c>
      <c r="L154" s="35">
        <v>17</v>
      </c>
      <c r="M154" s="34" t="str">
        <f t="shared" si="22"/>
        <v/>
      </c>
      <c r="N154" s="36">
        <v>77</v>
      </c>
      <c r="O154" s="34" t="str">
        <f t="shared" si="17"/>
        <v/>
      </c>
      <c r="P154" s="35">
        <v>12</v>
      </c>
      <c r="Q154" s="37" t="str">
        <f t="shared" si="23"/>
        <v/>
      </c>
      <c r="R154" s="33">
        <v>56</v>
      </c>
      <c r="S154" s="34" t="str">
        <f t="shared" si="24"/>
        <v/>
      </c>
      <c r="T154" s="35">
        <v>19</v>
      </c>
      <c r="U154" s="37" t="str">
        <f t="shared" si="25"/>
        <v/>
      </c>
      <c r="V154" s="33">
        <v>51</v>
      </c>
      <c r="W154" s="34" t="str">
        <f t="shared" si="26"/>
        <v/>
      </c>
      <c r="X154" s="35">
        <v>16</v>
      </c>
      <c r="Y154" s="37" t="str">
        <f t="shared" si="27"/>
        <v/>
      </c>
      <c r="Z154" s="35">
        <v>18</v>
      </c>
      <c r="AA154" s="37" t="str">
        <f t="shared" si="28"/>
        <v/>
      </c>
      <c r="AB154" s="33">
        <v>41</v>
      </c>
      <c r="AC154" s="34" t="str">
        <f t="shared" si="29"/>
        <v/>
      </c>
      <c r="AD154" s="35">
        <v>18</v>
      </c>
      <c r="AE154" s="34" t="str">
        <f t="shared" si="30"/>
        <v/>
      </c>
      <c r="AF154" s="35">
        <v>36</v>
      </c>
      <c r="AG154" s="37" t="str">
        <f t="shared" si="31"/>
        <v/>
      </c>
      <c r="AH154" s="4">
        <f>IF(OR(AND(D154&gt;=31,D154&lt;40),AND(H154&gt;=31,H154&lt;40),AND(N154&gt;=31,N154&lt;40),AND(R154&gt;=31,R154&lt;40),AND(V154&gt;=31,V154&lt;40),AND(AB154&gt;=31,AB154&lt;40)),IF(AND(OR(COUNTIF(D154:AG154,"=31")&gt;=1,COUNTIF(D154:AG154,"=32")&gt;=1,COUNTIF(D154:AG154,"=33")&gt;=1,COUNTIF(D154:AG154,"=34")&gt;=1,COUNTIF(D154:AG154,"=35")&gt;=1,COUNTIF(D154:AG154,"=36")&gt;=1 ),COUNTIF(D154:AG154,"")=0,COUNTIF(D154:AG154," ")=0,COUNTIF(D154:AG154,"F")=1),CONCATENATE(SUM(EXTRACTNUMBER(D154),EXTRACTNUMBER(F154),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EXTRACTNUMBER(AD154),EXTRACTNUMBER(AF154)),"*"),IF(AND(COUNTIF(D154:AG154,"=34")&gt;=1,COUNTIF(D154:AG154,"=35")&gt;=1,COUNTIF(D154:AG154,"f")=2,COUNTIF(D154:AG154,"")=0,COUNTIF(D154:AG154,"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EXTRACTNUMBER(AD154),EXTRACTNUMBER(AF154)),"*"),IF(AND(COUNTIF(D154:AG154,"=36")&gt;=2,COUNTIF(D154:AG154,"f")=2,COUNTIF(D154:AG154,"")=0,COUNTIF(D154:AG154,"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EXTRACTNUMBER(AD154),EXTRACTNUMBER(AF154)),"*"),SUM(EXTRACTNUMBER(D154),EXTRACTNUMBER(F154),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EXTRACTNUMBER(AD154),EXTRACTNUMBER(AF154))))),SUM(EXTRACTNUMBER(D154),EXTRACTNUMBER(F154),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EXTRACTNUMBER(AD154),EXTRACTNUMBER(AF154)))</f>
        <v>505</v>
      </c>
      <c r="AI154" s="38" t="str">
        <f t="shared" si="16"/>
        <v>PASS</v>
      </c>
      <c r="AJ154" s="28" t="str">
        <f>spellnumber(EXTRACTnUMBER_TOT(AH154))</f>
        <v xml:space="preserve">Five Hundred Five </v>
      </c>
      <c r="AK154" s="9">
        <v>505</v>
      </c>
    </row>
    <row r="155" spans="2:37" ht="15" customHeight="1">
      <c r="B155" s="31">
        <v>223329</v>
      </c>
      <c r="C155" s="32" t="s">
        <v>287</v>
      </c>
      <c r="D155" s="33">
        <v>19</v>
      </c>
      <c r="E155" s="34" t="str">
        <f t="shared" si="18"/>
        <v>F</v>
      </c>
      <c r="F155" s="35">
        <v>18</v>
      </c>
      <c r="G155" s="34" t="str">
        <f t="shared" si="19"/>
        <v>E</v>
      </c>
      <c r="H155" s="36">
        <v>40</v>
      </c>
      <c r="I155" s="34" t="str">
        <f t="shared" si="20"/>
        <v>E</v>
      </c>
      <c r="J155" s="35">
        <v>21</v>
      </c>
      <c r="K155" s="34" t="str">
        <f t="shared" si="21"/>
        <v>E</v>
      </c>
      <c r="L155" s="35">
        <v>18</v>
      </c>
      <c r="M155" s="34" t="str">
        <f t="shared" si="22"/>
        <v>E</v>
      </c>
      <c r="N155" s="36">
        <v>46</v>
      </c>
      <c r="O155" s="34" t="str">
        <f t="shared" si="17"/>
        <v>E</v>
      </c>
      <c r="P155" s="35">
        <v>17</v>
      </c>
      <c r="Q155" s="37" t="str">
        <f t="shared" si="23"/>
        <v>E</v>
      </c>
      <c r="R155" s="33">
        <v>55</v>
      </c>
      <c r="S155" s="34" t="str">
        <f t="shared" si="24"/>
        <v>E</v>
      </c>
      <c r="T155" s="35">
        <v>20</v>
      </c>
      <c r="U155" s="37" t="str">
        <f t="shared" si="25"/>
        <v>E</v>
      </c>
      <c r="V155" s="33">
        <v>57</v>
      </c>
      <c r="W155" s="34" t="str">
        <f t="shared" si="26"/>
        <v>E</v>
      </c>
      <c r="X155" s="35">
        <v>17</v>
      </c>
      <c r="Y155" s="37" t="str">
        <f t="shared" si="27"/>
        <v>E</v>
      </c>
      <c r="Z155" s="35">
        <v>18</v>
      </c>
      <c r="AA155" s="37" t="str">
        <f t="shared" si="28"/>
        <v>E</v>
      </c>
      <c r="AB155" s="33">
        <v>45</v>
      </c>
      <c r="AC155" s="34" t="str">
        <f t="shared" si="29"/>
        <v>E</v>
      </c>
      <c r="AD155" s="35">
        <v>20</v>
      </c>
      <c r="AE155" s="34" t="str">
        <f t="shared" si="30"/>
        <v>E</v>
      </c>
      <c r="AF155" s="35">
        <v>38</v>
      </c>
      <c r="AG155" s="37" t="str">
        <f t="shared" si="31"/>
        <v>E</v>
      </c>
      <c r="AH155" s="4">
        <f>IF(OR(AND(D155&gt;=31,D155&lt;40),AND(H155&gt;=31,H155&lt;40),AND(N155&gt;=31,N155&lt;40),AND(R155&gt;=31,R155&lt;40),AND(V155&gt;=31,V155&lt;40),AND(AB155&gt;=31,AB155&lt;40)),IF(AND(OR(COUNTIF(D155:AG155,"=31")&gt;=1,COUNTIF(D155:AG155,"=32")&gt;=1,COUNTIF(D155:AG155,"=33")&gt;=1,COUNTIF(D155:AG155,"=34")&gt;=1,COUNTIF(D155:AG155,"=35")&gt;=1,COUNTIF(D155:AG155,"=36")&gt;=1 ),COUNTIF(D155:AG155,"")=0,COUNTIF(D155:AG155," ")=0,COUNTIF(D155:AG155,"F")=1),CONCATENATE(SUM(EXTRACTNUMBER(D155),EXTRACTNUMBER(F155),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EXTRACTNUMBER(AD155),EXTRACTNUMBER(AF155)),"*"),IF(AND(COUNTIF(D155:AG155,"=34")&gt;=1,COUNTIF(D155:AG155,"=35")&gt;=1,COUNTIF(D155:AG155,"f")=2,COUNTIF(D155:AG155,"")=0,COUNTIF(D155:AG155,"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EXTRACTNUMBER(AD155),EXTRACTNUMBER(AF155)),"*"),IF(AND(COUNTIF(D155:AG155,"=36")&gt;=2,COUNTIF(D155:AG155,"f")=2,COUNTIF(D155:AG155,"")=0,COUNTIF(D155:AG155,"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EXTRACTNUMBER(AD155),EXTRACTNUMBER(AF155)),"*"),SUM(EXTRACTNUMBER(D155),EXTRACTNUMBER(F155),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EXTRACTNUMBER(AD155),EXTRACTNUMBER(AF155))))),SUM(EXTRACTNUMBER(D155),EXTRACTNUMBER(F155),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EXTRACTNUMBER(AD155),EXTRACTNUMBER(AF155)))</f>
        <v>449</v>
      </c>
      <c r="AI155" s="38" t="str">
        <f t="shared" ref="AI155:AI218" si="32">IF(AND(COUNTIF(D155:AG155,"AB")&lt;15-COUNTIF(D155:AG155," "),
COUNTIF(D155:AG155,"AB")&lt;&gt;0),"FAIL",
IF(COUNTIF(D155:AG155,"AB")=15-COUNTIF(D155:AG155," "),"ABSENT",
IF(AND(COUNTIF(D155:AG155,"AB")=0,COUNTIF(D155:AG155,"F")=0),"PASS","FAIL")))</f>
        <v>FAIL</v>
      </c>
      <c r="AJ155" s="28" t="str">
        <f>spellnumber(EXTRACTnUMBER_TOT(AH155))</f>
        <v xml:space="preserve">Four Hundred Forty Nine </v>
      </c>
      <c r="AK155" s="9">
        <v>449</v>
      </c>
    </row>
    <row r="156" spans="2:37" ht="15" customHeight="1">
      <c r="B156" s="31">
        <v>223330</v>
      </c>
      <c r="C156" s="32" t="s">
        <v>288</v>
      </c>
      <c r="D156" s="33">
        <v>28</v>
      </c>
      <c r="E156" s="34" t="str">
        <f t="shared" si="18"/>
        <v>F</v>
      </c>
      <c r="F156" s="35">
        <v>13</v>
      </c>
      <c r="G156" s="34" t="str">
        <f t="shared" si="19"/>
        <v>E</v>
      </c>
      <c r="H156" s="36">
        <v>46</v>
      </c>
      <c r="I156" s="34" t="str">
        <f t="shared" si="20"/>
        <v>E</v>
      </c>
      <c r="J156" s="35">
        <v>20</v>
      </c>
      <c r="K156" s="34" t="str">
        <f t="shared" si="21"/>
        <v>E</v>
      </c>
      <c r="L156" s="35">
        <v>18</v>
      </c>
      <c r="M156" s="34" t="str">
        <f t="shared" si="22"/>
        <v>E</v>
      </c>
      <c r="N156" s="36">
        <v>70</v>
      </c>
      <c r="O156" s="34" t="str">
        <f t="shared" ref="O156:O219" si="33">IF(IFERROR(FIND("+",N156),0)," ",
IF(N156="AB","",
IF(N156&lt;$N$27,"F",
IF(AND(D156&gt;=$D$27,F156&gt;=$F$27,H156&gt;=$H$27,
J156&gt;=$J$27,L156&gt;=$L$27,
N156&gt;=$N$27,P156&gt;=$P$27,R156&gt;=$R$27,T156&gt;=$T$27,V156&gt;=$V$27,
X156&gt;=$X$27,Z156&gt;=$Z$27,AB156&gt;=$AB$27,AD156&gt;=$AD$27,AF156&gt;=$AF$27,
D156&lt;&gt;"AB",F156&lt;&gt;"AB",H156&lt;&gt;"AB",
J156&lt;&gt;"AB",L156&lt;&gt;"AB",
N156&lt;&gt;"AB",P156&lt;&gt;"AB",R156&lt;&gt;"AB",T156&lt;&gt;"AB",V156&lt;&gt;"AB",
X156&lt;&gt;"AB",Z156&lt;&gt;"AB",AB156&lt;&gt;"AB",AD156&lt;&gt;"AB",AF156&lt;&gt;"AB"),"","E"))))</f>
        <v>E</v>
      </c>
      <c r="P156" s="35">
        <v>14</v>
      </c>
      <c r="Q156" s="37" t="str">
        <f t="shared" si="23"/>
        <v>E</v>
      </c>
      <c r="R156" s="33">
        <v>52</v>
      </c>
      <c r="S156" s="34" t="str">
        <f t="shared" si="24"/>
        <v>E</v>
      </c>
      <c r="T156" s="35">
        <v>22</v>
      </c>
      <c r="U156" s="37" t="str">
        <f t="shared" si="25"/>
        <v>E</v>
      </c>
      <c r="V156" s="33">
        <v>45</v>
      </c>
      <c r="W156" s="34" t="str">
        <f t="shared" si="26"/>
        <v>E</v>
      </c>
      <c r="X156" s="35">
        <v>16</v>
      </c>
      <c r="Y156" s="37" t="str">
        <f t="shared" si="27"/>
        <v>E</v>
      </c>
      <c r="Z156" s="35">
        <v>17</v>
      </c>
      <c r="AA156" s="37" t="str">
        <f t="shared" si="28"/>
        <v>E</v>
      </c>
      <c r="AB156" s="33">
        <v>51</v>
      </c>
      <c r="AC156" s="34" t="str">
        <f t="shared" si="29"/>
        <v>E</v>
      </c>
      <c r="AD156" s="35">
        <v>21</v>
      </c>
      <c r="AE156" s="34" t="str">
        <f t="shared" si="30"/>
        <v>E</v>
      </c>
      <c r="AF156" s="35">
        <v>35</v>
      </c>
      <c r="AG156" s="37" t="str">
        <f t="shared" si="31"/>
        <v>E</v>
      </c>
      <c r="AH156" s="4">
        <f>IF(OR(AND(D156&gt;=31,D156&lt;40),AND(H156&gt;=31,H156&lt;40),AND(N156&gt;=31,N156&lt;40),AND(R156&gt;=31,R156&lt;40),AND(V156&gt;=31,V156&lt;40),AND(AB156&gt;=31,AB156&lt;40)),IF(AND(OR(COUNTIF(D156:AG156,"=31")&gt;=1,COUNTIF(D156:AG156,"=32")&gt;=1,COUNTIF(D156:AG156,"=33")&gt;=1,COUNTIF(D156:AG156,"=34")&gt;=1,COUNTIF(D156:AG156,"=35")&gt;=1,COUNTIF(D156:AG156,"=36")&gt;=1 ),COUNTIF(D156:AG156,"")=0,COUNTIF(D156:AG156," ")=0,COUNTIF(D156:AG156,"F")=1),CONCATENATE(SUM(EXTRACTNUMBER(D156),EXTRACTNUMBER(F156),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EXTRACTNUMBER(AD156),EXTRACTNUMBER(AF156)),"*"),IF(AND(COUNTIF(D156:AG156,"=34")&gt;=1,COUNTIF(D156:AG156,"=35")&gt;=1,COUNTIF(D156:AG156,"f")=2,COUNTIF(D156:AG156,"")=0,COUNTIF(D156:AG156,"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EXTRACTNUMBER(AD156),EXTRACTNUMBER(AF156)),"*"),IF(AND(COUNTIF(D156:AG156,"=36")&gt;=2,COUNTIF(D156:AG156,"f")=2,COUNTIF(D156:AG156,"")=0,COUNTIF(D156:AG156,"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EXTRACTNUMBER(AD156),EXTRACTNUMBER(AF156)),"*"),SUM(EXTRACTNUMBER(D156),EXTRACTNUMBER(F156),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EXTRACTNUMBER(AD156),EXTRACTNUMBER(AF156))))),SUM(EXTRACTNUMBER(D156),EXTRACTNUMBER(F156),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EXTRACTNUMBER(AD156),EXTRACTNUMBER(AF156)))</f>
        <v>468</v>
      </c>
      <c r="AI156" s="38" t="str">
        <f t="shared" si="32"/>
        <v>FAIL</v>
      </c>
      <c r="AJ156" s="28" t="str">
        <f>spellnumber(EXTRACTnUMBER_TOT(AH156))</f>
        <v xml:space="preserve">Four Hundred Sixty Eight </v>
      </c>
      <c r="AK156" s="9" t="s">
        <v>434</v>
      </c>
    </row>
    <row r="157" spans="2:37" ht="15" customHeight="1">
      <c r="B157" s="31">
        <v>223331</v>
      </c>
      <c r="C157" s="39" t="s">
        <v>289</v>
      </c>
      <c r="D157" s="33">
        <v>50</v>
      </c>
      <c r="E157" s="34" t="str">
        <f t="shared" ref="E157:E220" si="34">IF(IFERROR(FIND("+",D157),0)," ",
IF(D157="AB","",
IF(D157&lt;$D$27,"F",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F157" s="35">
        <v>18</v>
      </c>
      <c r="G157" s="34" t="str">
        <f t="shared" ref="G157:G220" si="35">IF(IFERROR(FIND("+",F157),0)," ",
IF(F157="AB","",
IF(F157&lt;$F$27,"F",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H157" s="36">
        <v>52</v>
      </c>
      <c r="I157" s="34" t="str">
        <f t="shared" ref="I157:I220" si="36">IF(IFERROR(FIND("+",H157),0)," ",
IF(H157="AB","",
IF(H157&lt;$H$27,"F",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J157" s="35">
        <v>23</v>
      </c>
      <c r="K157" s="34" t="str">
        <f t="shared" ref="K157:K220" si="37">IF(IFERROR(FIND("+",J157),0)," ",
IF(J157="AB","",
IF(J157&lt;$J$27,"F",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L157" s="35">
        <v>18</v>
      </c>
      <c r="M157" s="34" t="str">
        <f t="shared" ref="M157:M220" si="38">IF(IFERROR(FIND("+",L157),0)," ",
IF(L157="AB","",
IF(L157&lt;$L$27,"F",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N157" s="36">
        <v>62</v>
      </c>
      <c r="O157" s="34" t="str">
        <f t="shared" si="33"/>
        <v/>
      </c>
      <c r="P157" s="35">
        <v>14</v>
      </c>
      <c r="Q157" s="37" t="str">
        <f t="shared" ref="Q157:Q220" si="39">IF(IFERROR(FIND("+",P157),0)," ",
IF(P157="AB","",
IF(P157&lt;$P$27,"F",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R157" s="33">
        <v>53</v>
      </c>
      <c r="S157" s="34" t="str">
        <f t="shared" ref="S157:S220" si="40">IF(IFERROR(FIND("+",R157),0)," ",
IF(R157="AB","",
IF(R157&lt;$R$27,"F",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T157" s="35">
        <v>15</v>
      </c>
      <c r="U157" s="37" t="str">
        <f t="shared" ref="U157:U220" si="41">IF(IFERROR(FIND("+",T157),0)," ",
IF(T157="AB","",
IF(T157&lt;$T$27,"F",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V157" s="33">
        <v>45</v>
      </c>
      <c r="W157" s="34" t="str">
        <f t="shared" ref="W157:W220" si="42">IF(IFERROR(FIND("+",V157),0)," ",
IF(V157="AB","",
IF(V157&lt;$V$27,"F",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X157" s="35">
        <v>19</v>
      </c>
      <c r="Y157" s="37" t="str">
        <f t="shared" ref="Y157:Y220" si="43">IF(IFERROR(FIND("+",X157),0)," ",
IF(X157="AB","",
IF(X157&lt;$X$27,"F",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Z157" s="35">
        <v>20</v>
      </c>
      <c r="AA157" s="37" t="str">
        <f t="shared" ref="AA157:AA220" si="44">IF(IFERROR(FIND("+",Z157),0)," ",
IF(Z157="AB","",
IF(Z157&lt;$Z$27,"F",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AB157" s="33">
        <v>48</v>
      </c>
      <c r="AC157" s="34" t="str">
        <f t="shared" ref="AC157:AC220" si="45">IF(IFERROR(FIND("+",AB157),0)," ",
IF(AB157="AB","",
IF(AB157&lt;$AB$27,"F",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AD157" s="35">
        <v>13</v>
      </c>
      <c r="AE157" s="34" t="str">
        <f t="shared" ref="AE157:AE220" si="46">IF(IFERROR(FIND("+",AD157),0)," ",
IF(AD157="AB","",
IF(AD157&lt;$AD$27,"F",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AF157" s="35">
        <v>39</v>
      </c>
      <c r="AG157" s="37" t="str">
        <f t="shared" ref="AG157:AG220" si="47">IF(IFERROR(FIND("+",AF157),0)," ",
IF(AF157="AB","",
IF(AF157&lt;$AF$27,"F",
IF(AND(D157&gt;=$D$27,F157&gt;=$F$27,H157&gt;=$H$27,
J157&gt;=$J$27,L157&gt;=$L$27,
N157&gt;=$N$27,P157&gt;=$P$27,R157&gt;=$R$27,T157&gt;=$T$27,V157&gt;=$V$27,
X157&gt;=$X$27,Z157&gt;=$Z$27,AB157&gt;=$AB$27,AD157&gt;=$AD$27,AF157&gt;=$AF$27,
D157&lt;&gt;"AB",F157&lt;&gt;"AB",H157&lt;&gt;"AB",
J157&lt;&gt;"AB",L157&lt;&gt;"AB",
N157&lt;&gt;"AB",P157&lt;&gt;"AB",R157&lt;&gt;"AB",T157&lt;&gt;"AB",V157&lt;&gt;"AB",
X157&lt;&gt;"AB",Z157&lt;&gt;"AB",AB157&lt;&gt;"AB",AD157&lt;&gt;"AB",AF157&lt;&gt;"AB"),"","E"))))</f>
        <v/>
      </c>
      <c r="AH157" s="4">
        <f>IF(OR(AND(D157&gt;=31,D157&lt;40),AND(H157&gt;=31,H157&lt;40),AND(N157&gt;=31,N157&lt;40),AND(R157&gt;=31,R157&lt;40),AND(V157&gt;=31,V157&lt;40),AND(AB157&gt;=31,AB157&lt;40)),IF(AND(OR(COUNTIF(D157:AG157,"=31")&gt;=1,COUNTIF(D157:AG157,"=32")&gt;=1,COUNTIF(D157:AG157,"=33")&gt;=1,COUNTIF(D157:AG157,"=34")&gt;=1,COUNTIF(D157:AG157,"=35")&gt;=1,COUNTIF(D157:AG157,"=36")&gt;=1 ),COUNTIF(D157:AG157,"")=0,COUNTIF(D157:AG157," ")=0,COUNTIF(D157:AG157,"F")=1),CONCATENATE(SUM(EXTRACTNUMBER(D157),EXTRACTNUMBER(F157),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EXTRACTNUMBER(AD157),EXTRACTNUMBER(AF157)),"*"),IF(AND(COUNTIF(D157:AG157,"=34")&gt;=1,COUNTIF(D157:AG157,"=35")&gt;=1,COUNTIF(D157:AG157,"f")=2,COUNTIF(D157:AG157,"")=0,COUNTIF(D157:AG157,"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EXTRACTNUMBER(AD157),EXTRACTNUMBER(AF157)),"*"),IF(AND(COUNTIF(D157:AG157,"=36")&gt;=2,COUNTIF(D157:AG157,"f")=2,COUNTIF(D157:AG157,"")=0,COUNTIF(D157:AG157," ")=0),CONCATENATE(SUM(EXTRACTNUMBER(D157),EXTRACTNUMBER(F157),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EXTRACTNUMBER(AD157),EXTRACTNUMBER(AF157)),"*"),SUM(EXTRACTNUMBER(D157),EXTRACTNUMBER(F157),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EXTRACTNUMBER(AD157),EXTRACTNUMBER(AF157))))),SUM(EXTRACTNUMBER(D157),EXTRACTNUMBER(F157),
EXTRACTNUMBER(H157),EXTRACTNUMBER(J157),
EXTRACTNUMBER(L157),EXTRACTNUMBER(N157),
EXTRACTNUMBER(P157),EXTRACTNUMBER(R157),
EXTRACTNUMBER(T157),EXTRACTNUMBER(V157),
EXTRACTNUMBER(X157),EXTRACTNUMBER(Z157),EXTRACTNUMBER(AB157),
EXTRACTNUMBER(AD157),EXTRACTNUMBER(AF157)))</f>
        <v>489</v>
      </c>
      <c r="AI157" s="38" t="str">
        <f t="shared" si="32"/>
        <v>PASS</v>
      </c>
      <c r="AJ157" s="28" t="str">
        <f>spellnumber(EXTRACTnUMBER_TOT(AH157))</f>
        <v xml:space="preserve">Four Hundred Eighty Nine </v>
      </c>
      <c r="AK157" s="9">
        <v>489</v>
      </c>
    </row>
    <row r="158" spans="2:37" ht="15" customHeight="1">
      <c r="B158" s="31">
        <v>223332</v>
      </c>
      <c r="C158" s="39" t="s">
        <v>290</v>
      </c>
      <c r="D158" s="33">
        <v>25</v>
      </c>
      <c r="E158" s="34" t="str">
        <f t="shared" si="34"/>
        <v>F</v>
      </c>
      <c r="F158" s="35">
        <v>15</v>
      </c>
      <c r="G158" s="34" t="str">
        <f t="shared" si="35"/>
        <v>E</v>
      </c>
      <c r="H158" s="36">
        <v>60</v>
      </c>
      <c r="I158" s="34" t="str">
        <f t="shared" si="36"/>
        <v>E</v>
      </c>
      <c r="J158" s="35">
        <v>23</v>
      </c>
      <c r="K158" s="34" t="str">
        <f t="shared" si="37"/>
        <v>E</v>
      </c>
      <c r="L158" s="35">
        <v>18</v>
      </c>
      <c r="M158" s="34" t="str">
        <f t="shared" si="38"/>
        <v>E</v>
      </c>
      <c r="N158" s="36">
        <v>41</v>
      </c>
      <c r="O158" s="34" t="str">
        <f t="shared" si="33"/>
        <v>E</v>
      </c>
      <c r="P158" s="35">
        <v>23</v>
      </c>
      <c r="Q158" s="37" t="str">
        <f t="shared" si="39"/>
        <v>E</v>
      </c>
      <c r="R158" s="33">
        <v>41</v>
      </c>
      <c r="S158" s="34" t="str">
        <f t="shared" si="40"/>
        <v>E</v>
      </c>
      <c r="T158" s="35">
        <v>23</v>
      </c>
      <c r="U158" s="37" t="str">
        <f t="shared" si="41"/>
        <v>E</v>
      </c>
      <c r="V158" s="33">
        <v>28</v>
      </c>
      <c r="W158" s="34" t="str">
        <f t="shared" si="42"/>
        <v>F</v>
      </c>
      <c r="X158" s="35">
        <v>17</v>
      </c>
      <c r="Y158" s="37" t="str">
        <f t="shared" si="43"/>
        <v>E</v>
      </c>
      <c r="Z158" s="35">
        <v>18</v>
      </c>
      <c r="AA158" s="37" t="str">
        <f t="shared" si="44"/>
        <v>E</v>
      </c>
      <c r="AB158" s="33">
        <v>32</v>
      </c>
      <c r="AC158" s="34" t="str">
        <f t="shared" si="45"/>
        <v>F</v>
      </c>
      <c r="AD158" s="35">
        <v>18</v>
      </c>
      <c r="AE158" s="34" t="str">
        <f t="shared" si="46"/>
        <v>E</v>
      </c>
      <c r="AF158" s="35">
        <v>44</v>
      </c>
      <c r="AG158" s="37" t="str">
        <f t="shared" si="47"/>
        <v>E</v>
      </c>
      <c r="AH158" s="4">
        <f>IF(OR(AND(D158&gt;=31,D158&lt;40),AND(H158&gt;=31,H158&lt;40),AND(N158&gt;=31,N158&lt;40),AND(R158&gt;=31,R158&lt;40),AND(V158&gt;=31,V158&lt;40),AND(AB158&gt;=31,AB158&lt;40)),IF(AND(OR(COUNTIF(D158:AG158,"=31")&gt;=1,COUNTIF(D158:AG158,"=32")&gt;=1,COUNTIF(D158:AG158,"=33")&gt;=1,COUNTIF(D158:AG158,"=34")&gt;=1,COUNTIF(D158:AG158,"=35")&gt;=1,COUNTIF(D158:AG158,"=36")&gt;=1 ),COUNTIF(D158:AG158,"")=0,COUNTIF(D158:AG158," ")=0,COUNTIF(D158:AG158,"F")=1),CONCATENATE(SUM(EXTRACTNUMBER(D158),EXTRACTNUMBER(F158),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EXTRACTNUMBER(AD158),EXTRACTNUMBER(AF158)),"*"),IF(AND(COUNTIF(D158:AG158,"=34")&gt;=1,COUNTIF(D158:AG158,"=35")&gt;=1,COUNTIF(D158:AG158,"f")=2,COUNTIF(D158:AG158,"")=0,COUNTIF(D158:AG158,"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EXTRACTNUMBER(AD158),EXTRACTNUMBER(AF158)),"*"),IF(AND(COUNTIF(D158:AG158,"=36")&gt;=2,COUNTIF(D158:AG158,"f")=2,COUNTIF(D158:AG158,"")=0,COUNTIF(D158:AG158,"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EXTRACTNUMBER(AD158),EXTRACTNUMBER(AF158)),"*"),SUM(EXTRACTNUMBER(D158),EXTRACTNUMBER(F158),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EXTRACTNUMBER(AD158),EXTRACTNUMBER(AF158))))),SUM(EXTRACTNUMBER(D158),EXTRACTNUMBER(F158),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EXTRACTNUMBER(AD158),EXTRACTNUMBER(AF158)))</f>
        <v>426</v>
      </c>
      <c r="AI158" s="38" t="str">
        <f t="shared" si="32"/>
        <v>FAIL</v>
      </c>
      <c r="AJ158" s="28" t="str">
        <f>spellnumber(EXTRACTnUMBER_TOT(AH158))</f>
        <v xml:space="preserve">Four Hundred Twenty Six </v>
      </c>
      <c r="AK158" s="9">
        <v>426</v>
      </c>
    </row>
    <row r="159" spans="2:37" ht="15" customHeight="1">
      <c r="B159" s="31">
        <v>223333</v>
      </c>
      <c r="C159" s="32" t="s">
        <v>291</v>
      </c>
      <c r="D159" s="33">
        <v>28</v>
      </c>
      <c r="E159" s="34" t="str">
        <f t="shared" si="34"/>
        <v>F</v>
      </c>
      <c r="F159" s="35">
        <v>23</v>
      </c>
      <c r="G159" s="34" t="str">
        <f t="shared" si="35"/>
        <v>E</v>
      </c>
      <c r="H159" s="36">
        <v>42</v>
      </c>
      <c r="I159" s="34" t="str">
        <f t="shared" si="36"/>
        <v>E</v>
      </c>
      <c r="J159" s="35">
        <v>23</v>
      </c>
      <c r="K159" s="34" t="str">
        <f t="shared" si="37"/>
        <v>E</v>
      </c>
      <c r="L159" s="35">
        <v>17</v>
      </c>
      <c r="M159" s="34" t="str">
        <f t="shared" si="38"/>
        <v>E</v>
      </c>
      <c r="N159" s="36">
        <v>55</v>
      </c>
      <c r="O159" s="34" t="str">
        <f t="shared" si="33"/>
        <v>E</v>
      </c>
      <c r="P159" s="35">
        <v>20</v>
      </c>
      <c r="Q159" s="37" t="str">
        <f t="shared" si="39"/>
        <v>E</v>
      </c>
      <c r="R159" s="33">
        <v>40</v>
      </c>
      <c r="S159" s="34" t="str">
        <f t="shared" si="40"/>
        <v>E</v>
      </c>
      <c r="T159" s="35">
        <v>23</v>
      </c>
      <c r="U159" s="37" t="str">
        <f t="shared" si="41"/>
        <v>E</v>
      </c>
      <c r="V159" s="33">
        <v>65</v>
      </c>
      <c r="W159" s="34" t="str">
        <f t="shared" si="42"/>
        <v>E</v>
      </c>
      <c r="X159" s="35">
        <v>22</v>
      </c>
      <c r="Y159" s="37" t="str">
        <f t="shared" si="43"/>
        <v>E</v>
      </c>
      <c r="Z159" s="35">
        <v>23</v>
      </c>
      <c r="AA159" s="37" t="str">
        <f t="shared" si="44"/>
        <v>E</v>
      </c>
      <c r="AB159" s="33">
        <v>43</v>
      </c>
      <c r="AC159" s="34" t="str">
        <f t="shared" si="45"/>
        <v>E</v>
      </c>
      <c r="AD159" s="35">
        <v>23</v>
      </c>
      <c r="AE159" s="34" t="str">
        <f t="shared" si="46"/>
        <v>E</v>
      </c>
      <c r="AF159" s="35">
        <v>44</v>
      </c>
      <c r="AG159" s="37" t="str">
        <f t="shared" si="47"/>
        <v>E</v>
      </c>
      <c r="AH159" s="4">
        <f>IF(OR(AND(D159&gt;=31,D159&lt;40),AND(H159&gt;=31,H159&lt;40),AND(N159&gt;=31,N159&lt;40),AND(R159&gt;=31,R159&lt;40),AND(V159&gt;=31,V159&lt;40),AND(AB159&gt;=31,AB159&lt;40)),IF(AND(OR(COUNTIF(D159:AG159,"=31")&gt;=1,COUNTIF(D159:AG159,"=32")&gt;=1,COUNTIF(D159:AG159,"=33")&gt;=1,COUNTIF(D159:AG159,"=34")&gt;=1,COUNTIF(D159:AG159,"=35")&gt;=1,COUNTIF(D159:AG159,"=36")&gt;=1 ),COUNTIF(D159:AG159,"")=0,COUNTIF(D159:AG159," ")=0,COUNTIF(D159:AG159,"F")=1),CONCATENATE(SUM(EXTRACTNUMBER(D159),EXTRACTNUMBER(F159),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EXTRACTNUMBER(AD159),EXTRACTNUMBER(AF159)),"*"),IF(AND(COUNTIF(D159:AG159,"=34")&gt;=1,COUNTIF(D159:AG159,"=35")&gt;=1,COUNTIF(D159:AG159,"f")=2,COUNTIF(D159:AG159,"")=0,COUNTIF(D159:AG159,"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EXTRACTNUMBER(AD159),EXTRACTNUMBER(AF159)),"*"),IF(AND(COUNTIF(D159:AG159,"=36")&gt;=2,COUNTIF(D159:AG159,"f")=2,COUNTIF(D159:AG159,"")=0,COUNTIF(D159:AG159,"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EXTRACTNUMBER(AD159),EXTRACTNUMBER(AF159)),"*"),SUM(EXTRACTNUMBER(D159),EXTRACTNUMBER(F159),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EXTRACTNUMBER(AD159),EXTRACTNUMBER(AF159))))),SUM(EXTRACTNUMBER(D159),EXTRACTNUMBER(F159),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EXTRACTNUMBER(AD159),EXTRACTNUMBER(AF159)))</f>
        <v>491</v>
      </c>
      <c r="AI159" s="38" t="str">
        <f t="shared" si="32"/>
        <v>FAIL</v>
      </c>
      <c r="AJ159" s="28" t="str">
        <f>spellnumber(EXTRACTnUMBER_TOT(AH159))</f>
        <v xml:space="preserve">Four Hundred NinetyOne </v>
      </c>
      <c r="AK159" s="9">
        <v>491</v>
      </c>
    </row>
    <row r="160" spans="2:37" ht="15" customHeight="1">
      <c r="B160" s="31">
        <v>223334</v>
      </c>
      <c r="C160" s="39" t="s">
        <v>292</v>
      </c>
      <c r="D160" s="33">
        <v>8</v>
      </c>
      <c r="E160" s="34" t="str">
        <f t="shared" si="34"/>
        <v>F</v>
      </c>
      <c r="F160" s="35">
        <v>14</v>
      </c>
      <c r="G160" s="34" t="str">
        <f t="shared" si="35"/>
        <v>E</v>
      </c>
      <c r="H160" s="36">
        <v>32</v>
      </c>
      <c r="I160" s="34" t="str">
        <f t="shared" si="36"/>
        <v>F</v>
      </c>
      <c r="J160" s="35">
        <v>19</v>
      </c>
      <c r="K160" s="34" t="str">
        <f t="shared" si="37"/>
        <v>E</v>
      </c>
      <c r="L160" s="35">
        <v>17</v>
      </c>
      <c r="M160" s="34" t="str">
        <f t="shared" si="38"/>
        <v>E</v>
      </c>
      <c r="N160" s="36">
        <v>23</v>
      </c>
      <c r="O160" s="34" t="str">
        <f t="shared" si="33"/>
        <v>F</v>
      </c>
      <c r="P160" s="35">
        <v>20</v>
      </c>
      <c r="Q160" s="37" t="str">
        <f t="shared" si="39"/>
        <v>E</v>
      </c>
      <c r="R160" s="33">
        <v>40</v>
      </c>
      <c r="S160" s="34" t="str">
        <f t="shared" si="40"/>
        <v>E</v>
      </c>
      <c r="T160" s="35">
        <v>14</v>
      </c>
      <c r="U160" s="37" t="str">
        <f t="shared" si="41"/>
        <v>E</v>
      </c>
      <c r="V160" s="33">
        <v>40</v>
      </c>
      <c r="W160" s="34" t="str">
        <f t="shared" si="42"/>
        <v>E</v>
      </c>
      <c r="X160" s="35">
        <v>17</v>
      </c>
      <c r="Y160" s="37" t="str">
        <f t="shared" si="43"/>
        <v>E</v>
      </c>
      <c r="Z160" s="35">
        <v>18</v>
      </c>
      <c r="AA160" s="37" t="str">
        <f t="shared" si="44"/>
        <v>E</v>
      </c>
      <c r="AB160" s="33">
        <v>40</v>
      </c>
      <c r="AC160" s="34" t="str">
        <f t="shared" si="45"/>
        <v>E</v>
      </c>
      <c r="AD160" s="35">
        <v>16</v>
      </c>
      <c r="AE160" s="34" t="str">
        <f t="shared" si="46"/>
        <v>E</v>
      </c>
      <c r="AF160" s="35">
        <v>45</v>
      </c>
      <c r="AG160" s="37" t="str">
        <f t="shared" si="47"/>
        <v>E</v>
      </c>
      <c r="AH160" s="4">
        <f>IF(OR(AND(D160&gt;=31,D160&lt;40),AND(H160&gt;=31,H160&lt;40),AND(N160&gt;=31,N160&lt;40),AND(R160&gt;=31,R160&lt;40),AND(V160&gt;=31,V160&lt;40),AND(AB160&gt;=31,AB160&lt;40)),IF(AND(OR(COUNTIF(D160:AG160,"=31")&gt;=1,COUNTIF(D160:AG160,"=32")&gt;=1,COUNTIF(D160:AG160,"=33")&gt;=1,COUNTIF(D160:AG160,"=34")&gt;=1,COUNTIF(D160:AG160,"=35")&gt;=1,COUNTIF(D160:AG160,"=36")&gt;=1 ),COUNTIF(D160:AG160,"")=0,COUNTIF(D160:AG160," ")=0,COUNTIF(D160:AG160,"F")=1),CONCATENATE(SUM(EXTRACTNUMBER(D160),EXTRACTNUMBER(F160),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EXTRACTNUMBER(AD160),EXTRACTNUMBER(AF160)),"*"),IF(AND(COUNTIF(D160:AG160,"=34")&gt;=1,COUNTIF(D160:AG160,"=35")&gt;=1,COUNTIF(D160:AG160,"f")=2,COUNTIF(D160:AG160,"")=0,COUNTIF(D160:AG160,"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EXTRACTNUMBER(AD160),EXTRACTNUMBER(AF160)),"*"),IF(AND(COUNTIF(D160:AG160,"=36")&gt;=2,COUNTIF(D160:AG160,"f")=2,COUNTIF(D160:AG160,"")=0,COUNTIF(D160:AG160,"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EXTRACTNUMBER(AD160),EXTRACTNUMBER(AF160)),"*"),SUM(EXTRACTNUMBER(D160),EXTRACTNUMBER(F160),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EXTRACTNUMBER(AD160),EXTRACTNUMBER(AF160))))),SUM(EXTRACTNUMBER(D160),EXTRACTNUMBER(F160),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EXTRACTNUMBER(AD160),EXTRACTNUMBER(AF160)))</f>
        <v>363</v>
      </c>
      <c r="AI160" s="38" t="str">
        <f t="shared" si="32"/>
        <v>FAIL</v>
      </c>
      <c r="AJ160" s="28" t="str">
        <f>spellnumber(EXTRACTnUMBER_TOT(AH160))</f>
        <v xml:space="preserve">Three Hundred Sixty Three </v>
      </c>
      <c r="AK160" s="9">
        <v>363</v>
      </c>
    </row>
    <row r="161" spans="2:37" ht="15" customHeight="1">
      <c r="B161" s="31">
        <v>223335</v>
      </c>
      <c r="C161" s="32" t="s">
        <v>293</v>
      </c>
      <c r="D161" s="33">
        <v>26</v>
      </c>
      <c r="E161" s="34" t="str">
        <f t="shared" si="34"/>
        <v>F</v>
      </c>
      <c r="F161" s="35">
        <v>14</v>
      </c>
      <c r="G161" s="34" t="str">
        <f t="shared" si="35"/>
        <v>E</v>
      </c>
      <c r="H161" s="36">
        <v>58</v>
      </c>
      <c r="I161" s="34" t="str">
        <f t="shared" si="36"/>
        <v>E</v>
      </c>
      <c r="J161" s="35">
        <v>19</v>
      </c>
      <c r="K161" s="34" t="str">
        <f t="shared" si="37"/>
        <v>E</v>
      </c>
      <c r="L161" s="35">
        <v>18</v>
      </c>
      <c r="M161" s="34" t="str">
        <f t="shared" si="38"/>
        <v>E</v>
      </c>
      <c r="N161" s="36">
        <v>56</v>
      </c>
      <c r="O161" s="34" t="str">
        <f t="shared" si="33"/>
        <v>E</v>
      </c>
      <c r="P161" s="35">
        <v>17</v>
      </c>
      <c r="Q161" s="37" t="str">
        <f t="shared" si="39"/>
        <v>E</v>
      </c>
      <c r="R161" s="33">
        <v>63</v>
      </c>
      <c r="S161" s="34" t="str">
        <f t="shared" si="40"/>
        <v>E</v>
      </c>
      <c r="T161" s="35">
        <v>21</v>
      </c>
      <c r="U161" s="37" t="str">
        <f t="shared" si="41"/>
        <v>E</v>
      </c>
      <c r="V161" s="33">
        <v>56</v>
      </c>
      <c r="W161" s="34" t="str">
        <f t="shared" si="42"/>
        <v>E</v>
      </c>
      <c r="X161" s="35">
        <v>16</v>
      </c>
      <c r="Y161" s="37" t="str">
        <f t="shared" si="43"/>
        <v>E</v>
      </c>
      <c r="Z161" s="35">
        <v>17</v>
      </c>
      <c r="AA161" s="37" t="str">
        <f t="shared" si="44"/>
        <v>E</v>
      </c>
      <c r="AB161" s="33">
        <v>44</v>
      </c>
      <c r="AC161" s="34" t="str">
        <f t="shared" si="45"/>
        <v>E</v>
      </c>
      <c r="AD161" s="35">
        <v>21</v>
      </c>
      <c r="AE161" s="34" t="str">
        <f t="shared" si="46"/>
        <v>E</v>
      </c>
      <c r="AF161" s="35">
        <v>36</v>
      </c>
      <c r="AG161" s="37" t="str">
        <f t="shared" si="47"/>
        <v>E</v>
      </c>
      <c r="AH161" s="4">
        <f>IF(OR(AND(D161&gt;=31,D161&lt;40),AND(H161&gt;=31,H161&lt;40),AND(N161&gt;=31,N161&lt;40),AND(R161&gt;=31,R161&lt;40),AND(V161&gt;=31,V161&lt;40),AND(AB161&gt;=31,AB161&lt;40)),IF(AND(OR(COUNTIF(D161:AG161,"=31")&gt;=1,COUNTIF(D161:AG161,"=32")&gt;=1,COUNTIF(D161:AG161,"=33")&gt;=1,COUNTIF(D161:AG161,"=34")&gt;=1,COUNTIF(D161:AG161,"=35")&gt;=1,COUNTIF(D161:AG161,"=36")&gt;=1 ),COUNTIF(D161:AG161,"")=0,COUNTIF(D161:AG161," ")=0,COUNTIF(D161:AG161,"F")=1),CONCATENATE(SUM(EXTRACTNUMBER(D161),EXTRACTNUMBER(F161),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EXTRACTNUMBER(AD161),EXTRACTNUMBER(AF161)),"*"),IF(AND(COUNTIF(D161:AG161,"=34")&gt;=1,COUNTIF(D161:AG161,"=35")&gt;=1,COUNTIF(D161:AG161,"f")=2,COUNTIF(D161:AG161,"")=0,COUNTIF(D161:AG161,"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EXTRACTNUMBER(AD161),EXTRACTNUMBER(AF161)),"*"),IF(AND(COUNTIF(D161:AG161,"=36")&gt;=2,COUNTIF(D161:AG161,"f")=2,COUNTIF(D161:AG161,"")=0,COUNTIF(D161:AG161,"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EXTRACTNUMBER(AD161),EXTRACTNUMBER(AF161)),"*"),SUM(EXTRACTNUMBER(D161),EXTRACTNUMBER(F161),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EXTRACTNUMBER(AD161),EXTRACTNUMBER(AF161))))),SUM(EXTRACTNUMBER(D161),EXTRACTNUMBER(F161),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EXTRACTNUMBER(AD161),EXTRACTNUMBER(AF161)))</f>
        <v>482</v>
      </c>
      <c r="AI161" s="38" t="str">
        <f t="shared" si="32"/>
        <v>FAIL</v>
      </c>
      <c r="AJ161" s="28" t="str">
        <f>spellnumber(EXTRACTnUMBER_TOT(AH161))</f>
        <v xml:space="preserve">Four Hundred Eighty Two </v>
      </c>
      <c r="AK161" s="9" t="s">
        <v>435</v>
      </c>
    </row>
    <row r="162" spans="2:37" ht="15" customHeight="1">
      <c r="B162" s="31">
        <v>223336</v>
      </c>
      <c r="C162" s="32" t="s">
        <v>294</v>
      </c>
      <c r="D162" s="33">
        <v>29</v>
      </c>
      <c r="E162" s="34" t="str">
        <f t="shared" si="34"/>
        <v>F</v>
      </c>
      <c r="F162" s="35">
        <v>15</v>
      </c>
      <c r="G162" s="34" t="str">
        <f t="shared" si="35"/>
        <v>E</v>
      </c>
      <c r="H162" s="36">
        <v>59</v>
      </c>
      <c r="I162" s="34" t="str">
        <f t="shared" si="36"/>
        <v>E</v>
      </c>
      <c r="J162" s="35">
        <v>24</v>
      </c>
      <c r="K162" s="34" t="str">
        <f t="shared" si="37"/>
        <v>E</v>
      </c>
      <c r="L162" s="35">
        <v>18</v>
      </c>
      <c r="M162" s="34" t="str">
        <f t="shared" si="38"/>
        <v>E</v>
      </c>
      <c r="N162" s="36">
        <v>57</v>
      </c>
      <c r="O162" s="34" t="str">
        <f t="shared" si="33"/>
        <v>E</v>
      </c>
      <c r="P162" s="35">
        <v>19</v>
      </c>
      <c r="Q162" s="37" t="str">
        <f t="shared" si="39"/>
        <v>E</v>
      </c>
      <c r="R162" s="33">
        <v>56</v>
      </c>
      <c r="S162" s="34" t="str">
        <f t="shared" si="40"/>
        <v>E</v>
      </c>
      <c r="T162" s="35">
        <v>20</v>
      </c>
      <c r="U162" s="37" t="str">
        <f t="shared" si="41"/>
        <v>E</v>
      </c>
      <c r="V162" s="33">
        <v>46</v>
      </c>
      <c r="W162" s="34" t="str">
        <f t="shared" si="42"/>
        <v>E</v>
      </c>
      <c r="X162" s="35">
        <v>19</v>
      </c>
      <c r="Y162" s="37" t="str">
        <f t="shared" si="43"/>
        <v>E</v>
      </c>
      <c r="Z162" s="35">
        <v>18</v>
      </c>
      <c r="AA162" s="37" t="str">
        <f t="shared" si="44"/>
        <v>E</v>
      </c>
      <c r="AB162" s="33">
        <v>48</v>
      </c>
      <c r="AC162" s="34" t="str">
        <f t="shared" si="45"/>
        <v>E</v>
      </c>
      <c r="AD162" s="35">
        <v>22</v>
      </c>
      <c r="AE162" s="34" t="str">
        <f t="shared" si="46"/>
        <v>E</v>
      </c>
      <c r="AF162" s="35">
        <v>40</v>
      </c>
      <c r="AG162" s="37" t="str">
        <f t="shared" si="47"/>
        <v>E</v>
      </c>
      <c r="AH162" s="4">
        <f>IF(OR(AND(D162&gt;=31,D162&lt;40),AND(H162&gt;=31,H162&lt;40),AND(N162&gt;=31,N162&lt;40),AND(R162&gt;=31,R162&lt;40),AND(V162&gt;=31,V162&lt;40),AND(AB162&gt;=31,AB162&lt;40)),IF(AND(OR(COUNTIF(D162:AG162,"=31")&gt;=1,COUNTIF(D162:AG162,"=32")&gt;=1,COUNTIF(D162:AG162,"=33")&gt;=1,COUNTIF(D162:AG162,"=34")&gt;=1,COUNTIF(D162:AG162,"=35")&gt;=1,COUNTIF(D162:AG162,"=36")&gt;=1 ),COUNTIF(D162:AG162,"")=0,COUNTIF(D162:AG162," ")=0,COUNTIF(D162:AG162,"F")=1),CONCATENATE(SUM(EXTRACTNUMBER(D162),EXTRACTNUMBER(F162),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EXTRACTNUMBER(AD162),EXTRACTNUMBER(AF162)),"*"),IF(AND(COUNTIF(D162:AG162,"=34")&gt;=1,COUNTIF(D162:AG162,"=35")&gt;=1,COUNTIF(D162:AG162,"f")=2,COUNTIF(D162:AG162,"")=0,COUNTIF(D162:AG162,"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EXTRACTNUMBER(AD162),EXTRACTNUMBER(AF162)),"*"),IF(AND(COUNTIF(D162:AG162,"=36")&gt;=2,COUNTIF(D162:AG162,"f")=2,COUNTIF(D162:AG162,"")=0,COUNTIF(D162:AG162,"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EXTRACTNUMBER(AD162),EXTRACTNUMBER(AF162)),"*"),SUM(EXTRACTNUMBER(D162),EXTRACTNUMBER(F162),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EXTRACTNUMBER(AD162),EXTRACTNUMBER(AF162))))),SUM(EXTRACTNUMBER(D162),EXTRACTNUMBER(F162),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EXTRACTNUMBER(AD162),EXTRACTNUMBER(AF162)))</f>
        <v>490</v>
      </c>
      <c r="AI162" s="38" t="str">
        <f t="shared" si="32"/>
        <v>FAIL</v>
      </c>
      <c r="AJ162" s="28" t="str">
        <f>spellnumber(EXTRACTnUMBER_TOT(AH162))</f>
        <v xml:space="preserve">Four Hundred Ninety </v>
      </c>
      <c r="AK162" s="9">
        <v>490</v>
      </c>
    </row>
    <row r="163" spans="2:37" ht="15" customHeight="1">
      <c r="B163" s="31">
        <v>223337</v>
      </c>
      <c r="C163" s="32" t="s">
        <v>295</v>
      </c>
      <c r="D163" s="33">
        <v>18</v>
      </c>
      <c r="E163" s="34" t="str">
        <f t="shared" si="34"/>
        <v>F</v>
      </c>
      <c r="F163" s="35">
        <v>15</v>
      </c>
      <c r="G163" s="34" t="str">
        <f t="shared" si="35"/>
        <v>E</v>
      </c>
      <c r="H163" s="36">
        <v>43</v>
      </c>
      <c r="I163" s="34" t="str">
        <f t="shared" si="36"/>
        <v>E</v>
      </c>
      <c r="J163" s="35">
        <v>19</v>
      </c>
      <c r="K163" s="34" t="str">
        <f t="shared" si="37"/>
        <v>E</v>
      </c>
      <c r="L163" s="35">
        <v>16</v>
      </c>
      <c r="M163" s="34" t="str">
        <f t="shared" si="38"/>
        <v>E</v>
      </c>
      <c r="N163" s="36">
        <v>44</v>
      </c>
      <c r="O163" s="34" t="str">
        <f t="shared" si="33"/>
        <v>E</v>
      </c>
      <c r="P163" s="35">
        <v>17</v>
      </c>
      <c r="Q163" s="37" t="str">
        <f t="shared" si="39"/>
        <v>E</v>
      </c>
      <c r="R163" s="33">
        <v>48</v>
      </c>
      <c r="S163" s="34" t="str">
        <f t="shared" si="40"/>
        <v>E</v>
      </c>
      <c r="T163" s="35">
        <v>22</v>
      </c>
      <c r="U163" s="37" t="str">
        <f t="shared" si="41"/>
        <v>E</v>
      </c>
      <c r="V163" s="33">
        <v>46</v>
      </c>
      <c r="W163" s="34" t="str">
        <f t="shared" si="42"/>
        <v>E</v>
      </c>
      <c r="X163" s="35">
        <v>17</v>
      </c>
      <c r="Y163" s="37" t="str">
        <f t="shared" si="43"/>
        <v>E</v>
      </c>
      <c r="Z163" s="35">
        <v>18</v>
      </c>
      <c r="AA163" s="37" t="str">
        <f t="shared" si="44"/>
        <v>E</v>
      </c>
      <c r="AB163" s="33">
        <v>40</v>
      </c>
      <c r="AC163" s="34" t="str">
        <f t="shared" si="45"/>
        <v>E</v>
      </c>
      <c r="AD163" s="35">
        <v>20</v>
      </c>
      <c r="AE163" s="34" t="str">
        <f t="shared" si="46"/>
        <v>E</v>
      </c>
      <c r="AF163" s="35">
        <v>38</v>
      </c>
      <c r="AG163" s="37" t="str">
        <f t="shared" si="47"/>
        <v>E</v>
      </c>
      <c r="AH163" s="4">
        <f>IF(OR(AND(D163&gt;=31,D163&lt;40),AND(H163&gt;=31,H163&lt;40),AND(N163&gt;=31,N163&lt;40),AND(R163&gt;=31,R163&lt;40),AND(V163&gt;=31,V163&lt;40),AND(AB163&gt;=31,AB163&lt;40)),IF(AND(OR(COUNTIF(D163:AG163,"=31")&gt;=1,COUNTIF(D163:AG163,"=32")&gt;=1,COUNTIF(D163:AG163,"=33")&gt;=1,COUNTIF(D163:AG163,"=34")&gt;=1,COUNTIF(D163:AG163,"=35")&gt;=1,COUNTIF(D163:AG163,"=36")&gt;=1 ),COUNTIF(D163:AG163,"")=0,COUNTIF(D163:AG163," ")=0,COUNTIF(D163:AG163,"F")=1),CONCATENATE(SUM(EXTRACTNUMBER(D163),EXTRACTNUMBER(F163),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EXTRACTNUMBER(AD163),EXTRACTNUMBER(AF163)),"*"),IF(AND(COUNTIF(D163:AG163,"=34")&gt;=1,COUNTIF(D163:AG163,"=35")&gt;=1,COUNTIF(D163:AG163,"f")=2,COUNTIF(D163:AG163,"")=0,COUNTIF(D163:AG163,"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EXTRACTNUMBER(AD163),EXTRACTNUMBER(AF163)),"*"),IF(AND(COUNTIF(D163:AG163,"=36")&gt;=2,COUNTIF(D163:AG163,"f")=2,COUNTIF(D163:AG163,"")=0,COUNTIF(D163:AG163,"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EXTRACTNUMBER(AD163),EXTRACTNUMBER(AF163)),"*"),SUM(EXTRACTNUMBER(D163),EXTRACTNUMBER(F163),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EXTRACTNUMBER(AD163),EXTRACTNUMBER(AF163))))),SUM(EXTRACTNUMBER(D163),EXTRACTNUMBER(F163),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EXTRACTNUMBER(AD163),EXTRACTNUMBER(AF163)))</f>
        <v>421</v>
      </c>
      <c r="AI163" s="38" t="str">
        <f t="shared" si="32"/>
        <v>FAIL</v>
      </c>
      <c r="AJ163" s="28" t="str">
        <f>spellnumber(EXTRACTnUMBER_TOT(AH163))</f>
        <v xml:space="preserve">Four Hundred Twenty One </v>
      </c>
      <c r="AK163" s="9">
        <v>421</v>
      </c>
    </row>
    <row r="164" spans="2:37" ht="15" customHeight="1">
      <c r="B164" s="31">
        <v>223338</v>
      </c>
      <c r="C164" s="32" t="s">
        <v>296</v>
      </c>
      <c r="D164" s="33">
        <v>40</v>
      </c>
      <c r="E164" s="34" t="str">
        <f t="shared" si="34"/>
        <v/>
      </c>
      <c r="F164" s="35">
        <v>10</v>
      </c>
      <c r="G164" s="34" t="str">
        <f t="shared" si="35"/>
        <v/>
      </c>
      <c r="H164" s="36">
        <v>63</v>
      </c>
      <c r="I164" s="34" t="str">
        <f t="shared" si="36"/>
        <v/>
      </c>
      <c r="J164" s="35">
        <v>20</v>
      </c>
      <c r="K164" s="34" t="str">
        <f t="shared" si="37"/>
        <v/>
      </c>
      <c r="L164" s="35">
        <v>18</v>
      </c>
      <c r="M164" s="34" t="str">
        <f t="shared" si="38"/>
        <v/>
      </c>
      <c r="N164" s="36">
        <v>50</v>
      </c>
      <c r="O164" s="34" t="str">
        <f t="shared" si="33"/>
        <v/>
      </c>
      <c r="P164" s="35">
        <v>15</v>
      </c>
      <c r="Q164" s="37" t="str">
        <f t="shared" si="39"/>
        <v/>
      </c>
      <c r="R164" s="33">
        <v>47</v>
      </c>
      <c r="S164" s="34" t="str">
        <f t="shared" si="40"/>
        <v/>
      </c>
      <c r="T164" s="35">
        <v>20</v>
      </c>
      <c r="U164" s="37" t="str">
        <f t="shared" si="41"/>
        <v/>
      </c>
      <c r="V164" s="33">
        <v>44</v>
      </c>
      <c r="W164" s="34" t="str">
        <f t="shared" si="42"/>
        <v/>
      </c>
      <c r="X164" s="35">
        <v>18</v>
      </c>
      <c r="Y164" s="37" t="str">
        <f t="shared" si="43"/>
        <v/>
      </c>
      <c r="Z164" s="35">
        <v>18</v>
      </c>
      <c r="AA164" s="37" t="str">
        <f t="shared" si="44"/>
        <v/>
      </c>
      <c r="AB164" s="33">
        <v>40</v>
      </c>
      <c r="AC164" s="34" t="str">
        <f t="shared" si="45"/>
        <v/>
      </c>
      <c r="AD164" s="35">
        <v>19</v>
      </c>
      <c r="AE164" s="34" t="str">
        <f t="shared" si="46"/>
        <v/>
      </c>
      <c r="AF164" s="35">
        <v>39</v>
      </c>
      <c r="AG164" s="37" t="str">
        <f t="shared" si="47"/>
        <v/>
      </c>
      <c r="AH164" s="4">
        <f>IF(OR(AND(D164&gt;=31,D164&lt;40),AND(H164&gt;=31,H164&lt;40),AND(N164&gt;=31,N164&lt;40),AND(R164&gt;=31,R164&lt;40),AND(V164&gt;=31,V164&lt;40),AND(AB164&gt;=31,AB164&lt;40)),IF(AND(OR(COUNTIF(D164:AG164,"=31")&gt;=1,COUNTIF(D164:AG164,"=32")&gt;=1,COUNTIF(D164:AG164,"=33")&gt;=1,COUNTIF(D164:AG164,"=34")&gt;=1,COUNTIF(D164:AG164,"=35")&gt;=1,COUNTIF(D164:AG164,"=36")&gt;=1 ),COUNTIF(D164:AG164,"")=0,COUNTIF(D164:AG164," ")=0,COUNTIF(D164:AG164,"F")=1),CONCATENATE(SUM(EXTRACTNUMBER(D164),EXTRACTNUMBER(F164),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EXTRACTNUMBER(AD164),EXTRACTNUMBER(AF164)),"*"),IF(AND(COUNTIF(D164:AG164,"=34")&gt;=1,COUNTIF(D164:AG164,"=35")&gt;=1,COUNTIF(D164:AG164,"f")=2,COUNTIF(D164:AG164,"")=0,COUNTIF(D164:AG164,"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EXTRACTNUMBER(AD164),EXTRACTNUMBER(AF164)),"*"),IF(AND(COUNTIF(D164:AG164,"=36")&gt;=2,COUNTIF(D164:AG164,"f")=2,COUNTIF(D164:AG164,"")=0,COUNTIF(D164:AG164,"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EXTRACTNUMBER(AD164),EXTRACTNUMBER(AF164)),"*"),SUM(EXTRACTNUMBER(D164),EXTRACTNUMBER(F164),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EXTRACTNUMBER(AD164),EXTRACTNUMBER(AF164))))),SUM(EXTRACTNUMBER(D164),EXTRACTNUMBER(F164),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EXTRACTNUMBER(AD164),EXTRACTNUMBER(AF164)))</f>
        <v>461</v>
      </c>
      <c r="AI164" s="38" t="str">
        <f t="shared" si="32"/>
        <v>PASS</v>
      </c>
      <c r="AJ164" s="28" t="str">
        <f>spellnumber(EXTRACTnUMBER_TOT(AH164))</f>
        <v xml:space="preserve">Four Hundred Sixty One </v>
      </c>
      <c r="AK164" s="9">
        <v>461</v>
      </c>
    </row>
    <row r="165" spans="2:37" ht="15" customHeight="1">
      <c r="B165" s="31">
        <v>223339</v>
      </c>
      <c r="C165" s="32" t="s">
        <v>297</v>
      </c>
      <c r="D165" s="33">
        <v>15</v>
      </c>
      <c r="E165" s="34" t="str">
        <f t="shared" si="34"/>
        <v>F</v>
      </c>
      <c r="F165" s="35">
        <v>15</v>
      </c>
      <c r="G165" s="34" t="str">
        <f t="shared" si="35"/>
        <v>E</v>
      </c>
      <c r="H165" s="36">
        <v>40</v>
      </c>
      <c r="I165" s="34" t="str">
        <f t="shared" si="36"/>
        <v>E</v>
      </c>
      <c r="J165" s="35">
        <v>19</v>
      </c>
      <c r="K165" s="34" t="str">
        <f t="shared" si="37"/>
        <v>E</v>
      </c>
      <c r="L165" s="35">
        <v>18</v>
      </c>
      <c r="M165" s="34" t="str">
        <f t="shared" si="38"/>
        <v>E</v>
      </c>
      <c r="N165" s="36">
        <v>52</v>
      </c>
      <c r="O165" s="34" t="str">
        <f t="shared" si="33"/>
        <v>E</v>
      </c>
      <c r="P165" s="35">
        <v>12</v>
      </c>
      <c r="Q165" s="37" t="str">
        <f t="shared" si="39"/>
        <v>E</v>
      </c>
      <c r="R165" s="33">
        <v>49</v>
      </c>
      <c r="S165" s="34" t="str">
        <f t="shared" si="40"/>
        <v>E</v>
      </c>
      <c r="T165" s="35">
        <v>21</v>
      </c>
      <c r="U165" s="37" t="str">
        <f t="shared" si="41"/>
        <v>E</v>
      </c>
      <c r="V165" s="33">
        <v>56</v>
      </c>
      <c r="W165" s="34" t="str">
        <f t="shared" si="42"/>
        <v>E</v>
      </c>
      <c r="X165" s="35">
        <v>17</v>
      </c>
      <c r="Y165" s="37" t="str">
        <f t="shared" si="43"/>
        <v>E</v>
      </c>
      <c r="Z165" s="35">
        <v>18</v>
      </c>
      <c r="AA165" s="37" t="str">
        <f t="shared" si="44"/>
        <v>E</v>
      </c>
      <c r="AB165" s="33">
        <v>40</v>
      </c>
      <c r="AC165" s="34" t="str">
        <f t="shared" si="45"/>
        <v>E</v>
      </c>
      <c r="AD165" s="35">
        <v>18</v>
      </c>
      <c r="AE165" s="34" t="str">
        <f t="shared" si="46"/>
        <v>E</v>
      </c>
      <c r="AF165" s="35">
        <v>30</v>
      </c>
      <c r="AG165" s="37" t="str">
        <f t="shared" si="47"/>
        <v>E</v>
      </c>
      <c r="AH165" s="4">
        <f>IF(OR(AND(D165&gt;=31,D165&lt;40),AND(H165&gt;=31,H165&lt;40),AND(N165&gt;=31,N165&lt;40),AND(R165&gt;=31,R165&lt;40),AND(V165&gt;=31,V165&lt;40),AND(AB165&gt;=31,AB165&lt;40)),IF(AND(OR(COUNTIF(D165:AG165,"=31")&gt;=1,COUNTIF(D165:AG165,"=32")&gt;=1,COUNTIF(D165:AG165,"=33")&gt;=1,COUNTIF(D165:AG165,"=34")&gt;=1,COUNTIF(D165:AG165,"=35")&gt;=1,COUNTIF(D165:AG165,"=36")&gt;=1 ),COUNTIF(D165:AG165,"")=0,COUNTIF(D165:AG165," ")=0,COUNTIF(D165:AG165,"F")=1),CONCATENATE(SUM(EXTRACTNUMBER(D165),EXTRACTNUMBER(F165),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EXTRACTNUMBER(AD165),EXTRACTNUMBER(AF165)),"*"),IF(AND(COUNTIF(D165:AG165,"=34")&gt;=1,COUNTIF(D165:AG165,"=35")&gt;=1,COUNTIF(D165:AG165,"f")=2,COUNTIF(D165:AG165,"")=0,COUNTIF(D165:AG165,"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EXTRACTNUMBER(AD165),EXTRACTNUMBER(AF165)),"*"),IF(AND(COUNTIF(D165:AG165,"=36")&gt;=2,COUNTIF(D165:AG165,"f")=2,COUNTIF(D165:AG165,"")=0,COUNTIF(D165:AG165,"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EXTRACTNUMBER(AD165),EXTRACTNUMBER(AF165)),"*"),SUM(EXTRACTNUMBER(D165),EXTRACTNUMBER(F165),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EXTRACTNUMBER(AD165),EXTRACTNUMBER(AF165))))),SUM(EXTRACTNUMBER(D165),EXTRACTNUMBER(F165),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EXTRACTNUMBER(AD165),EXTRACTNUMBER(AF165)))</f>
        <v>420</v>
      </c>
      <c r="AI165" s="38" t="str">
        <f t="shared" si="32"/>
        <v>FAIL</v>
      </c>
      <c r="AJ165" s="28" t="str">
        <f>spellnumber(EXTRACTnUMBER_TOT(AH165))</f>
        <v xml:space="preserve">Four Hundred Twenty  </v>
      </c>
      <c r="AK165" s="9">
        <v>420</v>
      </c>
    </row>
    <row r="166" spans="2:37" ht="15" customHeight="1">
      <c r="B166" s="31">
        <v>223340</v>
      </c>
      <c r="C166" s="32" t="s">
        <v>298</v>
      </c>
      <c r="D166" s="33">
        <v>71</v>
      </c>
      <c r="E166" s="34" t="str">
        <f t="shared" si="34"/>
        <v/>
      </c>
      <c r="F166" s="35">
        <v>24</v>
      </c>
      <c r="G166" s="34" t="str">
        <f t="shared" si="35"/>
        <v/>
      </c>
      <c r="H166" s="36">
        <v>40</v>
      </c>
      <c r="I166" s="34" t="str">
        <f t="shared" si="36"/>
        <v/>
      </c>
      <c r="J166" s="35">
        <v>24</v>
      </c>
      <c r="K166" s="34" t="str">
        <f t="shared" si="37"/>
        <v/>
      </c>
      <c r="L166" s="35">
        <v>17</v>
      </c>
      <c r="M166" s="34" t="str">
        <f t="shared" si="38"/>
        <v/>
      </c>
      <c r="N166" s="36">
        <v>72</v>
      </c>
      <c r="O166" s="34" t="str">
        <f t="shared" si="33"/>
        <v/>
      </c>
      <c r="P166" s="35">
        <v>24</v>
      </c>
      <c r="Q166" s="37" t="str">
        <f t="shared" si="39"/>
        <v/>
      </c>
      <c r="R166" s="33">
        <v>43</v>
      </c>
      <c r="S166" s="34" t="str">
        <f t="shared" si="40"/>
        <v/>
      </c>
      <c r="T166" s="35">
        <v>24</v>
      </c>
      <c r="U166" s="37" t="str">
        <f t="shared" si="41"/>
        <v/>
      </c>
      <c r="V166" s="33">
        <v>63</v>
      </c>
      <c r="W166" s="34" t="str">
        <f t="shared" si="42"/>
        <v/>
      </c>
      <c r="X166" s="35">
        <v>24</v>
      </c>
      <c r="Y166" s="37" t="str">
        <f t="shared" si="43"/>
        <v/>
      </c>
      <c r="Z166" s="35">
        <v>24</v>
      </c>
      <c r="AA166" s="37" t="str">
        <f t="shared" si="44"/>
        <v/>
      </c>
      <c r="AB166" s="33">
        <v>49</v>
      </c>
      <c r="AC166" s="34" t="str">
        <f t="shared" si="45"/>
        <v/>
      </c>
      <c r="AD166" s="35">
        <v>24</v>
      </c>
      <c r="AE166" s="34" t="str">
        <f t="shared" si="46"/>
        <v/>
      </c>
      <c r="AF166" s="35">
        <v>47</v>
      </c>
      <c r="AG166" s="37" t="str">
        <f t="shared" si="47"/>
        <v/>
      </c>
      <c r="AH166" s="4">
        <f>IF(OR(AND(D166&gt;=31,D166&lt;40),AND(H166&gt;=31,H166&lt;40),AND(N166&gt;=31,N166&lt;40),AND(R166&gt;=31,R166&lt;40),AND(V166&gt;=31,V166&lt;40),AND(AB166&gt;=31,AB166&lt;40)),IF(AND(OR(COUNTIF(D166:AG166,"=31")&gt;=1,COUNTIF(D166:AG166,"=32")&gt;=1,COUNTIF(D166:AG166,"=33")&gt;=1,COUNTIF(D166:AG166,"=34")&gt;=1,COUNTIF(D166:AG166,"=35")&gt;=1,COUNTIF(D166:AG166,"=36")&gt;=1 ),COUNTIF(D166:AG166,"")=0,COUNTIF(D166:AG166," ")=0,COUNTIF(D166:AG166,"F")=1),CONCATENATE(SUM(EXTRACTNUMBER(D166),EXTRACTNUMBER(F166),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EXTRACTNUMBER(AD166),EXTRACTNUMBER(AF166)),"*"),IF(AND(COUNTIF(D166:AG166,"=34")&gt;=1,COUNTIF(D166:AG166,"=35")&gt;=1,COUNTIF(D166:AG166,"f")=2,COUNTIF(D166:AG166,"")=0,COUNTIF(D166:AG166,"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EXTRACTNUMBER(AD166),EXTRACTNUMBER(AF166)),"*"),IF(AND(COUNTIF(D166:AG166,"=36")&gt;=2,COUNTIF(D166:AG166,"f")=2,COUNTIF(D166:AG166,"")=0,COUNTIF(D166:AG166,"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EXTRACTNUMBER(AD166),EXTRACTNUMBER(AF166)),"*"),SUM(EXTRACTNUMBER(D166),EXTRACTNUMBER(F166),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EXTRACTNUMBER(AD166),EXTRACTNUMBER(AF166))))),SUM(EXTRACTNUMBER(D166),EXTRACTNUMBER(F166),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EXTRACTNUMBER(AD166),EXTRACTNUMBER(AF166)))</f>
        <v>570</v>
      </c>
      <c r="AI166" s="38" t="str">
        <f t="shared" si="32"/>
        <v>PASS</v>
      </c>
      <c r="AJ166" s="28" t="str">
        <f>spellnumber(EXTRACTnUMBER_TOT(AH166))</f>
        <v xml:space="preserve">Five Hundred Seventy  </v>
      </c>
      <c r="AK166" s="9">
        <v>570</v>
      </c>
    </row>
    <row r="167" spans="2:37" ht="15" customHeight="1">
      <c r="B167" s="31">
        <v>223341</v>
      </c>
      <c r="C167" s="32" t="s">
        <v>299</v>
      </c>
      <c r="D167" s="33">
        <v>13</v>
      </c>
      <c r="E167" s="34" t="str">
        <f t="shared" si="34"/>
        <v>F</v>
      </c>
      <c r="F167" s="35">
        <v>15</v>
      </c>
      <c r="G167" s="34" t="str">
        <f t="shared" si="35"/>
        <v>E</v>
      </c>
      <c r="H167" s="36">
        <v>45</v>
      </c>
      <c r="I167" s="34" t="str">
        <f t="shared" si="36"/>
        <v>E</v>
      </c>
      <c r="J167" s="35">
        <v>21</v>
      </c>
      <c r="K167" s="34" t="str">
        <f t="shared" si="37"/>
        <v>E</v>
      </c>
      <c r="L167" s="35">
        <v>20</v>
      </c>
      <c r="M167" s="34" t="str">
        <f t="shared" si="38"/>
        <v>E</v>
      </c>
      <c r="N167" s="36">
        <v>44</v>
      </c>
      <c r="O167" s="34" t="str">
        <f t="shared" si="33"/>
        <v>E</v>
      </c>
      <c r="P167" s="35">
        <v>18</v>
      </c>
      <c r="Q167" s="37" t="str">
        <f t="shared" si="39"/>
        <v>E</v>
      </c>
      <c r="R167" s="33">
        <v>55</v>
      </c>
      <c r="S167" s="34" t="str">
        <f t="shared" si="40"/>
        <v>E</v>
      </c>
      <c r="T167" s="35">
        <v>20</v>
      </c>
      <c r="U167" s="37" t="str">
        <f t="shared" si="41"/>
        <v>E</v>
      </c>
      <c r="V167" s="33">
        <v>50</v>
      </c>
      <c r="W167" s="34" t="str">
        <f t="shared" si="42"/>
        <v>E</v>
      </c>
      <c r="X167" s="35">
        <v>18</v>
      </c>
      <c r="Y167" s="37" t="str">
        <f t="shared" si="43"/>
        <v>E</v>
      </c>
      <c r="Z167" s="35">
        <v>17</v>
      </c>
      <c r="AA167" s="37" t="str">
        <f t="shared" si="44"/>
        <v>E</v>
      </c>
      <c r="AB167" s="33">
        <v>52</v>
      </c>
      <c r="AC167" s="34" t="str">
        <f t="shared" si="45"/>
        <v>E</v>
      </c>
      <c r="AD167" s="35">
        <v>21</v>
      </c>
      <c r="AE167" s="34" t="str">
        <f t="shared" si="46"/>
        <v>E</v>
      </c>
      <c r="AF167" s="35">
        <v>39</v>
      </c>
      <c r="AG167" s="37" t="str">
        <f t="shared" si="47"/>
        <v>E</v>
      </c>
      <c r="AH167" s="4">
        <f>IF(OR(AND(D167&gt;=31,D167&lt;40),AND(H167&gt;=31,H167&lt;40),AND(N167&gt;=31,N167&lt;40),AND(R167&gt;=31,R167&lt;40),AND(V167&gt;=31,V167&lt;40),AND(AB167&gt;=31,AB167&lt;40)),IF(AND(OR(COUNTIF(D167:AG167,"=31")&gt;=1,COUNTIF(D167:AG167,"=32")&gt;=1,COUNTIF(D167:AG167,"=33")&gt;=1,COUNTIF(D167:AG167,"=34")&gt;=1,COUNTIF(D167:AG167,"=35")&gt;=1,COUNTIF(D167:AG167,"=36")&gt;=1 ),COUNTIF(D167:AG167,"")=0,COUNTIF(D167:AG167," ")=0,COUNTIF(D167:AG167,"F")=1),CONCATENATE(SUM(EXTRACTNUMBER(D167),EXTRACTNUMBER(F167),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EXTRACTNUMBER(AD167),EXTRACTNUMBER(AF167)),"*"),IF(AND(COUNTIF(D167:AG167,"=34")&gt;=1,COUNTIF(D167:AG167,"=35")&gt;=1,COUNTIF(D167:AG167,"f")=2,COUNTIF(D167:AG167,"")=0,COUNTIF(D167:AG167,"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EXTRACTNUMBER(AD167),EXTRACTNUMBER(AF167)),"*"),IF(AND(COUNTIF(D167:AG167,"=36")&gt;=2,COUNTIF(D167:AG167,"f")=2,COUNTIF(D167:AG167,"")=0,COUNTIF(D167:AG167,"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EXTRACTNUMBER(AD167),EXTRACTNUMBER(AF167)),"*"),SUM(EXTRACTNUMBER(D167),EXTRACTNUMBER(F167),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EXTRACTNUMBER(AD167),EXTRACTNUMBER(AF167))))),SUM(EXTRACTNUMBER(D167),EXTRACTNUMBER(F167),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EXTRACTNUMBER(AD167),EXTRACTNUMBER(AF167)))</f>
        <v>448</v>
      </c>
      <c r="AI167" s="38" t="str">
        <f t="shared" si="32"/>
        <v>FAIL</v>
      </c>
      <c r="AJ167" s="28" t="str">
        <f>spellnumber(EXTRACTnUMBER_TOT(AH167))</f>
        <v xml:space="preserve">Four Hundred Forty Eight </v>
      </c>
      <c r="AK167" s="9">
        <v>448</v>
      </c>
    </row>
    <row r="168" spans="2:37" ht="15" customHeight="1">
      <c r="B168" s="31">
        <v>223342</v>
      </c>
      <c r="C168" s="32" t="s">
        <v>300</v>
      </c>
      <c r="D168" s="33">
        <v>25</v>
      </c>
      <c r="E168" s="34" t="str">
        <f t="shared" si="34"/>
        <v>F</v>
      </c>
      <c r="F168" s="35">
        <v>15</v>
      </c>
      <c r="G168" s="34" t="str">
        <f t="shared" si="35"/>
        <v>E</v>
      </c>
      <c r="H168" s="36">
        <v>40</v>
      </c>
      <c r="I168" s="34" t="str">
        <f t="shared" si="36"/>
        <v>E</v>
      </c>
      <c r="J168" s="35">
        <v>21</v>
      </c>
      <c r="K168" s="34" t="str">
        <f t="shared" si="37"/>
        <v>E</v>
      </c>
      <c r="L168" s="35">
        <v>20</v>
      </c>
      <c r="M168" s="34" t="str">
        <f t="shared" si="38"/>
        <v>E</v>
      </c>
      <c r="N168" s="36">
        <v>65</v>
      </c>
      <c r="O168" s="34" t="str">
        <f t="shared" si="33"/>
        <v>E</v>
      </c>
      <c r="P168" s="35">
        <v>20</v>
      </c>
      <c r="Q168" s="37" t="str">
        <f t="shared" si="39"/>
        <v>E</v>
      </c>
      <c r="R168" s="33">
        <v>59</v>
      </c>
      <c r="S168" s="34" t="str">
        <f t="shared" si="40"/>
        <v>E</v>
      </c>
      <c r="T168" s="35">
        <v>20</v>
      </c>
      <c r="U168" s="37" t="str">
        <f t="shared" si="41"/>
        <v>E</v>
      </c>
      <c r="V168" s="33">
        <v>47</v>
      </c>
      <c r="W168" s="34" t="str">
        <f t="shared" si="42"/>
        <v>E</v>
      </c>
      <c r="X168" s="35">
        <v>19</v>
      </c>
      <c r="Y168" s="37" t="str">
        <f t="shared" si="43"/>
        <v>E</v>
      </c>
      <c r="Z168" s="35">
        <v>18</v>
      </c>
      <c r="AA168" s="37" t="str">
        <f t="shared" si="44"/>
        <v>E</v>
      </c>
      <c r="AB168" s="33">
        <v>51</v>
      </c>
      <c r="AC168" s="34" t="str">
        <f t="shared" si="45"/>
        <v>E</v>
      </c>
      <c r="AD168" s="35">
        <v>23</v>
      </c>
      <c r="AE168" s="34" t="str">
        <f t="shared" si="46"/>
        <v>E</v>
      </c>
      <c r="AF168" s="35">
        <v>41</v>
      </c>
      <c r="AG168" s="37" t="str">
        <f t="shared" si="47"/>
        <v>E</v>
      </c>
      <c r="AH168" s="4">
        <f>IF(OR(AND(D168&gt;=31,D168&lt;40),AND(H168&gt;=31,H168&lt;40),AND(N168&gt;=31,N168&lt;40),AND(R168&gt;=31,R168&lt;40),AND(V168&gt;=31,V168&lt;40),AND(AB168&gt;=31,AB168&lt;40)),IF(AND(OR(COUNTIF(D168:AG168,"=31")&gt;=1,COUNTIF(D168:AG168,"=32")&gt;=1,COUNTIF(D168:AG168,"=33")&gt;=1,COUNTIF(D168:AG168,"=34")&gt;=1,COUNTIF(D168:AG168,"=35")&gt;=1,COUNTIF(D168:AG168,"=36")&gt;=1 ),COUNTIF(D168:AG168,"")=0,COUNTIF(D168:AG168," ")=0,COUNTIF(D168:AG168,"F")=1),CONCATENATE(SUM(EXTRACTNUMBER(D168),EXTRACTNUMBER(F168),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EXTRACTNUMBER(AD168),EXTRACTNUMBER(AF168)),"*"),IF(AND(COUNTIF(D168:AG168,"=34")&gt;=1,COUNTIF(D168:AG168,"=35")&gt;=1,COUNTIF(D168:AG168,"f")=2,COUNTIF(D168:AG168,"")=0,COUNTIF(D168:AG168,"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EXTRACTNUMBER(AD168),EXTRACTNUMBER(AF168)),"*"),IF(AND(COUNTIF(D168:AG168,"=36")&gt;=2,COUNTIF(D168:AG168,"f")=2,COUNTIF(D168:AG168,"")=0,COUNTIF(D168:AG168,"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EXTRACTNUMBER(AD168),EXTRACTNUMBER(AF168)),"*"),SUM(EXTRACTNUMBER(D168),EXTRACTNUMBER(F168),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EXTRACTNUMBER(AD168),EXTRACTNUMBER(AF168))))),SUM(EXTRACTNUMBER(D168),EXTRACTNUMBER(F168),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EXTRACTNUMBER(AD168),EXTRACTNUMBER(AF168)))</f>
        <v>484</v>
      </c>
      <c r="AI168" s="38" t="str">
        <f t="shared" si="32"/>
        <v>FAIL</v>
      </c>
      <c r="AJ168" s="28" t="str">
        <f>spellnumber(EXTRACTnUMBER_TOT(AH168))</f>
        <v xml:space="preserve">Four Hundred Eighty Four </v>
      </c>
      <c r="AK168" s="9">
        <v>484</v>
      </c>
    </row>
    <row r="169" spans="2:37" ht="15" customHeight="1">
      <c r="B169" s="31">
        <v>223343</v>
      </c>
      <c r="C169" s="32" t="s">
        <v>301</v>
      </c>
      <c r="D169" s="33">
        <v>25</v>
      </c>
      <c r="E169" s="34" t="str">
        <f t="shared" si="34"/>
        <v>F</v>
      </c>
      <c r="F169" s="35">
        <v>15</v>
      </c>
      <c r="G169" s="34" t="str">
        <f t="shared" si="35"/>
        <v>E</v>
      </c>
      <c r="H169" s="36">
        <v>46</v>
      </c>
      <c r="I169" s="34" t="str">
        <f t="shared" si="36"/>
        <v>E</v>
      </c>
      <c r="J169" s="35">
        <v>19</v>
      </c>
      <c r="K169" s="34" t="str">
        <f t="shared" si="37"/>
        <v>E</v>
      </c>
      <c r="L169" s="35">
        <v>18</v>
      </c>
      <c r="M169" s="34" t="str">
        <f t="shared" si="38"/>
        <v>E</v>
      </c>
      <c r="N169" s="36">
        <v>42</v>
      </c>
      <c r="O169" s="34" t="str">
        <f t="shared" si="33"/>
        <v>E</v>
      </c>
      <c r="P169" s="35">
        <v>16</v>
      </c>
      <c r="Q169" s="37" t="str">
        <f t="shared" si="39"/>
        <v>E</v>
      </c>
      <c r="R169" s="33">
        <v>44</v>
      </c>
      <c r="S169" s="34" t="str">
        <f t="shared" si="40"/>
        <v>E</v>
      </c>
      <c r="T169" s="35">
        <v>20</v>
      </c>
      <c r="U169" s="37" t="str">
        <f t="shared" si="41"/>
        <v>E</v>
      </c>
      <c r="V169" s="33">
        <v>23</v>
      </c>
      <c r="W169" s="34" t="str">
        <f t="shared" si="42"/>
        <v>F</v>
      </c>
      <c r="X169" s="35">
        <v>21</v>
      </c>
      <c r="Y169" s="37" t="str">
        <f t="shared" si="43"/>
        <v>E</v>
      </c>
      <c r="Z169" s="35">
        <v>21</v>
      </c>
      <c r="AA169" s="37" t="str">
        <f t="shared" si="44"/>
        <v>E</v>
      </c>
      <c r="AB169" s="33">
        <v>28</v>
      </c>
      <c r="AC169" s="34" t="str">
        <f t="shared" si="45"/>
        <v>F</v>
      </c>
      <c r="AD169" s="35">
        <v>20</v>
      </c>
      <c r="AE169" s="34" t="str">
        <f t="shared" si="46"/>
        <v>E</v>
      </c>
      <c r="AF169" s="35">
        <v>39</v>
      </c>
      <c r="AG169" s="37" t="str">
        <f t="shared" si="47"/>
        <v>E</v>
      </c>
      <c r="AH169" s="4">
        <f>IF(OR(AND(D169&gt;=31,D169&lt;40),AND(H169&gt;=31,H169&lt;40),AND(N169&gt;=31,N169&lt;40),AND(R169&gt;=31,R169&lt;40),AND(V169&gt;=31,V169&lt;40),AND(AB169&gt;=31,AB169&lt;40)),IF(AND(OR(COUNTIF(D169:AG169,"=31")&gt;=1,COUNTIF(D169:AG169,"=32")&gt;=1,COUNTIF(D169:AG169,"=33")&gt;=1,COUNTIF(D169:AG169,"=34")&gt;=1,COUNTIF(D169:AG169,"=35")&gt;=1,COUNTIF(D169:AG169,"=36")&gt;=1 ),COUNTIF(D169:AG169,"")=0,COUNTIF(D169:AG169," ")=0,COUNTIF(D169:AG169,"F")=1),CONCATENATE(SUM(EXTRACTNUMBER(D169),EXTRACTNUMBER(F169),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EXTRACTNUMBER(AD169),EXTRACTNUMBER(AF169)),"*"),IF(AND(COUNTIF(D169:AG169,"=34")&gt;=1,COUNTIF(D169:AG169,"=35")&gt;=1,COUNTIF(D169:AG169,"f")=2,COUNTIF(D169:AG169,"")=0,COUNTIF(D169:AG169,"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EXTRACTNUMBER(AD169),EXTRACTNUMBER(AF169)),"*"),IF(AND(COUNTIF(D169:AG169,"=36")&gt;=2,COUNTIF(D169:AG169,"f")=2,COUNTIF(D169:AG169,"")=0,COUNTIF(D169:AG169,"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EXTRACTNUMBER(AD169),EXTRACTNUMBER(AF169)),"*"),SUM(EXTRACTNUMBER(D169),EXTRACTNUMBER(F169),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EXTRACTNUMBER(AD169),EXTRACTNUMBER(AF169))))),SUM(EXTRACTNUMBER(D169),EXTRACTNUMBER(F169),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EXTRACTNUMBER(AD169),EXTRACTNUMBER(AF169)))</f>
        <v>397</v>
      </c>
      <c r="AI169" s="38" t="str">
        <f t="shared" si="32"/>
        <v>FAIL</v>
      </c>
      <c r="AJ169" s="28" t="str">
        <f>spellnumber(EXTRACTnUMBER_TOT(AH169))</f>
        <v xml:space="preserve">Three Hundred NinetySeven </v>
      </c>
      <c r="AK169" s="9">
        <v>397</v>
      </c>
    </row>
    <row r="170" spans="2:37" ht="15" customHeight="1">
      <c r="B170" s="31">
        <v>223344</v>
      </c>
      <c r="C170" s="32" t="s">
        <v>302</v>
      </c>
      <c r="D170" s="33">
        <v>21</v>
      </c>
      <c r="E170" s="34" t="str">
        <f t="shared" si="34"/>
        <v>F</v>
      </c>
      <c r="F170" s="35">
        <v>18</v>
      </c>
      <c r="G170" s="34" t="str">
        <f t="shared" si="35"/>
        <v>E</v>
      </c>
      <c r="H170" s="36">
        <v>58</v>
      </c>
      <c r="I170" s="34" t="str">
        <f t="shared" si="36"/>
        <v>E</v>
      </c>
      <c r="J170" s="35">
        <v>24</v>
      </c>
      <c r="K170" s="34" t="str">
        <f t="shared" si="37"/>
        <v>E</v>
      </c>
      <c r="L170" s="35">
        <v>18</v>
      </c>
      <c r="M170" s="34" t="str">
        <f t="shared" si="38"/>
        <v>E</v>
      </c>
      <c r="N170" s="36">
        <v>72</v>
      </c>
      <c r="O170" s="34" t="str">
        <f t="shared" si="33"/>
        <v>E</v>
      </c>
      <c r="P170" s="35">
        <v>15</v>
      </c>
      <c r="Q170" s="37" t="str">
        <f t="shared" si="39"/>
        <v>E</v>
      </c>
      <c r="R170" s="33">
        <v>52</v>
      </c>
      <c r="S170" s="34" t="str">
        <f t="shared" si="40"/>
        <v>E</v>
      </c>
      <c r="T170" s="35">
        <v>20</v>
      </c>
      <c r="U170" s="37" t="str">
        <f t="shared" si="41"/>
        <v>E</v>
      </c>
      <c r="V170" s="33">
        <v>47</v>
      </c>
      <c r="W170" s="34" t="str">
        <f t="shared" si="42"/>
        <v>E</v>
      </c>
      <c r="X170" s="35">
        <v>20</v>
      </c>
      <c r="Y170" s="37" t="str">
        <f t="shared" si="43"/>
        <v>E</v>
      </c>
      <c r="Z170" s="35">
        <v>20</v>
      </c>
      <c r="AA170" s="37" t="str">
        <f t="shared" si="44"/>
        <v>E</v>
      </c>
      <c r="AB170" s="33">
        <v>53</v>
      </c>
      <c r="AC170" s="34" t="str">
        <f t="shared" si="45"/>
        <v>E</v>
      </c>
      <c r="AD170" s="35">
        <v>21</v>
      </c>
      <c r="AE170" s="34" t="str">
        <f t="shared" si="46"/>
        <v>E</v>
      </c>
      <c r="AF170" s="35">
        <v>40</v>
      </c>
      <c r="AG170" s="37" t="str">
        <f t="shared" si="47"/>
        <v>E</v>
      </c>
      <c r="AH170" s="4">
        <f>IF(OR(AND(D170&gt;=31,D170&lt;40),AND(H170&gt;=31,H170&lt;40),AND(N170&gt;=31,N170&lt;40),AND(R170&gt;=31,R170&lt;40),AND(V170&gt;=31,V170&lt;40),AND(AB170&gt;=31,AB170&lt;40)),IF(AND(OR(COUNTIF(D170:AG170,"=31")&gt;=1,COUNTIF(D170:AG170,"=32")&gt;=1,COUNTIF(D170:AG170,"=33")&gt;=1,COUNTIF(D170:AG170,"=34")&gt;=1,COUNTIF(D170:AG170,"=35")&gt;=1,COUNTIF(D170:AG170,"=36")&gt;=1 ),COUNTIF(D170:AG170,"")=0,COUNTIF(D170:AG170," ")=0,COUNTIF(D170:AG170,"F")=1),CONCATENATE(SUM(EXTRACTNUMBER(D170),EXTRACTNUMBER(F170),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EXTRACTNUMBER(AD170),EXTRACTNUMBER(AF170)),"*"),IF(AND(COUNTIF(D170:AG170,"=34")&gt;=1,COUNTIF(D170:AG170,"=35")&gt;=1,COUNTIF(D170:AG170,"f")=2,COUNTIF(D170:AG170,"")=0,COUNTIF(D170:AG170,"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EXTRACTNUMBER(AD170),EXTRACTNUMBER(AF170)),"*"),IF(AND(COUNTIF(D170:AG170,"=36")&gt;=2,COUNTIF(D170:AG170,"f")=2,COUNTIF(D170:AG170,"")=0,COUNTIF(D170:AG170,"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EXTRACTNUMBER(AD170),EXTRACTNUMBER(AF170)),"*"),SUM(EXTRACTNUMBER(D170),EXTRACTNUMBER(F170),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EXTRACTNUMBER(AD170),EXTRACTNUMBER(AF170))))),SUM(EXTRACTNUMBER(D170),EXTRACTNUMBER(F170),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EXTRACTNUMBER(AD170),EXTRACTNUMBER(AF170)))</f>
        <v>499</v>
      </c>
      <c r="AI170" s="38" t="str">
        <f t="shared" si="32"/>
        <v>FAIL</v>
      </c>
      <c r="AJ170" s="28" t="str">
        <f>spellnumber(EXTRACTnUMBER_TOT(AH170))</f>
        <v xml:space="preserve">Four Hundred NinetyNine </v>
      </c>
      <c r="AK170" s="9">
        <v>499</v>
      </c>
    </row>
    <row r="171" spans="2:37" ht="15" customHeight="1">
      <c r="B171" s="31">
        <v>223345</v>
      </c>
      <c r="C171" s="32" t="s">
        <v>303</v>
      </c>
      <c r="D171" s="33">
        <v>24</v>
      </c>
      <c r="E171" s="34" t="str">
        <f t="shared" si="34"/>
        <v>F</v>
      </c>
      <c r="F171" s="35">
        <v>17</v>
      </c>
      <c r="G171" s="34" t="str">
        <f t="shared" si="35"/>
        <v>E</v>
      </c>
      <c r="H171" s="36">
        <v>40</v>
      </c>
      <c r="I171" s="34" t="str">
        <f t="shared" si="36"/>
        <v>E</v>
      </c>
      <c r="J171" s="35">
        <v>19</v>
      </c>
      <c r="K171" s="34" t="str">
        <f t="shared" si="37"/>
        <v>E</v>
      </c>
      <c r="L171" s="35">
        <v>19</v>
      </c>
      <c r="M171" s="34" t="str">
        <f t="shared" si="38"/>
        <v>E</v>
      </c>
      <c r="N171" s="36">
        <v>66</v>
      </c>
      <c r="O171" s="34" t="str">
        <f t="shared" si="33"/>
        <v>E</v>
      </c>
      <c r="P171" s="35">
        <v>22</v>
      </c>
      <c r="Q171" s="37" t="str">
        <f t="shared" si="39"/>
        <v>E</v>
      </c>
      <c r="R171" s="33">
        <v>46</v>
      </c>
      <c r="S171" s="34" t="str">
        <f t="shared" si="40"/>
        <v>E</v>
      </c>
      <c r="T171" s="35">
        <v>21</v>
      </c>
      <c r="U171" s="37" t="str">
        <f t="shared" si="41"/>
        <v>E</v>
      </c>
      <c r="V171" s="33">
        <v>50</v>
      </c>
      <c r="W171" s="34" t="str">
        <f t="shared" si="42"/>
        <v>E</v>
      </c>
      <c r="X171" s="35">
        <v>22</v>
      </c>
      <c r="Y171" s="37" t="str">
        <f t="shared" si="43"/>
        <v>E</v>
      </c>
      <c r="Z171" s="35">
        <v>22</v>
      </c>
      <c r="AA171" s="37" t="str">
        <f t="shared" si="44"/>
        <v>E</v>
      </c>
      <c r="AB171" s="33">
        <v>40</v>
      </c>
      <c r="AC171" s="34" t="str">
        <f t="shared" si="45"/>
        <v>E</v>
      </c>
      <c r="AD171" s="35">
        <v>22</v>
      </c>
      <c r="AE171" s="34" t="str">
        <f t="shared" si="46"/>
        <v>E</v>
      </c>
      <c r="AF171" s="35">
        <v>40</v>
      </c>
      <c r="AG171" s="37" t="str">
        <f t="shared" si="47"/>
        <v>E</v>
      </c>
      <c r="AH171" s="4">
        <f>IF(OR(AND(D171&gt;=31,D171&lt;40),AND(H171&gt;=31,H171&lt;40),AND(N171&gt;=31,N171&lt;40),AND(R171&gt;=31,R171&lt;40),AND(V171&gt;=31,V171&lt;40),AND(AB171&gt;=31,AB171&lt;40)),IF(AND(OR(COUNTIF(D171:AG171,"=31")&gt;=1,COUNTIF(D171:AG171,"=32")&gt;=1,COUNTIF(D171:AG171,"=33")&gt;=1,COUNTIF(D171:AG171,"=34")&gt;=1,COUNTIF(D171:AG171,"=35")&gt;=1,COUNTIF(D171:AG171,"=36")&gt;=1 ),COUNTIF(D171:AG171,"")=0,COUNTIF(D171:AG171," ")=0,COUNTIF(D171:AG171,"F")=1),CONCATENATE(SUM(EXTRACTNUMBER(D171),EXTRACTNUMBER(F171),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EXTRACTNUMBER(AD171),EXTRACTNUMBER(AF171)),"*"),IF(AND(COUNTIF(D171:AG171,"=34")&gt;=1,COUNTIF(D171:AG171,"=35")&gt;=1,COUNTIF(D171:AG171,"f")=2,COUNTIF(D171:AG171,"")=0,COUNTIF(D171:AG171,"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EXTRACTNUMBER(AD171),EXTRACTNUMBER(AF171)),"*"),IF(AND(COUNTIF(D171:AG171,"=36")&gt;=2,COUNTIF(D171:AG171,"f")=2,COUNTIF(D171:AG171,"")=0,COUNTIF(D171:AG171,"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EXTRACTNUMBER(AD171),EXTRACTNUMBER(AF171)),"*"),SUM(EXTRACTNUMBER(D171),EXTRACTNUMBER(F171),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EXTRACTNUMBER(AD171),EXTRACTNUMBER(AF171))))),SUM(EXTRACTNUMBER(D171),EXTRACTNUMBER(F171),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EXTRACTNUMBER(AD171),EXTRACTNUMBER(AF171)))</f>
        <v>470</v>
      </c>
      <c r="AI171" s="38" t="str">
        <f t="shared" si="32"/>
        <v>FAIL</v>
      </c>
      <c r="AJ171" s="28" t="str">
        <f>spellnumber(EXTRACTnUMBER_TOT(AH171))</f>
        <v xml:space="preserve">Four Hundred Seventy  </v>
      </c>
      <c r="AK171" s="9">
        <v>470</v>
      </c>
    </row>
    <row r="172" spans="2:37" ht="15" customHeight="1">
      <c r="B172" s="31">
        <v>223346</v>
      </c>
      <c r="C172" s="32" t="s">
        <v>304</v>
      </c>
      <c r="D172" s="33">
        <v>4</v>
      </c>
      <c r="E172" s="34" t="str">
        <f t="shared" si="34"/>
        <v>F</v>
      </c>
      <c r="F172" s="35">
        <v>12</v>
      </c>
      <c r="G172" s="34" t="str">
        <f t="shared" si="35"/>
        <v>E</v>
      </c>
      <c r="H172" s="36">
        <v>51</v>
      </c>
      <c r="I172" s="34" t="str">
        <f t="shared" si="36"/>
        <v>E</v>
      </c>
      <c r="J172" s="35">
        <v>17</v>
      </c>
      <c r="K172" s="34" t="str">
        <f t="shared" si="37"/>
        <v>E</v>
      </c>
      <c r="L172" s="35">
        <v>19</v>
      </c>
      <c r="M172" s="34" t="str">
        <f t="shared" si="38"/>
        <v>E</v>
      </c>
      <c r="N172" s="36">
        <v>40</v>
      </c>
      <c r="O172" s="34" t="str">
        <f t="shared" si="33"/>
        <v>E</v>
      </c>
      <c r="P172" s="35">
        <v>12</v>
      </c>
      <c r="Q172" s="37" t="str">
        <f t="shared" si="39"/>
        <v>E</v>
      </c>
      <c r="R172" s="33">
        <v>40</v>
      </c>
      <c r="S172" s="34" t="str">
        <f t="shared" si="40"/>
        <v>E</v>
      </c>
      <c r="T172" s="35">
        <v>20</v>
      </c>
      <c r="U172" s="37" t="str">
        <f t="shared" si="41"/>
        <v>E</v>
      </c>
      <c r="V172" s="33">
        <v>14</v>
      </c>
      <c r="W172" s="34" t="str">
        <f t="shared" si="42"/>
        <v>F</v>
      </c>
      <c r="X172" s="35">
        <v>16</v>
      </c>
      <c r="Y172" s="37" t="str">
        <f t="shared" si="43"/>
        <v>E</v>
      </c>
      <c r="Z172" s="35">
        <v>17</v>
      </c>
      <c r="AA172" s="37" t="str">
        <f t="shared" si="44"/>
        <v>E</v>
      </c>
      <c r="AB172" s="33">
        <v>28</v>
      </c>
      <c r="AC172" s="34" t="str">
        <f t="shared" si="45"/>
        <v>F</v>
      </c>
      <c r="AD172" s="35">
        <v>15</v>
      </c>
      <c r="AE172" s="34" t="str">
        <f t="shared" si="46"/>
        <v>E</v>
      </c>
      <c r="AF172" s="35">
        <v>33</v>
      </c>
      <c r="AG172" s="37" t="str">
        <f t="shared" si="47"/>
        <v>E</v>
      </c>
      <c r="AH172" s="4">
        <f>IF(OR(AND(D172&gt;=31,D172&lt;40),AND(H172&gt;=31,H172&lt;40),AND(N172&gt;=31,N172&lt;40),AND(R172&gt;=31,R172&lt;40),AND(V172&gt;=31,V172&lt;40),AND(AB172&gt;=31,AB172&lt;40)),IF(AND(OR(COUNTIF(D172:AG172,"=31")&gt;=1,COUNTIF(D172:AG172,"=32")&gt;=1,COUNTIF(D172:AG172,"=33")&gt;=1,COUNTIF(D172:AG172,"=34")&gt;=1,COUNTIF(D172:AG172,"=35")&gt;=1,COUNTIF(D172:AG172,"=36")&gt;=1 ),COUNTIF(D172:AG172,"")=0,COUNTIF(D172:AG172," ")=0,COUNTIF(D172:AG172,"F")=1),CONCATENATE(SUM(EXTRACTNUMBER(D172),EXTRACTNUMBER(F172),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EXTRACTNUMBER(AD172),EXTRACTNUMBER(AF172)),"*"),IF(AND(COUNTIF(D172:AG172,"=34")&gt;=1,COUNTIF(D172:AG172,"=35")&gt;=1,COUNTIF(D172:AG172,"f")=2,COUNTIF(D172:AG172,"")=0,COUNTIF(D172:AG172,"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EXTRACTNUMBER(AD172),EXTRACTNUMBER(AF172)),"*"),IF(AND(COUNTIF(D172:AG172,"=36")&gt;=2,COUNTIF(D172:AG172,"f")=2,COUNTIF(D172:AG172,"")=0,COUNTIF(D172:AG172,"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EXTRACTNUMBER(AD172),EXTRACTNUMBER(AF172)),"*"),SUM(EXTRACTNUMBER(D172),EXTRACTNUMBER(F172),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EXTRACTNUMBER(AD172),EXTRACTNUMBER(AF172))))),SUM(EXTRACTNUMBER(D172),EXTRACTNUMBER(F172),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EXTRACTNUMBER(AD172),EXTRACTNUMBER(AF172)))</f>
        <v>338</v>
      </c>
      <c r="AI172" s="38" t="str">
        <f t="shared" si="32"/>
        <v>FAIL</v>
      </c>
      <c r="AJ172" s="28" t="str">
        <f>spellnumber(EXTRACTnUMBER_TOT(AH172))</f>
        <v xml:space="preserve">Three Hundred Thirty Eight </v>
      </c>
      <c r="AK172" s="9">
        <v>338</v>
      </c>
    </row>
    <row r="173" spans="2:37" ht="15" customHeight="1">
      <c r="B173" s="40">
        <v>223347</v>
      </c>
      <c r="C173" s="41" t="s">
        <v>23</v>
      </c>
      <c r="D173" s="33" t="s">
        <v>77</v>
      </c>
      <c r="E173" s="34" t="str">
        <f t="shared" si="34"/>
        <v xml:space="preserve"> </v>
      </c>
      <c r="F173" s="35" t="s">
        <v>67</v>
      </c>
      <c r="G173" s="34" t="str">
        <f t="shared" si="35"/>
        <v xml:space="preserve"> </v>
      </c>
      <c r="H173" s="36">
        <v>28</v>
      </c>
      <c r="I173" s="34" t="str">
        <f t="shared" si="36"/>
        <v>F</v>
      </c>
      <c r="J173" s="35" t="s">
        <v>70</v>
      </c>
      <c r="K173" s="34" t="str">
        <f t="shared" si="37"/>
        <v xml:space="preserve"> </v>
      </c>
      <c r="L173" s="35" t="s">
        <v>69</v>
      </c>
      <c r="M173" s="34" t="str">
        <f t="shared" si="38"/>
        <v xml:space="preserve"> </v>
      </c>
      <c r="N173" s="36" t="s">
        <v>56</v>
      </c>
      <c r="O173" s="34" t="str">
        <f t="shared" si="33"/>
        <v xml:space="preserve"> </v>
      </c>
      <c r="P173" s="35" t="s">
        <v>69</v>
      </c>
      <c r="Q173" s="37" t="str">
        <f t="shared" si="39"/>
        <v xml:space="preserve"> </v>
      </c>
      <c r="R173" s="33" t="s">
        <v>65</v>
      </c>
      <c r="S173" s="34" t="str">
        <f t="shared" si="40"/>
        <v xml:space="preserve"> </v>
      </c>
      <c r="T173" s="35" t="s">
        <v>71</v>
      </c>
      <c r="U173" s="37" t="str">
        <f t="shared" si="41"/>
        <v xml:space="preserve"> </v>
      </c>
      <c r="V173" s="33" t="s">
        <v>63</v>
      </c>
      <c r="W173" s="34" t="str">
        <f t="shared" si="42"/>
        <v xml:space="preserve"> </v>
      </c>
      <c r="X173" s="35" t="s">
        <v>68</v>
      </c>
      <c r="Y173" s="37" t="str">
        <f t="shared" si="43"/>
        <v xml:space="preserve"> </v>
      </c>
      <c r="Z173" s="35" t="s">
        <v>68</v>
      </c>
      <c r="AA173" s="37" t="str">
        <f t="shared" si="44"/>
        <v xml:space="preserve"> </v>
      </c>
      <c r="AB173" s="33">
        <v>40</v>
      </c>
      <c r="AC173" s="34" t="str">
        <f t="shared" si="45"/>
        <v>E</v>
      </c>
      <c r="AD173" s="35" t="s">
        <v>69</v>
      </c>
      <c r="AE173" s="34" t="str">
        <f t="shared" si="46"/>
        <v xml:space="preserve"> </v>
      </c>
      <c r="AF173" s="35" t="s">
        <v>97</v>
      </c>
      <c r="AG173" s="37" t="str">
        <f t="shared" si="47"/>
        <v xml:space="preserve"> </v>
      </c>
      <c r="AH173" s="4">
        <f>IF(OR(AND(D173&gt;=31,D173&lt;40),AND(H173&gt;=31,H173&lt;40),AND(N173&gt;=31,N173&lt;40),AND(R173&gt;=31,R173&lt;40),AND(V173&gt;=31,V173&lt;40),AND(AB173&gt;=31,AB173&lt;40)),IF(AND(OR(COUNTIF(D173:AG173,"=31")&gt;=1,COUNTIF(D173:AG173,"=32")&gt;=1,COUNTIF(D173:AG173,"=33")&gt;=1,COUNTIF(D173:AG173,"=34")&gt;=1,COUNTIF(D173:AG173,"=35")&gt;=1,COUNTIF(D173:AG173,"=36")&gt;=1 ),COUNTIF(D173:AG173,"")=0,COUNTIF(D173:AG173," ")=0,COUNTIF(D173:AG173,"F")=1),CONCATENATE(SUM(EXTRACTNUMBER(D173),EXTRACTNUMBER(F173),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EXTRACTNUMBER(AD173),EXTRACTNUMBER(AF173)),"*"),IF(AND(COUNTIF(D173:AG173,"=34")&gt;=1,COUNTIF(D173:AG173,"=35")&gt;=1,COUNTIF(D173:AG173,"f")=2,COUNTIF(D173:AG173,"")=0,COUNTIF(D173:AG173,"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EXTRACTNUMBER(AD173),EXTRACTNUMBER(AF173)),"*"),IF(AND(COUNTIF(D173:AG173,"=36")&gt;=2,COUNTIF(D173:AG173,"f")=2,COUNTIF(D173:AG173,"")=0,COUNTIF(D173:AG173,"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EXTRACTNUMBER(AD173),EXTRACTNUMBER(AF173)),"*"),SUM(EXTRACTNUMBER(D173),EXTRACTNUMBER(F173),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EXTRACTNUMBER(AD173),EXTRACTNUMBER(AF173))))),SUM(EXTRACTNUMBER(D173),EXTRACTNUMBER(F173),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EXTRACTNUMBER(AD173),EXTRACTNUMBER(AF173)))</f>
        <v>406</v>
      </c>
      <c r="AI173" s="38" t="str">
        <f t="shared" si="32"/>
        <v>FAIL</v>
      </c>
      <c r="AJ173" s="28" t="str">
        <f>spellnumber(EXTRACTnUMBER_TOT(AH173))</f>
        <v xml:space="preserve">Four Hundred Six </v>
      </c>
      <c r="AK173" s="9">
        <v>406</v>
      </c>
    </row>
    <row r="174" spans="2:37" ht="15" customHeight="1">
      <c r="B174" s="40">
        <v>223348</v>
      </c>
      <c r="C174" s="42" t="s">
        <v>305</v>
      </c>
      <c r="D174" s="33">
        <v>41</v>
      </c>
      <c r="E174" s="34" t="str">
        <f t="shared" si="34"/>
        <v>E</v>
      </c>
      <c r="F174" s="35" t="s">
        <v>67</v>
      </c>
      <c r="G174" s="34" t="str">
        <f t="shared" si="35"/>
        <v xml:space="preserve"> </v>
      </c>
      <c r="H174" s="36" t="s">
        <v>103</v>
      </c>
      <c r="I174" s="34" t="str">
        <f t="shared" si="36"/>
        <v/>
      </c>
      <c r="J174" s="35" t="s">
        <v>74</v>
      </c>
      <c r="K174" s="34" t="str">
        <f t="shared" si="37"/>
        <v xml:space="preserve"> </v>
      </c>
      <c r="L174" s="35" t="s">
        <v>73</v>
      </c>
      <c r="M174" s="34" t="str">
        <f t="shared" si="38"/>
        <v xml:space="preserve"> </v>
      </c>
      <c r="N174" s="36" t="s">
        <v>56</v>
      </c>
      <c r="O174" s="34" t="str">
        <f t="shared" si="33"/>
        <v xml:space="preserve"> </v>
      </c>
      <c r="P174" s="35" t="s">
        <v>69</v>
      </c>
      <c r="Q174" s="37" t="str">
        <f t="shared" si="39"/>
        <v xml:space="preserve"> </v>
      </c>
      <c r="R174" s="33" t="s">
        <v>87</v>
      </c>
      <c r="S174" s="34" t="str">
        <f t="shared" si="40"/>
        <v xml:space="preserve"> </v>
      </c>
      <c r="T174" s="35" t="s">
        <v>69</v>
      </c>
      <c r="U174" s="37" t="str">
        <f t="shared" si="41"/>
        <v xml:space="preserve"> </v>
      </c>
      <c r="V174" s="33" t="s">
        <v>56</v>
      </c>
      <c r="W174" s="34" t="str">
        <f t="shared" si="42"/>
        <v xml:space="preserve"> </v>
      </c>
      <c r="X174" s="35" t="s">
        <v>70</v>
      </c>
      <c r="Y174" s="37" t="str">
        <f t="shared" si="43"/>
        <v xml:space="preserve"> </v>
      </c>
      <c r="Z174" s="35" t="s">
        <v>74</v>
      </c>
      <c r="AA174" s="37" t="str">
        <f t="shared" si="44"/>
        <v xml:space="preserve"> </v>
      </c>
      <c r="AB174" s="33">
        <v>47</v>
      </c>
      <c r="AC174" s="34" t="str">
        <f t="shared" si="45"/>
        <v>E</v>
      </c>
      <c r="AD174" s="35" t="s">
        <v>71</v>
      </c>
      <c r="AE174" s="34" t="str">
        <f t="shared" si="46"/>
        <v xml:space="preserve"> </v>
      </c>
      <c r="AF174" s="35" t="s">
        <v>56</v>
      </c>
      <c r="AG174" s="37" t="str">
        <f t="shared" si="47"/>
        <v xml:space="preserve"> </v>
      </c>
      <c r="AH174" s="4">
        <f>IF(OR(AND(D174&gt;=31,D174&lt;40),AND(H174&gt;=31,H174&lt;40),AND(N174&gt;=31,N174&lt;40),AND(R174&gt;=31,R174&lt;40),AND(V174&gt;=31,V174&lt;40),AND(AB174&gt;=31,AB174&lt;40)),IF(AND(OR(COUNTIF(D174:AG174,"=31")&gt;=1,COUNTIF(D174:AG174,"=32")&gt;=1,COUNTIF(D174:AG174,"=33")&gt;=1,COUNTIF(D174:AG174,"=34")&gt;=1,COUNTIF(D174:AG174,"=35")&gt;=1,COUNTIF(D174:AG174,"=36")&gt;=1 ),COUNTIF(D174:AG174,"")=0,COUNTIF(D174:AG174," ")=0,COUNTIF(D174:AG174,"F")=1),CONCATENATE(SUM(EXTRACTNUMBER(D174),EXTRACTNUMBER(F174),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EXTRACTNUMBER(AD174),EXTRACTNUMBER(AF174)),"*"),IF(AND(COUNTIF(D174:AG174,"=34")&gt;=1,COUNTIF(D174:AG174,"=35")&gt;=1,COUNTIF(D174:AG174,"f")=2,COUNTIF(D174:AG174,"")=0,COUNTIF(D174:AG174,"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EXTRACTNUMBER(AD174),EXTRACTNUMBER(AF174)),"*"),IF(AND(COUNTIF(D174:AG174,"=36")&gt;=2,COUNTIF(D174:AG174,"f")=2,COUNTIF(D174:AG174,"")=0,COUNTIF(D174:AG174,"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EXTRACTNUMBER(AD174),EXTRACTNUMBER(AF174)),"*"),SUM(EXTRACTNUMBER(D174),EXTRACTNUMBER(F174),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EXTRACTNUMBER(AD174),EXTRACTNUMBER(AF174))))),SUM(EXTRACTNUMBER(D174),EXTRACTNUMBER(F174),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EXTRACTNUMBER(AD174),EXTRACTNUMBER(AF174)))</f>
        <v>418</v>
      </c>
      <c r="AI174" s="38" t="str">
        <f t="shared" si="32"/>
        <v>FAIL</v>
      </c>
      <c r="AJ174" s="28" t="str">
        <f>spellnumber(EXTRACTnUMBER_TOT(AH174))</f>
        <v xml:space="preserve">Four Hundred Eighteen </v>
      </c>
      <c r="AK174" s="9">
        <v>418</v>
      </c>
    </row>
    <row r="175" spans="2:37" ht="15" customHeight="1">
      <c r="B175" s="40">
        <v>223349</v>
      </c>
      <c r="C175" s="42" t="s">
        <v>306</v>
      </c>
      <c r="D175" s="33">
        <v>6</v>
      </c>
      <c r="E175" s="34" t="str">
        <f t="shared" si="34"/>
        <v>F</v>
      </c>
      <c r="F175" s="35" t="s">
        <v>69</v>
      </c>
      <c r="G175" s="34" t="str">
        <f t="shared" si="35"/>
        <v xml:space="preserve"> </v>
      </c>
      <c r="H175" s="36" t="s">
        <v>103</v>
      </c>
      <c r="I175" s="34" t="str">
        <f t="shared" si="36"/>
        <v/>
      </c>
      <c r="J175" s="35" t="s">
        <v>71</v>
      </c>
      <c r="K175" s="34" t="str">
        <f t="shared" si="37"/>
        <v xml:space="preserve"> </v>
      </c>
      <c r="L175" s="35" t="s">
        <v>70</v>
      </c>
      <c r="M175" s="34" t="str">
        <f t="shared" si="38"/>
        <v xml:space="preserve"> </v>
      </c>
      <c r="N175" s="36">
        <v>27</v>
      </c>
      <c r="O175" s="34" t="str">
        <f t="shared" si="33"/>
        <v>F</v>
      </c>
      <c r="P175" s="35" t="s">
        <v>72</v>
      </c>
      <c r="Q175" s="37" t="str">
        <f t="shared" si="39"/>
        <v xml:space="preserve"> </v>
      </c>
      <c r="R175" s="33" t="s">
        <v>65</v>
      </c>
      <c r="S175" s="34" t="str">
        <f t="shared" si="40"/>
        <v xml:space="preserve"> </v>
      </c>
      <c r="T175" s="35" t="s">
        <v>74</v>
      </c>
      <c r="U175" s="37" t="str">
        <f t="shared" si="41"/>
        <v xml:space="preserve"> </v>
      </c>
      <c r="V175" s="33" t="s">
        <v>56</v>
      </c>
      <c r="W175" s="34" t="str">
        <f t="shared" si="42"/>
        <v xml:space="preserve"> </v>
      </c>
      <c r="X175" s="35" t="s">
        <v>71</v>
      </c>
      <c r="Y175" s="37" t="str">
        <f t="shared" si="43"/>
        <v xml:space="preserve"> </v>
      </c>
      <c r="Z175" s="35" t="s">
        <v>70</v>
      </c>
      <c r="AA175" s="37" t="str">
        <f t="shared" si="44"/>
        <v xml:space="preserve"> </v>
      </c>
      <c r="AB175" s="33" t="s">
        <v>61</v>
      </c>
      <c r="AC175" s="34" t="str">
        <f t="shared" si="45"/>
        <v xml:space="preserve"> </v>
      </c>
      <c r="AD175" s="35" t="s">
        <v>72</v>
      </c>
      <c r="AE175" s="34" t="str">
        <f t="shared" si="46"/>
        <v xml:space="preserve"> </v>
      </c>
      <c r="AF175" s="35" t="s">
        <v>63</v>
      </c>
      <c r="AG175" s="37" t="str">
        <f t="shared" si="47"/>
        <v xml:space="preserve"> </v>
      </c>
      <c r="AH175" s="4">
        <f>IF(OR(AND(D175&gt;=31,D175&lt;40),AND(H175&gt;=31,H175&lt;40),AND(N175&gt;=31,N175&lt;40),AND(R175&gt;=31,R175&lt;40),AND(V175&gt;=31,V175&lt;40),AND(AB175&gt;=31,AB175&lt;40)),IF(AND(OR(COUNTIF(D175:AG175,"=31")&gt;=1,COUNTIF(D175:AG175,"=32")&gt;=1,COUNTIF(D175:AG175,"=33")&gt;=1,COUNTIF(D175:AG175,"=34")&gt;=1,COUNTIF(D175:AG175,"=35")&gt;=1,COUNTIF(D175:AG175,"=36")&gt;=1 ),COUNTIF(D175:AG175,"")=0,COUNTIF(D175:AG175," ")=0,COUNTIF(D175:AG175,"F")=1),CONCATENATE(SUM(EXTRACTNUMBER(D175),EXTRACTNUMBER(F175),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EXTRACTNUMBER(AD175),EXTRACTNUMBER(AF175)),"*"),IF(AND(COUNTIF(D175:AG175,"=34")&gt;=1,COUNTIF(D175:AG175,"=35")&gt;=1,COUNTIF(D175:AG175,"f")=2,COUNTIF(D175:AG175,"")=0,COUNTIF(D175:AG175,"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EXTRACTNUMBER(AD175),EXTRACTNUMBER(AF175)),"*"),IF(AND(COUNTIF(D175:AG175,"=36")&gt;=2,COUNTIF(D175:AG175,"f")=2,COUNTIF(D175:AG175,"")=0,COUNTIF(D175:AG175,"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EXTRACTNUMBER(AD175),EXTRACTNUMBER(AF175)),"*"),SUM(EXTRACTNUMBER(D175),EXTRACTNUMBER(F175),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EXTRACTNUMBER(AD175),EXTRACTNUMBER(AF175))))),SUM(EXTRACTNUMBER(D175),EXTRACTNUMBER(F175),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EXTRACTNUMBER(AD175),EXTRACTNUMBER(AF175)))</f>
        <v>355</v>
      </c>
      <c r="AI175" s="38" t="str">
        <f t="shared" si="32"/>
        <v>FAIL</v>
      </c>
      <c r="AJ175" s="28" t="str">
        <f>spellnumber(EXTRACTnUMBER_TOT(AH175))</f>
        <v xml:space="preserve">Three Hundred Fifty Five </v>
      </c>
      <c r="AK175" s="9">
        <v>355</v>
      </c>
    </row>
    <row r="176" spans="2:37" ht="15" customHeight="1">
      <c r="B176" s="40">
        <v>223350</v>
      </c>
      <c r="C176" s="42" t="s">
        <v>307</v>
      </c>
      <c r="D176" s="33" t="s">
        <v>58</v>
      </c>
      <c r="E176" s="34" t="str">
        <f t="shared" si="34"/>
        <v xml:space="preserve"> </v>
      </c>
      <c r="F176" s="35" t="s">
        <v>66</v>
      </c>
      <c r="G176" s="34" t="str">
        <f t="shared" si="35"/>
        <v xml:space="preserve"> </v>
      </c>
      <c r="H176" s="36" t="s">
        <v>103</v>
      </c>
      <c r="I176" s="34" t="str">
        <f t="shared" si="36"/>
        <v/>
      </c>
      <c r="J176" s="35" t="s">
        <v>69</v>
      </c>
      <c r="K176" s="34" t="str">
        <f t="shared" si="37"/>
        <v xml:space="preserve"> </v>
      </c>
      <c r="L176" s="35" t="s">
        <v>70</v>
      </c>
      <c r="M176" s="34" t="str">
        <f t="shared" si="38"/>
        <v xml:space="preserve"> </v>
      </c>
      <c r="N176" s="36" t="s">
        <v>63</v>
      </c>
      <c r="O176" s="34" t="str">
        <f t="shared" si="33"/>
        <v xml:space="preserve"> </v>
      </c>
      <c r="P176" s="35" t="s">
        <v>74</v>
      </c>
      <c r="Q176" s="37" t="str">
        <f t="shared" si="39"/>
        <v xml:space="preserve"> </v>
      </c>
      <c r="R176" s="33" t="s">
        <v>63</v>
      </c>
      <c r="S176" s="34" t="str">
        <f t="shared" si="40"/>
        <v xml:space="preserve"> </v>
      </c>
      <c r="T176" s="35" t="s">
        <v>71</v>
      </c>
      <c r="U176" s="37" t="str">
        <f t="shared" si="41"/>
        <v xml:space="preserve"> </v>
      </c>
      <c r="V176" s="33" t="s">
        <v>86</v>
      </c>
      <c r="W176" s="34" t="str">
        <f t="shared" si="42"/>
        <v xml:space="preserve"> </v>
      </c>
      <c r="X176" s="35" t="s">
        <v>66</v>
      </c>
      <c r="Y176" s="37" t="str">
        <f t="shared" si="43"/>
        <v xml:space="preserve"> </v>
      </c>
      <c r="Z176" s="35" t="s">
        <v>70</v>
      </c>
      <c r="AA176" s="37" t="str">
        <f t="shared" si="44"/>
        <v xml:space="preserve"> </v>
      </c>
      <c r="AB176" s="33" t="s">
        <v>56</v>
      </c>
      <c r="AC176" s="34" t="str">
        <f t="shared" si="45"/>
        <v xml:space="preserve"> </v>
      </c>
      <c r="AD176" s="35" t="s">
        <v>68</v>
      </c>
      <c r="AE176" s="34" t="str">
        <f t="shared" si="46"/>
        <v xml:space="preserve"> </v>
      </c>
      <c r="AF176" s="35" t="s">
        <v>99</v>
      </c>
      <c r="AG176" s="37" t="str">
        <f t="shared" si="47"/>
        <v xml:space="preserve"> </v>
      </c>
      <c r="AH176" s="4">
        <f>IF(OR(AND(D176&gt;=31,D176&lt;40),AND(H176&gt;=31,H176&lt;40),AND(N176&gt;=31,N176&lt;40),AND(R176&gt;=31,R176&lt;40),AND(V176&gt;=31,V176&lt;40),AND(AB176&gt;=31,AB176&lt;40)),IF(AND(OR(COUNTIF(D176:AG176,"=31")&gt;=1,COUNTIF(D176:AG176,"=32")&gt;=1,COUNTIF(D176:AG176,"=33")&gt;=1,COUNTIF(D176:AG176,"=34")&gt;=1,COUNTIF(D176:AG176,"=35")&gt;=1,COUNTIF(D176:AG176,"=36")&gt;=1 ),COUNTIF(D176:AG176,"")=0,COUNTIF(D176:AG176," ")=0,COUNTIF(D176:AG176,"F")=1),CONCATENATE(SUM(EXTRACTNUMBER(D176),EXTRACTNUMBER(F176),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EXTRACTNUMBER(AD176),EXTRACTNUMBER(AF176)),"*"),IF(AND(COUNTIF(D176:AG176,"=34")&gt;=1,COUNTIF(D176:AG176,"=35")&gt;=1,COUNTIF(D176:AG176,"f")=2,COUNTIF(D176:AG176,"")=0,COUNTIF(D176:AG176,"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EXTRACTNUMBER(AD176),EXTRACTNUMBER(AF176)),"*"),IF(AND(COUNTIF(D176:AG176,"=36")&gt;=2,COUNTIF(D176:AG176,"f")=2,COUNTIF(D176:AG176,"")=0,COUNTIF(D176:AG176,"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EXTRACTNUMBER(AD176),EXTRACTNUMBER(AF176)),"*"),SUM(EXTRACTNUMBER(D176),EXTRACTNUMBER(F176),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EXTRACTNUMBER(AD176),EXTRACTNUMBER(AF176))))),SUM(EXTRACTNUMBER(D176),EXTRACTNUMBER(F176),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EXTRACTNUMBER(AD176),EXTRACTNUMBER(AF176)))</f>
        <v>398</v>
      </c>
      <c r="AI176" s="38" t="str">
        <f t="shared" si="32"/>
        <v>ABSENT</v>
      </c>
      <c r="AJ176" s="28" t="str">
        <f>spellnumber(EXTRACTnUMBER_TOT(AH176))</f>
        <v xml:space="preserve">Three Hundred NinetyEight </v>
      </c>
      <c r="AK176" s="9">
        <v>398</v>
      </c>
    </row>
    <row r="177" spans="2:37" ht="15" customHeight="1">
      <c r="B177" s="40">
        <v>223351</v>
      </c>
      <c r="C177" s="42" t="s">
        <v>24</v>
      </c>
      <c r="D177" s="33" t="s">
        <v>56</v>
      </c>
      <c r="E177" s="34" t="str">
        <f t="shared" si="34"/>
        <v xml:space="preserve"> </v>
      </c>
      <c r="F177" s="35" t="s">
        <v>69</v>
      </c>
      <c r="G177" s="34" t="str">
        <f t="shared" si="35"/>
        <v xml:space="preserve"> </v>
      </c>
      <c r="H177" s="36">
        <v>68</v>
      </c>
      <c r="I177" s="34" t="str">
        <f t="shared" si="36"/>
        <v/>
      </c>
      <c r="J177" s="35" t="s">
        <v>74</v>
      </c>
      <c r="K177" s="34" t="str">
        <f t="shared" si="37"/>
        <v xml:space="preserve"> </v>
      </c>
      <c r="L177" s="35" t="s">
        <v>70</v>
      </c>
      <c r="M177" s="34" t="str">
        <f t="shared" si="38"/>
        <v xml:space="preserve"> </v>
      </c>
      <c r="N177" s="36" t="s">
        <v>56</v>
      </c>
      <c r="O177" s="34" t="str">
        <f t="shared" si="33"/>
        <v xml:space="preserve"> </v>
      </c>
      <c r="P177" s="35" t="s">
        <v>74</v>
      </c>
      <c r="Q177" s="37" t="str">
        <f t="shared" si="39"/>
        <v xml:space="preserve"> </v>
      </c>
      <c r="R177" s="33" t="s">
        <v>78</v>
      </c>
      <c r="S177" s="34" t="str">
        <f t="shared" si="40"/>
        <v xml:space="preserve"> </v>
      </c>
      <c r="T177" s="35" t="s">
        <v>72</v>
      </c>
      <c r="U177" s="37" t="str">
        <f t="shared" si="41"/>
        <v xml:space="preserve"> </v>
      </c>
      <c r="V177" s="33" t="s">
        <v>94</v>
      </c>
      <c r="W177" s="34" t="str">
        <f t="shared" si="42"/>
        <v xml:space="preserve"> </v>
      </c>
      <c r="X177" s="35" t="s">
        <v>69</v>
      </c>
      <c r="Y177" s="37" t="str">
        <f t="shared" si="43"/>
        <v xml:space="preserve"> </v>
      </c>
      <c r="Z177" s="35" t="s">
        <v>69</v>
      </c>
      <c r="AA177" s="37" t="str">
        <f t="shared" si="44"/>
        <v xml:space="preserve"> </v>
      </c>
      <c r="AB177" s="33" t="s">
        <v>79</v>
      </c>
      <c r="AC177" s="34" t="str">
        <f t="shared" si="45"/>
        <v xml:space="preserve"> </v>
      </c>
      <c r="AD177" s="35" t="s">
        <v>72</v>
      </c>
      <c r="AE177" s="34" t="str">
        <f t="shared" si="46"/>
        <v xml:space="preserve"> </v>
      </c>
      <c r="AF177" s="35" t="s">
        <v>98</v>
      </c>
      <c r="AG177" s="37" t="str">
        <f t="shared" si="47"/>
        <v xml:space="preserve"> </v>
      </c>
      <c r="AH177" s="4">
        <f>IF(OR(AND(D177&gt;=31,D177&lt;40),AND(H177&gt;=31,H177&lt;40),AND(N177&gt;=31,N177&lt;40),AND(R177&gt;=31,R177&lt;40),AND(V177&gt;=31,V177&lt;40),AND(AB177&gt;=31,AB177&lt;40)),IF(AND(OR(COUNTIF(D177:AG177,"=31")&gt;=1,COUNTIF(D177:AG177,"=32")&gt;=1,COUNTIF(D177:AG177,"=33")&gt;=1,COUNTIF(D177:AG177,"=34")&gt;=1,COUNTIF(D177:AG177,"=35")&gt;=1,COUNTIF(D177:AG177,"=36")&gt;=1 ),COUNTIF(D177:AG177,"")=0,COUNTIF(D177:AG177," ")=0,COUNTIF(D177:AG177,"F")=1),CONCATENATE(SUM(EXTRACTNUMBER(D177),EXTRACTNUMBER(F177),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EXTRACTNUMBER(AD177),EXTRACTNUMBER(AF177)),"*"),IF(AND(COUNTIF(D177:AG177,"=34")&gt;=1,COUNTIF(D177:AG177,"=35")&gt;=1,COUNTIF(D177:AG177,"f")=2,COUNTIF(D177:AG177,"")=0,COUNTIF(D177:AG177,"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EXTRACTNUMBER(AD177),EXTRACTNUMBER(AF177)),"*"),IF(AND(COUNTIF(D177:AG177,"=36")&gt;=2,COUNTIF(D177:AG177,"f")=2,COUNTIF(D177:AG177,"")=0,COUNTIF(D177:AG177,"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EXTRACTNUMBER(AD177),EXTRACTNUMBER(AF177)),"*"),SUM(EXTRACTNUMBER(D177),EXTRACTNUMBER(F177),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EXTRACTNUMBER(AD177),EXTRACTNUMBER(AF177))))),SUM(EXTRACTNUMBER(D177),EXTRACTNUMBER(F177),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EXTRACTNUMBER(AD177),EXTRACTNUMBER(AF177)))</f>
        <v>520</v>
      </c>
      <c r="AI177" s="38" t="str">
        <f t="shared" si="32"/>
        <v>PASS</v>
      </c>
      <c r="AJ177" s="28" t="str">
        <f>spellnumber(EXTRACTnUMBER_TOT(AH177))</f>
        <v xml:space="preserve">Five Hundred Twenty  </v>
      </c>
      <c r="AK177" s="9">
        <v>520</v>
      </c>
    </row>
    <row r="178" spans="2:37" ht="15" customHeight="1">
      <c r="B178" s="40">
        <v>223352</v>
      </c>
      <c r="C178" s="42" t="s">
        <v>308</v>
      </c>
      <c r="D178" s="33">
        <v>20</v>
      </c>
      <c r="E178" s="34" t="str">
        <f t="shared" si="34"/>
        <v>F</v>
      </c>
      <c r="F178" s="35" t="s">
        <v>75</v>
      </c>
      <c r="G178" s="34" t="str">
        <f t="shared" si="35"/>
        <v xml:space="preserve"> </v>
      </c>
      <c r="H178" s="36" t="s">
        <v>64</v>
      </c>
      <c r="I178" s="34" t="str">
        <f t="shared" si="36"/>
        <v xml:space="preserve"> </v>
      </c>
      <c r="J178" s="35" t="s">
        <v>70</v>
      </c>
      <c r="K178" s="34" t="str">
        <f t="shared" si="37"/>
        <v xml:space="preserve"> </v>
      </c>
      <c r="L178" s="35" t="s">
        <v>74</v>
      </c>
      <c r="M178" s="34" t="str">
        <f t="shared" si="38"/>
        <v xml:space="preserve"> </v>
      </c>
      <c r="N178" s="36" t="s">
        <v>90</v>
      </c>
      <c r="O178" s="34" t="str">
        <f t="shared" si="33"/>
        <v xml:space="preserve"> </v>
      </c>
      <c r="P178" s="35" t="s">
        <v>70</v>
      </c>
      <c r="Q178" s="37" t="str">
        <f t="shared" si="39"/>
        <v xml:space="preserve"> </v>
      </c>
      <c r="R178" s="33" t="s">
        <v>90</v>
      </c>
      <c r="S178" s="34" t="str">
        <f t="shared" si="40"/>
        <v xml:space="preserve"> </v>
      </c>
      <c r="T178" s="35" t="s">
        <v>71</v>
      </c>
      <c r="U178" s="37" t="str">
        <f t="shared" si="41"/>
        <v xml:space="preserve"> </v>
      </c>
      <c r="V178" s="33" t="s">
        <v>90</v>
      </c>
      <c r="W178" s="34" t="str">
        <f t="shared" si="42"/>
        <v xml:space="preserve"> </v>
      </c>
      <c r="X178" s="35" t="s">
        <v>70</v>
      </c>
      <c r="Y178" s="37" t="str">
        <f t="shared" si="43"/>
        <v xml:space="preserve"> </v>
      </c>
      <c r="Z178" s="35" t="s">
        <v>70</v>
      </c>
      <c r="AA178" s="37" t="str">
        <f t="shared" si="44"/>
        <v xml:space="preserve"> </v>
      </c>
      <c r="AB178" s="33" t="s">
        <v>56</v>
      </c>
      <c r="AC178" s="34" t="str">
        <f t="shared" si="45"/>
        <v xml:space="preserve"> </v>
      </c>
      <c r="AD178" s="35" t="s">
        <v>71</v>
      </c>
      <c r="AE178" s="34" t="str">
        <f t="shared" si="46"/>
        <v xml:space="preserve"> </v>
      </c>
      <c r="AF178" s="35" t="s">
        <v>55</v>
      </c>
      <c r="AG178" s="37" t="str">
        <f t="shared" si="47"/>
        <v xml:space="preserve"> </v>
      </c>
      <c r="AH178" s="4">
        <f>IF(OR(AND(D178&gt;=31,D178&lt;40),AND(H178&gt;=31,H178&lt;40),AND(N178&gt;=31,N178&lt;40),AND(R178&gt;=31,R178&lt;40),AND(V178&gt;=31,V178&lt;40),AND(AB178&gt;=31,AB178&lt;40)),IF(AND(OR(COUNTIF(D178:AG178,"=31")&gt;=1,COUNTIF(D178:AG178,"=32")&gt;=1,COUNTIF(D178:AG178,"=33")&gt;=1,COUNTIF(D178:AG178,"=34")&gt;=1,COUNTIF(D178:AG178,"=35")&gt;=1,COUNTIF(D178:AG178,"=36")&gt;=1 ),COUNTIF(D178:AG178,"")=0,COUNTIF(D178:AG178," ")=0,COUNTIF(D178:AG178,"F")=1),CONCATENATE(SUM(EXTRACTNUMBER(D178),EXTRACTNUMBER(F178),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EXTRACTNUMBER(AD178),EXTRACTNUMBER(AF178)),"*"),IF(AND(COUNTIF(D178:AG178,"=34")&gt;=1,COUNTIF(D178:AG178,"=35")&gt;=1,COUNTIF(D178:AG178,"f")=2,COUNTIF(D178:AG178,"")=0,COUNTIF(D178:AG178,"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EXTRACTNUMBER(AD178),EXTRACTNUMBER(AF178)),"*"),IF(AND(COUNTIF(D178:AG178,"=36")&gt;=2,COUNTIF(D178:AG178,"f")=2,COUNTIF(D178:AG178,"")=0,COUNTIF(D178:AG178,"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EXTRACTNUMBER(AD178),EXTRACTNUMBER(AF178)),"*"),SUM(EXTRACTNUMBER(D178),EXTRACTNUMBER(F178),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EXTRACTNUMBER(AD178),EXTRACTNUMBER(AF178))))),SUM(EXTRACTNUMBER(D178),EXTRACTNUMBER(F178),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EXTRACTNUMBER(AD178),EXTRACTNUMBER(AF178)))</f>
        <v>464</v>
      </c>
      <c r="AI178" s="38" t="str">
        <f t="shared" si="32"/>
        <v>FAIL</v>
      </c>
      <c r="AJ178" s="28" t="str">
        <f>spellnumber(EXTRACTnUMBER_TOT(AH178))</f>
        <v xml:space="preserve">Four Hundred Sixty Four </v>
      </c>
      <c r="AK178" s="9">
        <v>464</v>
      </c>
    </row>
    <row r="179" spans="2:37" ht="15" customHeight="1">
      <c r="B179" s="40">
        <v>223353</v>
      </c>
      <c r="C179" s="43" t="s">
        <v>25</v>
      </c>
      <c r="D179" s="33" t="s">
        <v>57</v>
      </c>
      <c r="E179" s="34" t="str">
        <f t="shared" si="34"/>
        <v xml:space="preserve"> </v>
      </c>
      <c r="F179" s="35" t="s">
        <v>67</v>
      </c>
      <c r="G179" s="34" t="str">
        <f t="shared" si="35"/>
        <v xml:space="preserve"> </v>
      </c>
      <c r="H179" s="36" t="s">
        <v>103</v>
      </c>
      <c r="I179" s="34" t="str">
        <f t="shared" si="36"/>
        <v/>
      </c>
      <c r="J179" s="35" t="s">
        <v>75</v>
      </c>
      <c r="K179" s="34" t="str">
        <f t="shared" si="37"/>
        <v xml:space="preserve"> </v>
      </c>
      <c r="L179" s="35" t="s">
        <v>72</v>
      </c>
      <c r="M179" s="34" t="str">
        <f t="shared" si="38"/>
        <v xml:space="preserve"> </v>
      </c>
      <c r="N179" s="36">
        <v>65</v>
      </c>
      <c r="O179" s="34" t="str">
        <f t="shared" si="33"/>
        <v>E</v>
      </c>
      <c r="P179" s="35" t="s">
        <v>66</v>
      </c>
      <c r="Q179" s="37" t="str">
        <f t="shared" si="39"/>
        <v xml:space="preserve"> </v>
      </c>
      <c r="R179" s="33">
        <v>41</v>
      </c>
      <c r="S179" s="34" t="str">
        <f t="shared" si="40"/>
        <v>E</v>
      </c>
      <c r="T179" s="35" t="s">
        <v>71</v>
      </c>
      <c r="U179" s="37" t="str">
        <f t="shared" si="41"/>
        <v xml:space="preserve"> </v>
      </c>
      <c r="V179" s="33" t="s">
        <v>103</v>
      </c>
      <c r="W179" s="34" t="str">
        <f t="shared" si="42"/>
        <v/>
      </c>
      <c r="X179" s="35" t="s">
        <v>71</v>
      </c>
      <c r="Y179" s="37" t="str">
        <f t="shared" si="43"/>
        <v xml:space="preserve"> </v>
      </c>
      <c r="Z179" s="35" t="s">
        <v>70</v>
      </c>
      <c r="AA179" s="37" t="str">
        <f t="shared" si="44"/>
        <v xml:space="preserve"> </v>
      </c>
      <c r="AB179" s="33" t="s">
        <v>103</v>
      </c>
      <c r="AC179" s="34" t="str">
        <f t="shared" si="45"/>
        <v/>
      </c>
      <c r="AD179" s="35" t="s">
        <v>74</v>
      </c>
      <c r="AE179" s="34" t="str">
        <f t="shared" si="46"/>
        <v xml:space="preserve"> </v>
      </c>
      <c r="AF179" s="35" t="s">
        <v>97</v>
      </c>
      <c r="AG179" s="37" t="str">
        <f t="shared" si="47"/>
        <v xml:space="preserve"> </v>
      </c>
      <c r="AH179" s="4">
        <f>IF(OR(AND(D179&gt;=31,D179&lt;40),AND(H179&gt;=31,H179&lt;40),AND(N179&gt;=31,N179&lt;40),AND(R179&gt;=31,R179&lt;40),AND(V179&gt;=31,V179&lt;40),AND(AB179&gt;=31,AB179&lt;40)),IF(AND(OR(COUNTIF(D179:AG179,"=31")&gt;=1,COUNTIF(D179:AG179,"=32")&gt;=1,COUNTIF(D179:AG179,"=33")&gt;=1,COUNTIF(D179:AG179,"=34")&gt;=1,COUNTIF(D179:AG179,"=35")&gt;=1,COUNTIF(D179:AG179,"=36")&gt;=1 ),COUNTIF(D179:AG179,"")=0,COUNTIF(D179:AG179," ")=0,COUNTIF(D179:AG179,"F")=1),CONCATENATE(SUM(EXTRACTNUMBER(D179),EXTRACTNUMBER(F179),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EXTRACTNUMBER(AD179),EXTRACTNUMBER(AF179)),"*"),IF(AND(COUNTIF(D179:AG179,"=34")&gt;=1,COUNTIF(D179:AG179,"=35")&gt;=1,COUNTIF(D179:AG179,"f")=2,COUNTIF(D179:AG179,"")=0,COUNTIF(D179:AG179,"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EXTRACTNUMBER(AD179),EXTRACTNUMBER(AF179)),"*"),IF(AND(COUNTIF(D179:AG179,"=36")&gt;=2,COUNTIF(D179:AG179,"f")=2,COUNTIF(D179:AG179,"")=0,COUNTIF(D179:AG179,"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EXTRACTNUMBER(AD179),EXTRACTNUMBER(AF179)),"*"),SUM(EXTRACTNUMBER(D179),EXTRACTNUMBER(F179),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EXTRACTNUMBER(AD179),EXTRACTNUMBER(AF179))))),SUM(EXTRACTNUMBER(D179),EXTRACTNUMBER(F179),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EXTRACTNUMBER(AD179),EXTRACTNUMBER(AF179)))</f>
        <v>330</v>
      </c>
      <c r="AI179" s="38" t="str">
        <f t="shared" si="32"/>
        <v>FAIL</v>
      </c>
      <c r="AJ179" s="28" t="str">
        <f>spellnumber(EXTRACTnUMBER_TOT(AH179))</f>
        <v xml:space="preserve">Three Hundred Thirty  </v>
      </c>
      <c r="AK179" s="9">
        <v>330</v>
      </c>
    </row>
    <row r="180" spans="2:37" ht="15" customHeight="1">
      <c r="B180" s="40">
        <v>223354</v>
      </c>
      <c r="C180" s="42" t="s">
        <v>26</v>
      </c>
      <c r="D180" s="33">
        <v>15</v>
      </c>
      <c r="E180" s="34" t="str">
        <f t="shared" si="34"/>
        <v>F</v>
      </c>
      <c r="F180" s="35" t="s">
        <v>67</v>
      </c>
      <c r="G180" s="34" t="str">
        <f t="shared" si="35"/>
        <v xml:space="preserve"> </v>
      </c>
      <c r="H180" s="36">
        <v>47</v>
      </c>
      <c r="I180" s="34" t="str">
        <f t="shared" si="36"/>
        <v>E</v>
      </c>
      <c r="J180" s="35" t="s">
        <v>74</v>
      </c>
      <c r="K180" s="34" t="str">
        <f t="shared" si="37"/>
        <v xml:space="preserve"> </v>
      </c>
      <c r="L180" s="35" t="s">
        <v>72</v>
      </c>
      <c r="M180" s="34" t="str">
        <f t="shared" si="38"/>
        <v xml:space="preserve"> </v>
      </c>
      <c r="N180" s="36" t="s">
        <v>56</v>
      </c>
      <c r="O180" s="34" t="str">
        <f t="shared" si="33"/>
        <v xml:space="preserve"> </v>
      </c>
      <c r="P180" s="35" t="s">
        <v>70</v>
      </c>
      <c r="Q180" s="37" t="str">
        <f t="shared" si="39"/>
        <v xml:space="preserve"> </v>
      </c>
      <c r="R180" s="33" t="s">
        <v>59</v>
      </c>
      <c r="S180" s="34" t="str">
        <f t="shared" si="40"/>
        <v xml:space="preserve"> </v>
      </c>
      <c r="T180" s="35" t="s">
        <v>74</v>
      </c>
      <c r="U180" s="37" t="str">
        <f t="shared" si="41"/>
        <v xml:space="preserve"> </v>
      </c>
      <c r="V180" s="33" t="s">
        <v>56</v>
      </c>
      <c r="W180" s="34" t="str">
        <f t="shared" si="42"/>
        <v xml:space="preserve"> </v>
      </c>
      <c r="X180" s="35" t="s">
        <v>70</v>
      </c>
      <c r="Y180" s="37" t="str">
        <f t="shared" si="43"/>
        <v xml:space="preserve"> </v>
      </c>
      <c r="Z180" s="35" t="s">
        <v>71</v>
      </c>
      <c r="AA180" s="37" t="str">
        <f t="shared" si="44"/>
        <v xml:space="preserve"> </v>
      </c>
      <c r="AB180" s="33" t="s">
        <v>63</v>
      </c>
      <c r="AC180" s="34" t="str">
        <f t="shared" si="45"/>
        <v xml:space="preserve"> </v>
      </c>
      <c r="AD180" s="35" t="s">
        <v>74</v>
      </c>
      <c r="AE180" s="34" t="str">
        <f t="shared" si="46"/>
        <v xml:space="preserve"> </v>
      </c>
      <c r="AF180" s="35" t="s">
        <v>79</v>
      </c>
      <c r="AG180" s="37" t="str">
        <f t="shared" si="47"/>
        <v xml:space="preserve"> </v>
      </c>
      <c r="AH180" s="4">
        <f>IF(OR(AND(D180&gt;=31,D180&lt;40),AND(H180&gt;=31,H180&lt;40),AND(N180&gt;=31,N180&lt;40),AND(R180&gt;=31,R180&lt;40),AND(V180&gt;=31,V180&lt;40),AND(AB180&gt;=31,AB180&lt;40)),IF(AND(OR(COUNTIF(D180:AG180,"=31")&gt;=1,COUNTIF(D180:AG180,"=32")&gt;=1,COUNTIF(D180:AG180,"=33")&gt;=1,COUNTIF(D180:AG180,"=34")&gt;=1,COUNTIF(D180:AG180,"=35")&gt;=1,COUNTIF(D180:AG180,"=36")&gt;=1 ),COUNTIF(D180:AG180,"")=0,COUNTIF(D180:AG180," ")=0,COUNTIF(D180:AG180,"F")=1),CONCATENATE(SUM(EXTRACTNUMBER(D180),EXTRACTNUMBER(F180),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EXTRACTNUMBER(AD180),EXTRACTNUMBER(AF180)),"*"),IF(AND(COUNTIF(D180:AG180,"=34")&gt;=1,COUNTIF(D180:AG180,"=35")&gt;=1,COUNTIF(D180:AG180,"f")=2,COUNTIF(D180:AG180,"")=0,COUNTIF(D180:AG180,"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EXTRACTNUMBER(AD180),EXTRACTNUMBER(AF180)),"*"),IF(AND(COUNTIF(D180:AG180,"=36")&gt;=2,COUNTIF(D180:AG180,"f")=2,COUNTIF(D180:AG180,"")=0,COUNTIF(D180:AG180,"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EXTRACTNUMBER(AD180),EXTRACTNUMBER(AF180)),"*"),SUM(EXTRACTNUMBER(D180),EXTRACTNUMBER(F180),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EXTRACTNUMBER(AD180),EXTRACTNUMBER(AF180))))),SUM(EXTRACTNUMBER(D180),EXTRACTNUMBER(F180),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EXTRACTNUMBER(AD180),EXTRACTNUMBER(AF180)))</f>
        <v>436</v>
      </c>
      <c r="AI180" s="38" t="str">
        <f t="shared" si="32"/>
        <v>FAIL</v>
      </c>
      <c r="AJ180" s="28" t="str">
        <f>spellnumber(EXTRACTnUMBER_TOT(AH180))</f>
        <v xml:space="preserve">Four Hundred Thirty Six </v>
      </c>
      <c r="AK180" s="9">
        <v>436</v>
      </c>
    </row>
    <row r="181" spans="2:37" ht="15" customHeight="1">
      <c r="B181" s="40">
        <v>223355</v>
      </c>
      <c r="C181" s="41" t="s">
        <v>27</v>
      </c>
      <c r="D181" s="33" t="s">
        <v>56</v>
      </c>
      <c r="E181" s="34" t="str">
        <f t="shared" si="34"/>
        <v xml:space="preserve"> </v>
      </c>
      <c r="F181" s="35" t="s">
        <v>68</v>
      </c>
      <c r="G181" s="34" t="str">
        <f t="shared" si="35"/>
        <v xml:space="preserve"> </v>
      </c>
      <c r="H181" s="36">
        <v>52</v>
      </c>
      <c r="I181" s="34" t="str">
        <f t="shared" si="36"/>
        <v/>
      </c>
      <c r="J181" s="35" t="s">
        <v>74</v>
      </c>
      <c r="K181" s="34" t="str">
        <f t="shared" si="37"/>
        <v xml:space="preserve"> </v>
      </c>
      <c r="L181" s="35" t="s">
        <v>72</v>
      </c>
      <c r="M181" s="34" t="str">
        <f t="shared" si="38"/>
        <v xml:space="preserve"> </v>
      </c>
      <c r="N181" s="36" t="s">
        <v>59</v>
      </c>
      <c r="O181" s="34" t="str">
        <f t="shared" si="33"/>
        <v xml:space="preserve"> </v>
      </c>
      <c r="P181" s="35" t="s">
        <v>75</v>
      </c>
      <c r="Q181" s="37" t="str">
        <f t="shared" si="39"/>
        <v xml:space="preserve"> </v>
      </c>
      <c r="R181" s="33" t="s">
        <v>77</v>
      </c>
      <c r="S181" s="34" t="str">
        <f t="shared" si="40"/>
        <v xml:space="preserve"> </v>
      </c>
      <c r="T181" s="35" t="s">
        <v>72</v>
      </c>
      <c r="U181" s="37" t="str">
        <f t="shared" si="41"/>
        <v xml:space="preserve"> </v>
      </c>
      <c r="V181" s="33" t="s">
        <v>79</v>
      </c>
      <c r="W181" s="34" t="str">
        <f t="shared" si="42"/>
        <v xml:space="preserve"> </v>
      </c>
      <c r="X181" s="35" t="s">
        <v>75</v>
      </c>
      <c r="Y181" s="37" t="str">
        <f t="shared" si="43"/>
        <v xml:space="preserve"> </v>
      </c>
      <c r="Z181" s="35" t="s">
        <v>72</v>
      </c>
      <c r="AA181" s="37" t="str">
        <f t="shared" si="44"/>
        <v xml:space="preserve"> </v>
      </c>
      <c r="AB181" s="33" t="s">
        <v>64</v>
      </c>
      <c r="AC181" s="34" t="str">
        <f t="shared" si="45"/>
        <v xml:space="preserve"> </v>
      </c>
      <c r="AD181" s="35" t="s">
        <v>75</v>
      </c>
      <c r="AE181" s="34" t="str">
        <f t="shared" si="46"/>
        <v xml:space="preserve"> </v>
      </c>
      <c r="AF181" s="35" t="s">
        <v>58</v>
      </c>
      <c r="AG181" s="37" t="str">
        <f t="shared" si="47"/>
        <v xml:space="preserve"> </v>
      </c>
      <c r="AH181" s="4">
        <f>IF(OR(AND(D181&gt;=31,D181&lt;40),AND(H181&gt;=31,H181&lt;40),AND(N181&gt;=31,N181&lt;40),AND(R181&gt;=31,R181&lt;40),AND(V181&gt;=31,V181&lt;40),AND(AB181&gt;=31,AB181&lt;40)),IF(AND(OR(COUNTIF(D181:AG181,"=31")&gt;=1,COUNTIF(D181:AG181,"=32")&gt;=1,COUNTIF(D181:AG181,"=33")&gt;=1,COUNTIF(D181:AG181,"=34")&gt;=1,COUNTIF(D181:AG181,"=35")&gt;=1,COUNTIF(D181:AG181,"=36")&gt;=1 ),COUNTIF(D181:AG181,"")=0,COUNTIF(D181:AG181," ")=0,COUNTIF(D181:AG181,"F")=1),CONCATENATE(SUM(EXTRACTNUMBER(D181),EXTRACTNUMBER(F181),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EXTRACTNUMBER(AD181),EXTRACTNUMBER(AF181)),"*"),IF(AND(COUNTIF(D181:AG181,"=34")&gt;=1,COUNTIF(D181:AG181,"=35")&gt;=1,COUNTIF(D181:AG181,"f")=2,COUNTIF(D181:AG181,"")=0,COUNTIF(D181:AG181,"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EXTRACTNUMBER(AD181),EXTRACTNUMBER(AF181)),"*"),IF(AND(COUNTIF(D181:AG181,"=36")&gt;=2,COUNTIF(D181:AG181,"f")=2,COUNTIF(D181:AG181,"")=0,COUNTIF(D181:AG181,"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EXTRACTNUMBER(AD181),EXTRACTNUMBER(AF181)),"*"),SUM(EXTRACTNUMBER(D181),EXTRACTNUMBER(F181),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EXTRACTNUMBER(AD181),EXTRACTNUMBER(AF181))))),SUM(EXTRACTNUMBER(D181),EXTRACTNUMBER(F181),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EXTRACTNUMBER(AD181),EXTRACTNUMBER(AF181)))</f>
        <v>496</v>
      </c>
      <c r="AI181" s="38" t="str">
        <f t="shared" si="32"/>
        <v>PASS</v>
      </c>
      <c r="AJ181" s="28" t="str">
        <f>spellnumber(EXTRACTnUMBER_TOT(AH181))</f>
        <v xml:space="preserve">Four Hundred NinetySix </v>
      </c>
      <c r="AK181" s="9">
        <v>496</v>
      </c>
    </row>
    <row r="182" spans="2:37" ht="15" customHeight="1">
      <c r="B182" s="40">
        <v>223356</v>
      </c>
      <c r="C182" s="42" t="s">
        <v>28</v>
      </c>
      <c r="D182" s="33" t="s">
        <v>103</v>
      </c>
      <c r="E182" s="34" t="str">
        <f t="shared" si="34"/>
        <v/>
      </c>
      <c r="F182" s="35" t="s">
        <v>67</v>
      </c>
      <c r="G182" s="34" t="str">
        <f t="shared" si="35"/>
        <v xml:space="preserve"> </v>
      </c>
      <c r="H182" s="36">
        <v>45</v>
      </c>
      <c r="I182" s="34" t="str">
        <f t="shared" si="36"/>
        <v>E</v>
      </c>
      <c r="J182" s="35" t="s">
        <v>70</v>
      </c>
      <c r="K182" s="34" t="str">
        <f t="shared" si="37"/>
        <v xml:space="preserve"> </v>
      </c>
      <c r="L182" s="35" t="s">
        <v>70</v>
      </c>
      <c r="M182" s="34" t="str">
        <f t="shared" si="38"/>
        <v xml:space="preserve"> </v>
      </c>
      <c r="N182" s="36">
        <v>49</v>
      </c>
      <c r="O182" s="34" t="str">
        <f t="shared" si="33"/>
        <v>E</v>
      </c>
      <c r="P182" s="35" t="s">
        <v>70</v>
      </c>
      <c r="Q182" s="37" t="str">
        <f t="shared" si="39"/>
        <v xml:space="preserve"> </v>
      </c>
      <c r="R182" s="33" t="s">
        <v>65</v>
      </c>
      <c r="S182" s="34" t="str">
        <f t="shared" si="40"/>
        <v xml:space="preserve"> </v>
      </c>
      <c r="T182" s="35" t="s">
        <v>74</v>
      </c>
      <c r="U182" s="37" t="str">
        <f t="shared" si="41"/>
        <v xml:space="preserve"> </v>
      </c>
      <c r="V182" s="33" t="s">
        <v>65</v>
      </c>
      <c r="W182" s="34" t="str">
        <f t="shared" si="42"/>
        <v xml:space="preserve"> </v>
      </c>
      <c r="X182" s="35" t="s">
        <v>69</v>
      </c>
      <c r="Y182" s="37" t="str">
        <f t="shared" si="43"/>
        <v xml:space="preserve"> </v>
      </c>
      <c r="Z182" s="35" t="s">
        <v>69</v>
      </c>
      <c r="AA182" s="37" t="str">
        <f t="shared" si="44"/>
        <v xml:space="preserve"> </v>
      </c>
      <c r="AB182" s="33">
        <v>40</v>
      </c>
      <c r="AC182" s="34" t="str">
        <f t="shared" si="45"/>
        <v>E</v>
      </c>
      <c r="AD182" s="35" t="s">
        <v>70</v>
      </c>
      <c r="AE182" s="34" t="str">
        <f t="shared" si="46"/>
        <v xml:space="preserve"> </v>
      </c>
      <c r="AF182" s="35" t="s">
        <v>56</v>
      </c>
      <c r="AG182" s="37" t="str">
        <f t="shared" si="47"/>
        <v xml:space="preserve"> </v>
      </c>
      <c r="AH182" s="4">
        <f>IF(OR(AND(D182&gt;=31,D182&lt;40),AND(H182&gt;=31,H182&lt;40),AND(N182&gt;=31,N182&lt;40),AND(R182&gt;=31,R182&lt;40),AND(V182&gt;=31,V182&lt;40),AND(AB182&gt;=31,AB182&lt;40)),IF(AND(OR(COUNTIF(D182:AG182,"=31")&gt;=1,COUNTIF(D182:AG182,"=32")&gt;=1,COUNTIF(D182:AG182,"=33")&gt;=1,COUNTIF(D182:AG182,"=34")&gt;=1,COUNTIF(D182:AG182,"=35")&gt;=1,COUNTIF(D182:AG182,"=36")&gt;=1 ),COUNTIF(D182:AG182,"")=0,COUNTIF(D182:AG182," ")=0,COUNTIF(D182:AG182,"F")=1),CONCATENATE(SUM(EXTRACTNUMBER(D182),EXTRACTNUMBER(F182),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EXTRACTNUMBER(AD182),EXTRACTNUMBER(AF182)),"*"),IF(AND(COUNTIF(D182:AG182,"=34")&gt;=1,COUNTIF(D182:AG182,"=35")&gt;=1,COUNTIF(D182:AG182,"f")=2,COUNTIF(D182:AG182,"")=0,COUNTIF(D182:AG182,"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EXTRACTNUMBER(AD182),EXTRACTNUMBER(AF182)),"*"),IF(AND(COUNTIF(D182:AG182,"=36")&gt;=2,COUNTIF(D182:AG182,"f")=2,COUNTIF(D182:AG182,"")=0,COUNTIF(D182:AG182,"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EXTRACTNUMBER(AD182),EXTRACTNUMBER(AF182)),"*"),SUM(EXTRACTNUMBER(D182),EXTRACTNUMBER(F182),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EXTRACTNUMBER(AD182),EXTRACTNUMBER(AF182))))),SUM(EXTRACTNUMBER(D182),EXTRACTNUMBER(F182),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EXTRACTNUMBER(AD182),EXTRACTNUMBER(AF182)))</f>
        <v>400</v>
      </c>
      <c r="AI182" s="38" t="str">
        <f t="shared" si="32"/>
        <v>FAIL</v>
      </c>
      <c r="AJ182" s="28" t="str">
        <f>spellnumber(EXTRACTnUMBER_TOT(AH182))</f>
        <v xml:space="preserve">Four Hundred  </v>
      </c>
      <c r="AK182" s="9">
        <v>400</v>
      </c>
    </row>
    <row r="183" spans="2:37" ht="15" customHeight="1">
      <c r="B183" s="40">
        <v>223357</v>
      </c>
      <c r="C183" s="42" t="s">
        <v>29</v>
      </c>
      <c r="D183" s="33" t="s">
        <v>88</v>
      </c>
      <c r="E183" s="34" t="str">
        <f t="shared" si="34"/>
        <v xml:space="preserve"> </v>
      </c>
      <c r="F183" s="35" t="s">
        <v>72</v>
      </c>
      <c r="G183" s="34" t="str">
        <f t="shared" si="35"/>
        <v xml:space="preserve"> </v>
      </c>
      <c r="H183" s="36">
        <v>10</v>
      </c>
      <c r="I183" s="34" t="str">
        <f t="shared" si="36"/>
        <v>F</v>
      </c>
      <c r="J183" s="35" t="s">
        <v>75</v>
      </c>
      <c r="K183" s="34" t="str">
        <f t="shared" si="37"/>
        <v xml:space="preserve"> </v>
      </c>
      <c r="L183" s="35" t="s">
        <v>75</v>
      </c>
      <c r="M183" s="34" t="str">
        <f t="shared" si="38"/>
        <v xml:space="preserve"> </v>
      </c>
      <c r="N183" s="36">
        <v>9</v>
      </c>
      <c r="O183" s="34" t="str">
        <f t="shared" si="33"/>
        <v>F</v>
      </c>
      <c r="P183" s="35" t="s">
        <v>75</v>
      </c>
      <c r="Q183" s="37" t="str">
        <f t="shared" si="39"/>
        <v xml:space="preserve"> </v>
      </c>
      <c r="R183" s="33" t="s">
        <v>65</v>
      </c>
      <c r="S183" s="34" t="str">
        <f t="shared" si="40"/>
        <v xml:space="preserve"> </v>
      </c>
      <c r="T183" s="35" t="s">
        <v>75</v>
      </c>
      <c r="U183" s="37" t="str">
        <f t="shared" si="41"/>
        <v xml:space="preserve"> </v>
      </c>
      <c r="V183" s="33" t="s">
        <v>63</v>
      </c>
      <c r="W183" s="34" t="str">
        <f t="shared" si="42"/>
        <v xml:space="preserve"> </v>
      </c>
      <c r="X183" s="35" t="s">
        <v>74</v>
      </c>
      <c r="Y183" s="37" t="str">
        <f t="shared" si="43"/>
        <v xml:space="preserve"> </v>
      </c>
      <c r="Z183" s="35" t="s">
        <v>74</v>
      </c>
      <c r="AA183" s="37" t="str">
        <f t="shared" si="44"/>
        <v xml:space="preserve"> </v>
      </c>
      <c r="AB183" s="33">
        <v>4</v>
      </c>
      <c r="AC183" s="34" t="str">
        <f t="shared" si="45"/>
        <v>F</v>
      </c>
      <c r="AD183" s="35" t="s">
        <v>74</v>
      </c>
      <c r="AE183" s="34" t="str">
        <f t="shared" si="46"/>
        <v xml:space="preserve"> </v>
      </c>
      <c r="AF183" s="35" t="s">
        <v>56</v>
      </c>
      <c r="AG183" s="37" t="str">
        <f t="shared" si="47"/>
        <v xml:space="preserve"> </v>
      </c>
      <c r="AH183" s="4">
        <f>IF(OR(AND(D183&gt;=31,D183&lt;40),AND(H183&gt;=31,H183&lt;40),AND(N183&gt;=31,N183&lt;40),AND(R183&gt;=31,R183&lt;40),AND(V183&gt;=31,V183&lt;40),AND(AB183&gt;=31,AB183&lt;40)),IF(AND(OR(COUNTIF(D183:AG183,"=31")&gt;=1,COUNTIF(D183:AG183,"=32")&gt;=1,COUNTIF(D183:AG183,"=33")&gt;=1,COUNTIF(D183:AG183,"=34")&gt;=1,COUNTIF(D183:AG183,"=35")&gt;=1,COUNTIF(D183:AG183,"=36")&gt;=1 ),COUNTIF(D183:AG183,"")=0,COUNTIF(D183:AG183," ")=0,COUNTIF(D183:AG183,"F")=1),CONCATENATE(SUM(EXTRACTNUMBER(D183),EXTRACTNUMBER(F183),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EXTRACTNUMBER(AD183),EXTRACTNUMBER(AF183)),"*"),IF(AND(COUNTIF(D183:AG183,"=34")&gt;=1,COUNTIF(D183:AG183,"=35")&gt;=1,COUNTIF(D183:AG183,"f")=2,COUNTIF(D183:AG183,"")=0,COUNTIF(D183:AG183,"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EXTRACTNUMBER(AD183),EXTRACTNUMBER(AF183)),"*"),IF(AND(COUNTIF(D183:AG183,"=36")&gt;=2,COUNTIF(D183:AG183,"f")=2,COUNTIF(D183:AG183,"")=0,COUNTIF(D183:AG183,"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EXTRACTNUMBER(AD183),EXTRACTNUMBER(AF183)),"*"),SUM(EXTRACTNUMBER(D183),EXTRACTNUMBER(F183),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EXTRACTNUMBER(AD183),EXTRACTNUMBER(AF183))))),SUM(EXTRACTNUMBER(D183),EXTRACTNUMBER(F183),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EXTRACTNUMBER(AD183),EXTRACTNUMBER(AF183)))</f>
        <v>376</v>
      </c>
      <c r="AI183" s="38" t="str">
        <f t="shared" si="32"/>
        <v>FAIL</v>
      </c>
      <c r="AJ183" s="28" t="str">
        <f>spellnumber(EXTRACTnUMBER_TOT(AH183))</f>
        <v xml:space="preserve">Three Hundred Seventy Six </v>
      </c>
      <c r="AK183" s="9">
        <v>376</v>
      </c>
    </row>
    <row r="184" spans="2:37" ht="15" customHeight="1">
      <c r="B184" s="40">
        <v>223358</v>
      </c>
      <c r="C184" s="42" t="s">
        <v>30</v>
      </c>
      <c r="D184" s="33" t="s">
        <v>85</v>
      </c>
      <c r="E184" s="34" t="str">
        <f t="shared" si="34"/>
        <v xml:space="preserve"> </v>
      </c>
      <c r="F184" s="35" t="s">
        <v>67</v>
      </c>
      <c r="G184" s="34" t="str">
        <f t="shared" si="35"/>
        <v xml:space="preserve"> </v>
      </c>
      <c r="H184" s="36" t="s">
        <v>103</v>
      </c>
      <c r="I184" s="34" t="str">
        <f t="shared" si="36"/>
        <v/>
      </c>
      <c r="J184" s="35" t="s">
        <v>75</v>
      </c>
      <c r="K184" s="34" t="str">
        <f t="shared" si="37"/>
        <v xml:space="preserve"> </v>
      </c>
      <c r="L184" s="35" t="s">
        <v>73</v>
      </c>
      <c r="M184" s="34" t="str">
        <f t="shared" si="38"/>
        <v xml:space="preserve"> </v>
      </c>
      <c r="N184" s="36" t="s">
        <v>62</v>
      </c>
      <c r="O184" s="34" t="str">
        <f t="shared" si="33"/>
        <v xml:space="preserve"> </v>
      </c>
      <c r="P184" s="35" t="s">
        <v>74</v>
      </c>
      <c r="Q184" s="37" t="str">
        <f t="shared" si="39"/>
        <v xml:space="preserve"> </v>
      </c>
      <c r="R184" s="33" t="s">
        <v>56</v>
      </c>
      <c r="S184" s="34" t="str">
        <f t="shared" si="40"/>
        <v xml:space="preserve"> </v>
      </c>
      <c r="T184" s="35" t="s">
        <v>70</v>
      </c>
      <c r="U184" s="37" t="str">
        <f t="shared" si="41"/>
        <v xml:space="preserve"> </v>
      </c>
      <c r="V184" s="33" t="s">
        <v>56</v>
      </c>
      <c r="W184" s="34" t="str">
        <f t="shared" si="42"/>
        <v xml:space="preserve"> </v>
      </c>
      <c r="X184" s="35" t="s">
        <v>74</v>
      </c>
      <c r="Y184" s="37" t="str">
        <f t="shared" si="43"/>
        <v xml:space="preserve"> </v>
      </c>
      <c r="Z184" s="35" t="s">
        <v>72</v>
      </c>
      <c r="AA184" s="37" t="str">
        <f t="shared" si="44"/>
        <v xml:space="preserve"> </v>
      </c>
      <c r="AB184" s="33" t="s">
        <v>56</v>
      </c>
      <c r="AC184" s="34" t="str">
        <f t="shared" si="45"/>
        <v xml:space="preserve"> </v>
      </c>
      <c r="AD184" s="35" t="s">
        <v>74</v>
      </c>
      <c r="AE184" s="34" t="str">
        <f t="shared" si="46"/>
        <v xml:space="preserve"> </v>
      </c>
      <c r="AF184" s="35" t="s">
        <v>99</v>
      </c>
      <c r="AG184" s="37" t="str">
        <f t="shared" si="47"/>
        <v xml:space="preserve"> </v>
      </c>
      <c r="AH184" s="4">
        <f>IF(OR(AND(D184&gt;=31,D184&lt;40),AND(H184&gt;=31,H184&lt;40),AND(N184&gt;=31,N184&lt;40),AND(R184&gt;=31,R184&lt;40),AND(V184&gt;=31,V184&lt;40),AND(AB184&gt;=31,AB184&lt;40)),IF(AND(OR(COUNTIF(D184:AG184,"=31")&gt;=1,COUNTIF(D184:AG184,"=32")&gt;=1,COUNTIF(D184:AG184,"=33")&gt;=1,COUNTIF(D184:AG184,"=34")&gt;=1,COUNTIF(D184:AG184,"=35")&gt;=1,COUNTIF(D184:AG184,"=36")&gt;=1 ),COUNTIF(D184:AG184,"")=0,COUNTIF(D184:AG184," ")=0,COUNTIF(D184:AG184,"F")=1),CONCATENATE(SUM(EXTRACTNUMBER(D184),EXTRACTNUMBER(F184),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EXTRACTNUMBER(AD184),EXTRACTNUMBER(AF184)),"*"),IF(AND(COUNTIF(D184:AG184,"=34")&gt;=1,COUNTIF(D184:AG184,"=35")&gt;=1,COUNTIF(D184:AG184,"f")=2,COUNTIF(D184:AG184,"")=0,COUNTIF(D184:AG184,"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EXTRACTNUMBER(AD184),EXTRACTNUMBER(AF184)),"*"),IF(AND(COUNTIF(D184:AG184,"=36")&gt;=2,COUNTIF(D184:AG184,"f")=2,COUNTIF(D184:AG184,"")=0,COUNTIF(D184:AG184,"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EXTRACTNUMBER(AD184),EXTRACTNUMBER(AF184)),"*"),SUM(EXTRACTNUMBER(D184),EXTRACTNUMBER(F184),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EXTRACTNUMBER(AD184),EXTRACTNUMBER(AF184))))),SUM(EXTRACTNUMBER(D184),EXTRACTNUMBER(F184),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EXTRACTNUMBER(AD184),EXTRACTNUMBER(AF184)))</f>
        <v>423</v>
      </c>
      <c r="AI184" s="38" t="str">
        <f t="shared" si="32"/>
        <v>ABSENT</v>
      </c>
      <c r="AJ184" s="28" t="str">
        <f>spellnumber(EXTRACTnUMBER_TOT(AH184))</f>
        <v xml:space="preserve">Four Hundred Twenty Three </v>
      </c>
      <c r="AK184" s="9">
        <v>423</v>
      </c>
    </row>
    <row r="185" spans="2:37" ht="15" customHeight="1">
      <c r="B185" s="40">
        <v>223359</v>
      </c>
      <c r="C185" s="42" t="s">
        <v>309</v>
      </c>
      <c r="D185" s="33" t="s">
        <v>57</v>
      </c>
      <c r="E185" s="34" t="str">
        <f t="shared" si="34"/>
        <v xml:space="preserve"> </v>
      </c>
      <c r="F185" s="35" t="s">
        <v>67</v>
      </c>
      <c r="G185" s="34" t="str">
        <f t="shared" si="35"/>
        <v xml:space="preserve"> </v>
      </c>
      <c r="H185" s="36">
        <v>40</v>
      </c>
      <c r="I185" s="34" t="str">
        <f t="shared" si="36"/>
        <v/>
      </c>
      <c r="J185" s="35" t="s">
        <v>73</v>
      </c>
      <c r="K185" s="34" t="str">
        <f t="shared" si="37"/>
        <v xml:space="preserve"> </v>
      </c>
      <c r="L185" s="35" t="s">
        <v>74</v>
      </c>
      <c r="M185" s="34" t="str">
        <f t="shared" si="38"/>
        <v xml:space="preserve"> </v>
      </c>
      <c r="N185" s="36" t="s">
        <v>56</v>
      </c>
      <c r="O185" s="34" t="str">
        <f t="shared" si="33"/>
        <v xml:space="preserve"> </v>
      </c>
      <c r="P185" s="35" t="s">
        <v>73</v>
      </c>
      <c r="Q185" s="37" t="str">
        <f t="shared" si="39"/>
        <v xml:space="preserve"> </v>
      </c>
      <c r="R185" s="33" t="s">
        <v>57</v>
      </c>
      <c r="S185" s="34" t="str">
        <f t="shared" si="40"/>
        <v xml:space="preserve"> </v>
      </c>
      <c r="T185" s="35" t="s">
        <v>75</v>
      </c>
      <c r="U185" s="37" t="str">
        <f t="shared" si="41"/>
        <v xml:space="preserve"> </v>
      </c>
      <c r="V185" s="33" t="s">
        <v>80</v>
      </c>
      <c r="W185" s="34" t="str">
        <f t="shared" si="42"/>
        <v xml:space="preserve"> </v>
      </c>
      <c r="X185" s="35" t="s">
        <v>70</v>
      </c>
      <c r="Y185" s="37" t="str">
        <f t="shared" si="43"/>
        <v xml:space="preserve"> </v>
      </c>
      <c r="Z185" s="35" t="s">
        <v>71</v>
      </c>
      <c r="AA185" s="37" t="str">
        <f t="shared" si="44"/>
        <v xml:space="preserve"> </v>
      </c>
      <c r="AB185" s="33" t="s">
        <v>58</v>
      </c>
      <c r="AC185" s="34" t="str">
        <f t="shared" si="45"/>
        <v xml:space="preserve"> </v>
      </c>
      <c r="AD185" s="35" t="s">
        <v>73</v>
      </c>
      <c r="AE185" s="34" t="str">
        <f t="shared" si="46"/>
        <v xml:space="preserve"> </v>
      </c>
      <c r="AF185" s="35" t="s">
        <v>63</v>
      </c>
      <c r="AG185" s="37" t="str">
        <f t="shared" si="47"/>
        <v xml:space="preserve"> </v>
      </c>
      <c r="AH185" s="4">
        <f>IF(OR(AND(D185&gt;=31,D185&lt;40),AND(H185&gt;=31,H185&lt;40),AND(N185&gt;=31,N185&lt;40),AND(R185&gt;=31,R185&lt;40),AND(V185&gt;=31,V185&lt;40),AND(AB185&gt;=31,AB185&lt;40)),IF(AND(OR(COUNTIF(D185:AG185,"=31")&gt;=1,COUNTIF(D185:AG185,"=32")&gt;=1,COUNTIF(D185:AG185,"=33")&gt;=1,COUNTIF(D185:AG185,"=34")&gt;=1,COUNTIF(D185:AG185,"=35")&gt;=1,COUNTIF(D185:AG185,"=36")&gt;=1 ),COUNTIF(D185:AG185,"")=0,COUNTIF(D185:AG185," ")=0,COUNTIF(D185:AG185,"F")=1),CONCATENATE(SUM(EXTRACTNUMBER(D185),EXTRACTNUMBER(F185),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EXTRACTNUMBER(AD185),EXTRACTNUMBER(AF185)),"*"),IF(AND(COUNTIF(D185:AG185,"=34")&gt;=1,COUNTIF(D185:AG185,"=35")&gt;=1,COUNTIF(D185:AG185,"f")=2,COUNTIF(D185:AG185,"")=0,COUNTIF(D185:AG185,"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EXTRACTNUMBER(AD185),EXTRACTNUMBER(AF185)),"*"),IF(AND(COUNTIF(D185:AG185,"=36")&gt;=2,COUNTIF(D185:AG185,"f")=2,COUNTIF(D185:AG185,"")=0,COUNTIF(D185:AG185,"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EXTRACTNUMBER(AD185),EXTRACTNUMBER(AF185)),"*"),SUM(EXTRACTNUMBER(D185),EXTRACTNUMBER(F185),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EXTRACTNUMBER(AD185),EXTRACTNUMBER(AF185))))),SUM(EXTRACTNUMBER(D185),EXTRACTNUMBER(F185),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EXTRACTNUMBER(AD185),EXTRACTNUMBER(AF185)))</f>
        <v>472</v>
      </c>
      <c r="AI185" s="38" t="str">
        <f t="shared" si="32"/>
        <v>PASS</v>
      </c>
      <c r="AJ185" s="28" t="str">
        <f>spellnumber(EXTRACTnUMBER_TOT(AH185))</f>
        <v xml:space="preserve">Four Hundred Seventy Two </v>
      </c>
      <c r="AK185" s="9">
        <v>472</v>
      </c>
    </row>
    <row r="186" spans="2:37" ht="15" customHeight="1">
      <c r="B186" s="40">
        <v>223360</v>
      </c>
      <c r="C186" s="42" t="s">
        <v>31</v>
      </c>
      <c r="D186" s="33" t="s">
        <v>58</v>
      </c>
      <c r="E186" s="34" t="str">
        <f t="shared" si="34"/>
        <v xml:space="preserve"> </v>
      </c>
      <c r="F186" s="35" t="s">
        <v>66</v>
      </c>
      <c r="G186" s="34" t="str">
        <f t="shared" si="35"/>
        <v xml:space="preserve"> </v>
      </c>
      <c r="H186" s="36" t="s">
        <v>63</v>
      </c>
      <c r="I186" s="34" t="str">
        <f t="shared" si="36"/>
        <v xml:space="preserve"> </v>
      </c>
      <c r="J186" s="35" t="s">
        <v>74</v>
      </c>
      <c r="K186" s="34" t="str">
        <f t="shared" si="37"/>
        <v xml:space="preserve"> </v>
      </c>
      <c r="L186" s="35" t="s">
        <v>74</v>
      </c>
      <c r="M186" s="34" t="str">
        <f t="shared" si="38"/>
        <v xml:space="preserve"> </v>
      </c>
      <c r="N186" s="36" t="s">
        <v>80</v>
      </c>
      <c r="O186" s="34" t="str">
        <f t="shared" si="33"/>
        <v xml:space="preserve"> </v>
      </c>
      <c r="P186" s="35" t="s">
        <v>73</v>
      </c>
      <c r="Q186" s="37" t="str">
        <f t="shared" si="39"/>
        <v xml:space="preserve"> </v>
      </c>
      <c r="R186" s="33" t="s">
        <v>56</v>
      </c>
      <c r="S186" s="34" t="str">
        <f t="shared" si="40"/>
        <v xml:space="preserve"> </v>
      </c>
      <c r="T186" s="35" t="s">
        <v>72</v>
      </c>
      <c r="U186" s="37" t="str">
        <f t="shared" si="41"/>
        <v xml:space="preserve"> </v>
      </c>
      <c r="V186" s="33" t="s">
        <v>86</v>
      </c>
      <c r="W186" s="34" t="str">
        <f t="shared" si="42"/>
        <v xml:space="preserve"> </v>
      </c>
      <c r="X186" s="35" t="s">
        <v>71</v>
      </c>
      <c r="Y186" s="37" t="str">
        <f t="shared" si="43"/>
        <v xml:space="preserve"> </v>
      </c>
      <c r="Z186" s="35" t="s">
        <v>70</v>
      </c>
      <c r="AA186" s="37" t="str">
        <f t="shared" si="44"/>
        <v xml:space="preserve"> </v>
      </c>
      <c r="AB186" s="33">
        <v>49</v>
      </c>
      <c r="AC186" s="34" t="str">
        <f t="shared" si="45"/>
        <v/>
      </c>
      <c r="AD186" s="35" t="s">
        <v>73</v>
      </c>
      <c r="AE186" s="34" t="str">
        <f t="shared" si="46"/>
        <v xml:space="preserve"> </v>
      </c>
      <c r="AF186" s="35" t="s">
        <v>79</v>
      </c>
      <c r="AG186" s="37" t="str">
        <f t="shared" si="47"/>
        <v xml:space="preserve"> </v>
      </c>
      <c r="AH186" s="4">
        <f>IF(OR(AND(D186&gt;=31,D186&lt;40),AND(H186&gt;=31,H186&lt;40),AND(N186&gt;=31,N186&lt;40),AND(R186&gt;=31,R186&lt;40),AND(V186&gt;=31,V186&lt;40),AND(AB186&gt;=31,AB186&lt;40)),IF(AND(OR(COUNTIF(D186:AG186,"=31")&gt;=1,COUNTIF(D186:AG186,"=32")&gt;=1,COUNTIF(D186:AG186,"=33")&gt;=1,COUNTIF(D186:AG186,"=34")&gt;=1,COUNTIF(D186:AG186,"=35")&gt;=1,COUNTIF(D186:AG186,"=36")&gt;=1 ),COUNTIF(D186:AG186,"")=0,COUNTIF(D186:AG186," ")=0,COUNTIF(D186:AG186,"F")=1),CONCATENATE(SUM(EXTRACTNUMBER(D186),EXTRACTNUMBER(F186),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EXTRACTNUMBER(AD186),EXTRACTNUMBER(AF186)),"*"),IF(AND(COUNTIF(D186:AG186,"=34")&gt;=1,COUNTIF(D186:AG186,"=35")&gt;=1,COUNTIF(D186:AG186,"f")=2,COUNTIF(D186:AG186,"")=0,COUNTIF(D186:AG186,"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EXTRACTNUMBER(AD186),EXTRACTNUMBER(AF186)),"*"),IF(AND(COUNTIF(D186:AG186,"=36")&gt;=2,COUNTIF(D186:AG186,"f")=2,COUNTIF(D186:AG186,"")=0,COUNTIF(D186:AG186,"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EXTRACTNUMBER(AD186),EXTRACTNUMBER(AF186)),"*"),SUM(EXTRACTNUMBER(D186),EXTRACTNUMBER(F186),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EXTRACTNUMBER(AD186),EXTRACTNUMBER(AF186))))),SUM(EXTRACTNUMBER(D186),EXTRACTNUMBER(F186),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EXTRACTNUMBER(AD186),EXTRACTNUMBER(AF186)))</f>
        <v>487</v>
      </c>
      <c r="AI186" s="38" t="str">
        <f t="shared" si="32"/>
        <v>PASS</v>
      </c>
      <c r="AJ186" s="28" t="str">
        <f>spellnumber(EXTRACTnUMBER_TOT(AH186))</f>
        <v xml:space="preserve">Four Hundred Eighty Seven </v>
      </c>
      <c r="AK186" s="9">
        <v>487</v>
      </c>
    </row>
    <row r="187" spans="2:37" ht="15" customHeight="1">
      <c r="B187" s="40">
        <v>223361</v>
      </c>
      <c r="C187" s="42" t="s">
        <v>32</v>
      </c>
      <c r="D187" s="33">
        <v>19</v>
      </c>
      <c r="E187" s="34" t="str">
        <f t="shared" si="34"/>
        <v>F</v>
      </c>
      <c r="F187" s="35" t="s">
        <v>67</v>
      </c>
      <c r="G187" s="34" t="str">
        <f t="shared" si="35"/>
        <v xml:space="preserve"> </v>
      </c>
      <c r="H187" s="36" t="s">
        <v>103</v>
      </c>
      <c r="I187" s="34" t="str">
        <f t="shared" si="36"/>
        <v/>
      </c>
      <c r="J187" s="35" t="s">
        <v>68</v>
      </c>
      <c r="K187" s="34" t="str">
        <f t="shared" si="37"/>
        <v xml:space="preserve"> </v>
      </c>
      <c r="L187" s="35" t="s">
        <v>69</v>
      </c>
      <c r="M187" s="34" t="str">
        <f t="shared" si="38"/>
        <v xml:space="preserve"> </v>
      </c>
      <c r="N187" s="36" t="s">
        <v>58</v>
      </c>
      <c r="O187" s="34" t="str">
        <f t="shared" si="33"/>
        <v xml:space="preserve"> </v>
      </c>
      <c r="P187" s="35" t="s">
        <v>70</v>
      </c>
      <c r="Q187" s="37" t="str">
        <f t="shared" si="39"/>
        <v xml:space="preserve"> </v>
      </c>
      <c r="R187" s="33" t="s">
        <v>80</v>
      </c>
      <c r="S187" s="34" t="str">
        <f t="shared" si="40"/>
        <v xml:space="preserve"> </v>
      </c>
      <c r="T187" s="35" t="s">
        <v>74</v>
      </c>
      <c r="U187" s="37" t="str">
        <f t="shared" si="41"/>
        <v xml:space="preserve"> </v>
      </c>
      <c r="V187" s="33" t="s">
        <v>77</v>
      </c>
      <c r="W187" s="34" t="str">
        <f t="shared" si="42"/>
        <v xml:space="preserve"> </v>
      </c>
      <c r="X187" s="35" t="s">
        <v>72</v>
      </c>
      <c r="Y187" s="37" t="str">
        <f t="shared" si="43"/>
        <v xml:space="preserve"> </v>
      </c>
      <c r="Z187" s="35" t="s">
        <v>75</v>
      </c>
      <c r="AA187" s="37" t="str">
        <f t="shared" si="44"/>
        <v xml:space="preserve"> </v>
      </c>
      <c r="AB187" s="33" t="s">
        <v>55</v>
      </c>
      <c r="AC187" s="34" t="str">
        <f t="shared" si="45"/>
        <v xml:space="preserve"> </v>
      </c>
      <c r="AD187" s="35" t="s">
        <v>74</v>
      </c>
      <c r="AE187" s="34" t="str">
        <f t="shared" si="46"/>
        <v xml:space="preserve"> </v>
      </c>
      <c r="AF187" s="35" t="s">
        <v>79</v>
      </c>
      <c r="AG187" s="37" t="str">
        <f t="shared" si="47"/>
        <v xml:space="preserve"> </v>
      </c>
      <c r="AH187" s="4">
        <f>IF(OR(AND(D187&gt;=31,D187&lt;40),AND(H187&gt;=31,H187&lt;40),AND(N187&gt;=31,N187&lt;40),AND(R187&gt;=31,R187&lt;40),AND(V187&gt;=31,V187&lt;40),AND(AB187&gt;=31,AB187&lt;40)),IF(AND(OR(COUNTIF(D187:AG187,"=31")&gt;=1,COUNTIF(D187:AG187,"=32")&gt;=1,COUNTIF(D187:AG187,"=33")&gt;=1,COUNTIF(D187:AG187,"=34")&gt;=1,COUNTIF(D187:AG187,"=35")&gt;=1,COUNTIF(D187:AG187,"=36")&gt;=1 ),COUNTIF(D187:AG187,"")=0,COUNTIF(D187:AG187," ")=0,COUNTIF(D187:AG187,"F")=1),CONCATENATE(SUM(EXTRACTNUMBER(D187),EXTRACTNUMBER(F187),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EXTRACTNUMBER(AD187),EXTRACTNUMBER(AF187)),"*"),IF(AND(COUNTIF(D187:AG187,"=34")&gt;=1,COUNTIF(D187:AG187,"=35")&gt;=1,COUNTIF(D187:AG187,"f")=2,COUNTIF(D187:AG187,"")=0,COUNTIF(D187:AG187,"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EXTRACTNUMBER(AD187),EXTRACTNUMBER(AF187)),"*"),IF(AND(COUNTIF(D187:AG187,"=36")&gt;=2,COUNTIF(D187:AG187,"f")=2,COUNTIF(D187:AG187,"")=0,COUNTIF(D187:AG187,"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EXTRACTNUMBER(AD187),EXTRACTNUMBER(AF187)),"*"),SUM(EXTRACTNUMBER(D187),EXTRACTNUMBER(F187),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EXTRACTNUMBER(AD187),EXTRACTNUMBER(AF187))))),SUM(EXTRACTNUMBER(D187),EXTRACTNUMBER(F187),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EXTRACTNUMBER(AD187),EXTRACTNUMBER(AF187)))</f>
        <v>406</v>
      </c>
      <c r="AI187" s="38" t="str">
        <f t="shared" si="32"/>
        <v>FAIL</v>
      </c>
      <c r="AJ187" s="28" t="str">
        <f>spellnumber(EXTRACTnUMBER_TOT(AH187))</f>
        <v xml:space="preserve">Four Hundred Six </v>
      </c>
      <c r="AK187" s="9">
        <v>406</v>
      </c>
    </row>
    <row r="188" spans="2:37" ht="15" customHeight="1">
      <c r="B188" s="40">
        <v>223362</v>
      </c>
      <c r="C188" s="42" t="s">
        <v>33</v>
      </c>
      <c r="D188" s="33" t="s">
        <v>62</v>
      </c>
      <c r="E188" s="34" t="str">
        <f t="shared" si="34"/>
        <v xml:space="preserve"> </v>
      </c>
      <c r="F188" s="35" t="s">
        <v>67</v>
      </c>
      <c r="G188" s="34" t="str">
        <f t="shared" si="35"/>
        <v xml:space="preserve"> </v>
      </c>
      <c r="H188" s="36" t="s">
        <v>103</v>
      </c>
      <c r="I188" s="34" t="str">
        <f t="shared" si="36"/>
        <v/>
      </c>
      <c r="J188" s="35" t="s">
        <v>68</v>
      </c>
      <c r="K188" s="34" t="str">
        <f t="shared" si="37"/>
        <v xml:space="preserve"> </v>
      </c>
      <c r="L188" s="35" t="s">
        <v>72</v>
      </c>
      <c r="M188" s="34" t="str">
        <f t="shared" si="38"/>
        <v xml:space="preserve"> </v>
      </c>
      <c r="N188" s="36" t="s">
        <v>56</v>
      </c>
      <c r="O188" s="34" t="str">
        <f t="shared" si="33"/>
        <v xml:space="preserve"> </v>
      </c>
      <c r="P188" s="35" t="s">
        <v>71</v>
      </c>
      <c r="Q188" s="37" t="str">
        <f t="shared" si="39"/>
        <v xml:space="preserve"> </v>
      </c>
      <c r="R188" s="33" t="s">
        <v>58</v>
      </c>
      <c r="S188" s="34" t="str">
        <f t="shared" si="40"/>
        <v xml:space="preserve"> </v>
      </c>
      <c r="T188" s="35" t="s">
        <v>70</v>
      </c>
      <c r="U188" s="37" t="str">
        <f t="shared" si="41"/>
        <v xml:space="preserve"> </v>
      </c>
      <c r="V188" s="33" t="s">
        <v>55</v>
      </c>
      <c r="W188" s="34" t="str">
        <f t="shared" si="42"/>
        <v xml:space="preserve"> </v>
      </c>
      <c r="X188" s="35" t="s">
        <v>71</v>
      </c>
      <c r="Y188" s="37" t="str">
        <f t="shared" si="43"/>
        <v xml:space="preserve"> </v>
      </c>
      <c r="Z188" s="35" t="s">
        <v>69</v>
      </c>
      <c r="AA188" s="37" t="str">
        <f t="shared" si="44"/>
        <v xml:space="preserve"> </v>
      </c>
      <c r="AB188" s="33">
        <v>31</v>
      </c>
      <c r="AC188" s="34" t="str">
        <f t="shared" si="45"/>
        <v>F</v>
      </c>
      <c r="AD188" s="35" t="s">
        <v>70</v>
      </c>
      <c r="AE188" s="34" t="str">
        <f t="shared" si="46"/>
        <v xml:space="preserve"> </v>
      </c>
      <c r="AF188" s="35" t="s">
        <v>63</v>
      </c>
      <c r="AG188" s="37" t="str">
        <f t="shared" si="47"/>
        <v xml:space="preserve"> </v>
      </c>
      <c r="AH188" s="4">
        <f>IF(OR(AND(D188&gt;=31,D188&lt;40),AND(H188&gt;=31,H188&lt;40),AND(N188&gt;=31,N188&lt;40),AND(R188&gt;=31,R188&lt;40),AND(V188&gt;=31,V188&lt;40),AND(AB188&gt;=31,AB188&lt;40)),IF(AND(OR(COUNTIF(D188:AG188,"=31")&gt;=1,COUNTIF(D188:AG188,"=32")&gt;=1,COUNTIF(D188:AG188,"=33")&gt;=1,COUNTIF(D188:AG188,"=34")&gt;=1,COUNTIF(D188:AG188,"=35")&gt;=1,COUNTIF(D188:AG188,"=36")&gt;=1 ),COUNTIF(D188:AG188,"")=0,COUNTIF(D188:AG188," ")=0,COUNTIF(D188:AG188,"F")=1),CONCATENATE(SUM(EXTRACTNUMBER(D188),EXTRACTNUMBER(F188),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EXTRACTNUMBER(AD188),EXTRACTNUMBER(AF188)),"*"),IF(AND(COUNTIF(D188:AG188,"=34")&gt;=1,COUNTIF(D188:AG188,"=35")&gt;=1,COUNTIF(D188:AG188,"f")=2,COUNTIF(D188:AG188,"")=0,COUNTIF(D188:AG188,"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EXTRACTNUMBER(AD188),EXTRACTNUMBER(AF188)),"*"),IF(AND(COUNTIF(D188:AG188,"=36")&gt;=2,COUNTIF(D188:AG188,"f")=2,COUNTIF(D188:AG188,"")=0,COUNTIF(D188:AG188,"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EXTRACTNUMBER(AD188),EXTRACTNUMBER(AF188)),"*"),SUM(EXTRACTNUMBER(D188),EXTRACTNUMBER(F188),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EXTRACTNUMBER(AD188),EXTRACTNUMBER(AF188))))),SUM(EXTRACTNUMBER(D188),EXTRACTNUMBER(F188),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EXTRACTNUMBER(AD188),EXTRACTNUMBER(AF188)))</f>
        <v>400</v>
      </c>
      <c r="AI188" s="38" t="str">
        <f t="shared" si="32"/>
        <v>FAIL</v>
      </c>
      <c r="AJ188" s="28" t="str">
        <f>spellnumber(EXTRACTnUMBER_TOT(AH188))</f>
        <v xml:space="preserve">Four Hundred  </v>
      </c>
      <c r="AK188" s="9">
        <v>400</v>
      </c>
    </row>
    <row r="189" spans="2:37" ht="15" customHeight="1">
      <c r="B189" s="40">
        <v>223363</v>
      </c>
      <c r="C189" s="42" t="s">
        <v>310</v>
      </c>
      <c r="D189" s="33" t="s">
        <v>56</v>
      </c>
      <c r="E189" s="34" t="str">
        <f t="shared" si="34"/>
        <v xml:space="preserve"> </v>
      </c>
      <c r="F189" s="35" t="s">
        <v>73</v>
      </c>
      <c r="G189" s="34" t="str">
        <f t="shared" si="35"/>
        <v xml:space="preserve"> </v>
      </c>
      <c r="H189" s="36" t="s">
        <v>103</v>
      </c>
      <c r="I189" s="34" t="str">
        <f t="shared" si="36"/>
        <v/>
      </c>
      <c r="J189" s="35" t="s">
        <v>74</v>
      </c>
      <c r="K189" s="34" t="str">
        <f t="shared" si="37"/>
        <v xml:space="preserve"> </v>
      </c>
      <c r="L189" s="35" t="s">
        <v>72</v>
      </c>
      <c r="M189" s="34" t="str">
        <f t="shared" si="38"/>
        <v xml:space="preserve"> </v>
      </c>
      <c r="N189" s="36" t="s">
        <v>64</v>
      </c>
      <c r="O189" s="34" t="str">
        <f t="shared" si="33"/>
        <v xml:space="preserve"> </v>
      </c>
      <c r="P189" s="35" t="s">
        <v>74</v>
      </c>
      <c r="Q189" s="37" t="str">
        <f t="shared" si="39"/>
        <v xml:space="preserve"> </v>
      </c>
      <c r="R189" s="33" t="s">
        <v>88</v>
      </c>
      <c r="S189" s="34" t="str">
        <f t="shared" si="40"/>
        <v xml:space="preserve"> </v>
      </c>
      <c r="T189" s="35" t="s">
        <v>74</v>
      </c>
      <c r="U189" s="37" t="str">
        <f t="shared" si="41"/>
        <v xml:space="preserve"> </v>
      </c>
      <c r="V189" s="33" t="s">
        <v>87</v>
      </c>
      <c r="W189" s="34" t="str">
        <f t="shared" si="42"/>
        <v xml:space="preserve"> </v>
      </c>
      <c r="X189" s="35" t="s">
        <v>70</v>
      </c>
      <c r="Y189" s="37" t="str">
        <f t="shared" si="43"/>
        <v xml:space="preserve"> </v>
      </c>
      <c r="Z189" s="35" t="s">
        <v>70</v>
      </c>
      <c r="AA189" s="37" t="str">
        <f t="shared" si="44"/>
        <v xml:space="preserve"> </v>
      </c>
      <c r="AB189" s="33" t="s">
        <v>92</v>
      </c>
      <c r="AC189" s="34" t="str">
        <f t="shared" si="45"/>
        <v xml:space="preserve"> </v>
      </c>
      <c r="AD189" s="35" t="s">
        <v>74</v>
      </c>
      <c r="AE189" s="34" t="str">
        <f t="shared" si="46"/>
        <v xml:space="preserve"> </v>
      </c>
      <c r="AF189" s="35" t="s">
        <v>64</v>
      </c>
      <c r="AG189" s="37" t="str">
        <f t="shared" si="47"/>
        <v xml:space="preserve"> </v>
      </c>
      <c r="AH189" s="4">
        <f>IF(OR(AND(D189&gt;=31,D189&lt;40),AND(H189&gt;=31,H189&lt;40),AND(N189&gt;=31,N189&lt;40),AND(R189&gt;=31,R189&lt;40),AND(V189&gt;=31,V189&lt;40),AND(AB189&gt;=31,AB189&lt;40)),IF(AND(OR(COUNTIF(D189:AG189,"=31")&gt;=1,COUNTIF(D189:AG189,"=32")&gt;=1,COUNTIF(D189:AG189,"=33")&gt;=1,COUNTIF(D189:AG189,"=34")&gt;=1,COUNTIF(D189:AG189,"=35")&gt;=1,COUNTIF(D189:AG189,"=36")&gt;=1 ),COUNTIF(D189:AG189,"")=0,COUNTIF(D189:AG189," ")=0,COUNTIF(D189:AG189,"F")=1),CONCATENATE(SUM(EXTRACTNUMBER(D189),EXTRACTNUMBER(F189),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EXTRACTNUMBER(AD189),EXTRACTNUMBER(AF189)),"*"),IF(AND(COUNTIF(D189:AG189,"=34")&gt;=1,COUNTIF(D189:AG189,"=35")&gt;=1,COUNTIF(D189:AG189,"f")=2,COUNTIF(D189:AG189,"")=0,COUNTIF(D189:AG189,"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EXTRACTNUMBER(AD189),EXTRACTNUMBER(AF189)),"*"),IF(AND(COUNTIF(D189:AG189,"=36")&gt;=2,COUNTIF(D189:AG189,"f")=2,COUNTIF(D189:AG189,"")=0,COUNTIF(D189:AG189,"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EXTRACTNUMBER(AD189),EXTRACTNUMBER(AF189)),"*"),SUM(EXTRACTNUMBER(D189),EXTRACTNUMBER(F189),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EXTRACTNUMBER(AD189),EXTRACTNUMBER(AF189))))),SUM(EXTRACTNUMBER(D189),EXTRACTNUMBER(F189),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EXTRACTNUMBER(AD189),EXTRACTNUMBER(AF189)))</f>
        <v>469</v>
      </c>
      <c r="AI189" s="38" t="str">
        <f t="shared" si="32"/>
        <v>ABSENT</v>
      </c>
      <c r="AJ189" s="28" t="str">
        <f>spellnumber(EXTRACTnUMBER_TOT(AH189))</f>
        <v xml:space="preserve">Four Hundred Sixty Nine </v>
      </c>
      <c r="AK189" s="9">
        <v>469</v>
      </c>
    </row>
    <row r="190" spans="2:37" ht="15" customHeight="1">
      <c r="B190" s="40">
        <v>223364</v>
      </c>
      <c r="C190" s="41" t="s">
        <v>311</v>
      </c>
      <c r="D190" s="33">
        <v>22</v>
      </c>
      <c r="E190" s="34" t="str">
        <f t="shared" si="34"/>
        <v>F</v>
      </c>
      <c r="F190" s="35" t="s">
        <v>66</v>
      </c>
      <c r="G190" s="34" t="str">
        <f t="shared" si="35"/>
        <v xml:space="preserve"> </v>
      </c>
      <c r="H190" s="36" t="s">
        <v>78</v>
      </c>
      <c r="I190" s="34" t="str">
        <f t="shared" si="36"/>
        <v xml:space="preserve"> </v>
      </c>
      <c r="J190" s="35" t="s">
        <v>75</v>
      </c>
      <c r="K190" s="34" t="str">
        <f t="shared" si="37"/>
        <v xml:space="preserve"> </v>
      </c>
      <c r="L190" s="35" t="s">
        <v>72</v>
      </c>
      <c r="M190" s="34" t="str">
        <f t="shared" si="38"/>
        <v xml:space="preserve"> </v>
      </c>
      <c r="N190" s="36" t="s">
        <v>88</v>
      </c>
      <c r="O190" s="34" t="str">
        <f t="shared" si="33"/>
        <v xml:space="preserve"> </v>
      </c>
      <c r="P190" s="35" t="s">
        <v>70</v>
      </c>
      <c r="Q190" s="37" t="str">
        <f t="shared" si="39"/>
        <v xml:space="preserve"> </v>
      </c>
      <c r="R190" s="33" t="s">
        <v>91</v>
      </c>
      <c r="S190" s="34" t="str">
        <f t="shared" si="40"/>
        <v xml:space="preserve"> </v>
      </c>
      <c r="T190" s="35" t="s">
        <v>71</v>
      </c>
      <c r="U190" s="37" t="str">
        <f t="shared" si="41"/>
        <v xml:space="preserve"> </v>
      </c>
      <c r="V190" s="33" t="s">
        <v>56</v>
      </c>
      <c r="W190" s="34" t="str">
        <f t="shared" si="42"/>
        <v xml:space="preserve"> </v>
      </c>
      <c r="X190" s="35" t="s">
        <v>72</v>
      </c>
      <c r="Y190" s="37" t="str">
        <f t="shared" si="43"/>
        <v xml:space="preserve"> </v>
      </c>
      <c r="Z190" s="35" t="s">
        <v>74</v>
      </c>
      <c r="AA190" s="37" t="str">
        <f t="shared" si="44"/>
        <v xml:space="preserve"> </v>
      </c>
      <c r="AB190" s="33" t="s">
        <v>96</v>
      </c>
      <c r="AC190" s="34" t="str">
        <f t="shared" si="45"/>
        <v xml:space="preserve"> </v>
      </c>
      <c r="AD190" s="35" t="s">
        <v>72</v>
      </c>
      <c r="AE190" s="34" t="str">
        <f t="shared" si="46"/>
        <v xml:space="preserve"> </v>
      </c>
      <c r="AF190" s="35" t="s">
        <v>57</v>
      </c>
      <c r="AG190" s="37" t="str">
        <f t="shared" si="47"/>
        <v xml:space="preserve"> </v>
      </c>
      <c r="AH190" s="4">
        <f>IF(OR(AND(D190&gt;=31,D190&lt;40),AND(H190&gt;=31,H190&lt;40),AND(N190&gt;=31,N190&lt;40),AND(R190&gt;=31,R190&lt;40),AND(V190&gt;=31,V190&lt;40),AND(AB190&gt;=31,AB190&lt;40)),IF(AND(OR(COUNTIF(D190:AG190,"=31")&gt;=1,COUNTIF(D190:AG190,"=32")&gt;=1,COUNTIF(D190:AG190,"=33")&gt;=1,COUNTIF(D190:AG190,"=34")&gt;=1,COUNTIF(D190:AG190,"=35")&gt;=1,COUNTIF(D190:AG190,"=36")&gt;=1 ),COUNTIF(D190:AG190,"")=0,COUNTIF(D190:AG190," ")=0,COUNTIF(D190:AG190,"F")=1),CONCATENATE(SUM(EXTRACTNUMBER(D190),EXTRACTNUMBER(F190),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EXTRACTNUMBER(AD190),EXTRACTNUMBER(AF190)),"*"),IF(AND(COUNTIF(D190:AG190,"=34")&gt;=1,COUNTIF(D190:AG190,"=35")&gt;=1,COUNTIF(D190:AG190,"f")=2,COUNTIF(D190:AG190,"")=0,COUNTIF(D190:AG190,"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EXTRACTNUMBER(AD190),EXTRACTNUMBER(AF190)),"*"),IF(AND(COUNTIF(D190:AG190,"=36")&gt;=2,COUNTIF(D190:AG190,"f")=2,COUNTIF(D190:AG190,"")=0,COUNTIF(D190:AG190,"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EXTRACTNUMBER(AD190),EXTRACTNUMBER(AF190)),"*"),SUM(EXTRACTNUMBER(D190),EXTRACTNUMBER(F190),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EXTRACTNUMBER(AD190),EXTRACTNUMBER(AF190))))),SUM(EXTRACTNUMBER(D190),EXTRACTNUMBER(F190),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EXTRACTNUMBER(AD190),EXTRACTNUMBER(AF190)))</f>
        <v>524</v>
      </c>
      <c r="AI190" s="38" t="str">
        <f t="shared" si="32"/>
        <v>FAIL</v>
      </c>
      <c r="AJ190" s="28" t="str">
        <f>spellnumber(EXTRACTnUMBER_TOT(AH190))</f>
        <v xml:space="preserve">Five Hundred Twenty Four </v>
      </c>
      <c r="AK190" s="9">
        <v>524</v>
      </c>
    </row>
    <row r="191" spans="2:37" ht="15" customHeight="1">
      <c r="B191" s="40">
        <v>223365</v>
      </c>
      <c r="C191" s="42" t="s">
        <v>34</v>
      </c>
      <c r="D191" s="33" t="s">
        <v>55</v>
      </c>
      <c r="E191" s="34" t="str">
        <f t="shared" si="34"/>
        <v xml:space="preserve"> </v>
      </c>
      <c r="F191" s="35" t="s">
        <v>67</v>
      </c>
      <c r="G191" s="34" t="str">
        <f t="shared" si="35"/>
        <v xml:space="preserve"> </v>
      </c>
      <c r="H191" s="36">
        <v>54</v>
      </c>
      <c r="I191" s="34" t="str">
        <f t="shared" si="36"/>
        <v/>
      </c>
      <c r="J191" s="35" t="s">
        <v>69</v>
      </c>
      <c r="K191" s="34" t="str">
        <f t="shared" si="37"/>
        <v xml:space="preserve"> </v>
      </c>
      <c r="L191" s="35" t="s">
        <v>71</v>
      </c>
      <c r="M191" s="34" t="str">
        <f t="shared" si="38"/>
        <v xml:space="preserve"> </v>
      </c>
      <c r="N191" s="36" t="s">
        <v>65</v>
      </c>
      <c r="O191" s="34" t="str">
        <f t="shared" si="33"/>
        <v xml:space="preserve"> </v>
      </c>
      <c r="P191" s="35" t="s">
        <v>71</v>
      </c>
      <c r="Q191" s="37" t="str">
        <f t="shared" si="39"/>
        <v xml:space="preserve"> </v>
      </c>
      <c r="R191" s="33" t="s">
        <v>63</v>
      </c>
      <c r="S191" s="34" t="str">
        <f t="shared" si="40"/>
        <v xml:space="preserve"> </v>
      </c>
      <c r="T191" s="35" t="s">
        <v>74</v>
      </c>
      <c r="U191" s="37" t="str">
        <f t="shared" si="41"/>
        <v xml:space="preserve"> </v>
      </c>
      <c r="V191" s="33" t="s">
        <v>56</v>
      </c>
      <c r="W191" s="34" t="str">
        <f t="shared" si="42"/>
        <v xml:space="preserve"> </v>
      </c>
      <c r="X191" s="35" t="s">
        <v>68</v>
      </c>
      <c r="Y191" s="37" t="str">
        <f t="shared" si="43"/>
        <v xml:space="preserve"> </v>
      </c>
      <c r="Z191" s="35" t="s">
        <v>68</v>
      </c>
      <c r="AA191" s="37" t="str">
        <f t="shared" si="44"/>
        <v xml:space="preserve"> </v>
      </c>
      <c r="AB191" s="33">
        <v>40</v>
      </c>
      <c r="AC191" s="34" t="str">
        <f t="shared" si="45"/>
        <v/>
      </c>
      <c r="AD191" s="35" t="s">
        <v>71</v>
      </c>
      <c r="AE191" s="34" t="str">
        <f t="shared" si="46"/>
        <v xml:space="preserve"> </v>
      </c>
      <c r="AF191" s="35" t="s">
        <v>58</v>
      </c>
      <c r="AG191" s="37" t="str">
        <f t="shared" si="47"/>
        <v xml:space="preserve"> </v>
      </c>
      <c r="AH191" s="4">
        <f>IF(OR(AND(D191&gt;=31,D191&lt;40),AND(H191&gt;=31,H191&lt;40),AND(N191&gt;=31,N191&lt;40),AND(R191&gt;=31,R191&lt;40),AND(V191&gt;=31,V191&lt;40),AND(AB191&gt;=31,AB191&lt;40)),IF(AND(OR(COUNTIF(D191:AG191,"=31")&gt;=1,COUNTIF(D191:AG191,"=32")&gt;=1,COUNTIF(D191:AG191,"=33")&gt;=1,COUNTIF(D191:AG191,"=34")&gt;=1,COUNTIF(D191:AG191,"=35")&gt;=1,COUNTIF(D191:AG191,"=36")&gt;=1 ),COUNTIF(D191:AG191,"")=0,COUNTIF(D191:AG191," ")=0,COUNTIF(D191:AG191,"F")=1),CONCATENATE(SUM(EXTRACTNUMBER(D191),EXTRACTNUMBER(F191),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EXTRACTNUMBER(AD191),EXTRACTNUMBER(AF191)),"*"),IF(AND(COUNTIF(D191:AG191,"=34")&gt;=1,COUNTIF(D191:AG191,"=35")&gt;=1,COUNTIF(D191:AG191,"f")=2,COUNTIF(D191:AG191,"")=0,COUNTIF(D191:AG191,"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EXTRACTNUMBER(AD191),EXTRACTNUMBER(AF191)),"*"),IF(AND(COUNTIF(D191:AG191,"=36")&gt;=2,COUNTIF(D191:AG191,"f")=2,COUNTIF(D191:AG191,"")=0,COUNTIF(D191:AG191,"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EXTRACTNUMBER(AD191),EXTRACTNUMBER(AF191)),"*"),SUM(EXTRACTNUMBER(D191),EXTRACTNUMBER(F191),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EXTRACTNUMBER(AD191),EXTRACTNUMBER(AF191))))),SUM(EXTRACTNUMBER(D191),EXTRACTNUMBER(F191),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EXTRACTNUMBER(AD191),EXTRACTNUMBER(AF191)))</f>
        <v>443</v>
      </c>
      <c r="AI191" s="38" t="str">
        <f t="shared" si="32"/>
        <v>PASS</v>
      </c>
      <c r="AJ191" s="28" t="str">
        <f>spellnumber(EXTRACTnUMBER_TOT(AH191))</f>
        <v xml:space="preserve">Four Hundred Forty Three </v>
      </c>
      <c r="AK191" s="9">
        <v>443</v>
      </c>
    </row>
    <row r="192" spans="2:37" ht="15" customHeight="1">
      <c r="B192" s="40">
        <v>223366</v>
      </c>
      <c r="C192" s="42" t="s">
        <v>54</v>
      </c>
      <c r="D192" s="33">
        <v>0</v>
      </c>
      <c r="E192" s="34" t="str">
        <f t="shared" si="34"/>
        <v>F</v>
      </c>
      <c r="F192" s="35" t="s">
        <v>72</v>
      </c>
      <c r="G192" s="34" t="str">
        <f t="shared" si="35"/>
        <v xml:space="preserve"> </v>
      </c>
      <c r="H192" s="36">
        <v>2</v>
      </c>
      <c r="I192" s="34" t="str">
        <f t="shared" si="36"/>
        <v>F</v>
      </c>
      <c r="J192" s="35" t="s">
        <v>68</v>
      </c>
      <c r="K192" s="34" t="str">
        <f t="shared" si="37"/>
        <v xml:space="preserve"> </v>
      </c>
      <c r="L192" s="35" t="s">
        <v>69</v>
      </c>
      <c r="M192" s="34" t="str">
        <f t="shared" si="38"/>
        <v xml:space="preserve"> </v>
      </c>
      <c r="N192" s="36">
        <v>18</v>
      </c>
      <c r="O192" s="34" t="str">
        <f t="shared" si="33"/>
        <v>F</v>
      </c>
      <c r="P192" s="35" t="s">
        <v>70</v>
      </c>
      <c r="Q192" s="37" t="str">
        <f t="shared" si="39"/>
        <v xml:space="preserve"> </v>
      </c>
      <c r="R192" s="33" t="s">
        <v>56</v>
      </c>
      <c r="S192" s="34" t="str">
        <f t="shared" si="40"/>
        <v xml:space="preserve"> </v>
      </c>
      <c r="T192" s="35" t="s">
        <v>70</v>
      </c>
      <c r="U192" s="37" t="str">
        <f t="shared" si="41"/>
        <v xml:space="preserve"> </v>
      </c>
      <c r="V192" s="33">
        <v>40</v>
      </c>
      <c r="W192" s="34" t="str">
        <f t="shared" si="42"/>
        <v>E</v>
      </c>
      <c r="X192" s="35" t="s">
        <v>67</v>
      </c>
      <c r="Y192" s="37" t="str">
        <f t="shared" si="43"/>
        <v xml:space="preserve"> </v>
      </c>
      <c r="Z192" s="35" t="s">
        <v>66</v>
      </c>
      <c r="AA192" s="37" t="str">
        <f t="shared" si="44"/>
        <v xml:space="preserve"> </v>
      </c>
      <c r="AB192" s="33">
        <v>18</v>
      </c>
      <c r="AC192" s="34" t="str">
        <f t="shared" si="45"/>
        <v>F</v>
      </c>
      <c r="AD192" s="35" t="s">
        <v>70</v>
      </c>
      <c r="AE192" s="34" t="str">
        <f t="shared" si="46"/>
        <v xml:space="preserve"> </v>
      </c>
      <c r="AF192" s="35" t="s">
        <v>97</v>
      </c>
      <c r="AG192" s="37" t="str">
        <f t="shared" si="47"/>
        <v xml:space="preserve"> </v>
      </c>
      <c r="AH192" s="4">
        <f>IF(OR(AND(D192&gt;=31,D192&lt;40),AND(H192&gt;=31,H192&lt;40),AND(N192&gt;=31,N192&lt;40),AND(R192&gt;=31,R192&lt;40),AND(V192&gt;=31,V192&lt;40),AND(AB192&gt;=31,AB192&lt;40)),IF(AND(OR(COUNTIF(D192:AG192,"=31")&gt;=1,COUNTIF(D192:AG192,"=32")&gt;=1,COUNTIF(D192:AG192,"=33")&gt;=1,COUNTIF(D192:AG192,"=34")&gt;=1,COUNTIF(D192:AG192,"=35")&gt;=1,COUNTIF(D192:AG192,"=36")&gt;=1 ),COUNTIF(D192:AG192,"")=0,COUNTIF(D192:AG192," ")=0,COUNTIF(D192:AG192,"F")=1),CONCATENATE(SUM(EXTRACTNUMBER(D192),EXTRACTNUMBER(F192),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EXTRACTNUMBER(AD192),EXTRACTNUMBER(AF192)),"*"),IF(AND(COUNTIF(D192:AG192,"=34")&gt;=1,COUNTIF(D192:AG192,"=35")&gt;=1,COUNTIF(D192:AG192,"f")=2,COUNTIF(D192:AG192,"")=0,COUNTIF(D192:AG192,"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EXTRACTNUMBER(AD192),EXTRACTNUMBER(AF192)),"*"),IF(AND(COUNTIF(D192:AG192,"=36")&gt;=2,COUNTIF(D192:AG192,"f")=2,COUNTIF(D192:AG192,"")=0,COUNTIF(D192:AG192,"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EXTRACTNUMBER(AD192),EXTRACTNUMBER(AF192)),"*"),SUM(EXTRACTNUMBER(D192),EXTRACTNUMBER(F192),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EXTRACTNUMBER(AD192),EXTRACTNUMBER(AF192))))),SUM(EXTRACTNUMBER(D192),EXTRACTNUMBER(F192),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EXTRACTNUMBER(AD192),EXTRACTNUMBER(AF192)))</f>
        <v>288</v>
      </c>
      <c r="AI192" s="38" t="str">
        <f t="shared" si="32"/>
        <v>FAIL</v>
      </c>
      <c r="AJ192" s="28" t="str">
        <f>spellnumber(EXTRACTnUMBER_TOT(AH192))</f>
        <v xml:space="preserve">Two Hundred Eighty Eight </v>
      </c>
      <c r="AK192" s="9">
        <v>288</v>
      </c>
    </row>
    <row r="193" spans="2:37" ht="15" customHeight="1">
      <c r="B193" s="40">
        <v>223367</v>
      </c>
      <c r="C193" s="42" t="s">
        <v>35</v>
      </c>
      <c r="D193" s="33" t="s">
        <v>80</v>
      </c>
      <c r="E193" s="34" t="str">
        <f t="shared" si="34"/>
        <v xml:space="preserve"> </v>
      </c>
      <c r="F193" s="35" t="s">
        <v>68</v>
      </c>
      <c r="G193" s="34" t="str">
        <f t="shared" si="35"/>
        <v xml:space="preserve"> </v>
      </c>
      <c r="H193" s="36" t="s">
        <v>56</v>
      </c>
      <c r="I193" s="34" t="str">
        <f t="shared" si="36"/>
        <v xml:space="preserve"> </v>
      </c>
      <c r="J193" s="35" t="s">
        <v>74</v>
      </c>
      <c r="K193" s="34" t="str">
        <f t="shared" si="37"/>
        <v xml:space="preserve"> </v>
      </c>
      <c r="L193" s="35" t="s">
        <v>74</v>
      </c>
      <c r="M193" s="34" t="str">
        <f t="shared" si="38"/>
        <v xml:space="preserve"> </v>
      </c>
      <c r="N193" s="36" t="s">
        <v>64</v>
      </c>
      <c r="O193" s="34" t="str">
        <f t="shared" si="33"/>
        <v xml:space="preserve"> </v>
      </c>
      <c r="P193" s="35" t="s">
        <v>74</v>
      </c>
      <c r="Q193" s="37" t="str">
        <f t="shared" si="39"/>
        <v xml:space="preserve"> </v>
      </c>
      <c r="R193" s="33" t="s">
        <v>79</v>
      </c>
      <c r="S193" s="34" t="str">
        <f t="shared" si="40"/>
        <v xml:space="preserve"> </v>
      </c>
      <c r="T193" s="35" t="s">
        <v>74</v>
      </c>
      <c r="U193" s="37" t="str">
        <f t="shared" si="41"/>
        <v xml:space="preserve"> </v>
      </c>
      <c r="V193" s="33" t="s">
        <v>78</v>
      </c>
      <c r="W193" s="34" t="str">
        <f t="shared" si="42"/>
        <v xml:space="preserve"> </v>
      </c>
      <c r="X193" s="35" t="s">
        <v>70</v>
      </c>
      <c r="Y193" s="37" t="str">
        <f t="shared" si="43"/>
        <v xml:space="preserve"> </v>
      </c>
      <c r="Z193" s="35" t="s">
        <v>71</v>
      </c>
      <c r="AA193" s="37" t="str">
        <f t="shared" si="44"/>
        <v xml:space="preserve"> </v>
      </c>
      <c r="AB193" s="33">
        <v>45</v>
      </c>
      <c r="AC193" s="34" t="str">
        <f t="shared" si="45"/>
        <v/>
      </c>
      <c r="AD193" s="35" t="s">
        <v>74</v>
      </c>
      <c r="AE193" s="34" t="str">
        <f t="shared" si="46"/>
        <v xml:space="preserve"> </v>
      </c>
      <c r="AF193" s="35" t="s">
        <v>58</v>
      </c>
      <c r="AG193" s="37" t="str">
        <f t="shared" si="47"/>
        <v xml:space="preserve"> </v>
      </c>
      <c r="AH193" s="4">
        <f>IF(OR(AND(D193&gt;=31,D193&lt;40),AND(H193&gt;=31,H193&lt;40),AND(N193&gt;=31,N193&lt;40),AND(R193&gt;=31,R193&lt;40),AND(V193&gt;=31,V193&lt;40),AND(AB193&gt;=31,AB193&lt;40)),IF(AND(OR(COUNTIF(D193:AG193,"=31")&gt;=1,COUNTIF(D193:AG193,"=32")&gt;=1,COUNTIF(D193:AG193,"=33")&gt;=1,COUNTIF(D193:AG193,"=34")&gt;=1,COUNTIF(D193:AG193,"=35")&gt;=1,COUNTIF(D193:AG193,"=36")&gt;=1 ),COUNTIF(D193:AG193,"")=0,COUNTIF(D193:AG193," ")=0,COUNTIF(D193:AG193,"F")=1),CONCATENATE(SUM(EXTRACTNUMBER(D193),EXTRACTNUMBER(F193),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EXTRACTNUMBER(AD193),EXTRACTNUMBER(AF193)),"*"),IF(AND(COUNTIF(D193:AG193,"=34")&gt;=1,COUNTIF(D193:AG193,"=35")&gt;=1,COUNTIF(D193:AG193,"f")=2,COUNTIF(D193:AG193,"")=0,COUNTIF(D193:AG193,"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EXTRACTNUMBER(AD193),EXTRACTNUMBER(AF193)),"*"),IF(AND(COUNTIF(D193:AG193,"=36")&gt;=2,COUNTIF(D193:AG193,"f")=2,COUNTIF(D193:AG193,"")=0,COUNTIF(D193:AG193,"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EXTRACTNUMBER(AD193),EXTRACTNUMBER(AF193)),"*"),SUM(EXTRACTNUMBER(D193),EXTRACTNUMBER(F193),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EXTRACTNUMBER(AD193),EXTRACTNUMBER(AF193))))),SUM(EXTRACTNUMBER(D193),EXTRACTNUMBER(F193),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EXTRACTNUMBER(AD193),EXTRACTNUMBER(AF193)))</f>
        <v>483</v>
      </c>
      <c r="AI193" s="38" t="str">
        <f t="shared" si="32"/>
        <v>PASS</v>
      </c>
      <c r="AJ193" s="28" t="str">
        <f>spellnumber(EXTRACTnUMBER_TOT(AH193))</f>
        <v xml:space="preserve">Four Hundred Eighty Three </v>
      </c>
      <c r="AK193" s="9">
        <v>483</v>
      </c>
    </row>
    <row r="194" spans="2:37" ht="15" customHeight="1">
      <c r="B194" s="40">
        <v>223368</v>
      </c>
      <c r="C194" s="42" t="s">
        <v>36</v>
      </c>
      <c r="D194" s="33">
        <v>17</v>
      </c>
      <c r="E194" s="34" t="str">
        <f t="shared" si="34"/>
        <v>F</v>
      </c>
      <c r="F194" s="35" t="s">
        <v>66</v>
      </c>
      <c r="G194" s="34" t="str">
        <f t="shared" si="35"/>
        <v xml:space="preserve"> </v>
      </c>
      <c r="H194" s="36">
        <v>24</v>
      </c>
      <c r="I194" s="34" t="str">
        <f t="shared" si="36"/>
        <v>F</v>
      </c>
      <c r="J194" s="35" t="s">
        <v>71</v>
      </c>
      <c r="K194" s="34" t="str">
        <f t="shared" si="37"/>
        <v xml:space="preserve"> </v>
      </c>
      <c r="L194" s="35" t="s">
        <v>71</v>
      </c>
      <c r="M194" s="34" t="str">
        <f t="shared" si="38"/>
        <v xml:space="preserve"> </v>
      </c>
      <c r="N194" s="36" t="s">
        <v>56</v>
      </c>
      <c r="O194" s="34" t="str">
        <f t="shared" si="33"/>
        <v xml:space="preserve"> </v>
      </c>
      <c r="P194" s="35" t="s">
        <v>74</v>
      </c>
      <c r="Q194" s="37" t="str">
        <f t="shared" si="39"/>
        <v xml:space="preserve"> </v>
      </c>
      <c r="R194" s="33" t="s">
        <v>58</v>
      </c>
      <c r="S194" s="34" t="str">
        <f t="shared" si="40"/>
        <v xml:space="preserve"> </v>
      </c>
      <c r="T194" s="35" t="s">
        <v>74</v>
      </c>
      <c r="U194" s="37" t="str">
        <f t="shared" si="41"/>
        <v xml:space="preserve"> </v>
      </c>
      <c r="V194" s="33" t="s">
        <v>56</v>
      </c>
      <c r="W194" s="34" t="str">
        <f t="shared" si="42"/>
        <v xml:space="preserve"> </v>
      </c>
      <c r="X194" s="35" t="s">
        <v>71</v>
      </c>
      <c r="Y194" s="37" t="str">
        <f t="shared" si="43"/>
        <v xml:space="preserve"> </v>
      </c>
      <c r="Z194" s="35" t="s">
        <v>69</v>
      </c>
      <c r="AA194" s="37" t="str">
        <f t="shared" si="44"/>
        <v xml:space="preserve"> </v>
      </c>
      <c r="AB194" s="33" t="s">
        <v>56</v>
      </c>
      <c r="AC194" s="34" t="str">
        <f t="shared" si="45"/>
        <v xml:space="preserve"> </v>
      </c>
      <c r="AD194" s="35" t="s">
        <v>74</v>
      </c>
      <c r="AE194" s="34" t="str">
        <f t="shared" si="46"/>
        <v xml:space="preserve"> </v>
      </c>
      <c r="AF194" s="35" t="s">
        <v>56</v>
      </c>
      <c r="AG194" s="37" t="str">
        <f t="shared" si="47"/>
        <v xml:space="preserve"> </v>
      </c>
      <c r="AH194" s="4">
        <f>IF(OR(AND(D194&gt;=31,D194&lt;40),AND(H194&gt;=31,H194&lt;40),AND(N194&gt;=31,N194&lt;40),AND(R194&gt;=31,R194&lt;40),AND(V194&gt;=31,V194&lt;40),AND(AB194&gt;=31,AB194&lt;40)),IF(AND(OR(COUNTIF(D194:AG194,"=31")&gt;=1,COUNTIF(D194:AG194,"=32")&gt;=1,COUNTIF(D194:AG194,"=33")&gt;=1,COUNTIF(D194:AG194,"=34")&gt;=1,COUNTIF(D194:AG194,"=35")&gt;=1,COUNTIF(D194:AG194,"=36")&gt;=1 ),COUNTIF(D194:AG194,"")=0,COUNTIF(D194:AG194," ")=0,COUNTIF(D194:AG194,"F")=1),CONCATENATE(SUM(EXTRACTNUMBER(D194),EXTRACTNUMBER(F194),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EXTRACTNUMBER(AD194),EXTRACTNUMBER(AF194)),"*"),IF(AND(COUNTIF(D194:AG194,"=34")&gt;=1,COUNTIF(D194:AG194,"=35")&gt;=1,COUNTIF(D194:AG194,"f")=2,COUNTIF(D194:AG194,"")=0,COUNTIF(D194:AG194,"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EXTRACTNUMBER(AD194),EXTRACTNUMBER(AF194)),"*"),IF(AND(COUNTIF(D194:AG194,"=36")&gt;=2,COUNTIF(D194:AG194,"f")=2,COUNTIF(D194:AG194,"")=0,COUNTIF(D194:AG194,"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EXTRACTNUMBER(AD194),EXTRACTNUMBER(AF194)),"*"),SUM(EXTRACTNUMBER(D194),EXTRACTNUMBER(F194),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EXTRACTNUMBER(AD194),EXTRACTNUMBER(AF194))))),SUM(EXTRACTNUMBER(D194),EXTRACTNUMBER(F194),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EXTRACTNUMBER(AD194),EXTRACTNUMBER(AF194)))</f>
        <v>391</v>
      </c>
      <c r="AI194" s="38" t="str">
        <f t="shared" si="32"/>
        <v>FAIL</v>
      </c>
      <c r="AJ194" s="28" t="str">
        <f>spellnumber(EXTRACTnUMBER_TOT(AH194))</f>
        <v xml:space="preserve">Three Hundred NinetyOne </v>
      </c>
      <c r="AK194" s="9">
        <v>391</v>
      </c>
    </row>
    <row r="195" spans="2:37" ht="15" customHeight="1">
      <c r="B195" s="40">
        <v>223369</v>
      </c>
      <c r="C195" s="41" t="s">
        <v>37</v>
      </c>
      <c r="D195" s="33">
        <v>3</v>
      </c>
      <c r="E195" s="34" t="str">
        <f t="shared" si="34"/>
        <v>F</v>
      </c>
      <c r="F195" s="35" t="s">
        <v>71</v>
      </c>
      <c r="G195" s="34" t="str">
        <f t="shared" si="35"/>
        <v xml:space="preserve"> </v>
      </c>
      <c r="H195" s="36">
        <v>27</v>
      </c>
      <c r="I195" s="34" t="str">
        <f t="shared" si="36"/>
        <v>F</v>
      </c>
      <c r="J195" s="35" t="s">
        <v>74</v>
      </c>
      <c r="K195" s="34" t="str">
        <f t="shared" si="37"/>
        <v xml:space="preserve"> </v>
      </c>
      <c r="L195" s="35" t="s">
        <v>71</v>
      </c>
      <c r="M195" s="34" t="str">
        <f t="shared" si="38"/>
        <v xml:space="preserve"> </v>
      </c>
      <c r="N195" s="36" t="s">
        <v>56</v>
      </c>
      <c r="O195" s="34" t="str">
        <f t="shared" si="33"/>
        <v xml:space="preserve"> </v>
      </c>
      <c r="P195" s="35" t="s">
        <v>69</v>
      </c>
      <c r="Q195" s="37" t="str">
        <f t="shared" si="39"/>
        <v xml:space="preserve"> </v>
      </c>
      <c r="R195" s="33" t="s">
        <v>56</v>
      </c>
      <c r="S195" s="34" t="str">
        <f t="shared" si="40"/>
        <v xml:space="preserve"> </v>
      </c>
      <c r="T195" s="35" t="s">
        <v>74</v>
      </c>
      <c r="U195" s="37" t="str">
        <f t="shared" si="41"/>
        <v xml:space="preserve"> </v>
      </c>
      <c r="V195" s="33" t="s">
        <v>65</v>
      </c>
      <c r="W195" s="34" t="str">
        <f t="shared" si="42"/>
        <v xml:space="preserve"> </v>
      </c>
      <c r="X195" s="35" t="s">
        <v>70</v>
      </c>
      <c r="Y195" s="37" t="str">
        <f t="shared" si="43"/>
        <v xml:space="preserve"> </v>
      </c>
      <c r="Z195" s="35" t="s">
        <v>72</v>
      </c>
      <c r="AA195" s="37" t="str">
        <f t="shared" si="44"/>
        <v xml:space="preserve"> </v>
      </c>
      <c r="AB195" s="33" t="s">
        <v>56</v>
      </c>
      <c r="AC195" s="34" t="str">
        <f t="shared" si="45"/>
        <v xml:space="preserve"> </v>
      </c>
      <c r="AD195" s="35" t="s">
        <v>71</v>
      </c>
      <c r="AE195" s="34" t="str">
        <f t="shared" si="46"/>
        <v xml:space="preserve"> </v>
      </c>
      <c r="AF195" s="35" t="s">
        <v>57</v>
      </c>
      <c r="AG195" s="37" t="str">
        <f t="shared" si="47"/>
        <v xml:space="preserve"> </v>
      </c>
      <c r="AH195" s="4">
        <f>IF(OR(AND(D195&gt;=31,D195&lt;40),AND(H195&gt;=31,H195&lt;40),AND(N195&gt;=31,N195&lt;40),AND(R195&gt;=31,R195&lt;40),AND(V195&gt;=31,V195&lt;40),AND(AB195&gt;=31,AB195&lt;40)),IF(AND(OR(COUNTIF(D195:AG195,"=31")&gt;=1,COUNTIF(D195:AG195,"=32")&gt;=1,COUNTIF(D195:AG195,"=33")&gt;=1,COUNTIF(D195:AG195,"=34")&gt;=1,COUNTIF(D195:AG195,"=35")&gt;=1,COUNTIF(D195:AG195,"=36")&gt;=1 ),COUNTIF(D195:AG195,"")=0,COUNTIF(D195:AG195," ")=0,COUNTIF(D195:AG195,"F")=1),CONCATENATE(SUM(EXTRACTNUMBER(D195),EXTRACTNUMBER(F195),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EXTRACTNUMBER(AD195),EXTRACTNUMBER(AF195)),"*"),IF(AND(COUNTIF(D195:AG195,"=34")&gt;=1,COUNTIF(D195:AG195,"=35")&gt;=1,COUNTIF(D195:AG195,"f")=2,COUNTIF(D195:AG195,"")=0,COUNTIF(D195:AG195,"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EXTRACTNUMBER(AD195),EXTRACTNUMBER(AF195)),"*"),IF(AND(COUNTIF(D195:AG195,"=36")&gt;=2,COUNTIF(D195:AG195,"f")=2,COUNTIF(D195:AG195,"")=0,COUNTIF(D195:AG195,"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EXTRACTNUMBER(AD195),EXTRACTNUMBER(AF195)),"*"),SUM(EXTRACTNUMBER(D195),EXTRACTNUMBER(F195),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EXTRACTNUMBER(AD195),EXTRACTNUMBER(AF195))))),SUM(EXTRACTNUMBER(D195),EXTRACTNUMBER(F195),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EXTRACTNUMBER(AD195),EXTRACTNUMBER(AF195)))</f>
        <v>389</v>
      </c>
      <c r="AI195" s="38" t="str">
        <f t="shared" si="32"/>
        <v>FAIL</v>
      </c>
      <c r="AJ195" s="28" t="str">
        <f>spellnumber(EXTRACTnUMBER_TOT(AH195))</f>
        <v xml:space="preserve">Three Hundred Eighty Nine </v>
      </c>
      <c r="AK195" s="9">
        <v>389</v>
      </c>
    </row>
    <row r="196" spans="2:37" ht="15" customHeight="1">
      <c r="B196" s="40">
        <v>223370</v>
      </c>
      <c r="C196" s="41" t="s">
        <v>38</v>
      </c>
      <c r="D196" s="33" t="s">
        <v>414</v>
      </c>
      <c r="E196" s="34" t="str">
        <f t="shared" si="34"/>
        <v xml:space="preserve"> </v>
      </c>
      <c r="F196" s="35" t="s">
        <v>66</v>
      </c>
      <c r="G196" s="34" t="str">
        <f t="shared" si="35"/>
        <v xml:space="preserve"> </v>
      </c>
      <c r="H196" s="36" t="s">
        <v>103</v>
      </c>
      <c r="I196" s="34" t="str">
        <f t="shared" si="36"/>
        <v/>
      </c>
      <c r="J196" s="35" t="s">
        <v>72</v>
      </c>
      <c r="K196" s="34" t="str">
        <f t="shared" si="37"/>
        <v xml:space="preserve"> </v>
      </c>
      <c r="L196" s="35" t="s">
        <v>71</v>
      </c>
      <c r="M196" s="34" t="str">
        <f t="shared" si="38"/>
        <v xml:space="preserve"> </v>
      </c>
      <c r="N196" s="36" t="s">
        <v>56</v>
      </c>
      <c r="O196" s="34" t="str">
        <f t="shared" si="33"/>
        <v xml:space="preserve"> </v>
      </c>
      <c r="P196" s="35" t="s">
        <v>72</v>
      </c>
      <c r="Q196" s="37" t="str">
        <f t="shared" si="39"/>
        <v xml:space="preserve"> </v>
      </c>
      <c r="R196" s="33" t="s">
        <v>86</v>
      </c>
      <c r="S196" s="34" t="str">
        <f t="shared" si="40"/>
        <v xml:space="preserve"> </v>
      </c>
      <c r="T196" s="35" t="s">
        <v>72</v>
      </c>
      <c r="U196" s="37" t="str">
        <f t="shared" si="41"/>
        <v xml:space="preserve"> </v>
      </c>
      <c r="V196" s="33" t="s">
        <v>61</v>
      </c>
      <c r="W196" s="34" t="str">
        <f t="shared" si="42"/>
        <v xml:space="preserve"> </v>
      </c>
      <c r="X196" s="35" t="s">
        <v>74</v>
      </c>
      <c r="Y196" s="37" t="str">
        <f t="shared" si="43"/>
        <v xml:space="preserve"> </v>
      </c>
      <c r="Z196" s="35" t="s">
        <v>70</v>
      </c>
      <c r="AA196" s="37" t="str">
        <f t="shared" si="44"/>
        <v xml:space="preserve"> </v>
      </c>
      <c r="AB196" s="33" t="s">
        <v>61</v>
      </c>
      <c r="AC196" s="34" t="str">
        <f t="shared" si="45"/>
        <v xml:space="preserve"> </v>
      </c>
      <c r="AD196" s="35" t="s">
        <v>72</v>
      </c>
      <c r="AE196" s="34" t="str">
        <f t="shared" si="46"/>
        <v xml:space="preserve"> </v>
      </c>
      <c r="AF196" s="35" t="s">
        <v>101</v>
      </c>
      <c r="AG196" s="37" t="str">
        <f t="shared" si="47"/>
        <v xml:space="preserve"> </v>
      </c>
      <c r="AH196" s="4">
        <f>IF(OR(AND(D196&gt;=31,D196&lt;40),AND(H196&gt;=31,H196&lt;40),AND(N196&gt;=31,N196&lt;40),AND(R196&gt;=31,R196&lt;40),AND(V196&gt;=31,V196&lt;40),AND(AB196&gt;=31,AB196&lt;40)),IF(AND(OR(COUNTIF(D196:AG196,"=31")&gt;=1,COUNTIF(D196:AG196,"=32")&gt;=1,COUNTIF(D196:AG196,"=33")&gt;=1,COUNTIF(D196:AG196,"=34")&gt;=1,COUNTIF(D196:AG196,"=35")&gt;=1,COUNTIF(D196:AG196,"=36")&gt;=1 ),COUNTIF(D196:AG196,"")=0,COUNTIF(D196:AG196," ")=0,COUNTIF(D196:AG196,"F")=1),CONCATENATE(SUM(EXTRACTNUMBER(D196),EXTRACTNUMBER(F196),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EXTRACTNUMBER(AD196),EXTRACTNUMBER(AF196)),"*"),IF(AND(COUNTIF(D196:AG196,"=34")&gt;=1,COUNTIF(D196:AG196,"=35")&gt;=1,COUNTIF(D196:AG196,"f")=2,COUNTIF(D196:AG196,"")=0,COUNTIF(D196:AG196,"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EXTRACTNUMBER(AD196),EXTRACTNUMBER(AF196)),"*"),IF(AND(COUNTIF(D196:AG196,"=36")&gt;=2,COUNTIF(D196:AG196,"f")=2,COUNTIF(D196:AG196,"")=0,COUNTIF(D196:AG196,"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EXTRACTNUMBER(AD196),EXTRACTNUMBER(AF196)),"*"),SUM(EXTRACTNUMBER(D196),EXTRACTNUMBER(F196),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EXTRACTNUMBER(AD196),EXTRACTNUMBER(AF196))))),SUM(EXTRACTNUMBER(D196),EXTRACTNUMBER(F196),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EXTRACTNUMBER(AD196),EXTRACTNUMBER(AF196)))</f>
        <v>472</v>
      </c>
      <c r="AI196" s="38" t="str">
        <f t="shared" si="32"/>
        <v>ABSENT</v>
      </c>
      <c r="AJ196" s="28" t="str">
        <f>spellnumber(EXTRACTnUMBER_TOT(AH196))</f>
        <v xml:space="preserve">Four Hundred Seventy Two </v>
      </c>
      <c r="AK196" s="9">
        <v>472</v>
      </c>
    </row>
    <row r="197" spans="2:37" ht="15" customHeight="1">
      <c r="B197" s="40">
        <v>223371</v>
      </c>
      <c r="C197" s="41" t="s">
        <v>39</v>
      </c>
      <c r="D197" s="33" t="s">
        <v>95</v>
      </c>
      <c r="E197" s="34" t="str">
        <f t="shared" si="34"/>
        <v xml:space="preserve"> </v>
      </c>
      <c r="F197" s="35" t="s">
        <v>74</v>
      </c>
      <c r="G197" s="34" t="str">
        <f t="shared" si="35"/>
        <v xml:space="preserve"> </v>
      </c>
      <c r="H197" s="36" t="s">
        <v>103</v>
      </c>
      <c r="I197" s="34" t="str">
        <f t="shared" si="36"/>
        <v/>
      </c>
      <c r="J197" s="35" t="s">
        <v>74</v>
      </c>
      <c r="K197" s="34" t="str">
        <f t="shared" si="37"/>
        <v xml:space="preserve"> </v>
      </c>
      <c r="L197" s="35" t="s">
        <v>75</v>
      </c>
      <c r="M197" s="34" t="str">
        <f t="shared" si="38"/>
        <v xml:space="preserve"> </v>
      </c>
      <c r="N197" s="36" t="s">
        <v>64</v>
      </c>
      <c r="O197" s="34" t="str">
        <f t="shared" si="33"/>
        <v xml:space="preserve"> </v>
      </c>
      <c r="P197" s="35" t="s">
        <v>75</v>
      </c>
      <c r="Q197" s="37" t="str">
        <f t="shared" si="39"/>
        <v xml:space="preserve"> </v>
      </c>
      <c r="R197" s="33" t="s">
        <v>56</v>
      </c>
      <c r="S197" s="34" t="str">
        <f t="shared" si="40"/>
        <v xml:space="preserve"> </v>
      </c>
      <c r="T197" s="35" t="s">
        <v>75</v>
      </c>
      <c r="U197" s="37" t="str">
        <f t="shared" si="41"/>
        <v xml:space="preserve"> </v>
      </c>
      <c r="V197" s="33" t="s">
        <v>56</v>
      </c>
      <c r="W197" s="34" t="str">
        <f t="shared" si="42"/>
        <v xml:space="preserve"> </v>
      </c>
      <c r="X197" s="35" t="s">
        <v>72</v>
      </c>
      <c r="Y197" s="37" t="str">
        <f t="shared" si="43"/>
        <v xml:space="preserve"> </v>
      </c>
      <c r="Z197" s="35" t="s">
        <v>74</v>
      </c>
      <c r="AA197" s="37" t="str">
        <f t="shared" si="44"/>
        <v xml:space="preserve"> </v>
      </c>
      <c r="AB197" s="33" t="s">
        <v>103</v>
      </c>
      <c r="AC197" s="34" t="str">
        <f t="shared" si="45"/>
        <v/>
      </c>
      <c r="AD197" s="35" t="s">
        <v>75</v>
      </c>
      <c r="AE197" s="34" t="str">
        <f t="shared" si="46"/>
        <v xml:space="preserve"> </v>
      </c>
      <c r="AF197" s="35" t="s">
        <v>57</v>
      </c>
      <c r="AG197" s="37" t="str">
        <f t="shared" si="47"/>
        <v xml:space="preserve"> </v>
      </c>
      <c r="AH197" s="4">
        <f>IF(OR(AND(D197&gt;=31,D197&lt;40),AND(H197&gt;=31,H197&lt;40),AND(N197&gt;=31,N197&lt;40),AND(R197&gt;=31,R197&lt;40),AND(V197&gt;=31,V197&lt;40),AND(AB197&gt;=31,AB197&lt;40)),IF(AND(OR(COUNTIF(D197:AG197,"=31")&gt;=1,COUNTIF(D197:AG197,"=32")&gt;=1,COUNTIF(D197:AG197,"=33")&gt;=1,COUNTIF(D197:AG197,"=34")&gt;=1,COUNTIF(D197:AG197,"=35")&gt;=1,COUNTIF(D197:AG197,"=36")&gt;=1 ),COUNTIF(D197:AG197,"")=0,COUNTIF(D197:AG197," ")=0,COUNTIF(D197:AG197,"F")=1),CONCATENATE(SUM(EXTRACTNUMBER(D197),EXTRACTNUMBER(F197),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EXTRACTNUMBER(AD197),EXTRACTNUMBER(AF197)),"*"),IF(AND(COUNTIF(D197:AG197,"=34")&gt;=1,COUNTIF(D197:AG197,"=35")&gt;=1,COUNTIF(D197:AG197,"f")=2,COUNTIF(D197:AG197,"")=0,COUNTIF(D197:AG197,"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EXTRACTNUMBER(AD197),EXTRACTNUMBER(AF197)),"*"),IF(AND(COUNTIF(D197:AG197,"=36")&gt;=2,COUNTIF(D197:AG197,"f")=2,COUNTIF(D197:AG197,"")=0,COUNTIF(D197:AG197,"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EXTRACTNUMBER(AD197),EXTRACTNUMBER(AF197)),"*"),SUM(EXTRACTNUMBER(D197),EXTRACTNUMBER(F197),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EXTRACTNUMBER(AD197),EXTRACTNUMBER(AF197))))),SUM(EXTRACTNUMBER(D197),EXTRACTNUMBER(F197),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EXTRACTNUMBER(AD197),EXTRACTNUMBER(AF197)))</f>
        <v>403</v>
      </c>
      <c r="AI197" s="38" t="str">
        <f t="shared" si="32"/>
        <v>ABSENT</v>
      </c>
      <c r="AJ197" s="28" t="str">
        <f>spellnumber(EXTRACTnUMBER_TOT(AH197))</f>
        <v xml:space="preserve">Four Hundred Three </v>
      </c>
      <c r="AK197" s="9">
        <v>403</v>
      </c>
    </row>
    <row r="198" spans="2:37" ht="15" customHeight="1">
      <c r="B198" s="40">
        <v>223372</v>
      </c>
      <c r="C198" s="42" t="s">
        <v>40</v>
      </c>
      <c r="D198" s="33">
        <v>17</v>
      </c>
      <c r="E198" s="34" t="str">
        <f t="shared" si="34"/>
        <v>F</v>
      </c>
      <c r="F198" s="35" t="s">
        <v>67</v>
      </c>
      <c r="G198" s="34" t="str">
        <f t="shared" si="35"/>
        <v xml:space="preserve"> </v>
      </c>
      <c r="H198" s="36" t="s">
        <v>65</v>
      </c>
      <c r="I198" s="34" t="str">
        <f t="shared" si="36"/>
        <v xml:space="preserve"> </v>
      </c>
      <c r="J198" s="35" t="s">
        <v>72</v>
      </c>
      <c r="K198" s="34" t="str">
        <f t="shared" si="37"/>
        <v xml:space="preserve"> </v>
      </c>
      <c r="L198" s="35" t="s">
        <v>70</v>
      </c>
      <c r="M198" s="34" t="str">
        <f t="shared" si="38"/>
        <v xml:space="preserve"> </v>
      </c>
      <c r="N198" s="36" t="s">
        <v>56</v>
      </c>
      <c r="O198" s="34" t="str">
        <f t="shared" si="33"/>
        <v xml:space="preserve"> </v>
      </c>
      <c r="P198" s="35" t="s">
        <v>72</v>
      </c>
      <c r="Q198" s="37" t="str">
        <f t="shared" si="39"/>
        <v xml:space="preserve"> </v>
      </c>
      <c r="R198" s="33" t="s">
        <v>64</v>
      </c>
      <c r="S198" s="34" t="str">
        <f t="shared" si="40"/>
        <v xml:space="preserve"> </v>
      </c>
      <c r="T198" s="35" t="s">
        <v>72</v>
      </c>
      <c r="U198" s="37" t="str">
        <f t="shared" si="41"/>
        <v xml:space="preserve"> </v>
      </c>
      <c r="V198" s="33" t="s">
        <v>62</v>
      </c>
      <c r="W198" s="34" t="str">
        <f t="shared" si="42"/>
        <v xml:space="preserve"> </v>
      </c>
      <c r="X198" s="35" t="s">
        <v>69</v>
      </c>
      <c r="Y198" s="37" t="str">
        <f t="shared" si="43"/>
        <v xml:space="preserve"> </v>
      </c>
      <c r="Z198" s="35" t="s">
        <v>69</v>
      </c>
      <c r="AA198" s="37" t="str">
        <f t="shared" si="44"/>
        <v xml:space="preserve"> </v>
      </c>
      <c r="AB198" s="33" t="s">
        <v>56</v>
      </c>
      <c r="AC198" s="34" t="str">
        <f t="shared" si="45"/>
        <v xml:space="preserve"> </v>
      </c>
      <c r="AD198" s="35" t="s">
        <v>72</v>
      </c>
      <c r="AE198" s="34" t="str">
        <f t="shared" si="46"/>
        <v xml:space="preserve"> </v>
      </c>
      <c r="AF198" s="35" t="s">
        <v>100</v>
      </c>
      <c r="AG198" s="37" t="str">
        <f t="shared" si="47"/>
        <v xml:space="preserve"> </v>
      </c>
      <c r="AH198" s="4">
        <f>IF(OR(AND(D198&gt;=31,D198&lt;40),AND(H198&gt;=31,H198&lt;40),AND(N198&gt;=31,N198&lt;40),AND(R198&gt;=31,R198&lt;40),AND(V198&gt;=31,V198&lt;40),AND(AB198&gt;=31,AB198&lt;40)),IF(AND(OR(COUNTIF(D198:AG198,"=31")&gt;=1,COUNTIF(D198:AG198,"=32")&gt;=1,COUNTIF(D198:AG198,"=33")&gt;=1,COUNTIF(D198:AG198,"=34")&gt;=1,COUNTIF(D198:AG198,"=35")&gt;=1,COUNTIF(D198:AG198,"=36")&gt;=1 ),COUNTIF(D198:AG198,"")=0,COUNTIF(D198:AG198," ")=0,COUNTIF(D198:AG198,"F")=1),CONCATENATE(SUM(EXTRACTNUMBER(D198),EXTRACTNUMBER(F198),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EXTRACTNUMBER(AD198),EXTRACTNUMBER(AF198)),"*"),IF(AND(COUNTIF(D198:AG198,"=34")&gt;=1,COUNTIF(D198:AG198,"=35")&gt;=1,COUNTIF(D198:AG198,"f")=2,COUNTIF(D198:AG198,"")=0,COUNTIF(D198:AG198,"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EXTRACTNUMBER(AD198),EXTRACTNUMBER(AF198)),"*"),IF(AND(COUNTIF(D198:AG198,"=36")&gt;=2,COUNTIF(D198:AG198,"f")=2,COUNTIF(D198:AG198,"")=0,COUNTIF(D198:AG198,"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EXTRACTNUMBER(AD198),EXTRACTNUMBER(AF198)),"*"),SUM(EXTRACTNUMBER(D198),EXTRACTNUMBER(F198),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EXTRACTNUMBER(AD198),EXTRACTNUMBER(AF198))))),SUM(EXTRACTNUMBER(D198),EXTRACTNUMBER(F198),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EXTRACTNUMBER(AD198),EXTRACTNUMBER(AF198)))</f>
        <v>413</v>
      </c>
      <c r="AI198" s="38" t="str">
        <f t="shared" si="32"/>
        <v>FAIL</v>
      </c>
      <c r="AJ198" s="28" t="str">
        <f>spellnumber(EXTRACTnUMBER_TOT(AH198))</f>
        <v xml:space="preserve">Four Hundred Thirteen </v>
      </c>
      <c r="AK198" s="9">
        <v>413</v>
      </c>
    </row>
    <row r="199" spans="2:37" ht="15" customHeight="1">
      <c r="B199" s="40">
        <v>223373</v>
      </c>
      <c r="C199" s="42" t="s">
        <v>312</v>
      </c>
      <c r="D199" s="33" t="s">
        <v>59</v>
      </c>
      <c r="E199" s="34" t="str">
        <f t="shared" si="34"/>
        <v xml:space="preserve"> </v>
      </c>
      <c r="F199" s="35" t="s">
        <v>72</v>
      </c>
      <c r="G199" s="34" t="str">
        <f t="shared" si="35"/>
        <v xml:space="preserve"> </v>
      </c>
      <c r="H199" s="36">
        <v>1</v>
      </c>
      <c r="I199" s="34" t="str">
        <f t="shared" si="36"/>
        <v>F</v>
      </c>
      <c r="J199" s="35" t="s">
        <v>74</v>
      </c>
      <c r="K199" s="34" t="str">
        <f t="shared" si="37"/>
        <v xml:space="preserve"> </v>
      </c>
      <c r="L199" s="35" t="s">
        <v>71</v>
      </c>
      <c r="M199" s="34" t="str">
        <f t="shared" si="38"/>
        <v xml:space="preserve"> </v>
      </c>
      <c r="N199" s="36" t="s">
        <v>56</v>
      </c>
      <c r="O199" s="34" t="str">
        <f t="shared" si="33"/>
        <v xml:space="preserve"> </v>
      </c>
      <c r="P199" s="35" t="s">
        <v>74</v>
      </c>
      <c r="Q199" s="37" t="str">
        <f t="shared" si="39"/>
        <v xml:space="preserve"> </v>
      </c>
      <c r="R199" s="33" t="s">
        <v>63</v>
      </c>
      <c r="S199" s="34" t="str">
        <f t="shared" si="40"/>
        <v xml:space="preserve"> </v>
      </c>
      <c r="T199" s="35" t="s">
        <v>74</v>
      </c>
      <c r="U199" s="37" t="str">
        <f t="shared" si="41"/>
        <v xml:space="preserve"> </v>
      </c>
      <c r="V199" s="33">
        <v>7</v>
      </c>
      <c r="W199" s="34" t="str">
        <f t="shared" si="42"/>
        <v>F</v>
      </c>
      <c r="X199" s="35" t="s">
        <v>72</v>
      </c>
      <c r="Y199" s="37" t="str">
        <f t="shared" si="43"/>
        <v xml:space="preserve"> </v>
      </c>
      <c r="Z199" s="35" t="s">
        <v>67</v>
      </c>
      <c r="AA199" s="37" t="str">
        <f t="shared" si="44"/>
        <v xml:space="preserve"> </v>
      </c>
      <c r="AB199" s="33">
        <v>6</v>
      </c>
      <c r="AC199" s="34" t="str">
        <f t="shared" si="45"/>
        <v>F</v>
      </c>
      <c r="AD199" s="35" t="s">
        <v>74</v>
      </c>
      <c r="AE199" s="34" t="str">
        <f t="shared" si="46"/>
        <v xml:space="preserve"> </v>
      </c>
      <c r="AF199" s="35" t="s">
        <v>56</v>
      </c>
      <c r="AG199" s="37" t="str">
        <f t="shared" si="47"/>
        <v xml:space="preserve"> </v>
      </c>
      <c r="AH199" s="4">
        <f>IF(OR(AND(D199&gt;=31,D199&lt;40),AND(H199&gt;=31,H199&lt;40),AND(N199&gt;=31,N199&lt;40),AND(R199&gt;=31,R199&lt;40),AND(V199&gt;=31,V199&lt;40),AND(AB199&gt;=31,AB199&lt;40)),IF(AND(OR(COUNTIF(D199:AG199,"=31")&gt;=1,COUNTIF(D199:AG199,"=32")&gt;=1,COUNTIF(D199:AG199,"=33")&gt;=1,COUNTIF(D199:AG199,"=34")&gt;=1,COUNTIF(D199:AG199,"=35")&gt;=1,COUNTIF(D199:AG199,"=36")&gt;=1 ),COUNTIF(D199:AG199,"")=0,COUNTIF(D199:AG199," ")=0,COUNTIF(D199:AG199,"F")=1),CONCATENATE(SUM(EXTRACTNUMBER(D199),EXTRACTNUMBER(F199),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EXTRACTNUMBER(AD199),EXTRACTNUMBER(AF199)),"*"),IF(AND(COUNTIF(D199:AG199,"=34")&gt;=1,COUNTIF(D199:AG199,"=35")&gt;=1,COUNTIF(D199:AG199,"f")=2,COUNTIF(D199:AG199,"")=0,COUNTIF(D199:AG199,"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EXTRACTNUMBER(AD199),EXTRACTNUMBER(AF199)),"*"),IF(AND(COUNTIF(D199:AG199,"=36")&gt;=2,COUNTIF(D199:AG199,"f")=2,COUNTIF(D199:AG199,"")=0,COUNTIF(D199:AG199,"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EXTRACTNUMBER(AD199),EXTRACTNUMBER(AF199)),"*"),SUM(EXTRACTNUMBER(D199),EXTRACTNUMBER(F199),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EXTRACTNUMBER(AD199),EXTRACTNUMBER(AF199))))),SUM(EXTRACTNUMBER(D199),EXTRACTNUMBER(F199),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EXTRACTNUMBER(AD199),EXTRACTNUMBER(AF199)))</f>
        <v>343</v>
      </c>
      <c r="AI199" s="38" t="str">
        <f t="shared" si="32"/>
        <v>FAIL</v>
      </c>
      <c r="AJ199" s="28" t="str">
        <f>spellnumber(EXTRACTnUMBER_TOT(AH199))</f>
        <v xml:space="preserve">Three Hundred Forty Three </v>
      </c>
      <c r="AK199" s="9">
        <v>343</v>
      </c>
    </row>
    <row r="200" spans="2:37" ht="15" customHeight="1">
      <c r="B200" s="40">
        <v>223374</v>
      </c>
      <c r="C200" s="41" t="s">
        <v>41</v>
      </c>
      <c r="D200" s="33" t="s">
        <v>56</v>
      </c>
      <c r="E200" s="34" t="str">
        <f t="shared" si="34"/>
        <v xml:space="preserve"> </v>
      </c>
      <c r="F200" s="35" t="s">
        <v>72</v>
      </c>
      <c r="G200" s="34" t="str">
        <f t="shared" si="35"/>
        <v xml:space="preserve"> </v>
      </c>
      <c r="H200" s="36" t="s">
        <v>103</v>
      </c>
      <c r="I200" s="34" t="str">
        <f t="shared" si="36"/>
        <v/>
      </c>
      <c r="J200" s="35" t="s">
        <v>75</v>
      </c>
      <c r="K200" s="34" t="str">
        <f t="shared" si="37"/>
        <v xml:space="preserve"> </v>
      </c>
      <c r="L200" s="35" t="s">
        <v>73</v>
      </c>
      <c r="M200" s="34" t="str">
        <f t="shared" si="38"/>
        <v xml:space="preserve"> </v>
      </c>
      <c r="N200" s="36" t="s">
        <v>65</v>
      </c>
      <c r="O200" s="34" t="str">
        <f t="shared" si="33"/>
        <v xml:space="preserve"> </v>
      </c>
      <c r="P200" s="35" t="s">
        <v>75</v>
      </c>
      <c r="Q200" s="37" t="str">
        <f t="shared" si="39"/>
        <v xml:space="preserve"> </v>
      </c>
      <c r="R200" s="33" t="s">
        <v>56</v>
      </c>
      <c r="S200" s="34" t="str">
        <f t="shared" si="40"/>
        <v xml:space="preserve"> </v>
      </c>
      <c r="T200" s="35" t="s">
        <v>72</v>
      </c>
      <c r="U200" s="37" t="str">
        <f t="shared" si="41"/>
        <v xml:space="preserve"> </v>
      </c>
      <c r="V200" s="33" t="s">
        <v>59</v>
      </c>
      <c r="W200" s="34" t="str">
        <f t="shared" si="42"/>
        <v xml:space="preserve"> </v>
      </c>
      <c r="X200" s="35" t="s">
        <v>72</v>
      </c>
      <c r="Y200" s="37" t="str">
        <f t="shared" si="43"/>
        <v xml:space="preserve"> </v>
      </c>
      <c r="Z200" s="35" t="s">
        <v>74</v>
      </c>
      <c r="AA200" s="37" t="str">
        <f t="shared" si="44"/>
        <v xml:space="preserve"> </v>
      </c>
      <c r="AB200" s="33">
        <v>51</v>
      </c>
      <c r="AC200" s="34" t="str">
        <f t="shared" si="45"/>
        <v>E</v>
      </c>
      <c r="AD200" s="35" t="s">
        <v>72</v>
      </c>
      <c r="AE200" s="34" t="str">
        <f t="shared" si="46"/>
        <v xml:space="preserve"> </v>
      </c>
      <c r="AF200" s="35" t="s">
        <v>56</v>
      </c>
      <c r="AG200" s="37" t="str">
        <f t="shared" si="47"/>
        <v xml:space="preserve"> </v>
      </c>
      <c r="AH200" s="4">
        <f>IF(OR(AND(D200&gt;=31,D200&lt;40),AND(H200&gt;=31,H200&lt;40),AND(N200&gt;=31,N200&lt;40),AND(R200&gt;=31,R200&lt;40),AND(V200&gt;=31,V200&lt;40),AND(AB200&gt;=31,AB200&lt;40)),IF(AND(OR(COUNTIF(D200:AG200,"=31")&gt;=1,COUNTIF(D200:AG200,"=32")&gt;=1,COUNTIF(D200:AG200,"=33")&gt;=1,COUNTIF(D200:AG200,"=34")&gt;=1,COUNTIF(D200:AG200,"=35")&gt;=1,COUNTIF(D200:AG200,"=36")&gt;=1 ),COUNTIF(D200:AG200,"")=0,COUNTIF(D200:AG200," ")=0,COUNTIF(D200:AG200,"F")=1),CONCATENATE(SUM(EXTRACTNUMBER(D200),EXTRACTNUMBER(F200),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EXTRACTNUMBER(AD200),EXTRACTNUMBER(AF200)),"*"),IF(AND(COUNTIF(D200:AG200,"=34")&gt;=1,COUNTIF(D200:AG200,"=35")&gt;=1,COUNTIF(D200:AG200,"f")=2,COUNTIF(D200:AG200,"")=0,COUNTIF(D200:AG200,"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EXTRACTNUMBER(AD200),EXTRACTNUMBER(AF200)),"*"),IF(AND(COUNTIF(D200:AG200,"=36")&gt;=2,COUNTIF(D200:AG200,"f")=2,COUNTIF(D200:AG200,"")=0,COUNTIF(D200:AG200,"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EXTRACTNUMBER(AD200),EXTRACTNUMBER(AF200)),"*"),SUM(EXTRACTNUMBER(D200),EXTRACTNUMBER(F200),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EXTRACTNUMBER(AD200),EXTRACTNUMBER(AF200))))),SUM(EXTRACTNUMBER(D200),EXTRACTNUMBER(F200),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EXTRACTNUMBER(AD200),EXTRACTNUMBER(AF200)))</f>
        <v>436</v>
      </c>
      <c r="AI200" s="38" t="str">
        <f t="shared" si="32"/>
        <v>FAIL</v>
      </c>
      <c r="AJ200" s="28" t="str">
        <f>spellnumber(EXTRACTnUMBER_TOT(AH200))</f>
        <v xml:space="preserve">Four Hundred Thirty Six </v>
      </c>
      <c r="AK200" s="9">
        <v>436</v>
      </c>
    </row>
    <row r="201" spans="2:37" ht="15" customHeight="1">
      <c r="B201" s="40">
        <v>223375</v>
      </c>
      <c r="C201" s="42" t="s">
        <v>313</v>
      </c>
      <c r="D201" s="33" t="s">
        <v>415</v>
      </c>
      <c r="E201" s="34" t="str">
        <f t="shared" si="34"/>
        <v xml:space="preserve"> </v>
      </c>
      <c r="F201" s="35" t="s">
        <v>74</v>
      </c>
      <c r="G201" s="34" t="str">
        <f t="shared" si="35"/>
        <v xml:space="preserve"> </v>
      </c>
      <c r="H201" s="36">
        <v>63</v>
      </c>
      <c r="I201" s="34" t="str">
        <f t="shared" si="36"/>
        <v/>
      </c>
      <c r="J201" s="35" t="s">
        <v>72</v>
      </c>
      <c r="K201" s="34" t="str">
        <f t="shared" si="37"/>
        <v xml:space="preserve"> </v>
      </c>
      <c r="L201" s="35" t="s">
        <v>70</v>
      </c>
      <c r="M201" s="34" t="str">
        <f t="shared" si="38"/>
        <v xml:space="preserve"> </v>
      </c>
      <c r="N201" s="36" t="s">
        <v>58</v>
      </c>
      <c r="O201" s="34" t="str">
        <f t="shared" si="33"/>
        <v xml:space="preserve"> </v>
      </c>
      <c r="P201" s="35" t="s">
        <v>74</v>
      </c>
      <c r="Q201" s="37" t="str">
        <f t="shared" si="39"/>
        <v xml:space="preserve"> </v>
      </c>
      <c r="R201" s="33" t="s">
        <v>81</v>
      </c>
      <c r="S201" s="34" t="str">
        <f t="shared" si="40"/>
        <v xml:space="preserve"> </v>
      </c>
      <c r="T201" s="35" t="s">
        <v>72</v>
      </c>
      <c r="U201" s="37" t="str">
        <f t="shared" si="41"/>
        <v xml:space="preserve"> </v>
      </c>
      <c r="V201" s="33" t="s">
        <v>56</v>
      </c>
      <c r="W201" s="34" t="str">
        <f t="shared" si="42"/>
        <v xml:space="preserve"> </v>
      </c>
      <c r="X201" s="35" t="s">
        <v>75</v>
      </c>
      <c r="Y201" s="37" t="str">
        <f t="shared" si="43"/>
        <v xml:space="preserve"> </v>
      </c>
      <c r="Z201" s="35" t="s">
        <v>72</v>
      </c>
      <c r="AA201" s="37" t="str">
        <f t="shared" si="44"/>
        <v xml:space="preserve"> </v>
      </c>
      <c r="AB201" s="33" t="s">
        <v>56</v>
      </c>
      <c r="AC201" s="34" t="str">
        <f t="shared" si="45"/>
        <v xml:space="preserve"> </v>
      </c>
      <c r="AD201" s="35" t="s">
        <v>74</v>
      </c>
      <c r="AE201" s="34" t="str">
        <f t="shared" si="46"/>
        <v xml:space="preserve"> </v>
      </c>
      <c r="AF201" s="35" t="s">
        <v>79</v>
      </c>
      <c r="AG201" s="37" t="str">
        <f t="shared" si="47"/>
        <v xml:space="preserve"> </v>
      </c>
      <c r="AH201" s="4">
        <f>IF(OR(AND(D201&gt;=31,D201&lt;40),AND(H201&gt;=31,H201&lt;40),AND(N201&gt;=31,N201&lt;40),AND(R201&gt;=31,R201&lt;40),AND(V201&gt;=31,V201&lt;40),AND(AB201&gt;=31,AB201&lt;40)),IF(AND(OR(COUNTIF(D201:AG201,"=31")&gt;=1,COUNTIF(D201:AG201,"=32")&gt;=1,COUNTIF(D201:AG201,"=33")&gt;=1,COUNTIF(D201:AG201,"=34")&gt;=1,COUNTIF(D201:AG201,"=35")&gt;=1,COUNTIF(D201:AG201,"=36")&gt;=1 ),COUNTIF(D201:AG201,"")=0,COUNTIF(D201:AG201," ")=0,COUNTIF(D201:AG201,"F")=1),CONCATENATE(SUM(EXTRACTNUMBER(D201),EXTRACTNUMBER(F201),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EXTRACTNUMBER(AD201),EXTRACTNUMBER(AF201)),"*"),IF(AND(COUNTIF(D201:AG201,"=34")&gt;=1,COUNTIF(D201:AG201,"=35")&gt;=1,COUNTIF(D201:AG201,"f")=2,COUNTIF(D201:AG201,"")=0,COUNTIF(D201:AG201,"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EXTRACTNUMBER(AD201),EXTRACTNUMBER(AF201)),"*"),IF(AND(COUNTIF(D201:AG201,"=36")&gt;=2,COUNTIF(D201:AG201,"f")=2,COUNTIF(D201:AG201,"")=0,COUNTIF(D201:AG201,"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EXTRACTNUMBER(AD201),EXTRACTNUMBER(AF201)),"*"),SUM(EXTRACTNUMBER(D201),EXTRACTNUMBER(F201),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EXTRACTNUMBER(AD201),EXTRACTNUMBER(AF201))))),SUM(EXTRACTNUMBER(D201),EXTRACTNUMBER(F201),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EXTRACTNUMBER(AD201),EXTRACTNUMBER(AF201)))</f>
        <v>524</v>
      </c>
      <c r="AI201" s="38" t="str">
        <f t="shared" si="32"/>
        <v>PASS</v>
      </c>
      <c r="AJ201" s="28" t="str">
        <f>spellnumber(EXTRACTnUMBER_TOT(AH201))</f>
        <v xml:space="preserve">Five Hundred Twenty Four </v>
      </c>
      <c r="AK201" s="9">
        <v>524</v>
      </c>
    </row>
    <row r="202" spans="2:37" ht="15" customHeight="1">
      <c r="B202" s="40">
        <v>223376</v>
      </c>
      <c r="C202" s="41" t="s">
        <v>314</v>
      </c>
      <c r="D202" s="33" t="s">
        <v>82</v>
      </c>
      <c r="E202" s="34" t="str">
        <f t="shared" si="34"/>
        <v xml:space="preserve"> </v>
      </c>
      <c r="F202" s="35" t="s">
        <v>66</v>
      </c>
      <c r="G202" s="34" t="str">
        <f t="shared" si="35"/>
        <v xml:space="preserve"> </v>
      </c>
      <c r="H202" s="36">
        <v>45</v>
      </c>
      <c r="I202" s="34" t="str">
        <f t="shared" si="36"/>
        <v/>
      </c>
      <c r="J202" s="35" t="s">
        <v>73</v>
      </c>
      <c r="K202" s="34" t="str">
        <f t="shared" si="37"/>
        <v xml:space="preserve"> </v>
      </c>
      <c r="L202" s="35" t="s">
        <v>70</v>
      </c>
      <c r="M202" s="34" t="str">
        <f t="shared" si="38"/>
        <v xml:space="preserve"> </v>
      </c>
      <c r="N202" s="36" t="s">
        <v>80</v>
      </c>
      <c r="O202" s="34" t="str">
        <f t="shared" si="33"/>
        <v xml:space="preserve"> </v>
      </c>
      <c r="P202" s="35" t="s">
        <v>73</v>
      </c>
      <c r="Q202" s="37" t="str">
        <f t="shared" si="39"/>
        <v xml:space="preserve"> </v>
      </c>
      <c r="R202" s="33" t="s">
        <v>56</v>
      </c>
      <c r="S202" s="34" t="str">
        <f t="shared" si="40"/>
        <v xml:space="preserve"> </v>
      </c>
      <c r="T202" s="35" t="s">
        <v>74</v>
      </c>
      <c r="U202" s="37" t="str">
        <f t="shared" si="41"/>
        <v xml:space="preserve"> </v>
      </c>
      <c r="V202" s="33" t="s">
        <v>88</v>
      </c>
      <c r="W202" s="34" t="str">
        <f t="shared" si="42"/>
        <v xml:space="preserve"> </v>
      </c>
      <c r="X202" s="35" t="s">
        <v>70</v>
      </c>
      <c r="Y202" s="37" t="str">
        <f t="shared" si="43"/>
        <v xml:space="preserve"> </v>
      </c>
      <c r="Z202" s="35" t="s">
        <v>74</v>
      </c>
      <c r="AA202" s="37" t="str">
        <f t="shared" si="44"/>
        <v xml:space="preserve"> </v>
      </c>
      <c r="AB202" s="33" t="s">
        <v>56</v>
      </c>
      <c r="AC202" s="34" t="str">
        <f t="shared" si="45"/>
        <v xml:space="preserve"> </v>
      </c>
      <c r="AD202" s="35" t="s">
        <v>73</v>
      </c>
      <c r="AE202" s="34" t="str">
        <f t="shared" si="46"/>
        <v xml:space="preserve"> </v>
      </c>
      <c r="AF202" s="35" t="s">
        <v>97</v>
      </c>
      <c r="AG202" s="37" t="str">
        <f t="shared" si="47"/>
        <v xml:space="preserve"> </v>
      </c>
      <c r="AH202" s="4">
        <f>IF(OR(AND(D202&gt;=31,D202&lt;40),AND(H202&gt;=31,H202&lt;40),AND(N202&gt;=31,N202&lt;40),AND(R202&gt;=31,R202&lt;40),AND(V202&gt;=31,V202&lt;40),AND(AB202&gt;=31,AB202&lt;40)),IF(AND(OR(COUNTIF(D202:AG202,"=31")&gt;=1,COUNTIF(D202:AG202,"=32")&gt;=1,COUNTIF(D202:AG202,"=33")&gt;=1,COUNTIF(D202:AG202,"=34")&gt;=1,COUNTIF(D202:AG202,"=35")&gt;=1,COUNTIF(D202:AG202,"=36")&gt;=1 ),COUNTIF(D202:AG202,"")=0,COUNTIF(D202:AG202," ")=0,COUNTIF(D202:AG202,"F")=1),CONCATENATE(SUM(EXTRACTNUMBER(D202),EXTRACTNUMBER(F202),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EXTRACTNUMBER(AD202),EXTRACTNUMBER(AF202)),"*"),IF(AND(COUNTIF(D202:AG202,"=34")&gt;=1,COUNTIF(D202:AG202,"=35")&gt;=1,COUNTIF(D202:AG202,"f")=2,COUNTIF(D202:AG202,"")=0,COUNTIF(D202:AG202,"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EXTRACTNUMBER(AD202),EXTRACTNUMBER(AF202)),"*"),IF(AND(COUNTIF(D202:AG202,"=36")&gt;=2,COUNTIF(D202:AG202,"f")=2,COUNTIF(D202:AG202,"")=0,COUNTIF(D202:AG202,"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EXTRACTNUMBER(AD202),EXTRACTNUMBER(AF202)),"*"),SUM(EXTRACTNUMBER(D202),EXTRACTNUMBER(F202),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EXTRACTNUMBER(AD202),EXTRACTNUMBER(AF202))))),SUM(EXTRACTNUMBER(D202),EXTRACTNUMBER(F202),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EXTRACTNUMBER(AD202),EXTRACTNUMBER(AF202)))</f>
        <v>495</v>
      </c>
      <c r="AI202" s="38" t="str">
        <f t="shared" si="32"/>
        <v>PASS</v>
      </c>
      <c r="AJ202" s="28" t="str">
        <f>spellnumber(EXTRACTnUMBER_TOT(AH202))</f>
        <v xml:space="preserve">Four Hundred NinetyFive </v>
      </c>
      <c r="AK202" s="9">
        <v>495</v>
      </c>
    </row>
    <row r="203" spans="2:37" ht="15" customHeight="1">
      <c r="B203" s="40">
        <v>223377</v>
      </c>
      <c r="C203" s="41" t="s">
        <v>315</v>
      </c>
      <c r="D203" s="33" t="s">
        <v>103</v>
      </c>
      <c r="E203" s="34" t="str">
        <f t="shared" si="34"/>
        <v/>
      </c>
      <c r="F203" s="35" t="s">
        <v>67</v>
      </c>
      <c r="G203" s="34" t="str">
        <f t="shared" si="35"/>
        <v xml:space="preserve"> </v>
      </c>
      <c r="H203" s="36" t="s">
        <v>103</v>
      </c>
      <c r="I203" s="34" t="str">
        <f t="shared" si="36"/>
        <v/>
      </c>
      <c r="J203" s="35" t="s">
        <v>72</v>
      </c>
      <c r="K203" s="34" t="str">
        <f t="shared" si="37"/>
        <v xml:space="preserve"> </v>
      </c>
      <c r="L203" s="35" t="s">
        <v>75</v>
      </c>
      <c r="M203" s="34" t="str">
        <f t="shared" si="38"/>
        <v xml:space="preserve"> </v>
      </c>
      <c r="N203" s="36" t="s">
        <v>103</v>
      </c>
      <c r="O203" s="34" t="str">
        <f t="shared" si="33"/>
        <v/>
      </c>
      <c r="P203" s="35" t="s">
        <v>68</v>
      </c>
      <c r="Q203" s="37" t="str">
        <f t="shared" si="39"/>
        <v xml:space="preserve"> </v>
      </c>
      <c r="R203" s="33" t="s">
        <v>103</v>
      </c>
      <c r="S203" s="34" t="str">
        <f t="shared" si="40"/>
        <v/>
      </c>
      <c r="T203" s="35" t="s">
        <v>74</v>
      </c>
      <c r="U203" s="37" t="str">
        <f t="shared" si="41"/>
        <v xml:space="preserve"> </v>
      </c>
      <c r="V203" s="33" t="s">
        <v>103</v>
      </c>
      <c r="W203" s="34" t="str">
        <f t="shared" si="42"/>
        <v/>
      </c>
      <c r="X203" s="35" t="s">
        <v>71</v>
      </c>
      <c r="Y203" s="37" t="str">
        <f t="shared" si="43"/>
        <v xml:space="preserve"> </v>
      </c>
      <c r="Z203" s="35" t="s">
        <v>70</v>
      </c>
      <c r="AA203" s="37" t="str">
        <f t="shared" si="44"/>
        <v xml:space="preserve"> </v>
      </c>
      <c r="AB203" s="33" t="s">
        <v>103</v>
      </c>
      <c r="AC203" s="34" t="str">
        <f t="shared" si="45"/>
        <v/>
      </c>
      <c r="AD203" s="35" t="s">
        <v>72</v>
      </c>
      <c r="AE203" s="34" t="str">
        <f t="shared" si="46"/>
        <v xml:space="preserve"> </v>
      </c>
      <c r="AF203" s="35" t="s">
        <v>97</v>
      </c>
      <c r="AG203" s="37" t="str">
        <f t="shared" si="47"/>
        <v xml:space="preserve"> </v>
      </c>
      <c r="AH203" s="4">
        <f>IF(OR(AND(D203&gt;=31,D203&lt;40),AND(H203&gt;=31,H203&lt;40),AND(N203&gt;=31,N203&lt;40),AND(R203&gt;=31,R203&lt;40),AND(V203&gt;=31,V203&lt;40),AND(AB203&gt;=31,AB203&lt;40)),IF(AND(OR(COUNTIF(D203:AG203,"=31")&gt;=1,COUNTIF(D203:AG203,"=32")&gt;=1,COUNTIF(D203:AG203,"=33")&gt;=1,COUNTIF(D203:AG203,"=34")&gt;=1,COUNTIF(D203:AG203,"=35")&gt;=1,COUNTIF(D203:AG203,"=36")&gt;=1 ),COUNTIF(D203:AG203,"")=0,COUNTIF(D203:AG203," ")=0,COUNTIF(D203:AG203,"F")=1),CONCATENATE(SUM(EXTRACTNUMBER(D203),EXTRACTNUMBER(F203),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EXTRACTNUMBER(AD203),EXTRACTNUMBER(AF203)),"*"),IF(AND(COUNTIF(D203:AG203,"=34")&gt;=1,COUNTIF(D203:AG203,"=35")&gt;=1,COUNTIF(D203:AG203,"f")=2,COUNTIF(D203:AG203,"")=0,COUNTIF(D203:AG203,"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EXTRACTNUMBER(AD203),EXTRACTNUMBER(AF203)),"*"),IF(AND(COUNTIF(D203:AG203,"=36")&gt;=2,COUNTIF(D203:AG203,"f")=2,COUNTIF(D203:AG203,"")=0,COUNTIF(D203:AG203,"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EXTRACTNUMBER(AD203),EXTRACTNUMBER(AF203)),"*"),SUM(EXTRACTNUMBER(D203),EXTRACTNUMBER(F203),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EXTRACTNUMBER(AD203),EXTRACTNUMBER(AF203))))),SUM(EXTRACTNUMBER(D203),EXTRACTNUMBER(F203),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EXTRACTNUMBER(AD203),EXTRACTNUMBER(AF203)))</f>
        <v>181</v>
      </c>
      <c r="AI203" s="38" t="str">
        <f t="shared" si="32"/>
        <v>ABSENT</v>
      </c>
      <c r="AJ203" s="28" t="str">
        <f>spellnumber(EXTRACTnUMBER_TOT(AH203))</f>
        <v xml:space="preserve">One Hundred Eighty One </v>
      </c>
      <c r="AK203" s="9">
        <v>181</v>
      </c>
    </row>
    <row r="204" spans="2:37" ht="15" customHeight="1">
      <c r="B204" s="40">
        <v>223378</v>
      </c>
      <c r="C204" s="42" t="s">
        <v>42</v>
      </c>
      <c r="D204" s="33" t="s">
        <v>65</v>
      </c>
      <c r="E204" s="34" t="str">
        <f t="shared" si="34"/>
        <v xml:space="preserve"> </v>
      </c>
      <c r="F204" s="35" t="s">
        <v>72</v>
      </c>
      <c r="G204" s="34" t="str">
        <f t="shared" si="35"/>
        <v xml:space="preserve"> </v>
      </c>
      <c r="H204" s="36">
        <v>40</v>
      </c>
      <c r="I204" s="34" t="str">
        <f t="shared" si="36"/>
        <v>E</v>
      </c>
      <c r="J204" s="35" t="s">
        <v>74</v>
      </c>
      <c r="K204" s="34" t="str">
        <f t="shared" si="37"/>
        <v xml:space="preserve"> </v>
      </c>
      <c r="L204" s="35" t="s">
        <v>74</v>
      </c>
      <c r="M204" s="34" t="str">
        <f t="shared" si="38"/>
        <v xml:space="preserve"> </v>
      </c>
      <c r="N204" s="36" t="s">
        <v>56</v>
      </c>
      <c r="O204" s="34" t="str">
        <f t="shared" si="33"/>
        <v xml:space="preserve"> </v>
      </c>
      <c r="P204" s="35" t="s">
        <v>74</v>
      </c>
      <c r="Q204" s="37" t="str">
        <f t="shared" si="39"/>
        <v xml:space="preserve"> </v>
      </c>
      <c r="R204" s="33" t="s">
        <v>62</v>
      </c>
      <c r="S204" s="34" t="str">
        <f t="shared" si="40"/>
        <v xml:space="preserve"> </v>
      </c>
      <c r="T204" s="35" t="s">
        <v>72</v>
      </c>
      <c r="U204" s="37" t="str">
        <f t="shared" si="41"/>
        <v xml:space="preserve"> </v>
      </c>
      <c r="V204" s="33" t="s">
        <v>59</v>
      </c>
      <c r="W204" s="34" t="str">
        <f t="shared" si="42"/>
        <v xml:space="preserve"> </v>
      </c>
      <c r="X204" s="35" t="s">
        <v>72</v>
      </c>
      <c r="Y204" s="37" t="str">
        <f t="shared" si="43"/>
        <v xml:space="preserve"> </v>
      </c>
      <c r="Z204" s="35" t="s">
        <v>72</v>
      </c>
      <c r="AA204" s="37" t="str">
        <f t="shared" si="44"/>
        <v xml:space="preserve"> </v>
      </c>
      <c r="AB204" s="33">
        <v>28</v>
      </c>
      <c r="AC204" s="34" t="str">
        <f t="shared" si="45"/>
        <v>F</v>
      </c>
      <c r="AD204" s="35" t="s">
        <v>74</v>
      </c>
      <c r="AE204" s="34" t="str">
        <f t="shared" si="46"/>
        <v xml:space="preserve"> </v>
      </c>
      <c r="AF204" s="35" t="s">
        <v>56</v>
      </c>
      <c r="AG204" s="37" t="str">
        <f t="shared" si="47"/>
        <v xml:space="preserve"> </v>
      </c>
      <c r="AH204" s="4">
        <f>IF(OR(AND(D204&gt;=31,D204&lt;40),AND(H204&gt;=31,H204&lt;40),AND(N204&gt;=31,N204&lt;40),AND(R204&gt;=31,R204&lt;40),AND(V204&gt;=31,V204&lt;40),AND(AB204&gt;=31,AB204&lt;40)),IF(AND(OR(COUNTIF(D204:AG204,"=31")&gt;=1,COUNTIF(D204:AG204,"=32")&gt;=1,COUNTIF(D204:AG204,"=33")&gt;=1,COUNTIF(D204:AG204,"=34")&gt;=1,COUNTIF(D204:AG204,"=35")&gt;=1,COUNTIF(D204:AG204,"=36")&gt;=1 ),COUNTIF(D204:AG204,"")=0,COUNTIF(D204:AG204," ")=0,COUNTIF(D204:AG204,"F")=1),CONCATENATE(SUM(EXTRACTNUMBER(D204),EXTRACTNUMBER(F204),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EXTRACTNUMBER(AD204),EXTRACTNUMBER(AF204)),"*"),IF(AND(COUNTIF(D204:AG204,"=34")&gt;=1,COUNTIF(D204:AG204,"=35")&gt;=1,COUNTIF(D204:AG204,"f")=2,COUNTIF(D204:AG204,"")=0,COUNTIF(D204:AG204,"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EXTRACTNUMBER(AD204),EXTRACTNUMBER(AF204)),"*"),IF(AND(COUNTIF(D204:AG204,"=36")&gt;=2,COUNTIF(D204:AG204,"f")=2,COUNTIF(D204:AG204,"")=0,COUNTIF(D204:AG204,"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EXTRACTNUMBER(AD204),EXTRACTNUMBER(AF204)),"*"),SUM(EXTRACTNUMBER(D204),EXTRACTNUMBER(F204),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EXTRACTNUMBER(AD204),EXTRACTNUMBER(AF204))))),SUM(EXTRACTNUMBER(D204),EXTRACTNUMBER(F204),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EXTRACTNUMBER(AD204),EXTRACTNUMBER(AF204)))</f>
        <v>462</v>
      </c>
      <c r="AI204" s="38" t="str">
        <f t="shared" si="32"/>
        <v>FAIL</v>
      </c>
      <c r="AJ204" s="28" t="str">
        <f>spellnumber(EXTRACTnUMBER_TOT(AH204))</f>
        <v xml:space="preserve">Four Hundred Sixty Two </v>
      </c>
      <c r="AK204" s="9">
        <v>462</v>
      </c>
    </row>
    <row r="205" spans="2:37" ht="15" customHeight="1">
      <c r="B205" s="40">
        <v>223379</v>
      </c>
      <c r="C205" s="42" t="s">
        <v>43</v>
      </c>
      <c r="D205" s="33" t="s">
        <v>60</v>
      </c>
      <c r="E205" s="34" t="str">
        <f t="shared" si="34"/>
        <v xml:space="preserve"> </v>
      </c>
      <c r="F205" s="35" t="s">
        <v>71</v>
      </c>
      <c r="G205" s="34" t="str">
        <f t="shared" si="35"/>
        <v xml:space="preserve"> </v>
      </c>
      <c r="H205" s="36">
        <v>66</v>
      </c>
      <c r="I205" s="34" t="str">
        <f t="shared" si="36"/>
        <v>E</v>
      </c>
      <c r="J205" s="35" t="s">
        <v>69</v>
      </c>
      <c r="K205" s="34" t="str">
        <f t="shared" si="37"/>
        <v xml:space="preserve"> </v>
      </c>
      <c r="L205" s="35" t="s">
        <v>70</v>
      </c>
      <c r="M205" s="34" t="str">
        <f t="shared" si="38"/>
        <v xml:space="preserve"> </v>
      </c>
      <c r="N205" s="36" t="s">
        <v>56</v>
      </c>
      <c r="O205" s="34" t="str">
        <f t="shared" si="33"/>
        <v xml:space="preserve"> </v>
      </c>
      <c r="P205" s="35" t="s">
        <v>70</v>
      </c>
      <c r="Q205" s="37" t="str">
        <f t="shared" si="39"/>
        <v xml:space="preserve"> </v>
      </c>
      <c r="R205" s="33" t="s">
        <v>89</v>
      </c>
      <c r="S205" s="34" t="str">
        <f t="shared" si="40"/>
        <v xml:space="preserve"> </v>
      </c>
      <c r="T205" s="35" t="s">
        <v>74</v>
      </c>
      <c r="U205" s="37" t="str">
        <f t="shared" si="41"/>
        <v xml:space="preserve"> </v>
      </c>
      <c r="V205" s="33" t="s">
        <v>59</v>
      </c>
      <c r="W205" s="34" t="str">
        <f t="shared" si="42"/>
        <v xml:space="preserve"> </v>
      </c>
      <c r="X205" s="35" t="s">
        <v>69</v>
      </c>
      <c r="Y205" s="37" t="str">
        <f t="shared" si="43"/>
        <v xml:space="preserve"> </v>
      </c>
      <c r="Z205" s="35" t="s">
        <v>69</v>
      </c>
      <c r="AA205" s="37" t="str">
        <f t="shared" si="44"/>
        <v xml:space="preserve"> </v>
      </c>
      <c r="AB205" s="33">
        <v>9</v>
      </c>
      <c r="AC205" s="34" t="str">
        <f t="shared" si="45"/>
        <v>F</v>
      </c>
      <c r="AD205" s="35" t="s">
        <v>74</v>
      </c>
      <c r="AE205" s="34" t="str">
        <f t="shared" si="46"/>
        <v xml:space="preserve"> </v>
      </c>
      <c r="AF205" s="35" t="s">
        <v>57</v>
      </c>
      <c r="AG205" s="37" t="str">
        <f t="shared" si="47"/>
        <v xml:space="preserve"> </v>
      </c>
      <c r="AH205" s="4">
        <f>IF(OR(AND(D205&gt;=31,D205&lt;40),AND(H205&gt;=31,H205&lt;40),AND(N205&gt;=31,N205&lt;40),AND(R205&gt;=31,R205&lt;40),AND(V205&gt;=31,V205&lt;40),AND(AB205&gt;=31,AB205&lt;40)),IF(AND(OR(COUNTIF(D205:AG205,"=31")&gt;=1,COUNTIF(D205:AG205,"=32")&gt;=1,COUNTIF(D205:AG205,"=33")&gt;=1,COUNTIF(D205:AG205,"=34")&gt;=1,COUNTIF(D205:AG205,"=35")&gt;=1,COUNTIF(D205:AG205,"=36")&gt;=1 ),COUNTIF(D205:AG205,"")=0,COUNTIF(D205:AG205," ")=0,COUNTIF(D205:AG205,"F")=1),CONCATENATE(SUM(EXTRACTNUMBER(D205),EXTRACTNUMBER(F205),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EXTRACTNUMBER(AD205),EXTRACTNUMBER(AF205)),"*"),IF(AND(COUNTIF(D205:AG205,"=34")&gt;=1,COUNTIF(D205:AG205,"=35")&gt;=1,COUNTIF(D205:AG205,"f")=2,COUNTIF(D205:AG205,"")=0,COUNTIF(D205:AG205,"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EXTRACTNUMBER(AD205),EXTRACTNUMBER(AF205)),"*"),IF(AND(COUNTIF(D205:AG205,"=36")&gt;=2,COUNTIF(D205:AG205,"f")=2,COUNTIF(D205:AG205,"")=0,COUNTIF(D205:AG205,"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EXTRACTNUMBER(AD205),EXTRACTNUMBER(AF205)),"*"),SUM(EXTRACTNUMBER(D205),EXTRACTNUMBER(F205),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EXTRACTNUMBER(AD205),EXTRACTNUMBER(AF205))))),SUM(EXTRACTNUMBER(D205),EXTRACTNUMBER(F205),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EXTRACTNUMBER(AD205),EXTRACTNUMBER(AF205)))</f>
        <v>482</v>
      </c>
      <c r="AI205" s="38" t="str">
        <f t="shared" si="32"/>
        <v>FAIL</v>
      </c>
      <c r="AJ205" s="28" t="str">
        <f>spellnumber(EXTRACTnUMBER_TOT(AH205))</f>
        <v xml:space="preserve">Four Hundred Eighty Two </v>
      </c>
      <c r="AK205" s="9">
        <v>482</v>
      </c>
    </row>
    <row r="206" spans="2:37" ht="15" customHeight="1">
      <c r="B206" s="40">
        <v>223380</v>
      </c>
      <c r="C206" s="42" t="s">
        <v>44</v>
      </c>
      <c r="D206" s="33">
        <v>22</v>
      </c>
      <c r="E206" s="34" t="str">
        <f t="shared" si="34"/>
        <v>F</v>
      </c>
      <c r="F206" s="35" t="s">
        <v>68</v>
      </c>
      <c r="G206" s="34" t="str">
        <f t="shared" si="35"/>
        <v xml:space="preserve"> </v>
      </c>
      <c r="H206" s="36" t="s">
        <v>103</v>
      </c>
      <c r="I206" s="34" t="str">
        <f t="shared" si="36"/>
        <v/>
      </c>
      <c r="J206" s="35" t="s">
        <v>71</v>
      </c>
      <c r="K206" s="34" t="str">
        <f t="shared" si="37"/>
        <v xml:space="preserve"> </v>
      </c>
      <c r="L206" s="35" t="s">
        <v>70</v>
      </c>
      <c r="M206" s="34" t="str">
        <f t="shared" si="38"/>
        <v xml:space="preserve"> </v>
      </c>
      <c r="N206" s="36">
        <v>63</v>
      </c>
      <c r="O206" s="34" t="str">
        <f t="shared" si="33"/>
        <v>E</v>
      </c>
      <c r="P206" s="35" t="s">
        <v>70</v>
      </c>
      <c r="Q206" s="37" t="str">
        <f t="shared" si="39"/>
        <v xml:space="preserve"> </v>
      </c>
      <c r="R206" s="33" t="s">
        <v>55</v>
      </c>
      <c r="S206" s="34" t="str">
        <f t="shared" si="40"/>
        <v xml:space="preserve"> </v>
      </c>
      <c r="T206" s="35" t="s">
        <v>70</v>
      </c>
      <c r="U206" s="37" t="str">
        <f t="shared" si="41"/>
        <v xml:space="preserve"> </v>
      </c>
      <c r="V206" s="33" t="s">
        <v>103</v>
      </c>
      <c r="W206" s="34" t="str">
        <f t="shared" si="42"/>
        <v/>
      </c>
      <c r="X206" s="35" t="s">
        <v>66</v>
      </c>
      <c r="Y206" s="37" t="str">
        <f t="shared" si="43"/>
        <v xml:space="preserve"> </v>
      </c>
      <c r="Z206" s="35" t="s">
        <v>68</v>
      </c>
      <c r="AA206" s="37" t="str">
        <f t="shared" si="44"/>
        <v xml:space="preserve"> </v>
      </c>
      <c r="AB206" s="33" t="s">
        <v>56</v>
      </c>
      <c r="AC206" s="34" t="str">
        <f t="shared" si="45"/>
        <v xml:space="preserve"> </v>
      </c>
      <c r="AD206" s="35" t="s">
        <v>74</v>
      </c>
      <c r="AE206" s="34" t="str">
        <f t="shared" si="46"/>
        <v xml:space="preserve"> </v>
      </c>
      <c r="AF206" s="35" t="s">
        <v>102</v>
      </c>
      <c r="AG206" s="37" t="str">
        <f t="shared" si="47"/>
        <v xml:space="preserve"> </v>
      </c>
      <c r="AH206" s="4">
        <f>IF(OR(AND(D206&gt;=31,D206&lt;40),AND(H206&gt;=31,H206&lt;40),AND(N206&gt;=31,N206&lt;40),AND(R206&gt;=31,R206&lt;40),AND(V206&gt;=31,V206&lt;40),AND(AB206&gt;=31,AB206&lt;40)),IF(AND(OR(COUNTIF(D206:AG206,"=31")&gt;=1,COUNTIF(D206:AG206,"=32")&gt;=1,COUNTIF(D206:AG206,"=33")&gt;=1,COUNTIF(D206:AG206,"=34")&gt;=1,COUNTIF(D206:AG206,"=35")&gt;=1,COUNTIF(D206:AG206,"=36")&gt;=1 ),COUNTIF(D206:AG206,"")=0,COUNTIF(D206:AG206," ")=0,COUNTIF(D206:AG206,"F")=1),CONCATENATE(SUM(EXTRACTNUMBER(D206),EXTRACTNUMBER(F206),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EXTRACTNUMBER(AD206),EXTRACTNUMBER(AF206)),"*"),IF(AND(COUNTIF(D206:AG206,"=34")&gt;=1,COUNTIF(D206:AG206,"=35")&gt;=1,COUNTIF(D206:AG206,"f")=2,COUNTIF(D206:AG206,"")=0,COUNTIF(D206:AG206,"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EXTRACTNUMBER(AD206),EXTRACTNUMBER(AF206)),"*"),IF(AND(COUNTIF(D206:AG206,"=36")&gt;=2,COUNTIF(D206:AG206,"f")=2,COUNTIF(D206:AG206,"")=0,COUNTIF(D206:AG206,"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EXTRACTNUMBER(AD206),EXTRACTNUMBER(AF206)),"*"),SUM(EXTRACTNUMBER(D206),EXTRACTNUMBER(F206),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EXTRACTNUMBER(AD206),EXTRACTNUMBER(AF206))))),SUM(EXTRACTNUMBER(D206),EXTRACTNUMBER(F206),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EXTRACTNUMBER(AD206),EXTRACTNUMBER(AF206)))</f>
        <v>347</v>
      </c>
      <c r="AI206" s="38" t="str">
        <f t="shared" si="32"/>
        <v>FAIL</v>
      </c>
      <c r="AJ206" s="28" t="str">
        <f>spellnumber(EXTRACTnUMBER_TOT(AH206))</f>
        <v xml:space="preserve">Three Hundred Forty Seven </v>
      </c>
      <c r="AK206" s="9">
        <v>347</v>
      </c>
    </row>
    <row r="207" spans="2:37" ht="15" customHeight="1">
      <c r="B207" s="40">
        <v>223381</v>
      </c>
      <c r="C207" s="42" t="s">
        <v>45</v>
      </c>
      <c r="D207" s="33" t="s">
        <v>416</v>
      </c>
      <c r="E207" s="34" t="str">
        <f t="shared" si="34"/>
        <v xml:space="preserve"> </v>
      </c>
      <c r="F207" s="35" t="s">
        <v>74</v>
      </c>
      <c r="G207" s="34" t="str">
        <f t="shared" si="35"/>
        <v xml:space="preserve"> </v>
      </c>
      <c r="H207" s="36">
        <v>55</v>
      </c>
      <c r="I207" s="34" t="str">
        <f t="shared" si="36"/>
        <v/>
      </c>
      <c r="J207" s="35" t="s">
        <v>72</v>
      </c>
      <c r="K207" s="34" t="str">
        <f t="shared" si="37"/>
        <v xml:space="preserve"> </v>
      </c>
      <c r="L207" s="35" t="s">
        <v>70</v>
      </c>
      <c r="M207" s="34" t="str">
        <f t="shared" si="38"/>
        <v xml:space="preserve"> </v>
      </c>
      <c r="N207" s="36" t="s">
        <v>61</v>
      </c>
      <c r="O207" s="34" t="str">
        <f t="shared" si="33"/>
        <v xml:space="preserve"> </v>
      </c>
      <c r="P207" s="35" t="s">
        <v>74</v>
      </c>
      <c r="Q207" s="37" t="str">
        <f t="shared" si="39"/>
        <v xml:space="preserve"> </v>
      </c>
      <c r="R207" s="33" t="s">
        <v>61</v>
      </c>
      <c r="S207" s="34" t="str">
        <f t="shared" si="40"/>
        <v xml:space="preserve"> </v>
      </c>
      <c r="T207" s="35" t="s">
        <v>74</v>
      </c>
      <c r="U207" s="37" t="str">
        <f t="shared" si="41"/>
        <v xml:space="preserve"> </v>
      </c>
      <c r="V207" s="33" t="s">
        <v>61</v>
      </c>
      <c r="W207" s="34" t="str">
        <f t="shared" si="42"/>
        <v xml:space="preserve"> </v>
      </c>
      <c r="X207" s="35" t="s">
        <v>74</v>
      </c>
      <c r="Y207" s="37" t="str">
        <f t="shared" si="43"/>
        <v xml:space="preserve"> </v>
      </c>
      <c r="Z207" s="35" t="s">
        <v>70</v>
      </c>
      <c r="AA207" s="37" t="str">
        <f t="shared" si="44"/>
        <v xml:space="preserve"> </v>
      </c>
      <c r="AB207" s="33" t="s">
        <v>64</v>
      </c>
      <c r="AC207" s="34" t="str">
        <f t="shared" si="45"/>
        <v xml:space="preserve"> </v>
      </c>
      <c r="AD207" s="35" t="s">
        <v>72</v>
      </c>
      <c r="AE207" s="34" t="str">
        <f t="shared" si="46"/>
        <v xml:space="preserve"> </v>
      </c>
      <c r="AF207" s="35" t="s">
        <v>56</v>
      </c>
      <c r="AG207" s="37" t="str">
        <f t="shared" si="47"/>
        <v xml:space="preserve"> </v>
      </c>
      <c r="AH207" s="4">
        <f>IF(OR(AND(D207&gt;=31,D207&lt;40),AND(H207&gt;=31,H207&lt;40),AND(N207&gt;=31,N207&lt;40),AND(R207&gt;=31,R207&lt;40),AND(V207&gt;=31,V207&lt;40),AND(AB207&gt;=31,AB207&lt;40)),IF(AND(OR(COUNTIF(D207:AG207,"=31")&gt;=1,COUNTIF(D207:AG207,"=32")&gt;=1,COUNTIF(D207:AG207,"=33")&gt;=1,COUNTIF(D207:AG207,"=34")&gt;=1,COUNTIF(D207:AG207,"=35")&gt;=1,COUNTIF(D207:AG207,"=36")&gt;=1 ),COUNTIF(D207:AG207,"")=0,COUNTIF(D207:AG207," ")=0,COUNTIF(D207:AG207,"F")=1),CONCATENATE(SUM(EXTRACTNUMBER(D207),EXTRACTNUMBER(F207),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EXTRACTNUMBER(AD207),EXTRACTNUMBER(AF207)),"*"),IF(AND(COUNTIF(D207:AG207,"=34")&gt;=1,COUNTIF(D207:AG207,"=35")&gt;=1,COUNTIF(D207:AG207,"f")=2,COUNTIF(D207:AG207,"")=0,COUNTIF(D207:AG207,"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EXTRACTNUMBER(AD207),EXTRACTNUMBER(AF207)),"*"),IF(AND(COUNTIF(D207:AG207,"=36")&gt;=2,COUNTIF(D207:AG207,"f")=2,COUNTIF(D207:AG207,"")=0,COUNTIF(D207:AG207,"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EXTRACTNUMBER(AD207),EXTRACTNUMBER(AF207)),"*"),SUM(EXTRACTNUMBER(D207),EXTRACTNUMBER(F207),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EXTRACTNUMBER(AD207),EXTRACTNUMBER(AF207))))),SUM(EXTRACTNUMBER(D207),EXTRACTNUMBER(F207),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EXTRACTNUMBER(AD207),EXTRACTNUMBER(AF207)))</f>
        <v>511</v>
      </c>
      <c r="AI207" s="38" t="str">
        <f t="shared" si="32"/>
        <v>PASS</v>
      </c>
      <c r="AJ207" s="28" t="str">
        <f>spellnumber(EXTRACTnUMBER_TOT(AH207))</f>
        <v xml:space="preserve">Five Hundred Eleven </v>
      </c>
      <c r="AK207" s="9">
        <v>511</v>
      </c>
    </row>
    <row r="208" spans="2:37" ht="15" customHeight="1">
      <c r="B208" s="40">
        <v>223382</v>
      </c>
      <c r="C208" s="42" t="s">
        <v>46</v>
      </c>
      <c r="D208" s="33" t="s">
        <v>61</v>
      </c>
      <c r="E208" s="34" t="str">
        <f t="shared" si="34"/>
        <v xml:space="preserve"> </v>
      </c>
      <c r="F208" s="35" t="s">
        <v>74</v>
      </c>
      <c r="G208" s="34" t="str">
        <f t="shared" si="35"/>
        <v xml:space="preserve"> </v>
      </c>
      <c r="H208" s="36">
        <v>5</v>
      </c>
      <c r="I208" s="34" t="str">
        <f t="shared" si="36"/>
        <v>F</v>
      </c>
      <c r="J208" s="35" t="s">
        <v>74</v>
      </c>
      <c r="K208" s="34" t="str">
        <f t="shared" si="37"/>
        <v xml:space="preserve"> </v>
      </c>
      <c r="L208" s="35" t="s">
        <v>66</v>
      </c>
      <c r="M208" s="34" t="str">
        <f t="shared" si="38"/>
        <v xml:space="preserve"> </v>
      </c>
      <c r="N208" s="36" t="s">
        <v>56</v>
      </c>
      <c r="O208" s="34" t="str">
        <f t="shared" si="33"/>
        <v xml:space="preserve"> </v>
      </c>
      <c r="P208" s="35" t="s">
        <v>74</v>
      </c>
      <c r="Q208" s="37" t="str">
        <f t="shared" si="39"/>
        <v xml:space="preserve"> </v>
      </c>
      <c r="R208" s="33" t="s">
        <v>56</v>
      </c>
      <c r="S208" s="34" t="str">
        <f t="shared" si="40"/>
        <v xml:space="preserve"> </v>
      </c>
      <c r="T208" s="35" t="s">
        <v>74</v>
      </c>
      <c r="U208" s="37" t="str">
        <f t="shared" si="41"/>
        <v xml:space="preserve"> </v>
      </c>
      <c r="V208" s="33" t="s">
        <v>56</v>
      </c>
      <c r="W208" s="34" t="str">
        <f t="shared" si="42"/>
        <v xml:space="preserve"> </v>
      </c>
      <c r="X208" s="35" t="s">
        <v>72</v>
      </c>
      <c r="Y208" s="37" t="str">
        <f t="shared" si="43"/>
        <v xml:space="preserve"> </v>
      </c>
      <c r="Z208" s="35" t="s">
        <v>66</v>
      </c>
      <c r="AA208" s="37" t="str">
        <f t="shared" si="44"/>
        <v xml:space="preserve"> </v>
      </c>
      <c r="AB208" s="33">
        <v>32</v>
      </c>
      <c r="AC208" s="34" t="str">
        <f t="shared" si="45"/>
        <v>F</v>
      </c>
      <c r="AD208" s="35" t="s">
        <v>72</v>
      </c>
      <c r="AE208" s="34" t="str">
        <f t="shared" si="46"/>
        <v xml:space="preserve"> </v>
      </c>
      <c r="AF208" s="35" t="s">
        <v>56</v>
      </c>
      <c r="AG208" s="37" t="str">
        <f t="shared" si="47"/>
        <v xml:space="preserve"> </v>
      </c>
      <c r="AH208" s="4">
        <f>IF(OR(AND(D208&gt;=31,D208&lt;40),AND(H208&gt;=31,H208&lt;40),AND(N208&gt;=31,N208&lt;40),AND(R208&gt;=31,R208&lt;40),AND(V208&gt;=31,V208&lt;40),AND(AB208&gt;=31,AB208&lt;40)),IF(AND(OR(COUNTIF(D208:AG208,"=31")&gt;=1,COUNTIF(D208:AG208,"=32")&gt;=1,COUNTIF(D208:AG208,"=33")&gt;=1,COUNTIF(D208:AG208,"=34")&gt;=1,COUNTIF(D208:AG208,"=35")&gt;=1,COUNTIF(D208:AG208,"=36")&gt;=1 ),COUNTIF(D208:AG208,"")=0,COUNTIF(D208:AG208," ")=0,COUNTIF(D208:AG208,"F")=1),CONCATENATE(SUM(EXTRACTNUMBER(D208),EXTRACTNUMBER(F208),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EXTRACTNUMBER(AD208),EXTRACTNUMBER(AF208)),"*"),IF(AND(COUNTIF(D208:AG208,"=34")&gt;=1,COUNTIF(D208:AG208,"=35")&gt;=1,COUNTIF(D208:AG208,"f")=2,COUNTIF(D208:AG208,"")=0,COUNTIF(D208:AG208,"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EXTRACTNUMBER(AD208),EXTRACTNUMBER(AF208)),"*"),IF(AND(COUNTIF(D208:AG208,"=36")&gt;=2,COUNTIF(D208:AG208,"f")=2,COUNTIF(D208:AG208,"")=0,COUNTIF(D208:AG208,"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EXTRACTNUMBER(AD208),EXTRACTNUMBER(AF208)),"*"),SUM(EXTRACTNUMBER(D208),EXTRACTNUMBER(F208),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EXTRACTNUMBER(AD208),EXTRACTNUMBER(AF208))))),SUM(EXTRACTNUMBER(D208),EXTRACTNUMBER(F208),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EXTRACTNUMBER(AD208),EXTRACTNUMBER(AF208)))</f>
        <v>395</v>
      </c>
      <c r="AI208" s="38" t="str">
        <f t="shared" si="32"/>
        <v>FAIL</v>
      </c>
      <c r="AJ208" s="28" t="str">
        <f>spellnumber(EXTRACTnUMBER_TOT(AH208))</f>
        <v xml:space="preserve">Three Hundred NinetyFive </v>
      </c>
      <c r="AK208" s="9">
        <v>395</v>
      </c>
    </row>
    <row r="209" spans="2:37" ht="15" customHeight="1">
      <c r="B209" s="40">
        <v>223383</v>
      </c>
      <c r="C209" s="42" t="s">
        <v>316</v>
      </c>
      <c r="D209" s="33">
        <v>22</v>
      </c>
      <c r="E209" s="34" t="str">
        <f t="shared" si="34"/>
        <v>F</v>
      </c>
      <c r="F209" s="35" t="s">
        <v>67</v>
      </c>
      <c r="G209" s="34" t="str">
        <f t="shared" si="35"/>
        <v xml:space="preserve"> </v>
      </c>
      <c r="H209" s="36" t="s">
        <v>56</v>
      </c>
      <c r="I209" s="34" t="str">
        <f t="shared" si="36"/>
        <v xml:space="preserve"> </v>
      </c>
      <c r="J209" s="35" t="s">
        <v>74</v>
      </c>
      <c r="K209" s="34" t="str">
        <f t="shared" si="37"/>
        <v xml:space="preserve"> </v>
      </c>
      <c r="L209" s="35" t="s">
        <v>74</v>
      </c>
      <c r="M209" s="34" t="str">
        <f t="shared" si="38"/>
        <v xml:space="preserve"> </v>
      </c>
      <c r="N209" s="36" t="s">
        <v>79</v>
      </c>
      <c r="O209" s="34" t="str">
        <f t="shared" si="33"/>
        <v xml:space="preserve"> </v>
      </c>
      <c r="P209" s="35" t="s">
        <v>74</v>
      </c>
      <c r="Q209" s="37" t="str">
        <f t="shared" si="39"/>
        <v xml:space="preserve"> </v>
      </c>
      <c r="R209" s="33" t="s">
        <v>80</v>
      </c>
      <c r="S209" s="34" t="str">
        <f t="shared" si="40"/>
        <v xml:space="preserve"> </v>
      </c>
      <c r="T209" s="35" t="s">
        <v>74</v>
      </c>
      <c r="U209" s="37" t="str">
        <f t="shared" si="41"/>
        <v xml:space="preserve"> </v>
      </c>
      <c r="V209" s="33" t="s">
        <v>61</v>
      </c>
      <c r="W209" s="34" t="str">
        <f t="shared" si="42"/>
        <v xml:space="preserve"> </v>
      </c>
      <c r="X209" s="35" t="s">
        <v>74</v>
      </c>
      <c r="Y209" s="37" t="str">
        <f t="shared" si="43"/>
        <v xml:space="preserve"> </v>
      </c>
      <c r="Z209" s="35" t="s">
        <v>74</v>
      </c>
      <c r="AA209" s="37" t="str">
        <f t="shared" si="44"/>
        <v xml:space="preserve"> </v>
      </c>
      <c r="AB209" s="33" t="s">
        <v>58</v>
      </c>
      <c r="AC209" s="34" t="str">
        <f t="shared" si="45"/>
        <v xml:space="preserve"> </v>
      </c>
      <c r="AD209" s="35" t="s">
        <v>72</v>
      </c>
      <c r="AE209" s="34" t="str">
        <f t="shared" si="46"/>
        <v xml:space="preserve"> </v>
      </c>
      <c r="AF209" s="35" t="s">
        <v>98</v>
      </c>
      <c r="AG209" s="37" t="str">
        <f t="shared" si="47"/>
        <v xml:space="preserve"> </v>
      </c>
      <c r="AH209" s="4">
        <f>IF(OR(AND(D209&gt;=31,D209&lt;40),AND(H209&gt;=31,H209&lt;40),AND(N209&gt;=31,N209&lt;40),AND(R209&gt;=31,R209&lt;40),AND(V209&gt;=31,V209&lt;40),AND(AB209&gt;=31,AB209&lt;40)),IF(AND(OR(COUNTIF(D209:AG209,"=31")&gt;=1,COUNTIF(D209:AG209,"=32")&gt;=1,COUNTIF(D209:AG209,"=33")&gt;=1,COUNTIF(D209:AG209,"=34")&gt;=1,COUNTIF(D209:AG209,"=35")&gt;=1,COUNTIF(D209:AG209,"=36")&gt;=1 ),COUNTIF(D209:AG209,"")=0,COUNTIF(D209:AG209," ")=0,COUNTIF(D209:AG209,"F")=1),CONCATENATE(SUM(EXTRACTNUMBER(D209),EXTRACTNUMBER(F209),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EXTRACTNUMBER(AD209),EXTRACTNUMBER(AF209)),"*"),IF(AND(COUNTIF(D209:AG209,"=34")&gt;=1,COUNTIF(D209:AG209,"=35")&gt;=1,COUNTIF(D209:AG209,"f")=2,COUNTIF(D209:AG209,"")=0,COUNTIF(D209:AG209,"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EXTRACTNUMBER(AD209),EXTRACTNUMBER(AF209)),"*"),IF(AND(COUNTIF(D209:AG209,"=36")&gt;=2,COUNTIF(D209:AG209,"f")=2,COUNTIF(D209:AG209,"")=0,COUNTIF(D209:AG209,"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EXTRACTNUMBER(AD209),EXTRACTNUMBER(AF209)),"*"),SUM(EXTRACTNUMBER(D209),EXTRACTNUMBER(F209),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EXTRACTNUMBER(AD209),EXTRACTNUMBER(AF209))))),SUM(EXTRACTNUMBER(D209),EXTRACTNUMBER(F209),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EXTRACTNUMBER(AD209),EXTRACTNUMBER(AF209)))</f>
        <v>444</v>
      </c>
      <c r="AI209" s="38" t="str">
        <f t="shared" si="32"/>
        <v>FAIL</v>
      </c>
      <c r="AJ209" s="28" t="str">
        <f>spellnumber(EXTRACTnUMBER_TOT(AH209))</f>
        <v xml:space="preserve">Four Hundred Forty Four </v>
      </c>
      <c r="AK209" s="9">
        <v>444</v>
      </c>
    </row>
    <row r="210" spans="2:37" ht="15" customHeight="1">
      <c r="B210" s="40">
        <v>223384</v>
      </c>
      <c r="C210" s="42" t="s">
        <v>317</v>
      </c>
      <c r="D210" s="33" t="s">
        <v>56</v>
      </c>
      <c r="E210" s="34" t="str">
        <f t="shared" si="34"/>
        <v xml:space="preserve"> </v>
      </c>
      <c r="F210" s="35" t="s">
        <v>66</v>
      </c>
      <c r="G210" s="34" t="str">
        <f t="shared" si="35"/>
        <v xml:space="preserve"> </v>
      </c>
      <c r="H210" s="36" t="s">
        <v>103</v>
      </c>
      <c r="I210" s="34" t="str">
        <f t="shared" si="36"/>
        <v/>
      </c>
      <c r="J210" s="35" t="s">
        <v>70</v>
      </c>
      <c r="K210" s="34" t="str">
        <f t="shared" si="37"/>
        <v xml:space="preserve"> </v>
      </c>
      <c r="L210" s="35" t="s">
        <v>71</v>
      </c>
      <c r="M210" s="34" t="str">
        <f t="shared" si="38"/>
        <v xml:space="preserve"> </v>
      </c>
      <c r="N210" s="36" t="s">
        <v>56</v>
      </c>
      <c r="O210" s="34" t="str">
        <f t="shared" si="33"/>
        <v xml:space="preserve"> </v>
      </c>
      <c r="P210" s="35" t="s">
        <v>75</v>
      </c>
      <c r="Q210" s="37" t="str">
        <f t="shared" si="39"/>
        <v xml:space="preserve"> </v>
      </c>
      <c r="R210" s="33" t="s">
        <v>64</v>
      </c>
      <c r="S210" s="34" t="str">
        <f t="shared" si="40"/>
        <v xml:space="preserve"> </v>
      </c>
      <c r="T210" s="35" t="s">
        <v>72</v>
      </c>
      <c r="U210" s="37" t="str">
        <f t="shared" si="41"/>
        <v xml:space="preserve"> </v>
      </c>
      <c r="V210" s="33" t="s">
        <v>78</v>
      </c>
      <c r="W210" s="34" t="str">
        <f t="shared" si="42"/>
        <v xml:space="preserve"> </v>
      </c>
      <c r="X210" s="35" t="s">
        <v>70</v>
      </c>
      <c r="Y210" s="37" t="str">
        <f t="shared" si="43"/>
        <v xml:space="preserve"> </v>
      </c>
      <c r="Z210" s="35" t="s">
        <v>74</v>
      </c>
      <c r="AA210" s="37" t="str">
        <f t="shared" si="44"/>
        <v xml:space="preserve"> </v>
      </c>
      <c r="AB210" s="33" t="s">
        <v>56</v>
      </c>
      <c r="AC210" s="34" t="str">
        <f t="shared" si="45"/>
        <v xml:space="preserve"> </v>
      </c>
      <c r="AD210" s="35" t="s">
        <v>75</v>
      </c>
      <c r="AE210" s="34" t="str">
        <f t="shared" si="46"/>
        <v xml:space="preserve"> </v>
      </c>
      <c r="AF210" s="35" t="s">
        <v>56</v>
      </c>
      <c r="AG210" s="37" t="str">
        <f t="shared" si="47"/>
        <v xml:space="preserve"> </v>
      </c>
      <c r="AH210" s="4">
        <f>IF(OR(AND(D210&gt;=31,D210&lt;40),AND(H210&gt;=31,H210&lt;40),AND(N210&gt;=31,N210&lt;40),AND(R210&gt;=31,R210&lt;40),AND(V210&gt;=31,V210&lt;40),AND(AB210&gt;=31,AB210&lt;40)),IF(AND(OR(COUNTIF(D210:AG210,"=31")&gt;=1,COUNTIF(D210:AG210,"=32")&gt;=1,COUNTIF(D210:AG210,"=33")&gt;=1,COUNTIF(D210:AG210,"=34")&gt;=1,COUNTIF(D210:AG210,"=35")&gt;=1,COUNTIF(D210:AG210,"=36")&gt;=1 ),COUNTIF(D210:AG210,"")=0,COUNTIF(D210:AG210," ")=0,COUNTIF(D210:AG210,"F")=1),CONCATENATE(SUM(EXTRACTNUMBER(D210),EXTRACTNUMBER(F210),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EXTRACTNUMBER(AD210),EXTRACTNUMBER(AF210)),"*"),IF(AND(COUNTIF(D210:AG210,"=34")&gt;=1,COUNTIF(D210:AG210,"=35")&gt;=1,COUNTIF(D210:AG210,"f")=2,COUNTIF(D210:AG210,"")=0,COUNTIF(D210:AG210," ")=0),CONCATENATE(SUM(EXTRACTNUMBER(D210),EXTRACTNUMBER(F210),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EXTRACTNUMBER(AD210),EXTRACTNUMBER(AF210)),"*"),IF(AND(COUNTIF(D210:AG210,"=36")&gt;=2,COUNTIF(D210:AG210,"f")=2,COUNTIF(D210:AG210,"")=0,COUNTIF(D210:AG210," ")=0),CONCATENATE(SUM(EXTRACTNUMBER(D210),EXTRACTNUMBER(F210),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EXTRACTNUMBER(AD210),EXTRACTNUMBER(AF210)),"*"),SUM(EXTRACTNUMBER(D210),EXTRACTNUMBER(F210),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EXTRACTNUMBER(AD210),EXTRACTNUMBER(AF210))))),SUM(EXTRACTNUMBER(D210),EXTRACTNUMBER(F210),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EXTRACTNUMBER(AD210),EXTRACTNUMBER(AF210)))</f>
        <v>419</v>
      </c>
      <c r="AI210" s="38" t="str">
        <f t="shared" si="32"/>
        <v>ABSENT</v>
      </c>
      <c r="AJ210" s="28" t="str">
        <f>spellnumber(EXTRACTnUMBER_TOT(AH210))</f>
        <v xml:space="preserve">Four Hundred Nineteen </v>
      </c>
      <c r="AK210" s="9">
        <v>419</v>
      </c>
    </row>
    <row r="211" spans="2:37" ht="15" customHeight="1">
      <c r="B211" s="40">
        <v>223385</v>
      </c>
      <c r="C211" s="42" t="s">
        <v>47</v>
      </c>
      <c r="D211" s="33" t="s">
        <v>56</v>
      </c>
      <c r="E211" s="34" t="str">
        <f t="shared" si="34"/>
        <v xml:space="preserve"> </v>
      </c>
      <c r="F211" s="35" t="s">
        <v>67</v>
      </c>
      <c r="G211" s="34" t="str">
        <f t="shared" si="35"/>
        <v xml:space="preserve"> </v>
      </c>
      <c r="H211" s="36" t="s">
        <v>56</v>
      </c>
      <c r="I211" s="34" t="str">
        <f t="shared" si="36"/>
        <v xml:space="preserve"> </v>
      </c>
      <c r="J211" s="35" t="s">
        <v>75</v>
      </c>
      <c r="K211" s="34" t="str">
        <f t="shared" si="37"/>
        <v xml:space="preserve"> </v>
      </c>
      <c r="L211" s="35" t="s">
        <v>73</v>
      </c>
      <c r="M211" s="34" t="str">
        <f t="shared" si="38"/>
        <v xml:space="preserve"> </v>
      </c>
      <c r="N211" s="36" t="s">
        <v>88</v>
      </c>
      <c r="O211" s="34" t="str">
        <f t="shared" si="33"/>
        <v xml:space="preserve"> </v>
      </c>
      <c r="P211" s="35" t="s">
        <v>66</v>
      </c>
      <c r="Q211" s="37" t="str">
        <f t="shared" si="39"/>
        <v xml:space="preserve"> </v>
      </c>
      <c r="R211" s="33" t="s">
        <v>56</v>
      </c>
      <c r="S211" s="34" t="str">
        <f t="shared" si="40"/>
        <v xml:space="preserve"> </v>
      </c>
      <c r="T211" s="35" t="s">
        <v>70</v>
      </c>
      <c r="U211" s="37" t="str">
        <f t="shared" si="41"/>
        <v xml:space="preserve"> </v>
      </c>
      <c r="V211" s="33">
        <v>45</v>
      </c>
      <c r="W211" s="34" t="str">
        <f t="shared" si="42"/>
        <v/>
      </c>
      <c r="X211" s="35" t="s">
        <v>75</v>
      </c>
      <c r="Y211" s="37" t="str">
        <f t="shared" si="43"/>
        <v xml:space="preserve"> </v>
      </c>
      <c r="Z211" s="35" t="s">
        <v>73</v>
      </c>
      <c r="AA211" s="37" t="str">
        <f t="shared" si="44"/>
        <v xml:space="preserve"> </v>
      </c>
      <c r="AB211" s="33" t="s">
        <v>57</v>
      </c>
      <c r="AC211" s="34" t="str">
        <f t="shared" si="45"/>
        <v xml:space="preserve"> </v>
      </c>
      <c r="AD211" s="35" t="s">
        <v>74</v>
      </c>
      <c r="AE211" s="34" t="str">
        <f t="shared" si="46"/>
        <v xml:space="preserve"> </v>
      </c>
      <c r="AF211" s="35" t="s">
        <v>65</v>
      </c>
      <c r="AG211" s="37" t="str">
        <f t="shared" si="47"/>
        <v xml:space="preserve"> </v>
      </c>
      <c r="AH211" s="4">
        <f>IF(OR(AND(D211&gt;=31,D211&lt;40),AND(H211&gt;=31,H211&lt;40),AND(N211&gt;=31,N211&lt;40),AND(R211&gt;=31,R211&lt;40),AND(V211&gt;=31,V211&lt;40),AND(AB211&gt;=31,AB211&lt;40)),IF(AND(OR(COUNTIF(D211:AG211,"=31")&gt;=1,COUNTIF(D211:AG211,"=32")&gt;=1,COUNTIF(D211:AG211,"=33")&gt;=1,COUNTIF(D211:AG211,"=34")&gt;=1,COUNTIF(D211:AG211,"=35")&gt;=1,COUNTIF(D211:AG211,"=36")&gt;=1 ),COUNTIF(D211:AG211,"")=0,COUNTIF(D211:AG211," ")=0,COUNTIF(D211:AG211,"F")=1),CONCATENATE(SUM(EXTRACTNUMBER(D211),EXTRACTNUMBER(F211),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EXTRACTNUMBER(AD211),EXTRACTNUMBER(AF211)),"*"),IF(AND(COUNTIF(D211:AG211,"=34")&gt;=1,COUNTIF(D211:AG211,"=35")&gt;=1,COUNTIF(D211:AG211,"f")=2,COUNTIF(D211:AG211,"")=0,COUNTIF(D211:AG211," ")=0),CONCATENATE(SUM(EXTRACTNUMBER(D211),EXTRACTNUMBER(F211),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EXTRACTNUMBER(AD211),EXTRACTNUMBER(AF211)),"*"),IF(AND(COUNTIF(D211:AG211,"=36")&gt;=2,COUNTIF(D211:AG211,"f")=2,COUNTIF(D211:AG211,"")=0,COUNTIF(D211:AG211," ")=0),CONCATENATE(SUM(EXTRACTNUMBER(D211),EXTRACTNUMBER(F211),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EXTRACTNUMBER(AD211),EXTRACTNUMBER(AF211)),"*"),SUM(EXTRACTNUMBER(D211),EXTRACTNUMBER(F211),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EXTRACTNUMBER(AD211),EXTRACTNUMBER(AF211))))),SUM(EXTRACTNUMBER(D211),EXTRACTNUMBER(F211),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EXTRACTNUMBER(AD211),EXTRACTNUMBER(AF211)))</f>
        <v>472</v>
      </c>
      <c r="AI211" s="38" t="str">
        <f t="shared" si="32"/>
        <v>PASS</v>
      </c>
      <c r="AJ211" s="28" t="str">
        <f>spellnumber(EXTRACTnUMBER_TOT(AH211))</f>
        <v xml:space="preserve">Four Hundred Seventy Two </v>
      </c>
      <c r="AK211" s="9">
        <v>472</v>
      </c>
    </row>
    <row r="212" spans="2:37" ht="15" customHeight="1">
      <c r="B212" s="40">
        <v>223386</v>
      </c>
      <c r="C212" s="42" t="s">
        <v>318</v>
      </c>
      <c r="D212" s="33">
        <v>10</v>
      </c>
      <c r="E212" s="34" t="str">
        <f t="shared" si="34"/>
        <v>F</v>
      </c>
      <c r="F212" s="35" t="s">
        <v>67</v>
      </c>
      <c r="G212" s="34" t="str">
        <f t="shared" si="35"/>
        <v xml:space="preserve"> </v>
      </c>
      <c r="H212" s="36">
        <v>40</v>
      </c>
      <c r="I212" s="34" t="str">
        <f t="shared" si="36"/>
        <v>E</v>
      </c>
      <c r="J212" s="35" t="s">
        <v>75</v>
      </c>
      <c r="K212" s="34" t="str">
        <f t="shared" si="37"/>
        <v xml:space="preserve"> </v>
      </c>
      <c r="L212" s="35" t="s">
        <v>73</v>
      </c>
      <c r="M212" s="34" t="str">
        <f t="shared" si="38"/>
        <v xml:space="preserve"> </v>
      </c>
      <c r="N212" s="36" t="s">
        <v>56</v>
      </c>
      <c r="O212" s="34" t="str">
        <f t="shared" si="33"/>
        <v xml:space="preserve"> </v>
      </c>
      <c r="P212" s="35" t="s">
        <v>70</v>
      </c>
      <c r="Q212" s="37" t="str">
        <f t="shared" si="39"/>
        <v xml:space="preserve"> </v>
      </c>
      <c r="R212" s="33" t="s">
        <v>56</v>
      </c>
      <c r="S212" s="34" t="str">
        <f t="shared" si="40"/>
        <v xml:space="preserve"> </v>
      </c>
      <c r="T212" s="35" t="s">
        <v>74</v>
      </c>
      <c r="U212" s="37" t="str">
        <f t="shared" si="41"/>
        <v xml:space="preserve"> </v>
      </c>
      <c r="V212" s="33" t="s">
        <v>56</v>
      </c>
      <c r="W212" s="34" t="str">
        <f t="shared" si="42"/>
        <v xml:space="preserve"> </v>
      </c>
      <c r="X212" s="35" t="s">
        <v>72</v>
      </c>
      <c r="Y212" s="37" t="str">
        <f t="shared" si="43"/>
        <v xml:space="preserve"> </v>
      </c>
      <c r="Z212" s="35" t="s">
        <v>75</v>
      </c>
      <c r="AA212" s="37" t="str">
        <f t="shared" si="44"/>
        <v xml:space="preserve"> </v>
      </c>
      <c r="AB212" s="33" t="s">
        <v>56</v>
      </c>
      <c r="AC212" s="34" t="str">
        <f t="shared" si="45"/>
        <v xml:space="preserve"> </v>
      </c>
      <c r="AD212" s="35" t="s">
        <v>74</v>
      </c>
      <c r="AE212" s="34" t="str">
        <f t="shared" si="46"/>
        <v xml:space="preserve"> </v>
      </c>
      <c r="AF212" s="35" t="s">
        <v>61</v>
      </c>
      <c r="AG212" s="37" t="str">
        <f t="shared" si="47"/>
        <v xml:space="preserve"> </v>
      </c>
      <c r="AH212" s="4">
        <f>IF(OR(AND(D212&gt;=31,D212&lt;40),AND(H212&gt;=31,H212&lt;40),AND(N212&gt;=31,N212&lt;40),AND(R212&gt;=31,R212&lt;40),AND(V212&gt;=31,V212&lt;40),AND(AB212&gt;=31,AB212&lt;40)),IF(AND(OR(COUNTIF(D212:AG212,"=31")&gt;=1,COUNTIF(D212:AG212,"=32")&gt;=1,COUNTIF(D212:AG212,"=33")&gt;=1,COUNTIF(D212:AG212,"=34")&gt;=1,COUNTIF(D212:AG212,"=35")&gt;=1,COUNTIF(D212:AG212,"=36")&gt;=1 ),COUNTIF(D212:AG212,"")=0,COUNTIF(D212:AG212," ")=0,COUNTIF(D212:AG212,"F")=1),CONCATENATE(SUM(EXTRACTNUMBER(D212),EXTRACTNUMBER(F212),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EXTRACTNUMBER(AD212),EXTRACTNUMBER(AF212)),"*"),IF(AND(COUNTIF(D212:AG212,"=34")&gt;=1,COUNTIF(D212:AG212,"=35")&gt;=1,COUNTIF(D212:AG212,"f")=2,COUNTIF(D212:AG212,"")=0,COUNTIF(D212:AG212," ")=0),CONCATENATE(SUM(EXTRACTNUMBER(D212),EXTRACTNUMBER(F212),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EXTRACTNUMBER(AD212),EXTRACTNUMBER(AF212)),"*"),IF(AND(COUNTIF(D212:AG212,"=36")&gt;=2,COUNTIF(D212:AG212,"f")=2,COUNTIF(D212:AG212,"")=0,COUNTIF(D212:AG212," ")=0),CONCATENATE(SUM(EXTRACTNUMBER(D212),EXTRACTNUMBER(F212),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EXTRACTNUMBER(AD212),EXTRACTNUMBER(AF212)),"*"),SUM(EXTRACTNUMBER(D212),EXTRACTNUMBER(F212),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EXTRACTNUMBER(AD212),EXTRACTNUMBER(AF212))))),SUM(EXTRACTNUMBER(D212),EXTRACTNUMBER(F212),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EXTRACTNUMBER(AD212),EXTRACTNUMBER(AF212)))</f>
        <v>417</v>
      </c>
      <c r="AI212" s="38" t="str">
        <f t="shared" si="32"/>
        <v>FAIL</v>
      </c>
      <c r="AJ212" s="28" t="str">
        <f>spellnumber(EXTRACTnUMBER_TOT(AH212))</f>
        <v xml:space="preserve">Four Hundred Seventeen </v>
      </c>
      <c r="AK212" s="9">
        <v>417</v>
      </c>
    </row>
    <row r="213" spans="2:37" ht="15" customHeight="1">
      <c r="B213" s="40">
        <v>223387</v>
      </c>
      <c r="C213" s="42" t="s">
        <v>48</v>
      </c>
      <c r="D213" s="33" t="s">
        <v>417</v>
      </c>
      <c r="E213" s="34" t="str">
        <f t="shared" si="34"/>
        <v xml:space="preserve"> </v>
      </c>
      <c r="F213" s="35" t="s">
        <v>66</v>
      </c>
      <c r="G213" s="34" t="str">
        <f t="shared" si="35"/>
        <v xml:space="preserve"> </v>
      </c>
      <c r="H213" s="36" t="s">
        <v>103</v>
      </c>
      <c r="I213" s="34" t="str">
        <f t="shared" si="36"/>
        <v/>
      </c>
      <c r="J213" s="35" t="s">
        <v>73</v>
      </c>
      <c r="K213" s="34" t="str">
        <f t="shared" si="37"/>
        <v xml:space="preserve"> </v>
      </c>
      <c r="L213" s="35" t="s">
        <v>70</v>
      </c>
      <c r="M213" s="34" t="str">
        <f t="shared" si="38"/>
        <v xml:space="preserve"> </v>
      </c>
      <c r="N213" s="36" t="s">
        <v>63</v>
      </c>
      <c r="O213" s="34" t="str">
        <f t="shared" si="33"/>
        <v xml:space="preserve"> </v>
      </c>
      <c r="P213" s="35" t="s">
        <v>74</v>
      </c>
      <c r="Q213" s="37" t="str">
        <f t="shared" si="39"/>
        <v xml:space="preserve"> </v>
      </c>
      <c r="R213" s="33" t="s">
        <v>64</v>
      </c>
      <c r="S213" s="34" t="str">
        <f t="shared" si="40"/>
        <v xml:space="preserve"> </v>
      </c>
      <c r="T213" s="35" t="s">
        <v>72</v>
      </c>
      <c r="U213" s="37" t="str">
        <f t="shared" si="41"/>
        <v xml:space="preserve"> </v>
      </c>
      <c r="V213" s="33" t="s">
        <v>56</v>
      </c>
      <c r="W213" s="34" t="str">
        <f t="shared" si="42"/>
        <v xml:space="preserve"> </v>
      </c>
      <c r="X213" s="35" t="s">
        <v>68</v>
      </c>
      <c r="Y213" s="37" t="str">
        <f t="shared" si="43"/>
        <v xml:space="preserve"> </v>
      </c>
      <c r="Z213" s="35" t="s">
        <v>68</v>
      </c>
      <c r="AA213" s="37" t="str">
        <f t="shared" si="44"/>
        <v xml:space="preserve"> </v>
      </c>
      <c r="AB213" s="33">
        <v>24</v>
      </c>
      <c r="AC213" s="34" t="str">
        <f t="shared" si="45"/>
        <v>F</v>
      </c>
      <c r="AD213" s="35" t="s">
        <v>75</v>
      </c>
      <c r="AE213" s="34" t="str">
        <f t="shared" si="46"/>
        <v xml:space="preserve"> </v>
      </c>
      <c r="AF213" s="35" t="s">
        <v>99</v>
      </c>
      <c r="AG213" s="37" t="str">
        <f t="shared" si="47"/>
        <v xml:space="preserve"> </v>
      </c>
      <c r="AH213" s="4">
        <f>IF(OR(AND(D213&gt;=31,D213&lt;40),AND(H213&gt;=31,H213&lt;40),AND(N213&gt;=31,N213&lt;40),AND(R213&gt;=31,R213&lt;40),AND(V213&gt;=31,V213&lt;40),AND(AB213&gt;=31,AB213&lt;40)),IF(AND(OR(COUNTIF(D213:AG213,"=31")&gt;=1,COUNTIF(D213:AG213,"=32")&gt;=1,COUNTIF(D213:AG213,"=33")&gt;=1,COUNTIF(D213:AG213,"=34")&gt;=1,COUNTIF(D213:AG213,"=35")&gt;=1,COUNTIF(D213:AG213,"=36")&gt;=1 ),COUNTIF(D213:AG213,"")=0,COUNTIF(D213:AG213," ")=0,COUNTIF(D213:AG213,"F")=1),CONCATENATE(SUM(EXTRACTNUMBER(D213),EXTRACTNUMBER(F213),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EXTRACTNUMBER(AD213),EXTRACTNUMBER(AF213)),"*"),IF(AND(COUNTIF(D213:AG213,"=34")&gt;=1,COUNTIF(D213:AG213,"=35")&gt;=1,COUNTIF(D213:AG213,"f")=2,COUNTIF(D213:AG213,"")=0,COUNTIF(D213:AG213," ")=0),CONCATENATE(SUM(EXTRACTNUMBER(D213),EXTRACTNUMBER(F213),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EXTRACTNUMBER(AD213),EXTRACTNUMBER(AF213)),"*"),IF(AND(COUNTIF(D213:AG213,"=36")&gt;=2,COUNTIF(D213:AG213,"f")=2,COUNTIF(D213:AG213,"")=0,COUNTIF(D213:AG213," ")=0),CONCATENATE(SUM(EXTRACTNUMBER(D213),EXTRACTNUMBER(F213),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EXTRACTNUMBER(AD213),EXTRACTNUMBER(AF213)),"*"),SUM(EXTRACTNUMBER(D213),EXTRACTNUMBER(F213),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EXTRACTNUMBER(AD213),EXTRACTNUMBER(AF213))))),SUM(EXTRACTNUMBER(D213),EXTRACTNUMBER(F213),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EXTRACTNUMBER(AD213),EXTRACTNUMBER(AF213)))</f>
        <v>421</v>
      </c>
      <c r="AI213" s="38" t="str">
        <f t="shared" si="32"/>
        <v>FAIL</v>
      </c>
      <c r="AJ213" s="28" t="str">
        <f>spellnumber(EXTRACTnUMBER_TOT(AH213))</f>
        <v xml:space="preserve">Four Hundred Twenty One </v>
      </c>
      <c r="AK213" s="9">
        <v>421</v>
      </c>
    </row>
    <row r="214" spans="2:37" ht="15" customHeight="1">
      <c r="B214" s="40">
        <v>223388</v>
      </c>
      <c r="C214" s="42" t="s">
        <v>319</v>
      </c>
      <c r="D214" s="33" t="s">
        <v>80</v>
      </c>
      <c r="E214" s="34" t="str">
        <f t="shared" si="34"/>
        <v xml:space="preserve"> </v>
      </c>
      <c r="F214" s="35" t="s">
        <v>66</v>
      </c>
      <c r="G214" s="34" t="str">
        <f t="shared" si="35"/>
        <v xml:space="preserve"> </v>
      </c>
      <c r="H214" s="36">
        <v>45</v>
      </c>
      <c r="I214" s="34" t="str">
        <f t="shared" si="36"/>
        <v/>
      </c>
      <c r="J214" s="35" t="s">
        <v>74</v>
      </c>
      <c r="K214" s="34" t="str">
        <f t="shared" si="37"/>
        <v xml:space="preserve"> </v>
      </c>
      <c r="L214" s="35" t="s">
        <v>72</v>
      </c>
      <c r="M214" s="34" t="str">
        <f t="shared" si="38"/>
        <v xml:space="preserve"> </v>
      </c>
      <c r="N214" s="36" t="s">
        <v>59</v>
      </c>
      <c r="O214" s="34" t="str">
        <f t="shared" si="33"/>
        <v xml:space="preserve"> </v>
      </c>
      <c r="P214" s="35" t="s">
        <v>72</v>
      </c>
      <c r="Q214" s="37" t="str">
        <f t="shared" si="39"/>
        <v xml:space="preserve"> </v>
      </c>
      <c r="R214" s="33" t="s">
        <v>63</v>
      </c>
      <c r="S214" s="34" t="str">
        <f t="shared" si="40"/>
        <v xml:space="preserve"> </v>
      </c>
      <c r="T214" s="35" t="s">
        <v>72</v>
      </c>
      <c r="U214" s="37" t="str">
        <f t="shared" si="41"/>
        <v xml:space="preserve"> </v>
      </c>
      <c r="V214" s="33" t="s">
        <v>62</v>
      </c>
      <c r="W214" s="34" t="str">
        <f t="shared" si="42"/>
        <v xml:space="preserve"> </v>
      </c>
      <c r="X214" s="35" t="s">
        <v>71</v>
      </c>
      <c r="Y214" s="37" t="str">
        <f t="shared" si="43"/>
        <v xml:space="preserve"> </v>
      </c>
      <c r="Z214" s="35" t="s">
        <v>70</v>
      </c>
      <c r="AA214" s="37" t="str">
        <f t="shared" si="44"/>
        <v xml:space="preserve"> </v>
      </c>
      <c r="AB214" s="33">
        <v>40</v>
      </c>
      <c r="AC214" s="34" t="str">
        <f t="shared" si="45"/>
        <v/>
      </c>
      <c r="AD214" s="35" t="s">
        <v>72</v>
      </c>
      <c r="AE214" s="34" t="str">
        <f t="shared" si="46"/>
        <v xml:space="preserve"> </v>
      </c>
      <c r="AF214" s="35" t="s">
        <v>99</v>
      </c>
      <c r="AG214" s="37" t="str">
        <f t="shared" si="47"/>
        <v xml:space="preserve"> </v>
      </c>
      <c r="AH214" s="4">
        <f>IF(OR(AND(D214&gt;=31,D214&lt;40),AND(H214&gt;=31,H214&lt;40),AND(N214&gt;=31,N214&lt;40),AND(R214&gt;=31,R214&lt;40),AND(V214&gt;=31,V214&lt;40),AND(AB214&gt;=31,AB214&lt;40)),IF(AND(OR(COUNTIF(D214:AG214,"=31")&gt;=1,COUNTIF(D214:AG214,"=32")&gt;=1,COUNTIF(D214:AG214,"=33")&gt;=1,COUNTIF(D214:AG214,"=34")&gt;=1,COUNTIF(D214:AG214,"=35")&gt;=1,COUNTIF(D214:AG214,"=36")&gt;=1 ),COUNTIF(D214:AG214,"")=0,COUNTIF(D214:AG214," ")=0,COUNTIF(D214:AG214,"F")=1),CONCATENATE(SUM(EXTRACTNUMBER(D214),EXTRACTNUMBER(F214),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EXTRACTNUMBER(AD214),EXTRACTNUMBER(AF214)),"*"),IF(AND(COUNTIF(D214:AG214,"=34")&gt;=1,COUNTIF(D214:AG214,"=35")&gt;=1,COUNTIF(D214:AG214,"f")=2,COUNTIF(D214:AG214,"")=0,COUNTIF(D214:AG214," ")=0),CONCATENATE(SUM(EXTRACTNUMBER(D214),EXTRACTNUMBER(F214),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EXTRACTNUMBER(AD214),EXTRACTNUMBER(AF214)),"*"),IF(AND(COUNTIF(D214:AG214,"=36")&gt;=2,COUNTIF(D214:AG214,"f")=2,COUNTIF(D214:AG214,"")=0,COUNTIF(D214:AG214," ")=0),CONCATENATE(SUM(EXTRACTNUMBER(D214),EXTRACTNUMBER(F214),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EXTRACTNUMBER(AD214),EXTRACTNUMBER(AF214)),"*"),SUM(EXTRACTNUMBER(D214),EXTRACTNUMBER(F214),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EXTRACTNUMBER(AD214),EXTRACTNUMBER(AF214))))),SUM(EXTRACTNUMBER(D214),EXTRACTNUMBER(F214),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EXTRACTNUMBER(AD214),EXTRACTNUMBER(AF214)))</f>
        <v>478</v>
      </c>
      <c r="AI214" s="38" t="str">
        <f t="shared" si="32"/>
        <v>PASS</v>
      </c>
      <c r="AJ214" s="28" t="str">
        <f>spellnumber(EXTRACTnUMBER_TOT(AH214))</f>
        <v xml:space="preserve">Four Hundred Seventy Eight </v>
      </c>
      <c r="AK214" s="9">
        <v>478</v>
      </c>
    </row>
    <row r="215" spans="2:37" ht="15" customHeight="1">
      <c r="B215" s="40">
        <v>223389</v>
      </c>
      <c r="C215" s="42" t="s">
        <v>320</v>
      </c>
      <c r="D215" s="33" t="s">
        <v>56</v>
      </c>
      <c r="E215" s="34" t="str">
        <f t="shared" si="34"/>
        <v xml:space="preserve"> </v>
      </c>
      <c r="F215" s="35" t="s">
        <v>69</v>
      </c>
      <c r="G215" s="34" t="str">
        <f t="shared" si="35"/>
        <v xml:space="preserve"> </v>
      </c>
      <c r="H215" s="36" t="s">
        <v>56</v>
      </c>
      <c r="I215" s="34" t="str">
        <f t="shared" si="36"/>
        <v xml:space="preserve"> </v>
      </c>
      <c r="J215" s="35" t="s">
        <v>70</v>
      </c>
      <c r="K215" s="34" t="str">
        <f t="shared" si="37"/>
        <v xml:space="preserve"> </v>
      </c>
      <c r="L215" s="35" t="s">
        <v>70</v>
      </c>
      <c r="M215" s="34" t="str">
        <f t="shared" si="38"/>
        <v xml:space="preserve"> </v>
      </c>
      <c r="N215" s="36" t="s">
        <v>65</v>
      </c>
      <c r="O215" s="34" t="str">
        <f t="shared" si="33"/>
        <v xml:space="preserve"> </v>
      </c>
      <c r="P215" s="35" t="s">
        <v>72</v>
      </c>
      <c r="Q215" s="37" t="str">
        <f t="shared" si="39"/>
        <v xml:space="preserve"> </v>
      </c>
      <c r="R215" s="33" t="s">
        <v>85</v>
      </c>
      <c r="S215" s="34" t="str">
        <f t="shared" si="40"/>
        <v xml:space="preserve"> </v>
      </c>
      <c r="T215" s="35" t="s">
        <v>72</v>
      </c>
      <c r="U215" s="37" t="str">
        <f t="shared" si="41"/>
        <v xml:space="preserve"> </v>
      </c>
      <c r="V215" s="33" t="s">
        <v>63</v>
      </c>
      <c r="W215" s="34" t="str">
        <f t="shared" si="42"/>
        <v xml:space="preserve"> </v>
      </c>
      <c r="X215" s="35" t="s">
        <v>72</v>
      </c>
      <c r="Y215" s="37" t="str">
        <f t="shared" si="43"/>
        <v xml:space="preserve"> </v>
      </c>
      <c r="Z215" s="35" t="s">
        <v>74</v>
      </c>
      <c r="AA215" s="37" t="str">
        <f t="shared" si="44"/>
        <v xml:space="preserve"> </v>
      </c>
      <c r="AB215" s="33">
        <v>40</v>
      </c>
      <c r="AC215" s="34" t="str">
        <f t="shared" si="45"/>
        <v/>
      </c>
      <c r="AD215" s="35" t="s">
        <v>72</v>
      </c>
      <c r="AE215" s="34" t="str">
        <f t="shared" si="46"/>
        <v xml:space="preserve"> </v>
      </c>
      <c r="AF215" s="35" t="s">
        <v>56</v>
      </c>
      <c r="AG215" s="37" t="str">
        <f t="shared" si="47"/>
        <v xml:space="preserve"> </v>
      </c>
      <c r="AH215" s="4">
        <f>IF(OR(AND(D215&gt;=31,D215&lt;40),AND(H215&gt;=31,H215&lt;40),AND(N215&gt;=31,N215&lt;40),AND(R215&gt;=31,R215&lt;40),AND(V215&gt;=31,V215&lt;40),AND(AB215&gt;=31,AB215&lt;40)),IF(AND(OR(COUNTIF(D215:AG215,"=31")&gt;=1,COUNTIF(D215:AG215,"=32")&gt;=1,COUNTIF(D215:AG215,"=33")&gt;=1,COUNTIF(D215:AG215,"=34")&gt;=1,COUNTIF(D215:AG215,"=35")&gt;=1,COUNTIF(D215:AG215,"=36")&gt;=1 ),COUNTIF(D215:AG215,"")=0,COUNTIF(D215:AG215," ")=0,COUNTIF(D215:AG215,"F")=1),CONCATENATE(SUM(EXTRACTNUMBER(D215),EXTRACTNUMBER(F215),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EXTRACTNUMBER(AD215),EXTRACTNUMBER(AF215)),"*"),IF(AND(COUNTIF(D215:AG215,"=34")&gt;=1,COUNTIF(D215:AG215,"=35")&gt;=1,COUNTIF(D215:AG215,"f")=2,COUNTIF(D215:AG215,"")=0,COUNTIF(D215:AG215," ")=0),CONCATENATE(SUM(EXTRACTNUMBER(D215),EXTRACTNUMBER(F215),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EXTRACTNUMBER(AD215),EXTRACTNUMBER(AF215)),"*"),IF(AND(COUNTIF(D215:AG215,"=36")&gt;=2,COUNTIF(D215:AG215,"f")=2,COUNTIF(D215:AG215,"")=0,COUNTIF(D215:AG215," ")=0),CONCATENATE(SUM(EXTRACTNUMBER(D215),EXTRACTNUMBER(F215),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EXTRACTNUMBER(AD215),EXTRACTNUMBER(AF215)),"*"),SUM(EXTRACTNUMBER(D215),EXTRACTNUMBER(F215),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EXTRACTNUMBER(AD215),EXTRACTNUMBER(AF215))))),SUM(EXTRACTNUMBER(D215),EXTRACTNUMBER(F215),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EXTRACTNUMBER(AD215),EXTRACTNUMBER(AF215)))</f>
        <v>454</v>
      </c>
      <c r="AI215" s="38" t="str">
        <f t="shared" si="32"/>
        <v>PASS</v>
      </c>
      <c r="AJ215" s="28" t="str">
        <f>spellnumber(EXTRACTnUMBER_TOT(AH215))</f>
        <v xml:space="preserve">Four Hundred Fifty Four </v>
      </c>
      <c r="AK215" s="9">
        <v>454</v>
      </c>
    </row>
    <row r="216" spans="2:37" ht="15" customHeight="1">
      <c r="B216" s="40">
        <v>223390</v>
      </c>
      <c r="C216" s="42" t="s">
        <v>49</v>
      </c>
      <c r="D216" s="33" t="s">
        <v>56</v>
      </c>
      <c r="E216" s="34" t="str">
        <f t="shared" si="34"/>
        <v xml:space="preserve"> </v>
      </c>
      <c r="F216" s="35" t="s">
        <v>67</v>
      </c>
      <c r="G216" s="34" t="str">
        <f t="shared" si="35"/>
        <v xml:space="preserve"> </v>
      </c>
      <c r="H216" s="36">
        <v>61</v>
      </c>
      <c r="I216" s="34" t="str">
        <f t="shared" si="36"/>
        <v/>
      </c>
      <c r="J216" s="35" t="s">
        <v>72</v>
      </c>
      <c r="K216" s="34" t="str">
        <f t="shared" si="37"/>
        <v xml:space="preserve"> </v>
      </c>
      <c r="L216" s="35" t="s">
        <v>73</v>
      </c>
      <c r="M216" s="34" t="str">
        <f t="shared" si="38"/>
        <v xml:space="preserve"> </v>
      </c>
      <c r="N216" s="36" t="s">
        <v>64</v>
      </c>
      <c r="O216" s="34" t="str">
        <f t="shared" si="33"/>
        <v xml:space="preserve"> </v>
      </c>
      <c r="P216" s="35" t="s">
        <v>71</v>
      </c>
      <c r="Q216" s="37" t="str">
        <f t="shared" si="39"/>
        <v xml:space="preserve"> </v>
      </c>
      <c r="R216" s="33" t="s">
        <v>56</v>
      </c>
      <c r="S216" s="34" t="str">
        <f t="shared" si="40"/>
        <v xml:space="preserve"> </v>
      </c>
      <c r="T216" s="35" t="s">
        <v>72</v>
      </c>
      <c r="U216" s="37" t="str">
        <f t="shared" si="41"/>
        <v xml:space="preserve"> </v>
      </c>
      <c r="V216" s="33" t="s">
        <v>63</v>
      </c>
      <c r="W216" s="34" t="str">
        <f t="shared" si="42"/>
        <v xml:space="preserve"> </v>
      </c>
      <c r="X216" s="35" t="s">
        <v>70</v>
      </c>
      <c r="Y216" s="37" t="str">
        <f t="shared" si="43"/>
        <v xml:space="preserve"> </v>
      </c>
      <c r="Z216" s="35" t="s">
        <v>74</v>
      </c>
      <c r="AA216" s="37" t="str">
        <f t="shared" si="44"/>
        <v xml:space="preserve"> </v>
      </c>
      <c r="AB216" s="33" t="s">
        <v>56</v>
      </c>
      <c r="AC216" s="34" t="str">
        <f t="shared" si="45"/>
        <v xml:space="preserve"> </v>
      </c>
      <c r="AD216" s="35" t="s">
        <v>74</v>
      </c>
      <c r="AE216" s="34" t="str">
        <f t="shared" si="46"/>
        <v xml:space="preserve"> </v>
      </c>
      <c r="AF216" s="35" t="s">
        <v>61</v>
      </c>
      <c r="AG216" s="37" t="str">
        <f t="shared" si="47"/>
        <v xml:space="preserve"> </v>
      </c>
      <c r="AH216" s="4">
        <f>IF(OR(AND(D216&gt;=31,D216&lt;40),AND(H216&gt;=31,H216&lt;40),AND(N216&gt;=31,N216&lt;40),AND(R216&gt;=31,R216&lt;40),AND(V216&gt;=31,V216&lt;40),AND(AB216&gt;=31,AB216&lt;40)),IF(AND(OR(COUNTIF(D216:AG216,"=31")&gt;=1,COUNTIF(D216:AG216,"=32")&gt;=1,COUNTIF(D216:AG216,"=33")&gt;=1,COUNTIF(D216:AG216,"=34")&gt;=1,COUNTIF(D216:AG216,"=35")&gt;=1,COUNTIF(D216:AG216,"=36")&gt;=1 ),COUNTIF(D216:AG216,"")=0,COUNTIF(D216:AG216," ")=0,COUNTIF(D216:AG216,"F")=1),CONCATENATE(SUM(EXTRACTNUMBER(D216),EXTRACTNUMBER(F216),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EXTRACTNUMBER(AD216),EXTRACTNUMBER(AF216)),"*"),IF(AND(COUNTIF(D216:AG216,"=34")&gt;=1,COUNTIF(D216:AG216,"=35")&gt;=1,COUNTIF(D216:AG216,"f")=2,COUNTIF(D216:AG216,"")=0,COUNTIF(D216:AG216," ")=0),CONCATENATE(SUM(EXTRACTNUMBER(D216),EXTRACTNUMBER(F216),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EXTRACTNUMBER(AD216),EXTRACTNUMBER(AF216)),"*"),IF(AND(COUNTIF(D216:AG216,"=36")&gt;=2,COUNTIF(D216:AG216,"f")=2,COUNTIF(D216:AG216,"")=0,COUNTIF(D216:AG216," ")=0),CONCATENATE(SUM(EXTRACTNUMBER(D216),EXTRACTNUMBER(F216),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EXTRACTNUMBER(AD216),EXTRACTNUMBER(AF216)),"*"),SUM(EXTRACTNUMBER(D216),EXTRACTNUMBER(F216),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EXTRACTNUMBER(AD216),EXTRACTNUMBER(AF216))))),SUM(EXTRACTNUMBER(D216),EXTRACTNUMBER(F216),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EXTRACTNUMBER(AD216),EXTRACTNUMBER(AF216)))</f>
        <v>468</v>
      </c>
      <c r="AI216" s="38" t="str">
        <f t="shared" si="32"/>
        <v>PASS</v>
      </c>
      <c r="AJ216" s="28" t="str">
        <f>spellnumber(EXTRACTnUMBER_TOT(AH216))</f>
        <v xml:space="preserve">Four Hundred Sixty Eight </v>
      </c>
      <c r="AK216" s="9">
        <v>468</v>
      </c>
    </row>
    <row r="217" spans="2:37" ht="15" customHeight="1">
      <c r="B217" s="40">
        <v>223391</v>
      </c>
      <c r="C217" s="41" t="s">
        <v>321</v>
      </c>
      <c r="D217" s="33" t="s">
        <v>91</v>
      </c>
      <c r="E217" s="34" t="str">
        <f t="shared" si="34"/>
        <v xml:space="preserve"> </v>
      </c>
      <c r="F217" s="35" t="s">
        <v>72</v>
      </c>
      <c r="G217" s="34" t="str">
        <f t="shared" si="35"/>
        <v xml:space="preserve"> </v>
      </c>
      <c r="H217" s="36" t="s">
        <v>56</v>
      </c>
      <c r="I217" s="34" t="str">
        <f t="shared" si="36"/>
        <v xml:space="preserve"> </v>
      </c>
      <c r="J217" s="35" t="s">
        <v>74</v>
      </c>
      <c r="K217" s="34" t="str">
        <f t="shared" si="37"/>
        <v xml:space="preserve"> </v>
      </c>
      <c r="L217" s="35" t="s">
        <v>71</v>
      </c>
      <c r="M217" s="34" t="str">
        <f t="shared" si="38"/>
        <v xml:space="preserve"> </v>
      </c>
      <c r="N217" s="36" t="s">
        <v>79</v>
      </c>
      <c r="O217" s="34" t="str">
        <f t="shared" si="33"/>
        <v xml:space="preserve"> </v>
      </c>
      <c r="P217" s="35" t="s">
        <v>72</v>
      </c>
      <c r="Q217" s="37" t="str">
        <f t="shared" si="39"/>
        <v xml:space="preserve"> </v>
      </c>
      <c r="R217" s="33" t="s">
        <v>56</v>
      </c>
      <c r="S217" s="34" t="str">
        <f t="shared" si="40"/>
        <v xml:space="preserve"> </v>
      </c>
      <c r="T217" s="35" t="s">
        <v>72</v>
      </c>
      <c r="U217" s="37" t="str">
        <f t="shared" si="41"/>
        <v xml:space="preserve"> </v>
      </c>
      <c r="V217" s="33" t="s">
        <v>87</v>
      </c>
      <c r="W217" s="34" t="str">
        <f t="shared" si="42"/>
        <v xml:space="preserve"> </v>
      </c>
      <c r="X217" s="35" t="s">
        <v>72</v>
      </c>
      <c r="Y217" s="37" t="str">
        <f t="shared" si="43"/>
        <v xml:space="preserve"> </v>
      </c>
      <c r="Z217" s="35" t="s">
        <v>70</v>
      </c>
      <c r="AA217" s="37" t="str">
        <f t="shared" si="44"/>
        <v xml:space="preserve"> </v>
      </c>
      <c r="AB217" s="33">
        <v>34</v>
      </c>
      <c r="AC217" s="34" t="str">
        <f t="shared" si="45"/>
        <v>F</v>
      </c>
      <c r="AD217" s="35" t="s">
        <v>74</v>
      </c>
      <c r="AE217" s="34" t="str">
        <f t="shared" si="46"/>
        <v xml:space="preserve"> </v>
      </c>
      <c r="AF217" s="35" t="s">
        <v>56</v>
      </c>
      <c r="AG217" s="37" t="str">
        <f t="shared" si="47"/>
        <v xml:space="preserve"> </v>
      </c>
      <c r="AH217" s="4">
        <f>IF(OR(AND(D217&gt;=31,D217&lt;40),AND(H217&gt;=31,H217&lt;40),AND(N217&gt;=31,N217&lt;40),AND(R217&gt;=31,R217&lt;40),AND(V217&gt;=31,V217&lt;40),AND(AB217&gt;=31,AB217&lt;40)),IF(AND(OR(COUNTIF(D217:AG217,"=31")&gt;=1,COUNTIF(D217:AG217,"=32")&gt;=1,COUNTIF(D217:AG217,"=33")&gt;=1,COUNTIF(D217:AG217,"=34")&gt;=1,COUNTIF(D217:AG217,"=35")&gt;=1,COUNTIF(D217:AG217,"=36")&gt;=1 ),COUNTIF(D217:AG217,"")=0,COUNTIF(D217:AG217," ")=0,COUNTIF(D217:AG217,"F")=1),CONCATENATE(SUM(EXTRACTNUMBER(D217),EXTRACTNUMBER(F217),
EXTRACTNUMBER(H217),EXTRACTNUMBER(J217),
EXTRACTNUMBER(L217),EXTRACTNUMBER(N217),
EXTRACTNUMBER(P217),EXTRACTNUMBER(R217),
EXTRACTNUMBER(T217),EXTRACTNUMBER(V217),
EXTRACTNUMBER(X217),EXTRACTNUMBER(Z217),EXTRACTNUMBER(AB217),
EXTRACTNUMBER(AD217),EXTRACTNUMBER(AF217)),"*"),IF(AND(COUNTIF(D217:AG217,"=34")&gt;=1,COUNTIF(D217:AG217,"=35")&gt;=1,COUNTIF(D217:AG217,"f")=2,COUNTIF(D217:AG217,"")=0,COUNTIF(D217:AG217," ")=0),CONCATENATE(SUM(EXTRACTNUMBER(D217),EXTRACTNUMBER(F217),
EXTRACTNUMBER(H217),EXTRACTNUMBER(J217),
EXTRACTNUMBER(L217),EXTRACTNUMBER(N217),
EXTRACTNUMBER(P217),EXTRACTNUMBER(R217),
EXTRACTNUMBER(T217),EXTRACTNUMBER(V217),
EXTRACTNUMBER(X217),EXTRACTNUMBER(Z217),EXTRACTNUMBER(AB217),
EXTRACTNUMBER(AD217),EXTRACTNUMBER(AF217)),"*"),IF(AND(COUNTIF(D217:AG217,"=36")&gt;=2,COUNTIF(D217:AG217,"f")=2,COUNTIF(D217:AG217,"")=0,COUNTIF(D217:AG217," ")=0),CONCATENATE(SUM(EXTRACTNUMBER(D217),EXTRACTNUMBER(F217),
EXTRACTNUMBER(H217),EXTRACTNUMBER(J217),
EXTRACTNUMBER(L217),EXTRACTNUMBER(N217),
EXTRACTNUMBER(P217),EXTRACTNUMBER(R217),
EXTRACTNUMBER(T217),EXTRACTNUMBER(V217),
EXTRACTNUMBER(X217),EXTRACTNUMBER(Z217),EXTRACTNUMBER(AB217),
EXTRACTNUMBER(AD217),EXTRACTNUMBER(AF217)),"*"),SUM(EXTRACTNUMBER(D217),EXTRACTNUMBER(F217),
EXTRACTNUMBER(H217),EXTRACTNUMBER(J217),
EXTRACTNUMBER(L217),EXTRACTNUMBER(N217),
EXTRACTNUMBER(P217),EXTRACTNUMBER(R217),
EXTRACTNUMBER(T217),EXTRACTNUMBER(V217),
EXTRACTNUMBER(X217),EXTRACTNUMBER(Z217),EXTRACTNUMBER(AB217),
EXTRACTNUMBER(AD217),EXTRACTNUMBER(AF217))))),SUM(EXTRACTNUMBER(D217),EXTRACTNUMBER(F217),
EXTRACTNUMBER(H217),EXTRACTNUMBER(J217),
EXTRACTNUMBER(L217),EXTRACTNUMBER(N217),
EXTRACTNUMBER(P217),EXTRACTNUMBER(R217),
EXTRACTNUMBER(T217),EXTRACTNUMBER(V217),
EXTRACTNUMBER(X217),EXTRACTNUMBER(Z217),EXTRACTNUMBER(AB217),
EXTRACTNUMBER(AD217),EXTRACTNUMBER(AF217)))</f>
        <v>491</v>
      </c>
      <c r="AI217" s="38" t="str">
        <f t="shared" si="32"/>
        <v>FAIL</v>
      </c>
      <c r="AJ217" s="28" t="str">
        <f>spellnumber(EXTRACTnUMBER_TOT(AH217))</f>
        <v xml:space="preserve">Four Hundred NinetyOne </v>
      </c>
      <c r="AK217" s="9">
        <v>491</v>
      </c>
    </row>
    <row r="218" spans="2:37" ht="15" customHeight="1">
      <c r="B218" s="40">
        <v>223392</v>
      </c>
      <c r="C218" s="41" t="s">
        <v>50</v>
      </c>
      <c r="D218" s="33" t="s">
        <v>80</v>
      </c>
      <c r="E218" s="34" t="str">
        <f t="shared" si="34"/>
        <v xml:space="preserve"> </v>
      </c>
      <c r="F218" s="35" t="s">
        <v>66</v>
      </c>
      <c r="G218" s="34" t="str">
        <f t="shared" si="35"/>
        <v xml:space="preserve"> </v>
      </c>
      <c r="H218" s="36" t="s">
        <v>103</v>
      </c>
      <c r="I218" s="34" t="str">
        <f t="shared" si="36"/>
        <v/>
      </c>
      <c r="J218" s="35" t="s">
        <v>70</v>
      </c>
      <c r="K218" s="34" t="str">
        <f t="shared" si="37"/>
        <v xml:space="preserve"> </v>
      </c>
      <c r="L218" s="35" t="s">
        <v>70</v>
      </c>
      <c r="M218" s="34" t="str">
        <f t="shared" si="38"/>
        <v xml:space="preserve"> </v>
      </c>
      <c r="N218" s="36">
        <v>21</v>
      </c>
      <c r="O218" s="34" t="str">
        <f t="shared" si="33"/>
        <v>F</v>
      </c>
      <c r="P218" s="35" t="s">
        <v>70</v>
      </c>
      <c r="Q218" s="37" t="str">
        <f t="shared" si="39"/>
        <v xml:space="preserve"> </v>
      </c>
      <c r="R218" s="33" t="s">
        <v>64</v>
      </c>
      <c r="S218" s="34" t="str">
        <f t="shared" si="40"/>
        <v xml:space="preserve"> </v>
      </c>
      <c r="T218" s="35" t="s">
        <v>70</v>
      </c>
      <c r="U218" s="37" t="str">
        <f t="shared" si="41"/>
        <v xml:space="preserve"> </v>
      </c>
      <c r="V218" s="33" t="s">
        <v>57</v>
      </c>
      <c r="W218" s="34" t="str">
        <f t="shared" si="42"/>
        <v xml:space="preserve"> </v>
      </c>
      <c r="X218" s="35" t="s">
        <v>74</v>
      </c>
      <c r="Y218" s="37" t="str">
        <f t="shared" si="43"/>
        <v xml:space="preserve"> </v>
      </c>
      <c r="Z218" s="35" t="s">
        <v>74</v>
      </c>
      <c r="AA218" s="37" t="str">
        <f t="shared" si="44"/>
        <v xml:space="preserve"> </v>
      </c>
      <c r="AB218" s="33">
        <v>21</v>
      </c>
      <c r="AC218" s="34" t="str">
        <f t="shared" si="45"/>
        <v>F</v>
      </c>
      <c r="AD218" s="35" t="s">
        <v>72</v>
      </c>
      <c r="AE218" s="34" t="str">
        <f t="shared" si="46"/>
        <v xml:space="preserve"> </v>
      </c>
      <c r="AF218" s="35" t="s">
        <v>61</v>
      </c>
      <c r="AG218" s="37" t="str">
        <f t="shared" si="47"/>
        <v xml:space="preserve"> </v>
      </c>
      <c r="AH218" s="4">
        <f>IF(OR(AND(D218&gt;=31,D218&lt;40),AND(H218&gt;=31,H218&lt;40),AND(N218&gt;=31,N218&lt;40),AND(R218&gt;=31,R218&lt;40),AND(V218&gt;=31,V218&lt;40),AND(AB218&gt;=31,AB218&lt;40)),IF(AND(OR(COUNTIF(D218:AG218,"=31")&gt;=1,COUNTIF(D218:AG218,"=32")&gt;=1,COUNTIF(D218:AG218,"=33")&gt;=1,COUNTIF(D218:AG218,"=34")&gt;=1,COUNTIF(D218:AG218,"=35")&gt;=1,COUNTIF(D218:AG218,"=36")&gt;=1 ),COUNTIF(D218:AG218,"")=0,COUNTIF(D218:AG218," ")=0,COUNTIF(D218:AG218,"F")=1),CONCATENATE(SUM(EXTRACTNUMBER(D218),EXTRACTNUMBER(F218),
EXTRACTNUMBER(H218),EXTRACTNUMBER(J218),
EXTRACTNUMBER(L218),EXTRACTNUMBER(N218),
EXTRACTNUMBER(P218),EXTRACTNUMBER(R218),
EXTRACTNUMBER(T218),EXTRACTNUMBER(V218),
EXTRACTNUMBER(X218),EXTRACTNUMBER(Z218),EXTRACTNUMBER(AB218),
EXTRACTNUMBER(AD218),EXTRACTNUMBER(AF218)),"*"),IF(AND(COUNTIF(D218:AG218,"=34")&gt;=1,COUNTIF(D218:AG218,"=35")&gt;=1,COUNTIF(D218:AG218,"f")=2,COUNTIF(D218:AG218,"")=0,COUNTIF(D218:AG218," ")=0),CONCATENATE(SUM(EXTRACTNUMBER(D218),EXTRACTNUMBER(F218),
EXTRACTNUMBER(H218),EXTRACTNUMBER(J218),
EXTRACTNUMBER(L218),EXTRACTNUMBER(N218),
EXTRACTNUMBER(P218),EXTRACTNUMBER(R218),
EXTRACTNUMBER(T218),EXTRACTNUMBER(V218),
EXTRACTNUMBER(X218),EXTRACTNUMBER(Z218),EXTRACTNUMBER(AB218),
EXTRACTNUMBER(AD218),EXTRACTNUMBER(AF218)),"*"),IF(AND(COUNTIF(D218:AG218,"=36")&gt;=2,COUNTIF(D218:AG218,"f")=2,COUNTIF(D218:AG218,"")=0,COUNTIF(D218:AG218," ")=0),CONCATENATE(SUM(EXTRACTNUMBER(D218),EXTRACTNUMBER(F218),
EXTRACTNUMBER(H218),EXTRACTNUMBER(J218),
EXTRACTNUMBER(L218),EXTRACTNUMBER(N218),
EXTRACTNUMBER(P218),EXTRACTNUMBER(R218),
EXTRACTNUMBER(T218),EXTRACTNUMBER(V218),
EXTRACTNUMBER(X218),EXTRACTNUMBER(Z218),EXTRACTNUMBER(AB218),
EXTRACTNUMBER(AD218),EXTRACTNUMBER(AF218)),"*"),SUM(EXTRACTNUMBER(D218),EXTRACTNUMBER(F218),
EXTRACTNUMBER(H218),EXTRACTNUMBER(J218),
EXTRACTNUMBER(L218),EXTRACTNUMBER(N218),
EXTRACTNUMBER(P218),EXTRACTNUMBER(R218),
EXTRACTNUMBER(T218),EXTRACTNUMBER(V218),
EXTRACTNUMBER(X218),EXTRACTNUMBER(Z218),EXTRACTNUMBER(AB218),
EXTRACTNUMBER(AD218),EXTRACTNUMBER(AF218))))),SUM(EXTRACTNUMBER(D218),EXTRACTNUMBER(F218),
EXTRACTNUMBER(H218),EXTRACTNUMBER(J218),
EXTRACTNUMBER(L218),EXTRACTNUMBER(N218),
EXTRACTNUMBER(P218),EXTRACTNUMBER(R218),
EXTRACTNUMBER(T218),EXTRACTNUMBER(V218),
EXTRACTNUMBER(X218),EXTRACTNUMBER(Z218),EXTRACTNUMBER(AB218),
EXTRACTNUMBER(AD218),EXTRACTNUMBER(AF218)))</f>
        <v>380</v>
      </c>
      <c r="AI218" s="38" t="str">
        <f t="shared" si="32"/>
        <v>FAIL</v>
      </c>
      <c r="AJ218" s="28" t="str">
        <f>spellnumber(EXTRACTnUMBER_TOT(AH218))</f>
        <v xml:space="preserve">Three Hundred Eighty  </v>
      </c>
      <c r="AK218" s="9">
        <v>380</v>
      </c>
    </row>
    <row r="219" spans="2:37" ht="15" customHeight="1">
      <c r="B219" s="40">
        <v>223393</v>
      </c>
      <c r="C219" s="42" t="s">
        <v>322</v>
      </c>
      <c r="D219" s="33" t="s">
        <v>63</v>
      </c>
      <c r="E219" s="34" t="str">
        <f t="shared" si="34"/>
        <v xml:space="preserve"> </v>
      </c>
      <c r="F219" s="35" t="s">
        <v>67</v>
      </c>
      <c r="G219" s="34" t="str">
        <f t="shared" si="35"/>
        <v xml:space="preserve"> </v>
      </c>
      <c r="H219" s="36" t="s">
        <v>103</v>
      </c>
      <c r="I219" s="34" t="str">
        <f t="shared" si="36"/>
        <v/>
      </c>
      <c r="J219" s="35" t="s">
        <v>71</v>
      </c>
      <c r="K219" s="34" t="str">
        <f t="shared" si="37"/>
        <v xml:space="preserve"> </v>
      </c>
      <c r="L219" s="35" t="s">
        <v>70</v>
      </c>
      <c r="M219" s="34" t="str">
        <f t="shared" si="38"/>
        <v xml:space="preserve"> </v>
      </c>
      <c r="N219" s="36" t="s">
        <v>57</v>
      </c>
      <c r="O219" s="34" t="str">
        <f t="shared" si="33"/>
        <v xml:space="preserve"> </v>
      </c>
      <c r="P219" s="35" t="s">
        <v>70</v>
      </c>
      <c r="Q219" s="37" t="str">
        <f t="shared" si="39"/>
        <v xml:space="preserve"> </v>
      </c>
      <c r="R219" s="33" t="s">
        <v>58</v>
      </c>
      <c r="S219" s="34" t="str">
        <f t="shared" si="40"/>
        <v xml:space="preserve"> </v>
      </c>
      <c r="T219" s="35" t="s">
        <v>70</v>
      </c>
      <c r="U219" s="37" t="str">
        <f t="shared" si="41"/>
        <v xml:space="preserve"> </v>
      </c>
      <c r="V219" s="33" t="s">
        <v>87</v>
      </c>
      <c r="W219" s="34" t="str">
        <f t="shared" si="42"/>
        <v xml:space="preserve"> </v>
      </c>
      <c r="X219" s="35" t="s">
        <v>74</v>
      </c>
      <c r="Y219" s="37" t="str">
        <f t="shared" si="43"/>
        <v xml:space="preserve"> </v>
      </c>
      <c r="Z219" s="35" t="s">
        <v>74</v>
      </c>
      <c r="AA219" s="37" t="str">
        <f t="shared" si="44"/>
        <v xml:space="preserve"> </v>
      </c>
      <c r="AB219" s="33" t="s">
        <v>56</v>
      </c>
      <c r="AC219" s="34" t="str">
        <f t="shared" si="45"/>
        <v xml:space="preserve"> </v>
      </c>
      <c r="AD219" s="35" t="s">
        <v>74</v>
      </c>
      <c r="AE219" s="34" t="str">
        <f t="shared" si="46"/>
        <v xml:space="preserve"> </v>
      </c>
      <c r="AF219" s="35" t="s">
        <v>63</v>
      </c>
      <c r="AG219" s="37" t="str">
        <f t="shared" si="47"/>
        <v xml:space="preserve"> </v>
      </c>
      <c r="AH219" s="4">
        <f>IF(OR(AND(D219&gt;=31,D219&lt;40),AND(H219&gt;=31,H219&lt;40),AND(N219&gt;=31,N219&lt;40),AND(R219&gt;=31,R219&lt;40),AND(V219&gt;=31,V219&lt;40),AND(AB219&gt;=31,AB219&lt;40)),IF(AND(OR(COUNTIF(D219:AG219,"=31")&gt;=1,COUNTIF(D219:AG219,"=32")&gt;=1,COUNTIF(D219:AG219,"=33")&gt;=1,COUNTIF(D219:AG219,"=34")&gt;=1,COUNTIF(D219:AG219,"=35")&gt;=1,COUNTIF(D219:AG219,"=36")&gt;=1 ),COUNTIF(D219:AG219,"")=0,COUNTIF(D219:AG219," ")=0,COUNTIF(D219:AG219,"F")=1),CONCATENATE(SUM(EXTRACTNUMBER(D219),EXTRACTNUMBER(F219),
EXTRACTNUMBER(H219),EXTRACTNUMBER(J219),
EXTRACTNUMBER(L219),EXTRACTNUMBER(N219),
EXTRACTNUMBER(P219),EXTRACTNUMBER(R219),
EXTRACTNUMBER(T219),EXTRACTNUMBER(V219),
EXTRACTNUMBER(X219),EXTRACTNUMBER(Z219),EXTRACTNUMBER(AB219),
EXTRACTNUMBER(AD219),EXTRACTNUMBER(AF219)),"*"),IF(AND(COUNTIF(D219:AG219,"=34")&gt;=1,COUNTIF(D219:AG219,"=35")&gt;=1,COUNTIF(D219:AG219,"f")=2,COUNTIF(D219:AG219,"")=0,COUNTIF(D219:AG219," ")=0),CONCATENATE(SUM(EXTRACTNUMBER(D219),EXTRACTNUMBER(F219),
EXTRACTNUMBER(H219),EXTRACTNUMBER(J219),
EXTRACTNUMBER(L219),EXTRACTNUMBER(N219),
EXTRACTNUMBER(P219),EXTRACTNUMBER(R219),
EXTRACTNUMBER(T219),EXTRACTNUMBER(V219),
EXTRACTNUMBER(X219),EXTRACTNUMBER(Z219),EXTRACTNUMBER(AB219),
EXTRACTNUMBER(AD219),EXTRACTNUMBER(AF219)),"*"),IF(AND(COUNTIF(D219:AG219,"=36")&gt;=2,COUNTIF(D219:AG219,"f")=2,COUNTIF(D219:AG219,"")=0,COUNTIF(D219:AG219," ")=0),CONCATENATE(SUM(EXTRACTNUMBER(D219),EXTRACTNUMBER(F219),
EXTRACTNUMBER(H219),EXTRACTNUMBER(J219),
EXTRACTNUMBER(L219),EXTRACTNUMBER(N219),
EXTRACTNUMBER(P219),EXTRACTNUMBER(R219),
EXTRACTNUMBER(T219),EXTRACTNUMBER(V219),
EXTRACTNUMBER(X219),EXTRACTNUMBER(Z219),EXTRACTNUMBER(AB219),
EXTRACTNUMBER(AD219),EXTRACTNUMBER(AF219)),"*"),SUM(EXTRACTNUMBER(D219),EXTRACTNUMBER(F219),
EXTRACTNUMBER(H219),EXTRACTNUMBER(J219),
EXTRACTNUMBER(L219),EXTRACTNUMBER(N219),
EXTRACTNUMBER(P219),EXTRACTNUMBER(R219),
EXTRACTNUMBER(T219),EXTRACTNUMBER(V219),
EXTRACTNUMBER(X219),EXTRACTNUMBER(Z219),EXTRACTNUMBER(AB219),
EXTRACTNUMBER(AD219),EXTRACTNUMBER(AF219))))),SUM(EXTRACTNUMBER(D219),EXTRACTNUMBER(F219),
EXTRACTNUMBER(H219),EXTRACTNUMBER(J219),
EXTRACTNUMBER(L219),EXTRACTNUMBER(N219),
EXTRACTNUMBER(P219),EXTRACTNUMBER(R219),
EXTRACTNUMBER(T219),EXTRACTNUMBER(V219),
EXTRACTNUMBER(X219),EXTRACTNUMBER(Z219),EXTRACTNUMBER(AB219),
EXTRACTNUMBER(AD219),EXTRACTNUMBER(AF219)))</f>
        <v>426</v>
      </c>
      <c r="AI219" s="38" t="str">
        <f t="shared" ref="AI219:AI270" si="48">IF(AND(COUNTIF(D219:AG219,"AB")&lt;15-COUNTIF(D219:AG219," "),
COUNTIF(D219:AG219,"AB")&lt;&gt;0),"FAIL",
IF(COUNTIF(D219:AG219,"AB")=15-COUNTIF(D219:AG219," "),"ABSENT",
IF(AND(COUNTIF(D219:AG219,"AB")=0,COUNTIF(D219:AG219,"F")=0),"PASS","FAIL")))</f>
        <v>ABSENT</v>
      </c>
      <c r="AJ219" s="28" t="str">
        <f>spellnumber(EXTRACTnUMBER_TOT(AH219))</f>
        <v xml:space="preserve">Four Hundred Twenty Six </v>
      </c>
      <c r="AK219" s="9">
        <v>426</v>
      </c>
    </row>
    <row r="220" spans="2:37" ht="15" customHeight="1">
      <c r="B220" s="40">
        <v>223394</v>
      </c>
      <c r="C220" s="41" t="s">
        <v>418</v>
      </c>
      <c r="D220" s="33" t="s">
        <v>85</v>
      </c>
      <c r="E220" s="34" t="str">
        <f t="shared" si="34"/>
        <v xml:space="preserve"> </v>
      </c>
      <c r="F220" s="35" t="s">
        <v>71</v>
      </c>
      <c r="G220" s="34" t="str">
        <f t="shared" si="35"/>
        <v xml:space="preserve"> </v>
      </c>
      <c r="H220" s="36" t="s">
        <v>103</v>
      </c>
      <c r="I220" s="34" t="str">
        <f t="shared" si="36"/>
        <v/>
      </c>
      <c r="J220" s="35" t="s">
        <v>73</v>
      </c>
      <c r="K220" s="34" t="str">
        <f t="shared" si="37"/>
        <v xml:space="preserve"> </v>
      </c>
      <c r="L220" s="35" t="s">
        <v>84</v>
      </c>
      <c r="M220" s="34" t="str">
        <f t="shared" si="38"/>
        <v xml:space="preserve"> </v>
      </c>
      <c r="N220" s="36">
        <v>21</v>
      </c>
      <c r="O220" s="34" t="str">
        <f t="shared" ref="O220:O270" si="49">IF(IFERROR(FIND("+",N220),0)," ",
IF(N220="AB","",
IF(N220&lt;$N$27,"F",
IF(AND(D220&gt;=$D$27,F220&gt;=$F$27,H220&gt;=$H$27,
J220&gt;=$J$27,L220&gt;=$L$27,
N220&gt;=$N$27,P220&gt;=$P$27,R220&gt;=$R$27,T220&gt;=$T$27,V220&gt;=$V$27,
X220&gt;=$X$27,Z220&gt;=$Z$27,AB220&gt;=$AB$27,AD220&gt;=$AD$27,AF220&gt;=$AF$27,
D220&lt;&gt;"AB",F220&lt;&gt;"AB",H220&lt;&gt;"AB",
J220&lt;&gt;"AB",L220&lt;&gt;"AB",
N220&lt;&gt;"AB",P220&lt;&gt;"AB",R220&lt;&gt;"AB",T220&lt;&gt;"AB",V220&lt;&gt;"AB",
X220&lt;&gt;"AB",Z220&lt;&gt;"AB",AB220&lt;&gt;"AB",AD220&lt;&gt;"AB",AF220&lt;&gt;"AB"),"","E"))))</f>
        <v>F</v>
      </c>
      <c r="P220" s="35" t="s">
        <v>73</v>
      </c>
      <c r="Q220" s="37" t="str">
        <f t="shared" si="39"/>
        <v xml:space="preserve"> </v>
      </c>
      <c r="R220" s="33" t="s">
        <v>63</v>
      </c>
      <c r="S220" s="34" t="str">
        <f t="shared" si="40"/>
        <v xml:space="preserve"> </v>
      </c>
      <c r="T220" s="35" t="s">
        <v>73</v>
      </c>
      <c r="U220" s="37" t="str">
        <f t="shared" si="41"/>
        <v xml:space="preserve"> </v>
      </c>
      <c r="V220" s="33" t="s">
        <v>56</v>
      </c>
      <c r="W220" s="34" t="str">
        <f t="shared" si="42"/>
        <v xml:space="preserve"> </v>
      </c>
      <c r="X220" s="35" t="s">
        <v>73</v>
      </c>
      <c r="Y220" s="37" t="str">
        <f t="shared" si="43"/>
        <v xml:space="preserve"> </v>
      </c>
      <c r="Z220" s="35" t="s">
        <v>75</v>
      </c>
      <c r="AA220" s="37" t="str">
        <f t="shared" si="44"/>
        <v xml:space="preserve"> </v>
      </c>
      <c r="AB220" s="33" t="s">
        <v>58</v>
      </c>
      <c r="AC220" s="34" t="str">
        <f t="shared" si="45"/>
        <v xml:space="preserve"> </v>
      </c>
      <c r="AD220" s="35" t="s">
        <v>69</v>
      </c>
      <c r="AE220" s="34" t="str">
        <f t="shared" si="46"/>
        <v xml:space="preserve"> </v>
      </c>
      <c r="AF220" s="35" t="s">
        <v>56</v>
      </c>
      <c r="AG220" s="37" t="str">
        <f t="shared" si="47"/>
        <v xml:space="preserve"> </v>
      </c>
      <c r="AH220" s="4">
        <f>IF(OR(AND(D220&gt;=31,D220&lt;40),AND(H220&gt;=31,H220&lt;40),AND(N220&gt;=31,N220&lt;40),AND(R220&gt;=31,R220&lt;40),AND(V220&gt;=31,V220&lt;40),AND(AB220&gt;=31,AB220&lt;40)),IF(AND(OR(COUNTIF(D220:AG220,"=31")&gt;=1,COUNTIF(D220:AG220,"=32")&gt;=1,COUNTIF(D220:AG220,"=33")&gt;=1,COUNTIF(D220:AG220,"=34")&gt;=1,COUNTIF(D220:AG220,"=35")&gt;=1,COUNTIF(D220:AG220,"=36")&gt;=1 ),COUNTIF(D220:AG220,"")=0,COUNTIF(D220:AG220," ")=0,COUNTIF(D220:AG220,"F")=1),CONCATENATE(SUM(EXTRACTNUMBER(D220),EXTRACTNUMBER(F220),
EXTRACTNUMBER(H220),EXTRACTNUMBER(J220),
EXTRACTNUMBER(L220),EXTRACTNUMBER(N220),
EXTRACTNUMBER(P220),EXTRACTNUMBER(R220),
EXTRACTNUMBER(T220),EXTRACTNUMBER(V220),
EXTRACTNUMBER(X220),EXTRACTNUMBER(Z220),EXTRACTNUMBER(AB220),
EXTRACTNUMBER(AD220),EXTRACTNUMBER(AF220)),"*"),IF(AND(COUNTIF(D220:AG220,"=34")&gt;=1,COUNTIF(D220:AG220,"=35")&gt;=1,COUNTIF(D220:AG220,"f")=2,COUNTIF(D220:AG220,"")=0,COUNTIF(D220:AG220," ")=0),CONCATENATE(SUM(EXTRACTNUMBER(D220),EXTRACTNUMBER(F220),
EXTRACTNUMBER(H220),EXTRACTNUMBER(J220),
EXTRACTNUMBER(L220),EXTRACTNUMBER(N220),
EXTRACTNUMBER(P220),EXTRACTNUMBER(R220),
EXTRACTNUMBER(T220),EXTRACTNUMBER(V220),
EXTRACTNUMBER(X220),EXTRACTNUMBER(Z220),EXTRACTNUMBER(AB220),
EXTRACTNUMBER(AD220),EXTRACTNUMBER(AF220)),"*"),IF(AND(COUNTIF(D220:AG220,"=36")&gt;=2,COUNTIF(D220:AG220,"f")=2,COUNTIF(D220:AG220,"")=0,COUNTIF(D220:AG220," ")=0),CONCATENATE(SUM(EXTRACTNUMBER(D220),EXTRACTNUMBER(F220),
EXTRACTNUMBER(H220),EXTRACTNUMBER(J220),
EXTRACTNUMBER(L220),EXTRACTNUMBER(N220),
EXTRACTNUMBER(P220),EXTRACTNUMBER(R220),
EXTRACTNUMBER(T220),EXTRACTNUMBER(V220),
EXTRACTNUMBER(X220),EXTRACTNUMBER(Z220),EXTRACTNUMBER(AB220),
EXTRACTNUMBER(AD220),EXTRACTNUMBER(AF220)),"*"),SUM(EXTRACTNUMBER(D220),EXTRACTNUMBER(F220),
EXTRACTNUMBER(H220),EXTRACTNUMBER(J220),
EXTRACTNUMBER(L220),EXTRACTNUMBER(N220),
EXTRACTNUMBER(P220),EXTRACTNUMBER(R220),
EXTRACTNUMBER(T220),EXTRACTNUMBER(V220),
EXTRACTNUMBER(X220),EXTRACTNUMBER(Z220),EXTRACTNUMBER(AB220),
EXTRACTNUMBER(AD220),EXTRACTNUMBER(AF220))))),SUM(EXTRACTNUMBER(D220),EXTRACTNUMBER(F220),
EXTRACTNUMBER(H220),EXTRACTNUMBER(J220),
EXTRACTNUMBER(L220),EXTRACTNUMBER(N220),
EXTRACTNUMBER(P220),EXTRACTNUMBER(R220),
EXTRACTNUMBER(T220),EXTRACTNUMBER(V220),
EXTRACTNUMBER(X220),EXTRACTNUMBER(Z220),EXTRACTNUMBER(AB220),
EXTRACTNUMBER(AD220),EXTRACTNUMBER(AF220)))</f>
        <v>412</v>
      </c>
      <c r="AI220" s="38" t="str">
        <f t="shared" si="48"/>
        <v>FAIL</v>
      </c>
      <c r="AJ220" s="28" t="str">
        <f>spellnumber(EXTRACTnUMBER_TOT(AH220))</f>
        <v xml:space="preserve">Four Hundred Twelve </v>
      </c>
      <c r="AK220" s="9">
        <v>412</v>
      </c>
    </row>
    <row r="221" spans="2:37" ht="15" customHeight="1">
      <c r="B221" s="40">
        <v>223395</v>
      </c>
      <c r="C221" s="42" t="s">
        <v>323</v>
      </c>
      <c r="D221" s="33" t="s">
        <v>103</v>
      </c>
      <c r="E221" s="34" t="str">
        <f t="shared" ref="E221:E270" si="50">IF(IFERROR(FIND("+",D221),0)," ",
IF(D221="AB","",
IF(D221&lt;$D$27,"F",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/>
      </c>
      <c r="F221" s="35" t="s">
        <v>69</v>
      </c>
      <c r="G221" s="34" t="str">
        <f t="shared" ref="G221:G270" si="51">IF(IFERROR(FIND("+",F221),0)," ",
IF(F221="AB","",
IF(F221&lt;$F$27,"F",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H221" s="36" t="s">
        <v>103</v>
      </c>
      <c r="I221" s="34" t="str">
        <f t="shared" ref="I221:I270" si="52">IF(IFERROR(FIND("+",H221),0)," ",
IF(H221="AB","",
IF(H221&lt;$H$27,"F",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/>
      </c>
      <c r="J221" s="35" t="s">
        <v>74</v>
      </c>
      <c r="K221" s="34" t="str">
        <f t="shared" ref="K221:K270" si="53">IF(IFERROR(FIND("+",J221),0)," ",
IF(J221="AB","",
IF(J221&lt;$J$27,"F",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L221" s="35" t="s">
        <v>67</v>
      </c>
      <c r="M221" s="34" t="str">
        <f t="shared" ref="M221:M270" si="54">IF(IFERROR(FIND("+",L221),0)," ",
IF(L221="AB","",
IF(L221&lt;$L$27,"F",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N221" s="36" t="s">
        <v>103</v>
      </c>
      <c r="O221" s="34" t="str">
        <f t="shared" si="49"/>
        <v/>
      </c>
      <c r="P221" s="35" t="s">
        <v>72</v>
      </c>
      <c r="Q221" s="37" t="str">
        <f t="shared" ref="Q221:Q270" si="55">IF(IFERROR(FIND("+",P221),0)," ",
IF(P221="AB","",
IF(P221&lt;$P$27,"F",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R221" s="33" t="s">
        <v>103</v>
      </c>
      <c r="S221" s="34" t="str">
        <f t="shared" ref="S221:S270" si="56">IF(IFERROR(FIND("+",R221),0)," ",
IF(R221="AB","",
IF(R221&lt;$R$27,"F",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/>
      </c>
      <c r="T221" s="35" t="s">
        <v>72</v>
      </c>
      <c r="U221" s="37" t="str">
        <f t="shared" ref="U221:U270" si="57">IF(IFERROR(FIND("+",T221),0)," ",
IF(T221="AB","",
IF(T221&lt;$T$27,"F",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V221" s="33" t="s">
        <v>103</v>
      </c>
      <c r="W221" s="34" t="str">
        <f t="shared" ref="W221:W270" si="58">IF(IFERROR(FIND("+",V221),0)," ",
IF(V221="AB","",
IF(V221&lt;$V$27,"F",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/>
      </c>
      <c r="X221" s="35" t="s">
        <v>74</v>
      </c>
      <c r="Y221" s="37" t="str">
        <f t="shared" ref="Y221:Y270" si="59">IF(IFERROR(FIND("+",X221),0)," ",
IF(X221="AB","",
IF(X221&lt;$X$27,"F",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Z221" s="35" t="s">
        <v>71</v>
      </c>
      <c r="AA221" s="37" t="str">
        <f t="shared" ref="AA221:AA270" si="60">IF(IFERROR(FIND("+",Z221),0)," ",
IF(Z221="AB","",
IF(Z221&lt;$Z$27,"F",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AB221" s="33" t="s">
        <v>103</v>
      </c>
      <c r="AC221" s="34" t="str">
        <f t="shared" ref="AC221:AC270" si="61">IF(IFERROR(FIND("+",AB221),0)," ",
IF(AB221="AB","",
IF(AB221&lt;$AB$27,"F",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/>
      </c>
      <c r="AD221" s="35" t="s">
        <v>75</v>
      </c>
      <c r="AE221" s="34" t="str">
        <f t="shared" ref="AE221:AE270" si="62">IF(IFERROR(FIND("+",AD221),0)," ",
IF(AD221="AB","",
IF(AD221&lt;$AD$27,"F",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AF221" s="35" t="s">
        <v>79</v>
      </c>
      <c r="AG221" s="37" t="str">
        <f t="shared" ref="AG221:AG270" si="63">IF(IFERROR(FIND("+",AF221),0)," ",
IF(AF221="AB","",
IF(AF221&lt;$AF$27,"F",
IF(AND(D221&gt;=$D$27,F221&gt;=$F$27,H221&gt;=$H$27,
J221&gt;=$J$27,L221&gt;=$L$27,
N221&gt;=$N$27,P221&gt;=$P$27,R221&gt;=$R$27,T221&gt;=$T$27,V221&gt;=$V$27,
X221&gt;=$X$27,Z221&gt;=$Z$27,AB221&gt;=$AB$27,AD221&gt;=$AD$27,AF221&gt;=$AF$27,
D221&lt;&gt;"AB",F221&lt;&gt;"AB",H221&lt;&gt;"AB",
J221&lt;&gt;"AB",L221&lt;&gt;"AB",
N221&lt;&gt;"AB",P221&lt;&gt;"AB",R221&lt;&gt;"AB",T221&lt;&gt;"AB",V221&lt;&gt;"AB",
X221&lt;&gt;"AB",Z221&lt;&gt;"AB",AB221&lt;&gt;"AB",AD221&lt;&gt;"AB",AF221&lt;&gt;"AB"),"","E"))))</f>
        <v xml:space="preserve"> </v>
      </c>
      <c r="AH221" s="4">
        <f>IF(OR(AND(D221&gt;=31,D221&lt;40),AND(H221&gt;=31,H221&lt;40),AND(N221&gt;=31,N221&lt;40),AND(R221&gt;=31,R221&lt;40),AND(V221&gt;=31,V221&lt;40),AND(AB221&gt;=31,AB221&lt;40)),IF(AND(OR(COUNTIF(D221:AG221,"=31")&gt;=1,COUNTIF(D221:AG221,"=32")&gt;=1,COUNTIF(D221:AG221,"=33")&gt;=1,COUNTIF(D221:AG221,"=34")&gt;=1,COUNTIF(D221:AG221,"=35")&gt;=1,COUNTIF(D221:AG221,"=36")&gt;=1 ),COUNTIF(D221:AG221,"")=0,COUNTIF(D221:AG221," ")=0,COUNTIF(D221:AG221,"F")=1),CONCATENATE(SUM(EXTRACTNUMBER(D221),EXTRACTNUMBER(F221),
EXTRACTNUMBER(H221),EXTRACTNUMBER(J221),
EXTRACTNUMBER(L221),EXTRACTNUMBER(N221),
EXTRACTNUMBER(P221),EXTRACTNUMBER(R221),
EXTRACTNUMBER(T221),EXTRACTNUMBER(V221),
EXTRACTNUMBER(X221),EXTRACTNUMBER(Z221),EXTRACTNUMBER(AB221),
EXTRACTNUMBER(AD221),EXTRACTNUMBER(AF221)),"*"),IF(AND(COUNTIF(D221:AG221,"=34")&gt;=1,COUNTIF(D221:AG221,"=35")&gt;=1,COUNTIF(D221:AG221,"f")=2,COUNTIF(D221:AG221,"")=0,COUNTIF(D221:AG221," ")=0),CONCATENATE(SUM(EXTRACTNUMBER(D221),EXTRACTNUMBER(F221),
EXTRACTNUMBER(H221),EXTRACTNUMBER(J221),
EXTRACTNUMBER(L221),EXTRACTNUMBER(N221),
EXTRACTNUMBER(P221),EXTRACTNUMBER(R221),
EXTRACTNUMBER(T221),EXTRACTNUMBER(V221),
EXTRACTNUMBER(X221),EXTRACTNUMBER(Z221),EXTRACTNUMBER(AB221),
EXTRACTNUMBER(AD221),EXTRACTNUMBER(AF221)),"*"),IF(AND(COUNTIF(D221:AG221,"=36")&gt;=2,COUNTIF(D221:AG221,"f")=2,COUNTIF(D221:AG221,"")=0,COUNTIF(D221:AG221," ")=0),CONCATENATE(SUM(EXTRACTNUMBER(D221),EXTRACTNUMBER(F221),
EXTRACTNUMBER(H221),EXTRACTNUMBER(J221),
EXTRACTNUMBER(L221),EXTRACTNUMBER(N221),
EXTRACTNUMBER(P221),EXTRACTNUMBER(R221),
EXTRACTNUMBER(T221),EXTRACTNUMBER(V221),
EXTRACTNUMBER(X221),EXTRACTNUMBER(Z221),EXTRACTNUMBER(AB221),
EXTRACTNUMBER(AD221),EXTRACTNUMBER(AF221)),"*"),SUM(EXTRACTNUMBER(D221),EXTRACTNUMBER(F221),
EXTRACTNUMBER(H221),EXTRACTNUMBER(J221),
EXTRACTNUMBER(L221),EXTRACTNUMBER(N221),
EXTRACTNUMBER(P221),EXTRACTNUMBER(R221),
EXTRACTNUMBER(T221),EXTRACTNUMBER(V221),
EXTRACTNUMBER(X221),EXTRACTNUMBER(Z221),EXTRACTNUMBER(AB221),
EXTRACTNUMBER(AD221),EXTRACTNUMBER(AF221))))),SUM(EXTRACTNUMBER(D221),EXTRACTNUMBER(F221),
EXTRACTNUMBER(H221),EXTRACTNUMBER(J221),
EXTRACTNUMBER(L221),EXTRACTNUMBER(N221),
EXTRACTNUMBER(P221),EXTRACTNUMBER(R221),
EXTRACTNUMBER(T221),EXTRACTNUMBER(V221),
EXTRACTNUMBER(X221),EXTRACTNUMBER(Z221),EXTRACTNUMBER(AB221),
EXTRACTNUMBER(AD221),EXTRACTNUMBER(AF221)))</f>
        <v>201</v>
      </c>
      <c r="AI221" s="38" t="str">
        <f t="shared" si="48"/>
        <v>ABSENT</v>
      </c>
      <c r="AJ221" s="28" t="str">
        <f>spellnumber(EXTRACTnUMBER_TOT(AH221))</f>
        <v xml:space="preserve">Two Hundred One </v>
      </c>
      <c r="AK221" s="9">
        <v>201</v>
      </c>
    </row>
    <row r="222" spans="2:37" ht="15" customHeight="1">
      <c r="B222" s="40">
        <v>223396</v>
      </c>
      <c r="C222" s="42" t="s">
        <v>51</v>
      </c>
      <c r="D222" s="33" t="s">
        <v>419</v>
      </c>
      <c r="E222" s="34" t="str">
        <f t="shared" si="50"/>
        <v xml:space="preserve"> </v>
      </c>
      <c r="F222" s="35" t="s">
        <v>74</v>
      </c>
      <c r="G222" s="34" t="str">
        <f t="shared" si="51"/>
        <v xml:space="preserve"> </v>
      </c>
      <c r="H222" s="36" t="s">
        <v>56</v>
      </c>
      <c r="I222" s="34" t="str">
        <f t="shared" si="52"/>
        <v xml:space="preserve"> </v>
      </c>
      <c r="J222" s="35" t="s">
        <v>75</v>
      </c>
      <c r="K222" s="34" t="str">
        <f t="shared" si="53"/>
        <v xml:space="preserve"> </v>
      </c>
      <c r="L222" s="35" t="s">
        <v>70</v>
      </c>
      <c r="M222" s="34" t="str">
        <f t="shared" si="54"/>
        <v xml:space="preserve"> </v>
      </c>
      <c r="N222" s="36" t="s">
        <v>56</v>
      </c>
      <c r="O222" s="34" t="str">
        <f t="shared" si="49"/>
        <v xml:space="preserve"> </v>
      </c>
      <c r="P222" s="35" t="s">
        <v>72</v>
      </c>
      <c r="Q222" s="37" t="str">
        <f t="shared" si="55"/>
        <v xml:space="preserve"> </v>
      </c>
      <c r="R222" s="33" t="s">
        <v>79</v>
      </c>
      <c r="S222" s="34" t="str">
        <f t="shared" si="56"/>
        <v xml:space="preserve"> </v>
      </c>
      <c r="T222" s="35" t="s">
        <v>72</v>
      </c>
      <c r="U222" s="37" t="str">
        <f t="shared" si="57"/>
        <v xml:space="preserve"> </v>
      </c>
      <c r="V222" s="33" t="s">
        <v>59</v>
      </c>
      <c r="W222" s="34" t="str">
        <f t="shared" si="58"/>
        <v xml:space="preserve"> </v>
      </c>
      <c r="X222" s="35" t="s">
        <v>72</v>
      </c>
      <c r="Y222" s="37" t="str">
        <f t="shared" si="59"/>
        <v xml:space="preserve"> </v>
      </c>
      <c r="Z222" s="35" t="s">
        <v>74</v>
      </c>
      <c r="AA222" s="37" t="str">
        <f t="shared" si="60"/>
        <v xml:space="preserve"> </v>
      </c>
      <c r="AB222" s="33">
        <v>40</v>
      </c>
      <c r="AC222" s="34" t="str">
        <f t="shared" si="61"/>
        <v/>
      </c>
      <c r="AD222" s="35" t="s">
        <v>74</v>
      </c>
      <c r="AE222" s="34" t="str">
        <f t="shared" si="62"/>
        <v xml:space="preserve"> </v>
      </c>
      <c r="AF222" s="35" t="s">
        <v>56</v>
      </c>
      <c r="AG222" s="37" t="str">
        <f t="shared" si="63"/>
        <v xml:space="preserve"> </v>
      </c>
      <c r="AH222" s="4">
        <f>IF(OR(AND(D222&gt;=31,D222&lt;40),AND(H222&gt;=31,H222&lt;40),AND(N222&gt;=31,N222&lt;40),AND(R222&gt;=31,R222&lt;40),AND(V222&gt;=31,V222&lt;40),AND(AB222&gt;=31,AB222&lt;40)),IF(AND(OR(COUNTIF(D222:AG222,"=31")&gt;=1,COUNTIF(D222:AG222,"=32")&gt;=1,COUNTIF(D222:AG222,"=33")&gt;=1,COUNTIF(D222:AG222,"=34")&gt;=1,COUNTIF(D222:AG222,"=35")&gt;=1,COUNTIF(D222:AG222,"=36")&gt;=1 ),COUNTIF(D222:AG222,"")=0,COUNTIF(D222:AG222," ")=0,COUNTIF(D222:AG222,"F")=1),CONCATENATE(SUM(EXTRACTNUMBER(D222),EXTRACTNUMBER(F222),
EXTRACTNUMBER(H222),EXTRACTNUMBER(J222),
EXTRACTNUMBER(L222),EXTRACTNUMBER(N222),
EXTRACTNUMBER(P222),EXTRACTNUMBER(R222),
EXTRACTNUMBER(T222),EXTRACTNUMBER(V222),
EXTRACTNUMBER(X222),EXTRACTNUMBER(Z222),EXTRACTNUMBER(AB222),
EXTRACTNUMBER(AD222),EXTRACTNUMBER(AF222)),"*"),IF(AND(COUNTIF(D222:AG222,"=34")&gt;=1,COUNTIF(D222:AG222,"=35")&gt;=1,COUNTIF(D222:AG222,"f")=2,COUNTIF(D222:AG222,"")=0,COUNTIF(D222:AG222," ")=0),CONCATENATE(SUM(EXTRACTNUMBER(D222),EXTRACTNUMBER(F222),
EXTRACTNUMBER(H222),EXTRACTNUMBER(J222),
EXTRACTNUMBER(L222),EXTRACTNUMBER(N222),
EXTRACTNUMBER(P222),EXTRACTNUMBER(R222),
EXTRACTNUMBER(T222),EXTRACTNUMBER(V222),
EXTRACTNUMBER(X222),EXTRACTNUMBER(Z222),EXTRACTNUMBER(AB222),
EXTRACTNUMBER(AD222),EXTRACTNUMBER(AF222)),"*"),IF(AND(COUNTIF(D222:AG222,"=36")&gt;=2,COUNTIF(D222:AG222,"f")=2,COUNTIF(D222:AG222,"")=0,COUNTIF(D222:AG222," ")=0),CONCATENATE(SUM(EXTRACTNUMBER(D222),EXTRACTNUMBER(F222),
EXTRACTNUMBER(H222),EXTRACTNUMBER(J222),
EXTRACTNUMBER(L222),EXTRACTNUMBER(N222),
EXTRACTNUMBER(P222),EXTRACTNUMBER(R222),
EXTRACTNUMBER(T222),EXTRACTNUMBER(V222),
EXTRACTNUMBER(X222),EXTRACTNUMBER(Z222),EXTRACTNUMBER(AB222),
EXTRACTNUMBER(AD222),EXTRACTNUMBER(AF222)),"*"),SUM(EXTRACTNUMBER(D222),EXTRACTNUMBER(F222),
EXTRACTNUMBER(H222),EXTRACTNUMBER(J222),
EXTRACTNUMBER(L222),EXTRACTNUMBER(N222),
EXTRACTNUMBER(P222),EXTRACTNUMBER(R222),
EXTRACTNUMBER(T222),EXTRACTNUMBER(V222),
EXTRACTNUMBER(X222),EXTRACTNUMBER(Z222),EXTRACTNUMBER(AB222),
EXTRACTNUMBER(AD222),EXTRACTNUMBER(AF222))))),SUM(EXTRACTNUMBER(D222),EXTRACTNUMBER(F222),
EXTRACTNUMBER(H222),EXTRACTNUMBER(J222),
EXTRACTNUMBER(L222),EXTRACTNUMBER(N222),
EXTRACTNUMBER(P222),EXTRACTNUMBER(R222),
EXTRACTNUMBER(T222),EXTRACTNUMBER(V222),
EXTRACTNUMBER(X222),EXTRACTNUMBER(Z222),EXTRACTNUMBER(AB222),
EXTRACTNUMBER(AD222),EXTRACTNUMBER(AF222)))</f>
        <v>497</v>
      </c>
      <c r="AI222" s="38" t="str">
        <f t="shared" si="48"/>
        <v>PASS</v>
      </c>
      <c r="AJ222" s="28" t="str">
        <f>spellnumber(EXTRACTnUMBER_TOT(AH222))</f>
        <v xml:space="preserve">Four Hundred NinetySeven </v>
      </c>
      <c r="AK222" s="9">
        <v>497</v>
      </c>
    </row>
    <row r="223" spans="2:37" ht="15" customHeight="1">
      <c r="B223" s="40">
        <v>223397</v>
      </c>
      <c r="C223" s="42" t="s">
        <v>324</v>
      </c>
      <c r="D223" s="33" t="s">
        <v>103</v>
      </c>
      <c r="E223" s="34" t="str">
        <f t="shared" si="50"/>
        <v/>
      </c>
      <c r="F223" s="35" t="s">
        <v>76</v>
      </c>
      <c r="G223" s="34" t="str">
        <f t="shared" si="51"/>
        <v xml:space="preserve"> </v>
      </c>
      <c r="H223" s="36" t="s">
        <v>103</v>
      </c>
      <c r="I223" s="34" t="str">
        <f t="shared" si="52"/>
        <v/>
      </c>
      <c r="J223" s="35" t="s">
        <v>83</v>
      </c>
      <c r="K223" s="34" t="str">
        <f t="shared" si="53"/>
        <v xml:space="preserve"> </v>
      </c>
      <c r="L223" s="35" t="s">
        <v>75</v>
      </c>
      <c r="M223" s="34" t="str">
        <f t="shared" si="54"/>
        <v xml:space="preserve"> </v>
      </c>
      <c r="N223" s="36" t="s">
        <v>56</v>
      </c>
      <c r="O223" s="34" t="str">
        <f t="shared" si="49"/>
        <v xml:space="preserve"> </v>
      </c>
      <c r="P223" s="35" t="s">
        <v>76</v>
      </c>
      <c r="Q223" s="37" t="str">
        <f t="shared" si="55"/>
        <v xml:space="preserve"> </v>
      </c>
      <c r="R223" s="33" t="s">
        <v>56</v>
      </c>
      <c r="S223" s="34" t="str">
        <f t="shared" si="56"/>
        <v xml:space="preserve"> </v>
      </c>
      <c r="T223" s="35" t="s">
        <v>83</v>
      </c>
      <c r="U223" s="37" t="str">
        <f t="shared" si="57"/>
        <v xml:space="preserve"> </v>
      </c>
      <c r="V223" s="33" t="s">
        <v>56</v>
      </c>
      <c r="W223" s="34" t="str">
        <f t="shared" si="58"/>
        <v xml:space="preserve"> </v>
      </c>
      <c r="X223" s="35" t="s">
        <v>83</v>
      </c>
      <c r="Y223" s="37" t="str">
        <f t="shared" si="59"/>
        <v xml:space="preserve"> </v>
      </c>
      <c r="Z223" s="35" t="s">
        <v>75</v>
      </c>
      <c r="AA223" s="37" t="str">
        <f t="shared" si="60"/>
        <v xml:space="preserve"> </v>
      </c>
      <c r="AB223" s="33" t="s">
        <v>103</v>
      </c>
      <c r="AC223" s="34" t="str">
        <f t="shared" si="61"/>
        <v/>
      </c>
      <c r="AD223" s="35" t="s">
        <v>83</v>
      </c>
      <c r="AE223" s="34" t="str">
        <f t="shared" si="62"/>
        <v xml:space="preserve"> </v>
      </c>
      <c r="AF223" s="35" t="s">
        <v>73</v>
      </c>
      <c r="AG223" s="37" t="str">
        <f t="shared" si="63"/>
        <v xml:space="preserve"> </v>
      </c>
      <c r="AH223" s="4">
        <f>IF(OR(AND(D223&gt;=31,D223&lt;40),AND(H223&gt;=31,H223&lt;40),AND(N223&gt;=31,N223&lt;40),AND(R223&gt;=31,R223&lt;40),AND(V223&gt;=31,V223&lt;40),AND(AB223&gt;=31,AB223&lt;40)),IF(AND(OR(COUNTIF(D223:AG223,"=31")&gt;=1,COUNTIF(D223:AG223,"=32")&gt;=1,COUNTIF(D223:AG223,"=33")&gt;=1,COUNTIF(D223:AG223,"=34")&gt;=1,COUNTIF(D223:AG223,"=35")&gt;=1,COUNTIF(D223:AG223,"=36")&gt;=1 ),COUNTIF(D223:AG223,"")=0,COUNTIF(D223:AG223," ")=0,COUNTIF(D223:AG223,"F")=1),CONCATENATE(SUM(EXTRACTNUMBER(D223),EXTRACTNUMBER(F223),
EXTRACTNUMBER(H223),EXTRACTNUMBER(J223),
EXTRACTNUMBER(L223),EXTRACTNUMBER(N223),
EXTRACTNUMBER(P223),EXTRACTNUMBER(R223),
EXTRACTNUMBER(T223),EXTRACTNUMBER(V223),
EXTRACTNUMBER(X223),EXTRACTNUMBER(Z223),EXTRACTNUMBER(AB223),
EXTRACTNUMBER(AD223),EXTRACTNUMBER(AF223)),"*"),IF(AND(COUNTIF(D223:AG223,"=34")&gt;=1,COUNTIF(D223:AG223,"=35")&gt;=1,COUNTIF(D223:AG223,"f")=2,COUNTIF(D223:AG223,"")=0,COUNTIF(D223:AG223," ")=0),CONCATENATE(SUM(EXTRACTNUMBER(D223),EXTRACTNUMBER(F223),
EXTRACTNUMBER(H223),EXTRACTNUMBER(J223),
EXTRACTNUMBER(L223),EXTRACTNUMBER(N223),
EXTRACTNUMBER(P223),EXTRACTNUMBER(R223),
EXTRACTNUMBER(T223),EXTRACTNUMBER(V223),
EXTRACTNUMBER(X223),EXTRACTNUMBER(Z223),EXTRACTNUMBER(AB223),
EXTRACTNUMBER(AD223),EXTRACTNUMBER(AF223)),"*"),IF(AND(COUNTIF(D223:AG223,"=36")&gt;=2,COUNTIF(D223:AG223,"f")=2,COUNTIF(D223:AG223,"")=0,COUNTIF(D223:AG223," ")=0),CONCATENATE(SUM(EXTRACTNUMBER(D223),EXTRACTNUMBER(F223),
EXTRACTNUMBER(H223),EXTRACTNUMBER(J223),
EXTRACTNUMBER(L223),EXTRACTNUMBER(N223),
EXTRACTNUMBER(P223),EXTRACTNUMBER(R223),
EXTRACTNUMBER(T223),EXTRACTNUMBER(V223),
EXTRACTNUMBER(X223),EXTRACTNUMBER(Z223),EXTRACTNUMBER(AB223),
EXTRACTNUMBER(AD223),EXTRACTNUMBER(AF223)),"*"),SUM(EXTRACTNUMBER(D223),EXTRACTNUMBER(F223),
EXTRACTNUMBER(H223),EXTRACTNUMBER(J223),
EXTRACTNUMBER(L223),EXTRACTNUMBER(N223),
EXTRACTNUMBER(P223),EXTRACTNUMBER(R223),
EXTRACTNUMBER(T223),EXTRACTNUMBER(V223),
EXTRACTNUMBER(X223),EXTRACTNUMBER(Z223),EXTRACTNUMBER(AB223),
EXTRACTNUMBER(AD223),EXTRACTNUMBER(AF223))))),SUM(EXTRACTNUMBER(D223),EXTRACTNUMBER(F223),
EXTRACTNUMBER(H223),EXTRACTNUMBER(J223),
EXTRACTNUMBER(L223),EXTRACTNUMBER(N223),
EXTRACTNUMBER(P223),EXTRACTNUMBER(R223),
EXTRACTNUMBER(T223),EXTRACTNUMBER(V223),
EXTRACTNUMBER(X223),EXTRACTNUMBER(Z223),EXTRACTNUMBER(AB223),
EXTRACTNUMBER(AD223),EXTRACTNUMBER(AF223)))</f>
        <v>251</v>
      </c>
      <c r="AI223" s="38" t="str">
        <f t="shared" si="48"/>
        <v>ABSENT</v>
      </c>
      <c r="AJ223" s="28" t="str">
        <f>spellnumber(EXTRACTnUMBER_TOT(AH223))</f>
        <v xml:space="preserve">Two Hundred Fifty One </v>
      </c>
      <c r="AK223" s="9">
        <v>251</v>
      </c>
    </row>
    <row r="224" spans="2:37" ht="15" customHeight="1">
      <c r="B224" s="40">
        <v>223398</v>
      </c>
      <c r="C224" s="42" t="s">
        <v>325</v>
      </c>
      <c r="D224" s="33">
        <v>15</v>
      </c>
      <c r="E224" s="34" t="str">
        <f t="shared" si="50"/>
        <v>F</v>
      </c>
      <c r="F224" s="35" t="s">
        <v>67</v>
      </c>
      <c r="G224" s="34" t="str">
        <f t="shared" si="51"/>
        <v xml:space="preserve"> </v>
      </c>
      <c r="H224" s="36">
        <v>22</v>
      </c>
      <c r="I224" s="34" t="str">
        <f t="shared" si="52"/>
        <v>F</v>
      </c>
      <c r="J224" s="35" t="s">
        <v>69</v>
      </c>
      <c r="K224" s="34" t="str">
        <f t="shared" si="53"/>
        <v xml:space="preserve"> </v>
      </c>
      <c r="L224" s="35" t="s">
        <v>70</v>
      </c>
      <c r="M224" s="34" t="str">
        <f t="shared" si="54"/>
        <v xml:space="preserve"> </v>
      </c>
      <c r="N224" s="36" t="s">
        <v>56</v>
      </c>
      <c r="O224" s="34" t="str">
        <f t="shared" si="49"/>
        <v xml:space="preserve"> </v>
      </c>
      <c r="P224" s="35" t="s">
        <v>75</v>
      </c>
      <c r="Q224" s="37" t="str">
        <f t="shared" si="55"/>
        <v xml:space="preserve"> </v>
      </c>
      <c r="R224" s="33" t="s">
        <v>63</v>
      </c>
      <c r="S224" s="34" t="str">
        <f t="shared" si="56"/>
        <v xml:space="preserve"> </v>
      </c>
      <c r="T224" s="35" t="s">
        <v>72</v>
      </c>
      <c r="U224" s="37" t="str">
        <f t="shared" si="57"/>
        <v xml:space="preserve"> </v>
      </c>
      <c r="V224" s="33" t="s">
        <v>90</v>
      </c>
      <c r="W224" s="34" t="str">
        <f t="shared" si="58"/>
        <v xml:space="preserve"> </v>
      </c>
      <c r="X224" s="35" t="s">
        <v>68</v>
      </c>
      <c r="Y224" s="37" t="str">
        <f t="shared" si="59"/>
        <v xml:space="preserve"> </v>
      </c>
      <c r="Z224" s="35" t="s">
        <v>69</v>
      </c>
      <c r="AA224" s="37" t="str">
        <f t="shared" si="60"/>
        <v xml:space="preserve"> </v>
      </c>
      <c r="AB224" s="33">
        <v>29</v>
      </c>
      <c r="AC224" s="34" t="str">
        <f t="shared" si="61"/>
        <v>F</v>
      </c>
      <c r="AD224" s="35" t="s">
        <v>75</v>
      </c>
      <c r="AE224" s="34" t="str">
        <f t="shared" si="62"/>
        <v xml:space="preserve"> </v>
      </c>
      <c r="AF224" s="35" t="s">
        <v>56</v>
      </c>
      <c r="AG224" s="37" t="str">
        <f t="shared" si="63"/>
        <v xml:space="preserve"> </v>
      </c>
      <c r="AH224" s="4">
        <f>IF(OR(AND(D224&gt;=31,D224&lt;40),AND(H224&gt;=31,H224&lt;40),AND(N224&gt;=31,N224&lt;40),AND(R224&gt;=31,R224&lt;40),AND(V224&gt;=31,V224&lt;40),AND(AB224&gt;=31,AB224&lt;40)),IF(AND(OR(COUNTIF(D224:AG224,"=31")&gt;=1,COUNTIF(D224:AG224,"=32")&gt;=1,COUNTIF(D224:AG224,"=33")&gt;=1,COUNTIF(D224:AG224,"=34")&gt;=1,COUNTIF(D224:AG224,"=35")&gt;=1,COUNTIF(D224:AG224,"=36")&gt;=1 ),COUNTIF(D224:AG224,"")=0,COUNTIF(D224:AG224," ")=0,COUNTIF(D224:AG224,"F")=1),CONCATENATE(SUM(EXTRACTNUMBER(D224),EXTRACTNUMBER(F224),
EXTRACTNUMBER(H224),EXTRACTNUMBER(J224),
EXTRACTNUMBER(L224),EXTRACTNUMBER(N224),
EXTRACTNUMBER(P224),EXTRACTNUMBER(R224),
EXTRACTNUMBER(T224),EXTRACTNUMBER(V224),
EXTRACTNUMBER(X224),EXTRACTNUMBER(Z224),EXTRACTNUMBER(AB224),
EXTRACTNUMBER(AD224),EXTRACTNUMBER(AF224)),"*"),IF(AND(COUNTIF(D224:AG224,"=34")&gt;=1,COUNTIF(D224:AG224,"=35")&gt;=1,COUNTIF(D224:AG224,"f")=2,COUNTIF(D224:AG224,"")=0,COUNTIF(D224:AG224," ")=0),CONCATENATE(SUM(EXTRACTNUMBER(D224),EXTRACTNUMBER(F224),
EXTRACTNUMBER(H224),EXTRACTNUMBER(J224),
EXTRACTNUMBER(L224),EXTRACTNUMBER(N224),
EXTRACTNUMBER(P224),EXTRACTNUMBER(R224),
EXTRACTNUMBER(T224),EXTRACTNUMBER(V224),
EXTRACTNUMBER(X224),EXTRACTNUMBER(Z224),EXTRACTNUMBER(AB224),
EXTRACTNUMBER(AD224),EXTRACTNUMBER(AF224)),"*"),IF(AND(COUNTIF(D224:AG224,"=36")&gt;=2,COUNTIF(D224:AG224,"f")=2,COUNTIF(D224:AG224,"")=0,COUNTIF(D224:AG224," ")=0),CONCATENATE(SUM(EXTRACTNUMBER(D224),EXTRACTNUMBER(F224),
EXTRACTNUMBER(H224),EXTRACTNUMBER(J224),
EXTRACTNUMBER(L224),EXTRACTNUMBER(N224),
EXTRACTNUMBER(P224),EXTRACTNUMBER(R224),
EXTRACTNUMBER(T224),EXTRACTNUMBER(V224),
EXTRACTNUMBER(X224),EXTRACTNUMBER(Z224),EXTRACTNUMBER(AB224),
EXTRACTNUMBER(AD224),EXTRACTNUMBER(AF224)),"*"),SUM(EXTRACTNUMBER(D224),EXTRACTNUMBER(F224),
EXTRACTNUMBER(H224),EXTRACTNUMBER(J224),
EXTRACTNUMBER(L224),EXTRACTNUMBER(N224),
EXTRACTNUMBER(P224),EXTRACTNUMBER(R224),
EXTRACTNUMBER(T224),EXTRACTNUMBER(V224),
EXTRACTNUMBER(X224),EXTRACTNUMBER(Z224),EXTRACTNUMBER(AB224),
EXTRACTNUMBER(AD224),EXTRACTNUMBER(AF224))))),SUM(EXTRACTNUMBER(D224),EXTRACTNUMBER(F224),
EXTRACTNUMBER(H224),EXTRACTNUMBER(J224),
EXTRACTNUMBER(L224),EXTRACTNUMBER(N224),
EXTRACTNUMBER(P224),EXTRACTNUMBER(R224),
EXTRACTNUMBER(T224),EXTRACTNUMBER(V224),
EXTRACTNUMBER(X224),EXTRACTNUMBER(Z224),EXTRACTNUMBER(AB224),
EXTRACTNUMBER(AD224),EXTRACTNUMBER(AF224)))</f>
        <v>390</v>
      </c>
      <c r="AI224" s="38" t="str">
        <f t="shared" si="48"/>
        <v>FAIL</v>
      </c>
      <c r="AJ224" s="28" t="str">
        <f>spellnumber(EXTRACTnUMBER_TOT(AH224))</f>
        <v xml:space="preserve">Three Hundred Ninety </v>
      </c>
      <c r="AK224" s="9">
        <v>390</v>
      </c>
    </row>
    <row r="225" spans="2:37" ht="15" customHeight="1">
      <c r="B225" s="40">
        <v>223399</v>
      </c>
      <c r="C225" s="42" t="s">
        <v>326</v>
      </c>
      <c r="D225" s="33" t="s">
        <v>65</v>
      </c>
      <c r="E225" s="34" t="str">
        <f t="shared" si="50"/>
        <v xml:space="preserve"> </v>
      </c>
      <c r="F225" s="35" t="s">
        <v>66</v>
      </c>
      <c r="G225" s="34" t="str">
        <f t="shared" si="51"/>
        <v xml:space="preserve"> </v>
      </c>
      <c r="H225" s="36" t="s">
        <v>103</v>
      </c>
      <c r="I225" s="34" t="str">
        <f t="shared" si="52"/>
        <v/>
      </c>
      <c r="J225" s="35" t="s">
        <v>69</v>
      </c>
      <c r="K225" s="34" t="str">
        <f t="shared" si="53"/>
        <v xml:space="preserve"> </v>
      </c>
      <c r="L225" s="35" t="s">
        <v>70</v>
      </c>
      <c r="M225" s="34" t="str">
        <f t="shared" si="54"/>
        <v xml:space="preserve"> </v>
      </c>
      <c r="N225" s="36" t="s">
        <v>65</v>
      </c>
      <c r="O225" s="34" t="str">
        <f t="shared" si="49"/>
        <v xml:space="preserve"> </v>
      </c>
      <c r="P225" s="35" t="s">
        <v>70</v>
      </c>
      <c r="Q225" s="37" t="str">
        <f t="shared" si="55"/>
        <v xml:space="preserve"> </v>
      </c>
      <c r="R225" s="33" t="s">
        <v>56</v>
      </c>
      <c r="S225" s="34" t="str">
        <f t="shared" si="56"/>
        <v xml:space="preserve"> </v>
      </c>
      <c r="T225" s="35" t="s">
        <v>71</v>
      </c>
      <c r="U225" s="37" t="str">
        <f t="shared" si="57"/>
        <v xml:space="preserve"> </v>
      </c>
      <c r="V225" s="33" t="s">
        <v>90</v>
      </c>
      <c r="W225" s="34" t="str">
        <f t="shared" si="58"/>
        <v xml:space="preserve"> </v>
      </c>
      <c r="X225" s="35" t="s">
        <v>69</v>
      </c>
      <c r="Y225" s="37" t="str">
        <f t="shared" si="59"/>
        <v xml:space="preserve"> </v>
      </c>
      <c r="Z225" s="35" t="s">
        <v>69</v>
      </c>
      <c r="AA225" s="37" t="str">
        <f t="shared" si="60"/>
        <v xml:space="preserve"> </v>
      </c>
      <c r="AB225" s="33" t="s">
        <v>56</v>
      </c>
      <c r="AC225" s="34" t="str">
        <f t="shared" si="61"/>
        <v xml:space="preserve"> </v>
      </c>
      <c r="AD225" s="35" t="s">
        <v>70</v>
      </c>
      <c r="AE225" s="34" t="str">
        <f t="shared" si="62"/>
        <v xml:space="preserve"> </v>
      </c>
      <c r="AF225" s="35" t="s">
        <v>56</v>
      </c>
      <c r="AG225" s="37" t="str">
        <f t="shared" si="63"/>
        <v xml:space="preserve"> </v>
      </c>
      <c r="AH225" s="4">
        <f>IF(OR(AND(D225&gt;=31,D225&lt;40),AND(H225&gt;=31,H225&lt;40),AND(N225&gt;=31,N225&lt;40),AND(R225&gt;=31,R225&lt;40),AND(V225&gt;=31,V225&lt;40),AND(AB225&gt;=31,AB225&lt;40)),IF(AND(OR(COUNTIF(D225:AG225,"=31")&gt;=1,COUNTIF(D225:AG225,"=32")&gt;=1,COUNTIF(D225:AG225,"=33")&gt;=1,COUNTIF(D225:AG225,"=34")&gt;=1,COUNTIF(D225:AG225,"=35")&gt;=1,COUNTIF(D225:AG225,"=36")&gt;=1 ),COUNTIF(D225:AG225,"")=0,COUNTIF(D225:AG225," ")=0,COUNTIF(D225:AG225,"F")=1),CONCATENATE(SUM(EXTRACTNUMBER(D225),EXTRACTNUMBER(F225),
EXTRACTNUMBER(H225),EXTRACTNUMBER(J225),
EXTRACTNUMBER(L225),EXTRACTNUMBER(N225),
EXTRACTNUMBER(P225),EXTRACTNUMBER(R225),
EXTRACTNUMBER(T225),EXTRACTNUMBER(V225),
EXTRACTNUMBER(X225),EXTRACTNUMBER(Z225),EXTRACTNUMBER(AB225),
EXTRACTNUMBER(AD225),EXTRACTNUMBER(AF225)),"*"),IF(AND(COUNTIF(D225:AG225,"=34")&gt;=1,COUNTIF(D225:AG225,"=35")&gt;=1,COUNTIF(D225:AG225,"f")=2,COUNTIF(D225:AG225,"")=0,COUNTIF(D225:AG225," ")=0),CONCATENATE(SUM(EXTRACTNUMBER(D225),EXTRACTNUMBER(F225),
EXTRACTNUMBER(H225),EXTRACTNUMBER(J225),
EXTRACTNUMBER(L225),EXTRACTNUMBER(N225),
EXTRACTNUMBER(P225),EXTRACTNUMBER(R225),
EXTRACTNUMBER(T225),EXTRACTNUMBER(V225),
EXTRACTNUMBER(X225),EXTRACTNUMBER(Z225),EXTRACTNUMBER(AB225),
EXTRACTNUMBER(AD225),EXTRACTNUMBER(AF225)),"*"),IF(AND(COUNTIF(D225:AG225,"=36")&gt;=2,COUNTIF(D225:AG225,"f")=2,COUNTIF(D225:AG225,"")=0,COUNTIF(D225:AG225," ")=0),CONCATENATE(SUM(EXTRACTNUMBER(D225),EXTRACTNUMBER(F225),
EXTRACTNUMBER(H225),EXTRACTNUMBER(J225),
EXTRACTNUMBER(L225),EXTRACTNUMBER(N225),
EXTRACTNUMBER(P225),EXTRACTNUMBER(R225),
EXTRACTNUMBER(T225),EXTRACTNUMBER(V225),
EXTRACTNUMBER(X225),EXTRACTNUMBER(Z225),EXTRACTNUMBER(AB225),
EXTRACTNUMBER(AD225),EXTRACTNUMBER(AF225)),"*"),SUM(EXTRACTNUMBER(D225),EXTRACTNUMBER(F225),
EXTRACTNUMBER(H225),EXTRACTNUMBER(J225),
EXTRACTNUMBER(L225),EXTRACTNUMBER(N225),
EXTRACTNUMBER(P225),EXTRACTNUMBER(R225),
EXTRACTNUMBER(T225),EXTRACTNUMBER(V225),
EXTRACTNUMBER(X225),EXTRACTNUMBER(Z225),EXTRACTNUMBER(AB225),
EXTRACTNUMBER(AD225),EXTRACTNUMBER(AF225))))),SUM(EXTRACTNUMBER(D225),EXTRACTNUMBER(F225),
EXTRACTNUMBER(H225),EXTRACTNUMBER(J225),
EXTRACTNUMBER(L225),EXTRACTNUMBER(N225),
EXTRACTNUMBER(P225),EXTRACTNUMBER(R225),
EXTRACTNUMBER(T225),EXTRACTNUMBER(V225),
EXTRACTNUMBER(X225),EXTRACTNUMBER(Z225),EXTRACTNUMBER(AB225),
EXTRACTNUMBER(AD225),EXTRACTNUMBER(AF225)))</f>
        <v>397</v>
      </c>
      <c r="AI225" s="38" t="str">
        <f t="shared" si="48"/>
        <v>ABSENT</v>
      </c>
      <c r="AJ225" s="28" t="str">
        <f>spellnumber(EXTRACTnUMBER_TOT(AH225))</f>
        <v xml:space="preserve">Three Hundred NinetySeven </v>
      </c>
      <c r="AK225" s="9">
        <v>397</v>
      </c>
    </row>
    <row r="226" spans="2:37" ht="15" customHeight="1">
      <c r="B226" s="40">
        <v>223400</v>
      </c>
      <c r="C226" s="42" t="s">
        <v>52</v>
      </c>
      <c r="D226" s="33">
        <v>10</v>
      </c>
      <c r="E226" s="34" t="str">
        <f t="shared" si="50"/>
        <v>F</v>
      </c>
      <c r="F226" s="35" t="s">
        <v>67</v>
      </c>
      <c r="G226" s="34" t="str">
        <f t="shared" si="51"/>
        <v xml:space="preserve"> </v>
      </c>
      <c r="H226" s="36" t="s">
        <v>81</v>
      </c>
      <c r="I226" s="34" t="str">
        <f t="shared" si="52"/>
        <v xml:space="preserve"> </v>
      </c>
      <c r="J226" s="35" t="s">
        <v>74</v>
      </c>
      <c r="K226" s="34" t="str">
        <f t="shared" si="53"/>
        <v xml:space="preserve"> </v>
      </c>
      <c r="L226" s="35" t="s">
        <v>68</v>
      </c>
      <c r="M226" s="34" t="str">
        <f t="shared" si="54"/>
        <v xml:space="preserve"> </v>
      </c>
      <c r="N226" s="36" t="s">
        <v>56</v>
      </c>
      <c r="O226" s="34" t="str">
        <f t="shared" si="49"/>
        <v xml:space="preserve"> </v>
      </c>
      <c r="P226" s="35" t="s">
        <v>71</v>
      </c>
      <c r="Q226" s="37" t="str">
        <f t="shared" si="55"/>
        <v xml:space="preserve"> </v>
      </c>
      <c r="R226" s="33" t="s">
        <v>80</v>
      </c>
      <c r="S226" s="34" t="str">
        <f t="shared" si="56"/>
        <v xml:space="preserve"> </v>
      </c>
      <c r="T226" s="35" t="s">
        <v>74</v>
      </c>
      <c r="U226" s="37" t="str">
        <f t="shared" si="57"/>
        <v xml:space="preserve"> </v>
      </c>
      <c r="V226" s="33" t="s">
        <v>78</v>
      </c>
      <c r="W226" s="34" t="str">
        <f t="shared" si="58"/>
        <v xml:space="preserve"> </v>
      </c>
      <c r="X226" s="35" t="s">
        <v>72</v>
      </c>
      <c r="Y226" s="37" t="str">
        <f t="shared" si="59"/>
        <v xml:space="preserve"> </v>
      </c>
      <c r="Z226" s="35" t="s">
        <v>74</v>
      </c>
      <c r="AA226" s="37" t="str">
        <f t="shared" si="60"/>
        <v xml:space="preserve"> </v>
      </c>
      <c r="AB226" s="33" t="s">
        <v>61</v>
      </c>
      <c r="AC226" s="34" t="str">
        <f t="shared" si="61"/>
        <v xml:space="preserve"> </v>
      </c>
      <c r="AD226" s="35" t="s">
        <v>71</v>
      </c>
      <c r="AE226" s="34" t="str">
        <f t="shared" si="62"/>
        <v xml:space="preserve"> </v>
      </c>
      <c r="AF226" s="35" t="s">
        <v>97</v>
      </c>
      <c r="AG226" s="37" t="str">
        <f t="shared" si="63"/>
        <v xml:space="preserve"> </v>
      </c>
      <c r="AH226" s="4">
        <f>IF(OR(AND(D226&gt;=31,D226&lt;40),AND(H226&gt;=31,H226&lt;40),AND(N226&gt;=31,N226&lt;40),AND(R226&gt;=31,R226&lt;40),AND(V226&gt;=31,V226&lt;40),AND(AB226&gt;=31,AB226&lt;40)),IF(AND(OR(COUNTIF(D226:AG226,"=31")&gt;=1,COUNTIF(D226:AG226,"=32")&gt;=1,COUNTIF(D226:AG226,"=33")&gt;=1,COUNTIF(D226:AG226,"=34")&gt;=1,COUNTIF(D226:AG226,"=35")&gt;=1,COUNTIF(D226:AG226,"=36")&gt;=1 ),COUNTIF(D226:AG226,"")=0,COUNTIF(D226:AG226," ")=0,COUNTIF(D226:AG226,"F")=1),CONCATENATE(SUM(EXTRACTNUMBER(D226),EXTRACTNUMBER(F226),
EXTRACTNUMBER(H226),EXTRACTNUMBER(J226),
EXTRACTNUMBER(L226),EXTRACTNUMBER(N226),
EXTRACTNUMBER(P226),EXTRACTNUMBER(R226),
EXTRACTNUMBER(T226),EXTRACTNUMBER(V226),
EXTRACTNUMBER(X226),EXTRACTNUMBER(Z226),EXTRACTNUMBER(AB226),
EXTRACTNUMBER(AD226),EXTRACTNUMBER(AF226)),"*"),IF(AND(COUNTIF(D226:AG226,"=34")&gt;=1,COUNTIF(D226:AG226,"=35")&gt;=1,COUNTIF(D226:AG226,"f")=2,COUNTIF(D226:AG226,"")=0,COUNTIF(D226:AG226," ")=0),CONCATENATE(SUM(EXTRACTNUMBER(D226),EXTRACTNUMBER(F226),
EXTRACTNUMBER(H226),EXTRACTNUMBER(J226),
EXTRACTNUMBER(L226),EXTRACTNUMBER(N226),
EXTRACTNUMBER(P226),EXTRACTNUMBER(R226),
EXTRACTNUMBER(T226),EXTRACTNUMBER(V226),
EXTRACTNUMBER(X226),EXTRACTNUMBER(Z226),EXTRACTNUMBER(AB226),
EXTRACTNUMBER(AD226),EXTRACTNUMBER(AF226)),"*"),IF(AND(COUNTIF(D226:AG226,"=36")&gt;=2,COUNTIF(D226:AG226,"f")=2,COUNTIF(D226:AG226,"")=0,COUNTIF(D226:AG226," ")=0),CONCATENATE(SUM(EXTRACTNUMBER(D226),EXTRACTNUMBER(F226),
EXTRACTNUMBER(H226),EXTRACTNUMBER(J226),
EXTRACTNUMBER(L226),EXTRACTNUMBER(N226),
EXTRACTNUMBER(P226),EXTRACTNUMBER(R226),
EXTRACTNUMBER(T226),EXTRACTNUMBER(V226),
EXTRACTNUMBER(X226),EXTRACTNUMBER(Z226),EXTRACTNUMBER(AB226),
EXTRACTNUMBER(AD226),EXTRACTNUMBER(AF226)),"*"),SUM(EXTRACTNUMBER(D226),EXTRACTNUMBER(F226),
EXTRACTNUMBER(H226),EXTRACTNUMBER(J226),
EXTRACTNUMBER(L226),EXTRACTNUMBER(N226),
EXTRACTNUMBER(P226),EXTRACTNUMBER(R226),
EXTRACTNUMBER(T226),EXTRACTNUMBER(V226),
EXTRACTNUMBER(X226),EXTRACTNUMBER(Z226),EXTRACTNUMBER(AB226),
EXTRACTNUMBER(AD226),EXTRACTNUMBER(AF226))))),SUM(EXTRACTNUMBER(D226),EXTRACTNUMBER(F226),
EXTRACTNUMBER(H226),EXTRACTNUMBER(J226),
EXTRACTNUMBER(L226),EXTRACTNUMBER(N226),
EXTRACTNUMBER(P226),EXTRACTNUMBER(R226),
EXTRACTNUMBER(T226),EXTRACTNUMBER(V226),
EXTRACTNUMBER(X226),EXTRACTNUMBER(Z226),EXTRACTNUMBER(AB226),
EXTRACTNUMBER(AD226),EXTRACTNUMBER(AF226)))</f>
        <v>432</v>
      </c>
      <c r="AI226" s="38" t="str">
        <f t="shared" si="48"/>
        <v>FAIL</v>
      </c>
      <c r="AJ226" s="28" t="str">
        <f>spellnumber(EXTRACTnUMBER_TOT(AH226))</f>
        <v xml:space="preserve">Four Hundred Thirty Two </v>
      </c>
      <c r="AK226" s="9">
        <v>432</v>
      </c>
    </row>
    <row r="227" spans="2:37" ht="15" customHeight="1">
      <c r="B227" s="40" t="s">
        <v>327</v>
      </c>
      <c r="C227" s="42" t="s">
        <v>53</v>
      </c>
      <c r="D227" s="33" t="s">
        <v>55</v>
      </c>
      <c r="E227" s="34" t="str">
        <f t="shared" si="50"/>
        <v xml:space="preserve"> </v>
      </c>
      <c r="F227" s="35" t="s">
        <v>68</v>
      </c>
      <c r="G227" s="34" t="str">
        <f t="shared" si="51"/>
        <v xml:space="preserve"> </v>
      </c>
      <c r="H227" s="36">
        <v>40</v>
      </c>
      <c r="I227" s="34" t="str">
        <f t="shared" si="52"/>
        <v/>
      </c>
      <c r="J227" s="35" t="s">
        <v>74</v>
      </c>
      <c r="K227" s="34" t="str">
        <f t="shared" si="53"/>
        <v xml:space="preserve"> </v>
      </c>
      <c r="L227" s="35" t="s">
        <v>72</v>
      </c>
      <c r="M227" s="34" t="str">
        <f t="shared" si="54"/>
        <v xml:space="preserve"> </v>
      </c>
      <c r="N227" s="36" t="s">
        <v>63</v>
      </c>
      <c r="O227" s="34" t="str">
        <f t="shared" si="49"/>
        <v xml:space="preserve"> </v>
      </c>
      <c r="P227" s="35" t="s">
        <v>74</v>
      </c>
      <c r="Q227" s="37" t="str">
        <f t="shared" si="55"/>
        <v xml:space="preserve"> </v>
      </c>
      <c r="R227" s="33" t="s">
        <v>92</v>
      </c>
      <c r="S227" s="34" t="str">
        <f t="shared" si="56"/>
        <v xml:space="preserve"> </v>
      </c>
      <c r="T227" s="35" t="s">
        <v>72</v>
      </c>
      <c r="U227" s="37" t="str">
        <f t="shared" si="57"/>
        <v xml:space="preserve"> </v>
      </c>
      <c r="V227" s="33" t="s">
        <v>62</v>
      </c>
      <c r="W227" s="34" t="str">
        <f t="shared" si="58"/>
        <v xml:space="preserve"> </v>
      </c>
      <c r="X227" s="35" t="s">
        <v>70</v>
      </c>
      <c r="Y227" s="37" t="str">
        <f t="shared" si="59"/>
        <v xml:space="preserve"> </v>
      </c>
      <c r="Z227" s="35" t="s">
        <v>70</v>
      </c>
      <c r="AA227" s="37" t="str">
        <f t="shared" si="60"/>
        <v xml:space="preserve"> </v>
      </c>
      <c r="AB227" s="33" t="s">
        <v>65</v>
      </c>
      <c r="AC227" s="34" t="str">
        <f t="shared" si="61"/>
        <v xml:space="preserve"> </v>
      </c>
      <c r="AD227" s="35" t="s">
        <v>72</v>
      </c>
      <c r="AE227" s="34" t="str">
        <f t="shared" si="62"/>
        <v xml:space="preserve"> </v>
      </c>
      <c r="AF227" s="35" t="s">
        <v>56</v>
      </c>
      <c r="AG227" s="37" t="str">
        <f t="shared" si="63"/>
        <v xml:space="preserve"> </v>
      </c>
      <c r="AH227" s="4">
        <f>IF(OR(AND(D227&gt;=31,D227&lt;40),AND(H227&gt;=31,H227&lt;40),AND(N227&gt;=31,N227&lt;40),AND(R227&gt;=31,R227&lt;40),AND(V227&gt;=31,V227&lt;40),AND(AB227&gt;=31,AB227&lt;40)),IF(AND(OR(COUNTIF(D227:AG227,"=31")&gt;=1,COUNTIF(D227:AG227,"=32")&gt;=1,COUNTIF(D227:AG227,"=33")&gt;=1,COUNTIF(D227:AG227,"=34")&gt;=1,COUNTIF(D227:AG227,"=35")&gt;=1,COUNTIF(D227:AG227,"=36")&gt;=1 ),COUNTIF(D227:AG227,"")=0,COUNTIF(D227:AG227," ")=0,COUNTIF(D227:AG227,"F")=1),CONCATENATE(SUM(EXTRACTNUMBER(D227),EXTRACTNUMBER(F227),
EXTRACTNUMBER(H227),EXTRACTNUMBER(J227),
EXTRACTNUMBER(L227),EXTRACTNUMBER(N227),
EXTRACTNUMBER(P227),EXTRACTNUMBER(R227),
EXTRACTNUMBER(T227),EXTRACTNUMBER(V227),
EXTRACTNUMBER(X227),EXTRACTNUMBER(Z227),EXTRACTNUMBER(AB227),
EXTRACTNUMBER(AD227),EXTRACTNUMBER(AF227)),"*"),IF(AND(COUNTIF(D227:AG227,"=34")&gt;=1,COUNTIF(D227:AG227,"=35")&gt;=1,COUNTIF(D227:AG227,"f")=2,COUNTIF(D227:AG227,"")=0,COUNTIF(D227:AG227," ")=0),CONCATENATE(SUM(EXTRACTNUMBER(D227),EXTRACTNUMBER(F227),
EXTRACTNUMBER(H227),EXTRACTNUMBER(J227),
EXTRACTNUMBER(L227),EXTRACTNUMBER(N227),
EXTRACTNUMBER(P227),EXTRACTNUMBER(R227),
EXTRACTNUMBER(T227),EXTRACTNUMBER(V227),
EXTRACTNUMBER(X227),EXTRACTNUMBER(Z227),EXTRACTNUMBER(AB227),
EXTRACTNUMBER(AD227),EXTRACTNUMBER(AF227)),"*"),IF(AND(COUNTIF(D227:AG227,"=36")&gt;=2,COUNTIF(D227:AG227,"f")=2,COUNTIF(D227:AG227,"")=0,COUNTIF(D227:AG227," ")=0),CONCATENATE(SUM(EXTRACTNUMBER(D227),EXTRACTNUMBER(F227),
EXTRACTNUMBER(H227),EXTRACTNUMBER(J227),
EXTRACTNUMBER(L227),EXTRACTNUMBER(N227),
EXTRACTNUMBER(P227),EXTRACTNUMBER(R227),
EXTRACTNUMBER(T227),EXTRACTNUMBER(V227),
EXTRACTNUMBER(X227),EXTRACTNUMBER(Z227),EXTRACTNUMBER(AB227),
EXTRACTNUMBER(AD227),EXTRACTNUMBER(AF227)),"*"),SUM(EXTRACTNUMBER(D227),EXTRACTNUMBER(F227),
EXTRACTNUMBER(H227),EXTRACTNUMBER(J227),
EXTRACTNUMBER(L227),EXTRACTNUMBER(N227),
EXTRACTNUMBER(P227),EXTRACTNUMBER(R227),
EXTRACTNUMBER(T227),EXTRACTNUMBER(V227),
EXTRACTNUMBER(X227),EXTRACTNUMBER(Z227),EXTRACTNUMBER(AB227),
EXTRACTNUMBER(AD227),EXTRACTNUMBER(AF227))))),SUM(EXTRACTNUMBER(D227),EXTRACTNUMBER(F227),
EXTRACTNUMBER(H227),EXTRACTNUMBER(J227),
EXTRACTNUMBER(L227),EXTRACTNUMBER(N227),
EXTRACTNUMBER(P227),EXTRACTNUMBER(R227),
EXTRACTNUMBER(T227),EXTRACTNUMBER(V227),
EXTRACTNUMBER(X227),EXTRACTNUMBER(Z227),EXTRACTNUMBER(AB227),
EXTRACTNUMBER(AD227),EXTRACTNUMBER(AF227)))</f>
        <v>479</v>
      </c>
      <c r="AI227" s="38" t="str">
        <f t="shared" si="48"/>
        <v>PASS</v>
      </c>
      <c r="AJ227" s="28" t="str">
        <f>spellnumber(EXTRACTnUMBER_TOT(AH227))</f>
        <v xml:space="preserve">Four Hundred Seventy Nine </v>
      </c>
      <c r="AK227" s="9">
        <v>479</v>
      </c>
    </row>
    <row r="228" spans="2:37" ht="15" customHeight="1">
      <c r="B228" s="40" t="s">
        <v>328</v>
      </c>
      <c r="C228" s="42" t="s">
        <v>329</v>
      </c>
      <c r="D228" s="33" t="s">
        <v>103</v>
      </c>
      <c r="E228" s="34" t="str">
        <f t="shared" si="50"/>
        <v/>
      </c>
      <c r="F228" s="35" t="s">
        <v>66</v>
      </c>
      <c r="G228" s="34" t="str">
        <f t="shared" si="51"/>
        <v xml:space="preserve"> </v>
      </c>
      <c r="H228" s="36" t="s">
        <v>103</v>
      </c>
      <c r="I228" s="34" t="str">
        <f t="shared" si="52"/>
        <v/>
      </c>
      <c r="J228" s="35" t="s">
        <v>74</v>
      </c>
      <c r="K228" s="34" t="str">
        <f t="shared" si="53"/>
        <v xml:space="preserve"> </v>
      </c>
      <c r="L228" s="35" t="s">
        <v>72</v>
      </c>
      <c r="M228" s="34" t="str">
        <f t="shared" si="54"/>
        <v xml:space="preserve"> </v>
      </c>
      <c r="N228" s="36" t="s">
        <v>61</v>
      </c>
      <c r="O228" s="34" t="str">
        <f t="shared" si="49"/>
        <v xml:space="preserve"> </v>
      </c>
      <c r="P228" s="35" t="s">
        <v>66</v>
      </c>
      <c r="Q228" s="37" t="str">
        <f t="shared" si="55"/>
        <v xml:space="preserve"> </v>
      </c>
      <c r="R228" s="33" t="s">
        <v>103</v>
      </c>
      <c r="S228" s="34" t="str">
        <f t="shared" si="56"/>
        <v/>
      </c>
      <c r="T228" s="35" t="s">
        <v>71</v>
      </c>
      <c r="U228" s="37" t="str">
        <f t="shared" si="57"/>
        <v xml:space="preserve"> </v>
      </c>
      <c r="V228" s="33" t="s">
        <v>103</v>
      </c>
      <c r="W228" s="34" t="str">
        <f t="shared" si="58"/>
        <v/>
      </c>
      <c r="X228" s="35" t="s">
        <v>70</v>
      </c>
      <c r="Y228" s="37" t="str">
        <f t="shared" si="59"/>
        <v xml:space="preserve"> </v>
      </c>
      <c r="Z228" s="35" t="s">
        <v>74</v>
      </c>
      <c r="AA228" s="37" t="str">
        <f t="shared" si="60"/>
        <v xml:space="preserve"> </v>
      </c>
      <c r="AB228" s="33" t="s">
        <v>64</v>
      </c>
      <c r="AC228" s="34" t="str">
        <f t="shared" si="61"/>
        <v xml:space="preserve"> </v>
      </c>
      <c r="AD228" s="35" t="s">
        <v>74</v>
      </c>
      <c r="AE228" s="34" t="str">
        <f t="shared" si="62"/>
        <v xml:space="preserve"> </v>
      </c>
      <c r="AF228" s="35" t="s">
        <v>101</v>
      </c>
      <c r="AG228" s="37" t="str">
        <f t="shared" si="63"/>
        <v xml:space="preserve"> </v>
      </c>
      <c r="AH228" s="4">
        <f>IF(OR(AND(D228&gt;=31,D228&lt;40),AND(H228&gt;=31,H228&lt;40),AND(N228&gt;=31,N228&lt;40),AND(R228&gt;=31,R228&lt;40),AND(V228&gt;=31,V228&lt;40),AND(AB228&gt;=31,AB228&lt;40)),IF(AND(OR(COUNTIF(D228:AG228,"=31")&gt;=1,COUNTIF(D228:AG228,"=32")&gt;=1,COUNTIF(D228:AG228,"=33")&gt;=1,COUNTIF(D228:AG228,"=34")&gt;=1,COUNTIF(D228:AG228,"=35")&gt;=1,COUNTIF(D228:AG228,"=36")&gt;=1 ),COUNTIF(D228:AG228,"")=0,COUNTIF(D228:AG228," ")=0,COUNTIF(D228:AG228,"F")=1),CONCATENATE(SUM(EXTRACTNUMBER(D228),EXTRACTNUMBER(F228),
EXTRACTNUMBER(H228),EXTRACTNUMBER(J228),
EXTRACTNUMBER(L228),EXTRACTNUMBER(N228),
EXTRACTNUMBER(P228),EXTRACTNUMBER(R228),
EXTRACTNUMBER(T228),EXTRACTNUMBER(V228),
EXTRACTNUMBER(X228),EXTRACTNUMBER(Z228),EXTRACTNUMBER(AB228),
EXTRACTNUMBER(AD228),EXTRACTNUMBER(AF228)),"*"),IF(AND(COUNTIF(D228:AG228,"=34")&gt;=1,COUNTIF(D228:AG228,"=35")&gt;=1,COUNTIF(D228:AG228,"f")=2,COUNTIF(D228:AG228,"")=0,COUNTIF(D228:AG228," ")=0),CONCATENATE(SUM(EXTRACTNUMBER(D228),EXTRACTNUMBER(F228),
EXTRACTNUMBER(H228),EXTRACTNUMBER(J228),
EXTRACTNUMBER(L228),EXTRACTNUMBER(N228),
EXTRACTNUMBER(P228),EXTRACTNUMBER(R228),
EXTRACTNUMBER(T228),EXTRACTNUMBER(V228),
EXTRACTNUMBER(X228),EXTRACTNUMBER(Z228),EXTRACTNUMBER(AB228),
EXTRACTNUMBER(AD228),EXTRACTNUMBER(AF228)),"*"),IF(AND(COUNTIF(D228:AG228,"=36")&gt;=2,COUNTIF(D228:AG228,"f")=2,COUNTIF(D228:AG228,"")=0,COUNTIF(D228:AG228," ")=0),CONCATENATE(SUM(EXTRACTNUMBER(D228),EXTRACTNUMBER(F228),
EXTRACTNUMBER(H228),EXTRACTNUMBER(J228),
EXTRACTNUMBER(L228),EXTRACTNUMBER(N228),
EXTRACTNUMBER(P228),EXTRACTNUMBER(R228),
EXTRACTNUMBER(T228),EXTRACTNUMBER(V228),
EXTRACTNUMBER(X228),EXTRACTNUMBER(Z228),EXTRACTNUMBER(AB228),
EXTRACTNUMBER(AD228),EXTRACTNUMBER(AF228)),"*"),SUM(EXTRACTNUMBER(D228),EXTRACTNUMBER(F228),
EXTRACTNUMBER(H228),EXTRACTNUMBER(J228),
EXTRACTNUMBER(L228),EXTRACTNUMBER(N228),
EXTRACTNUMBER(P228),EXTRACTNUMBER(R228),
EXTRACTNUMBER(T228),EXTRACTNUMBER(V228),
EXTRACTNUMBER(X228),EXTRACTNUMBER(Z228),EXTRACTNUMBER(AB228),
EXTRACTNUMBER(AD228),EXTRACTNUMBER(AF228))))),SUM(EXTRACTNUMBER(D228),EXTRACTNUMBER(F228),
EXTRACTNUMBER(H228),EXTRACTNUMBER(J228),
EXTRACTNUMBER(L228),EXTRACTNUMBER(N228),
EXTRACTNUMBER(P228),EXTRACTNUMBER(R228),
EXTRACTNUMBER(T228),EXTRACTNUMBER(V228),
EXTRACTNUMBER(X228),EXTRACTNUMBER(Z228),EXTRACTNUMBER(AB228),
EXTRACTNUMBER(AD228),EXTRACTNUMBER(AF228)))</f>
        <v>275</v>
      </c>
      <c r="AI228" s="38" t="str">
        <f t="shared" si="48"/>
        <v>ABSENT</v>
      </c>
      <c r="AJ228" s="28" t="str">
        <f>spellnumber(EXTRACTnUMBER_TOT(AH228))</f>
        <v xml:space="preserve">Two Hundred Seventy Five </v>
      </c>
      <c r="AK228" s="9">
        <v>275</v>
      </c>
    </row>
    <row r="229" spans="2:37" ht="15" customHeight="1">
      <c r="B229" s="40" t="s">
        <v>330</v>
      </c>
      <c r="C229" s="42" t="s">
        <v>331</v>
      </c>
      <c r="D229" s="33">
        <v>18</v>
      </c>
      <c r="E229" s="34" t="str">
        <f t="shared" si="50"/>
        <v>F</v>
      </c>
      <c r="F229" s="35" t="s">
        <v>67</v>
      </c>
      <c r="G229" s="34" t="str">
        <f t="shared" si="51"/>
        <v xml:space="preserve"> </v>
      </c>
      <c r="H229" s="36" t="s">
        <v>65</v>
      </c>
      <c r="I229" s="34" t="str">
        <f t="shared" si="52"/>
        <v xml:space="preserve"> </v>
      </c>
      <c r="J229" s="35" t="s">
        <v>74</v>
      </c>
      <c r="K229" s="34" t="str">
        <f t="shared" si="53"/>
        <v xml:space="preserve"> </v>
      </c>
      <c r="L229" s="35" t="s">
        <v>72</v>
      </c>
      <c r="M229" s="34" t="str">
        <f t="shared" si="54"/>
        <v xml:space="preserve"> </v>
      </c>
      <c r="N229" s="36" t="s">
        <v>58</v>
      </c>
      <c r="O229" s="34" t="str">
        <f t="shared" si="49"/>
        <v xml:space="preserve"> </v>
      </c>
      <c r="P229" s="35" t="s">
        <v>73</v>
      </c>
      <c r="Q229" s="37" t="str">
        <f t="shared" si="55"/>
        <v xml:space="preserve"> </v>
      </c>
      <c r="R229" s="33" t="s">
        <v>93</v>
      </c>
      <c r="S229" s="34" t="str">
        <f t="shared" si="56"/>
        <v xml:space="preserve"> </v>
      </c>
      <c r="T229" s="35" t="s">
        <v>75</v>
      </c>
      <c r="U229" s="37" t="str">
        <f t="shared" si="57"/>
        <v xml:space="preserve"> </v>
      </c>
      <c r="V229" s="33" t="s">
        <v>89</v>
      </c>
      <c r="W229" s="34" t="str">
        <f t="shared" si="58"/>
        <v xml:space="preserve"> </v>
      </c>
      <c r="X229" s="35" t="s">
        <v>71</v>
      </c>
      <c r="Y229" s="37" t="str">
        <f t="shared" si="59"/>
        <v xml:space="preserve"> </v>
      </c>
      <c r="Z229" s="35" t="s">
        <v>71</v>
      </c>
      <c r="AA229" s="37" t="str">
        <f t="shared" si="60"/>
        <v xml:space="preserve"> </v>
      </c>
      <c r="AB229" s="33" t="s">
        <v>80</v>
      </c>
      <c r="AC229" s="34" t="str">
        <f t="shared" si="61"/>
        <v xml:space="preserve"> </v>
      </c>
      <c r="AD229" s="35" t="s">
        <v>73</v>
      </c>
      <c r="AE229" s="34" t="str">
        <f t="shared" si="62"/>
        <v xml:space="preserve"> </v>
      </c>
      <c r="AF229" s="35" t="s">
        <v>56</v>
      </c>
      <c r="AG229" s="37" t="str">
        <f t="shared" si="63"/>
        <v xml:space="preserve"> </v>
      </c>
      <c r="AH229" s="4">
        <f>IF(OR(AND(D229&gt;=31,D229&lt;40),AND(H229&gt;=31,H229&lt;40),AND(N229&gt;=31,N229&lt;40),AND(R229&gt;=31,R229&lt;40),AND(V229&gt;=31,V229&lt;40),AND(AB229&gt;=31,AB229&lt;40)),IF(AND(OR(COUNTIF(D229:AG229,"=31")&gt;=1,COUNTIF(D229:AG229,"=32")&gt;=1,COUNTIF(D229:AG229,"=33")&gt;=1,COUNTIF(D229:AG229,"=34")&gt;=1,COUNTIF(D229:AG229,"=35")&gt;=1,COUNTIF(D229:AG229,"=36")&gt;=1 ),COUNTIF(D229:AG229,"")=0,COUNTIF(D229:AG229," ")=0,COUNTIF(D229:AG229,"F")=1),CONCATENATE(SUM(EXTRACTNUMBER(D229),EXTRACTNUMBER(F229),
EXTRACTNUMBER(H229),EXTRACTNUMBER(J229),
EXTRACTNUMBER(L229),EXTRACTNUMBER(N229),
EXTRACTNUMBER(P229),EXTRACTNUMBER(R229),
EXTRACTNUMBER(T229),EXTRACTNUMBER(V229),
EXTRACTNUMBER(X229),EXTRACTNUMBER(Z229),EXTRACTNUMBER(AB229),
EXTRACTNUMBER(AD229),EXTRACTNUMBER(AF229)),"*"),IF(AND(COUNTIF(D229:AG229,"=34")&gt;=1,COUNTIF(D229:AG229,"=35")&gt;=1,COUNTIF(D229:AG229,"f")=2,COUNTIF(D229:AG229,"")=0,COUNTIF(D229:AG229," ")=0),CONCATENATE(SUM(EXTRACTNUMBER(D229),EXTRACTNUMBER(F229),
EXTRACTNUMBER(H229),EXTRACTNUMBER(J229),
EXTRACTNUMBER(L229),EXTRACTNUMBER(N229),
EXTRACTNUMBER(P229),EXTRACTNUMBER(R229),
EXTRACTNUMBER(T229),EXTRACTNUMBER(V229),
EXTRACTNUMBER(X229),EXTRACTNUMBER(Z229),EXTRACTNUMBER(AB229),
EXTRACTNUMBER(AD229),EXTRACTNUMBER(AF229)),"*"),IF(AND(COUNTIF(D229:AG229,"=36")&gt;=2,COUNTIF(D229:AG229,"f")=2,COUNTIF(D229:AG229,"")=0,COUNTIF(D229:AG229," ")=0),CONCATENATE(SUM(EXTRACTNUMBER(D229),EXTRACTNUMBER(F229),
EXTRACTNUMBER(H229),EXTRACTNUMBER(J229),
EXTRACTNUMBER(L229),EXTRACTNUMBER(N229),
EXTRACTNUMBER(P229),EXTRACTNUMBER(R229),
EXTRACTNUMBER(T229),EXTRACTNUMBER(V229),
EXTRACTNUMBER(X229),EXTRACTNUMBER(Z229),EXTRACTNUMBER(AB229),
EXTRACTNUMBER(AD229),EXTRACTNUMBER(AF229)),"*"),SUM(EXTRACTNUMBER(D229),EXTRACTNUMBER(F229),
EXTRACTNUMBER(H229),EXTRACTNUMBER(J229),
EXTRACTNUMBER(L229),EXTRACTNUMBER(N229),
EXTRACTNUMBER(P229),EXTRACTNUMBER(R229),
EXTRACTNUMBER(T229),EXTRACTNUMBER(V229),
EXTRACTNUMBER(X229),EXTRACTNUMBER(Z229),EXTRACTNUMBER(AB229),
EXTRACTNUMBER(AD229),EXTRACTNUMBER(AF229))))),SUM(EXTRACTNUMBER(D229),EXTRACTNUMBER(F229),
EXTRACTNUMBER(H229),EXTRACTNUMBER(J229),
EXTRACTNUMBER(L229),EXTRACTNUMBER(N229),
EXTRACTNUMBER(P229),EXTRACTNUMBER(R229),
EXTRACTNUMBER(T229),EXTRACTNUMBER(V229),
EXTRACTNUMBER(X229),EXTRACTNUMBER(Z229),EXTRACTNUMBER(AB229),
EXTRACTNUMBER(AD229),EXTRACTNUMBER(AF229)))</f>
        <v>474</v>
      </c>
      <c r="AI229" s="38" t="str">
        <f t="shared" si="48"/>
        <v>FAIL</v>
      </c>
      <c r="AJ229" s="28" t="str">
        <f>spellnumber(EXTRACTnUMBER_TOT(AH229))</f>
        <v xml:space="preserve">Four Hundred Seventy Four </v>
      </c>
      <c r="AK229" s="9">
        <v>474</v>
      </c>
    </row>
    <row r="230" spans="2:37" ht="15" customHeight="1">
      <c r="B230" s="40" t="s">
        <v>332</v>
      </c>
      <c r="C230" s="42" t="s">
        <v>333</v>
      </c>
      <c r="D230" s="33" t="s">
        <v>103</v>
      </c>
      <c r="E230" s="34" t="str">
        <f t="shared" si="50"/>
        <v/>
      </c>
      <c r="F230" s="35" t="s">
        <v>103</v>
      </c>
      <c r="G230" s="34" t="str">
        <f t="shared" si="51"/>
        <v/>
      </c>
      <c r="H230" s="36" t="s">
        <v>103</v>
      </c>
      <c r="I230" s="34" t="str">
        <f t="shared" si="52"/>
        <v/>
      </c>
      <c r="J230" s="35" t="s">
        <v>103</v>
      </c>
      <c r="K230" s="34" t="str">
        <f t="shared" si="53"/>
        <v/>
      </c>
      <c r="L230" s="35" t="s">
        <v>103</v>
      </c>
      <c r="M230" s="34" t="str">
        <f t="shared" si="54"/>
        <v/>
      </c>
      <c r="N230" s="36" t="s">
        <v>103</v>
      </c>
      <c r="O230" s="34" t="str">
        <f t="shared" si="49"/>
        <v/>
      </c>
      <c r="P230" s="35" t="s">
        <v>103</v>
      </c>
      <c r="Q230" s="37" t="str">
        <f t="shared" si="55"/>
        <v/>
      </c>
      <c r="R230" s="33" t="s">
        <v>103</v>
      </c>
      <c r="S230" s="34" t="str">
        <f t="shared" si="56"/>
        <v/>
      </c>
      <c r="T230" s="35" t="s">
        <v>103</v>
      </c>
      <c r="U230" s="37" t="str">
        <f t="shared" si="57"/>
        <v/>
      </c>
      <c r="V230" s="33" t="s">
        <v>103</v>
      </c>
      <c r="W230" s="34" t="str">
        <f t="shared" si="58"/>
        <v/>
      </c>
      <c r="X230" s="35" t="s">
        <v>103</v>
      </c>
      <c r="Y230" s="37" t="str">
        <f t="shared" si="59"/>
        <v/>
      </c>
      <c r="Z230" s="35" t="s">
        <v>103</v>
      </c>
      <c r="AA230" s="37" t="str">
        <f t="shared" si="60"/>
        <v/>
      </c>
      <c r="AB230" s="33" t="s">
        <v>103</v>
      </c>
      <c r="AC230" s="34" t="str">
        <f t="shared" si="61"/>
        <v/>
      </c>
      <c r="AD230" s="35" t="s">
        <v>103</v>
      </c>
      <c r="AE230" s="34" t="str">
        <f t="shared" si="62"/>
        <v/>
      </c>
      <c r="AF230" s="35" t="s">
        <v>103</v>
      </c>
      <c r="AG230" s="37" t="str">
        <f t="shared" si="63"/>
        <v/>
      </c>
      <c r="AH230" s="4">
        <f>IF(OR(AND(D230&gt;=31,D230&lt;40),AND(H230&gt;=31,H230&lt;40),AND(N230&gt;=31,N230&lt;40),AND(R230&gt;=31,R230&lt;40),AND(V230&gt;=31,V230&lt;40),AND(AB230&gt;=31,AB230&lt;40)),IF(AND(OR(COUNTIF(D230:AG230,"=31")&gt;=1,COUNTIF(D230:AG230,"=32")&gt;=1,COUNTIF(D230:AG230,"=33")&gt;=1,COUNTIF(D230:AG230,"=34")&gt;=1,COUNTIF(D230:AG230,"=35")&gt;=1,COUNTIF(D230:AG230,"=36")&gt;=1 ),COUNTIF(D230:AG230,"")=0,COUNTIF(D230:AG230," ")=0,COUNTIF(D230:AG230,"F")=1),CONCATENATE(SUM(EXTRACTNUMBER(D230),EXTRACTNUMBER(F230),
EXTRACTNUMBER(H230),EXTRACTNUMBER(J230),
EXTRACTNUMBER(L230),EXTRACTNUMBER(N230),
EXTRACTNUMBER(P230),EXTRACTNUMBER(R230),
EXTRACTNUMBER(T230),EXTRACTNUMBER(V230),
EXTRACTNUMBER(X230),EXTRACTNUMBER(Z230),EXTRACTNUMBER(AB230),
EXTRACTNUMBER(AD230),EXTRACTNUMBER(AF230)),"*"),IF(AND(COUNTIF(D230:AG230,"=34")&gt;=1,COUNTIF(D230:AG230,"=35")&gt;=1,COUNTIF(D230:AG230,"f")=2,COUNTIF(D230:AG230,"")=0,COUNTIF(D230:AG230," ")=0),CONCATENATE(SUM(EXTRACTNUMBER(D230),EXTRACTNUMBER(F230),
EXTRACTNUMBER(H230),EXTRACTNUMBER(J230),
EXTRACTNUMBER(L230),EXTRACTNUMBER(N230),
EXTRACTNUMBER(P230),EXTRACTNUMBER(R230),
EXTRACTNUMBER(T230),EXTRACTNUMBER(V230),
EXTRACTNUMBER(X230),EXTRACTNUMBER(Z230),EXTRACTNUMBER(AB230),
EXTRACTNUMBER(AD230),EXTRACTNUMBER(AF230)),"*"),IF(AND(COUNTIF(D230:AG230,"=36")&gt;=2,COUNTIF(D230:AG230,"f")=2,COUNTIF(D230:AG230,"")=0,COUNTIF(D230:AG230," ")=0),CONCATENATE(SUM(EXTRACTNUMBER(D230),EXTRACTNUMBER(F230),
EXTRACTNUMBER(H230),EXTRACTNUMBER(J230),
EXTRACTNUMBER(L230),EXTRACTNUMBER(N230),
EXTRACTNUMBER(P230),EXTRACTNUMBER(R230),
EXTRACTNUMBER(T230),EXTRACTNUMBER(V230),
EXTRACTNUMBER(X230),EXTRACTNUMBER(Z230),EXTRACTNUMBER(AB230),
EXTRACTNUMBER(AD230),EXTRACTNUMBER(AF230)),"*"),SUM(EXTRACTNUMBER(D230),EXTRACTNUMBER(F230),
EXTRACTNUMBER(H230),EXTRACTNUMBER(J230),
EXTRACTNUMBER(L230),EXTRACTNUMBER(N230),
EXTRACTNUMBER(P230),EXTRACTNUMBER(R230),
EXTRACTNUMBER(T230),EXTRACTNUMBER(V230),
EXTRACTNUMBER(X230),EXTRACTNUMBER(Z230),EXTRACTNUMBER(AB230),
EXTRACTNUMBER(AD230),EXTRACTNUMBER(AF230))))),SUM(EXTRACTNUMBER(D230),EXTRACTNUMBER(F230),
EXTRACTNUMBER(H230),EXTRACTNUMBER(J230),
EXTRACTNUMBER(L230),EXTRACTNUMBER(N230),
EXTRACTNUMBER(P230),EXTRACTNUMBER(R230),
EXTRACTNUMBER(T230),EXTRACTNUMBER(V230),
EXTRACTNUMBER(X230),EXTRACTNUMBER(Z230),EXTRACTNUMBER(AB230),
EXTRACTNUMBER(AD230),EXTRACTNUMBER(AF230)))</f>
        <v>0</v>
      </c>
      <c r="AI230" s="38" t="str">
        <f t="shared" si="48"/>
        <v>ABSENT</v>
      </c>
      <c r="AJ230" s="28" t="str">
        <f>spellnumber(EXTRACTnUMBER_TOT(AH230))</f>
        <v xml:space="preserve"> </v>
      </c>
      <c r="AK230" s="9">
        <v>0</v>
      </c>
    </row>
    <row r="231" spans="2:37" ht="15" customHeight="1">
      <c r="B231" s="40" t="s">
        <v>334</v>
      </c>
      <c r="C231" s="42" t="s">
        <v>335</v>
      </c>
      <c r="D231" s="33">
        <v>2</v>
      </c>
      <c r="E231" s="34" t="str">
        <f t="shared" si="50"/>
        <v>F</v>
      </c>
      <c r="F231" s="35">
        <v>10</v>
      </c>
      <c r="G231" s="34" t="str">
        <f t="shared" si="51"/>
        <v>E</v>
      </c>
      <c r="H231" s="36">
        <v>7</v>
      </c>
      <c r="I231" s="34" t="str">
        <f t="shared" si="52"/>
        <v>F</v>
      </c>
      <c r="J231" s="35">
        <v>14</v>
      </c>
      <c r="K231" s="34" t="str">
        <f t="shared" si="53"/>
        <v>E</v>
      </c>
      <c r="L231" s="35" t="s">
        <v>103</v>
      </c>
      <c r="M231" s="34" t="str">
        <f t="shared" si="54"/>
        <v/>
      </c>
      <c r="N231" s="36" t="s">
        <v>103</v>
      </c>
      <c r="O231" s="34" t="str">
        <f t="shared" si="49"/>
        <v/>
      </c>
      <c r="P231" s="35">
        <v>12</v>
      </c>
      <c r="Q231" s="37" t="str">
        <f t="shared" si="55"/>
        <v>E</v>
      </c>
      <c r="R231" s="33" t="s">
        <v>103</v>
      </c>
      <c r="S231" s="34" t="str">
        <f t="shared" si="56"/>
        <v/>
      </c>
      <c r="T231" s="35">
        <v>12</v>
      </c>
      <c r="U231" s="37" t="str">
        <f t="shared" si="57"/>
        <v>E</v>
      </c>
      <c r="V231" s="33" t="s">
        <v>103</v>
      </c>
      <c r="W231" s="34" t="str">
        <f t="shared" si="58"/>
        <v/>
      </c>
      <c r="X231" s="35">
        <v>12</v>
      </c>
      <c r="Y231" s="37" t="str">
        <f t="shared" si="59"/>
        <v>E</v>
      </c>
      <c r="Z231" s="35" t="s">
        <v>103</v>
      </c>
      <c r="AA231" s="37" t="str">
        <f t="shared" si="60"/>
        <v/>
      </c>
      <c r="AB231" s="33" t="s">
        <v>103</v>
      </c>
      <c r="AC231" s="34" t="str">
        <f t="shared" si="61"/>
        <v/>
      </c>
      <c r="AD231" s="35">
        <v>12</v>
      </c>
      <c r="AE231" s="34" t="str">
        <f t="shared" si="62"/>
        <v>E</v>
      </c>
      <c r="AF231" s="35">
        <v>30</v>
      </c>
      <c r="AG231" s="37" t="str">
        <f t="shared" si="63"/>
        <v>E</v>
      </c>
      <c r="AH231" s="4">
        <f>IF(OR(AND(D231&gt;=31,D231&lt;40),AND(H231&gt;=31,H231&lt;40),AND(N231&gt;=31,N231&lt;40),AND(R231&gt;=31,R231&lt;40),AND(V231&gt;=31,V231&lt;40),AND(AB231&gt;=31,AB231&lt;40)),IF(AND(OR(COUNTIF(D231:AG231,"=31")&gt;=1,COUNTIF(D231:AG231,"=32")&gt;=1,COUNTIF(D231:AG231,"=33")&gt;=1,COUNTIF(D231:AG231,"=34")&gt;=1,COUNTIF(D231:AG231,"=35")&gt;=1,COUNTIF(D231:AG231,"=36")&gt;=1 ),COUNTIF(D231:AG231,"")=0,COUNTIF(D231:AG231," ")=0,COUNTIF(D231:AG231,"F")=1),CONCATENATE(SUM(EXTRACTNUMBER(D231),EXTRACTNUMBER(F231),
EXTRACTNUMBER(H231),EXTRACTNUMBER(J231),
EXTRACTNUMBER(L231),EXTRACTNUMBER(N231),
EXTRACTNUMBER(P231),EXTRACTNUMBER(R231),
EXTRACTNUMBER(T231),EXTRACTNUMBER(V231),
EXTRACTNUMBER(X231),EXTRACTNUMBER(Z231),EXTRACTNUMBER(AB231),
EXTRACTNUMBER(AD231),EXTRACTNUMBER(AF231)),"*"),IF(AND(COUNTIF(D231:AG231,"=34")&gt;=1,COUNTIF(D231:AG231,"=35")&gt;=1,COUNTIF(D231:AG231,"f")=2,COUNTIF(D231:AG231,"")=0,COUNTIF(D231:AG231," ")=0),CONCATENATE(SUM(EXTRACTNUMBER(D231),EXTRACTNUMBER(F231),
EXTRACTNUMBER(H231),EXTRACTNUMBER(J231),
EXTRACTNUMBER(L231),EXTRACTNUMBER(N231),
EXTRACTNUMBER(P231),EXTRACTNUMBER(R231),
EXTRACTNUMBER(T231),EXTRACTNUMBER(V231),
EXTRACTNUMBER(X231),EXTRACTNUMBER(Z231),EXTRACTNUMBER(AB231),
EXTRACTNUMBER(AD231),EXTRACTNUMBER(AF231)),"*"),IF(AND(COUNTIF(D231:AG231,"=36")&gt;=2,COUNTIF(D231:AG231,"f")=2,COUNTIF(D231:AG231,"")=0,COUNTIF(D231:AG231," ")=0),CONCATENATE(SUM(EXTRACTNUMBER(D231),EXTRACTNUMBER(F231),
EXTRACTNUMBER(H231),EXTRACTNUMBER(J231),
EXTRACTNUMBER(L231),EXTRACTNUMBER(N231),
EXTRACTNUMBER(P231),EXTRACTNUMBER(R231),
EXTRACTNUMBER(T231),EXTRACTNUMBER(V231),
EXTRACTNUMBER(X231),EXTRACTNUMBER(Z231),EXTRACTNUMBER(AB231),
EXTRACTNUMBER(AD231),EXTRACTNUMBER(AF231)),"*"),SUM(EXTRACTNUMBER(D231),EXTRACTNUMBER(F231),
EXTRACTNUMBER(H231),EXTRACTNUMBER(J231),
EXTRACTNUMBER(L231),EXTRACTNUMBER(N231),
EXTRACTNUMBER(P231),EXTRACTNUMBER(R231),
EXTRACTNUMBER(T231),EXTRACTNUMBER(V231),
EXTRACTNUMBER(X231),EXTRACTNUMBER(Z231),EXTRACTNUMBER(AB231),
EXTRACTNUMBER(AD231),EXTRACTNUMBER(AF231))))),SUM(EXTRACTNUMBER(D231),EXTRACTNUMBER(F231),
EXTRACTNUMBER(H231),EXTRACTNUMBER(J231),
EXTRACTNUMBER(L231),EXTRACTNUMBER(N231),
EXTRACTNUMBER(P231),EXTRACTNUMBER(R231),
EXTRACTNUMBER(T231),EXTRACTNUMBER(V231),
EXTRACTNUMBER(X231),EXTRACTNUMBER(Z231),EXTRACTNUMBER(AB231),
EXTRACTNUMBER(AD231),EXTRACTNUMBER(AF231)))</f>
        <v>111</v>
      </c>
      <c r="AI231" s="38" t="str">
        <f t="shared" si="48"/>
        <v>FAIL</v>
      </c>
      <c r="AJ231" s="28" t="str">
        <f>spellnumber(EXTRACTnUMBER_TOT(AH231))</f>
        <v xml:space="preserve">One Hundred Eleven </v>
      </c>
      <c r="AK231" s="9">
        <v>111</v>
      </c>
    </row>
    <row r="232" spans="2:37" ht="15" customHeight="1">
      <c r="B232" s="40" t="s">
        <v>336</v>
      </c>
      <c r="C232" s="42" t="s">
        <v>337</v>
      </c>
      <c r="D232" s="33">
        <v>10</v>
      </c>
      <c r="E232" s="34" t="str">
        <f t="shared" si="50"/>
        <v>F</v>
      </c>
      <c r="F232" s="35">
        <v>12</v>
      </c>
      <c r="G232" s="34" t="str">
        <f t="shared" si="51"/>
        <v>E</v>
      </c>
      <c r="H232" s="36" t="s">
        <v>103</v>
      </c>
      <c r="I232" s="34" t="str">
        <f t="shared" si="52"/>
        <v/>
      </c>
      <c r="J232" s="35">
        <v>18</v>
      </c>
      <c r="K232" s="34" t="str">
        <f t="shared" si="53"/>
        <v>E</v>
      </c>
      <c r="L232" s="35">
        <v>18</v>
      </c>
      <c r="M232" s="34" t="str">
        <f t="shared" si="54"/>
        <v>E</v>
      </c>
      <c r="N232" s="36" t="s">
        <v>103</v>
      </c>
      <c r="O232" s="34" t="str">
        <f t="shared" si="49"/>
        <v/>
      </c>
      <c r="P232" s="35">
        <v>14</v>
      </c>
      <c r="Q232" s="37" t="str">
        <f t="shared" si="55"/>
        <v>E</v>
      </c>
      <c r="R232" s="33" t="s">
        <v>103</v>
      </c>
      <c r="S232" s="34" t="str">
        <f t="shared" si="56"/>
        <v/>
      </c>
      <c r="T232" s="35">
        <v>12</v>
      </c>
      <c r="U232" s="37" t="str">
        <f t="shared" si="57"/>
        <v>E</v>
      </c>
      <c r="V232" s="33" t="s">
        <v>103</v>
      </c>
      <c r="W232" s="34" t="str">
        <f t="shared" si="58"/>
        <v/>
      </c>
      <c r="X232" s="35">
        <v>16</v>
      </c>
      <c r="Y232" s="37" t="str">
        <f t="shared" si="59"/>
        <v>E</v>
      </c>
      <c r="Z232" s="35">
        <v>17</v>
      </c>
      <c r="AA232" s="37" t="str">
        <f t="shared" si="60"/>
        <v>E</v>
      </c>
      <c r="AB232" s="33" t="s">
        <v>103</v>
      </c>
      <c r="AC232" s="34" t="str">
        <f t="shared" si="61"/>
        <v/>
      </c>
      <c r="AD232" s="35">
        <v>13</v>
      </c>
      <c r="AE232" s="34" t="str">
        <f t="shared" si="62"/>
        <v>E</v>
      </c>
      <c r="AF232" s="35">
        <v>35</v>
      </c>
      <c r="AG232" s="37" t="str">
        <f t="shared" si="63"/>
        <v>E</v>
      </c>
      <c r="AH232" s="4">
        <f>IF(OR(AND(D232&gt;=31,D232&lt;40),AND(H232&gt;=31,H232&lt;40),AND(N232&gt;=31,N232&lt;40),AND(R232&gt;=31,R232&lt;40),AND(V232&gt;=31,V232&lt;40),AND(AB232&gt;=31,AB232&lt;40)),IF(AND(OR(COUNTIF(D232:AG232,"=31")&gt;=1,COUNTIF(D232:AG232,"=32")&gt;=1,COUNTIF(D232:AG232,"=33")&gt;=1,COUNTIF(D232:AG232,"=34")&gt;=1,COUNTIF(D232:AG232,"=35")&gt;=1,COUNTIF(D232:AG232,"=36")&gt;=1 ),COUNTIF(D232:AG232,"")=0,COUNTIF(D232:AG232," ")=0,COUNTIF(D232:AG232,"F")=1),CONCATENATE(SUM(EXTRACTNUMBER(D232),EXTRACTNUMBER(F232),
EXTRACTNUMBER(H232),EXTRACTNUMBER(J232),
EXTRACTNUMBER(L232),EXTRACTNUMBER(N232),
EXTRACTNUMBER(P232),EXTRACTNUMBER(R232),
EXTRACTNUMBER(T232),EXTRACTNUMBER(V232),
EXTRACTNUMBER(X232),EXTRACTNUMBER(Z232),EXTRACTNUMBER(AB232),
EXTRACTNUMBER(AD232),EXTRACTNUMBER(AF232)),"*"),IF(AND(COUNTIF(D232:AG232,"=34")&gt;=1,COUNTIF(D232:AG232,"=35")&gt;=1,COUNTIF(D232:AG232,"f")=2,COUNTIF(D232:AG232,"")=0,COUNTIF(D232:AG232," ")=0),CONCATENATE(SUM(EXTRACTNUMBER(D232),EXTRACTNUMBER(F232),
EXTRACTNUMBER(H232),EXTRACTNUMBER(J232),
EXTRACTNUMBER(L232),EXTRACTNUMBER(N232),
EXTRACTNUMBER(P232),EXTRACTNUMBER(R232),
EXTRACTNUMBER(T232),EXTRACTNUMBER(V232),
EXTRACTNUMBER(X232),EXTRACTNUMBER(Z232),EXTRACTNUMBER(AB232),
EXTRACTNUMBER(AD232),EXTRACTNUMBER(AF232)),"*"),IF(AND(COUNTIF(D232:AG232,"=36")&gt;=2,COUNTIF(D232:AG232,"f")=2,COUNTIF(D232:AG232,"")=0,COUNTIF(D232:AG232," ")=0),CONCATENATE(SUM(EXTRACTNUMBER(D232),EXTRACTNUMBER(F232),
EXTRACTNUMBER(H232),EXTRACTNUMBER(J232),
EXTRACTNUMBER(L232),EXTRACTNUMBER(N232),
EXTRACTNUMBER(P232),EXTRACTNUMBER(R232),
EXTRACTNUMBER(T232),EXTRACTNUMBER(V232),
EXTRACTNUMBER(X232),EXTRACTNUMBER(Z232),EXTRACTNUMBER(AB232),
EXTRACTNUMBER(AD232),EXTRACTNUMBER(AF232)),"*"),SUM(EXTRACTNUMBER(D232),EXTRACTNUMBER(F232),
EXTRACTNUMBER(H232),EXTRACTNUMBER(J232),
EXTRACTNUMBER(L232),EXTRACTNUMBER(N232),
EXTRACTNUMBER(P232),EXTRACTNUMBER(R232),
EXTRACTNUMBER(T232),EXTRACTNUMBER(V232),
EXTRACTNUMBER(X232),EXTRACTNUMBER(Z232),EXTRACTNUMBER(AB232),
EXTRACTNUMBER(AD232),EXTRACTNUMBER(AF232))))),SUM(EXTRACTNUMBER(D232),EXTRACTNUMBER(F232),
EXTRACTNUMBER(H232),EXTRACTNUMBER(J232),
EXTRACTNUMBER(L232),EXTRACTNUMBER(N232),
EXTRACTNUMBER(P232),EXTRACTNUMBER(R232),
EXTRACTNUMBER(T232),EXTRACTNUMBER(V232),
EXTRACTNUMBER(X232),EXTRACTNUMBER(Z232),EXTRACTNUMBER(AB232),
EXTRACTNUMBER(AD232),EXTRACTNUMBER(AF232)))</f>
        <v>165</v>
      </c>
      <c r="AI232" s="38" t="str">
        <f t="shared" si="48"/>
        <v>FAIL</v>
      </c>
      <c r="AJ232" s="28" t="str">
        <f>spellnumber(EXTRACTnUMBER_TOT(AH232))</f>
        <v xml:space="preserve">One Hundred Sixty Five </v>
      </c>
      <c r="AK232" s="9">
        <v>165</v>
      </c>
    </row>
    <row r="233" spans="2:37" ht="15" customHeight="1">
      <c r="B233" s="40" t="s">
        <v>338</v>
      </c>
      <c r="C233" s="42" t="s">
        <v>339</v>
      </c>
      <c r="D233" s="33" t="s">
        <v>103</v>
      </c>
      <c r="E233" s="34" t="str">
        <f t="shared" si="50"/>
        <v/>
      </c>
      <c r="F233" s="35">
        <v>13</v>
      </c>
      <c r="G233" s="34" t="str">
        <f t="shared" si="51"/>
        <v>E</v>
      </c>
      <c r="H233" s="36" t="s">
        <v>103</v>
      </c>
      <c r="I233" s="34" t="str">
        <f t="shared" si="52"/>
        <v/>
      </c>
      <c r="J233" s="35">
        <v>23</v>
      </c>
      <c r="K233" s="34" t="str">
        <f t="shared" si="53"/>
        <v>E</v>
      </c>
      <c r="L233" s="35">
        <v>18</v>
      </c>
      <c r="M233" s="34" t="str">
        <f t="shared" si="54"/>
        <v>E</v>
      </c>
      <c r="N233" s="36" t="s">
        <v>103</v>
      </c>
      <c r="O233" s="34" t="str">
        <f t="shared" si="49"/>
        <v/>
      </c>
      <c r="P233" s="35">
        <v>15</v>
      </c>
      <c r="Q233" s="37" t="str">
        <f t="shared" si="55"/>
        <v>E</v>
      </c>
      <c r="R233" s="33" t="s">
        <v>103</v>
      </c>
      <c r="S233" s="34" t="str">
        <f t="shared" si="56"/>
        <v/>
      </c>
      <c r="T233" s="35">
        <v>20</v>
      </c>
      <c r="U233" s="37" t="str">
        <f t="shared" si="57"/>
        <v>E</v>
      </c>
      <c r="V233" s="33" t="s">
        <v>103</v>
      </c>
      <c r="W233" s="34" t="str">
        <f t="shared" si="58"/>
        <v/>
      </c>
      <c r="X233" s="35">
        <v>17</v>
      </c>
      <c r="Y233" s="37" t="str">
        <f t="shared" si="59"/>
        <v>E</v>
      </c>
      <c r="Z233" s="35">
        <v>19</v>
      </c>
      <c r="AA233" s="37" t="str">
        <f t="shared" si="60"/>
        <v>E</v>
      </c>
      <c r="AB233" s="33" t="s">
        <v>103</v>
      </c>
      <c r="AC233" s="34" t="str">
        <f t="shared" si="61"/>
        <v/>
      </c>
      <c r="AD233" s="35">
        <v>20</v>
      </c>
      <c r="AE233" s="34" t="str">
        <f t="shared" si="62"/>
        <v>E</v>
      </c>
      <c r="AF233" s="35">
        <v>34</v>
      </c>
      <c r="AG233" s="37" t="str">
        <f t="shared" si="63"/>
        <v>E</v>
      </c>
      <c r="AH233" s="4">
        <f>IF(OR(AND(D233&gt;=31,D233&lt;40),AND(H233&gt;=31,H233&lt;40),AND(N233&gt;=31,N233&lt;40),AND(R233&gt;=31,R233&lt;40),AND(V233&gt;=31,V233&lt;40),AND(AB233&gt;=31,AB233&lt;40)),IF(AND(OR(COUNTIF(D233:AG233,"=31")&gt;=1,COUNTIF(D233:AG233,"=32")&gt;=1,COUNTIF(D233:AG233,"=33")&gt;=1,COUNTIF(D233:AG233,"=34")&gt;=1,COUNTIF(D233:AG233,"=35")&gt;=1,COUNTIF(D233:AG233,"=36")&gt;=1 ),COUNTIF(D233:AG233,"")=0,COUNTIF(D233:AG233," ")=0,COUNTIF(D233:AG233,"F")=1),CONCATENATE(SUM(EXTRACTNUMBER(D233),EXTRACTNUMBER(F233),
EXTRACTNUMBER(H233),EXTRACTNUMBER(J233),
EXTRACTNUMBER(L233),EXTRACTNUMBER(N233),
EXTRACTNUMBER(P233),EXTRACTNUMBER(R233),
EXTRACTNUMBER(T233),EXTRACTNUMBER(V233),
EXTRACTNUMBER(X233),EXTRACTNUMBER(Z233),EXTRACTNUMBER(AB233),
EXTRACTNUMBER(AD233),EXTRACTNUMBER(AF233)),"*"),IF(AND(COUNTIF(D233:AG233,"=34")&gt;=1,COUNTIF(D233:AG233,"=35")&gt;=1,COUNTIF(D233:AG233,"f")=2,COUNTIF(D233:AG233,"")=0,COUNTIF(D233:AG233," ")=0),CONCATENATE(SUM(EXTRACTNUMBER(D233),EXTRACTNUMBER(F233),
EXTRACTNUMBER(H233),EXTRACTNUMBER(J233),
EXTRACTNUMBER(L233),EXTRACTNUMBER(N233),
EXTRACTNUMBER(P233),EXTRACTNUMBER(R233),
EXTRACTNUMBER(T233),EXTRACTNUMBER(V233),
EXTRACTNUMBER(X233),EXTRACTNUMBER(Z233),EXTRACTNUMBER(AB233),
EXTRACTNUMBER(AD233),EXTRACTNUMBER(AF233)),"*"),IF(AND(COUNTIF(D233:AG233,"=36")&gt;=2,COUNTIF(D233:AG233,"f")=2,COUNTIF(D233:AG233,"")=0,COUNTIF(D233:AG233," ")=0),CONCATENATE(SUM(EXTRACTNUMBER(D233),EXTRACTNUMBER(F233),
EXTRACTNUMBER(H233),EXTRACTNUMBER(J233),
EXTRACTNUMBER(L233),EXTRACTNUMBER(N233),
EXTRACTNUMBER(P233),EXTRACTNUMBER(R233),
EXTRACTNUMBER(T233),EXTRACTNUMBER(V233),
EXTRACTNUMBER(X233),EXTRACTNUMBER(Z233),EXTRACTNUMBER(AB233),
EXTRACTNUMBER(AD233),EXTRACTNUMBER(AF233)),"*"),SUM(EXTRACTNUMBER(D233),EXTRACTNUMBER(F233),
EXTRACTNUMBER(H233),EXTRACTNUMBER(J233),
EXTRACTNUMBER(L233),EXTRACTNUMBER(N233),
EXTRACTNUMBER(P233),EXTRACTNUMBER(R233),
EXTRACTNUMBER(T233),EXTRACTNUMBER(V233),
EXTRACTNUMBER(X233),EXTRACTNUMBER(Z233),EXTRACTNUMBER(AB233),
EXTRACTNUMBER(AD233),EXTRACTNUMBER(AF233))))),SUM(EXTRACTNUMBER(D233),EXTRACTNUMBER(F233),
EXTRACTNUMBER(H233),EXTRACTNUMBER(J233),
EXTRACTNUMBER(L233),EXTRACTNUMBER(N233),
EXTRACTNUMBER(P233),EXTRACTNUMBER(R233),
EXTRACTNUMBER(T233),EXTRACTNUMBER(V233),
EXTRACTNUMBER(X233),EXTRACTNUMBER(Z233),EXTRACTNUMBER(AB233),
EXTRACTNUMBER(AD233),EXTRACTNUMBER(AF233)))</f>
        <v>179</v>
      </c>
      <c r="AI233" s="38" t="str">
        <f t="shared" si="48"/>
        <v>FAIL</v>
      </c>
      <c r="AJ233" s="28" t="str">
        <f>spellnumber(EXTRACTnUMBER_TOT(AH233))</f>
        <v xml:space="preserve">One Hundred Seventy Nine </v>
      </c>
      <c r="AK233" s="9">
        <v>179</v>
      </c>
    </row>
    <row r="234" spans="2:37" ht="15" customHeight="1">
      <c r="B234" s="40" t="s">
        <v>340</v>
      </c>
      <c r="C234" s="42" t="s">
        <v>341</v>
      </c>
      <c r="D234" s="33">
        <v>15</v>
      </c>
      <c r="E234" s="34" t="str">
        <f t="shared" si="50"/>
        <v>F</v>
      </c>
      <c r="F234" s="35">
        <v>15</v>
      </c>
      <c r="G234" s="34" t="str">
        <f t="shared" si="51"/>
        <v>E</v>
      </c>
      <c r="H234" s="36" t="s">
        <v>103</v>
      </c>
      <c r="I234" s="34" t="str">
        <f t="shared" si="52"/>
        <v/>
      </c>
      <c r="J234" s="35">
        <v>18</v>
      </c>
      <c r="K234" s="34" t="str">
        <f t="shared" si="53"/>
        <v>E</v>
      </c>
      <c r="L234" s="35">
        <v>20</v>
      </c>
      <c r="M234" s="34" t="str">
        <f t="shared" si="54"/>
        <v>E</v>
      </c>
      <c r="N234" s="36" t="s">
        <v>103</v>
      </c>
      <c r="O234" s="34" t="str">
        <f t="shared" si="49"/>
        <v/>
      </c>
      <c r="P234" s="35">
        <v>21</v>
      </c>
      <c r="Q234" s="37" t="str">
        <f t="shared" si="55"/>
        <v>E</v>
      </c>
      <c r="R234" s="33" t="s">
        <v>103</v>
      </c>
      <c r="S234" s="34" t="str">
        <f t="shared" si="56"/>
        <v/>
      </c>
      <c r="T234" s="35">
        <v>21</v>
      </c>
      <c r="U234" s="37" t="str">
        <f t="shared" si="57"/>
        <v>E</v>
      </c>
      <c r="V234" s="33" t="s">
        <v>103</v>
      </c>
      <c r="W234" s="34" t="str">
        <f t="shared" si="58"/>
        <v/>
      </c>
      <c r="X234" s="35">
        <v>18</v>
      </c>
      <c r="Y234" s="37" t="str">
        <f t="shared" si="59"/>
        <v>E</v>
      </c>
      <c r="Z234" s="35">
        <v>20</v>
      </c>
      <c r="AA234" s="37" t="str">
        <f t="shared" si="60"/>
        <v>E</v>
      </c>
      <c r="AB234" s="33" t="s">
        <v>103</v>
      </c>
      <c r="AC234" s="34" t="str">
        <f t="shared" si="61"/>
        <v/>
      </c>
      <c r="AD234" s="35">
        <v>21</v>
      </c>
      <c r="AE234" s="34" t="str">
        <f t="shared" si="62"/>
        <v>E</v>
      </c>
      <c r="AF234" s="35">
        <v>42</v>
      </c>
      <c r="AG234" s="37" t="str">
        <f t="shared" si="63"/>
        <v>E</v>
      </c>
      <c r="AH234" s="4">
        <f>IF(OR(AND(D234&gt;=31,D234&lt;40),AND(H234&gt;=31,H234&lt;40),AND(N234&gt;=31,N234&lt;40),AND(R234&gt;=31,R234&lt;40),AND(V234&gt;=31,V234&lt;40),AND(AB234&gt;=31,AB234&lt;40)),IF(AND(OR(COUNTIF(D234:AG234,"=31")&gt;=1,COUNTIF(D234:AG234,"=32")&gt;=1,COUNTIF(D234:AG234,"=33")&gt;=1,COUNTIF(D234:AG234,"=34")&gt;=1,COUNTIF(D234:AG234,"=35")&gt;=1,COUNTIF(D234:AG234,"=36")&gt;=1 ),COUNTIF(D234:AG234,"")=0,COUNTIF(D234:AG234," ")=0,COUNTIF(D234:AG234,"F")=1),CONCATENATE(SUM(EXTRACTNUMBER(D234),EXTRACTNUMBER(F234),
EXTRACTNUMBER(H234),EXTRACTNUMBER(J234),
EXTRACTNUMBER(L234),EXTRACTNUMBER(N234),
EXTRACTNUMBER(P234),EXTRACTNUMBER(R234),
EXTRACTNUMBER(T234),EXTRACTNUMBER(V234),
EXTRACTNUMBER(X234),EXTRACTNUMBER(Z234),EXTRACTNUMBER(AB234),
EXTRACTNUMBER(AD234),EXTRACTNUMBER(AF234)),"*"),IF(AND(COUNTIF(D234:AG234,"=34")&gt;=1,COUNTIF(D234:AG234,"=35")&gt;=1,COUNTIF(D234:AG234,"f")=2,COUNTIF(D234:AG234,"")=0,COUNTIF(D234:AG234," ")=0),CONCATENATE(SUM(EXTRACTNUMBER(D234),EXTRACTNUMBER(F234),
EXTRACTNUMBER(H234),EXTRACTNUMBER(J234),
EXTRACTNUMBER(L234),EXTRACTNUMBER(N234),
EXTRACTNUMBER(P234),EXTRACTNUMBER(R234),
EXTRACTNUMBER(T234),EXTRACTNUMBER(V234),
EXTRACTNUMBER(X234),EXTRACTNUMBER(Z234),EXTRACTNUMBER(AB234),
EXTRACTNUMBER(AD234),EXTRACTNUMBER(AF234)),"*"),IF(AND(COUNTIF(D234:AG234,"=36")&gt;=2,COUNTIF(D234:AG234,"f")=2,COUNTIF(D234:AG234,"")=0,COUNTIF(D234:AG234," ")=0),CONCATENATE(SUM(EXTRACTNUMBER(D234),EXTRACTNUMBER(F234),
EXTRACTNUMBER(H234),EXTRACTNUMBER(J234),
EXTRACTNUMBER(L234),EXTRACTNUMBER(N234),
EXTRACTNUMBER(P234),EXTRACTNUMBER(R234),
EXTRACTNUMBER(T234),EXTRACTNUMBER(V234),
EXTRACTNUMBER(X234),EXTRACTNUMBER(Z234),EXTRACTNUMBER(AB234),
EXTRACTNUMBER(AD234),EXTRACTNUMBER(AF234)),"*"),SUM(EXTRACTNUMBER(D234),EXTRACTNUMBER(F234),
EXTRACTNUMBER(H234),EXTRACTNUMBER(J234),
EXTRACTNUMBER(L234),EXTRACTNUMBER(N234),
EXTRACTNUMBER(P234),EXTRACTNUMBER(R234),
EXTRACTNUMBER(T234),EXTRACTNUMBER(V234),
EXTRACTNUMBER(X234),EXTRACTNUMBER(Z234),EXTRACTNUMBER(AB234),
EXTRACTNUMBER(AD234),EXTRACTNUMBER(AF234))))),SUM(EXTRACTNUMBER(D234),EXTRACTNUMBER(F234),
EXTRACTNUMBER(H234),EXTRACTNUMBER(J234),
EXTRACTNUMBER(L234),EXTRACTNUMBER(N234),
EXTRACTNUMBER(P234),EXTRACTNUMBER(R234),
EXTRACTNUMBER(T234),EXTRACTNUMBER(V234),
EXTRACTNUMBER(X234),EXTRACTNUMBER(Z234),EXTRACTNUMBER(AB234),
EXTRACTNUMBER(AD234),EXTRACTNUMBER(AF234)))</f>
        <v>211</v>
      </c>
      <c r="AI234" s="38" t="str">
        <f t="shared" si="48"/>
        <v>FAIL</v>
      </c>
      <c r="AJ234" s="28" t="str">
        <f>spellnumber(EXTRACTnUMBER_TOT(AH234))</f>
        <v xml:space="preserve">Two Hundred Eleven </v>
      </c>
      <c r="AK234" s="9">
        <v>211</v>
      </c>
    </row>
    <row r="235" spans="2:37" ht="15" customHeight="1">
      <c r="B235" s="40" t="s">
        <v>342</v>
      </c>
      <c r="C235" s="42" t="s">
        <v>343</v>
      </c>
      <c r="D235" s="33" t="s">
        <v>103</v>
      </c>
      <c r="E235" s="34" t="str">
        <f t="shared" si="50"/>
        <v/>
      </c>
      <c r="F235" s="35" t="s">
        <v>103</v>
      </c>
      <c r="G235" s="34" t="str">
        <f t="shared" si="51"/>
        <v/>
      </c>
      <c r="H235" s="36" t="s">
        <v>103</v>
      </c>
      <c r="I235" s="34" t="str">
        <f t="shared" si="52"/>
        <v/>
      </c>
      <c r="J235" s="35" t="s">
        <v>103</v>
      </c>
      <c r="K235" s="34" t="str">
        <f t="shared" si="53"/>
        <v/>
      </c>
      <c r="L235" s="35" t="s">
        <v>103</v>
      </c>
      <c r="M235" s="34" t="str">
        <f t="shared" si="54"/>
        <v/>
      </c>
      <c r="N235" s="36" t="s">
        <v>103</v>
      </c>
      <c r="O235" s="34" t="str">
        <f t="shared" si="49"/>
        <v/>
      </c>
      <c r="P235" s="35" t="s">
        <v>103</v>
      </c>
      <c r="Q235" s="37" t="str">
        <f t="shared" si="55"/>
        <v/>
      </c>
      <c r="R235" s="33" t="s">
        <v>103</v>
      </c>
      <c r="S235" s="34" t="str">
        <f t="shared" si="56"/>
        <v/>
      </c>
      <c r="T235" s="35" t="s">
        <v>103</v>
      </c>
      <c r="U235" s="37" t="str">
        <f t="shared" si="57"/>
        <v/>
      </c>
      <c r="V235" s="33" t="s">
        <v>103</v>
      </c>
      <c r="W235" s="34" t="str">
        <f t="shared" si="58"/>
        <v/>
      </c>
      <c r="X235" s="35" t="s">
        <v>103</v>
      </c>
      <c r="Y235" s="37" t="str">
        <f t="shared" si="59"/>
        <v/>
      </c>
      <c r="Z235" s="35" t="s">
        <v>103</v>
      </c>
      <c r="AA235" s="37" t="str">
        <f t="shared" si="60"/>
        <v/>
      </c>
      <c r="AB235" s="33" t="s">
        <v>103</v>
      </c>
      <c r="AC235" s="34" t="str">
        <f t="shared" si="61"/>
        <v/>
      </c>
      <c r="AD235" s="35" t="s">
        <v>103</v>
      </c>
      <c r="AE235" s="34" t="str">
        <f t="shared" si="62"/>
        <v/>
      </c>
      <c r="AF235" s="35" t="s">
        <v>103</v>
      </c>
      <c r="AG235" s="37" t="str">
        <f t="shared" si="63"/>
        <v/>
      </c>
      <c r="AH235" s="4">
        <f>IF(OR(AND(D235&gt;=31,D235&lt;40),AND(H235&gt;=31,H235&lt;40),AND(N235&gt;=31,N235&lt;40),AND(R235&gt;=31,R235&lt;40),AND(V235&gt;=31,V235&lt;40),AND(AB235&gt;=31,AB235&lt;40)),IF(AND(OR(COUNTIF(D235:AG235,"=31")&gt;=1,COUNTIF(D235:AG235,"=32")&gt;=1,COUNTIF(D235:AG235,"=33")&gt;=1,COUNTIF(D235:AG235,"=34")&gt;=1,COUNTIF(D235:AG235,"=35")&gt;=1,COUNTIF(D235:AG235,"=36")&gt;=1 ),COUNTIF(D235:AG235,"")=0,COUNTIF(D235:AG235," ")=0,COUNTIF(D235:AG235,"F")=1),CONCATENATE(SUM(EXTRACTNUMBER(D235),EXTRACTNUMBER(F235),
EXTRACTNUMBER(H235),EXTRACTNUMBER(J235),
EXTRACTNUMBER(L235),EXTRACTNUMBER(N235),
EXTRACTNUMBER(P235),EXTRACTNUMBER(R235),
EXTRACTNUMBER(T235),EXTRACTNUMBER(V235),
EXTRACTNUMBER(X235),EXTRACTNUMBER(Z235),EXTRACTNUMBER(AB235),
EXTRACTNUMBER(AD235),EXTRACTNUMBER(AF235)),"*"),IF(AND(COUNTIF(D235:AG235,"=34")&gt;=1,COUNTIF(D235:AG235,"=35")&gt;=1,COUNTIF(D235:AG235,"f")=2,COUNTIF(D235:AG235,"")=0,COUNTIF(D235:AG235," ")=0),CONCATENATE(SUM(EXTRACTNUMBER(D235),EXTRACTNUMBER(F235),
EXTRACTNUMBER(H235),EXTRACTNUMBER(J235),
EXTRACTNUMBER(L235),EXTRACTNUMBER(N235),
EXTRACTNUMBER(P235),EXTRACTNUMBER(R235),
EXTRACTNUMBER(T235),EXTRACTNUMBER(V235),
EXTRACTNUMBER(X235),EXTRACTNUMBER(Z235),EXTRACTNUMBER(AB235),
EXTRACTNUMBER(AD235),EXTRACTNUMBER(AF235)),"*"),IF(AND(COUNTIF(D235:AG235,"=36")&gt;=2,COUNTIF(D235:AG235,"f")=2,COUNTIF(D235:AG235,"")=0,COUNTIF(D235:AG235," ")=0),CONCATENATE(SUM(EXTRACTNUMBER(D235),EXTRACTNUMBER(F235),
EXTRACTNUMBER(H235),EXTRACTNUMBER(J235),
EXTRACTNUMBER(L235),EXTRACTNUMBER(N235),
EXTRACTNUMBER(P235),EXTRACTNUMBER(R235),
EXTRACTNUMBER(T235),EXTRACTNUMBER(V235),
EXTRACTNUMBER(X235),EXTRACTNUMBER(Z235),EXTRACTNUMBER(AB235),
EXTRACTNUMBER(AD235),EXTRACTNUMBER(AF235)),"*"),SUM(EXTRACTNUMBER(D235),EXTRACTNUMBER(F235),
EXTRACTNUMBER(H235),EXTRACTNUMBER(J235),
EXTRACTNUMBER(L235),EXTRACTNUMBER(N235),
EXTRACTNUMBER(P235),EXTRACTNUMBER(R235),
EXTRACTNUMBER(T235),EXTRACTNUMBER(V235),
EXTRACTNUMBER(X235),EXTRACTNUMBER(Z235),EXTRACTNUMBER(AB235),
EXTRACTNUMBER(AD235),EXTRACTNUMBER(AF235))))),SUM(EXTRACTNUMBER(D235),EXTRACTNUMBER(F235),
EXTRACTNUMBER(H235),EXTRACTNUMBER(J235),
EXTRACTNUMBER(L235),EXTRACTNUMBER(N235),
EXTRACTNUMBER(P235),EXTRACTNUMBER(R235),
EXTRACTNUMBER(T235),EXTRACTNUMBER(V235),
EXTRACTNUMBER(X235),EXTRACTNUMBER(Z235),EXTRACTNUMBER(AB235),
EXTRACTNUMBER(AD235),EXTRACTNUMBER(AF235)))</f>
        <v>0</v>
      </c>
      <c r="AI235" s="38" t="str">
        <f t="shared" si="48"/>
        <v>ABSENT</v>
      </c>
      <c r="AJ235" s="28" t="str">
        <f>spellnumber(EXTRACTnUMBER_TOT(AH235))</f>
        <v xml:space="preserve"> </v>
      </c>
      <c r="AK235" s="9">
        <v>0</v>
      </c>
    </row>
    <row r="236" spans="2:37" ht="15" customHeight="1">
      <c r="B236" s="40" t="s">
        <v>344</v>
      </c>
      <c r="C236" s="42" t="s">
        <v>345</v>
      </c>
      <c r="D236" s="33" t="s">
        <v>103</v>
      </c>
      <c r="E236" s="34" t="str">
        <f t="shared" si="50"/>
        <v/>
      </c>
      <c r="F236" s="35" t="s">
        <v>103</v>
      </c>
      <c r="G236" s="34" t="str">
        <f t="shared" si="51"/>
        <v/>
      </c>
      <c r="H236" s="36" t="s">
        <v>103</v>
      </c>
      <c r="I236" s="34" t="str">
        <f t="shared" si="52"/>
        <v/>
      </c>
      <c r="J236" s="35" t="s">
        <v>103</v>
      </c>
      <c r="K236" s="34" t="str">
        <f t="shared" si="53"/>
        <v/>
      </c>
      <c r="L236" s="35" t="s">
        <v>103</v>
      </c>
      <c r="M236" s="34" t="str">
        <f t="shared" si="54"/>
        <v/>
      </c>
      <c r="N236" s="36" t="s">
        <v>103</v>
      </c>
      <c r="O236" s="34" t="str">
        <f t="shared" si="49"/>
        <v/>
      </c>
      <c r="P236" s="35" t="s">
        <v>103</v>
      </c>
      <c r="Q236" s="37" t="str">
        <f t="shared" si="55"/>
        <v/>
      </c>
      <c r="R236" s="33" t="s">
        <v>103</v>
      </c>
      <c r="S236" s="34" t="str">
        <f t="shared" si="56"/>
        <v/>
      </c>
      <c r="T236" s="35" t="s">
        <v>103</v>
      </c>
      <c r="U236" s="37" t="str">
        <f t="shared" si="57"/>
        <v/>
      </c>
      <c r="V236" s="33" t="s">
        <v>103</v>
      </c>
      <c r="W236" s="34" t="str">
        <f t="shared" si="58"/>
        <v/>
      </c>
      <c r="X236" s="35" t="s">
        <v>103</v>
      </c>
      <c r="Y236" s="37" t="str">
        <f t="shared" si="59"/>
        <v/>
      </c>
      <c r="Z236" s="35" t="s">
        <v>103</v>
      </c>
      <c r="AA236" s="37" t="str">
        <f t="shared" si="60"/>
        <v/>
      </c>
      <c r="AB236" s="33" t="s">
        <v>103</v>
      </c>
      <c r="AC236" s="34" t="str">
        <f t="shared" si="61"/>
        <v/>
      </c>
      <c r="AD236" s="35" t="s">
        <v>103</v>
      </c>
      <c r="AE236" s="34" t="str">
        <f t="shared" si="62"/>
        <v/>
      </c>
      <c r="AF236" s="35" t="s">
        <v>103</v>
      </c>
      <c r="AG236" s="37" t="str">
        <f t="shared" si="63"/>
        <v/>
      </c>
      <c r="AH236" s="4">
        <f>IF(OR(AND(D236&gt;=31,D236&lt;40),AND(H236&gt;=31,H236&lt;40),AND(N236&gt;=31,N236&lt;40),AND(R236&gt;=31,R236&lt;40),AND(V236&gt;=31,V236&lt;40),AND(AB236&gt;=31,AB236&lt;40)),IF(AND(OR(COUNTIF(D236:AG236,"=31")&gt;=1,COUNTIF(D236:AG236,"=32")&gt;=1,COUNTIF(D236:AG236,"=33")&gt;=1,COUNTIF(D236:AG236,"=34")&gt;=1,COUNTIF(D236:AG236,"=35")&gt;=1,COUNTIF(D236:AG236,"=36")&gt;=1 ),COUNTIF(D236:AG236,"")=0,COUNTIF(D236:AG236," ")=0,COUNTIF(D236:AG236,"F")=1),CONCATENATE(SUM(EXTRACTNUMBER(D236),EXTRACTNUMBER(F236),
EXTRACTNUMBER(H236),EXTRACTNUMBER(J236),
EXTRACTNUMBER(L236),EXTRACTNUMBER(N236),
EXTRACTNUMBER(P236),EXTRACTNUMBER(R236),
EXTRACTNUMBER(T236),EXTRACTNUMBER(V236),
EXTRACTNUMBER(X236),EXTRACTNUMBER(Z236),EXTRACTNUMBER(AB236),
EXTRACTNUMBER(AD236),EXTRACTNUMBER(AF236)),"*"),IF(AND(COUNTIF(D236:AG236,"=34")&gt;=1,COUNTIF(D236:AG236,"=35")&gt;=1,COUNTIF(D236:AG236,"f")=2,COUNTIF(D236:AG236,"")=0,COUNTIF(D236:AG236," ")=0),CONCATENATE(SUM(EXTRACTNUMBER(D236),EXTRACTNUMBER(F236),
EXTRACTNUMBER(H236),EXTRACTNUMBER(J236),
EXTRACTNUMBER(L236),EXTRACTNUMBER(N236),
EXTRACTNUMBER(P236),EXTRACTNUMBER(R236),
EXTRACTNUMBER(T236),EXTRACTNUMBER(V236),
EXTRACTNUMBER(X236),EXTRACTNUMBER(Z236),EXTRACTNUMBER(AB236),
EXTRACTNUMBER(AD236),EXTRACTNUMBER(AF236)),"*"),IF(AND(COUNTIF(D236:AG236,"=36")&gt;=2,COUNTIF(D236:AG236,"f")=2,COUNTIF(D236:AG236,"")=0,COUNTIF(D236:AG236," ")=0),CONCATENATE(SUM(EXTRACTNUMBER(D236),EXTRACTNUMBER(F236),
EXTRACTNUMBER(H236),EXTRACTNUMBER(J236),
EXTRACTNUMBER(L236),EXTRACTNUMBER(N236),
EXTRACTNUMBER(P236),EXTRACTNUMBER(R236),
EXTRACTNUMBER(T236),EXTRACTNUMBER(V236),
EXTRACTNUMBER(X236),EXTRACTNUMBER(Z236),EXTRACTNUMBER(AB236),
EXTRACTNUMBER(AD236),EXTRACTNUMBER(AF236)),"*"),SUM(EXTRACTNUMBER(D236),EXTRACTNUMBER(F236),
EXTRACTNUMBER(H236),EXTRACTNUMBER(J236),
EXTRACTNUMBER(L236),EXTRACTNUMBER(N236),
EXTRACTNUMBER(P236),EXTRACTNUMBER(R236),
EXTRACTNUMBER(T236),EXTRACTNUMBER(V236),
EXTRACTNUMBER(X236),EXTRACTNUMBER(Z236),EXTRACTNUMBER(AB236),
EXTRACTNUMBER(AD236),EXTRACTNUMBER(AF236))))),SUM(EXTRACTNUMBER(D236),EXTRACTNUMBER(F236),
EXTRACTNUMBER(H236),EXTRACTNUMBER(J236),
EXTRACTNUMBER(L236),EXTRACTNUMBER(N236),
EXTRACTNUMBER(P236),EXTRACTNUMBER(R236),
EXTRACTNUMBER(T236),EXTRACTNUMBER(V236),
EXTRACTNUMBER(X236),EXTRACTNUMBER(Z236),EXTRACTNUMBER(AB236),
EXTRACTNUMBER(AD236),EXTRACTNUMBER(AF236)))</f>
        <v>0</v>
      </c>
      <c r="AI236" s="38" t="str">
        <f t="shared" si="48"/>
        <v>ABSENT</v>
      </c>
      <c r="AJ236" s="28" t="str">
        <f>spellnumber(EXTRACTnUMBER_TOT(AH236))</f>
        <v xml:space="preserve"> </v>
      </c>
      <c r="AK236" s="9">
        <v>0</v>
      </c>
    </row>
    <row r="237" spans="2:37" ht="15" customHeight="1">
      <c r="B237" s="40" t="s">
        <v>346</v>
      </c>
      <c r="C237" s="42" t="s">
        <v>347</v>
      </c>
      <c r="D237" s="33" t="s">
        <v>103</v>
      </c>
      <c r="E237" s="34" t="str">
        <f t="shared" si="50"/>
        <v/>
      </c>
      <c r="F237" s="35" t="s">
        <v>103</v>
      </c>
      <c r="G237" s="34" t="str">
        <f t="shared" si="51"/>
        <v/>
      </c>
      <c r="H237" s="36" t="s">
        <v>103</v>
      </c>
      <c r="I237" s="34" t="str">
        <f t="shared" si="52"/>
        <v/>
      </c>
      <c r="J237" s="35" t="s">
        <v>103</v>
      </c>
      <c r="K237" s="34" t="str">
        <f t="shared" si="53"/>
        <v/>
      </c>
      <c r="L237" s="35" t="s">
        <v>103</v>
      </c>
      <c r="M237" s="34" t="str">
        <f t="shared" si="54"/>
        <v/>
      </c>
      <c r="N237" s="36" t="s">
        <v>103</v>
      </c>
      <c r="O237" s="34" t="str">
        <f t="shared" si="49"/>
        <v/>
      </c>
      <c r="P237" s="35" t="s">
        <v>103</v>
      </c>
      <c r="Q237" s="37" t="str">
        <f t="shared" si="55"/>
        <v/>
      </c>
      <c r="R237" s="33" t="s">
        <v>103</v>
      </c>
      <c r="S237" s="34" t="str">
        <f t="shared" si="56"/>
        <v/>
      </c>
      <c r="T237" s="35" t="s">
        <v>103</v>
      </c>
      <c r="U237" s="37" t="str">
        <f t="shared" si="57"/>
        <v/>
      </c>
      <c r="V237" s="33" t="s">
        <v>103</v>
      </c>
      <c r="W237" s="34" t="str">
        <f t="shared" si="58"/>
        <v/>
      </c>
      <c r="X237" s="35" t="s">
        <v>103</v>
      </c>
      <c r="Y237" s="37" t="str">
        <f t="shared" si="59"/>
        <v/>
      </c>
      <c r="Z237" s="35" t="s">
        <v>103</v>
      </c>
      <c r="AA237" s="37" t="str">
        <f t="shared" si="60"/>
        <v/>
      </c>
      <c r="AB237" s="33" t="s">
        <v>103</v>
      </c>
      <c r="AC237" s="34" t="str">
        <f t="shared" si="61"/>
        <v/>
      </c>
      <c r="AD237" s="35" t="s">
        <v>103</v>
      </c>
      <c r="AE237" s="34" t="str">
        <f t="shared" si="62"/>
        <v/>
      </c>
      <c r="AF237" s="35" t="s">
        <v>103</v>
      </c>
      <c r="AG237" s="37" t="str">
        <f t="shared" si="63"/>
        <v/>
      </c>
      <c r="AH237" s="4">
        <f>IF(OR(AND(D237&gt;=31,D237&lt;40),AND(H237&gt;=31,H237&lt;40),AND(N237&gt;=31,N237&lt;40),AND(R237&gt;=31,R237&lt;40),AND(V237&gt;=31,V237&lt;40),AND(AB237&gt;=31,AB237&lt;40)),IF(AND(OR(COUNTIF(D237:AG237,"=31")&gt;=1,COUNTIF(D237:AG237,"=32")&gt;=1,COUNTIF(D237:AG237,"=33")&gt;=1,COUNTIF(D237:AG237,"=34")&gt;=1,COUNTIF(D237:AG237,"=35")&gt;=1,COUNTIF(D237:AG237,"=36")&gt;=1 ),COUNTIF(D237:AG237,"")=0,COUNTIF(D237:AG237," ")=0,COUNTIF(D237:AG237,"F")=1),CONCATENATE(SUM(EXTRACTNUMBER(D237),EXTRACTNUMBER(F237),
EXTRACTNUMBER(H237),EXTRACTNUMBER(J237),
EXTRACTNUMBER(L237),EXTRACTNUMBER(N237),
EXTRACTNUMBER(P237),EXTRACTNUMBER(R237),
EXTRACTNUMBER(T237),EXTRACTNUMBER(V237),
EXTRACTNUMBER(X237),EXTRACTNUMBER(Z237),EXTRACTNUMBER(AB237),
EXTRACTNUMBER(AD237),EXTRACTNUMBER(AF237)),"*"),IF(AND(COUNTIF(D237:AG237,"=34")&gt;=1,COUNTIF(D237:AG237,"=35")&gt;=1,COUNTIF(D237:AG237,"f")=2,COUNTIF(D237:AG237,"")=0,COUNTIF(D237:AG237," ")=0),CONCATENATE(SUM(EXTRACTNUMBER(D237),EXTRACTNUMBER(F237),
EXTRACTNUMBER(H237),EXTRACTNUMBER(J237),
EXTRACTNUMBER(L237),EXTRACTNUMBER(N237),
EXTRACTNUMBER(P237),EXTRACTNUMBER(R237),
EXTRACTNUMBER(T237),EXTRACTNUMBER(V237),
EXTRACTNUMBER(X237),EXTRACTNUMBER(Z237),EXTRACTNUMBER(AB237),
EXTRACTNUMBER(AD237),EXTRACTNUMBER(AF237)),"*"),IF(AND(COUNTIF(D237:AG237,"=36")&gt;=2,COUNTIF(D237:AG237,"f")=2,COUNTIF(D237:AG237,"")=0,COUNTIF(D237:AG237," ")=0),CONCATENATE(SUM(EXTRACTNUMBER(D237),EXTRACTNUMBER(F237),
EXTRACTNUMBER(H237),EXTRACTNUMBER(J237),
EXTRACTNUMBER(L237),EXTRACTNUMBER(N237),
EXTRACTNUMBER(P237),EXTRACTNUMBER(R237),
EXTRACTNUMBER(T237),EXTRACTNUMBER(V237),
EXTRACTNUMBER(X237),EXTRACTNUMBER(Z237),EXTRACTNUMBER(AB237),
EXTRACTNUMBER(AD237),EXTRACTNUMBER(AF237)),"*"),SUM(EXTRACTNUMBER(D237),EXTRACTNUMBER(F237),
EXTRACTNUMBER(H237),EXTRACTNUMBER(J237),
EXTRACTNUMBER(L237),EXTRACTNUMBER(N237),
EXTRACTNUMBER(P237),EXTRACTNUMBER(R237),
EXTRACTNUMBER(T237),EXTRACTNUMBER(V237),
EXTRACTNUMBER(X237),EXTRACTNUMBER(Z237),EXTRACTNUMBER(AB237),
EXTRACTNUMBER(AD237),EXTRACTNUMBER(AF237))))),SUM(EXTRACTNUMBER(D237),EXTRACTNUMBER(F237),
EXTRACTNUMBER(H237),EXTRACTNUMBER(J237),
EXTRACTNUMBER(L237),EXTRACTNUMBER(N237),
EXTRACTNUMBER(P237),EXTRACTNUMBER(R237),
EXTRACTNUMBER(T237),EXTRACTNUMBER(V237),
EXTRACTNUMBER(X237),EXTRACTNUMBER(Z237),EXTRACTNUMBER(AB237),
EXTRACTNUMBER(AD237),EXTRACTNUMBER(AF237)))</f>
        <v>0</v>
      </c>
      <c r="AI237" s="38" t="str">
        <f t="shared" si="48"/>
        <v>ABSENT</v>
      </c>
      <c r="AJ237" s="28" t="str">
        <f>spellnumber(EXTRACTnUMBER_TOT(AH237))</f>
        <v xml:space="preserve"> </v>
      </c>
      <c r="AK237" s="9">
        <v>0</v>
      </c>
    </row>
    <row r="238" spans="2:37" ht="15" customHeight="1">
      <c r="B238" s="40" t="s">
        <v>348</v>
      </c>
      <c r="C238" s="42" t="s">
        <v>349</v>
      </c>
      <c r="D238" s="33" t="s">
        <v>103</v>
      </c>
      <c r="E238" s="34" t="str">
        <f t="shared" si="50"/>
        <v/>
      </c>
      <c r="F238" s="35" t="s">
        <v>103</v>
      </c>
      <c r="G238" s="34" t="str">
        <f t="shared" si="51"/>
        <v/>
      </c>
      <c r="H238" s="36" t="s">
        <v>103</v>
      </c>
      <c r="I238" s="34" t="str">
        <f t="shared" si="52"/>
        <v/>
      </c>
      <c r="J238" s="35" t="s">
        <v>103</v>
      </c>
      <c r="K238" s="34" t="str">
        <f t="shared" si="53"/>
        <v/>
      </c>
      <c r="L238" s="35" t="s">
        <v>103</v>
      </c>
      <c r="M238" s="34" t="str">
        <f t="shared" si="54"/>
        <v/>
      </c>
      <c r="N238" s="36" t="s">
        <v>103</v>
      </c>
      <c r="O238" s="34" t="str">
        <f t="shared" si="49"/>
        <v/>
      </c>
      <c r="P238" s="35" t="s">
        <v>103</v>
      </c>
      <c r="Q238" s="37" t="str">
        <f t="shared" si="55"/>
        <v/>
      </c>
      <c r="R238" s="33" t="s">
        <v>103</v>
      </c>
      <c r="S238" s="34" t="str">
        <f t="shared" si="56"/>
        <v/>
      </c>
      <c r="T238" s="35" t="s">
        <v>103</v>
      </c>
      <c r="U238" s="37" t="str">
        <f t="shared" si="57"/>
        <v/>
      </c>
      <c r="V238" s="33" t="s">
        <v>103</v>
      </c>
      <c r="W238" s="34" t="str">
        <f t="shared" si="58"/>
        <v/>
      </c>
      <c r="X238" s="35" t="s">
        <v>103</v>
      </c>
      <c r="Y238" s="37" t="str">
        <f t="shared" si="59"/>
        <v/>
      </c>
      <c r="Z238" s="35" t="s">
        <v>103</v>
      </c>
      <c r="AA238" s="37" t="str">
        <f t="shared" si="60"/>
        <v/>
      </c>
      <c r="AB238" s="33" t="s">
        <v>103</v>
      </c>
      <c r="AC238" s="34" t="str">
        <f t="shared" si="61"/>
        <v/>
      </c>
      <c r="AD238" s="35" t="s">
        <v>103</v>
      </c>
      <c r="AE238" s="34" t="str">
        <f t="shared" si="62"/>
        <v/>
      </c>
      <c r="AF238" s="35" t="s">
        <v>103</v>
      </c>
      <c r="AG238" s="37" t="str">
        <f t="shared" si="63"/>
        <v/>
      </c>
      <c r="AH238" s="4">
        <f>IF(OR(AND(D238&gt;=31,D238&lt;40),AND(H238&gt;=31,H238&lt;40),AND(N238&gt;=31,N238&lt;40),AND(R238&gt;=31,R238&lt;40),AND(V238&gt;=31,V238&lt;40),AND(AB238&gt;=31,AB238&lt;40)),IF(AND(OR(COUNTIF(D238:AG238,"=31")&gt;=1,COUNTIF(D238:AG238,"=32")&gt;=1,COUNTIF(D238:AG238,"=33")&gt;=1,COUNTIF(D238:AG238,"=34")&gt;=1,COUNTIF(D238:AG238,"=35")&gt;=1,COUNTIF(D238:AG238,"=36")&gt;=1 ),COUNTIF(D238:AG238,"")=0,COUNTIF(D238:AG238," ")=0,COUNTIF(D238:AG238,"F")=1),CONCATENATE(SUM(EXTRACTNUMBER(D238),EXTRACTNUMBER(F238),
EXTRACTNUMBER(H238),EXTRACTNUMBER(J238),
EXTRACTNUMBER(L238),EXTRACTNUMBER(N238),
EXTRACTNUMBER(P238),EXTRACTNUMBER(R238),
EXTRACTNUMBER(T238),EXTRACTNUMBER(V238),
EXTRACTNUMBER(X238),EXTRACTNUMBER(Z238),EXTRACTNUMBER(AB238),
EXTRACTNUMBER(AD238),EXTRACTNUMBER(AF238)),"*"),IF(AND(COUNTIF(D238:AG238,"=34")&gt;=1,COUNTIF(D238:AG238,"=35")&gt;=1,COUNTIF(D238:AG238,"f")=2,COUNTIF(D238:AG238,"")=0,COUNTIF(D238:AG238," ")=0),CONCATENATE(SUM(EXTRACTNUMBER(D238),EXTRACTNUMBER(F238),
EXTRACTNUMBER(H238),EXTRACTNUMBER(J238),
EXTRACTNUMBER(L238),EXTRACTNUMBER(N238),
EXTRACTNUMBER(P238),EXTRACTNUMBER(R238),
EXTRACTNUMBER(T238),EXTRACTNUMBER(V238),
EXTRACTNUMBER(X238),EXTRACTNUMBER(Z238),EXTRACTNUMBER(AB238),
EXTRACTNUMBER(AD238),EXTRACTNUMBER(AF238)),"*"),IF(AND(COUNTIF(D238:AG238,"=36")&gt;=2,COUNTIF(D238:AG238,"f")=2,COUNTIF(D238:AG238,"")=0,COUNTIF(D238:AG238," ")=0),CONCATENATE(SUM(EXTRACTNUMBER(D238),EXTRACTNUMBER(F238),
EXTRACTNUMBER(H238),EXTRACTNUMBER(J238),
EXTRACTNUMBER(L238),EXTRACTNUMBER(N238),
EXTRACTNUMBER(P238),EXTRACTNUMBER(R238),
EXTRACTNUMBER(T238),EXTRACTNUMBER(V238),
EXTRACTNUMBER(X238),EXTRACTNUMBER(Z238),EXTRACTNUMBER(AB238),
EXTRACTNUMBER(AD238),EXTRACTNUMBER(AF238)),"*"),SUM(EXTRACTNUMBER(D238),EXTRACTNUMBER(F238),
EXTRACTNUMBER(H238),EXTRACTNUMBER(J238),
EXTRACTNUMBER(L238),EXTRACTNUMBER(N238),
EXTRACTNUMBER(P238),EXTRACTNUMBER(R238),
EXTRACTNUMBER(T238),EXTRACTNUMBER(V238),
EXTRACTNUMBER(X238),EXTRACTNUMBER(Z238),EXTRACTNUMBER(AB238),
EXTRACTNUMBER(AD238),EXTRACTNUMBER(AF238))))),SUM(EXTRACTNUMBER(D238),EXTRACTNUMBER(F238),
EXTRACTNUMBER(H238),EXTRACTNUMBER(J238),
EXTRACTNUMBER(L238),EXTRACTNUMBER(N238),
EXTRACTNUMBER(P238),EXTRACTNUMBER(R238),
EXTRACTNUMBER(T238),EXTRACTNUMBER(V238),
EXTRACTNUMBER(X238),EXTRACTNUMBER(Z238),EXTRACTNUMBER(AB238),
EXTRACTNUMBER(AD238),EXTRACTNUMBER(AF238)))</f>
        <v>0</v>
      </c>
      <c r="AI238" s="38" t="str">
        <f t="shared" si="48"/>
        <v>ABSENT</v>
      </c>
      <c r="AJ238" s="28" t="str">
        <f>spellnumber(EXTRACTnUMBER_TOT(AH238))</f>
        <v xml:space="preserve"> </v>
      </c>
      <c r="AK238" s="9">
        <v>0</v>
      </c>
    </row>
    <row r="239" spans="2:37" ht="15" customHeight="1">
      <c r="B239" s="40" t="s">
        <v>350</v>
      </c>
      <c r="C239" s="42" t="s">
        <v>351</v>
      </c>
      <c r="D239" s="33" t="s">
        <v>103</v>
      </c>
      <c r="E239" s="34" t="str">
        <f t="shared" si="50"/>
        <v/>
      </c>
      <c r="F239" s="35" t="s">
        <v>103</v>
      </c>
      <c r="G239" s="34" t="str">
        <f t="shared" si="51"/>
        <v/>
      </c>
      <c r="H239" s="36" t="s">
        <v>103</v>
      </c>
      <c r="I239" s="34" t="str">
        <f t="shared" si="52"/>
        <v/>
      </c>
      <c r="J239" s="35" t="s">
        <v>103</v>
      </c>
      <c r="K239" s="34" t="str">
        <f t="shared" si="53"/>
        <v/>
      </c>
      <c r="L239" s="35" t="s">
        <v>103</v>
      </c>
      <c r="M239" s="34" t="str">
        <f t="shared" si="54"/>
        <v/>
      </c>
      <c r="N239" s="36" t="s">
        <v>103</v>
      </c>
      <c r="O239" s="34" t="str">
        <f t="shared" si="49"/>
        <v/>
      </c>
      <c r="P239" s="35" t="s">
        <v>103</v>
      </c>
      <c r="Q239" s="37" t="str">
        <f t="shared" si="55"/>
        <v/>
      </c>
      <c r="R239" s="33" t="s">
        <v>103</v>
      </c>
      <c r="S239" s="34" t="str">
        <f t="shared" si="56"/>
        <v/>
      </c>
      <c r="T239" s="35" t="s">
        <v>103</v>
      </c>
      <c r="U239" s="37" t="str">
        <f t="shared" si="57"/>
        <v/>
      </c>
      <c r="V239" s="33" t="s">
        <v>103</v>
      </c>
      <c r="W239" s="34" t="str">
        <f t="shared" si="58"/>
        <v/>
      </c>
      <c r="X239" s="35" t="s">
        <v>103</v>
      </c>
      <c r="Y239" s="37" t="str">
        <f t="shared" si="59"/>
        <v/>
      </c>
      <c r="Z239" s="35" t="s">
        <v>103</v>
      </c>
      <c r="AA239" s="37" t="str">
        <f t="shared" si="60"/>
        <v/>
      </c>
      <c r="AB239" s="33" t="s">
        <v>103</v>
      </c>
      <c r="AC239" s="34" t="str">
        <f t="shared" si="61"/>
        <v/>
      </c>
      <c r="AD239" s="35" t="s">
        <v>103</v>
      </c>
      <c r="AE239" s="34" t="str">
        <f t="shared" si="62"/>
        <v/>
      </c>
      <c r="AF239" s="35" t="s">
        <v>103</v>
      </c>
      <c r="AG239" s="37" t="str">
        <f t="shared" si="63"/>
        <v/>
      </c>
      <c r="AH239" s="4">
        <f>IF(OR(AND(D239&gt;=31,D239&lt;40),AND(H239&gt;=31,H239&lt;40),AND(N239&gt;=31,N239&lt;40),AND(R239&gt;=31,R239&lt;40),AND(V239&gt;=31,V239&lt;40),AND(AB239&gt;=31,AB239&lt;40)),IF(AND(OR(COUNTIF(D239:AG239,"=31")&gt;=1,COUNTIF(D239:AG239,"=32")&gt;=1,COUNTIF(D239:AG239,"=33")&gt;=1,COUNTIF(D239:AG239,"=34")&gt;=1,COUNTIF(D239:AG239,"=35")&gt;=1,COUNTIF(D239:AG239,"=36")&gt;=1 ),COUNTIF(D239:AG239,"")=0,COUNTIF(D239:AG239," ")=0,COUNTIF(D239:AG239,"F")=1),CONCATENATE(SUM(EXTRACTNUMBER(D239),EXTRACTNUMBER(F239),
EXTRACTNUMBER(H239),EXTRACTNUMBER(J239),
EXTRACTNUMBER(L239),EXTRACTNUMBER(N239),
EXTRACTNUMBER(P239),EXTRACTNUMBER(R239),
EXTRACTNUMBER(T239),EXTRACTNUMBER(V239),
EXTRACTNUMBER(X239),EXTRACTNUMBER(Z239),EXTRACTNUMBER(AB239),
EXTRACTNUMBER(AD239),EXTRACTNUMBER(AF239)),"*"),IF(AND(COUNTIF(D239:AG239,"=34")&gt;=1,COUNTIF(D239:AG239,"=35")&gt;=1,COUNTIF(D239:AG239,"f")=2,COUNTIF(D239:AG239,"")=0,COUNTIF(D239:AG239," ")=0),CONCATENATE(SUM(EXTRACTNUMBER(D239),EXTRACTNUMBER(F239),
EXTRACTNUMBER(H239),EXTRACTNUMBER(J239),
EXTRACTNUMBER(L239),EXTRACTNUMBER(N239),
EXTRACTNUMBER(P239),EXTRACTNUMBER(R239),
EXTRACTNUMBER(T239),EXTRACTNUMBER(V239),
EXTRACTNUMBER(X239),EXTRACTNUMBER(Z239),EXTRACTNUMBER(AB239),
EXTRACTNUMBER(AD239),EXTRACTNUMBER(AF239)),"*"),IF(AND(COUNTIF(D239:AG239,"=36")&gt;=2,COUNTIF(D239:AG239,"f")=2,COUNTIF(D239:AG239,"")=0,COUNTIF(D239:AG239," ")=0),CONCATENATE(SUM(EXTRACTNUMBER(D239),EXTRACTNUMBER(F239),
EXTRACTNUMBER(H239),EXTRACTNUMBER(J239),
EXTRACTNUMBER(L239),EXTRACTNUMBER(N239),
EXTRACTNUMBER(P239),EXTRACTNUMBER(R239),
EXTRACTNUMBER(T239),EXTRACTNUMBER(V239),
EXTRACTNUMBER(X239),EXTRACTNUMBER(Z239),EXTRACTNUMBER(AB239),
EXTRACTNUMBER(AD239),EXTRACTNUMBER(AF239)),"*"),SUM(EXTRACTNUMBER(D239),EXTRACTNUMBER(F239),
EXTRACTNUMBER(H239),EXTRACTNUMBER(J239),
EXTRACTNUMBER(L239),EXTRACTNUMBER(N239),
EXTRACTNUMBER(P239),EXTRACTNUMBER(R239),
EXTRACTNUMBER(T239),EXTRACTNUMBER(V239),
EXTRACTNUMBER(X239),EXTRACTNUMBER(Z239),EXTRACTNUMBER(AB239),
EXTRACTNUMBER(AD239),EXTRACTNUMBER(AF239))))),SUM(EXTRACTNUMBER(D239),EXTRACTNUMBER(F239),
EXTRACTNUMBER(H239),EXTRACTNUMBER(J239),
EXTRACTNUMBER(L239),EXTRACTNUMBER(N239),
EXTRACTNUMBER(P239),EXTRACTNUMBER(R239),
EXTRACTNUMBER(T239),EXTRACTNUMBER(V239),
EXTRACTNUMBER(X239),EXTRACTNUMBER(Z239),EXTRACTNUMBER(AB239),
EXTRACTNUMBER(AD239),EXTRACTNUMBER(AF239)))</f>
        <v>0</v>
      </c>
      <c r="AI239" s="38" t="str">
        <f t="shared" si="48"/>
        <v>ABSENT</v>
      </c>
      <c r="AJ239" s="28" t="str">
        <f>spellnumber(EXTRACTnUMBER_TOT(AH239))</f>
        <v xml:space="preserve"> </v>
      </c>
      <c r="AK239" s="9">
        <v>0</v>
      </c>
    </row>
    <row r="240" spans="2:37" ht="15" customHeight="1">
      <c r="B240" s="40" t="s">
        <v>352</v>
      </c>
      <c r="C240" s="42" t="s">
        <v>353</v>
      </c>
      <c r="D240" s="33" t="s">
        <v>103</v>
      </c>
      <c r="E240" s="34" t="str">
        <f t="shared" si="50"/>
        <v/>
      </c>
      <c r="F240" s="35" t="s">
        <v>103</v>
      </c>
      <c r="G240" s="34" t="str">
        <f t="shared" si="51"/>
        <v/>
      </c>
      <c r="H240" s="36" t="s">
        <v>103</v>
      </c>
      <c r="I240" s="34" t="str">
        <f t="shared" si="52"/>
        <v/>
      </c>
      <c r="J240" s="35" t="s">
        <v>103</v>
      </c>
      <c r="K240" s="34" t="str">
        <f t="shared" si="53"/>
        <v/>
      </c>
      <c r="L240" s="35" t="s">
        <v>103</v>
      </c>
      <c r="M240" s="34" t="str">
        <f t="shared" si="54"/>
        <v/>
      </c>
      <c r="N240" s="36" t="s">
        <v>103</v>
      </c>
      <c r="O240" s="34" t="str">
        <f t="shared" si="49"/>
        <v/>
      </c>
      <c r="P240" s="35" t="s">
        <v>103</v>
      </c>
      <c r="Q240" s="37" t="str">
        <f t="shared" si="55"/>
        <v/>
      </c>
      <c r="R240" s="33" t="s">
        <v>103</v>
      </c>
      <c r="S240" s="34" t="str">
        <f t="shared" si="56"/>
        <v/>
      </c>
      <c r="T240" s="35" t="s">
        <v>103</v>
      </c>
      <c r="U240" s="37" t="str">
        <f t="shared" si="57"/>
        <v/>
      </c>
      <c r="V240" s="33" t="s">
        <v>103</v>
      </c>
      <c r="W240" s="34" t="str">
        <f t="shared" si="58"/>
        <v/>
      </c>
      <c r="X240" s="35" t="s">
        <v>103</v>
      </c>
      <c r="Y240" s="37" t="str">
        <f t="shared" si="59"/>
        <v/>
      </c>
      <c r="Z240" s="35" t="s">
        <v>103</v>
      </c>
      <c r="AA240" s="37" t="str">
        <f t="shared" si="60"/>
        <v/>
      </c>
      <c r="AB240" s="33" t="s">
        <v>103</v>
      </c>
      <c r="AC240" s="34" t="str">
        <f t="shared" si="61"/>
        <v/>
      </c>
      <c r="AD240" s="35" t="s">
        <v>103</v>
      </c>
      <c r="AE240" s="34" t="str">
        <f t="shared" si="62"/>
        <v/>
      </c>
      <c r="AF240" s="35" t="s">
        <v>103</v>
      </c>
      <c r="AG240" s="37" t="str">
        <f t="shared" si="63"/>
        <v/>
      </c>
      <c r="AH240" s="4">
        <f>IF(OR(AND(D240&gt;=31,D240&lt;40),AND(H240&gt;=31,H240&lt;40),AND(N240&gt;=31,N240&lt;40),AND(R240&gt;=31,R240&lt;40),AND(V240&gt;=31,V240&lt;40),AND(AB240&gt;=31,AB240&lt;40)),IF(AND(OR(COUNTIF(D240:AG240,"=31")&gt;=1,COUNTIF(D240:AG240,"=32")&gt;=1,COUNTIF(D240:AG240,"=33")&gt;=1,COUNTIF(D240:AG240,"=34")&gt;=1,COUNTIF(D240:AG240,"=35")&gt;=1,COUNTIF(D240:AG240,"=36")&gt;=1 ),COUNTIF(D240:AG240,"")=0,COUNTIF(D240:AG240," ")=0,COUNTIF(D240:AG240,"F")=1),CONCATENATE(SUM(EXTRACTNUMBER(D240),EXTRACTNUMBER(F240),
EXTRACTNUMBER(H240),EXTRACTNUMBER(J240),
EXTRACTNUMBER(L240),EXTRACTNUMBER(N240),
EXTRACTNUMBER(P240),EXTRACTNUMBER(R240),
EXTRACTNUMBER(T240),EXTRACTNUMBER(V240),
EXTRACTNUMBER(X240),EXTRACTNUMBER(Z240),EXTRACTNUMBER(AB240),
EXTRACTNUMBER(AD240),EXTRACTNUMBER(AF240)),"*"),IF(AND(COUNTIF(D240:AG240,"=34")&gt;=1,COUNTIF(D240:AG240,"=35")&gt;=1,COUNTIF(D240:AG240,"f")=2,COUNTIF(D240:AG240,"")=0,COUNTIF(D240:AG240," ")=0),CONCATENATE(SUM(EXTRACTNUMBER(D240),EXTRACTNUMBER(F240),
EXTRACTNUMBER(H240),EXTRACTNUMBER(J240),
EXTRACTNUMBER(L240),EXTRACTNUMBER(N240),
EXTRACTNUMBER(P240),EXTRACTNUMBER(R240),
EXTRACTNUMBER(T240),EXTRACTNUMBER(V240),
EXTRACTNUMBER(X240),EXTRACTNUMBER(Z240),EXTRACTNUMBER(AB240),
EXTRACTNUMBER(AD240),EXTRACTNUMBER(AF240)),"*"),IF(AND(COUNTIF(D240:AG240,"=36")&gt;=2,COUNTIF(D240:AG240,"f")=2,COUNTIF(D240:AG240,"")=0,COUNTIF(D240:AG240," ")=0),CONCATENATE(SUM(EXTRACTNUMBER(D240),EXTRACTNUMBER(F240),
EXTRACTNUMBER(H240),EXTRACTNUMBER(J240),
EXTRACTNUMBER(L240),EXTRACTNUMBER(N240),
EXTRACTNUMBER(P240),EXTRACTNUMBER(R240),
EXTRACTNUMBER(T240),EXTRACTNUMBER(V240),
EXTRACTNUMBER(X240),EXTRACTNUMBER(Z240),EXTRACTNUMBER(AB240),
EXTRACTNUMBER(AD240),EXTRACTNUMBER(AF240)),"*"),SUM(EXTRACTNUMBER(D240),EXTRACTNUMBER(F240),
EXTRACTNUMBER(H240),EXTRACTNUMBER(J240),
EXTRACTNUMBER(L240),EXTRACTNUMBER(N240),
EXTRACTNUMBER(P240),EXTRACTNUMBER(R240),
EXTRACTNUMBER(T240),EXTRACTNUMBER(V240),
EXTRACTNUMBER(X240),EXTRACTNUMBER(Z240),EXTRACTNUMBER(AB240),
EXTRACTNUMBER(AD240),EXTRACTNUMBER(AF240))))),SUM(EXTRACTNUMBER(D240),EXTRACTNUMBER(F240),
EXTRACTNUMBER(H240),EXTRACTNUMBER(J240),
EXTRACTNUMBER(L240),EXTRACTNUMBER(N240),
EXTRACTNUMBER(P240),EXTRACTNUMBER(R240),
EXTRACTNUMBER(T240),EXTRACTNUMBER(V240),
EXTRACTNUMBER(X240),EXTRACTNUMBER(Z240),EXTRACTNUMBER(AB240),
EXTRACTNUMBER(AD240),EXTRACTNUMBER(AF240)))</f>
        <v>0</v>
      </c>
      <c r="AI240" s="38" t="str">
        <f t="shared" si="48"/>
        <v>ABSENT</v>
      </c>
      <c r="AJ240" s="28" t="str">
        <f>spellnumber(EXTRACTnUMBER_TOT(AH240))</f>
        <v xml:space="preserve"> </v>
      </c>
      <c r="AK240" s="9">
        <v>0</v>
      </c>
    </row>
    <row r="241" spans="2:37" ht="15" customHeight="1">
      <c r="B241" s="40" t="s">
        <v>354</v>
      </c>
      <c r="C241" s="42" t="s">
        <v>355</v>
      </c>
      <c r="D241" s="33" t="s">
        <v>103</v>
      </c>
      <c r="E241" s="34" t="str">
        <f t="shared" si="50"/>
        <v/>
      </c>
      <c r="F241" s="35" t="s">
        <v>103</v>
      </c>
      <c r="G241" s="34" t="str">
        <f t="shared" si="51"/>
        <v/>
      </c>
      <c r="H241" s="36" t="s">
        <v>103</v>
      </c>
      <c r="I241" s="34" t="str">
        <f t="shared" si="52"/>
        <v/>
      </c>
      <c r="J241" s="35" t="s">
        <v>103</v>
      </c>
      <c r="K241" s="34" t="str">
        <f t="shared" si="53"/>
        <v/>
      </c>
      <c r="L241" s="35" t="s">
        <v>103</v>
      </c>
      <c r="M241" s="34" t="str">
        <f t="shared" si="54"/>
        <v/>
      </c>
      <c r="N241" s="36" t="s">
        <v>103</v>
      </c>
      <c r="O241" s="34" t="str">
        <f t="shared" si="49"/>
        <v/>
      </c>
      <c r="P241" s="35" t="s">
        <v>103</v>
      </c>
      <c r="Q241" s="37" t="str">
        <f t="shared" si="55"/>
        <v/>
      </c>
      <c r="R241" s="33" t="s">
        <v>103</v>
      </c>
      <c r="S241" s="34" t="str">
        <f t="shared" si="56"/>
        <v/>
      </c>
      <c r="T241" s="35" t="s">
        <v>103</v>
      </c>
      <c r="U241" s="37" t="str">
        <f t="shared" si="57"/>
        <v/>
      </c>
      <c r="V241" s="33" t="s">
        <v>103</v>
      </c>
      <c r="W241" s="34" t="str">
        <f t="shared" si="58"/>
        <v/>
      </c>
      <c r="X241" s="35" t="s">
        <v>103</v>
      </c>
      <c r="Y241" s="37" t="str">
        <f t="shared" si="59"/>
        <v/>
      </c>
      <c r="Z241" s="35" t="s">
        <v>103</v>
      </c>
      <c r="AA241" s="37" t="str">
        <f t="shared" si="60"/>
        <v/>
      </c>
      <c r="AB241" s="33" t="s">
        <v>103</v>
      </c>
      <c r="AC241" s="34" t="str">
        <f t="shared" si="61"/>
        <v/>
      </c>
      <c r="AD241" s="35" t="s">
        <v>103</v>
      </c>
      <c r="AE241" s="34" t="str">
        <f t="shared" si="62"/>
        <v/>
      </c>
      <c r="AF241" s="35" t="s">
        <v>103</v>
      </c>
      <c r="AG241" s="37" t="str">
        <f t="shared" si="63"/>
        <v/>
      </c>
      <c r="AH241" s="4">
        <f>IF(OR(AND(D241&gt;=31,D241&lt;40),AND(H241&gt;=31,H241&lt;40),AND(N241&gt;=31,N241&lt;40),AND(R241&gt;=31,R241&lt;40),AND(V241&gt;=31,V241&lt;40),AND(AB241&gt;=31,AB241&lt;40)),IF(AND(OR(COUNTIF(D241:AG241,"=31")&gt;=1,COUNTIF(D241:AG241,"=32")&gt;=1,COUNTIF(D241:AG241,"=33")&gt;=1,COUNTIF(D241:AG241,"=34")&gt;=1,COUNTIF(D241:AG241,"=35")&gt;=1,COUNTIF(D241:AG241,"=36")&gt;=1 ),COUNTIF(D241:AG241,"")=0,COUNTIF(D241:AG241," ")=0,COUNTIF(D241:AG241,"F")=1),CONCATENATE(SUM(EXTRACTNUMBER(D241),EXTRACTNUMBER(F241),
EXTRACTNUMBER(H241),EXTRACTNUMBER(J241),
EXTRACTNUMBER(L241),EXTRACTNUMBER(N241),
EXTRACTNUMBER(P241),EXTRACTNUMBER(R241),
EXTRACTNUMBER(T241),EXTRACTNUMBER(V241),
EXTRACTNUMBER(X241),EXTRACTNUMBER(Z241),EXTRACTNUMBER(AB241),
EXTRACTNUMBER(AD241),EXTRACTNUMBER(AF241)),"*"),IF(AND(COUNTIF(D241:AG241,"=34")&gt;=1,COUNTIF(D241:AG241,"=35")&gt;=1,COUNTIF(D241:AG241,"f")=2,COUNTIF(D241:AG241,"")=0,COUNTIF(D241:AG241," ")=0),CONCATENATE(SUM(EXTRACTNUMBER(D241),EXTRACTNUMBER(F241),
EXTRACTNUMBER(H241),EXTRACTNUMBER(J241),
EXTRACTNUMBER(L241),EXTRACTNUMBER(N241),
EXTRACTNUMBER(P241),EXTRACTNUMBER(R241),
EXTRACTNUMBER(T241),EXTRACTNUMBER(V241),
EXTRACTNUMBER(X241),EXTRACTNUMBER(Z241),EXTRACTNUMBER(AB241),
EXTRACTNUMBER(AD241),EXTRACTNUMBER(AF241)),"*"),IF(AND(COUNTIF(D241:AG241,"=36")&gt;=2,COUNTIF(D241:AG241,"f")=2,COUNTIF(D241:AG241,"")=0,COUNTIF(D241:AG241," ")=0),CONCATENATE(SUM(EXTRACTNUMBER(D241),EXTRACTNUMBER(F241),
EXTRACTNUMBER(H241),EXTRACTNUMBER(J241),
EXTRACTNUMBER(L241),EXTRACTNUMBER(N241),
EXTRACTNUMBER(P241),EXTRACTNUMBER(R241),
EXTRACTNUMBER(T241),EXTRACTNUMBER(V241),
EXTRACTNUMBER(X241),EXTRACTNUMBER(Z241),EXTRACTNUMBER(AB241),
EXTRACTNUMBER(AD241),EXTRACTNUMBER(AF241)),"*"),SUM(EXTRACTNUMBER(D241),EXTRACTNUMBER(F241),
EXTRACTNUMBER(H241),EXTRACTNUMBER(J241),
EXTRACTNUMBER(L241),EXTRACTNUMBER(N241),
EXTRACTNUMBER(P241),EXTRACTNUMBER(R241),
EXTRACTNUMBER(T241),EXTRACTNUMBER(V241),
EXTRACTNUMBER(X241),EXTRACTNUMBER(Z241),EXTRACTNUMBER(AB241),
EXTRACTNUMBER(AD241),EXTRACTNUMBER(AF241))))),SUM(EXTRACTNUMBER(D241),EXTRACTNUMBER(F241),
EXTRACTNUMBER(H241),EXTRACTNUMBER(J241),
EXTRACTNUMBER(L241),EXTRACTNUMBER(N241),
EXTRACTNUMBER(P241),EXTRACTNUMBER(R241),
EXTRACTNUMBER(T241),EXTRACTNUMBER(V241),
EXTRACTNUMBER(X241),EXTRACTNUMBER(Z241),EXTRACTNUMBER(AB241),
EXTRACTNUMBER(AD241),EXTRACTNUMBER(AF241)))</f>
        <v>0</v>
      </c>
      <c r="AI241" s="38" t="str">
        <f t="shared" si="48"/>
        <v>ABSENT</v>
      </c>
      <c r="AJ241" s="28" t="str">
        <f>spellnumber(EXTRACTnUMBER_TOT(AH241))</f>
        <v xml:space="preserve"> </v>
      </c>
      <c r="AK241" s="9">
        <v>0</v>
      </c>
    </row>
    <row r="242" spans="2:37" ht="15" customHeight="1">
      <c r="B242" s="40" t="s">
        <v>356</v>
      </c>
      <c r="C242" s="42" t="s">
        <v>357</v>
      </c>
      <c r="D242" s="33">
        <v>11</v>
      </c>
      <c r="E242" s="34" t="str">
        <f t="shared" si="50"/>
        <v>F</v>
      </c>
      <c r="F242" s="35" t="s">
        <v>103</v>
      </c>
      <c r="G242" s="34" t="str">
        <f t="shared" si="51"/>
        <v/>
      </c>
      <c r="H242" s="36">
        <v>2</v>
      </c>
      <c r="I242" s="34" t="str">
        <f t="shared" si="52"/>
        <v>F</v>
      </c>
      <c r="J242" s="35" t="s">
        <v>103</v>
      </c>
      <c r="K242" s="34" t="str">
        <f t="shared" si="53"/>
        <v/>
      </c>
      <c r="L242" s="35" t="s">
        <v>103</v>
      </c>
      <c r="M242" s="34" t="str">
        <f t="shared" si="54"/>
        <v/>
      </c>
      <c r="N242" s="36" t="s">
        <v>103</v>
      </c>
      <c r="O242" s="34" t="str">
        <f t="shared" si="49"/>
        <v/>
      </c>
      <c r="P242" s="35" t="s">
        <v>103</v>
      </c>
      <c r="Q242" s="37" t="str">
        <f t="shared" si="55"/>
        <v/>
      </c>
      <c r="R242" s="33" t="s">
        <v>103</v>
      </c>
      <c r="S242" s="34" t="str">
        <f t="shared" si="56"/>
        <v/>
      </c>
      <c r="T242" s="35" t="s">
        <v>103</v>
      </c>
      <c r="U242" s="37" t="str">
        <f t="shared" si="57"/>
        <v/>
      </c>
      <c r="V242" s="33" t="s">
        <v>103</v>
      </c>
      <c r="W242" s="34" t="str">
        <f t="shared" si="58"/>
        <v/>
      </c>
      <c r="X242" s="35" t="s">
        <v>103</v>
      </c>
      <c r="Y242" s="37" t="str">
        <f t="shared" si="59"/>
        <v/>
      </c>
      <c r="Z242" s="35" t="s">
        <v>103</v>
      </c>
      <c r="AA242" s="37" t="str">
        <f t="shared" si="60"/>
        <v/>
      </c>
      <c r="AB242" s="33" t="s">
        <v>103</v>
      </c>
      <c r="AC242" s="34" t="str">
        <f t="shared" si="61"/>
        <v/>
      </c>
      <c r="AD242" s="35" t="s">
        <v>103</v>
      </c>
      <c r="AE242" s="34" t="str">
        <f t="shared" si="62"/>
        <v/>
      </c>
      <c r="AF242" s="35" t="s">
        <v>103</v>
      </c>
      <c r="AG242" s="37" t="str">
        <f t="shared" si="63"/>
        <v/>
      </c>
      <c r="AH242" s="4">
        <f>IF(OR(AND(D242&gt;=31,D242&lt;40),AND(H242&gt;=31,H242&lt;40),AND(N242&gt;=31,N242&lt;40),AND(R242&gt;=31,R242&lt;40),AND(V242&gt;=31,V242&lt;40),AND(AB242&gt;=31,AB242&lt;40)),IF(AND(OR(COUNTIF(D242:AG242,"=31")&gt;=1,COUNTIF(D242:AG242,"=32")&gt;=1,COUNTIF(D242:AG242,"=33")&gt;=1,COUNTIF(D242:AG242,"=34")&gt;=1,COUNTIF(D242:AG242,"=35")&gt;=1,COUNTIF(D242:AG242,"=36")&gt;=1 ),COUNTIF(D242:AG242,"")=0,COUNTIF(D242:AG242," ")=0,COUNTIF(D242:AG242,"F")=1),CONCATENATE(SUM(EXTRACTNUMBER(D242),EXTRACTNUMBER(F242),
EXTRACTNUMBER(H242),EXTRACTNUMBER(J242),
EXTRACTNUMBER(L242),EXTRACTNUMBER(N242),
EXTRACTNUMBER(P242),EXTRACTNUMBER(R242),
EXTRACTNUMBER(T242),EXTRACTNUMBER(V242),
EXTRACTNUMBER(X242),EXTRACTNUMBER(Z242),EXTRACTNUMBER(AB242),
EXTRACTNUMBER(AD242),EXTRACTNUMBER(AF242)),"*"),IF(AND(COUNTIF(D242:AG242,"=34")&gt;=1,COUNTIF(D242:AG242,"=35")&gt;=1,COUNTIF(D242:AG242,"f")=2,COUNTIF(D242:AG242,"")=0,COUNTIF(D242:AG242," ")=0),CONCATENATE(SUM(EXTRACTNUMBER(D242),EXTRACTNUMBER(F242),
EXTRACTNUMBER(H242),EXTRACTNUMBER(J242),
EXTRACTNUMBER(L242),EXTRACTNUMBER(N242),
EXTRACTNUMBER(P242),EXTRACTNUMBER(R242),
EXTRACTNUMBER(T242),EXTRACTNUMBER(V242),
EXTRACTNUMBER(X242),EXTRACTNUMBER(Z242),EXTRACTNUMBER(AB242),
EXTRACTNUMBER(AD242),EXTRACTNUMBER(AF242)),"*"),IF(AND(COUNTIF(D242:AG242,"=36")&gt;=2,COUNTIF(D242:AG242,"f")=2,COUNTIF(D242:AG242,"")=0,COUNTIF(D242:AG242," ")=0),CONCATENATE(SUM(EXTRACTNUMBER(D242),EXTRACTNUMBER(F242),
EXTRACTNUMBER(H242),EXTRACTNUMBER(J242),
EXTRACTNUMBER(L242),EXTRACTNUMBER(N242),
EXTRACTNUMBER(P242),EXTRACTNUMBER(R242),
EXTRACTNUMBER(T242),EXTRACTNUMBER(V242),
EXTRACTNUMBER(X242),EXTRACTNUMBER(Z242),EXTRACTNUMBER(AB242),
EXTRACTNUMBER(AD242),EXTRACTNUMBER(AF242)),"*"),SUM(EXTRACTNUMBER(D242),EXTRACTNUMBER(F242),
EXTRACTNUMBER(H242),EXTRACTNUMBER(J242),
EXTRACTNUMBER(L242),EXTRACTNUMBER(N242),
EXTRACTNUMBER(P242),EXTRACTNUMBER(R242),
EXTRACTNUMBER(T242),EXTRACTNUMBER(V242),
EXTRACTNUMBER(X242),EXTRACTNUMBER(Z242),EXTRACTNUMBER(AB242),
EXTRACTNUMBER(AD242),EXTRACTNUMBER(AF242))))),SUM(EXTRACTNUMBER(D242),EXTRACTNUMBER(F242),
EXTRACTNUMBER(H242),EXTRACTNUMBER(J242),
EXTRACTNUMBER(L242),EXTRACTNUMBER(N242),
EXTRACTNUMBER(P242),EXTRACTNUMBER(R242),
EXTRACTNUMBER(T242),EXTRACTNUMBER(V242),
EXTRACTNUMBER(X242),EXTRACTNUMBER(Z242),EXTRACTNUMBER(AB242),
EXTRACTNUMBER(AD242),EXTRACTNUMBER(AF242)))</f>
        <v>13</v>
      </c>
      <c r="AI242" s="38" t="s">
        <v>420</v>
      </c>
      <c r="AJ242" s="28" t="str">
        <f>spellnumber(EXTRACTnUMBER_TOT(AH242))</f>
        <v xml:space="preserve">Thirteen </v>
      </c>
      <c r="AK242" s="9">
        <v>13</v>
      </c>
    </row>
    <row r="243" spans="2:37" ht="15" customHeight="1">
      <c r="B243" s="40" t="s">
        <v>358</v>
      </c>
      <c r="C243" s="42" t="s">
        <v>359</v>
      </c>
      <c r="D243" s="33" t="s">
        <v>103</v>
      </c>
      <c r="E243" s="34" t="str">
        <f t="shared" si="50"/>
        <v/>
      </c>
      <c r="F243" s="35">
        <v>16</v>
      </c>
      <c r="G243" s="34" t="str">
        <f t="shared" si="51"/>
        <v>E</v>
      </c>
      <c r="H243" s="36" t="s">
        <v>103</v>
      </c>
      <c r="I243" s="34" t="str">
        <f t="shared" si="52"/>
        <v/>
      </c>
      <c r="J243" s="35">
        <v>20</v>
      </c>
      <c r="K243" s="34" t="str">
        <f t="shared" si="53"/>
        <v>E</v>
      </c>
      <c r="L243" s="35">
        <v>19</v>
      </c>
      <c r="M243" s="34" t="str">
        <f t="shared" si="54"/>
        <v>E</v>
      </c>
      <c r="N243" s="36" t="s">
        <v>103</v>
      </c>
      <c r="O243" s="34" t="str">
        <f t="shared" si="49"/>
        <v/>
      </c>
      <c r="P243" s="35">
        <v>16</v>
      </c>
      <c r="Q243" s="37" t="str">
        <f t="shared" si="55"/>
        <v>E</v>
      </c>
      <c r="R243" s="33" t="s">
        <v>103</v>
      </c>
      <c r="S243" s="34" t="str">
        <f t="shared" si="56"/>
        <v/>
      </c>
      <c r="T243" s="35">
        <v>21</v>
      </c>
      <c r="U243" s="37" t="str">
        <f t="shared" si="57"/>
        <v>E</v>
      </c>
      <c r="V243" s="33" t="s">
        <v>103</v>
      </c>
      <c r="W243" s="34" t="str">
        <f t="shared" si="58"/>
        <v/>
      </c>
      <c r="X243" s="35">
        <v>20</v>
      </c>
      <c r="Y243" s="37" t="str">
        <f t="shared" si="59"/>
        <v>E</v>
      </c>
      <c r="Z243" s="35">
        <v>20</v>
      </c>
      <c r="AA243" s="37" t="str">
        <f t="shared" si="60"/>
        <v>E</v>
      </c>
      <c r="AB243" s="33" t="s">
        <v>103</v>
      </c>
      <c r="AC243" s="34" t="str">
        <f t="shared" si="61"/>
        <v/>
      </c>
      <c r="AD243" s="35">
        <v>20</v>
      </c>
      <c r="AE243" s="34" t="str">
        <f t="shared" si="62"/>
        <v>E</v>
      </c>
      <c r="AF243" s="35">
        <v>40</v>
      </c>
      <c r="AG243" s="37" t="str">
        <f t="shared" si="63"/>
        <v>E</v>
      </c>
      <c r="AH243" s="4">
        <f>IF(OR(AND(D243&gt;=31,D243&lt;40),AND(H243&gt;=31,H243&lt;40),AND(N243&gt;=31,N243&lt;40),AND(R243&gt;=31,R243&lt;40),AND(V243&gt;=31,V243&lt;40),AND(AB243&gt;=31,AB243&lt;40)),IF(AND(OR(COUNTIF(D243:AG243,"=31")&gt;=1,COUNTIF(D243:AG243,"=32")&gt;=1,COUNTIF(D243:AG243,"=33")&gt;=1,COUNTIF(D243:AG243,"=34")&gt;=1,COUNTIF(D243:AG243,"=35")&gt;=1,COUNTIF(D243:AG243,"=36")&gt;=1 ),COUNTIF(D243:AG243,"")=0,COUNTIF(D243:AG243," ")=0,COUNTIF(D243:AG243,"F")=1),CONCATENATE(SUM(EXTRACTNUMBER(D243),EXTRACTNUMBER(F243),
EXTRACTNUMBER(H243),EXTRACTNUMBER(J243),
EXTRACTNUMBER(L243),EXTRACTNUMBER(N243),
EXTRACTNUMBER(P243),EXTRACTNUMBER(R243),
EXTRACTNUMBER(T243),EXTRACTNUMBER(V243),
EXTRACTNUMBER(X243),EXTRACTNUMBER(Z243),EXTRACTNUMBER(AB243),
EXTRACTNUMBER(AD243),EXTRACTNUMBER(AF243)),"*"),IF(AND(COUNTIF(D243:AG243,"=34")&gt;=1,COUNTIF(D243:AG243,"=35")&gt;=1,COUNTIF(D243:AG243,"f")=2,COUNTIF(D243:AG243,"")=0,COUNTIF(D243:AG243," ")=0),CONCATENATE(SUM(EXTRACTNUMBER(D243),EXTRACTNUMBER(F243),
EXTRACTNUMBER(H243),EXTRACTNUMBER(J243),
EXTRACTNUMBER(L243),EXTRACTNUMBER(N243),
EXTRACTNUMBER(P243),EXTRACTNUMBER(R243),
EXTRACTNUMBER(T243),EXTRACTNUMBER(V243),
EXTRACTNUMBER(X243),EXTRACTNUMBER(Z243),EXTRACTNUMBER(AB243),
EXTRACTNUMBER(AD243),EXTRACTNUMBER(AF243)),"*"),IF(AND(COUNTIF(D243:AG243,"=36")&gt;=2,COUNTIF(D243:AG243,"f")=2,COUNTIF(D243:AG243,"")=0,COUNTIF(D243:AG243," ")=0),CONCATENATE(SUM(EXTRACTNUMBER(D243),EXTRACTNUMBER(F243),
EXTRACTNUMBER(H243),EXTRACTNUMBER(J243),
EXTRACTNUMBER(L243),EXTRACTNUMBER(N243),
EXTRACTNUMBER(P243),EXTRACTNUMBER(R243),
EXTRACTNUMBER(T243),EXTRACTNUMBER(V243),
EXTRACTNUMBER(X243),EXTRACTNUMBER(Z243),EXTRACTNUMBER(AB243),
EXTRACTNUMBER(AD243),EXTRACTNUMBER(AF243)),"*"),SUM(EXTRACTNUMBER(D243),EXTRACTNUMBER(F243),
EXTRACTNUMBER(H243),EXTRACTNUMBER(J243),
EXTRACTNUMBER(L243),EXTRACTNUMBER(N243),
EXTRACTNUMBER(P243),EXTRACTNUMBER(R243),
EXTRACTNUMBER(T243),EXTRACTNUMBER(V243),
EXTRACTNUMBER(X243),EXTRACTNUMBER(Z243),EXTRACTNUMBER(AB243),
EXTRACTNUMBER(AD243),EXTRACTNUMBER(AF243))))),SUM(EXTRACTNUMBER(D243),EXTRACTNUMBER(F243),
EXTRACTNUMBER(H243),EXTRACTNUMBER(J243),
EXTRACTNUMBER(L243),EXTRACTNUMBER(N243),
EXTRACTNUMBER(P243),EXTRACTNUMBER(R243),
EXTRACTNUMBER(T243),EXTRACTNUMBER(V243),
EXTRACTNUMBER(X243),EXTRACTNUMBER(Z243),EXTRACTNUMBER(AB243),
EXTRACTNUMBER(AD243),EXTRACTNUMBER(AF243)))</f>
        <v>192</v>
      </c>
      <c r="AI243" s="38" t="str">
        <f t="shared" si="48"/>
        <v>FAIL</v>
      </c>
      <c r="AJ243" s="28" t="str">
        <f>spellnumber(EXTRACTnUMBER_TOT(AH243))</f>
        <v xml:space="preserve">One Hundred NinetyTwo </v>
      </c>
      <c r="AK243" s="9">
        <v>192</v>
      </c>
    </row>
    <row r="244" spans="2:37" ht="15" customHeight="1">
      <c r="B244" s="40" t="s">
        <v>360</v>
      </c>
      <c r="C244" s="42" t="s">
        <v>361</v>
      </c>
      <c r="D244" s="33">
        <v>15</v>
      </c>
      <c r="E244" s="34" t="str">
        <f t="shared" si="50"/>
        <v>F</v>
      </c>
      <c r="F244" s="35">
        <v>14</v>
      </c>
      <c r="G244" s="34" t="str">
        <f t="shared" si="51"/>
        <v>E</v>
      </c>
      <c r="H244" s="36">
        <v>50</v>
      </c>
      <c r="I244" s="34" t="str">
        <f t="shared" si="52"/>
        <v>E</v>
      </c>
      <c r="J244" s="35">
        <v>23</v>
      </c>
      <c r="K244" s="34" t="str">
        <f t="shared" si="53"/>
        <v>E</v>
      </c>
      <c r="L244" s="35">
        <v>18</v>
      </c>
      <c r="M244" s="34" t="str">
        <f t="shared" si="54"/>
        <v>E</v>
      </c>
      <c r="N244" s="36">
        <v>44</v>
      </c>
      <c r="O244" s="34" t="str">
        <f t="shared" si="49"/>
        <v>E</v>
      </c>
      <c r="P244" s="35">
        <v>14</v>
      </c>
      <c r="Q244" s="37" t="str">
        <f t="shared" si="55"/>
        <v>E</v>
      </c>
      <c r="R244" s="33">
        <v>40</v>
      </c>
      <c r="S244" s="34" t="str">
        <f t="shared" si="56"/>
        <v>E</v>
      </c>
      <c r="T244" s="35">
        <v>23</v>
      </c>
      <c r="U244" s="37" t="str">
        <f t="shared" si="57"/>
        <v>E</v>
      </c>
      <c r="V244" s="33">
        <v>26</v>
      </c>
      <c r="W244" s="34" t="str">
        <f t="shared" si="58"/>
        <v>F</v>
      </c>
      <c r="X244" s="35">
        <v>20</v>
      </c>
      <c r="Y244" s="37" t="str">
        <f t="shared" si="59"/>
        <v>E</v>
      </c>
      <c r="Z244" s="35">
        <v>20</v>
      </c>
      <c r="AA244" s="37" t="str">
        <f t="shared" si="60"/>
        <v>E</v>
      </c>
      <c r="AB244" s="33">
        <v>24</v>
      </c>
      <c r="AC244" s="34" t="str">
        <f t="shared" si="61"/>
        <v>F</v>
      </c>
      <c r="AD244" s="35">
        <v>14</v>
      </c>
      <c r="AE244" s="34" t="str">
        <f t="shared" si="62"/>
        <v>E</v>
      </c>
      <c r="AF244" s="35">
        <v>30</v>
      </c>
      <c r="AG244" s="37" t="str">
        <f t="shared" si="63"/>
        <v>E</v>
      </c>
      <c r="AH244" s="4">
        <f>IF(OR(AND(D244&gt;=31,D244&lt;40),AND(H244&gt;=31,H244&lt;40),AND(N244&gt;=31,N244&lt;40),AND(R244&gt;=31,R244&lt;40),AND(V244&gt;=31,V244&lt;40),AND(AB244&gt;=31,AB244&lt;40)),IF(AND(OR(COUNTIF(D244:AG244,"=31")&gt;=1,COUNTIF(D244:AG244,"=32")&gt;=1,COUNTIF(D244:AG244,"=33")&gt;=1,COUNTIF(D244:AG244,"=34")&gt;=1,COUNTIF(D244:AG244,"=35")&gt;=1,COUNTIF(D244:AG244,"=36")&gt;=1 ),COUNTIF(D244:AG244,"")=0,COUNTIF(D244:AG244," ")=0,COUNTIF(D244:AG244,"F")=1),CONCATENATE(SUM(EXTRACTNUMBER(D244),EXTRACTNUMBER(F244),
EXTRACTNUMBER(H244),EXTRACTNUMBER(J244),
EXTRACTNUMBER(L244),EXTRACTNUMBER(N244),
EXTRACTNUMBER(P244),EXTRACTNUMBER(R244),
EXTRACTNUMBER(T244),EXTRACTNUMBER(V244),
EXTRACTNUMBER(X244),EXTRACTNUMBER(Z244),EXTRACTNUMBER(AB244),
EXTRACTNUMBER(AD244),EXTRACTNUMBER(AF244)),"*"),IF(AND(COUNTIF(D244:AG244,"=34")&gt;=1,COUNTIF(D244:AG244,"=35")&gt;=1,COUNTIF(D244:AG244,"f")=2,COUNTIF(D244:AG244,"")=0,COUNTIF(D244:AG244," ")=0),CONCATENATE(SUM(EXTRACTNUMBER(D244),EXTRACTNUMBER(F244),
EXTRACTNUMBER(H244),EXTRACTNUMBER(J244),
EXTRACTNUMBER(L244),EXTRACTNUMBER(N244),
EXTRACTNUMBER(P244),EXTRACTNUMBER(R244),
EXTRACTNUMBER(T244),EXTRACTNUMBER(V244),
EXTRACTNUMBER(X244),EXTRACTNUMBER(Z244),EXTRACTNUMBER(AB244),
EXTRACTNUMBER(AD244),EXTRACTNUMBER(AF244)),"*"),IF(AND(COUNTIF(D244:AG244,"=36")&gt;=2,COUNTIF(D244:AG244,"f")=2,COUNTIF(D244:AG244,"")=0,COUNTIF(D244:AG244," ")=0),CONCATENATE(SUM(EXTRACTNUMBER(D244),EXTRACTNUMBER(F244),
EXTRACTNUMBER(H244),EXTRACTNUMBER(J244),
EXTRACTNUMBER(L244),EXTRACTNUMBER(N244),
EXTRACTNUMBER(P244),EXTRACTNUMBER(R244),
EXTRACTNUMBER(T244),EXTRACTNUMBER(V244),
EXTRACTNUMBER(X244),EXTRACTNUMBER(Z244),EXTRACTNUMBER(AB244),
EXTRACTNUMBER(AD244),EXTRACTNUMBER(AF244)),"*"),SUM(EXTRACTNUMBER(D244),EXTRACTNUMBER(F244),
EXTRACTNUMBER(H244),EXTRACTNUMBER(J244),
EXTRACTNUMBER(L244),EXTRACTNUMBER(N244),
EXTRACTNUMBER(P244),EXTRACTNUMBER(R244),
EXTRACTNUMBER(T244),EXTRACTNUMBER(V244),
EXTRACTNUMBER(X244),EXTRACTNUMBER(Z244),EXTRACTNUMBER(AB244),
EXTRACTNUMBER(AD244),EXTRACTNUMBER(AF244))))),SUM(EXTRACTNUMBER(D244),EXTRACTNUMBER(F244),
EXTRACTNUMBER(H244),EXTRACTNUMBER(J244),
EXTRACTNUMBER(L244),EXTRACTNUMBER(N244),
EXTRACTNUMBER(P244),EXTRACTNUMBER(R244),
EXTRACTNUMBER(T244),EXTRACTNUMBER(V244),
EXTRACTNUMBER(X244),EXTRACTNUMBER(Z244),EXTRACTNUMBER(AB244),
EXTRACTNUMBER(AD244),EXTRACTNUMBER(AF244)))</f>
        <v>375</v>
      </c>
      <c r="AI244" s="38" t="str">
        <f t="shared" si="48"/>
        <v>FAIL</v>
      </c>
      <c r="AJ244" s="28" t="str">
        <f>spellnumber(EXTRACTnUMBER_TOT(AH244))</f>
        <v xml:space="preserve">Three Hundred Seventy Five </v>
      </c>
      <c r="AK244" s="9">
        <v>375</v>
      </c>
    </row>
    <row r="245" spans="2:37" ht="15" customHeight="1">
      <c r="B245" s="40" t="s">
        <v>362</v>
      </c>
      <c r="C245" s="42" t="s">
        <v>363</v>
      </c>
      <c r="D245" s="33" t="s">
        <v>103</v>
      </c>
      <c r="E245" s="34" t="str">
        <f t="shared" si="50"/>
        <v/>
      </c>
      <c r="F245" s="35" t="s">
        <v>103</v>
      </c>
      <c r="G245" s="34" t="str">
        <f t="shared" si="51"/>
        <v/>
      </c>
      <c r="H245" s="36" t="s">
        <v>103</v>
      </c>
      <c r="I245" s="34" t="str">
        <f t="shared" si="52"/>
        <v/>
      </c>
      <c r="J245" s="35" t="s">
        <v>103</v>
      </c>
      <c r="K245" s="34" t="str">
        <f t="shared" si="53"/>
        <v/>
      </c>
      <c r="L245" s="35" t="s">
        <v>103</v>
      </c>
      <c r="M245" s="34" t="str">
        <f t="shared" si="54"/>
        <v/>
      </c>
      <c r="N245" s="36" t="s">
        <v>103</v>
      </c>
      <c r="O245" s="34" t="str">
        <f t="shared" si="49"/>
        <v/>
      </c>
      <c r="P245" s="35" t="s">
        <v>103</v>
      </c>
      <c r="Q245" s="37" t="str">
        <f t="shared" si="55"/>
        <v/>
      </c>
      <c r="R245" s="33" t="s">
        <v>103</v>
      </c>
      <c r="S245" s="34" t="str">
        <f t="shared" si="56"/>
        <v/>
      </c>
      <c r="T245" s="35" t="s">
        <v>103</v>
      </c>
      <c r="U245" s="37" t="str">
        <f t="shared" si="57"/>
        <v/>
      </c>
      <c r="V245" s="33" t="s">
        <v>103</v>
      </c>
      <c r="W245" s="34" t="str">
        <f t="shared" si="58"/>
        <v/>
      </c>
      <c r="X245" s="35" t="s">
        <v>103</v>
      </c>
      <c r="Y245" s="37" t="str">
        <f t="shared" si="59"/>
        <v/>
      </c>
      <c r="Z245" s="35" t="s">
        <v>103</v>
      </c>
      <c r="AA245" s="37" t="str">
        <f t="shared" si="60"/>
        <v/>
      </c>
      <c r="AB245" s="33" t="s">
        <v>103</v>
      </c>
      <c r="AC245" s="34" t="str">
        <f t="shared" si="61"/>
        <v/>
      </c>
      <c r="AD245" s="35" t="s">
        <v>103</v>
      </c>
      <c r="AE245" s="34" t="str">
        <f t="shared" si="62"/>
        <v/>
      </c>
      <c r="AF245" s="35" t="s">
        <v>103</v>
      </c>
      <c r="AG245" s="37" t="str">
        <f t="shared" si="63"/>
        <v/>
      </c>
      <c r="AH245" s="4">
        <f>IF(OR(AND(D245&gt;=31,D245&lt;40),AND(H245&gt;=31,H245&lt;40),AND(N245&gt;=31,N245&lt;40),AND(R245&gt;=31,R245&lt;40),AND(V245&gt;=31,V245&lt;40),AND(AB245&gt;=31,AB245&lt;40)),IF(AND(OR(COUNTIF(D245:AG245,"=31")&gt;=1,COUNTIF(D245:AG245,"=32")&gt;=1,COUNTIF(D245:AG245,"=33")&gt;=1,COUNTIF(D245:AG245,"=34")&gt;=1,COUNTIF(D245:AG245,"=35")&gt;=1,COUNTIF(D245:AG245,"=36")&gt;=1 ),COUNTIF(D245:AG245,"")=0,COUNTIF(D245:AG245," ")=0,COUNTIF(D245:AG245,"F")=1),CONCATENATE(SUM(EXTRACTNUMBER(D245),EXTRACTNUMBER(F245),
EXTRACTNUMBER(H245),EXTRACTNUMBER(J245),
EXTRACTNUMBER(L245),EXTRACTNUMBER(N245),
EXTRACTNUMBER(P245),EXTRACTNUMBER(R245),
EXTRACTNUMBER(T245),EXTRACTNUMBER(V245),
EXTRACTNUMBER(X245),EXTRACTNUMBER(Z245),EXTRACTNUMBER(AB245),
EXTRACTNUMBER(AD245),EXTRACTNUMBER(AF245)),"*"),IF(AND(COUNTIF(D245:AG245,"=34")&gt;=1,COUNTIF(D245:AG245,"=35")&gt;=1,COUNTIF(D245:AG245,"f")=2,COUNTIF(D245:AG245,"")=0,COUNTIF(D245:AG245," ")=0),CONCATENATE(SUM(EXTRACTNUMBER(D245),EXTRACTNUMBER(F245),
EXTRACTNUMBER(H245),EXTRACTNUMBER(J245),
EXTRACTNUMBER(L245),EXTRACTNUMBER(N245),
EXTRACTNUMBER(P245),EXTRACTNUMBER(R245),
EXTRACTNUMBER(T245),EXTRACTNUMBER(V245),
EXTRACTNUMBER(X245),EXTRACTNUMBER(Z245),EXTRACTNUMBER(AB245),
EXTRACTNUMBER(AD245),EXTRACTNUMBER(AF245)),"*"),IF(AND(COUNTIF(D245:AG245,"=36")&gt;=2,COUNTIF(D245:AG245,"f")=2,COUNTIF(D245:AG245,"")=0,COUNTIF(D245:AG245," ")=0),CONCATENATE(SUM(EXTRACTNUMBER(D245),EXTRACTNUMBER(F245),
EXTRACTNUMBER(H245),EXTRACTNUMBER(J245),
EXTRACTNUMBER(L245),EXTRACTNUMBER(N245),
EXTRACTNUMBER(P245),EXTRACTNUMBER(R245),
EXTRACTNUMBER(T245),EXTRACTNUMBER(V245),
EXTRACTNUMBER(X245),EXTRACTNUMBER(Z245),EXTRACTNUMBER(AB245),
EXTRACTNUMBER(AD245),EXTRACTNUMBER(AF245)),"*"),SUM(EXTRACTNUMBER(D245),EXTRACTNUMBER(F245),
EXTRACTNUMBER(H245),EXTRACTNUMBER(J245),
EXTRACTNUMBER(L245),EXTRACTNUMBER(N245),
EXTRACTNUMBER(P245),EXTRACTNUMBER(R245),
EXTRACTNUMBER(T245),EXTRACTNUMBER(V245),
EXTRACTNUMBER(X245),EXTRACTNUMBER(Z245),EXTRACTNUMBER(AB245),
EXTRACTNUMBER(AD245),EXTRACTNUMBER(AF245))))),SUM(EXTRACTNUMBER(D245),EXTRACTNUMBER(F245),
EXTRACTNUMBER(H245),EXTRACTNUMBER(J245),
EXTRACTNUMBER(L245),EXTRACTNUMBER(N245),
EXTRACTNUMBER(P245),EXTRACTNUMBER(R245),
EXTRACTNUMBER(T245),EXTRACTNUMBER(V245),
EXTRACTNUMBER(X245),EXTRACTNUMBER(Z245),EXTRACTNUMBER(AB245),
EXTRACTNUMBER(AD245),EXTRACTNUMBER(AF245)))</f>
        <v>0</v>
      </c>
      <c r="AI245" s="38" t="str">
        <f t="shared" si="48"/>
        <v>ABSENT</v>
      </c>
      <c r="AJ245" s="28" t="str">
        <f>spellnumber(EXTRACTnUMBER_TOT(AH245))</f>
        <v xml:space="preserve"> </v>
      </c>
      <c r="AK245" s="9">
        <v>0</v>
      </c>
    </row>
    <row r="246" spans="2:37" ht="15" customHeight="1">
      <c r="B246" s="40" t="s">
        <v>364</v>
      </c>
      <c r="C246" s="42" t="s">
        <v>365</v>
      </c>
      <c r="D246" s="33">
        <v>18</v>
      </c>
      <c r="E246" s="34" t="str">
        <f t="shared" si="50"/>
        <v>F</v>
      </c>
      <c r="F246" s="35">
        <v>15</v>
      </c>
      <c r="G246" s="34" t="str">
        <f t="shared" si="51"/>
        <v>E</v>
      </c>
      <c r="H246" s="36" t="s">
        <v>103</v>
      </c>
      <c r="I246" s="34" t="str">
        <f t="shared" si="52"/>
        <v/>
      </c>
      <c r="J246" s="35">
        <v>23</v>
      </c>
      <c r="K246" s="34" t="str">
        <f t="shared" si="53"/>
        <v>E</v>
      </c>
      <c r="L246" s="35">
        <v>18</v>
      </c>
      <c r="M246" s="34" t="str">
        <f t="shared" si="54"/>
        <v>E</v>
      </c>
      <c r="N246" s="36" t="s">
        <v>103</v>
      </c>
      <c r="O246" s="34" t="str">
        <f t="shared" si="49"/>
        <v/>
      </c>
      <c r="P246" s="35">
        <v>16</v>
      </c>
      <c r="Q246" s="37" t="str">
        <f t="shared" si="55"/>
        <v>E</v>
      </c>
      <c r="R246" s="33" t="s">
        <v>103</v>
      </c>
      <c r="S246" s="34" t="str">
        <f t="shared" si="56"/>
        <v/>
      </c>
      <c r="T246" s="35">
        <v>20</v>
      </c>
      <c r="U246" s="37" t="str">
        <f t="shared" si="57"/>
        <v>E</v>
      </c>
      <c r="V246" s="33" t="s">
        <v>103</v>
      </c>
      <c r="W246" s="34" t="str">
        <f t="shared" si="58"/>
        <v/>
      </c>
      <c r="X246" s="35">
        <v>21</v>
      </c>
      <c r="Y246" s="37" t="str">
        <f t="shared" si="59"/>
        <v>E</v>
      </c>
      <c r="Z246" s="35">
        <v>22</v>
      </c>
      <c r="AA246" s="37" t="str">
        <f t="shared" si="60"/>
        <v>E</v>
      </c>
      <c r="AB246" s="33" t="s">
        <v>103</v>
      </c>
      <c r="AC246" s="34" t="str">
        <f t="shared" si="61"/>
        <v/>
      </c>
      <c r="AD246" s="35">
        <v>14</v>
      </c>
      <c r="AE246" s="34" t="str">
        <f t="shared" si="62"/>
        <v>E</v>
      </c>
      <c r="AF246" s="35">
        <v>40</v>
      </c>
      <c r="AG246" s="37" t="str">
        <f t="shared" si="63"/>
        <v>E</v>
      </c>
      <c r="AH246" s="4">
        <f>IF(OR(AND(D246&gt;=31,D246&lt;40),AND(H246&gt;=31,H246&lt;40),AND(N246&gt;=31,N246&lt;40),AND(R246&gt;=31,R246&lt;40),AND(V246&gt;=31,V246&lt;40),AND(AB246&gt;=31,AB246&lt;40)),IF(AND(OR(COUNTIF(D246:AG246,"=31")&gt;=1,COUNTIF(D246:AG246,"=32")&gt;=1,COUNTIF(D246:AG246,"=33")&gt;=1,COUNTIF(D246:AG246,"=34")&gt;=1,COUNTIF(D246:AG246,"=35")&gt;=1,COUNTIF(D246:AG246,"=36")&gt;=1 ),COUNTIF(D246:AG246,"")=0,COUNTIF(D246:AG246," ")=0,COUNTIF(D246:AG246,"F")=1),CONCATENATE(SUM(EXTRACTNUMBER(D246),EXTRACTNUMBER(F246),
EXTRACTNUMBER(H246),EXTRACTNUMBER(J246),
EXTRACTNUMBER(L246),EXTRACTNUMBER(N246),
EXTRACTNUMBER(P246),EXTRACTNUMBER(R246),
EXTRACTNUMBER(T246),EXTRACTNUMBER(V246),
EXTRACTNUMBER(X246),EXTRACTNUMBER(Z246),EXTRACTNUMBER(AB246),
EXTRACTNUMBER(AD246),EXTRACTNUMBER(AF246)),"*"),IF(AND(COUNTIF(D246:AG246,"=34")&gt;=1,COUNTIF(D246:AG246,"=35")&gt;=1,COUNTIF(D246:AG246,"f")=2,COUNTIF(D246:AG246,"")=0,COUNTIF(D246:AG246," ")=0),CONCATENATE(SUM(EXTRACTNUMBER(D246),EXTRACTNUMBER(F246),
EXTRACTNUMBER(H246),EXTRACTNUMBER(J246),
EXTRACTNUMBER(L246),EXTRACTNUMBER(N246),
EXTRACTNUMBER(P246),EXTRACTNUMBER(R246),
EXTRACTNUMBER(T246),EXTRACTNUMBER(V246),
EXTRACTNUMBER(X246),EXTRACTNUMBER(Z246),EXTRACTNUMBER(AB246),
EXTRACTNUMBER(AD246),EXTRACTNUMBER(AF246)),"*"),IF(AND(COUNTIF(D246:AG246,"=36")&gt;=2,COUNTIF(D246:AG246,"f")=2,COUNTIF(D246:AG246,"")=0,COUNTIF(D246:AG246," ")=0),CONCATENATE(SUM(EXTRACTNUMBER(D246),EXTRACTNUMBER(F246),
EXTRACTNUMBER(H246),EXTRACTNUMBER(J246),
EXTRACTNUMBER(L246),EXTRACTNUMBER(N246),
EXTRACTNUMBER(P246),EXTRACTNUMBER(R246),
EXTRACTNUMBER(T246),EXTRACTNUMBER(V246),
EXTRACTNUMBER(X246),EXTRACTNUMBER(Z246),EXTRACTNUMBER(AB246),
EXTRACTNUMBER(AD246),EXTRACTNUMBER(AF246)),"*"),SUM(EXTRACTNUMBER(D246),EXTRACTNUMBER(F246),
EXTRACTNUMBER(H246),EXTRACTNUMBER(J246),
EXTRACTNUMBER(L246),EXTRACTNUMBER(N246),
EXTRACTNUMBER(P246),EXTRACTNUMBER(R246),
EXTRACTNUMBER(T246),EXTRACTNUMBER(V246),
EXTRACTNUMBER(X246),EXTRACTNUMBER(Z246),EXTRACTNUMBER(AB246),
EXTRACTNUMBER(AD246),EXTRACTNUMBER(AF246))))),SUM(EXTRACTNUMBER(D246),EXTRACTNUMBER(F246),
EXTRACTNUMBER(H246),EXTRACTNUMBER(J246),
EXTRACTNUMBER(L246),EXTRACTNUMBER(N246),
EXTRACTNUMBER(P246),EXTRACTNUMBER(R246),
EXTRACTNUMBER(T246),EXTRACTNUMBER(V246),
EXTRACTNUMBER(X246),EXTRACTNUMBER(Z246),EXTRACTNUMBER(AB246),
EXTRACTNUMBER(AD246),EXTRACTNUMBER(AF246)))</f>
        <v>207</v>
      </c>
      <c r="AI246" s="38" t="str">
        <f t="shared" si="48"/>
        <v>FAIL</v>
      </c>
      <c r="AJ246" s="28" t="str">
        <f>spellnumber(EXTRACTnUMBER_TOT(AH246))</f>
        <v xml:space="preserve">Two Hundred Seven </v>
      </c>
      <c r="AK246" s="9">
        <v>207</v>
      </c>
    </row>
    <row r="247" spans="2:37" ht="15" customHeight="1">
      <c r="B247" s="40" t="s">
        <v>366</v>
      </c>
      <c r="C247" s="42" t="s">
        <v>367</v>
      </c>
      <c r="D247" s="33" t="s">
        <v>103</v>
      </c>
      <c r="E247" s="34" t="str">
        <f t="shared" si="50"/>
        <v/>
      </c>
      <c r="F247" s="35">
        <v>12</v>
      </c>
      <c r="G247" s="34" t="str">
        <f t="shared" si="51"/>
        <v>E</v>
      </c>
      <c r="H247" s="36">
        <v>12</v>
      </c>
      <c r="I247" s="34" t="str">
        <f t="shared" si="52"/>
        <v>F</v>
      </c>
      <c r="J247" s="35">
        <v>15</v>
      </c>
      <c r="K247" s="34" t="str">
        <f t="shared" si="53"/>
        <v>E</v>
      </c>
      <c r="L247" s="35" t="s">
        <v>103</v>
      </c>
      <c r="M247" s="34" t="str">
        <f t="shared" si="54"/>
        <v/>
      </c>
      <c r="N247" s="36">
        <v>10</v>
      </c>
      <c r="O247" s="34" t="str">
        <f t="shared" si="49"/>
        <v>F</v>
      </c>
      <c r="P247" s="35">
        <v>13</v>
      </c>
      <c r="Q247" s="37" t="str">
        <f t="shared" si="55"/>
        <v>E</v>
      </c>
      <c r="R247" s="33">
        <v>3</v>
      </c>
      <c r="S247" s="34" t="str">
        <f t="shared" si="56"/>
        <v>F</v>
      </c>
      <c r="T247" s="35">
        <v>13</v>
      </c>
      <c r="U247" s="37" t="str">
        <f t="shared" si="57"/>
        <v>E</v>
      </c>
      <c r="V247" s="33">
        <v>8</v>
      </c>
      <c r="W247" s="34" t="str">
        <f t="shared" si="58"/>
        <v>F</v>
      </c>
      <c r="X247" s="35">
        <v>13</v>
      </c>
      <c r="Y247" s="37" t="str">
        <f t="shared" si="59"/>
        <v>E</v>
      </c>
      <c r="Z247" s="35" t="s">
        <v>103</v>
      </c>
      <c r="AA247" s="37" t="str">
        <f t="shared" si="60"/>
        <v/>
      </c>
      <c r="AB247" s="33">
        <v>0</v>
      </c>
      <c r="AC247" s="34" t="str">
        <f t="shared" si="61"/>
        <v>F</v>
      </c>
      <c r="AD247" s="35">
        <v>12</v>
      </c>
      <c r="AE247" s="34" t="str">
        <f t="shared" si="62"/>
        <v>E</v>
      </c>
      <c r="AF247" s="35">
        <v>30</v>
      </c>
      <c r="AG247" s="37" t="str">
        <f t="shared" si="63"/>
        <v>E</v>
      </c>
      <c r="AH247" s="4">
        <f>IF(OR(AND(D247&gt;=31,D247&lt;40),AND(H247&gt;=31,H247&lt;40),AND(N247&gt;=31,N247&lt;40),AND(R247&gt;=31,R247&lt;40),AND(V247&gt;=31,V247&lt;40),AND(AB247&gt;=31,AB247&lt;40)),IF(AND(OR(COUNTIF(D247:AG247,"=31")&gt;=1,COUNTIF(D247:AG247,"=32")&gt;=1,COUNTIF(D247:AG247,"=33")&gt;=1,COUNTIF(D247:AG247,"=34")&gt;=1,COUNTIF(D247:AG247,"=35")&gt;=1,COUNTIF(D247:AG247,"=36")&gt;=1 ),COUNTIF(D247:AG247,"")=0,COUNTIF(D247:AG247," ")=0,COUNTIF(D247:AG247,"F")=1),CONCATENATE(SUM(EXTRACTNUMBER(D247),EXTRACTNUMBER(F247),
EXTRACTNUMBER(H247),EXTRACTNUMBER(J247),
EXTRACTNUMBER(L247),EXTRACTNUMBER(N247),
EXTRACTNUMBER(P247),EXTRACTNUMBER(R247),
EXTRACTNUMBER(T247),EXTRACTNUMBER(V247),
EXTRACTNUMBER(X247),EXTRACTNUMBER(Z247),EXTRACTNUMBER(AB247),
EXTRACTNUMBER(AD247),EXTRACTNUMBER(AF247)),"*"),IF(AND(COUNTIF(D247:AG247,"=34")&gt;=1,COUNTIF(D247:AG247,"=35")&gt;=1,COUNTIF(D247:AG247,"f")=2,COUNTIF(D247:AG247,"")=0,COUNTIF(D247:AG247," ")=0),CONCATENATE(SUM(EXTRACTNUMBER(D247),EXTRACTNUMBER(F247),
EXTRACTNUMBER(H247),EXTRACTNUMBER(J247),
EXTRACTNUMBER(L247),EXTRACTNUMBER(N247),
EXTRACTNUMBER(P247),EXTRACTNUMBER(R247),
EXTRACTNUMBER(T247),EXTRACTNUMBER(V247),
EXTRACTNUMBER(X247),EXTRACTNUMBER(Z247),EXTRACTNUMBER(AB247),
EXTRACTNUMBER(AD247),EXTRACTNUMBER(AF247)),"*"),IF(AND(COUNTIF(D247:AG247,"=36")&gt;=2,COUNTIF(D247:AG247,"f")=2,COUNTIF(D247:AG247,"")=0,COUNTIF(D247:AG247," ")=0),CONCATENATE(SUM(EXTRACTNUMBER(D247),EXTRACTNUMBER(F247),
EXTRACTNUMBER(H247),EXTRACTNUMBER(J247),
EXTRACTNUMBER(L247),EXTRACTNUMBER(N247),
EXTRACTNUMBER(P247),EXTRACTNUMBER(R247),
EXTRACTNUMBER(T247),EXTRACTNUMBER(V247),
EXTRACTNUMBER(X247),EXTRACTNUMBER(Z247),EXTRACTNUMBER(AB247),
EXTRACTNUMBER(AD247),EXTRACTNUMBER(AF247)),"*"),SUM(EXTRACTNUMBER(D247),EXTRACTNUMBER(F247),
EXTRACTNUMBER(H247),EXTRACTNUMBER(J247),
EXTRACTNUMBER(L247),EXTRACTNUMBER(N247),
EXTRACTNUMBER(P247),EXTRACTNUMBER(R247),
EXTRACTNUMBER(T247),EXTRACTNUMBER(V247),
EXTRACTNUMBER(X247),EXTRACTNUMBER(Z247),EXTRACTNUMBER(AB247),
EXTRACTNUMBER(AD247),EXTRACTNUMBER(AF247))))),SUM(EXTRACTNUMBER(D247),EXTRACTNUMBER(F247),
EXTRACTNUMBER(H247),EXTRACTNUMBER(J247),
EXTRACTNUMBER(L247),EXTRACTNUMBER(N247),
EXTRACTNUMBER(P247),EXTRACTNUMBER(R247),
EXTRACTNUMBER(T247),EXTRACTNUMBER(V247),
EXTRACTNUMBER(X247),EXTRACTNUMBER(Z247),EXTRACTNUMBER(AB247),
EXTRACTNUMBER(AD247),EXTRACTNUMBER(AF247)))</f>
        <v>141</v>
      </c>
      <c r="AI247" s="38" t="str">
        <f t="shared" si="48"/>
        <v>FAIL</v>
      </c>
      <c r="AJ247" s="28" t="str">
        <f>spellnumber(EXTRACTnUMBER_TOT(AH247))</f>
        <v xml:space="preserve">One Hundred Forty One </v>
      </c>
      <c r="AK247" s="9">
        <v>141</v>
      </c>
    </row>
    <row r="248" spans="2:37" ht="15" customHeight="1">
      <c r="B248" s="40" t="s">
        <v>368</v>
      </c>
      <c r="C248" s="42" t="s">
        <v>369</v>
      </c>
      <c r="D248" s="33" t="s">
        <v>103</v>
      </c>
      <c r="E248" s="34" t="str">
        <f t="shared" si="50"/>
        <v/>
      </c>
      <c r="F248" s="35" t="s">
        <v>103</v>
      </c>
      <c r="G248" s="34" t="str">
        <f t="shared" si="51"/>
        <v/>
      </c>
      <c r="H248" s="36" t="s">
        <v>103</v>
      </c>
      <c r="I248" s="34" t="str">
        <f t="shared" si="52"/>
        <v/>
      </c>
      <c r="J248" s="35" t="s">
        <v>103</v>
      </c>
      <c r="K248" s="34" t="str">
        <f t="shared" si="53"/>
        <v/>
      </c>
      <c r="L248" s="35" t="s">
        <v>103</v>
      </c>
      <c r="M248" s="34" t="str">
        <f t="shared" si="54"/>
        <v/>
      </c>
      <c r="N248" s="36" t="s">
        <v>103</v>
      </c>
      <c r="O248" s="34" t="str">
        <f t="shared" si="49"/>
        <v/>
      </c>
      <c r="P248" s="35" t="s">
        <v>103</v>
      </c>
      <c r="Q248" s="37" t="str">
        <f t="shared" si="55"/>
        <v/>
      </c>
      <c r="R248" s="33" t="s">
        <v>103</v>
      </c>
      <c r="S248" s="34" t="str">
        <f t="shared" si="56"/>
        <v/>
      </c>
      <c r="T248" s="35" t="s">
        <v>103</v>
      </c>
      <c r="U248" s="37" t="str">
        <f t="shared" si="57"/>
        <v/>
      </c>
      <c r="V248" s="33" t="s">
        <v>103</v>
      </c>
      <c r="W248" s="34" t="str">
        <f t="shared" si="58"/>
        <v/>
      </c>
      <c r="X248" s="35" t="s">
        <v>103</v>
      </c>
      <c r="Y248" s="37" t="str">
        <f t="shared" si="59"/>
        <v/>
      </c>
      <c r="Z248" s="35" t="s">
        <v>103</v>
      </c>
      <c r="AA248" s="37" t="str">
        <f t="shared" si="60"/>
        <v/>
      </c>
      <c r="AB248" s="33" t="s">
        <v>103</v>
      </c>
      <c r="AC248" s="34" t="str">
        <f t="shared" si="61"/>
        <v/>
      </c>
      <c r="AD248" s="35" t="s">
        <v>103</v>
      </c>
      <c r="AE248" s="34" t="str">
        <f t="shared" si="62"/>
        <v/>
      </c>
      <c r="AF248" s="35" t="s">
        <v>103</v>
      </c>
      <c r="AG248" s="37" t="str">
        <f t="shared" si="63"/>
        <v/>
      </c>
      <c r="AH248" s="4">
        <f>IF(OR(AND(D248&gt;=31,D248&lt;40),AND(H248&gt;=31,H248&lt;40),AND(N248&gt;=31,N248&lt;40),AND(R248&gt;=31,R248&lt;40),AND(V248&gt;=31,V248&lt;40),AND(AB248&gt;=31,AB248&lt;40)),IF(AND(OR(COUNTIF(D248:AG248,"=31")&gt;=1,COUNTIF(D248:AG248,"=32")&gt;=1,COUNTIF(D248:AG248,"=33")&gt;=1,COUNTIF(D248:AG248,"=34")&gt;=1,COUNTIF(D248:AG248,"=35")&gt;=1,COUNTIF(D248:AG248,"=36")&gt;=1 ),COUNTIF(D248:AG248,"")=0,COUNTIF(D248:AG248," ")=0,COUNTIF(D248:AG248,"F")=1),CONCATENATE(SUM(EXTRACTNUMBER(D248),EXTRACTNUMBER(F248),
EXTRACTNUMBER(H248),EXTRACTNUMBER(J248),
EXTRACTNUMBER(L248),EXTRACTNUMBER(N248),
EXTRACTNUMBER(P248),EXTRACTNUMBER(R248),
EXTRACTNUMBER(T248),EXTRACTNUMBER(V248),
EXTRACTNUMBER(X248),EXTRACTNUMBER(Z248),EXTRACTNUMBER(AB248),
EXTRACTNUMBER(AD248),EXTRACTNUMBER(AF248)),"*"),IF(AND(COUNTIF(D248:AG248,"=34")&gt;=1,COUNTIF(D248:AG248,"=35")&gt;=1,COUNTIF(D248:AG248,"f")=2,COUNTIF(D248:AG248,"")=0,COUNTIF(D248:AG248," ")=0),CONCATENATE(SUM(EXTRACTNUMBER(D248),EXTRACTNUMBER(F248),
EXTRACTNUMBER(H248),EXTRACTNUMBER(J248),
EXTRACTNUMBER(L248),EXTRACTNUMBER(N248),
EXTRACTNUMBER(P248),EXTRACTNUMBER(R248),
EXTRACTNUMBER(T248),EXTRACTNUMBER(V248),
EXTRACTNUMBER(X248),EXTRACTNUMBER(Z248),EXTRACTNUMBER(AB248),
EXTRACTNUMBER(AD248),EXTRACTNUMBER(AF248)),"*"),IF(AND(COUNTIF(D248:AG248,"=36")&gt;=2,COUNTIF(D248:AG248,"f")=2,COUNTIF(D248:AG248,"")=0,COUNTIF(D248:AG248," ")=0),CONCATENATE(SUM(EXTRACTNUMBER(D248),EXTRACTNUMBER(F248),
EXTRACTNUMBER(H248),EXTRACTNUMBER(J248),
EXTRACTNUMBER(L248),EXTRACTNUMBER(N248),
EXTRACTNUMBER(P248),EXTRACTNUMBER(R248),
EXTRACTNUMBER(T248),EXTRACTNUMBER(V248),
EXTRACTNUMBER(X248),EXTRACTNUMBER(Z248),EXTRACTNUMBER(AB248),
EXTRACTNUMBER(AD248),EXTRACTNUMBER(AF248)),"*"),SUM(EXTRACTNUMBER(D248),EXTRACTNUMBER(F248),
EXTRACTNUMBER(H248),EXTRACTNUMBER(J248),
EXTRACTNUMBER(L248),EXTRACTNUMBER(N248),
EXTRACTNUMBER(P248),EXTRACTNUMBER(R248),
EXTRACTNUMBER(T248),EXTRACTNUMBER(V248),
EXTRACTNUMBER(X248),EXTRACTNUMBER(Z248),EXTRACTNUMBER(AB248),
EXTRACTNUMBER(AD248),EXTRACTNUMBER(AF248))))),SUM(EXTRACTNUMBER(D248),EXTRACTNUMBER(F248),
EXTRACTNUMBER(H248),EXTRACTNUMBER(J248),
EXTRACTNUMBER(L248),EXTRACTNUMBER(N248),
EXTRACTNUMBER(P248),EXTRACTNUMBER(R248),
EXTRACTNUMBER(T248),EXTRACTNUMBER(V248),
EXTRACTNUMBER(X248),EXTRACTNUMBER(Z248),EXTRACTNUMBER(AB248),
EXTRACTNUMBER(AD248),EXTRACTNUMBER(AF248)))</f>
        <v>0</v>
      </c>
      <c r="AI248" s="38" t="str">
        <f t="shared" si="48"/>
        <v>ABSENT</v>
      </c>
      <c r="AJ248" s="28" t="str">
        <f>spellnumber(EXTRACTnUMBER_TOT(AH248))</f>
        <v xml:space="preserve"> </v>
      </c>
      <c r="AK248" s="9">
        <v>0</v>
      </c>
    </row>
    <row r="249" spans="2:37" ht="15" customHeight="1">
      <c r="B249" s="40" t="s">
        <v>370</v>
      </c>
      <c r="C249" s="42" t="s">
        <v>371</v>
      </c>
      <c r="D249" s="33" t="s">
        <v>103</v>
      </c>
      <c r="E249" s="34" t="str">
        <f t="shared" si="50"/>
        <v/>
      </c>
      <c r="F249" s="35" t="s">
        <v>103</v>
      </c>
      <c r="G249" s="34" t="str">
        <f t="shared" si="51"/>
        <v/>
      </c>
      <c r="H249" s="36" t="s">
        <v>103</v>
      </c>
      <c r="I249" s="34" t="str">
        <f t="shared" si="52"/>
        <v/>
      </c>
      <c r="J249" s="35" t="s">
        <v>103</v>
      </c>
      <c r="K249" s="34" t="str">
        <f t="shared" si="53"/>
        <v/>
      </c>
      <c r="L249" s="35" t="s">
        <v>103</v>
      </c>
      <c r="M249" s="34" t="str">
        <f t="shared" si="54"/>
        <v/>
      </c>
      <c r="N249" s="36" t="s">
        <v>103</v>
      </c>
      <c r="O249" s="34" t="str">
        <f t="shared" si="49"/>
        <v/>
      </c>
      <c r="P249" s="35" t="s">
        <v>103</v>
      </c>
      <c r="Q249" s="37" t="str">
        <f t="shared" si="55"/>
        <v/>
      </c>
      <c r="R249" s="33" t="s">
        <v>103</v>
      </c>
      <c r="S249" s="34" t="str">
        <f t="shared" si="56"/>
        <v/>
      </c>
      <c r="T249" s="35" t="s">
        <v>103</v>
      </c>
      <c r="U249" s="37" t="str">
        <f t="shared" si="57"/>
        <v/>
      </c>
      <c r="V249" s="33" t="s">
        <v>103</v>
      </c>
      <c r="W249" s="34" t="str">
        <f t="shared" si="58"/>
        <v/>
      </c>
      <c r="X249" s="35" t="s">
        <v>103</v>
      </c>
      <c r="Y249" s="37" t="str">
        <f t="shared" si="59"/>
        <v/>
      </c>
      <c r="Z249" s="35" t="s">
        <v>103</v>
      </c>
      <c r="AA249" s="37" t="str">
        <f t="shared" si="60"/>
        <v/>
      </c>
      <c r="AB249" s="33" t="s">
        <v>103</v>
      </c>
      <c r="AC249" s="34" t="str">
        <f t="shared" si="61"/>
        <v/>
      </c>
      <c r="AD249" s="35" t="s">
        <v>103</v>
      </c>
      <c r="AE249" s="34" t="str">
        <f t="shared" si="62"/>
        <v/>
      </c>
      <c r="AF249" s="35" t="s">
        <v>103</v>
      </c>
      <c r="AG249" s="37" t="str">
        <f t="shared" si="63"/>
        <v/>
      </c>
      <c r="AH249" s="4">
        <f>IF(OR(AND(D249&gt;=31,D249&lt;40),AND(H249&gt;=31,H249&lt;40),AND(N249&gt;=31,N249&lt;40),AND(R249&gt;=31,R249&lt;40),AND(V249&gt;=31,V249&lt;40),AND(AB249&gt;=31,AB249&lt;40)),IF(AND(OR(COUNTIF(D249:AG249,"=31")&gt;=1,COUNTIF(D249:AG249,"=32")&gt;=1,COUNTIF(D249:AG249,"=33")&gt;=1,COUNTIF(D249:AG249,"=34")&gt;=1,COUNTIF(D249:AG249,"=35")&gt;=1,COUNTIF(D249:AG249,"=36")&gt;=1 ),COUNTIF(D249:AG249,"")=0,COUNTIF(D249:AG249," ")=0,COUNTIF(D249:AG249,"F")=1),CONCATENATE(SUM(EXTRACTNUMBER(D249),EXTRACTNUMBER(F249),
EXTRACTNUMBER(H249),EXTRACTNUMBER(J249),
EXTRACTNUMBER(L249),EXTRACTNUMBER(N249),
EXTRACTNUMBER(P249),EXTRACTNUMBER(R249),
EXTRACTNUMBER(T249),EXTRACTNUMBER(V249),
EXTRACTNUMBER(X249),EXTRACTNUMBER(Z249),EXTRACTNUMBER(AB249),
EXTRACTNUMBER(AD249),EXTRACTNUMBER(AF249)),"*"),IF(AND(COUNTIF(D249:AG249,"=34")&gt;=1,COUNTIF(D249:AG249,"=35")&gt;=1,COUNTIF(D249:AG249,"f")=2,COUNTIF(D249:AG249,"")=0,COUNTIF(D249:AG249," ")=0),CONCATENATE(SUM(EXTRACTNUMBER(D249),EXTRACTNUMBER(F249),
EXTRACTNUMBER(H249),EXTRACTNUMBER(J249),
EXTRACTNUMBER(L249),EXTRACTNUMBER(N249),
EXTRACTNUMBER(P249),EXTRACTNUMBER(R249),
EXTRACTNUMBER(T249),EXTRACTNUMBER(V249),
EXTRACTNUMBER(X249),EXTRACTNUMBER(Z249),EXTRACTNUMBER(AB249),
EXTRACTNUMBER(AD249),EXTRACTNUMBER(AF249)),"*"),IF(AND(COUNTIF(D249:AG249,"=36")&gt;=2,COUNTIF(D249:AG249,"f")=2,COUNTIF(D249:AG249,"")=0,COUNTIF(D249:AG249," ")=0),CONCATENATE(SUM(EXTRACTNUMBER(D249),EXTRACTNUMBER(F249),
EXTRACTNUMBER(H249),EXTRACTNUMBER(J249),
EXTRACTNUMBER(L249),EXTRACTNUMBER(N249),
EXTRACTNUMBER(P249),EXTRACTNUMBER(R249),
EXTRACTNUMBER(T249),EXTRACTNUMBER(V249),
EXTRACTNUMBER(X249),EXTRACTNUMBER(Z249),EXTRACTNUMBER(AB249),
EXTRACTNUMBER(AD249),EXTRACTNUMBER(AF249)),"*"),SUM(EXTRACTNUMBER(D249),EXTRACTNUMBER(F249),
EXTRACTNUMBER(H249),EXTRACTNUMBER(J249),
EXTRACTNUMBER(L249),EXTRACTNUMBER(N249),
EXTRACTNUMBER(P249),EXTRACTNUMBER(R249),
EXTRACTNUMBER(T249),EXTRACTNUMBER(V249),
EXTRACTNUMBER(X249),EXTRACTNUMBER(Z249),EXTRACTNUMBER(AB249),
EXTRACTNUMBER(AD249),EXTRACTNUMBER(AF249))))),SUM(EXTRACTNUMBER(D249),EXTRACTNUMBER(F249),
EXTRACTNUMBER(H249),EXTRACTNUMBER(J249),
EXTRACTNUMBER(L249),EXTRACTNUMBER(N249),
EXTRACTNUMBER(P249),EXTRACTNUMBER(R249),
EXTRACTNUMBER(T249),EXTRACTNUMBER(V249),
EXTRACTNUMBER(X249),EXTRACTNUMBER(Z249),EXTRACTNUMBER(AB249),
EXTRACTNUMBER(AD249),EXTRACTNUMBER(AF249)))</f>
        <v>0</v>
      </c>
      <c r="AI249" s="38" t="str">
        <f t="shared" si="48"/>
        <v>ABSENT</v>
      </c>
      <c r="AJ249" s="28" t="str">
        <f>spellnumber(EXTRACTnUMBER_TOT(AH249))</f>
        <v xml:space="preserve"> </v>
      </c>
      <c r="AK249" s="9">
        <v>0</v>
      </c>
    </row>
    <row r="250" spans="2:37" ht="15" customHeight="1">
      <c r="B250" s="40" t="s">
        <v>372</v>
      </c>
      <c r="C250" s="42" t="s">
        <v>373</v>
      </c>
      <c r="D250" s="33">
        <v>0</v>
      </c>
      <c r="E250" s="34" t="str">
        <f t="shared" si="50"/>
        <v>F</v>
      </c>
      <c r="F250" s="35">
        <v>10</v>
      </c>
      <c r="G250" s="34" t="str">
        <f t="shared" si="51"/>
        <v>E</v>
      </c>
      <c r="H250" s="36">
        <v>40</v>
      </c>
      <c r="I250" s="34" t="str">
        <f t="shared" si="52"/>
        <v>E</v>
      </c>
      <c r="J250" s="35">
        <v>16</v>
      </c>
      <c r="K250" s="34" t="str">
        <f t="shared" si="53"/>
        <v>E</v>
      </c>
      <c r="L250" s="35">
        <v>19</v>
      </c>
      <c r="M250" s="34" t="str">
        <f t="shared" si="54"/>
        <v>E</v>
      </c>
      <c r="N250" s="36">
        <v>10</v>
      </c>
      <c r="O250" s="34" t="str">
        <f t="shared" si="49"/>
        <v>F</v>
      </c>
      <c r="P250" s="35">
        <v>10</v>
      </c>
      <c r="Q250" s="37" t="str">
        <f t="shared" si="55"/>
        <v>E</v>
      </c>
      <c r="R250" s="33">
        <v>15</v>
      </c>
      <c r="S250" s="34" t="str">
        <f t="shared" si="56"/>
        <v>F</v>
      </c>
      <c r="T250" s="35">
        <v>20</v>
      </c>
      <c r="U250" s="37" t="str">
        <f t="shared" si="57"/>
        <v>E</v>
      </c>
      <c r="V250" s="33">
        <v>1</v>
      </c>
      <c r="W250" s="34" t="str">
        <f t="shared" si="58"/>
        <v>F</v>
      </c>
      <c r="X250" s="35">
        <v>10</v>
      </c>
      <c r="Y250" s="37" t="str">
        <f t="shared" si="59"/>
        <v>E</v>
      </c>
      <c r="Z250" s="35">
        <v>12</v>
      </c>
      <c r="AA250" s="37" t="str">
        <f t="shared" si="60"/>
        <v>E</v>
      </c>
      <c r="AB250" s="33">
        <v>3</v>
      </c>
      <c r="AC250" s="34" t="str">
        <f t="shared" si="61"/>
        <v>F</v>
      </c>
      <c r="AD250" s="35">
        <v>10</v>
      </c>
      <c r="AE250" s="34" t="str">
        <f t="shared" si="62"/>
        <v>E</v>
      </c>
      <c r="AF250" s="35">
        <v>33</v>
      </c>
      <c r="AG250" s="37" t="str">
        <f t="shared" si="63"/>
        <v>E</v>
      </c>
      <c r="AH250" s="4">
        <f>IF(OR(AND(D250&gt;=31,D250&lt;40),AND(H250&gt;=31,H250&lt;40),AND(N250&gt;=31,N250&lt;40),AND(R250&gt;=31,R250&lt;40),AND(V250&gt;=31,V250&lt;40),AND(AB250&gt;=31,AB250&lt;40)),IF(AND(OR(COUNTIF(D250:AG250,"=31")&gt;=1,COUNTIF(D250:AG250,"=32")&gt;=1,COUNTIF(D250:AG250,"=33")&gt;=1,COUNTIF(D250:AG250,"=34")&gt;=1,COUNTIF(D250:AG250,"=35")&gt;=1,COUNTIF(D250:AG250,"=36")&gt;=1 ),COUNTIF(D250:AG250,"")=0,COUNTIF(D250:AG250," ")=0,COUNTIF(D250:AG250,"F")=1),CONCATENATE(SUM(EXTRACTNUMBER(D250),EXTRACTNUMBER(F250),
EXTRACTNUMBER(H250),EXTRACTNUMBER(J250),
EXTRACTNUMBER(L250),EXTRACTNUMBER(N250),
EXTRACTNUMBER(P250),EXTRACTNUMBER(R250),
EXTRACTNUMBER(T250),EXTRACTNUMBER(V250),
EXTRACTNUMBER(X250),EXTRACTNUMBER(Z250),EXTRACTNUMBER(AB250),
EXTRACTNUMBER(AD250),EXTRACTNUMBER(AF250)),"*"),IF(AND(COUNTIF(D250:AG250,"=34")&gt;=1,COUNTIF(D250:AG250,"=35")&gt;=1,COUNTIF(D250:AG250,"f")=2,COUNTIF(D250:AG250,"")=0,COUNTIF(D250:AG250," ")=0),CONCATENATE(SUM(EXTRACTNUMBER(D250),EXTRACTNUMBER(F250),
EXTRACTNUMBER(H250),EXTRACTNUMBER(J250),
EXTRACTNUMBER(L250),EXTRACTNUMBER(N250),
EXTRACTNUMBER(P250),EXTRACTNUMBER(R250),
EXTRACTNUMBER(T250),EXTRACTNUMBER(V250),
EXTRACTNUMBER(X250),EXTRACTNUMBER(Z250),EXTRACTNUMBER(AB250),
EXTRACTNUMBER(AD250),EXTRACTNUMBER(AF250)),"*"),IF(AND(COUNTIF(D250:AG250,"=36")&gt;=2,COUNTIF(D250:AG250,"f")=2,COUNTIF(D250:AG250,"")=0,COUNTIF(D250:AG250," ")=0),CONCATENATE(SUM(EXTRACTNUMBER(D250),EXTRACTNUMBER(F250),
EXTRACTNUMBER(H250),EXTRACTNUMBER(J250),
EXTRACTNUMBER(L250),EXTRACTNUMBER(N250),
EXTRACTNUMBER(P250),EXTRACTNUMBER(R250),
EXTRACTNUMBER(T250),EXTRACTNUMBER(V250),
EXTRACTNUMBER(X250),EXTRACTNUMBER(Z250),EXTRACTNUMBER(AB250),
EXTRACTNUMBER(AD250),EXTRACTNUMBER(AF250)),"*"),SUM(EXTRACTNUMBER(D250),EXTRACTNUMBER(F250),
EXTRACTNUMBER(H250),EXTRACTNUMBER(J250),
EXTRACTNUMBER(L250),EXTRACTNUMBER(N250),
EXTRACTNUMBER(P250),EXTRACTNUMBER(R250),
EXTRACTNUMBER(T250),EXTRACTNUMBER(V250),
EXTRACTNUMBER(X250),EXTRACTNUMBER(Z250),EXTRACTNUMBER(AB250),
EXTRACTNUMBER(AD250),EXTRACTNUMBER(AF250))))),SUM(EXTRACTNUMBER(D250),EXTRACTNUMBER(F250),
EXTRACTNUMBER(H250),EXTRACTNUMBER(J250),
EXTRACTNUMBER(L250),EXTRACTNUMBER(N250),
EXTRACTNUMBER(P250),EXTRACTNUMBER(R250),
EXTRACTNUMBER(T250),EXTRACTNUMBER(V250),
EXTRACTNUMBER(X250),EXTRACTNUMBER(Z250),EXTRACTNUMBER(AB250),
EXTRACTNUMBER(AD250),EXTRACTNUMBER(AF250)))</f>
        <v>209</v>
      </c>
      <c r="AI250" s="38" t="str">
        <f t="shared" si="48"/>
        <v>FAIL</v>
      </c>
      <c r="AJ250" s="28" t="str">
        <f>spellnumber(EXTRACTnUMBER_TOT(AH250))</f>
        <v xml:space="preserve">Two Hundred Nine </v>
      </c>
      <c r="AK250" s="9">
        <v>209</v>
      </c>
    </row>
    <row r="251" spans="2:37" ht="15" customHeight="1">
      <c r="B251" s="40" t="s">
        <v>374</v>
      </c>
      <c r="C251" s="42" t="s">
        <v>375</v>
      </c>
      <c r="D251" s="33" t="s">
        <v>103</v>
      </c>
      <c r="E251" s="34" t="str">
        <f t="shared" si="50"/>
        <v/>
      </c>
      <c r="F251" s="35" t="s">
        <v>103</v>
      </c>
      <c r="G251" s="34" t="str">
        <f t="shared" si="51"/>
        <v/>
      </c>
      <c r="H251" s="36" t="s">
        <v>103</v>
      </c>
      <c r="I251" s="34" t="str">
        <f t="shared" si="52"/>
        <v/>
      </c>
      <c r="J251" s="35" t="s">
        <v>103</v>
      </c>
      <c r="K251" s="34" t="str">
        <f t="shared" si="53"/>
        <v/>
      </c>
      <c r="L251" s="35" t="s">
        <v>103</v>
      </c>
      <c r="M251" s="34" t="str">
        <f t="shared" si="54"/>
        <v/>
      </c>
      <c r="N251" s="36" t="s">
        <v>103</v>
      </c>
      <c r="O251" s="34" t="str">
        <f t="shared" si="49"/>
        <v/>
      </c>
      <c r="P251" s="35" t="s">
        <v>103</v>
      </c>
      <c r="Q251" s="37" t="str">
        <f t="shared" si="55"/>
        <v/>
      </c>
      <c r="R251" s="33" t="s">
        <v>103</v>
      </c>
      <c r="S251" s="34" t="str">
        <f t="shared" si="56"/>
        <v/>
      </c>
      <c r="T251" s="35" t="s">
        <v>103</v>
      </c>
      <c r="U251" s="37" t="str">
        <f t="shared" si="57"/>
        <v/>
      </c>
      <c r="V251" s="33" t="s">
        <v>103</v>
      </c>
      <c r="W251" s="34" t="str">
        <f t="shared" si="58"/>
        <v/>
      </c>
      <c r="X251" s="35" t="s">
        <v>103</v>
      </c>
      <c r="Y251" s="37" t="str">
        <f t="shared" si="59"/>
        <v/>
      </c>
      <c r="Z251" s="35" t="s">
        <v>103</v>
      </c>
      <c r="AA251" s="37" t="str">
        <f t="shared" si="60"/>
        <v/>
      </c>
      <c r="AB251" s="33" t="s">
        <v>103</v>
      </c>
      <c r="AC251" s="34" t="str">
        <f t="shared" si="61"/>
        <v/>
      </c>
      <c r="AD251" s="35" t="s">
        <v>103</v>
      </c>
      <c r="AE251" s="34" t="str">
        <f t="shared" si="62"/>
        <v/>
      </c>
      <c r="AF251" s="35" t="s">
        <v>103</v>
      </c>
      <c r="AG251" s="37" t="str">
        <f t="shared" si="63"/>
        <v/>
      </c>
      <c r="AH251" s="4">
        <f>IF(OR(AND(D251&gt;=31,D251&lt;40),AND(H251&gt;=31,H251&lt;40),AND(N251&gt;=31,N251&lt;40),AND(R251&gt;=31,R251&lt;40),AND(V251&gt;=31,V251&lt;40),AND(AB251&gt;=31,AB251&lt;40)),IF(AND(OR(COUNTIF(D251:AG251,"=31")&gt;=1,COUNTIF(D251:AG251,"=32")&gt;=1,COUNTIF(D251:AG251,"=33")&gt;=1,COUNTIF(D251:AG251,"=34")&gt;=1,COUNTIF(D251:AG251,"=35")&gt;=1,COUNTIF(D251:AG251,"=36")&gt;=1 ),COUNTIF(D251:AG251,"")=0,COUNTIF(D251:AG251," ")=0,COUNTIF(D251:AG251,"F")=1),CONCATENATE(SUM(EXTRACTNUMBER(D251),EXTRACTNUMBER(F251),
EXTRACTNUMBER(H251),EXTRACTNUMBER(J251),
EXTRACTNUMBER(L251),EXTRACTNUMBER(N251),
EXTRACTNUMBER(P251),EXTRACTNUMBER(R251),
EXTRACTNUMBER(T251),EXTRACTNUMBER(V251),
EXTRACTNUMBER(X251),EXTRACTNUMBER(Z251),EXTRACTNUMBER(AB251),
EXTRACTNUMBER(AD251),EXTRACTNUMBER(AF251)),"*"),IF(AND(COUNTIF(D251:AG251,"=34")&gt;=1,COUNTIF(D251:AG251,"=35")&gt;=1,COUNTIF(D251:AG251,"f")=2,COUNTIF(D251:AG251,"")=0,COUNTIF(D251:AG251," ")=0),CONCATENATE(SUM(EXTRACTNUMBER(D251),EXTRACTNUMBER(F251),
EXTRACTNUMBER(H251),EXTRACTNUMBER(J251),
EXTRACTNUMBER(L251),EXTRACTNUMBER(N251),
EXTRACTNUMBER(P251),EXTRACTNUMBER(R251),
EXTRACTNUMBER(T251),EXTRACTNUMBER(V251),
EXTRACTNUMBER(X251),EXTRACTNUMBER(Z251),EXTRACTNUMBER(AB251),
EXTRACTNUMBER(AD251),EXTRACTNUMBER(AF251)),"*"),IF(AND(COUNTIF(D251:AG251,"=36")&gt;=2,COUNTIF(D251:AG251,"f")=2,COUNTIF(D251:AG251,"")=0,COUNTIF(D251:AG251," ")=0),CONCATENATE(SUM(EXTRACTNUMBER(D251),EXTRACTNUMBER(F251),
EXTRACTNUMBER(H251),EXTRACTNUMBER(J251),
EXTRACTNUMBER(L251),EXTRACTNUMBER(N251),
EXTRACTNUMBER(P251),EXTRACTNUMBER(R251),
EXTRACTNUMBER(T251),EXTRACTNUMBER(V251),
EXTRACTNUMBER(X251),EXTRACTNUMBER(Z251),EXTRACTNUMBER(AB251),
EXTRACTNUMBER(AD251),EXTRACTNUMBER(AF251)),"*"),SUM(EXTRACTNUMBER(D251),EXTRACTNUMBER(F251),
EXTRACTNUMBER(H251),EXTRACTNUMBER(J251),
EXTRACTNUMBER(L251),EXTRACTNUMBER(N251),
EXTRACTNUMBER(P251),EXTRACTNUMBER(R251),
EXTRACTNUMBER(T251),EXTRACTNUMBER(V251),
EXTRACTNUMBER(X251),EXTRACTNUMBER(Z251),EXTRACTNUMBER(AB251),
EXTRACTNUMBER(AD251),EXTRACTNUMBER(AF251))))),SUM(EXTRACTNUMBER(D251),EXTRACTNUMBER(F251),
EXTRACTNUMBER(H251),EXTRACTNUMBER(J251),
EXTRACTNUMBER(L251),EXTRACTNUMBER(N251),
EXTRACTNUMBER(P251),EXTRACTNUMBER(R251),
EXTRACTNUMBER(T251),EXTRACTNUMBER(V251),
EXTRACTNUMBER(X251),EXTRACTNUMBER(Z251),EXTRACTNUMBER(AB251),
EXTRACTNUMBER(AD251),EXTRACTNUMBER(AF251)))</f>
        <v>0</v>
      </c>
      <c r="AI251" s="38" t="str">
        <f t="shared" si="48"/>
        <v>ABSENT</v>
      </c>
      <c r="AJ251" s="28" t="str">
        <f>spellnumber(EXTRACTnUMBER_TOT(AH251))</f>
        <v xml:space="preserve"> </v>
      </c>
      <c r="AK251" s="9">
        <v>0</v>
      </c>
    </row>
    <row r="252" spans="2:37" ht="15" customHeight="1">
      <c r="B252" s="40" t="s">
        <v>376</v>
      </c>
      <c r="C252" s="42" t="s">
        <v>377</v>
      </c>
      <c r="D252" s="33" t="s">
        <v>103</v>
      </c>
      <c r="E252" s="34" t="str">
        <f t="shared" si="50"/>
        <v/>
      </c>
      <c r="F252" s="35" t="s">
        <v>103</v>
      </c>
      <c r="G252" s="34" t="str">
        <f t="shared" si="51"/>
        <v/>
      </c>
      <c r="H252" s="36" t="s">
        <v>103</v>
      </c>
      <c r="I252" s="34" t="str">
        <f t="shared" si="52"/>
        <v/>
      </c>
      <c r="J252" s="35" t="s">
        <v>103</v>
      </c>
      <c r="K252" s="34" t="str">
        <f t="shared" si="53"/>
        <v/>
      </c>
      <c r="L252" s="35" t="s">
        <v>103</v>
      </c>
      <c r="M252" s="34" t="str">
        <f t="shared" si="54"/>
        <v/>
      </c>
      <c r="N252" s="36" t="s">
        <v>103</v>
      </c>
      <c r="O252" s="34" t="str">
        <f t="shared" si="49"/>
        <v/>
      </c>
      <c r="P252" s="35" t="s">
        <v>103</v>
      </c>
      <c r="Q252" s="37" t="str">
        <f t="shared" si="55"/>
        <v/>
      </c>
      <c r="R252" s="33" t="s">
        <v>103</v>
      </c>
      <c r="S252" s="34" t="str">
        <f t="shared" si="56"/>
        <v/>
      </c>
      <c r="T252" s="35" t="s">
        <v>103</v>
      </c>
      <c r="U252" s="37" t="str">
        <f t="shared" si="57"/>
        <v/>
      </c>
      <c r="V252" s="33" t="s">
        <v>103</v>
      </c>
      <c r="W252" s="34" t="str">
        <f t="shared" si="58"/>
        <v/>
      </c>
      <c r="X252" s="35" t="s">
        <v>103</v>
      </c>
      <c r="Y252" s="37" t="str">
        <f t="shared" si="59"/>
        <v/>
      </c>
      <c r="Z252" s="35" t="s">
        <v>103</v>
      </c>
      <c r="AA252" s="37" t="str">
        <f t="shared" si="60"/>
        <v/>
      </c>
      <c r="AB252" s="33" t="s">
        <v>103</v>
      </c>
      <c r="AC252" s="34" t="str">
        <f t="shared" si="61"/>
        <v/>
      </c>
      <c r="AD252" s="35" t="s">
        <v>103</v>
      </c>
      <c r="AE252" s="34" t="str">
        <f t="shared" si="62"/>
        <v/>
      </c>
      <c r="AF252" s="35" t="s">
        <v>103</v>
      </c>
      <c r="AG252" s="37" t="str">
        <f t="shared" si="63"/>
        <v/>
      </c>
      <c r="AH252" s="4">
        <f>IF(OR(AND(D252&gt;=31,D252&lt;40),AND(H252&gt;=31,H252&lt;40),AND(N252&gt;=31,N252&lt;40),AND(R252&gt;=31,R252&lt;40),AND(V252&gt;=31,V252&lt;40),AND(AB252&gt;=31,AB252&lt;40)),IF(AND(OR(COUNTIF(D252:AG252,"=31")&gt;=1,COUNTIF(D252:AG252,"=32")&gt;=1,COUNTIF(D252:AG252,"=33")&gt;=1,COUNTIF(D252:AG252,"=34")&gt;=1,COUNTIF(D252:AG252,"=35")&gt;=1,COUNTIF(D252:AG252,"=36")&gt;=1 ),COUNTIF(D252:AG252,"")=0,COUNTIF(D252:AG252," ")=0,COUNTIF(D252:AG252,"F")=1),CONCATENATE(SUM(EXTRACTNUMBER(D252),EXTRACTNUMBER(F252),
EXTRACTNUMBER(H252),EXTRACTNUMBER(J252),
EXTRACTNUMBER(L252),EXTRACTNUMBER(N252),
EXTRACTNUMBER(P252),EXTRACTNUMBER(R252),
EXTRACTNUMBER(T252),EXTRACTNUMBER(V252),
EXTRACTNUMBER(X252),EXTRACTNUMBER(Z252),EXTRACTNUMBER(AB252),
EXTRACTNUMBER(AD252),EXTRACTNUMBER(AF252)),"*"),IF(AND(COUNTIF(D252:AG252,"=34")&gt;=1,COUNTIF(D252:AG252,"=35")&gt;=1,COUNTIF(D252:AG252,"f")=2,COUNTIF(D252:AG252,"")=0,COUNTIF(D252:AG252," ")=0),CONCATENATE(SUM(EXTRACTNUMBER(D252),EXTRACTNUMBER(F252),
EXTRACTNUMBER(H252),EXTRACTNUMBER(J252),
EXTRACTNUMBER(L252),EXTRACTNUMBER(N252),
EXTRACTNUMBER(P252),EXTRACTNUMBER(R252),
EXTRACTNUMBER(T252),EXTRACTNUMBER(V252),
EXTRACTNUMBER(X252),EXTRACTNUMBER(Z252),EXTRACTNUMBER(AB252),
EXTRACTNUMBER(AD252),EXTRACTNUMBER(AF252)),"*"),IF(AND(COUNTIF(D252:AG252,"=36")&gt;=2,COUNTIF(D252:AG252,"f")=2,COUNTIF(D252:AG252,"")=0,COUNTIF(D252:AG252," ")=0),CONCATENATE(SUM(EXTRACTNUMBER(D252),EXTRACTNUMBER(F252),
EXTRACTNUMBER(H252),EXTRACTNUMBER(J252),
EXTRACTNUMBER(L252),EXTRACTNUMBER(N252),
EXTRACTNUMBER(P252),EXTRACTNUMBER(R252),
EXTRACTNUMBER(T252),EXTRACTNUMBER(V252),
EXTRACTNUMBER(X252),EXTRACTNUMBER(Z252),EXTRACTNUMBER(AB252),
EXTRACTNUMBER(AD252),EXTRACTNUMBER(AF252)),"*"),SUM(EXTRACTNUMBER(D252),EXTRACTNUMBER(F252),
EXTRACTNUMBER(H252),EXTRACTNUMBER(J252),
EXTRACTNUMBER(L252),EXTRACTNUMBER(N252),
EXTRACTNUMBER(P252),EXTRACTNUMBER(R252),
EXTRACTNUMBER(T252),EXTRACTNUMBER(V252),
EXTRACTNUMBER(X252),EXTRACTNUMBER(Z252),EXTRACTNUMBER(AB252),
EXTRACTNUMBER(AD252),EXTRACTNUMBER(AF252))))),SUM(EXTRACTNUMBER(D252),EXTRACTNUMBER(F252),
EXTRACTNUMBER(H252),EXTRACTNUMBER(J252),
EXTRACTNUMBER(L252),EXTRACTNUMBER(N252),
EXTRACTNUMBER(P252),EXTRACTNUMBER(R252),
EXTRACTNUMBER(T252),EXTRACTNUMBER(V252),
EXTRACTNUMBER(X252),EXTRACTNUMBER(Z252),EXTRACTNUMBER(AB252),
EXTRACTNUMBER(AD252),EXTRACTNUMBER(AF252)))</f>
        <v>0</v>
      </c>
      <c r="AI252" s="38" t="str">
        <f t="shared" si="48"/>
        <v>ABSENT</v>
      </c>
      <c r="AJ252" s="28" t="str">
        <f>spellnumber(EXTRACTnUMBER_TOT(AH252))</f>
        <v xml:space="preserve"> </v>
      </c>
      <c r="AK252" s="9">
        <v>0</v>
      </c>
    </row>
    <row r="253" spans="2:37" ht="15" customHeight="1">
      <c r="B253" s="40" t="s">
        <v>378</v>
      </c>
      <c r="C253" s="42" t="s">
        <v>379</v>
      </c>
      <c r="D253" s="33" t="s">
        <v>103</v>
      </c>
      <c r="E253" s="34" t="str">
        <f t="shared" si="50"/>
        <v/>
      </c>
      <c r="F253" s="35" t="s">
        <v>103</v>
      </c>
      <c r="G253" s="34" t="str">
        <f t="shared" si="51"/>
        <v/>
      </c>
      <c r="H253" s="36" t="s">
        <v>103</v>
      </c>
      <c r="I253" s="34" t="str">
        <f t="shared" si="52"/>
        <v/>
      </c>
      <c r="J253" s="35" t="s">
        <v>103</v>
      </c>
      <c r="K253" s="34" t="str">
        <f t="shared" si="53"/>
        <v/>
      </c>
      <c r="L253" s="35" t="s">
        <v>103</v>
      </c>
      <c r="M253" s="34" t="str">
        <f t="shared" si="54"/>
        <v/>
      </c>
      <c r="N253" s="36" t="s">
        <v>103</v>
      </c>
      <c r="O253" s="34" t="str">
        <f t="shared" si="49"/>
        <v/>
      </c>
      <c r="P253" s="35" t="s">
        <v>103</v>
      </c>
      <c r="Q253" s="37" t="str">
        <f t="shared" si="55"/>
        <v/>
      </c>
      <c r="R253" s="33" t="s">
        <v>103</v>
      </c>
      <c r="S253" s="34" t="str">
        <f t="shared" si="56"/>
        <v/>
      </c>
      <c r="T253" s="35" t="s">
        <v>103</v>
      </c>
      <c r="U253" s="37" t="str">
        <f t="shared" si="57"/>
        <v/>
      </c>
      <c r="V253" s="33" t="s">
        <v>103</v>
      </c>
      <c r="W253" s="34" t="str">
        <f t="shared" si="58"/>
        <v/>
      </c>
      <c r="X253" s="35" t="s">
        <v>103</v>
      </c>
      <c r="Y253" s="37" t="str">
        <f t="shared" si="59"/>
        <v/>
      </c>
      <c r="Z253" s="35" t="s">
        <v>103</v>
      </c>
      <c r="AA253" s="37" t="str">
        <f t="shared" si="60"/>
        <v/>
      </c>
      <c r="AB253" s="33" t="s">
        <v>103</v>
      </c>
      <c r="AC253" s="34" t="str">
        <f t="shared" si="61"/>
        <v/>
      </c>
      <c r="AD253" s="35" t="s">
        <v>103</v>
      </c>
      <c r="AE253" s="34" t="str">
        <f t="shared" si="62"/>
        <v/>
      </c>
      <c r="AF253" s="35" t="s">
        <v>103</v>
      </c>
      <c r="AG253" s="37" t="str">
        <f t="shared" si="63"/>
        <v/>
      </c>
      <c r="AH253" s="4">
        <f>IF(OR(AND(D253&gt;=31,D253&lt;40),AND(H253&gt;=31,H253&lt;40),AND(N253&gt;=31,N253&lt;40),AND(R253&gt;=31,R253&lt;40),AND(V253&gt;=31,V253&lt;40),AND(AB253&gt;=31,AB253&lt;40)),IF(AND(OR(COUNTIF(D253:AG253,"=31")&gt;=1,COUNTIF(D253:AG253,"=32")&gt;=1,COUNTIF(D253:AG253,"=33")&gt;=1,COUNTIF(D253:AG253,"=34")&gt;=1,COUNTIF(D253:AG253,"=35")&gt;=1,COUNTIF(D253:AG253,"=36")&gt;=1 ),COUNTIF(D253:AG253,"")=0,COUNTIF(D253:AG253," ")=0,COUNTIF(D253:AG253,"F")=1),CONCATENATE(SUM(EXTRACTNUMBER(D253),EXTRACTNUMBER(F253),
EXTRACTNUMBER(H253),EXTRACTNUMBER(J253),
EXTRACTNUMBER(L253),EXTRACTNUMBER(N253),
EXTRACTNUMBER(P253),EXTRACTNUMBER(R253),
EXTRACTNUMBER(T253),EXTRACTNUMBER(V253),
EXTRACTNUMBER(X253),EXTRACTNUMBER(Z253),EXTRACTNUMBER(AB253),
EXTRACTNUMBER(AD253),EXTRACTNUMBER(AF253)),"*"),IF(AND(COUNTIF(D253:AG253,"=34")&gt;=1,COUNTIF(D253:AG253,"=35")&gt;=1,COUNTIF(D253:AG253,"f")=2,COUNTIF(D253:AG253,"")=0,COUNTIF(D253:AG253," ")=0),CONCATENATE(SUM(EXTRACTNUMBER(D253),EXTRACTNUMBER(F253),
EXTRACTNUMBER(H253),EXTRACTNUMBER(J253),
EXTRACTNUMBER(L253),EXTRACTNUMBER(N253),
EXTRACTNUMBER(P253),EXTRACTNUMBER(R253),
EXTRACTNUMBER(T253),EXTRACTNUMBER(V253),
EXTRACTNUMBER(X253),EXTRACTNUMBER(Z253),EXTRACTNUMBER(AB253),
EXTRACTNUMBER(AD253),EXTRACTNUMBER(AF253)),"*"),IF(AND(COUNTIF(D253:AG253,"=36")&gt;=2,COUNTIF(D253:AG253,"f")=2,COUNTIF(D253:AG253,"")=0,COUNTIF(D253:AG253," ")=0),CONCATENATE(SUM(EXTRACTNUMBER(D253),EXTRACTNUMBER(F253),
EXTRACTNUMBER(H253),EXTRACTNUMBER(J253),
EXTRACTNUMBER(L253),EXTRACTNUMBER(N253),
EXTRACTNUMBER(P253),EXTRACTNUMBER(R253),
EXTRACTNUMBER(T253),EXTRACTNUMBER(V253),
EXTRACTNUMBER(X253),EXTRACTNUMBER(Z253),EXTRACTNUMBER(AB253),
EXTRACTNUMBER(AD253),EXTRACTNUMBER(AF253)),"*"),SUM(EXTRACTNUMBER(D253),EXTRACTNUMBER(F253),
EXTRACTNUMBER(H253),EXTRACTNUMBER(J253),
EXTRACTNUMBER(L253),EXTRACTNUMBER(N253),
EXTRACTNUMBER(P253),EXTRACTNUMBER(R253),
EXTRACTNUMBER(T253),EXTRACTNUMBER(V253),
EXTRACTNUMBER(X253),EXTRACTNUMBER(Z253),EXTRACTNUMBER(AB253),
EXTRACTNUMBER(AD253),EXTRACTNUMBER(AF253))))),SUM(EXTRACTNUMBER(D253),EXTRACTNUMBER(F253),
EXTRACTNUMBER(H253),EXTRACTNUMBER(J253),
EXTRACTNUMBER(L253),EXTRACTNUMBER(N253),
EXTRACTNUMBER(P253),EXTRACTNUMBER(R253),
EXTRACTNUMBER(T253),EXTRACTNUMBER(V253),
EXTRACTNUMBER(X253),EXTRACTNUMBER(Z253),EXTRACTNUMBER(AB253),
EXTRACTNUMBER(AD253),EXTRACTNUMBER(AF253)))</f>
        <v>0</v>
      </c>
      <c r="AI253" s="38" t="str">
        <f t="shared" si="48"/>
        <v>ABSENT</v>
      </c>
      <c r="AJ253" s="28" t="str">
        <f>spellnumber(EXTRACTnUMBER_TOT(AH253))</f>
        <v xml:space="preserve"> </v>
      </c>
      <c r="AK253" s="9">
        <v>0</v>
      </c>
    </row>
    <row r="254" spans="2:37" ht="15" customHeight="1">
      <c r="B254" s="40" t="s">
        <v>380</v>
      </c>
      <c r="C254" s="42" t="s">
        <v>381</v>
      </c>
      <c r="D254" s="33" t="s">
        <v>103</v>
      </c>
      <c r="E254" s="34" t="str">
        <f t="shared" si="50"/>
        <v/>
      </c>
      <c r="F254" s="35" t="s">
        <v>103</v>
      </c>
      <c r="G254" s="34" t="str">
        <f t="shared" si="51"/>
        <v/>
      </c>
      <c r="H254" s="36" t="s">
        <v>103</v>
      </c>
      <c r="I254" s="34" t="str">
        <f t="shared" si="52"/>
        <v/>
      </c>
      <c r="J254" s="35" t="s">
        <v>103</v>
      </c>
      <c r="K254" s="34" t="str">
        <f t="shared" si="53"/>
        <v/>
      </c>
      <c r="L254" s="35" t="s">
        <v>103</v>
      </c>
      <c r="M254" s="34" t="str">
        <f t="shared" si="54"/>
        <v/>
      </c>
      <c r="N254" s="36" t="s">
        <v>103</v>
      </c>
      <c r="O254" s="34" t="str">
        <f t="shared" si="49"/>
        <v/>
      </c>
      <c r="P254" s="35" t="s">
        <v>103</v>
      </c>
      <c r="Q254" s="37" t="str">
        <f t="shared" si="55"/>
        <v/>
      </c>
      <c r="R254" s="33" t="s">
        <v>103</v>
      </c>
      <c r="S254" s="34" t="str">
        <f t="shared" si="56"/>
        <v/>
      </c>
      <c r="T254" s="35" t="s">
        <v>103</v>
      </c>
      <c r="U254" s="37" t="str">
        <f t="shared" si="57"/>
        <v/>
      </c>
      <c r="V254" s="33" t="s">
        <v>103</v>
      </c>
      <c r="W254" s="34" t="str">
        <f t="shared" si="58"/>
        <v/>
      </c>
      <c r="X254" s="35" t="s">
        <v>103</v>
      </c>
      <c r="Y254" s="37" t="str">
        <f t="shared" si="59"/>
        <v/>
      </c>
      <c r="Z254" s="35" t="s">
        <v>103</v>
      </c>
      <c r="AA254" s="37" t="str">
        <f t="shared" si="60"/>
        <v/>
      </c>
      <c r="AB254" s="33" t="s">
        <v>103</v>
      </c>
      <c r="AC254" s="34" t="str">
        <f t="shared" si="61"/>
        <v/>
      </c>
      <c r="AD254" s="35" t="s">
        <v>103</v>
      </c>
      <c r="AE254" s="34" t="str">
        <f t="shared" si="62"/>
        <v/>
      </c>
      <c r="AF254" s="35" t="s">
        <v>103</v>
      </c>
      <c r="AG254" s="37" t="str">
        <f t="shared" si="63"/>
        <v/>
      </c>
      <c r="AH254" s="4">
        <f>IF(OR(AND(D254&gt;=31,D254&lt;40),AND(H254&gt;=31,H254&lt;40),AND(N254&gt;=31,N254&lt;40),AND(R254&gt;=31,R254&lt;40),AND(V254&gt;=31,V254&lt;40),AND(AB254&gt;=31,AB254&lt;40)),IF(AND(OR(COUNTIF(D254:AG254,"=31")&gt;=1,COUNTIF(D254:AG254,"=32")&gt;=1,COUNTIF(D254:AG254,"=33")&gt;=1,COUNTIF(D254:AG254,"=34")&gt;=1,COUNTIF(D254:AG254,"=35")&gt;=1,COUNTIF(D254:AG254,"=36")&gt;=1 ),COUNTIF(D254:AG254,"")=0,COUNTIF(D254:AG254," ")=0,COUNTIF(D254:AG254,"F")=1),CONCATENATE(SUM(EXTRACTNUMBER(D254),EXTRACTNUMBER(F254),
EXTRACTNUMBER(H254),EXTRACTNUMBER(J254),
EXTRACTNUMBER(L254),EXTRACTNUMBER(N254),
EXTRACTNUMBER(P254),EXTRACTNUMBER(R254),
EXTRACTNUMBER(T254),EXTRACTNUMBER(V254),
EXTRACTNUMBER(X254),EXTRACTNUMBER(Z254),EXTRACTNUMBER(AB254),
EXTRACTNUMBER(AD254),EXTRACTNUMBER(AF254)),"*"),IF(AND(COUNTIF(D254:AG254,"=34")&gt;=1,COUNTIF(D254:AG254,"=35")&gt;=1,COUNTIF(D254:AG254,"f")=2,COUNTIF(D254:AG254,"")=0,COUNTIF(D254:AG254," ")=0),CONCATENATE(SUM(EXTRACTNUMBER(D254),EXTRACTNUMBER(F254),
EXTRACTNUMBER(H254),EXTRACTNUMBER(J254),
EXTRACTNUMBER(L254),EXTRACTNUMBER(N254),
EXTRACTNUMBER(P254),EXTRACTNUMBER(R254),
EXTRACTNUMBER(T254),EXTRACTNUMBER(V254),
EXTRACTNUMBER(X254),EXTRACTNUMBER(Z254),EXTRACTNUMBER(AB254),
EXTRACTNUMBER(AD254),EXTRACTNUMBER(AF254)),"*"),IF(AND(COUNTIF(D254:AG254,"=36")&gt;=2,COUNTIF(D254:AG254,"f")=2,COUNTIF(D254:AG254,"")=0,COUNTIF(D254:AG254," ")=0),CONCATENATE(SUM(EXTRACTNUMBER(D254),EXTRACTNUMBER(F254),
EXTRACTNUMBER(H254),EXTRACTNUMBER(J254),
EXTRACTNUMBER(L254),EXTRACTNUMBER(N254),
EXTRACTNUMBER(P254),EXTRACTNUMBER(R254),
EXTRACTNUMBER(T254),EXTRACTNUMBER(V254),
EXTRACTNUMBER(X254),EXTRACTNUMBER(Z254),EXTRACTNUMBER(AB254),
EXTRACTNUMBER(AD254),EXTRACTNUMBER(AF254)),"*"),SUM(EXTRACTNUMBER(D254),EXTRACTNUMBER(F254),
EXTRACTNUMBER(H254),EXTRACTNUMBER(J254),
EXTRACTNUMBER(L254),EXTRACTNUMBER(N254),
EXTRACTNUMBER(P254),EXTRACTNUMBER(R254),
EXTRACTNUMBER(T254),EXTRACTNUMBER(V254),
EXTRACTNUMBER(X254),EXTRACTNUMBER(Z254),EXTRACTNUMBER(AB254),
EXTRACTNUMBER(AD254),EXTRACTNUMBER(AF254))))),SUM(EXTRACTNUMBER(D254),EXTRACTNUMBER(F254),
EXTRACTNUMBER(H254),EXTRACTNUMBER(J254),
EXTRACTNUMBER(L254),EXTRACTNUMBER(N254),
EXTRACTNUMBER(P254),EXTRACTNUMBER(R254),
EXTRACTNUMBER(T254),EXTRACTNUMBER(V254),
EXTRACTNUMBER(X254),EXTRACTNUMBER(Z254),EXTRACTNUMBER(AB254),
EXTRACTNUMBER(AD254),EXTRACTNUMBER(AF254)))</f>
        <v>0</v>
      </c>
      <c r="AI254" s="38" t="str">
        <f t="shared" si="48"/>
        <v>ABSENT</v>
      </c>
      <c r="AJ254" s="28" t="str">
        <f>spellnumber(EXTRACTnUMBER_TOT(AH254))</f>
        <v xml:space="preserve"> </v>
      </c>
      <c r="AK254" s="9">
        <v>0</v>
      </c>
    </row>
    <row r="255" spans="2:37" ht="15" customHeight="1">
      <c r="B255" s="40" t="s">
        <v>382</v>
      </c>
      <c r="C255" s="42" t="s">
        <v>383</v>
      </c>
      <c r="D255" s="33" t="s">
        <v>103</v>
      </c>
      <c r="E255" s="34" t="str">
        <f t="shared" si="50"/>
        <v/>
      </c>
      <c r="F255" s="35" t="s">
        <v>103</v>
      </c>
      <c r="G255" s="34" t="str">
        <f t="shared" si="51"/>
        <v/>
      </c>
      <c r="H255" s="36" t="s">
        <v>103</v>
      </c>
      <c r="I255" s="34" t="str">
        <f t="shared" si="52"/>
        <v/>
      </c>
      <c r="J255" s="35" t="s">
        <v>103</v>
      </c>
      <c r="K255" s="34" t="str">
        <f t="shared" si="53"/>
        <v/>
      </c>
      <c r="L255" s="35" t="s">
        <v>103</v>
      </c>
      <c r="M255" s="34" t="str">
        <f t="shared" si="54"/>
        <v/>
      </c>
      <c r="N255" s="36" t="s">
        <v>103</v>
      </c>
      <c r="O255" s="34" t="str">
        <f t="shared" si="49"/>
        <v/>
      </c>
      <c r="P255" s="35" t="s">
        <v>103</v>
      </c>
      <c r="Q255" s="37" t="str">
        <f t="shared" si="55"/>
        <v/>
      </c>
      <c r="R255" s="33" t="s">
        <v>103</v>
      </c>
      <c r="S255" s="34" t="str">
        <f t="shared" si="56"/>
        <v/>
      </c>
      <c r="T255" s="35" t="s">
        <v>103</v>
      </c>
      <c r="U255" s="37" t="str">
        <f t="shared" si="57"/>
        <v/>
      </c>
      <c r="V255" s="33" t="s">
        <v>103</v>
      </c>
      <c r="W255" s="34" t="str">
        <f t="shared" si="58"/>
        <v/>
      </c>
      <c r="X255" s="35" t="s">
        <v>103</v>
      </c>
      <c r="Y255" s="37" t="str">
        <f t="shared" si="59"/>
        <v/>
      </c>
      <c r="Z255" s="35" t="s">
        <v>103</v>
      </c>
      <c r="AA255" s="37" t="str">
        <f t="shared" si="60"/>
        <v/>
      </c>
      <c r="AB255" s="33" t="s">
        <v>103</v>
      </c>
      <c r="AC255" s="34" t="str">
        <f t="shared" si="61"/>
        <v/>
      </c>
      <c r="AD255" s="35" t="s">
        <v>103</v>
      </c>
      <c r="AE255" s="34" t="str">
        <f t="shared" si="62"/>
        <v/>
      </c>
      <c r="AF255" s="35" t="s">
        <v>103</v>
      </c>
      <c r="AG255" s="37" t="str">
        <f t="shared" si="63"/>
        <v/>
      </c>
      <c r="AH255" s="4">
        <f>IF(OR(AND(D255&gt;=31,D255&lt;40),AND(H255&gt;=31,H255&lt;40),AND(N255&gt;=31,N255&lt;40),AND(R255&gt;=31,R255&lt;40),AND(V255&gt;=31,V255&lt;40),AND(AB255&gt;=31,AB255&lt;40)),IF(AND(OR(COUNTIF(D255:AG255,"=31")&gt;=1,COUNTIF(D255:AG255,"=32")&gt;=1,COUNTIF(D255:AG255,"=33")&gt;=1,COUNTIF(D255:AG255,"=34")&gt;=1,COUNTIF(D255:AG255,"=35")&gt;=1,COUNTIF(D255:AG255,"=36")&gt;=1 ),COUNTIF(D255:AG255,"")=0,COUNTIF(D255:AG255," ")=0,COUNTIF(D255:AG255,"F")=1),CONCATENATE(SUM(EXTRACTNUMBER(D255),EXTRACTNUMBER(F255),
EXTRACTNUMBER(H255),EXTRACTNUMBER(J255),
EXTRACTNUMBER(L255),EXTRACTNUMBER(N255),
EXTRACTNUMBER(P255),EXTRACTNUMBER(R255),
EXTRACTNUMBER(T255),EXTRACTNUMBER(V255),
EXTRACTNUMBER(X255),EXTRACTNUMBER(Z255),EXTRACTNUMBER(AB255),
EXTRACTNUMBER(AD255),EXTRACTNUMBER(AF255)),"*"),IF(AND(COUNTIF(D255:AG255,"=34")&gt;=1,COUNTIF(D255:AG255,"=35")&gt;=1,COUNTIF(D255:AG255,"f")=2,COUNTIF(D255:AG255,"")=0,COUNTIF(D255:AG255," ")=0),CONCATENATE(SUM(EXTRACTNUMBER(D255),EXTRACTNUMBER(F255),
EXTRACTNUMBER(H255),EXTRACTNUMBER(J255),
EXTRACTNUMBER(L255),EXTRACTNUMBER(N255),
EXTRACTNUMBER(P255),EXTRACTNUMBER(R255),
EXTRACTNUMBER(T255),EXTRACTNUMBER(V255),
EXTRACTNUMBER(X255),EXTRACTNUMBER(Z255),EXTRACTNUMBER(AB255),
EXTRACTNUMBER(AD255),EXTRACTNUMBER(AF255)),"*"),IF(AND(COUNTIF(D255:AG255,"=36")&gt;=2,COUNTIF(D255:AG255,"f")=2,COUNTIF(D255:AG255,"")=0,COUNTIF(D255:AG255," ")=0),CONCATENATE(SUM(EXTRACTNUMBER(D255),EXTRACTNUMBER(F255),
EXTRACTNUMBER(H255),EXTRACTNUMBER(J255),
EXTRACTNUMBER(L255),EXTRACTNUMBER(N255),
EXTRACTNUMBER(P255),EXTRACTNUMBER(R255),
EXTRACTNUMBER(T255),EXTRACTNUMBER(V255),
EXTRACTNUMBER(X255),EXTRACTNUMBER(Z255),EXTRACTNUMBER(AB255),
EXTRACTNUMBER(AD255),EXTRACTNUMBER(AF255)),"*"),SUM(EXTRACTNUMBER(D255),EXTRACTNUMBER(F255),
EXTRACTNUMBER(H255),EXTRACTNUMBER(J255),
EXTRACTNUMBER(L255),EXTRACTNUMBER(N255),
EXTRACTNUMBER(P255),EXTRACTNUMBER(R255),
EXTRACTNUMBER(T255),EXTRACTNUMBER(V255),
EXTRACTNUMBER(X255),EXTRACTNUMBER(Z255),EXTRACTNUMBER(AB255),
EXTRACTNUMBER(AD255),EXTRACTNUMBER(AF255))))),SUM(EXTRACTNUMBER(D255),EXTRACTNUMBER(F255),
EXTRACTNUMBER(H255),EXTRACTNUMBER(J255),
EXTRACTNUMBER(L255),EXTRACTNUMBER(N255),
EXTRACTNUMBER(P255),EXTRACTNUMBER(R255),
EXTRACTNUMBER(T255),EXTRACTNUMBER(V255),
EXTRACTNUMBER(X255),EXTRACTNUMBER(Z255),EXTRACTNUMBER(AB255),
EXTRACTNUMBER(AD255),EXTRACTNUMBER(AF255)))</f>
        <v>0</v>
      </c>
      <c r="AI255" s="38" t="str">
        <f t="shared" si="48"/>
        <v>ABSENT</v>
      </c>
      <c r="AJ255" s="28" t="str">
        <f>spellnumber(EXTRACTnUMBER_TOT(AH255))</f>
        <v xml:space="preserve"> </v>
      </c>
      <c r="AK255" s="9">
        <v>0</v>
      </c>
    </row>
    <row r="256" spans="2:37" ht="15" customHeight="1">
      <c r="B256" s="40" t="s">
        <v>384</v>
      </c>
      <c r="C256" s="42" t="s">
        <v>385</v>
      </c>
      <c r="D256" s="33" t="s">
        <v>103</v>
      </c>
      <c r="E256" s="34" t="str">
        <f t="shared" si="50"/>
        <v/>
      </c>
      <c r="F256" s="35" t="s">
        <v>103</v>
      </c>
      <c r="G256" s="34" t="str">
        <f t="shared" si="51"/>
        <v/>
      </c>
      <c r="H256" s="36" t="s">
        <v>103</v>
      </c>
      <c r="I256" s="34" t="str">
        <f t="shared" si="52"/>
        <v/>
      </c>
      <c r="J256" s="35" t="s">
        <v>103</v>
      </c>
      <c r="K256" s="34" t="str">
        <f t="shared" si="53"/>
        <v/>
      </c>
      <c r="L256" s="35" t="s">
        <v>103</v>
      </c>
      <c r="M256" s="34" t="str">
        <f t="shared" si="54"/>
        <v/>
      </c>
      <c r="N256" s="36" t="s">
        <v>103</v>
      </c>
      <c r="O256" s="34" t="str">
        <f t="shared" si="49"/>
        <v/>
      </c>
      <c r="P256" s="35" t="s">
        <v>103</v>
      </c>
      <c r="Q256" s="37" t="str">
        <f t="shared" si="55"/>
        <v/>
      </c>
      <c r="R256" s="33" t="s">
        <v>103</v>
      </c>
      <c r="S256" s="34" t="str">
        <f t="shared" si="56"/>
        <v/>
      </c>
      <c r="T256" s="35" t="s">
        <v>103</v>
      </c>
      <c r="U256" s="37" t="str">
        <f t="shared" si="57"/>
        <v/>
      </c>
      <c r="V256" s="33" t="s">
        <v>103</v>
      </c>
      <c r="W256" s="34" t="str">
        <f t="shared" si="58"/>
        <v/>
      </c>
      <c r="X256" s="35" t="s">
        <v>103</v>
      </c>
      <c r="Y256" s="37" t="str">
        <f t="shared" si="59"/>
        <v/>
      </c>
      <c r="Z256" s="35" t="s">
        <v>103</v>
      </c>
      <c r="AA256" s="37" t="str">
        <f t="shared" si="60"/>
        <v/>
      </c>
      <c r="AB256" s="33" t="s">
        <v>103</v>
      </c>
      <c r="AC256" s="34" t="str">
        <f t="shared" si="61"/>
        <v/>
      </c>
      <c r="AD256" s="35" t="s">
        <v>103</v>
      </c>
      <c r="AE256" s="34" t="str">
        <f t="shared" si="62"/>
        <v/>
      </c>
      <c r="AF256" s="35" t="s">
        <v>103</v>
      </c>
      <c r="AG256" s="37" t="str">
        <f t="shared" si="63"/>
        <v/>
      </c>
      <c r="AH256" s="4">
        <f>IF(OR(AND(D256&gt;=31,D256&lt;40),AND(H256&gt;=31,H256&lt;40),AND(N256&gt;=31,N256&lt;40),AND(R256&gt;=31,R256&lt;40),AND(V256&gt;=31,V256&lt;40),AND(AB256&gt;=31,AB256&lt;40)),IF(AND(OR(COUNTIF(D256:AG256,"=31")&gt;=1,COUNTIF(D256:AG256,"=32")&gt;=1,COUNTIF(D256:AG256,"=33")&gt;=1,COUNTIF(D256:AG256,"=34")&gt;=1,COUNTIF(D256:AG256,"=35")&gt;=1,COUNTIF(D256:AG256,"=36")&gt;=1 ),COUNTIF(D256:AG256,"")=0,COUNTIF(D256:AG256," ")=0,COUNTIF(D256:AG256,"F")=1),CONCATENATE(SUM(EXTRACTNUMBER(D256),EXTRACTNUMBER(F256),
EXTRACTNUMBER(H256),EXTRACTNUMBER(J256),
EXTRACTNUMBER(L256),EXTRACTNUMBER(N256),
EXTRACTNUMBER(P256),EXTRACTNUMBER(R256),
EXTRACTNUMBER(T256),EXTRACTNUMBER(V256),
EXTRACTNUMBER(X256),EXTRACTNUMBER(Z256),EXTRACTNUMBER(AB256),
EXTRACTNUMBER(AD256),EXTRACTNUMBER(AF256)),"*"),IF(AND(COUNTIF(D256:AG256,"=34")&gt;=1,COUNTIF(D256:AG256,"=35")&gt;=1,COUNTIF(D256:AG256,"f")=2,COUNTIF(D256:AG256,"")=0,COUNTIF(D256:AG256," ")=0),CONCATENATE(SUM(EXTRACTNUMBER(D256),EXTRACTNUMBER(F256),
EXTRACTNUMBER(H256),EXTRACTNUMBER(J256),
EXTRACTNUMBER(L256),EXTRACTNUMBER(N256),
EXTRACTNUMBER(P256),EXTRACTNUMBER(R256),
EXTRACTNUMBER(T256),EXTRACTNUMBER(V256),
EXTRACTNUMBER(X256),EXTRACTNUMBER(Z256),EXTRACTNUMBER(AB256),
EXTRACTNUMBER(AD256),EXTRACTNUMBER(AF256)),"*"),IF(AND(COUNTIF(D256:AG256,"=36")&gt;=2,COUNTIF(D256:AG256,"f")=2,COUNTIF(D256:AG256,"")=0,COUNTIF(D256:AG256," ")=0),CONCATENATE(SUM(EXTRACTNUMBER(D256),EXTRACTNUMBER(F256),
EXTRACTNUMBER(H256),EXTRACTNUMBER(J256),
EXTRACTNUMBER(L256),EXTRACTNUMBER(N256),
EXTRACTNUMBER(P256),EXTRACTNUMBER(R256),
EXTRACTNUMBER(T256),EXTRACTNUMBER(V256),
EXTRACTNUMBER(X256),EXTRACTNUMBER(Z256),EXTRACTNUMBER(AB256),
EXTRACTNUMBER(AD256),EXTRACTNUMBER(AF256)),"*"),SUM(EXTRACTNUMBER(D256),EXTRACTNUMBER(F256),
EXTRACTNUMBER(H256),EXTRACTNUMBER(J256),
EXTRACTNUMBER(L256),EXTRACTNUMBER(N256),
EXTRACTNUMBER(P256),EXTRACTNUMBER(R256),
EXTRACTNUMBER(T256),EXTRACTNUMBER(V256),
EXTRACTNUMBER(X256),EXTRACTNUMBER(Z256),EXTRACTNUMBER(AB256),
EXTRACTNUMBER(AD256),EXTRACTNUMBER(AF256))))),SUM(EXTRACTNUMBER(D256),EXTRACTNUMBER(F256),
EXTRACTNUMBER(H256),EXTRACTNUMBER(J256),
EXTRACTNUMBER(L256),EXTRACTNUMBER(N256),
EXTRACTNUMBER(P256),EXTRACTNUMBER(R256),
EXTRACTNUMBER(T256),EXTRACTNUMBER(V256),
EXTRACTNUMBER(X256),EXTRACTNUMBER(Z256),EXTRACTNUMBER(AB256),
EXTRACTNUMBER(AD256),EXTRACTNUMBER(AF256)))</f>
        <v>0</v>
      </c>
      <c r="AI256" s="38" t="str">
        <f t="shared" si="48"/>
        <v>ABSENT</v>
      </c>
      <c r="AJ256" s="28" t="str">
        <f>spellnumber(EXTRACTnUMBER_TOT(AH256))</f>
        <v xml:space="preserve"> </v>
      </c>
      <c r="AK256" s="9">
        <v>0</v>
      </c>
    </row>
    <row r="257" spans="2:37" ht="15" customHeight="1">
      <c r="B257" s="40" t="s">
        <v>386</v>
      </c>
      <c r="C257" s="42" t="s">
        <v>387</v>
      </c>
      <c r="D257" s="33" t="s">
        <v>103</v>
      </c>
      <c r="E257" s="34" t="str">
        <f t="shared" si="50"/>
        <v/>
      </c>
      <c r="F257" s="35" t="s">
        <v>103</v>
      </c>
      <c r="G257" s="34" t="str">
        <f t="shared" si="51"/>
        <v/>
      </c>
      <c r="H257" s="36" t="s">
        <v>103</v>
      </c>
      <c r="I257" s="34" t="str">
        <f t="shared" si="52"/>
        <v/>
      </c>
      <c r="J257" s="35">
        <v>16</v>
      </c>
      <c r="K257" s="34" t="str">
        <f t="shared" si="53"/>
        <v>E</v>
      </c>
      <c r="L257" s="35">
        <v>19</v>
      </c>
      <c r="M257" s="34" t="str">
        <f t="shared" si="54"/>
        <v>E</v>
      </c>
      <c r="N257" s="36" t="s">
        <v>103</v>
      </c>
      <c r="O257" s="34" t="str">
        <f t="shared" si="49"/>
        <v/>
      </c>
      <c r="P257" s="35" t="s">
        <v>103</v>
      </c>
      <c r="Q257" s="37" t="str">
        <f t="shared" si="55"/>
        <v/>
      </c>
      <c r="R257" s="33" t="s">
        <v>103</v>
      </c>
      <c r="S257" s="34" t="str">
        <f t="shared" si="56"/>
        <v/>
      </c>
      <c r="T257" s="35" t="s">
        <v>103</v>
      </c>
      <c r="U257" s="37" t="str">
        <f t="shared" si="57"/>
        <v/>
      </c>
      <c r="V257" s="33" t="s">
        <v>103</v>
      </c>
      <c r="W257" s="34" t="str">
        <f t="shared" si="58"/>
        <v/>
      </c>
      <c r="X257" s="35" t="s">
        <v>103</v>
      </c>
      <c r="Y257" s="37" t="str">
        <f t="shared" si="59"/>
        <v/>
      </c>
      <c r="Z257" s="35" t="s">
        <v>103</v>
      </c>
      <c r="AA257" s="37" t="str">
        <f t="shared" si="60"/>
        <v/>
      </c>
      <c r="AB257" s="33" t="s">
        <v>103</v>
      </c>
      <c r="AC257" s="34" t="str">
        <f t="shared" si="61"/>
        <v/>
      </c>
      <c r="AD257" s="35" t="s">
        <v>103</v>
      </c>
      <c r="AE257" s="34" t="str">
        <f t="shared" si="62"/>
        <v/>
      </c>
      <c r="AF257" s="35" t="s">
        <v>103</v>
      </c>
      <c r="AG257" s="37" t="str">
        <f t="shared" si="63"/>
        <v/>
      </c>
      <c r="AH257" s="4">
        <f>IF(OR(AND(D257&gt;=31,D257&lt;40),AND(H257&gt;=31,H257&lt;40),AND(N257&gt;=31,N257&lt;40),AND(R257&gt;=31,R257&lt;40),AND(V257&gt;=31,V257&lt;40),AND(AB257&gt;=31,AB257&lt;40)),IF(AND(OR(COUNTIF(D257:AG257,"=31")&gt;=1,COUNTIF(D257:AG257,"=32")&gt;=1,COUNTIF(D257:AG257,"=33")&gt;=1,COUNTIF(D257:AG257,"=34")&gt;=1,COUNTIF(D257:AG257,"=35")&gt;=1,COUNTIF(D257:AG257,"=36")&gt;=1 ),COUNTIF(D257:AG257,"")=0,COUNTIF(D257:AG257," ")=0,COUNTIF(D257:AG257,"F")=1),CONCATENATE(SUM(EXTRACTNUMBER(D257),EXTRACTNUMBER(F257),
EXTRACTNUMBER(H257),EXTRACTNUMBER(J257),
EXTRACTNUMBER(L257),EXTRACTNUMBER(N257),
EXTRACTNUMBER(P257),EXTRACTNUMBER(R257),
EXTRACTNUMBER(T257),EXTRACTNUMBER(V257),
EXTRACTNUMBER(X257),EXTRACTNUMBER(Z257),EXTRACTNUMBER(AB257),
EXTRACTNUMBER(AD257),EXTRACTNUMBER(AF257)),"*"),IF(AND(COUNTIF(D257:AG257,"=34")&gt;=1,COUNTIF(D257:AG257,"=35")&gt;=1,COUNTIF(D257:AG257,"f")=2,COUNTIF(D257:AG257,"")=0,COUNTIF(D257:AG257," ")=0),CONCATENATE(SUM(EXTRACTNUMBER(D257),EXTRACTNUMBER(F257),
EXTRACTNUMBER(H257),EXTRACTNUMBER(J257),
EXTRACTNUMBER(L257),EXTRACTNUMBER(N257),
EXTRACTNUMBER(P257),EXTRACTNUMBER(R257),
EXTRACTNUMBER(T257),EXTRACTNUMBER(V257),
EXTRACTNUMBER(X257),EXTRACTNUMBER(Z257),EXTRACTNUMBER(AB257),
EXTRACTNUMBER(AD257),EXTRACTNUMBER(AF257)),"*"),IF(AND(COUNTIF(D257:AG257,"=36")&gt;=2,COUNTIF(D257:AG257,"f")=2,COUNTIF(D257:AG257,"")=0,COUNTIF(D257:AG257," ")=0),CONCATENATE(SUM(EXTRACTNUMBER(D257),EXTRACTNUMBER(F257),
EXTRACTNUMBER(H257),EXTRACTNUMBER(J257),
EXTRACTNUMBER(L257),EXTRACTNUMBER(N257),
EXTRACTNUMBER(P257),EXTRACTNUMBER(R257),
EXTRACTNUMBER(T257),EXTRACTNUMBER(V257),
EXTRACTNUMBER(X257),EXTRACTNUMBER(Z257),EXTRACTNUMBER(AB257),
EXTRACTNUMBER(AD257),EXTRACTNUMBER(AF257)),"*"),SUM(EXTRACTNUMBER(D257),EXTRACTNUMBER(F257),
EXTRACTNUMBER(H257),EXTRACTNUMBER(J257),
EXTRACTNUMBER(L257),EXTRACTNUMBER(N257),
EXTRACTNUMBER(P257),EXTRACTNUMBER(R257),
EXTRACTNUMBER(T257),EXTRACTNUMBER(V257),
EXTRACTNUMBER(X257),EXTRACTNUMBER(Z257),EXTRACTNUMBER(AB257),
EXTRACTNUMBER(AD257),EXTRACTNUMBER(AF257))))),SUM(EXTRACTNUMBER(D257),EXTRACTNUMBER(F257),
EXTRACTNUMBER(H257),EXTRACTNUMBER(J257),
EXTRACTNUMBER(L257),EXTRACTNUMBER(N257),
EXTRACTNUMBER(P257),EXTRACTNUMBER(R257),
EXTRACTNUMBER(T257),EXTRACTNUMBER(V257),
EXTRACTNUMBER(X257),EXTRACTNUMBER(Z257),EXTRACTNUMBER(AB257),
EXTRACTNUMBER(AD257),EXTRACTNUMBER(AF257)))</f>
        <v>35</v>
      </c>
      <c r="AI257" s="38" t="s">
        <v>420</v>
      </c>
      <c r="AJ257" s="28" t="str">
        <f>spellnumber(EXTRACTnUMBER_TOT(AH257))</f>
        <v xml:space="preserve">Thirty Five </v>
      </c>
      <c r="AK257" s="9">
        <v>35</v>
      </c>
    </row>
    <row r="258" spans="2:37" ht="15" customHeight="1">
      <c r="B258" s="40" t="s">
        <v>388</v>
      </c>
      <c r="C258" s="42" t="s">
        <v>389</v>
      </c>
      <c r="D258" s="33" t="s">
        <v>103</v>
      </c>
      <c r="E258" s="34" t="str">
        <f t="shared" si="50"/>
        <v/>
      </c>
      <c r="F258" s="35">
        <v>22</v>
      </c>
      <c r="G258" s="34" t="str">
        <f t="shared" si="51"/>
        <v>E</v>
      </c>
      <c r="H258" s="36" t="s">
        <v>103</v>
      </c>
      <c r="I258" s="34" t="str">
        <f t="shared" si="52"/>
        <v/>
      </c>
      <c r="J258" s="35">
        <v>23</v>
      </c>
      <c r="K258" s="34" t="str">
        <f t="shared" si="53"/>
        <v>E</v>
      </c>
      <c r="L258" s="35">
        <v>22</v>
      </c>
      <c r="M258" s="34" t="str">
        <f t="shared" si="54"/>
        <v>E</v>
      </c>
      <c r="N258" s="36">
        <v>6</v>
      </c>
      <c r="O258" s="34" t="str">
        <f t="shared" si="49"/>
        <v>F</v>
      </c>
      <c r="P258" s="35">
        <v>23</v>
      </c>
      <c r="Q258" s="37" t="str">
        <f t="shared" si="55"/>
        <v>E</v>
      </c>
      <c r="R258" s="33">
        <v>6</v>
      </c>
      <c r="S258" s="34" t="str">
        <f t="shared" si="56"/>
        <v>F</v>
      </c>
      <c r="T258" s="35">
        <v>22</v>
      </c>
      <c r="U258" s="37" t="str">
        <f t="shared" si="57"/>
        <v>E</v>
      </c>
      <c r="V258" s="33">
        <v>14</v>
      </c>
      <c r="W258" s="34" t="str">
        <f t="shared" si="58"/>
        <v>F</v>
      </c>
      <c r="X258" s="35">
        <v>22</v>
      </c>
      <c r="Y258" s="37" t="str">
        <f t="shared" si="59"/>
        <v>E</v>
      </c>
      <c r="Z258" s="35">
        <v>23</v>
      </c>
      <c r="AA258" s="37" t="str">
        <f t="shared" si="60"/>
        <v>E</v>
      </c>
      <c r="AB258" s="33">
        <v>22</v>
      </c>
      <c r="AC258" s="34" t="str">
        <f t="shared" si="61"/>
        <v>F</v>
      </c>
      <c r="AD258" s="35">
        <v>23</v>
      </c>
      <c r="AE258" s="34" t="str">
        <f t="shared" si="62"/>
        <v>E</v>
      </c>
      <c r="AF258" s="35">
        <v>45</v>
      </c>
      <c r="AG258" s="37" t="str">
        <f t="shared" si="63"/>
        <v>E</v>
      </c>
      <c r="AH258" s="4">
        <f>IF(OR(AND(D258&gt;=31,D258&lt;40),AND(H258&gt;=31,H258&lt;40),AND(N258&gt;=31,N258&lt;40),AND(R258&gt;=31,R258&lt;40),AND(V258&gt;=31,V258&lt;40),AND(AB258&gt;=31,AB258&lt;40)),IF(AND(OR(COUNTIF(D258:AG258,"=31")&gt;=1,COUNTIF(D258:AG258,"=32")&gt;=1,COUNTIF(D258:AG258,"=33")&gt;=1,COUNTIF(D258:AG258,"=34")&gt;=1,COUNTIF(D258:AG258,"=35")&gt;=1,COUNTIF(D258:AG258,"=36")&gt;=1 ),COUNTIF(D258:AG258,"")=0,COUNTIF(D258:AG258," ")=0,COUNTIF(D258:AG258,"F")=1),CONCATENATE(SUM(EXTRACTNUMBER(D258),EXTRACTNUMBER(F258),
EXTRACTNUMBER(H258),EXTRACTNUMBER(J258),
EXTRACTNUMBER(L258),EXTRACTNUMBER(N258),
EXTRACTNUMBER(P258),EXTRACTNUMBER(R258),
EXTRACTNUMBER(T258),EXTRACTNUMBER(V258),
EXTRACTNUMBER(X258),EXTRACTNUMBER(Z258),EXTRACTNUMBER(AB258),
EXTRACTNUMBER(AD258),EXTRACTNUMBER(AF258)),"*"),IF(AND(COUNTIF(D258:AG258,"=34")&gt;=1,COUNTIF(D258:AG258,"=35")&gt;=1,COUNTIF(D258:AG258,"f")=2,COUNTIF(D258:AG258,"")=0,COUNTIF(D258:AG258," ")=0),CONCATENATE(SUM(EXTRACTNUMBER(D258),EXTRACTNUMBER(F258),
EXTRACTNUMBER(H258),EXTRACTNUMBER(J258),
EXTRACTNUMBER(L258),EXTRACTNUMBER(N258),
EXTRACTNUMBER(P258),EXTRACTNUMBER(R258),
EXTRACTNUMBER(T258),EXTRACTNUMBER(V258),
EXTRACTNUMBER(X258),EXTRACTNUMBER(Z258),EXTRACTNUMBER(AB258),
EXTRACTNUMBER(AD258),EXTRACTNUMBER(AF258)),"*"),IF(AND(COUNTIF(D258:AG258,"=36")&gt;=2,COUNTIF(D258:AG258,"f")=2,COUNTIF(D258:AG258,"")=0,COUNTIF(D258:AG258," ")=0),CONCATENATE(SUM(EXTRACTNUMBER(D258),EXTRACTNUMBER(F258),
EXTRACTNUMBER(H258),EXTRACTNUMBER(J258),
EXTRACTNUMBER(L258),EXTRACTNUMBER(N258),
EXTRACTNUMBER(P258),EXTRACTNUMBER(R258),
EXTRACTNUMBER(T258),EXTRACTNUMBER(V258),
EXTRACTNUMBER(X258),EXTRACTNUMBER(Z258),EXTRACTNUMBER(AB258),
EXTRACTNUMBER(AD258),EXTRACTNUMBER(AF258)),"*"),SUM(EXTRACTNUMBER(D258),EXTRACTNUMBER(F258),
EXTRACTNUMBER(H258),EXTRACTNUMBER(J258),
EXTRACTNUMBER(L258),EXTRACTNUMBER(N258),
EXTRACTNUMBER(P258),EXTRACTNUMBER(R258),
EXTRACTNUMBER(T258),EXTRACTNUMBER(V258),
EXTRACTNUMBER(X258),EXTRACTNUMBER(Z258),EXTRACTNUMBER(AB258),
EXTRACTNUMBER(AD258),EXTRACTNUMBER(AF258))))),SUM(EXTRACTNUMBER(D258),EXTRACTNUMBER(F258),
EXTRACTNUMBER(H258),EXTRACTNUMBER(J258),
EXTRACTNUMBER(L258),EXTRACTNUMBER(N258),
EXTRACTNUMBER(P258),EXTRACTNUMBER(R258),
EXTRACTNUMBER(T258),EXTRACTNUMBER(V258),
EXTRACTNUMBER(X258),EXTRACTNUMBER(Z258),EXTRACTNUMBER(AB258),
EXTRACTNUMBER(AD258),EXTRACTNUMBER(AF258)))</f>
        <v>273</v>
      </c>
      <c r="AI258" s="38" t="str">
        <f t="shared" si="48"/>
        <v>FAIL</v>
      </c>
      <c r="AJ258" s="28" t="str">
        <f>spellnumber(EXTRACTnUMBER_TOT(AH258))</f>
        <v xml:space="preserve">Two Hundred Seventy Three </v>
      </c>
      <c r="AK258" s="9">
        <v>273</v>
      </c>
    </row>
    <row r="259" spans="2:37" ht="15" customHeight="1">
      <c r="B259" s="40" t="s">
        <v>390</v>
      </c>
      <c r="C259" s="42" t="s">
        <v>391</v>
      </c>
      <c r="D259" s="33" t="s">
        <v>103</v>
      </c>
      <c r="E259" s="34" t="str">
        <f t="shared" si="50"/>
        <v/>
      </c>
      <c r="F259" s="35" t="s">
        <v>103</v>
      </c>
      <c r="G259" s="34" t="str">
        <f t="shared" si="51"/>
        <v/>
      </c>
      <c r="H259" s="36" t="s">
        <v>103</v>
      </c>
      <c r="I259" s="34" t="str">
        <f t="shared" si="52"/>
        <v/>
      </c>
      <c r="J259" s="35" t="s">
        <v>103</v>
      </c>
      <c r="K259" s="34" t="str">
        <f t="shared" si="53"/>
        <v/>
      </c>
      <c r="L259" s="35" t="s">
        <v>103</v>
      </c>
      <c r="M259" s="34" t="str">
        <f t="shared" si="54"/>
        <v/>
      </c>
      <c r="N259" s="36" t="s">
        <v>103</v>
      </c>
      <c r="O259" s="34" t="str">
        <f t="shared" si="49"/>
        <v/>
      </c>
      <c r="P259" s="35" t="s">
        <v>103</v>
      </c>
      <c r="Q259" s="37" t="str">
        <f t="shared" si="55"/>
        <v/>
      </c>
      <c r="R259" s="33" t="s">
        <v>103</v>
      </c>
      <c r="S259" s="34" t="str">
        <f t="shared" si="56"/>
        <v/>
      </c>
      <c r="T259" s="35" t="s">
        <v>103</v>
      </c>
      <c r="U259" s="37" t="str">
        <f t="shared" si="57"/>
        <v/>
      </c>
      <c r="V259" s="33" t="s">
        <v>103</v>
      </c>
      <c r="W259" s="34" t="str">
        <f t="shared" si="58"/>
        <v/>
      </c>
      <c r="X259" s="35" t="s">
        <v>103</v>
      </c>
      <c r="Y259" s="37" t="str">
        <f t="shared" si="59"/>
        <v/>
      </c>
      <c r="Z259" s="35" t="s">
        <v>103</v>
      </c>
      <c r="AA259" s="37" t="str">
        <f t="shared" si="60"/>
        <v/>
      </c>
      <c r="AB259" s="33" t="s">
        <v>103</v>
      </c>
      <c r="AC259" s="34" t="str">
        <f t="shared" si="61"/>
        <v/>
      </c>
      <c r="AD259" s="35" t="s">
        <v>103</v>
      </c>
      <c r="AE259" s="34" t="str">
        <f t="shared" si="62"/>
        <v/>
      </c>
      <c r="AF259" s="35" t="s">
        <v>103</v>
      </c>
      <c r="AG259" s="37" t="str">
        <f t="shared" si="63"/>
        <v/>
      </c>
      <c r="AH259" s="4">
        <f>IF(OR(AND(D259&gt;=31,D259&lt;40),AND(H259&gt;=31,H259&lt;40),AND(N259&gt;=31,N259&lt;40),AND(R259&gt;=31,R259&lt;40),AND(V259&gt;=31,V259&lt;40),AND(AB259&gt;=31,AB259&lt;40)),IF(AND(OR(COUNTIF(D259:AG259,"=31")&gt;=1,COUNTIF(D259:AG259,"=32")&gt;=1,COUNTIF(D259:AG259,"=33")&gt;=1,COUNTIF(D259:AG259,"=34")&gt;=1,COUNTIF(D259:AG259,"=35")&gt;=1,COUNTIF(D259:AG259,"=36")&gt;=1 ),COUNTIF(D259:AG259,"")=0,COUNTIF(D259:AG259," ")=0,COUNTIF(D259:AG259,"F")=1),CONCATENATE(SUM(EXTRACTNUMBER(D259),EXTRACTNUMBER(F259),
EXTRACTNUMBER(H259),EXTRACTNUMBER(J259),
EXTRACTNUMBER(L259),EXTRACTNUMBER(N259),
EXTRACTNUMBER(P259),EXTRACTNUMBER(R259),
EXTRACTNUMBER(T259),EXTRACTNUMBER(V259),
EXTRACTNUMBER(X259),EXTRACTNUMBER(Z259),EXTRACTNUMBER(AB259),
EXTRACTNUMBER(AD259),EXTRACTNUMBER(AF259)),"*"),IF(AND(COUNTIF(D259:AG259,"=34")&gt;=1,COUNTIF(D259:AG259,"=35")&gt;=1,COUNTIF(D259:AG259,"f")=2,COUNTIF(D259:AG259,"")=0,COUNTIF(D259:AG259," ")=0),CONCATENATE(SUM(EXTRACTNUMBER(D259),EXTRACTNUMBER(F259),
EXTRACTNUMBER(H259),EXTRACTNUMBER(J259),
EXTRACTNUMBER(L259),EXTRACTNUMBER(N259),
EXTRACTNUMBER(P259),EXTRACTNUMBER(R259),
EXTRACTNUMBER(T259),EXTRACTNUMBER(V259),
EXTRACTNUMBER(X259),EXTRACTNUMBER(Z259),EXTRACTNUMBER(AB259),
EXTRACTNUMBER(AD259),EXTRACTNUMBER(AF259)),"*"),IF(AND(COUNTIF(D259:AG259,"=36")&gt;=2,COUNTIF(D259:AG259,"f")=2,COUNTIF(D259:AG259,"")=0,COUNTIF(D259:AG259," ")=0),CONCATENATE(SUM(EXTRACTNUMBER(D259),EXTRACTNUMBER(F259),
EXTRACTNUMBER(H259),EXTRACTNUMBER(J259),
EXTRACTNUMBER(L259),EXTRACTNUMBER(N259),
EXTRACTNUMBER(P259),EXTRACTNUMBER(R259),
EXTRACTNUMBER(T259),EXTRACTNUMBER(V259),
EXTRACTNUMBER(X259),EXTRACTNUMBER(Z259),EXTRACTNUMBER(AB259),
EXTRACTNUMBER(AD259),EXTRACTNUMBER(AF259)),"*"),SUM(EXTRACTNUMBER(D259),EXTRACTNUMBER(F259),
EXTRACTNUMBER(H259),EXTRACTNUMBER(J259),
EXTRACTNUMBER(L259),EXTRACTNUMBER(N259),
EXTRACTNUMBER(P259),EXTRACTNUMBER(R259),
EXTRACTNUMBER(T259),EXTRACTNUMBER(V259),
EXTRACTNUMBER(X259),EXTRACTNUMBER(Z259),EXTRACTNUMBER(AB259),
EXTRACTNUMBER(AD259),EXTRACTNUMBER(AF259))))),SUM(EXTRACTNUMBER(D259),EXTRACTNUMBER(F259),
EXTRACTNUMBER(H259),EXTRACTNUMBER(J259),
EXTRACTNUMBER(L259),EXTRACTNUMBER(N259),
EXTRACTNUMBER(P259),EXTRACTNUMBER(R259),
EXTRACTNUMBER(T259),EXTRACTNUMBER(V259),
EXTRACTNUMBER(X259),EXTRACTNUMBER(Z259),EXTRACTNUMBER(AB259),
EXTRACTNUMBER(AD259),EXTRACTNUMBER(AF259)))</f>
        <v>0</v>
      </c>
      <c r="AI259" s="38" t="str">
        <f t="shared" si="48"/>
        <v>ABSENT</v>
      </c>
      <c r="AJ259" s="28" t="str">
        <f>spellnumber(EXTRACTnUMBER_TOT(AH259))</f>
        <v xml:space="preserve"> </v>
      </c>
      <c r="AK259" s="9">
        <v>0</v>
      </c>
    </row>
    <row r="260" spans="2:37" ht="15" customHeight="1">
      <c r="B260" s="40" t="s">
        <v>392</v>
      </c>
      <c r="C260" s="42" t="s">
        <v>393</v>
      </c>
      <c r="D260" s="33" t="s">
        <v>103</v>
      </c>
      <c r="E260" s="34" t="str">
        <f t="shared" si="50"/>
        <v/>
      </c>
      <c r="F260" s="35" t="s">
        <v>103</v>
      </c>
      <c r="G260" s="34" t="str">
        <f t="shared" si="51"/>
        <v/>
      </c>
      <c r="H260" s="36" t="s">
        <v>103</v>
      </c>
      <c r="I260" s="34" t="str">
        <f t="shared" si="52"/>
        <v/>
      </c>
      <c r="J260" s="35" t="s">
        <v>103</v>
      </c>
      <c r="K260" s="34" t="str">
        <f t="shared" si="53"/>
        <v/>
      </c>
      <c r="L260" s="35" t="s">
        <v>103</v>
      </c>
      <c r="M260" s="34" t="str">
        <f t="shared" si="54"/>
        <v/>
      </c>
      <c r="N260" s="36" t="s">
        <v>103</v>
      </c>
      <c r="O260" s="34" t="str">
        <f t="shared" si="49"/>
        <v/>
      </c>
      <c r="P260" s="35" t="s">
        <v>103</v>
      </c>
      <c r="Q260" s="37" t="str">
        <f t="shared" si="55"/>
        <v/>
      </c>
      <c r="R260" s="33" t="s">
        <v>103</v>
      </c>
      <c r="S260" s="34" t="str">
        <f t="shared" si="56"/>
        <v/>
      </c>
      <c r="T260" s="35" t="s">
        <v>103</v>
      </c>
      <c r="U260" s="37" t="str">
        <f t="shared" si="57"/>
        <v/>
      </c>
      <c r="V260" s="33" t="s">
        <v>103</v>
      </c>
      <c r="W260" s="34" t="str">
        <f t="shared" si="58"/>
        <v/>
      </c>
      <c r="X260" s="35" t="s">
        <v>103</v>
      </c>
      <c r="Y260" s="37" t="str">
        <f t="shared" si="59"/>
        <v/>
      </c>
      <c r="Z260" s="35" t="s">
        <v>103</v>
      </c>
      <c r="AA260" s="37" t="str">
        <f t="shared" si="60"/>
        <v/>
      </c>
      <c r="AB260" s="33" t="s">
        <v>103</v>
      </c>
      <c r="AC260" s="34" t="str">
        <f t="shared" si="61"/>
        <v/>
      </c>
      <c r="AD260" s="35" t="s">
        <v>103</v>
      </c>
      <c r="AE260" s="34" t="str">
        <f t="shared" si="62"/>
        <v/>
      </c>
      <c r="AF260" s="35" t="s">
        <v>103</v>
      </c>
      <c r="AG260" s="37" t="str">
        <f t="shared" si="63"/>
        <v/>
      </c>
      <c r="AH260" s="4">
        <f>IF(OR(AND(D260&gt;=31,D260&lt;40),AND(H260&gt;=31,H260&lt;40),AND(N260&gt;=31,N260&lt;40),AND(R260&gt;=31,R260&lt;40),AND(V260&gt;=31,V260&lt;40),AND(AB260&gt;=31,AB260&lt;40)),IF(AND(OR(COUNTIF(D260:AG260,"=31")&gt;=1,COUNTIF(D260:AG260,"=32")&gt;=1,COUNTIF(D260:AG260,"=33")&gt;=1,COUNTIF(D260:AG260,"=34")&gt;=1,COUNTIF(D260:AG260,"=35")&gt;=1,COUNTIF(D260:AG260,"=36")&gt;=1 ),COUNTIF(D260:AG260,"")=0,COUNTIF(D260:AG260," ")=0,COUNTIF(D260:AG260,"F")=1),CONCATENATE(SUM(EXTRACTNUMBER(D260),EXTRACTNUMBER(F260),
EXTRACTNUMBER(H260),EXTRACTNUMBER(J260),
EXTRACTNUMBER(L260),EXTRACTNUMBER(N260),
EXTRACTNUMBER(P260),EXTRACTNUMBER(R260),
EXTRACTNUMBER(T260),EXTRACTNUMBER(V260),
EXTRACTNUMBER(X260),EXTRACTNUMBER(Z260),EXTRACTNUMBER(AB260),
EXTRACTNUMBER(AD260),EXTRACTNUMBER(AF260)),"*"),IF(AND(COUNTIF(D260:AG260,"=34")&gt;=1,COUNTIF(D260:AG260,"=35")&gt;=1,COUNTIF(D260:AG260,"f")=2,COUNTIF(D260:AG260,"")=0,COUNTIF(D260:AG260," ")=0),CONCATENATE(SUM(EXTRACTNUMBER(D260),EXTRACTNUMBER(F260),
EXTRACTNUMBER(H260),EXTRACTNUMBER(J260),
EXTRACTNUMBER(L260),EXTRACTNUMBER(N260),
EXTRACTNUMBER(P260),EXTRACTNUMBER(R260),
EXTRACTNUMBER(T260),EXTRACTNUMBER(V260),
EXTRACTNUMBER(X260),EXTRACTNUMBER(Z260),EXTRACTNUMBER(AB260),
EXTRACTNUMBER(AD260),EXTRACTNUMBER(AF260)),"*"),IF(AND(COUNTIF(D260:AG260,"=36")&gt;=2,COUNTIF(D260:AG260,"f")=2,COUNTIF(D260:AG260,"")=0,COUNTIF(D260:AG260," ")=0),CONCATENATE(SUM(EXTRACTNUMBER(D260),EXTRACTNUMBER(F260),
EXTRACTNUMBER(H260),EXTRACTNUMBER(J260),
EXTRACTNUMBER(L260),EXTRACTNUMBER(N260),
EXTRACTNUMBER(P260),EXTRACTNUMBER(R260),
EXTRACTNUMBER(T260),EXTRACTNUMBER(V260),
EXTRACTNUMBER(X260),EXTRACTNUMBER(Z260),EXTRACTNUMBER(AB260),
EXTRACTNUMBER(AD260),EXTRACTNUMBER(AF260)),"*"),SUM(EXTRACTNUMBER(D260),EXTRACTNUMBER(F260),
EXTRACTNUMBER(H260),EXTRACTNUMBER(J260),
EXTRACTNUMBER(L260),EXTRACTNUMBER(N260),
EXTRACTNUMBER(P260),EXTRACTNUMBER(R260),
EXTRACTNUMBER(T260),EXTRACTNUMBER(V260),
EXTRACTNUMBER(X260),EXTRACTNUMBER(Z260),EXTRACTNUMBER(AB260),
EXTRACTNUMBER(AD260),EXTRACTNUMBER(AF260))))),SUM(EXTRACTNUMBER(D260),EXTRACTNUMBER(F260),
EXTRACTNUMBER(H260),EXTRACTNUMBER(J260),
EXTRACTNUMBER(L260),EXTRACTNUMBER(N260),
EXTRACTNUMBER(P260),EXTRACTNUMBER(R260),
EXTRACTNUMBER(T260),EXTRACTNUMBER(V260),
EXTRACTNUMBER(X260),EXTRACTNUMBER(Z260),EXTRACTNUMBER(AB260),
EXTRACTNUMBER(AD260),EXTRACTNUMBER(AF260)))</f>
        <v>0</v>
      </c>
      <c r="AI260" s="38" t="str">
        <f t="shared" si="48"/>
        <v>ABSENT</v>
      </c>
      <c r="AJ260" s="28" t="str">
        <f>spellnumber(EXTRACTnUMBER_TOT(AH260))</f>
        <v xml:space="preserve"> </v>
      </c>
      <c r="AK260" s="9">
        <v>0</v>
      </c>
    </row>
    <row r="261" spans="2:37" ht="15" customHeight="1">
      <c r="B261" s="40" t="s">
        <v>394</v>
      </c>
      <c r="C261" s="42" t="s">
        <v>395</v>
      </c>
      <c r="D261" s="33" t="s">
        <v>103</v>
      </c>
      <c r="E261" s="34" t="str">
        <f t="shared" si="50"/>
        <v/>
      </c>
      <c r="F261" s="35" t="s">
        <v>103</v>
      </c>
      <c r="G261" s="34" t="str">
        <f t="shared" si="51"/>
        <v/>
      </c>
      <c r="H261" s="36" t="s">
        <v>103</v>
      </c>
      <c r="I261" s="34" t="str">
        <f t="shared" si="52"/>
        <v/>
      </c>
      <c r="J261" s="35" t="s">
        <v>103</v>
      </c>
      <c r="K261" s="34" t="str">
        <f t="shared" si="53"/>
        <v/>
      </c>
      <c r="L261" s="35" t="s">
        <v>103</v>
      </c>
      <c r="M261" s="34" t="str">
        <f t="shared" si="54"/>
        <v/>
      </c>
      <c r="N261" s="36" t="s">
        <v>103</v>
      </c>
      <c r="O261" s="34" t="str">
        <f t="shared" si="49"/>
        <v/>
      </c>
      <c r="P261" s="35" t="s">
        <v>103</v>
      </c>
      <c r="Q261" s="37" t="str">
        <f t="shared" si="55"/>
        <v/>
      </c>
      <c r="R261" s="33" t="s">
        <v>103</v>
      </c>
      <c r="S261" s="34" t="str">
        <f t="shared" si="56"/>
        <v/>
      </c>
      <c r="T261" s="35" t="s">
        <v>103</v>
      </c>
      <c r="U261" s="37" t="str">
        <f t="shared" si="57"/>
        <v/>
      </c>
      <c r="V261" s="33" t="s">
        <v>103</v>
      </c>
      <c r="W261" s="34" t="str">
        <f t="shared" si="58"/>
        <v/>
      </c>
      <c r="X261" s="35" t="s">
        <v>103</v>
      </c>
      <c r="Y261" s="37" t="str">
        <f t="shared" si="59"/>
        <v/>
      </c>
      <c r="Z261" s="35" t="s">
        <v>103</v>
      </c>
      <c r="AA261" s="37" t="str">
        <f t="shared" si="60"/>
        <v/>
      </c>
      <c r="AB261" s="33" t="s">
        <v>103</v>
      </c>
      <c r="AC261" s="34" t="str">
        <f t="shared" si="61"/>
        <v/>
      </c>
      <c r="AD261" s="35" t="s">
        <v>103</v>
      </c>
      <c r="AE261" s="34" t="str">
        <f t="shared" si="62"/>
        <v/>
      </c>
      <c r="AF261" s="35" t="s">
        <v>103</v>
      </c>
      <c r="AG261" s="37" t="str">
        <f t="shared" si="63"/>
        <v/>
      </c>
      <c r="AH261" s="4">
        <f>IF(OR(AND(D261&gt;=31,D261&lt;40),AND(H261&gt;=31,H261&lt;40),AND(N261&gt;=31,N261&lt;40),AND(R261&gt;=31,R261&lt;40),AND(V261&gt;=31,V261&lt;40),AND(AB261&gt;=31,AB261&lt;40)),IF(AND(OR(COUNTIF(D261:AG261,"=31")&gt;=1,COUNTIF(D261:AG261,"=32")&gt;=1,COUNTIF(D261:AG261,"=33")&gt;=1,COUNTIF(D261:AG261,"=34")&gt;=1,COUNTIF(D261:AG261,"=35")&gt;=1,COUNTIF(D261:AG261,"=36")&gt;=1 ),COUNTIF(D261:AG261,"")=0,COUNTIF(D261:AG261," ")=0,COUNTIF(D261:AG261,"F")=1),CONCATENATE(SUM(EXTRACTNUMBER(D261),EXTRACTNUMBER(F261),
EXTRACTNUMBER(H261),EXTRACTNUMBER(J261),
EXTRACTNUMBER(L261),EXTRACTNUMBER(N261),
EXTRACTNUMBER(P261),EXTRACTNUMBER(R261),
EXTRACTNUMBER(T261),EXTRACTNUMBER(V261),
EXTRACTNUMBER(X261),EXTRACTNUMBER(Z261),EXTRACTNUMBER(AB261),
EXTRACTNUMBER(AD261),EXTRACTNUMBER(AF261)),"*"),IF(AND(COUNTIF(D261:AG261,"=34")&gt;=1,COUNTIF(D261:AG261,"=35")&gt;=1,COUNTIF(D261:AG261,"f")=2,COUNTIF(D261:AG261,"")=0,COUNTIF(D261:AG261," ")=0),CONCATENATE(SUM(EXTRACTNUMBER(D261),EXTRACTNUMBER(F261),
EXTRACTNUMBER(H261),EXTRACTNUMBER(J261),
EXTRACTNUMBER(L261),EXTRACTNUMBER(N261),
EXTRACTNUMBER(P261),EXTRACTNUMBER(R261),
EXTRACTNUMBER(T261),EXTRACTNUMBER(V261),
EXTRACTNUMBER(X261),EXTRACTNUMBER(Z261),EXTRACTNUMBER(AB261),
EXTRACTNUMBER(AD261),EXTRACTNUMBER(AF261)),"*"),IF(AND(COUNTIF(D261:AG261,"=36")&gt;=2,COUNTIF(D261:AG261,"f")=2,COUNTIF(D261:AG261,"")=0,COUNTIF(D261:AG261," ")=0),CONCATENATE(SUM(EXTRACTNUMBER(D261),EXTRACTNUMBER(F261),
EXTRACTNUMBER(H261),EXTRACTNUMBER(J261),
EXTRACTNUMBER(L261),EXTRACTNUMBER(N261),
EXTRACTNUMBER(P261),EXTRACTNUMBER(R261),
EXTRACTNUMBER(T261),EXTRACTNUMBER(V261),
EXTRACTNUMBER(X261),EXTRACTNUMBER(Z261),EXTRACTNUMBER(AB261),
EXTRACTNUMBER(AD261),EXTRACTNUMBER(AF261)),"*"),SUM(EXTRACTNUMBER(D261),EXTRACTNUMBER(F261),
EXTRACTNUMBER(H261),EXTRACTNUMBER(J261),
EXTRACTNUMBER(L261),EXTRACTNUMBER(N261),
EXTRACTNUMBER(P261),EXTRACTNUMBER(R261),
EXTRACTNUMBER(T261),EXTRACTNUMBER(V261),
EXTRACTNUMBER(X261),EXTRACTNUMBER(Z261),EXTRACTNUMBER(AB261),
EXTRACTNUMBER(AD261),EXTRACTNUMBER(AF261))))),SUM(EXTRACTNUMBER(D261),EXTRACTNUMBER(F261),
EXTRACTNUMBER(H261),EXTRACTNUMBER(J261),
EXTRACTNUMBER(L261),EXTRACTNUMBER(N261),
EXTRACTNUMBER(P261),EXTRACTNUMBER(R261),
EXTRACTNUMBER(T261),EXTRACTNUMBER(V261),
EXTRACTNUMBER(X261),EXTRACTNUMBER(Z261),EXTRACTNUMBER(AB261),
EXTRACTNUMBER(AD261),EXTRACTNUMBER(AF261)))</f>
        <v>0</v>
      </c>
      <c r="AI261" s="38" t="str">
        <f t="shared" si="48"/>
        <v>ABSENT</v>
      </c>
      <c r="AJ261" s="28" t="str">
        <f>spellnumber(EXTRACTnUMBER_TOT(AH261))</f>
        <v xml:space="preserve"> </v>
      </c>
      <c r="AK261" s="9">
        <v>0</v>
      </c>
    </row>
    <row r="262" spans="2:37" ht="15" customHeight="1">
      <c r="B262" s="40" t="s">
        <v>396</v>
      </c>
      <c r="C262" s="42" t="s">
        <v>397</v>
      </c>
      <c r="D262" s="33" t="s">
        <v>103</v>
      </c>
      <c r="E262" s="34" t="str">
        <f t="shared" si="50"/>
        <v/>
      </c>
      <c r="F262" s="35" t="s">
        <v>103</v>
      </c>
      <c r="G262" s="34" t="str">
        <f t="shared" si="51"/>
        <v/>
      </c>
      <c r="H262" s="36" t="s">
        <v>103</v>
      </c>
      <c r="I262" s="34" t="str">
        <f t="shared" si="52"/>
        <v/>
      </c>
      <c r="J262" s="35" t="s">
        <v>103</v>
      </c>
      <c r="K262" s="34" t="str">
        <f t="shared" si="53"/>
        <v/>
      </c>
      <c r="L262" s="35" t="s">
        <v>103</v>
      </c>
      <c r="M262" s="34" t="str">
        <f t="shared" si="54"/>
        <v/>
      </c>
      <c r="N262" s="36" t="s">
        <v>103</v>
      </c>
      <c r="O262" s="34" t="str">
        <f t="shared" si="49"/>
        <v/>
      </c>
      <c r="P262" s="35" t="s">
        <v>103</v>
      </c>
      <c r="Q262" s="37" t="str">
        <f t="shared" si="55"/>
        <v/>
      </c>
      <c r="R262" s="33" t="s">
        <v>103</v>
      </c>
      <c r="S262" s="34" t="str">
        <f t="shared" si="56"/>
        <v/>
      </c>
      <c r="T262" s="35" t="s">
        <v>103</v>
      </c>
      <c r="U262" s="37" t="str">
        <f t="shared" si="57"/>
        <v/>
      </c>
      <c r="V262" s="33" t="s">
        <v>103</v>
      </c>
      <c r="W262" s="34" t="str">
        <f t="shared" si="58"/>
        <v/>
      </c>
      <c r="X262" s="35" t="s">
        <v>103</v>
      </c>
      <c r="Y262" s="37" t="str">
        <f t="shared" si="59"/>
        <v/>
      </c>
      <c r="Z262" s="35" t="s">
        <v>103</v>
      </c>
      <c r="AA262" s="37" t="str">
        <f t="shared" si="60"/>
        <v/>
      </c>
      <c r="AB262" s="33" t="s">
        <v>103</v>
      </c>
      <c r="AC262" s="34" t="str">
        <f t="shared" si="61"/>
        <v/>
      </c>
      <c r="AD262" s="35" t="s">
        <v>103</v>
      </c>
      <c r="AE262" s="34" t="str">
        <f t="shared" si="62"/>
        <v/>
      </c>
      <c r="AF262" s="35" t="s">
        <v>103</v>
      </c>
      <c r="AG262" s="37" t="str">
        <f t="shared" si="63"/>
        <v/>
      </c>
      <c r="AH262" s="4">
        <f>IF(OR(AND(D262&gt;=31,D262&lt;40),AND(H262&gt;=31,H262&lt;40),AND(N262&gt;=31,N262&lt;40),AND(R262&gt;=31,R262&lt;40),AND(V262&gt;=31,V262&lt;40),AND(AB262&gt;=31,AB262&lt;40)),IF(AND(OR(COUNTIF(D262:AG262,"=31")&gt;=1,COUNTIF(D262:AG262,"=32")&gt;=1,COUNTIF(D262:AG262,"=33")&gt;=1,COUNTIF(D262:AG262,"=34")&gt;=1,COUNTIF(D262:AG262,"=35")&gt;=1,COUNTIF(D262:AG262,"=36")&gt;=1 ),COUNTIF(D262:AG262,"")=0,COUNTIF(D262:AG262," ")=0,COUNTIF(D262:AG262,"F")=1),CONCATENATE(SUM(EXTRACTNUMBER(D262),EXTRACTNUMBER(F262),
EXTRACTNUMBER(H262),EXTRACTNUMBER(J262),
EXTRACTNUMBER(L262),EXTRACTNUMBER(N262),
EXTRACTNUMBER(P262),EXTRACTNUMBER(R262),
EXTRACTNUMBER(T262),EXTRACTNUMBER(V262),
EXTRACTNUMBER(X262),EXTRACTNUMBER(Z262),EXTRACTNUMBER(AB262),
EXTRACTNUMBER(AD262),EXTRACTNUMBER(AF262)),"*"),IF(AND(COUNTIF(D262:AG262,"=34")&gt;=1,COUNTIF(D262:AG262,"=35")&gt;=1,COUNTIF(D262:AG262,"f")=2,COUNTIF(D262:AG262,"")=0,COUNTIF(D262:AG262," ")=0),CONCATENATE(SUM(EXTRACTNUMBER(D262),EXTRACTNUMBER(F262),
EXTRACTNUMBER(H262),EXTRACTNUMBER(J262),
EXTRACTNUMBER(L262),EXTRACTNUMBER(N262),
EXTRACTNUMBER(P262),EXTRACTNUMBER(R262),
EXTRACTNUMBER(T262),EXTRACTNUMBER(V262),
EXTRACTNUMBER(X262),EXTRACTNUMBER(Z262),EXTRACTNUMBER(AB262),
EXTRACTNUMBER(AD262),EXTRACTNUMBER(AF262)),"*"),IF(AND(COUNTIF(D262:AG262,"=36")&gt;=2,COUNTIF(D262:AG262,"f")=2,COUNTIF(D262:AG262,"")=0,COUNTIF(D262:AG262," ")=0),CONCATENATE(SUM(EXTRACTNUMBER(D262),EXTRACTNUMBER(F262),
EXTRACTNUMBER(H262),EXTRACTNUMBER(J262),
EXTRACTNUMBER(L262),EXTRACTNUMBER(N262),
EXTRACTNUMBER(P262),EXTRACTNUMBER(R262),
EXTRACTNUMBER(T262),EXTRACTNUMBER(V262),
EXTRACTNUMBER(X262),EXTRACTNUMBER(Z262),EXTRACTNUMBER(AB262),
EXTRACTNUMBER(AD262),EXTRACTNUMBER(AF262)),"*"),SUM(EXTRACTNUMBER(D262),EXTRACTNUMBER(F262),
EXTRACTNUMBER(H262),EXTRACTNUMBER(J262),
EXTRACTNUMBER(L262),EXTRACTNUMBER(N262),
EXTRACTNUMBER(P262),EXTRACTNUMBER(R262),
EXTRACTNUMBER(T262),EXTRACTNUMBER(V262),
EXTRACTNUMBER(X262),EXTRACTNUMBER(Z262),EXTRACTNUMBER(AB262),
EXTRACTNUMBER(AD262),EXTRACTNUMBER(AF262))))),SUM(EXTRACTNUMBER(D262),EXTRACTNUMBER(F262),
EXTRACTNUMBER(H262),EXTRACTNUMBER(J262),
EXTRACTNUMBER(L262),EXTRACTNUMBER(N262),
EXTRACTNUMBER(P262),EXTRACTNUMBER(R262),
EXTRACTNUMBER(T262),EXTRACTNUMBER(V262),
EXTRACTNUMBER(X262),EXTRACTNUMBER(Z262),EXTRACTNUMBER(AB262),
EXTRACTNUMBER(AD262),EXTRACTNUMBER(AF262)))</f>
        <v>0</v>
      </c>
      <c r="AI262" s="38" t="str">
        <f t="shared" si="48"/>
        <v>ABSENT</v>
      </c>
      <c r="AJ262" s="28" t="str">
        <f>spellnumber(EXTRACTnUMBER_TOT(AH262))</f>
        <v xml:space="preserve"> </v>
      </c>
      <c r="AK262" s="9">
        <v>0</v>
      </c>
    </row>
    <row r="263" spans="2:37" ht="15" customHeight="1">
      <c r="B263" s="40" t="s">
        <v>398</v>
      </c>
      <c r="C263" s="42" t="s">
        <v>399</v>
      </c>
      <c r="D263" s="33" t="s">
        <v>103</v>
      </c>
      <c r="E263" s="34" t="str">
        <f t="shared" si="50"/>
        <v/>
      </c>
      <c r="F263" s="35" t="s">
        <v>103</v>
      </c>
      <c r="G263" s="34" t="str">
        <f t="shared" si="51"/>
        <v/>
      </c>
      <c r="H263" s="36" t="s">
        <v>103</v>
      </c>
      <c r="I263" s="34" t="str">
        <f t="shared" si="52"/>
        <v/>
      </c>
      <c r="J263" s="35" t="s">
        <v>103</v>
      </c>
      <c r="K263" s="34" t="str">
        <f t="shared" si="53"/>
        <v/>
      </c>
      <c r="L263" s="35" t="s">
        <v>103</v>
      </c>
      <c r="M263" s="34" t="str">
        <f t="shared" si="54"/>
        <v/>
      </c>
      <c r="N263" s="36" t="s">
        <v>103</v>
      </c>
      <c r="O263" s="34" t="str">
        <f t="shared" si="49"/>
        <v/>
      </c>
      <c r="P263" s="35" t="s">
        <v>103</v>
      </c>
      <c r="Q263" s="37" t="str">
        <f t="shared" si="55"/>
        <v/>
      </c>
      <c r="R263" s="33" t="s">
        <v>103</v>
      </c>
      <c r="S263" s="34" t="str">
        <f t="shared" si="56"/>
        <v/>
      </c>
      <c r="T263" s="35" t="s">
        <v>103</v>
      </c>
      <c r="U263" s="37" t="str">
        <f t="shared" si="57"/>
        <v/>
      </c>
      <c r="V263" s="33" t="s">
        <v>103</v>
      </c>
      <c r="W263" s="34" t="str">
        <f t="shared" si="58"/>
        <v/>
      </c>
      <c r="X263" s="35" t="s">
        <v>103</v>
      </c>
      <c r="Y263" s="37" t="str">
        <f t="shared" si="59"/>
        <v/>
      </c>
      <c r="Z263" s="35" t="s">
        <v>103</v>
      </c>
      <c r="AA263" s="37" t="str">
        <f t="shared" si="60"/>
        <v/>
      </c>
      <c r="AB263" s="33" t="s">
        <v>103</v>
      </c>
      <c r="AC263" s="34" t="str">
        <f t="shared" si="61"/>
        <v/>
      </c>
      <c r="AD263" s="35" t="s">
        <v>103</v>
      </c>
      <c r="AE263" s="34" t="str">
        <f t="shared" si="62"/>
        <v/>
      </c>
      <c r="AF263" s="35" t="s">
        <v>103</v>
      </c>
      <c r="AG263" s="37" t="str">
        <f t="shared" si="63"/>
        <v/>
      </c>
      <c r="AH263" s="4">
        <f>IF(OR(AND(D263&gt;=31,D263&lt;40),AND(H263&gt;=31,H263&lt;40),AND(N263&gt;=31,N263&lt;40),AND(R263&gt;=31,R263&lt;40),AND(V263&gt;=31,V263&lt;40),AND(AB263&gt;=31,AB263&lt;40)),IF(AND(OR(COUNTIF(D263:AG263,"=31")&gt;=1,COUNTIF(D263:AG263,"=32")&gt;=1,COUNTIF(D263:AG263,"=33")&gt;=1,COUNTIF(D263:AG263,"=34")&gt;=1,COUNTIF(D263:AG263,"=35")&gt;=1,COUNTIF(D263:AG263,"=36")&gt;=1 ),COUNTIF(D263:AG263,"")=0,COUNTIF(D263:AG263," ")=0,COUNTIF(D263:AG263,"F")=1),CONCATENATE(SUM(EXTRACTNUMBER(D263),EXTRACTNUMBER(F263),
EXTRACTNUMBER(H263),EXTRACTNUMBER(J263),
EXTRACTNUMBER(L263),EXTRACTNUMBER(N263),
EXTRACTNUMBER(P263),EXTRACTNUMBER(R263),
EXTRACTNUMBER(T263),EXTRACTNUMBER(V263),
EXTRACTNUMBER(X263),EXTRACTNUMBER(Z263),EXTRACTNUMBER(AB263),
EXTRACTNUMBER(AD263),EXTRACTNUMBER(AF263)),"*"),IF(AND(COUNTIF(D263:AG263,"=34")&gt;=1,COUNTIF(D263:AG263,"=35")&gt;=1,COUNTIF(D263:AG263,"f")=2,COUNTIF(D263:AG263,"")=0,COUNTIF(D263:AG263," ")=0),CONCATENATE(SUM(EXTRACTNUMBER(D263),EXTRACTNUMBER(F263),
EXTRACTNUMBER(H263),EXTRACTNUMBER(J263),
EXTRACTNUMBER(L263),EXTRACTNUMBER(N263),
EXTRACTNUMBER(P263),EXTRACTNUMBER(R263),
EXTRACTNUMBER(T263),EXTRACTNUMBER(V263),
EXTRACTNUMBER(X263),EXTRACTNUMBER(Z263),EXTRACTNUMBER(AB263),
EXTRACTNUMBER(AD263),EXTRACTNUMBER(AF263)),"*"),IF(AND(COUNTIF(D263:AG263,"=36")&gt;=2,COUNTIF(D263:AG263,"f")=2,COUNTIF(D263:AG263,"")=0,COUNTIF(D263:AG263," ")=0),CONCATENATE(SUM(EXTRACTNUMBER(D263),EXTRACTNUMBER(F263),
EXTRACTNUMBER(H263),EXTRACTNUMBER(J263),
EXTRACTNUMBER(L263),EXTRACTNUMBER(N263),
EXTRACTNUMBER(P263),EXTRACTNUMBER(R263),
EXTRACTNUMBER(T263),EXTRACTNUMBER(V263),
EXTRACTNUMBER(X263),EXTRACTNUMBER(Z263),EXTRACTNUMBER(AB263),
EXTRACTNUMBER(AD263),EXTRACTNUMBER(AF263)),"*"),SUM(EXTRACTNUMBER(D263),EXTRACTNUMBER(F263),
EXTRACTNUMBER(H263),EXTRACTNUMBER(J263),
EXTRACTNUMBER(L263),EXTRACTNUMBER(N263),
EXTRACTNUMBER(P263),EXTRACTNUMBER(R263),
EXTRACTNUMBER(T263),EXTRACTNUMBER(V263),
EXTRACTNUMBER(X263),EXTRACTNUMBER(Z263),EXTRACTNUMBER(AB263),
EXTRACTNUMBER(AD263),EXTRACTNUMBER(AF263))))),SUM(EXTRACTNUMBER(D263),EXTRACTNUMBER(F263),
EXTRACTNUMBER(H263),EXTRACTNUMBER(J263),
EXTRACTNUMBER(L263),EXTRACTNUMBER(N263),
EXTRACTNUMBER(P263),EXTRACTNUMBER(R263),
EXTRACTNUMBER(T263),EXTRACTNUMBER(V263),
EXTRACTNUMBER(X263),EXTRACTNUMBER(Z263),EXTRACTNUMBER(AB263),
EXTRACTNUMBER(AD263),EXTRACTNUMBER(AF263)))</f>
        <v>0</v>
      </c>
      <c r="AI263" s="38" t="str">
        <f t="shared" si="48"/>
        <v>ABSENT</v>
      </c>
      <c r="AJ263" s="28" t="str">
        <f>spellnumber(EXTRACTnUMBER_TOT(AH263))</f>
        <v xml:space="preserve"> </v>
      </c>
      <c r="AK263" s="9">
        <v>0</v>
      </c>
    </row>
    <row r="264" spans="2:37" ht="15" customHeight="1">
      <c r="B264" s="40" t="s">
        <v>400</v>
      </c>
      <c r="C264" s="42" t="s">
        <v>401</v>
      </c>
      <c r="D264" s="33" t="s">
        <v>103</v>
      </c>
      <c r="E264" s="34" t="str">
        <f t="shared" si="50"/>
        <v/>
      </c>
      <c r="F264" s="35" t="s">
        <v>103</v>
      </c>
      <c r="G264" s="34" t="str">
        <f t="shared" si="51"/>
        <v/>
      </c>
      <c r="H264" s="36" t="s">
        <v>103</v>
      </c>
      <c r="I264" s="34" t="str">
        <f t="shared" si="52"/>
        <v/>
      </c>
      <c r="J264" s="35" t="s">
        <v>103</v>
      </c>
      <c r="K264" s="34" t="str">
        <f t="shared" si="53"/>
        <v/>
      </c>
      <c r="L264" s="35" t="s">
        <v>103</v>
      </c>
      <c r="M264" s="34" t="str">
        <f t="shared" si="54"/>
        <v/>
      </c>
      <c r="N264" s="36" t="s">
        <v>103</v>
      </c>
      <c r="O264" s="34" t="str">
        <f t="shared" si="49"/>
        <v/>
      </c>
      <c r="P264" s="35" t="s">
        <v>103</v>
      </c>
      <c r="Q264" s="37" t="str">
        <f t="shared" si="55"/>
        <v/>
      </c>
      <c r="R264" s="33" t="s">
        <v>103</v>
      </c>
      <c r="S264" s="34" t="str">
        <f t="shared" si="56"/>
        <v/>
      </c>
      <c r="T264" s="35" t="s">
        <v>103</v>
      </c>
      <c r="U264" s="37" t="str">
        <f t="shared" si="57"/>
        <v/>
      </c>
      <c r="V264" s="33" t="s">
        <v>103</v>
      </c>
      <c r="W264" s="34" t="str">
        <f t="shared" si="58"/>
        <v/>
      </c>
      <c r="X264" s="35" t="s">
        <v>103</v>
      </c>
      <c r="Y264" s="37" t="str">
        <f t="shared" si="59"/>
        <v/>
      </c>
      <c r="Z264" s="35" t="s">
        <v>103</v>
      </c>
      <c r="AA264" s="37" t="str">
        <f t="shared" si="60"/>
        <v/>
      </c>
      <c r="AB264" s="33" t="s">
        <v>103</v>
      </c>
      <c r="AC264" s="34" t="str">
        <f t="shared" si="61"/>
        <v/>
      </c>
      <c r="AD264" s="35" t="s">
        <v>103</v>
      </c>
      <c r="AE264" s="34" t="str">
        <f t="shared" si="62"/>
        <v/>
      </c>
      <c r="AF264" s="35" t="s">
        <v>103</v>
      </c>
      <c r="AG264" s="37" t="str">
        <f t="shared" si="63"/>
        <v/>
      </c>
      <c r="AH264" s="4">
        <f>IF(OR(AND(D264&gt;=31,D264&lt;40),AND(H264&gt;=31,H264&lt;40),AND(N264&gt;=31,N264&lt;40),AND(R264&gt;=31,R264&lt;40),AND(V264&gt;=31,V264&lt;40),AND(AB264&gt;=31,AB264&lt;40)),IF(AND(OR(COUNTIF(D264:AG264,"=31")&gt;=1,COUNTIF(D264:AG264,"=32")&gt;=1,COUNTIF(D264:AG264,"=33")&gt;=1,COUNTIF(D264:AG264,"=34")&gt;=1,COUNTIF(D264:AG264,"=35")&gt;=1,COUNTIF(D264:AG264,"=36")&gt;=1 ),COUNTIF(D264:AG264,"")=0,COUNTIF(D264:AG264," ")=0,COUNTIF(D264:AG264,"F")=1),CONCATENATE(SUM(EXTRACTNUMBER(D264),EXTRACTNUMBER(F264),
EXTRACTNUMBER(H264),EXTRACTNUMBER(J264),
EXTRACTNUMBER(L264),EXTRACTNUMBER(N264),
EXTRACTNUMBER(P264),EXTRACTNUMBER(R264),
EXTRACTNUMBER(T264),EXTRACTNUMBER(V264),
EXTRACTNUMBER(X264),EXTRACTNUMBER(Z264),EXTRACTNUMBER(AB264),
EXTRACTNUMBER(AD264),EXTRACTNUMBER(AF264)),"*"),IF(AND(COUNTIF(D264:AG264,"=34")&gt;=1,COUNTIF(D264:AG264,"=35")&gt;=1,COUNTIF(D264:AG264,"f")=2,COUNTIF(D264:AG264,"")=0,COUNTIF(D264:AG264," ")=0),CONCATENATE(SUM(EXTRACTNUMBER(D264),EXTRACTNUMBER(F264),
EXTRACTNUMBER(H264),EXTRACTNUMBER(J264),
EXTRACTNUMBER(L264),EXTRACTNUMBER(N264),
EXTRACTNUMBER(P264),EXTRACTNUMBER(R264),
EXTRACTNUMBER(T264),EXTRACTNUMBER(V264),
EXTRACTNUMBER(X264),EXTRACTNUMBER(Z264),EXTRACTNUMBER(AB264),
EXTRACTNUMBER(AD264),EXTRACTNUMBER(AF264)),"*"),IF(AND(COUNTIF(D264:AG264,"=36")&gt;=2,COUNTIF(D264:AG264,"f")=2,COUNTIF(D264:AG264,"")=0,COUNTIF(D264:AG264," ")=0),CONCATENATE(SUM(EXTRACTNUMBER(D264),EXTRACTNUMBER(F264),
EXTRACTNUMBER(H264),EXTRACTNUMBER(J264),
EXTRACTNUMBER(L264),EXTRACTNUMBER(N264),
EXTRACTNUMBER(P264),EXTRACTNUMBER(R264),
EXTRACTNUMBER(T264),EXTRACTNUMBER(V264),
EXTRACTNUMBER(X264),EXTRACTNUMBER(Z264),EXTRACTNUMBER(AB264),
EXTRACTNUMBER(AD264),EXTRACTNUMBER(AF264)),"*"),SUM(EXTRACTNUMBER(D264),EXTRACTNUMBER(F264),
EXTRACTNUMBER(H264),EXTRACTNUMBER(J264),
EXTRACTNUMBER(L264),EXTRACTNUMBER(N264),
EXTRACTNUMBER(P264),EXTRACTNUMBER(R264),
EXTRACTNUMBER(T264),EXTRACTNUMBER(V264),
EXTRACTNUMBER(X264),EXTRACTNUMBER(Z264),EXTRACTNUMBER(AB264),
EXTRACTNUMBER(AD264),EXTRACTNUMBER(AF264))))),SUM(EXTRACTNUMBER(D264),EXTRACTNUMBER(F264),
EXTRACTNUMBER(H264),EXTRACTNUMBER(J264),
EXTRACTNUMBER(L264),EXTRACTNUMBER(N264),
EXTRACTNUMBER(P264),EXTRACTNUMBER(R264),
EXTRACTNUMBER(T264),EXTRACTNUMBER(V264),
EXTRACTNUMBER(X264),EXTRACTNUMBER(Z264),EXTRACTNUMBER(AB264),
EXTRACTNUMBER(AD264),EXTRACTNUMBER(AF264)))</f>
        <v>0</v>
      </c>
      <c r="AI264" s="38" t="str">
        <f t="shared" si="48"/>
        <v>ABSENT</v>
      </c>
      <c r="AJ264" s="28" t="str">
        <f>spellnumber(EXTRACTnUMBER_TOT(AH264))</f>
        <v xml:space="preserve"> </v>
      </c>
      <c r="AK264" s="9">
        <v>0</v>
      </c>
    </row>
    <row r="265" spans="2:37" ht="15" customHeight="1">
      <c r="B265" s="40" t="s">
        <v>402</v>
      </c>
      <c r="C265" s="42" t="s">
        <v>403</v>
      </c>
      <c r="D265" s="33">
        <v>0</v>
      </c>
      <c r="E265" s="34" t="str">
        <f t="shared" si="50"/>
        <v>F</v>
      </c>
      <c r="F265" s="35">
        <v>12</v>
      </c>
      <c r="G265" s="34" t="str">
        <f t="shared" si="51"/>
        <v>E</v>
      </c>
      <c r="H265" s="36">
        <v>17</v>
      </c>
      <c r="I265" s="34" t="str">
        <f t="shared" si="52"/>
        <v>F</v>
      </c>
      <c r="J265" s="35">
        <v>17</v>
      </c>
      <c r="K265" s="34" t="str">
        <f t="shared" si="53"/>
        <v>E</v>
      </c>
      <c r="L265" s="35">
        <v>19</v>
      </c>
      <c r="M265" s="34" t="str">
        <f t="shared" si="54"/>
        <v>E</v>
      </c>
      <c r="N265" s="36">
        <v>10</v>
      </c>
      <c r="O265" s="34" t="str">
        <f t="shared" si="49"/>
        <v>F</v>
      </c>
      <c r="P265" s="35">
        <v>14</v>
      </c>
      <c r="Q265" s="37" t="str">
        <f t="shared" si="55"/>
        <v>E</v>
      </c>
      <c r="R265" s="33">
        <v>40</v>
      </c>
      <c r="S265" s="34" t="str">
        <f t="shared" si="56"/>
        <v>E</v>
      </c>
      <c r="T265" s="35">
        <v>12</v>
      </c>
      <c r="U265" s="37" t="str">
        <f t="shared" si="57"/>
        <v>E</v>
      </c>
      <c r="V265" s="33">
        <v>7</v>
      </c>
      <c r="W265" s="34" t="str">
        <f t="shared" si="58"/>
        <v>F</v>
      </c>
      <c r="X265" s="35">
        <v>15</v>
      </c>
      <c r="Y265" s="37" t="str">
        <f t="shared" si="59"/>
        <v>E</v>
      </c>
      <c r="Z265" s="35">
        <v>17</v>
      </c>
      <c r="AA265" s="37" t="str">
        <f t="shared" si="60"/>
        <v>E</v>
      </c>
      <c r="AB265" s="33">
        <v>8</v>
      </c>
      <c r="AC265" s="34" t="str">
        <f t="shared" si="61"/>
        <v>F</v>
      </c>
      <c r="AD265" s="35">
        <v>14</v>
      </c>
      <c r="AE265" s="34" t="str">
        <f t="shared" si="62"/>
        <v>E</v>
      </c>
      <c r="AF265" s="35">
        <v>30</v>
      </c>
      <c r="AG265" s="37" t="str">
        <f t="shared" si="63"/>
        <v>E</v>
      </c>
      <c r="AH265" s="4">
        <f>IF(OR(AND(D265&gt;=31,D265&lt;40),AND(H265&gt;=31,H265&lt;40),AND(N265&gt;=31,N265&lt;40),AND(R265&gt;=31,R265&lt;40),AND(V265&gt;=31,V265&lt;40),AND(AB265&gt;=31,AB265&lt;40)),IF(AND(OR(COUNTIF(D265:AG265,"=31")&gt;=1,COUNTIF(D265:AG265,"=32")&gt;=1,COUNTIF(D265:AG265,"=33")&gt;=1,COUNTIF(D265:AG265,"=34")&gt;=1,COUNTIF(D265:AG265,"=35")&gt;=1,COUNTIF(D265:AG265,"=36")&gt;=1 ),COUNTIF(D265:AG265,"")=0,COUNTIF(D265:AG265," ")=0,COUNTIF(D265:AG265,"F")=1),CONCATENATE(SUM(EXTRACTNUMBER(D265),EXTRACTNUMBER(F265),
EXTRACTNUMBER(H265),EXTRACTNUMBER(J265),
EXTRACTNUMBER(L265),EXTRACTNUMBER(N265),
EXTRACTNUMBER(P265),EXTRACTNUMBER(R265),
EXTRACTNUMBER(T265),EXTRACTNUMBER(V265),
EXTRACTNUMBER(X265),EXTRACTNUMBER(Z265),EXTRACTNUMBER(AB265),
EXTRACTNUMBER(AD265),EXTRACTNUMBER(AF265)),"*"),IF(AND(COUNTIF(D265:AG265,"=34")&gt;=1,COUNTIF(D265:AG265,"=35")&gt;=1,COUNTIF(D265:AG265,"f")=2,COUNTIF(D265:AG265,"")=0,COUNTIF(D265:AG265," ")=0),CONCATENATE(SUM(EXTRACTNUMBER(D265),EXTRACTNUMBER(F265),
EXTRACTNUMBER(H265),EXTRACTNUMBER(J265),
EXTRACTNUMBER(L265),EXTRACTNUMBER(N265),
EXTRACTNUMBER(P265),EXTRACTNUMBER(R265),
EXTRACTNUMBER(T265),EXTRACTNUMBER(V265),
EXTRACTNUMBER(X265),EXTRACTNUMBER(Z265),EXTRACTNUMBER(AB265),
EXTRACTNUMBER(AD265),EXTRACTNUMBER(AF265)),"*"),IF(AND(COUNTIF(D265:AG265,"=36")&gt;=2,COUNTIF(D265:AG265,"f")=2,COUNTIF(D265:AG265,"")=0,COUNTIF(D265:AG265," ")=0),CONCATENATE(SUM(EXTRACTNUMBER(D265),EXTRACTNUMBER(F265),
EXTRACTNUMBER(H265),EXTRACTNUMBER(J265),
EXTRACTNUMBER(L265),EXTRACTNUMBER(N265),
EXTRACTNUMBER(P265),EXTRACTNUMBER(R265),
EXTRACTNUMBER(T265),EXTRACTNUMBER(V265),
EXTRACTNUMBER(X265),EXTRACTNUMBER(Z265),EXTRACTNUMBER(AB265),
EXTRACTNUMBER(AD265),EXTRACTNUMBER(AF265)),"*"),SUM(EXTRACTNUMBER(D265),EXTRACTNUMBER(F265),
EXTRACTNUMBER(H265),EXTRACTNUMBER(J265),
EXTRACTNUMBER(L265),EXTRACTNUMBER(N265),
EXTRACTNUMBER(P265),EXTRACTNUMBER(R265),
EXTRACTNUMBER(T265),EXTRACTNUMBER(V265),
EXTRACTNUMBER(X265),EXTRACTNUMBER(Z265),EXTRACTNUMBER(AB265),
EXTRACTNUMBER(AD265),EXTRACTNUMBER(AF265))))),SUM(EXTRACTNUMBER(D265),EXTRACTNUMBER(F265),
EXTRACTNUMBER(H265),EXTRACTNUMBER(J265),
EXTRACTNUMBER(L265),EXTRACTNUMBER(N265),
EXTRACTNUMBER(P265),EXTRACTNUMBER(R265),
EXTRACTNUMBER(T265),EXTRACTNUMBER(V265),
EXTRACTNUMBER(X265),EXTRACTNUMBER(Z265),EXTRACTNUMBER(AB265),
EXTRACTNUMBER(AD265),EXTRACTNUMBER(AF265)))</f>
        <v>232</v>
      </c>
      <c r="AI265" s="38" t="str">
        <f t="shared" si="48"/>
        <v>FAIL</v>
      </c>
      <c r="AJ265" s="28" t="str">
        <f>spellnumber(EXTRACTnUMBER_TOT(AH265))</f>
        <v xml:space="preserve">Two Hundred Thirty Two </v>
      </c>
      <c r="AK265" s="9">
        <v>232</v>
      </c>
    </row>
    <row r="266" spans="2:37" ht="15" customHeight="1">
      <c r="B266" s="40" t="s">
        <v>404</v>
      </c>
      <c r="C266" s="42" t="s">
        <v>405</v>
      </c>
      <c r="D266" s="33" t="s">
        <v>103</v>
      </c>
      <c r="E266" s="34" t="str">
        <f t="shared" si="50"/>
        <v/>
      </c>
      <c r="F266" s="35" t="s">
        <v>103</v>
      </c>
      <c r="G266" s="34" t="str">
        <f t="shared" si="51"/>
        <v/>
      </c>
      <c r="H266" s="36" t="s">
        <v>103</v>
      </c>
      <c r="I266" s="34" t="str">
        <f t="shared" si="52"/>
        <v/>
      </c>
      <c r="J266" s="35" t="s">
        <v>103</v>
      </c>
      <c r="K266" s="34" t="str">
        <f t="shared" si="53"/>
        <v/>
      </c>
      <c r="L266" s="35" t="s">
        <v>103</v>
      </c>
      <c r="M266" s="34" t="str">
        <f t="shared" si="54"/>
        <v/>
      </c>
      <c r="N266" s="36" t="s">
        <v>103</v>
      </c>
      <c r="O266" s="34" t="str">
        <f t="shared" si="49"/>
        <v/>
      </c>
      <c r="P266" s="35" t="s">
        <v>103</v>
      </c>
      <c r="Q266" s="37" t="str">
        <f t="shared" si="55"/>
        <v/>
      </c>
      <c r="R266" s="33" t="s">
        <v>103</v>
      </c>
      <c r="S266" s="34" t="str">
        <f t="shared" si="56"/>
        <v/>
      </c>
      <c r="T266" s="35" t="s">
        <v>103</v>
      </c>
      <c r="U266" s="37" t="str">
        <f t="shared" si="57"/>
        <v/>
      </c>
      <c r="V266" s="33" t="s">
        <v>103</v>
      </c>
      <c r="W266" s="34" t="str">
        <f t="shared" si="58"/>
        <v/>
      </c>
      <c r="X266" s="35" t="s">
        <v>103</v>
      </c>
      <c r="Y266" s="37" t="str">
        <f t="shared" si="59"/>
        <v/>
      </c>
      <c r="Z266" s="35" t="s">
        <v>103</v>
      </c>
      <c r="AA266" s="37" t="str">
        <f t="shared" si="60"/>
        <v/>
      </c>
      <c r="AB266" s="33" t="s">
        <v>103</v>
      </c>
      <c r="AC266" s="34" t="str">
        <f t="shared" si="61"/>
        <v/>
      </c>
      <c r="AD266" s="35" t="s">
        <v>103</v>
      </c>
      <c r="AE266" s="34" t="str">
        <f t="shared" si="62"/>
        <v/>
      </c>
      <c r="AF266" s="35" t="s">
        <v>103</v>
      </c>
      <c r="AG266" s="37" t="str">
        <f t="shared" si="63"/>
        <v/>
      </c>
      <c r="AH266" s="4">
        <f>IF(OR(AND(D266&gt;=31,D266&lt;40),AND(H266&gt;=31,H266&lt;40),AND(N266&gt;=31,N266&lt;40),AND(R266&gt;=31,R266&lt;40),AND(V266&gt;=31,V266&lt;40),AND(AB266&gt;=31,AB266&lt;40)),IF(AND(OR(COUNTIF(D266:AG266,"=31")&gt;=1,COUNTIF(D266:AG266,"=32")&gt;=1,COUNTIF(D266:AG266,"=33")&gt;=1,COUNTIF(D266:AG266,"=34")&gt;=1,COUNTIF(D266:AG266,"=35")&gt;=1,COUNTIF(D266:AG266,"=36")&gt;=1 ),COUNTIF(D266:AG266,"")=0,COUNTIF(D266:AG266," ")=0,COUNTIF(D266:AG266,"F")=1),CONCATENATE(SUM(EXTRACTNUMBER(D266),EXTRACTNUMBER(F266),
EXTRACTNUMBER(H266),EXTRACTNUMBER(J266),
EXTRACTNUMBER(L266),EXTRACTNUMBER(N266),
EXTRACTNUMBER(P266),EXTRACTNUMBER(R266),
EXTRACTNUMBER(T266),EXTRACTNUMBER(V266),
EXTRACTNUMBER(X266),EXTRACTNUMBER(Z266),EXTRACTNUMBER(AB266),
EXTRACTNUMBER(AD266),EXTRACTNUMBER(AF266)),"*"),IF(AND(COUNTIF(D266:AG266,"=34")&gt;=1,COUNTIF(D266:AG266,"=35")&gt;=1,COUNTIF(D266:AG266,"f")=2,COUNTIF(D266:AG266,"")=0,COUNTIF(D266:AG266," ")=0),CONCATENATE(SUM(EXTRACTNUMBER(D266),EXTRACTNUMBER(F266),
EXTRACTNUMBER(H266),EXTRACTNUMBER(J266),
EXTRACTNUMBER(L266),EXTRACTNUMBER(N266),
EXTRACTNUMBER(P266),EXTRACTNUMBER(R266),
EXTRACTNUMBER(T266),EXTRACTNUMBER(V266),
EXTRACTNUMBER(X266),EXTRACTNUMBER(Z266),EXTRACTNUMBER(AB266),
EXTRACTNUMBER(AD266),EXTRACTNUMBER(AF266)),"*"),IF(AND(COUNTIF(D266:AG266,"=36")&gt;=2,COUNTIF(D266:AG266,"f")=2,COUNTIF(D266:AG266,"")=0,COUNTIF(D266:AG266," ")=0),CONCATENATE(SUM(EXTRACTNUMBER(D266),EXTRACTNUMBER(F266),
EXTRACTNUMBER(H266),EXTRACTNUMBER(J266),
EXTRACTNUMBER(L266),EXTRACTNUMBER(N266),
EXTRACTNUMBER(P266),EXTRACTNUMBER(R266),
EXTRACTNUMBER(T266),EXTRACTNUMBER(V266),
EXTRACTNUMBER(X266),EXTRACTNUMBER(Z266),EXTRACTNUMBER(AB266),
EXTRACTNUMBER(AD266),EXTRACTNUMBER(AF266)),"*"),SUM(EXTRACTNUMBER(D266),EXTRACTNUMBER(F266),
EXTRACTNUMBER(H266),EXTRACTNUMBER(J266),
EXTRACTNUMBER(L266),EXTRACTNUMBER(N266),
EXTRACTNUMBER(P266),EXTRACTNUMBER(R266),
EXTRACTNUMBER(T266),EXTRACTNUMBER(V266),
EXTRACTNUMBER(X266),EXTRACTNUMBER(Z266),EXTRACTNUMBER(AB266),
EXTRACTNUMBER(AD266),EXTRACTNUMBER(AF266))))),SUM(EXTRACTNUMBER(D266),EXTRACTNUMBER(F266),
EXTRACTNUMBER(H266),EXTRACTNUMBER(J266),
EXTRACTNUMBER(L266),EXTRACTNUMBER(N266),
EXTRACTNUMBER(P266),EXTRACTNUMBER(R266),
EXTRACTNUMBER(T266),EXTRACTNUMBER(V266),
EXTRACTNUMBER(X266),EXTRACTNUMBER(Z266),EXTRACTNUMBER(AB266),
EXTRACTNUMBER(AD266),EXTRACTNUMBER(AF266)))</f>
        <v>0</v>
      </c>
      <c r="AI266" s="38" t="str">
        <f t="shared" si="48"/>
        <v>ABSENT</v>
      </c>
      <c r="AJ266" s="28" t="str">
        <f>spellnumber(EXTRACTnUMBER_TOT(AH266))</f>
        <v xml:space="preserve"> </v>
      </c>
      <c r="AK266" s="9">
        <v>0</v>
      </c>
    </row>
    <row r="267" spans="2:37" ht="15" customHeight="1">
      <c r="B267" s="40" t="s">
        <v>406</v>
      </c>
      <c r="C267" s="42" t="s">
        <v>407</v>
      </c>
      <c r="D267" s="33" t="s">
        <v>103</v>
      </c>
      <c r="E267" s="34" t="str">
        <f t="shared" si="50"/>
        <v/>
      </c>
      <c r="F267" s="35" t="s">
        <v>103</v>
      </c>
      <c r="G267" s="34" t="str">
        <f t="shared" si="51"/>
        <v/>
      </c>
      <c r="H267" s="36" t="s">
        <v>103</v>
      </c>
      <c r="I267" s="34" t="str">
        <f t="shared" si="52"/>
        <v/>
      </c>
      <c r="J267" s="35" t="s">
        <v>103</v>
      </c>
      <c r="K267" s="34" t="str">
        <f t="shared" si="53"/>
        <v/>
      </c>
      <c r="L267" s="35" t="s">
        <v>103</v>
      </c>
      <c r="M267" s="34" t="str">
        <f t="shared" si="54"/>
        <v/>
      </c>
      <c r="N267" s="36" t="s">
        <v>103</v>
      </c>
      <c r="O267" s="34" t="str">
        <f t="shared" si="49"/>
        <v/>
      </c>
      <c r="P267" s="35" t="s">
        <v>103</v>
      </c>
      <c r="Q267" s="37" t="str">
        <f t="shared" si="55"/>
        <v/>
      </c>
      <c r="R267" s="33" t="s">
        <v>103</v>
      </c>
      <c r="S267" s="34" t="str">
        <f t="shared" si="56"/>
        <v/>
      </c>
      <c r="T267" s="35" t="s">
        <v>103</v>
      </c>
      <c r="U267" s="37" t="str">
        <f t="shared" si="57"/>
        <v/>
      </c>
      <c r="V267" s="33" t="s">
        <v>103</v>
      </c>
      <c r="W267" s="34" t="str">
        <f t="shared" si="58"/>
        <v/>
      </c>
      <c r="X267" s="35" t="s">
        <v>103</v>
      </c>
      <c r="Y267" s="37" t="str">
        <f t="shared" si="59"/>
        <v/>
      </c>
      <c r="Z267" s="35" t="s">
        <v>103</v>
      </c>
      <c r="AA267" s="37" t="str">
        <f t="shared" si="60"/>
        <v/>
      </c>
      <c r="AB267" s="33" t="s">
        <v>103</v>
      </c>
      <c r="AC267" s="34" t="str">
        <f t="shared" si="61"/>
        <v/>
      </c>
      <c r="AD267" s="35" t="s">
        <v>103</v>
      </c>
      <c r="AE267" s="34" t="str">
        <f t="shared" si="62"/>
        <v/>
      </c>
      <c r="AF267" s="35" t="s">
        <v>103</v>
      </c>
      <c r="AG267" s="37" t="str">
        <f t="shared" si="63"/>
        <v/>
      </c>
      <c r="AH267" s="4">
        <f>IF(OR(AND(D267&gt;=31,D267&lt;40),AND(H267&gt;=31,H267&lt;40),AND(N267&gt;=31,N267&lt;40),AND(R267&gt;=31,R267&lt;40),AND(V267&gt;=31,V267&lt;40),AND(AB267&gt;=31,AB267&lt;40)),IF(AND(OR(COUNTIF(D267:AG267,"=31")&gt;=1,COUNTIF(D267:AG267,"=32")&gt;=1,COUNTIF(D267:AG267,"=33")&gt;=1,COUNTIF(D267:AG267,"=34")&gt;=1,COUNTIF(D267:AG267,"=35")&gt;=1,COUNTIF(D267:AG267,"=36")&gt;=1 ),COUNTIF(D267:AG267,"")=0,COUNTIF(D267:AG267," ")=0,COUNTIF(D267:AG267,"F")=1),CONCATENATE(SUM(EXTRACTNUMBER(D267),EXTRACTNUMBER(F267),
EXTRACTNUMBER(H267),EXTRACTNUMBER(J267),
EXTRACTNUMBER(L267),EXTRACTNUMBER(N267),
EXTRACTNUMBER(P267),EXTRACTNUMBER(R267),
EXTRACTNUMBER(T267),EXTRACTNUMBER(V267),
EXTRACTNUMBER(X267),EXTRACTNUMBER(Z267),EXTRACTNUMBER(AB267),
EXTRACTNUMBER(AD267),EXTRACTNUMBER(AF267)),"*"),IF(AND(COUNTIF(D267:AG267,"=34")&gt;=1,COUNTIF(D267:AG267,"=35")&gt;=1,COUNTIF(D267:AG267,"f")=2,COUNTIF(D267:AG267,"")=0,COUNTIF(D267:AG267," ")=0),CONCATENATE(SUM(EXTRACTNUMBER(D267),EXTRACTNUMBER(F267),
EXTRACTNUMBER(H267),EXTRACTNUMBER(J267),
EXTRACTNUMBER(L267),EXTRACTNUMBER(N267),
EXTRACTNUMBER(P267),EXTRACTNUMBER(R267),
EXTRACTNUMBER(T267),EXTRACTNUMBER(V267),
EXTRACTNUMBER(X267),EXTRACTNUMBER(Z267),EXTRACTNUMBER(AB267),
EXTRACTNUMBER(AD267),EXTRACTNUMBER(AF267)),"*"),IF(AND(COUNTIF(D267:AG267,"=36")&gt;=2,COUNTIF(D267:AG267,"f")=2,COUNTIF(D267:AG267,"")=0,COUNTIF(D267:AG267," ")=0),CONCATENATE(SUM(EXTRACTNUMBER(D267),EXTRACTNUMBER(F267),
EXTRACTNUMBER(H267),EXTRACTNUMBER(J267),
EXTRACTNUMBER(L267),EXTRACTNUMBER(N267),
EXTRACTNUMBER(P267),EXTRACTNUMBER(R267),
EXTRACTNUMBER(T267),EXTRACTNUMBER(V267),
EXTRACTNUMBER(X267),EXTRACTNUMBER(Z267),EXTRACTNUMBER(AB267),
EXTRACTNUMBER(AD267),EXTRACTNUMBER(AF267)),"*"),SUM(EXTRACTNUMBER(D267),EXTRACTNUMBER(F267),
EXTRACTNUMBER(H267),EXTRACTNUMBER(J267),
EXTRACTNUMBER(L267),EXTRACTNUMBER(N267),
EXTRACTNUMBER(P267),EXTRACTNUMBER(R267),
EXTRACTNUMBER(T267),EXTRACTNUMBER(V267),
EXTRACTNUMBER(X267),EXTRACTNUMBER(Z267),EXTRACTNUMBER(AB267),
EXTRACTNUMBER(AD267),EXTRACTNUMBER(AF267))))),SUM(EXTRACTNUMBER(D267),EXTRACTNUMBER(F267),
EXTRACTNUMBER(H267),EXTRACTNUMBER(J267),
EXTRACTNUMBER(L267),EXTRACTNUMBER(N267),
EXTRACTNUMBER(P267),EXTRACTNUMBER(R267),
EXTRACTNUMBER(T267),EXTRACTNUMBER(V267),
EXTRACTNUMBER(X267),EXTRACTNUMBER(Z267),EXTRACTNUMBER(AB267),
EXTRACTNUMBER(AD267),EXTRACTNUMBER(AF267)))</f>
        <v>0</v>
      </c>
      <c r="AI267" s="38" t="str">
        <f t="shared" si="48"/>
        <v>ABSENT</v>
      </c>
      <c r="AJ267" s="28" t="str">
        <f>spellnumber(EXTRACTnUMBER_TOT(AH267))</f>
        <v xml:space="preserve"> </v>
      </c>
      <c r="AK267" s="9">
        <v>0</v>
      </c>
    </row>
    <row r="268" spans="2:37" ht="15" customHeight="1">
      <c r="B268" s="40" t="s">
        <v>408</v>
      </c>
      <c r="C268" s="42" t="s">
        <v>409</v>
      </c>
      <c r="D268" s="33" t="s">
        <v>103</v>
      </c>
      <c r="E268" s="34" t="str">
        <f t="shared" si="50"/>
        <v/>
      </c>
      <c r="F268" s="35" t="s">
        <v>103</v>
      </c>
      <c r="G268" s="34" t="str">
        <f t="shared" si="51"/>
        <v/>
      </c>
      <c r="H268" s="36" t="s">
        <v>103</v>
      </c>
      <c r="I268" s="34" t="str">
        <f t="shared" si="52"/>
        <v/>
      </c>
      <c r="J268" s="35" t="s">
        <v>103</v>
      </c>
      <c r="K268" s="34" t="str">
        <f t="shared" si="53"/>
        <v/>
      </c>
      <c r="L268" s="35" t="s">
        <v>103</v>
      </c>
      <c r="M268" s="34" t="str">
        <f t="shared" si="54"/>
        <v/>
      </c>
      <c r="N268" s="36" t="s">
        <v>103</v>
      </c>
      <c r="O268" s="34" t="str">
        <f t="shared" si="49"/>
        <v/>
      </c>
      <c r="P268" s="35" t="s">
        <v>103</v>
      </c>
      <c r="Q268" s="37" t="str">
        <f t="shared" si="55"/>
        <v/>
      </c>
      <c r="R268" s="33" t="s">
        <v>103</v>
      </c>
      <c r="S268" s="34" t="str">
        <f t="shared" si="56"/>
        <v/>
      </c>
      <c r="T268" s="35" t="s">
        <v>103</v>
      </c>
      <c r="U268" s="37" t="str">
        <f t="shared" si="57"/>
        <v/>
      </c>
      <c r="V268" s="33" t="s">
        <v>103</v>
      </c>
      <c r="W268" s="34" t="str">
        <f t="shared" si="58"/>
        <v/>
      </c>
      <c r="X268" s="35" t="s">
        <v>103</v>
      </c>
      <c r="Y268" s="37" t="str">
        <f t="shared" si="59"/>
        <v/>
      </c>
      <c r="Z268" s="35" t="s">
        <v>103</v>
      </c>
      <c r="AA268" s="37" t="str">
        <f t="shared" si="60"/>
        <v/>
      </c>
      <c r="AB268" s="33" t="s">
        <v>103</v>
      </c>
      <c r="AC268" s="34" t="str">
        <f t="shared" si="61"/>
        <v/>
      </c>
      <c r="AD268" s="35" t="s">
        <v>103</v>
      </c>
      <c r="AE268" s="34" t="str">
        <f t="shared" si="62"/>
        <v/>
      </c>
      <c r="AF268" s="35" t="s">
        <v>103</v>
      </c>
      <c r="AG268" s="37" t="str">
        <f t="shared" si="63"/>
        <v/>
      </c>
      <c r="AH268" s="4">
        <f>IF(OR(AND(D268&gt;=31,D268&lt;40),AND(H268&gt;=31,H268&lt;40),AND(N268&gt;=31,N268&lt;40),AND(R268&gt;=31,R268&lt;40),AND(V268&gt;=31,V268&lt;40),AND(AB268&gt;=31,AB268&lt;40)),IF(AND(OR(COUNTIF(D268:AG268,"=31")&gt;=1,COUNTIF(D268:AG268,"=32")&gt;=1,COUNTIF(D268:AG268,"=33")&gt;=1,COUNTIF(D268:AG268,"=34")&gt;=1,COUNTIF(D268:AG268,"=35")&gt;=1,COUNTIF(D268:AG268,"=36")&gt;=1 ),COUNTIF(D268:AG268,"")=0,COUNTIF(D268:AG268," ")=0,COUNTIF(D268:AG268,"F")=1),CONCATENATE(SUM(EXTRACTNUMBER(D268),EXTRACTNUMBER(F268),
EXTRACTNUMBER(H268),EXTRACTNUMBER(J268),
EXTRACTNUMBER(L268),EXTRACTNUMBER(N268),
EXTRACTNUMBER(P268),EXTRACTNUMBER(R268),
EXTRACTNUMBER(T268),EXTRACTNUMBER(V268),
EXTRACTNUMBER(X268),EXTRACTNUMBER(Z268),EXTRACTNUMBER(AB268),
EXTRACTNUMBER(AD268),EXTRACTNUMBER(AF268)),"*"),IF(AND(COUNTIF(D268:AG268,"=34")&gt;=1,COUNTIF(D268:AG268,"=35")&gt;=1,COUNTIF(D268:AG268,"f")=2,COUNTIF(D268:AG268,"")=0,COUNTIF(D268:AG268," ")=0),CONCATENATE(SUM(EXTRACTNUMBER(D268),EXTRACTNUMBER(F268),
EXTRACTNUMBER(H268),EXTRACTNUMBER(J268),
EXTRACTNUMBER(L268),EXTRACTNUMBER(N268),
EXTRACTNUMBER(P268),EXTRACTNUMBER(R268),
EXTRACTNUMBER(T268),EXTRACTNUMBER(V268),
EXTRACTNUMBER(X268),EXTRACTNUMBER(Z268),EXTRACTNUMBER(AB268),
EXTRACTNUMBER(AD268),EXTRACTNUMBER(AF268)),"*"),IF(AND(COUNTIF(D268:AG268,"=36")&gt;=2,COUNTIF(D268:AG268,"f")=2,COUNTIF(D268:AG268,"")=0,COUNTIF(D268:AG268," ")=0),CONCATENATE(SUM(EXTRACTNUMBER(D268),EXTRACTNUMBER(F268),
EXTRACTNUMBER(H268),EXTRACTNUMBER(J268),
EXTRACTNUMBER(L268),EXTRACTNUMBER(N268),
EXTRACTNUMBER(P268),EXTRACTNUMBER(R268),
EXTRACTNUMBER(T268),EXTRACTNUMBER(V268),
EXTRACTNUMBER(X268),EXTRACTNUMBER(Z268),EXTRACTNUMBER(AB268),
EXTRACTNUMBER(AD268),EXTRACTNUMBER(AF268)),"*"),SUM(EXTRACTNUMBER(D268),EXTRACTNUMBER(F268),
EXTRACTNUMBER(H268),EXTRACTNUMBER(J268),
EXTRACTNUMBER(L268),EXTRACTNUMBER(N268),
EXTRACTNUMBER(P268),EXTRACTNUMBER(R268),
EXTRACTNUMBER(T268),EXTRACTNUMBER(V268),
EXTRACTNUMBER(X268),EXTRACTNUMBER(Z268),EXTRACTNUMBER(AB268),
EXTRACTNUMBER(AD268),EXTRACTNUMBER(AF268))))),SUM(EXTRACTNUMBER(D268),EXTRACTNUMBER(F268),
EXTRACTNUMBER(H268),EXTRACTNUMBER(J268),
EXTRACTNUMBER(L268),EXTRACTNUMBER(N268),
EXTRACTNUMBER(P268),EXTRACTNUMBER(R268),
EXTRACTNUMBER(T268),EXTRACTNUMBER(V268),
EXTRACTNUMBER(X268),EXTRACTNUMBER(Z268),EXTRACTNUMBER(AB268),
EXTRACTNUMBER(AD268),EXTRACTNUMBER(AF268)))</f>
        <v>0</v>
      </c>
      <c r="AI268" s="38" t="str">
        <f t="shared" si="48"/>
        <v>ABSENT</v>
      </c>
      <c r="AJ268" s="28" t="str">
        <f>spellnumber(EXTRACTnUMBER_TOT(AH268))</f>
        <v xml:space="preserve"> </v>
      </c>
      <c r="AK268" s="9">
        <v>0</v>
      </c>
    </row>
    <row r="269" spans="2:37" ht="15" customHeight="1">
      <c r="B269" s="40" t="s">
        <v>410</v>
      </c>
      <c r="C269" s="42" t="s">
        <v>411</v>
      </c>
      <c r="D269" s="33">
        <v>0</v>
      </c>
      <c r="E269" s="34" t="str">
        <f t="shared" si="50"/>
        <v>F</v>
      </c>
      <c r="F269" s="35">
        <v>13</v>
      </c>
      <c r="G269" s="34" t="str">
        <f t="shared" si="51"/>
        <v>E</v>
      </c>
      <c r="H269" s="36">
        <v>8</v>
      </c>
      <c r="I269" s="34" t="str">
        <f t="shared" si="52"/>
        <v>F</v>
      </c>
      <c r="J269" s="35">
        <v>16</v>
      </c>
      <c r="K269" s="34" t="str">
        <f t="shared" si="53"/>
        <v>E</v>
      </c>
      <c r="L269" s="35">
        <v>19</v>
      </c>
      <c r="M269" s="34" t="str">
        <f t="shared" si="54"/>
        <v>E</v>
      </c>
      <c r="N269" s="36">
        <v>1</v>
      </c>
      <c r="O269" s="34" t="str">
        <f t="shared" si="49"/>
        <v>F</v>
      </c>
      <c r="P269" s="35">
        <v>12</v>
      </c>
      <c r="Q269" s="37" t="str">
        <f t="shared" si="55"/>
        <v>E</v>
      </c>
      <c r="R269" s="33">
        <v>6</v>
      </c>
      <c r="S269" s="34" t="str">
        <f t="shared" si="56"/>
        <v>F</v>
      </c>
      <c r="T269" s="35">
        <v>20</v>
      </c>
      <c r="U269" s="37" t="str">
        <f t="shared" si="57"/>
        <v>E</v>
      </c>
      <c r="V269" s="33">
        <v>6</v>
      </c>
      <c r="W269" s="34" t="str">
        <f t="shared" si="58"/>
        <v>F</v>
      </c>
      <c r="X269" s="35">
        <v>16</v>
      </c>
      <c r="Y269" s="37" t="str">
        <f t="shared" si="59"/>
        <v>E</v>
      </c>
      <c r="Z269" s="35">
        <v>17</v>
      </c>
      <c r="AA269" s="37" t="str">
        <f t="shared" si="60"/>
        <v>E</v>
      </c>
      <c r="AB269" s="33">
        <v>0</v>
      </c>
      <c r="AC269" s="34" t="str">
        <f t="shared" si="61"/>
        <v>F</v>
      </c>
      <c r="AD269" s="35">
        <v>12</v>
      </c>
      <c r="AE269" s="34" t="str">
        <f t="shared" si="62"/>
        <v>E</v>
      </c>
      <c r="AF269" s="35">
        <v>30</v>
      </c>
      <c r="AG269" s="37" t="str">
        <f t="shared" si="63"/>
        <v>E</v>
      </c>
      <c r="AH269" s="4">
        <f>IF(OR(AND(D269&gt;=31,D269&lt;40),AND(H269&gt;=31,H269&lt;40),AND(N269&gt;=31,N269&lt;40),AND(R269&gt;=31,R269&lt;40),AND(V269&gt;=31,V269&lt;40),AND(AB269&gt;=31,AB269&lt;40)),IF(AND(OR(COUNTIF(D269:AG269,"=31")&gt;=1,COUNTIF(D269:AG269,"=32")&gt;=1,COUNTIF(D269:AG269,"=33")&gt;=1,COUNTIF(D269:AG269,"=34")&gt;=1,COUNTIF(D269:AG269,"=35")&gt;=1,COUNTIF(D269:AG269,"=36")&gt;=1 ),COUNTIF(D269:AG269,"")=0,COUNTIF(D269:AG269," ")=0,COUNTIF(D269:AG269,"F")=1),CONCATENATE(SUM(EXTRACTNUMBER(D269),EXTRACTNUMBER(F269),
EXTRACTNUMBER(H269),EXTRACTNUMBER(J269),
EXTRACTNUMBER(L269),EXTRACTNUMBER(N269),
EXTRACTNUMBER(P269),EXTRACTNUMBER(R269),
EXTRACTNUMBER(T269),EXTRACTNUMBER(V269),
EXTRACTNUMBER(X269),EXTRACTNUMBER(Z269),EXTRACTNUMBER(AB269),
EXTRACTNUMBER(AD269),EXTRACTNUMBER(AF269)),"*"),IF(AND(COUNTIF(D269:AG269,"=34")&gt;=1,COUNTIF(D269:AG269,"=35")&gt;=1,COUNTIF(D269:AG269,"f")=2,COUNTIF(D269:AG269,"")=0,COUNTIF(D269:AG269," ")=0),CONCATENATE(SUM(EXTRACTNUMBER(D269),EXTRACTNUMBER(F269),
EXTRACTNUMBER(H269),EXTRACTNUMBER(J269),
EXTRACTNUMBER(L269),EXTRACTNUMBER(N269),
EXTRACTNUMBER(P269),EXTRACTNUMBER(R269),
EXTRACTNUMBER(T269),EXTRACTNUMBER(V269),
EXTRACTNUMBER(X269),EXTRACTNUMBER(Z269),EXTRACTNUMBER(AB269),
EXTRACTNUMBER(AD269),EXTRACTNUMBER(AF269)),"*"),IF(AND(COUNTIF(D269:AG269,"=36")&gt;=2,COUNTIF(D269:AG269,"f")=2,COUNTIF(D269:AG269,"")=0,COUNTIF(D269:AG269," ")=0),CONCATENATE(SUM(EXTRACTNUMBER(D269),EXTRACTNUMBER(F269),
EXTRACTNUMBER(H269),EXTRACTNUMBER(J269),
EXTRACTNUMBER(L269),EXTRACTNUMBER(N269),
EXTRACTNUMBER(P269),EXTRACTNUMBER(R269),
EXTRACTNUMBER(T269),EXTRACTNUMBER(V269),
EXTRACTNUMBER(X269),EXTRACTNUMBER(Z269),EXTRACTNUMBER(AB269),
EXTRACTNUMBER(AD269),EXTRACTNUMBER(AF269)),"*"),SUM(EXTRACTNUMBER(D269),EXTRACTNUMBER(F269),
EXTRACTNUMBER(H269),EXTRACTNUMBER(J269),
EXTRACTNUMBER(L269),EXTRACTNUMBER(N269),
EXTRACTNUMBER(P269),EXTRACTNUMBER(R269),
EXTRACTNUMBER(T269),EXTRACTNUMBER(V269),
EXTRACTNUMBER(X269),EXTRACTNUMBER(Z269),EXTRACTNUMBER(AB269),
EXTRACTNUMBER(AD269),EXTRACTNUMBER(AF269))))),SUM(EXTRACTNUMBER(D269),EXTRACTNUMBER(F269),
EXTRACTNUMBER(H269),EXTRACTNUMBER(J269),
EXTRACTNUMBER(L269),EXTRACTNUMBER(N269),
EXTRACTNUMBER(P269),EXTRACTNUMBER(R269),
EXTRACTNUMBER(T269),EXTRACTNUMBER(V269),
EXTRACTNUMBER(X269),EXTRACTNUMBER(Z269),EXTRACTNUMBER(AB269),
EXTRACTNUMBER(AD269),EXTRACTNUMBER(AF269)))</f>
        <v>176</v>
      </c>
      <c r="AI269" s="38" t="str">
        <f t="shared" si="48"/>
        <v>FAIL</v>
      </c>
      <c r="AJ269" s="28" t="str">
        <f>spellnumber(EXTRACTnUMBER_TOT(AH269))</f>
        <v xml:space="preserve">One Hundred Seventy Six </v>
      </c>
      <c r="AK269" s="9">
        <v>176</v>
      </c>
    </row>
    <row r="270" spans="2:37" ht="15" customHeight="1">
      <c r="B270" s="40" t="s">
        <v>412</v>
      </c>
      <c r="C270" s="42" t="s">
        <v>413</v>
      </c>
      <c r="D270" s="33">
        <v>3</v>
      </c>
      <c r="E270" s="34" t="str">
        <f t="shared" si="50"/>
        <v>F</v>
      </c>
      <c r="F270" s="35">
        <v>15</v>
      </c>
      <c r="G270" s="34" t="str">
        <f t="shared" si="51"/>
        <v>E</v>
      </c>
      <c r="H270" s="36" t="s">
        <v>103</v>
      </c>
      <c r="I270" s="34" t="str">
        <f t="shared" si="52"/>
        <v/>
      </c>
      <c r="J270" s="35">
        <v>18</v>
      </c>
      <c r="K270" s="34" t="str">
        <f t="shared" si="53"/>
        <v>E</v>
      </c>
      <c r="L270" s="35">
        <v>20</v>
      </c>
      <c r="M270" s="34" t="str">
        <f t="shared" si="54"/>
        <v>E</v>
      </c>
      <c r="N270" s="36" t="s">
        <v>103</v>
      </c>
      <c r="O270" s="34" t="str">
        <f t="shared" si="49"/>
        <v/>
      </c>
      <c r="P270" s="35">
        <v>15</v>
      </c>
      <c r="Q270" s="37" t="str">
        <f t="shared" si="55"/>
        <v>E</v>
      </c>
      <c r="R270" s="33" t="s">
        <v>103</v>
      </c>
      <c r="S270" s="34" t="str">
        <f t="shared" si="56"/>
        <v/>
      </c>
      <c r="T270" s="35">
        <v>22</v>
      </c>
      <c r="U270" s="37" t="str">
        <f t="shared" si="57"/>
        <v>E</v>
      </c>
      <c r="V270" s="33" t="s">
        <v>103</v>
      </c>
      <c r="W270" s="34" t="str">
        <f t="shared" si="58"/>
        <v/>
      </c>
      <c r="X270" s="35">
        <v>16</v>
      </c>
      <c r="Y270" s="37" t="str">
        <f t="shared" si="59"/>
        <v>E</v>
      </c>
      <c r="Z270" s="35">
        <v>17</v>
      </c>
      <c r="AA270" s="37" t="str">
        <f t="shared" si="60"/>
        <v>E</v>
      </c>
      <c r="AB270" s="33" t="s">
        <v>103</v>
      </c>
      <c r="AC270" s="34" t="str">
        <f t="shared" si="61"/>
        <v/>
      </c>
      <c r="AD270" s="35">
        <v>18</v>
      </c>
      <c r="AE270" s="34" t="str">
        <f t="shared" si="62"/>
        <v>E</v>
      </c>
      <c r="AF270" s="35">
        <v>35</v>
      </c>
      <c r="AG270" s="37" t="str">
        <f t="shared" si="63"/>
        <v>E</v>
      </c>
      <c r="AH270" s="4">
        <f>IF(OR(AND(D270&gt;=31,D270&lt;40),AND(H270&gt;=31,H270&lt;40),AND(N270&gt;=31,N270&lt;40),AND(R270&gt;=31,R270&lt;40),AND(V270&gt;=31,V270&lt;40),AND(AB270&gt;=31,AB270&lt;40)),IF(AND(OR(COUNTIF(D270:AG270,"=31")&gt;=1,COUNTIF(D270:AG270,"=32")&gt;=1,COUNTIF(D270:AG270,"=33")&gt;=1,COUNTIF(D270:AG270,"=34")&gt;=1,COUNTIF(D270:AG270,"=35")&gt;=1,COUNTIF(D270:AG270,"=36")&gt;=1 ),COUNTIF(D270:AG270,"")=0,COUNTIF(D270:AG270," ")=0,COUNTIF(D270:AG270,"F")=1),CONCATENATE(SUM(EXTRACTNUMBER(D270),EXTRACTNUMBER(F270),
EXTRACTNUMBER(H270),EXTRACTNUMBER(J270),
EXTRACTNUMBER(L270),EXTRACTNUMBER(N270),
EXTRACTNUMBER(P270),EXTRACTNUMBER(R270),
EXTRACTNUMBER(T270),EXTRACTNUMBER(V270),
EXTRACTNUMBER(X270),EXTRACTNUMBER(Z270),EXTRACTNUMBER(AB270),
EXTRACTNUMBER(AD270),EXTRACTNUMBER(AF270)),"*"),IF(AND(COUNTIF(D270:AG270,"=34")&gt;=1,COUNTIF(D270:AG270,"=35")&gt;=1,COUNTIF(D270:AG270,"f")=2,COUNTIF(D270:AG270,"")=0,COUNTIF(D270:AG270," ")=0),CONCATENATE(SUM(EXTRACTNUMBER(D270),EXTRACTNUMBER(F270),
EXTRACTNUMBER(H270),EXTRACTNUMBER(J270),
EXTRACTNUMBER(L270),EXTRACTNUMBER(N270),
EXTRACTNUMBER(P270),EXTRACTNUMBER(R270),
EXTRACTNUMBER(T270),EXTRACTNUMBER(V270),
EXTRACTNUMBER(X270),EXTRACTNUMBER(Z270),EXTRACTNUMBER(AB270),
EXTRACTNUMBER(AD270),EXTRACTNUMBER(AF270)),"*"),IF(AND(COUNTIF(D270:AG270,"=36")&gt;=2,COUNTIF(D270:AG270,"f")=2,COUNTIF(D270:AG270,"")=0,COUNTIF(D270:AG270," ")=0),CONCATENATE(SUM(EXTRACTNUMBER(D270),EXTRACTNUMBER(F270),
EXTRACTNUMBER(H270),EXTRACTNUMBER(J270),
EXTRACTNUMBER(L270),EXTRACTNUMBER(N270),
EXTRACTNUMBER(P270),EXTRACTNUMBER(R270),
EXTRACTNUMBER(T270),EXTRACTNUMBER(V270),
EXTRACTNUMBER(X270),EXTRACTNUMBER(Z270),EXTRACTNUMBER(AB270),
EXTRACTNUMBER(AD270),EXTRACTNUMBER(AF270)),"*"),SUM(EXTRACTNUMBER(D270),EXTRACTNUMBER(F270),
EXTRACTNUMBER(H270),EXTRACTNUMBER(J270),
EXTRACTNUMBER(L270),EXTRACTNUMBER(N270),
EXTRACTNUMBER(P270),EXTRACTNUMBER(R270),
EXTRACTNUMBER(T270),EXTRACTNUMBER(V270),
EXTRACTNUMBER(X270),EXTRACTNUMBER(Z270),EXTRACTNUMBER(AB270),
EXTRACTNUMBER(AD270),EXTRACTNUMBER(AF270))))),SUM(EXTRACTNUMBER(D270),EXTRACTNUMBER(F270),
EXTRACTNUMBER(H270),EXTRACTNUMBER(J270),
EXTRACTNUMBER(L270),EXTRACTNUMBER(N270),
EXTRACTNUMBER(P270),EXTRACTNUMBER(R270),
EXTRACTNUMBER(T270),EXTRACTNUMBER(V270),
EXTRACTNUMBER(X270),EXTRACTNUMBER(Z270),EXTRACTNUMBER(AB270),
EXTRACTNUMBER(AD270),EXTRACTNUMBER(AF270)))</f>
        <v>179</v>
      </c>
      <c r="AI270" s="38" t="str">
        <f t="shared" si="48"/>
        <v>FAIL</v>
      </c>
      <c r="AJ270" s="28" t="str">
        <f>spellnumber(EXTRACTnUMBER_TOT(AH270))</f>
        <v xml:space="preserve">One Hundred Seventy Nine </v>
      </c>
      <c r="AK270" s="9">
        <v>179</v>
      </c>
    </row>
    <row r="272" spans="2:37" ht="17.25">
      <c r="Z272" s="25" t="s">
        <v>128</v>
      </c>
      <c r="AA272" s="9"/>
      <c r="AB272" s="26"/>
      <c r="AC272" s="9"/>
      <c r="AI272" s="8">
        <f>COUNTIF(AI28:AI270,"PASS")+COUNTIF(AI28:AI270,"FAIL")</f>
        <v>201</v>
      </c>
      <c r="AJ272" s="9">
        <f>COUNTIF(AI28:AI147,"FAIL")</f>
        <v>65</v>
      </c>
    </row>
    <row r="273" spans="26:35" ht="17.25">
      <c r="Z273" s="25" t="s">
        <v>129</v>
      </c>
      <c r="AA273" s="9"/>
      <c r="AB273" s="26"/>
      <c r="AC273" s="9"/>
      <c r="AI273" s="8">
        <f>COUNTIF(AI28:AI270,"PASS")</f>
        <v>75</v>
      </c>
    </row>
    <row r="274" spans="26:35" ht="17.25">
      <c r="Z274" s="25" t="s">
        <v>127</v>
      </c>
      <c r="AA274" s="9"/>
      <c r="AB274" s="26"/>
      <c r="AC274" s="9"/>
      <c r="AI274" s="27">
        <f>AI273/AI272</f>
        <v>0.37313432835820898</v>
      </c>
    </row>
  </sheetData>
  <mergeCells count="56">
    <mergeCell ref="F26:G26"/>
    <mergeCell ref="F27:G27"/>
    <mergeCell ref="C24:C25"/>
    <mergeCell ref="R24:U24"/>
    <mergeCell ref="D25:E25"/>
    <mergeCell ref="H25:I25"/>
    <mergeCell ref="H26:I26"/>
    <mergeCell ref="J25:K25"/>
    <mergeCell ref="J26:K26"/>
    <mergeCell ref="P25:Q25"/>
    <mergeCell ref="P26:Q26"/>
    <mergeCell ref="AI24:AI27"/>
    <mergeCell ref="V24:AA24"/>
    <mergeCell ref="AB24:AE24"/>
    <mergeCell ref="AF24:AG24"/>
    <mergeCell ref="AH25:AH27"/>
    <mergeCell ref="AF25:AG25"/>
    <mergeCell ref="AF26:AG26"/>
    <mergeCell ref="AF27:AG27"/>
    <mergeCell ref="AD25:AE25"/>
    <mergeCell ref="AD26:AE26"/>
    <mergeCell ref="AD27:AE27"/>
    <mergeCell ref="Z27:AA27"/>
    <mergeCell ref="AB25:AC25"/>
    <mergeCell ref="AB26:AC26"/>
    <mergeCell ref="AB27:AC27"/>
    <mergeCell ref="Z25:AA25"/>
    <mergeCell ref="B24:B27"/>
    <mergeCell ref="D24:G24"/>
    <mergeCell ref="H24:M24"/>
    <mergeCell ref="N24:Q24"/>
    <mergeCell ref="J27:K27"/>
    <mergeCell ref="L25:M25"/>
    <mergeCell ref="L26:M26"/>
    <mergeCell ref="L27:M27"/>
    <mergeCell ref="N25:O25"/>
    <mergeCell ref="N26:O26"/>
    <mergeCell ref="N27:O27"/>
    <mergeCell ref="P27:Q27"/>
    <mergeCell ref="H27:I27"/>
    <mergeCell ref="D26:E26"/>
    <mergeCell ref="D27:E27"/>
    <mergeCell ref="F25:G25"/>
    <mergeCell ref="Z26:AA26"/>
    <mergeCell ref="R25:S25"/>
    <mergeCell ref="R26:S26"/>
    <mergeCell ref="R27:S27"/>
    <mergeCell ref="T25:U25"/>
    <mergeCell ref="T26:U26"/>
    <mergeCell ref="T27:U27"/>
    <mergeCell ref="V25:W25"/>
    <mergeCell ref="V26:W26"/>
    <mergeCell ref="V27:W27"/>
    <mergeCell ref="X25:Y25"/>
    <mergeCell ref="X27:Y27"/>
    <mergeCell ref="X26:Y26"/>
  </mergeCells>
  <conditionalFormatting sqref="AF8:AF10 AF5:AF6 AE5">
    <cfRule type="cellIs" dxfId="43" priority="497" operator="lessThan">
      <formula>40</formula>
    </cfRule>
  </conditionalFormatting>
  <conditionalFormatting sqref="AF23:AF27 AF3:AF21 AF271:AF1048576">
    <cfRule type="cellIs" dxfId="42" priority="495" operator="lessThan">
      <formula>20</formula>
    </cfRule>
  </conditionalFormatting>
  <conditionalFormatting sqref="AF5:AF12 AE5">
    <cfRule type="cellIs" dxfId="41" priority="492" operator="greaterThan">
      <formula>100</formula>
    </cfRule>
    <cfRule type="cellIs" dxfId="40" priority="493" operator="lessThan">
      <formula>40</formula>
    </cfRule>
  </conditionalFormatting>
  <conditionalFormatting sqref="E28:E270 G28:G270 I28:I270 K28:K270 M28:M270 O28:O270 Q28:Q270 S28:S270 U28:U270 W28:W270 Y28:Y270 AA28:AA270 AC28:AC270 AE28:AE270 AG28:AG270">
    <cfRule type="cellIs" dxfId="39" priority="490" operator="equal">
      <formula>"F"</formula>
    </cfRule>
  </conditionalFormatting>
  <conditionalFormatting sqref="AI28:AI270">
    <cfRule type="containsText" dxfId="38" priority="475" operator="containsText" text="FAIL">
      <formula>NOT(ISERROR(SEARCH("FAIL",AI28)))</formula>
    </cfRule>
  </conditionalFormatting>
  <conditionalFormatting sqref="AE5 AF271:AF1048576 AF1:AF27">
    <cfRule type="cellIs" dxfId="37" priority="471" operator="equal">
      <formula>"AB"</formula>
    </cfRule>
  </conditionalFormatting>
  <conditionalFormatting sqref="H28:H1048576 D1:D25 D28:D1048576 N28:N1048576 H1:H25 N1:N26 R1:R1048576 V1:V1048576 AB1:AB1048576">
    <cfRule type="cellIs" dxfId="36" priority="15" operator="lessThan">
      <formula>40</formula>
    </cfRule>
    <cfRule type="cellIs" dxfId="35" priority="16" operator="equal">
      <formula>"AB"</formula>
    </cfRule>
  </conditionalFormatting>
  <conditionalFormatting sqref="J28:J1048576 L28:L1048576 AD1:AD1048576 P1:P1048576 T1:T21 T23:T1048576 B22 X1:X1048576 Z1:Z1048576 L1:L25 J1:J25 F1:F25 F28:F1048576 AF26:AF27">
    <cfRule type="cellIs" dxfId="34" priority="13" operator="lessThan">
      <formula>10</formula>
    </cfRule>
    <cfRule type="cellIs" dxfId="33" priority="14" operator="equal">
      <formula>"AB"</formula>
    </cfRule>
  </conditionalFormatting>
  <conditionalFormatting sqref="AF28:AF270">
    <cfRule type="cellIs" dxfId="32" priority="9" operator="lessThan">
      <formula>20</formula>
    </cfRule>
    <cfRule type="cellIs" dxfId="31" priority="10" operator="equal">
      <formula>"AB"</formula>
    </cfRule>
  </conditionalFormatting>
  <conditionalFormatting sqref="AF5:AF12">
    <cfRule type="cellIs" dxfId="30" priority="5" operator="lessThan">
      <formula>40</formula>
    </cfRule>
    <cfRule type="cellIs" dxfId="29" priority="6" operator="equal">
      <formula>"AB"</formula>
    </cfRule>
  </conditionalFormatting>
  <conditionalFormatting sqref="AF12">
    <cfRule type="cellIs" dxfId="28" priority="3" operator="lessThan">
      <formula>40</formula>
    </cfRule>
    <cfRule type="cellIs" dxfId="27" priority="4" operator="equal">
      <formula>"AB"</formula>
    </cfRule>
  </conditionalFormatting>
  <conditionalFormatting sqref="AF12">
    <cfRule type="cellIs" dxfId="26" priority="1" operator="lessThan">
      <formula>40</formula>
    </cfRule>
    <cfRule type="cellIs" dxfId="25" priority="2" operator="equal">
      <formula>"AB"</formula>
    </cfRule>
  </conditionalFormatting>
  <pageMargins left="1.65" right="0.12" top="1.86" bottom="2.46" header="0.31" footer="0.71"/>
  <pageSetup paperSize="8" orientation="landscape" r:id="rId1"/>
  <headerFooter>
    <oddHeader>&amp;C&amp;18University of Mumbai
Atharva  College of Engineering, Malad(W), Mumbai 400 095
 Statment of Marks For S.Y. B.E. Semester - III  Nov/Dec 2012 Examination             Branch :- Computer Engineering</oddHeader>
    <oddFooter xml:space="preserve">&amp;L                            &amp;G&amp;R
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19"/>
  <sheetViews>
    <sheetView topLeftCell="A7" workbookViewId="0">
      <selection activeCell="C9" sqref="C9"/>
    </sheetView>
  </sheetViews>
  <sheetFormatPr defaultRowHeight="15"/>
  <cols>
    <col min="1" max="1" width="5.28515625" customWidth="1"/>
    <col min="2" max="2" width="27.28515625" customWidth="1"/>
    <col min="3" max="3" width="23" customWidth="1"/>
    <col min="4" max="4" width="19.85546875" customWidth="1"/>
    <col min="5" max="5" width="7.5703125" customWidth="1"/>
    <col min="6" max="6" width="8" customWidth="1"/>
    <col min="8" max="8" width="8.85546875" customWidth="1"/>
    <col min="9" max="9" width="11.28515625" customWidth="1"/>
    <col min="10" max="10" width="10.42578125" customWidth="1"/>
  </cols>
  <sheetData>
    <row r="1" spans="1:10" s="53" customFormat="1" ht="15.75">
      <c r="A1" s="53" t="s">
        <v>446</v>
      </c>
    </row>
    <row r="2" spans="1:10" s="53" customFormat="1" ht="15.75">
      <c r="A2" s="53" t="s">
        <v>447</v>
      </c>
    </row>
    <row r="3" spans="1:10" s="53" customFormat="1" ht="15.75"/>
    <row r="4" spans="1:10" s="53" customFormat="1" ht="15.75">
      <c r="A4" s="53" t="s">
        <v>133</v>
      </c>
    </row>
    <row r="5" spans="1:10" s="1" customFormat="1"/>
    <row r="6" spans="1:10" s="3" customFormat="1" ht="62.25" customHeight="1">
      <c r="A6" s="2" t="s">
        <v>112</v>
      </c>
      <c r="B6" s="2" t="s">
        <v>113</v>
      </c>
      <c r="C6" s="2" t="s">
        <v>114</v>
      </c>
      <c r="D6" s="2" t="s">
        <v>135</v>
      </c>
      <c r="E6" s="2" t="s">
        <v>115</v>
      </c>
      <c r="F6" s="2" t="s">
        <v>116</v>
      </c>
      <c r="G6" s="2" t="s">
        <v>117</v>
      </c>
      <c r="H6" s="2" t="s">
        <v>139</v>
      </c>
      <c r="I6" s="2" t="s">
        <v>134</v>
      </c>
      <c r="J6" s="2" t="s">
        <v>118</v>
      </c>
    </row>
    <row r="7" spans="1:10" ht="34.5" customHeight="1">
      <c r="A7" s="45">
        <v>1</v>
      </c>
      <c r="B7" s="46" t="s">
        <v>121</v>
      </c>
      <c r="C7" s="47" t="s">
        <v>437</v>
      </c>
      <c r="D7" s="48" t="s">
        <v>438</v>
      </c>
      <c r="E7" s="48">
        <f>GAZET!D5</f>
        <v>167</v>
      </c>
      <c r="F7" s="48">
        <f>GAZET!D7</f>
        <v>70</v>
      </c>
      <c r="G7" s="49">
        <f>F7/E7</f>
        <v>0.41916167664670656</v>
      </c>
      <c r="H7" s="48">
        <f>GAZET!D11</f>
        <v>64</v>
      </c>
      <c r="I7" s="48">
        <f>F7-H7</f>
        <v>6</v>
      </c>
      <c r="J7" s="50" t="s">
        <v>119</v>
      </c>
    </row>
    <row r="8" spans="1:10" ht="33.75" customHeight="1">
      <c r="A8" s="45">
        <v>2</v>
      </c>
      <c r="B8" s="46" t="s">
        <v>122</v>
      </c>
      <c r="C8" s="48" t="s">
        <v>136</v>
      </c>
      <c r="D8" s="48" t="s">
        <v>138</v>
      </c>
      <c r="E8" s="48">
        <f>GAZET!H5</f>
        <v>171</v>
      </c>
      <c r="F8" s="48">
        <f>GAZET!H7</f>
        <v>141</v>
      </c>
      <c r="G8" s="49">
        <f t="shared" ref="G8:G12" si="0">F8/E8</f>
        <v>0.82456140350877194</v>
      </c>
      <c r="H8" s="48">
        <f>GAZET!H11</f>
        <v>82</v>
      </c>
      <c r="I8" s="51">
        <f t="shared" ref="I8:I12" si="1">F8-H8</f>
        <v>59</v>
      </c>
      <c r="J8" s="50" t="s">
        <v>119</v>
      </c>
    </row>
    <row r="9" spans="1:10" ht="48.75" customHeight="1">
      <c r="A9" s="45">
        <v>3</v>
      </c>
      <c r="B9" s="46" t="s">
        <v>123</v>
      </c>
      <c r="C9" s="48" t="s">
        <v>439</v>
      </c>
      <c r="D9" s="48" t="s">
        <v>449</v>
      </c>
      <c r="E9" s="48">
        <f>GAZET!N5</f>
        <v>156</v>
      </c>
      <c r="F9" s="48">
        <f>GAZET!N7</f>
        <v>135</v>
      </c>
      <c r="G9" s="49">
        <f t="shared" si="0"/>
        <v>0.86538461538461542</v>
      </c>
      <c r="H9" s="48">
        <f>GAZET!N11</f>
        <v>73</v>
      </c>
      <c r="I9" s="51">
        <f t="shared" si="1"/>
        <v>62</v>
      </c>
      <c r="J9" s="50" t="s">
        <v>119</v>
      </c>
    </row>
    <row r="10" spans="1:10" ht="51.75" customHeight="1">
      <c r="A10" s="45">
        <v>4</v>
      </c>
      <c r="B10" s="46" t="s">
        <v>124</v>
      </c>
      <c r="C10" s="48" t="s">
        <v>450</v>
      </c>
      <c r="D10" s="48" t="s">
        <v>137</v>
      </c>
      <c r="E10" s="48">
        <f>GAZET!R5</f>
        <v>147</v>
      </c>
      <c r="F10" s="48">
        <f>GAZET!R7</f>
        <v>137</v>
      </c>
      <c r="G10" s="49">
        <f t="shared" si="0"/>
        <v>0.93197278911564629</v>
      </c>
      <c r="H10" s="48">
        <f>GAZET!R11</f>
        <v>97</v>
      </c>
      <c r="I10" s="51">
        <f t="shared" si="1"/>
        <v>40</v>
      </c>
      <c r="J10" s="50" t="s">
        <v>119</v>
      </c>
    </row>
    <row r="11" spans="1:10" ht="36.75" customHeight="1">
      <c r="A11" s="45">
        <v>5</v>
      </c>
      <c r="B11" s="46" t="s">
        <v>125</v>
      </c>
      <c r="C11" s="48" t="s">
        <v>440</v>
      </c>
      <c r="D11" s="48" t="s">
        <v>137</v>
      </c>
      <c r="E11" s="48">
        <f>GAZET!V5</f>
        <v>150</v>
      </c>
      <c r="F11" s="51">
        <f>GAZET!V7</f>
        <v>125</v>
      </c>
      <c r="G11" s="49">
        <f t="shared" si="0"/>
        <v>0.83333333333333337</v>
      </c>
      <c r="H11" s="48">
        <f>GAZET!V11</f>
        <v>110</v>
      </c>
      <c r="I11" s="51">
        <f t="shared" si="1"/>
        <v>15</v>
      </c>
      <c r="J11" s="50" t="s">
        <v>119</v>
      </c>
    </row>
    <row r="12" spans="1:10" ht="50.25" customHeight="1">
      <c r="A12" s="45">
        <v>6</v>
      </c>
      <c r="B12" s="52" t="s">
        <v>126</v>
      </c>
      <c r="C12" s="48" t="s">
        <v>441</v>
      </c>
      <c r="D12" s="48" t="s">
        <v>448</v>
      </c>
      <c r="E12" s="47">
        <f>GAZET!AB5</f>
        <v>168</v>
      </c>
      <c r="F12" s="48">
        <f>GAZET!AB7</f>
        <v>120</v>
      </c>
      <c r="G12" s="49">
        <f t="shared" si="0"/>
        <v>0.7142857142857143</v>
      </c>
      <c r="H12" s="48">
        <f>GAZET!AB11</f>
        <v>119</v>
      </c>
      <c r="I12" s="51">
        <f t="shared" si="1"/>
        <v>1</v>
      </c>
      <c r="J12" s="50" t="s">
        <v>119</v>
      </c>
    </row>
    <row r="14" spans="1:10" ht="15.75">
      <c r="B14" s="54" t="s">
        <v>130</v>
      </c>
      <c r="C14" s="55">
        <f>GAZET!AI272</f>
        <v>201</v>
      </c>
    </row>
    <row r="15" spans="1:10" ht="15.75">
      <c r="B15" s="54" t="s">
        <v>131</v>
      </c>
      <c r="C15" s="55">
        <f>GAZET!AI273</f>
        <v>75</v>
      </c>
    </row>
    <row r="16" spans="1:10" ht="15.75">
      <c r="B16" s="54" t="s">
        <v>132</v>
      </c>
      <c r="C16" s="56">
        <f>GAZET!AI274</f>
        <v>0.37313432835820898</v>
      </c>
    </row>
    <row r="17" spans="2:7" ht="15.75">
      <c r="B17" s="53" t="s">
        <v>443</v>
      </c>
      <c r="C17" s="53" t="s">
        <v>445</v>
      </c>
      <c r="E17" s="1"/>
    </row>
    <row r="18" spans="2:7" ht="15.75">
      <c r="B18" s="54" t="s">
        <v>444</v>
      </c>
      <c r="C18" s="57" t="s">
        <v>451</v>
      </c>
    </row>
    <row r="19" spans="2:7">
      <c r="G19" t="s">
        <v>120</v>
      </c>
    </row>
  </sheetData>
  <pageMargins left="0.95" right="0.7" top="0.75" bottom="0.73" header="0.3" footer="0.3"/>
  <pageSetup paperSize="9" orientation="landscape" horizontalDpi="300" verticalDpi="300" r:id="rId1"/>
  <headerFooter>
    <oddHeader>&amp;C&amp;14&amp;UUNIVERSITY OF MUMBAI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I244"/>
  <sheetViews>
    <sheetView tabSelected="1" topLeftCell="A91" workbookViewId="0">
      <selection activeCell="AH96" sqref="AH96"/>
    </sheetView>
  </sheetViews>
  <sheetFormatPr defaultColWidth="3.7109375" defaultRowHeight="15" customHeight="1"/>
  <cols>
    <col min="1" max="1" width="10.7109375" customWidth="1"/>
    <col min="2" max="2" width="34.5703125" customWidth="1"/>
    <col min="33" max="33" width="5.7109375" customWidth="1"/>
    <col min="34" max="34" width="9" customWidth="1"/>
    <col min="35" max="35" width="24.85546875" customWidth="1"/>
  </cols>
  <sheetData>
    <row r="1" spans="1:35" ht="15" customHeight="1">
      <c r="A1" t="s">
        <v>140</v>
      </c>
      <c r="B1" t="s">
        <v>141</v>
      </c>
      <c r="C1" t="s">
        <v>142</v>
      </c>
      <c r="E1" t="s">
        <v>143</v>
      </c>
      <c r="G1" t="s">
        <v>144</v>
      </c>
      <c r="I1" t="s">
        <v>145</v>
      </c>
      <c r="K1" t="s">
        <v>146</v>
      </c>
      <c r="M1" t="s">
        <v>147</v>
      </c>
      <c r="O1" t="s">
        <v>148</v>
      </c>
      <c r="Q1" t="s">
        <v>149</v>
      </c>
      <c r="S1" t="s">
        <v>150</v>
      </c>
      <c r="U1" t="s">
        <v>151</v>
      </c>
      <c r="W1" t="s">
        <v>152</v>
      </c>
      <c r="Y1" t="s">
        <v>153</v>
      </c>
      <c r="AA1" t="s">
        <v>154</v>
      </c>
      <c r="AC1" t="s">
        <v>155</v>
      </c>
      <c r="AE1" t="s">
        <v>156</v>
      </c>
      <c r="AG1" t="s">
        <v>157</v>
      </c>
      <c r="AH1" t="s">
        <v>9</v>
      </c>
      <c r="AI1" t="s">
        <v>158</v>
      </c>
    </row>
    <row r="2" spans="1:35" ht="15" customHeight="1">
      <c r="A2" s="58">
        <v>223201</v>
      </c>
      <c r="B2" s="32" t="s">
        <v>160</v>
      </c>
      <c r="C2" s="60">
        <v>20</v>
      </c>
      <c r="D2" s="61" t="str">
        <f ca="1">IF(IFERROR(FIND("+",C2),0)," ",
IF(C2="AB","",
IF(C2&lt;$D$27,"F",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F</v>
      </c>
      <c r="E2" s="62">
        <v>17</v>
      </c>
      <c r="F2" s="61" t="str">
        <f ca="1">IF(IFERROR(FIND("+",E2),0)," ",
IF(E2="AB","",
IF(E2&lt;$F$27,"F",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G2" s="63">
        <v>42</v>
      </c>
      <c r="H2" s="61" t="str">
        <f ca="1">IF(IFERROR(FIND("+",G2),0)," ",
IF(G2="AB","",
IF(G2&lt;$H$27,"F",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I2" s="62">
        <v>23</v>
      </c>
      <c r="J2" s="61" t="str">
        <f ca="1">IF(IFERROR(FIND("+",I2),0)," ",
IF(I2="AB","",
IF(I2&lt;$J$27,"F",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K2" s="62">
        <v>18</v>
      </c>
      <c r="L2" s="61" t="str">
        <f ca="1">IF(IFERROR(FIND("+",K2),0)," ",
IF(K2="AB","",
IF(K2&lt;$L$27,"F",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M2" s="63">
        <v>44</v>
      </c>
      <c r="N2" s="61" t="str">
        <f t="shared" ref="N2:N65" ca="1" si="0">IF(IFERROR(FIND("+",M2),0)," ",
IF(M2="AB","",
IF(M2&lt;$N$27,"F",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O2" s="62">
        <v>19</v>
      </c>
      <c r="P2" s="64" t="str">
        <f ca="1">IF(IFERROR(FIND("+",O2),0)," ",
IF(O2="AB","",
IF(O2&lt;$P$27,"F",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Q2" s="60">
        <v>40</v>
      </c>
      <c r="R2" s="61" t="str">
        <f ca="1">IF(IFERROR(FIND("+",Q2),0)," ",
IF(Q2="AB","",
IF(Q2&lt;$R$27,"F",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S2" s="62">
        <v>20</v>
      </c>
      <c r="T2" s="64" t="str">
        <f ca="1">IF(IFERROR(FIND("+",S2),0)," ",
IF(S2="AB","",
IF(S2&lt;$T$27,"F",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U2" s="60">
        <v>40</v>
      </c>
      <c r="V2" s="61" t="str">
        <f ca="1">IF(IFERROR(FIND("+",U2),0)," ",
IF(U2="AB","",
IF(U2&lt;$V$27,"F",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W2" s="62">
        <v>21</v>
      </c>
      <c r="X2" s="64" t="str">
        <f ca="1">IF(IFERROR(FIND("+",W2),0)," ",
IF(W2="AB","",
IF(W2&lt;$X$27,"F",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Y2" s="62">
        <v>20</v>
      </c>
      <c r="Z2" s="64" t="str">
        <f ca="1">IF(IFERROR(FIND("+",Y2),0)," ",
IF(Y2="AB","",
IF(Y2&lt;$Z$27,"F",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AA2" s="60">
        <v>33</v>
      </c>
      <c r="AB2" s="61" t="str">
        <f ca="1">IF(IFERROR(FIND("+",AA2),0)," ",
IF(AA2="AB","",
IF(AA2&lt;$AB$27,"F",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F</v>
      </c>
      <c r="AC2" s="62">
        <v>13</v>
      </c>
      <c r="AD2" s="61" t="str">
        <f ca="1">IF(IFERROR(FIND("+",AC2),0)," ",
IF(AC2="AB","",
IF(AC2&lt;$AD$27,"F",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AE2" s="62">
        <v>41</v>
      </c>
      <c r="AF2" s="64" t="str">
        <f ca="1">IF(IFERROR(FIND("+",AE2),0)," ",
IF(AE2="AB","",
IF(AE2&lt;$AF$27,"F",
IF(AND(C2&gt;=$D$27,E2&gt;=$F$27,G2&gt;=$H$27,
I2&gt;=$J$27,K2&gt;=$L$27,
M2&gt;=$N$27,O2&gt;=$P$27,Q2&gt;=$R$27,S2&gt;=$T$27,U2&gt;=$V$27,
W2&gt;=$X$27,Y2&gt;=$Z$27,AA2&gt;=$AB$27,AC2&gt;=$AD$27,AE2&gt;=$AF$27,
C2&lt;&gt;"AB",E2&lt;&gt;"AB",G2&lt;&gt;"AB",
I2&lt;&gt;"AB",K2&lt;&gt;"AB",
M2&lt;&gt;"AB",O2&lt;&gt;"AB",Q2&lt;&gt;"AB",S2&lt;&gt;"AB",U2&lt;&gt;"AB",
W2&lt;&gt;"AB",Y2&lt;&gt;"AB",AA2&lt;&gt;"AB",AC2&lt;&gt;"AB",AE2&lt;&gt;"AB"),"","E"))))</f>
        <v>E</v>
      </c>
      <c r="AG2" s="66">
        <f>IF(OR(AND(C2&gt;=31,C2&lt;40),AND(G2&gt;=31,G2&lt;40),AND(M2&gt;=31,M2&lt;40),AND(Q2&gt;=31,Q2&lt;40),AND(U2&gt;=31,U2&lt;40),AND(AA2&gt;=11,AA2&lt;20)),IF(AND(OR(COUNTIF(C2:AF2,"=31")&gt;=1,COUNTIF(C2:AF2,"=32")&gt;=1,COUNTIF(C2:AF2,"=33")&gt;=1,COUNTIF(C2:AF2,"=34")&gt;=1,COUNTIF(C2:AF2,"=35")&gt;=1,COUNTIF(C2:AF2,"=36")&gt;=1 ),COUNTIF(C2:AF2,"")=0,COUNTIF(C2:AF2," ")=0,COUNTIF(C2:AF2,"F")=1),CONCATENATE(SUM(EXTRACTNUMBER(C2),EXTRACTNUMBER(E2),
EXTRACTNUMBER(G2),EXTRACTNUMBER(I2),
EXTRACTNUMBER(K2),EXTRACTNUMBER(M2),
EXTRACTNUMBER(O2),EXTRACTNUMBER(Q2),
EXTRACTNUMBER(S2),EXTRACTNUMBER(U2),
EXTRACTNUMBER(W2),EXTRACTNUMBER(Y2),EXTRACTNUMBER(AA2),
EXTRACTNUMBER(AC2),EXTRACTNUMBER(AE2)),"*"),IF(AND(COUNTIF(C2:AF2,"=34")&gt;=1,COUNTIF(C2:AF2,"=35")&gt;=1,COUNTIF(C2:AF2,"f")=2,COUNTIF(C2:AF2,"")=0,COUNTIF(C2:AF2," ")=0),CONCATENATE(SUM(EXTRACTNUMBER(C2),EXTRACTNUMBER(E2),
EXTRACTNUMBER(G2),EXTRACTNUMBER(I2),
EXTRACTNUMBER(K2),EXTRACTNUMBER(M2),
EXTRACTNUMBER(O2),EXTRACTNUMBER(Q2),
EXTRACTNUMBER(S2),EXTRACTNUMBER(U2),
EXTRACTNUMBER(W2),EXTRACTNUMBER(Y2),EXTRACTNUMBER(AA2),
EXTRACTNUMBER(AC2),EXTRACTNUMBER(AE2)),"*"),IF(AND(COUNTIF(C2:AF2,"=36")&gt;=2,COUNTIF(C2:AF2,"f")=2,COUNTIF(C2:AF2,"")=0,COUNTIF(C2:AF2," ")=0),CONCATENATE(SUM(EXTRACTNUMBER(C2),EXTRACTNUMBER(E2),
EXTRACTNUMBER(G2),EXTRACTNUMBER(I2),
EXTRACTNUMBER(K2),EXTRACTNUMBER(M2),
EXTRACTNUMBER(O2),EXTRACTNUMBER(Q2),
EXTRACTNUMBER(S2),EXTRACTNUMBER(U2),
EXTRACTNUMBER(W2),EXTRACTNUMBER(Y2),EXTRACTNUMBER(AA2),
EXTRACTNUMBER(AC2),EXTRACTNUMBER(AE2)),"*"),SUM(EXTRACTNUMBER(C2),EXTRACTNUMBER(E2),
EXTRACTNUMBER(G2),EXTRACTNUMBER(I2),
EXTRACTNUMBER(K2),EXTRACTNUMBER(M2),
EXTRACTNUMBER(O2),EXTRACTNUMBER(Q2),
EXTRACTNUMBER(S2),EXTRACTNUMBER(U2),
EXTRACTNUMBER(W2),EXTRACTNUMBER(Y2),EXTRACTNUMBER(AA2),
EXTRACTNUMBER(AC2),EXTRACTNUMBER(AE2))))),SUM(EXTRACTNUMBER(C2),EXTRACTNUMBER(E2),
EXTRACTNUMBER(G2),EXTRACTNUMBER(I2),
EXTRACTNUMBER(K2),EXTRACTNUMBER(M2),
EXTRACTNUMBER(O2),EXTRACTNUMBER(Q2),
EXTRACTNUMBER(S2),EXTRACTNUMBER(U2),
EXTRACTNUMBER(W2),EXTRACTNUMBER(Y2),EXTRACTNUMBER(AA2),
EXTRACTNUMBER(AC2),EXTRACTNUMBER(AE2)))</f>
        <v>411</v>
      </c>
      <c r="AH2" s="38" t="str">
        <f ca="1">IF(AND(COUNTIF(C2:AF2,"AB")&lt;15-COUNTIF(C2:AF2," "),
COUNTIF(C2:AF2,"AB")&lt;&gt;0),"FAIL",
IF(COUNTIF(C2:AF2,"AB")=15-COUNTIF(C2:AF2," "),"ABSENT",
IF(AND(COUNTIF(C2:AF2,"AB")=0,COUNTIF(C2:AF2,"F")=0),"PASS","FAIL")))</f>
        <v>FAIL</v>
      </c>
      <c r="AI2" s="28" t="str">
        <f>spellnumber(EXTRACTnUMBER_TOT(AG2))</f>
        <v xml:space="preserve">Four Hundred Eleven </v>
      </c>
    </row>
    <row r="3" spans="1:35" ht="15" customHeight="1">
      <c r="A3" s="58">
        <v>223202</v>
      </c>
      <c r="B3" s="32" t="s">
        <v>161</v>
      </c>
      <c r="C3" s="60">
        <v>40</v>
      </c>
      <c r="D3" s="61" t="str">
        <f t="shared" ref="D3:D66" ca="1" si="1">IF(IFERROR(FIND("+",C3),0)," ",
IF(C3="AB","",
IF(C3&lt;$D$27,"F",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E3" s="62">
        <v>23</v>
      </c>
      <c r="F3" s="61" t="str">
        <f t="shared" ref="F3:F66" ca="1" si="2">IF(IFERROR(FIND("+",E3),0)," ",
IF(E3="AB","",
IF(E3&lt;$F$27,"F",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G3" s="63">
        <v>70</v>
      </c>
      <c r="H3" s="61" t="str">
        <f t="shared" ref="H3:H66" ca="1" si="3">IF(IFERROR(FIND("+",G3),0)," ",
IF(G3="AB","",
IF(G3&lt;$H$27,"F",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I3" s="62">
        <v>20</v>
      </c>
      <c r="J3" s="61" t="str">
        <f t="shared" ref="J3:J66" ca="1" si="4">IF(IFERROR(FIND("+",I3),0)," ",
IF(I3="AB","",
IF(I3&lt;$J$27,"F",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K3" s="62">
        <v>19</v>
      </c>
      <c r="L3" s="61" t="str">
        <f t="shared" ref="L3:L66" ca="1" si="5">IF(IFERROR(FIND("+",K3),0)," ",
IF(K3="AB","",
IF(K3&lt;$L$27,"F",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M3" s="63">
        <v>76</v>
      </c>
      <c r="N3" s="61" t="str">
        <f t="shared" ca="1" si="0"/>
        <v/>
      </c>
      <c r="O3" s="62">
        <v>23</v>
      </c>
      <c r="P3" s="64" t="str">
        <f t="shared" ref="P3:P66" ca="1" si="6">IF(IFERROR(FIND("+",O3),0)," ",
IF(O3="AB","",
IF(O3&lt;$P$27,"F",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Q3" s="60">
        <v>58</v>
      </c>
      <c r="R3" s="61" t="str">
        <f t="shared" ref="R3:R66" ca="1" si="7">IF(IFERROR(FIND("+",Q3),0)," ",
IF(Q3="AB","",
IF(Q3&lt;$R$27,"F",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S3" s="62">
        <v>21</v>
      </c>
      <c r="T3" s="64" t="str">
        <f t="shared" ref="T3:T66" ca="1" si="8">IF(IFERROR(FIND("+",S3),0)," ",
IF(S3="AB","",
IF(S3&lt;$T$27,"F",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U3" s="60">
        <v>63</v>
      </c>
      <c r="V3" s="61" t="str">
        <f t="shared" ref="V3:V66" ca="1" si="9">IF(IFERROR(FIND("+",U3),0)," ",
IF(U3="AB","",
IF(U3&lt;$V$27,"F",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W3" s="62">
        <v>22</v>
      </c>
      <c r="X3" s="64" t="str">
        <f t="shared" ref="X3:X66" ca="1" si="10">IF(IFERROR(FIND("+",W3),0)," ",
IF(W3="AB","",
IF(W3&lt;$X$27,"F",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Y3" s="62">
        <v>22</v>
      </c>
      <c r="Z3" s="64" t="str">
        <f t="shared" ref="Z3:Z66" ca="1" si="11">IF(IFERROR(FIND("+",Y3),0)," ",
IF(Y3="AB","",
IF(Y3&lt;$Z$27,"F",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AA3" s="60">
        <v>41</v>
      </c>
      <c r="AB3" s="61" t="str">
        <f t="shared" ref="AB3:AB66" ca="1" si="12">IF(IFERROR(FIND("+",AA3),0)," ",
IF(AA3="AB","",
IF(AA3&lt;$AB$27,"F",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AC3" s="62">
        <v>24</v>
      </c>
      <c r="AD3" s="61" t="str">
        <f t="shared" ref="AD3:AD66" ca="1" si="13">IF(IFERROR(FIND("+",AC3),0)," ",
IF(AC3="AB","",
IF(AC3&lt;$AD$27,"F",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AE3" s="62">
        <v>44</v>
      </c>
      <c r="AF3" s="64" t="str">
        <f t="shared" ref="AF3:AF66" ca="1" si="14">IF(IFERROR(FIND("+",AE3),0)," ",
IF(AE3="AB","",
IF(AE3&lt;$AF$27,"F",
IF(AND(C3&gt;=$D$27,E3&gt;=$F$27,G3&gt;=$H$27,
I3&gt;=$J$27,K3&gt;=$L$27,
M3&gt;=$N$27,O3&gt;=$P$27,Q3&gt;=$R$27,S3&gt;=$T$27,U3&gt;=$V$27,
W3&gt;=$X$27,Y3&gt;=$Z$27,AA3&gt;=$AB$27,AC3&gt;=$AD$27,AE3&gt;=$AF$27,
C3&lt;&gt;"AB",E3&lt;&gt;"AB",G3&lt;&gt;"AB",
I3&lt;&gt;"AB",K3&lt;&gt;"AB",
M3&lt;&gt;"AB",O3&lt;&gt;"AB",Q3&lt;&gt;"AB",S3&lt;&gt;"AB",U3&lt;&gt;"AB",
W3&lt;&gt;"AB",Y3&lt;&gt;"AB",AA3&lt;&gt;"AB",AC3&lt;&gt;"AB",AE3&lt;&gt;"AB"),"","E"))))</f>
        <v/>
      </c>
      <c r="AG3" s="66">
        <f>IF(OR(AND(C3&gt;=31,C3&lt;40),AND(G3&gt;=31,G3&lt;40),AND(M3&gt;=31,M3&lt;40),AND(Q3&gt;=31,Q3&lt;40),AND(U3&gt;=31,U3&lt;40),AND(AA3&gt;=11,AA3&lt;20)),IF(AND(OR(COUNTIF(C3:AF3,"=31")&gt;=1,COUNTIF(C3:AF3,"=32")&gt;=1,COUNTIF(C3:AF3,"=33")&gt;=1,COUNTIF(C3:AF3,"=34")&gt;=1,COUNTIF(C3:AF3,"=35")&gt;=1,COUNTIF(C3:AF3,"=36")&gt;=1 ),COUNTIF(C3:AF3,"")=0,COUNTIF(C3:AF3," ")=0,COUNTIF(C3:AF3,"F")=1),CONCATENATE(SUM(EXTRACTNUMBER(C3),EXTRACTNUMBER(E3),
EXTRACTNUMBER(G3),EXTRACTNUMBER(I3),
EXTRACTNUMBER(K3),EXTRACTNUMBER(M3),
EXTRACTNUMBER(O3),EXTRACTNUMBER(Q3),
EXTRACTNUMBER(S3),EXTRACTNUMBER(U3),
EXTRACTNUMBER(W3),EXTRACTNUMBER(Y3),EXTRACTNUMBER(AA3),
EXTRACTNUMBER(AC3),EXTRACTNUMBER(AE3)),"*"),IF(AND(COUNTIF(C3:AF3,"=34")&gt;=1,COUNTIF(C3:AF3,"=35")&gt;=1,COUNTIF(C3:AF3,"f")=2,COUNTIF(C3:AF3,"")=0,COUNTIF(C3:AF3," ")=0),CONCATENATE(SUM(EXTRACTNUMBER(C3),EXTRACTNUMBER(E3),
EXTRACTNUMBER(G3),EXTRACTNUMBER(I3),
EXTRACTNUMBER(K3),EXTRACTNUMBER(M3),
EXTRACTNUMBER(O3),EXTRACTNUMBER(Q3),
EXTRACTNUMBER(S3),EXTRACTNUMBER(U3),
EXTRACTNUMBER(W3),EXTRACTNUMBER(Y3),EXTRACTNUMBER(AA3),
EXTRACTNUMBER(AC3),EXTRACTNUMBER(AE3)),"*"),IF(AND(COUNTIF(C3:AF3,"=36")&gt;=2,COUNTIF(C3:AF3,"f")=2,COUNTIF(C3:AF3,"")=0,COUNTIF(C3:AF3," ")=0),CONCATENATE(SUM(EXTRACTNUMBER(C3),EXTRACTNUMBER(E3),
EXTRACTNUMBER(G3),EXTRACTNUMBER(I3),
EXTRACTNUMBER(K3),EXTRACTNUMBER(M3),
EXTRACTNUMBER(O3),EXTRACTNUMBER(Q3),
EXTRACTNUMBER(S3),EXTRACTNUMBER(U3),
EXTRACTNUMBER(W3),EXTRACTNUMBER(Y3),EXTRACTNUMBER(AA3),
EXTRACTNUMBER(AC3),EXTRACTNUMBER(AE3)),"*"),SUM(EXTRACTNUMBER(C3),EXTRACTNUMBER(E3),
EXTRACTNUMBER(G3),EXTRACTNUMBER(I3),
EXTRACTNUMBER(K3),EXTRACTNUMBER(M3),
EXTRACTNUMBER(O3),EXTRACTNUMBER(Q3),
EXTRACTNUMBER(S3),EXTRACTNUMBER(U3),
EXTRACTNUMBER(W3),EXTRACTNUMBER(Y3),EXTRACTNUMBER(AA3),
EXTRACTNUMBER(AC3),EXTRACTNUMBER(AE3))))),SUM(EXTRACTNUMBER(C3),EXTRACTNUMBER(E3),
EXTRACTNUMBER(G3),EXTRACTNUMBER(I3),
EXTRACTNUMBER(K3),EXTRACTNUMBER(M3),
EXTRACTNUMBER(O3),EXTRACTNUMBER(Q3),
EXTRACTNUMBER(S3),EXTRACTNUMBER(U3),
EXTRACTNUMBER(W3),EXTRACTNUMBER(Y3),EXTRACTNUMBER(AA3),
EXTRACTNUMBER(AC3),EXTRACTNUMBER(AE3)))</f>
        <v>566</v>
      </c>
      <c r="AH3" s="38" t="str">
        <f t="shared" ref="AH3:AH66" ca="1" si="15">IF(AND(COUNTIF(C3:AF3,"AB")&lt;15-COUNTIF(C3:AF3," "),
COUNTIF(C3:AF3,"AB")&lt;&gt;0),"FAIL",
IF(COUNTIF(C3:AF3,"AB")=15-COUNTIF(C3:AF3," "),"ABSENT",
IF(AND(COUNTIF(C3:AF3,"AB")=0,COUNTIF(C3:AF3,"F")=0),"PASS","FAIL")))</f>
        <v>PASS</v>
      </c>
      <c r="AI3" s="28" t="str">
        <f>spellnumber(EXTRACTnUMBER_TOT(AG3))</f>
        <v xml:space="preserve">Five Hundred Sixty Six </v>
      </c>
    </row>
    <row r="4" spans="1:35" ht="15" customHeight="1">
      <c r="A4" s="58">
        <v>223203</v>
      </c>
      <c r="B4" s="32" t="s">
        <v>162</v>
      </c>
      <c r="C4" s="60">
        <v>40</v>
      </c>
      <c r="D4" s="61" t="str">
        <f t="shared" ca="1" si="1"/>
        <v>E</v>
      </c>
      <c r="E4" s="62">
        <v>17</v>
      </c>
      <c r="F4" s="61" t="str">
        <f t="shared" ca="1" si="2"/>
        <v>E</v>
      </c>
      <c r="G4" s="63">
        <v>40</v>
      </c>
      <c r="H4" s="61" t="str">
        <f t="shared" ca="1" si="3"/>
        <v>E</v>
      </c>
      <c r="I4" s="62">
        <v>20</v>
      </c>
      <c r="J4" s="61" t="str">
        <f t="shared" ca="1" si="4"/>
        <v>E</v>
      </c>
      <c r="K4" s="62">
        <v>17</v>
      </c>
      <c r="L4" s="61" t="str">
        <f t="shared" ca="1" si="5"/>
        <v>E</v>
      </c>
      <c r="M4" s="63">
        <v>44</v>
      </c>
      <c r="N4" s="61" t="str">
        <f t="shared" ca="1" si="0"/>
        <v>E</v>
      </c>
      <c r="O4" s="62">
        <v>18</v>
      </c>
      <c r="P4" s="64" t="str">
        <f t="shared" ca="1" si="6"/>
        <v>E</v>
      </c>
      <c r="Q4" s="60">
        <v>20</v>
      </c>
      <c r="R4" s="61" t="str">
        <f t="shared" ca="1" si="7"/>
        <v>F</v>
      </c>
      <c r="S4" s="62">
        <v>20</v>
      </c>
      <c r="T4" s="64" t="str">
        <f t="shared" ca="1" si="8"/>
        <v>E</v>
      </c>
      <c r="U4" s="60">
        <v>19</v>
      </c>
      <c r="V4" s="61" t="str">
        <f t="shared" ca="1" si="9"/>
        <v>F</v>
      </c>
      <c r="W4" s="62">
        <v>19</v>
      </c>
      <c r="X4" s="64" t="str">
        <f t="shared" ca="1" si="10"/>
        <v>E</v>
      </c>
      <c r="Y4" s="62">
        <v>15</v>
      </c>
      <c r="Z4" s="64" t="str">
        <f t="shared" ca="1" si="11"/>
        <v>E</v>
      </c>
      <c r="AA4" s="60">
        <v>28</v>
      </c>
      <c r="AB4" s="61" t="str">
        <f t="shared" ca="1" si="12"/>
        <v>F</v>
      </c>
      <c r="AC4" s="62">
        <v>19</v>
      </c>
      <c r="AD4" s="61" t="str">
        <f t="shared" ca="1" si="13"/>
        <v>E</v>
      </c>
      <c r="AE4" s="62">
        <v>40</v>
      </c>
      <c r="AF4" s="64" t="str">
        <f t="shared" ca="1" si="14"/>
        <v>E</v>
      </c>
      <c r="AG4" s="66">
        <f>IF(OR(AND(C4&gt;=31,C4&lt;40),AND(G4&gt;=31,G4&lt;40),AND(M4&gt;=31,M4&lt;40),AND(Q4&gt;=31,Q4&lt;40),AND(U4&gt;=31,U4&lt;40),AND(AA4&gt;=11,AA4&lt;20)),IF(AND(OR(COUNTIF(C4:AF4,"=31")&gt;=1,COUNTIF(C4:AF4,"=32")&gt;=1,COUNTIF(C4:AF4,"=33")&gt;=1,COUNTIF(C4:AF4,"=34")&gt;=1,COUNTIF(C4:AF4,"=35")&gt;=1,COUNTIF(C4:AF4,"=36")&gt;=1 ),COUNTIF(C4:AF4,"")=0,COUNTIF(C4:AF4," ")=0,COUNTIF(C4:AF4,"F")=1),CONCATENATE(SUM(EXTRACTNUMBER(C4),EXTRACTNUMBER(E4),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EXTRACTNUMBER(AC4),EXTRACTNUMBER(AE4)),"*"),IF(AND(COUNTIF(C4:AF4,"=34")&gt;=1,COUNTIF(C4:AF4,"=35")&gt;=1,COUNTIF(C4:AF4,"f")=2,COUNTIF(C4:AF4,"")=0,COUNTIF(C4:AF4," ")=0),CONCATENATE(SUM(EXTRACTNUMBER(C4),EXTRACTNUMBER(E4),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EXTRACTNUMBER(AC4),EXTRACTNUMBER(AE4)),"*"),IF(AND(COUNTIF(C4:AF4,"=36")&gt;=2,COUNTIF(C4:AF4,"f")=2,COUNTIF(C4:AF4,"")=0,COUNTIF(C4:AF4," ")=0),CONCATENATE(SUM(EXTRACTNUMBER(C4),EXTRACTNUMBER(E4),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EXTRACTNUMBER(AC4),EXTRACTNUMBER(AE4)),"*"),SUM(EXTRACTNUMBER(C4),EXTRACTNUMBER(E4),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EXTRACTNUMBER(AC4),EXTRACTNUMBER(AE4))))),SUM(EXTRACTNUMBER(C4),EXTRACTNUMBER(E4),
EXTRACTNUMBER(G4),EXTRACTNUMBER(I4),
EXTRACTNUMBER(K4),EXTRACTNUMBER(M4),
EXTRACTNUMBER(O4),EXTRACTNUMBER(Q4),
EXTRACTNUMBER(S4),EXTRACTNUMBER(U4),
EXTRACTNUMBER(W4),EXTRACTNUMBER(Y4),EXTRACTNUMBER(AA4),
EXTRACTNUMBER(AC4),EXTRACTNUMBER(AE4)))</f>
        <v>376</v>
      </c>
      <c r="AH4" s="38" t="str">
        <f t="shared" ca="1" si="15"/>
        <v>FAIL</v>
      </c>
      <c r="AI4" s="28" t="str">
        <f>spellnumber(EXTRACTnUMBER_TOT(AG4))</f>
        <v xml:space="preserve">Three Hundred Seventy Six </v>
      </c>
    </row>
    <row r="5" spans="1:35" ht="15" customHeight="1">
      <c r="A5" s="58">
        <v>223204</v>
      </c>
      <c r="B5" s="32" t="s">
        <v>163</v>
      </c>
      <c r="C5" s="60">
        <v>41</v>
      </c>
      <c r="D5" s="61" t="str">
        <f t="shared" ca="1" si="1"/>
        <v/>
      </c>
      <c r="E5" s="62">
        <v>23</v>
      </c>
      <c r="F5" s="61" t="str">
        <f t="shared" ca="1" si="2"/>
        <v/>
      </c>
      <c r="G5" s="63">
        <v>71</v>
      </c>
      <c r="H5" s="61" t="str">
        <f t="shared" ca="1" si="3"/>
        <v/>
      </c>
      <c r="I5" s="62">
        <v>23</v>
      </c>
      <c r="J5" s="61" t="str">
        <f t="shared" ca="1" si="4"/>
        <v/>
      </c>
      <c r="K5" s="62">
        <v>18</v>
      </c>
      <c r="L5" s="61" t="str">
        <f t="shared" ca="1" si="5"/>
        <v/>
      </c>
      <c r="M5" s="63">
        <v>62</v>
      </c>
      <c r="N5" s="61" t="str">
        <f t="shared" ca="1" si="0"/>
        <v/>
      </c>
      <c r="O5" s="62">
        <v>20</v>
      </c>
      <c r="P5" s="64" t="str">
        <f t="shared" ca="1" si="6"/>
        <v/>
      </c>
      <c r="Q5" s="60">
        <v>55</v>
      </c>
      <c r="R5" s="61" t="str">
        <f t="shared" ca="1" si="7"/>
        <v/>
      </c>
      <c r="S5" s="62">
        <v>20</v>
      </c>
      <c r="T5" s="64" t="str">
        <f t="shared" ca="1" si="8"/>
        <v/>
      </c>
      <c r="U5" s="60">
        <v>49</v>
      </c>
      <c r="V5" s="61" t="str">
        <f t="shared" ca="1" si="9"/>
        <v/>
      </c>
      <c r="W5" s="62">
        <v>20</v>
      </c>
      <c r="X5" s="64" t="str">
        <f t="shared" ca="1" si="10"/>
        <v/>
      </c>
      <c r="Y5" s="62">
        <v>20</v>
      </c>
      <c r="Z5" s="64" t="str">
        <f t="shared" ca="1" si="11"/>
        <v/>
      </c>
      <c r="AA5" s="60">
        <v>52</v>
      </c>
      <c r="AB5" s="61" t="str">
        <f t="shared" ca="1" si="12"/>
        <v/>
      </c>
      <c r="AC5" s="62">
        <v>14</v>
      </c>
      <c r="AD5" s="61" t="str">
        <f t="shared" ca="1" si="13"/>
        <v/>
      </c>
      <c r="AE5" s="62">
        <v>41</v>
      </c>
      <c r="AF5" s="64" t="str">
        <f t="shared" ca="1" si="14"/>
        <v/>
      </c>
      <c r="AG5" s="66">
        <f>IF(OR(AND(C5&gt;=31,C5&lt;40),AND(G5&gt;=31,G5&lt;40),AND(M5&gt;=31,M5&lt;40),AND(Q5&gt;=31,Q5&lt;40),AND(U5&gt;=31,U5&lt;40),AND(AA5&gt;=11,AA5&lt;20)),IF(AND(OR(COUNTIF(C5:AF5,"=31")&gt;=1,COUNTIF(C5:AF5,"=32")&gt;=1,COUNTIF(C5:AF5,"=33")&gt;=1,COUNTIF(C5:AF5,"=34")&gt;=1,COUNTIF(C5:AF5,"=35")&gt;=1,COUNTIF(C5:AF5,"=36")&gt;=1 ),COUNTIF(C5:AF5,"")=0,COUNTIF(C5:AF5," ")=0,COUNTIF(C5:AF5,"F")=1),CONCATENATE(SUM(EXTRACTNUMBER(C5),EXTRACTNUMBER(E5),
EXTRACTNUMBER(G5),EXTRACTNUMBER(I5),
EXTRACTNUMBER(K5),EXTRACTNUMBER(M5),
EXTRACTNUMBER(O5),EXTRACTNUMBER(Q5),
EXTRACTNUMBER(S5),EXTRACTNUMBER(U5),
EXTRACTNUMBER(W5),EXTRACTNUMBER(Y5),EXTRACTNUMBER(AA5),
EXTRACTNUMBER(AC5),EXTRACTNUMBER(AE5)),"*"),IF(AND(COUNTIF(C5:AF5,"=34")&gt;=1,COUNTIF(C5:AF5,"=35")&gt;=1,COUNTIF(C5:AF5,"f")=2,COUNTIF(C5:AF5,"")=0,COUNTIF(C5:AF5," ")=0),CONCATENATE(SUM(EXTRACTNUMBER(C5),EXTRACTNUMBER(E5),
EXTRACTNUMBER(G5),EXTRACTNUMBER(I5),
EXTRACTNUMBER(K5),EXTRACTNUMBER(M5),
EXTRACTNUMBER(O5),EXTRACTNUMBER(Q5),
EXTRACTNUMBER(S5),EXTRACTNUMBER(U5),
EXTRACTNUMBER(W5),EXTRACTNUMBER(Y5),EXTRACTNUMBER(AA5),
EXTRACTNUMBER(AC5),EXTRACTNUMBER(AE5)),"*"),IF(AND(COUNTIF(C5:AF5,"=36")&gt;=2,COUNTIF(C5:AF5,"f")=2,COUNTIF(C5:AF5,"")=0,COUNTIF(C5:AF5," ")=0),CONCATENATE(SUM(EXTRACTNUMBER(C5),EXTRACTNUMBER(E5),
EXTRACTNUMBER(G5),EXTRACTNUMBER(I5),
EXTRACTNUMBER(K5),EXTRACTNUMBER(M5),
EXTRACTNUMBER(O5),EXTRACTNUMBER(Q5),
EXTRACTNUMBER(S5),EXTRACTNUMBER(U5),
EXTRACTNUMBER(W5),EXTRACTNUMBER(Y5),EXTRACTNUMBER(AA5),
EXTRACTNUMBER(AC5),EXTRACTNUMBER(AE5)),"*"),SUM(EXTRACTNUMBER(C5),EXTRACTNUMBER(E5),
EXTRACTNUMBER(G5),EXTRACTNUMBER(I5),
EXTRACTNUMBER(K5),EXTRACTNUMBER(M5),
EXTRACTNUMBER(O5),EXTRACTNUMBER(Q5),
EXTRACTNUMBER(S5),EXTRACTNUMBER(U5),
EXTRACTNUMBER(W5),EXTRACTNUMBER(Y5),EXTRACTNUMBER(AA5),
EXTRACTNUMBER(AC5),EXTRACTNUMBER(AE5))))),SUM(EXTRACTNUMBER(C5),EXTRACTNUMBER(E5),
EXTRACTNUMBER(G5),EXTRACTNUMBER(I5),
EXTRACTNUMBER(K5),EXTRACTNUMBER(M5),
EXTRACTNUMBER(O5),EXTRACTNUMBER(Q5),
EXTRACTNUMBER(S5),EXTRACTNUMBER(U5),
EXTRACTNUMBER(W5),EXTRACTNUMBER(Y5),EXTRACTNUMBER(AA5),
EXTRACTNUMBER(AC5),EXTRACTNUMBER(AE5)))</f>
        <v>529</v>
      </c>
      <c r="AH5" s="38" t="str">
        <f t="shared" ca="1" si="15"/>
        <v>PASS</v>
      </c>
      <c r="AI5" s="28" t="str">
        <f>spellnumber(EXTRACTnUMBER_TOT(AG5))</f>
        <v xml:space="preserve">Five Hundred Twenty Nine </v>
      </c>
    </row>
    <row r="6" spans="1:35" ht="15" customHeight="1">
      <c r="A6" s="58">
        <v>223205</v>
      </c>
      <c r="B6" s="32" t="s">
        <v>164</v>
      </c>
      <c r="C6" s="60">
        <v>14</v>
      </c>
      <c r="D6" s="61" t="str">
        <f t="shared" ca="1" si="1"/>
        <v>F</v>
      </c>
      <c r="E6" s="62">
        <v>15</v>
      </c>
      <c r="F6" s="61" t="str">
        <f t="shared" ca="1" si="2"/>
        <v>E</v>
      </c>
      <c r="G6" s="63">
        <v>53</v>
      </c>
      <c r="H6" s="61" t="str">
        <f t="shared" ca="1" si="3"/>
        <v>E</v>
      </c>
      <c r="I6" s="62">
        <v>20</v>
      </c>
      <c r="J6" s="61" t="str">
        <f t="shared" ca="1" si="4"/>
        <v>E</v>
      </c>
      <c r="K6" s="62">
        <v>19</v>
      </c>
      <c r="L6" s="61" t="str">
        <f t="shared" ca="1" si="5"/>
        <v>E</v>
      </c>
      <c r="M6" s="63">
        <v>40</v>
      </c>
      <c r="N6" s="61" t="str">
        <f t="shared" ca="1" si="0"/>
        <v>E</v>
      </c>
      <c r="O6" s="62">
        <v>18</v>
      </c>
      <c r="P6" s="64" t="str">
        <f t="shared" ca="1" si="6"/>
        <v>E</v>
      </c>
      <c r="Q6" s="60">
        <v>45</v>
      </c>
      <c r="R6" s="61" t="str">
        <f t="shared" ca="1" si="7"/>
        <v>E</v>
      </c>
      <c r="S6" s="62">
        <v>21</v>
      </c>
      <c r="T6" s="64" t="str">
        <f t="shared" ca="1" si="8"/>
        <v>E</v>
      </c>
      <c r="U6" s="60">
        <v>40</v>
      </c>
      <c r="V6" s="61" t="str">
        <f t="shared" ca="1" si="9"/>
        <v>E</v>
      </c>
      <c r="W6" s="62">
        <v>14</v>
      </c>
      <c r="X6" s="64" t="str">
        <f t="shared" ca="1" si="10"/>
        <v>E</v>
      </c>
      <c r="Y6" s="62">
        <v>16</v>
      </c>
      <c r="Z6" s="64" t="str">
        <f t="shared" ca="1" si="11"/>
        <v>E</v>
      </c>
      <c r="AA6" s="60">
        <v>45</v>
      </c>
      <c r="AB6" s="61" t="str">
        <f t="shared" ca="1" si="12"/>
        <v>E</v>
      </c>
      <c r="AC6" s="62">
        <v>21</v>
      </c>
      <c r="AD6" s="61" t="str">
        <f t="shared" ca="1" si="13"/>
        <v>E</v>
      </c>
      <c r="AE6" s="62">
        <v>40</v>
      </c>
      <c r="AF6" s="64" t="str">
        <f t="shared" ca="1" si="14"/>
        <v>E</v>
      </c>
      <c r="AG6" s="66">
        <f>IF(OR(AND(C6&gt;=31,C6&lt;40),AND(G6&gt;=31,G6&lt;40),AND(M6&gt;=31,M6&lt;40),AND(Q6&gt;=31,Q6&lt;40),AND(U6&gt;=31,U6&lt;40),AND(AA6&gt;=11,AA6&lt;20)),IF(AND(OR(COUNTIF(C6:AF6,"=31")&gt;=1,COUNTIF(C6:AF6,"=32")&gt;=1,COUNTIF(C6:AF6,"=33")&gt;=1,COUNTIF(C6:AF6,"=34")&gt;=1,COUNTIF(C6:AF6,"=35")&gt;=1,COUNTIF(C6:AF6,"=36")&gt;=1 ),COUNTIF(C6:AF6,"")=0,COUNTIF(C6:AF6," ")=0,COUNTIF(C6:AF6,"F")=1),CONCATENATE(SUM(EXTRACTNUMBER(C6),EXTRACTNUMBER(E6),
EXTRACTNUMBER(G6),EXTRACTNUMBER(I6),
EXTRACTNUMBER(K6),EXTRACTNUMBER(M6),
EXTRACTNUMBER(O6),EXTRACTNUMBER(Q6),
EXTRACTNUMBER(S6),EXTRACTNUMBER(U6),
EXTRACTNUMBER(W6),EXTRACTNUMBER(Y6),EXTRACTNUMBER(AA6),
EXTRACTNUMBER(AC6),EXTRACTNUMBER(AE6)),"*"),IF(AND(COUNTIF(C6:AF6,"=34")&gt;=1,COUNTIF(C6:AF6,"=35")&gt;=1,COUNTIF(C6:AF6,"f")=2,COUNTIF(C6:AF6,"")=0,COUNTIF(C6:AF6," ")=0),CONCATENATE(SUM(EXTRACTNUMBER(C6),EXTRACTNUMBER(E6),
EXTRACTNUMBER(G6),EXTRACTNUMBER(I6),
EXTRACTNUMBER(K6),EXTRACTNUMBER(M6),
EXTRACTNUMBER(O6),EXTRACTNUMBER(Q6),
EXTRACTNUMBER(S6),EXTRACTNUMBER(U6),
EXTRACTNUMBER(W6),EXTRACTNUMBER(Y6),EXTRACTNUMBER(AA6),
EXTRACTNUMBER(AC6),EXTRACTNUMBER(AE6)),"*"),IF(AND(COUNTIF(C6:AF6,"=36")&gt;=2,COUNTIF(C6:AF6,"f")=2,COUNTIF(C6:AF6,"")=0,COUNTIF(C6:AF6," ")=0),CONCATENATE(SUM(EXTRACTNUMBER(C6),EXTRACTNUMBER(E6),
EXTRACTNUMBER(G6),EXTRACTNUMBER(I6),
EXTRACTNUMBER(K6),EXTRACTNUMBER(M6),
EXTRACTNUMBER(O6),EXTRACTNUMBER(Q6),
EXTRACTNUMBER(S6),EXTRACTNUMBER(U6),
EXTRACTNUMBER(W6),EXTRACTNUMBER(Y6),EXTRACTNUMBER(AA6),
EXTRACTNUMBER(AC6),EXTRACTNUMBER(AE6)),"*"),SUM(EXTRACTNUMBER(C6),EXTRACTNUMBER(E6),
EXTRACTNUMBER(G6),EXTRACTNUMBER(I6),
EXTRACTNUMBER(K6),EXTRACTNUMBER(M6),
EXTRACTNUMBER(O6),EXTRACTNUMBER(Q6),
EXTRACTNUMBER(S6),EXTRACTNUMBER(U6),
EXTRACTNUMBER(W6),EXTRACTNUMBER(Y6),EXTRACTNUMBER(AA6),
EXTRACTNUMBER(AC6),EXTRACTNUMBER(AE6))))),SUM(EXTRACTNUMBER(C6),EXTRACTNUMBER(E6),
EXTRACTNUMBER(G6),EXTRACTNUMBER(I6),
EXTRACTNUMBER(K6),EXTRACTNUMBER(M6),
EXTRACTNUMBER(O6),EXTRACTNUMBER(Q6),
EXTRACTNUMBER(S6),EXTRACTNUMBER(U6),
EXTRACTNUMBER(W6),EXTRACTNUMBER(Y6),EXTRACTNUMBER(AA6),
EXTRACTNUMBER(AC6),EXTRACTNUMBER(AE6)))</f>
        <v>421</v>
      </c>
      <c r="AH6" s="38" t="str">
        <f t="shared" ca="1" si="15"/>
        <v>FAIL</v>
      </c>
      <c r="AI6" s="28" t="str">
        <f>spellnumber(EXTRACTnUMBER_TOT(AG6))</f>
        <v xml:space="preserve">Four Hundred Twenty One </v>
      </c>
    </row>
    <row r="7" spans="1:35" ht="15" customHeight="1">
      <c r="A7" s="58">
        <v>223206</v>
      </c>
      <c r="B7" s="32" t="s">
        <v>165</v>
      </c>
      <c r="C7" s="60">
        <v>48</v>
      </c>
      <c r="D7" s="61" t="str">
        <f t="shared" ca="1" si="1"/>
        <v/>
      </c>
      <c r="E7" s="62">
        <v>20</v>
      </c>
      <c r="F7" s="61" t="str">
        <f t="shared" ca="1" si="2"/>
        <v/>
      </c>
      <c r="G7" s="63">
        <v>76</v>
      </c>
      <c r="H7" s="61" t="str">
        <f t="shared" ca="1" si="3"/>
        <v/>
      </c>
      <c r="I7" s="62">
        <v>18</v>
      </c>
      <c r="J7" s="61" t="str">
        <f t="shared" ca="1" si="4"/>
        <v/>
      </c>
      <c r="K7" s="62">
        <v>18</v>
      </c>
      <c r="L7" s="61" t="str">
        <f t="shared" ca="1" si="5"/>
        <v/>
      </c>
      <c r="M7" s="63">
        <v>78</v>
      </c>
      <c r="N7" s="61" t="str">
        <f t="shared" ca="1" si="0"/>
        <v/>
      </c>
      <c r="O7" s="62">
        <v>17</v>
      </c>
      <c r="P7" s="64" t="str">
        <f t="shared" ca="1" si="6"/>
        <v/>
      </c>
      <c r="Q7" s="60">
        <v>56</v>
      </c>
      <c r="R7" s="61" t="str">
        <f t="shared" ca="1" si="7"/>
        <v/>
      </c>
      <c r="S7" s="62">
        <v>18</v>
      </c>
      <c r="T7" s="64" t="str">
        <f t="shared" ca="1" si="8"/>
        <v/>
      </c>
      <c r="U7" s="60">
        <v>62</v>
      </c>
      <c r="V7" s="61" t="str">
        <f t="shared" ca="1" si="9"/>
        <v/>
      </c>
      <c r="W7" s="62">
        <v>16</v>
      </c>
      <c r="X7" s="64" t="str">
        <f t="shared" ca="1" si="10"/>
        <v/>
      </c>
      <c r="Y7" s="62">
        <v>17</v>
      </c>
      <c r="Z7" s="64" t="str">
        <f t="shared" ca="1" si="11"/>
        <v/>
      </c>
      <c r="AA7" s="60">
        <v>48</v>
      </c>
      <c r="AB7" s="61" t="str">
        <f t="shared" ca="1" si="12"/>
        <v/>
      </c>
      <c r="AC7" s="62">
        <v>22</v>
      </c>
      <c r="AD7" s="61" t="str">
        <f t="shared" ca="1" si="13"/>
        <v/>
      </c>
      <c r="AE7" s="62">
        <v>39</v>
      </c>
      <c r="AF7" s="64" t="str">
        <f t="shared" ca="1" si="14"/>
        <v/>
      </c>
      <c r="AG7" s="66">
        <f>IF(OR(AND(C7&gt;=31,C7&lt;40),AND(G7&gt;=31,G7&lt;40),AND(M7&gt;=31,M7&lt;40),AND(Q7&gt;=31,Q7&lt;40),AND(U7&gt;=31,U7&lt;40),AND(AA7&gt;=11,AA7&lt;20)),IF(AND(OR(COUNTIF(C7:AF7,"=31")&gt;=1,COUNTIF(C7:AF7,"=32")&gt;=1,COUNTIF(C7:AF7,"=33")&gt;=1,COUNTIF(C7:AF7,"=34")&gt;=1,COUNTIF(C7:AF7,"=35")&gt;=1,COUNTIF(C7:AF7,"=36")&gt;=1 ),COUNTIF(C7:AF7,"")=0,COUNTIF(C7:AF7," ")=0,COUNTIF(C7:AF7,"F")=1),CONCATENATE(SUM(EXTRACTNUMBER(C7),EXTRACTNUMBER(E7),
EXTRACTNUMBER(G7),EXTRACTNUMBER(I7),
EXTRACTNUMBER(K7),EXTRACTNUMBER(M7),
EXTRACTNUMBER(O7),EXTRACTNUMBER(Q7),
EXTRACTNUMBER(S7),EXTRACTNUMBER(U7),
EXTRACTNUMBER(W7),EXTRACTNUMBER(Y7),EXTRACTNUMBER(AA7),
EXTRACTNUMBER(AC7),EXTRACTNUMBER(AE7)),"*"),IF(AND(COUNTIF(C7:AF7,"=34")&gt;=1,COUNTIF(C7:AF7,"=35")&gt;=1,COUNTIF(C7:AF7,"f")=2,COUNTIF(C7:AF7,"")=0,COUNTIF(C7:AF7," ")=0),CONCATENATE(SUM(EXTRACTNUMBER(C7),EXTRACTNUMBER(E7),
EXTRACTNUMBER(G7),EXTRACTNUMBER(I7),
EXTRACTNUMBER(K7),EXTRACTNUMBER(M7),
EXTRACTNUMBER(O7),EXTRACTNUMBER(Q7),
EXTRACTNUMBER(S7),EXTRACTNUMBER(U7),
EXTRACTNUMBER(W7),EXTRACTNUMBER(Y7),EXTRACTNUMBER(AA7),
EXTRACTNUMBER(AC7),EXTRACTNUMBER(AE7)),"*"),IF(AND(COUNTIF(C7:AF7,"=36")&gt;=2,COUNTIF(C7:AF7,"f")=2,COUNTIF(C7:AF7,"")=0,COUNTIF(C7:AF7," ")=0),CONCATENATE(SUM(EXTRACTNUMBER(C7),EXTRACTNUMBER(E7),
EXTRACTNUMBER(G7),EXTRACTNUMBER(I7),
EXTRACTNUMBER(K7),EXTRACTNUMBER(M7),
EXTRACTNUMBER(O7),EXTRACTNUMBER(Q7),
EXTRACTNUMBER(S7),EXTRACTNUMBER(U7),
EXTRACTNUMBER(W7),EXTRACTNUMBER(Y7),EXTRACTNUMBER(AA7),
EXTRACTNUMBER(AC7),EXTRACTNUMBER(AE7)),"*"),SUM(EXTRACTNUMBER(C7),EXTRACTNUMBER(E7),
EXTRACTNUMBER(G7),EXTRACTNUMBER(I7),
EXTRACTNUMBER(K7),EXTRACTNUMBER(M7),
EXTRACTNUMBER(O7),EXTRACTNUMBER(Q7),
EXTRACTNUMBER(S7),EXTRACTNUMBER(U7),
EXTRACTNUMBER(W7),EXTRACTNUMBER(Y7),EXTRACTNUMBER(AA7),
EXTRACTNUMBER(AC7),EXTRACTNUMBER(AE7))))),SUM(EXTRACTNUMBER(C7),EXTRACTNUMBER(E7),
EXTRACTNUMBER(G7),EXTRACTNUMBER(I7),
EXTRACTNUMBER(K7),EXTRACTNUMBER(M7),
EXTRACTNUMBER(O7),EXTRACTNUMBER(Q7),
EXTRACTNUMBER(S7),EXTRACTNUMBER(U7),
EXTRACTNUMBER(W7),EXTRACTNUMBER(Y7),EXTRACTNUMBER(AA7),
EXTRACTNUMBER(AC7),EXTRACTNUMBER(AE7)))</f>
        <v>553</v>
      </c>
      <c r="AH7" s="38" t="str">
        <f t="shared" ca="1" si="15"/>
        <v>PASS</v>
      </c>
      <c r="AI7" s="28" t="str">
        <f>spellnumber(EXTRACTnUMBER_TOT(AG7))</f>
        <v xml:space="preserve">Five Hundred Fifty Three </v>
      </c>
    </row>
    <row r="8" spans="1:35" ht="15" customHeight="1">
      <c r="A8" s="58">
        <v>223207</v>
      </c>
      <c r="B8" s="32" t="s">
        <v>166</v>
      </c>
      <c r="C8" s="60">
        <v>69</v>
      </c>
      <c r="D8" s="61" t="str">
        <f t="shared" ca="1" si="1"/>
        <v/>
      </c>
      <c r="E8" s="62">
        <v>21</v>
      </c>
      <c r="F8" s="61" t="str">
        <f t="shared" ca="1" si="2"/>
        <v/>
      </c>
      <c r="G8" s="63">
        <v>83</v>
      </c>
      <c r="H8" s="61" t="str">
        <f t="shared" ca="1" si="3"/>
        <v/>
      </c>
      <c r="I8" s="62">
        <v>23</v>
      </c>
      <c r="J8" s="61" t="str">
        <f t="shared" ca="1" si="4"/>
        <v/>
      </c>
      <c r="K8" s="62">
        <v>18</v>
      </c>
      <c r="L8" s="61" t="str">
        <f t="shared" ca="1" si="5"/>
        <v/>
      </c>
      <c r="M8" s="63">
        <v>85</v>
      </c>
      <c r="N8" s="61" t="str">
        <f t="shared" ca="1" si="0"/>
        <v/>
      </c>
      <c r="O8" s="62">
        <v>23</v>
      </c>
      <c r="P8" s="64" t="str">
        <f t="shared" ca="1" si="6"/>
        <v/>
      </c>
      <c r="Q8" s="60">
        <v>70</v>
      </c>
      <c r="R8" s="61" t="str">
        <f t="shared" ca="1" si="7"/>
        <v/>
      </c>
      <c r="S8" s="62">
        <v>23</v>
      </c>
      <c r="T8" s="64" t="str">
        <f t="shared" ca="1" si="8"/>
        <v/>
      </c>
      <c r="U8" s="60">
        <v>57</v>
      </c>
      <c r="V8" s="61" t="str">
        <f t="shared" ca="1" si="9"/>
        <v/>
      </c>
      <c r="W8" s="62">
        <v>23</v>
      </c>
      <c r="X8" s="64" t="str">
        <f t="shared" ca="1" si="10"/>
        <v/>
      </c>
      <c r="Y8" s="62">
        <v>23</v>
      </c>
      <c r="Z8" s="64" t="str">
        <f t="shared" ca="1" si="11"/>
        <v/>
      </c>
      <c r="AA8" s="60">
        <v>41</v>
      </c>
      <c r="AB8" s="61" t="str">
        <f t="shared" ca="1" si="12"/>
        <v/>
      </c>
      <c r="AC8" s="62">
        <v>18</v>
      </c>
      <c r="AD8" s="61" t="str">
        <f t="shared" ca="1" si="13"/>
        <v/>
      </c>
      <c r="AE8" s="62">
        <v>39</v>
      </c>
      <c r="AF8" s="64" t="str">
        <f t="shared" ca="1" si="14"/>
        <v/>
      </c>
      <c r="AG8" s="66">
        <f>IF(OR(AND(C8&gt;=31,C8&lt;40),AND(G8&gt;=31,G8&lt;40),AND(M8&gt;=31,M8&lt;40),AND(Q8&gt;=31,Q8&lt;40),AND(U8&gt;=31,U8&lt;40),AND(AA8&gt;=11,AA8&lt;20)),IF(AND(OR(COUNTIF(C8:AF8,"=31")&gt;=1,COUNTIF(C8:AF8,"=32")&gt;=1,COUNTIF(C8:AF8,"=33")&gt;=1,COUNTIF(C8:AF8,"=34")&gt;=1,COUNTIF(C8:AF8,"=35")&gt;=1,COUNTIF(C8:AF8,"=36")&gt;=1 ),COUNTIF(C8:AF8,"")=0,COUNTIF(C8:AF8," ")=0,COUNTIF(C8:AF8,"F")=1),CONCATENATE(SUM(EXTRACTNUMBER(C8),EXTRACTNUMBER(E8),
EXTRACTNUMBER(G8),EXTRACTNUMBER(I8),
EXTRACTNUMBER(K8),EXTRACTNUMBER(M8),
EXTRACTNUMBER(O8),EXTRACTNUMBER(Q8),
EXTRACTNUMBER(S8),EXTRACTNUMBER(U8),
EXTRACTNUMBER(W8),EXTRACTNUMBER(Y8),EXTRACTNUMBER(AA8),
EXTRACTNUMBER(AC8),EXTRACTNUMBER(AE8)),"*"),IF(AND(COUNTIF(C8:AF8,"=34")&gt;=1,COUNTIF(C8:AF8,"=35")&gt;=1,COUNTIF(C8:AF8,"f")=2,COUNTIF(C8:AF8,"")=0,COUNTIF(C8:AF8," ")=0),CONCATENATE(SUM(EXTRACTNUMBER(C8),EXTRACTNUMBER(E8),
EXTRACTNUMBER(G8),EXTRACTNUMBER(I8),
EXTRACTNUMBER(K8),EXTRACTNUMBER(M8),
EXTRACTNUMBER(O8),EXTRACTNUMBER(Q8),
EXTRACTNUMBER(S8),EXTRACTNUMBER(U8),
EXTRACTNUMBER(W8),EXTRACTNUMBER(Y8),EXTRACTNUMBER(AA8),
EXTRACTNUMBER(AC8),EXTRACTNUMBER(AE8)),"*"),IF(AND(COUNTIF(C8:AF8,"=36")&gt;=2,COUNTIF(C8:AF8,"f")=2,COUNTIF(C8:AF8,"")=0,COUNTIF(C8:AF8," ")=0),CONCATENATE(SUM(EXTRACTNUMBER(C8),EXTRACTNUMBER(E8),
EXTRACTNUMBER(G8),EXTRACTNUMBER(I8),
EXTRACTNUMBER(K8),EXTRACTNUMBER(M8),
EXTRACTNUMBER(O8),EXTRACTNUMBER(Q8),
EXTRACTNUMBER(S8),EXTRACTNUMBER(U8),
EXTRACTNUMBER(W8),EXTRACTNUMBER(Y8),EXTRACTNUMBER(AA8),
EXTRACTNUMBER(AC8),EXTRACTNUMBER(AE8)),"*"),SUM(EXTRACTNUMBER(C8),EXTRACTNUMBER(E8),
EXTRACTNUMBER(G8),EXTRACTNUMBER(I8),
EXTRACTNUMBER(K8),EXTRACTNUMBER(M8),
EXTRACTNUMBER(O8),EXTRACTNUMBER(Q8),
EXTRACTNUMBER(S8),EXTRACTNUMBER(U8),
EXTRACTNUMBER(W8),EXTRACTNUMBER(Y8),EXTRACTNUMBER(AA8),
EXTRACTNUMBER(AC8),EXTRACTNUMBER(AE8))))),SUM(EXTRACTNUMBER(C8),EXTRACTNUMBER(E8),
EXTRACTNUMBER(G8),EXTRACTNUMBER(I8),
EXTRACTNUMBER(K8),EXTRACTNUMBER(M8),
EXTRACTNUMBER(O8),EXTRACTNUMBER(Q8),
EXTRACTNUMBER(S8),EXTRACTNUMBER(U8),
EXTRACTNUMBER(W8),EXTRACTNUMBER(Y8),EXTRACTNUMBER(AA8),
EXTRACTNUMBER(AC8),EXTRACTNUMBER(AE8)))</f>
        <v>616</v>
      </c>
      <c r="AH8" s="38" t="str">
        <f t="shared" ca="1" si="15"/>
        <v>PASS</v>
      </c>
      <c r="AI8" s="28" t="str">
        <f>spellnumber(EXTRACTnUMBER_TOT(AG8))</f>
        <v xml:space="preserve">Six Hundred Sixteen </v>
      </c>
    </row>
    <row r="9" spans="1:35" ht="15" customHeight="1">
      <c r="A9" s="58">
        <v>223208</v>
      </c>
      <c r="B9" s="32" t="s">
        <v>167</v>
      </c>
      <c r="C9" s="60">
        <v>10</v>
      </c>
      <c r="D9" s="61" t="str">
        <f t="shared" ca="1" si="1"/>
        <v>F</v>
      </c>
      <c r="E9" s="62">
        <v>15</v>
      </c>
      <c r="F9" s="61" t="str">
        <f t="shared" ca="1" si="2"/>
        <v>E</v>
      </c>
      <c r="G9" s="63">
        <v>49</v>
      </c>
      <c r="H9" s="61" t="str">
        <f t="shared" ca="1" si="3"/>
        <v>E</v>
      </c>
      <c r="I9" s="62">
        <v>21</v>
      </c>
      <c r="J9" s="61" t="str">
        <f t="shared" ca="1" si="4"/>
        <v>E</v>
      </c>
      <c r="K9" s="62">
        <v>19</v>
      </c>
      <c r="L9" s="61" t="str">
        <f t="shared" ca="1" si="5"/>
        <v>E</v>
      </c>
      <c r="M9" s="63">
        <v>56</v>
      </c>
      <c r="N9" s="61" t="str">
        <f t="shared" ca="1" si="0"/>
        <v>E</v>
      </c>
      <c r="O9" s="62">
        <v>16</v>
      </c>
      <c r="P9" s="64" t="str">
        <f t="shared" ca="1" si="6"/>
        <v>E</v>
      </c>
      <c r="Q9" s="60">
        <v>52</v>
      </c>
      <c r="R9" s="61" t="str">
        <f t="shared" ca="1" si="7"/>
        <v>E</v>
      </c>
      <c r="S9" s="62">
        <v>20</v>
      </c>
      <c r="T9" s="64" t="str">
        <f t="shared" ca="1" si="8"/>
        <v>E</v>
      </c>
      <c r="U9" s="60">
        <v>23</v>
      </c>
      <c r="V9" s="61" t="str">
        <f t="shared" ca="1" si="9"/>
        <v>F</v>
      </c>
      <c r="W9" s="62">
        <v>15</v>
      </c>
      <c r="X9" s="64" t="str">
        <f t="shared" ca="1" si="10"/>
        <v>E</v>
      </c>
      <c r="Y9" s="62">
        <v>17</v>
      </c>
      <c r="Z9" s="64" t="str">
        <f t="shared" ca="1" si="11"/>
        <v>E</v>
      </c>
      <c r="AA9" s="60">
        <v>44</v>
      </c>
      <c r="AB9" s="61" t="str">
        <f t="shared" ca="1" si="12"/>
        <v>E</v>
      </c>
      <c r="AC9" s="62">
        <v>19</v>
      </c>
      <c r="AD9" s="61" t="str">
        <f t="shared" ca="1" si="13"/>
        <v>E</v>
      </c>
      <c r="AE9" s="62">
        <v>36</v>
      </c>
      <c r="AF9" s="64" t="str">
        <f t="shared" ca="1" si="14"/>
        <v>E</v>
      </c>
      <c r="AG9" s="66">
        <f>IF(OR(AND(C9&gt;=31,C9&lt;40),AND(G9&gt;=31,G9&lt;40),AND(M9&gt;=31,M9&lt;40),AND(Q9&gt;=31,Q9&lt;40),AND(U9&gt;=31,U9&lt;40),AND(AA9&gt;=11,AA9&lt;20)),IF(AND(OR(COUNTIF(C9:AF9,"=31")&gt;=1,COUNTIF(C9:AF9,"=32")&gt;=1,COUNTIF(C9:AF9,"=33")&gt;=1,COUNTIF(C9:AF9,"=34")&gt;=1,COUNTIF(C9:AF9,"=35")&gt;=1,COUNTIF(C9:AF9,"=36")&gt;=1 ),COUNTIF(C9:AF9,"")=0,COUNTIF(C9:AF9," ")=0,COUNTIF(C9:AF9,"F")=1),CONCATENATE(SUM(EXTRACTNUMBER(C9),EXTRACTNUMBER(E9),
EXTRACTNUMBER(G9),EXTRACTNUMBER(I9),
EXTRACTNUMBER(K9),EXTRACTNUMBER(M9),
EXTRACTNUMBER(O9),EXTRACTNUMBER(Q9),
EXTRACTNUMBER(S9),EXTRACTNUMBER(U9),
EXTRACTNUMBER(W9),EXTRACTNUMBER(Y9),EXTRACTNUMBER(AA9),
EXTRACTNUMBER(AC9),EXTRACTNUMBER(AE9)),"*"),IF(AND(COUNTIF(C9:AF9,"=34")&gt;=1,COUNTIF(C9:AF9,"=35")&gt;=1,COUNTIF(C9:AF9,"f")=2,COUNTIF(C9:AF9,"")=0,COUNTIF(C9:AF9," ")=0),CONCATENATE(SUM(EXTRACTNUMBER(C9),EXTRACTNUMBER(E9),
EXTRACTNUMBER(G9),EXTRACTNUMBER(I9),
EXTRACTNUMBER(K9),EXTRACTNUMBER(M9),
EXTRACTNUMBER(O9),EXTRACTNUMBER(Q9),
EXTRACTNUMBER(S9),EXTRACTNUMBER(U9),
EXTRACTNUMBER(W9),EXTRACTNUMBER(Y9),EXTRACTNUMBER(AA9),
EXTRACTNUMBER(AC9),EXTRACTNUMBER(AE9)),"*"),IF(AND(COUNTIF(C9:AF9,"=36")&gt;=2,COUNTIF(C9:AF9,"f")=2,COUNTIF(C9:AF9,"")=0,COUNTIF(C9:AF9," ")=0),CONCATENATE(SUM(EXTRACTNUMBER(C9),EXTRACTNUMBER(E9),
EXTRACTNUMBER(G9),EXTRACTNUMBER(I9),
EXTRACTNUMBER(K9),EXTRACTNUMBER(M9),
EXTRACTNUMBER(O9),EXTRACTNUMBER(Q9),
EXTRACTNUMBER(S9),EXTRACTNUMBER(U9),
EXTRACTNUMBER(W9),EXTRACTNUMBER(Y9),EXTRACTNUMBER(AA9),
EXTRACTNUMBER(AC9),EXTRACTNUMBER(AE9)),"*"),SUM(EXTRACTNUMBER(C9),EXTRACTNUMBER(E9),
EXTRACTNUMBER(G9),EXTRACTNUMBER(I9),
EXTRACTNUMBER(K9),EXTRACTNUMBER(M9),
EXTRACTNUMBER(O9),EXTRACTNUMBER(Q9),
EXTRACTNUMBER(S9),EXTRACTNUMBER(U9),
EXTRACTNUMBER(W9),EXTRACTNUMBER(Y9),EXTRACTNUMBER(AA9),
EXTRACTNUMBER(AC9),EXTRACTNUMBER(AE9))))),SUM(EXTRACTNUMBER(C9),EXTRACTNUMBER(E9),
EXTRACTNUMBER(G9),EXTRACTNUMBER(I9),
EXTRACTNUMBER(K9),EXTRACTNUMBER(M9),
EXTRACTNUMBER(O9),EXTRACTNUMBER(Q9),
EXTRACTNUMBER(S9),EXTRACTNUMBER(U9),
EXTRACTNUMBER(W9),EXTRACTNUMBER(Y9),EXTRACTNUMBER(AA9),
EXTRACTNUMBER(AC9),EXTRACTNUMBER(AE9)))</f>
        <v>412</v>
      </c>
      <c r="AH9" s="38" t="str">
        <f t="shared" ca="1" si="15"/>
        <v>FAIL</v>
      </c>
      <c r="AI9" s="28" t="str">
        <f>spellnumber(EXTRACTnUMBER_TOT(AG9))</f>
        <v xml:space="preserve">Four Hundred Twelve </v>
      </c>
    </row>
    <row r="10" spans="1:35" ht="15" customHeight="1">
      <c r="A10" s="58">
        <v>223209</v>
      </c>
      <c r="B10" s="32" t="s">
        <v>168</v>
      </c>
      <c r="C10" s="60">
        <v>45</v>
      </c>
      <c r="D10" s="61" t="str">
        <f t="shared" ca="1" si="1"/>
        <v/>
      </c>
      <c r="E10" s="62">
        <v>21</v>
      </c>
      <c r="F10" s="61" t="str">
        <f t="shared" ca="1" si="2"/>
        <v/>
      </c>
      <c r="G10" s="63">
        <v>50</v>
      </c>
      <c r="H10" s="61" t="str">
        <f t="shared" ca="1" si="3"/>
        <v/>
      </c>
      <c r="I10" s="62">
        <v>19</v>
      </c>
      <c r="J10" s="61" t="str">
        <f t="shared" ca="1" si="4"/>
        <v/>
      </c>
      <c r="K10" s="62">
        <v>19</v>
      </c>
      <c r="L10" s="61" t="str">
        <f t="shared" ca="1" si="5"/>
        <v/>
      </c>
      <c r="M10" s="63">
        <v>52</v>
      </c>
      <c r="N10" s="61" t="str">
        <f t="shared" ca="1" si="0"/>
        <v/>
      </c>
      <c r="O10" s="62">
        <v>17</v>
      </c>
      <c r="P10" s="64" t="str">
        <f t="shared" ca="1" si="6"/>
        <v/>
      </c>
      <c r="Q10" s="60">
        <v>68</v>
      </c>
      <c r="R10" s="61" t="str">
        <f t="shared" ca="1" si="7"/>
        <v/>
      </c>
      <c r="S10" s="62">
        <v>23</v>
      </c>
      <c r="T10" s="64" t="str">
        <f t="shared" ca="1" si="8"/>
        <v/>
      </c>
      <c r="U10" s="60">
        <v>47</v>
      </c>
      <c r="V10" s="61" t="str">
        <f t="shared" ca="1" si="9"/>
        <v/>
      </c>
      <c r="W10" s="62">
        <v>20</v>
      </c>
      <c r="X10" s="64" t="str">
        <f t="shared" ca="1" si="10"/>
        <v/>
      </c>
      <c r="Y10" s="62">
        <v>20</v>
      </c>
      <c r="Z10" s="64" t="str">
        <f t="shared" ca="1" si="11"/>
        <v/>
      </c>
      <c r="AA10" s="60" t="s">
        <v>421</v>
      </c>
      <c r="AB10" s="61" t="str">
        <f t="shared" ca="1" si="12"/>
        <v/>
      </c>
      <c r="AC10" s="62">
        <v>21</v>
      </c>
      <c r="AD10" s="61" t="str">
        <f t="shared" ca="1" si="13"/>
        <v/>
      </c>
      <c r="AE10" s="62">
        <v>42</v>
      </c>
      <c r="AF10" s="64" t="str">
        <f t="shared" ca="1" si="14"/>
        <v/>
      </c>
      <c r="AG10" s="66" t="s">
        <v>422</v>
      </c>
      <c r="AH10" s="38" t="str">
        <f t="shared" ca="1" si="15"/>
        <v>PASS</v>
      </c>
      <c r="AI10" s="28" t="str">
        <f>spellnumber(EXTRACTnUMBER_TOT(AG10))</f>
        <v xml:space="preserve">Five Hundred  </v>
      </c>
    </row>
    <row r="11" spans="1:35" ht="15" customHeight="1">
      <c r="A11" s="58">
        <v>223210</v>
      </c>
      <c r="B11" s="32" t="s">
        <v>169</v>
      </c>
      <c r="C11" s="60">
        <v>27</v>
      </c>
      <c r="D11" s="61" t="str">
        <f t="shared" ca="1" si="1"/>
        <v>F</v>
      </c>
      <c r="E11" s="62">
        <v>16</v>
      </c>
      <c r="F11" s="61" t="str">
        <f t="shared" ca="1" si="2"/>
        <v>E</v>
      </c>
      <c r="G11" s="63">
        <v>57</v>
      </c>
      <c r="H11" s="61" t="str">
        <f t="shared" ca="1" si="3"/>
        <v>E</v>
      </c>
      <c r="I11" s="62">
        <v>20</v>
      </c>
      <c r="J11" s="61" t="str">
        <f t="shared" ca="1" si="4"/>
        <v>E</v>
      </c>
      <c r="K11" s="62">
        <v>18</v>
      </c>
      <c r="L11" s="61" t="str">
        <f t="shared" ca="1" si="5"/>
        <v>E</v>
      </c>
      <c r="M11" s="63">
        <v>50</v>
      </c>
      <c r="N11" s="61" t="str">
        <f t="shared" ca="1" si="0"/>
        <v>E</v>
      </c>
      <c r="O11" s="62">
        <v>20</v>
      </c>
      <c r="P11" s="64" t="str">
        <f t="shared" ca="1" si="6"/>
        <v>E</v>
      </c>
      <c r="Q11" s="60">
        <v>49</v>
      </c>
      <c r="R11" s="61" t="str">
        <f t="shared" ca="1" si="7"/>
        <v>E</v>
      </c>
      <c r="S11" s="62">
        <v>21</v>
      </c>
      <c r="T11" s="64" t="str">
        <f t="shared" ca="1" si="8"/>
        <v>E</v>
      </c>
      <c r="U11" s="60">
        <v>61</v>
      </c>
      <c r="V11" s="61" t="str">
        <f t="shared" ca="1" si="9"/>
        <v>E</v>
      </c>
      <c r="W11" s="62">
        <v>23</v>
      </c>
      <c r="X11" s="64" t="str">
        <f t="shared" ca="1" si="10"/>
        <v>E</v>
      </c>
      <c r="Y11" s="62">
        <v>23</v>
      </c>
      <c r="Z11" s="64" t="str">
        <f t="shared" ca="1" si="11"/>
        <v>E</v>
      </c>
      <c r="AA11" s="60">
        <v>41</v>
      </c>
      <c r="AB11" s="61" t="str">
        <f t="shared" ca="1" si="12"/>
        <v>E</v>
      </c>
      <c r="AC11" s="62">
        <v>23</v>
      </c>
      <c r="AD11" s="61" t="str">
        <f t="shared" ca="1" si="13"/>
        <v>E</v>
      </c>
      <c r="AE11" s="62">
        <v>40</v>
      </c>
      <c r="AF11" s="64" t="str">
        <f t="shared" ca="1" si="14"/>
        <v>E</v>
      </c>
      <c r="AG11" s="66">
        <f>IF(OR(AND(C11&gt;=31,C11&lt;40),AND(G11&gt;=31,G11&lt;40),AND(M11&gt;=31,M11&lt;40),AND(Q11&gt;=31,Q11&lt;40),AND(U11&gt;=31,U11&lt;40),AND(AA11&gt;=11,AA11&lt;20)),IF(AND(OR(COUNTIF(C11:AF11,"=31")&gt;=1,COUNTIF(C11:AF11,"=32")&gt;=1,COUNTIF(C11:AF11,"=33")&gt;=1,COUNTIF(C11:AF11,"=34")&gt;=1,COUNTIF(C11:AF11,"=35")&gt;=1,COUNTIF(C11:AF11,"=36")&gt;=1 ),COUNTIF(C11:AF11,"")=0,COUNTIF(C11:AF11," ")=0,COUNTIF(C11:AF11,"F")=1),CONCATENATE(SUM(EXTRACTNUMBER(C11),EXTRACTNUMBER(E11),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EXTRACTNUMBER(AC11),EXTRACTNUMBER(AE11)),"*"),IF(AND(COUNTIF(C11:AF11,"=34")&gt;=1,COUNTIF(C11:AF11,"=35")&gt;=1,COUNTIF(C11:AF11,"f")=2,COUNTIF(C11:AF11,"")=0,COUNTIF(C11:AF11," ")=0),CONCATENATE(SUM(EXTRACTNUMBER(C11),EXTRACTNUMBER(E11),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EXTRACTNUMBER(AC11),EXTRACTNUMBER(AE11)),"*"),IF(AND(COUNTIF(C11:AF11,"=36")&gt;=2,COUNTIF(C11:AF11,"f")=2,COUNTIF(C11:AF11,"")=0,COUNTIF(C11:AF11," ")=0),CONCATENATE(SUM(EXTRACTNUMBER(C11),EXTRACTNUMBER(E11),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EXTRACTNUMBER(AC11),EXTRACTNUMBER(AE11)),"*"),SUM(EXTRACTNUMBER(C11),EXTRACTNUMBER(E11),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EXTRACTNUMBER(AC11),EXTRACTNUMBER(AE11))))),SUM(EXTRACTNUMBER(C11),EXTRACTNUMBER(E11),
EXTRACTNUMBER(G11),EXTRACTNUMBER(I11),
EXTRACTNUMBER(K11),EXTRACTNUMBER(M11),
EXTRACTNUMBER(O11),EXTRACTNUMBER(Q11),
EXTRACTNUMBER(S11),EXTRACTNUMBER(U11),
EXTRACTNUMBER(W11),EXTRACTNUMBER(Y11),EXTRACTNUMBER(AA11),
EXTRACTNUMBER(AC11),EXTRACTNUMBER(AE11)))</f>
        <v>489</v>
      </c>
      <c r="AH11" s="38" t="str">
        <f t="shared" ca="1" si="15"/>
        <v>FAIL</v>
      </c>
      <c r="AI11" s="28" t="str">
        <f>spellnumber(EXTRACTnUMBER_TOT(AG11))</f>
        <v xml:space="preserve">Four Hundred Eighty Nine </v>
      </c>
    </row>
    <row r="12" spans="1:35" ht="15" customHeight="1">
      <c r="A12" s="58">
        <v>223211</v>
      </c>
      <c r="B12" s="32" t="s">
        <v>170</v>
      </c>
      <c r="C12" s="60" t="s">
        <v>453</v>
      </c>
      <c r="D12" s="61" t="str">
        <f t="shared" ca="1" si="1"/>
        <v>F</v>
      </c>
      <c r="E12" s="62">
        <v>15</v>
      </c>
      <c r="F12" s="61" t="str">
        <f t="shared" ca="1" si="2"/>
        <v>E</v>
      </c>
      <c r="G12" s="63">
        <v>40</v>
      </c>
      <c r="H12" s="61" t="str">
        <f t="shared" ca="1" si="3"/>
        <v>E</v>
      </c>
      <c r="I12" s="62">
        <v>22</v>
      </c>
      <c r="J12" s="61" t="str">
        <f t="shared" ca="1" si="4"/>
        <v>E</v>
      </c>
      <c r="K12" s="62">
        <v>20</v>
      </c>
      <c r="L12" s="61" t="str">
        <f t="shared" ca="1" si="5"/>
        <v>E</v>
      </c>
      <c r="M12" s="63">
        <v>40</v>
      </c>
      <c r="N12" s="61" t="str">
        <f t="shared" ca="1" si="0"/>
        <v>E</v>
      </c>
      <c r="O12" s="62">
        <v>17</v>
      </c>
      <c r="P12" s="64" t="str">
        <f t="shared" ca="1" si="6"/>
        <v>E</v>
      </c>
      <c r="Q12" s="60">
        <v>45</v>
      </c>
      <c r="R12" s="61" t="str">
        <f t="shared" ca="1" si="7"/>
        <v>E</v>
      </c>
      <c r="S12" s="62">
        <v>22</v>
      </c>
      <c r="T12" s="64" t="str">
        <f t="shared" ca="1" si="8"/>
        <v>E</v>
      </c>
      <c r="U12" s="60">
        <v>40</v>
      </c>
      <c r="V12" s="61" t="str">
        <f t="shared" ca="1" si="9"/>
        <v>E</v>
      </c>
      <c r="W12" s="62">
        <v>14</v>
      </c>
      <c r="X12" s="64" t="str">
        <f t="shared" ca="1" si="10"/>
        <v>E</v>
      </c>
      <c r="Y12" s="62">
        <v>16</v>
      </c>
      <c r="Z12" s="64" t="str">
        <f t="shared" ca="1" si="11"/>
        <v>E</v>
      </c>
      <c r="AA12" s="60">
        <v>40</v>
      </c>
      <c r="AB12" s="61" t="str">
        <f t="shared" ca="1" si="12"/>
        <v>E</v>
      </c>
      <c r="AC12" s="62">
        <v>19</v>
      </c>
      <c r="AD12" s="61" t="str">
        <f t="shared" ca="1" si="13"/>
        <v>E</v>
      </c>
      <c r="AE12" s="62">
        <v>30</v>
      </c>
      <c r="AF12" s="64" t="str">
        <f t="shared" ca="1" si="14"/>
        <v>E</v>
      </c>
      <c r="AG12" s="66">
        <f>IF(OR(AND(C12&gt;=31,C12&lt;40),AND(G12&gt;=31,G12&lt;40),AND(M12&gt;=31,M12&lt;40),AND(Q12&gt;=31,Q12&lt;40),AND(U12&gt;=31,U12&lt;40),AND(AA12&gt;=11,AA12&lt;20)),IF(AND(OR(COUNTIF(C12:AF12,"=31")&gt;=1,COUNTIF(C12:AF12,"=32")&gt;=1,COUNTIF(C12:AF12,"=33")&gt;=1,COUNTIF(C12:AF12,"=34")&gt;=1,COUNTIF(C12:AF12,"=35")&gt;=1,COUNTIF(C12:AF12,"=36")&gt;=1 ),COUNTIF(C12:AF12,"")=0,COUNTIF(C12:AF12," ")=0,COUNTIF(C12:AF12,"F")=1),CONCATENATE(SUM(EXTRACTNUMBER(C12),EXTRACTNUMBER(E12),
EXTRACTNUMBER(G12),EXTRACTNUMBER(I12),
EXTRACTNUMBER(K12),EXTRACTNUMBER(M12),
EXTRACTNUMBER(O12),EXTRACTNUMBER(Q12),
EXTRACTNUMBER(S12),EXTRACTNUMBER(U12),
EXTRACTNUMBER(W12),EXTRACTNUMBER(Y12),EXTRACTNUMBER(AA12),
EXTRACTNUMBER(AC12),EXTRACTNUMBER(AE12)),"*"),IF(AND(COUNTIF(C12:AF12,"=34")&gt;=1,COUNTIF(C12:AF12,"=35")&gt;=1,COUNTIF(C12:AF12,"f")=2,COUNTIF(C12:AF12,"")=0,COUNTIF(C12:AF12," ")=0),CONCATENATE(SUM(EXTRACTNUMBER(C12),EXTRACTNUMBER(E12),
EXTRACTNUMBER(G12),EXTRACTNUMBER(I12),
EXTRACTNUMBER(K12),EXTRACTNUMBER(M12),
EXTRACTNUMBER(O12),EXTRACTNUMBER(Q12),
EXTRACTNUMBER(S12),EXTRACTNUMBER(U12),
EXTRACTNUMBER(W12),EXTRACTNUMBER(Y12),EXTRACTNUMBER(AA12),
EXTRACTNUMBER(AC12),EXTRACTNUMBER(AE12)),"*"),IF(AND(COUNTIF(C12:AF12,"=36")&gt;=2,COUNTIF(C12:AF12,"f")=2,COUNTIF(C12:AF12,"")=0,COUNTIF(C12:AF12," ")=0),CONCATENATE(SUM(EXTRACTNUMBER(C12),EXTRACTNUMBER(E12),
EXTRACTNUMBER(G12),EXTRACTNUMBER(I12),
EXTRACTNUMBER(K12),EXTRACTNUMBER(M12),
EXTRACTNUMBER(O12),EXTRACTNUMBER(Q12),
EXTRACTNUMBER(S12),EXTRACTNUMBER(U12),
EXTRACTNUMBER(W12),EXTRACTNUMBER(Y12),EXTRACTNUMBER(AA12),
EXTRACTNUMBER(AC12),EXTRACTNUMBER(AE12)),"*"),SUM(EXTRACTNUMBER(C12),EXTRACTNUMBER(E12),
EXTRACTNUMBER(G12),EXTRACTNUMBER(I12),
EXTRACTNUMBER(K12),EXTRACTNUMBER(M12),
EXTRACTNUMBER(O12),EXTRACTNUMBER(Q12),
EXTRACTNUMBER(S12),EXTRACTNUMBER(U12),
EXTRACTNUMBER(W12),EXTRACTNUMBER(Y12),EXTRACTNUMBER(AA12),
EXTRACTNUMBER(AC12),EXTRACTNUMBER(AE12))))),SUM(EXTRACTNUMBER(C12),EXTRACTNUMBER(E12),
EXTRACTNUMBER(G12),EXTRACTNUMBER(I12),
EXTRACTNUMBER(K12),EXTRACTNUMBER(M12),
EXTRACTNUMBER(O12),EXTRACTNUMBER(Q12),
EXTRACTNUMBER(S12),EXTRACTNUMBER(U12),
EXTRACTNUMBER(W12),EXTRACTNUMBER(Y12),EXTRACTNUMBER(AA12),
EXTRACTNUMBER(AC12),EXTRACTNUMBER(AE12)))</f>
        <v>389</v>
      </c>
      <c r="AH12" s="38" t="str">
        <f t="shared" ca="1" si="15"/>
        <v>FAIL</v>
      </c>
      <c r="AI12" s="28" t="str">
        <f>spellnumber(EXTRACTnUMBER_TOT(AG12))</f>
        <v xml:space="preserve">Three Hundred Eighty Nine </v>
      </c>
    </row>
    <row r="13" spans="1:35" ht="15" customHeight="1">
      <c r="A13" s="58">
        <v>223212</v>
      </c>
      <c r="B13" s="32" t="s">
        <v>171</v>
      </c>
      <c r="C13" s="60">
        <v>40</v>
      </c>
      <c r="D13" s="61" t="str">
        <f t="shared" ca="1" si="1"/>
        <v/>
      </c>
      <c r="E13" s="62">
        <v>20</v>
      </c>
      <c r="F13" s="61" t="str">
        <f t="shared" ca="1" si="2"/>
        <v/>
      </c>
      <c r="G13" s="63">
        <v>44</v>
      </c>
      <c r="H13" s="61" t="str">
        <f t="shared" ca="1" si="3"/>
        <v/>
      </c>
      <c r="I13" s="62">
        <v>20</v>
      </c>
      <c r="J13" s="61" t="str">
        <f t="shared" ca="1" si="4"/>
        <v/>
      </c>
      <c r="K13" s="62">
        <v>21</v>
      </c>
      <c r="L13" s="61" t="str">
        <f t="shared" ca="1" si="5"/>
        <v/>
      </c>
      <c r="M13" s="63">
        <v>54</v>
      </c>
      <c r="N13" s="61" t="str">
        <f t="shared" ca="1" si="0"/>
        <v/>
      </c>
      <c r="O13" s="62">
        <v>23</v>
      </c>
      <c r="P13" s="64" t="str">
        <f t="shared" ca="1" si="6"/>
        <v/>
      </c>
      <c r="Q13" s="60">
        <v>47</v>
      </c>
      <c r="R13" s="61" t="str">
        <f t="shared" ca="1" si="7"/>
        <v/>
      </c>
      <c r="S13" s="62">
        <v>21</v>
      </c>
      <c r="T13" s="64" t="str">
        <f t="shared" ca="1" si="8"/>
        <v/>
      </c>
      <c r="U13" s="60">
        <v>47</v>
      </c>
      <c r="V13" s="61" t="str">
        <f t="shared" ca="1" si="9"/>
        <v/>
      </c>
      <c r="W13" s="62">
        <v>20</v>
      </c>
      <c r="X13" s="64" t="str">
        <f t="shared" ca="1" si="10"/>
        <v/>
      </c>
      <c r="Y13" s="62">
        <v>21</v>
      </c>
      <c r="Z13" s="64" t="str">
        <f t="shared" ca="1" si="11"/>
        <v/>
      </c>
      <c r="AA13" s="60" t="s">
        <v>421</v>
      </c>
      <c r="AB13" s="61" t="str">
        <f t="shared" ca="1" si="12"/>
        <v/>
      </c>
      <c r="AC13" s="62">
        <v>22</v>
      </c>
      <c r="AD13" s="61" t="str">
        <f t="shared" ca="1" si="13"/>
        <v/>
      </c>
      <c r="AE13" s="62">
        <v>43</v>
      </c>
      <c r="AF13" s="64" t="str">
        <f t="shared" ca="1" si="14"/>
        <v/>
      </c>
      <c r="AG13" s="66" t="s">
        <v>423</v>
      </c>
      <c r="AH13" s="38" t="str">
        <f t="shared" ca="1" si="15"/>
        <v>PASS</v>
      </c>
      <c r="AI13" s="28" t="str">
        <f>spellnumber(EXTRACTnUMBER_TOT(AG13))</f>
        <v xml:space="preserve">Four Hundred Seventy Nine </v>
      </c>
    </row>
    <row r="14" spans="1:35" ht="15" customHeight="1">
      <c r="A14" s="58">
        <v>223213</v>
      </c>
      <c r="B14" s="39" t="s">
        <v>172</v>
      </c>
      <c r="C14" s="60">
        <v>40</v>
      </c>
      <c r="D14" s="61" t="str">
        <f t="shared" ca="1" si="1"/>
        <v/>
      </c>
      <c r="E14" s="62">
        <v>16</v>
      </c>
      <c r="F14" s="61" t="str">
        <f t="shared" ca="1" si="2"/>
        <v/>
      </c>
      <c r="G14" s="63">
        <v>66</v>
      </c>
      <c r="H14" s="61" t="str">
        <f t="shared" ca="1" si="3"/>
        <v/>
      </c>
      <c r="I14" s="62">
        <v>17</v>
      </c>
      <c r="J14" s="61" t="str">
        <f t="shared" ca="1" si="4"/>
        <v/>
      </c>
      <c r="K14" s="62">
        <v>17</v>
      </c>
      <c r="L14" s="61" t="str">
        <f t="shared" ca="1" si="5"/>
        <v/>
      </c>
      <c r="M14" s="63">
        <v>55</v>
      </c>
      <c r="N14" s="61" t="str">
        <f t="shared" ca="1" si="0"/>
        <v/>
      </c>
      <c r="O14" s="62">
        <v>14</v>
      </c>
      <c r="P14" s="64" t="str">
        <f t="shared" ca="1" si="6"/>
        <v/>
      </c>
      <c r="Q14" s="60">
        <v>49</v>
      </c>
      <c r="R14" s="61" t="str">
        <f t="shared" ca="1" si="7"/>
        <v/>
      </c>
      <c r="S14" s="62">
        <v>18</v>
      </c>
      <c r="T14" s="64" t="str">
        <f t="shared" ca="1" si="8"/>
        <v/>
      </c>
      <c r="U14" s="60">
        <v>52</v>
      </c>
      <c r="V14" s="61" t="str">
        <f t="shared" ca="1" si="9"/>
        <v/>
      </c>
      <c r="W14" s="62">
        <v>13</v>
      </c>
      <c r="X14" s="64" t="str">
        <f t="shared" ca="1" si="10"/>
        <v/>
      </c>
      <c r="Y14" s="62">
        <v>16</v>
      </c>
      <c r="Z14" s="64" t="str">
        <f t="shared" ca="1" si="11"/>
        <v/>
      </c>
      <c r="AA14" s="60" t="s">
        <v>424</v>
      </c>
      <c r="AB14" s="61" t="str">
        <f t="shared" ca="1" si="12"/>
        <v/>
      </c>
      <c r="AC14" s="62">
        <v>19</v>
      </c>
      <c r="AD14" s="61" t="str">
        <f t="shared" ca="1" si="13"/>
        <v/>
      </c>
      <c r="AE14" s="62">
        <v>33</v>
      </c>
      <c r="AF14" s="64" t="str">
        <f t="shared" ca="1" si="14"/>
        <v/>
      </c>
      <c r="AG14" s="66" t="s">
        <v>425</v>
      </c>
      <c r="AH14" s="38" t="str">
        <f t="shared" ca="1" si="15"/>
        <v>PASS</v>
      </c>
      <c r="AI14" s="28" t="str">
        <f>spellnumber(EXTRACTnUMBER_TOT(AG14))</f>
        <v xml:space="preserve">Four Hundred Sixty  </v>
      </c>
    </row>
    <row r="15" spans="1:35" ht="15" customHeight="1">
      <c r="A15" s="58">
        <v>223215</v>
      </c>
      <c r="B15" s="32" t="s">
        <v>173</v>
      </c>
      <c r="C15" s="60" t="s">
        <v>454</v>
      </c>
      <c r="D15" s="61" t="str">
        <f t="shared" ca="1" si="1"/>
        <v>F</v>
      </c>
      <c r="E15" s="62">
        <v>16</v>
      </c>
      <c r="F15" s="61" t="str">
        <f t="shared" ca="1" si="2"/>
        <v>E</v>
      </c>
      <c r="G15" s="63">
        <v>23</v>
      </c>
      <c r="H15" s="61" t="str">
        <f t="shared" ca="1" si="3"/>
        <v>F</v>
      </c>
      <c r="I15" s="62">
        <v>18</v>
      </c>
      <c r="J15" s="61" t="str">
        <f t="shared" ca="1" si="4"/>
        <v>E</v>
      </c>
      <c r="K15" s="62">
        <v>19</v>
      </c>
      <c r="L15" s="61" t="str">
        <f t="shared" ca="1" si="5"/>
        <v>E</v>
      </c>
      <c r="M15" s="63">
        <v>40</v>
      </c>
      <c r="N15" s="61" t="str">
        <f t="shared" ca="1" si="0"/>
        <v>E</v>
      </c>
      <c r="O15" s="62">
        <v>19</v>
      </c>
      <c r="P15" s="64" t="str">
        <f t="shared" ca="1" si="6"/>
        <v>E</v>
      </c>
      <c r="Q15" s="60">
        <v>26</v>
      </c>
      <c r="R15" s="61" t="str">
        <f t="shared" ca="1" si="7"/>
        <v>F</v>
      </c>
      <c r="S15" s="62">
        <v>20</v>
      </c>
      <c r="T15" s="64" t="str">
        <f t="shared" ca="1" si="8"/>
        <v>E</v>
      </c>
      <c r="U15" s="60">
        <v>29</v>
      </c>
      <c r="V15" s="61" t="str">
        <f t="shared" ca="1" si="9"/>
        <v>F</v>
      </c>
      <c r="W15" s="62">
        <v>15</v>
      </c>
      <c r="X15" s="64" t="str">
        <f t="shared" ca="1" si="10"/>
        <v>E</v>
      </c>
      <c r="Y15" s="62">
        <v>17</v>
      </c>
      <c r="Z15" s="64" t="str">
        <f t="shared" ca="1" si="11"/>
        <v>E</v>
      </c>
      <c r="AA15" s="60">
        <v>36</v>
      </c>
      <c r="AB15" s="61" t="str">
        <f t="shared" ca="1" si="12"/>
        <v>F</v>
      </c>
      <c r="AC15" s="62">
        <v>18</v>
      </c>
      <c r="AD15" s="61" t="str">
        <f t="shared" ca="1" si="13"/>
        <v>E</v>
      </c>
      <c r="AE15" s="62">
        <v>41</v>
      </c>
      <c r="AF15" s="64" t="str">
        <f t="shared" ca="1" si="14"/>
        <v>E</v>
      </c>
      <c r="AG15" s="66">
        <f>IF(OR(AND(C15&gt;=31,C15&lt;40),AND(G15&gt;=31,G15&lt;40),AND(M15&gt;=31,M15&lt;40),AND(Q15&gt;=31,Q15&lt;40),AND(U15&gt;=31,U15&lt;40),AND(AA15&gt;=11,AA15&lt;20)),IF(AND(OR(COUNTIF(C15:AF15,"=31")&gt;=1,COUNTIF(C15:AF15,"=32")&gt;=1,COUNTIF(C15:AF15,"=33")&gt;=1,COUNTIF(C15:AF15,"=34")&gt;=1,COUNTIF(C15:AF15,"=35")&gt;=1,COUNTIF(C15:AF15,"=36")&gt;=1 ),COUNTIF(C15:AF15,"")=0,COUNTIF(C15:AF15," ")=0,COUNTIF(C15:AF15,"F")=1),CONCATENATE(SUM(EXTRACTNUMBER(C15),EXTRACTNUMBER(E15),
EXTRACTNUMBER(G15),EXTRACTNUMBER(I15),
EXTRACTNUMBER(K15),EXTRACTNUMBER(M15),
EXTRACTNUMBER(O15),EXTRACTNUMBER(Q15),
EXTRACTNUMBER(S15),EXTRACTNUMBER(U15),
EXTRACTNUMBER(W15),EXTRACTNUMBER(Y15),EXTRACTNUMBER(AA15),
EXTRACTNUMBER(AC15),EXTRACTNUMBER(AE15)),"*"),IF(AND(COUNTIF(C15:AF15,"=34")&gt;=1,COUNTIF(C15:AF15,"=35")&gt;=1,COUNTIF(C15:AF15,"f")=2,COUNTIF(C15:AF15,"")=0,COUNTIF(C15:AF15," ")=0),CONCATENATE(SUM(EXTRACTNUMBER(C15),EXTRACTNUMBER(E15),
EXTRACTNUMBER(G15),EXTRACTNUMBER(I15),
EXTRACTNUMBER(K15),EXTRACTNUMBER(M15),
EXTRACTNUMBER(O15),EXTRACTNUMBER(Q15),
EXTRACTNUMBER(S15),EXTRACTNUMBER(U15),
EXTRACTNUMBER(W15),EXTRACTNUMBER(Y15),EXTRACTNUMBER(AA15),
EXTRACTNUMBER(AC15),EXTRACTNUMBER(AE15)),"*"),IF(AND(COUNTIF(C15:AF15,"=36")&gt;=2,COUNTIF(C15:AF15,"f")=2,COUNTIF(C15:AF15,"")=0,COUNTIF(C15:AF15," ")=0),CONCATENATE(SUM(EXTRACTNUMBER(C15),EXTRACTNUMBER(E15),
EXTRACTNUMBER(G15),EXTRACTNUMBER(I15),
EXTRACTNUMBER(K15),EXTRACTNUMBER(M15),
EXTRACTNUMBER(O15),EXTRACTNUMBER(Q15),
EXTRACTNUMBER(S15),EXTRACTNUMBER(U15),
EXTRACTNUMBER(W15),EXTRACTNUMBER(Y15),EXTRACTNUMBER(AA15),
EXTRACTNUMBER(AC15),EXTRACTNUMBER(AE15)),"*"),SUM(EXTRACTNUMBER(C15),EXTRACTNUMBER(E15),
EXTRACTNUMBER(G15),EXTRACTNUMBER(I15),
EXTRACTNUMBER(K15),EXTRACTNUMBER(M15),
EXTRACTNUMBER(O15),EXTRACTNUMBER(Q15),
EXTRACTNUMBER(S15),EXTRACTNUMBER(U15),
EXTRACTNUMBER(W15),EXTRACTNUMBER(Y15),EXTRACTNUMBER(AA15),
EXTRACTNUMBER(AC15),EXTRACTNUMBER(AE15))))),SUM(EXTRACTNUMBER(C15),EXTRACTNUMBER(E15),
EXTRACTNUMBER(G15),EXTRACTNUMBER(I15),
EXTRACTNUMBER(K15),EXTRACTNUMBER(M15),
EXTRACTNUMBER(O15),EXTRACTNUMBER(Q15),
EXTRACTNUMBER(S15),EXTRACTNUMBER(U15),
EXTRACTNUMBER(W15),EXTRACTNUMBER(Y15),EXTRACTNUMBER(AA15),
EXTRACTNUMBER(AC15),EXTRACTNUMBER(AE15)))</f>
        <v>344</v>
      </c>
      <c r="AH15" s="38" t="str">
        <f t="shared" ca="1" si="15"/>
        <v>FAIL</v>
      </c>
      <c r="AI15" s="28" t="str">
        <f>spellnumber(EXTRACTnUMBER_TOT(AG15))</f>
        <v xml:space="preserve">Three Hundred Forty Four </v>
      </c>
    </row>
    <row r="16" spans="1:35" ht="15" customHeight="1">
      <c r="A16" s="58">
        <v>223216</v>
      </c>
      <c r="B16" s="32" t="s">
        <v>174</v>
      </c>
      <c r="C16" s="60">
        <v>47</v>
      </c>
      <c r="D16" s="61" t="str">
        <f t="shared" ca="1" si="1"/>
        <v/>
      </c>
      <c r="E16" s="62">
        <v>24</v>
      </c>
      <c r="F16" s="61" t="str">
        <f t="shared" ca="1" si="2"/>
        <v/>
      </c>
      <c r="G16" s="63">
        <v>66</v>
      </c>
      <c r="H16" s="61" t="str">
        <f t="shared" ca="1" si="3"/>
        <v/>
      </c>
      <c r="I16" s="62">
        <v>18</v>
      </c>
      <c r="J16" s="61" t="str">
        <f t="shared" ca="1" si="4"/>
        <v/>
      </c>
      <c r="K16" s="62">
        <v>19</v>
      </c>
      <c r="L16" s="61" t="str">
        <f t="shared" ca="1" si="5"/>
        <v/>
      </c>
      <c r="M16" s="63">
        <v>57</v>
      </c>
      <c r="N16" s="61" t="str">
        <f t="shared" ca="1" si="0"/>
        <v/>
      </c>
      <c r="O16" s="62">
        <v>23</v>
      </c>
      <c r="P16" s="64" t="str">
        <f t="shared" ca="1" si="6"/>
        <v/>
      </c>
      <c r="Q16" s="60">
        <v>50</v>
      </c>
      <c r="R16" s="61" t="str">
        <f t="shared" ca="1" si="7"/>
        <v/>
      </c>
      <c r="S16" s="62">
        <v>22</v>
      </c>
      <c r="T16" s="64" t="str">
        <f t="shared" ca="1" si="8"/>
        <v/>
      </c>
      <c r="U16" s="60">
        <v>54</v>
      </c>
      <c r="V16" s="61" t="str">
        <f t="shared" ca="1" si="9"/>
        <v/>
      </c>
      <c r="W16" s="62">
        <v>19</v>
      </c>
      <c r="X16" s="64" t="str">
        <f t="shared" ca="1" si="10"/>
        <v/>
      </c>
      <c r="Y16" s="62">
        <v>20</v>
      </c>
      <c r="Z16" s="64" t="str">
        <f t="shared" ca="1" si="11"/>
        <v/>
      </c>
      <c r="AA16" s="60">
        <v>40</v>
      </c>
      <c r="AB16" s="61" t="str">
        <f t="shared" ca="1" si="12"/>
        <v/>
      </c>
      <c r="AC16" s="62">
        <v>24</v>
      </c>
      <c r="AD16" s="61" t="str">
        <f t="shared" ca="1" si="13"/>
        <v/>
      </c>
      <c r="AE16" s="62">
        <v>41</v>
      </c>
      <c r="AF16" s="64" t="str">
        <f t="shared" ca="1" si="14"/>
        <v/>
      </c>
      <c r="AG16" s="66">
        <f>IF(OR(AND(C16&gt;=31,C16&lt;40),AND(G16&gt;=31,G16&lt;40),AND(M16&gt;=31,M16&lt;40),AND(Q16&gt;=31,Q16&lt;40),AND(U16&gt;=31,U16&lt;40),AND(AA16&gt;=11,AA16&lt;20)),IF(AND(OR(COUNTIF(C16:AF16,"=31")&gt;=1,COUNTIF(C16:AF16,"=32")&gt;=1,COUNTIF(C16:AF16,"=33")&gt;=1,COUNTIF(C16:AF16,"=34")&gt;=1,COUNTIF(C16:AF16,"=35")&gt;=1,COUNTIF(C16:AF16,"=36")&gt;=1 ),COUNTIF(C16:AF16,"")=0,COUNTIF(C16:AF16," ")=0,COUNTIF(C16:AF16,"F")=1),CONCATENATE(SUM(EXTRACTNUMBER(C16),EXTRACTNUMBER(E16),
EXTRACTNUMBER(G16),EXTRACTNUMBER(I16),
EXTRACTNUMBER(K16),EXTRACTNUMBER(M16),
EXTRACTNUMBER(O16),EXTRACTNUMBER(Q16),
EXTRACTNUMBER(S16),EXTRACTNUMBER(U16),
EXTRACTNUMBER(W16),EXTRACTNUMBER(Y16),EXTRACTNUMBER(AA16),
EXTRACTNUMBER(AC16),EXTRACTNUMBER(AE16)),"*"),IF(AND(COUNTIF(C16:AF16,"=34")&gt;=1,COUNTIF(C16:AF16,"=35")&gt;=1,COUNTIF(C16:AF16,"f")=2,COUNTIF(C16:AF16,"")=0,COUNTIF(C16:AF16," ")=0),CONCATENATE(SUM(EXTRACTNUMBER(C16),EXTRACTNUMBER(E16),
EXTRACTNUMBER(G16),EXTRACTNUMBER(I16),
EXTRACTNUMBER(K16),EXTRACTNUMBER(M16),
EXTRACTNUMBER(O16),EXTRACTNUMBER(Q16),
EXTRACTNUMBER(S16),EXTRACTNUMBER(U16),
EXTRACTNUMBER(W16),EXTRACTNUMBER(Y16),EXTRACTNUMBER(AA16),
EXTRACTNUMBER(AC16),EXTRACTNUMBER(AE16)),"*"),IF(AND(COUNTIF(C16:AF16,"=36")&gt;=2,COUNTIF(C16:AF16,"f")=2,COUNTIF(C16:AF16,"")=0,COUNTIF(C16:AF16," ")=0),CONCATENATE(SUM(EXTRACTNUMBER(C16),EXTRACTNUMBER(E16),
EXTRACTNUMBER(G16),EXTRACTNUMBER(I16),
EXTRACTNUMBER(K16),EXTRACTNUMBER(M16),
EXTRACTNUMBER(O16),EXTRACTNUMBER(Q16),
EXTRACTNUMBER(S16),EXTRACTNUMBER(U16),
EXTRACTNUMBER(W16),EXTRACTNUMBER(Y16),EXTRACTNUMBER(AA16),
EXTRACTNUMBER(AC16),EXTRACTNUMBER(AE16)),"*"),SUM(EXTRACTNUMBER(C16),EXTRACTNUMBER(E16),
EXTRACTNUMBER(G16),EXTRACTNUMBER(I16),
EXTRACTNUMBER(K16),EXTRACTNUMBER(M16),
EXTRACTNUMBER(O16),EXTRACTNUMBER(Q16),
EXTRACTNUMBER(S16),EXTRACTNUMBER(U16),
EXTRACTNUMBER(W16),EXTRACTNUMBER(Y16),EXTRACTNUMBER(AA16),
EXTRACTNUMBER(AC16),EXTRACTNUMBER(AE16))))),SUM(EXTRACTNUMBER(C16),EXTRACTNUMBER(E16),
EXTRACTNUMBER(G16),EXTRACTNUMBER(I16),
EXTRACTNUMBER(K16),EXTRACTNUMBER(M16),
EXTRACTNUMBER(O16),EXTRACTNUMBER(Q16),
EXTRACTNUMBER(S16),EXTRACTNUMBER(U16),
EXTRACTNUMBER(W16),EXTRACTNUMBER(Y16),EXTRACTNUMBER(AA16),
EXTRACTNUMBER(AC16),EXTRACTNUMBER(AE16)))</f>
        <v>524</v>
      </c>
      <c r="AH16" s="38" t="str">
        <f t="shared" ca="1" si="15"/>
        <v>PASS</v>
      </c>
      <c r="AI16" s="28" t="str">
        <f>spellnumber(EXTRACTnUMBER_TOT(AG16))</f>
        <v xml:space="preserve">Five Hundred Twenty Four </v>
      </c>
    </row>
    <row r="17" spans="1:35" ht="15" customHeight="1">
      <c r="A17" s="58">
        <v>223217</v>
      </c>
      <c r="B17" s="32" t="s">
        <v>175</v>
      </c>
      <c r="C17" s="60">
        <v>14</v>
      </c>
      <c r="D17" s="61" t="str">
        <f t="shared" ca="1" si="1"/>
        <v>F</v>
      </c>
      <c r="E17" s="62">
        <v>15</v>
      </c>
      <c r="F17" s="61" t="str">
        <f t="shared" ca="1" si="2"/>
        <v>E</v>
      </c>
      <c r="G17" s="63">
        <v>49</v>
      </c>
      <c r="H17" s="61" t="str">
        <f t="shared" ca="1" si="3"/>
        <v>E</v>
      </c>
      <c r="I17" s="62">
        <v>20</v>
      </c>
      <c r="J17" s="61" t="str">
        <f t="shared" ca="1" si="4"/>
        <v>E</v>
      </c>
      <c r="K17" s="62">
        <v>18</v>
      </c>
      <c r="L17" s="61" t="str">
        <f t="shared" ca="1" si="5"/>
        <v>E</v>
      </c>
      <c r="M17" s="63">
        <v>52</v>
      </c>
      <c r="N17" s="61" t="str">
        <f t="shared" ca="1" si="0"/>
        <v>E</v>
      </c>
      <c r="O17" s="62">
        <v>18</v>
      </c>
      <c r="P17" s="64" t="str">
        <f t="shared" ca="1" si="6"/>
        <v>E</v>
      </c>
      <c r="Q17" s="60">
        <v>63</v>
      </c>
      <c r="R17" s="61" t="str">
        <f t="shared" ca="1" si="7"/>
        <v>E</v>
      </c>
      <c r="S17" s="62">
        <v>22</v>
      </c>
      <c r="T17" s="64" t="str">
        <f t="shared" ca="1" si="8"/>
        <v>E</v>
      </c>
      <c r="U17" s="60">
        <v>40</v>
      </c>
      <c r="V17" s="61" t="str">
        <f t="shared" ca="1" si="9"/>
        <v>E</v>
      </c>
      <c r="W17" s="62">
        <v>20</v>
      </c>
      <c r="X17" s="64" t="str">
        <f t="shared" ca="1" si="10"/>
        <v>E</v>
      </c>
      <c r="Y17" s="62">
        <v>20</v>
      </c>
      <c r="Z17" s="64" t="str">
        <f t="shared" ca="1" si="11"/>
        <v>E</v>
      </c>
      <c r="AA17" s="60">
        <v>45</v>
      </c>
      <c r="AB17" s="61" t="str">
        <f t="shared" ca="1" si="12"/>
        <v>E</v>
      </c>
      <c r="AC17" s="62">
        <v>23</v>
      </c>
      <c r="AD17" s="61" t="str">
        <f t="shared" ca="1" si="13"/>
        <v>E</v>
      </c>
      <c r="AE17" s="62">
        <v>41</v>
      </c>
      <c r="AF17" s="64" t="str">
        <f t="shared" ca="1" si="14"/>
        <v>E</v>
      </c>
      <c r="AG17" s="66">
        <f>IF(OR(AND(C17&gt;=31,C17&lt;40),AND(G17&gt;=31,G17&lt;40),AND(M17&gt;=31,M17&lt;40),AND(Q17&gt;=31,Q17&lt;40),AND(U17&gt;=31,U17&lt;40),AND(AA17&gt;=11,AA17&lt;20)),IF(AND(OR(COUNTIF(C17:AF17,"=31")&gt;=1,COUNTIF(C17:AF17,"=32")&gt;=1,COUNTIF(C17:AF17,"=33")&gt;=1,COUNTIF(C17:AF17,"=34")&gt;=1,COUNTIF(C17:AF17,"=35")&gt;=1,COUNTIF(C17:AF17,"=36")&gt;=1 ),COUNTIF(C17:AF17,"")=0,COUNTIF(C17:AF17," ")=0,COUNTIF(C17:AF17,"F")=1),CONCATENATE(SUM(EXTRACTNUMBER(C17),EXTRACTNUMBER(E17),
EXTRACTNUMBER(G17),EXTRACTNUMBER(I17),
EXTRACTNUMBER(K17),EXTRACTNUMBER(M17),
EXTRACTNUMBER(O17),EXTRACTNUMBER(Q17),
EXTRACTNUMBER(S17),EXTRACTNUMBER(U17),
EXTRACTNUMBER(W17),EXTRACTNUMBER(Y17),EXTRACTNUMBER(AA17),
EXTRACTNUMBER(AC17),EXTRACTNUMBER(AE17)),"*"),IF(AND(COUNTIF(C17:AF17,"=34")&gt;=1,COUNTIF(C17:AF17,"=35")&gt;=1,COUNTIF(C17:AF17,"f")=2,COUNTIF(C17:AF17,"")=0,COUNTIF(C17:AF17," ")=0),CONCATENATE(SUM(EXTRACTNUMBER(C17),EXTRACTNUMBER(E17),
EXTRACTNUMBER(G17),EXTRACTNUMBER(I17),
EXTRACTNUMBER(K17),EXTRACTNUMBER(M17),
EXTRACTNUMBER(O17),EXTRACTNUMBER(Q17),
EXTRACTNUMBER(S17),EXTRACTNUMBER(U17),
EXTRACTNUMBER(W17),EXTRACTNUMBER(Y17),EXTRACTNUMBER(AA17),
EXTRACTNUMBER(AC17),EXTRACTNUMBER(AE17)),"*"),IF(AND(COUNTIF(C17:AF17,"=36")&gt;=2,COUNTIF(C17:AF17,"f")=2,COUNTIF(C17:AF17,"")=0,COUNTIF(C17:AF17," ")=0),CONCATENATE(SUM(EXTRACTNUMBER(C17),EXTRACTNUMBER(E17),
EXTRACTNUMBER(G17),EXTRACTNUMBER(I17),
EXTRACTNUMBER(K17),EXTRACTNUMBER(M17),
EXTRACTNUMBER(O17),EXTRACTNUMBER(Q17),
EXTRACTNUMBER(S17),EXTRACTNUMBER(U17),
EXTRACTNUMBER(W17),EXTRACTNUMBER(Y17),EXTRACTNUMBER(AA17),
EXTRACTNUMBER(AC17),EXTRACTNUMBER(AE17)),"*"),SUM(EXTRACTNUMBER(C17),EXTRACTNUMBER(E17),
EXTRACTNUMBER(G17),EXTRACTNUMBER(I17),
EXTRACTNUMBER(K17),EXTRACTNUMBER(M17),
EXTRACTNUMBER(O17),EXTRACTNUMBER(Q17),
EXTRACTNUMBER(S17),EXTRACTNUMBER(U17),
EXTRACTNUMBER(W17),EXTRACTNUMBER(Y17),EXTRACTNUMBER(AA17),
EXTRACTNUMBER(AC17),EXTRACTNUMBER(AE17))))),SUM(EXTRACTNUMBER(C17),EXTRACTNUMBER(E17),
EXTRACTNUMBER(G17),EXTRACTNUMBER(I17),
EXTRACTNUMBER(K17),EXTRACTNUMBER(M17),
EXTRACTNUMBER(O17),EXTRACTNUMBER(Q17),
EXTRACTNUMBER(S17),EXTRACTNUMBER(U17),
EXTRACTNUMBER(W17),EXTRACTNUMBER(Y17),EXTRACTNUMBER(AA17),
EXTRACTNUMBER(AC17),EXTRACTNUMBER(AE17)))</f>
        <v>460</v>
      </c>
      <c r="AH17" s="38" t="str">
        <f t="shared" ca="1" si="15"/>
        <v>FAIL</v>
      </c>
      <c r="AI17" s="28" t="str">
        <f>spellnumber(EXTRACTnUMBER_TOT(AG17))</f>
        <v xml:space="preserve">Four Hundred Sixty  </v>
      </c>
    </row>
    <row r="18" spans="1:35" ht="15" customHeight="1">
      <c r="A18" s="58">
        <v>223218</v>
      </c>
      <c r="B18" s="32" t="s">
        <v>176</v>
      </c>
      <c r="C18" s="60">
        <v>41</v>
      </c>
      <c r="D18" s="61" t="str">
        <f t="shared" ca="1" si="1"/>
        <v/>
      </c>
      <c r="E18" s="62">
        <v>21</v>
      </c>
      <c r="F18" s="61" t="str">
        <f t="shared" ca="1" si="2"/>
        <v/>
      </c>
      <c r="G18" s="63">
        <v>56</v>
      </c>
      <c r="H18" s="61" t="str">
        <f t="shared" ca="1" si="3"/>
        <v/>
      </c>
      <c r="I18" s="62">
        <v>23</v>
      </c>
      <c r="J18" s="61" t="str">
        <f t="shared" ca="1" si="4"/>
        <v/>
      </c>
      <c r="K18" s="62">
        <v>18</v>
      </c>
      <c r="L18" s="61" t="str">
        <f t="shared" ca="1" si="5"/>
        <v/>
      </c>
      <c r="M18" s="63">
        <v>51</v>
      </c>
      <c r="N18" s="61" t="str">
        <f t="shared" ca="1" si="0"/>
        <v/>
      </c>
      <c r="O18" s="62">
        <v>23</v>
      </c>
      <c r="P18" s="64" t="str">
        <f t="shared" ca="1" si="6"/>
        <v/>
      </c>
      <c r="Q18" s="60">
        <v>57</v>
      </c>
      <c r="R18" s="61" t="str">
        <f t="shared" ca="1" si="7"/>
        <v/>
      </c>
      <c r="S18" s="62">
        <v>23</v>
      </c>
      <c r="T18" s="64" t="str">
        <f t="shared" ca="1" si="8"/>
        <v/>
      </c>
      <c r="U18" s="60">
        <v>48</v>
      </c>
      <c r="V18" s="61" t="str">
        <f t="shared" ca="1" si="9"/>
        <v/>
      </c>
      <c r="W18" s="62">
        <v>21</v>
      </c>
      <c r="X18" s="64" t="str">
        <f t="shared" ca="1" si="10"/>
        <v/>
      </c>
      <c r="Y18" s="62">
        <v>21</v>
      </c>
      <c r="Z18" s="64" t="str">
        <f t="shared" ca="1" si="11"/>
        <v/>
      </c>
      <c r="AA18" s="60">
        <v>40</v>
      </c>
      <c r="AB18" s="61" t="str">
        <f t="shared" ca="1" si="12"/>
        <v/>
      </c>
      <c r="AC18" s="62">
        <v>18</v>
      </c>
      <c r="AD18" s="61" t="str">
        <f t="shared" ca="1" si="13"/>
        <v/>
      </c>
      <c r="AE18" s="62">
        <v>38</v>
      </c>
      <c r="AF18" s="64" t="str">
        <f t="shared" ca="1" si="14"/>
        <v/>
      </c>
      <c r="AG18" s="66">
        <f>IF(OR(AND(C18&gt;=31,C18&lt;40),AND(G18&gt;=31,G18&lt;40),AND(M18&gt;=31,M18&lt;40),AND(Q18&gt;=31,Q18&lt;40),AND(U18&gt;=31,U18&lt;40),AND(AA18&gt;=11,AA18&lt;20)),IF(AND(OR(COUNTIF(C18:AF18,"=31")&gt;=1,COUNTIF(C18:AF18,"=32")&gt;=1,COUNTIF(C18:AF18,"=33")&gt;=1,COUNTIF(C18:AF18,"=34")&gt;=1,COUNTIF(C18:AF18,"=35")&gt;=1,COUNTIF(C18:AF18,"=36")&gt;=1 ),COUNTIF(C18:AF18,"")=0,COUNTIF(C18:AF18," ")=0,COUNTIF(C18:AF18,"F")=1),CONCATENATE(SUM(EXTRACTNUMBER(C18),EXTRACTNUMBER(E18),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EXTRACTNUMBER(AC18),EXTRACTNUMBER(AE18)),"*"),IF(AND(COUNTIF(C18:AF18,"=34")&gt;=1,COUNTIF(C18:AF18,"=35")&gt;=1,COUNTIF(C18:AF18,"f")=2,COUNTIF(C18:AF18,"")=0,COUNTIF(C18:AF18," ")=0),CONCATENATE(SUM(EXTRACTNUMBER(C18),EXTRACTNUMBER(E18),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EXTRACTNUMBER(AC18),EXTRACTNUMBER(AE18)),"*"),IF(AND(COUNTIF(C18:AF18,"=36")&gt;=2,COUNTIF(C18:AF18,"f")=2,COUNTIF(C18:AF18,"")=0,COUNTIF(C18:AF18," ")=0),CONCATENATE(SUM(EXTRACTNUMBER(C18),EXTRACTNUMBER(E18),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EXTRACTNUMBER(AC18),EXTRACTNUMBER(AE18)),"*"),SUM(EXTRACTNUMBER(C18),EXTRACTNUMBER(E18),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EXTRACTNUMBER(AC18),EXTRACTNUMBER(AE18))))),SUM(EXTRACTNUMBER(C18),EXTRACTNUMBER(E18),
EXTRACTNUMBER(G18),EXTRACTNUMBER(I18),
EXTRACTNUMBER(K18),EXTRACTNUMBER(M18),
EXTRACTNUMBER(O18),EXTRACTNUMBER(Q18),
EXTRACTNUMBER(S18),EXTRACTNUMBER(U18),
EXTRACTNUMBER(W18),EXTRACTNUMBER(Y18),EXTRACTNUMBER(AA18),
EXTRACTNUMBER(AC18),EXTRACTNUMBER(AE18)))</f>
        <v>499</v>
      </c>
      <c r="AH18" s="38" t="str">
        <f t="shared" ca="1" si="15"/>
        <v>PASS</v>
      </c>
      <c r="AI18" s="28" t="str">
        <f>spellnumber(EXTRACTnUMBER_TOT(AG18))</f>
        <v xml:space="preserve">Four Hundred NinetyNine </v>
      </c>
    </row>
    <row r="19" spans="1:35" ht="15" customHeight="1">
      <c r="A19" s="58">
        <v>223219</v>
      </c>
      <c r="B19" s="39" t="s">
        <v>177</v>
      </c>
      <c r="C19" s="60">
        <v>17</v>
      </c>
      <c r="D19" s="61" t="str">
        <f t="shared" ca="1" si="1"/>
        <v>F</v>
      </c>
      <c r="E19" s="62">
        <v>15</v>
      </c>
      <c r="F19" s="61" t="str">
        <f t="shared" ca="1" si="2"/>
        <v>E</v>
      </c>
      <c r="G19" s="63">
        <v>23</v>
      </c>
      <c r="H19" s="61" t="str">
        <f t="shared" ca="1" si="3"/>
        <v>F</v>
      </c>
      <c r="I19" s="62">
        <v>23</v>
      </c>
      <c r="J19" s="61" t="str">
        <f t="shared" ca="1" si="4"/>
        <v>E</v>
      </c>
      <c r="K19" s="62">
        <v>17</v>
      </c>
      <c r="L19" s="61" t="str">
        <f t="shared" ca="1" si="5"/>
        <v>E</v>
      </c>
      <c r="M19" s="63">
        <v>51</v>
      </c>
      <c r="N19" s="61" t="str">
        <f t="shared" ca="1" si="0"/>
        <v>E</v>
      </c>
      <c r="O19" s="62">
        <v>20</v>
      </c>
      <c r="P19" s="64" t="str">
        <f t="shared" ca="1" si="6"/>
        <v>E</v>
      </c>
      <c r="Q19" s="60">
        <v>40</v>
      </c>
      <c r="R19" s="61" t="str">
        <f t="shared" ca="1" si="7"/>
        <v>E</v>
      </c>
      <c r="S19" s="62">
        <v>16</v>
      </c>
      <c r="T19" s="64" t="str">
        <f t="shared" ca="1" si="8"/>
        <v>E</v>
      </c>
      <c r="U19" s="60">
        <v>40</v>
      </c>
      <c r="V19" s="61" t="str">
        <f t="shared" ca="1" si="9"/>
        <v>E</v>
      </c>
      <c r="W19" s="62">
        <v>18</v>
      </c>
      <c r="X19" s="64" t="str">
        <f t="shared" ca="1" si="10"/>
        <v>E</v>
      </c>
      <c r="Y19" s="62">
        <v>19</v>
      </c>
      <c r="Z19" s="64" t="str">
        <f t="shared" ca="1" si="11"/>
        <v>E</v>
      </c>
      <c r="AA19" s="60">
        <v>26</v>
      </c>
      <c r="AB19" s="61" t="str">
        <f t="shared" ca="1" si="12"/>
        <v>F</v>
      </c>
      <c r="AC19" s="62">
        <v>14</v>
      </c>
      <c r="AD19" s="61" t="str">
        <f t="shared" ca="1" si="13"/>
        <v>E</v>
      </c>
      <c r="AE19" s="62">
        <v>43</v>
      </c>
      <c r="AF19" s="64" t="str">
        <f t="shared" ca="1" si="14"/>
        <v>E</v>
      </c>
      <c r="AG19" s="66">
        <f>IF(OR(AND(C19&gt;=31,C19&lt;40),AND(G19&gt;=31,G19&lt;40),AND(M19&gt;=31,M19&lt;40),AND(Q19&gt;=31,Q19&lt;40),AND(U19&gt;=31,U19&lt;40),AND(AA19&gt;=11,AA19&lt;20)),IF(AND(OR(COUNTIF(C19:AF19,"=31")&gt;=1,COUNTIF(C19:AF19,"=32")&gt;=1,COUNTIF(C19:AF19,"=33")&gt;=1,COUNTIF(C19:AF19,"=34")&gt;=1,COUNTIF(C19:AF19,"=35")&gt;=1,COUNTIF(C19:AF19,"=36")&gt;=1 ),COUNTIF(C19:AF19,"")=0,COUNTIF(C19:AF19," ")=0,COUNTIF(C19:AF19,"F")=1),CONCATENATE(SUM(EXTRACTNUMBER(C19),EXTRACTNUMBER(E19),
EXTRACTNUMBER(G19),EXTRACTNUMBER(I19),
EXTRACTNUMBER(K19),EXTRACTNUMBER(M19),
EXTRACTNUMBER(O19),EXTRACTNUMBER(Q19),
EXTRACTNUMBER(S19),EXTRACTNUMBER(U19),
EXTRACTNUMBER(W19),EXTRACTNUMBER(Y19),EXTRACTNUMBER(AA19),
EXTRACTNUMBER(AC19),EXTRACTNUMBER(AE19)),"*"),IF(AND(COUNTIF(C19:AF19,"=34")&gt;=1,COUNTIF(C19:AF19,"=35")&gt;=1,COUNTIF(C19:AF19,"f")=2,COUNTIF(C19:AF19,"")=0,COUNTIF(C19:AF19," ")=0),CONCATENATE(SUM(EXTRACTNUMBER(C19),EXTRACTNUMBER(E19),
EXTRACTNUMBER(G19),EXTRACTNUMBER(I19),
EXTRACTNUMBER(K19),EXTRACTNUMBER(M19),
EXTRACTNUMBER(O19),EXTRACTNUMBER(Q19),
EXTRACTNUMBER(S19),EXTRACTNUMBER(U19),
EXTRACTNUMBER(W19),EXTRACTNUMBER(Y19),EXTRACTNUMBER(AA19),
EXTRACTNUMBER(AC19),EXTRACTNUMBER(AE19)),"*"),IF(AND(COUNTIF(C19:AF19,"=36")&gt;=2,COUNTIF(C19:AF19,"f")=2,COUNTIF(C19:AF19,"")=0,COUNTIF(C19:AF19," ")=0),CONCATENATE(SUM(EXTRACTNUMBER(C19),EXTRACTNUMBER(E19),
EXTRACTNUMBER(G19),EXTRACTNUMBER(I19),
EXTRACTNUMBER(K19),EXTRACTNUMBER(M19),
EXTRACTNUMBER(O19),EXTRACTNUMBER(Q19),
EXTRACTNUMBER(S19),EXTRACTNUMBER(U19),
EXTRACTNUMBER(W19),EXTRACTNUMBER(Y19),EXTRACTNUMBER(AA19),
EXTRACTNUMBER(AC19),EXTRACTNUMBER(AE19)),"*"),SUM(EXTRACTNUMBER(C19),EXTRACTNUMBER(E19),
EXTRACTNUMBER(G19),EXTRACTNUMBER(I19),
EXTRACTNUMBER(K19),EXTRACTNUMBER(M19),
EXTRACTNUMBER(O19),EXTRACTNUMBER(Q19),
EXTRACTNUMBER(S19),EXTRACTNUMBER(U19),
EXTRACTNUMBER(W19),EXTRACTNUMBER(Y19),EXTRACTNUMBER(AA19),
EXTRACTNUMBER(AC19),EXTRACTNUMBER(AE19))))),SUM(EXTRACTNUMBER(C19),EXTRACTNUMBER(E19),
EXTRACTNUMBER(G19),EXTRACTNUMBER(I19),
EXTRACTNUMBER(K19),EXTRACTNUMBER(M19),
EXTRACTNUMBER(O19),EXTRACTNUMBER(Q19),
EXTRACTNUMBER(S19),EXTRACTNUMBER(U19),
EXTRACTNUMBER(W19),EXTRACTNUMBER(Y19),EXTRACTNUMBER(AA19),
EXTRACTNUMBER(AC19),EXTRACTNUMBER(AE19)))</f>
        <v>382</v>
      </c>
      <c r="AH19" s="38" t="str">
        <f t="shared" ca="1" si="15"/>
        <v>FAIL</v>
      </c>
      <c r="AI19" s="28" t="str">
        <f>spellnumber(EXTRACTnUMBER_TOT(AG19))</f>
        <v xml:space="preserve">Three Hundred Eighty Two </v>
      </c>
    </row>
    <row r="20" spans="1:35" ht="15" customHeight="1">
      <c r="A20" s="58">
        <v>223220</v>
      </c>
      <c r="B20" s="32" t="s">
        <v>178</v>
      </c>
      <c r="C20" s="60">
        <v>40</v>
      </c>
      <c r="D20" s="61" t="str">
        <f t="shared" ca="1" si="1"/>
        <v>E</v>
      </c>
      <c r="E20" s="62">
        <v>15</v>
      </c>
      <c r="F20" s="61" t="str">
        <f t="shared" ca="1" si="2"/>
        <v>E</v>
      </c>
      <c r="G20" s="63">
        <v>54</v>
      </c>
      <c r="H20" s="61" t="str">
        <f t="shared" ca="1" si="3"/>
        <v>E</v>
      </c>
      <c r="I20" s="62">
        <v>17</v>
      </c>
      <c r="J20" s="61" t="str">
        <f t="shared" ca="1" si="4"/>
        <v>E</v>
      </c>
      <c r="K20" s="62">
        <v>19</v>
      </c>
      <c r="L20" s="61" t="str">
        <f t="shared" ca="1" si="5"/>
        <v>E</v>
      </c>
      <c r="M20" s="63">
        <v>62</v>
      </c>
      <c r="N20" s="61" t="str">
        <f t="shared" ca="1" si="0"/>
        <v>E</v>
      </c>
      <c r="O20" s="62">
        <v>15</v>
      </c>
      <c r="P20" s="64" t="str">
        <f t="shared" ca="1" si="6"/>
        <v>E</v>
      </c>
      <c r="Q20" s="60">
        <v>47</v>
      </c>
      <c r="R20" s="61" t="str">
        <f t="shared" ca="1" si="7"/>
        <v>E</v>
      </c>
      <c r="S20" s="62">
        <v>19</v>
      </c>
      <c r="T20" s="64" t="str">
        <f t="shared" ca="1" si="8"/>
        <v>E</v>
      </c>
      <c r="U20" s="60">
        <v>40</v>
      </c>
      <c r="V20" s="61" t="str">
        <f t="shared" ca="1" si="9"/>
        <v>E</v>
      </c>
      <c r="W20" s="62">
        <v>19</v>
      </c>
      <c r="X20" s="64" t="str">
        <f t="shared" ca="1" si="10"/>
        <v>E</v>
      </c>
      <c r="Y20" s="62">
        <v>18</v>
      </c>
      <c r="Z20" s="64" t="str">
        <f t="shared" ca="1" si="11"/>
        <v>E</v>
      </c>
      <c r="AA20" s="60">
        <v>29</v>
      </c>
      <c r="AB20" s="61" t="str">
        <f t="shared" ca="1" si="12"/>
        <v>F</v>
      </c>
      <c r="AC20" s="62">
        <v>17</v>
      </c>
      <c r="AD20" s="61" t="str">
        <f t="shared" ca="1" si="13"/>
        <v>E</v>
      </c>
      <c r="AE20" s="62">
        <v>40</v>
      </c>
      <c r="AF20" s="64" t="str">
        <f t="shared" ca="1" si="14"/>
        <v>E</v>
      </c>
      <c r="AG20" s="66">
        <f>IF(OR(AND(C20&gt;=31,C20&lt;40),AND(G20&gt;=31,G20&lt;40),AND(M20&gt;=31,M20&lt;40),AND(Q20&gt;=31,Q20&lt;40),AND(U20&gt;=31,U20&lt;40),AND(AA20&gt;=11,AA20&lt;20)),IF(AND(OR(COUNTIF(C20:AF20,"=31")&gt;=1,COUNTIF(C20:AF20,"=32")&gt;=1,COUNTIF(C20:AF20,"=33")&gt;=1,COUNTIF(C20:AF20,"=34")&gt;=1,COUNTIF(C20:AF20,"=35")&gt;=1,COUNTIF(C20:AF20,"=36")&gt;=1 ),COUNTIF(C20:AF20,"")=0,COUNTIF(C20:AF20," ")=0,COUNTIF(C20:AF20,"F")=1),CONCATENATE(SUM(EXTRACTNUMBER(C20),EXTRACTNUMBER(E20),
EXTRACTNUMBER(G20),EXTRACTNUMBER(I20),
EXTRACTNUMBER(K20),EXTRACTNUMBER(M20),
EXTRACTNUMBER(O20),EXTRACTNUMBER(Q20),
EXTRACTNUMBER(S20),EXTRACTNUMBER(U20),
EXTRACTNUMBER(W20),EXTRACTNUMBER(Y20),EXTRACTNUMBER(AA20),
EXTRACTNUMBER(AC20),EXTRACTNUMBER(AE20)),"*"),IF(AND(COUNTIF(C20:AF20,"=34")&gt;=1,COUNTIF(C20:AF20,"=35")&gt;=1,COUNTIF(C20:AF20,"f")=2,COUNTIF(C20:AF20,"")=0,COUNTIF(C20:AF20," ")=0),CONCATENATE(SUM(EXTRACTNUMBER(C20),EXTRACTNUMBER(E20),
EXTRACTNUMBER(G20),EXTRACTNUMBER(I20),
EXTRACTNUMBER(K20),EXTRACTNUMBER(M20),
EXTRACTNUMBER(O20),EXTRACTNUMBER(Q20),
EXTRACTNUMBER(S20),EXTRACTNUMBER(U20),
EXTRACTNUMBER(W20),EXTRACTNUMBER(Y20),EXTRACTNUMBER(AA20),
EXTRACTNUMBER(AC20),EXTRACTNUMBER(AE20)),"*"),IF(AND(COUNTIF(C20:AF20,"=36")&gt;=2,COUNTIF(C20:AF20,"f")=2,COUNTIF(C20:AF20,"")=0,COUNTIF(C20:AF20," ")=0),CONCATENATE(SUM(EXTRACTNUMBER(C20),EXTRACTNUMBER(E20),
EXTRACTNUMBER(G20),EXTRACTNUMBER(I20),
EXTRACTNUMBER(K20),EXTRACTNUMBER(M20),
EXTRACTNUMBER(O20),EXTRACTNUMBER(Q20),
EXTRACTNUMBER(S20),EXTRACTNUMBER(U20),
EXTRACTNUMBER(W20),EXTRACTNUMBER(Y20),EXTRACTNUMBER(AA20),
EXTRACTNUMBER(AC20),EXTRACTNUMBER(AE20)),"*"),SUM(EXTRACTNUMBER(C20),EXTRACTNUMBER(E20),
EXTRACTNUMBER(G20),EXTRACTNUMBER(I20),
EXTRACTNUMBER(K20),EXTRACTNUMBER(M20),
EXTRACTNUMBER(O20),EXTRACTNUMBER(Q20),
EXTRACTNUMBER(S20),EXTRACTNUMBER(U20),
EXTRACTNUMBER(W20),EXTRACTNUMBER(Y20),EXTRACTNUMBER(AA20),
EXTRACTNUMBER(AC20),EXTRACTNUMBER(AE20))))),SUM(EXTRACTNUMBER(C20),EXTRACTNUMBER(E20),
EXTRACTNUMBER(G20),EXTRACTNUMBER(I20),
EXTRACTNUMBER(K20),EXTRACTNUMBER(M20),
EXTRACTNUMBER(O20),EXTRACTNUMBER(Q20),
EXTRACTNUMBER(S20),EXTRACTNUMBER(U20),
EXTRACTNUMBER(W20),EXTRACTNUMBER(Y20),EXTRACTNUMBER(AA20),
EXTRACTNUMBER(AC20),EXTRACTNUMBER(AE20)))</f>
        <v>451</v>
      </c>
      <c r="AH20" s="38" t="str">
        <f t="shared" ca="1" si="15"/>
        <v>FAIL</v>
      </c>
      <c r="AI20" s="28" t="str">
        <f>spellnumber(EXTRACTnUMBER_TOT(AG20))</f>
        <v xml:space="preserve">Four Hundred Fifty One </v>
      </c>
    </row>
    <row r="21" spans="1:35" ht="15" customHeight="1">
      <c r="A21" s="58">
        <v>223221</v>
      </c>
      <c r="B21" s="32" t="s">
        <v>179</v>
      </c>
      <c r="C21" s="60">
        <v>45</v>
      </c>
      <c r="D21" s="61" t="str">
        <f t="shared" ca="1" si="1"/>
        <v/>
      </c>
      <c r="E21" s="62">
        <v>21</v>
      </c>
      <c r="F21" s="61" t="str">
        <f t="shared" ca="1" si="2"/>
        <v/>
      </c>
      <c r="G21" s="63">
        <v>60</v>
      </c>
      <c r="H21" s="61" t="str">
        <f t="shared" ca="1" si="3"/>
        <v/>
      </c>
      <c r="I21" s="62">
        <v>23</v>
      </c>
      <c r="J21" s="61" t="str">
        <f t="shared" ca="1" si="4"/>
        <v/>
      </c>
      <c r="K21" s="62">
        <v>20</v>
      </c>
      <c r="L21" s="61" t="str">
        <f t="shared" ca="1" si="5"/>
        <v/>
      </c>
      <c r="M21" s="63">
        <v>77</v>
      </c>
      <c r="N21" s="61" t="str">
        <f t="shared" ca="1" si="0"/>
        <v/>
      </c>
      <c r="O21" s="62">
        <v>20</v>
      </c>
      <c r="P21" s="64" t="str">
        <f t="shared" ca="1" si="6"/>
        <v/>
      </c>
      <c r="Q21" s="60">
        <v>66</v>
      </c>
      <c r="R21" s="61" t="str">
        <f t="shared" ca="1" si="7"/>
        <v/>
      </c>
      <c r="S21" s="62">
        <v>22</v>
      </c>
      <c r="T21" s="64" t="str">
        <f t="shared" ca="1" si="8"/>
        <v/>
      </c>
      <c r="U21" s="60">
        <v>64</v>
      </c>
      <c r="V21" s="61" t="str">
        <f t="shared" ca="1" si="9"/>
        <v/>
      </c>
      <c r="W21" s="62">
        <v>21</v>
      </c>
      <c r="X21" s="64" t="str">
        <f t="shared" ca="1" si="10"/>
        <v/>
      </c>
      <c r="Y21" s="62">
        <v>21</v>
      </c>
      <c r="Z21" s="64" t="str">
        <f t="shared" ca="1" si="11"/>
        <v/>
      </c>
      <c r="AA21" s="60">
        <v>42</v>
      </c>
      <c r="AB21" s="61" t="str">
        <f t="shared" ca="1" si="12"/>
        <v/>
      </c>
      <c r="AC21" s="62">
        <v>15</v>
      </c>
      <c r="AD21" s="61" t="str">
        <f t="shared" ca="1" si="13"/>
        <v/>
      </c>
      <c r="AE21" s="62">
        <v>41</v>
      </c>
      <c r="AF21" s="64" t="str">
        <f t="shared" ca="1" si="14"/>
        <v/>
      </c>
      <c r="AG21" s="66">
        <f>IF(OR(AND(C21&gt;=31,C21&lt;40),AND(G21&gt;=31,G21&lt;40),AND(M21&gt;=31,M21&lt;40),AND(Q21&gt;=31,Q21&lt;40),AND(U21&gt;=31,U21&lt;40),AND(AA21&gt;=11,AA21&lt;20)),IF(AND(OR(COUNTIF(C21:AF21,"=31")&gt;=1,COUNTIF(C21:AF21,"=32")&gt;=1,COUNTIF(C21:AF21,"=33")&gt;=1,COUNTIF(C21:AF21,"=34")&gt;=1,COUNTIF(C21:AF21,"=35")&gt;=1,COUNTIF(C21:AF21,"=36")&gt;=1 ),COUNTIF(C21:AF21,"")=0,COUNTIF(C21:AF21," ")=0,COUNTIF(C21:AF21,"F")=1),CONCATENATE(SUM(EXTRACTNUMBER(C21),EXTRACTNUMBER(E21),
EXTRACTNUMBER(G21),EXTRACTNUMBER(I21),
EXTRACTNUMBER(K21),EXTRACTNUMBER(M21),
EXTRACTNUMBER(O21),EXTRACTNUMBER(Q21),
EXTRACTNUMBER(S21),EXTRACTNUMBER(U21),
EXTRACTNUMBER(W21),EXTRACTNUMBER(Y21),EXTRACTNUMBER(AA21),
EXTRACTNUMBER(AC21),EXTRACTNUMBER(AE21)),"*"),IF(AND(COUNTIF(C21:AF21,"=34")&gt;=1,COUNTIF(C21:AF21,"=35")&gt;=1,COUNTIF(C21:AF21,"f")=2,COUNTIF(C21:AF21,"")=0,COUNTIF(C21:AF21," ")=0),CONCATENATE(SUM(EXTRACTNUMBER(C21),EXTRACTNUMBER(E21),
EXTRACTNUMBER(G21),EXTRACTNUMBER(I21),
EXTRACTNUMBER(K21),EXTRACTNUMBER(M21),
EXTRACTNUMBER(O21),EXTRACTNUMBER(Q21),
EXTRACTNUMBER(S21),EXTRACTNUMBER(U21),
EXTRACTNUMBER(W21),EXTRACTNUMBER(Y21),EXTRACTNUMBER(AA21),
EXTRACTNUMBER(AC21),EXTRACTNUMBER(AE21)),"*"),IF(AND(COUNTIF(C21:AF21,"=36")&gt;=2,COUNTIF(C21:AF21,"f")=2,COUNTIF(C21:AF21,"")=0,COUNTIF(C21:AF21," ")=0),CONCATENATE(SUM(EXTRACTNUMBER(C21),EXTRACTNUMBER(E21),
EXTRACTNUMBER(G21),EXTRACTNUMBER(I21),
EXTRACTNUMBER(K21),EXTRACTNUMBER(M21),
EXTRACTNUMBER(O21),EXTRACTNUMBER(Q21),
EXTRACTNUMBER(S21),EXTRACTNUMBER(U21),
EXTRACTNUMBER(W21),EXTRACTNUMBER(Y21),EXTRACTNUMBER(AA21),
EXTRACTNUMBER(AC21),EXTRACTNUMBER(AE21)),"*"),SUM(EXTRACTNUMBER(C21),EXTRACTNUMBER(E21),
EXTRACTNUMBER(G21),EXTRACTNUMBER(I21),
EXTRACTNUMBER(K21),EXTRACTNUMBER(M21),
EXTRACTNUMBER(O21),EXTRACTNUMBER(Q21),
EXTRACTNUMBER(S21),EXTRACTNUMBER(U21),
EXTRACTNUMBER(W21),EXTRACTNUMBER(Y21),EXTRACTNUMBER(AA21),
EXTRACTNUMBER(AC21),EXTRACTNUMBER(AE21))))),SUM(EXTRACTNUMBER(C21),EXTRACTNUMBER(E21),
EXTRACTNUMBER(G21),EXTRACTNUMBER(I21),
EXTRACTNUMBER(K21),EXTRACTNUMBER(M21),
EXTRACTNUMBER(O21),EXTRACTNUMBER(Q21),
EXTRACTNUMBER(S21),EXTRACTNUMBER(U21),
EXTRACTNUMBER(W21),EXTRACTNUMBER(Y21),EXTRACTNUMBER(AA21),
EXTRACTNUMBER(AC21),EXTRACTNUMBER(AE21)))</f>
        <v>558</v>
      </c>
      <c r="AH21" s="38" t="str">
        <f t="shared" ca="1" si="15"/>
        <v>PASS</v>
      </c>
      <c r="AI21" s="28" t="str">
        <f>spellnumber(EXTRACTnUMBER_TOT(AG21))</f>
        <v xml:space="preserve">Five Hundred Fifty Eight </v>
      </c>
    </row>
    <row r="22" spans="1:35" ht="15" customHeight="1">
      <c r="A22" s="58">
        <v>223222</v>
      </c>
      <c r="B22" s="39" t="s">
        <v>180</v>
      </c>
      <c r="C22" s="60">
        <v>17</v>
      </c>
      <c r="D22" s="61" t="str">
        <f t="shared" ca="1" si="1"/>
        <v>F</v>
      </c>
      <c r="E22" s="62">
        <v>10</v>
      </c>
      <c r="F22" s="61" t="str">
        <f t="shared" ca="1" si="2"/>
        <v>E</v>
      </c>
      <c r="G22" s="63">
        <v>26</v>
      </c>
      <c r="H22" s="61" t="str">
        <f t="shared" ca="1" si="3"/>
        <v>F</v>
      </c>
      <c r="I22" s="62">
        <v>17</v>
      </c>
      <c r="J22" s="61" t="str">
        <f t="shared" ca="1" si="4"/>
        <v>E</v>
      </c>
      <c r="K22" s="62">
        <v>18</v>
      </c>
      <c r="L22" s="61" t="str">
        <f t="shared" ca="1" si="5"/>
        <v>E</v>
      </c>
      <c r="M22" s="63">
        <v>46</v>
      </c>
      <c r="N22" s="61" t="str">
        <f t="shared" ca="1" si="0"/>
        <v>E</v>
      </c>
      <c r="O22" s="62">
        <v>17</v>
      </c>
      <c r="P22" s="64" t="str">
        <f t="shared" ca="1" si="6"/>
        <v>E</v>
      </c>
      <c r="Q22" s="60">
        <v>42</v>
      </c>
      <c r="R22" s="61" t="str">
        <f t="shared" ca="1" si="7"/>
        <v>E</v>
      </c>
      <c r="S22" s="62">
        <v>14</v>
      </c>
      <c r="T22" s="64" t="str">
        <f t="shared" ca="1" si="8"/>
        <v>E</v>
      </c>
      <c r="U22" s="60" t="s">
        <v>457</v>
      </c>
      <c r="V22" s="61" t="str">
        <f t="shared" ca="1" si="9"/>
        <v>F</v>
      </c>
      <c r="W22" s="62">
        <v>14</v>
      </c>
      <c r="X22" s="64" t="str">
        <f t="shared" ca="1" si="10"/>
        <v>E</v>
      </c>
      <c r="Y22" s="62">
        <v>16</v>
      </c>
      <c r="Z22" s="64" t="str">
        <f t="shared" ca="1" si="11"/>
        <v>E</v>
      </c>
      <c r="AA22" s="60">
        <v>22</v>
      </c>
      <c r="AB22" s="61" t="str">
        <f t="shared" ca="1" si="12"/>
        <v>F</v>
      </c>
      <c r="AC22" s="62">
        <v>12</v>
      </c>
      <c r="AD22" s="61" t="str">
        <f t="shared" ca="1" si="13"/>
        <v>E</v>
      </c>
      <c r="AE22" s="62">
        <v>38</v>
      </c>
      <c r="AF22" s="64" t="str">
        <f t="shared" ca="1" si="14"/>
        <v>E</v>
      </c>
      <c r="AG22" s="66">
        <f>IF(OR(AND(C22&gt;=31,C22&lt;40),AND(G22&gt;=31,G22&lt;40),AND(M22&gt;=31,M22&lt;40),AND(Q22&gt;=31,Q22&lt;40),AND(U22&gt;=31,U22&lt;40),AND(AA22&gt;=11,AA22&lt;20)),IF(AND(OR(COUNTIF(C22:AF22,"=31")&gt;=1,COUNTIF(C22:AF22,"=32")&gt;=1,COUNTIF(C22:AF22,"=33")&gt;=1,COUNTIF(C22:AF22,"=34")&gt;=1,COUNTIF(C22:AF22,"=35")&gt;=1,COUNTIF(C22:AF22,"=36")&gt;=1 ),COUNTIF(C22:AF22,"")=0,COUNTIF(C22:AF22," ")=0,COUNTIF(C22:AF22,"F")=1),CONCATENATE(SUM(EXTRACTNUMBER(C22),EXTRACTNUMBER(E22),
EXTRACTNUMBER(G22),EXTRACTNUMBER(I22),
EXTRACTNUMBER(K22),EXTRACTNUMBER(M22),
EXTRACTNUMBER(O22),EXTRACTNUMBER(Q22),
EXTRACTNUMBER(S22),EXTRACTNUMBER(U22),
EXTRACTNUMBER(W22),EXTRACTNUMBER(Y22),EXTRACTNUMBER(AA22),
EXTRACTNUMBER(AC22),EXTRACTNUMBER(AE22)),"*"),IF(AND(COUNTIF(C22:AF22,"=34")&gt;=1,COUNTIF(C22:AF22,"=35")&gt;=1,COUNTIF(C22:AF22,"f")=2,COUNTIF(C22:AF22,"")=0,COUNTIF(C22:AF22," ")=0),CONCATENATE(SUM(EXTRACTNUMBER(C22),EXTRACTNUMBER(E22),
EXTRACTNUMBER(G22),EXTRACTNUMBER(I22),
EXTRACTNUMBER(K22),EXTRACTNUMBER(M22),
EXTRACTNUMBER(O22),EXTRACTNUMBER(Q22),
EXTRACTNUMBER(S22),EXTRACTNUMBER(U22),
EXTRACTNUMBER(W22),EXTRACTNUMBER(Y22),EXTRACTNUMBER(AA22),
EXTRACTNUMBER(AC22),EXTRACTNUMBER(AE22)),"*"),IF(AND(COUNTIF(C22:AF22,"=36")&gt;=2,COUNTIF(C22:AF22,"f")=2,COUNTIF(C22:AF22,"")=0,COUNTIF(C22:AF22," ")=0),CONCATENATE(SUM(EXTRACTNUMBER(C22),EXTRACTNUMBER(E22),
EXTRACTNUMBER(G22),EXTRACTNUMBER(I22),
EXTRACTNUMBER(K22),EXTRACTNUMBER(M22),
EXTRACTNUMBER(O22),EXTRACTNUMBER(Q22),
EXTRACTNUMBER(S22),EXTRACTNUMBER(U22),
EXTRACTNUMBER(W22),EXTRACTNUMBER(Y22),EXTRACTNUMBER(AA22),
EXTRACTNUMBER(AC22),EXTRACTNUMBER(AE22)),"*"),SUM(EXTRACTNUMBER(C22),EXTRACTNUMBER(E22),
EXTRACTNUMBER(G22),EXTRACTNUMBER(I22),
EXTRACTNUMBER(K22),EXTRACTNUMBER(M22),
EXTRACTNUMBER(O22),EXTRACTNUMBER(Q22),
EXTRACTNUMBER(S22),EXTRACTNUMBER(U22),
EXTRACTNUMBER(W22),EXTRACTNUMBER(Y22),EXTRACTNUMBER(AA22),
EXTRACTNUMBER(AC22),EXTRACTNUMBER(AE22))))),SUM(EXTRACTNUMBER(C22),EXTRACTNUMBER(E22),
EXTRACTNUMBER(G22),EXTRACTNUMBER(I22),
EXTRACTNUMBER(K22),EXTRACTNUMBER(M22),
EXTRACTNUMBER(O22),EXTRACTNUMBER(Q22),
EXTRACTNUMBER(S22),EXTRACTNUMBER(U22),
EXTRACTNUMBER(W22),EXTRACTNUMBER(Y22),EXTRACTNUMBER(AA22),
EXTRACTNUMBER(AC22),EXTRACTNUMBER(AE22)))</f>
        <v>311</v>
      </c>
      <c r="AH22" s="38" t="str">
        <f t="shared" ca="1" si="15"/>
        <v>FAIL</v>
      </c>
      <c r="AI22" s="28" t="str">
        <f>spellnumber(EXTRACTnUMBER_TOT(AG22))</f>
        <v xml:space="preserve">Three Hundred Eleven </v>
      </c>
    </row>
    <row r="23" spans="1:35" ht="15" customHeight="1">
      <c r="A23" s="58">
        <v>223223</v>
      </c>
      <c r="B23" s="32" t="s">
        <v>181</v>
      </c>
      <c r="C23" s="60">
        <v>24</v>
      </c>
      <c r="D23" s="61" t="str">
        <f t="shared" ca="1" si="1"/>
        <v>F</v>
      </c>
      <c r="E23" s="62">
        <v>16</v>
      </c>
      <c r="F23" s="61" t="str">
        <f t="shared" ca="1" si="2"/>
        <v>E</v>
      </c>
      <c r="G23" s="63">
        <v>40</v>
      </c>
      <c r="H23" s="61" t="str">
        <f t="shared" ca="1" si="3"/>
        <v>E</v>
      </c>
      <c r="I23" s="62">
        <v>20</v>
      </c>
      <c r="J23" s="61" t="str">
        <f t="shared" ca="1" si="4"/>
        <v>E</v>
      </c>
      <c r="K23" s="62">
        <v>18</v>
      </c>
      <c r="L23" s="61" t="str">
        <f t="shared" ca="1" si="5"/>
        <v>E</v>
      </c>
      <c r="M23" s="63">
        <v>40</v>
      </c>
      <c r="N23" s="61" t="str">
        <f t="shared" ca="1" si="0"/>
        <v>E</v>
      </c>
      <c r="O23" s="62">
        <v>20</v>
      </c>
      <c r="P23" s="64" t="str">
        <f t="shared" ca="1" si="6"/>
        <v>E</v>
      </c>
      <c r="Q23" s="60">
        <v>46</v>
      </c>
      <c r="R23" s="61" t="str">
        <f t="shared" ca="1" si="7"/>
        <v>E</v>
      </c>
      <c r="S23" s="62">
        <v>21</v>
      </c>
      <c r="T23" s="64" t="str">
        <f t="shared" ca="1" si="8"/>
        <v>E</v>
      </c>
      <c r="U23" s="60">
        <v>41</v>
      </c>
      <c r="V23" s="61" t="str">
        <f t="shared" ca="1" si="9"/>
        <v>E</v>
      </c>
      <c r="W23" s="62">
        <v>15</v>
      </c>
      <c r="X23" s="64" t="str">
        <f t="shared" ca="1" si="10"/>
        <v>E</v>
      </c>
      <c r="Y23" s="62">
        <v>17</v>
      </c>
      <c r="Z23" s="64" t="str">
        <f t="shared" ca="1" si="11"/>
        <v>E</v>
      </c>
      <c r="AA23" s="60">
        <v>43</v>
      </c>
      <c r="AB23" s="61" t="str">
        <f t="shared" ca="1" si="12"/>
        <v>E</v>
      </c>
      <c r="AC23" s="62">
        <v>20</v>
      </c>
      <c r="AD23" s="61" t="str">
        <f t="shared" ca="1" si="13"/>
        <v>E</v>
      </c>
      <c r="AE23" s="62">
        <v>41</v>
      </c>
      <c r="AF23" s="64" t="str">
        <f t="shared" ca="1" si="14"/>
        <v>E</v>
      </c>
      <c r="AG23" s="66">
        <f>IF(OR(AND(C23&gt;=31,C23&lt;40),AND(G23&gt;=31,G23&lt;40),AND(M23&gt;=31,M23&lt;40),AND(Q23&gt;=31,Q23&lt;40),AND(U23&gt;=31,U23&lt;40),AND(AA23&gt;=11,AA23&lt;20)),IF(AND(OR(COUNTIF(C23:AF23,"=31")&gt;=1,COUNTIF(C23:AF23,"=32")&gt;=1,COUNTIF(C23:AF23,"=33")&gt;=1,COUNTIF(C23:AF23,"=34")&gt;=1,COUNTIF(C23:AF23,"=35")&gt;=1,COUNTIF(C23:AF23,"=36")&gt;=1 ),COUNTIF(C23:AF23,"")=0,COUNTIF(C23:AF23," ")=0,COUNTIF(C23:AF23,"F")=1),CONCATENATE(SUM(EXTRACTNUMBER(C23),EXTRACTNUMBER(E23),
EXTRACTNUMBER(G23),EXTRACTNUMBER(I23),
EXTRACTNUMBER(K23),EXTRACTNUMBER(M23),
EXTRACTNUMBER(O23),EXTRACTNUMBER(Q23),
EXTRACTNUMBER(S23),EXTRACTNUMBER(U23),
EXTRACTNUMBER(W23),EXTRACTNUMBER(Y23),EXTRACTNUMBER(AA23),
EXTRACTNUMBER(AC23),EXTRACTNUMBER(AE23)),"*"),IF(AND(COUNTIF(C23:AF23,"=34")&gt;=1,COUNTIF(C23:AF23,"=35")&gt;=1,COUNTIF(C23:AF23,"f")=2,COUNTIF(C23:AF23,"")=0,COUNTIF(C23:AF23," ")=0),CONCATENATE(SUM(EXTRACTNUMBER(C23),EXTRACTNUMBER(E23),
EXTRACTNUMBER(G23),EXTRACTNUMBER(I23),
EXTRACTNUMBER(K23),EXTRACTNUMBER(M23),
EXTRACTNUMBER(O23),EXTRACTNUMBER(Q23),
EXTRACTNUMBER(S23),EXTRACTNUMBER(U23),
EXTRACTNUMBER(W23),EXTRACTNUMBER(Y23),EXTRACTNUMBER(AA23),
EXTRACTNUMBER(AC23),EXTRACTNUMBER(AE23)),"*"),IF(AND(COUNTIF(C23:AF23,"=36")&gt;=2,COUNTIF(C23:AF23,"f")=2,COUNTIF(C23:AF23,"")=0,COUNTIF(C23:AF23," ")=0),CONCATENATE(SUM(EXTRACTNUMBER(C23),EXTRACTNUMBER(E23),
EXTRACTNUMBER(G23),EXTRACTNUMBER(I23),
EXTRACTNUMBER(K23),EXTRACTNUMBER(M23),
EXTRACTNUMBER(O23),EXTRACTNUMBER(Q23),
EXTRACTNUMBER(S23),EXTRACTNUMBER(U23),
EXTRACTNUMBER(W23),EXTRACTNUMBER(Y23),EXTRACTNUMBER(AA23),
EXTRACTNUMBER(AC23),EXTRACTNUMBER(AE23)),"*"),SUM(EXTRACTNUMBER(C23),EXTRACTNUMBER(E23),
EXTRACTNUMBER(G23),EXTRACTNUMBER(I23),
EXTRACTNUMBER(K23),EXTRACTNUMBER(M23),
EXTRACTNUMBER(O23),EXTRACTNUMBER(Q23),
EXTRACTNUMBER(S23),EXTRACTNUMBER(U23),
EXTRACTNUMBER(W23),EXTRACTNUMBER(Y23),EXTRACTNUMBER(AA23),
EXTRACTNUMBER(AC23),EXTRACTNUMBER(AE23))))),SUM(EXTRACTNUMBER(C23),EXTRACTNUMBER(E23),
EXTRACTNUMBER(G23),EXTRACTNUMBER(I23),
EXTRACTNUMBER(K23),EXTRACTNUMBER(M23),
EXTRACTNUMBER(O23),EXTRACTNUMBER(Q23),
EXTRACTNUMBER(S23),EXTRACTNUMBER(U23),
EXTRACTNUMBER(W23),EXTRACTNUMBER(Y23),EXTRACTNUMBER(AA23),
EXTRACTNUMBER(AC23),EXTRACTNUMBER(AE23)))</f>
        <v>422</v>
      </c>
      <c r="AH23" s="38" t="str">
        <f t="shared" ca="1" si="15"/>
        <v>FAIL</v>
      </c>
      <c r="AI23" s="28" t="str">
        <f>spellnumber(EXTRACTnUMBER_TOT(AG23))</f>
        <v xml:space="preserve">Four Hundred Twenty Two </v>
      </c>
    </row>
    <row r="24" spans="1:35" ht="15" customHeight="1">
      <c r="A24" s="58">
        <v>223224</v>
      </c>
      <c r="B24" s="32" t="s">
        <v>182</v>
      </c>
      <c r="C24" s="60" t="s">
        <v>455</v>
      </c>
      <c r="D24" s="61" t="str">
        <f t="shared" ca="1" si="1"/>
        <v>F</v>
      </c>
      <c r="E24" s="62">
        <v>10</v>
      </c>
      <c r="F24" s="61" t="str">
        <f t="shared" ca="1" si="2"/>
        <v>E</v>
      </c>
      <c r="G24" s="63">
        <v>24</v>
      </c>
      <c r="H24" s="61" t="str">
        <f t="shared" ca="1" si="3"/>
        <v>F</v>
      </c>
      <c r="I24" s="62">
        <v>23</v>
      </c>
      <c r="J24" s="61" t="str">
        <f t="shared" ca="1" si="4"/>
        <v>E</v>
      </c>
      <c r="K24" s="62">
        <v>19</v>
      </c>
      <c r="L24" s="61" t="str">
        <f t="shared" ca="1" si="5"/>
        <v>E</v>
      </c>
      <c r="M24" s="63">
        <v>42</v>
      </c>
      <c r="N24" s="61" t="str">
        <f t="shared" ca="1" si="0"/>
        <v>E</v>
      </c>
      <c r="O24" s="62">
        <v>12</v>
      </c>
      <c r="P24" s="64" t="str">
        <f t="shared" ca="1" si="6"/>
        <v>E</v>
      </c>
      <c r="Q24" s="60">
        <v>45</v>
      </c>
      <c r="R24" s="61" t="str">
        <f t="shared" ca="1" si="7"/>
        <v>E</v>
      </c>
      <c r="S24" s="62">
        <v>15</v>
      </c>
      <c r="T24" s="64" t="str">
        <f t="shared" ca="1" si="8"/>
        <v>E</v>
      </c>
      <c r="U24" s="60" t="s">
        <v>453</v>
      </c>
      <c r="V24" s="61" t="str">
        <f t="shared" ca="1" si="9"/>
        <v>F</v>
      </c>
      <c r="W24" s="62">
        <v>18</v>
      </c>
      <c r="X24" s="64" t="str">
        <f t="shared" ca="1" si="10"/>
        <v>E</v>
      </c>
      <c r="Y24" s="62">
        <v>18</v>
      </c>
      <c r="Z24" s="64" t="str">
        <f t="shared" ca="1" si="11"/>
        <v>E</v>
      </c>
      <c r="AA24" s="60">
        <v>10</v>
      </c>
      <c r="AB24" s="61" t="str">
        <f t="shared" ca="1" si="12"/>
        <v>F</v>
      </c>
      <c r="AC24" s="62">
        <v>12</v>
      </c>
      <c r="AD24" s="61" t="str">
        <f t="shared" ca="1" si="13"/>
        <v>E</v>
      </c>
      <c r="AE24" s="62">
        <v>39</v>
      </c>
      <c r="AF24" s="64" t="str">
        <f t="shared" ca="1" si="14"/>
        <v>E</v>
      </c>
      <c r="AG24" s="66">
        <f>IF(OR(AND(C24&gt;=31,C24&lt;40),AND(G24&gt;=31,G24&lt;40),AND(M24&gt;=31,M24&lt;40),AND(Q24&gt;=31,Q24&lt;40),AND(U24&gt;=31,U24&lt;40),AND(AA24&gt;=11,AA24&lt;20)),IF(AND(OR(COUNTIF(C24:AF24,"=31")&gt;=1,COUNTIF(C24:AF24,"=32")&gt;=1,COUNTIF(C24:AF24,"=33")&gt;=1,COUNTIF(C24:AF24,"=34")&gt;=1,COUNTIF(C24:AF24,"=35")&gt;=1,COUNTIF(C24:AF24,"=36")&gt;=1 ),COUNTIF(C24:AF24,"")=0,COUNTIF(C24:AF24," ")=0,COUNTIF(C24:AF24,"F")=1),CONCATENATE(SUM(EXTRACTNUMBER(C24),EXTRACTNUMBER(E24),
EXTRACTNUMBER(G24),EXTRACTNUMBER(I24),
EXTRACTNUMBER(K24),EXTRACTNUMBER(M24),
EXTRACTNUMBER(O24),EXTRACTNUMBER(Q24),
EXTRACTNUMBER(S24),EXTRACTNUMBER(U24),
EXTRACTNUMBER(W24),EXTRACTNUMBER(Y24),EXTRACTNUMBER(AA24),
EXTRACTNUMBER(AC24),EXTRACTNUMBER(AE24)),"*"),IF(AND(COUNTIF(C24:AF24,"=34")&gt;=1,COUNTIF(C24:AF24,"=35")&gt;=1,COUNTIF(C24:AF24,"f")=2,COUNTIF(C24:AF24,"")=0,COUNTIF(C24:AF24," ")=0),CONCATENATE(SUM(EXTRACTNUMBER(C24),EXTRACTNUMBER(E24),
EXTRACTNUMBER(G24),EXTRACTNUMBER(I24),
EXTRACTNUMBER(K24),EXTRACTNUMBER(M24),
EXTRACTNUMBER(O24),EXTRACTNUMBER(Q24),
EXTRACTNUMBER(S24),EXTRACTNUMBER(U24),
EXTRACTNUMBER(W24),EXTRACTNUMBER(Y24),EXTRACTNUMBER(AA24),
EXTRACTNUMBER(AC24),EXTRACTNUMBER(AE24)),"*"),IF(AND(COUNTIF(C24:AF24,"=36")&gt;=2,COUNTIF(C24:AF24,"f")=2,COUNTIF(C24:AF24,"")=0,COUNTIF(C24:AF24," ")=0),CONCATENATE(SUM(EXTRACTNUMBER(C24),EXTRACTNUMBER(E24),
EXTRACTNUMBER(G24),EXTRACTNUMBER(I24),
EXTRACTNUMBER(K24),EXTRACTNUMBER(M24),
EXTRACTNUMBER(O24),EXTRACTNUMBER(Q24),
EXTRACTNUMBER(S24),EXTRACTNUMBER(U24),
EXTRACTNUMBER(W24),EXTRACTNUMBER(Y24),EXTRACTNUMBER(AA24),
EXTRACTNUMBER(AC24),EXTRACTNUMBER(AE24)),"*"),SUM(EXTRACTNUMBER(C24),EXTRACTNUMBER(E24),
EXTRACTNUMBER(G24),EXTRACTNUMBER(I24),
EXTRACTNUMBER(K24),EXTRACTNUMBER(M24),
EXTRACTNUMBER(O24),EXTRACTNUMBER(Q24),
EXTRACTNUMBER(S24),EXTRACTNUMBER(U24),
EXTRACTNUMBER(W24),EXTRACTNUMBER(Y24),EXTRACTNUMBER(AA24),
EXTRACTNUMBER(AC24),EXTRACTNUMBER(AE24))))),SUM(EXTRACTNUMBER(C24),EXTRACTNUMBER(E24),
EXTRACTNUMBER(G24),EXTRACTNUMBER(I24),
EXTRACTNUMBER(K24),EXTRACTNUMBER(M24),
EXTRACTNUMBER(O24),EXTRACTNUMBER(Q24),
EXTRACTNUMBER(S24),EXTRACTNUMBER(U24),
EXTRACTNUMBER(W24),EXTRACTNUMBER(Y24),EXTRACTNUMBER(AA24),
EXTRACTNUMBER(AC24),EXTRACTNUMBER(AE24)))</f>
        <v>296</v>
      </c>
      <c r="AH24" s="38" t="str">
        <f t="shared" ca="1" si="15"/>
        <v>FAIL</v>
      </c>
      <c r="AI24" s="28" t="str">
        <f>spellnumber(EXTRACTnUMBER_TOT(AG24))</f>
        <v xml:space="preserve">Two Hundred NinetySix </v>
      </c>
    </row>
    <row r="25" spans="1:35" ht="15" customHeight="1">
      <c r="A25" s="58">
        <v>223225</v>
      </c>
      <c r="B25" s="32" t="s">
        <v>183</v>
      </c>
      <c r="C25" s="60">
        <v>51</v>
      </c>
      <c r="D25" s="61" t="str">
        <f t="shared" ca="1" si="1"/>
        <v/>
      </c>
      <c r="E25" s="62">
        <v>15</v>
      </c>
      <c r="F25" s="61" t="str">
        <f t="shared" ca="1" si="2"/>
        <v/>
      </c>
      <c r="G25" s="63">
        <v>43</v>
      </c>
      <c r="H25" s="61" t="str">
        <f t="shared" ca="1" si="3"/>
        <v/>
      </c>
      <c r="I25" s="62">
        <v>23</v>
      </c>
      <c r="J25" s="61" t="str">
        <f t="shared" ca="1" si="4"/>
        <v/>
      </c>
      <c r="K25" s="62">
        <v>17</v>
      </c>
      <c r="L25" s="61" t="str">
        <f t="shared" ca="1" si="5"/>
        <v/>
      </c>
      <c r="M25" s="63">
        <v>66</v>
      </c>
      <c r="N25" s="61" t="str">
        <f t="shared" ca="1" si="0"/>
        <v/>
      </c>
      <c r="O25" s="62">
        <v>23</v>
      </c>
      <c r="P25" s="64" t="str">
        <f t="shared" ca="1" si="6"/>
        <v/>
      </c>
      <c r="Q25" s="60">
        <v>57</v>
      </c>
      <c r="R25" s="61" t="str">
        <f t="shared" ca="1" si="7"/>
        <v/>
      </c>
      <c r="S25" s="62">
        <v>23</v>
      </c>
      <c r="T25" s="64" t="str">
        <f t="shared" ca="1" si="8"/>
        <v/>
      </c>
      <c r="U25" s="60">
        <v>43</v>
      </c>
      <c r="V25" s="61" t="str">
        <f t="shared" ca="1" si="9"/>
        <v/>
      </c>
      <c r="W25" s="62">
        <v>21</v>
      </c>
      <c r="X25" s="64" t="str">
        <f t="shared" ca="1" si="10"/>
        <v/>
      </c>
      <c r="Y25" s="62">
        <v>22</v>
      </c>
      <c r="Z25" s="64" t="str">
        <f t="shared" ca="1" si="11"/>
        <v/>
      </c>
      <c r="AA25" s="60" t="s">
        <v>426</v>
      </c>
      <c r="AB25" s="61" t="str">
        <f t="shared" ca="1" si="12"/>
        <v/>
      </c>
      <c r="AC25" s="62">
        <v>18</v>
      </c>
      <c r="AD25" s="61" t="str">
        <f t="shared" ca="1" si="13"/>
        <v/>
      </c>
      <c r="AE25" s="62">
        <v>39</v>
      </c>
      <c r="AF25" s="64" t="str">
        <f t="shared" ca="1" si="14"/>
        <v/>
      </c>
      <c r="AG25" s="66" t="s">
        <v>427</v>
      </c>
      <c r="AH25" s="38" t="str">
        <f t="shared" ca="1" si="15"/>
        <v>PASS</v>
      </c>
      <c r="AI25" s="28" t="str">
        <f>spellnumber(EXTRACTnUMBER_TOT(AG25))</f>
        <v xml:space="preserve">Four Hundred NinetyTwo </v>
      </c>
    </row>
    <row r="26" spans="1:35" ht="15" customHeight="1">
      <c r="A26" s="58">
        <v>223226</v>
      </c>
      <c r="B26" s="32" t="s">
        <v>184</v>
      </c>
      <c r="C26" s="60">
        <v>53</v>
      </c>
      <c r="D26" s="61" t="str">
        <f t="shared" ca="1" si="1"/>
        <v/>
      </c>
      <c r="E26" s="62">
        <v>17</v>
      </c>
      <c r="F26" s="61" t="str">
        <f t="shared" ca="1" si="2"/>
        <v/>
      </c>
      <c r="G26" s="63">
        <v>63</v>
      </c>
      <c r="H26" s="61" t="str">
        <f t="shared" ca="1" si="3"/>
        <v/>
      </c>
      <c r="I26" s="62">
        <v>23</v>
      </c>
      <c r="J26" s="61" t="str">
        <f t="shared" ca="1" si="4"/>
        <v/>
      </c>
      <c r="K26" s="62">
        <v>17</v>
      </c>
      <c r="L26" s="61" t="str">
        <f t="shared" ca="1" si="5"/>
        <v/>
      </c>
      <c r="M26" s="63">
        <v>67</v>
      </c>
      <c r="N26" s="61" t="str">
        <f t="shared" ca="1" si="0"/>
        <v/>
      </c>
      <c r="O26" s="62">
        <v>23</v>
      </c>
      <c r="P26" s="64" t="str">
        <f t="shared" ca="1" si="6"/>
        <v/>
      </c>
      <c r="Q26" s="60">
        <v>77</v>
      </c>
      <c r="R26" s="61" t="str">
        <f t="shared" ca="1" si="7"/>
        <v/>
      </c>
      <c r="S26" s="62">
        <v>23</v>
      </c>
      <c r="T26" s="64" t="str">
        <f t="shared" ca="1" si="8"/>
        <v/>
      </c>
      <c r="U26" s="60">
        <v>47</v>
      </c>
      <c r="V26" s="61" t="str">
        <f t="shared" ca="1" si="9"/>
        <v/>
      </c>
      <c r="W26" s="62">
        <v>21</v>
      </c>
      <c r="X26" s="64" t="str">
        <f t="shared" ca="1" si="10"/>
        <v/>
      </c>
      <c r="Y26" s="62">
        <v>20</v>
      </c>
      <c r="Z26" s="64" t="str">
        <f t="shared" ca="1" si="11"/>
        <v/>
      </c>
      <c r="AA26" s="60">
        <v>50</v>
      </c>
      <c r="AB26" s="61" t="str">
        <f t="shared" ca="1" si="12"/>
        <v/>
      </c>
      <c r="AC26" s="62">
        <v>13</v>
      </c>
      <c r="AD26" s="61" t="str">
        <f t="shared" ca="1" si="13"/>
        <v/>
      </c>
      <c r="AE26" s="62">
        <v>39</v>
      </c>
      <c r="AF26" s="64" t="str">
        <f t="shared" ca="1" si="14"/>
        <v/>
      </c>
      <c r="AG26" s="66">
        <f>IF(OR(AND(C26&gt;=31,C26&lt;40),AND(G26&gt;=31,G26&lt;40),AND(M26&gt;=31,M26&lt;40),AND(Q26&gt;=31,Q26&lt;40),AND(U26&gt;=31,U26&lt;40),AND(AA26&gt;=11,AA26&lt;20)),IF(AND(OR(COUNTIF(C26:AF26,"=31")&gt;=1,COUNTIF(C26:AF26,"=32")&gt;=1,COUNTIF(C26:AF26,"=33")&gt;=1,COUNTIF(C26:AF26,"=34")&gt;=1,COUNTIF(C26:AF26,"=35")&gt;=1,COUNTIF(C26:AF26,"=36")&gt;=1 ),COUNTIF(C26:AF26,"")=0,COUNTIF(C26:AF26," ")=0,COUNTIF(C26:AF26,"F")=1),CONCATENATE(SUM(EXTRACTNUMBER(C26),EXTRACTNUMBER(E26),
EXTRACTNUMBER(G26),EXTRACTNUMBER(I26),
EXTRACTNUMBER(K26),EXTRACTNUMBER(M26),
EXTRACTNUMBER(O26),EXTRACTNUMBER(Q26),
EXTRACTNUMBER(S26),EXTRACTNUMBER(U26),
EXTRACTNUMBER(W26),EXTRACTNUMBER(Y26),EXTRACTNUMBER(AA26),
EXTRACTNUMBER(AC26),EXTRACTNUMBER(AE26)),"*"),IF(AND(COUNTIF(C26:AF26,"=34")&gt;=1,COUNTIF(C26:AF26,"=35")&gt;=1,COUNTIF(C26:AF26,"f")=2,COUNTIF(C26:AF26,"")=0,COUNTIF(C26:AF26," ")=0),CONCATENATE(SUM(EXTRACTNUMBER(C26),EXTRACTNUMBER(E26),
EXTRACTNUMBER(G26),EXTRACTNUMBER(I26),
EXTRACTNUMBER(K26),EXTRACTNUMBER(M26),
EXTRACTNUMBER(O26),EXTRACTNUMBER(Q26),
EXTRACTNUMBER(S26),EXTRACTNUMBER(U26),
EXTRACTNUMBER(W26),EXTRACTNUMBER(Y26),EXTRACTNUMBER(AA26),
EXTRACTNUMBER(AC26),EXTRACTNUMBER(AE26)),"*"),IF(AND(COUNTIF(C26:AF26,"=36")&gt;=2,COUNTIF(C26:AF26,"f")=2,COUNTIF(C26:AF26,"")=0,COUNTIF(C26:AF26," ")=0),CONCATENATE(SUM(EXTRACTNUMBER(C26),EXTRACTNUMBER(E26),
EXTRACTNUMBER(G26),EXTRACTNUMBER(I26),
EXTRACTNUMBER(K26),EXTRACTNUMBER(M26),
EXTRACTNUMBER(O26),EXTRACTNUMBER(Q26),
EXTRACTNUMBER(S26),EXTRACTNUMBER(U26),
EXTRACTNUMBER(W26),EXTRACTNUMBER(Y26),EXTRACTNUMBER(AA26),
EXTRACTNUMBER(AC26),EXTRACTNUMBER(AE26)),"*"),SUM(EXTRACTNUMBER(C26),EXTRACTNUMBER(E26),
EXTRACTNUMBER(G26),EXTRACTNUMBER(I26),
EXTRACTNUMBER(K26),EXTRACTNUMBER(M26),
EXTRACTNUMBER(O26),EXTRACTNUMBER(Q26),
EXTRACTNUMBER(S26),EXTRACTNUMBER(U26),
EXTRACTNUMBER(W26),EXTRACTNUMBER(Y26),EXTRACTNUMBER(AA26),
EXTRACTNUMBER(AC26),EXTRACTNUMBER(AE26))))),SUM(EXTRACTNUMBER(C26),EXTRACTNUMBER(E26),
EXTRACTNUMBER(G26),EXTRACTNUMBER(I26),
EXTRACTNUMBER(K26),EXTRACTNUMBER(M26),
EXTRACTNUMBER(O26),EXTRACTNUMBER(Q26),
EXTRACTNUMBER(S26),EXTRACTNUMBER(U26),
EXTRACTNUMBER(W26),EXTRACTNUMBER(Y26),EXTRACTNUMBER(AA26),
EXTRACTNUMBER(AC26),EXTRACTNUMBER(AE26)))</f>
        <v>553</v>
      </c>
      <c r="AH26" s="38" t="str">
        <f t="shared" ca="1" si="15"/>
        <v>PASS</v>
      </c>
      <c r="AI26" s="28" t="str">
        <f>spellnumber(EXTRACTnUMBER_TOT(AG26))</f>
        <v xml:space="preserve">Five Hundred Fifty Three </v>
      </c>
    </row>
    <row r="27" spans="1:35" ht="15" customHeight="1">
      <c r="A27" s="58">
        <v>223227</v>
      </c>
      <c r="B27" s="32" t="s">
        <v>185</v>
      </c>
      <c r="C27" s="60">
        <v>15</v>
      </c>
      <c r="D27" s="61" t="str">
        <f t="shared" ca="1" si="1"/>
        <v>F</v>
      </c>
      <c r="E27" s="62">
        <v>18</v>
      </c>
      <c r="F27" s="61" t="str">
        <f t="shared" ca="1" si="2"/>
        <v>E</v>
      </c>
      <c r="G27" s="63">
        <v>65</v>
      </c>
      <c r="H27" s="61" t="str">
        <f t="shared" ca="1" si="3"/>
        <v>E</v>
      </c>
      <c r="I27" s="62">
        <v>21</v>
      </c>
      <c r="J27" s="61" t="str">
        <f t="shared" ca="1" si="4"/>
        <v>E</v>
      </c>
      <c r="K27" s="62">
        <v>18</v>
      </c>
      <c r="L27" s="61" t="str">
        <f t="shared" ca="1" si="5"/>
        <v>E</v>
      </c>
      <c r="M27" s="63">
        <v>53</v>
      </c>
      <c r="N27" s="61" t="str">
        <f t="shared" ca="1" si="0"/>
        <v>E</v>
      </c>
      <c r="O27" s="62">
        <v>16</v>
      </c>
      <c r="P27" s="64" t="str">
        <f t="shared" ca="1" si="6"/>
        <v>E</v>
      </c>
      <c r="Q27" s="60">
        <v>57</v>
      </c>
      <c r="R27" s="61" t="str">
        <f t="shared" ca="1" si="7"/>
        <v>E</v>
      </c>
      <c r="S27" s="62">
        <v>22</v>
      </c>
      <c r="T27" s="64" t="str">
        <f t="shared" ca="1" si="8"/>
        <v>E</v>
      </c>
      <c r="U27" s="60">
        <v>43</v>
      </c>
      <c r="V27" s="61" t="str">
        <f t="shared" ca="1" si="9"/>
        <v>E</v>
      </c>
      <c r="W27" s="62">
        <v>19</v>
      </c>
      <c r="X27" s="64" t="str">
        <f t="shared" ca="1" si="10"/>
        <v>E</v>
      </c>
      <c r="Y27" s="62">
        <v>18</v>
      </c>
      <c r="Z27" s="64" t="str">
        <f t="shared" ca="1" si="11"/>
        <v>E</v>
      </c>
      <c r="AA27" s="60">
        <v>34</v>
      </c>
      <c r="AB27" s="61" t="str">
        <f t="shared" ca="1" si="12"/>
        <v>F</v>
      </c>
      <c r="AC27" s="62">
        <v>18</v>
      </c>
      <c r="AD27" s="61" t="str">
        <f t="shared" ca="1" si="13"/>
        <v>E</v>
      </c>
      <c r="AE27" s="62">
        <v>40</v>
      </c>
      <c r="AF27" s="64" t="str">
        <f t="shared" ca="1" si="14"/>
        <v>E</v>
      </c>
      <c r="AG27" s="66">
        <f>IF(OR(AND(C27&gt;=31,C27&lt;40),AND(G27&gt;=31,G27&lt;40),AND(M27&gt;=31,M27&lt;40),AND(Q27&gt;=31,Q27&lt;40),AND(U27&gt;=31,U27&lt;40),AND(AA27&gt;=11,AA27&lt;20)),IF(AND(OR(COUNTIF(C27:AF27,"=31")&gt;=1,COUNTIF(C27:AF27,"=32")&gt;=1,COUNTIF(C27:AF27,"=33")&gt;=1,COUNTIF(C27:AF27,"=34")&gt;=1,COUNTIF(C27:AF27,"=35")&gt;=1,COUNTIF(C27:AF27,"=36")&gt;=1 ),COUNTIF(C27:AF27,"")=0,COUNTIF(C27:AF27," ")=0,COUNTIF(C27:AF27,"F")=1),CONCATENATE(SUM(EXTRACTNUMBER(C27),EXTRACTNUMBER(E27),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EXTRACTNUMBER(AC27),EXTRACTNUMBER(AE27)),"*"),IF(AND(COUNTIF(C27:AF27,"=34")&gt;=1,COUNTIF(C27:AF27,"=35")&gt;=1,COUNTIF(C27:AF27,"f")=2,COUNTIF(C27:AF27,"")=0,COUNTIF(C27:AF27," ")=0),CONCATENATE(SUM(EXTRACTNUMBER(C27),EXTRACTNUMBER(E27),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EXTRACTNUMBER(AC27),EXTRACTNUMBER(AE27)),"*"),IF(AND(COUNTIF(C27:AF27,"=36")&gt;=2,COUNTIF(C27:AF27,"f")=2,COUNTIF(C27:AF27,"")=0,COUNTIF(C27:AF27," ")=0),CONCATENATE(SUM(EXTRACTNUMBER(C27),EXTRACTNUMBER(E27),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EXTRACTNUMBER(AC27),EXTRACTNUMBER(AE27)),"*"),SUM(EXTRACTNUMBER(C27),EXTRACTNUMBER(E27),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EXTRACTNUMBER(AC27),EXTRACTNUMBER(AE27))))),SUM(EXTRACTNUMBER(C27),EXTRACTNUMBER(E27),
EXTRACTNUMBER(G27),EXTRACTNUMBER(I27),
EXTRACTNUMBER(K27),EXTRACTNUMBER(M27),
EXTRACTNUMBER(O27),EXTRACTNUMBER(Q27),
EXTRACTNUMBER(S27),EXTRACTNUMBER(U27),
EXTRACTNUMBER(W27),EXTRACTNUMBER(Y27),EXTRACTNUMBER(AA27),
EXTRACTNUMBER(AC27),EXTRACTNUMBER(AE27)))</f>
        <v>457</v>
      </c>
      <c r="AH27" s="38" t="str">
        <f t="shared" ca="1" si="15"/>
        <v>FAIL</v>
      </c>
      <c r="AI27" s="28" t="str">
        <f>spellnumber(EXTRACTnUMBER_TOT(AG27))</f>
        <v xml:space="preserve">Four Hundred Fifty Seven </v>
      </c>
    </row>
    <row r="28" spans="1:35" ht="15" customHeight="1">
      <c r="A28" s="58">
        <v>223228</v>
      </c>
      <c r="B28" s="32" t="s">
        <v>186</v>
      </c>
      <c r="C28" s="60">
        <v>20</v>
      </c>
      <c r="D28" s="61" t="str">
        <f t="shared" ca="1" si="1"/>
        <v>F</v>
      </c>
      <c r="E28" s="62">
        <v>18</v>
      </c>
      <c r="F28" s="61" t="str">
        <f t="shared" ca="1" si="2"/>
        <v>E</v>
      </c>
      <c r="G28" s="63">
        <v>85</v>
      </c>
      <c r="H28" s="61" t="str">
        <f t="shared" ca="1" si="3"/>
        <v>E</v>
      </c>
      <c r="I28" s="62">
        <v>24</v>
      </c>
      <c r="J28" s="61" t="str">
        <f t="shared" ca="1" si="4"/>
        <v>E</v>
      </c>
      <c r="K28" s="62">
        <v>17</v>
      </c>
      <c r="L28" s="61" t="str">
        <f t="shared" ca="1" si="5"/>
        <v>E</v>
      </c>
      <c r="M28" s="63">
        <v>76</v>
      </c>
      <c r="N28" s="61" t="str">
        <f t="shared" ca="1" si="0"/>
        <v>E</v>
      </c>
      <c r="O28" s="62">
        <v>19</v>
      </c>
      <c r="P28" s="64" t="str">
        <f t="shared" ca="1" si="6"/>
        <v>E</v>
      </c>
      <c r="Q28" s="60">
        <v>80</v>
      </c>
      <c r="R28" s="61" t="str">
        <f t="shared" ca="1" si="7"/>
        <v>E</v>
      </c>
      <c r="S28" s="62">
        <v>21</v>
      </c>
      <c r="T28" s="64" t="str">
        <f t="shared" ca="1" si="8"/>
        <v>E</v>
      </c>
      <c r="U28" s="60">
        <v>65</v>
      </c>
      <c r="V28" s="61" t="str">
        <f t="shared" ca="1" si="9"/>
        <v>E</v>
      </c>
      <c r="W28" s="62">
        <v>23</v>
      </c>
      <c r="X28" s="64" t="str">
        <f t="shared" ca="1" si="10"/>
        <v>E</v>
      </c>
      <c r="Y28" s="62">
        <v>23</v>
      </c>
      <c r="Z28" s="64" t="str">
        <f t="shared" ca="1" si="11"/>
        <v>E</v>
      </c>
      <c r="AA28" s="60">
        <v>54</v>
      </c>
      <c r="AB28" s="61" t="str">
        <f t="shared" ca="1" si="12"/>
        <v>E</v>
      </c>
      <c r="AC28" s="62">
        <v>24</v>
      </c>
      <c r="AD28" s="61" t="str">
        <f t="shared" ca="1" si="13"/>
        <v>E</v>
      </c>
      <c r="AE28" s="62">
        <v>40</v>
      </c>
      <c r="AF28" s="64" t="str">
        <f t="shared" ca="1" si="14"/>
        <v>E</v>
      </c>
      <c r="AG28" s="66">
        <f>IF(OR(AND(C28&gt;=31,C28&lt;40),AND(G28&gt;=31,G28&lt;40),AND(M28&gt;=31,M28&lt;40),AND(Q28&gt;=31,Q28&lt;40),AND(U28&gt;=31,U28&lt;40),AND(AA28&gt;=11,AA28&lt;20)),IF(AND(OR(COUNTIF(C28:AF28,"=31")&gt;=1,COUNTIF(C28:AF28,"=32")&gt;=1,COUNTIF(C28:AF28,"=33")&gt;=1,COUNTIF(C28:AF28,"=34")&gt;=1,COUNTIF(C28:AF28,"=35")&gt;=1,COUNTIF(C28:AF28,"=36")&gt;=1 ),COUNTIF(C28:AF28,"")=0,COUNTIF(C28:AF28," ")=0,COUNTIF(C28:AF28,"F")=1),CONCATENATE(SUM(EXTRACTNUMBER(C28),EXTRACTNUMBER(E28),
EXTRACTNUMBER(G28),EXTRACTNUMBER(I28),
EXTRACTNUMBER(K28),EXTRACTNUMBER(M28),
EXTRACTNUMBER(O28),EXTRACTNUMBER(Q28),
EXTRACTNUMBER(S28),EXTRACTNUMBER(U28),
EXTRACTNUMBER(W28),EXTRACTNUMBER(Y28),EXTRACTNUMBER(AA28),
EXTRACTNUMBER(AC28),EXTRACTNUMBER(AE28)),"*"),IF(AND(COUNTIF(C28:AF28,"=34")&gt;=1,COUNTIF(C28:AF28,"=35")&gt;=1,COUNTIF(C28:AF28,"f")=2,COUNTIF(C28:AF28,"")=0,COUNTIF(C28:AF28," ")=0),CONCATENATE(SUM(EXTRACTNUMBER(C28),EXTRACTNUMBER(E28),
EXTRACTNUMBER(G28),EXTRACTNUMBER(I28),
EXTRACTNUMBER(K28),EXTRACTNUMBER(M28),
EXTRACTNUMBER(O28),EXTRACTNUMBER(Q28),
EXTRACTNUMBER(S28),EXTRACTNUMBER(U28),
EXTRACTNUMBER(W28),EXTRACTNUMBER(Y28),EXTRACTNUMBER(AA28),
EXTRACTNUMBER(AC28),EXTRACTNUMBER(AE28)),"*"),IF(AND(COUNTIF(C28:AF28,"=36")&gt;=2,COUNTIF(C28:AF28,"f")=2,COUNTIF(C28:AF28,"")=0,COUNTIF(C28:AF28," ")=0),CONCATENATE(SUM(EXTRACTNUMBER(C28),EXTRACTNUMBER(E28),
EXTRACTNUMBER(G28),EXTRACTNUMBER(I28),
EXTRACTNUMBER(K28),EXTRACTNUMBER(M28),
EXTRACTNUMBER(O28),EXTRACTNUMBER(Q28),
EXTRACTNUMBER(S28),EXTRACTNUMBER(U28),
EXTRACTNUMBER(W28),EXTRACTNUMBER(Y28),EXTRACTNUMBER(AA28),
EXTRACTNUMBER(AC28),EXTRACTNUMBER(AE28)),"*"),SUM(EXTRACTNUMBER(C28),EXTRACTNUMBER(E28),
EXTRACTNUMBER(G28),EXTRACTNUMBER(I28),
EXTRACTNUMBER(K28),EXTRACTNUMBER(M28),
EXTRACTNUMBER(O28),EXTRACTNUMBER(Q28),
EXTRACTNUMBER(S28),EXTRACTNUMBER(U28),
EXTRACTNUMBER(W28),EXTRACTNUMBER(Y28),EXTRACTNUMBER(AA28),
EXTRACTNUMBER(AC28),EXTRACTNUMBER(AE28))))),SUM(EXTRACTNUMBER(C28),EXTRACTNUMBER(E28),
EXTRACTNUMBER(G28),EXTRACTNUMBER(I28),
EXTRACTNUMBER(K28),EXTRACTNUMBER(M28),
EXTRACTNUMBER(O28),EXTRACTNUMBER(Q28),
EXTRACTNUMBER(S28),EXTRACTNUMBER(U28),
EXTRACTNUMBER(W28),EXTRACTNUMBER(Y28),EXTRACTNUMBER(AA28),
EXTRACTNUMBER(AC28),EXTRACTNUMBER(AE28)))</f>
        <v>589</v>
      </c>
      <c r="AH28" s="38" t="str">
        <f t="shared" ca="1" si="15"/>
        <v>FAIL</v>
      </c>
      <c r="AI28" s="28" t="str">
        <f>spellnumber(EXTRACTnUMBER_TOT(AG28))</f>
        <v xml:space="preserve">Five Hundred Eighty Nine </v>
      </c>
    </row>
    <row r="29" spans="1:35" ht="15" customHeight="1">
      <c r="A29" s="58">
        <v>223229</v>
      </c>
      <c r="B29" s="32" t="s">
        <v>187</v>
      </c>
      <c r="C29" s="60" t="s">
        <v>455</v>
      </c>
      <c r="D29" s="61" t="str">
        <f t="shared" ca="1" si="1"/>
        <v>F</v>
      </c>
      <c r="E29" s="62">
        <v>14</v>
      </c>
      <c r="F29" s="61" t="str">
        <f t="shared" ca="1" si="2"/>
        <v>E</v>
      </c>
      <c r="G29" s="63">
        <v>14</v>
      </c>
      <c r="H29" s="61" t="str">
        <f t="shared" ca="1" si="3"/>
        <v>F</v>
      </c>
      <c r="I29" s="62">
        <v>18</v>
      </c>
      <c r="J29" s="61" t="str">
        <f t="shared" ca="1" si="4"/>
        <v>E</v>
      </c>
      <c r="K29" s="62">
        <v>18</v>
      </c>
      <c r="L29" s="61" t="str">
        <f t="shared" ca="1" si="5"/>
        <v>E</v>
      </c>
      <c r="M29" s="63">
        <v>18</v>
      </c>
      <c r="N29" s="61" t="str">
        <f t="shared" ca="1" si="0"/>
        <v>F</v>
      </c>
      <c r="O29" s="62">
        <v>12</v>
      </c>
      <c r="P29" s="64" t="str">
        <f t="shared" ca="1" si="6"/>
        <v>E</v>
      </c>
      <c r="Q29" s="60">
        <v>49</v>
      </c>
      <c r="R29" s="61" t="str">
        <f t="shared" ca="1" si="7"/>
        <v>E</v>
      </c>
      <c r="S29" s="62">
        <v>14</v>
      </c>
      <c r="T29" s="64" t="str">
        <f t="shared" ca="1" si="8"/>
        <v>E</v>
      </c>
      <c r="U29" s="60">
        <v>11</v>
      </c>
      <c r="V29" s="61" t="str">
        <f t="shared" ca="1" si="9"/>
        <v>F</v>
      </c>
      <c r="W29" s="62">
        <v>16</v>
      </c>
      <c r="X29" s="64" t="str">
        <f t="shared" ca="1" si="10"/>
        <v>E</v>
      </c>
      <c r="Y29" s="62">
        <v>17</v>
      </c>
      <c r="Z29" s="64" t="str">
        <f t="shared" ca="1" si="11"/>
        <v>E</v>
      </c>
      <c r="AA29" s="60">
        <v>25</v>
      </c>
      <c r="AB29" s="61" t="str">
        <f t="shared" ca="1" si="12"/>
        <v>F</v>
      </c>
      <c r="AC29" s="62">
        <v>21</v>
      </c>
      <c r="AD29" s="61" t="str">
        <f t="shared" ca="1" si="13"/>
        <v>E</v>
      </c>
      <c r="AE29" s="62">
        <v>32</v>
      </c>
      <c r="AF29" s="64" t="str">
        <f t="shared" ca="1" si="14"/>
        <v>E</v>
      </c>
      <c r="AG29" s="66">
        <f>IF(OR(AND(C29&gt;=31,C29&lt;40),AND(G29&gt;=31,G29&lt;40),AND(M29&gt;=31,M29&lt;40),AND(Q29&gt;=31,Q29&lt;40),AND(U29&gt;=31,U29&lt;40),AND(AA29&gt;=11,AA29&lt;20)),IF(AND(OR(COUNTIF(C29:AF29,"=31")&gt;=1,COUNTIF(C29:AF29,"=32")&gt;=1,COUNTIF(C29:AF29,"=33")&gt;=1,COUNTIF(C29:AF29,"=34")&gt;=1,COUNTIF(C29:AF29,"=35")&gt;=1,COUNTIF(C29:AF29,"=36")&gt;=1 ),COUNTIF(C29:AF29,"")=0,COUNTIF(C29:AF29," ")=0,COUNTIF(C29:AF29,"F")=1),CONCATENATE(SUM(EXTRACTNUMBER(C29),EXTRACTNUMBER(E29),
EXTRACTNUMBER(G29),EXTRACTNUMBER(I29),
EXTRACTNUMBER(K29),EXTRACTNUMBER(M29),
EXTRACTNUMBER(O29),EXTRACTNUMBER(Q29),
EXTRACTNUMBER(S29),EXTRACTNUMBER(U29),
EXTRACTNUMBER(W29),EXTRACTNUMBER(Y29),EXTRACTNUMBER(AA29),
EXTRACTNUMBER(AC29),EXTRACTNUMBER(AE29)),"*"),IF(AND(COUNTIF(C29:AF29,"=34")&gt;=1,COUNTIF(C29:AF29,"=35")&gt;=1,COUNTIF(C29:AF29,"f")=2,COUNTIF(C29:AF29,"")=0,COUNTIF(C29:AF29," ")=0),CONCATENATE(SUM(EXTRACTNUMBER(C29),EXTRACTNUMBER(E29),
EXTRACTNUMBER(G29),EXTRACTNUMBER(I29),
EXTRACTNUMBER(K29),EXTRACTNUMBER(M29),
EXTRACTNUMBER(O29),EXTRACTNUMBER(Q29),
EXTRACTNUMBER(S29),EXTRACTNUMBER(U29),
EXTRACTNUMBER(W29),EXTRACTNUMBER(Y29),EXTRACTNUMBER(AA29),
EXTRACTNUMBER(AC29),EXTRACTNUMBER(AE29)),"*"),IF(AND(COUNTIF(C29:AF29,"=36")&gt;=2,COUNTIF(C29:AF29,"f")=2,COUNTIF(C29:AF29,"")=0,COUNTIF(C29:AF29," ")=0),CONCATENATE(SUM(EXTRACTNUMBER(C29),EXTRACTNUMBER(E29),
EXTRACTNUMBER(G29),EXTRACTNUMBER(I29),
EXTRACTNUMBER(K29),EXTRACTNUMBER(M29),
EXTRACTNUMBER(O29),EXTRACTNUMBER(Q29),
EXTRACTNUMBER(S29),EXTRACTNUMBER(U29),
EXTRACTNUMBER(W29),EXTRACTNUMBER(Y29),EXTRACTNUMBER(AA29),
EXTRACTNUMBER(AC29),EXTRACTNUMBER(AE29)),"*"),SUM(EXTRACTNUMBER(C29),EXTRACTNUMBER(E29),
EXTRACTNUMBER(G29),EXTRACTNUMBER(I29),
EXTRACTNUMBER(K29),EXTRACTNUMBER(M29),
EXTRACTNUMBER(O29),EXTRACTNUMBER(Q29),
EXTRACTNUMBER(S29),EXTRACTNUMBER(U29),
EXTRACTNUMBER(W29),EXTRACTNUMBER(Y29),EXTRACTNUMBER(AA29),
EXTRACTNUMBER(AC29),EXTRACTNUMBER(AE29))))),SUM(EXTRACTNUMBER(C29),EXTRACTNUMBER(E29),
EXTRACTNUMBER(G29),EXTRACTNUMBER(I29),
EXTRACTNUMBER(K29),EXTRACTNUMBER(M29),
EXTRACTNUMBER(O29),EXTRACTNUMBER(Q29),
EXTRACTNUMBER(S29),EXTRACTNUMBER(U29),
EXTRACTNUMBER(W29),EXTRACTNUMBER(Y29),EXTRACTNUMBER(AA29),
EXTRACTNUMBER(AC29),EXTRACTNUMBER(AE29)))</f>
        <v>279</v>
      </c>
      <c r="AH29" s="38" t="str">
        <f t="shared" ca="1" si="15"/>
        <v>FAIL</v>
      </c>
      <c r="AI29" s="28" t="str">
        <f>spellnumber(EXTRACTnUMBER_TOT(AG29))</f>
        <v xml:space="preserve">Two Hundred Seventy Nine </v>
      </c>
    </row>
    <row r="30" spans="1:35" ht="15" customHeight="1">
      <c r="A30" s="58">
        <v>223230</v>
      </c>
      <c r="B30" s="32" t="s">
        <v>188</v>
      </c>
      <c r="C30" s="60">
        <v>17</v>
      </c>
      <c r="D30" s="61" t="str">
        <f t="shared" ca="1" si="1"/>
        <v>F</v>
      </c>
      <c r="E30" s="62">
        <v>17</v>
      </c>
      <c r="F30" s="61" t="str">
        <f t="shared" ca="1" si="2"/>
        <v>E</v>
      </c>
      <c r="G30" s="63">
        <v>57</v>
      </c>
      <c r="H30" s="61" t="str">
        <f t="shared" ca="1" si="3"/>
        <v>E</v>
      </c>
      <c r="I30" s="62">
        <v>21</v>
      </c>
      <c r="J30" s="61" t="str">
        <f t="shared" ca="1" si="4"/>
        <v>E</v>
      </c>
      <c r="K30" s="62">
        <v>19</v>
      </c>
      <c r="L30" s="61" t="str">
        <f t="shared" ca="1" si="5"/>
        <v>E</v>
      </c>
      <c r="M30" s="63">
        <v>58</v>
      </c>
      <c r="N30" s="61" t="str">
        <f t="shared" ca="1" si="0"/>
        <v>E</v>
      </c>
      <c r="O30" s="62">
        <v>19</v>
      </c>
      <c r="P30" s="64" t="str">
        <f t="shared" ca="1" si="6"/>
        <v>E</v>
      </c>
      <c r="Q30" s="60">
        <v>50</v>
      </c>
      <c r="R30" s="61" t="str">
        <f t="shared" ca="1" si="7"/>
        <v>E</v>
      </c>
      <c r="S30" s="62">
        <v>21</v>
      </c>
      <c r="T30" s="64" t="str">
        <f t="shared" ca="1" si="8"/>
        <v>E</v>
      </c>
      <c r="U30" s="60">
        <v>46</v>
      </c>
      <c r="V30" s="61" t="str">
        <f t="shared" ca="1" si="9"/>
        <v>E</v>
      </c>
      <c r="W30" s="62">
        <v>18</v>
      </c>
      <c r="X30" s="64" t="str">
        <f t="shared" ca="1" si="10"/>
        <v>E</v>
      </c>
      <c r="Y30" s="62">
        <v>18</v>
      </c>
      <c r="Z30" s="64" t="str">
        <f t="shared" ca="1" si="11"/>
        <v>E</v>
      </c>
      <c r="AA30" s="60">
        <v>21</v>
      </c>
      <c r="AB30" s="61" t="str">
        <f t="shared" ca="1" si="12"/>
        <v>F</v>
      </c>
      <c r="AC30" s="62">
        <v>16</v>
      </c>
      <c r="AD30" s="61" t="str">
        <f t="shared" ca="1" si="13"/>
        <v>E</v>
      </c>
      <c r="AE30" s="62">
        <v>39</v>
      </c>
      <c r="AF30" s="64" t="str">
        <f t="shared" ca="1" si="14"/>
        <v>E</v>
      </c>
      <c r="AG30" s="66">
        <f>IF(OR(AND(C30&gt;=31,C30&lt;40),AND(G30&gt;=31,G30&lt;40),AND(M30&gt;=31,M30&lt;40),AND(Q30&gt;=31,Q30&lt;40),AND(U30&gt;=31,U30&lt;40),AND(AA30&gt;=11,AA30&lt;20)),IF(AND(OR(COUNTIF(C30:AF30,"=31")&gt;=1,COUNTIF(C30:AF30,"=32")&gt;=1,COUNTIF(C30:AF30,"=33")&gt;=1,COUNTIF(C30:AF30,"=34")&gt;=1,COUNTIF(C30:AF30,"=35")&gt;=1,COUNTIF(C30:AF30,"=36")&gt;=1 ),COUNTIF(C30:AF30,"")=0,COUNTIF(C30:AF30," ")=0,COUNTIF(C30:AF30,"F")=1),CONCATENATE(SUM(EXTRACTNUMBER(C30),EXTRACTNUMBER(E30),
EXTRACTNUMBER(G30),EXTRACTNUMBER(I30),
EXTRACTNUMBER(K30),EXTRACTNUMBER(M30),
EXTRACTNUMBER(O30),EXTRACTNUMBER(Q30),
EXTRACTNUMBER(S30),EXTRACTNUMBER(U30),
EXTRACTNUMBER(W30),EXTRACTNUMBER(Y30),EXTRACTNUMBER(AA30),
EXTRACTNUMBER(AC30),EXTRACTNUMBER(AE30)),"*"),IF(AND(COUNTIF(C30:AF30,"=34")&gt;=1,COUNTIF(C30:AF30,"=35")&gt;=1,COUNTIF(C30:AF30,"f")=2,COUNTIF(C30:AF30,"")=0,COUNTIF(C30:AF30," ")=0),CONCATENATE(SUM(EXTRACTNUMBER(C30),EXTRACTNUMBER(E30),
EXTRACTNUMBER(G30),EXTRACTNUMBER(I30),
EXTRACTNUMBER(K30),EXTRACTNUMBER(M30),
EXTRACTNUMBER(O30),EXTRACTNUMBER(Q30),
EXTRACTNUMBER(S30),EXTRACTNUMBER(U30),
EXTRACTNUMBER(W30),EXTRACTNUMBER(Y30),EXTRACTNUMBER(AA30),
EXTRACTNUMBER(AC30),EXTRACTNUMBER(AE30)),"*"),IF(AND(COUNTIF(C30:AF30,"=36")&gt;=2,COUNTIF(C30:AF30,"f")=2,COUNTIF(C30:AF30,"")=0,COUNTIF(C30:AF30," ")=0),CONCATENATE(SUM(EXTRACTNUMBER(C30),EXTRACTNUMBER(E30),
EXTRACTNUMBER(G30),EXTRACTNUMBER(I30),
EXTRACTNUMBER(K30),EXTRACTNUMBER(M30),
EXTRACTNUMBER(O30),EXTRACTNUMBER(Q30),
EXTRACTNUMBER(S30),EXTRACTNUMBER(U30),
EXTRACTNUMBER(W30),EXTRACTNUMBER(Y30),EXTRACTNUMBER(AA30),
EXTRACTNUMBER(AC30),EXTRACTNUMBER(AE30)),"*"),SUM(EXTRACTNUMBER(C30),EXTRACTNUMBER(E30),
EXTRACTNUMBER(G30),EXTRACTNUMBER(I30),
EXTRACTNUMBER(K30),EXTRACTNUMBER(M30),
EXTRACTNUMBER(O30),EXTRACTNUMBER(Q30),
EXTRACTNUMBER(S30),EXTRACTNUMBER(U30),
EXTRACTNUMBER(W30),EXTRACTNUMBER(Y30),EXTRACTNUMBER(AA30),
EXTRACTNUMBER(AC30),EXTRACTNUMBER(AE30))))),SUM(EXTRACTNUMBER(C30),EXTRACTNUMBER(E30),
EXTRACTNUMBER(G30),EXTRACTNUMBER(I30),
EXTRACTNUMBER(K30),EXTRACTNUMBER(M30),
EXTRACTNUMBER(O30),EXTRACTNUMBER(Q30),
EXTRACTNUMBER(S30),EXTRACTNUMBER(U30),
EXTRACTNUMBER(W30),EXTRACTNUMBER(Y30),EXTRACTNUMBER(AA30),
EXTRACTNUMBER(AC30),EXTRACTNUMBER(AE30)))</f>
        <v>437</v>
      </c>
      <c r="AH30" s="38" t="str">
        <f t="shared" ca="1" si="15"/>
        <v>FAIL</v>
      </c>
      <c r="AI30" s="28" t="str">
        <f>spellnumber(EXTRACTnUMBER_TOT(AG30))</f>
        <v xml:space="preserve">Four Hundred Thirty Seven </v>
      </c>
    </row>
    <row r="31" spans="1:35" ht="15" customHeight="1">
      <c r="A31" s="58">
        <v>223231</v>
      </c>
      <c r="B31" s="32" t="s">
        <v>189</v>
      </c>
      <c r="C31" s="60">
        <v>40</v>
      </c>
      <c r="D31" s="61" t="str">
        <f t="shared" ca="1" si="1"/>
        <v/>
      </c>
      <c r="E31" s="62">
        <v>17</v>
      </c>
      <c r="F31" s="61" t="str">
        <f t="shared" ca="1" si="2"/>
        <v/>
      </c>
      <c r="G31" s="63">
        <v>51</v>
      </c>
      <c r="H31" s="61" t="str">
        <f t="shared" ca="1" si="3"/>
        <v/>
      </c>
      <c r="I31" s="62">
        <v>19</v>
      </c>
      <c r="J31" s="61" t="str">
        <f t="shared" ca="1" si="4"/>
        <v/>
      </c>
      <c r="K31" s="62">
        <v>19</v>
      </c>
      <c r="L31" s="61" t="str">
        <f t="shared" ca="1" si="5"/>
        <v/>
      </c>
      <c r="M31" s="63">
        <v>49</v>
      </c>
      <c r="N31" s="61" t="str">
        <f t="shared" ca="1" si="0"/>
        <v/>
      </c>
      <c r="O31" s="62">
        <v>22</v>
      </c>
      <c r="P31" s="64" t="str">
        <f t="shared" ca="1" si="6"/>
        <v/>
      </c>
      <c r="Q31" s="60">
        <v>50</v>
      </c>
      <c r="R31" s="61" t="str">
        <f t="shared" ca="1" si="7"/>
        <v/>
      </c>
      <c r="S31" s="62">
        <v>21</v>
      </c>
      <c r="T31" s="64" t="str">
        <f t="shared" ca="1" si="8"/>
        <v/>
      </c>
      <c r="U31" s="60">
        <v>50</v>
      </c>
      <c r="V31" s="61" t="str">
        <f t="shared" ca="1" si="9"/>
        <v/>
      </c>
      <c r="W31" s="62">
        <v>20</v>
      </c>
      <c r="X31" s="64" t="str">
        <f t="shared" ca="1" si="10"/>
        <v/>
      </c>
      <c r="Y31" s="62">
        <v>19</v>
      </c>
      <c r="Z31" s="64" t="str">
        <f t="shared" ca="1" si="11"/>
        <v/>
      </c>
      <c r="AA31" s="60">
        <v>40</v>
      </c>
      <c r="AB31" s="61" t="str">
        <f t="shared" ca="1" si="12"/>
        <v/>
      </c>
      <c r="AC31" s="62">
        <v>18</v>
      </c>
      <c r="AD31" s="61" t="str">
        <f t="shared" ca="1" si="13"/>
        <v/>
      </c>
      <c r="AE31" s="62">
        <v>40</v>
      </c>
      <c r="AF31" s="64" t="str">
        <f t="shared" ca="1" si="14"/>
        <v/>
      </c>
      <c r="AG31" s="66">
        <f>IF(OR(AND(C31&gt;=31,C31&lt;40),AND(G31&gt;=31,G31&lt;40),AND(M31&gt;=31,M31&lt;40),AND(Q31&gt;=31,Q31&lt;40),AND(U31&gt;=31,U31&lt;40),AND(AA31&gt;=11,AA31&lt;20)),IF(AND(OR(COUNTIF(C31:AF31,"=31")&gt;=1,COUNTIF(C31:AF31,"=32")&gt;=1,COUNTIF(C31:AF31,"=33")&gt;=1,COUNTIF(C31:AF31,"=34")&gt;=1,COUNTIF(C31:AF31,"=35")&gt;=1,COUNTIF(C31:AF31,"=36")&gt;=1 ),COUNTIF(C31:AF31,"")=0,COUNTIF(C31:AF31," ")=0,COUNTIF(C31:AF31,"F")=1),CONCATENATE(SUM(EXTRACTNUMBER(C31),EXTRACTNUMBER(E31),
EXTRACTNUMBER(G31),EXTRACTNUMBER(I31),
EXTRACTNUMBER(K31),EXTRACTNUMBER(M31),
EXTRACTNUMBER(O31),EXTRACTNUMBER(Q31),
EXTRACTNUMBER(S31),EXTRACTNUMBER(U31),
EXTRACTNUMBER(W31),EXTRACTNUMBER(Y31),EXTRACTNUMBER(AA31),
EXTRACTNUMBER(AC31),EXTRACTNUMBER(AE31)),"*"),IF(AND(COUNTIF(C31:AF31,"=34")&gt;=1,COUNTIF(C31:AF31,"=35")&gt;=1,COUNTIF(C31:AF31,"f")=2,COUNTIF(C31:AF31,"")=0,COUNTIF(C31:AF31," ")=0),CONCATENATE(SUM(EXTRACTNUMBER(C31),EXTRACTNUMBER(E31),
EXTRACTNUMBER(G31),EXTRACTNUMBER(I31),
EXTRACTNUMBER(K31),EXTRACTNUMBER(M31),
EXTRACTNUMBER(O31),EXTRACTNUMBER(Q31),
EXTRACTNUMBER(S31),EXTRACTNUMBER(U31),
EXTRACTNUMBER(W31),EXTRACTNUMBER(Y31),EXTRACTNUMBER(AA31),
EXTRACTNUMBER(AC31),EXTRACTNUMBER(AE31)),"*"),IF(AND(COUNTIF(C31:AF31,"=36")&gt;=2,COUNTIF(C31:AF31,"f")=2,COUNTIF(C31:AF31,"")=0,COUNTIF(C31:AF31," ")=0),CONCATENATE(SUM(EXTRACTNUMBER(C31),EXTRACTNUMBER(E31),
EXTRACTNUMBER(G31),EXTRACTNUMBER(I31),
EXTRACTNUMBER(K31),EXTRACTNUMBER(M31),
EXTRACTNUMBER(O31),EXTRACTNUMBER(Q31),
EXTRACTNUMBER(S31),EXTRACTNUMBER(U31),
EXTRACTNUMBER(W31),EXTRACTNUMBER(Y31),EXTRACTNUMBER(AA31),
EXTRACTNUMBER(AC31),EXTRACTNUMBER(AE31)),"*"),SUM(EXTRACTNUMBER(C31),EXTRACTNUMBER(E31),
EXTRACTNUMBER(G31),EXTRACTNUMBER(I31),
EXTRACTNUMBER(K31),EXTRACTNUMBER(M31),
EXTRACTNUMBER(O31),EXTRACTNUMBER(Q31),
EXTRACTNUMBER(S31),EXTRACTNUMBER(U31),
EXTRACTNUMBER(W31),EXTRACTNUMBER(Y31),EXTRACTNUMBER(AA31),
EXTRACTNUMBER(AC31),EXTRACTNUMBER(AE31))))),SUM(EXTRACTNUMBER(C31),EXTRACTNUMBER(E31),
EXTRACTNUMBER(G31),EXTRACTNUMBER(I31),
EXTRACTNUMBER(K31),EXTRACTNUMBER(M31),
EXTRACTNUMBER(O31),EXTRACTNUMBER(Q31),
EXTRACTNUMBER(S31),EXTRACTNUMBER(U31),
EXTRACTNUMBER(W31),EXTRACTNUMBER(Y31),EXTRACTNUMBER(AA31),
EXTRACTNUMBER(AC31),EXTRACTNUMBER(AE31)))</f>
        <v>475</v>
      </c>
      <c r="AH31" s="38" t="str">
        <f t="shared" ca="1" si="15"/>
        <v>PASS</v>
      </c>
      <c r="AI31" s="28" t="str">
        <f>spellnumber(EXTRACTnUMBER_TOT(AG31))</f>
        <v xml:space="preserve">Four Hundred Seventy Five </v>
      </c>
    </row>
    <row r="32" spans="1:35" ht="15" customHeight="1">
      <c r="A32" s="58">
        <v>223232</v>
      </c>
      <c r="B32" s="32" t="s">
        <v>190</v>
      </c>
      <c r="C32" s="60">
        <v>40</v>
      </c>
      <c r="D32" s="61" t="str">
        <f t="shared" ca="1" si="1"/>
        <v>E</v>
      </c>
      <c r="E32" s="62">
        <v>18</v>
      </c>
      <c r="F32" s="61" t="str">
        <f t="shared" ca="1" si="2"/>
        <v>E</v>
      </c>
      <c r="G32" s="63">
        <v>48</v>
      </c>
      <c r="H32" s="61" t="str">
        <f t="shared" ca="1" si="3"/>
        <v>E</v>
      </c>
      <c r="I32" s="62">
        <v>23</v>
      </c>
      <c r="J32" s="61" t="str">
        <f t="shared" ca="1" si="4"/>
        <v>E</v>
      </c>
      <c r="K32" s="62">
        <v>18</v>
      </c>
      <c r="L32" s="61" t="str">
        <f t="shared" ca="1" si="5"/>
        <v>E</v>
      </c>
      <c r="M32" s="63">
        <v>64</v>
      </c>
      <c r="N32" s="61" t="str">
        <f t="shared" ca="1" si="0"/>
        <v>E</v>
      </c>
      <c r="O32" s="62">
        <v>23</v>
      </c>
      <c r="P32" s="64" t="str">
        <f t="shared" ca="1" si="6"/>
        <v>E</v>
      </c>
      <c r="Q32" s="60">
        <v>68</v>
      </c>
      <c r="R32" s="61" t="str">
        <f t="shared" ca="1" si="7"/>
        <v>E</v>
      </c>
      <c r="S32" s="62">
        <v>23</v>
      </c>
      <c r="T32" s="64" t="str">
        <f t="shared" ca="1" si="8"/>
        <v>E</v>
      </c>
      <c r="U32" s="60">
        <v>52</v>
      </c>
      <c r="V32" s="61" t="str">
        <f t="shared" ca="1" si="9"/>
        <v>E</v>
      </c>
      <c r="W32" s="62">
        <v>23</v>
      </c>
      <c r="X32" s="64" t="str">
        <f t="shared" ca="1" si="10"/>
        <v>E</v>
      </c>
      <c r="Y32" s="62">
        <v>23</v>
      </c>
      <c r="Z32" s="64" t="str">
        <f t="shared" ca="1" si="11"/>
        <v>E</v>
      </c>
      <c r="AA32" s="60">
        <v>28</v>
      </c>
      <c r="AB32" s="61" t="str">
        <f t="shared" ca="1" si="12"/>
        <v>F</v>
      </c>
      <c r="AC32" s="62">
        <v>18</v>
      </c>
      <c r="AD32" s="61" t="str">
        <f t="shared" ca="1" si="13"/>
        <v>E</v>
      </c>
      <c r="AE32" s="62">
        <v>43</v>
      </c>
      <c r="AF32" s="64" t="str">
        <f t="shared" ca="1" si="14"/>
        <v>E</v>
      </c>
      <c r="AG32" s="66">
        <f>IF(OR(AND(C32&gt;=31,C32&lt;40),AND(G32&gt;=31,G32&lt;40),AND(M32&gt;=31,M32&lt;40),AND(Q32&gt;=31,Q32&lt;40),AND(U32&gt;=31,U32&lt;40),AND(AA32&gt;=11,AA32&lt;20)),IF(AND(OR(COUNTIF(C32:AF32,"=31")&gt;=1,COUNTIF(C32:AF32,"=32")&gt;=1,COUNTIF(C32:AF32,"=33")&gt;=1,COUNTIF(C32:AF32,"=34")&gt;=1,COUNTIF(C32:AF32,"=35")&gt;=1,COUNTIF(C32:AF32,"=36")&gt;=1 ),COUNTIF(C32:AF32,"")=0,COUNTIF(C32:AF32," ")=0,COUNTIF(C32:AF32,"F")=1),CONCATENATE(SUM(EXTRACTNUMBER(C32),EXTRACTNUMBER(E32),
EXTRACTNUMBER(G32),EXTRACTNUMBER(I32),
EXTRACTNUMBER(K32),EXTRACTNUMBER(M32),
EXTRACTNUMBER(O32),EXTRACTNUMBER(Q32),
EXTRACTNUMBER(S32),EXTRACTNUMBER(U32),
EXTRACTNUMBER(W32),EXTRACTNUMBER(Y32),EXTRACTNUMBER(AA32),
EXTRACTNUMBER(AC32),EXTRACTNUMBER(AE32)),"*"),IF(AND(COUNTIF(C32:AF32,"=34")&gt;=1,COUNTIF(C32:AF32,"=35")&gt;=1,COUNTIF(C32:AF32,"f")=2,COUNTIF(C32:AF32,"")=0,COUNTIF(C32:AF32," ")=0),CONCATENATE(SUM(EXTRACTNUMBER(C32),EXTRACTNUMBER(E32),
EXTRACTNUMBER(G32),EXTRACTNUMBER(I32),
EXTRACTNUMBER(K32),EXTRACTNUMBER(M32),
EXTRACTNUMBER(O32),EXTRACTNUMBER(Q32),
EXTRACTNUMBER(S32),EXTRACTNUMBER(U32),
EXTRACTNUMBER(W32),EXTRACTNUMBER(Y32),EXTRACTNUMBER(AA32),
EXTRACTNUMBER(AC32),EXTRACTNUMBER(AE32)),"*"),IF(AND(COUNTIF(C32:AF32,"=36")&gt;=2,COUNTIF(C32:AF32,"f")=2,COUNTIF(C32:AF32,"")=0,COUNTIF(C32:AF32," ")=0),CONCATENATE(SUM(EXTRACTNUMBER(C32),EXTRACTNUMBER(E32),
EXTRACTNUMBER(G32),EXTRACTNUMBER(I32),
EXTRACTNUMBER(K32),EXTRACTNUMBER(M32),
EXTRACTNUMBER(O32),EXTRACTNUMBER(Q32),
EXTRACTNUMBER(S32),EXTRACTNUMBER(U32),
EXTRACTNUMBER(W32),EXTRACTNUMBER(Y32),EXTRACTNUMBER(AA32),
EXTRACTNUMBER(AC32),EXTRACTNUMBER(AE32)),"*"),SUM(EXTRACTNUMBER(C32),EXTRACTNUMBER(E32),
EXTRACTNUMBER(G32),EXTRACTNUMBER(I32),
EXTRACTNUMBER(K32),EXTRACTNUMBER(M32),
EXTRACTNUMBER(O32),EXTRACTNUMBER(Q32),
EXTRACTNUMBER(S32),EXTRACTNUMBER(U32),
EXTRACTNUMBER(W32),EXTRACTNUMBER(Y32),EXTRACTNUMBER(AA32),
EXTRACTNUMBER(AC32),EXTRACTNUMBER(AE32))))),SUM(EXTRACTNUMBER(C32),EXTRACTNUMBER(E32),
EXTRACTNUMBER(G32),EXTRACTNUMBER(I32),
EXTRACTNUMBER(K32),EXTRACTNUMBER(M32),
EXTRACTNUMBER(O32),EXTRACTNUMBER(Q32),
EXTRACTNUMBER(S32),EXTRACTNUMBER(U32),
EXTRACTNUMBER(W32),EXTRACTNUMBER(Y32),EXTRACTNUMBER(AA32),
EXTRACTNUMBER(AC32),EXTRACTNUMBER(AE32)))</f>
        <v>512</v>
      </c>
      <c r="AH32" s="38" t="str">
        <f t="shared" ca="1" si="15"/>
        <v>FAIL</v>
      </c>
      <c r="AI32" s="28" t="str">
        <f>spellnumber(EXTRACTnUMBER_TOT(AG32))</f>
        <v xml:space="preserve">Five Hundred Twelve </v>
      </c>
    </row>
    <row r="33" spans="1:35" ht="15" customHeight="1">
      <c r="A33" s="58">
        <v>223233</v>
      </c>
      <c r="B33" s="32" t="s">
        <v>191</v>
      </c>
      <c r="C33" s="60">
        <v>40</v>
      </c>
      <c r="D33" s="61" t="str">
        <f t="shared" ca="1" si="1"/>
        <v/>
      </c>
      <c r="E33" s="62">
        <v>18</v>
      </c>
      <c r="F33" s="61" t="str">
        <f t="shared" ca="1" si="2"/>
        <v/>
      </c>
      <c r="G33" s="63">
        <v>71</v>
      </c>
      <c r="H33" s="61" t="str">
        <f t="shared" ca="1" si="3"/>
        <v/>
      </c>
      <c r="I33" s="62">
        <v>20</v>
      </c>
      <c r="J33" s="61" t="str">
        <f t="shared" ca="1" si="4"/>
        <v/>
      </c>
      <c r="K33" s="62">
        <v>18</v>
      </c>
      <c r="L33" s="61" t="str">
        <f t="shared" ca="1" si="5"/>
        <v/>
      </c>
      <c r="M33" s="63">
        <v>57</v>
      </c>
      <c r="N33" s="61" t="str">
        <f t="shared" ca="1" si="0"/>
        <v/>
      </c>
      <c r="O33" s="62">
        <v>18</v>
      </c>
      <c r="P33" s="64" t="str">
        <f t="shared" ca="1" si="6"/>
        <v/>
      </c>
      <c r="Q33" s="60">
        <v>53</v>
      </c>
      <c r="R33" s="61" t="str">
        <f t="shared" ca="1" si="7"/>
        <v/>
      </c>
      <c r="S33" s="62">
        <v>20</v>
      </c>
      <c r="T33" s="64" t="str">
        <f t="shared" ca="1" si="8"/>
        <v/>
      </c>
      <c r="U33" s="60">
        <v>54</v>
      </c>
      <c r="V33" s="61" t="str">
        <f t="shared" ca="1" si="9"/>
        <v/>
      </c>
      <c r="W33" s="62">
        <v>21</v>
      </c>
      <c r="X33" s="64" t="str">
        <f t="shared" ca="1" si="10"/>
        <v/>
      </c>
      <c r="Y33" s="62">
        <v>21</v>
      </c>
      <c r="Z33" s="64" t="str">
        <f t="shared" ca="1" si="11"/>
        <v/>
      </c>
      <c r="AA33" s="60">
        <v>47</v>
      </c>
      <c r="AB33" s="61" t="str">
        <f t="shared" ca="1" si="12"/>
        <v/>
      </c>
      <c r="AC33" s="62">
        <v>23</v>
      </c>
      <c r="AD33" s="61" t="str">
        <f t="shared" ca="1" si="13"/>
        <v/>
      </c>
      <c r="AE33" s="62">
        <v>41</v>
      </c>
      <c r="AF33" s="64" t="str">
        <f t="shared" ca="1" si="14"/>
        <v/>
      </c>
      <c r="AG33" s="66">
        <f>IF(OR(AND(C33&gt;=31,C33&lt;40),AND(G33&gt;=31,G33&lt;40),AND(M33&gt;=31,M33&lt;40),AND(Q33&gt;=31,Q33&lt;40),AND(U33&gt;=31,U33&lt;40),AND(AA33&gt;=11,AA33&lt;20)),IF(AND(OR(COUNTIF(C33:AF33,"=31")&gt;=1,COUNTIF(C33:AF33,"=32")&gt;=1,COUNTIF(C33:AF33,"=33")&gt;=1,COUNTIF(C33:AF33,"=34")&gt;=1,COUNTIF(C33:AF33,"=35")&gt;=1,COUNTIF(C33:AF33,"=36")&gt;=1 ),COUNTIF(C33:AF33,"")=0,COUNTIF(C33:AF33," ")=0,COUNTIF(C33:AF33,"F")=1),CONCATENATE(SUM(EXTRACTNUMBER(C33),EXTRACTNUMBER(E33),
EXTRACTNUMBER(G33),EXTRACTNUMBER(I33),
EXTRACTNUMBER(K33),EXTRACTNUMBER(M33),
EXTRACTNUMBER(O33),EXTRACTNUMBER(Q33),
EXTRACTNUMBER(S33),EXTRACTNUMBER(U33),
EXTRACTNUMBER(W33),EXTRACTNUMBER(Y33),EXTRACTNUMBER(AA33),
EXTRACTNUMBER(AC33),EXTRACTNUMBER(AE33)),"*"),IF(AND(COUNTIF(C33:AF33,"=34")&gt;=1,COUNTIF(C33:AF33,"=35")&gt;=1,COUNTIF(C33:AF33,"f")=2,COUNTIF(C33:AF33,"")=0,COUNTIF(C33:AF33," ")=0),CONCATENATE(SUM(EXTRACTNUMBER(C33),EXTRACTNUMBER(E33),
EXTRACTNUMBER(G33),EXTRACTNUMBER(I33),
EXTRACTNUMBER(K33),EXTRACTNUMBER(M33),
EXTRACTNUMBER(O33),EXTRACTNUMBER(Q33),
EXTRACTNUMBER(S33),EXTRACTNUMBER(U33),
EXTRACTNUMBER(W33),EXTRACTNUMBER(Y33),EXTRACTNUMBER(AA33),
EXTRACTNUMBER(AC33),EXTRACTNUMBER(AE33)),"*"),IF(AND(COUNTIF(C33:AF33,"=36")&gt;=2,COUNTIF(C33:AF33,"f")=2,COUNTIF(C33:AF33,"")=0,COUNTIF(C33:AF33," ")=0),CONCATENATE(SUM(EXTRACTNUMBER(C33),EXTRACTNUMBER(E33),
EXTRACTNUMBER(G33),EXTRACTNUMBER(I33),
EXTRACTNUMBER(K33),EXTRACTNUMBER(M33),
EXTRACTNUMBER(O33),EXTRACTNUMBER(Q33),
EXTRACTNUMBER(S33),EXTRACTNUMBER(U33),
EXTRACTNUMBER(W33),EXTRACTNUMBER(Y33),EXTRACTNUMBER(AA33),
EXTRACTNUMBER(AC33),EXTRACTNUMBER(AE33)),"*"),SUM(EXTRACTNUMBER(C33),EXTRACTNUMBER(E33),
EXTRACTNUMBER(G33),EXTRACTNUMBER(I33),
EXTRACTNUMBER(K33),EXTRACTNUMBER(M33),
EXTRACTNUMBER(O33),EXTRACTNUMBER(Q33),
EXTRACTNUMBER(S33),EXTRACTNUMBER(U33),
EXTRACTNUMBER(W33),EXTRACTNUMBER(Y33),EXTRACTNUMBER(AA33),
EXTRACTNUMBER(AC33),EXTRACTNUMBER(AE33))))),SUM(EXTRACTNUMBER(C33),EXTRACTNUMBER(E33),
EXTRACTNUMBER(G33),EXTRACTNUMBER(I33),
EXTRACTNUMBER(K33),EXTRACTNUMBER(M33),
EXTRACTNUMBER(O33),EXTRACTNUMBER(Q33),
EXTRACTNUMBER(S33),EXTRACTNUMBER(U33),
EXTRACTNUMBER(W33),EXTRACTNUMBER(Y33),EXTRACTNUMBER(AA33),
EXTRACTNUMBER(AC33),EXTRACTNUMBER(AE33)))</f>
        <v>522</v>
      </c>
      <c r="AH33" s="38" t="str">
        <f t="shared" ca="1" si="15"/>
        <v>PASS</v>
      </c>
      <c r="AI33" s="28" t="str">
        <f>spellnumber(EXTRACTnUMBER_TOT(AG33))</f>
        <v xml:space="preserve">Five Hundred Twenty Two </v>
      </c>
    </row>
    <row r="34" spans="1:35" ht="15" customHeight="1">
      <c r="A34" s="58">
        <v>223234</v>
      </c>
      <c r="B34" s="32" t="s">
        <v>192</v>
      </c>
      <c r="C34" s="60">
        <v>45</v>
      </c>
      <c r="D34" s="61" t="str">
        <f t="shared" ca="1" si="1"/>
        <v/>
      </c>
      <c r="E34" s="62">
        <v>22</v>
      </c>
      <c r="F34" s="61" t="str">
        <f t="shared" ca="1" si="2"/>
        <v/>
      </c>
      <c r="G34" s="63">
        <v>55</v>
      </c>
      <c r="H34" s="61" t="str">
        <f t="shared" ca="1" si="3"/>
        <v/>
      </c>
      <c r="I34" s="62">
        <v>23</v>
      </c>
      <c r="J34" s="61" t="str">
        <f t="shared" ca="1" si="4"/>
        <v/>
      </c>
      <c r="K34" s="62">
        <v>18</v>
      </c>
      <c r="L34" s="61" t="str">
        <f t="shared" ca="1" si="5"/>
        <v/>
      </c>
      <c r="M34" s="63">
        <v>57</v>
      </c>
      <c r="N34" s="61" t="str">
        <f t="shared" ca="1" si="0"/>
        <v/>
      </c>
      <c r="O34" s="62">
        <v>19</v>
      </c>
      <c r="P34" s="64" t="str">
        <f t="shared" ca="1" si="6"/>
        <v/>
      </c>
      <c r="Q34" s="60">
        <v>51</v>
      </c>
      <c r="R34" s="61" t="str">
        <f t="shared" ca="1" si="7"/>
        <v/>
      </c>
      <c r="S34" s="62">
        <v>21</v>
      </c>
      <c r="T34" s="64" t="str">
        <f t="shared" ca="1" si="8"/>
        <v/>
      </c>
      <c r="U34" s="60">
        <v>48</v>
      </c>
      <c r="V34" s="61" t="str">
        <f t="shared" ca="1" si="9"/>
        <v/>
      </c>
      <c r="W34" s="62">
        <v>20</v>
      </c>
      <c r="X34" s="64" t="str">
        <f t="shared" ca="1" si="10"/>
        <v/>
      </c>
      <c r="Y34" s="62">
        <v>22</v>
      </c>
      <c r="Z34" s="64" t="str">
        <f t="shared" ca="1" si="11"/>
        <v/>
      </c>
      <c r="AA34" s="60">
        <v>41</v>
      </c>
      <c r="AB34" s="61" t="str">
        <f t="shared" ca="1" si="12"/>
        <v/>
      </c>
      <c r="AC34" s="62">
        <v>22</v>
      </c>
      <c r="AD34" s="61" t="str">
        <f t="shared" ca="1" si="13"/>
        <v/>
      </c>
      <c r="AE34" s="62">
        <v>42</v>
      </c>
      <c r="AF34" s="64" t="str">
        <f t="shared" ca="1" si="14"/>
        <v/>
      </c>
      <c r="AG34" s="66">
        <f>IF(OR(AND(C34&gt;=31,C34&lt;40),AND(G34&gt;=31,G34&lt;40),AND(M34&gt;=31,M34&lt;40),AND(Q34&gt;=31,Q34&lt;40),AND(U34&gt;=31,U34&lt;40),AND(AA34&gt;=11,AA34&lt;20)),IF(AND(OR(COUNTIF(C34:AF34,"=31")&gt;=1,COUNTIF(C34:AF34,"=32")&gt;=1,COUNTIF(C34:AF34,"=33")&gt;=1,COUNTIF(C34:AF34,"=34")&gt;=1,COUNTIF(C34:AF34,"=35")&gt;=1,COUNTIF(C34:AF34,"=36")&gt;=1 ),COUNTIF(C34:AF34,"")=0,COUNTIF(C34:AF34," ")=0,COUNTIF(C34:AF34,"F")=1),CONCATENATE(SUM(EXTRACTNUMBER(C34),EXTRACTNUMBER(E34),
EXTRACTNUMBER(G34),EXTRACTNUMBER(I34),
EXTRACTNUMBER(K34),EXTRACTNUMBER(M34),
EXTRACTNUMBER(O34),EXTRACTNUMBER(Q34),
EXTRACTNUMBER(S34),EXTRACTNUMBER(U34),
EXTRACTNUMBER(W34),EXTRACTNUMBER(Y34),EXTRACTNUMBER(AA34),
EXTRACTNUMBER(AC34),EXTRACTNUMBER(AE34)),"*"),IF(AND(COUNTIF(C34:AF34,"=34")&gt;=1,COUNTIF(C34:AF34,"=35")&gt;=1,COUNTIF(C34:AF34,"f")=2,COUNTIF(C34:AF34,"")=0,COUNTIF(C34:AF34," ")=0),CONCATENATE(SUM(EXTRACTNUMBER(C34),EXTRACTNUMBER(E34),
EXTRACTNUMBER(G34),EXTRACTNUMBER(I34),
EXTRACTNUMBER(K34),EXTRACTNUMBER(M34),
EXTRACTNUMBER(O34),EXTRACTNUMBER(Q34),
EXTRACTNUMBER(S34),EXTRACTNUMBER(U34),
EXTRACTNUMBER(W34),EXTRACTNUMBER(Y34),EXTRACTNUMBER(AA34),
EXTRACTNUMBER(AC34),EXTRACTNUMBER(AE34)),"*"),IF(AND(COUNTIF(C34:AF34,"=36")&gt;=2,COUNTIF(C34:AF34,"f")=2,COUNTIF(C34:AF34,"")=0,COUNTIF(C34:AF34," ")=0),CONCATENATE(SUM(EXTRACTNUMBER(C34),EXTRACTNUMBER(E34),
EXTRACTNUMBER(G34),EXTRACTNUMBER(I34),
EXTRACTNUMBER(K34),EXTRACTNUMBER(M34),
EXTRACTNUMBER(O34),EXTRACTNUMBER(Q34),
EXTRACTNUMBER(S34),EXTRACTNUMBER(U34),
EXTRACTNUMBER(W34),EXTRACTNUMBER(Y34),EXTRACTNUMBER(AA34),
EXTRACTNUMBER(AC34),EXTRACTNUMBER(AE34)),"*"),SUM(EXTRACTNUMBER(C34),EXTRACTNUMBER(E34),
EXTRACTNUMBER(G34),EXTRACTNUMBER(I34),
EXTRACTNUMBER(K34),EXTRACTNUMBER(M34),
EXTRACTNUMBER(O34),EXTRACTNUMBER(Q34),
EXTRACTNUMBER(S34),EXTRACTNUMBER(U34),
EXTRACTNUMBER(W34),EXTRACTNUMBER(Y34),EXTRACTNUMBER(AA34),
EXTRACTNUMBER(AC34),EXTRACTNUMBER(AE34))))),SUM(EXTRACTNUMBER(C34),EXTRACTNUMBER(E34),
EXTRACTNUMBER(G34),EXTRACTNUMBER(I34),
EXTRACTNUMBER(K34),EXTRACTNUMBER(M34),
EXTRACTNUMBER(O34),EXTRACTNUMBER(Q34),
EXTRACTNUMBER(S34),EXTRACTNUMBER(U34),
EXTRACTNUMBER(W34),EXTRACTNUMBER(Y34),EXTRACTNUMBER(AA34),
EXTRACTNUMBER(AC34),EXTRACTNUMBER(AE34)))</f>
        <v>506</v>
      </c>
      <c r="AH34" s="38" t="str">
        <f t="shared" ca="1" si="15"/>
        <v>PASS</v>
      </c>
      <c r="AI34" s="28" t="str">
        <f>spellnumber(EXTRACTnUMBER_TOT(AG34))</f>
        <v xml:space="preserve">Five Hundred Six </v>
      </c>
    </row>
    <row r="35" spans="1:35" ht="15" customHeight="1">
      <c r="A35" s="58">
        <v>223235</v>
      </c>
      <c r="B35" s="32" t="s">
        <v>193</v>
      </c>
      <c r="C35" s="60" t="s">
        <v>103</v>
      </c>
      <c r="D35" s="61" t="str">
        <f t="shared" si="1"/>
        <v/>
      </c>
      <c r="E35" s="62">
        <v>11</v>
      </c>
      <c r="F35" s="61" t="str">
        <f t="shared" ca="1" si="2"/>
        <v>E</v>
      </c>
      <c r="G35" s="63">
        <v>43</v>
      </c>
      <c r="H35" s="61" t="str">
        <f t="shared" ca="1" si="3"/>
        <v>E</v>
      </c>
      <c r="I35" s="62">
        <v>19</v>
      </c>
      <c r="J35" s="61" t="str">
        <f t="shared" ca="1" si="4"/>
        <v>E</v>
      </c>
      <c r="K35" s="62">
        <v>17</v>
      </c>
      <c r="L35" s="61" t="str">
        <f t="shared" ca="1" si="5"/>
        <v>E</v>
      </c>
      <c r="M35" s="63">
        <v>28</v>
      </c>
      <c r="N35" s="61" t="str">
        <f t="shared" ca="1" si="0"/>
        <v>F</v>
      </c>
      <c r="O35" s="62">
        <v>12</v>
      </c>
      <c r="P35" s="64" t="str">
        <f t="shared" ca="1" si="6"/>
        <v>E</v>
      </c>
      <c r="Q35" s="60" t="s">
        <v>103</v>
      </c>
      <c r="R35" s="61" t="str">
        <f t="shared" si="7"/>
        <v/>
      </c>
      <c r="S35" s="62">
        <v>14</v>
      </c>
      <c r="T35" s="64" t="str">
        <f t="shared" ca="1" si="8"/>
        <v>E</v>
      </c>
      <c r="U35" s="60">
        <v>19</v>
      </c>
      <c r="V35" s="61" t="str">
        <f t="shared" ca="1" si="9"/>
        <v>F</v>
      </c>
      <c r="W35" s="62">
        <v>13</v>
      </c>
      <c r="X35" s="64" t="str">
        <f t="shared" ca="1" si="10"/>
        <v>E</v>
      </c>
      <c r="Y35" s="62">
        <v>17</v>
      </c>
      <c r="Z35" s="64" t="str">
        <f t="shared" ca="1" si="11"/>
        <v>E</v>
      </c>
      <c r="AA35" s="60">
        <v>40</v>
      </c>
      <c r="AB35" s="61" t="str">
        <f t="shared" ca="1" si="12"/>
        <v>E</v>
      </c>
      <c r="AC35" s="62">
        <v>20</v>
      </c>
      <c r="AD35" s="61" t="str">
        <f t="shared" ca="1" si="13"/>
        <v>E</v>
      </c>
      <c r="AE35" s="62">
        <v>36</v>
      </c>
      <c r="AF35" s="64" t="str">
        <f t="shared" ca="1" si="14"/>
        <v>E</v>
      </c>
      <c r="AG35" s="66">
        <f>IF(OR(AND(C35&gt;=31,C35&lt;40),AND(G35&gt;=31,G35&lt;40),AND(M35&gt;=31,M35&lt;40),AND(Q35&gt;=31,Q35&lt;40),AND(U35&gt;=31,U35&lt;40),AND(AA35&gt;=11,AA35&lt;20)),IF(AND(OR(COUNTIF(C35:AF35,"=31")&gt;=1,COUNTIF(C35:AF35,"=32")&gt;=1,COUNTIF(C35:AF35,"=33")&gt;=1,COUNTIF(C35:AF35,"=34")&gt;=1,COUNTIF(C35:AF35,"=35")&gt;=1,COUNTIF(C35:AF35,"=36")&gt;=1 ),COUNTIF(C35:AF35,"")=0,COUNTIF(C35:AF35," ")=0,COUNTIF(C35:AF35,"F")=1),CONCATENATE(SUM(EXTRACTNUMBER(C35),EXTRACTNUMBER(E35),
EXTRACTNUMBER(G35),EXTRACTNUMBER(I35),
EXTRACTNUMBER(K35),EXTRACTNUMBER(M35),
EXTRACTNUMBER(O35),EXTRACTNUMBER(Q35),
EXTRACTNUMBER(S35),EXTRACTNUMBER(U35),
EXTRACTNUMBER(W35),EXTRACTNUMBER(Y35),EXTRACTNUMBER(AA35),
EXTRACTNUMBER(AC35),EXTRACTNUMBER(AE35)),"*"),IF(AND(COUNTIF(C35:AF35,"=34")&gt;=1,COUNTIF(C35:AF35,"=35")&gt;=1,COUNTIF(C35:AF35,"f")=2,COUNTIF(C35:AF35,"")=0,COUNTIF(C35:AF35," ")=0),CONCATENATE(SUM(EXTRACTNUMBER(C35),EXTRACTNUMBER(E35),
EXTRACTNUMBER(G35),EXTRACTNUMBER(I35),
EXTRACTNUMBER(K35),EXTRACTNUMBER(M35),
EXTRACTNUMBER(O35),EXTRACTNUMBER(Q35),
EXTRACTNUMBER(S35),EXTRACTNUMBER(U35),
EXTRACTNUMBER(W35),EXTRACTNUMBER(Y35),EXTRACTNUMBER(AA35),
EXTRACTNUMBER(AC35),EXTRACTNUMBER(AE35)),"*"),IF(AND(COUNTIF(C35:AF35,"=36")&gt;=2,COUNTIF(C35:AF35,"f")=2,COUNTIF(C35:AF35,"")=0,COUNTIF(C35:AF35," ")=0),CONCATENATE(SUM(EXTRACTNUMBER(C35),EXTRACTNUMBER(E35),
EXTRACTNUMBER(G35),EXTRACTNUMBER(I35),
EXTRACTNUMBER(K35),EXTRACTNUMBER(M35),
EXTRACTNUMBER(O35),EXTRACTNUMBER(Q35),
EXTRACTNUMBER(S35),EXTRACTNUMBER(U35),
EXTRACTNUMBER(W35),EXTRACTNUMBER(Y35),EXTRACTNUMBER(AA35),
EXTRACTNUMBER(AC35),EXTRACTNUMBER(AE35)),"*"),SUM(EXTRACTNUMBER(C35),EXTRACTNUMBER(E35),
EXTRACTNUMBER(G35),EXTRACTNUMBER(I35),
EXTRACTNUMBER(K35),EXTRACTNUMBER(M35),
EXTRACTNUMBER(O35),EXTRACTNUMBER(Q35),
EXTRACTNUMBER(S35),EXTRACTNUMBER(U35),
EXTRACTNUMBER(W35),EXTRACTNUMBER(Y35),EXTRACTNUMBER(AA35),
EXTRACTNUMBER(AC35),EXTRACTNUMBER(AE35))))),SUM(EXTRACTNUMBER(C35),EXTRACTNUMBER(E35),
EXTRACTNUMBER(G35),EXTRACTNUMBER(I35),
EXTRACTNUMBER(K35),EXTRACTNUMBER(M35),
EXTRACTNUMBER(O35),EXTRACTNUMBER(Q35),
EXTRACTNUMBER(S35),EXTRACTNUMBER(U35),
EXTRACTNUMBER(W35),EXTRACTNUMBER(Y35),EXTRACTNUMBER(AA35),
EXTRACTNUMBER(AC35),EXTRACTNUMBER(AE35)))</f>
        <v>289</v>
      </c>
      <c r="AH35" s="38" t="str">
        <f t="shared" ca="1" si="15"/>
        <v>FAIL</v>
      </c>
      <c r="AI35" s="28" t="str">
        <f>spellnumber(EXTRACTnUMBER_TOT(AG35))</f>
        <v xml:space="preserve">Two Hundred Eighty Nine </v>
      </c>
    </row>
    <row r="36" spans="1:35" ht="15" customHeight="1">
      <c r="A36" s="58">
        <v>223236</v>
      </c>
      <c r="B36" s="32" t="s">
        <v>194</v>
      </c>
      <c r="C36" s="60">
        <v>40</v>
      </c>
      <c r="D36" s="61" t="str">
        <f t="shared" ca="1" si="1"/>
        <v/>
      </c>
      <c r="E36" s="62">
        <v>21</v>
      </c>
      <c r="F36" s="61" t="str">
        <f t="shared" ca="1" si="2"/>
        <v/>
      </c>
      <c r="G36" s="63">
        <v>62</v>
      </c>
      <c r="H36" s="61" t="str">
        <f t="shared" ca="1" si="3"/>
        <v/>
      </c>
      <c r="I36" s="62">
        <v>18</v>
      </c>
      <c r="J36" s="61" t="str">
        <f t="shared" ca="1" si="4"/>
        <v/>
      </c>
      <c r="K36" s="62">
        <v>19</v>
      </c>
      <c r="L36" s="61" t="str">
        <f t="shared" ca="1" si="5"/>
        <v/>
      </c>
      <c r="M36" s="63">
        <v>52</v>
      </c>
      <c r="N36" s="61" t="str">
        <f t="shared" ca="1" si="0"/>
        <v/>
      </c>
      <c r="O36" s="62">
        <v>17</v>
      </c>
      <c r="P36" s="64" t="str">
        <f t="shared" ca="1" si="6"/>
        <v/>
      </c>
      <c r="Q36" s="60">
        <v>62</v>
      </c>
      <c r="R36" s="61" t="str">
        <f t="shared" ca="1" si="7"/>
        <v/>
      </c>
      <c r="S36" s="62">
        <v>20</v>
      </c>
      <c r="T36" s="64" t="str">
        <f t="shared" ca="1" si="8"/>
        <v/>
      </c>
      <c r="U36" s="60">
        <v>55</v>
      </c>
      <c r="V36" s="61" t="str">
        <f t="shared" ca="1" si="9"/>
        <v/>
      </c>
      <c r="W36" s="62">
        <v>22</v>
      </c>
      <c r="X36" s="64" t="str">
        <f t="shared" ca="1" si="10"/>
        <v/>
      </c>
      <c r="Y36" s="62">
        <v>21</v>
      </c>
      <c r="Z36" s="64" t="str">
        <f t="shared" ca="1" si="11"/>
        <v/>
      </c>
      <c r="AA36" s="60">
        <v>50</v>
      </c>
      <c r="AB36" s="61" t="str">
        <f t="shared" ca="1" si="12"/>
        <v/>
      </c>
      <c r="AC36" s="62">
        <v>22</v>
      </c>
      <c r="AD36" s="61" t="str">
        <f t="shared" ca="1" si="13"/>
        <v/>
      </c>
      <c r="AE36" s="62">
        <v>36</v>
      </c>
      <c r="AF36" s="64" t="str">
        <f t="shared" ca="1" si="14"/>
        <v/>
      </c>
      <c r="AG36" s="66">
        <f>IF(OR(AND(C36&gt;=31,C36&lt;40),AND(G36&gt;=31,G36&lt;40),AND(M36&gt;=31,M36&lt;40),AND(Q36&gt;=31,Q36&lt;40),AND(U36&gt;=31,U36&lt;40),AND(AA36&gt;=11,AA36&lt;20)),IF(AND(OR(COUNTIF(C36:AF36,"=31")&gt;=1,COUNTIF(C36:AF36,"=32")&gt;=1,COUNTIF(C36:AF36,"=33")&gt;=1,COUNTIF(C36:AF36,"=34")&gt;=1,COUNTIF(C36:AF36,"=35")&gt;=1,COUNTIF(C36:AF36,"=36")&gt;=1 ),COUNTIF(C36:AF36,"")=0,COUNTIF(C36:AF36," ")=0,COUNTIF(C36:AF36,"F")=1),CONCATENATE(SUM(EXTRACTNUMBER(C36),EXTRACTNUMBER(E36),
EXTRACTNUMBER(G36),EXTRACTNUMBER(I36),
EXTRACTNUMBER(K36),EXTRACTNUMBER(M36),
EXTRACTNUMBER(O36),EXTRACTNUMBER(Q36),
EXTRACTNUMBER(S36),EXTRACTNUMBER(U36),
EXTRACTNUMBER(W36),EXTRACTNUMBER(Y36),EXTRACTNUMBER(AA36),
EXTRACTNUMBER(AC36),EXTRACTNUMBER(AE36)),"*"),IF(AND(COUNTIF(C36:AF36,"=34")&gt;=1,COUNTIF(C36:AF36,"=35")&gt;=1,COUNTIF(C36:AF36,"f")=2,COUNTIF(C36:AF36,"")=0,COUNTIF(C36:AF36," ")=0),CONCATENATE(SUM(EXTRACTNUMBER(C36),EXTRACTNUMBER(E36),
EXTRACTNUMBER(G36),EXTRACTNUMBER(I36),
EXTRACTNUMBER(K36),EXTRACTNUMBER(M36),
EXTRACTNUMBER(O36),EXTRACTNUMBER(Q36),
EXTRACTNUMBER(S36),EXTRACTNUMBER(U36),
EXTRACTNUMBER(W36),EXTRACTNUMBER(Y36),EXTRACTNUMBER(AA36),
EXTRACTNUMBER(AC36),EXTRACTNUMBER(AE36)),"*"),IF(AND(COUNTIF(C36:AF36,"=36")&gt;=2,COUNTIF(C36:AF36,"f")=2,COUNTIF(C36:AF36,"")=0,COUNTIF(C36:AF36," ")=0),CONCATENATE(SUM(EXTRACTNUMBER(C36),EXTRACTNUMBER(E36),
EXTRACTNUMBER(G36),EXTRACTNUMBER(I36),
EXTRACTNUMBER(K36),EXTRACTNUMBER(M36),
EXTRACTNUMBER(O36),EXTRACTNUMBER(Q36),
EXTRACTNUMBER(S36),EXTRACTNUMBER(U36),
EXTRACTNUMBER(W36),EXTRACTNUMBER(Y36),EXTRACTNUMBER(AA36),
EXTRACTNUMBER(AC36),EXTRACTNUMBER(AE36)),"*"),SUM(EXTRACTNUMBER(C36),EXTRACTNUMBER(E36),
EXTRACTNUMBER(G36),EXTRACTNUMBER(I36),
EXTRACTNUMBER(K36),EXTRACTNUMBER(M36),
EXTRACTNUMBER(O36),EXTRACTNUMBER(Q36),
EXTRACTNUMBER(S36),EXTRACTNUMBER(U36),
EXTRACTNUMBER(W36),EXTRACTNUMBER(Y36),EXTRACTNUMBER(AA36),
EXTRACTNUMBER(AC36),EXTRACTNUMBER(AE36))))),SUM(EXTRACTNUMBER(C36),EXTRACTNUMBER(E36),
EXTRACTNUMBER(G36),EXTRACTNUMBER(I36),
EXTRACTNUMBER(K36),EXTRACTNUMBER(M36),
EXTRACTNUMBER(O36),EXTRACTNUMBER(Q36),
EXTRACTNUMBER(S36),EXTRACTNUMBER(U36),
EXTRACTNUMBER(W36),EXTRACTNUMBER(Y36),EXTRACTNUMBER(AA36),
EXTRACTNUMBER(AC36),EXTRACTNUMBER(AE36)))</f>
        <v>517</v>
      </c>
      <c r="AH36" s="38" t="str">
        <f t="shared" ca="1" si="15"/>
        <v>PASS</v>
      </c>
      <c r="AI36" s="28" t="str">
        <f>spellnumber(EXTRACTnUMBER_TOT(AG36))</f>
        <v xml:space="preserve">Five Hundred Seventeen </v>
      </c>
    </row>
    <row r="37" spans="1:35" ht="15" customHeight="1">
      <c r="A37" s="58">
        <v>223237</v>
      </c>
      <c r="B37" s="32" t="s">
        <v>195</v>
      </c>
      <c r="C37" s="60">
        <v>40</v>
      </c>
      <c r="D37" s="61" t="str">
        <f t="shared" ca="1" si="1"/>
        <v/>
      </c>
      <c r="E37" s="62">
        <v>16</v>
      </c>
      <c r="F37" s="61" t="str">
        <f t="shared" ca="1" si="2"/>
        <v/>
      </c>
      <c r="G37" s="63">
        <v>66</v>
      </c>
      <c r="H37" s="61" t="str">
        <f t="shared" ca="1" si="3"/>
        <v/>
      </c>
      <c r="I37" s="62">
        <v>23</v>
      </c>
      <c r="J37" s="61" t="str">
        <f t="shared" ca="1" si="4"/>
        <v/>
      </c>
      <c r="K37" s="62">
        <v>18</v>
      </c>
      <c r="L37" s="61" t="str">
        <f t="shared" ca="1" si="5"/>
        <v/>
      </c>
      <c r="M37" s="63">
        <v>58</v>
      </c>
      <c r="N37" s="61" t="str">
        <f t="shared" ca="1" si="0"/>
        <v/>
      </c>
      <c r="O37" s="62">
        <v>22</v>
      </c>
      <c r="P37" s="64" t="str">
        <f t="shared" ca="1" si="6"/>
        <v/>
      </c>
      <c r="Q37" s="60">
        <v>71</v>
      </c>
      <c r="R37" s="61" t="str">
        <f t="shared" ca="1" si="7"/>
        <v/>
      </c>
      <c r="S37" s="62">
        <v>24</v>
      </c>
      <c r="T37" s="64" t="str">
        <f t="shared" ca="1" si="8"/>
        <v/>
      </c>
      <c r="U37" s="60">
        <v>53</v>
      </c>
      <c r="V37" s="61" t="str">
        <f t="shared" ca="1" si="9"/>
        <v/>
      </c>
      <c r="W37" s="62">
        <v>24</v>
      </c>
      <c r="X37" s="64" t="str">
        <f t="shared" ca="1" si="10"/>
        <v/>
      </c>
      <c r="Y37" s="62">
        <v>24</v>
      </c>
      <c r="Z37" s="64" t="str">
        <f t="shared" ca="1" si="11"/>
        <v/>
      </c>
      <c r="AA37" s="60">
        <v>60</v>
      </c>
      <c r="AB37" s="61" t="str">
        <f t="shared" ca="1" si="12"/>
        <v/>
      </c>
      <c r="AC37" s="62">
        <v>23</v>
      </c>
      <c r="AD37" s="61" t="str">
        <f t="shared" ca="1" si="13"/>
        <v/>
      </c>
      <c r="AE37" s="62">
        <v>42</v>
      </c>
      <c r="AF37" s="64" t="str">
        <f t="shared" ca="1" si="14"/>
        <v/>
      </c>
      <c r="AG37" s="66">
        <f>IF(OR(AND(C37&gt;=31,C37&lt;40),AND(G37&gt;=31,G37&lt;40),AND(M37&gt;=31,M37&lt;40),AND(Q37&gt;=31,Q37&lt;40),AND(U37&gt;=31,U37&lt;40),AND(AA37&gt;=11,AA37&lt;20)),IF(AND(OR(COUNTIF(C37:AF37,"=31")&gt;=1,COUNTIF(C37:AF37,"=32")&gt;=1,COUNTIF(C37:AF37,"=33")&gt;=1,COUNTIF(C37:AF37,"=34")&gt;=1,COUNTIF(C37:AF37,"=35")&gt;=1,COUNTIF(C37:AF37,"=36")&gt;=1 ),COUNTIF(C37:AF37,"")=0,COUNTIF(C37:AF37," ")=0,COUNTIF(C37:AF37,"F")=1),CONCATENATE(SUM(EXTRACTNUMBER(C37),EXTRACTNUMBER(E37),
EXTRACTNUMBER(G37),EXTRACTNUMBER(I37),
EXTRACTNUMBER(K37),EXTRACTNUMBER(M37),
EXTRACTNUMBER(O37),EXTRACTNUMBER(Q37),
EXTRACTNUMBER(S37),EXTRACTNUMBER(U37),
EXTRACTNUMBER(W37),EXTRACTNUMBER(Y37),EXTRACTNUMBER(AA37),
EXTRACTNUMBER(AC37),EXTRACTNUMBER(AE37)),"*"),IF(AND(COUNTIF(C37:AF37,"=34")&gt;=1,COUNTIF(C37:AF37,"=35")&gt;=1,COUNTIF(C37:AF37,"f")=2,COUNTIF(C37:AF37,"")=0,COUNTIF(C37:AF37," ")=0),CONCATENATE(SUM(EXTRACTNUMBER(C37),EXTRACTNUMBER(E37),
EXTRACTNUMBER(G37),EXTRACTNUMBER(I37),
EXTRACTNUMBER(K37),EXTRACTNUMBER(M37),
EXTRACTNUMBER(O37),EXTRACTNUMBER(Q37),
EXTRACTNUMBER(S37),EXTRACTNUMBER(U37),
EXTRACTNUMBER(W37),EXTRACTNUMBER(Y37),EXTRACTNUMBER(AA37),
EXTRACTNUMBER(AC37),EXTRACTNUMBER(AE37)),"*"),IF(AND(COUNTIF(C37:AF37,"=36")&gt;=2,COUNTIF(C37:AF37,"f")=2,COUNTIF(C37:AF37,"")=0,COUNTIF(C37:AF37," ")=0),CONCATENATE(SUM(EXTRACTNUMBER(C37),EXTRACTNUMBER(E37),
EXTRACTNUMBER(G37),EXTRACTNUMBER(I37),
EXTRACTNUMBER(K37),EXTRACTNUMBER(M37),
EXTRACTNUMBER(O37),EXTRACTNUMBER(Q37),
EXTRACTNUMBER(S37),EXTRACTNUMBER(U37),
EXTRACTNUMBER(W37),EXTRACTNUMBER(Y37),EXTRACTNUMBER(AA37),
EXTRACTNUMBER(AC37),EXTRACTNUMBER(AE37)),"*"),SUM(EXTRACTNUMBER(C37),EXTRACTNUMBER(E37),
EXTRACTNUMBER(G37),EXTRACTNUMBER(I37),
EXTRACTNUMBER(K37),EXTRACTNUMBER(M37),
EXTRACTNUMBER(O37),EXTRACTNUMBER(Q37),
EXTRACTNUMBER(S37),EXTRACTNUMBER(U37),
EXTRACTNUMBER(W37),EXTRACTNUMBER(Y37),EXTRACTNUMBER(AA37),
EXTRACTNUMBER(AC37),EXTRACTNUMBER(AE37))))),SUM(EXTRACTNUMBER(C37),EXTRACTNUMBER(E37),
EXTRACTNUMBER(G37),EXTRACTNUMBER(I37),
EXTRACTNUMBER(K37),EXTRACTNUMBER(M37),
EXTRACTNUMBER(O37),EXTRACTNUMBER(Q37),
EXTRACTNUMBER(S37),EXTRACTNUMBER(U37),
EXTRACTNUMBER(W37),EXTRACTNUMBER(Y37),EXTRACTNUMBER(AA37),
EXTRACTNUMBER(AC37),EXTRACTNUMBER(AE37)))</f>
        <v>564</v>
      </c>
      <c r="AH37" s="38" t="str">
        <f t="shared" ca="1" si="15"/>
        <v>PASS</v>
      </c>
      <c r="AI37" s="28" t="str">
        <f>spellnumber(EXTRACTnUMBER_TOT(AG37))</f>
        <v xml:space="preserve">Five Hundred Sixty Four </v>
      </c>
    </row>
    <row r="38" spans="1:35" ht="15" customHeight="1">
      <c r="A38" s="58">
        <v>223238</v>
      </c>
      <c r="B38" s="32" t="s">
        <v>196</v>
      </c>
      <c r="C38" s="60">
        <v>40</v>
      </c>
      <c r="D38" s="61" t="str">
        <f t="shared" ca="1" si="1"/>
        <v/>
      </c>
      <c r="E38" s="62">
        <v>24</v>
      </c>
      <c r="F38" s="61" t="str">
        <f t="shared" ca="1" si="2"/>
        <v/>
      </c>
      <c r="G38" s="63">
        <v>74</v>
      </c>
      <c r="H38" s="61" t="str">
        <f t="shared" ca="1" si="3"/>
        <v/>
      </c>
      <c r="I38" s="62">
        <v>19</v>
      </c>
      <c r="J38" s="61" t="str">
        <f t="shared" ca="1" si="4"/>
        <v/>
      </c>
      <c r="K38" s="62">
        <v>17</v>
      </c>
      <c r="L38" s="61" t="str">
        <f t="shared" ca="1" si="5"/>
        <v/>
      </c>
      <c r="M38" s="63">
        <v>49</v>
      </c>
      <c r="N38" s="61" t="str">
        <f t="shared" ca="1" si="0"/>
        <v/>
      </c>
      <c r="O38" s="62">
        <v>23</v>
      </c>
      <c r="P38" s="64" t="str">
        <f t="shared" ca="1" si="6"/>
        <v/>
      </c>
      <c r="Q38" s="60">
        <v>52</v>
      </c>
      <c r="R38" s="61" t="str">
        <f t="shared" ca="1" si="7"/>
        <v/>
      </c>
      <c r="S38" s="62">
        <v>23</v>
      </c>
      <c r="T38" s="64" t="str">
        <f t="shared" ca="1" si="8"/>
        <v/>
      </c>
      <c r="U38" s="60">
        <v>58</v>
      </c>
      <c r="V38" s="61" t="str">
        <f t="shared" ca="1" si="9"/>
        <v/>
      </c>
      <c r="W38" s="62">
        <v>21</v>
      </c>
      <c r="X38" s="64" t="str">
        <f t="shared" ca="1" si="10"/>
        <v/>
      </c>
      <c r="Y38" s="62">
        <v>21</v>
      </c>
      <c r="Z38" s="64" t="str">
        <f t="shared" ca="1" si="11"/>
        <v/>
      </c>
      <c r="AA38" s="60">
        <v>50</v>
      </c>
      <c r="AB38" s="61" t="str">
        <f t="shared" ca="1" si="12"/>
        <v/>
      </c>
      <c r="AC38" s="62">
        <v>21</v>
      </c>
      <c r="AD38" s="61" t="str">
        <f t="shared" ca="1" si="13"/>
        <v/>
      </c>
      <c r="AE38" s="62">
        <v>40</v>
      </c>
      <c r="AF38" s="64" t="str">
        <f t="shared" ca="1" si="14"/>
        <v/>
      </c>
      <c r="AG38" s="66">
        <f>IF(OR(AND(C38&gt;=31,C38&lt;40),AND(G38&gt;=31,G38&lt;40),AND(M38&gt;=31,M38&lt;40),AND(Q38&gt;=31,Q38&lt;40),AND(U38&gt;=31,U38&lt;40),AND(AA38&gt;=11,AA38&lt;20)),IF(AND(OR(COUNTIF(C38:AF38,"=31")&gt;=1,COUNTIF(C38:AF38,"=32")&gt;=1,COUNTIF(C38:AF38,"=33")&gt;=1,COUNTIF(C38:AF38,"=34")&gt;=1,COUNTIF(C38:AF38,"=35")&gt;=1,COUNTIF(C38:AF38,"=36")&gt;=1 ),COUNTIF(C38:AF38,"")=0,COUNTIF(C38:AF38," ")=0,COUNTIF(C38:AF38,"F")=1),CONCATENATE(SUM(EXTRACTNUMBER(C38),EXTRACTNUMBER(E38),
EXTRACTNUMBER(G38),EXTRACTNUMBER(I38),
EXTRACTNUMBER(K38),EXTRACTNUMBER(M38),
EXTRACTNUMBER(O38),EXTRACTNUMBER(Q38),
EXTRACTNUMBER(S38),EXTRACTNUMBER(U38),
EXTRACTNUMBER(W38),EXTRACTNUMBER(Y38),EXTRACTNUMBER(AA38),
EXTRACTNUMBER(AC38),EXTRACTNUMBER(AE38)),"*"),IF(AND(COUNTIF(C38:AF38,"=34")&gt;=1,COUNTIF(C38:AF38,"=35")&gt;=1,COUNTIF(C38:AF38,"f")=2,COUNTIF(C38:AF38,"")=0,COUNTIF(C38:AF38," ")=0),CONCATENATE(SUM(EXTRACTNUMBER(C38),EXTRACTNUMBER(E38),
EXTRACTNUMBER(G38),EXTRACTNUMBER(I38),
EXTRACTNUMBER(K38),EXTRACTNUMBER(M38),
EXTRACTNUMBER(O38),EXTRACTNUMBER(Q38),
EXTRACTNUMBER(S38),EXTRACTNUMBER(U38),
EXTRACTNUMBER(W38),EXTRACTNUMBER(Y38),EXTRACTNUMBER(AA38),
EXTRACTNUMBER(AC38),EXTRACTNUMBER(AE38)),"*"),IF(AND(COUNTIF(C38:AF38,"=36")&gt;=2,COUNTIF(C38:AF38,"f")=2,COUNTIF(C38:AF38,"")=0,COUNTIF(C38:AF38," ")=0),CONCATENATE(SUM(EXTRACTNUMBER(C38),EXTRACTNUMBER(E38),
EXTRACTNUMBER(G38),EXTRACTNUMBER(I38),
EXTRACTNUMBER(K38),EXTRACTNUMBER(M38),
EXTRACTNUMBER(O38),EXTRACTNUMBER(Q38),
EXTRACTNUMBER(S38),EXTRACTNUMBER(U38),
EXTRACTNUMBER(W38),EXTRACTNUMBER(Y38),EXTRACTNUMBER(AA38),
EXTRACTNUMBER(AC38),EXTRACTNUMBER(AE38)),"*"),SUM(EXTRACTNUMBER(C38),EXTRACTNUMBER(E38),
EXTRACTNUMBER(G38),EXTRACTNUMBER(I38),
EXTRACTNUMBER(K38),EXTRACTNUMBER(M38),
EXTRACTNUMBER(O38),EXTRACTNUMBER(Q38),
EXTRACTNUMBER(S38),EXTRACTNUMBER(U38),
EXTRACTNUMBER(W38),EXTRACTNUMBER(Y38),EXTRACTNUMBER(AA38),
EXTRACTNUMBER(AC38),EXTRACTNUMBER(AE38))))),SUM(EXTRACTNUMBER(C38),EXTRACTNUMBER(E38),
EXTRACTNUMBER(G38),EXTRACTNUMBER(I38),
EXTRACTNUMBER(K38),EXTRACTNUMBER(M38),
EXTRACTNUMBER(O38),EXTRACTNUMBER(Q38),
EXTRACTNUMBER(S38),EXTRACTNUMBER(U38),
EXTRACTNUMBER(W38),EXTRACTNUMBER(Y38),EXTRACTNUMBER(AA38),
EXTRACTNUMBER(AC38),EXTRACTNUMBER(AE38)))</f>
        <v>532</v>
      </c>
      <c r="AH38" s="38" t="str">
        <f t="shared" ca="1" si="15"/>
        <v>PASS</v>
      </c>
      <c r="AI38" s="28" t="str">
        <f>spellnumber(EXTRACTnUMBER_TOT(AG38))</f>
        <v xml:space="preserve">Five Hundred Thirty Two </v>
      </c>
    </row>
    <row r="39" spans="1:35" ht="15" customHeight="1">
      <c r="A39" s="58">
        <v>223239</v>
      </c>
      <c r="B39" s="32" t="s">
        <v>197</v>
      </c>
      <c r="C39" s="60">
        <v>29</v>
      </c>
      <c r="D39" s="61" t="str">
        <f t="shared" ca="1" si="1"/>
        <v>F</v>
      </c>
      <c r="E39" s="62">
        <v>18</v>
      </c>
      <c r="F39" s="61" t="str">
        <f t="shared" ca="1" si="2"/>
        <v>E</v>
      </c>
      <c r="G39" s="63">
        <v>78</v>
      </c>
      <c r="H39" s="61" t="str">
        <f t="shared" ca="1" si="3"/>
        <v>E</v>
      </c>
      <c r="I39" s="62">
        <v>22</v>
      </c>
      <c r="J39" s="61" t="str">
        <f t="shared" ca="1" si="4"/>
        <v>E</v>
      </c>
      <c r="K39" s="62">
        <v>19</v>
      </c>
      <c r="L39" s="61" t="str">
        <f t="shared" ca="1" si="5"/>
        <v>E</v>
      </c>
      <c r="M39" s="63">
        <v>44</v>
      </c>
      <c r="N39" s="61" t="str">
        <f t="shared" ca="1" si="0"/>
        <v>E</v>
      </c>
      <c r="O39" s="62">
        <v>19</v>
      </c>
      <c r="P39" s="64" t="str">
        <f t="shared" ca="1" si="6"/>
        <v>E</v>
      </c>
      <c r="Q39" s="60">
        <v>65</v>
      </c>
      <c r="R39" s="61" t="str">
        <f t="shared" ca="1" si="7"/>
        <v>E</v>
      </c>
      <c r="S39" s="62">
        <v>20</v>
      </c>
      <c r="T39" s="64" t="str">
        <f t="shared" ca="1" si="8"/>
        <v>E</v>
      </c>
      <c r="U39" s="60">
        <v>52</v>
      </c>
      <c r="V39" s="61" t="str">
        <f t="shared" ca="1" si="9"/>
        <v>E</v>
      </c>
      <c r="W39" s="62">
        <v>21</v>
      </c>
      <c r="X39" s="64" t="str">
        <f t="shared" ca="1" si="10"/>
        <v>E</v>
      </c>
      <c r="Y39" s="62">
        <v>21</v>
      </c>
      <c r="Z39" s="64" t="str">
        <f t="shared" ca="1" si="11"/>
        <v>E</v>
      </c>
      <c r="AA39" s="60">
        <v>44</v>
      </c>
      <c r="AB39" s="61" t="str">
        <f t="shared" ca="1" si="12"/>
        <v>E</v>
      </c>
      <c r="AC39" s="62">
        <v>19</v>
      </c>
      <c r="AD39" s="61" t="str">
        <f t="shared" ca="1" si="13"/>
        <v>E</v>
      </c>
      <c r="AE39" s="62">
        <v>39</v>
      </c>
      <c r="AF39" s="64" t="str">
        <f t="shared" ca="1" si="14"/>
        <v>E</v>
      </c>
      <c r="AG39" s="66">
        <f>IF(OR(AND(C39&gt;=31,C39&lt;40),AND(G39&gt;=31,G39&lt;40),AND(M39&gt;=31,M39&lt;40),AND(Q39&gt;=31,Q39&lt;40),AND(U39&gt;=31,U39&lt;40),AND(AA39&gt;=11,AA39&lt;20)),IF(AND(OR(COUNTIF(C39:AF39,"=31")&gt;=1,COUNTIF(C39:AF39,"=32")&gt;=1,COUNTIF(C39:AF39,"=33")&gt;=1,COUNTIF(C39:AF39,"=34")&gt;=1,COUNTIF(C39:AF39,"=35")&gt;=1,COUNTIF(C39:AF39,"=36")&gt;=1 ),COUNTIF(C39:AF39,"")=0,COUNTIF(C39:AF39," ")=0,COUNTIF(C39:AF39,"F")=1),CONCATENATE(SUM(EXTRACTNUMBER(C39),EXTRACTNUMBER(E39),
EXTRACTNUMBER(G39),EXTRACTNUMBER(I39),
EXTRACTNUMBER(K39),EXTRACTNUMBER(M39),
EXTRACTNUMBER(O39),EXTRACTNUMBER(Q39),
EXTRACTNUMBER(S39),EXTRACTNUMBER(U39),
EXTRACTNUMBER(W39),EXTRACTNUMBER(Y39),EXTRACTNUMBER(AA39),
EXTRACTNUMBER(AC39),EXTRACTNUMBER(AE39)),"*"),IF(AND(COUNTIF(C39:AF39,"=34")&gt;=1,COUNTIF(C39:AF39,"=35")&gt;=1,COUNTIF(C39:AF39,"f")=2,COUNTIF(C39:AF39,"")=0,COUNTIF(C39:AF39," ")=0),CONCATENATE(SUM(EXTRACTNUMBER(C39),EXTRACTNUMBER(E39),
EXTRACTNUMBER(G39),EXTRACTNUMBER(I39),
EXTRACTNUMBER(K39),EXTRACTNUMBER(M39),
EXTRACTNUMBER(O39),EXTRACTNUMBER(Q39),
EXTRACTNUMBER(S39),EXTRACTNUMBER(U39),
EXTRACTNUMBER(W39),EXTRACTNUMBER(Y39),EXTRACTNUMBER(AA39),
EXTRACTNUMBER(AC39),EXTRACTNUMBER(AE39)),"*"),IF(AND(COUNTIF(C39:AF39,"=36")&gt;=2,COUNTIF(C39:AF39,"f")=2,COUNTIF(C39:AF39,"")=0,COUNTIF(C39:AF39," ")=0),CONCATENATE(SUM(EXTRACTNUMBER(C39),EXTRACTNUMBER(E39),
EXTRACTNUMBER(G39),EXTRACTNUMBER(I39),
EXTRACTNUMBER(K39),EXTRACTNUMBER(M39),
EXTRACTNUMBER(O39),EXTRACTNUMBER(Q39),
EXTRACTNUMBER(S39),EXTRACTNUMBER(U39),
EXTRACTNUMBER(W39),EXTRACTNUMBER(Y39),EXTRACTNUMBER(AA39),
EXTRACTNUMBER(AC39),EXTRACTNUMBER(AE39)),"*"),SUM(EXTRACTNUMBER(C39),EXTRACTNUMBER(E39),
EXTRACTNUMBER(G39),EXTRACTNUMBER(I39),
EXTRACTNUMBER(K39),EXTRACTNUMBER(M39),
EXTRACTNUMBER(O39),EXTRACTNUMBER(Q39),
EXTRACTNUMBER(S39),EXTRACTNUMBER(U39),
EXTRACTNUMBER(W39),EXTRACTNUMBER(Y39),EXTRACTNUMBER(AA39),
EXTRACTNUMBER(AC39),EXTRACTNUMBER(AE39))))),SUM(EXTRACTNUMBER(C39),EXTRACTNUMBER(E39),
EXTRACTNUMBER(G39),EXTRACTNUMBER(I39),
EXTRACTNUMBER(K39),EXTRACTNUMBER(M39),
EXTRACTNUMBER(O39),EXTRACTNUMBER(Q39),
EXTRACTNUMBER(S39),EXTRACTNUMBER(U39),
EXTRACTNUMBER(W39),EXTRACTNUMBER(Y39),EXTRACTNUMBER(AA39),
EXTRACTNUMBER(AC39),EXTRACTNUMBER(AE39)))</f>
        <v>510</v>
      </c>
      <c r="AH39" s="38" t="str">
        <f t="shared" ca="1" si="15"/>
        <v>FAIL</v>
      </c>
      <c r="AI39" s="28" t="str">
        <f>spellnumber(EXTRACTnUMBER_TOT(AG39))</f>
        <v xml:space="preserve">Five Hundred Ten </v>
      </c>
    </row>
    <row r="40" spans="1:35" ht="15" customHeight="1">
      <c r="A40" s="58">
        <v>223240</v>
      </c>
      <c r="B40" s="32" t="s">
        <v>198</v>
      </c>
      <c r="C40" s="60">
        <v>83</v>
      </c>
      <c r="D40" s="61" t="str">
        <f t="shared" ca="1" si="1"/>
        <v/>
      </c>
      <c r="E40" s="62">
        <v>24</v>
      </c>
      <c r="F40" s="61" t="str">
        <f t="shared" ca="1" si="2"/>
        <v/>
      </c>
      <c r="G40" s="63">
        <v>85</v>
      </c>
      <c r="H40" s="61" t="str">
        <f t="shared" ca="1" si="3"/>
        <v/>
      </c>
      <c r="I40" s="62">
        <v>24</v>
      </c>
      <c r="J40" s="61" t="str">
        <f t="shared" ca="1" si="4"/>
        <v/>
      </c>
      <c r="K40" s="62">
        <v>21</v>
      </c>
      <c r="L40" s="61" t="str">
        <f t="shared" ca="1" si="5"/>
        <v/>
      </c>
      <c r="M40" s="63">
        <v>94</v>
      </c>
      <c r="N40" s="61" t="str">
        <f t="shared" ca="1" si="0"/>
        <v/>
      </c>
      <c r="O40" s="62">
        <v>24</v>
      </c>
      <c r="P40" s="64" t="str">
        <f t="shared" ca="1" si="6"/>
        <v/>
      </c>
      <c r="Q40" s="60">
        <v>82</v>
      </c>
      <c r="R40" s="61" t="str">
        <f t="shared" ca="1" si="7"/>
        <v/>
      </c>
      <c r="S40" s="62">
        <v>24</v>
      </c>
      <c r="T40" s="64" t="str">
        <f t="shared" ca="1" si="8"/>
        <v/>
      </c>
      <c r="U40" s="60">
        <v>60</v>
      </c>
      <c r="V40" s="61" t="str">
        <f t="shared" ca="1" si="9"/>
        <v/>
      </c>
      <c r="W40" s="62">
        <v>24</v>
      </c>
      <c r="X40" s="64" t="str">
        <f t="shared" ca="1" si="10"/>
        <v/>
      </c>
      <c r="Y40" s="62">
        <v>24</v>
      </c>
      <c r="Z40" s="64" t="str">
        <f t="shared" ca="1" si="11"/>
        <v/>
      </c>
      <c r="AA40" s="60">
        <v>48</v>
      </c>
      <c r="AB40" s="61" t="str">
        <f t="shared" ca="1" si="12"/>
        <v/>
      </c>
      <c r="AC40" s="62">
        <v>24</v>
      </c>
      <c r="AD40" s="61" t="str">
        <f t="shared" ca="1" si="13"/>
        <v/>
      </c>
      <c r="AE40" s="62">
        <v>46</v>
      </c>
      <c r="AF40" s="64" t="str">
        <f t="shared" ca="1" si="14"/>
        <v/>
      </c>
      <c r="AG40" s="66">
        <f>IF(OR(AND(C40&gt;=31,C40&lt;40),AND(G40&gt;=31,G40&lt;40),AND(M40&gt;=31,M40&lt;40),AND(Q40&gt;=31,Q40&lt;40),AND(U40&gt;=31,U40&lt;40),AND(AA40&gt;=11,AA40&lt;20)),IF(AND(OR(COUNTIF(C40:AF40,"=31")&gt;=1,COUNTIF(C40:AF40,"=32")&gt;=1,COUNTIF(C40:AF40,"=33")&gt;=1,COUNTIF(C40:AF40,"=34")&gt;=1,COUNTIF(C40:AF40,"=35")&gt;=1,COUNTIF(C40:AF40,"=36")&gt;=1 ),COUNTIF(C40:AF40,"")=0,COUNTIF(C40:AF40," ")=0,COUNTIF(C40:AF40,"F")=1),CONCATENATE(SUM(EXTRACTNUMBER(C40),EXTRACTNUMBER(E40),
EXTRACTNUMBER(G40),EXTRACTNUMBER(I40),
EXTRACTNUMBER(K40),EXTRACTNUMBER(M40),
EXTRACTNUMBER(O40),EXTRACTNUMBER(Q40),
EXTRACTNUMBER(S40),EXTRACTNUMBER(U40),
EXTRACTNUMBER(W40),EXTRACTNUMBER(Y40),EXTRACTNUMBER(AA40),
EXTRACTNUMBER(AC40),EXTRACTNUMBER(AE40)),"*"),IF(AND(COUNTIF(C40:AF40,"=34")&gt;=1,COUNTIF(C40:AF40,"=35")&gt;=1,COUNTIF(C40:AF40,"f")=2,COUNTIF(C40:AF40,"")=0,COUNTIF(C40:AF40," ")=0),CONCATENATE(SUM(EXTRACTNUMBER(C40),EXTRACTNUMBER(E40),
EXTRACTNUMBER(G40),EXTRACTNUMBER(I40),
EXTRACTNUMBER(K40),EXTRACTNUMBER(M40),
EXTRACTNUMBER(O40),EXTRACTNUMBER(Q40),
EXTRACTNUMBER(S40),EXTRACTNUMBER(U40),
EXTRACTNUMBER(W40),EXTRACTNUMBER(Y40),EXTRACTNUMBER(AA40),
EXTRACTNUMBER(AC40),EXTRACTNUMBER(AE40)),"*"),IF(AND(COUNTIF(C40:AF40,"=36")&gt;=2,COUNTIF(C40:AF40,"f")=2,COUNTIF(C40:AF40,"")=0,COUNTIF(C40:AF40," ")=0),CONCATENATE(SUM(EXTRACTNUMBER(C40),EXTRACTNUMBER(E40),
EXTRACTNUMBER(G40),EXTRACTNUMBER(I40),
EXTRACTNUMBER(K40),EXTRACTNUMBER(M40),
EXTRACTNUMBER(O40),EXTRACTNUMBER(Q40),
EXTRACTNUMBER(S40),EXTRACTNUMBER(U40),
EXTRACTNUMBER(W40),EXTRACTNUMBER(Y40),EXTRACTNUMBER(AA40),
EXTRACTNUMBER(AC40),EXTRACTNUMBER(AE40)),"*"),SUM(EXTRACTNUMBER(C40),EXTRACTNUMBER(E40),
EXTRACTNUMBER(G40),EXTRACTNUMBER(I40),
EXTRACTNUMBER(K40),EXTRACTNUMBER(M40),
EXTRACTNUMBER(O40),EXTRACTNUMBER(Q40),
EXTRACTNUMBER(S40),EXTRACTNUMBER(U40),
EXTRACTNUMBER(W40),EXTRACTNUMBER(Y40),EXTRACTNUMBER(AA40),
EXTRACTNUMBER(AC40),EXTRACTNUMBER(AE40))))),SUM(EXTRACTNUMBER(C40),EXTRACTNUMBER(E40),
EXTRACTNUMBER(G40),EXTRACTNUMBER(I40),
EXTRACTNUMBER(K40),EXTRACTNUMBER(M40),
EXTRACTNUMBER(O40),EXTRACTNUMBER(Q40),
EXTRACTNUMBER(S40),EXTRACTNUMBER(U40),
EXTRACTNUMBER(W40),EXTRACTNUMBER(Y40),EXTRACTNUMBER(AA40),
EXTRACTNUMBER(AC40),EXTRACTNUMBER(AE40)))</f>
        <v>687</v>
      </c>
      <c r="AH40" s="38" t="str">
        <f t="shared" ca="1" si="15"/>
        <v>PASS</v>
      </c>
      <c r="AI40" s="28" t="str">
        <f>spellnumber(EXTRACTnUMBER_TOT(AG40))</f>
        <v xml:space="preserve">Six Hundred Eighty Seven </v>
      </c>
    </row>
    <row r="41" spans="1:35" ht="15" customHeight="1">
      <c r="A41" s="58">
        <v>223241</v>
      </c>
      <c r="B41" s="32" t="s">
        <v>199</v>
      </c>
      <c r="C41" s="60">
        <v>50</v>
      </c>
      <c r="D41" s="61" t="str">
        <f t="shared" ca="1" si="1"/>
        <v/>
      </c>
      <c r="E41" s="62">
        <v>22</v>
      </c>
      <c r="F41" s="61" t="str">
        <f t="shared" ca="1" si="2"/>
        <v/>
      </c>
      <c r="G41" s="63">
        <v>71</v>
      </c>
      <c r="H41" s="61" t="str">
        <f t="shared" ca="1" si="3"/>
        <v/>
      </c>
      <c r="I41" s="62">
        <v>20</v>
      </c>
      <c r="J41" s="61" t="str">
        <f t="shared" ca="1" si="4"/>
        <v/>
      </c>
      <c r="K41" s="62">
        <v>18</v>
      </c>
      <c r="L41" s="61" t="str">
        <f t="shared" ca="1" si="5"/>
        <v/>
      </c>
      <c r="M41" s="63">
        <v>72</v>
      </c>
      <c r="N41" s="61" t="str">
        <f t="shared" ca="1" si="0"/>
        <v/>
      </c>
      <c r="O41" s="62">
        <v>23</v>
      </c>
      <c r="P41" s="64" t="str">
        <f t="shared" ca="1" si="6"/>
        <v/>
      </c>
      <c r="Q41" s="60">
        <v>68</v>
      </c>
      <c r="R41" s="61" t="str">
        <f t="shared" ca="1" si="7"/>
        <v/>
      </c>
      <c r="S41" s="62">
        <v>24</v>
      </c>
      <c r="T41" s="64" t="str">
        <f t="shared" ca="1" si="8"/>
        <v/>
      </c>
      <c r="U41" s="60">
        <v>66</v>
      </c>
      <c r="V41" s="61" t="str">
        <f t="shared" ca="1" si="9"/>
        <v/>
      </c>
      <c r="W41" s="62">
        <v>22</v>
      </c>
      <c r="X41" s="64" t="str">
        <f t="shared" ca="1" si="10"/>
        <v/>
      </c>
      <c r="Y41" s="62">
        <v>21</v>
      </c>
      <c r="Z41" s="64" t="str">
        <f t="shared" ca="1" si="11"/>
        <v/>
      </c>
      <c r="AA41" s="60">
        <v>52</v>
      </c>
      <c r="AB41" s="61" t="str">
        <f t="shared" ca="1" si="12"/>
        <v/>
      </c>
      <c r="AC41" s="62">
        <v>22</v>
      </c>
      <c r="AD41" s="61" t="str">
        <f t="shared" ca="1" si="13"/>
        <v/>
      </c>
      <c r="AE41" s="62">
        <v>39</v>
      </c>
      <c r="AF41" s="64" t="str">
        <f t="shared" ca="1" si="14"/>
        <v/>
      </c>
      <c r="AG41" s="66">
        <f>IF(OR(AND(C41&gt;=31,C41&lt;40),AND(G41&gt;=31,G41&lt;40),AND(M41&gt;=31,M41&lt;40),AND(Q41&gt;=31,Q41&lt;40),AND(U41&gt;=31,U41&lt;40),AND(AA41&gt;=11,AA41&lt;20)),IF(AND(OR(COUNTIF(C41:AF41,"=31")&gt;=1,COUNTIF(C41:AF41,"=32")&gt;=1,COUNTIF(C41:AF41,"=33")&gt;=1,COUNTIF(C41:AF41,"=34")&gt;=1,COUNTIF(C41:AF41,"=35")&gt;=1,COUNTIF(C41:AF41,"=36")&gt;=1 ),COUNTIF(C41:AF41,"")=0,COUNTIF(C41:AF41," ")=0,COUNTIF(C41:AF41,"F")=1),CONCATENATE(SUM(EXTRACTNUMBER(C41),EXTRACTNUMBER(E41),
EXTRACTNUMBER(G41),EXTRACTNUMBER(I41),
EXTRACTNUMBER(K41),EXTRACTNUMBER(M41),
EXTRACTNUMBER(O41),EXTRACTNUMBER(Q41),
EXTRACTNUMBER(S41),EXTRACTNUMBER(U41),
EXTRACTNUMBER(W41),EXTRACTNUMBER(Y41),EXTRACTNUMBER(AA41),
EXTRACTNUMBER(AC41),EXTRACTNUMBER(AE41)),"*"),IF(AND(COUNTIF(C41:AF41,"=34")&gt;=1,COUNTIF(C41:AF41,"=35")&gt;=1,COUNTIF(C41:AF41,"f")=2,COUNTIF(C41:AF41,"")=0,COUNTIF(C41:AF41," ")=0),CONCATENATE(SUM(EXTRACTNUMBER(C41),EXTRACTNUMBER(E41),
EXTRACTNUMBER(G41),EXTRACTNUMBER(I41),
EXTRACTNUMBER(K41),EXTRACTNUMBER(M41),
EXTRACTNUMBER(O41),EXTRACTNUMBER(Q41),
EXTRACTNUMBER(S41),EXTRACTNUMBER(U41),
EXTRACTNUMBER(W41),EXTRACTNUMBER(Y41),EXTRACTNUMBER(AA41),
EXTRACTNUMBER(AC41),EXTRACTNUMBER(AE41)),"*"),IF(AND(COUNTIF(C41:AF41,"=36")&gt;=2,COUNTIF(C41:AF41,"f")=2,COUNTIF(C41:AF41,"")=0,COUNTIF(C41:AF41," ")=0),CONCATENATE(SUM(EXTRACTNUMBER(C41),EXTRACTNUMBER(E41),
EXTRACTNUMBER(G41),EXTRACTNUMBER(I41),
EXTRACTNUMBER(K41),EXTRACTNUMBER(M41),
EXTRACTNUMBER(O41),EXTRACTNUMBER(Q41),
EXTRACTNUMBER(S41),EXTRACTNUMBER(U41),
EXTRACTNUMBER(W41),EXTRACTNUMBER(Y41),EXTRACTNUMBER(AA41),
EXTRACTNUMBER(AC41),EXTRACTNUMBER(AE41)),"*"),SUM(EXTRACTNUMBER(C41),EXTRACTNUMBER(E41),
EXTRACTNUMBER(G41),EXTRACTNUMBER(I41),
EXTRACTNUMBER(K41),EXTRACTNUMBER(M41),
EXTRACTNUMBER(O41),EXTRACTNUMBER(Q41),
EXTRACTNUMBER(S41),EXTRACTNUMBER(U41),
EXTRACTNUMBER(W41),EXTRACTNUMBER(Y41),EXTRACTNUMBER(AA41),
EXTRACTNUMBER(AC41),EXTRACTNUMBER(AE41))))),SUM(EXTRACTNUMBER(C41),EXTRACTNUMBER(E41),
EXTRACTNUMBER(G41),EXTRACTNUMBER(I41),
EXTRACTNUMBER(K41),EXTRACTNUMBER(M41),
EXTRACTNUMBER(O41),EXTRACTNUMBER(Q41),
EXTRACTNUMBER(S41),EXTRACTNUMBER(U41),
EXTRACTNUMBER(W41),EXTRACTNUMBER(Y41),EXTRACTNUMBER(AA41),
EXTRACTNUMBER(AC41),EXTRACTNUMBER(AE41)))</f>
        <v>590</v>
      </c>
      <c r="AH41" s="38" t="str">
        <f t="shared" ca="1" si="15"/>
        <v>PASS</v>
      </c>
      <c r="AI41" s="28" t="str">
        <f>spellnumber(EXTRACTnUMBER_TOT(AG41))</f>
        <v xml:space="preserve">Five Hundred Ninety </v>
      </c>
    </row>
    <row r="42" spans="1:35" ht="15" customHeight="1">
      <c r="A42" s="58">
        <v>223242</v>
      </c>
      <c r="B42" s="32" t="s">
        <v>200</v>
      </c>
      <c r="C42" s="60">
        <v>26</v>
      </c>
      <c r="D42" s="61" t="str">
        <f t="shared" ca="1" si="1"/>
        <v>F</v>
      </c>
      <c r="E42" s="62">
        <v>15</v>
      </c>
      <c r="F42" s="61" t="str">
        <f t="shared" ca="1" si="2"/>
        <v>E</v>
      </c>
      <c r="G42" s="63">
        <v>40</v>
      </c>
      <c r="H42" s="61" t="str">
        <f t="shared" ca="1" si="3"/>
        <v>E</v>
      </c>
      <c r="I42" s="62">
        <v>18</v>
      </c>
      <c r="J42" s="61" t="str">
        <f t="shared" ca="1" si="4"/>
        <v>E</v>
      </c>
      <c r="K42" s="62">
        <v>19</v>
      </c>
      <c r="L42" s="61" t="str">
        <f t="shared" ca="1" si="5"/>
        <v>E</v>
      </c>
      <c r="M42" s="63">
        <v>44</v>
      </c>
      <c r="N42" s="61" t="str">
        <f t="shared" ca="1" si="0"/>
        <v>E</v>
      </c>
      <c r="O42" s="62">
        <v>16</v>
      </c>
      <c r="P42" s="64" t="str">
        <f t="shared" ca="1" si="6"/>
        <v>E</v>
      </c>
      <c r="Q42" s="60">
        <v>60</v>
      </c>
      <c r="R42" s="61" t="str">
        <f t="shared" ca="1" si="7"/>
        <v>E</v>
      </c>
      <c r="S42" s="62">
        <v>20</v>
      </c>
      <c r="T42" s="64" t="str">
        <f t="shared" ca="1" si="8"/>
        <v>E</v>
      </c>
      <c r="U42" s="60">
        <v>45</v>
      </c>
      <c r="V42" s="61" t="str">
        <f t="shared" ca="1" si="9"/>
        <v>E</v>
      </c>
      <c r="W42" s="62">
        <v>17</v>
      </c>
      <c r="X42" s="64" t="str">
        <f t="shared" ca="1" si="10"/>
        <v>E</v>
      </c>
      <c r="Y42" s="62">
        <v>18</v>
      </c>
      <c r="Z42" s="64" t="str">
        <f t="shared" ca="1" si="11"/>
        <v>E</v>
      </c>
      <c r="AA42" s="60">
        <v>42</v>
      </c>
      <c r="AB42" s="61" t="str">
        <f t="shared" ca="1" si="12"/>
        <v>E</v>
      </c>
      <c r="AC42" s="62">
        <v>19</v>
      </c>
      <c r="AD42" s="61" t="str">
        <f t="shared" ca="1" si="13"/>
        <v>E</v>
      </c>
      <c r="AE42" s="62">
        <v>32</v>
      </c>
      <c r="AF42" s="64" t="str">
        <f t="shared" ca="1" si="14"/>
        <v>E</v>
      </c>
      <c r="AG42" s="66">
        <f>IF(OR(AND(C42&gt;=31,C42&lt;40),AND(G42&gt;=31,G42&lt;40),AND(M42&gt;=31,M42&lt;40),AND(Q42&gt;=31,Q42&lt;40),AND(U42&gt;=31,U42&lt;40),AND(AA42&gt;=11,AA42&lt;20)),IF(AND(OR(COUNTIF(C42:AF42,"=31")&gt;=1,COUNTIF(C42:AF42,"=32")&gt;=1,COUNTIF(C42:AF42,"=33")&gt;=1,COUNTIF(C42:AF42,"=34")&gt;=1,COUNTIF(C42:AF42,"=35")&gt;=1,COUNTIF(C42:AF42,"=36")&gt;=1 ),COUNTIF(C42:AF42,"")=0,COUNTIF(C42:AF42," ")=0,COUNTIF(C42:AF42,"F")=1),CONCATENATE(SUM(EXTRACTNUMBER(C42),EXTRACTNUMBER(E42),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EXTRACTNUMBER(AC42),EXTRACTNUMBER(AE42)),"*"),IF(AND(COUNTIF(C42:AF42,"=34")&gt;=1,COUNTIF(C42:AF42,"=35")&gt;=1,COUNTIF(C42:AF42,"f")=2,COUNTIF(C42:AF42,"")=0,COUNTIF(C42:AF42," ")=0),CONCATENATE(SUM(EXTRACTNUMBER(C42),EXTRACTNUMBER(E42),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EXTRACTNUMBER(AC42),EXTRACTNUMBER(AE42)),"*"),IF(AND(COUNTIF(C42:AF42,"=36")&gt;=2,COUNTIF(C42:AF42,"f")=2,COUNTIF(C42:AF42,"")=0,COUNTIF(C42:AF42," ")=0),CONCATENATE(SUM(EXTRACTNUMBER(C42),EXTRACTNUMBER(E42),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EXTRACTNUMBER(AC42),EXTRACTNUMBER(AE42)),"*"),SUM(EXTRACTNUMBER(C42),EXTRACTNUMBER(E42),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EXTRACTNUMBER(AC42),EXTRACTNUMBER(AE42))))),SUM(EXTRACTNUMBER(C42),EXTRACTNUMBER(E42),
EXTRACTNUMBER(G42),EXTRACTNUMBER(I42),
EXTRACTNUMBER(K42),EXTRACTNUMBER(M42),
EXTRACTNUMBER(O42),EXTRACTNUMBER(Q42),
EXTRACTNUMBER(S42),EXTRACTNUMBER(U42),
EXTRACTNUMBER(W42),EXTRACTNUMBER(Y42),EXTRACTNUMBER(AA42),
EXTRACTNUMBER(AC42),EXTRACTNUMBER(AE42)))</f>
        <v>431</v>
      </c>
      <c r="AH42" s="38" t="str">
        <f t="shared" ca="1" si="15"/>
        <v>FAIL</v>
      </c>
      <c r="AI42" s="28" t="str">
        <f>spellnumber(EXTRACTnUMBER_TOT(AG42))</f>
        <v xml:space="preserve">Four Hundred Thirty One </v>
      </c>
    </row>
    <row r="43" spans="1:35" ht="15" customHeight="1">
      <c r="A43" s="58">
        <v>223243</v>
      </c>
      <c r="B43" s="32" t="s">
        <v>201</v>
      </c>
      <c r="C43" s="60">
        <v>69</v>
      </c>
      <c r="D43" s="61" t="str">
        <f t="shared" ca="1" si="1"/>
        <v/>
      </c>
      <c r="E43" s="62">
        <v>21</v>
      </c>
      <c r="F43" s="61" t="str">
        <f t="shared" ca="1" si="2"/>
        <v/>
      </c>
      <c r="G43" s="63">
        <v>65</v>
      </c>
      <c r="H43" s="61" t="str">
        <f t="shared" ca="1" si="3"/>
        <v/>
      </c>
      <c r="I43" s="62">
        <v>23</v>
      </c>
      <c r="J43" s="61" t="str">
        <f t="shared" ca="1" si="4"/>
        <v/>
      </c>
      <c r="K43" s="62">
        <v>19</v>
      </c>
      <c r="L43" s="61" t="str">
        <f t="shared" ca="1" si="5"/>
        <v/>
      </c>
      <c r="M43" s="63">
        <v>79</v>
      </c>
      <c r="N43" s="61" t="str">
        <f t="shared" ca="1" si="0"/>
        <v/>
      </c>
      <c r="O43" s="62">
        <v>23</v>
      </c>
      <c r="P43" s="64" t="str">
        <f t="shared" ca="1" si="6"/>
        <v/>
      </c>
      <c r="Q43" s="60">
        <v>57</v>
      </c>
      <c r="R43" s="61" t="str">
        <f t="shared" ca="1" si="7"/>
        <v/>
      </c>
      <c r="S43" s="62">
        <v>22</v>
      </c>
      <c r="T43" s="64" t="str">
        <f t="shared" ca="1" si="8"/>
        <v/>
      </c>
      <c r="U43" s="60">
        <v>51</v>
      </c>
      <c r="V43" s="61" t="str">
        <f t="shared" ca="1" si="9"/>
        <v/>
      </c>
      <c r="W43" s="62">
        <v>19</v>
      </c>
      <c r="X43" s="64" t="str">
        <f t="shared" ca="1" si="10"/>
        <v/>
      </c>
      <c r="Y43" s="62">
        <v>19</v>
      </c>
      <c r="Z43" s="64" t="str">
        <f t="shared" ca="1" si="11"/>
        <v/>
      </c>
      <c r="AA43" s="60">
        <v>51</v>
      </c>
      <c r="AB43" s="61" t="str">
        <f t="shared" ca="1" si="12"/>
        <v/>
      </c>
      <c r="AC43" s="62">
        <v>21</v>
      </c>
      <c r="AD43" s="61" t="str">
        <f t="shared" ca="1" si="13"/>
        <v/>
      </c>
      <c r="AE43" s="62">
        <v>40</v>
      </c>
      <c r="AF43" s="64" t="str">
        <f t="shared" ca="1" si="14"/>
        <v/>
      </c>
      <c r="AG43" s="66">
        <f>IF(OR(AND(C43&gt;=31,C43&lt;40),AND(G43&gt;=31,G43&lt;40),AND(M43&gt;=31,M43&lt;40),AND(Q43&gt;=31,Q43&lt;40),AND(U43&gt;=31,U43&lt;40),AND(AA43&gt;=11,AA43&lt;20)),IF(AND(OR(COUNTIF(C43:AF43,"=31")&gt;=1,COUNTIF(C43:AF43,"=32")&gt;=1,COUNTIF(C43:AF43,"=33")&gt;=1,COUNTIF(C43:AF43,"=34")&gt;=1,COUNTIF(C43:AF43,"=35")&gt;=1,COUNTIF(C43:AF43,"=36")&gt;=1 ),COUNTIF(C43:AF43,"")=0,COUNTIF(C43:AF43," ")=0,COUNTIF(C43:AF43,"F")=1),CONCATENATE(SUM(EXTRACTNUMBER(C43),EXTRACTNUMBER(E43),
EXTRACTNUMBER(G43),EXTRACTNUMBER(I43),
EXTRACTNUMBER(K43),EXTRACTNUMBER(M43),
EXTRACTNUMBER(O43),EXTRACTNUMBER(Q43),
EXTRACTNUMBER(S43),EXTRACTNUMBER(U43),
EXTRACTNUMBER(W43),EXTRACTNUMBER(Y43),EXTRACTNUMBER(AA43),
EXTRACTNUMBER(AC43),EXTRACTNUMBER(AE43)),"*"),IF(AND(COUNTIF(C43:AF43,"=34")&gt;=1,COUNTIF(C43:AF43,"=35")&gt;=1,COUNTIF(C43:AF43,"f")=2,COUNTIF(C43:AF43,"")=0,COUNTIF(C43:AF43," ")=0),CONCATENATE(SUM(EXTRACTNUMBER(C43),EXTRACTNUMBER(E43),
EXTRACTNUMBER(G43),EXTRACTNUMBER(I43),
EXTRACTNUMBER(K43),EXTRACTNUMBER(M43),
EXTRACTNUMBER(O43),EXTRACTNUMBER(Q43),
EXTRACTNUMBER(S43),EXTRACTNUMBER(U43),
EXTRACTNUMBER(W43),EXTRACTNUMBER(Y43),EXTRACTNUMBER(AA43),
EXTRACTNUMBER(AC43),EXTRACTNUMBER(AE43)),"*"),IF(AND(COUNTIF(C43:AF43,"=36")&gt;=2,COUNTIF(C43:AF43,"f")=2,COUNTIF(C43:AF43,"")=0,COUNTIF(C43:AF43," ")=0),CONCATENATE(SUM(EXTRACTNUMBER(C43),EXTRACTNUMBER(E43),
EXTRACTNUMBER(G43),EXTRACTNUMBER(I43),
EXTRACTNUMBER(K43),EXTRACTNUMBER(M43),
EXTRACTNUMBER(O43),EXTRACTNUMBER(Q43),
EXTRACTNUMBER(S43),EXTRACTNUMBER(U43),
EXTRACTNUMBER(W43),EXTRACTNUMBER(Y43),EXTRACTNUMBER(AA43),
EXTRACTNUMBER(AC43),EXTRACTNUMBER(AE43)),"*"),SUM(EXTRACTNUMBER(C43),EXTRACTNUMBER(E43),
EXTRACTNUMBER(G43),EXTRACTNUMBER(I43),
EXTRACTNUMBER(K43),EXTRACTNUMBER(M43),
EXTRACTNUMBER(O43),EXTRACTNUMBER(Q43),
EXTRACTNUMBER(S43),EXTRACTNUMBER(U43),
EXTRACTNUMBER(W43),EXTRACTNUMBER(Y43),EXTRACTNUMBER(AA43),
EXTRACTNUMBER(AC43),EXTRACTNUMBER(AE43))))),SUM(EXTRACTNUMBER(C43),EXTRACTNUMBER(E43),
EXTRACTNUMBER(G43),EXTRACTNUMBER(I43),
EXTRACTNUMBER(K43),EXTRACTNUMBER(M43),
EXTRACTNUMBER(O43),EXTRACTNUMBER(Q43),
EXTRACTNUMBER(S43),EXTRACTNUMBER(U43),
EXTRACTNUMBER(W43),EXTRACTNUMBER(Y43),EXTRACTNUMBER(AA43),
EXTRACTNUMBER(AC43),EXTRACTNUMBER(AE43)))</f>
        <v>579</v>
      </c>
      <c r="AH43" s="38" t="str">
        <f t="shared" ca="1" si="15"/>
        <v>PASS</v>
      </c>
      <c r="AI43" s="28" t="str">
        <f>spellnumber(EXTRACTnUMBER_TOT(AG43))</f>
        <v xml:space="preserve">Five Hundred Seventy Nine </v>
      </c>
    </row>
    <row r="44" spans="1:35" ht="15" customHeight="1">
      <c r="A44" s="58">
        <v>223244</v>
      </c>
      <c r="B44" s="32" t="s">
        <v>202</v>
      </c>
      <c r="C44" s="60">
        <v>54</v>
      </c>
      <c r="D44" s="61" t="str">
        <f t="shared" ca="1" si="1"/>
        <v/>
      </c>
      <c r="E44" s="62">
        <v>20</v>
      </c>
      <c r="F44" s="61" t="str">
        <f t="shared" ca="1" si="2"/>
        <v/>
      </c>
      <c r="G44" s="63">
        <v>68</v>
      </c>
      <c r="H44" s="61" t="str">
        <f t="shared" ca="1" si="3"/>
        <v/>
      </c>
      <c r="I44" s="62">
        <v>20</v>
      </c>
      <c r="J44" s="61" t="str">
        <f t="shared" ca="1" si="4"/>
        <v/>
      </c>
      <c r="K44" s="62">
        <v>19</v>
      </c>
      <c r="L44" s="61" t="str">
        <f t="shared" ca="1" si="5"/>
        <v/>
      </c>
      <c r="M44" s="63">
        <v>56</v>
      </c>
      <c r="N44" s="61" t="str">
        <f t="shared" ca="1" si="0"/>
        <v/>
      </c>
      <c r="O44" s="62">
        <v>19</v>
      </c>
      <c r="P44" s="64" t="str">
        <f t="shared" ca="1" si="6"/>
        <v/>
      </c>
      <c r="Q44" s="60">
        <v>68</v>
      </c>
      <c r="R44" s="61" t="str">
        <f t="shared" ca="1" si="7"/>
        <v/>
      </c>
      <c r="S44" s="62">
        <v>21</v>
      </c>
      <c r="T44" s="64" t="str">
        <f t="shared" ca="1" si="8"/>
        <v/>
      </c>
      <c r="U44" s="60">
        <v>52</v>
      </c>
      <c r="V44" s="61" t="str">
        <f t="shared" ca="1" si="9"/>
        <v/>
      </c>
      <c r="W44" s="62">
        <v>19</v>
      </c>
      <c r="X44" s="64" t="str">
        <f t="shared" ca="1" si="10"/>
        <v/>
      </c>
      <c r="Y44" s="62">
        <v>20</v>
      </c>
      <c r="Z44" s="64" t="str">
        <f t="shared" ca="1" si="11"/>
        <v/>
      </c>
      <c r="AA44" s="60">
        <v>40</v>
      </c>
      <c r="AB44" s="61" t="str">
        <f t="shared" ca="1" si="12"/>
        <v/>
      </c>
      <c r="AC44" s="62">
        <v>21</v>
      </c>
      <c r="AD44" s="61" t="str">
        <f t="shared" ca="1" si="13"/>
        <v/>
      </c>
      <c r="AE44" s="62">
        <v>41</v>
      </c>
      <c r="AF44" s="64" t="str">
        <f t="shared" ca="1" si="14"/>
        <v/>
      </c>
      <c r="AG44" s="66">
        <f>IF(OR(AND(C44&gt;=31,C44&lt;40),AND(G44&gt;=31,G44&lt;40),AND(M44&gt;=31,M44&lt;40),AND(Q44&gt;=31,Q44&lt;40),AND(U44&gt;=31,U44&lt;40),AND(AA44&gt;=11,AA44&lt;20)),IF(AND(OR(COUNTIF(C44:AF44,"=31")&gt;=1,COUNTIF(C44:AF44,"=32")&gt;=1,COUNTIF(C44:AF44,"=33")&gt;=1,COUNTIF(C44:AF44,"=34")&gt;=1,COUNTIF(C44:AF44,"=35")&gt;=1,COUNTIF(C44:AF44,"=36")&gt;=1 ),COUNTIF(C44:AF44,"")=0,COUNTIF(C44:AF44," ")=0,COUNTIF(C44:AF44,"F")=1),CONCATENATE(SUM(EXTRACTNUMBER(C44),EXTRACTNUMBER(E44),
EXTRACTNUMBER(G44),EXTRACTNUMBER(I44),
EXTRACTNUMBER(K44),EXTRACTNUMBER(M44),
EXTRACTNUMBER(O44),EXTRACTNUMBER(Q44),
EXTRACTNUMBER(S44),EXTRACTNUMBER(U44),
EXTRACTNUMBER(W44),EXTRACTNUMBER(Y44),EXTRACTNUMBER(AA44),
EXTRACTNUMBER(AC44),EXTRACTNUMBER(AE44)),"*"),IF(AND(COUNTIF(C44:AF44,"=34")&gt;=1,COUNTIF(C44:AF44,"=35")&gt;=1,COUNTIF(C44:AF44,"f")=2,COUNTIF(C44:AF44,"")=0,COUNTIF(C44:AF44," ")=0),CONCATENATE(SUM(EXTRACTNUMBER(C44),EXTRACTNUMBER(E44),
EXTRACTNUMBER(G44),EXTRACTNUMBER(I44),
EXTRACTNUMBER(K44),EXTRACTNUMBER(M44),
EXTRACTNUMBER(O44),EXTRACTNUMBER(Q44),
EXTRACTNUMBER(S44),EXTRACTNUMBER(U44),
EXTRACTNUMBER(W44),EXTRACTNUMBER(Y44),EXTRACTNUMBER(AA44),
EXTRACTNUMBER(AC44),EXTRACTNUMBER(AE44)),"*"),IF(AND(COUNTIF(C44:AF44,"=36")&gt;=2,COUNTIF(C44:AF44,"f")=2,COUNTIF(C44:AF44,"")=0,COUNTIF(C44:AF44," ")=0),CONCATENATE(SUM(EXTRACTNUMBER(C44),EXTRACTNUMBER(E44),
EXTRACTNUMBER(G44),EXTRACTNUMBER(I44),
EXTRACTNUMBER(K44),EXTRACTNUMBER(M44),
EXTRACTNUMBER(O44),EXTRACTNUMBER(Q44),
EXTRACTNUMBER(S44),EXTRACTNUMBER(U44),
EXTRACTNUMBER(W44),EXTRACTNUMBER(Y44),EXTRACTNUMBER(AA44),
EXTRACTNUMBER(AC44),EXTRACTNUMBER(AE44)),"*"),SUM(EXTRACTNUMBER(C44),EXTRACTNUMBER(E44),
EXTRACTNUMBER(G44),EXTRACTNUMBER(I44),
EXTRACTNUMBER(K44),EXTRACTNUMBER(M44),
EXTRACTNUMBER(O44),EXTRACTNUMBER(Q44),
EXTRACTNUMBER(S44),EXTRACTNUMBER(U44),
EXTRACTNUMBER(W44),EXTRACTNUMBER(Y44),EXTRACTNUMBER(AA44),
EXTRACTNUMBER(AC44),EXTRACTNUMBER(AE44))))),SUM(EXTRACTNUMBER(C44),EXTRACTNUMBER(E44),
EXTRACTNUMBER(G44),EXTRACTNUMBER(I44),
EXTRACTNUMBER(K44),EXTRACTNUMBER(M44),
EXTRACTNUMBER(O44),EXTRACTNUMBER(Q44),
EXTRACTNUMBER(S44),EXTRACTNUMBER(U44),
EXTRACTNUMBER(W44),EXTRACTNUMBER(Y44),EXTRACTNUMBER(AA44),
EXTRACTNUMBER(AC44),EXTRACTNUMBER(AE44)))</f>
        <v>538</v>
      </c>
      <c r="AH44" s="38" t="str">
        <f t="shared" ca="1" si="15"/>
        <v>PASS</v>
      </c>
      <c r="AI44" s="28" t="str">
        <f>spellnumber(EXTRACTnUMBER_TOT(AG44))</f>
        <v xml:space="preserve">Five Hundred Thirty Eight </v>
      </c>
    </row>
    <row r="45" spans="1:35" ht="15" customHeight="1">
      <c r="A45" s="58">
        <v>223245</v>
      </c>
      <c r="B45" s="32" t="s">
        <v>203</v>
      </c>
      <c r="C45" s="60" t="s">
        <v>456</v>
      </c>
      <c r="D45" s="61" t="str">
        <f t="shared" ca="1" si="1"/>
        <v>F</v>
      </c>
      <c r="E45" s="62">
        <v>13</v>
      </c>
      <c r="F45" s="61" t="str">
        <f t="shared" ca="1" si="2"/>
        <v>E</v>
      </c>
      <c r="G45" s="63">
        <v>43</v>
      </c>
      <c r="H45" s="61" t="str">
        <f t="shared" ca="1" si="3"/>
        <v>E</v>
      </c>
      <c r="I45" s="62">
        <v>20</v>
      </c>
      <c r="J45" s="61" t="str">
        <f t="shared" ca="1" si="4"/>
        <v>E</v>
      </c>
      <c r="K45" s="62">
        <v>18</v>
      </c>
      <c r="L45" s="61" t="str">
        <f t="shared" ca="1" si="5"/>
        <v>E</v>
      </c>
      <c r="M45" s="63">
        <v>31</v>
      </c>
      <c r="N45" s="61" t="str">
        <f t="shared" ca="1" si="0"/>
        <v>F</v>
      </c>
      <c r="O45" s="62">
        <v>18</v>
      </c>
      <c r="P45" s="64" t="str">
        <f t="shared" ca="1" si="6"/>
        <v>E</v>
      </c>
      <c r="Q45" s="60">
        <v>40</v>
      </c>
      <c r="R45" s="61" t="str">
        <f t="shared" ca="1" si="7"/>
        <v>E</v>
      </c>
      <c r="S45" s="62">
        <v>21</v>
      </c>
      <c r="T45" s="64" t="str">
        <f t="shared" ca="1" si="8"/>
        <v>E</v>
      </c>
      <c r="U45" s="60">
        <v>29</v>
      </c>
      <c r="V45" s="61" t="str">
        <f t="shared" ca="1" si="9"/>
        <v>F</v>
      </c>
      <c r="W45" s="62">
        <v>18</v>
      </c>
      <c r="X45" s="64" t="str">
        <f t="shared" ca="1" si="10"/>
        <v>E</v>
      </c>
      <c r="Y45" s="62">
        <v>20</v>
      </c>
      <c r="Z45" s="64" t="str">
        <f t="shared" ca="1" si="11"/>
        <v>E</v>
      </c>
      <c r="AA45" s="60">
        <v>40</v>
      </c>
      <c r="AB45" s="61" t="str">
        <f t="shared" ca="1" si="12"/>
        <v>E</v>
      </c>
      <c r="AC45" s="62">
        <v>18</v>
      </c>
      <c r="AD45" s="61" t="str">
        <f t="shared" ca="1" si="13"/>
        <v>E</v>
      </c>
      <c r="AE45" s="62">
        <v>44</v>
      </c>
      <c r="AF45" s="64" t="str">
        <f t="shared" ca="1" si="14"/>
        <v>E</v>
      </c>
      <c r="AG45" s="66">
        <f ca="1">IF(OR(AND(C45&gt;=31,C45&lt;40),AND(G45&gt;=31,G45&lt;40),AND(M45&gt;=31,M45&lt;40),AND(Q45&gt;=31,Q45&lt;40),AND(U45&gt;=31,U45&lt;40),AND(AA45&gt;=11,AA45&lt;20)),IF(AND(OR(COUNTIF(C45:AF45,"=31")&gt;=1,COUNTIF(C45:AF45,"=32")&gt;=1,COUNTIF(C45:AF45,"=33")&gt;=1,COUNTIF(C45:AF45,"=34")&gt;=1,COUNTIF(C45:AF45,"=35")&gt;=1,COUNTIF(C45:AF45,"=36")&gt;=1 ),COUNTIF(C45:AF45,"")=0,COUNTIF(C45:AF45," ")=0,COUNTIF(C45:AF45,"F")=1),CONCATENATE(SUM(EXTRACTNUMBER(C45),EXTRACTNUMBER(E45),
EXTRACTNUMBER(G45),EXTRACTNUMBER(I45),
EXTRACTNUMBER(K45),EXTRACTNUMBER(M45),
EXTRACTNUMBER(O45),EXTRACTNUMBER(Q45),
EXTRACTNUMBER(S45),EXTRACTNUMBER(U45),
EXTRACTNUMBER(W45),EXTRACTNUMBER(Y45),EXTRACTNUMBER(AA45),
EXTRACTNUMBER(AC45),EXTRACTNUMBER(AE45)),"*"),IF(AND(COUNTIF(C45:AF45,"=34")&gt;=1,COUNTIF(C45:AF45,"=35")&gt;=1,COUNTIF(C45:AF45,"f")=2,COUNTIF(C45:AF45,"")=0,COUNTIF(C45:AF45," ")=0),CONCATENATE(SUM(EXTRACTNUMBER(C45),EXTRACTNUMBER(E45),
EXTRACTNUMBER(G45),EXTRACTNUMBER(I45),
EXTRACTNUMBER(K45),EXTRACTNUMBER(M45),
EXTRACTNUMBER(O45),EXTRACTNUMBER(Q45),
EXTRACTNUMBER(S45),EXTRACTNUMBER(U45),
EXTRACTNUMBER(W45),EXTRACTNUMBER(Y45),EXTRACTNUMBER(AA45),
EXTRACTNUMBER(AC45),EXTRACTNUMBER(AE45)),"*"),IF(AND(COUNTIF(C45:AF45,"=36")&gt;=2,COUNTIF(C45:AF45,"f")=2,COUNTIF(C45:AF45,"")=0,COUNTIF(C45:AF45," ")=0),CONCATENATE(SUM(EXTRACTNUMBER(C45),EXTRACTNUMBER(E45),
EXTRACTNUMBER(G45),EXTRACTNUMBER(I45),
EXTRACTNUMBER(K45),EXTRACTNUMBER(M45),
EXTRACTNUMBER(O45),EXTRACTNUMBER(Q45),
EXTRACTNUMBER(S45),EXTRACTNUMBER(U45),
EXTRACTNUMBER(W45),EXTRACTNUMBER(Y45),EXTRACTNUMBER(AA45),
EXTRACTNUMBER(AC45),EXTRACTNUMBER(AE45)),"*"),SUM(EXTRACTNUMBER(C45),EXTRACTNUMBER(E45),
EXTRACTNUMBER(G45),EXTRACTNUMBER(I45),
EXTRACTNUMBER(K45),EXTRACTNUMBER(M45),
EXTRACTNUMBER(O45),EXTRACTNUMBER(Q45),
EXTRACTNUMBER(S45),EXTRACTNUMBER(U45),
EXTRACTNUMBER(W45),EXTRACTNUMBER(Y45),EXTRACTNUMBER(AA45),
EXTRACTNUMBER(AC45),EXTRACTNUMBER(AE45))))),SUM(EXTRACTNUMBER(C45),EXTRACTNUMBER(E45),
EXTRACTNUMBER(G45),EXTRACTNUMBER(I45),
EXTRACTNUMBER(K45),EXTRACTNUMBER(M45),
EXTRACTNUMBER(O45),EXTRACTNUMBER(Q45),
EXTRACTNUMBER(S45),EXTRACTNUMBER(U45),
EXTRACTNUMBER(W45),EXTRACTNUMBER(Y45),EXTRACTNUMBER(AA45),
EXTRACTNUMBER(AC45),EXTRACTNUMBER(AE45)))</f>
        <v>378</v>
      </c>
      <c r="AH45" s="38" t="str">
        <f t="shared" ca="1" si="15"/>
        <v>FAIL</v>
      </c>
      <c r="AI45" s="28" t="e">
        <f ca="1">spellnumber(EXTRACTnUMBER_TOT(AG45))</f>
        <v>#NAME?</v>
      </c>
    </row>
    <row r="46" spans="1:35" ht="15" customHeight="1">
      <c r="A46" s="58">
        <v>223246</v>
      </c>
      <c r="B46" s="32" t="s">
        <v>204</v>
      </c>
      <c r="C46" s="60">
        <v>73</v>
      </c>
      <c r="D46" s="61" t="str">
        <f t="shared" ca="1" si="1"/>
        <v/>
      </c>
      <c r="E46" s="62">
        <v>24</v>
      </c>
      <c r="F46" s="61" t="str">
        <f t="shared" ca="1" si="2"/>
        <v/>
      </c>
      <c r="G46" s="63">
        <v>73</v>
      </c>
      <c r="H46" s="61" t="str">
        <f t="shared" ca="1" si="3"/>
        <v/>
      </c>
      <c r="I46" s="62">
        <v>24</v>
      </c>
      <c r="J46" s="61" t="str">
        <f t="shared" ca="1" si="4"/>
        <v/>
      </c>
      <c r="K46" s="62">
        <v>21</v>
      </c>
      <c r="L46" s="61" t="str">
        <f t="shared" ca="1" si="5"/>
        <v/>
      </c>
      <c r="M46" s="63">
        <v>77</v>
      </c>
      <c r="N46" s="61" t="str">
        <f t="shared" ca="1" si="0"/>
        <v/>
      </c>
      <c r="O46" s="62">
        <v>24</v>
      </c>
      <c r="P46" s="64" t="str">
        <f t="shared" ca="1" si="6"/>
        <v/>
      </c>
      <c r="Q46" s="60">
        <v>65</v>
      </c>
      <c r="R46" s="61" t="str">
        <f t="shared" ca="1" si="7"/>
        <v/>
      </c>
      <c r="S46" s="62">
        <v>23</v>
      </c>
      <c r="T46" s="64" t="str">
        <f t="shared" ca="1" si="8"/>
        <v/>
      </c>
      <c r="U46" s="60">
        <v>53</v>
      </c>
      <c r="V46" s="61" t="str">
        <f t="shared" ca="1" si="9"/>
        <v/>
      </c>
      <c r="W46" s="62">
        <v>21</v>
      </c>
      <c r="X46" s="64" t="str">
        <f t="shared" ca="1" si="10"/>
        <v/>
      </c>
      <c r="Y46" s="62">
        <v>20</v>
      </c>
      <c r="Z46" s="64" t="str">
        <f t="shared" ca="1" si="11"/>
        <v/>
      </c>
      <c r="AA46" s="60">
        <v>46</v>
      </c>
      <c r="AB46" s="61" t="str">
        <f t="shared" ca="1" si="12"/>
        <v/>
      </c>
      <c r="AC46" s="62">
        <v>24</v>
      </c>
      <c r="AD46" s="61" t="str">
        <f t="shared" ca="1" si="13"/>
        <v/>
      </c>
      <c r="AE46" s="62">
        <v>47</v>
      </c>
      <c r="AF46" s="64" t="str">
        <f t="shared" ca="1" si="14"/>
        <v/>
      </c>
      <c r="AG46" s="66">
        <f>IF(OR(AND(C46&gt;=31,C46&lt;40),AND(G46&gt;=31,G46&lt;40),AND(M46&gt;=31,M46&lt;40),AND(Q46&gt;=31,Q46&lt;40),AND(U46&gt;=31,U46&lt;40),AND(AA46&gt;=11,AA46&lt;20)),IF(AND(OR(COUNTIF(C46:AF46,"=31")&gt;=1,COUNTIF(C46:AF46,"=32")&gt;=1,COUNTIF(C46:AF46,"=33")&gt;=1,COUNTIF(C46:AF46,"=34")&gt;=1,COUNTIF(C46:AF46,"=35")&gt;=1,COUNTIF(C46:AF46,"=36")&gt;=1 ),COUNTIF(C46:AF46,"")=0,COUNTIF(C46:AF46," ")=0,COUNTIF(C46:AF46,"F")=1),CONCATENATE(SUM(EXTRACTNUMBER(C46),EXTRACTNUMBER(E46),
EXTRACTNUMBER(G46),EXTRACTNUMBER(I46),
EXTRACTNUMBER(K46),EXTRACTNUMBER(M46),
EXTRACTNUMBER(O46),EXTRACTNUMBER(Q46),
EXTRACTNUMBER(S46),EXTRACTNUMBER(U46),
EXTRACTNUMBER(W46),EXTRACTNUMBER(Y46),EXTRACTNUMBER(AA46),
EXTRACTNUMBER(AC46),EXTRACTNUMBER(AE46)),"*"),IF(AND(COUNTIF(C46:AF46,"=34")&gt;=1,COUNTIF(C46:AF46,"=35")&gt;=1,COUNTIF(C46:AF46,"f")=2,COUNTIF(C46:AF46,"")=0,COUNTIF(C46:AF46," ")=0),CONCATENATE(SUM(EXTRACTNUMBER(C46),EXTRACTNUMBER(E46),
EXTRACTNUMBER(G46),EXTRACTNUMBER(I46),
EXTRACTNUMBER(K46),EXTRACTNUMBER(M46),
EXTRACTNUMBER(O46),EXTRACTNUMBER(Q46),
EXTRACTNUMBER(S46),EXTRACTNUMBER(U46),
EXTRACTNUMBER(W46),EXTRACTNUMBER(Y46),EXTRACTNUMBER(AA46),
EXTRACTNUMBER(AC46),EXTRACTNUMBER(AE46)),"*"),IF(AND(COUNTIF(C46:AF46,"=36")&gt;=2,COUNTIF(C46:AF46,"f")=2,COUNTIF(C46:AF46,"")=0,COUNTIF(C46:AF46," ")=0),CONCATENATE(SUM(EXTRACTNUMBER(C46),EXTRACTNUMBER(E46),
EXTRACTNUMBER(G46),EXTRACTNUMBER(I46),
EXTRACTNUMBER(K46),EXTRACTNUMBER(M46),
EXTRACTNUMBER(O46),EXTRACTNUMBER(Q46),
EXTRACTNUMBER(S46),EXTRACTNUMBER(U46),
EXTRACTNUMBER(W46),EXTRACTNUMBER(Y46),EXTRACTNUMBER(AA46),
EXTRACTNUMBER(AC46),EXTRACTNUMBER(AE46)),"*"),SUM(EXTRACTNUMBER(C46),EXTRACTNUMBER(E46),
EXTRACTNUMBER(G46),EXTRACTNUMBER(I46),
EXTRACTNUMBER(K46),EXTRACTNUMBER(M46),
EXTRACTNUMBER(O46),EXTRACTNUMBER(Q46),
EXTRACTNUMBER(S46),EXTRACTNUMBER(U46),
EXTRACTNUMBER(W46),EXTRACTNUMBER(Y46),EXTRACTNUMBER(AA46),
EXTRACTNUMBER(AC46),EXTRACTNUMBER(AE46))))),SUM(EXTRACTNUMBER(C46),EXTRACTNUMBER(E46),
EXTRACTNUMBER(G46),EXTRACTNUMBER(I46),
EXTRACTNUMBER(K46),EXTRACTNUMBER(M46),
EXTRACTNUMBER(O46),EXTRACTNUMBER(Q46),
EXTRACTNUMBER(S46),EXTRACTNUMBER(U46),
EXTRACTNUMBER(W46),EXTRACTNUMBER(Y46),EXTRACTNUMBER(AA46),
EXTRACTNUMBER(AC46),EXTRACTNUMBER(AE46)))</f>
        <v>615</v>
      </c>
      <c r="AH46" s="38" t="str">
        <f t="shared" ca="1" si="15"/>
        <v>PASS</v>
      </c>
      <c r="AI46" s="28" t="str">
        <f>spellnumber(EXTRACTnUMBER_TOT(AG46))</f>
        <v xml:space="preserve">Six Hundred Fifteen </v>
      </c>
    </row>
    <row r="47" spans="1:35" ht="15" customHeight="1">
      <c r="A47" s="58">
        <v>223247</v>
      </c>
      <c r="B47" s="32" t="s">
        <v>205</v>
      </c>
      <c r="C47" s="60">
        <v>53</v>
      </c>
      <c r="D47" s="61" t="str">
        <f t="shared" ca="1" si="1"/>
        <v/>
      </c>
      <c r="E47" s="62">
        <v>18</v>
      </c>
      <c r="F47" s="61" t="str">
        <f t="shared" ca="1" si="2"/>
        <v/>
      </c>
      <c r="G47" s="63">
        <v>61</v>
      </c>
      <c r="H47" s="61" t="str">
        <f t="shared" ca="1" si="3"/>
        <v/>
      </c>
      <c r="I47" s="62">
        <v>19</v>
      </c>
      <c r="J47" s="61" t="str">
        <f t="shared" ca="1" si="4"/>
        <v/>
      </c>
      <c r="K47" s="62">
        <v>19</v>
      </c>
      <c r="L47" s="61" t="str">
        <f t="shared" ca="1" si="5"/>
        <v/>
      </c>
      <c r="M47" s="63">
        <v>64</v>
      </c>
      <c r="N47" s="61" t="str">
        <f t="shared" ca="1" si="0"/>
        <v/>
      </c>
      <c r="O47" s="62">
        <v>19</v>
      </c>
      <c r="P47" s="64" t="str">
        <f t="shared" ca="1" si="6"/>
        <v/>
      </c>
      <c r="Q47" s="60">
        <v>62</v>
      </c>
      <c r="R47" s="61" t="str">
        <f t="shared" ca="1" si="7"/>
        <v/>
      </c>
      <c r="S47" s="62">
        <v>21</v>
      </c>
      <c r="T47" s="64" t="str">
        <f t="shared" ca="1" si="8"/>
        <v/>
      </c>
      <c r="U47" s="60">
        <v>40</v>
      </c>
      <c r="V47" s="61" t="str">
        <f t="shared" ca="1" si="9"/>
        <v/>
      </c>
      <c r="W47" s="62">
        <v>20</v>
      </c>
      <c r="X47" s="64" t="str">
        <f t="shared" ca="1" si="10"/>
        <v/>
      </c>
      <c r="Y47" s="62">
        <v>19</v>
      </c>
      <c r="Z47" s="64" t="str">
        <f t="shared" ca="1" si="11"/>
        <v/>
      </c>
      <c r="AA47" s="60">
        <v>40</v>
      </c>
      <c r="AB47" s="61" t="str">
        <f t="shared" ca="1" si="12"/>
        <v/>
      </c>
      <c r="AC47" s="62">
        <v>15</v>
      </c>
      <c r="AD47" s="61" t="str">
        <f t="shared" ca="1" si="13"/>
        <v/>
      </c>
      <c r="AE47" s="62">
        <v>41</v>
      </c>
      <c r="AF47" s="64" t="str">
        <f t="shared" ca="1" si="14"/>
        <v/>
      </c>
      <c r="AG47" s="66">
        <f>IF(OR(AND(C47&gt;=31,C47&lt;40),AND(G47&gt;=31,G47&lt;40),AND(M47&gt;=31,M47&lt;40),AND(Q47&gt;=31,Q47&lt;40),AND(U47&gt;=31,U47&lt;40),AND(AA47&gt;=11,AA47&lt;20)),IF(AND(OR(COUNTIF(C47:AF47,"=31")&gt;=1,COUNTIF(C47:AF47,"=32")&gt;=1,COUNTIF(C47:AF47,"=33")&gt;=1,COUNTIF(C47:AF47,"=34")&gt;=1,COUNTIF(C47:AF47,"=35")&gt;=1,COUNTIF(C47:AF47,"=36")&gt;=1 ),COUNTIF(C47:AF47,"")=0,COUNTIF(C47:AF47," ")=0,COUNTIF(C47:AF47,"F")=1),CONCATENATE(SUM(EXTRACTNUMBER(C47),EXTRACTNUMBER(E47),
EXTRACTNUMBER(G47),EXTRACTNUMBER(I47),
EXTRACTNUMBER(K47),EXTRACTNUMBER(M47),
EXTRACTNUMBER(O47),EXTRACTNUMBER(Q47),
EXTRACTNUMBER(S47),EXTRACTNUMBER(U47),
EXTRACTNUMBER(W47),EXTRACTNUMBER(Y47),EXTRACTNUMBER(AA47),
EXTRACTNUMBER(AC47),EXTRACTNUMBER(AE47)),"*"),IF(AND(COUNTIF(C47:AF47,"=34")&gt;=1,COUNTIF(C47:AF47,"=35")&gt;=1,COUNTIF(C47:AF47,"f")=2,COUNTIF(C47:AF47,"")=0,COUNTIF(C47:AF47," ")=0),CONCATENATE(SUM(EXTRACTNUMBER(C47),EXTRACTNUMBER(E47),
EXTRACTNUMBER(G47),EXTRACTNUMBER(I47),
EXTRACTNUMBER(K47),EXTRACTNUMBER(M47),
EXTRACTNUMBER(O47),EXTRACTNUMBER(Q47),
EXTRACTNUMBER(S47),EXTRACTNUMBER(U47),
EXTRACTNUMBER(W47),EXTRACTNUMBER(Y47),EXTRACTNUMBER(AA47),
EXTRACTNUMBER(AC47),EXTRACTNUMBER(AE47)),"*"),IF(AND(COUNTIF(C47:AF47,"=36")&gt;=2,COUNTIF(C47:AF47,"f")=2,COUNTIF(C47:AF47,"")=0,COUNTIF(C47:AF47," ")=0),CONCATENATE(SUM(EXTRACTNUMBER(C47),EXTRACTNUMBER(E47),
EXTRACTNUMBER(G47),EXTRACTNUMBER(I47),
EXTRACTNUMBER(K47),EXTRACTNUMBER(M47),
EXTRACTNUMBER(O47),EXTRACTNUMBER(Q47),
EXTRACTNUMBER(S47),EXTRACTNUMBER(U47),
EXTRACTNUMBER(W47),EXTRACTNUMBER(Y47),EXTRACTNUMBER(AA47),
EXTRACTNUMBER(AC47),EXTRACTNUMBER(AE47)),"*"),SUM(EXTRACTNUMBER(C47),EXTRACTNUMBER(E47),
EXTRACTNUMBER(G47),EXTRACTNUMBER(I47),
EXTRACTNUMBER(K47),EXTRACTNUMBER(M47),
EXTRACTNUMBER(O47),EXTRACTNUMBER(Q47),
EXTRACTNUMBER(S47),EXTRACTNUMBER(U47),
EXTRACTNUMBER(W47),EXTRACTNUMBER(Y47),EXTRACTNUMBER(AA47),
EXTRACTNUMBER(AC47),EXTRACTNUMBER(AE47))))),SUM(EXTRACTNUMBER(C47),EXTRACTNUMBER(E47),
EXTRACTNUMBER(G47),EXTRACTNUMBER(I47),
EXTRACTNUMBER(K47),EXTRACTNUMBER(M47),
EXTRACTNUMBER(O47),EXTRACTNUMBER(Q47),
EXTRACTNUMBER(S47),EXTRACTNUMBER(U47),
EXTRACTNUMBER(W47),EXTRACTNUMBER(Y47),EXTRACTNUMBER(AA47),
EXTRACTNUMBER(AC47),EXTRACTNUMBER(AE47)))</f>
        <v>511</v>
      </c>
      <c r="AH47" s="38" t="str">
        <f t="shared" ca="1" si="15"/>
        <v>PASS</v>
      </c>
      <c r="AI47" s="28" t="str">
        <f>spellnumber(EXTRACTnUMBER_TOT(AG47))</f>
        <v xml:space="preserve">Five Hundred Eleven </v>
      </c>
    </row>
    <row r="48" spans="1:35" ht="15" customHeight="1">
      <c r="A48" s="58">
        <v>223248</v>
      </c>
      <c r="B48" s="32" t="s">
        <v>206</v>
      </c>
      <c r="C48" s="60">
        <v>16</v>
      </c>
      <c r="D48" s="61" t="str">
        <f t="shared" ca="1" si="1"/>
        <v>F</v>
      </c>
      <c r="E48" s="62">
        <v>16</v>
      </c>
      <c r="F48" s="61" t="str">
        <f t="shared" ca="1" si="2"/>
        <v>E</v>
      </c>
      <c r="G48" s="63">
        <v>45</v>
      </c>
      <c r="H48" s="61" t="str">
        <f t="shared" ca="1" si="3"/>
        <v>E</v>
      </c>
      <c r="I48" s="62">
        <v>23</v>
      </c>
      <c r="J48" s="61" t="str">
        <f t="shared" ca="1" si="4"/>
        <v>E</v>
      </c>
      <c r="K48" s="62">
        <v>20</v>
      </c>
      <c r="L48" s="61" t="str">
        <f t="shared" ca="1" si="5"/>
        <v>E</v>
      </c>
      <c r="M48" s="63">
        <v>57</v>
      </c>
      <c r="N48" s="61" t="str">
        <f t="shared" ca="1" si="0"/>
        <v>E</v>
      </c>
      <c r="O48" s="62">
        <v>23</v>
      </c>
      <c r="P48" s="64" t="str">
        <f t="shared" ca="1" si="6"/>
        <v>E</v>
      </c>
      <c r="Q48" s="60">
        <v>51</v>
      </c>
      <c r="R48" s="61" t="str">
        <f t="shared" ca="1" si="7"/>
        <v>E</v>
      </c>
      <c r="S48" s="62">
        <v>23</v>
      </c>
      <c r="T48" s="64" t="str">
        <f t="shared" ca="1" si="8"/>
        <v>E</v>
      </c>
      <c r="U48" s="60">
        <v>42</v>
      </c>
      <c r="V48" s="61" t="str">
        <f t="shared" ca="1" si="9"/>
        <v>E</v>
      </c>
      <c r="W48" s="62">
        <v>20</v>
      </c>
      <c r="X48" s="64" t="str">
        <f t="shared" ca="1" si="10"/>
        <v>E</v>
      </c>
      <c r="Y48" s="62">
        <v>18</v>
      </c>
      <c r="Z48" s="64" t="str">
        <f t="shared" ca="1" si="11"/>
        <v>E</v>
      </c>
      <c r="AA48" s="60">
        <v>49</v>
      </c>
      <c r="AB48" s="61" t="str">
        <f t="shared" ca="1" si="12"/>
        <v>E</v>
      </c>
      <c r="AC48" s="62">
        <v>18</v>
      </c>
      <c r="AD48" s="61" t="str">
        <f t="shared" ca="1" si="13"/>
        <v>E</v>
      </c>
      <c r="AE48" s="62">
        <v>41</v>
      </c>
      <c r="AF48" s="64" t="str">
        <f t="shared" ca="1" si="14"/>
        <v>E</v>
      </c>
      <c r="AG48" s="66">
        <f>IF(OR(AND(C48&gt;=31,C48&lt;40),AND(G48&gt;=31,G48&lt;40),AND(M48&gt;=31,M48&lt;40),AND(Q48&gt;=31,Q48&lt;40),AND(U48&gt;=31,U48&lt;40),AND(AA48&gt;=11,AA48&lt;20)),IF(AND(OR(COUNTIF(C48:AF48,"=31")&gt;=1,COUNTIF(C48:AF48,"=32")&gt;=1,COUNTIF(C48:AF48,"=33")&gt;=1,COUNTIF(C48:AF48,"=34")&gt;=1,COUNTIF(C48:AF48,"=35")&gt;=1,COUNTIF(C48:AF48,"=36")&gt;=1 ),COUNTIF(C48:AF48,"")=0,COUNTIF(C48:AF48," ")=0,COUNTIF(C48:AF48,"F")=1),CONCATENATE(SUM(EXTRACTNUMBER(C48),EXTRACTNUMBER(E48),
EXTRACTNUMBER(G48),EXTRACTNUMBER(I48),
EXTRACTNUMBER(K48),EXTRACTNUMBER(M48),
EXTRACTNUMBER(O48),EXTRACTNUMBER(Q48),
EXTRACTNUMBER(S48),EXTRACTNUMBER(U48),
EXTRACTNUMBER(W48),EXTRACTNUMBER(Y48),EXTRACTNUMBER(AA48),
EXTRACTNUMBER(AC48),EXTRACTNUMBER(AE48)),"*"),IF(AND(COUNTIF(C48:AF48,"=34")&gt;=1,COUNTIF(C48:AF48,"=35")&gt;=1,COUNTIF(C48:AF48,"f")=2,COUNTIF(C48:AF48,"")=0,COUNTIF(C48:AF48," ")=0),CONCATENATE(SUM(EXTRACTNUMBER(C48),EXTRACTNUMBER(E48),
EXTRACTNUMBER(G48),EXTRACTNUMBER(I48),
EXTRACTNUMBER(K48),EXTRACTNUMBER(M48),
EXTRACTNUMBER(O48),EXTRACTNUMBER(Q48),
EXTRACTNUMBER(S48),EXTRACTNUMBER(U48),
EXTRACTNUMBER(W48),EXTRACTNUMBER(Y48),EXTRACTNUMBER(AA48),
EXTRACTNUMBER(AC48),EXTRACTNUMBER(AE48)),"*"),IF(AND(COUNTIF(C48:AF48,"=36")&gt;=2,COUNTIF(C48:AF48,"f")=2,COUNTIF(C48:AF48,"")=0,COUNTIF(C48:AF48," ")=0),CONCATENATE(SUM(EXTRACTNUMBER(C48),EXTRACTNUMBER(E48),
EXTRACTNUMBER(G48),EXTRACTNUMBER(I48),
EXTRACTNUMBER(K48),EXTRACTNUMBER(M48),
EXTRACTNUMBER(O48),EXTRACTNUMBER(Q48),
EXTRACTNUMBER(S48),EXTRACTNUMBER(U48),
EXTRACTNUMBER(W48),EXTRACTNUMBER(Y48),EXTRACTNUMBER(AA48),
EXTRACTNUMBER(AC48),EXTRACTNUMBER(AE48)),"*"),SUM(EXTRACTNUMBER(C48),EXTRACTNUMBER(E48),
EXTRACTNUMBER(G48),EXTRACTNUMBER(I48),
EXTRACTNUMBER(K48),EXTRACTNUMBER(M48),
EXTRACTNUMBER(O48),EXTRACTNUMBER(Q48),
EXTRACTNUMBER(S48),EXTRACTNUMBER(U48),
EXTRACTNUMBER(W48),EXTRACTNUMBER(Y48),EXTRACTNUMBER(AA48),
EXTRACTNUMBER(AC48),EXTRACTNUMBER(AE48))))),SUM(EXTRACTNUMBER(C48),EXTRACTNUMBER(E48),
EXTRACTNUMBER(G48),EXTRACTNUMBER(I48),
EXTRACTNUMBER(K48),EXTRACTNUMBER(M48),
EXTRACTNUMBER(O48),EXTRACTNUMBER(Q48),
EXTRACTNUMBER(S48),EXTRACTNUMBER(U48),
EXTRACTNUMBER(W48),EXTRACTNUMBER(Y48),EXTRACTNUMBER(AA48),
EXTRACTNUMBER(AC48),EXTRACTNUMBER(AE48)))</f>
        <v>462</v>
      </c>
      <c r="AH48" s="38" t="str">
        <f t="shared" ca="1" si="15"/>
        <v>FAIL</v>
      </c>
      <c r="AI48" s="28" t="str">
        <f>spellnumber(EXTRACTnUMBER_TOT(AG48))</f>
        <v xml:space="preserve">Four Hundred Sixty Two </v>
      </c>
    </row>
    <row r="49" spans="1:35" ht="15" customHeight="1">
      <c r="A49" s="58">
        <v>223249</v>
      </c>
      <c r="B49" s="32" t="s">
        <v>207</v>
      </c>
      <c r="C49" s="60">
        <v>23</v>
      </c>
      <c r="D49" s="61" t="str">
        <f t="shared" ca="1" si="1"/>
        <v>F</v>
      </c>
      <c r="E49" s="62">
        <v>15</v>
      </c>
      <c r="F49" s="61" t="str">
        <f t="shared" ca="1" si="2"/>
        <v>E</v>
      </c>
      <c r="G49" s="63">
        <v>59</v>
      </c>
      <c r="H49" s="61" t="str">
        <f t="shared" ca="1" si="3"/>
        <v>E</v>
      </c>
      <c r="I49" s="62">
        <v>20</v>
      </c>
      <c r="J49" s="61" t="str">
        <f t="shared" ca="1" si="4"/>
        <v>E</v>
      </c>
      <c r="K49" s="62">
        <v>19</v>
      </c>
      <c r="L49" s="61" t="str">
        <f t="shared" ca="1" si="5"/>
        <v>E</v>
      </c>
      <c r="M49" s="63">
        <v>63</v>
      </c>
      <c r="N49" s="61" t="str">
        <f t="shared" ca="1" si="0"/>
        <v>E</v>
      </c>
      <c r="O49" s="62">
        <v>20</v>
      </c>
      <c r="P49" s="64" t="str">
        <f t="shared" ca="1" si="6"/>
        <v>E</v>
      </c>
      <c r="Q49" s="60">
        <v>54</v>
      </c>
      <c r="R49" s="61" t="str">
        <f t="shared" ca="1" si="7"/>
        <v>E</v>
      </c>
      <c r="S49" s="62">
        <v>20</v>
      </c>
      <c r="T49" s="64" t="str">
        <f t="shared" ca="1" si="8"/>
        <v>E</v>
      </c>
      <c r="U49" s="60">
        <v>40</v>
      </c>
      <c r="V49" s="61" t="str">
        <f t="shared" ca="1" si="9"/>
        <v>E</v>
      </c>
      <c r="W49" s="62">
        <v>18</v>
      </c>
      <c r="X49" s="64" t="str">
        <f t="shared" ca="1" si="10"/>
        <v>E</v>
      </c>
      <c r="Y49" s="62">
        <v>18</v>
      </c>
      <c r="Z49" s="64" t="str">
        <f t="shared" ca="1" si="11"/>
        <v>E</v>
      </c>
      <c r="AA49" s="60">
        <v>45</v>
      </c>
      <c r="AB49" s="61" t="str">
        <f t="shared" ca="1" si="12"/>
        <v>E</v>
      </c>
      <c r="AC49" s="62">
        <v>19</v>
      </c>
      <c r="AD49" s="61" t="str">
        <f t="shared" ca="1" si="13"/>
        <v>E</v>
      </c>
      <c r="AE49" s="62">
        <v>38</v>
      </c>
      <c r="AF49" s="64" t="str">
        <f t="shared" ca="1" si="14"/>
        <v>E</v>
      </c>
      <c r="AG49" s="66">
        <f>IF(OR(AND(C49&gt;=31,C49&lt;40),AND(G49&gt;=31,G49&lt;40),AND(M49&gt;=31,M49&lt;40),AND(Q49&gt;=31,Q49&lt;40),AND(U49&gt;=31,U49&lt;40),AND(AA49&gt;=11,AA49&lt;20)),IF(AND(OR(COUNTIF(C49:AF49,"=31")&gt;=1,COUNTIF(C49:AF49,"=32")&gt;=1,COUNTIF(C49:AF49,"=33")&gt;=1,COUNTIF(C49:AF49,"=34")&gt;=1,COUNTIF(C49:AF49,"=35")&gt;=1,COUNTIF(C49:AF49,"=36")&gt;=1 ),COUNTIF(C49:AF49,"")=0,COUNTIF(C49:AF49," ")=0,COUNTIF(C49:AF49,"F")=1),CONCATENATE(SUM(EXTRACTNUMBER(C49),EXTRACTNUMBER(E49),
EXTRACTNUMBER(G49),EXTRACTNUMBER(I49),
EXTRACTNUMBER(K49),EXTRACTNUMBER(M49),
EXTRACTNUMBER(O49),EXTRACTNUMBER(Q49),
EXTRACTNUMBER(S49),EXTRACTNUMBER(U49),
EXTRACTNUMBER(W49),EXTRACTNUMBER(Y49),EXTRACTNUMBER(AA49),
EXTRACTNUMBER(AC49),EXTRACTNUMBER(AE49)),"*"),IF(AND(COUNTIF(C49:AF49,"=34")&gt;=1,COUNTIF(C49:AF49,"=35")&gt;=1,COUNTIF(C49:AF49,"f")=2,COUNTIF(C49:AF49,"")=0,COUNTIF(C49:AF49," ")=0),CONCATENATE(SUM(EXTRACTNUMBER(C49),EXTRACTNUMBER(E49),
EXTRACTNUMBER(G49),EXTRACTNUMBER(I49),
EXTRACTNUMBER(K49),EXTRACTNUMBER(M49),
EXTRACTNUMBER(O49),EXTRACTNUMBER(Q49),
EXTRACTNUMBER(S49),EXTRACTNUMBER(U49),
EXTRACTNUMBER(W49),EXTRACTNUMBER(Y49),EXTRACTNUMBER(AA49),
EXTRACTNUMBER(AC49),EXTRACTNUMBER(AE49)),"*"),IF(AND(COUNTIF(C49:AF49,"=36")&gt;=2,COUNTIF(C49:AF49,"f")=2,COUNTIF(C49:AF49,"")=0,COUNTIF(C49:AF49," ")=0),CONCATENATE(SUM(EXTRACTNUMBER(C49),EXTRACTNUMBER(E49),
EXTRACTNUMBER(G49),EXTRACTNUMBER(I49),
EXTRACTNUMBER(K49),EXTRACTNUMBER(M49),
EXTRACTNUMBER(O49),EXTRACTNUMBER(Q49),
EXTRACTNUMBER(S49),EXTRACTNUMBER(U49),
EXTRACTNUMBER(W49),EXTRACTNUMBER(Y49),EXTRACTNUMBER(AA49),
EXTRACTNUMBER(AC49),EXTRACTNUMBER(AE49)),"*"),SUM(EXTRACTNUMBER(C49),EXTRACTNUMBER(E49),
EXTRACTNUMBER(G49),EXTRACTNUMBER(I49),
EXTRACTNUMBER(K49),EXTRACTNUMBER(M49),
EXTRACTNUMBER(O49),EXTRACTNUMBER(Q49),
EXTRACTNUMBER(S49),EXTRACTNUMBER(U49),
EXTRACTNUMBER(W49),EXTRACTNUMBER(Y49),EXTRACTNUMBER(AA49),
EXTRACTNUMBER(AC49),EXTRACTNUMBER(AE49))))),SUM(EXTRACTNUMBER(C49),EXTRACTNUMBER(E49),
EXTRACTNUMBER(G49),EXTRACTNUMBER(I49),
EXTRACTNUMBER(K49),EXTRACTNUMBER(M49),
EXTRACTNUMBER(O49),EXTRACTNUMBER(Q49),
EXTRACTNUMBER(S49),EXTRACTNUMBER(U49),
EXTRACTNUMBER(W49),EXTRACTNUMBER(Y49),EXTRACTNUMBER(AA49),
EXTRACTNUMBER(AC49),EXTRACTNUMBER(AE49)))</f>
        <v>471</v>
      </c>
      <c r="AH49" s="38" t="str">
        <f t="shared" ca="1" si="15"/>
        <v>FAIL</v>
      </c>
      <c r="AI49" s="28" t="str">
        <f>spellnumber(EXTRACTnUMBER_TOT(AG49))</f>
        <v xml:space="preserve">Four Hundred Seventy One </v>
      </c>
    </row>
    <row r="50" spans="1:35" ht="15" customHeight="1">
      <c r="A50" s="58">
        <v>223250</v>
      </c>
      <c r="B50" s="32" t="s">
        <v>208</v>
      </c>
      <c r="C50" s="60">
        <v>43</v>
      </c>
      <c r="D50" s="61" t="str">
        <f t="shared" ca="1" si="1"/>
        <v>E</v>
      </c>
      <c r="E50" s="62">
        <v>19</v>
      </c>
      <c r="F50" s="61" t="str">
        <f t="shared" ca="1" si="2"/>
        <v>E</v>
      </c>
      <c r="G50" s="63">
        <v>33</v>
      </c>
      <c r="H50" s="61" t="str">
        <f t="shared" ca="1" si="3"/>
        <v>F</v>
      </c>
      <c r="I50" s="62">
        <v>19</v>
      </c>
      <c r="J50" s="61" t="str">
        <f t="shared" ca="1" si="4"/>
        <v>E</v>
      </c>
      <c r="K50" s="62">
        <v>19</v>
      </c>
      <c r="L50" s="61" t="str">
        <f t="shared" ca="1" si="5"/>
        <v>E</v>
      </c>
      <c r="M50" s="63">
        <v>57</v>
      </c>
      <c r="N50" s="61" t="str">
        <f t="shared" ca="1" si="0"/>
        <v>E</v>
      </c>
      <c r="O50" s="62">
        <v>20</v>
      </c>
      <c r="P50" s="64" t="str">
        <f t="shared" ca="1" si="6"/>
        <v>E</v>
      </c>
      <c r="Q50" s="60">
        <v>54</v>
      </c>
      <c r="R50" s="61" t="str">
        <f t="shared" ca="1" si="7"/>
        <v>E</v>
      </c>
      <c r="S50" s="62">
        <v>20</v>
      </c>
      <c r="T50" s="64" t="str">
        <f t="shared" ca="1" si="8"/>
        <v>E</v>
      </c>
      <c r="U50" s="60">
        <v>44</v>
      </c>
      <c r="V50" s="61" t="str">
        <f t="shared" ca="1" si="9"/>
        <v>E</v>
      </c>
      <c r="W50" s="62">
        <v>17</v>
      </c>
      <c r="X50" s="64" t="str">
        <f t="shared" ca="1" si="10"/>
        <v>E</v>
      </c>
      <c r="Y50" s="62">
        <v>18</v>
      </c>
      <c r="Z50" s="64" t="str">
        <f t="shared" ca="1" si="11"/>
        <v>E</v>
      </c>
      <c r="AA50" s="60">
        <v>25</v>
      </c>
      <c r="AB50" s="61" t="str">
        <f t="shared" ca="1" si="12"/>
        <v>F</v>
      </c>
      <c r="AC50" s="62">
        <v>22</v>
      </c>
      <c r="AD50" s="61" t="str">
        <f t="shared" ca="1" si="13"/>
        <v>E</v>
      </c>
      <c r="AE50" s="62">
        <v>40</v>
      </c>
      <c r="AF50" s="64" t="str">
        <f t="shared" ca="1" si="14"/>
        <v>E</v>
      </c>
      <c r="AG50" s="66">
        <f ca="1">IF(OR(AND(C50&gt;=31,C50&lt;40),AND(G50&gt;=31,G50&lt;40),AND(M50&gt;=31,M50&lt;40),AND(Q50&gt;=31,Q50&lt;40),AND(U50&gt;=31,U50&lt;40),AND(AA50&gt;=11,AA50&lt;20)),IF(AND(OR(COUNTIF(C50:AF50,"=31")&gt;=1,COUNTIF(C50:AF50,"=32")&gt;=1,COUNTIF(C50:AF50,"=33")&gt;=1,COUNTIF(C50:AF50,"=34")&gt;=1,COUNTIF(C50:AF50,"=35")&gt;=1,COUNTIF(C50:AF50,"=36")&gt;=1 ),COUNTIF(C50:AF50,"")=0,COUNTIF(C50:AF50," ")=0,COUNTIF(C50:AF50,"F")=1),CONCATENATE(SUM(EXTRACTNUMBER(C50),EXTRACTNUMBER(E50),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EXTRACTNUMBER(AC50),EXTRACTNUMBER(AE50)),"*"),IF(AND(COUNTIF(C50:AF50,"=34")&gt;=1,COUNTIF(C50:AF50,"=35")&gt;=1,COUNTIF(C50:AF50,"f")=2,COUNTIF(C50:AF50,"")=0,COUNTIF(C50:AF50," ")=0),CONCATENATE(SUM(EXTRACTNUMBER(C50),EXTRACTNUMBER(E50),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EXTRACTNUMBER(AC50),EXTRACTNUMBER(AE50)),"*"),IF(AND(COUNTIF(C50:AF50,"=36")&gt;=2,COUNTIF(C50:AF50,"f")=2,COUNTIF(C50:AF50,"")=0,COUNTIF(C50:AF50," ")=0),CONCATENATE(SUM(EXTRACTNUMBER(C50),EXTRACTNUMBER(E50),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EXTRACTNUMBER(AC50),EXTRACTNUMBER(AE50)),"*"),SUM(EXTRACTNUMBER(C50),EXTRACTNUMBER(E50),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EXTRACTNUMBER(AC50),EXTRACTNUMBER(AE50))))),SUM(EXTRACTNUMBER(C50),EXTRACTNUMBER(E50),
EXTRACTNUMBER(G50),EXTRACTNUMBER(I50),
EXTRACTNUMBER(K50),EXTRACTNUMBER(M50),
EXTRACTNUMBER(O50),EXTRACTNUMBER(Q50),
EXTRACTNUMBER(S50),EXTRACTNUMBER(U50),
EXTRACTNUMBER(W50),EXTRACTNUMBER(Y50),EXTRACTNUMBER(AA50),
EXTRACTNUMBER(AC50),EXTRACTNUMBER(AE50)))</f>
        <v>450</v>
      </c>
      <c r="AH50" s="38" t="str">
        <f t="shared" ca="1" si="15"/>
        <v>FAIL</v>
      </c>
      <c r="AI50" s="28" t="e">
        <f ca="1">spellnumber(EXTRACTnUMBER_TOT(AG50))</f>
        <v>#NAME?</v>
      </c>
    </row>
    <row r="51" spans="1:35" ht="15" customHeight="1">
      <c r="A51" s="58">
        <v>223251</v>
      </c>
      <c r="B51" s="32" t="s">
        <v>209</v>
      </c>
      <c r="C51" s="60">
        <v>51</v>
      </c>
      <c r="D51" s="61" t="str">
        <f t="shared" ca="1" si="1"/>
        <v/>
      </c>
      <c r="E51" s="62">
        <v>21</v>
      </c>
      <c r="F51" s="61" t="str">
        <f t="shared" ca="1" si="2"/>
        <v/>
      </c>
      <c r="G51" s="63">
        <v>60</v>
      </c>
      <c r="H51" s="61" t="str">
        <f t="shared" ca="1" si="3"/>
        <v/>
      </c>
      <c r="I51" s="62">
        <v>24</v>
      </c>
      <c r="J51" s="61" t="str">
        <f t="shared" ca="1" si="4"/>
        <v/>
      </c>
      <c r="K51" s="62">
        <v>18</v>
      </c>
      <c r="L51" s="61" t="str">
        <f t="shared" ca="1" si="5"/>
        <v/>
      </c>
      <c r="M51" s="63">
        <v>80</v>
      </c>
      <c r="N51" s="61" t="str">
        <f t="shared" ca="1" si="0"/>
        <v/>
      </c>
      <c r="O51" s="62">
        <v>20</v>
      </c>
      <c r="P51" s="64" t="str">
        <f t="shared" ca="1" si="6"/>
        <v/>
      </c>
      <c r="Q51" s="60">
        <v>72</v>
      </c>
      <c r="R51" s="61" t="str">
        <f t="shared" ca="1" si="7"/>
        <v/>
      </c>
      <c r="S51" s="62">
        <v>22</v>
      </c>
      <c r="T51" s="64" t="str">
        <f t="shared" ca="1" si="8"/>
        <v/>
      </c>
      <c r="U51" s="60">
        <v>56</v>
      </c>
      <c r="V51" s="61" t="str">
        <f t="shared" ca="1" si="9"/>
        <v/>
      </c>
      <c r="W51" s="62">
        <v>21</v>
      </c>
      <c r="X51" s="64" t="str">
        <f t="shared" ca="1" si="10"/>
        <v/>
      </c>
      <c r="Y51" s="62">
        <v>20</v>
      </c>
      <c r="Z51" s="64" t="str">
        <f t="shared" ca="1" si="11"/>
        <v/>
      </c>
      <c r="AA51" s="60">
        <v>59</v>
      </c>
      <c r="AB51" s="61" t="str">
        <f t="shared" ca="1" si="12"/>
        <v/>
      </c>
      <c r="AC51" s="62">
        <v>23</v>
      </c>
      <c r="AD51" s="61" t="str">
        <f t="shared" ca="1" si="13"/>
        <v/>
      </c>
      <c r="AE51" s="62">
        <v>37</v>
      </c>
      <c r="AF51" s="64" t="str">
        <f t="shared" ca="1" si="14"/>
        <v/>
      </c>
      <c r="AG51" s="66">
        <f>IF(OR(AND(C51&gt;=31,C51&lt;40),AND(G51&gt;=31,G51&lt;40),AND(M51&gt;=31,M51&lt;40),AND(Q51&gt;=31,Q51&lt;40),AND(U51&gt;=31,U51&lt;40),AND(AA51&gt;=11,AA51&lt;20)),IF(AND(OR(COUNTIF(C51:AF51,"=31")&gt;=1,COUNTIF(C51:AF51,"=32")&gt;=1,COUNTIF(C51:AF51,"=33")&gt;=1,COUNTIF(C51:AF51,"=34")&gt;=1,COUNTIF(C51:AF51,"=35")&gt;=1,COUNTIF(C51:AF51,"=36")&gt;=1 ),COUNTIF(C51:AF51,"")=0,COUNTIF(C51:AF51," ")=0,COUNTIF(C51:AF51,"F")=1),CONCATENATE(SUM(EXTRACTNUMBER(C51),EXTRACTNUMBER(E51),
EXTRACTNUMBER(G51),EXTRACTNUMBER(I51),
EXTRACTNUMBER(K51),EXTRACTNUMBER(M51),
EXTRACTNUMBER(O51),EXTRACTNUMBER(Q51),
EXTRACTNUMBER(S51),EXTRACTNUMBER(U51),
EXTRACTNUMBER(W51),EXTRACTNUMBER(Y51),EXTRACTNUMBER(AA51),
EXTRACTNUMBER(AC51),EXTRACTNUMBER(AE51)),"*"),IF(AND(COUNTIF(C51:AF51,"=34")&gt;=1,COUNTIF(C51:AF51,"=35")&gt;=1,COUNTIF(C51:AF51,"f")=2,COUNTIF(C51:AF51,"")=0,COUNTIF(C51:AF51," ")=0),CONCATENATE(SUM(EXTRACTNUMBER(C51),EXTRACTNUMBER(E51),
EXTRACTNUMBER(G51),EXTRACTNUMBER(I51),
EXTRACTNUMBER(K51),EXTRACTNUMBER(M51),
EXTRACTNUMBER(O51),EXTRACTNUMBER(Q51),
EXTRACTNUMBER(S51),EXTRACTNUMBER(U51),
EXTRACTNUMBER(W51),EXTRACTNUMBER(Y51),EXTRACTNUMBER(AA51),
EXTRACTNUMBER(AC51),EXTRACTNUMBER(AE51)),"*"),IF(AND(COUNTIF(C51:AF51,"=36")&gt;=2,COUNTIF(C51:AF51,"f")=2,COUNTIF(C51:AF51,"")=0,COUNTIF(C51:AF51," ")=0),CONCATENATE(SUM(EXTRACTNUMBER(C51),EXTRACTNUMBER(E51),
EXTRACTNUMBER(G51),EXTRACTNUMBER(I51),
EXTRACTNUMBER(K51),EXTRACTNUMBER(M51),
EXTRACTNUMBER(O51),EXTRACTNUMBER(Q51),
EXTRACTNUMBER(S51),EXTRACTNUMBER(U51),
EXTRACTNUMBER(W51),EXTRACTNUMBER(Y51),EXTRACTNUMBER(AA51),
EXTRACTNUMBER(AC51),EXTRACTNUMBER(AE51)),"*"),SUM(EXTRACTNUMBER(C51),EXTRACTNUMBER(E51),
EXTRACTNUMBER(G51),EXTRACTNUMBER(I51),
EXTRACTNUMBER(K51),EXTRACTNUMBER(M51),
EXTRACTNUMBER(O51),EXTRACTNUMBER(Q51),
EXTRACTNUMBER(S51),EXTRACTNUMBER(U51),
EXTRACTNUMBER(W51),EXTRACTNUMBER(Y51),EXTRACTNUMBER(AA51),
EXTRACTNUMBER(AC51),EXTRACTNUMBER(AE51))))),SUM(EXTRACTNUMBER(C51),EXTRACTNUMBER(E51),
EXTRACTNUMBER(G51),EXTRACTNUMBER(I51),
EXTRACTNUMBER(K51),EXTRACTNUMBER(M51),
EXTRACTNUMBER(O51),EXTRACTNUMBER(Q51),
EXTRACTNUMBER(S51),EXTRACTNUMBER(U51),
EXTRACTNUMBER(W51),EXTRACTNUMBER(Y51),EXTRACTNUMBER(AA51),
EXTRACTNUMBER(AC51),EXTRACTNUMBER(AE51)))</f>
        <v>584</v>
      </c>
      <c r="AH51" s="38" t="str">
        <f t="shared" ca="1" si="15"/>
        <v>PASS</v>
      </c>
      <c r="AI51" s="28" t="str">
        <f>spellnumber(EXTRACTnUMBER_TOT(AG51))</f>
        <v xml:space="preserve">Five Hundred Eighty Four </v>
      </c>
    </row>
    <row r="52" spans="1:35" ht="15" customHeight="1">
      <c r="A52" s="58">
        <v>223252</v>
      </c>
      <c r="B52" s="32" t="s">
        <v>210</v>
      </c>
      <c r="C52" s="60">
        <v>40</v>
      </c>
      <c r="D52" s="61" t="str">
        <f t="shared" ca="1" si="1"/>
        <v/>
      </c>
      <c r="E52" s="62">
        <v>13</v>
      </c>
      <c r="F52" s="61" t="str">
        <f t="shared" ca="1" si="2"/>
        <v/>
      </c>
      <c r="G52" s="63">
        <v>43</v>
      </c>
      <c r="H52" s="61" t="str">
        <f t="shared" ca="1" si="3"/>
        <v/>
      </c>
      <c r="I52" s="62">
        <v>19</v>
      </c>
      <c r="J52" s="61" t="str">
        <f t="shared" ca="1" si="4"/>
        <v/>
      </c>
      <c r="K52" s="62">
        <v>17</v>
      </c>
      <c r="L52" s="61" t="str">
        <f t="shared" ca="1" si="5"/>
        <v/>
      </c>
      <c r="M52" s="63">
        <v>74</v>
      </c>
      <c r="N52" s="61" t="str">
        <f t="shared" ca="1" si="0"/>
        <v/>
      </c>
      <c r="O52" s="62">
        <v>20</v>
      </c>
      <c r="P52" s="64" t="str">
        <f t="shared" ca="1" si="6"/>
        <v/>
      </c>
      <c r="Q52" s="60">
        <v>40</v>
      </c>
      <c r="R52" s="61" t="str">
        <f t="shared" ca="1" si="7"/>
        <v/>
      </c>
      <c r="S52" s="62">
        <v>22</v>
      </c>
      <c r="T52" s="64" t="str">
        <f t="shared" ca="1" si="8"/>
        <v/>
      </c>
      <c r="U52" s="60">
        <v>40</v>
      </c>
      <c r="V52" s="61" t="str">
        <f t="shared" ca="1" si="9"/>
        <v/>
      </c>
      <c r="W52" s="62">
        <v>17</v>
      </c>
      <c r="X52" s="64" t="str">
        <f t="shared" ca="1" si="10"/>
        <v/>
      </c>
      <c r="Y52" s="62">
        <v>17</v>
      </c>
      <c r="Z52" s="64" t="str">
        <f t="shared" ca="1" si="11"/>
        <v/>
      </c>
      <c r="AA52" s="60">
        <v>42</v>
      </c>
      <c r="AB52" s="61" t="str">
        <f t="shared" ca="1" si="12"/>
        <v/>
      </c>
      <c r="AC52" s="62">
        <v>21</v>
      </c>
      <c r="AD52" s="61" t="str">
        <f t="shared" ca="1" si="13"/>
        <v/>
      </c>
      <c r="AE52" s="62">
        <v>46</v>
      </c>
      <c r="AF52" s="64" t="str">
        <f t="shared" ca="1" si="14"/>
        <v/>
      </c>
      <c r="AG52" s="66">
        <f>IF(OR(AND(C52&gt;=31,C52&lt;40),AND(G52&gt;=31,G52&lt;40),AND(M52&gt;=31,M52&lt;40),AND(Q52&gt;=31,Q52&lt;40),AND(U52&gt;=31,U52&lt;40),AND(AA52&gt;=11,AA52&lt;20)),IF(AND(OR(COUNTIF(C52:AF52,"=31")&gt;=1,COUNTIF(C52:AF52,"=32")&gt;=1,COUNTIF(C52:AF52,"=33")&gt;=1,COUNTIF(C52:AF52,"=34")&gt;=1,COUNTIF(C52:AF52,"=35")&gt;=1,COUNTIF(C52:AF52,"=36")&gt;=1 ),COUNTIF(C52:AF52,"")=0,COUNTIF(C52:AF52," ")=0,COUNTIF(C52:AF52,"F")=1),CONCATENATE(SUM(EXTRACTNUMBER(C52),EXTRACTNUMBER(E52),
EXTRACTNUMBER(G52),EXTRACTNUMBER(I52),
EXTRACTNUMBER(K52),EXTRACTNUMBER(M52),
EXTRACTNUMBER(O52),EXTRACTNUMBER(Q52),
EXTRACTNUMBER(S52),EXTRACTNUMBER(U52),
EXTRACTNUMBER(W52),EXTRACTNUMBER(Y52),EXTRACTNUMBER(AA52),
EXTRACTNUMBER(AC52),EXTRACTNUMBER(AE52)),"*"),IF(AND(COUNTIF(C52:AF52,"=34")&gt;=1,COUNTIF(C52:AF52,"=35")&gt;=1,COUNTIF(C52:AF52,"f")=2,COUNTIF(C52:AF52,"")=0,COUNTIF(C52:AF52," ")=0),CONCATENATE(SUM(EXTRACTNUMBER(C52),EXTRACTNUMBER(E52),
EXTRACTNUMBER(G52),EXTRACTNUMBER(I52),
EXTRACTNUMBER(K52),EXTRACTNUMBER(M52),
EXTRACTNUMBER(O52),EXTRACTNUMBER(Q52),
EXTRACTNUMBER(S52),EXTRACTNUMBER(U52),
EXTRACTNUMBER(W52),EXTRACTNUMBER(Y52),EXTRACTNUMBER(AA52),
EXTRACTNUMBER(AC52),EXTRACTNUMBER(AE52)),"*"),IF(AND(COUNTIF(C52:AF52,"=36")&gt;=2,COUNTIF(C52:AF52,"f")=2,COUNTIF(C52:AF52,"")=0,COUNTIF(C52:AF52," ")=0),CONCATENATE(SUM(EXTRACTNUMBER(C52),EXTRACTNUMBER(E52),
EXTRACTNUMBER(G52),EXTRACTNUMBER(I52),
EXTRACTNUMBER(K52),EXTRACTNUMBER(M52),
EXTRACTNUMBER(O52),EXTRACTNUMBER(Q52),
EXTRACTNUMBER(S52),EXTRACTNUMBER(U52),
EXTRACTNUMBER(W52),EXTRACTNUMBER(Y52),EXTRACTNUMBER(AA52),
EXTRACTNUMBER(AC52),EXTRACTNUMBER(AE52)),"*"),SUM(EXTRACTNUMBER(C52),EXTRACTNUMBER(E52),
EXTRACTNUMBER(G52),EXTRACTNUMBER(I52),
EXTRACTNUMBER(K52),EXTRACTNUMBER(M52),
EXTRACTNUMBER(O52),EXTRACTNUMBER(Q52),
EXTRACTNUMBER(S52),EXTRACTNUMBER(U52),
EXTRACTNUMBER(W52),EXTRACTNUMBER(Y52),EXTRACTNUMBER(AA52),
EXTRACTNUMBER(AC52),EXTRACTNUMBER(AE52))))),SUM(EXTRACTNUMBER(C52),EXTRACTNUMBER(E52),
EXTRACTNUMBER(G52),EXTRACTNUMBER(I52),
EXTRACTNUMBER(K52),EXTRACTNUMBER(M52),
EXTRACTNUMBER(O52),EXTRACTNUMBER(Q52),
EXTRACTNUMBER(S52),EXTRACTNUMBER(U52),
EXTRACTNUMBER(W52),EXTRACTNUMBER(Y52),EXTRACTNUMBER(AA52),
EXTRACTNUMBER(AC52),EXTRACTNUMBER(AE52)))</f>
        <v>471</v>
      </c>
      <c r="AH52" s="38" t="str">
        <f t="shared" ca="1" si="15"/>
        <v>PASS</v>
      </c>
      <c r="AI52" s="28" t="str">
        <f>spellnumber(EXTRACTnUMBER_TOT(AG52))</f>
        <v xml:space="preserve">Four Hundred Seventy One </v>
      </c>
    </row>
    <row r="53" spans="1:35" ht="15" customHeight="1">
      <c r="A53" s="58">
        <v>223253</v>
      </c>
      <c r="B53" s="32" t="s">
        <v>211</v>
      </c>
      <c r="C53" s="60">
        <v>40</v>
      </c>
      <c r="D53" s="61" t="str">
        <f t="shared" ca="1" si="1"/>
        <v/>
      </c>
      <c r="E53" s="62">
        <v>18</v>
      </c>
      <c r="F53" s="61" t="str">
        <f t="shared" ca="1" si="2"/>
        <v/>
      </c>
      <c r="G53" s="63">
        <v>67</v>
      </c>
      <c r="H53" s="61" t="str">
        <f t="shared" ca="1" si="3"/>
        <v/>
      </c>
      <c r="I53" s="62">
        <v>19</v>
      </c>
      <c r="J53" s="61" t="str">
        <f t="shared" ca="1" si="4"/>
        <v/>
      </c>
      <c r="K53" s="62">
        <v>19</v>
      </c>
      <c r="L53" s="61" t="str">
        <f t="shared" ca="1" si="5"/>
        <v/>
      </c>
      <c r="M53" s="63">
        <v>68</v>
      </c>
      <c r="N53" s="61" t="str">
        <f t="shared" ca="1" si="0"/>
        <v/>
      </c>
      <c r="O53" s="62">
        <v>19</v>
      </c>
      <c r="P53" s="64" t="str">
        <f t="shared" ca="1" si="6"/>
        <v/>
      </c>
      <c r="Q53" s="60">
        <v>57</v>
      </c>
      <c r="R53" s="61" t="str">
        <f t="shared" ca="1" si="7"/>
        <v/>
      </c>
      <c r="S53" s="62">
        <v>21</v>
      </c>
      <c r="T53" s="64" t="str">
        <f t="shared" ca="1" si="8"/>
        <v/>
      </c>
      <c r="U53" s="60">
        <v>43</v>
      </c>
      <c r="V53" s="61" t="str">
        <f t="shared" ca="1" si="9"/>
        <v/>
      </c>
      <c r="W53" s="62">
        <v>21</v>
      </c>
      <c r="X53" s="64" t="str">
        <f t="shared" ca="1" si="10"/>
        <v/>
      </c>
      <c r="Y53" s="62">
        <v>20</v>
      </c>
      <c r="Z53" s="64" t="str">
        <f t="shared" ca="1" si="11"/>
        <v/>
      </c>
      <c r="AA53" s="60">
        <v>40</v>
      </c>
      <c r="AB53" s="61" t="str">
        <f t="shared" ca="1" si="12"/>
        <v/>
      </c>
      <c r="AC53" s="62">
        <v>18</v>
      </c>
      <c r="AD53" s="61" t="str">
        <f t="shared" ca="1" si="13"/>
        <v/>
      </c>
      <c r="AE53" s="62">
        <v>44</v>
      </c>
      <c r="AF53" s="64" t="str">
        <f t="shared" ca="1" si="14"/>
        <v/>
      </c>
      <c r="AG53" s="66">
        <f>IF(OR(AND(C53&gt;=31,C53&lt;40),AND(G53&gt;=31,G53&lt;40),AND(M53&gt;=31,M53&lt;40),AND(Q53&gt;=31,Q53&lt;40),AND(U53&gt;=31,U53&lt;40),AND(AA53&gt;=11,AA53&lt;20)),IF(AND(OR(COUNTIF(C53:AF53,"=31")&gt;=1,COUNTIF(C53:AF53,"=32")&gt;=1,COUNTIF(C53:AF53,"=33")&gt;=1,COUNTIF(C53:AF53,"=34")&gt;=1,COUNTIF(C53:AF53,"=35")&gt;=1,COUNTIF(C53:AF53,"=36")&gt;=1 ),COUNTIF(C53:AF53,"")=0,COUNTIF(C53:AF53," ")=0,COUNTIF(C53:AF53,"F")=1),CONCATENATE(SUM(EXTRACTNUMBER(C53),EXTRACTNUMBER(E53),
EXTRACTNUMBER(G53),EXTRACTNUMBER(I53),
EXTRACTNUMBER(K53),EXTRACTNUMBER(M53),
EXTRACTNUMBER(O53),EXTRACTNUMBER(Q53),
EXTRACTNUMBER(S53),EXTRACTNUMBER(U53),
EXTRACTNUMBER(W53),EXTRACTNUMBER(Y53),EXTRACTNUMBER(AA53),
EXTRACTNUMBER(AC53),EXTRACTNUMBER(AE53)),"*"),IF(AND(COUNTIF(C53:AF53,"=34")&gt;=1,COUNTIF(C53:AF53,"=35")&gt;=1,COUNTIF(C53:AF53,"f")=2,COUNTIF(C53:AF53,"")=0,COUNTIF(C53:AF53," ")=0),CONCATENATE(SUM(EXTRACTNUMBER(C53),EXTRACTNUMBER(E53),
EXTRACTNUMBER(G53),EXTRACTNUMBER(I53),
EXTRACTNUMBER(K53),EXTRACTNUMBER(M53),
EXTRACTNUMBER(O53),EXTRACTNUMBER(Q53),
EXTRACTNUMBER(S53),EXTRACTNUMBER(U53),
EXTRACTNUMBER(W53),EXTRACTNUMBER(Y53),EXTRACTNUMBER(AA53),
EXTRACTNUMBER(AC53),EXTRACTNUMBER(AE53)),"*"),IF(AND(COUNTIF(C53:AF53,"=36")&gt;=2,COUNTIF(C53:AF53,"f")=2,COUNTIF(C53:AF53,"")=0,COUNTIF(C53:AF53," ")=0),CONCATENATE(SUM(EXTRACTNUMBER(C53),EXTRACTNUMBER(E53),
EXTRACTNUMBER(G53),EXTRACTNUMBER(I53),
EXTRACTNUMBER(K53),EXTRACTNUMBER(M53),
EXTRACTNUMBER(O53),EXTRACTNUMBER(Q53),
EXTRACTNUMBER(S53),EXTRACTNUMBER(U53),
EXTRACTNUMBER(W53),EXTRACTNUMBER(Y53),EXTRACTNUMBER(AA53),
EXTRACTNUMBER(AC53),EXTRACTNUMBER(AE53)),"*"),SUM(EXTRACTNUMBER(C53),EXTRACTNUMBER(E53),
EXTRACTNUMBER(G53),EXTRACTNUMBER(I53),
EXTRACTNUMBER(K53),EXTRACTNUMBER(M53),
EXTRACTNUMBER(O53),EXTRACTNUMBER(Q53),
EXTRACTNUMBER(S53),EXTRACTNUMBER(U53),
EXTRACTNUMBER(W53),EXTRACTNUMBER(Y53),EXTRACTNUMBER(AA53),
EXTRACTNUMBER(AC53),EXTRACTNUMBER(AE53))))),SUM(EXTRACTNUMBER(C53),EXTRACTNUMBER(E53),
EXTRACTNUMBER(G53),EXTRACTNUMBER(I53),
EXTRACTNUMBER(K53),EXTRACTNUMBER(M53),
EXTRACTNUMBER(O53),EXTRACTNUMBER(Q53),
EXTRACTNUMBER(S53),EXTRACTNUMBER(U53),
EXTRACTNUMBER(W53),EXTRACTNUMBER(Y53),EXTRACTNUMBER(AA53),
EXTRACTNUMBER(AC53),EXTRACTNUMBER(AE53)))</f>
        <v>514</v>
      </c>
      <c r="AH53" s="38" t="str">
        <f t="shared" ca="1" si="15"/>
        <v>PASS</v>
      </c>
      <c r="AI53" s="28" t="str">
        <f>spellnumber(EXTRACTnUMBER_TOT(AG53))</f>
        <v xml:space="preserve">Five Hundred Fourteen </v>
      </c>
    </row>
    <row r="54" spans="1:35" ht="15" customHeight="1">
      <c r="A54" s="58">
        <v>223254</v>
      </c>
      <c r="B54" s="32" t="s">
        <v>212</v>
      </c>
      <c r="C54" s="60">
        <v>50</v>
      </c>
      <c r="D54" s="61" t="str">
        <f t="shared" ca="1" si="1"/>
        <v/>
      </c>
      <c r="E54" s="62">
        <v>23</v>
      </c>
      <c r="F54" s="61" t="str">
        <f t="shared" ca="1" si="2"/>
        <v/>
      </c>
      <c r="G54" s="63">
        <v>55</v>
      </c>
      <c r="H54" s="61" t="str">
        <f t="shared" ca="1" si="3"/>
        <v/>
      </c>
      <c r="I54" s="62">
        <v>22</v>
      </c>
      <c r="J54" s="61" t="str">
        <f t="shared" ca="1" si="4"/>
        <v/>
      </c>
      <c r="K54" s="62">
        <v>20</v>
      </c>
      <c r="L54" s="61" t="str">
        <f t="shared" ca="1" si="5"/>
        <v/>
      </c>
      <c r="M54" s="63">
        <v>66</v>
      </c>
      <c r="N54" s="61" t="str">
        <f t="shared" ca="1" si="0"/>
        <v/>
      </c>
      <c r="O54" s="62">
        <v>23</v>
      </c>
      <c r="P54" s="64" t="str">
        <f t="shared" ca="1" si="6"/>
        <v/>
      </c>
      <c r="Q54" s="60">
        <v>60</v>
      </c>
      <c r="R54" s="61" t="str">
        <f t="shared" ca="1" si="7"/>
        <v/>
      </c>
      <c r="S54" s="62">
        <v>21</v>
      </c>
      <c r="T54" s="64" t="str">
        <f t="shared" ca="1" si="8"/>
        <v/>
      </c>
      <c r="U54" s="60">
        <v>50</v>
      </c>
      <c r="V54" s="61" t="str">
        <f t="shared" ca="1" si="9"/>
        <v/>
      </c>
      <c r="W54" s="62">
        <v>22</v>
      </c>
      <c r="X54" s="64" t="str">
        <f t="shared" ca="1" si="10"/>
        <v/>
      </c>
      <c r="Y54" s="62">
        <v>22</v>
      </c>
      <c r="Z54" s="64" t="str">
        <f t="shared" ca="1" si="11"/>
        <v/>
      </c>
      <c r="AA54" s="60">
        <v>40</v>
      </c>
      <c r="AB54" s="61" t="str">
        <f t="shared" ca="1" si="12"/>
        <v/>
      </c>
      <c r="AC54" s="62">
        <v>24</v>
      </c>
      <c r="AD54" s="61" t="str">
        <f t="shared" ca="1" si="13"/>
        <v/>
      </c>
      <c r="AE54" s="62">
        <v>46</v>
      </c>
      <c r="AF54" s="64" t="str">
        <f t="shared" ca="1" si="14"/>
        <v/>
      </c>
      <c r="AG54" s="66">
        <f>IF(OR(AND(C54&gt;=31,C54&lt;40),AND(G54&gt;=31,G54&lt;40),AND(M54&gt;=31,M54&lt;40),AND(Q54&gt;=31,Q54&lt;40),AND(U54&gt;=31,U54&lt;40),AND(AA54&gt;=11,AA54&lt;20)),IF(AND(OR(COUNTIF(C54:AF54,"=31")&gt;=1,COUNTIF(C54:AF54,"=32")&gt;=1,COUNTIF(C54:AF54,"=33")&gt;=1,COUNTIF(C54:AF54,"=34")&gt;=1,COUNTIF(C54:AF54,"=35")&gt;=1,COUNTIF(C54:AF54,"=36")&gt;=1 ),COUNTIF(C54:AF54,"")=0,COUNTIF(C54:AF54," ")=0,COUNTIF(C54:AF54,"F")=1),CONCATENATE(SUM(EXTRACTNUMBER(C54),EXTRACTNUMBER(E54),
EXTRACTNUMBER(G54),EXTRACTNUMBER(I54),
EXTRACTNUMBER(K54),EXTRACTNUMBER(M54),
EXTRACTNUMBER(O54),EXTRACTNUMBER(Q54),
EXTRACTNUMBER(S54),EXTRACTNUMBER(U54),
EXTRACTNUMBER(W54),EXTRACTNUMBER(Y54),EXTRACTNUMBER(AA54),
EXTRACTNUMBER(AC54),EXTRACTNUMBER(AE54)),"*"),IF(AND(COUNTIF(C54:AF54,"=34")&gt;=1,COUNTIF(C54:AF54,"=35")&gt;=1,COUNTIF(C54:AF54,"f")=2,COUNTIF(C54:AF54,"")=0,COUNTIF(C54:AF54," ")=0),CONCATENATE(SUM(EXTRACTNUMBER(C54),EXTRACTNUMBER(E54),
EXTRACTNUMBER(G54),EXTRACTNUMBER(I54),
EXTRACTNUMBER(K54),EXTRACTNUMBER(M54),
EXTRACTNUMBER(O54),EXTRACTNUMBER(Q54),
EXTRACTNUMBER(S54),EXTRACTNUMBER(U54),
EXTRACTNUMBER(W54),EXTRACTNUMBER(Y54),EXTRACTNUMBER(AA54),
EXTRACTNUMBER(AC54),EXTRACTNUMBER(AE54)),"*"),IF(AND(COUNTIF(C54:AF54,"=36")&gt;=2,COUNTIF(C54:AF54,"f")=2,COUNTIF(C54:AF54,"")=0,COUNTIF(C54:AF54," ")=0),CONCATENATE(SUM(EXTRACTNUMBER(C54),EXTRACTNUMBER(E54),
EXTRACTNUMBER(G54),EXTRACTNUMBER(I54),
EXTRACTNUMBER(K54),EXTRACTNUMBER(M54),
EXTRACTNUMBER(O54),EXTRACTNUMBER(Q54),
EXTRACTNUMBER(S54),EXTRACTNUMBER(U54),
EXTRACTNUMBER(W54),EXTRACTNUMBER(Y54),EXTRACTNUMBER(AA54),
EXTRACTNUMBER(AC54),EXTRACTNUMBER(AE54)),"*"),SUM(EXTRACTNUMBER(C54),EXTRACTNUMBER(E54),
EXTRACTNUMBER(G54),EXTRACTNUMBER(I54),
EXTRACTNUMBER(K54),EXTRACTNUMBER(M54),
EXTRACTNUMBER(O54),EXTRACTNUMBER(Q54),
EXTRACTNUMBER(S54),EXTRACTNUMBER(U54),
EXTRACTNUMBER(W54),EXTRACTNUMBER(Y54),EXTRACTNUMBER(AA54),
EXTRACTNUMBER(AC54),EXTRACTNUMBER(AE54))))),SUM(EXTRACTNUMBER(C54),EXTRACTNUMBER(E54),
EXTRACTNUMBER(G54),EXTRACTNUMBER(I54),
EXTRACTNUMBER(K54),EXTRACTNUMBER(M54),
EXTRACTNUMBER(O54),EXTRACTNUMBER(Q54),
EXTRACTNUMBER(S54),EXTRACTNUMBER(U54),
EXTRACTNUMBER(W54),EXTRACTNUMBER(Y54),EXTRACTNUMBER(AA54),
EXTRACTNUMBER(AC54),EXTRACTNUMBER(AE54)))</f>
        <v>544</v>
      </c>
      <c r="AH54" s="38" t="str">
        <f t="shared" ca="1" si="15"/>
        <v>PASS</v>
      </c>
      <c r="AI54" s="28" t="str">
        <f>spellnumber(EXTRACTnUMBER_TOT(AG54))</f>
        <v xml:space="preserve">Five Hundred Forty Four </v>
      </c>
    </row>
    <row r="55" spans="1:35" ht="15" customHeight="1">
      <c r="A55" s="58">
        <v>223255</v>
      </c>
      <c r="B55" s="32" t="s">
        <v>213</v>
      </c>
      <c r="C55" s="60">
        <v>45</v>
      </c>
      <c r="D55" s="61" t="str">
        <f t="shared" ca="1" si="1"/>
        <v/>
      </c>
      <c r="E55" s="62">
        <v>24</v>
      </c>
      <c r="F55" s="61" t="str">
        <f t="shared" ca="1" si="2"/>
        <v/>
      </c>
      <c r="G55" s="63">
        <v>57</v>
      </c>
      <c r="H55" s="61" t="str">
        <f t="shared" ca="1" si="3"/>
        <v/>
      </c>
      <c r="I55" s="62">
        <v>23</v>
      </c>
      <c r="J55" s="61" t="str">
        <f t="shared" ca="1" si="4"/>
        <v/>
      </c>
      <c r="K55" s="62">
        <v>18</v>
      </c>
      <c r="L55" s="61" t="str">
        <f t="shared" ca="1" si="5"/>
        <v/>
      </c>
      <c r="M55" s="63">
        <v>69</v>
      </c>
      <c r="N55" s="61" t="str">
        <f t="shared" ca="1" si="0"/>
        <v/>
      </c>
      <c r="O55" s="62">
        <v>23</v>
      </c>
      <c r="P55" s="64" t="str">
        <f t="shared" ca="1" si="6"/>
        <v/>
      </c>
      <c r="Q55" s="60">
        <v>67</v>
      </c>
      <c r="R55" s="61" t="str">
        <f t="shared" ca="1" si="7"/>
        <v/>
      </c>
      <c r="S55" s="62">
        <v>23</v>
      </c>
      <c r="T55" s="64" t="str">
        <f t="shared" ca="1" si="8"/>
        <v/>
      </c>
      <c r="U55" s="60">
        <v>48</v>
      </c>
      <c r="V55" s="61" t="str">
        <f t="shared" ca="1" si="9"/>
        <v/>
      </c>
      <c r="W55" s="62">
        <v>18</v>
      </c>
      <c r="X55" s="64" t="str">
        <f t="shared" ca="1" si="10"/>
        <v/>
      </c>
      <c r="Y55" s="62">
        <v>19</v>
      </c>
      <c r="Z55" s="64" t="str">
        <f t="shared" ca="1" si="11"/>
        <v/>
      </c>
      <c r="AA55" s="60">
        <v>40</v>
      </c>
      <c r="AB55" s="61" t="str">
        <f t="shared" ca="1" si="12"/>
        <v/>
      </c>
      <c r="AC55" s="62">
        <v>22</v>
      </c>
      <c r="AD55" s="61" t="str">
        <f t="shared" ca="1" si="13"/>
        <v/>
      </c>
      <c r="AE55" s="62">
        <v>46</v>
      </c>
      <c r="AF55" s="64" t="str">
        <f t="shared" ca="1" si="14"/>
        <v/>
      </c>
      <c r="AG55" s="66">
        <f>IF(OR(AND(C55&gt;=31,C55&lt;40),AND(G55&gt;=31,G55&lt;40),AND(M55&gt;=31,M55&lt;40),AND(Q55&gt;=31,Q55&lt;40),AND(U55&gt;=31,U55&lt;40),AND(AA55&gt;=11,AA55&lt;20)),IF(AND(OR(COUNTIF(C55:AF55,"=31")&gt;=1,COUNTIF(C55:AF55,"=32")&gt;=1,COUNTIF(C55:AF55,"=33")&gt;=1,COUNTIF(C55:AF55,"=34")&gt;=1,COUNTIF(C55:AF55,"=35")&gt;=1,COUNTIF(C55:AF55,"=36")&gt;=1 ),COUNTIF(C55:AF55,"")=0,COUNTIF(C55:AF55," ")=0,COUNTIF(C55:AF55,"F")=1),CONCATENATE(SUM(EXTRACTNUMBER(C55),EXTRACTNUMBER(E55),
EXTRACTNUMBER(G55),EXTRACTNUMBER(I55),
EXTRACTNUMBER(K55),EXTRACTNUMBER(M55),
EXTRACTNUMBER(O55),EXTRACTNUMBER(Q55),
EXTRACTNUMBER(S55),EXTRACTNUMBER(U55),
EXTRACTNUMBER(W55),EXTRACTNUMBER(Y55),EXTRACTNUMBER(AA55),
EXTRACTNUMBER(AC55),EXTRACTNUMBER(AE55)),"*"),IF(AND(COUNTIF(C55:AF55,"=34")&gt;=1,COUNTIF(C55:AF55,"=35")&gt;=1,COUNTIF(C55:AF55,"f")=2,COUNTIF(C55:AF55,"")=0,COUNTIF(C55:AF55," ")=0),CONCATENATE(SUM(EXTRACTNUMBER(C55),EXTRACTNUMBER(E55),
EXTRACTNUMBER(G55),EXTRACTNUMBER(I55),
EXTRACTNUMBER(K55),EXTRACTNUMBER(M55),
EXTRACTNUMBER(O55),EXTRACTNUMBER(Q55),
EXTRACTNUMBER(S55),EXTRACTNUMBER(U55),
EXTRACTNUMBER(W55),EXTRACTNUMBER(Y55),EXTRACTNUMBER(AA55),
EXTRACTNUMBER(AC55),EXTRACTNUMBER(AE55)),"*"),IF(AND(COUNTIF(C55:AF55,"=36")&gt;=2,COUNTIF(C55:AF55,"f")=2,COUNTIF(C55:AF55,"")=0,COUNTIF(C55:AF55," ")=0),CONCATENATE(SUM(EXTRACTNUMBER(C55),EXTRACTNUMBER(E55),
EXTRACTNUMBER(G55),EXTRACTNUMBER(I55),
EXTRACTNUMBER(K55),EXTRACTNUMBER(M55),
EXTRACTNUMBER(O55),EXTRACTNUMBER(Q55),
EXTRACTNUMBER(S55),EXTRACTNUMBER(U55),
EXTRACTNUMBER(W55),EXTRACTNUMBER(Y55),EXTRACTNUMBER(AA55),
EXTRACTNUMBER(AC55),EXTRACTNUMBER(AE55)),"*"),SUM(EXTRACTNUMBER(C55),EXTRACTNUMBER(E55),
EXTRACTNUMBER(G55),EXTRACTNUMBER(I55),
EXTRACTNUMBER(K55),EXTRACTNUMBER(M55),
EXTRACTNUMBER(O55),EXTRACTNUMBER(Q55),
EXTRACTNUMBER(S55),EXTRACTNUMBER(U55),
EXTRACTNUMBER(W55),EXTRACTNUMBER(Y55),EXTRACTNUMBER(AA55),
EXTRACTNUMBER(AC55),EXTRACTNUMBER(AE55))))),SUM(EXTRACTNUMBER(C55),EXTRACTNUMBER(E55),
EXTRACTNUMBER(G55),EXTRACTNUMBER(I55),
EXTRACTNUMBER(K55),EXTRACTNUMBER(M55),
EXTRACTNUMBER(O55),EXTRACTNUMBER(Q55),
EXTRACTNUMBER(S55),EXTRACTNUMBER(U55),
EXTRACTNUMBER(W55),EXTRACTNUMBER(Y55),EXTRACTNUMBER(AA55),
EXTRACTNUMBER(AC55),EXTRACTNUMBER(AE55)))</f>
        <v>542</v>
      </c>
      <c r="AH55" s="38" t="str">
        <f t="shared" ca="1" si="15"/>
        <v>PASS</v>
      </c>
      <c r="AI55" s="28" t="str">
        <f>spellnumber(EXTRACTnUMBER_TOT(AG55))</f>
        <v xml:space="preserve">Five Hundred Forty Two </v>
      </c>
    </row>
    <row r="56" spans="1:35" ht="15" customHeight="1">
      <c r="A56" s="58">
        <v>223256</v>
      </c>
      <c r="B56" s="32" t="s">
        <v>214</v>
      </c>
      <c r="C56" s="60">
        <v>40</v>
      </c>
      <c r="D56" s="61" t="str">
        <f t="shared" ca="1" si="1"/>
        <v/>
      </c>
      <c r="E56" s="62">
        <v>17</v>
      </c>
      <c r="F56" s="61" t="str">
        <f t="shared" ca="1" si="2"/>
        <v/>
      </c>
      <c r="G56" s="63">
        <v>66</v>
      </c>
      <c r="H56" s="61" t="str">
        <f t="shared" ca="1" si="3"/>
        <v/>
      </c>
      <c r="I56" s="62">
        <v>20</v>
      </c>
      <c r="J56" s="61" t="str">
        <f t="shared" ca="1" si="4"/>
        <v/>
      </c>
      <c r="K56" s="62">
        <v>19</v>
      </c>
      <c r="L56" s="61" t="str">
        <f t="shared" ca="1" si="5"/>
        <v/>
      </c>
      <c r="M56" s="63">
        <v>63</v>
      </c>
      <c r="N56" s="61" t="str">
        <f t="shared" ca="1" si="0"/>
        <v/>
      </c>
      <c r="O56" s="62">
        <v>20</v>
      </c>
      <c r="P56" s="64" t="str">
        <f t="shared" ca="1" si="6"/>
        <v/>
      </c>
      <c r="Q56" s="60">
        <v>43</v>
      </c>
      <c r="R56" s="61" t="str">
        <f t="shared" ca="1" si="7"/>
        <v/>
      </c>
      <c r="S56" s="62">
        <v>20</v>
      </c>
      <c r="T56" s="64" t="str">
        <f t="shared" ca="1" si="8"/>
        <v/>
      </c>
      <c r="U56" s="60">
        <v>55</v>
      </c>
      <c r="V56" s="61" t="str">
        <f t="shared" ca="1" si="9"/>
        <v/>
      </c>
      <c r="W56" s="62">
        <v>19</v>
      </c>
      <c r="X56" s="64" t="str">
        <f t="shared" ca="1" si="10"/>
        <v/>
      </c>
      <c r="Y56" s="62">
        <v>18</v>
      </c>
      <c r="Z56" s="64" t="str">
        <f t="shared" ca="1" si="11"/>
        <v/>
      </c>
      <c r="AA56" s="60">
        <v>49</v>
      </c>
      <c r="AB56" s="61" t="str">
        <f t="shared" ca="1" si="12"/>
        <v/>
      </c>
      <c r="AC56" s="62">
        <v>23</v>
      </c>
      <c r="AD56" s="61" t="str">
        <f t="shared" ca="1" si="13"/>
        <v/>
      </c>
      <c r="AE56" s="62">
        <v>43</v>
      </c>
      <c r="AF56" s="64" t="str">
        <f t="shared" ca="1" si="14"/>
        <v/>
      </c>
      <c r="AG56" s="66">
        <f>IF(OR(AND(C56&gt;=31,C56&lt;40),AND(G56&gt;=31,G56&lt;40),AND(M56&gt;=31,M56&lt;40),AND(Q56&gt;=31,Q56&lt;40),AND(U56&gt;=31,U56&lt;40),AND(AA56&gt;=11,AA56&lt;20)),IF(AND(OR(COUNTIF(C56:AF56,"=31")&gt;=1,COUNTIF(C56:AF56,"=32")&gt;=1,COUNTIF(C56:AF56,"=33")&gt;=1,COUNTIF(C56:AF56,"=34")&gt;=1,COUNTIF(C56:AF56,"=35")&gt;=1,COUNTIF(C56:AF56,"=36")&gt;=1 ),COUNTIF(C56:AF56,"")=0,COUNTIF(C56:AF56," ")=0,COUNTIF(C56:AF56,"F")=1),CONCATENATE(SUM(EXTRACTNUMBER(C56),EXTRACTNUMBER(E56),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EXTRACTNUMBER(AC56),EXTRACTNUMBER(AE56)),"*"),IF(AND(COUNTIF(C56:AF56,"=34")&gt;=1,COUNTIF(C56:AF56,"=35")&gt;=1,COUNTIF(C56:AF56,"f")=2,COUNTIF(C56:AF56,"")=0,COUNTIF(C56:AF56," ")=0),CONCATENATE(SUM(EXTRACTNUMBER(C56),EXTRACTNUMBER(E56),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EXTRACTNUMBER(AC56),EXTRACTNUMBER(AE56)),"*"),IF(AND(COUNTIF(C56:AF56,"=36")&gt;=2,COUNTIF(C56:AF56,"f")=2,COUNTIF(C56:AF56,"")=0,COUNTIF(C56:AF56," ")=0),CONCATENATE(SUM(EXTRACTNUMBER(C56),EXTRACTNUMBER(E56),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EXTRACTNUMBER(AC56),EXTRACTNUMBER(AE56)),"*"),SUM(EXTRACTNUMBER(C56),EXTRACTNUMBER(E56),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EXTRACTNUMBER(AC56),EXTRACTNUMBER(AE56))))),SUM(EXTRACTNUMBER(C56),EXTRACTNUMBER(E56),
EXTRACTNUMBER(G56),EXTRACTNUMBER(I56),
EXTRACTNUMBER(K56),EXTRACTNUMBER(M56),
EXTRACTNUMBER(O56),EXTRACTNUMBER(Q56),
EXTRACTNUMBER(S56),EXTRACTNUMBER(U56),
EXTRACTNUMBER(W56),EXTRACTNUMBER(Y56),EXTRACTNUMBER(AA56),
EXTRACTNUMBER(AC56),EXTRACTNUMBER(AE56)))</f>
        <v>515</v>
      </c>
      <c r="AH56" s="38" t="str">
        <f t="shared" ca="1" si="15"/>
        <v>PASS</v>
      </c>
      <c r="AI56" s="28" t="str">
        <f>spellnumber(EXTRACTnUMBER_TOT(AG56))</f>
        <v xml:space="preserve">Five Hundred Fifteen </v>
      </c>
    </row>
    <row r="57" spans="1:35" ht="15" customHeight="1">
      <c r="A57" s="58">
        <v>223257</v>
      </c>
      <c r="B57" s="32" t="s">
        <v>215</v>
      </c>
      <c r="C57" s="60">
        <v>19</v>
      </c>
      <c r="D57" s="61" t="str">
        <f t="shared" ca="1" si="1"/>
        <v>F</v>
      </c>
      <c r="E57" s="62">
        <v>15</v>
      </c>
      <c r="F57" s="61" t="str">
        <f t="shared" ca="1" si="2"/>
        <v>E</v>
      </c>
      <c r="G57" s="63">
        <v>50</v>
      </c>
      <c r="H57" s="61" t="str">
        <f t="shared" ca="1" si="3"/>
        <v>E</v>
      </c>
      <c r="I57" s="62">
        <v>22</v>
      </c>
      <c r="J57" s="61" t="str">
        <f t="shared" ca="1" si="4"/>
        <v>E</v>
      </c>
      <c r="K57" s="62">
        <v>18</v>
      </c>
      <c r="L57" s="61" t="str">
        <f t="shared" ca="1" si="5"/>
        <v>E</v>
      </c>
      <c r="M57" s="63">
        <v>77</v>
      </c>
      <c r="N57" s="61" t="str">
        <f t="shared" ca="1" si="0"/>
        <v>E</v>
      </c>
      <c r="O57" s="62">
        <v>19</v>
      </c>
      <c r="P57" s="64" t="str">
        <f t="shared" ca="1" si="6"/>
        <v>E</v>
      </c>
      <c r="Q57" s="60">
        <v>50</v>
      </c>
      <c r="R57" s="61" t="str">
        <f t="shared" ca="1" si="7"/>
        <v>E</v>
      </c>
      <c r="S57" s="62">
        <v>21</v>
      </c>
      <c r="T57" s="64" t="str">
        <f t="shared" ca="1" si="8"/>
        <v>E</v>
      </c>
      <c r="U57" s="60">
        <v>51</v>
      </c>
      <c r="V57" s="61" t="str">
        <f t="shared" ca="1" si="9"/>
        <v>E</v>
      </c>
      <c r="W57" s="62">
        <v>21</v>
      </c>
      <c r="X57" s="64" t="str">
        <f t="shared" ca="1" si="10"/>
        <v>E</v>
      </c>
      <c r="Y57" s="62">
        <v>22</v>
      </c>
      <c r="Z57" s="64" t="str">
        <f t="shared" ca="1" si="11"/>
        <v>E</v>
      </c>
      <c r="AA57" s="60">
        <v>47</v>
      </c>
      <c r="AB57" s="61" t="str">
        <f t="shared" ca="1" si="12"/>
        <v>E</v>
      </c>
      <c r="AC57" s="62">
        <v>22</v>
      </c>
      <c r="AD57" s="61" t="str">
        <f t="shared" ca="1" si="13"/>
        <v>E</v>
      </c>
      <c r="AE57" s="62">
        <v>40</v>
      </c>
      <c r="AF57" s="64" t="str">
        <f t="shared" ca="1" si="14"/>
        <v>E</v>
      </c>
      <c r="AG57" s="66">
        <f>IF(OR(AND(C57&gt;=31,C57&lt;40),AND(G57&gt;=31,G57&lt;40),AND(M57&gt;=31,M57&lt;40),AND(Q57&gt;=31,Q57&lt;40),AND(U57&gt;=31,U57&lt;40),AND(AA57&gt;=11,AA57&lt;20)),IF(AND(OR(COUNTIF(C57:AF57,"=31")&gt;=1,COUNTIF(C57:AF57,"=32")&gt;=1,COUNTIF(C57:AF57,"=33")&gt;=1,COUNTIF(C57:AF57,"=34")&gt;=1,COUNTIF(C57:AF57,"=35")&gt;=1,COUNTIF(C57:AF57,"=36")&gt;=1 ),COUNTIF(C57:AF57,"")=0,COUNTIF(C57:AF57," ")=0,COUNTIF(C57:AF57,"F")=1),CONCATENATE(SUM(EXTRACTNUMBER(C57),EXTRACTNUMBER(E57),
EXTRACTNUMBER(G57),EXTRACTNUMBER(I57),
EXTRACTNUMBER(K57),EXTRACTNUMBER(M57),
EXTRACTNUMBER(O57),EXTRACTNUMBER(Q57),
EXTRACTNUMBER(S57),EXTRACTNUMBER(U57),
EXTRACTNUMBER(W57),EXTRACTNUMBER(Y57),EXTRACTNUMBER(AA57),
EXTRACTNUMBER(AC57),EXTRACTNUMBER(AE57)),"*"),IF(AND(COUNTIF(C57:AF57,"=34")&gt;=1,COUNTIF(C57:AF57,"=35")&gt;=1,COUNTIF(C57:AF57,"f")=2,COUNTIF(C57:AF57,"")=0,COUNTIF(C57:AF57," ")=0),CONCATENATE(SUM(EXTRACTNUMBER(C57),EXTRACTNUMBER(E57),
EXTRACTNUMBER(G57),EXTRACTNUMBER(I57),
EXTRACTNUMBER(K57),EXTRACTNUMBER(M57),
EXTRACTNUMBER(O57),EXTRACTNUMBER(Q57),
EXTRACTNUMBER(S57),EXTRACTNUMBER(U57),
EXTRACTNUMBER(W57),EXTRACTNUMBER(Y57),EXTRACTNUMBER(AA57),
EXTRACTNUMBER(AC57),EXTRACTNUMBER(AE57)),"*"),IF(AND(COUNTIF(C57:AF57,"=36")&gt;=2,COUNTIF(C57:AF57,"f")=2,COUNTIF(C57:AF57,"")=0,COUNTIF(C57:AF57," ")=0),CONCATENATE(SUM(EXTRACTNUMBER(C57),EXTRACTNUMBER(E57),
EXTRACTNUMBER(G57),EXTRACTNUMBER(I57),
EXTRACTNUMBER(K57),EXTRACTNUMBER(M57),
EXTRACTNUMBER(O57),EXTRACTNUMBER(Q57),
EXTRACTNUMBER(S57),EXTRACTNUMBER(U57),
EXTRACTNUMBER(W57),EXTRACTNUMBER(Y57),EXTRACTNUMBER(AA57),
EXTRACTNUMBER(AC57),EXTRACTNUMBER(AE57)),"*"),SUM(EXTRACTNUMBER(C57),EXTRACTNUMBER(E57),
EXTRACTNUMBER(G57),EXTRACTNUMBER(I57),
EXTRACTNUMBER(K57),EXTRACTNUMBER(M57),
EXTRACTNUMBER(O57),EXTRACTNUMBER(Q57),
EXTRACTNUMBER(S57),EXTRACTNUMBER(U57),
EXTRACTNUMBER(W57),EXTRACTNUMBER(Y57),EXTRACTNUMBER(AA57),
EXTRACTNUMBER(AC57),EXTRACTNUMBER(AE57))))),SUM(EXTRACTNUMBER(C57),EXTRACTNUMBER(E57),
EXTRACTNUMBER(G57),EXTRACTNUMBER(I57),
EXTRACTNUMBER(K57),EXTRACTNUMBER(M57),
EXTRACTNUMBER(O57),EXTRACTNUMBER(Q57),
EXTRACTNUMBER(S57),EXTRACTNUMBER(U57),
EXTRACTNUMBER(W57),EXTRACTNUMBER(Y57),EXTRACTNUMBER(AA57),
EXTRACTNUMBER(AC57),EXTRACTNUMBER(AE57)))</f>
        <v>494</v>
      </c>
      <c r="AH57" s="38" t="str">
        <f t="shared" ca="1" si="15"/>
        <v>FAIL</v>
      </c>
      <c r="AI57" s="28" t="str">
        <f>spellnumber(EXTRACTnUMBER_TOT(AG57))</f>
        <v xml:space="preserve">Four Hundred NinetyFour </v>
      </c>
    </row>
    <row r="58" spans="1:35" ht="15" customHeight="1">
      <c r="A58" s="58">
        <v>223258</v>
      </c>
      <c r="B58" s="32" t="s">
        <v>216</v>
      </c>
      <c r="C58" s="60">
        <v>22</v>
      </c>
      <c r="D58" s="61" t="str">
        <f t="shared" ca="1" si="1"/>
        <v>F</v>
      </c>
      <c r="E58" s="62">
        <v>15</v>
      </c>
      <c r="F58" s="61" t="str">
        <f t="shared" ca="1" si="2"/>
        <v>E</v>
      </c>
      <c r="G58" s="63">
        <v>47</v>
      </c>
      <c r="H58" s="61" t="str">
        <f t="shared" ca="1" si="3"/>
        <v>E</v>
      </c>
      <c r="I58" s="62">
        <v>22</v>
      </c>
      <c r="J58" s="61" t="str">
        <f t="shared" ca="1" si="4"/>
        <v>E</v>
      </c>
      <c r="K58" s="62">
        <v>18</v>
      </c>
      <c r="L58" s="61" t="str">
        <f t="shared" ca="1" si="5"/>
        <v>E</v>
      </c>
      <c r="M58" s="63">
        <v>68</v>
      </c>
      <c r="N58" s="61" t="str">
        <f t="shared" ca="1" si="0"/>
        <v>E</v>
      </c>
      <c r="O58" s="62">
        <v>19</v>
      </c>
      <c r="P58" s="64" t="str">
        <f t="shared" ca="1" si="6"/>
        <v>E</v>
      </c>
      <c r="Q58" s="60">
        <v>61</v>
      </c>
      <c r="R58" s="61" t="str">
        <f t="shared" ca="1" si="7"/>
        <v>E</v>
      </c>
      <c r="S58" s="62">
        <v>21</v>
      </c>
      <c r="T58" s="64" t="str">
        <f t="shared" ca="1" si="8"/>
        <v>E</v>
      </c>
      <c r="U58" s="60">
        <v>44</v>
      </c>
      <c r="V58" s="61" t="str">
        <f t="shared" ca="1" si="9"/>
        <v>E</v>
      </c>
      <c r="W58" s="62">
        <v>21</v>
      </c>
      <c r="X58" s="64" t="str">
        <f t="shared" ca="1" si="10"/>
        <v>E</v>
      </c>
      <c r="Y58" s="62">
        <v>22</v>
      </c>
      <c r="Z58" s="64" t="str">
        <f t="shared" ca="1" si="11"/>
        <v>E</v>
      </c>
      <c r="AA58" s="60">
        <v>43</v>
      </c>
      <c r="AB58" s="61" t="str">
        <f t="shared" ca="1" si="12"/>
        <v>E</v>
      </c>
      <c r="AC58" s="62">
        <v>22</v>
      </c>
      <c r="AD58" s="61" t="str">
        <f t="shared" ca="1" si="13"/>
        <v>E</v>
      </c>
      <c r="AE58" s="62">
        <v>40</v>
      </c>
      <c r="AF58" s="64" t="str">
        <f t="shared" ca="1" si="14"/>
        <v>E</v>
      </c>
      <c r="AG58" s="66">
        <f>IF(OR(AND(C58&gt;=31,C58&lt;40),AND(G58&gt;=31,G58&lt;40),AND(M58&gt;=31,M58&lt;40),AND(Q58&gt;=31,Q58&lt;40),AND(U58&gt;=31,U58&lt;40),AND(AA58&gt;=11,AA58&lt;20)),IF(AND(OR(COUNTIF(C58:AF58,"=31")&gt;=1,COUNTIF(C58:AF58,"=32")&gt;=1,COUNTIF(C58:AF58,"=33")&gt;=1,COUNTIF(C58:AF58,"=34")&gt;=1,COUNTIF(C58:AF58,"=35")&gt;=1,COUNTIF(C58:AF58,"=36")&gt;=1 ),COUNTIF(C58:AF58,"")=0,COUNTIF(C58:AF58," ")=0,COUNTIF(C58:AF58,"F")=1),CONCATENATE(SUM(EXTRACTNUMBER(C58),EXTRACTNUMBER(E58),
EXTRACTNUMBER(G58),EXTRACTNUMBER(I58),
EXTRACTNUMBER(K58),EXTRACTNUMBER(M58),
EXTRACTNUMBER(O58),EXTRACTNUMBER(Q58),
EXTRACTNUMBER(S58),EXTRACTNUMBER(U58),
EXTRACTNUMBER(W58),EXTRACTNUMBER(Y58),EXTRACTNUMBER(AA58),
EXTRACTNUMBER(AC58),EXTRACTNUMBER(AE58)),"*"),IF(AND(COUNTIF(C58:AF58,"=34")&gt;=1,COUNTIF(C58:AF58,"=35")&gt;=1,COUNTIF(C58:AF58,"f")=2,COUNTIF(C58:AF58,"")=0,COUNTIF(C58:AF58," ")=0),CONCATENATE(SUM(EXTRACTNUMBER(C58),EXTRACTNUMBER(E58),
EXTRACTNUMBER(G58),EXTRACTNUMBER(I58),
EXTRACTNUMBER(K58),EXTRACTNUMBER(M58),
EXTRACTNUMBER(O58),EXTRACTNUMBER(Q58),
EXTRACTNUMBER(S58),EXTRACTNUMBER(U58),
EXTRACTNUMBER(W58),EXTRACTNUMBER(Y58),EXTRACTNUMBER(AA58),
EXTRACTNUMBER(AC58),EXTRACTNUMBER(AE58)),"*"),IF(AND(COUNTIF(C58:AF58,"=36")&gt;=2,COUNTIF(C58:AF58,"f")=2,COUNTIF(C58:AF58,"")=0,COUNTIF(C58:AF58," ")=0),CONCATENATE(SUM(EXTRACTNUMBER(C58),EXTRACTNUMBER(E58),
EXTRACTNUMBER(G58),EXTRACTNUMBER(I58),
EXTRACTNUMBER(K58),EXTRACTNUMBER(M58),
EXTRACTNUMBER(O58),EXTRACTNUMBER(Q58),
EXTRACTNUMBER(S58),EXTRACTNUMBER(U58),
EXTRACTNUMBER(W58),EXTRACTNUMBER(Y58),EXTRACTNUMBER(AA58),
EXTRACTNUMBER(AC58),EXTRACTNUMBER(AE58)),"*"),SUM(EXTRACTNUMBER(C58),EXTRACTNUMBER(E58),
EXTRACTNUMBER(G58),EXTRACTNUMBER(I58),
EXTRACTNUMBER(K58),EXTRACTNUMBER(M58),
EXTRACTNUMBER(O58),EXTRACTNUMBER(Q58),
EXTRACTNUMBER(S58),EXTRACTNUMBER(U58),
EXTRACTNUMBER(W58),EXTRACTNUMBER(Y58),EXTRACTNUMBER(AA58),
EXTRACTNUMBER(AC58),EXTRACTNUMBER(AE58))))),SUM(EXTRACTNUMBER(C58),EXTRACTNUMBER(E58),
EXTRACTNUMBER(G58),EXTRACTNUMBER(I58),
EXTRACTNUMBER(K58),EXTRACTNUMBER(M58),
EXTRACTNUMBER(O58),EXTRACTNUMBER(Q58),
EXTRACTNUMBER(S58),EXTRACTNUMBER(U58),
EXTRACTNUMBER(W58),EXTRACTNUMBER(Y58),EXTRACTNUMBER(AA58),
EXTRACTNUMBER(AC58),EXTRACTNUMBER(AE58)))</f>
        <v>485</v>
      </c>
      <c r="AH58" s="38" t="str">
        <f t="shared" ca="1" si="15"/>
        <v>FAIL</v>
      </c>
      <c r="AI58" s="28" t="str">
        <f>spellnumber(EXTRACTnUMBER_TOT(AG58))</f>
        <v xml:space="preserve">Four Hundred Eighty Five </v>
      </c>
    </row>
    <row r="59" spans="1:35" ht="15" customHeight="1">
      <c r="A59" s="58">
        <v>223259</v>
      </c>
      <c r="B59" s="39" t="s">
        <v>217</v>
      </c>
      <c r="C59" s="60">
        <v>40</v>
      </c>
      <c r="D59" s="61" t="str">
        <f t="shared" ca="1" si="1"/>
        <v>E</v>
      </c>
      <c r="E59" s="62">
        <v>16</v>
      </c>
      <c r="F59" s="61" t="str">
        <f t="shared" ca="1" si="2"/>
        <v>E</v>
      </c>
      <c r="G59" s="63">
        <v>26</v>
      </c>
      <c r="H59" s="61" t="str">
        <f t="shared" ca="1" si="3"/>
        <v>F</v>
      </c>
      <c r="I59" s="62">
        <v>19</v>
      </c>
      <c r="J59" s="61" t="str">
        <f t="shared" ca="1" si="4"/>
        <v>E</v>
      </c>
      <c r="K59" s="62">
        <v>19</v>
      </c>
      <c r="L59" s="61" t="str">
        <f t="shared" ca="1" si="5"/>
        <v>E</v>
      </c>
      <c r="M59" s="63">
        <v>50</v>
      </c>
      <c r="N59" s="61" t="str">
        <f t="shared" ca="1" si="0"/>
        <v>E</v>
      </c>
      <c r="O59" s="62">
        <v>22</v>
      </c>
      <c r="P59" s="64" t="str">
        <f t="shared" ca="1" si="6"/>
        <v>E</v>
      </c>
      <c r="Q59" s="60">
        <v>50</v>
      </c>
      <c r="R59" s="61" t="str">
        <f t="shared" ca="1" si="7"/>
        <v>E</v>
      </c>
      <c r="S59" s="62">
        <v>20</v>
      </c>
      <c r="T59" s="64" t="str">
        <f t="shared" ca="1" si="8"/>
        <v>E</v>
      </c>
      <c r="U59" s="60">
        <v>49</v>
      </c>
      <c r="V59" s="61" t="str">
        <f t="shared" ca="1" si="9"/>
        <v>E</v>
      </c>
      <c r="W59" s="62">
        <v>18</v>
      </c>
      <c r="X59" s="64" t="str">
        <f t="shared" ca="1" si="10"/>
        <v>E</v>
      </c>
      <c r="Y59" s="62">
        <v>18</v>
      </c>
      <c r="Z59" s="64" t="str">
        <f t="shared" ca="1" si="11"/>
        <v>E</v>
      </c>
      <c r="AA59" s="60">
        <v>44</v>
      </c>
      <c r="AB59" s="61" t="str">
        <f t="shared" ca="1" si="12"/>
        <v>E</v>
      </c>
      <c r="AC59" s="62">
        <v>20</v>
      </c>
      <c r="AD59" s="61" t="str">
        <f t="shared" ca="1" si="13"/>
        <v>E</v>
      </c>
      <c r="AE59" s="62">
        <v>41</v>
      </c>
      <c r="AF59" s="64" t="str">
        <f t="shared" ca="1" si="14"/>
        <v>E</v>
      </c>
      <c r="AG59" s="66">
        <f>IF(OR(AND(C59&gt;=31,C59&lt;40),AND(G59&gt;=31,G59&lt;40),AND(M59&gt;=31,M59&lt;40),AND(Q59&gt;=31,Q59&lt;40),AND(U59&gt;=31,U59&lt;40),AND(AA59&gt;=11,AA59&lt;20)),IF(AND(OR(COUNTIF(C59:AF59,"=31")&gt;=1,COUNTIF(C59:AF59,"=32")&gt;=1,COUNTIF(C59:AF59,"=33")&gt;=1,COUNTIF(C59:AF59,"=34")&gt;=1,COUNTIF(C59:AF59,"=35")&gt;=1,COUNTIF(C59:AF59,"=36")&gt;=1 ),COUNTIF(C59:AF59,"")=0,COUNTIF(C59:AF59," ")=0,COUNTIF(C59:AF59,"F")=1),CONCATENATE(SUM(EXTRACTNUMBER(C59),EXTRACTNUMBER(E59),
EXTRACTNUMBER(G59),EXTRACTNUMBER(I59),
EXTRACTNUMBER(K59),EXTRACTNUMBER(M59),
EXTRACTNUMBER(O59),EXTRACTNUMBER(Q59),
EXTRACTNUMBER(S59),EXTRACTNUMBER(U59),
EXTRACTNUMBER(W59),EXTRACTNUMBER(Y59),EXTRACTNUMBER(AA59),
EXTRACTNUMBER(AC59),EXTRACTNUMBER(AE59)),"*"),IF(AND(COUNTIF(C59:AF59,"=34")&gt;=1,COUNTIF(C59:AF59,"=35")&gt;=1,COUNTIF(C59:AF59,"f")=2,COUNTIF(C59:AF59,"")=0,COUNTIF(C59:AF59," ")=0),CONCATENATE(SUM(EXTRACTNUMBER(C59),EXTRACTNUMBER(E59),
EXTRACTNUMBER(G59),EXTRACTNUMBER(I59),
EXTRACTNUMBER(K59),EXTRACTNUMBER(M59),
EXTRACTNUMBER(O59),EXTRACTNUMBER(Q59),
EXTRACTNUMBER(S59),EXTRACTNUMBER(U59),
EXTRACTNUMBER(W59),EXTRACTNUMBER(Y59),EXTRACTNUMBER(AA59),
EXTRACTNUMBER(AC59),EXTRACTNUMBER(AE59)),"*"),IF(AND(COUNTIF(C59:AF59,"=36")&gt;=2,COUNTIF(C59:AF59,"f")=2,COUNTIF(C59:AF59,"")=0,COUNTIF(C59:AF59," ")=0),CONCATENATE(SUM(EXTRACTNUMBER(C59),EXTRACTNUMBER(E59),
EXTRACTNUMBER(G59),EXTRACTNUMBER(I59),
EXTRACTNUMBER(K59),EXTRACTNUMBER(M59),
EXTRACTNUMBER(O59),EXTRACTNUMBER(Q59),
EXTRACTNUMBER(S59),EXTRACTNUMBER(U59),
EXTRACTNUMBER(W59),EXTRACTNUMBER(Y59),EXTRACTNUMBER(AA59),
EXTRACTNUMBER(AC59),EXTRACTNUMBER(AE59)),"*"),SUM(EXTRACTNUMBER(C59),EXTRACTNUMBER(E59),
EXTRACTNUMBER(G59),EXTRACTNUMBER(I59),
EXTRACTNUMBER(K59),EXTRACTNUMBER(M59),
EXTRACTNUMBER(O59),EXTRACTNUMBER(Q59),
EXTRACTNUMBER(S59),EXTRACTNUMBER(U59),
EXTRACTNUMBER(W59),EXTRACTNUMBER(Y59),EXTRACTNUMBER(AA59),
EXTRACTNUMBER(AC59),EXTRACTNUMBER(AE59))))),SUM(EXTRACTNUMBER(C59),EXTRACTNUMBER(E59),
EXTRACTNUMBER(G59),EXTRACTNUMBER(I59),
EXTRACTNUMBER(K59),EXTRACTNUMBER(M59),
EXTRACTNUMBER(O59),EXTRACTNUMBER(Q59),
EXTRACTNUMBER(S59),EXTRACTNUMBER(U59),
EXTRACTNUMBER(W59),EXTRACTNUMBER(Y59),EXTRACTNUMBER(AA59),
EXTRACTNUMBER(AC59),EXTRACTNUMBER(AE59)))</f>
        <v>452</v>
      </c>
      <c r="AH59" s="38" t="str">
        <f t="shared" ca="1" si="15"/>
        <v>FAIL</v>
      </c>
      <c r="AI59" s="28" t="str">
        <f>spellnumber(EXTRACTnUMBER_TOT(AG59))</f>
        <v xml:space="preserve">Four Hundred Fifty Two </v>
      </c>
    </row>
    <row r="60" spans="1:35" ht="15" customHeight="1">
      <c r="A60" s="58">
        <v>223260</v>
      </c>
      <c r="B60" s="32" t="s">
        <v>218</v>
      </c>
      <c r="C60" s="60">
        <v>50</v>
      </c>
      <c r="D60" s="61" t="str">
        <f t="shared" ca="1" si="1"/>
        <v/>
      </c>
      <c r="E60" s="62">
        <v>17</v>
      </c>
      <c r="F60" s="61" t="str">
        <f t="shared" ca="1" si="2"/>
        <v/>
      </c>
      <c r="G60" s="63">
        <v>63</v>
      </c>
      <c r="H60" s="61" t="str">
        <f t="shared" ca="1" si="3"/>
        <v/>
      </c>
      <c r="I60" s="62">
        <v>18</v>
      </c>
      <c r="J60" s="61" t="str">
        <f t="shared" ca="1" si="4"/>
        <v/>
      </c>
      <c r="K60" s="62">
        <v>18</v>
      </c>
      <c r="L60" s="61" t="str">
        <f t="shared" ca="1" si="5"/>
        <v/>
      </c>
      <c r="M60" s="63">
        <v>79</v>
      </c>
      <c r="N60" s="61" t="str">
        <f t="shared" ca="1" si="0"/>
        <v/>
      </c>
      <c r="O60" s="62">
        <v>20</v>
      </c>
      <c r="P60" s="64" t="str">
        <f t="shared" ca="1" si="6"/>
        <v/>
      </c>
      <c r="Q60" s="60">
        <v>73</v>
      </c>
      <c r="R60" s="61" t="str">
        <f t="shared" ca="1" si="7"/>
        <v/>
      </c>
      <c r="S60" s="62">
        <v>22</v>
      </c>
      <c r="T60" s="64" t="str">
        <f t="shared" ca="1" si="8"/>
        <v/>
      </c>
      <c r="U60" s="60">
        <v>47</v>
      </c>
      <c r="V60" s="61" t="str">
        <f t="shared" ca="1" si="9"/>
        <v/>
      </c>
      <c r="W60" s="62">
        <v>19</v>
      </c>
      <c r="X60" s="64" t="str">
        <f t="shared" ca="1" si="10"/>
        <v/>
      </c>
      <c r="Y60" s="62">
        <v>19</v>
      </c>
      <c r="Z60" s="64" t="str">
        <f t="shared" ca="1" si="11"/>
        <v/>
      </c>
      <c r="AA60" s="60">
        <v>50</v>
      </c>
      <c r="AB60" s="61" t="str">
        <f t="shared" ca="1" si="12"/>
        <v/>
      </c>
      <c r="AC60" s="62">
        <v>23</v>
      </c>
      <c r="AD60" s="61" t="str">
        <f t="shared" ca="1" si="13"/>
        <v/>
      </c>
      <c r="AE60" s="62">
        <v>45</v>
      </c>
      <c r="AF60" s="64" t="str">
        <f t="shared" ca="1" si="14"/>
        <v/>
      </c>
      <c r="AG60" s="66">
        <f>IF(OR(AND(C60&gt;=31,C60&lt;40),AND(G60&gt;=31,G60&lt;40),AND(M60&gt;=31,M60&lt;40),AND(Q60&gt;=31,Q60&lt;40),AND(U60&gt;=31,U60&lt;40),AND(AA60&gt;=11,AA60&lt;20)),IF(AND(OR(COUNTIF(C60:AF60,"=31")&gt;=1,COUNTIF(C60:AF60,"=32")&gt;=1,COUNTIF(C60:AF60,"=33")&gt;=1,COUNTIF(C60:AF60,"=34")&gt;=1,COUNTIF(C60:AF60,"=35")&gt;=1,COUNTIF(C60:AF60,"=36")&gt;=1 ),COUNTIF(C60:AF60,"")=0,COUNTIF(C60:AF60," ")=0,COUNTIF(C60:AF60,"F")=1),CONCATENATE(SUM(EXTRACTNUMBER(C60),EXTRACTNUMBER(E60),
EXTRACTNUMBER(G60),EXTRACTNUMBER(I60),
EXTRACTNUMBER(K60),EXTRACTNUMBER(M60),
EXTRACTNUMBER(O60),EXTRACTNUMBER(Q60),
EXTRACTNUMBER(S60),EXTRACTNUMBER(U60),
EXTRACTNUMBER(W60),EXTRACTNUMBER(Y60),EXTRACTNUMBER(AA60),
EXTRACTNUMBER(AC60),EXTRACTNUMBER(AE60)),"*"),IF(AND(COUNTIF(C60:AF60,"=34")&gt;=1,COUNTIF(C60:AF60,"=35")&gt;=1,COUNTIF(C60:AF60,"f")=2,COUNTIF(C60:AF60,"")=0,COUNTIF(C60:AF60," ")=0),CONCATENATE(SUM(EXTRACTNUMBER(C60),EXTRACTNUMBER(E60),
EXTRACTNUMBER(G60),EXTRACTNUMBER(I60),
EXTRACTNUMBER(K60),EXTRACTNUMBER(M60),
EXTRACTNUMBER(O60),EXTRACTNUMBER(Q60),
EXTRACTNUMBER(S60),EXTRACTNUMBER(U60),
EXTRACTNUMBER(W60),EXTRACTNUMBER(Y60),EXTRACTNUMBER(AA60),
EXTRACTNUMBER(AC60),EXTRACTNUMBER(AE60)),"*"),IF(AND(COUNTIF(C60:AF60,"=36")&gt;=2,COUNTIF(C60:AF60,"f")=2,COUNTIF(C60:AF60,"")=0,COUNTIF(C60:AF60," ")=0),CONCATENATE(SUM(EXTRACTNUMBER(C60),EXTRACTNUMBER(E60),
EXTRACTNUMBER(G60),EXTRACTNUMBER(I60),
EXTRACTNUMBER(K60),EXTRACTNUMBER(M60),
EXTRACTNUMBER(O60),EXTRACTNUMBER(Q60),
EXTRACTNUMBER(S60),EXTRACTNUMBER(U60),
EXTRACTNUMBER(W60),EXTRACTNUMBER(Y60),EXTRACTNUMBER(AA60),
EXTRACTNUMBER(AC60),EXTRACTNUMBER(AE60)),"*"),SUM(EXTRACTNUMBER(C60),EXTRACTNUMBER(E60),
EXTRACTNUMBER(G60),EXTRACTNUMBER(I60),
EXTRACTNUMBER(K60),EXTRACTNUMBER(M60),
EXTRACTNUMBER(O60),EXTRACTNUMBER(Q60),
EXTRACTNUMBER(S60),EXTRACTNUMBER(U60),
EXTRACTNUMBER(W60),EXTRACTNUMBER(Y60),EXTRACTNUMBER(AA60),
EXTRACTNUMBER(AC60),EXTRACTNUMBER(AE60))))),SUM(EXTRACTNUMBER(C60),EXTRACTNUMBER(E60),
EXTRACTNUMBER(G60),EXTRACTNUMBER(I60),
EXTRACTNUMBER(K60),EXTRACTNUMBER(M60),
EXTRACTNUMBER(O60),EXTRACTNUMBER(Q60),
EXTRACTNUMBER(S60),EXTRACTNUMBER(U60),
EXTRACTNUMBER(W60),EXTRACTNUMBER(Y60),EXTRACTNUMBER(AA60),
EXTRACTNUMBER(AC60),EXTRACTNUMBER(AE60)))</f>
        <v>563</v>
      </c>
      <c r="AH60" s="38" t="str">
        <f t="shared" ca="1" si="15"/>
        <v>PASS</v>
      </c>
      <c r="AI60" s="28" t="str">
        <f>spellnumber(EXTRACTnUMBER_TOT(AG60))</f>
        <v xml:space="preserve">Five Hundred Sixty Three </v>
      </c>
    </row>
    <row r="61" spans="1:35" ht="15" customHeight="1">
      <c r="A61" s="58">
        <v>223261</v>
      </c>
      <c r="B61" s="39" t="s">
        <v>219</v>
      </c>
      <c r="C61" s="60">
        <v>21</v>
      </c>
      <c r="D61" s="61" t="str">
        <f t="shared" ca="1" si="1"/>
        <v>F</v>
      </c>
      <c r="E61" s="62">
        <v>14</v>
      </c>
      <c r="F61" s="61" t="str">
        <f t="shared" ca="1" si="2"/>
        <v>E</v>
      </c>
      <c r="G61" s="63">
        <v>55</v>
      </c>
      <c r="H61" s="61" t="str">
        <f t="shared" ca="1" si="3"/>
        <v>E</v>
      </c>
      <c r="I61" s="62">
        <v>23</v>
      </c>
      <c r="J61" s="61" t="str">
        <f t="shared" ca="1" si="4"/>
        <v>E</v>
      </c>
      <c r="K61" s="62">
        <v>19</v>
      </c>
      <c r="L61" s="61" t="str">
        <f t="shared" ca="1" si="5"/>
        <v>E</v>
      </c>
      <c r="M61" s="63">
        <v>43</v>
      </c>
      <c r="N61" s="61" t="str">
        <f t="shared" ca="1" si="0"/>
        <v>E</v>
      </c>
      <c r="O61" s="62">
        <v>23</v>
      </c>
      <c r="P61" s="64" t="str">
        <f t="shared" ca="1" si="6"/>
        <v>E</v>
      </c>
      <c r="Q61" s="60">
        <v>40</v>
      </c>
      <c r="R61" s="61" t="str">
        <f t="shared" ca="1" si="7"/>
        <v>E</v>
      </c>
      <c r="S61" s="62">
        <v>23</v>
      </c>
      <c r="T61" s="64" t="str">
        <f t="shared" ca="1" si="8"/>
        <v>E</v>
      </c>
      <c r="U61" s="60">
        <v>40</v>
      </c>
      <c r="V61" s="61" t="str">
        <f t="shared" ca="1" si="9"/>
        <v>E</v>
      </c>
      <c r="W61" s="62">
        <v>18</v>
      </c>
      <c r="X61" s="64" t="str">
        <f t="shared" ca="1" si="10"/>
        <v>E</v>
      </c>
      <c r="Y61" s="62">
        <v>18</v>
      </c>
      <c r="Z61" s="64" t="str">
        <f t="shared" ca="1" si="11"/>
        <v>E</v>
      </c>
      <c r="AA61" s="60">
        <v>33</v>
      </c>
      <c r="AB61" s="61" t="str">
        <f t="shared" ca="1" si="12"/>
        <v>F</v>
      </c>
      <c r="AC61" s="62">
        <v>18</v>
      </c>
      <c r="AD61" s="61" t="str">
        <f t="shared" ca="1" si="13"/>
        <v>E</v>
      </c>
      <c r="AE61" s="62">
        <v>42</v>
      </c>
      <c r="AF61" s="64" t="str">
        <f t="shared" ca="1" si="14"/>
        <v>E</v>
      </c>
      <c r="AG61" s="66">
        <f>IF(OR(AND(C61&gt;=31,C61&lt;40),AND(G61&gt;=31,G61&lt;40),AND(M61&gt;=31,M61&lt;40),AND(Q61&gt;=31,Q61&lt;40),AND(U61&gt;=31,U61&lt;40),AND(AA61&gt;=11,AA61&lt;20)),IF(AND(OR(COUNTIF(C61:AF61,"=31")&gt;=1,COUNTIF(C61:AF61,"=32")&gt;=1,COUNTIF(C61:AF61,"=33")&gt;=1,COUNTIF(C61:AF61,"=34")&gt;=1,COUNTIF(C61:AF61,"=35")&gt;=1,COUNTIF(C61:AF61,"=36")&gt;=1 ),COUNTIF(C61:AF61,"")=0,COUNTIF(C61:AF61," ")=0,COUNTIF(C61:AF61,"F")=1),CONCATENATE(SUM(EXTRACTNUMBER(C61),EXTRACTNUMBER(E61),
EXTRACTNUMBER(G61),EXTRACTNUMBER(I61),
EXTRACTNUMBER(K61),EXTRACTNUMBER(M61),
EXTRACTNUMBER(O61),EXTRACTNUMBER(Q61),
EXTRACTNUMBER(S61),EXTRACTNUMBER(U61),
EXTRACTNUMBER(W61),EXTRACTNUMBER(Y61),EXTRACTNUMBER(AA61),
EXTRACTNUMBER(AC61),EXTRACTNUMBER(AE61)),"*"),IF(AND(COUNTIF(C61:AF61,"=34")&gt;=1,COUNTIF(C61:AF61,"=35")&gt;=1,COUNTIF(C61:AF61,"f")=2,COUNTIF(C61:AF61,"")=0,COUNTIF(C61:AF61," ")=0),CONCATENATE(SUM(EXTRACTNUMBER(C61),EXTRACTNUMBER(E61),
EXTRACTNUMBER(G61),EXTRACTNUMBER(I61),
EXTRACTNUMBER(K61),EXTRACTNUMBER(M61),
EXTRACTNUMBER(O61),EXTRACTNUMBER(Q61),
EXTRACTNUMBER(S61),EXTRACTNUMBER(U61),
EXTRACTNUMBER(W61),EXTRACTNUMBER(Y61),EXTRACTNUMBER(AA61),
EXTRACTNUMBER(AC61),EXTRACTNUMBER(AE61)),"*"),IF(AND(COUNTIF(C61:AF61,"=36")&gt;=2,COUNTIF(C61:AF61,"f")=2,COUNTIF(C61:AF61,"")=0,COUNTIF(C61:AF61," ")=0),CONCATENATE(SUM(EXTRACTNUMBER(C61),EXTRACTNUMBER(E61),
EXTRACTNUMBER(G61),EXTRACTNUMBER(I61),
EXTRACTNUMBER(K61),EXTRACTNUMBER(M61),
EXTRACTNUMBER(O61),EXTRACTNUMBER(Q61),
EXTRACTNUMBER(S61),EXTRACTNUMBER(U61),
EXTRACTNUMBER(W61),EXTRACTNUMBER(Y61),EXTRACTNUMBER(AA61),
EXTRACTNUMBER(AC61),EXTRACTNUMBER(AE61)),"*"),SUM(EXTRACTNUMBER(C61),EXTRACTNUMBER(E61),
EXTRACTNUMBER(G61),EXTRACTNUMBER(I61),
EXTRACTNUMBER(K61),EXTRACTNUMBER(M61),
EXTRACTNUMBER(O61),EXTRACTNUMBER(Q61),
EXTRACTNUMBER(S61),EXTRACTNUMBER(U61),
EXTRACTNUMBER(W61),EXTRACTNUMBER(Y61),EXTRACTNUMBER(AA61),
EXTRACTNUMBER(AC61),EXTRACTNUMBER(AE61))))),SUM(EXTRACTNUMBER(C61),EXTRACTNUMBER(E61),
EXTRACTNUMBER(G61),EXTRACTNUMBER(I61),
EXTRACTNUMBER(K61),EXTRACTNUMBER(M61),
EXTRACTNUMBER(O61),EXTRACTNUMBER(Q61),
EXTRACTNUMBER(S61),EXTRACTNUMBER(U61),
EXTRACTNUMBER(W61),EXTRACTNUMBER(Y61),EXTRACTNUMBER(AA61),
EXTRACTNUMBER(AC61),EXTRACTNUMBER(AE61)))</f>
        <v>430</v>
      </c>
      <c r="AH61" s="38" t="str">
        <f t="shared" ca="1" si="15"/>
        <v>FAIL</v>
      </c>
      <c r="AI61" s="28" t="str">
        <f>spellnumber(EXTRACTnUMBER_TOT(AG61))</f>
        <v xml:space="preserve">Four Hundred Thirty  </v>
      </c>
    </row>
    <row r="62" spans="1:35" ht="15" customHeight="1">
      <c r="A62" s="58">
        <v>223262</v>
      </c>
      <c r="B62" s="32" t="s">
        <v>220</v>
      </c>
      <c r="C62" s="60" t="s">
        <v>457</v>
      </c>
      <c r="D62" s="61" t="str">
        <f t="shared" ca="1" si="1"/>
        <v>F</v>
      </c>
      <c r="E62" s="62">
        <v>17</v>
      </c>
      <c r="F62" s="61" t="str">
        <f t="shared" ca="1" si="2"/>
        <v>E</v>
      </c>
      <c r="G62" s="63">
        <v>41</v>
      </c>
      <c r="H62" s="61" t="str">
        <f t="shared" ca="1" si="3"/>
        <v>E</v>
      </c>
      <c r="I62" s="62">
        <v>21</v>
      </c>
      <c r="J62" s="61" t="str">
        <f t="shared" ca="1" si="4"/>
        <v>E</v>
      </c>
      <c r="K62" s="62">
        <v>17</v>
      </c>
      <c r="L62" s="61" t="str">
        <f t="shared" ca="1" si="5"/>
        <v>E</v>
      </c>
      <c r="M62" s="63">
        <v>42</v>
      </c>
      <c r="N62" s="61" t="str">
        <f t="shared" ca="1" si="0"/>
        <v>E</v>
      </c>
      <c r="O62" s="62">
        <v>19</v>
      </c>
      <c r="P62" s="64" t="str">
        <f t="shared" ca="1" si="6"/>
        <v>E</v>
      </c>
      <c r="Q62" s="60">
        <v>40</v>
      </c>
      <c r="R62" s="61" t="str">
        <f t="shared" ca="1" si="7"/>
        <v>E</v>
      </c>
      <c r="S62" s="62">
        <v>20</v>
      </c>
      <c r="T62" s="64" t="str">
        <f t="shared" ca="1" si="8"/>
        <v>E</v>
      </c>
      <c r="U62" s="60">
        <v>40</v>
      </c>
      <c r="V62" s="61" t="str">
        <f t="shared" ca="1" si="9"/>
        <v>E</v>
      </c>
      <c r="W62" s="62">
        <v>18</v>
      </c>
      <c r="X62" s="64" t="str">
        <f t="shared" ca="1" si="10"/>
        <v>E</v>
      </c>
      <c r="Y62" s="62">
        <v>18</v>
      </c>
      <c r="Z62" s="64" t="str">
        <f t="shared" ca="1" si="11"/>
        <v>E</v>
      </c>
      <c r="AA62" s="60">
        <v>40</v>
      </c>
      <c r="AB62" s="61" t="str">
        <f t="shared" ca="1" si="12"/>
        <v>E</v>
      </c>
      <c r="AC62" s="62">
        <v>20</v>
      </c>
      <c r="AD62" s="61" t="str">
        <f t="shared" ca="1" si="13"/>
        <v>E</v>
      </c>
      <c r="AE62" s="62">
        <v>41</v>
      </c>
      <c r="AF62" s="64" t="str">
        <f t="shared" ca="1" si="14"/>
        <v>E</v>
      </c>
      <c r="AG62" s="66">
        <f>IF(OR(AND(C62&gt;=31,C62&lt;40),AND(G62&gt;=31,G62&lt;40),AND(M62&gt;=31,M62&lt;40),AND(Q62&gt;=31,Q62&lt;40),AND(U62&gt;=31,U62&lt;40),AND(AA62&gt;=11,AA62&lt;20)),IF(AND(OR(COUNTIF(C62:AF62,"=31")&gt;=1,COUNTIF(C62:AF62,"=32")&gt;=1,COUNTIF(C62:AF62,"=33")&gt;=1,COUNTIF(C62:AF62,"=34")&gt;=1,COUNTIF(C62:AF62,"=35")&gt;=1,COUNTIF(C62:AF62,"=36")&gt;=1 ),COUNTIF(C62:AF62,"")=0,COUNTIF(C62:AF62," ")=0,COUNTIF(C62:AF62,"F")=1),CONCATENATE(SUM(EXTRACTNUMBER(C62),EXTRACTNUMBER(E62),
EXTRACTNUMBER(G62),EXTRACTNUMBER(I62),
EXTRACTNUMBER(K62),EXTRACTNUMBER(M62),
EXTRACTNUMBER(O62),EXTRACTNUMBER(Q62),
EXTRACTNUMBER(S62),EXTRACTNUMBER(U62),
EXTRACTNUMBER(W62),EXTRACTNUMBER(Y62),EXTRACTNUMBER(AA62),
EXTRACTNUMBER(AC62),EXTRACTNUMBER(AE62)),"*"),IF(AND(COUNTIF(C62:AF62,"=34")&gt;=1,COUNTIF(C62:AF62,"=35")&gt;=1,COUNTIF(C62:AF62,"f")=2,COUNTIF(C62:AF62,"")=0,COUNTIF(C62:AF62," ")=0),CONCATENATE(SUM(EXTRACTNUMBER(C62),EXTRACTNUMBER(E62),
EXTRACTNUMBER(G62),EXTRACTNUMBER(I62),
EXTRACTNUMBER(K62),EXTRACTNUMBER(M62),
EXTRACTNUMBER(O62),EXTRACTNUMBER(Q62),
EXTRACTNUMBER(S62),EXTRACTNUMBER(U62),
EXTRACTNUMBER(W62),EXTRACTNUMBER(Y62),EXTRACTNUMBER(AA62),
EXTRACTNUMBER(AC62),EXTRACTNUMBER(AE62)),"*"),IF(AND(COUNTIF(C62:AF62,"=36")&gt;=2,COUNTIF(C62:AF62,"f")=2,COUNTIF(C62:AF62,"")=0,COUNTIF(C62:AF62," ")=0),CONCATENATE(SUM(EXTRACTNUMBER(C62),EXTRACTNUMBER(E62),
EXTRACTNUMBER(G62),EXTRACTNUMBER(I62),
EXTRACTNUMBER(K62),EXTRACTNUMBER(M62),
EXTRACTNUMBER(O62),EXTRACTNUMBER(Q62),
EXTRACTNUMBER(S62),EXTRACTNUMBER(U62),
EXTRACTNUMBER(W62),EXTRACTNUMBER(Y62),EXTRACTNUMBER(AA62),
EXTRACTNUMBER(AC62),EXTRACTNUMBER(AE62)),"*"),SUM(EXTRACTNUMBER(C62),EXTRACTNUMBER(E62),
EXTRACTNUMBER(G62),EXTRACTNUMBER(I62),
EXTRACTNUMBER(K62),EXTRACTNUMBER(M62),
EXTRACTNUMBER(O62),EXTRACTNUMBER(Q62),
EXTRACTNUMBER(S62),EXTRACTNUMBER(U62),
EXTRACTNUMBER(W62),EXTRACTNUMBER(Y62),EXTRACTNUMBER(AA62),
EXTRACTNUMBER(AC62),EXTRACTNUMBER(AE62))))),SUM(EXTRACTNUMBER(C62),EXTRACTNUMBER(E62),
EXTRACTNUMBER(G62),EXTRACTNUMBER(I62),
EXTRACTNUMBER(K62),EXTRACTNUMBER(M62),
EXTRACTNUMBER(O62),EXTRACTNUMBER(Q62),
EXTRACTNUMBER(S62),EXTRACTNUMBER(U62),
EXTRACTNUMBER(W62),EXTRACTNUMBER(Y62),EXTRACTNUMBER(AA62),
EXTRACTNUMBER(AC62),EXTRACTNUMBER(AE62)))</f>
        <v>396</v>
      </c>
      <c r="AH62" s="38" t="str">
        <f t="shared" ca="1" si="15"/>
        <v>FAIL</v>
      </c>
      <c r="AI62" s="28" t="str">
        <f>spellnumber(EXTRACTnUMBER_TOT(AG62))</f>
        <v xml:space="preserve">Three Hundred NinetySix </v>
      </c>
    </row>
    <row r="63" spans="1:35" ht="15" customHeight="1">
      <c r="A63" s="58">
        <v>223263</v>
      </c>
      <c r="B63" s="32" t="s">
        <v>221</v>
      </c>
      <c r="C63" s="60">
        <v>40</v>
      </c>
      <c r="D63" s="61" t="str">
        <f t="shared" ca="1" si="1"/>
        <v/>
      </c>
      <c r="E63" s="62">
        <v>22</v>
      </c>
      <c r="F63" s="61" t="str">
        <f t="shared" ca="1" si="2"/>
        <v/>
      </c>
      <c r="G63" s="63">
        <v>69</v>
      </c>
      <c r="H63" s="61" t="str">
        <f t="shared" ca="1" si="3"/>
        <v/>
      </c>
      <c r="I63" s="62">
        <v>18</v>
      </c>
      <c r="J63" s="61" t="str">
        <f t="shared" ca="1" si="4"/>
        <v/>
      </c>
      <c r="K63" s="62">
        <v>18</v>
      </c>
      <c r="L63" s="61" t="str">
        <f t="shared" ca="1" si="5"/>
        <v/>
      </c>
      <c r="M63" s="63">
        <v>40</v>
      </c>
      <c r="N63" s="61" t="str">
        <f t="shared" ca="1" si="0"/>
        <v/>
      </c>
      <c r="O63" s="62">
        <v>22</v>
      </c>
      <c r="P63" s="64" t="str">
        <f t="shared" ca="1" si="6"/>
        <v/>
      </c>
      <c r="Q63" s="60">
        <v>50</v>
      </c>
      <c r="R63" s="61" t="str">
        <f t="shared" ca="1" si="7"/>
        <v/>
      </c>
      <c r="S63" s="62">
        <v>21</v>
      </c>
      <c r="T63" s="64" t="str">
        <f t="shared" ca="1" si="8"/>
        <v/>
      </c>
      <c r="U63" s="60">
        <v>45</v>
      </c>
      <c r="V63" s="61" t="str">
        <f t="shared" ca="1" si="9"/>
        <v/>
      </c>
      <c r="W63" s="62">
        <v>19</v>
      </c>
      <c r="X63" s="64" t="str">
        <f t="shared" ca="1" si="10"/>
        <v/>
      </c>
      <c r="Y63" s="62">
        <v>18</v>
      </c>
      <c r="Z63" s="64" t="str">
        <f t="shared" ca="1" si="11"/>
        <v/>
      </c>
      <c r="AA63" s="60">
        <v>45</v>
      </c>
      <c r="AB63" s="61" t="str">
        <f t="shared" ca="1" si="12"/>
        <v/>
      </c>
      <c r="AC63" s="62">
        <v>21</v>
      </c>
      <c r="AD63" s="61" t="str">
        <f t="shared" ca="1" si="13"/>
        <v/>
      </c>
      <c r="AE63" s="62">
        <v>42</v>
      </c>
      <c r="AF63" s="64" t="str">
        <f t="shared" ca="1" si="14"/>
        <v/>
      </c>
      <c r="AG63" s="66">
        <f>IF(OR(AND(C63&gt;=31,C63&lt;40),AND(G63&gt;=31,G63&lt;40),AND(M63&gt;=31,M63&lt;40),AND(Q63&gt;=31,Q63&lt;40),AND(U63&gt;=31,U63&lt;40),AND(AA63&gt;=11,AA63&lt;20)),IF(AND(OR(COUNTIF(C63:AF63,"=31")&gt;=1,COUNTIF(C63:AF63,"=32")&gt;=1,COUNTIF(C63:AF63,"=33")&gt;=1,COUNTIF(C63:AF63,"=34")&gt;=1,COUNTIF(C63:AF63,"=35")&gt;=1,COUNTIF(C63:AF63,"=36")&gt;=1 ),COUNTIF(C63:AF63,"")=0,COUNTIF(C63:AF63," ")=0,COUNTIF(C63:AF63,"F")=1),CONCATENATE(SUM(EXTRACTNUMBER(C63),EXTRACTNUMBER(E63),
EXTRACTNUMBER(G63),EXTRACTNUMBER(I63),
EXTRACTNUMBER(K63),EXTRACTNUMBER(M63),
EXTRACTNUMBER(O63),EXTRACTNUMBER(Q63),
EXTRACTNUMBER(S63),EXTRACTNUMBER(U63),
EXTRACTNUMBER(W63),EXTRACTNUMBER(Y63),EXTRACTNUMBER(AA63),
EXTRACTNUMBER(AC63),EXTRACTNUMBER(AE63)),"*"),IF(AND(COUNTIF(C63:AF63,"=34")&gt;=1,COUNTIF(C63:AF63,"=35")&gt;=1,COUNTIF(C63:AF63,"f")=2,COUNTIF(C63:AF63,"")=0,COUNTIF(C63:AF63," ")=0),CONCATENATE(SUM(EXTRACTNUMBER(C63),EXTRACTNUMBER(E63),
EXTRACTNUMBER(G63),EXTRACTNUMBER(I63),
EXTRACTNUMBER(K63),EXTRACTNUMBER(M63),
EXTRACTNUMBER(O63),EXTRACTNUMBER(Q63),
EXTRACTNUMBER(S63),EXTRACTNUMBER(U63),
EXTRACTNUMBER(W63),EXTRACTNUMBER(Y63),EXTRACTNUMBER(AA63),
EXTRACTNUMBER(AC63),EXTRACTNUMBER(AE63)),"*"),IF(AND(COUNTIF(C63:AF63,"=36")&gt;=2,COUNTIF(C63:AF63,"f")=2,COUNTIF(C63:AF63,"")=0,COUNTIF(C63:AF63," ")=0),CONCATENATE(SUM(EXTRACTNUMBER(C63),EXTRACTNUMBER(E63),
EXTRACTNUMBER(G63),EXTRACTNUMBER(I63),
EXTRACTNUMBER(K63),EXTRACTNUMBER(M63),
EXTRACTNUMBER(O63),EXTRACTNUMBER(Q63),
EXTRACTNUMBER(S63),EXTRACTNUMBER(U63),
EXTRACTNUMBER(W63),EXTRACTNUMBER(Y63),EXTRACTNUMBER(AA63),
EXTRACTNUMBER(AC63),EXTRACTNUMBER(AE63)),"*"),SUM(EXTRACTNUMBER(C63),EXTRACTNUMBER(E63),
EXTRACTNUMBER(G63),EXTRACTNUMBER(I63),
EXTRACTNUMBER(K63),EXTRACTNUMBER(M63),
EXTRACTNUMBER(O63),EXTRACTNUMBER(Q63),
EXTRACTNUMBER(S63),EXTRACTNUMBER(U63),
EXTRACTNUMBER(W63),EXTRACTNUMBER(Y63),EXTRACTNUMBER(AA63),
EXTRACTNUMBER(AC63),EXTRACTNUMBER(AE63))))),SUM(EXTRACTNUMBER(C63),EXTRACTNUMBER(E63),
EXTRACTNUMBER(G63),EXTRACTNUMBER(I63),
EXTRACTNUMBER(K63),EXTRACTNUMBER(M63),
EXTRACTNUMBER(O63),EXTRACTNUMBER(Q63),
EXTRACTNUMBER(S63),EXTRACTNUMBER(U63),
EXTRACTNUMBER(W63),EXTRACTNUMBER(Y63),EXTRACTNUMBER(AA63),
EXTRACTNUMBER(AC63),EXTRACTNUMBER(AE63)))</f>
        <v>490</v>
      </c>
      <c r="AH63" s="38" t="str">
        <f t="shared" ca="1" si="15"/>
        <v>PASS</v>
      </c>
      <c r="AI63" s="28" t="str">
        <f>spellnumber(EXTRACTnUMBER_TOT(AG63))</f>
        <v xml:space="preserve">Four Hundred Ninety </v>
      </c>
    </row>
    <row r="64" spans="1:35" ht="15" customHeight="1">
      <c r="A64" s="58">
        <v>223264</v>
      </c>
      <c r="B64" s="32" t="s">
        <v>222</v>
      </c>
      <c r="C64" s="60">
        <v>44</v>
      </c>
      <c r="D64" s="61" t="str">
        <f t="shared" ca="1" si="1"/>
        <v/>
      </c>
      <c r="E64" s="62">
        <v>21</v>
      </c>
      <c r="F64" s="61" t="str">
        <f t="shared" ca="1" si="2"/>
        <v/>
      </c>
      <c r="G64" s="63">
        <v>75</v>
      </c>
      <c r="H64" s="61" t="str">
        <f t="shared" ca="1" si="3"/>
        <v/>
      </c>
      <c r="I64" s="62">
        <v>19</v>
      </c>
      <c r="J64" s="61" t="str">
        <f t="shared" ca="1" si="4"/>
        <v/>
      </c>
      <c r="K64" s="62">
        <v>17</v>
      </c>
      <c r="L64" s="61" t="str">
        <f t="shared" ca="1" si="5"/>
        <v/>
      </c>
      <c r="M64" s="63">
        <v>71</v>
      </c>
      <c r="N64" s="61" t="str">
        <f t="shared" ca="1" si="0"/>
        <v/>
      </c>
      <c r="O64" s="62">
        <v>24</v>
      </c>
      <c r="P64" s="64" t="str">
        <f t="shared" ca="1" si="6"/>
        <v/>
      </c>
      <c r="Q64" s="60">
        <v>77</v>
      </c>
      <c r="R64" s="61" t="str">
        <f t="shared" ca="1" si="7"/>
        <v/>
      </c>
      <c r="S64" s="62">
        <v>22</v>
      </c>
      <c r="T64" s="64" t="str">
        <f t="shared" ca="1" si="8"/>
        <v/>
      </c>
      <c r="U64" s="60">
        <v>55</v>
      </c>
      <c r="V64" s="61" t="str">
        <f t="shared" ca="1" si="9"/>
        <v/>
      </c>
      <c r="W64" s="62">
        <v>20</v>
      </c>
      <c r="X64" s="64" t="str">
        <f t="shared" ca="1" si="10"/>
        <v/>
      </c>
      <c r="Y64" s="62">
        <v>19</v>
      </c>
      <c r="Z64" s="64" t="str">
        <f t="shared" ca="1" si="11"/>
        <v/>
      </c>
      <c r="AA64" s="60">
        <v>44</v>
      </c>
      <c r="AB64" s="61" t="str">
        <f t="shared" ca="1" si="12"/>
        <v/>
      </c>
      <c r="AC64" s="62">
        <v>23</v>
      </c>
      <c r="AD64" s="61" t="str">
        <f t="shared" ca="1" si="13"/>
        <v/>
      </c>
      <c r="AE64" s="62">
        <v>41</v>
      </c>
      <c r="AF64" s="64" t="str">
        <f t="shared" ca="1" si="14"/>
        <v/>
      </c>
      <c r="AG64" s="66">
        <f>IF(OR(AND(C64&gt;=31,C64&lt;40),AND(G64&gt;=31,G64&lt;40),AND(M64&gt;=31,M64&lt;40),AND(Q64&gt;=31,Q64&lt;40),AND(U64&gt;=31,U64&lt;40),AND(AA64&gt;=11,AA64&lt;20)),IF(AND(OR(COUNTIF(C64:AF64,"=31")&gt;=1,COUNTIF(C64:AF64,"=32")&gt;=1,COUNTIF(C64:AF64,"=33")&gt;=1,COUNTIF(C64:AF64,"=34")&gt;=1,COUNTIF(C64:AF64,"=35")&gt;=1,COUNTIF(C64:AF64,"=36")&gt;=1 ),COUNTIF(C64:AF64,"")=0,COUNTIF(C64:AF64," ")=0,COUNTIF(C64:AF64,"F")=1),CONCATENATE(SUM(EXTRACTNUMBER(C64),EXTRACTNUMBER(E64),
EXTRACTNUMBER(G64),EXTRACTNUMBER(I64),
EXTRACTNUMBER(K64),EXTRACTNUMBER(M64),
EXTRACTNUMBER(O64),EXTRACTNUMBER(Q64),
EXTRACTNUMBER(S64),EXTRACTNUMBER(U64),
EXTRACTNUMBER(W64),EXTRACTNUMBER(Y64),EXTRACTNUMBER(AA64),
EXTRACTNUMBER(AC64),EXTRACTNUMBER(AE64)),"*"),IF(AND(COUNTIF(C64:AF64,"=34")&gt;=1,COUNTIF(C64:AF64,"=35")&gt;=1,COUNTIF(C64:AF64,"f")=2,COUNTIF(C64:AF64,"")=0,COUNTIF(C64:AF64," ")=0),CONCATENATE(SUM(EXTRACTNUMBER(C64),EXTRACTNUMBER(E64),
EXTRACTNUMBER(G64),EXTRACTNUMBER(I64),
EXTRACTNUMBER(K64),EXTRACTNUMBER(M64),
EXTRACTNUMBER(O64),EXTRACTNUMBER(Q64),
EXTRACTNUMBER(S64),EXTRACTNUMBER(U64),
EXTRACTNUMBER(W64),EXTRACTNUMBER(Y64),EXTRACTNUMBER(AA64),
EXTRACTNUMBER(AC64),EXTRACTNUMBER(AE64)),"*"),IF(AND(COUNTIF(C64:AF64,"=36")&gt;=2,COUNTIF(C64:AF64,"f")=2,COUNTIF(C64:AF64,"")=0,COUNTIF(C64:AF64," ")=0),CONCATENATE(SUM(EXTRACTNUMBER(C64),EXTRACTNUMBER(E64),
EXTRACTNUMBER(G64),EXTRACTNUMBER(I64),
EXTRACTNUMBER(K64),EXTRACTNUMBER(M64),
EXTRACTNUMBER(O64),EXTRACTNUMBER(Q64),
EXTRACTNUMBER(S64),EXTRACTNUMBER(U64),
EXTRACTNUMBER(W64),EXTRACTNUMBER(Y64),EXTRACTNUMBER(AA64),
EXTRACTNUMBER(AC64),EXTRACTNUMBER(AE64)),"*"),SUM(EXTRACTNUMBER(C64),EXTRACTNUMBER(E64),
EXTRACTNUMBER(G64),EXTRACTNUMBER(I64),
EXTRACTNUMBER(K64),EXTRACTNUMBER(M64),
EXTRACTNUMBER(O64),EXTRACTNUMBER(Q64),
EXTRACTNUMBER(S64),EXTRACTNUMBER(U64),
EXTRACTNUMBER(W64),EXTRACTNUMBER(Y64),EXTRACTNUMBER(AA64),
EXTRACTNUMBER(AC64),EXTRACTNUMBER(AE64))))),SUM(EXTRACTNUMBER(C64),EXTRACTNUMBER(E64),
EXTRACTNUMBER(G64),EXTRACTNUMBER(I64),
EXTRACTNUMBER(K64),EXTRACTNUMBER(M64),
EXTRACTNUMBER(O64),EXTRACTNUMBER(Q64),
EXTRACTNUMBER(S64),EXTRACTNUMBER(U64),
EXTRACTNUMBER(W64),EXTRACTNUMBER(Y64),EXTRACTNUMBER(AA64),
EXTRACTNUMBER(AC64),EXTRACTNUMBER(AE64)))</f>
        <v>572</v>
      </c>
      <c r="AH64" s="38" t="str">
        <f t="shared" ca="1" si="15"/>
        <v>PASS</v>
      </c>
      <c r="AI64" s="28" t="str">
        <f>spellnumber(EXTRACTnUMBER_TOT(AG64))</f>
        <v xml:space="preserve">Five Hundred Seventy Two </v>
      </c>
    </row>
    <row r="65" spans="1:35" ht="15" customHeight="1">
      <c r="A65" s="58">
        <v>223265</v>
      </c>
      <c r="B65" s="32" t="s">
        <v>223</v>
      </c>
      <c r="C65" s="60" t="s">
        <v>456</v>
      </c>
      <c r="D65" s="61" t="str">
        <f t="shared" ca="1" si="1"/>
        <v>F</v>
      </c>
      <c r="E65" s="62">
        <v>14</v>
      </c>
      <c r="F65" s="61" t="str">
        <f t="shared" ca="1" si="2"/>
        <v>E</v>
      </c>
      <c r="G65" s="63">
        <v>57</v>
      </c>
      <c r="H65" s="61" t="str">
        <f t="shared" ca="1" si="3"/>
        <v>E</v>
      </c>
      <c r="I65" s="62">
        <v>19</v>
      </c>
      <c r="J65" s="61" t="str">
        <f t="shared" ca="1" si="4"/>
        <v>E</v>
      </c>
      <c r="K65" s="62">
        <v>18</v>
      </c>
      <c r="L65" s="61" t="str">
        <f t="shared" ca="1" si="5"/>
        <v>E</v>
      </c>
      <c r="M65" s="63">
        <v>49</v>
      </c>
      <c r="N65" s="61" t="str">
        <f t="shared" ca="1" si="0"/>
        <v>E</v>
      </c>
      <c r="O65" s="62">
        <v>16</v>
      </c>
      <c r="P65" s="64" t="str">
        <f t="shared" ca="1" si="6"/>
        <v>E</v>
      </c>
      <c r="Q65" s="60">
        <v>40</v>
      </c>
      <c r="R65" s="61" t="str">
        <f t="shared" ca="1" si="7"/>
        <v>E</v>
      </c>
      <c r="S65" s="62">
        <v>19</v>
      </c>
      <c r="T65" s="64" t="str">
        <f t="shared" ca="1" si="8"/>
        <v>E</v>
      </c>
      <c r="U65" s="60">
        <v>41</v>
      </c>
      <c r="V65" s="61" t="str">
        <f t="shared" ca="1" si="9"/>
        <v>E</v>
      </c>
      <c r="W65" s="62">
        <v>17</v>
      </c>
      <c r="X65" s="64" t="str">
        <f t="shared" ca="1" si="10"/>
        <v>E</v>
      </c>
      <c r="Y65" s="62">
        <v>17</v>
      </c>
      <c r="Z65" s="64" t="str">
        <f t="shared" ca="1" si="11"/>
        <v>E</v>
      </c>
      <c r="AA65" s="60">
        <v>34</v>
      </c>
      <c r="AB65" s="61" t="str">
        <f t="shared" ca="1" si="12"/>
        <v>F</v>
      </c>
      <c r="AC65" s="62">
        <v>13</v>
      </c>
      <c r="AD65" s="61" t="str">
        <f t="shared" ca="1" si="13"/>
        <v>E</v>
      </c>
      <c r="AE65" s="62">
        <v>39</v>
      </c>
      <c r="AF65" s="64" t="str">
        <f t="shared" ca="1" si="14"/>
        <v>E</v>
      </c>
      <c r="AG65" s="66">
        <f>IF(OR(AND(C65&gt;=31,C65&lt;40),AND(G65&gt;=31,G65&lt;40),AND(M65&gt;=31,M65&lt;40),AND(Q65&gt;=31,Q65&lt;40),AND(U65&gt;=31,U65&lt;40),AND(AA65&gt;=11,AA65&lt;20)),IF(AND(OR(COUNTIF(C65:AF65,"=31")&gt;=1,COUNTIF(C65:AF65,"=32")&gt;=1,COUNTIF(C65:AF65,"=33")&gt;=1,COUNTIF(C65:AF65,"=34")&gt;=1,COUNTIF(C65:AF65,"=35")&gt;=1,COUNTIF(C65:AF65,"=36")&gt;=1 ),COUNTIF(C65:AF65,"")=0,COUNTIF(C65:AF65," ")=0,COUNTIF(C65:AF65,"F")=1),CONCATENATE(SUM(EXTRACTNUMBER(C65),EXTRACTNUMBER(E65),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EXTRACTNUMBER(AC65),EXTRACTNUMBER(AE65)),"*"),IF(AND(COUNTIF(C65:AF65,"=34")&gt;=1,COUNTIF(C65:AF65,"=35")&gt;=1,COUNTIF(C65:AF65,"f")=2,COUNTIF(C65:AF65,"")=0,COUNTIF(C65:AF65," ")=0),CONCATENATE(SUM(EXTRACTNUMBER(C65),EXTRACTNUMBER(E65),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EXTRACTNUMBER(AC65),EXTRACTNUMBER(AE65)),"*"),IF(AND(COUNTIF(C65:AF65,"=36")&gt;=2,COUNTIF(C65:AF65,"f")=2,COUNTIF(C65:AF65,"")=0,COUNTIF(C65:AF65," ")=0),CONCATENATE(SUM(EXTRACTNUMBER(C65),EXTRACTNUMBER(E65),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EXTRACTNUMBER(AC65),EXTRACTNUMBER(AE65)),"*"),SUM(EXTRACTNUMBER(C65),EXTRACTNUMBER(E65),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EXTRACTNUMBER(AC65),EXTRACTNUMBER(AE65))))),SUM(EXTRACTNUMBER(C65),EXTRACTNUMBER(E65),
EXTRACTNUMBER(G65),EXTRACTNUMBER(I65),
EXTRACTNUMBER(K65),EXTRACTNUMBER(M65),
EXTRACTNUMBER(O65),EXTRACTNUMBER(Q65),
EXTRACTNUMBER(S65),EXTRACTNUMBER(U65),
EXTRACTNUMBER(W65),EXTRACTNUMBER(Y65),EXTRACTNUMBER(AA65),
EXTRACTNUMBER(AC65),EXTRACTNUMBER(AE65)))</f>
        <v>398</v>
      </c>
      <c r="AH65" s="38" t="str">
        <f t="shared" ca="1" si="15"/>
        <v>FAIL</v>
      </c>
      <c r="AI65" s="28" t="str">
        <f>spellnumber(EXTRACTnUMBER_TOT(AG65))</f>
        <v xml:space="preserve">Three Hundred NinetyEight </v>
      </c>
    </row>
    <row r="66" spans="1:35" ht="15" customHeight="1">
      <c r="A66" s="58">
        <v>223266</v>
      </c>
      <c r="B66" s="32" t="s">
        <v>224</v>
      </c>
      <c r="C66" s="60">
        <v>26</v>
      </c>
      <c r="D66" s="61" t="str">
        <f t="shared" ca="1" si="1"/>
        <v>F</v>
      </c>
      <c r="E66" s="62">
        <v>12</v>
      </c>
      <c r="F66" s="61" t="str">
        <f t="shared" ca="1" si="2"/>
        <v>E</v>
      </c>
      <c r="G66" s="63">
        <v>40</v>
      </c>
      <c r="H66" s="61" t="str">
        <f t="shared" ca="1" si="3"/>
        <v>E</v>
      </c>
      <c r="I66" s="62">
        <v>19</v>
      </c>
      <c r="J66" s="61" t="str">
        <f t="shared" ca="1" si="4"/>
        <v>E</v>
      </c>
      <c r="K66" s="62">
        <v>19</v>
      </c>
      <c r="L66" s="61" t="str">
        <f t="shared" ca="1" si="5"/>
        <v>E</v>
      </c>
      <c r="M66" s="63">
        <v>58</v>
      </c>
      <c r="N66" s="61" t="str">
        <f t="shared" ref="N66:N129" ca="1" si="16">IF(IFERROR(FIND("+",M66),0)," ",
IF(M66="AB","",
IF(M66&lt;$N$27,"F",
IF(AND(C66&gt;=$D$27,E66&gt;=$F$27,G66&gt;=$H$27,
I66&gt;=$J$27,K66&gt;=$L$27,
M66&gt;=$N$27,O66&gt;=$P$27,Q66&gt;=$R$27,S66&gt;=$T$27,U66&gt;=$V$27,
W66&gt;=$X$27,Y66&gt;=$Z$27,AA66&gt;=$AB$27,AC66&gt;=$AD$27,AE66&gt;=$AF$27,
C66&lt;&gt;"AB",E66&lt;&gt;"AB",G66&lt;&gt;"AB",
I66&lt;&gt;"AB",K66&lt;&gt;"AB",
M66&lt;&gt;"AB",O66&lt;&gt;"AB",Q66&lt;&gt;"AB",S66&lt;&gt;"AB",U66&lt;&gt;"AB",
W66&lt;&gt;"AB",Y66&lt;&gt;"AB",AA66&lt;&gt;"AB",AC66&lt;&gt;"AB",AE66&lt;&gt;"AB"),"","E"))))</f>
        <v>E</v>
      </c>
      <c r="O66" s="62">
        <v>20</v>
      </c>
      <c r="P66" s="64" t="str">
        <f t="shared" ca="1" si="6"/>
        <v>E</v>
      </c>
      <c r="Q66" s="60">
        <v>44</v>
      </c>
      <c r="R66" s="61" t="str">
        <f t="shared" ca="1" si="7"/>
        <v>E</v>
      </c>
      <c r="S66" s="62">
        <v>20</v>
      </c>
      <c r="T66" s="64" t="str">
        <f t="shared" ca="1" si="8"/>
        <v>E</v>
      </c>
      <c r="U66" s="60">
        <v>40</v>
      </c>
      <c r="V66" s="61" t="str">
        <f t="shared" ca="1" si="9"/>
        <v>E</v>
      </c>
      <c r="W66" s="62">
        <v>19</v>
      </c>
      <c r="X66" s="64" t="str">
        <f t="shared" ca="1" si="10"/>
        <v>E</v>
      </c>
      <c r="Y66" s="62">
        <v>20</v>
      </c>
      <c r="Z66" s="64" t="str">
        <f t="shared" ca="1" si="11"/>
        <v>E</v>
      </c>
      <c r="AA66" s="60">
        <v>41</v>
      </c>
      <c r="AB66" s="61" t="str">
        <f t="shared" ca="1" si="12"/>
        <v>E</v>
      </c>
      <c r="AC66" s="62">
        <v>22</v>
      </c>
      <c r="AD66" s="61" t="str">
        <f t="shared" ca="1" si="13"/>
        <v>E</v>
      </c>
      <c r="AE66" s="62">
        <v>42</v>
      </c>
      <c r="AF66" s="64" t="str">
        <f t="shared" ca="1" si="14"/>
        <v>E</v>
      </c>
      <c r="AG66" s="66">
        <f>IF(OR(AND(C66&gt;=31,C66&lt;40),AND(G66&gt;=31,G66&lt;40),AND(M66&gt;=31,M66&lt;40),AND(Q66&gt;=31,Q66&lt;40),AND(U66&gt;=31,U66&lt;40),AND(AA66&gt;=11,AA66&lt;20)),IF(AND(OR(COUNTIF(C66:AF66,"=31")&gt;=1,COUNTIF(C66:AF66,"=32")&gt;=1,COUNTIF(C66:AF66,"=33")&gt;=1,COUNTIF(C66:AF66,"=34")&gt;=1,COUNTIF(C66:AF66,"=35")&gt;=1,COUNTIF(C66:AF66,"=36")&gt;=1 ),COUNTIF(C66:AF66,"")=0,COUNTIF(C66:AF66," ")=0,COUNTIF(C66:AF66,"F")=1),CONCATENATE(SUM(EXTRACTNUMBER(C66),EXTRACTNUMBER(E66),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EXTRACTNUMBER(AC66),EXTRACTNUMBER(AE66)),"*"),IF(AND(COUNTIF(C66:AF66,"=34")&gt;=1,COUNTIF(C66:AF66,"=35")&gt;=1,COUNTIF(C66:AF66,"f")=2,COUNTIF(C66:AF66,"")=0,COUNTIF(C66:AF66," ")=0),CONCATENATE(SUM(EXTRACTNUMBER(C66),EXTRACTNUMBER(E66),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EXTRACTNUMBER(AC66),EXTRACTNUMBER(AE66)),"*"),IF(AND(COUNTIF(C66:AF66,"=36")&gt;=2,COUNTIF(C66:AF66,"f")=2,COUNTIF(C66:AF66,"")=0,COUNTIF(C66:AF66," ")=0),CONCATENATE(SUM(EXTRACTNUMBER(C66),EXTRACTNUMBER(E66),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EXTRACTNUMBER(AC66),EXTRACTNUMBER(AE66)),"*"),SUM(EXTRACTNUMBER(C66),EXTRACTNUMBER(E66),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EXTRACTNUMBER(AC66),EXTRACTNUMBER(AE66))))),SUM(EXTRACTNUMBER(C66),EXTRACTNUMBER(E66),
EXTRACTNUMBER(G66),EXTRACTNUMBER(I66),
EXTRACTNUMBER(K66),EXTRACTNUMBER(M66),
EXTRACTNUMBER(O66),EXTRACTNUMBER(Q66),
EXTRACTNUMBER(S66),EXTRACTNUMBER(U66),
EXTRACTNUMBER(W66),EXTRACTNUMBER(Y66),EXTRACTNUMBER(AA66),
EXTRACTNUMBER(AC66),EXTRACTNUMBER(AE66)))</f>
        <v>442</v>
      </c>
      <c r="AH66" s="38" t="str">
        <f t="shared" ca="1" si="15"/>
        <v>FAIL</v>
      </c>
      <c r="AI66" s="28" t="str">
        <f>spellnumber(EXTRACTnUMBER_TOT(AG66))</f>
        <v xml:space="preserve">Four Hundred Forty Two </v>
      </c>
    </row>
    <row r="67" spans="1:35" ht="15" customHeight="1">
      <c r="A67" s="58">
        <v>223267</v>
      </c>
      <c r="B67" s="32" t="s">
        <v>225</v>
      </c>
      <c r="C67" s="60">
        <v>48</v>
      </c>
      <c r="D67" s="61" t="str">
        <f t="shared" ref="D67:D130" ca="1" si="17">IF(IFERROR(FIND("+",C67),0)," ",
IF(C67="AB","",
IF(C67&lt;$D$27,"F",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E67" s="62">
        <v>21</v>
      </c>
      <c r="F67" s="61" t="str">
        <f t="shared" ref="F67:F130" ca="1" si="18">IF(IFERROR(FIND("+",E67),0)," ",
IF(E67="AB","",
IF(E67&lt;$F$27,"F",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G67" s="63">
        <v>62</v>
      </c>
      <c r="H67" s="61" t="str">
        <f t="shared" ref="H67:H130" ca="1" si="19">IF(IFERROR(FIND("+",G67),0)," ",
IF(G67="AB","",
IF(G67&lt;$H$27,"F",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I67" s="62">
        <v>19</v>
      </c>
      <c r="J67" s="61" t="str">
        <f t="shared" ref="J67:J130" ca="1" si="20">IF(IFERROR(FIND("+",I67),0)," ",
IF(I67="AB","",
IF(I67&lt;$J$27,"F",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K67" s="62">
        <v>19</v>
      </c>
      <c r="L67" s="61" t="str">
        <f t="shared" ref="L67:L130" ca="1" si="21">IF(IFERROR(FIND("+",K67),0)," ",
IF(K67="AB","",
IF(K67&lt;$L$27,"F",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M67" s="63">
        <v>45</v>
      </c>
      <c r="N67" s="61" t="str">
        <f t="shared" ca="1" si="16"/>
        <v/>
      </c>
      <c r="O67" s="62">
        <v>20</v>
      </c>
      <c r="P67" s="64" t="str">
        <f t="shared" ref="P67:P130" ca="1" si="22">IF(IFERROR(FIND("+",O67),0)," ",
IF(O67="AB","",
IF(O67&lt;$P$27,"F",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Q67" s="60">
        <v>48</v>
      </c>
      <c r="R67" s="61" t="str">
        <f t="shared" ref="R67:R130" ca="1" si="23">IF(IFERROR(FIND("+",Q67),0)," ",
IF(Q67="AB","",
IF(Q67&lt;$R$27,"F",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S67" s="62">
        <v>19</v>
      </c>
      <c r="T67" s="64" t="str">
        <f t="shared" ref="T67:T130" ca="1" si="24">IF(IFERROR(FIND("+",S67),0)," ",
IF(S67="AB","",
IF(S67&lt;$T$27,"F",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U67" s="60">
        <v>49</v>
      </c>
      <c r="V67" s="61" t="str">
        <f t="shared" ref="V67:V130" ca="1" si="25">IF(IFERROR(FIND("+",U67),0)," ",
IF(U67="AB","",
IF(U67&lt;$V$27,"F",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W67" s="62">
        <v>19</v>
      </c>
      <c r="X67" s="64" t="str">
        <f t="shared" ref="X67:X130" ca="1" si="26">IF(IFERROR(FIND("+",W67),0)," ",
IF(W67="AB","",
IF(W67&lt;$X$27,"F",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Y67" s="62">
        <v>19</v>
      </c>
      <c r="Z67" s="64" t="str">
        <f t="shared" ref="Z67:Z130" ca="1" si="27">IF(IFERROR(FIND("+",Y67),0)," ",
IF(Y67="AB","",
IF(Y67&lt;$Z$27,"F",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AA67" s="60" t="s">
        <v>426</v>
      </c>
      <c r="AB67" s="61" t="str">
        <f t="shared" ref="AB67:AB130" ca="1" si="28">IF(IFERROR(FIND("+",AA67),0)," ",
IF(AA67="AB","",
IF(AA67&lt;$AB$27,"F",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AC67" s="62">
        <v>18</v>
      </c>
      <c r="AD67" s="61" t="str">
        <f t="shared" ref="AD67:AD130" ca="1" si="29">IF(IFERROR(FIND("+",AC67),0)," ",
IF(AC67="AB","",
IF(AC67&lt;$AD$27,"F",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AE67" s="62">
        <v>39</v>
      </c>
      <c r="AF67" s="64" t="str">
        <f t="shared" ref="AF67:AF130" ca="1" si="30">IF(IFERROR(FIND("+",AE67),0)," ",
IF(AE67="AB","",
IF(AE67&lt;$AF$27,"F",
IF(AND(C67&gt;=$D$27,E67&gt;=$F$27,G67&gt;=$H$27,
I67&gt;=$J$27,K67&gt;=$L$27,
M67&gt;=$N$27,O67&gt;=$P$27,Q67&gt;=$R$27,S67&gt;=$T$27,U67&gt;=$V$27,
W67&gt;=$X$27,Y67&gt;=$Z$27,AA67&gt;=$AB$27,AC67&gt;=$AD$27,AE67&gt;=$AF$27,
C67&lt;&gt;"AB",E67&lt;&gt;"AB",G67&lt;&gt;"AB",
I67&lt;&gt;"AB",K67&lt;&gt;"AB",
M67&lt;&gt;"AB",O67&lt;&gt;"AB",Q67&lt;&gt;"AB",S67&lt;&gt;"AB",U67&lt;&gt;"AB",
W67&lt;&gt;"AB",Y67&lt;&gt;"AB",AA67&lt;&gt;"AB",AC67&lt;&gt;"AB",AE67&lt;&gt;"AB"),"","E"))))</f>
        <v/>
      </c>
      <c r="AG67" s="66" t="s">
        <v>429</v>
      </c>
      <c r="AH67" s="38" t="str">
        <f t="shared" ref="AH67:AH130" ca="1" si="31">IF(AND(COUNTIF(C67:AF67,"AB")&lt;15-COUNTIF(C67:AF67," "),
COUNTIF(C67:AF67,"AB")&lt;&gt;0),"FAIL",
IF(COUNTIF(C67:AF67,"AB")=15-COUNTIF(C67:AF67," "),"ABSENT",
IF(AND(COUNTIF(C67:AF67,"AB")=0,COUNTIF(C67:AF67,"F")=0),"PASS","FAIL")))</f>
        <v>PASS</v>
      </c>
      <c r="AI67" s="28" t="str">
        <f>spellnumber(EXTRACTnUMBER_TOT(AG67))</f>
        <v xml:space="preserve">Four Hundred Seventy Six </v>
      </c>
    </row>
    <row r="68" spans="1:35" ht="15" customHeight="1">
      <c r="A68" s="58">
        <v>223268</v>
      </c>
      <c r="B68" s="32" t="s">
        <v>226</v>
      </c>
      <c r="C68" s="60">
        <v>17</v>
      </c>
      <c r="D68" s="61" t="str">
        <f t="shared" ca="1" si="17"/>
        <v>F</v>
      </c>
      <c r="E68" s="62">
        <v>17</v>
      </c>
      <c r="F68" s="61" t="str">
        <f t="shared" ca="1" si="18"/>
        <v>E</v>
      </c>
      <c r="G68" s="63">
        <v>61</v>
      </c>
      <c r="H68" s="61" t="str">
        <f t="shared" ca="1" si="19"/>
        <v>E</v>
      </c>
      <c r="I68" s="62">
        <v>19</v>
      </c>
      <c r="J68" s="61" t="str">
        <f t="shared" ca="1" si="20"/>
        <v>E</v>
      </c>
      <c r="K68" s="62">
        <v>18</v>
      </c>
      <c r="L68" s="61" t="str">
        <f t="shared" ca="1" si="21"/>
        <v>E</v>
      </c>
      <c r="M68" s="63">
        <v>47</v>
      </c>
      <c r="N68" s="61" t="str">
        <f t="shared" ca="1" si="16"/>
        <v>E</v>
      </c>
      <c r="O68" s="62">
        <v>20</v>
      </c>
      <c r="P68" s="64" t="str">
        <f t="shared" ca="1" si="22"/>
        <v>E</v>
      </c>
      <c r="Q68" s="60">
        <v>44</v>
      </c>
      <c r="R68" s="61" t="str">
        <f t="shared" ca="1" si="23"/>
        <v>E</v>
      </c>
      <c r="S68" s="62">
        <v>19</v>
      </c>
      <c r="T68" s="64" t="str">
        <f t="shared" ca="1" si="24"/>
        <v>E</v>
      </c>
      <c r="U68" s="60">
        <v>40</v>
      </c>
      <c r="V68" s="61" t="str">
        <f t="shared" ca="1" si="25"/>
        <v>E</v>
      </c>
      <c r="W68" s="62">
        <v>16</v>
      </c>
      <c r="X68" s="64" t="str">
        <f t="shared" ca="1" si="26"/>
        <v>E</v>
      </c>
      <c r="Y68" s="62">
        <v>17</v>
      </c>
      <c r="Z68" s="64" t="str">
        <f t="shared" ca="1" si="27"/>
        <v>E</v>
      </c>
      <c r="AA68" s="60">
        <v>27</v>
      </c>
      <c r="AB68" s="61" t="str">
        <f t="shared" ca="1" si="28"/>
        <v>F</v>
      </c>
      <c r="AC68" s="62">
        <v>17</v>
      </c>
      <c r="AD68" s="61" t="str">
        <f t="shared" ca="1" si="29"/>
        <v>E</v>
      </c>
      <c r="AE68" s="62">
        <v>40</v>
      </c>
      <c r="AF68" s="64" t="str">
        <f t="shared" ca="1" si="30"/>
        <v>E</v>
      </c>
      <c r="AG68" s="66">
        <f>IF(OR(AND(C68&gt;=31,C68&lt;40),AND(G68&gt;=31,G68&lt;40),AND(M68&gt;=31,M68&lt;40),AND(Q68&gt;=31,Q68&lt;40),AND(U68&gt;=31,U68&lt;40),AND(AA68&gt;=11,AA68&lt;20)),IF(AND(OR(COUNTIF(C68:AF68,"=31")&gt;=1,COUNTIF(C68:AF68,"=32")&gt;=1,COUNTIF(C68:AF68,"=33")&gt;=1,COUNTIF(C68:AF68,"=34")&gt;=1,COUNTIF(C68:AF68,"=35")&gt;=1,COUNTIF(C68:AF68,"=36")&gt;=1 ),COUNTIF(C68:AF68,"")=0,COUNTIF(C68:AF68," ")=0,COUNTIF(C68:AF68,"F")=1),CONCATENATE(SUM(EXTRACTNUMBER(C68),EXTRACTNUMBER(E68),
EXTRACTNUMBER(G68),EXTRACTNUMBER(I68),
EXTRACTNUMBER(K68),EXTRACTNUMBER(M68),
EXTRACTNUMBER(O68),EXTRACTNUMBER(Q68),
EXTRACTNUMBER(S68),EXTRACTNUMBER(U68),
EXTRACTNUMBER(W68),EXTRACTNUMBER(Y68),EXTRACTNUMBER(AA68),
EXTRACTNUMBER(AC68),EXTRACTNUMBER(AE68)),"*"),IF(AND(COUNTIF(C68:AF68,"=34")&gt;=1,COUNTIF(C68:AF68,"=35")&gt;=1,COUNTIF(C68:AF68,"f")=2,COUNTIF(C68:AF68,"")=0,COUNTIF(C68:AF68," ")=0),CONCATENATE(SUM(EXTRACTNUMBER(C68),EXTRACTNUMBER(E68),
EXTRACTNUMBER(G68),EXTRACTNUMBER(I68),
EXTRACTNUMBER(K68),EXTRACTNUMBER(M68),
EXTRACTNUMBER(O68),EXTRACTNUMBER(Q68),
EXTRACTNUMBER(S68),EXTRACTNUMBER(U68),
EXTRACTNUMBER(W68),EXTRACTNUMBER(Y68),EXTRACTNUMBER(AA68),
EXTRACTNUMBER(AC68),EXTRACTNUMBER(AE68)),"*"),IF(AND(COUNTIF(C68:AF68,"=36")&gt;=2,COUNTIF(C68:AF68,"f")=2,COUNTIF(C68:AF68,"")=0,COUNTIF(C68:AF68," ")=0),CONCATENATE(SUM(EXTRACTNUMBER(C68),EXTRACTNUMBER(E68),
EXTRACTNUMBER(G68),EXTRACTNUMBER(I68),
EXTRACTNUMBER(K68),EXTRACTNUMBER(M68),
EXTRACTNUMBER(O68),EXTRACTNUMBER(Q68),
EXTRACTNUMBER(S68),EXTRACTNUMBER(U68),
EXTRACTNUMBER(W68),EXTRACTNUMBER(Y68),EXTRACTNUMBER(AA68),
EXTRACTNUMBER(AC68),EXTRACTNUMBER(AE68)),"*"),SUM(EXTRACTNUMBER(C68),EXTRACTNUMBER(E68),
EXTRACTNUMBER(G68),EXTRACTNUMBER(I68),
EXTRACTNUMBER(K68),EXTRACTNUMBER(M68),
EXTRACTNUMBER(O68),EXTRACTNUMBER(Q68),
EXTRACTNUMBER(S68),EXTRACTNUMBER(U68),
EXTRACTNUMBER(W68),EXTRACTNUMBER(Y68),EXTRACTNUMBER(AA68),
EXTRACTNUMBER(AC68),EXTRACTNUMBER(AE68))))),SUM(EXTRACTNUMBER(C68),EXTRACTNUMBER(E68),
EXTRACTNUMBER(G68),EXTRACTNUMBER(I68),
EXTRACTNUMBER(K68),EXTRACTNUMBER(M68),
EXTRACTNUMBER(O68),EXTRACTNUMBER(Q68),
EXTRACTNUMBER(S68),EXTRACTNUMBER(U68),
EXTRACTNUMBER(W68),EXTRACTNUMBER(Y68),EXTRACTNUMBER(AA68),
EXTRACTNUMBER(AC68),EXTRACTNUMBER(AE68)))</f>
        <v>419</v>
      </c>
      <c r="AH68" s="38" t="str">
        <f t="shared" ca="1" si="31"/>
        <v>FAIL</v>
      </c>
      <c r="AI68" s="28" t="str">
        <f>spellnumber(EXTRACTnUMBER_TOT(AG68))</f>
        <v xml:space="preserve">Four Hundred Nineteen </v>
      </c>
    </row>
    <row r="69" spans="1:35" ht="15" customHeight="1">
      <c r="A69" s="58">
        <v>223269</v>
      </c>
      <c r="B69" s="32" t="s">
        <v>227</v>
      </c>
      <c r="C69" s="60" t="s">
        <v>458</v>
      </c>
      <c r="D69" s="61" t="str">
        <f t="shared" ca="1" si="17"/>
        <v>F</v>
      </c>
      <c r="E69" s="62">
        <v>10</v>
      </c>
      <c r="F69" s="61" t="str">
        <f t="shared" ca="1" si="18"/>
        <v>E</v>
      </c>
      <c r="G69" s="63">
        <v>40</v>
      </c>
      <c r="H69" s="61" t="str">
        <f t="shared" ca="1" si="19"/>
        <v>E</v>
      </c>
      <c r="I69" s="62">
        <v>19</v>
      </c>
      <c r="J69" s="61" t="str">
        <f t="shared" ca="1" si="20"/>
        <v>E</v>
      </c>
      <c r="K69" s="62">
        <v>18</v>
      </c>
      <c r="L69" s="61" t="str">
        <f t="shared" ca="1" si="21"/>
        <v>E</v>
      </c>
      <c r="M69" s="63">
        <v>40</v>
      </c>
      <c r="N69" s="61" t="str">
        <f t="shared" ca="1" si="16"/>
        <v>E</v>
      </c>
      <c r="O69" s="62">
        <v>16</v>
      </c>
      <c r="P69" s="64" t="str">
        <f t="shared" ca="1" si="22"/>
        <v>E</v>
      </c>
      <c r="Q69" s="60">
        <v>40</v>
      </c>
      <c r="R69" s="61" t="str">
        <f t="shared" ca="1" si="23"/>
        <v>E</v>
      </c>
      <c r="S69" s="62">
        <v>14</v>
      </c>
      <c r="T69" s="64" t="str">
        <f t="shared" ca="1" si="24"/>
        <v>E</v>
      </c>
      <c r="U69" s="60">
        <v>22</v>
      </c>
      <c r="V69" s="61" t="str">
        <f t="shared" ca="1" si="25"/>
        <v>F</v>
      </c>
      <c r="W69" s="62">
        <v>20</v>
      </c>
      <c r="X69" s="64" t="str">
        <f t="shared" ca="1" si="26"/>
        <v>E</v>
      </c>
      <c r="Y69" s="62">
        <v>21</v>
      </c>
      <c r="Z69" s="64" t="str">
        <f t="shared" ca="1" si="27"/>
        <v>E</v>
      </c>
      <c r="AA69" s="60">
        <v>15</v>
      </c>
      <c r="AB69" s="61" t="str">
        <f t="shared" ca="1" si="28"/>
        <v>F</v>
      </c>
      <c r="AC69" s="62">
        <v>15</v>
      </c>
      <c r="AD69" s="61" t="str">
        <f t="shared" ca="1" si="29"/>
        <v>E</v>
      </c>
      <c r="AE69" s="62">
        <v>41</v>
      </c>
      <c r="AF69" s="64" t="str">
        <f t="shared" ca="1" si="30"/>
        <v>E</v>
      </c>
      <c r="AG69" s="66">
        <f ca="1">IF(OR(AND(C69&gt;=31,C69&lt;40),AND(G69&gt;=31,G69&lt;40),AND(M69&gt;=31,M69&lt;40),AND(Q69&gt;=31,Q69&lt;40),AND(U69&gt;=31,U69&lt;40),AND(AA69&gt;=11,AA69&lt;20)),IF(AND(OR(COUNTIF(C69:AF69,"=31")&gt;=1,COUNTIF(C69:AF69,"=32")&gt;=1,COUNTIF(C69:AF69,"=33")&gt;=1,COUNTIF(C69:AF69,"=34")&gt;=1,COUNTIF(C69:AF69,"=35")&gt;=1,COUNTIF(C69:AF69,"=36")&gt;=1 ),COUNTIF(C69:AF69,"")=0,COUNTIF(C69:AF69," ")=0,COUNTIF(C69:AF69,"F")=1),CONCATENATE(SUM(EXTRACTNUMBER(C69),EXTRACTNUMBER(E69),
EXTRACTNUMBER(G69),EXTRACTNUMBER(I69),
EXTRACTNUMBER(K69),EXTRACTNUMBER(M69),
EXTRACTNUMBER(O69),EXTRACTNUMBER(Q69),
EXTRACTNUMBER(S69),EXTRACTNUMBER(U69),
EXTRACTNUMBER(W69),EXTRACTNUMBER(Y69),EXTRACTNUMBER(AA69),
EXTRACTNUMBER(AC69),EXTRACTNUMBER(AE69)),"*"),IF(AND(COUNTIF(C69:AF69,"=34")&gt;=1,COUNTIF(C69:AF69,"=35")&gt;=1,COUNTIF(C69:AF69,"f")=2,COUNTIF(C69:AF69,"")=0,COUNTIF(C69:AF69," ")=0),CONCATENATE(SUM(EXTRACTNUMBER(C69),EXTRACTNUMBER(E69),
EXTRACTNUMBER(G69),EXTRACTNUMBER(I69),
EXTRACTNUMBER(K69),EXTRACTNUMBER(M69),
EXTRACTNUMBER(O69),EXTRACTNUMBER(Q69),
EXTRACTNUMBER(S69),EXTRACTNUMBER(U69),
EXTRACTNUMBER(W69),EXTRACTNUMBER(Y69),EXTRACTNUMBER(AA69),
EXTRACTNUMBER(AC69),EXTRACTNUMBER(AE69)),"*"),IF(AND(COUNTIF(C69:AF69,"=36")&gt;=2,COUNTIF(C69:AF69,"f")=2,COUNTIF(C69:AF69,"")=0,COUNTIF(C69:AF69," ")=0),CONCATENATE(SUM(EXTRACTNUMBER(C69),EXTRACTNUMBER(E69),
EXTRACTNUMBER(G69),EXTRACTNUMBER(I69),
EXTRACTNUMBER(K69),EXTRACTNUMBER(M69),
EXTRACTNUMBER(O69),EXTRACTNUMBER(Q69),
EXTRACTNUMBER(S69),EXTRACTNUMBER(U69),
EXTRACTNUMBER(W69),EXTRACTNUMBER(Y69),EXTRACTNUMBER(AA69),
EXTRACTNUMBER(AC69),EXTRACTNUMBER(AE69)),"*"),SUM(EXTRACTNUMBER(C69),EXTRACTNUMBER(E69),
EXTRACTNUMBER(G69),EXTRACTNUMBER(I69),
EXTRACTNUMBER(K69),EXTRACTNUMBER(M69),
EXTRACTNUMBER(O69),EXTRACTNUMBER(Q69),
EXTRACTNUMBER(S69),EXTRACTNUMBER(U69),
EXTRACTNUMBER(W69),EXTRACTNUMBER(Y69),EXTRACTNUMBER(AA69),
EXTRACTNUMBER(AC69),EXTRACTNUMBER(AE69))))),SUM(EXTRACTNUMBER(C69),EXTRACTNUMBER(E69),
EXTRACTNUMBER(G69),EXTRACTNUMBER(I69),
EXTRACTNUMBER(K69),EXTRACTNUMBER(M69),
EXTRACTNUMBER(O69),EXTRACTNUMBER(Q69),
EXTRACTNUMBER(S69),EXTRACTNUMBER(U69),
EXTRACTNUMBER(W69),EXTRACTNUMBER(Y69),EXTRACTNUMBER(AA69),
EXTRACTNUMBER(AC69),EXTRACTNUMBER(AE69)))</f>
        <v>335</v>
      </c>
      <c r="AH69" s="38" t="str">
        <f t="shared" ca="1" si="31"/>
        <v>FAIL</v>
      </c>
      <c r="AI69" s="28" t="e">
        <f ca="1">spellnumber(EXTRACTnUMBER_TOT(AG69))</f>
        <v>#NAME?</v>
      </c>
    </row>
    <row r="70" spans="1:35" ht="15" customHeight="1">
      <c r="A70" s="58">
        <v>223270</v>
      </c>
      <c r="B70" s="32" t="s">
        <v>228</v>
      </c>
      <c r="C70" s="60">
        <v>40</v>
      </c>
      <c r="D70" s="61" t="str">
        <f t="shared" ca="1" si="17"/>
        <v>E</v>
      </c>
      <c r="E70" s="62">
        <v>22</v>
      </c>
      <c r="F70" s="61" t="str">
        <f t="shared" ca="1" si="18"/>
        <v>E</v>
      </c>
      <c r="G70" s="63">
        <v>61</v>
      </c>
      <c r="H70" s="61" t="str">
        <f t="shared" ca="1" si="19"/>
        <v>E</v>
      </c>
      <c r="I70" s="62">
        <v>18</v>
      </c>
      <c r="J70" s="61" t="str">
        <f t="shared" ca="1" si="20"/>
        <v>E</v>
      </c>
      <c r="K70" s="62">
        <v>19</v>
      </c>
      <c r="L70" s="61" t="str">
        <f t="shared" ca="1" si="21"/>
        <v>E</v>
      </c>
      <c r="M70" s="63">
        <v>50</v>
      </c>
      <c r="N70" s="61" t="str">
        <f t="shared" ca="1" si="16"/>
        <v>E</v>
      </c>
      <c r="O70" s="62">
        <v>23</v>
      </c>
      <c r="P70" s="64" t="str">
        <f t="shared" ca="1" si="22"/>
        <v>E</v>
      </c>
      <c r="Q70" s="60">
        <v>54</v>
      </c>
      <c r="R70" s="61" t="str">
        <f t="shared" ca="1" si="23"/>
        <v>E</v>
      </c>
      <c r="S70" s="62">
        <v>23</v>
      </c>
      <c r="T70" s="64" t="str">
        <f t="shared" ca="1" si="24"/>
        <v>E</v>
      </c>
      <c r="U70" s="60">
        <v>45</v>
      </c>
      <c r="V70" s="61" t="str">
        <f t="shared" ca="1" si="25"/>
        <v>E</v>
      </c>
      <c r="W70" s="62">
        <v>24</v>
      </c>
      <c r="X70" s="64" t="str">
        <f t="shared" ca="1" si="26"/>
        <v>E</v>
      </c>
      <c r="Y70" s="62">
        <v>24</v>
      </c>
      <c r="Z70" s="64" t="str">
        <f t="shared" ca="1" si="27"/>
        <v>E</v>
      </c>
      <c r="AA70" s="60">
        <v>14</v>
      </c>
      <c r="AB70" s="61" t="str">
        <f t="shared" ca="1" si="28"/>
        <v>F</v>
      </c>
      <c r="AC70" s="62">
        <v>21</v>
      </c>
      <c r="AD70" s="61" t="str">
        <f t="shared" ca="1" si="29"/>
        <v>E</v>
      </c>
      <c r="AE70" s="62">
        <v>46</v>
      </c>
      <c r="AF70" s="64" t="str">
        <f t="shared" ca="1" si="30"/>
        <v>E</v>
      </c>
      <c r="AG70" s="66">
        <f ca="1">IF(OR(AND(C70&gt;=31,C70&lt;40),AND(G70&gt;=31,G70&lt;40),AND(M70&gt;=31,M70&lt;40),AND(Q70&gt;=31,Q70&lt;40),AND(U70&gt;=31,U70&lt;40),AND(AA70&gt;=11,AA70&lt;20)),IF(AND(OR(COUNTIF(C70:AF70,"=31")&gt;=1,COUNTIF(C70:AF70,"=32")&gt;=1,COUNTIF(C70:AF70,"=33")&gt;=1,COUNTIF(C70:AF70,"=34")&gt;=1,COUNTIF(C70:AF70,"=35")&gt;=1,COUNTIF(C70:AF70,"=36")&gt;=1 ),COUNTIF(C70:AF70,"")=0,COUNTIF(C70:AF70," ")=0,COUNTIF(C70:AF70,"F")=1),CONCATENATE(SUM(EXTRACTNUMBER(C70),EXTRACTNUMBER(E70),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EXTRACTNUMBER(AC70),EXTRACTNUMBER(AE70)),"*"),IF(AND(COUNTIF(C70:AF70,"=34")&gt;=1,COUNTIF(C70:AF70,"=35")&gt;=1,COUNTIF(C70:AF70,"f")=2,COUNTIF(C70:AF70,"")=0,COUNTIF(C70:AF70," ")=0),CONCATENATE(SUM(EXTRACTNUMBER(C70),EXTRACTNUMBER(E70),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EXTRACTNUMBER(AC70),EXTRACTNUMBER(AE70)),"*"),IF(AND(COUNTIF(C70:AF70,"=36")&gt;=2,COUNTIF(C70:AF70,"f")=2,COUNTIF(C70:AF70,"")=0,COUNTIF(C70:AF70," ")=0),CONCATENATE(SUM(EXTRACTNUMBER(C70),EXTRACTNUMBER(E70),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EXTRACTNUMBER(AC70),EXTRACTNUMBER(AE70)),"*"),SUM(EXTRACTNUMBER(C70),EXTRACTNUMBER(E70),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EXTRACTNUMBER(AC70),EXTRACTNUMBER(AE70))))),SUM(EXTRACTNUMBER(C70),EXTRACTNUMBER(E70),
EXTRACTNUMBER(G70),EXTRACTNUMBER(I70),
EXTRACTNUMBER(K70),EXTRACTNUMBER(M70),
EXTRACTNUMBER(O70),EXTRACTNUMBER(Q70),
EXTRACTNUMBER(S70),EXTRACTNUMBER(U70),
EXTRACTNUMBER(W70),EXTRACTNUMBER(Y70),EXTRACTNUMBER(AA70),
EXTRACTNUMBER(AC70),EXTRACTNUMBER(AE70)))</f>
        <v>484</v>
      </c>
      <c r="AH70" s="38" t="str">
        <f t="shared" ca="1" si="31"/>
        <v>FAIL</v>
      </c>
      <c r="AI70" s="28" t="e">
        <f ca="1">spellnumber(EXTRACTnUMBER_TOT(AG70))</f>
        <v>#NAME?</v>
      </c>
    </row>
    <row r="71" spans="1:35" ht="15" customHeight="1">
      <c r="A71" s="58">
        <v>223271</v>
      </c>
      <c r="B71" s="32" t="s">
        <v>229</v>
      </c>
      <c r="C71" s="60">
        <v>10</v>
      </c>
      <c r="D71" s="61" t="str">
        <f t="shared" ca="1" si="17"/>
        <v>F</v>
      </c>
      <c r="E71" s="62">
        <v>11</v>
      </c>
      <c r="F71" s="61" t="str">
        <f t="shared" ca="1" si="18"/>
        <v>E</v>
      </c>
      <c r="G71" s="63">
        <v>44</v>
      </c>
      <c r="H71" s="61" t="str">
        <f t="shared" ca="1" si="19"/>
        <v>E</v>
      </c>
      <c r="I71" s="62">
        <v>19</v>
      </c>
      <c r="J71" s="61" t="str">
        <f t="shared" ca="1" si="20"/>
        <v>E</v>
      </c>
      <c r="K71" s="62">
        <v>19</v>
      </c>
      <c r="L71" s="61" t="str">
        <f t="shared" ca="1" si="21"/>
        <v>E</v>
      </c>
      <c r="M71" s="63">
        <v>48</v>
      </c>
      <c r="N71" s="61" t="str">
        <f t="shared" ca="1" si="16"/>
        <v>E</v>
      </c>
      <c r="O71" s="62">
        <v>17</v>
      </c>
      <c r="P71" s="64" t="str">
        <f t="shared" ca="1" si="22"/>
        <v>E</v>
      </c>
      <c r="Q71" s="60">
        <v>40</v>
      </c>
      <c r="R71" s="61" t="str">
        <f t="shared" ca="1" si="23"/>
        <v>E</v>
      </c>
      <c r="S71" s="62">
        <v>20</v>
      </c>
      <c r="T71" s="64" t="str">
        <f t="shared" ca="1" si="24"/>
        <v>E</v>
      </c>
      <c r="U71" s="60">
        <v>40</v>
      </c>
      <c r="V71" s="61" t="str">
        <f t="shared" ca="1" si="25"/>
        <v>E</v>
      </c>
      <c r="W71" s="62">
        <v>19</v>
      </c>
      <c r="X71" s="64" t="str">
        <f t="shared" ca="1" si="26"/>
        <v>E</v>
      </c>
      <c r="Y71" s="62">
        <v>20</v>
      </c>
      <c r="Z71" s="64" t="str">
        <f t="shared" ca="1" si="27"/>
        <v>E</v>
      </c>
      <c r="AA71" s="60">
        <v>48</v>
      </c>
      <c r="AB71" s="61" t="str">
        <f t="shared" ca="1" si="28"/>
        <v>E</v>
      </c>
      <c r="AC71" s="62">
        <v>24</v>
      </c>
      <c r="AD71" s="61" t="str">
        <f t="shared" ca="1" si="29"/>
        <v>E</v>
      </c>
      <c r="AE71" s="62">
        <v>41</v>
      </c>
      <c r="AF71" s="64" t="str">
        <f t="shared" ca="1" si="30"/>
        <v>E</v>
      </c>
      <c r="AG71" s="66">
        <f>IF(OR(AND(C71&gt;=31,C71&lt;40),AND(G71&gt;=31,G71&lt;40),AND(M71&gt;=31,M71&lt;40),AND(Q71&gt;=31,Q71&lt;40),AND(U71&gt;=31,U71&lt;40),AND(AA71&gt;=11,AA71&lt;20)),IF(AND(OR(COUNTIF(C71:AF71,"=31")&gt;=1,COUNTIF(C71:AF71,"=32")&gt;=1,COUNTIF(C71:AF71,"=33")&gt;=1,COUNTIF(C71:AF71,"=34")&gt;=1,COUNTIF(C71:AF71,"=35")&gt;=1,COUNTIF(C71:AF71,"=36")&gt;=1 ),COUNTIF(C71:AF71,"")=0,COUNTIF(C71:AF71," ")=0,COUNTIF(C71:AF71,"F")=1),CONCATENATE(SUM(EXTRACTNUMBER(C71),EXTRACTNUMBER(E71),
EXTRACTNUMBER(G71),EXTRACTNUMBER(I71),
EXTRACTNUMBER(K71),EXTRACTNUMBER(M71),
EXTRACTNUMBER(O71),EXTRACTNUMBER(Q71),
EXTRACTNUMBER(S71),EXTRACTNUMBER(U71),
EXTRACTNUMBER(W71),EXTRACTNUMBER(Y71),EXTRACTNUMBER(AA71),
EXTRACTNUMBER(AC71),EXTRACTNUMBER(AE71)),"*"),IF(AND(COUNTIF(C71:AF71,"=34")&gt;=1,COUNTIF(C71:AF71,"=35")&gt;=1,COUNTIF(C71:AF71,"f")=2,COUNTIF(C71:AF71,"")=0,COUNTIF(C71:AF71," ")=0),CONCATENATE(SUM(EXTRACTNUMBER(C71),EXTRACTNUMBER(E71),
EXTRACTNUMBER(G71),EXTRACTNUMBER(I71),
EXTRACTNUMBER(K71),EXTRACTNUMBER(M71),
EXTRACTNUMBER(O71),EXTRACTNUMBER(Q71),
EXTRACTNUMBER(S71),EXTRACTNUMBER(U71),
EXTRACTNUMBER(W71),EXTRACTNUMBER(Y71),EXTRACTNUMBER(AA71),
EXTRACTNUMBER(AC71),EXTRACTNUMBER(AE71)),"*"),IF(AND(COUNTIF(C71:AF71,"=36")&gt;=2,COUNTIF(C71:AF71,"f")=2,COUNTIF(C71:AF71,"")=0,COUNTIF(C71:AF71," ")=0),CONCATENATE(SUM(EXTRACTNUMBER(C71),EXTRACTNUMBER(E71),
EXTRACTNUMBER(G71),EXTRACTNUMBER(I71),
EXTRACTNUMBER(K71),EXTRACTNUMBER(M71),
EXTRACTNUMBER(O71),EXTRACTNUMBER(Q71),
EXTRACTNUMBER(S71),EXTRACTNUMBER(U71),
EXTRACTNUMBER(W71),EXTRACTNUMBER(Y71),EXTRACTNUMBER(AA71),
EXTRACTNUMBER(AC71),EXTRACTNUMBER(AE71)),"*"),SUM(EXTRACTNUMBER(C71),EXTRACTNUMBER(E71),
EXTRACTNUMBER(G71),EXTRACTNUMBER(I71),
EXTRACTNUMBER(K71),EXTRACTNUMBER(M71),
EXTRACTNUMBER(O71),EXTRACTNUMBER(Q71),
EXTRACTNUMBER(S71),EXTRACTNUMBER(U71),
EXTRACTNUMBER(W71),EXTRACTNUMBER(Y71),EXTRACTNUMBER(AA71),
EXTRACTNUMBER(AC71),EXTRACTNUMBER(AE71))))),SUM(EXTRACTNUMBER(C71),EXTRACTNUMBER(E71),
EXTRACTNUMBER(G71),EXTRACTNUMBER(I71),
EXTRACTNUMBER(K71),EXTRACTNUMBER(M71),
EXTRACTNUMBER(O71),EXTRACTNUMBER(Q71),
EXTRACTNUMBER(S71),EXTRACTNUMBER(U71),
EXTRACTNUMBER(W71),EXTRACTNUMBER(Y71),EXTRACTNUMBER(AA71),
EXTRACTNUMBER(AC71),EXTRACTNUMBER(AE71)))</f>
        <v>420</v>
      </c>
      <c r="AH71" s="38" t="str">
        <f t="shared" ca="1" si="31"/>
        <v>FAIL</v>
      </c>
      <c r="AI71" s="28" t="str">
        <f>spellnumber(EXTRACTnUMBER_TOT(AG71))</f>
        <v xml:space="preserve">Four Hundred Twenty  </v>
      </c>
    </row>
    <row r="72" spans="1:35" ht="15" customHeight="1">
      <c r="A72" s="58">
        <v>223272</v>
      </c>
      <c r="B72" s="32" t="s">
        <v>230</v>
      </c>
      <c r="C72" s="60">
        <v>13</v>
      </c>
      <c r="D72" s="61" t="str">
        <f t="shared" ca="1" si="17"/>
        <v>F</v>
      </c>
      <c r="E72" s="62">
        <v>13</v>
      </c>
      <c r="F72" s="61" t="str">
        <f t="shared" ca="1" si="18"/>
        <v>E</v>
      </c>
      <c r="G72" s="63">
        <v>40</v>
      </c>
      <c r="H72" s="61" t="str">
        <f t="shared" ca="1" si="19"/>
        <v>E</v>
      </c>
      <c r="I72" s="62">
        <v>19</v>
      </c>
      <c r="J72" s="61" t="str">
        <f t="shared" ca="1" si="20"/>
        <v>E</v>
      </c>
      <c r="K72" s="62">
        <v>18</v>
      </c>
      <c r="L72" s="61" t="str">
        <f t="shared" ca="1" si="21"/>
        <v>E</v>
      </c>
      <c r="M72" s="63">
        <v>47</v>
      </c>
      <c r="N72" s="61" t="str">
        <f t="shared" ca="1" si="16"/>
        <v>E</v>
      </c>
      <c r="O72" s="62">
        <v>17</v>
      </c>
      <c r="P72" s="64" t="str">
        <f t="shared" ca="1" si="22"/>
        <v>E</v>
      </c>
      <c r="Q72" s="60">
        <v>44</v>
      </c>
      <c r="R72" s="61" t="str">
        <f t="shared" ca="1" si="23"/>
        <v>E</v>
      </c>
      <c r="S72" s="62">
        <v>19</v>
      </c>
      <c r="T72" s="64" t="str">
        <f t="shared" ca="1" si="24"/>
        <v>E</v>
      </c>
      <c r="U72" s="60">
        <v>40</v>
      </c>
      <c r="V72" s="61" t="str">
        <f t="shared" ca="1" si="25"/>
        <v>E</v>
      </c>
      <c r="W72" s="62">
        <v>15</v>
      </c>
      <c r="X72" s="64" t="str">
        <f t="shared" ca="1" si="26"/>
        <v>E</v>
      </c>
      <c r="Y72" s="62">
        <v>16</v>
      </c>
      <c r="Z72" s="64" t="str">
        <f t="shared" ca="1" si="27"/>
        <v>E</v>
      </c>
      <c r="AA72" s="60">
        <v>41</v>
      </c>
      <c r="AB72" s="61" t="str">
        <f t="shared" ca="1" si="28"/>
        <v>E</v>
      </c>
      <c r="AC72" s="62">
        <v>14</v>
      </c>
      <c r="AD72" s="61" t="str">
        <f t="shared" ca="1" si="29"/>
        <v>E</v>
      </c>
      <c r="AE72" s="62">
        <v>37</v>
      </c>
      <c r="AF72" s="64" t="str">
        <f t="shared" ca="1" si="30"/>
        <v>E</v>
      </c>
      <c r="AG72" s="66">
        <f>IF(OR(AND(C72&gt;=31,C72&lt;40),AND(G72&gt;=31,G72&lt;40),AND(M72&gt;=31,M72&lt;40),AND(Q72&gt;=31,Q72&lt;40),AND(U72&gt;=31,U72&lt;40),AND(AA72&gt;=11,AA72&lt;20)),IF(AND(OR(COUNTIF(C72:AF72,"=31")&gt;=1,COUNTIF(C72:AF72,"=32")&gt;=1,COUNTIF(C72:AF72,"=33")&gt;=1,COUNTIF(C72:AF72,"=34")&gt;=1,COUNTIF(C72:AF72,"=35")&gt;=1,COUNTIF(C72:AF72,"=36")&gt;=1 ),COUNTIF(C72:AF72,"")=0,COUNTIF(C72:AF72," ")=0,COUNTIF(C72:AF72,"F")=1),CONCATENATE(SUM(EXTRACTNUMBER(C72),EXTRACTNUMBER(E72),
EXTRACTNUMBER(G72),EXTRACTNUMBER(I72),
EXTRACTNUMBER(K72),EXTRACTNUMBER(M72),
EXTRACTNUMBER(O72),EXTRACTNUMBER(Q72),
EXTRACTNUMBER(S72),EXTRACTNUMBER(U72),
EXTRACTNUMBER(W72),EXTRACTNUMBER(Y72),EXTRACTNUMBER(AA72),
EXTRACTNUMBER(AC72),EXTRACTNUMBER(AE72)),"*"),IF(AND(COUNTIF(C72:AF72,"=34")&gt;=1,COUNTIF(C72:AF72,"=35")&gt;=1,COUNTIF(C72:AF72,"f")=2,COUNTIF(C72:AF72,"")=0,COUNTIF(C72:AF72," ")=0),CONCATENATE(SUM(EXTRACTNUMBER(C72),EXTRACTNUMBER(E72),
EXTRACTNUMBER(G72),EXTRACTNUMBER(I72),
EXTRACTNUMBER(K72),EXTRACTNUMBER(M72),
EXTRACTNUMBER(O72),EXTRACTNUMBER(Q72),
EXTRACTNUMBER(S72),EXTRACTNUMBER(U72),
EXTRACTNUMBER(W72),EXTRACTNUMBER(Y72),EXTRACTNUMBER(AA72),
EXTRACTNUMBER(AC72),EXTRACTNUMBER(AE72)),"*"),IF(AND(COUNTIF(C72:AF72,"=36")&gt;=2,COUNTIF(C72:AF72,"f")=2,COUNTIF(C72:AF72,"")=0,COUNTIF(C72:AF72," ")=0),CONCATENATE(SUM(EXTRACTNUMBER(C72),EXTRACTNUMBER(E72),
EXTRACTNUMBER(G72),EXTRACTNUMBER(I72),
EXTRACTNUMBER(K72),EXTRACTNUMBER(M72),
EXTRACTNUMBER(O72),EXTRACTNUMBER(Q72),
EXTRACTNUMBER(S72),EXTRACTNUMBER(U72),
EXTRACTNUMBER(W72),EXTRACTNUMBER(Y72),EXTRACTNUMBER(AA72),
EXTRACTNUMBER(AC72),EXTRACTNUMBER(AE72)),"*"),SUM(EXTRACTNUMBER(C72),EXTRACTNUMBER(E72),
EXTRACTNUMBER(G72),EXTRACTNUMBER(I72),
EXTRACTNUMBER(K72),EXTRACTNUMBER(M72),
EXTRACTNUMBER(O72),EXTRACTNUMBER(Q72),
EXTRACTNUMBER(S72),EXTRACTNUMBER(U72),
EXTRACTNUMBER(W72),EXTRACTNUMBER(Y72),EXTRACTNUMBER(AA72),
EXTRACTNUMBER(AC72),EXTRACTNUMBER(AE72))))),SUM(EXTRACTNUMBER(C72),EXTRACTNUMBER(E72),
EXTRACTNUMBER(G72),EXTRACTNUMBER(I72),
EXTRACTNUMBER(K72),EXTRACTNUMBER(M72),
EXTRACTNUMBER(O72),EXTRACTNUMBER(Q72),
EXTRACTNUMBER(S72),EXTRACTNUMBER(U72),
EXTRACTNUMBER(W72),EXTRACTNUMBER(Y72),EXTRACTNUMBER(AA72),
EXTRACTNUMBER(AC72),EXTRACTNUMBER(AE72)))</f>
        <v>393</v>
      </c>
      <c r="AH72" s="38" t="str">
        <f t="shared" ca="1" si="31"/>
        <v>FAIL</v>
      </c>
      <c r="AI72" s="28" t="str">
        <f>spellnumber(EXTRACTnUMBER_TOT(AG72))</f>
        <v xml:space="preserve">Three Hundred NinetyThree </v>
      </c>
    </row>
    <row r="73" spans="1:35" ht="15" customHeight="1">
      <c r="A73" s="58">
        <v>223273</v>
      </c>
      <c r="B73" s="32" t="s">
        <v>231</v>
      </c>
      <c r="C73" s="60">
        <v>40</v>
      </c>
      <c r="D73" s="61" t="str">
        <f t="shared" ca="1" si="17"/>
        <v/>
      </c>
      <c r="E73" s="62">
        <v>18</v>
      </c>
      <c r="F73" s="61" t="str">
        <f t="shared" ca="1" si="18"/>
        <v/>
      </c>
      <c r="G73" s="63">
        <v>62</v>
      </c>
      <c r="H73" s="61" t="str">
        <f t="shared" ca="1" si="19"/>
        <v/>
      </c>
      <c r="I73" s="62">
        <v>19</v>
      </c>
      <c r="J73" s="61" t="str">
        <f t="shared" ca="1" si="20"/>
        <v/>
      </c>
      <c r="K73" s="62">
        <v>20</v>
      </c>
      <c r="L73" s="61" t="str">
        <f t="shared" ca="1" si="21"/>
        <v/>
      </c>
      <c r="M73" s="63">
        <v>69</v>
      </c>
      <c r="N73" s="61" t="str">
        <f t="shared" ca="1" si="16"/>
        <v/>
      </c>
      <c r="O73" s="62">
        <v>22</v>
      </c>
      <c r="P73" s="64" t="str">
        <f t="shared" ca="1" si="22"/>
        <v/>
      </c>
      <c r="Q73" s="60">
        <v>52</v>
      </c>
      <c r="R73" s="61" t="str">
        <f t="shared" ca="1" si="23"/>
        <v/>
      </c>
      <c r="S73" s="62">
        <v>21</v>
      </c>
      <c r="T73" s="64" t="str">
        <f t="shared" ca="1" si="24"/>
        <v/>
      </c>
      <c r="U73" s="60">
        <v>53</v>
      </c>
      <c r="V73" s="61" t="str">
        <f t="shared" ca="1" si="25"/>
        <v/>
      </c>
      <c r="W73" s="62">
        <v>18</v>
      </c>
      <c r="X73" s="64" t="str">
        <f t="shared" ca="1" si="26"/>
        <v/>
      </c>
      <c r="Y73" s="62">
        <v>18</v>
      </c>
      <c r="Z73" s="64" t="str">
        <f t="shared" ca="1" si="27"/>
        <v/>
      </c>
      <c r="AA73" s="60">
        <v>51</v>
      </c>
      <c r="AB73" s="61" t="str">
        <f t="shared" ca="1" si="28"/>
        <v/>
      </c>
      <c r="AC73" s="62">
        <v>24</v>
      </c>
      <c r="AD73" s="61" t="str">
        <f t="shared" ca="1" si="29"/>
        <v/>
      </c>
      <c r="AE73" s="62">
        <v>41</v>
      </c>
      <c r="AF73" s="64" t="str">
        <f t="shared" ca="1" si="30"/>
        <v/>
      </c>
      <c r="AG73" s="66">
        <f>IF(OR(AND(C73&gt;=31,C73&lt;40),AND(G73&gt;=31,G73&lt;40),AND(M73&gt;=31,M73&lt;40),AND(Q73&gt;=31,Q73&lt;40),AND(U73&gt;=31,U73&lt;40),AND(AA73&gt;=11,AA73&lt;20)),IF(AND(OR(COUNTIF(C73:AF73,"=31")&gt;=1,COUNTIF(C73:AF73,"=32")&gt;=1,COUNTIF(C73:AF73,"=33")&gt;=1,COUNTIF(C73:AF73,"=34")&gt;=1,COUNTIF(C73:AF73,"=35")&gt;=1,COUNTIF(C73:AF73,"=36")&gt;=1 ),COUNTIF(C73:AF73,"")=0,COUNTIF(C73:AF73," ")=0,COUNTIF(C73:AF73,"F")=1),CONCATENATE(SUM(EXTRACTNUMBER(C73),EXTRACTNUMBER(E73),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EXTRACTNUMBER(AC73),EXTRACTNUMBER(AE73)),"*"),IF(AND(COUNTIF(C73:AF73,"=34")&gt;=1,COUNTIF(C73:AF73,"=35")&gt;=1,COUNTIF(C73:AF73,"f")=2,COUNTIF(C73:AF73,"")=0,COUNTIF(C73:AF73," ")=0),CONCATENATE(SUM(EXTRACTNUMBER(C73),EXTRACTNUMBER(E73),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EXTRACTNUMBER(AC73),EXTRACTNUMBER(AE73)),"*"),IF(AND(COUNTIF(C73:AF73,"=36")&gt;=2,COUNTIF(C73:AF73,"f")=2,COUNTIF(C73:AF73,"")=0,COUNTIF(C73:AF73," ")=0),CONCATENATE(SUM(EXTRACTNUMBER(C73),EXTRACTNUMBER(E73),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EXTRACTNUMBER(AC73),EXTRACTNUMBER(AE73)),"*"),SUM(EXTRACTNUMBER(C73),EXTRACTNUMBER(E73),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EXTRACTNUMBER(AC73),EXTRACTNUMBER(AE73))))),SUM(EXTRACTNUMBER(C73),EXTRACTNUMBER(E73),
EXTRACTNUMBER(G73),EXTRACTNUMBER(I73),
EXTRACTNUMBER(K73),EXTRACTNUMBER(M73),
EXTRACTNUMBER(O73),EXTRACTNUMBER(Q73),
EXTRACTNUMBER(S73),EXTRACTNUMBER(U73),
EXTRACTNUMBER(W73),EXTRACTNUMBER(Y73),EXTRACTNUMBER(AA73),
EXTRACTNUMBER(AC73),EXTRACTNUMBER(AE73)))</f>
        <v>528</v>
      </c>
      <c r="AH73" s="38" t="str">
        <f t="shared" ca="1" si="31"/>
        <v>PASS</v>
      </c>
      <c r="AI73" s="28" t="str">
        <f>spellnumber(EXTRACTnUMBER_TOT(AG73))</f>
        <v xml:space="preserve">Five Hundred Twenty Eight </v>
      </c>
    </row>
    <row r="74" spans="1:35" ht="15" customHeight="1">
      <c r="A74" s="58">
        <v>223274</v>
      </c>
      <c r="B74" s="32" t="s">
        <v>232</v>
      </c>
      <c r="C74" s="60">
        <v>40</v>
      </c>
      <c r="D74" s="61" t="str">
        <f t="shared" ca="1" si="17"/>
        <v/>
      </c>
      <c r="E74" s="62">
        <v>16</v>
      </c>
      <c r="F74" s="61" t="str">
        <f t="shared" ca="1" si="18"/>
        <v/>
      </c>
      <c r="G74" s="63">
        <v>62</v>
      </c>
      <c r="H74" s="61" t="str">
        <f t="shared" ca="1" si="19"/>
        <v/>
      </c>
      <c r="I74" s="62">
        <v>21</v>
      </c>
      <c r="J74" s="61" t="str">
        <f t="shared" ca="1" si="20"/>
        <v/>
      </c>
      <c r="K74" s="62">
        <v>24</v>
      </c>
      <c r="L74" s="61" t="str">
        <f t="shared" ca="1" si="21"/>
        <v/>
      </c>
      <c r="M74" s="63">
        <v>65</v>
      </c>
      <c r="N74" s="61" t="str">
        <f t="shared" ca="1" si="16"/>
        <v/>
      </c>
      <c r="O74" s="62">
        <v>19</v>
      </c>
      <c r="P74" s="64" t="str">
        <f t="shared" ca="1" si="22"/>
        <v/>
      </c>
      <c r="Q74" s="60">
        <v>59</v>
      </c>
      <c r="R74" s="61" t="str">
        <f t="shared" ca="1" si="23"/>
        <v/>
      </c>
      <c r="S74" s="62">
        <v>20</v>
      </c>
      <c r="T74" s="64" t="str">
        <f t="shared" ca="1" si="24"/>
        <v/>
      </c>
      <c r="U74" s="60">
        <v>52</v>
      </c>
      <c r="V74" s="61" t="str">
        <f t="shared" ca="1" si="25"/>
        <v/>
      </c>
      <c r="W74" s="62">
        <v>19</v>
      </c>
      <c r="X74" s="64" t="str">
        <f t="shared" ca="1" si="26"/>
        <v/>
      </c>
      <c r="Y74" s="62">
        <v>18</v>
      </c>
      <c r="Z74" s="64" t="str">
        <f t="shared" ca="1" si="27"/>
        <v/>
      </c>
      <c r="AA74" s="60">
        <v>54</v>
      </c>
      <c r="AB74" s="61" t="str">
        <f t="shared" ca="1" si="28"/>
        <v/>
      </c>
      <c r="AC74" s="62">
        <v>18</v>
      </c>
      <c r="AD74" s="61" t="str">
        <f t="shared" ca="1" si="29"/>
        <v/>
      </c>
      <c r="AE74" s="62">
        <v>38</v>
      </c>
      <c r="AF74" s="64" t="str">
        <f t="shared" ca="1" si="30"/>
        <v/>
      </c>
      <c r="AG74" s="66">
        <f>IF(OR(AND(C74&gt;=31,C74&lt;40),AND(G74&gt;=31,G74&lt;40),AND(M74&gt;=31,M74&lt;40),AND(Q74&gt;=31,Q74&lt;40),AND(U74&gt;=31,U74&lt;40),AND(AA74&gt;=11,AA74&lt;20)),IF(AND(OR(COUNTIF(C74:AF74,"=31")&gt;=1,COUNTIF(C74:AF74,"=32")&gt;=1,COUNTIF(C74:AF74,"=33")&gt;=1,COUNTIF(C74:AF74,"=34")&gt;=1,COUNTIF(C74:AF74,"=35")&gt;=1,COUNTIF(C74:AF74,"=36")&gt;=1 ),COUNTIF(C74:AF74,"")=0,COUNTIF(C74:AF74," ")=0,COUNTIF(C74:AF74,"F")=1),CONCATENATE(SUM(EXTRACTNUMBER(C74),EXTRACTNUMBER(E74),
EXTRACTNUMBER(G74),EXTRACTNUMBER(I74),
EXTRACTNUMBER(K74),EXTRACTNUMBER(M74),
EXTRACTNUMBER(O74),EXTRACTNUMBER(Q74),
EXTRACTNUMBER(S74),EXTRACTNUMBER(U74),
EXTRACTNUMBER(W74),EXTRACTNUMBER(Y74),EXTRACTNUMBER(AA74),
EXTRACTNUMBER(AC74),EXTRACTNUMBER(AE74)),"*"),IF(AND(COUNTIF(C74:AF74,"=34")&gt;=1,COUNTIF(C74:AF74,"=35")&gt;=1,COUNTIF(C74:AF74,"f")=2,COUNTIF(C74:AF74,"")=0,COUNTIF(C74:AF74," ")=0),CONCATENATE(SUM(EXTRACTNUMBER(C74),EXTRACTNUMBER(E74),
EXTRACTNUMBER(G74),EXTRACTNUMBER(I74),
EXTRACTNUMBER(K74),EXTRACTNUMBER(M74),
EXTRACTNUMBER(O74),EXTRACTNUMBER(Q74),
EXTRACTNUMBER(S74),EXTRACTNUMBER(U74),
EXTRACTNUMBER(W74),EXTRACTNUMBER(Y74),EXTRACTNUMBER(AA74),
EXTRACTNUMBER(AC74),EXTRACTNUMBER(AE74)),"*"),IF(AND(COUNTIF(C74:AF74,"=36")&gt;=2,COUNTIF(C74:AF74,"f")=2,COUNTIF(C74:AF74,"")=0,COUNTIF(C74:AF74," ")=0),CONCATENATE(SUM(EXTRACTNUMBER(C74),EXTRACTNUMBER(E74),
EXTRACTNUMBER(G74),EXTRACTNUMBER(I74),
EXTRACTNUMBER(K74),EXTRACTNUMBER(M74),
EXTRACTNUMBER(O74),EXTRACTNUMBER(Q74),
EXTRACTNUMBER(S74),EXTRACTNUMBER(U74),
EXTRACTNUMBER(W74),EXTRACTNUMBER(Y74),EXTRACTNUMBER(AA74),
EXTRACTNUMBER(AC74),EXTRACTNUMBER(AE74)),"*"),SUM(EXTRACTNUMBER(C74),EXTRACTNUMBER(E74),
EXTRACTNUMBER(G74),EXTRACTNUMBER(I74),
EXTRACTNUMBER(K74),EXTRACTNUMBER(M74),
EXTRACTNUMBER(O74),EXTRACTNUMBER(Q74),
EXTRACTNUMBER(S74),EXTRACTNUMBER(U74),
EXTRACTNUMBER(W74),EXTRACTNUMBER(Y74),EXTRACTNUMBER(AA74),
EXTRACTNUMBER(AC74),EXTRACTNUMBER(AE74))))),SUM(EXTRACTNUMBER(C74),EXTRACTNUMBER(E74),
EXTRACTNUMBER(G74),EXTRACTNUMBER(I74),
EXTRACTNUMBER(K74),EXTRACTNUMBER(M74),
EXTRACTNUMBER(O74),EXTRACTNUMBER(Q74),
EXTRACTNUMBER(S74),EXTRACTNUMBER(U74),
EXTRACTNUMBER(W74),EXTRACTNUMBER(Y74),EXTRACTNUMBER(AA74),
EXTRACTNUMBER(AC74),EXTRACTNUMBER(AE74)))</f>
        <v>525</v>
      </c>
      <c r="AH74" s="38" t="str">
        <f t="shared" ca="1" si="31"/>
        <v>PASS</v>
      </c>
      <c r="AI74" s="28" t="str">
        <f>spellnumber(EXTRACTnUMBER_TOT(AG74))</f>
        <v xml:space="preserve">Five Hundred Twenty Five </v>
      </c>
    </row>
    <row r="75" spans="1:35" ht="15" customHeight="1">
      <c r="A75" s="58">
        <v>223275</v>
      </c>
      <c r="B75" s="32" t="s">
        <v>233</v>
      </c>
      <c r="C75" s="60">
        <v>16</v>
      </c>
      <c r="D75" s="61" t="str">
        <f t="shared" ca="1" si="17"/>
        <v>F</v>
      </c>
      <c r="E75" s="62">
        <v>15</v>
      </c>
      <c r="F75" s="61" t="str">
        <f t="shared" ca="1" si="18"/>
        <v>E</v>
      </c>
      <c r="G75" s="63">
        <v>52</v>
      </c>
      <c r="H75" s="61" t="str">
        <f t="shared" ca="1" si="19"/>
        <v>E</v>
      </c>
      <c r="I75" s="62">
        <v>20</v>
      </c>
      <c r="J75" s="61" t="str">
        <f t="shared" ca="1" si="20"/>
        <v>E</v>
      </c>
      <c r="K75" s="62">
        <v>18</v>
      </c>
      <c r="L75" s="61" t="str">
        <f t="shared" ca="1" si="21"/>
        <v>E</v>
      </c>
      <c r="M75" s="63">
        <v>28</v>
      </c>
      <c r="N75" s="61" t="str">
        <f t="shared" ca="1" si="16"/>
        <v>F</v>
      </c>
      <c r="O75" s="62">
        <v>17</v>
      </c>
      <c r="P75" s="64" t="str">
        <f t="shared" ca="1" si="22"/>
        <v>E</v>
      </c>
      <c r="Q75" s="60">
        <v>41</v>
      </c>
      <c r="R75" s="61" t="str">
        <f t="shared" ca="1" si="23"/>
        <v>E</v>
      </c>
      <c r="S75" s="62">
        <v>20</v>
      </c>
      <c r="T75" s="64" t="str">
        <f t="shared" ca="1" si="24"/>
        <v>E</v>
      </c>
      <c r="U75" s="60">
        <v>17</v>
      </c>
      <c r="V75" s="61" t="str">
        <f t="shared" ca="1" si="25"/>
        <v>F</v>
      </c>
      <c r="W75" s="62">
        <v>17</v>
      </c>
      <c r="X75" s="64" t="str">
        <f t="shared" ca="1" si="26"/>
        <v>E</v>
      </c>
      <c r="Y75" s="62">
        <v>18</v>
      </c>
      <c r="Z75" s="64" t="str">
        <f t="shared" ca="1" si="27"/>
        <v>E</v>
      </c>
      <c r="AA75" s="60">
        <v>40</v>
      </c>
      <c r="AB75" s="61" t="str">
        <f t="shared" ca="1" si="28"/>
        <v>E</v>
      </c>
      <c r="AC75" s="62">
        <v>21</v>
      </c>
      <c r="AD75" s="61" t="str">
        <f t="shared" ca="1" si="29"/>
        <v>E</v>
      </c>
      <c r="AE75" s="62">
        <v>40</v>
      </c>
      <c r="AF75" s="64" t="str">
        <f t="shared" ca="1" si="30"/>
        <v>E</v>
      </c>
      <c r="AG75" s="66">
        <f>IF(OR(AND(C75&gt;=31,C75&lt;40),AND(G75&gt;=31,G75&lt;40),AND(M75&gt;=31,M75&lt;40),AND(Q75&gt;=31,Q75&lt;40),AND(U75&gt;=31,U75&lt;40),AND(AA75&gt;=11,AA75&lt;20)),IF(AND(OR(COUNTIF(C75:AF75,"=31")&gt;=1,COUNTIF(C75:AF75,"=32")&gt;=1,COUNTIF(C75:AF75,"=33")&gt;=1,COUNTIF(C75:AF75,"=34")&gt;=1,COUNTIF(C75:AF75,"=35")&gt;=1,COUNTIF(C75:AF75,"=36")&gt;=1 ),COUNTIF(C75:AF75,"")=0,COUNTIF(C75:AF75," ")=0,COUNTIF(C75:AF75,"F")=1),CONCATENATE(SUM(EXTRACTNUMBER(C75),EXTRACTNUMBER(E75),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EXTRACTNUMBER(AC75),EXTRACTNUMBER(AE75)),"*"),IF(AND(COUNTIF(C75:AF75,"=34")&gt;=1,COUNTIF(C75:AF75,"=35")&gt;=1,COUNTIF(C75:AF75,"f")=2,COUNTIF(C75:AF75,"")=0,COUNTIF(C75:AF75," ")=0),CONCATENATE(SUM(EXTRACTNUMBER(C75),EXTRACTNUMBER(E75),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EXTRACTNUMBER(AC75),EXTRACTNUMBER(AE75)),"*"),IF(AND(COUNTIF(C75:AF75,"=36")&gt;=2,COUNTIF(C75:AF75,"f")=2,COUNTIF(C75:AF75,"")=0,COUNTIF(C75:AF75," ")=0),CONCATENATE(SUM(EXTRACTNUMBER(C75),EXTRACTNUMBER(E75),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EXTRACTNUMBER(AC75),EXTRACTNUMBER(AE75)),"*"),SUM(EXTRACTNUMBER(C75),EXTRACTNUMBER(E75),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EXTRACTNUMBER(AC75),EXTRACTNUMBER(AE75))))),SUM(EXTRACTNUMBER(C75),EXTRACTNUMBER(E75),
EXTRACTNUMBER(G75),EXTRACTNUMBER(I75),
EXTRACTNUMBER(K75),EXTRACTNUMBER(M75),
EXTRACTNUMBER(O75),EXTRACTNUMBER(Q75),
EXTRACTNUMBER(S75),EXTRACTNUMBER(U75),
EXTRACTNUMBER(W75),EXTRACTNUMBER(Y75),EXTRACTNUMBER(AA75),
EXTRACTNUMBER(AC75),EXTRACTNUMBER(AE75)))</f>
        <v>380</v>
      </c>
      <c r="AH75" s="38" t="str">
        <f t="shared" ca="1" si="31"/>
        <v>FAIL</v>
      </c>
      <c r="AI75" s="28" t="str">
        <f>spellnumber(EXTRACTnUMBER_TOT(AG75))</f>
        <v xml:space="preserve">Three Hundred Eighty  </v>
      </c>
    </row>
    <row r="76" spans="1:35" ht="15" customHeight="1">
      <c r="A76" s="58">
        <v>223276</v>
      </c>
      <c r="B76" s="32" t="s">
        <v>234</v>
      </c>
      <c r="C76" s="60">
        <v>71</v>
      </c>
      <c r="D76" s="61" t="str">
        <f t="shared" ca="1" si="17"/>
        <v/>
      </c>
      <c r="E76" s="62">
        <v>24</v>
      </c>
      <c r="F76" s="61" t="str">
        <f t="shared" ca="1" si="18"/>
        <v/>
      </c>
      <c r="G76" s="63">
        <v>81</v>
      </c>
      <c r="H76" s="61" t="str">
        <f t="shared" ca="1" si="19"/>
        <v/>
      </c>
      <c r="I76" s="62">
        <v>24</v>
      </c>
      <c r="J76" s="61" t="str">
        <f t="shared" ca="1" si="20"/>
        <v/>
      </c>
      <c r="K76" s="62">
        <v>19</v>
      </c>
      <c r="L76" s="61" t="str">
        <f t="shared" ca="1" si="21"/>
        <v/>
      </c>
      <c r="M76" s="63">
        <v>76</v>
      </c>
      <c r="N76" s="61" t="str">
        <f t="shared" ca="1" si="16"/>
        <v/>
      </c>
      <c r="O76" s="62">
        <v>24</v>
      </c>
      <c r="P76" s="64" t="str">
        <f t="shared" ca="1" si="22"/>
        <v/>
      </c>
      <c r="Q76" s="60">
        <v>76</v>
      </c>
      <c r="R76" s="61" t="str">
        <f t="shared" ca="1" si="23"/>
        <v/>
      </c>
      <c r="S76" s="62">
        <v>24</v>
      </c>
      <c r="T76" s="64" t="str">
        <f t="shared" ca="1" si="24"/>
        <v/>
      </c>
      <c r="U76" s="60">
        <v>50</v>
      </c>
      <c r="V76" s="61" t="str">
        <f t="shared" ca="1" si="25"/>
        <v/>
      </c>
      <c r="W76" s="62">
        <v>24</v>
      </c>
      <c r="X76" s="64" t="str">
        <f t="shared" ca="1" si="26"/>
        <v/>
      </c>
      <c r="Y76" s="62">
        <v>24</v>
      </c>
      <c r="Z76" s="64" t="str">
        <f t="shared" ca="1" si="27"/>
        <v/>
      </c>
      <c r="AA76" s="60">
        <v>54</v>
      </c>
      <c r="AB76" s="61" t="str">
        <f t="shared" ca="1" si="28"/>
        <v/>
      </c>
      <c r="AC76" s="62">
        <v>24</v>
      </c>
      <c r="AD76" s="61" t="str">
        <f t="shared" ca="1" si="29"/>
        <v/>
      </c>
      <c r="AE76" s="62">
        <v>47</v>
      </c>
      <c r="AF76" s="64" t="str">
        <f t="shared" ca="1" si="30"/>
        <v/>
      </c>
      <c r="AG76" s="66">
        <f>IF(OR(AND(C76&gt;=31,C76&lt;40),AND(G76&gt;=31,G76&lt;40),AND(M76&gt;=31,M76&lt;40),AND(Q76&gt;=31,Q76&lt;40),AND(U76&gt;=31,U76&lt;40),AND(AA76&gt;=31,AA76&lt;40)),IF(AND(OR(COUNTIF(C76:AF76,"=31")&gt;=1,COUNTIF(C76:AF76,"=32")&gt;=1,COUNTIF(C76:AF76,"=33")&gt;=1,COUNTIF(C76:AF76,"=34")&gt;=1,COUNTIF(C76:AF76,"=35")&gt;=1,COUNTIF(C76:AF76,"=36")&gt;=1 ),COUNTIF(C76:AF76,"")=0,COUNTIF(C76:AF76," ")=0,COUNTIF(C76:AF76,"F")=1),CONCATENATE(SUM(EXTRACTNUMBER(C76),EXTRACTNUMBER(E76),
EXTRACTNUMBER(G76),EXTRACTNUMBER(I76),
EXTRACTNUMBER(K76),EXTRACTNUMBER(M76),
EXTRACTNUMBER(O76),EXTRACTNUMBER(Q76),
EXTRACTNUMBER(S76),EXTRACTNUMBER(U76),
EXTRACTNUMBER(W76),EXTRACTNUMBER(Y76),EXTRACTNUMBER(AA76),
EXTRACTNUMBER(AC76),EXTRACTNUMBER(AE76)),"*"),IF(AND(COUNTIF(C76:AF76,"=34")&gt;=1,COUNTIF(C76:AF76,"=35")&gt;=1,COUNTIF(C76:AF76,"f")=2,COUNTIF(C76:AF76,"")=0,COUNTIF(C76:AF76," ")=0),CONCATENATE(SUM(EXTRACTNUMBER(C76),EXTRACTNUMBER(E76),
EXTRACTNUMBER(G76),EXTRACTNUMBER(I76),
EXTRACTNUMBER(K76),EXTRACTNUMBER(M76),
EXTRACTNUMBER(O76),EXTRACTNUMBER(Q76),
EXTRACTNUMBER(S76),EXTRACTNUMBER(U76),
EXTRACTNUMBER(W76),EXTRACTNUMBER(Y76),EXTRACTNUMBER(AA76),
EXTRACTNUMBER(AC76),EXTRACTNUMBER(AE76)),"*"),IF(AND(COUNTIF(C76:AF76,"=36")&gt;=2,COUNTIF(C76:AF76,"f")=2,COUNTIF(C76:AF76,"")=0,COUNTIF(C76:AF76," ")=0),CONCATENATE(SUM(EXTRACTNUMBER(C76),EXTRACTNUMBER(E76),
EXTRACTNUMBER(G76),EXTRACTNUMBER(I76),
EXTRACTNUMBER(K76),EXTRACTNUMBER(M76),
EXTRACTNUMBER(O76),EXTRACTNUMBER(Q76),
EXTRACTNUMBER(S76),EXTRACTNUMBER(U76),
EXTRACTNUMBER(W76),EXTRACTNUMBER(Y76),EXTRACTNUMBER(AA76),
EXTRACTNUMBER(AC76),EXTRACTNUMBER(AE76)),"*"),SUM(EXTRACTNUMBER(C76),EXTRACTNUMBER(E76),
EXTRACTNUMBER(G76),EXTRACTNUMBER(I76),
EXTRACTNUMBER(K76),EXTRACTNUMBER(M76),
EXTRACTNUMBER(O76),EXTRACTNUMBER(Q76),
EXTRACTNUMBER(S76),EXTRACTNUMBER(U76),
EXTRACTNUMBER(W76),EXTRACTNUMBER(Y76),EXTRACTNUMBER(AA76),
EXTRACTNUMBER(AC76),EXTRACTNUMBER(AE76))))),SUM(EXTRACTNUMBER(C76),EXTRACTNUMBER(E76),
EXTRACTNUMBER(G76),EXTRACTNUMBER(I76),
EXTRACTNUMBER(K76),EXTRACTNUMBER(M76),
EXTRACTNUMBER(O76),EXTRACTNUMBER(Q76),
EXTRACTNUMBER(S76),EXTRACTNUMBER(U76),
EXTRACTNUMBER(W76),EXTRACTNUMBER(Y76),EXTRACTNUMBER(AA76),
EXTRACTNUMBER(AC76),EXTRACTNUMBER(AE76)))</f>
        <v>642</v>
      </c>
      <c r="AH76" s="38" t="str">
        <f t="shared" ca="1" si="31"/>
        <v>PASS</v>
      </c>
      <c r="AI76" s="28" t="str">
        <f>spellnumber(EXTRACTnUMBER_TOT(AG76))</f>
        <v xml:space="preserve">Six Hundred Forty Two </v>
      </c>
    </row>
    <row r="77" spans="1:35" ht="15" customHeight="1">
      <c r="A77" s="58">
        <v>223277</v>
      </c>
      <c r="B77" s="32" t="s">
        <v>235</v>
      </c>
      <c r="C77" s="60">
        <v>40</v>
      </c>
      <c r="D77" s="61" t="str">
        <f t="shared" ca="1" si="17"/>
        <v/>
      </c>
      <c r="E77" s="62">
        <v>22</v>
      </c>
      <c r="F77" s="61" t="str">
        <f t="shared" ca="1" si="18"/>
        <v/>
      </c>
      <c r="G77" s="63">
        <v>64</v>
      </c>
      <c r="H77" s="61" t="str">
        <f t="shared" ca="1" si="19"/>
        <v/>
      </c>
      <c r="I77" s="62">
        <v>19</v>
      </c>
      <c r="J77" s="61" t="str">
        <f t="shared" ca="1" si="20"/>
        <v/>
      </c>
      <c r="K77" s="62">
        <v>18</v>
      </c>
      <c r="L77" s="61" t="str">
        <f t="shared" ca="1" si="21"/>
        <v/>
      </c>
      <c r="M77" s="63">
        <v>59</v>
      </c>
      <c r="N77" s="61" t="str">
        <f t="shared" ca="1" si="16"/>
        <v/>
      </c>
      <c r="O77" s="62">
        <v>19</v>
      </c>
      <c r="P77" s="64" t="str">
        <f t="shared" ca="1" si="22"/>
        <v/>
      </c>
      <c r="Q77" s="60">
        <v>58</v>
      </c>
      <c r="R77" s="61" t="str">
        <f t="shared" ca="1" si="23"/>
        <v/>
      </c>
      <c r="S77" s="62">
        <v>21</v>
      </c>
      <c r="T77" s="64" t="str">
        <f t="shared" ca="1" si="24"/>
        <v/>
      </c>
      <c r="U77" s="60">
        <v>49</v>
      </c>
      <c r="V77" s="61" t="str">
        <f t="shared" ca="1" si="25"/>
        <v/>
      </c>
      <c r="W77" s="62">
        <v>18</v>
      </c>
      <c r="X77" s="64" t="str">
        <f t="shared" ca="1" si="26"/>
        <v/>
      </c>
      <c r="Y77" s="62">
        <v>19</v>
      </c>
      <c r="Z77" s="64" t="str">
        <f t="shared" ca="1" si="27"/>
        <v/>
      </c>
      <c r="AA77" s="60" t="s">
        <v>426</v>
      </c>
      <c r="AB77" s="61" t="str">
        <f t="shared" ca="1" si="28"/>
        <v/>
      </c>
      <c r="AC77" s="62">
        <v>14</v>
      </c>
      <c r="AD77" s="61" t="str">
        <f t="shared" ca="1" si="29"/>
        <v/>
      </c>
      <c r="AE77" s="62">
        <v>37</v>
      </c>
      <c r="AF77" s="64" t="str">
        <f t="shared" ca="1" si="30"/>
        <v/>
      </c>
      <c r="AG77" s="66" t="s">
        <v>430</v>
      </c>
      <c r="AH77" s="38" t="str">
        <f t="shared" ca="1" si="31"/>
        <v>PASS</v>
      </c>
      <c r="AI77" s="28" t="str">
        <f>spellnumber(EXTRACTnUMBER_TOT(AG77))</f>
        <v xml:space="preserve">Four Hundred Eighty Eight </v>
      </c>
    </row>
    <row r="78" spans="1:35" ht="15" customHeight="1">
      <c r="A78" s="58">
        <v>223278</v>
      </c>
      <c r="B78" s="32" t="s">
        <v>236</v>
      </c>
      <c r="C78" s="60" t="s">
        <v>457</v>
      </c>
      <c r="D78" s="61" t="str">
        <f t="shared" ca="1" si="17"/>
        <v>F</v>
      </c>
      <c r="E78" s="62">
        <v>14</v>
      </c>
      <c r="F78" s="61" t="str">
        <f t="shared" ca="1" si="18"/>
        <v>E</v>
      </c>
      <c r="G78" s="63" t="s">
        <v>455</v>
      </c>
      <c r="H78" s="61" t="str">
        <f t="shared" ca="1" si="19"/>
        <v>F</v>
      </c>
      <c r="I78" s="62">
        <v>16</v>
      </c>
      <c r="J78" s="61" t="str">
        <f t="shared" ca="1" si="20"/>
        <v>E</v>
      </c>
      <c r="K78" s="62">
        <v>16</v>
      </c>
      <c r="L78" s="61" t="str">
        <f t="shared" ca="1" si="21"/>
        <v>E</v>
      </c>
      <c r="M78" s="63" t="s">
        <v>103</v>
      </c>
      <c r="N78" s="61" t="str">
        <f t="shared" si="16"/>
        <v/>
      </c>
      <c r="O78" s="62">
        <v>12</v>
      </c>
      <c r="P78" s="64" t="str">
        <f t="shared" ca="1" si="22"/>
        <v>E</v>
      </c>
      <c r="Q78" s="60" t="s">
        <v>103</v>
      </c>
      <c r="R78" s="61" t="str">
        <f t="shared" si="23"/>
        <v/>
      </c>
      <c r="S78" s="62">
        <v>14</v>
      </c>
      <c r="T78" s="64" t="str">
        <f t="shared" ca="1" si="24"/>
        <v>E</v>
      </c>
      <c r="U78" s="60" t="s">
        <v>103</v>
      </c>
      <c r="V78" s="61" t="str">
        <f t="shared" si="25"/>
        <v/>
      </c>
      <c r="W78" s="62">
        <v>14</v>
      </c>
      <c r="X78" s="64" t="str">
        <f t="shared" ca="1" si="26"/>
        <v>E</v>
      </c>
      <c r="Y78" s="62">
        <v>16</v>
      </c>
      <c r="Z78" s="64" t="str">
        <f t="shared" ca="1" si="27"/>
        <v>E</v>
      </c>
      <c r="AA78" s="60" t="s">
        <v>103</v>
      </c>
      <c r="AB78" s="61" t="str">
        <f t="shared" si="28"/>
        <v/>
      </c>
      <c r="AC78" s="62">
        <v>19</v>
      </c>
      <c r="AD78" s="61" t="str">
        <f t="shared" ca="1" si="29"/>
        <v>E</v>
      </c>
      <c r="AE78" s="62">
        <v>30</v>
      </c>
      <c r="AF78" s="64" t="str">
        <f t="shared" ca="1" si="30"/>
        <v>E</v>
      </c>
      <c r="AG78" s="66">
        <f>IF(OR(AND(C78&gt;=31,C78&lt;40),AND(G78&gt;=31,G78&lt;40),AND(M78&gt;=31,M78&lt;40),AND(Q78&gt;=31,Q78&lt;40),AND(U78&gt;=31,U78&lt;40),AND(AA78&gt;=31,AA78&lt;40)),IF(AND(OR(COUNTIF(C78:AF78,"=31")&gt;=1,COUNTIF(C78:AF78,"=32")&gt;=1,COUNTIF(C78:AF78,"=33")&gt;=1,COUNTIF(C78:AF78,"=34")&gt;=1,COUNTIF(C78:AF78,"=35")&gt;=1,COUNTIF(C78:AF78,"=36")&gt;=1 ),COUNTIF(C78:AF78,"")=0,COUNTIF(C78:AF78," ")=0,COUNTIF(C78:AF78,"F")=1),CONCATENATE(SUM(EXTRACTNUMBER(C78),EXTRACTNUMBER(E78),
EXTRACTNUMBER(G78),EXTRACTNUMBER(I78),
EXTRACTNUMBER(K78),EXTRACTNUMBER(M78),
EXTRACTNUMBER(O78),EXTRACTNUMBER(Q78),
EXTRACTNUMBER(S78),EXTRACTNUMBER(U78),
EXTRACTNUMBER(W78),EXTRACTNUMBER(Y78),EXTRACTNUMBER(AA78),
EXTRACTNUMBER(AC78),EXTRACTNUMBER(AE78)),"*"),IF(AND(COUNTIF(C78:AF78,"=34")&gt;=1,COUNTIF(C78:AF78,"=35")&gt;=1,COUNTIF(C78:AF78,"f")=2,COUNTIF(C78:AF78,"")=0,COUNTIF(C78:AF78," ")=0),CONCATENATE(SUM(EXTRACTNUMBER(C78),EXTRACTNUMBER(E78),
EXTRACTNUMBER(G78),EXTRACTNUMBER(I78),
EXTRACTNUMBER(K78),EXTRACTNUMBER(M78),
EXTRACTNUMBER(O78),EXTRACTNUMBER(Q78),
EXTRACTNUMBER(S78),EXTRACTNUMBER(U78),
EXTRACTNUMBER(W78),EXTRACTNUMBER(Y78),EXTRACTNUMBER(AA78),
EXTRACTNUMBER(AC78),EXTRACTNUMBER(AE78)),"*"),IF(AND(COUNTIF(C78:AF78,"=36")&gt;=2,COUNTIF(C78:AF78,"f")=2,COUNTIF(C78:AF78,"")=0,COUNTIF(C78:AF78," ")=0),CONCATENATE(SUM(EXTRACTNUMBER(C78),EXTRACTNUMBER(E78),
EXTRACTNUMBER(G78),EXTRACTNUMBER(I78),
EXTRACTNUMBER(K78),EXTRACTNUMBER(M78),
EXTRACTNUMBER(O78),EXTRACTNUMBER(Q78),
EXTRACTNUMBER(S78),EXTRACTNUMBER(U78),
EXTRACTNUMBER(W78),EXTRACTNUMBER(Y78),EXTRACTNUMBER(AA78),
EXTRACTNUMBER(AC78),EXTRACTNUMBER(AE78)),"*"),SUM(EXTRACTNUMBER(C78),EXTRACTNUMBER(E78),
EXTRACTNUMBER(G78),EXTRACTNUMBER(I78),
EXTRACTNUMBER(K78),EXTRACTNUMBER(M78),
EXTRACTNUMBER(O78),EXTRACTNUMBER(Q78),
EXTRACTNUMBER(S78),EXTRACTNUMBER(U78),
EXTRACTNUMBER(W78),EXTRACTNUMBER(Y78),EXTRACTNUMBER(AA78),
EXTRACTNUMBER(AC78),EXTRACTNUMBER(AE78))))),SUM(EXTRACTNUMBER(C78),EXTRACTNUMBER(E78),
EXTRACTNUMBER(G78),EXTRACTNUMBER(I78),
EXTRACTNUMBER(K78),EXTRACTNUMBER(M78),
EXTRACTNUMBER(O78),EXTRACTNUMBER(Q78),
EXTRACTNUMBER(S78),EXTRACTNUMBER(U78),
EXTRACTNUMBER(W78),EXTRACTNUMBER(Y78),EXTRACTNUMBER(AA78),
EXTRACTNUMBER(AC78),EXTRACTNUMBER(AE78)))</f>
        <v>153</v>
      </c>
      <c r="AH78" s="38" t="str">
        <f t="shared" ca="1" si="31"/>
        <v>FAIL</v>
      </c>
      <c r="AI78" s="28" t="str">
        <f>spellnumber(EXTRACTnUMBER_TOT(AG78))</f>
        <v xml:space="preserve">One Hundred Fifty Three </v>
      </c>
    </row>
    <row r="79" spans="1:35" ht="15" customHeight="1">
      <c r="A79" s="58">
        <v>223279</v>
      </c>
      <c r="B79" s="32" t="s">
        <v>237</v>
      </c>
      <c r="C79" s="60" t="s">
        <v>459</v>
      </c>
      <c r="D79" s="61" t="str">
        <f t="shared" ca="1" si="17"/>
        <v>F</v>
      </c>
      <c r="E79" s="62">
        <v>12</v>
      </c>
      <c r="F79" s="61" t="str">
        <f t="shared" ca="1" si="18"/>
        <v>E</v>
      </c>
      <c r="G79" s="63">
        <v>40</v>
      </c>
      <c r="H79" s="61" t="str">
        <f t="shared" ca="1" si="19"/>
        <v>E</v>
      </c>
      <c r="I79" s="62">
        <v>19</v>
      </c>
      <c r="J79" s="61" t="str">
        <f t="shared" ca="1" si="20"/>
        <v>E</v>
      </c>
      <c r="K79" s="62">
        <v>17</v>
      </c>
      <c r="L79" s="61" t="str">
        <f t="shared" ca="1" si="21"/>
        <v>E</v>
      </c>
      <c r="M79" s="63">
        <v>16</v>
      </c>
      <c r="N79" s="61" t="str">
        <f t="shared" ca="1" si="16"/>
        <v>F</v>
      </c>
      <c r="O79" s="62">
        <v>17</v>
      </c>
      <c r="P79" s="64" t="str">
        <f t="shared" ca="1" si="22"/>
        <v>E</v>
      </c>
      <c r="Q79" s="60">
        <v>45</v>
      </c>
      <c r="R79" s="61" t="str">
        <f t="shared" ca="1" si="23"/>
        <v>E</v>
      </c>
      <c r="S79" s="62">
        <v>20</v>
      </c>
      <c r="T79" s="64" t="str">
        <f t="shared" ca="1" si="24"/>
        <v>E</v>
      </c>
      <c r="U79" s="60">
        <v>40</v>
      </c>
      <c r="V79" s="61" t="str">
        <f t="shared" ca="1" si="25"/>
        <v>E</v>
      </c>
      <c r="W79" s="62">
        <v>14</v>
      </c>
      <c r="X79" s="64" t="str">
        <f t="shared" ca="1" si="26"/>
        <v>E</v>
      </c>
      <c r="Y79" s="62">
        <v>16</v>
      </c>
      <c r="Z79" s="64" t="str">
        <f t="shared" ca="1" si="27"/>
        <v>E</v>
      </c>
      <c r="AA79" s="60">
        <v>40</v>
      </c>
      <c r="AB79" s="61" t="str">
        <f t="shared" ca="1" si="28"/>
        <v>E</v>
      </c>
      <c r="AC79" s="62">
        <v>20</v>
      </c>
      <c r="AD79" s="61" t="str">
        <f t="shared" ca="1" si="29"/>
        <v>E</v>
      </c>
      <c r="AE79" s="62">
        <v>36</v>
      </c>
      <c r="AF79" s="64" t="str">
        <f t="shared" ca="1" si="30"/>
        <v>E</v>
      </c>
      <c r="AG79" s="66">
        <f>IF(OR(AND(C79&gt;=31,C79&lt;40),AND(G79&gt;=31,G79&lt;40),AND(M79&gt;=31,M79&lt;40),AND(Q79&gt;=31,Q79&lt;40),AND(U79&gt;=31,U79&lt;40),AND(AA79&gt;=31,AA79&lt;40)),IF(AND(OR(COUNTIF(C79:AF79,"=31")&gt;=1,COUNTIF(C79:AF79,"=32")&gt;=1,COUNTIF(C79:AF79,"=33")&gt;=1,COUNTIF(C79:AF79,"=34")&gt;=1,COUNTIF(C79:AF79,"=35")&gt;=1,COUNTIF(C79:AF79,"=36")&gt;=1 ),COUNTIF(C79:AF79,"")=0,COUNTIF(C79:AF79," ")=0,COUNTIF(C79:AF79,"F")=1),CONCATENATE(SUM(EXTRACTNUMBER(C79),EXTRACTNUMBER(E79),
EXTRACTNUMBER(G79),EXTRACTNUMBER(I79),
EXTRACTNUMBER(K79),EXTRACTNUMBER(M79),
EXTRACTNUMBER(O79),EXTRACTNUMBER(Q79),
EXTRACTNUMBER(S79),EXTRACTNUMBER(U79),
EXTRACTNUMBER(W79),EXTRACTNUMBER(Y79),EXTRACTNUMBER(AA79),
EXTRACTNUMBER(AC79),EXTRACTNUMBER(AE79)),"*"),IF(AND(COUNTIF(C79:AF79,"=34")&gt;=1,COUNTIF(C79:AF79,"=35")&gt;=1,COUNTIF(C79:AF79,"f")=2,COUNTIF(C79:AF79,"")=0,COUNTIF(C79:AF79," ")=0),CONCATENATE(SUM(EXTRACTNUMBER(C79),EXTRACTNUMBER(E79),
EXTRACTNUMBER(G79),EXTRACTNUMBER(I79),
EXTRACTNUMBER(K79),EXTRACTNUMBER(M79),
EXTRACTNUMBER(O79),EXTRACTNUMBER(Q79),
EXTRACTNUMBER(S79),EXTRACTNUMBER(U79),
EXTRACTNUMBER(W79),EXTRACTNUMBER(Y79),EXTRACTNUMBER(AA79),
EXTRACTNUMBER(AC79),EXTRACTNUMBER(AE79)),"*"),IF(AND(COUNTIF(C79:AF79,"=36")&gt;=2,COUNTIF(C79:AF79,"f")=2,COUNTIF(C79:AF79,"")=0,COUNTIF(C79:AF79," ")=0),CONCATENATE(SUM(EXTRACTNUMBER(C79),EXTRACTNUMBER(E79),
EXTRACTNUMBER(G79),EXTRACTNUMBER(I79),
EXTRACTNUMBER(K79),EXTRACTNUMBER(M79),
EXTRACTNUMBER(O79),EXTRACTNUMBER(Q79),
EXTRACTNUMBER(S79),EXTRACTNUMBER(U79),
EXTRACTNUMBER(W79),EXTRACTNUMBER(Y79),EXTRACTNUMBER(AA79),
EXTRACTNUMBER(AC79),EXTRACTNUMBER(AE79)),"*"),SUM(EXTRACTNUMBER(C79),EXTRACTNUMBER(E79),
EXTRACTNUMBER(G79),EXTRACTNUMBER(I79),
EXTRACTNUMBER(K79),EXTRACTNUMBER(M79),
EXTRACTNUMBER(O79),EXTRACTNUMBER(Q79),
EXTRACTNUMBER(S79),EXTRACTNUMBER(U79),
EXTRACTNUMBER(W79),EXTRACTNUMBER(Y79),EXTRACTNUMBER(AA79),
EXTRACTNUMBER(AC79),EXTRACTNUMBER(AE79))))),SUM(EXTRACTNUMBER(C79),EXTRACTNUMBER(E79),
EXTRACTNUMBER(G79),EXTRACTNUMBER(I79),
EXTRACTNUMBER(K79),EXTRACTNUMBER(M79),
EXTRACTNUMBER(O79),EXTRACTNUMBER(Q79),
EXTRACTNUMBER(S79),EXTRACTNUMBER(U79),
EXTRACTNUMBER(W79),EXTRACTNUMBER(Y79),EXTRACTNUMBER(AA79),
EXTRACTNUMBER(AC79),EXTRACTNUMBER(AE79)))</f>
        <v>360</v>
      </c>
      <c r="AH79" s="38" t="str">
        <f t="shared" ca="1" si="31"/>
        <v>FAIL</v>
      </c>
      <c r="AI79" s="28" t="str">
        <f>spellnumber(EXTRACTnUMBER_TOT(AG79))</f>
        <v xml:space="preserve">Three Hundred Sixty  </v>
      </c>
    </row>
    <row r="80" spans="1:35" ht="15" customHeight="1">
      <c r="A80" s="58">
        <v>223280</v>
      </c>
      <c r="B80" s="32" t="s">
        <v>238</v>
      </c>
      <c r="C80" s="60" t="s">
        <v>454</v>
      </c>
      <c r="D80" s="61" t="str">
        <f t="shared" ca="1" si="17"/>
        <v>F</v>
      </c>
      <c r="E80" s="62">
        <v>16</v>
      </c>
      <c r="F80" s="61" t="str">
        <f t="shared" ca="1" si="18"/>
        <v>E</v>
      </c>
      <c r="G80" s="63">
        <v>44</v>
      </c>
      <c r="H80" s="61" t="str">
        <f t="shared" ca="1" si="19"/>
        <v>E</v>
      </c>
      <c r="I80" s="62">
        <v>19</v>
      </c>
      <c r="J80" s="61" t="str">
        <f t="shared" ca="1" si="20"/>
        <v>E</v>
      </c>
      <c r="K80" s="62">
        <v>24</v>
      </c>
      <c r="L80" s="61" t="str">
        <f t="shared" ca="1" si="21"/>
        <v>E</v>
      </c>
      <c r="M80" s="63">
        <v>42</v>
      </c>
      <c r="N80" s="61" t="str">
        <f t="shared" ca="1" si="16"/>
        <v>E</v>
      </c>
      <c r="O80" s="62">
        <v>17</v>
      </c>
      <c r="P80" s="64" t="str">
        <f t="shared" ca="1" si="22"/>
        <v>E</v>
      </c>
      <c r="Q80" s="60">
        <v>46</v>
      </c>
      <c r="R80" s="61" t="str">
        <f t="shared" ca="1" si="23"/>
        <v>E</v>
      </c>
      <c r="S80" s="62">
        <v>18</v>
      </c>
      <c r="T80" s="64" t="str">
        <f t="shared" ca="1" si="24"/>
        <v>E</v>
      </c>
      <c r="U80" s="60">
        <v>25</v>
      </c>
      <c r="V80" s="61" t="str">
        <f t="shared" ca="1" si="25"/>
        <v>F</v>
      </c>
      <c r="W80" s="62">
        <v>22</v>
      </c>
      <c r="X80" s="64" t="str">
        <f t="shared" ca="1" si="26"/>
        <v>E</v>
      </c>
      <c r="Y80" s="62">
        <v>21</v>
      </c>
      <c r="Z80" s="64" t="str">
        <f t="shared" ca="1" si="27"/>
        <v>E</v>
      </c>
      <c r="AA80" s="60">
        <v>23</v>
      </c>
      <c r="AB80" s="61" t="str">
        <f t="shared" ca="1" si="28"/>
        <v>F</v>
      </c>
      <c r="AC80" s="62">
        <v>18</v>
      </c>
      <c r="AD80" s="61" t="str">
        <f t="shared" ca="1" si="29"/>
        <v>E</v>
      </c>
      <c r="AE80" s="62">
        <v>40</v>
      </c>
      <c r="AF80" s="64" t="str">
        <f t="shared" ca="1" si="30"/>
        <v>E</v>
      </c>
      <c r="AG80" s="66">
        <f>IF(OR(AND(C80&gt;=31,C80&lt;40),AND(G80&gt;=31,G80&lt;40),AND(M80&gt;=31,M80&lt;40),AND(Q80&gt;=31,Q80&lt;40),AND(U80&gt;=31,U80&lt;40),AND(AA80&gt;=31,AA80&lt;40)),IF(AND(OR(COUNTIF(C80:AF80,"=31")&gt;=1,COUNTIF(C80:AF80,"=32")&gt;=1,COUNTIF(C80:AF80,"=33")&gt;=1,COUNTIF(C80:AF80,"=34")&gt;=1,COUNTIF(C80:AF80,"=35")&gt;=1,COUNTIF(C80:AF80,"=36")&gt;=1 ),COUNTIF(C80:AF80,"")=0,COUNTIF(C80:AF80," ")=0,COUNTIF(C80:AF80,"F")=1),CONCATENATE(SUM(EXTRACTNUMBER(C80),EXTRACTNUMBER(E80),
EXTRACTNUMBER(G80),EXTRACTNUMBER(I80),
EXTRACTNUMBER(K80),EXTRACTNUMBER(M80),
EXTRACTNUMBER(O80),EXTRACTNUMBER(Q80),
EXTRACTNUMBER(S80),EXTRACTNUMBER(U80),
EXTRACTNUMBER(W80),EXTRACTNUMBER(Y80),EXTRACTNUMBER(AA80),
EXTRACTNUMBER(AC80),EXTRACTNUMBER(AE80)),"*"),IF(AND(COUNTIF(C80:AF80,"=34")&gt;=1,COUNTIF(C80:AF80,"=35")&gt;=1,COUNTIF(C80:AF80,"f")=2,COUNTIF(C80:AF80,"")=0,COUNTIF(C80:AF80," ")=0),CONCATENATE(SUM(EXTRACTNUMBER(C80),EXTRACTNUMBER(E80),
EXTRACTNUMBER(G80),EXTRACTNUMBER(I80),
EXTRACTNUMBER(K80),EXTRACTNUMBER(M80),
EXTRACTNUMBER(O80),EXTRACTNUMBER(Q80),
EXTRACTNUMBER(S80),EXTRACTNUMBER(U80),
EXTRACTNUMBER(W80),EXTRACTNUMBER(Y80),EXTRACTNUMBER(AA80),
EXTRACTNUMBER(AC80),EXTRACTNUMBER(AE80)),"*"),IF(AND(COUNTIF(C80:AF80,"=36")&gt;=2,COUNTIF(C80:AF80,"f")=2,COUNTIF(C80:AF80,"")=0,COUNTIF(C80:AF80," ")=0),CONCATENATE(SUM(EXTRACTNUMBER(C80),EXTRACTNUMBER(E80),
EXTRACTNUMBER(G80),EXTRACTNUMBER(I80),
EXTRACTNUMBER(K80),EXTRACTNUMBER(M80),
EXTRACTNUMBER(O80),EXTRACTNUMBER(Q80),
EXTRACTNUMBER(S80),EXTRACTNUMBER(U80),
EXTRACTNUMBER(W80),EXTRACTNUMBER(Y80),EXTRACTNUMBER(AA80),
EXTRACTNUMBER(AC80),EXTRACTNUMBER(AE80)),"*"),SUM(EXTRACTNUMBER(C80),EXTRACTNUMBER(E80),
EXTRACTNUMBER(G80),EXTRACTNUMBER(I80),
EXTRACTNUMBER(K80),EXTRACTNUMBER(M80),
EXTRACTNUMBER(O80),EXTRACTNUMBER(Q80),
EXTRACTNUMBER(S80),EXTRACTNUMBER(U80),
EXTRACTNUMBER(W80),EXTRACTNUMBER(Y80),EXTRACTNUMBER(AA80),
EXTRACTNUMBER(AC80),EXTRACTNUMBER(AE80))))),SUM(EXTRACTNUMBER(C80),EXTRACTNUMBER(E80),
EXTRACTNUMBER(G80),EXTRACTNUMBER(I80),
EXTRACTNUMBER(K80),EXTRACTNUMBER(M80),
EXTRACTNUMBER(O80),EXTRACTNUMBER(Q80),
EXTRACTNUMBER(S80),EXTRACTNUMBER(U80),
EXTRACTNUMBER(W80),EXTRACTNUMBER(Y80),EXTRACTNUMBER(AA80),
EXTRACTNUMBER(AC80),EXTRACTNUMBER(AE80)))</f>
        <v>382</v>
      </c>
      <c r="AH80" s="38" t="str">
        <f t="shared" ca="1" si="31"/>
        <v>FAIL</v>
      </c>
      <c r="AI80" s="28" t="str">
        <f>spellnumber(EXTRACTnUMBER_TOT(AG80))</f>
        <v xml:space="preserve">Three Hundred Eighty Two </v>
      </c>
    </row>
    <row r="81" spans="1:35" ht="15" customHeight="1">
      <c r="A81" s="58">
        <v>223281</v>
      </c>
      <c r="B81" s="32" t="s">
        <v>239</v>
      </c>
      <c r="C81" s="60">
        <v>13</v>
      </c>
      <c r="D81" s="61" t="str">
        <f t="shared" ca="1" si="17"/>
        <v>F</v>
      </c>
      <c r="E81" s="62">
        <v>15</v>
      </c>
      <c r="F81" s="61" t="str">
        <f t="shared" ca="1" si="18"/>
        <v>E</v>
      </c>
      <c r="G81" s="63">
        <v>25</v>
      </c>
      <c r="H81" s="61" t="str">
        <f t="shared" ca="1" si="19"/>
        <v>F</v>
      </c>
      <c r="I81" s="62">
        <v>20</v>
      </c>
      <c r="J81" s="61" t="str">
        <f t="shared" ca="1" si="20"/>
        <v>E</v>
      </c>
      <c r="K81" s="62">
        <v>16</v>
      </c>
      <c r="L81" s="61" t="str">
        <f t="shared" ca="1" si="21"/>
        <v>E</v>
      </c>
      <c r="M81" s="63">
        <v>28</v>
      </c>
      <c r="N81" s="61" t="str">
        <f t="shared" ca="1" si="16"/>
        <v>F</v>
      </c>
      <c r="O81" s="62">
        <v>17</v>
      </c>
      <c r="P81" s="64" t="str">
        <f t="shared" ca="1" si="22"/>
        <v>E</v>
      </c>
      <c r="Q81" s="60">
        <v>28</v>
      </c>
      <c r="R81" s="61" t="str">
        <f t="shared" ca="1" si="23"/>
        <v>F</v>
      </c>
      <c r="S81" s="62">
        <v>20</v>
      </c>
      <c r="T81" s="64" t="str">
        <f t="shared" ca="1" si="24"/>
        <v>E</v>
      </c>
      <c r="U81" s="60">
        <v>23</v>
      </c>
      <c r="V81" s="61" t="str">
        <f t="shared" ca="1" si="25"/>
        <v>F</v>
      </c>
      <c r="W81" s="62">
        <v>16</v>
      </c>
      <c r="X81" s="64" t="str">
        <f t="shared" ca="1" si="26"/>
        <v>E</v>
      </c>
      <c r="Y81" s="62">
        <v>18</v>
      </c>
      <c r="Z81" s="64" t="str">
        <f t="shared" ca="1" si="27"/>
        <v>E</v>
      </c>
      <c r="AA81" s="60">
        <v>17</v>
      </c>
      <c r="AB81" s="61" t="str">
        <f t="shared" ca="1" si="28"/>
        <v>F</v>
      </c>
      <c r="AC81" s="62">
        <v>19</v>
      </c>
      <c r="AD81" s="61" t="str">
        <f t="shared" ca="1" si="29"/>
        <v>E</v>
      </c>
      <c r="AE81" s="62">
        <v>37</v>
      </c>
      <c r="AF81" s="64" t="str">
        <f t="shared" ca="1" si="30"/>
        <v>E</v>
      </c>
      <c r="AG81" s="66">
        <f>IF(OR(AND(C81&gt;=31,C81&lt;40),AND(G81&gt;=31,G81&lt;40),AND(M81&gt;=31,M81&lt;40),AND(Q81&gt;=31,Q81&lt;40),AND(U81&gt;=31,U81&lt;40),AND(AA81&gt;=31,AA81&lt;40)),IF(AND(OR(COUNTIF(C81:AF81,"=31")&gt;=1,COUNTIF(C81:AF81,"=32")&gt;=1,COUNTIF(C81:AF81,"=33")&gt;=1,COUNTIF(C81:AF81,"=34")&gt;=1,COUNTIF(C81:AF81,"=35")&gt;=1,COUNTIF(C81:AF81,"=36")&gt;=1 ),COUNTIF(C81:AF81,"")=0,COUNTIF(C81:AF81," ")=0,COUNTIF(C81:AF81,"F")=1),CONCATENATE(SUM(EXTRACTNUMBER(C81),EXTRACTNUMBER(E81),
EXTRACTNUMBER(G81),EXTRACTNUMBER(I81),
EXTRACTNUMBER(K81),EXTRACTNUMBER(M81),
EXTRACTNUMBER(O81),EXTRACTNUMBER(Q81),
EXTRACTNUMBER(S81),EXTRACTNUMBER(U81),
EXTRACTNUMBER(W81),EXTRACTNUMBER(Y81),EXTRACTNUMBER(AA81),
EXTRACTNUMBER(AC81),EXTRACTNUMBER(AE81)),"*"),IF(AND(COUNTIF(C81:AF81,"=34")&gt;=1,COUNTIF(C81:AF81,"=35")&gt;=1,COUNTIF(C81:AF81,"f")=2,COUNTIF(C81:AF81,"")=0,COUNTIF(C81:AF81," ")=0),CONCATENATE(SUM(EXTRACTNUMBER(C81),EXTRACTNUMBER(E81),
EXTRACTNUMBER(G81),EXTRACTNUMBER(I81),
EXTRACTNUMBER(K81),EXTRACTNUMBER(M81),
EXTRACTNUMBER(O81),EXTRACTNUMBER(Q81),
EXTRACTNUMBER(S81),EXTRACTNUMBER(U81),
EXTRACTNUMBER(W81),EXTRACTNUMBER(Y81),EXTRACTNUMBER(AA81),
EXTRACTNUMBER(AC81),EXTRACTNUMBER(AE81)),"*"),IF(AND(COUNTIF(C81:AF81,"=36")&gt;=2,COUNTIF(C81:AF81,"f")=2,COUNTIF(C81:AF81,"")=0,COUNTIF(C81:AF81," ")=0),CONCATENATE(SUM(EXTRACTNUMBER(C81),EXTRACTNUMBER(E81),
EXTRACTNUMBER(G81),EXTRACTNUMBER(I81),
EXTRACTNUMBER(K81),EXTRACTNUMBER(M81),
EXTRACTNUMBER(O81),EXTRACTNUMBER(Q81),
EXTRACTNUMBER(S81),EXTRACTNUMBER(U81),
EXTRACTNUMBER(W81),EXTRACTNUMBER(Y81),EXTRACTNUMBER(AA81),
EXTRACTNUMBER(AC81),EXTRACTNUMBER(AE81)),"*"),SUM(EXTRACTNUMBER(C81),EXTRACTNUMBER(E81),
EXTRACTNUMBER(G81),EXTRACTNUMBER(I81),
EXTRACTNUMBER(K81),EXTRACTNUMBER(M81),
EXTRACTNUMBER(O81),EXTRACTNUMBER(Q81),
EXTRACTNUMBER(S81),EXTRACTNUMBER(U81),
EXTRACTNUMBER(W81),EXTRACTNUMBER(Y81),EXTRACTNUMBER(AA81),
EXTRACTNUMBER(AC81),EXTRACTNUMBER(AE81))))),SUM(EXTRACTNUMBER(C81),EXTRACTNUMBER(E81),
EXTRACTNUMBER(G81),EXTRACTNUMBER(I81),
EXTRACTNUMBER(K81),EXTRACTNUMBER(M81),
EXTRACTNUMBER(O81),EXTRACTNUMBER(Q81),
EXTRACTNUMBER(S81),EXTRACTNUMBER(U81),
EXTRACTNUMBER(W81),EXTRACTNUMBER(Y81),EXTRACTNUMBER(AA81),
EXTRACTNUMBER(AC81),EXTRACTNUMBER(AE81)))</f>
        <v>312</v>
      </c>
      <c r="AH81" s="38" t="str">
        <f t="shared" ca="1" si="31"/>
        <v>FAIL</v>
      </c>
      <c r="AI81" s="28" t="str">
        <f>spellnumber(EXTRACTnUMBER_TOT(AG81))</f>
        <v xml:space="preserve">Three Hundred Twelve </v>
      </c>
    </row>
    <row r="82" spans="1:35" ht="15" customHeight="1">
      <c r="A82" s="58">
        <v>223282</v>
      </c>
      <c r="B82" s="32" t="s">
        <v>240</v>
      </c>
      <c r="C82" s="60">
        <v>19</v>
      </c>
      <c r="D82" s="61" t="str">
        <f t="shared" ca="1" si="17"/>
        <v>F</v>
      </c>
      <c r="E82" s="62">
        <v>18</v>
      </c>
      <c r="F82" s="61" t="str">
        <f t="shared" ca="1" si="18"/>
        <v>E</v>
      </c>
      <c r="G82" s="63">
        <v>25</v>
      </c>
      <c r="H82" s="61" t="str">
        <f t="shared" ca="1" si="19"/>
        <v>F</v>
      </c>
      <c r="I82" s="62">
        <v>20</v>
      </c>
      <c r="J82" s="61" t="str">
        <f t="shared" ca="1" si="20"/>
        <v>E</v>
      </c>
      <c r="K82" s="62">
        <v>17</v>
      </c>
      <c r="L82" s="61" t="str">
        <f t="shared" ca="1" si="21"/>
        <v>E</v>
      </c>
      <c r="M82" s="63">
        <v>52</v>
      </c>
      <c r="N82" s="61" t="str">
        <f t="shared" ca="1" si="16"/>
        <v>E</v>
      </c>
      <c r="O82" s="62">
        <v>19</v>
      </c>
      <c r="P82" s="64" t="str">
        <f t="shared" ca="1" si="22"/>
        <v>E</v>
      </c>
      <c r="Q82" s="60">
        <v>40</v>
      </c>
      <c r="R82" s="61" t="str">
        <f t="shared" ca="1" si="23"/>
        <v>E</v>
      </c>
      <c r="S82" s="62">
        <v>20</v>
      </c>
      <c r="T82" s="64" t="str">
        <f t="shared" ca="1" si="24"/>
        <v>E</v>
      </c>
      <c r="U82" s="60">
        <v>40</v>
      </c>
      <c r="V82" s="61" t="str">
        <f t="shared" ca="1" si="25"/>
        <v>E</v>
      </c>
      <c r="W82" s="62">
        <v>16</v>
      </c>
      <c r="X82" s="64" t="str">
        <f t="shared" ca="1" si="26"/>
        <v>E</v>
      </c>
      <c r="Y82" s="62">
        <v>17</v>
      </c>
      <c r="Z82" s="64" t="str">
        <f t="shared" ca="1" si="27"/>
        <v>E</v>
      </c>
      <c r="AA82" s="60">
        <v>51</v>
      </c>
      <c r="AB82" s="61" t="str">
        <f t="shared" ca="1" si="28"/>
        <v>E</v>
      </c>
      <c r="AC82" s="62">
        <v>21</v>
      </c>
      <c r="AD82" s="61" t="str">
        <f t="shared" ca="1" si="29"/>
        <v>E</v>
      </c>
      <c r="AE82" s="62">
        <v>45</v>
      </c>
      <c r="AF82" s="64" t="str">
        <f t="shared" ca="1" si="30"/>
        <v>E</v>
      </c>
      <c r="AG82" s="66">
        <f>IF(OR(AND(C82&gt;=31,C82&lt;40),AND(G82&gt;=31,G82&lt;40),AND(M82&gt;=31,M82&lt;40),AND(Q82&gt;=31,Q82&lt;40),AND(U82&gt;=31,U82&lt;40),AND(AA82&gt;=31,AA82&lt;40)),IF(AND(OR(COUNTIF(C82:AF82,"=31")&gt;=1,COUNTIF(C82:AF82,"=32")&gt;=1,COUNTIF(C82:AF82,"=33")&gt;=1,COUNTIF(C82:AF82,"=34")&gt;=1,COUNTIF(C82:AF82,"=35")&gt;=1,COUNTIF(C82:AF82,"=36")&gt;=1 ),COUNTIF(C82:AF82,"")=0,COUNTIF(C82:AF82," ")=0,COUNTIF(C82:AF82,"F")=1),CONCATENATE(SUM(EXTRACTNUMBER(C82),EXTRACTNUMBER(E82),
EXTRACTNUMBER(G82),EXTRACTNUMBER(I82),
EXTRACTNUMBER(K82),EXTRACTNUMBER(M82),
EXTRACTNUMBER(O82),EXTRACTNUMBER(Q82),
EXTRACTNUMBER(S82),EXTRACTNUMBER(U82),
EXTRACTNUMBER(W82),EXTRACTNUMBER(Y82),EXTRACTNUMBER(AA82),
EXTRACTNUMBER(AC82),EXTRACTNUMBER(AE82)),"*"),IF(AND(COUNTIF(C82:AF82,"=34")&gt;=1,COUNTIF(C82:AF82,"=35")&gt;=1,COUNTIF(C82:AF82,"f")=2,COUNTIF(C82:AF82,"")=0,COUNTIF(C82:AF82," ")=0),CONCATENATE(SUM(EXTRACTNUMBER(C82),EXTRACTNUMBER(E82),
EXTRACTNUMBER(G82),EXTRACTNUMBER(I82),
EXTRACTNUMBER(K82),EXTRACTNUMBER(M82),
EXTRACTNUMBER(O82),EXTRACTNUMBER(Q82),
EXTRACTNUMBER(S82),EXTRACTNUMBER(U82),
EXTRACTNUMBER(W82),EXTRACTNUMBER(Y82),EXTRACTNUMBER(AA82),
EXTRACTNUMBER(AC82),EXTRACTNUMBER(AE82)),"*"),IF(AND(COUNTIF(C82:AF82,"=36")&gt;=2,COUNTIF(C82:AF82,"f")=2,COUNTIF(C82:AF82,"")=0,COUNTIF(C82:AF82," ")=0),CONCATENATE(SUM(EXTRACTNUMBER(C82),EXTRACTNUMBER(E82),
EXTRACTNUMBER(G82),EXTRACTNUMBER(I82),
EXTRACTNUMBER(K82),EXTRACTNUMBER(M82),
EXTRACTNUMBER(O82),EXTRACTNUMBER(Q82),
EXTRACTNUMBER(S82),EXTRACTNUMBER(U82),
EXTRACTNUMBER(W82),EXTRACTNUMBER(Y82),EXTRACTNUMBER(AA82),
EXTRACTNUMBER(AC82),EXTRACTNUMBER(AE82)),"*"),SUM(EXTRACTNUMBER(C82),EXTRACTNUMBER(E82),
EXTRACTNUMBER(G82),EXTRACTNUMBER(I82),
EXTRACTNUMBER(K82),EXTRACTNUMBER(M82),
EXTRACTNUMBER(O82),EXTRACTNUMBER(Q82),
EXTRACTNUMBER(S82),EXTRACTNUMBER(U82),
EXTRACTNUMBER(W82),EXTRACTNUMBER(Y82),EXTRACTNUMBER(AA82),
EXTRACTNUMBER(AC82),EXTRACTNUMBER(AE82))))),SUM(EXTRACTNUMBER(C82),EXTRACTNUMBER(E82),
EXTRACTNUMBER(G82),EXTRACTNUMBER(I82),
EXTRACTNUMBER(K82),EXTRACTNUMBER(M82),
EXTRACTNUMBER(O82),EXTRACTNUMBER(Q82),
EXTRACTNUMBER(S82),EXTRACTNUMBER(U82),
EXTRACTNUMBER(W82),EXTRACTNUMBER(Y82),EXTRACTNUMBER(AA82),
EXTRACTNUMBER(AC82),EXTRACTNUMBER(AE82)))</f>
        <v>420</v>
      </c>
      <c r="AH82" s="38" t="str">
        <f t="shared" ca="1" si="31"/>
        <v>FAIL</v>
      </c>
      <c r="AI82" s="28" t="str">
        <f>spellnumber(EXTRACTnUMBER_TOT(AG82))</f>
        <v xml:space="preserve">Four Hundred Twenty  </v>
      </c>
    </row>
    <row r="83" spans="1:35" ht="15" customHeight="1">
      <c r="A83" s="58">
        <v>223283</v>
      </c>
      <c r="B83" s="32" t="s">
        <v>241</v>
      </c>
      <c r="C83" s="60" t="s">
        <v>460</v>
      </c>
      <c r="D83" s="61" t="str">
        <f t="shared" ca="1" si="17"/>
        <v>F</v>
      </c>
      <c r="E83" s="62">
        <v>12</v>
      </c>
      <c r="F83" s="61" t="str">
        <f t="shared" ca="1" si="18"/>
        <v>E</v>
      </c>
      <c r="G83" s="63">
        <v>52</v>
      </c>
      <c r="H83" s="61" t="str">
        <f t="shared" ca="1" si="19"/>
        <v>E</v>
      </c>
      <c r="I83" s="62">
        <v>18</v>
      </c>
      <c r="J83" s="61" t="str">
        <f t="shared" ca="1" si="20"/>
        <v>E</v>
      </c>
      <c r="K83" s="62">
        <v>17</v>
      </c>
      <c r="L83" s="61" t="str">
        <f t="shared" ca="1" si="21"/>
        <v>E</v>
      </c>
      <c r="M83" s="63">
        <v>40</v>
      </c>
      <c r="N83" s="61" t="str">
        <f t="shared" ca="1" si="16"/>
        <v>E</v>
      </c>
      <c r="O83" s="62">
        <v>16</v>
      </c>
      <c r="P83" s="64" t="str">
        <f t="shared" ca="1" si="22"/>
        <v>E</v>
      </c>
      <c r="Q83" s="60">
        <v>46</v>
      </c>
      <c r="R83" s="61" t="str">
        <f t="shared" ca="1" si="23"/>
        <v>E</v>
      </c>
      <c r="S83" s="62">
        <v>20</v>
      </c>
      <c r="T83" s="64" t="str">
        <f t="shared" ca="1" si="24"/>
        <v>E</v>
      </c>
      <c r="U83" s="60">
        <v>40</v>
      </c>
      <c r="V83" s="61" t="str">
        <f t="shared" ca="1" si="25"/>
        <v>E</v>
      </c>
      <c r="W83" s="62">
        <v>17</v>
      </c>
      <c r="X83" s="64" t="str">
        <f t="shared" ca="1" si="26"/>
        <v>E</v>
      </c>
      <c r="Y83" s="62">
        <v>18</v>
      </c>
      <c r="Z83" s="64" t="str">
        <f t="shared" ca="1" si="27"/>
        <v>E</v>
      </c>
      <c r="AA83" s="60">
        <v>40</v>
      </c>
      <c r="AB83" s="61" t="str">
        <f t="shared" ca="1" si="28"/>
        <v>E</v>
      </c>
      <c r="AC83" s="62">
        <v>19</v>
      </c>
      <c r="AD83" s="61" t="str">
        <f t="shared" ca="1" si="29"/>
        <v>E</v>
      </c>
      <c r="AE83" s="62">
        <v>32</v>
      </c>
      <c r="AF83" s="64" t="str">
        <f t="shared" ca="1" si="30"/>
        <v>E</v>
      </c>
      <c r="AG83" s="66">
        <f>IF(OR(AND(C83&gt;=31,C83&lt;40),AND(G83&gt;=31,G83&lt;40),AND(M83&gt;=31,M83&lt;40),AND(Q83&gt;=31,Q83&lt;40),AND(U83&gt;=31,U83&lt;40),AND(AA83&gt;=31,AA83&lt;40)),IF(AND(OR(COUNTIF(C83:AF83,"=31")&gt;=1,COUNTIF(C83:AF83,"=32")&gt;=1,COUNTIF(C83:AF83,"=33")&gt;=1,COUNTIF(C83:AF83,"=34")&gt;=1,COUNTIF(C83:AF83,"=35")&gt;=1,COUNTIF(C83:AF83,"=36")&gt;=1 ),COUNTIF(C83:AF83,"")=0,COUNTIF(C83:AF83," ")=0,COUNTIF(C83:AF83,"F")=1),CONCATENATE(SUM(EXTRACTNUMBER(C83),EXTRACTNUMBER(E83),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EXTRACTNUMBER(AC83),EXTRACTNUMBER(AE83)),"*"),IF(AND(COUNTIF(C83:AF83,"=34")&gt;=1,COUNTIF(C83:AF83,"=35")&gt;=1,COUNTIF(C83:AF83,"f")=2,COUNTIF(C83:AF83,"")=0,COUNTIF(C83:AF83," ")=0),CONCATENATE(SUM(EXTRACTNUMBER(C83),EXTRACTNUMBER(E83),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EXTRACTNUMBER(AC83),EXTRACTNUMBER(AE83)),"*"),IF(AND(COUNTIF(C83:AF83,"=36")&gt;=2,COUNTIF(C83:AF83,"f")=2,COUNTIF(C83:AF83,"")=0,COUNTIF(C83:AF83," ")=0),CONCATENATE(SUM(EXTRACTNUMBER(C83),EXTRACTNUMBER(E83),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EXTRACTNUMBER(AC83),EXTRACTNUMBER(AE83)),"*"),SUM(EXTRACTNUMBER(C83),EXTRACTNUMBER(E83),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EXTRACTNUMBER(AC83),EXTRACTNUMBER(AE83))))),SUM(EXTRACTNUMBER(C83),EXTRACTNUMBER(E83),
EXTRACTNUMBER(G83),EXTRACTNUMBER(I83),
EXTRACTNUMBER(K83),EXTRACTNUMBER(M83),
EXTRACTNUMBER(O83),EXTRACTNUMBER(Q83),
EXTRACTNUMBER(S83),EXTRACTNUMBER(U83),
EXTRACTNUMBER(W83),EXTRACTNUMBER(Y83),EXTRACTNUMBER(AA83),
EXTRACTNUMBER(AC83),EXTRACTNUMBER(AE83)))</f>
        <v>388</v>
      </c>
      <c r="AH83" s="38" t="str">
        <f t="shared" ca="1" si="31"/>
        <v>FAIL</v>
      </c>
      <c r="AI83" s="28" t="str">
        <f>spellnumber(EXTRACTnUMBER_TOT(AG83))</f>
        <v xml:space="preserve">Three Hundred Eighty Eight </v>
      </c>
    </row>
    <row r="84" spans="1:35" ht="15" customHeight="1">
      <c r="A84" s="58">
        <v>223284</v>
      </c>
      <c r="B84" s="32" t="s">
        <v>242</v>
      </c>
      <c r="C84" s="60">
        <v>40</v>
      </c>
      <c r="D84" s="61" t="str">
        <f t="shared" ca="1" si="17"/>
        <v/>
      </c>
      <c r="E84" s="62">
        <v>18</v>
      </c>
      <c r="F84" s="61" t="str">
        <f t="shared" ca="1" si="18"/>
        <v/>
      </c>
      <c r="G84" s="63">
        <v>82</v>
      </c>
      <c r="H84" s="61" t="str">
        <f t="shared" ca="1" si="19"/>
        <v/>
      </c>
      <c r="I84" s="62">
        <v>23</v>
      </c>
      <c r="J84" s="61" t="str">
        <f t="shared" ca="1" si="20"/>
        <v/>
      </c>
      <c r="K84" s="62">
        <v>18</v>
      </c>
      <c r="L84" s="61" t="str">
        <f t="shared" ca="1" si="21"/>
        <v/>
      </c>
      <c r="M84" s="63">
        <v>76</v>
      </c>
      <c r="N84" s="61" t="str">
        <f t="shared" ca="1" si="16"/>
        <v/>
      </c>
      <c r="O84" s="62">
        <v>23</v>
      </c>
      <c r="P84" s="64" t="str">
        <f t="shared" ca="1" si="22"/>
        <v/>
      </c>
      <c r="Q84" s="60">
        <v>66</v>
      </c>
      <c r="R84" s="61" t="str">
        <f t="shared" ca="1" si="23"/>
        <v/>
      </c>
      <c r="S84" s="62">
        <v>23</v>
      </c>
      <c r="T84" s="64" t="str">
        <f t="shared" ca="1" si="24"/>
        <v/>
      </c>
      <c r="U84" s="60">
        <v>56</v>
      </c>
      <c r="V84" s="61" t="str">
        <f t="shared" ca="1" si="25"/>
        <v/>
      </c>
      <c r="W84" s="62">
        <v>20</v>
      </c>
      <c r="X84" s="64" t="str">
        <f t="shared" ca="1" si="26"/>
        <v/>
      </c>
      <c r="Y84" s="62">
        <v>21</v>
      </c>
      <c r="Z84" s="64" t="str">
        <f t="shared" ca="1" si="27"/>
        <v/>
      </c>
      <c r="AA84" s="60">
        <v>40</v>
      </c>
      <c r="AB84" s="61" t="str">
        <f t="shared" ca="1" si="28"/>
        <v/>
      </c>
      <c r="AC84" s="62">
        <v>18</v>
      </c>
      <c r="AD84" s="61" t="str">
        <f t="shared" ca="1" si="29"/>
        <v/>
      </c>
      <c r="AE84" s="62">
        <v>41</v>
      </c>
      <c r="AF84" s="64" t="str">
        <f t="shared" ca="1" si="30"/>
        <v/>
      </c>
      <c r="AG84" s="66">
        <f>IF(OR(AND(C84&gt;=31,C84&lt;40),AND(G84&gt;=31,G84&lt;40),AND(M84&gt;=31,M84&lt;40),AND(Q84&gt;=31,Q84&lt;40),AND(U84&gt;=31,U84&lt;40),AND(AA84&gt;=31,AA84&lt;40)),IF(AND(OR(COUNTIF(C84:AF84,"=31")&gt;=1,COUNTIF(C84:AF84,"=32")&gt;=1,COUNTIF(C84:AF84,"=33")&gt;=1,COUNTIF(C84:AF84,"=34")&gt;=1,COUNTIF(C84:AF84,"=35")&gt;=1,COUNTIF(C84:AF84,"=36")&gt;=1 ),COUNTIF(C84:AF84,"")=0,COUNTIF(C84:AF84," ")=0,COUNTIF(C84:AF84,"F")=1),CONCATENATE(SUM(EXTRACTNUMBER(C84),EXTRACTNUMBER(E84),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EXTRACTNUMBER(AC84),EXTRACTNUMBER(AE84)),"*"),IF(AND(COUNTIF(C84:AF84,"=34")&gt;=1,COUNTIF(C84:AF84,"=35")&gt;=1,COUNTIF(C84:AF84,"f")=2,COUNTIF(C84:AF84,"")=0,COUNTIF(C84:AF84,"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EXTRACTNUMBER(AC84),EXTRACTNUMBER(AE84)),"*"),IF(AND(COUNTIF(C84:AF84,"=36")&gt;=2,COUNTIF(C84:AF84,"f")=2,COUNTIF(C84:AF84,"")=0,COUNTIF(C84:AF84," ")=0),CONCATENATE(SUM(EXTRACTNUMBER(C84),EXTRACTNUMBER(E84),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EXTRACTNUMBER(AC84),EXTRACTNUMBER(AE84)),"*"),SUM(EXTRACTNUMBER(C84),EXTRACTNUMBER(E84),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EXTRACTNUMBER(AC84),EXTRACTNUMBER(AE84))))),SUM(EXTRACTNUMBER(C84),EXTRACTNUMBER(E84),
EXTRACTNUMBER(G84),EXTRACTNUMBER(I84),
EXTRACTNUMBER(K84),EXTRACTNUMBER(M84),
EXTRACTNUMBER(O84),EXTRACTNUMBER(Q84),
EXTRACTNUMBER(S84),EXTRACTNUMBER(U84),
EXTRACTNUMBER(W84),EXTRACTNUMBER(Y84),EXTRACTNUMBER(AA84),
EXTRACTNUMBER(AC84),EXTRACTNUMBER(AE84)))</f>
        <v>565</v>
      </c>
      <c r="AH84" s="38" t="str">
        <f t="shared" ca="1" si="31"/>
        <v>PASS</v>
      </c>
      <c r="AI84" s="28" t="str">
        <f>spellnumber(EXTRACTnUMBER_TOT(AG84))</f>
        <v xml:space="preserve">Five Hundred Sixty Five </v>
      </c>
    </row>
    <row r="85" spans="1:35" ht="15" customHeight="1">
      <c r="A85" s="58">
        <v>223285</v>
      </c>
      <c r="B85" s="32" t="s">
        <v>243</v>
      </c>
      <c r="C85" s="60">
        <v>51</v>
      </c>
      <c r="D85" s="61" t="str">
        <f t="shared" ca="1" si="17"/>
        <v/>
      </c>
      <c r="E85" s="62">
        <v>15</v>
      </c>
      <c r="F85" s="61" t="str">
        <f t="shared" ca="1" si="18"/>
        <v/>
      </c>
      <c r="G85" s="63">
        <v>61</v>
      </c>
      <c r="H85" s="61" t="str">
        <f t="shared" ca="1" si="19"/>
        <v/>
      </c>
      <c r="I85" s="62">
        <v>19</v>
      </c>
      <c r="J85" s="61" t="str">
        <f t="shared" ca="1" si="20"/>
        <v/>
      </c>
      <c r="K85" s="62">
        <v>17</v>
      </c>
      <c r="L85" s="61" t="str">
        <f t="shared" ca="1" si="21"/>
        <v/>
      </c>
      <c r="M85" s="63">
        <v>80</v>
      </c>
      <c r="N85" s="61" t="str">
        <f t="shared" ca="1" si="16"/>
        <v/>
      </c>
      <c r="O85" s="62">
        <v>17</v>
      </c>
      <c r="P85" s="64" t="str">
        <f t="shared" ca="1" si="22"/>
        <v/>
      </c>
      <c r="Q85" s="60">
        <v>61</v>
      </c>
      <c r="R85" s="61" t="str">
        <f t="shared" ca="1" si="23"/>
        <v/>
      </c>
      <c r="S85" s="62">
        <v>18</v>
      </c>
      <c r="T85" s="64" t="str">
        <f t="shared" ca="1" si="24"/>
        <v/>
      </c>
      <c r="U85" s="60">
        <v>45</v>
      </c>
      <c r="V85" s="61" t="str">
        <f t="shared" ca="1" si="25"/>
        <v/>
      </c>
      <c r="W85" s="62">
        <v>21</v>
      </c>
      <c r="X85" s="64" t="str">
        <f t="shared" ca="1" si="26"/>
        <v/>
      </c>
      <c r="Y85" s="62">
        <v>21</v>
      </c>
      <c r="Z85" s="64" t="str">
        <f t="shared" ca="1" si="27"/>
        <v/>
      </c>
      <c r="AA85" s="60" t="s">
        <v>436</v>
      </c>
      <c r="AB85" s="61" t="str">
        <f t="shared" ca="1" si="28"/>
        <v/>
      </c>
      <c r="AC85" s="62">
        <v>14</v>
      </c>
      <c r="AD85" s="61" t="str">
        <f t="shared" ca="1" si="29"/>
        <v/>
      </c>
      <c r="AE85" s="62">
        <v>40</v>
      </c>
      <c r="AF85" s="64" t="str">
        <f t="shared" ca="1" si="30"/>
        <v/>
      </c>
      <c r="AG85" s="66" t="s">
        <v>432</v>
      </c>
      <c r="AH85" s="38" t="str">
        <f t="shared" ca="1" si="31"/>
        <v>PASS</v>
      </c>
      <c r="AI85" s="28" t="str">
        <f>spellnumber(EXTRACTnUMBER_TOT(AG85))</f>
        <v xml:space="preserve">Five Hundred Fourteen </v>
      </c>
    </row>
    <row r="86" spans="1:35" ht="15" customHeight="1">
      <c r="A86" s="58">
        <v>223286</v>
      </c>
      <c r="B86" s="32" t="s">
        <v>244</v>
      </c>
      <c r="C86" s="60" t="s">
        <v>459</v>
      </c>
      <c r="D86" s="61" t="str">
        <f t="shared" ca="1" si="17"/>
        <v>F</v>
      </c>
      <c r="E86" s="62">
        <v>10</v>
      </c>
      <c r="F86" s="61" t="str">
        <f t="shared" ca="1" si="18"/>
        <v>E</v>
      </c>
      <c r="G86" s="63">
        <v>13</v>
      </c>
      <c r="H86" s="61" t="str">
        <f t="shared" ca="1" si="19"/>
        <v>F</v>
      </c>
      <c r="I86" s="62">
        <v>19</v>
      </c>
      <c r="J86" s="61" t="str">
        <f t="shared" ca="1" si="20"/>
        <v>E</v>
      </c>
      <c r="K86" s="62">
        <v>17</v>
      </c>
      <c r="L86" s="61" t="str">
        <f t="shared" ca="1" si="21"/>
        <v>E</v>
      </c>
      <c r="M86" s="63">
        <v>20</v>
      </c>
      <c r="N86" s="61" t="str">
        <f t="shared" ca="1" si="16"/>
        <v>F</v>
      </c>
      <c r="O86" s="62">
        <v>12</v>
      </c>
      <c r="P86" s="64" t="str">
        <f t="shared" ca="1" si="22"/>
        <v>E</v>
      </c>
      <c r="Q86" s="60" t="s">
        <v>458</v>
      </c>
      <c r="R86" s="61" t="str">
        <f t="shared" ca="1" si="23"/>
        <v>F</v>
      </c>
      <c r="S86" s="62">
        <v>14</v>
      </c>
      <c r="T86" s="64" t="str">
        <f t="shared" ca="1" si="24"/>
        <v>E</v>
      </c>
      <c r="U86" s="60" t="s">
        <v>459</v>
      </c>
      <c r="V86" s="61" t="str">
        <f t="shared" ca="1" si="25"/>
        <v>F</v>
      </c>
      <c r="W86" s="62">
        <v>20</v>
      </c>
      <c r="X86" s="64" t="str">
        <f t="shared" ca="1" si="26"/>
        <v>E</v>
      </c>
      <c r="Y86" s="62">
        <v>18</v>
      </c>
      <c r="Z86" s="64" t="str">
        <f t="shared" ca="1" si="27"/>
        <v>E</v>
      </c>
      <c r="AA86" s="60" t="s">
        <v>455</v>
      </c>
      <c r="AB86" s="61" t="str">
        <f t="shared" ca="1" si="28"/>
        <v>F</v>
      </c>
      <c r="AC86" s="62">
        <v>20</v>
      </c>
      <c r="AD86" s="61" t="str">
        <f t="shared" ca="1" si="29"/>
        <v>E</v>
      </c>
      <c r="AE86" s="62">
        <v>35</v>
      </c>
      <c r="AF86" s="64" t="str">
        <f t="shared" ca="1" si="30"/>
        <v>E</v>
      </c>
      <c r="AG86" s="66">
        <f>IF(OR(AND(C86&gt;=31,C86&lt;40),AND(G86&gt;=31,G86&lt;40),AND(M86&gt;=31,M86&lt;40),AND(Q86&gt;=31,Q86&lt;40),AND(U86&gt;=31,U86&lt;40),AND(AA86&gt;=31,AA86&lt;40)),IF(AND(OR(COUNTIF(C86:AF86,"=31")&gt;=1,COUNTIF(C86:AF86,"=32")&gt;=1,COUNTIF(C86:AF86,"=33")&gt;=1,COUNTIF(C86:AF86,"=34")&gt;=1,COUNTIF(C86:AF86,"=35")&gt;=1,COUNTIF(C86:AF86,"=36")&gt;=1 ),COUNTIF(C86:AF86,"")=0,COUNTIF(C86:AF86," ")=0,COUNTIF(C86:AF86,"F")=1),CONCATENATE(SUM(EXTRACTNUMBER(C86),EXTRACTNUMBER(E86),
EXTRACTNUMBER(G86),EXTRACTNUMBER(I86),
EXTRACTNUMBER(K86),EXTRACTNUMBER(M86),
EXTRACTNUMBER(O86),EXTRACTNUMBER(Q86),
EXTRACTNUMBER(S86),EXTRACTNUMBER(U86),
EXTRACTNUMBER(W86),EXTRACTNUMBER(Y86),EXTRACTNUMBER(AA86),
EXTRACTNUMBER(AC86),EXTRACTNUMBER(AE86)),"*"),IF(AND(COUNTIF(C86:AF86,"=34")&gt;=1,COUNTIF(C86:AF86,"=35")&gt;=1,COUNTIF(C86:AF86,"f")=2,COUNTIF(C86:AF86,"")=0,COUNTIF(C86:AF86," ")=0),CONCATENATE(SUM(EXTRACTNUMBER(C86),EXTRACTNUMBER(E86),
EXTRACTNUMBER(G86),EXTRACTNUMBER(I86),
EXTRACTNUMBER(K86),EXTRACTNUMBER(M86),
EXTRACTNUMBER(O86),EXTRACTNUMBER(Q86),
EXTRACTNUMBER(S86),EXTRACTNUMBER(U86),
EXTRACTNUMBER(W86),EXTRACTNUMBER(Y86),EXTRACTNUMBER(AA86),
EXTRACTNUMBER(AC86),EXTRACTNUMBER(AE86)),"*"),IF(AND(COUNTIF(C86:AF86,"=36")&gt;=2,COUNTIF(C86:AF86,"f")=2,COUNTIF(C86:AF86,"")=0,COUNTIF(C86:AF86," ")=0),CONCATENATE(SUM(EXTRACTNUMBER(C86),EXTRACTNUMBER(E86),
EXTRACTNUMBER(G86),EXTRACTNUMBER(I86),
EXTRACTNUMBER(K86),EXTRACTNUMBER(M86),
EXTRACTNUMBER(O86),EXTRACTNUMBER(Q86),
EXTRACTNUMBER(S86),EXTRACTNUMBER(U86),
EXTRACTNUMBER(W86),EXTRACTNUMBER(Y86),EXTRACTNUMBER(AA86),
EXTRACTNUMBER(AC86),EXTRACTNUMBER(AE86)),"*"),SUM(EXTRACTNUMBER(C86),EXTRACTNUMBER(E86),
EXTRACTNUMBER(G86),EXTRACTNUMBER(I86),
EXTRACTNUMBER(K86),EXTRACTNUMBER(M86),
EXTRACTNUMBER(O86),EXTRACTNUMBER(Q86),
EXTRACTNUMBER(S86),EXTRACTNUMBER(U86),
EXTRACTNUMBER(W86),EXTRACTNUMBER(Y86),EXTRACTNUMBER(AA86),
EXTRACTNUMBER(AC86),EXTRACTNUMBER(AE86))))),SUM(EXTRACTNUMBER(C86),EXTRACTNUMBER(E86),
EXTRACTNUMBER(G86),EXTRACTNUMBER(I86),
EXTRACTNUMBER(K86),EXTRACTNUMBER(M86),
EXTRACTNUMBER(O86),EXTRACTNUMBER(Q86),
EXTRACTNUMBER(S86),EXTRACTNUMBER(U86),
EXTRACTNUMBER(W86),EXTRACTNUMBER(Y86),EXTRACTNUMBER(AA86),
EXTRACTNUMBER(AC86),EXTRACTNUMBER(AE86)))</f>
        <v>218</v>
      </c>
      <c r="AH86" s="38" t="str">
        <f t="shared" ca="1" si="31"/>
        <v>FAIL</v>
      </c>
      <c r="AI86" s="28" t="str">
        <f>spellnumber(EXTRACTnUMBER_TOT(AG86))</f>
        <v xml:space="preserve">Two Hundred Eighteen </v>
      </c>
    </row>
    <row r="87" spans="1:35" ht="15" customHeight="1">
      <c r="A87" s="58">
        <v>223287</v>
      </c>
      <c r="B87" s="32" t="s">
        <v>245</v>
      </c>
      <c r="C87" s="60">
        <v>27</v>
      </c>
      <c r="D87" s="61" t="str">
        <f t="shared" ca="1" si="17"/>
        <v>F</v>
      </c>
      <c r="E87" s="62">
        <v>16</v>
      </c>
      <c r="F87" s="61" t="str">
        <f t="shared" ca="1" si="18"/>
        <v>E</v>
      </c>
      <c r="G87" s="63">
        <v>40</v>
      </c>
      <c r="H87" s="61" t="str">
        <f t="shared" ca="1" si="19"/>
        <v>E</v>
      </c>
      <c r="I87" s="62">
        <v>19</v>
      </c>
      <c r="J87" s="61" t="str">
        <f t="shared" ca="1" si="20"/>
        <v>E</v>
      </c>
      <c r="K87" s="62">
        <v>18</v>
      </c>
      <c r="L87" s="61" t="str">
        <f t="shared" ca="1" si="21"/>
        <v>E</v>
      </c>
      <c r="M87" s="63">
        <v>46</v>
      </c>
      <c r="N87" s="61" t="str">
        <f t="shared" ca="1" si="16"/>
        <v>E</v>
      </c>
      <c r="O87" s="62">
        <v>14</v>
      </c>
      <c r="P87" s="64" t="str">
        <f t="shared" ca="1" si="22"/>
        <v>E</v>
      </c>
      <c r="Q87" s="60">
        <v>40</v>
      </c>
      <c r="R87" s="61" t="str">
        <f t="shared" ca="1" si="23"/>
        <v>E</v>
      </c>
      <c r="S87" s="62">
        <v>22</v>
      </c>
      <c r="T87" s="64" t="str">
        <f t="shared" ca="1" si="24"/>
        <v>E</v>
      </c>
      <c r="U87" s="60">
        <v>40</v>
      </c>
      <c r="V87" s="61" t="str">
        <f t="shared" ca="1" si="25"/>
        <v>E</v>
      </c>
      <c r="W87" s="62">
        <v>19</v>
      </c>
      <c r="X87" s="64" t="str">
        <f t="shared" ca="1" si="26"/>
        <v>E</v>
      </c>
      <c r="Y87" s="62">
        <v>18</v>
      </c>
      <c r="Z87" s="64" t="str">
        <f t="shared" ca="1" si="27"/>
        <v>E</v>
      </c>
      <c r="AA87" s="60">
        <v>40</v>
      </c>
      <c r="AB87" s="61" t="str">
        <f t="shared" ca="1" si="28"/>
        <v>E</v>
      </c>
      <c r="AC87" s="62">
        <v>20</v>
      </c>
      <c r="AD87" s="61" t="str">
        <f t="shared" ca="1" si="29"/>
        <v>E</v>
      </c>
      <c r="AE87" s="62">
        <v>40</v>
      </c>
      <c r="AF87" s="64" t="str">
        <f t="shared" ca="1" si="30"/>
        <v>E</v>
      </c>
      <c r="AG87" s="66">
        <f>IF(OR(AND(C87&gt;=31,C87&lt;40),AND(G87&gt;=31,G87&lt;40),AND(M87&gt;=31,M87&lt;40),AND(Q87&gt;=31,Q87&lt;40),AND(U87&gt;=31,U87&lt;40),AND(AA87&gt;=31,AA87&lt;40)),IF(AND(OR(COUNTIF(C87:AF87,"=31")&gt;=1,COUNTIF(C87:AF87,"=32")&gt;=1,COUNTIF(C87:AF87,"=33")&gt;=1,COUNTIF(C87:AF87,"=34")&gt;=1,COUNTIF(C87:AF87,"=35")&gt;=1,COUNTIF(C87:AF87,"=36")&gt;=1 ),COUNTIF(C87:AF87,"")=0,COUNTIF(C87:AF87," ")=0,COUNTIF(C87:AF87,"F")=1),CONCATENATE(SUM(EXTRACTNUMBER(C87),EXTRACTNUMBER(E87),
EXTRACTNUMBER(G87),EXTRACTNUMBER(I87),
EXTRACTNUMBER(K87),EXTRACTNUMBER(M87),
EXTRACTNUMBER(O87),EXTRACTNUMBER(Q87),
EXTRACTNUMBER(S87),EXTRACTNUMBER(U87),
EXTRACTNUMBER(W87),EXTRACTNUMBER(Y87),EXTRACTNUMBER(AA87),
EXTRACTNUMBER(AC87),EXTRACTNUMBER(AE87)),"*"),IF(AND(COUNTIF(C87:AF87,"=34")&gt;=1,COUNTIF(C87:AF87,"=35")&gt;=1,COUNTIF(C87:AF87,"f")=2,COUNTIF(C87:AF87,"")=0,COUNTIF(C87:AF87," ")=0),CONCATENATE(SUM(EXTRACTNUMBER(C87),EXTRACTNUMBER(E87),
EXTRACTNUMBER(G87),EXTRACTNUMBER(I87),
EXTRACTNUMBER(K87),EXTRACTNUMBER(M87),
EXTRACTNUMBER(O87),EXTRACTNUMBER(Q87),
EXTRACTNUMBER(S87),EXTRACTNUMBER(U87),
EXTRACTNUMBER(W87),EXTRACTNUMBER(Y87),EXTRACTNUMBER(AA87),
EXTRACTNUMBER(AC87),EXTRACTNUMBER(AE87)),"*"),IF(AND(COUNTIF(C87:AF87,"=36")&gt;=2,COUNTIF(C87:AF87,"f")=2,COUNTIF(C87:AF87,"")=0,COUNTIF(C87:AF87," ")=0),CONCATENATE(SUM(EXTRACTNUMBER(C87),EXTRACTNUMBER(E87),
EXTRACTNUMBER(G87),EXTRACTNUMBER(I87),
EXTRACTNUMBER(K87),EXTRACTNUMBER(M87),
EXTRACTNUMBER(O87),EXTRACTNUMBER(Q87),
EXTRACTNUMBER(S87),EXTRACTNUMBER(U87),
EXTRACTNUMBER(W87),EXTRACTNUMBER(Y87),EXTRACTNUMBER(AA87),
EXTRACTNUMBER(AC87),EXTRACTNUMBER(AE87)),"*"),SUM(EXTRACTNUMBER(C87),EXTRACTNUMBER(E87),
EXTRACTNUMBER(G87),EXTRACTNUMBER(I87),
EXTRACTNUMBER(K87),EXTRACTNUMBER(M87),
EXTRACTNUMBER(O87),EXTRACTNUMBER(Q87),
EXTRACTNUMBER(S87),EXTRACTNUMBER(U87),
EXTRACTNUMBER(W87),EXTRACTNUMBER(Y87),EXTRACTNUMBER(AA87),
EXTRACTNUMBER(AC87),EXTRACTNUMBER(AE87))))),SUM(EXTRACTNUMBER(C87),EXTRACTNUMBER(E87),
EXTRACTNUMBER(G87),EXTRACTNUMBER(I87),
EXTRACTNUMBER(K87),EXTRACTNUMBER(M87),
EXTRACTNUMBER(O87),EXTRACTNUMBER(Q87),
EXTRACTNUMBER(S87),EXTRACTNUMBER(U87),
EXTRACTNUMBER(W87),EXTRACTNUMBER(Y87),EXTRACTNUMBER(AA87),
EXTRACTNUMBER(AC87),EXTRACTNUMBER(AE87)))</f>
        <v>419</v>
      </c>
      <c r="AH87" s="38" t="str">
        <f t="shared" ca="1" si="31"/>
        <v>FAIL</v>
      </c>
      <c r="AI87" s="28" t="str">
        <f>spellnumber(EXTRACTnUMBER_TOT(AG87))</f>
        <v xml:space="preserve">Four Hundred Nineteen </v>
      </c>
    </row>
    <row r="88" spans="1:35" ht="15" customHeight="1">
      <c r="A88" s="58">
        <v>223288</v>
      </c>
      <c r="B88" s="39" t="s">
        <v>246</v>
      </c>
      <c r="C88" s="60" t="s">
        <v>103</v>
      </c>
      <c r="D88" s="61" t="str">
        <f t="shared" si="17"/>
        <v/>
      </c>
      <c r="E88" s="62">
        <v>14</v>
      </c>
      <c r="F88" s="61" t="str">
        <f t="shared" ca="1" si="18"/>
        <v>E</v>
      </c>
      <c r="G88" s="63" t="s">
        <v>103</v>
      </c>
      <c r="H88" s="61" t="str">
        <f t="shared" si="19"/>
        <v/>
      </c>
      <c r="I88" s="62">
        <v>18</v>
      </c>
      <c r="J88" s="61" t="str">
        <f t="shared" ca="1" si="20"/>
        <v>E</v>
      </c>
      <c r="K88" s="62">
        <v>17</v>
      </c>
      <c r="L88" s="61" t="str">
        <f t="shared" ca="1" si="21"/>
        <v>E</v>
      </c>
      <c r="M88" s="63">
        <v>24</v>
      </c>
      <c r="N88" s="61" t="str">
        <f t="shared" ca="1" si="16"/>
        <v>F</v>
      </c>
      <c r="O88" s="62">
        <v>12</v>
      </c>
      <c r="P88" s="64" t="str">
        <f t="shared" ca="1" si="22"/>
        <v>E</v>
      </c>
      <c r="Q88" s="60" t="s">
        <v>103</v>
      </c>
      <c r="R88" s="61" t="str">
        <f t="shared" si="23"/>
        <v/>
      </c>
      <c r="S88" s="62">
        <v>20</v>
      </c>
      <c r="T88" s="64" t="str">
        <f t="shared" ca="1" si="24"/>
        <v>E</v>
      </c>
      <c r="U88" s="60" t="s">
        <v>103</v>
      </c>
      <c r="V88" s="61" t="str">
        <f t="shared" si="25"/>
        <v/>
      </c>
      <c r="W88" s="62">
        <v>14</v>
      </c>
      <c r="X88" s="64" t="str">
        <f t="shared" ca="1" si="26"/>
        <v>E</v>
      </c>
      <c r="Y88" s="62">
        <v>16</v>
      </c>
      <c r="Z88" s="64" t="str">
        <f t="shared" ca="1" si="27"/>
        <v>E</v>
      </c>
      <c r="AA88" s="60" t="s">
        <v>103</v>
      </c>
      <c r="AB88" s="61" t="str">
        <f t="shared" si="28"/>
        <v/>
      </c>
      <c r="AC88" s="62">
        <v>19</v>
      </c>
      <c r="AD88" s="61" t="str">
        <f t="shared" ca="1" si="29"/>
        <v>E</v>
      </c>
      <c r="AE88" s="62">
        <v>36</v>
      </c>
      <c r="AF88" s="64" t="str">
        <f t="shared" ca="1" si="30"/>
        <v>E</v>
      </c>
      <c r="AG88" s="66">
        <f>IF(OR(AND(C88&gt;=31,C88&lt;40),AND(G88&gt;=31,G88&lt;40),AND(M88&gt;=31,M88&lt;40),AND(Q88&gt;=31,Q88&lt;40),AND(U88&gt;=31,U88&lt;40),AND(AA88&gt;=31,AA88&lt;40)),IF(AND(OR(COUNTIF(C88:AF88,"=31")&gt;=1,COUNTIF(C88:AF88,"=32")&gt;=1,COUNTIF(C88:AF88,"=33")&gt;=1,COUNTIF(C88:AF88,"=34")&gt;=1,COUNTIF(C88:AF88,"=35")&gt;=1,COUNTIF(C88:AF88,"=36")&gt;=1 ),COUNTIF(C88:AF88,"")=0,COUNTIF(C88:AF88," ")=0,COUNTIF(C88:AF88,"F")=1),CONCATENATE(SUM(EXTRACTNUMBER(C88),EXTRACTNUMBER(E88),
EXTRACTNUMBER(G88),EXTRACTNUMBER(I88),
EXTRACTNUMBER(K88),EXTRACTNUMBER(M88),
EXTRACTNUMBER(O88),EXTRACTNUMBER(Q88),
EXTRACTNUMBER(S88),EXTRACTNUMBER(U88),
EXTRACTNUMBER(W88),EXTRACTNUMBER(Y88),EXTRACTNUMBER(AA88),
EXTRACTNUMBER(AC88),EXTRACTNUMBER(AE88)),"*"),IF(AND(COUNTIF(C88:AF88,"=34")&gt;=1,COUNTIF(C88:AF88,"=35")&gt;=1,COUNTIF(C88:AF88,"f")=2,COUNTIF(C88:AF88,"")=0,COUNTIF(C88:AF88," ")=0),CONCATENATE(SUM(EXTRACTNUMBER(C88),EXTRACTNUMBER(E88),
EXTRACTNUMBER(G88),EXTRACTNUMBER(I88),
EXTRACTNUMBER(K88),EXTRACTNUMBER(M88),
EXTRACTNUMBER(O88),EXTRACTNUMBER(Q88),
EXTRACTNUMBER(S88),EXTRACTNUMBER(U88),
EXTRACTNUMBER(W88),EXTRACTNUMBER(Y88),EXTRACTNUMBER(AA88),
EXTRACTNUMBER(AC88),EXTRACTNUMBER(AE88)),"*"),IF(AND(COUNTIF(C88:AF88,"=36")&gt;=2,COUNTIF(C88:AF88,"f")=2,COUNTIF(C88:AF88,"")=0,COUNTIF(C88:AF88," ")=0),CONCATENATE(SUM(EXTRACTNUMBER(C88),EXTRACTNUMBER(E88),
EXTRACTNUMBER(G88),EXTRACTNUMBER(I88),
EXTRACTNUMBER(K88),EXTRACTNUMBER(M88),
EXTRACTNUMBER(O88),EXTRACTNUMBER(Q88),
EXTRACTNUMBER(S88),EXTRACTNUMBER(U88),
EXTRACTNUMBER(W88),EXTRACTNUMBER(Y88),EXTRACTNUMBER(AA88),
EXTRACTNUMBER(AC88),EXTRACTNUMBER(AE88)),"*"),SUM(EXTRACTNUMBER(C88),EXTRACTNUMBER(E88),
EXTRACTNUMBER(G88),EXTRACTNUMBER(I88),
EXTRACTNUMBER(K88),EXTRACTNUMBER(M88),
EXTRACTNUMBER(O88),EXTRACTNUMBER(Q88),
EXTRACTNUMBER(S88),EXTRACTNUMBER(U88),
EXTRACTNUMBER(W88),EXTRACTNUMBER(Y88),EXTRACTNUMBER(AA88),
EXTRACTNUMBER(AC88),EXTRACTNUMBER(AE88))))),SUM(EXTRACTNUMBER(C88),EXTRACTNUMBER(E88),
EXTRACTNUMBER(G88),EXTRACTNUMBER(I88),
EXTRACTNUMBER(K88),EXTRACTNUMBER(M88),
EXTRACTNUMBER(O88),EXTRACTNUMBER(Q88),
EXTRACTNUMBER(S88),EXTRACTNUMBER(U88),
EXTRACTNUMBER(W88),EXTRACTNUMBER(Y88),EXTRACTNUMBER(AA88),
EXTRACTNUMBER(AC88),EXTRACTNUMBER(AE88)))</f>
        <v>190</v>
      </c>
      <c r="AH88" s="38" t="str">
        <f t="shared" ca="1" si="31"/>
        <v>FAIL</v>
      </c>
      <c r="AI88" s="28" t="str">
        <f>spellnumber(EXTRACTnUMBER_TOT(AG88))</f>
        <v xml:space="preserve">One Hundred Ninety </v>
      </c>
    </row>
    <row r="89" spans="1:35" ht="15" customHeight="1">
      <c r="A89" s="58">
        <v>223289</v>
      </c>
      <c r="B89" s="32" t="s">
        <v>247</v>
      </c>
      <c r="C89" s="60" t="s">
        <v>461</v>
      </c>
      <c r="D89" s="61" t="str">
        <f t="shared" ca="1" si="17"/>
        <v>F</v>
      </c>
      <c r="E89" s="62">
        <v>14</v>
      </c>
      <c r="F89" s="61" t="str">
        <f t="shared" ca="1" si="18"/>
        <v>E</v>
      </c>
      <c r="G89" s="63">
        <v>33</v>
      </c>
      <c r="H89" s="61" t="str">
        <f t="shared" ca="1" si="19"/>
        <v>F</v>
      </c>
      <c r="I89" s="62">
        <v>19</v>
      </c>
      <c r="J89" s="61" t="str">
        <f t="shared" ca="1" si="20"/>
        <v>E</v>
      </c>
      <c r="K89" s="62">
        <v>18</v>
      </c>
      <c r="L89" s="61" t="str">
        <f t="shared" ca="1" si="21"/>
        <v>E</v>
      </c>
      <c r="M89" s="63">
        <v>25</v>
      </c>
      <c r="N89" s="61" t="str">
        <f t="shared" ca="1" si="16"/>
        <v>F</v>
      </c>
      <c r="O89" s="62">
        <v>19</v>
      </c>
      <c r="P89" s="64" t="str">
        <f t="shared" ca="1" si="22"/>
        <v>E</v>
      </c>
      <c r="Q89" s="60">
        <v>42</v>
      </c>
      <c r="R89" s="61" t="str">
        <f t="shared" ca="1" si="23"/>
        <v>E</v>
      </c>
      <c r="S89" s="62">
        <v>20</v>
      </c>
      <c r="T89" s="64" t="str">
        <f t="shared" ca="1" si="24"/>
        <v>E</v>
      </c>
      <c r="U89" s="60">
        <v>22</v>
      </c>
      <c r="V89" s="61" t="str">
        <f t="shared" ca="1" si="25"/>
        <v>F</v>
      </c>
      <c r="W89" s="62">
        <v>16</v>
      </c>
      <c r="X89" s="64" t="str">
        <f t="shared" ca="1" si="26"/>
        <v>E</v>
      </c>
      <c r="Y89" s="62">
        <v>18</v>
      </c>
      <c r="Z89" s="64" t="str">
        <f t="shared" ca="1" si="27"/>
        <v>E</v>
      </c>
      <c r="AA89" s="60">
        <v>40</v>
      </c>
      <c r="AB89" s="61" t="str">
        <f t="shared" ca="1" si="28"/>
        <v>E</v>
      </c>
      <c r="AC89" s="62">
        <v>19</v>
      </c>
      <c r="AD89" s="61" t="str">
        <f t="shared" ca="1" si="29"/>
        <v>E</v>
      </c>
      <c r="AE89" s="62">
        <v>44</v>
      </c>
      <c r="AF89" s="64" t="str">
        <f t="shared" ca="1" si="30"/>
        <v>E</v>
      </c>
      <c r="AG89" s="66">
        <f ca="1">IF(OR(AND(C89&gt;=31,C89&lt;40),AND(G89&gt;=31,G89&lt;40),AND(M89&gt;=31,M89&lt;40),AND(Q89&gt;=31,Q89&lt;40),AND(U89&gt;=31,U89&lt;40),AND(AA89&gt;=31,AA89&lt;40)),IF(AND(OR(COUNTIF(C89:AF89,"=31")&gt;=1,COUNTIF(C89:AF89,"=32")&gt;=1,COUNTIF(C89:AF89,"=33")&gt;=1,COUNTIF(C89:AF89,"=34")&gt;=1,COUNTIF(C89:AF89,"=35")&gt;=1,COUNTIF(C89:AF89,"=36")&gt;=1 ),COUNTIF(C89:AF89,"")=0,COUNTIF(C89:AF89," ")=0,COUNTIF(C89:AF89,"F")=1),CONCATENATE(SUM(EXTRACTNUMBER(C89),EXTRACTNUMBER(E89),
EXTRACTNUMBER(G89),EXTRACTNUMBER(I89),
EXTRACTNUMBER(K89),EXTRACTNUMBER(M89),
EXTRACTNUMBER(O89),EXTRACTNUMBER(Q89),
EXTRACTNUMBER(S89),EXTRACTNUMBER(U89),
EXTRACTNUMBER(W89),EXTRACTNUMBER(Y89),EXTRACTNUMBER(AA89),
EXTRACTNUMBER(AC89),EXTRACTNUMBER(AE89)),"*"),IF(AND(COUNTIF(C89:AF89,"=34")&gt;=1,COUNTIF(C89:AF89,"=35")&gt;=1,COUNTIF(C89:AF89,"f")=2,COUNTIF(C89:AF89,"")=0,COUNTIF(C89:AF89," ")=0),CONCATENATE(SUM(EXTRACTNUMBER(C89),EXTRACTNUMBER(E89),
EXTRACTNUMBER(G89),EXTRACTNUMBER(I89),
EXTRACTNUMBER(K89),EXTRACTNUMBER(M89),
EXTRACTNUMBER(O89),EXTRACTNUMBER(Q89),
EXTRACTNUMBER(S89),EXTRACTNUMBER(U89),
EXTRACTNUMBER(W89),EXTRACTNUMBER(Y89),EXTRACTNUMBER(AA89),
EXTRACTNUMBER(AC89),EXTRACTNUMBER(AE89)),"*"),IF(AND(COUNTIF(C89:AF89,"=36")&gt;=2,COUNTIF(C89:AF89,"f")=2,COUNTIF(C89:AF89,"")=0,COUNTIF(C89:AF89," ")=0),CONCATENATE(SUM(EXTRACTNUMBER(C89),EXTRACTNUMBER(E89),
EXTRACTNUMBER(G89),EXTRACTNUMBER(I89),
EXTRACTNUMBER(K89),EXTRACTNUMBER(M89),
EXTRACTNUMBER(O89),EXTRACTNUMBER(Q89),
EXTRACTNUMBER(S89),EXTRACTNUMBER(U89),
EXTRACTNUMBER(W89),EXTRACTNUMBER(Y89),EXTRACTNUMBER(AA89),
EXTRACTNUMBER(AC89),EXTRACTNUMBER(AE89)),"*"),SUM(EXTRACTNUMBER(C89),EXTRACTNUMBER(E89),
EXTRACTNUMBER(G89),EXTRACTNUMBER(I89),
EXTRACTNUMBER(K89),EXTRACTNUMBER(M89),
EXTRACTNUMBER(O89),EXTRACTNUMBER(Q89),
EXTRACTNUMBER(S89),EXTRACTNUMBER(U89),
EXTRACTNUMBER(W89),EXTRACTNUMBER(Y89),EXTRACTNUMBER(AA89),
EXTRACTNUMBER(AC89),EXTRACTNUMBER(AE89))))),SUM(EXTRACTNUMBER(C89),EXTRACTNUMBER(E89),
EXTRACTNUMBER(G89),EXTRACTNUMBER(I89),
EXTRACTNUMBER(K89),EXTRACTNUMBER(M89),
EXTRACTNUMBER(O89),EXTRACTNUMBER(Q89),
EXTRACTNUMBER(S89),EXTRACTNUMBER(U89),
EXTRACTNUMBER(W89),EXTRACTNUMBER(Y89),EXTRACTNUMBER(AA89),
EXTRACTNUMBER(AC89),EXTRACTNUMBER(AE89)))</f>
        <v>355</v>
      </c>
      <c r="AH89" s="38" t="str">
        <f t="shared" ca="1" si="31"/>
        <v>FAIL</v>
      </c>
      <c r="AI89" s="28" t="e">
        <f ca="1">spellnumber(EXTRACTnUMBER_TOT(AG89))</f>
        <v>#NAME?</v>
      </c>
    </row>
    <row r="90" spans="1:35" ht="15" customHeight="1">
      <c r="A90" s="58">
        <v>223290</v>
      </c>
      <c r="B90" s="32" t="s">
        <v>248</v>
      </c>
      <c r="C90" s="60">
        <v>23</v>
      </c>
      <c r="D90" s="61" t="str">
        <f t="shared" ca="1" si="17"/>
        <v>F</v>
      </c>
      <c r="E90" s="62">
        <v>16</v>
      </c>
      <c r="F90" s="61" t="str">
        <f t="shared" ca="1" si="18"/>
        <v>E</v>
      </c>
      <c r="G90" s="63">
        <v>17</v>
      </c>
      <c r="H90" s="61" t="str">
        <f t="shared" ca="1" si="19"/>
        <v>F</v>
      </c>
      <c r="I90" s="62">
        <v>18</v>
      </c>
      <c r="J90" s="61" t="str">
        <f t="shared" ca="1" si="20"/>
        <v>E</v>
      </c>
      <c r="K90" s="62">
        <v>19</v>
      </c>
      <c r="L90" s="61" t="str">
        <f t="shared" ca="1" si="21"/>
        <v>E</v>
      </c>
      <c r="M90" s="63">
        <v>53</v>
      </c>
      <c r="N90" s="61" t="str">
        <f t="shared" ca="1" si="16"/>
        <v>E</v>
      </c>
      <c r="O90" s="62">
        <v>18</v>
      </c>
      <c r="P90" s="64" t="str">
        <f t="shared" ca="1" si="22"/>
        <v>E</v>
      </c>
      <c r="Q90" s="60">
        <v>40</v>
      </c>
      <c r="R90" s="61" t="str">
        <f t="shared" ca="1" si="23"/>
        <v>E</v>
      </c>
      <c r="S90" s="62">
        <v>20</v>
      </c>
      <c r="T90" s="64" t="str">
        <f t="shared" ca="1" si="24"/>
        <v>E</v>
      </c>
      <c r="U90" s="60" t="s">
        <v>458</v>
      </c>
      <c r="V90" s="61" t="str">
        <f t="shared" ca="1" si="25"/>
        <v>F</v>
      </c>
      <c r="W90" s="62">
        <v>14</v>
      </c>
      <c r="X90" s="64" t="str">
        <f t="shared" ca="1" si="26"/>
        <v>E</v>
      </c>
      <c r="Y90" s="62">
        <v>16</v>
      </c>
      <c r="Z90" s="64" t="str">
        <f t="shared" ca="1" si="27"/>
        <v>E</v>
      </c>
      <c r="AA90" s="60">
        <v>17</v>
      </c>
      <c r="AB90" s="61" t="str">
        <f t="shared" ca="1" si="28"/>
        <v>F</v>
      </c>
      <c r="AC90" s="62">
        <v>18</v>
      </c>
      <c r="AD90" s="61" t="str">
        <f t="shared" ca="1" si="29"/>
        <v>E</v>
      </c>
      <c r="AE90" s="62">
        <v>39</v>
      </c>
      <c r="AF90" s="64" t="str">
        <f t="shared" ca="1" si="30"/>
        <v>E</v>
      </c>
      <c r="AG90" s="66">
        <f>IF(OR(AND(C90&gt;=31,C90&lt;40),AND(G90&gt;=31,G90&lt;40),AND(M90&gt;=31,M90&lt;40),AND(Q90&gt;=31,Q90&lt;40),AND(U90&gt;=31,U90&lt;40),AND(AA90&gt;=31,AA90&lt;40)),IF(AND(OR(COUNTIF(C90:AF90,"=31")&gt;=1,COUNTIF(C90:AF90,"=32")&gt;=1,COUNTIF(C90:AF90,"=33")&gt;=1,COUNTIF(C90:AF90,"=34")&gt;=1,COUNTIF(C90:AF90,"=35")&gt;=1,COUNTIF(C90:AF90,"=36")&gt;=1 ),COUNTIF(C90:AF90,"")=0,COUNTIF(C90:AF90," ")=0,COUNTIF(C90:AF90,"F")=1),CONCATENATE(SUM(EXTRACTNUMBER(C90),EXTRACTNUMBER(E90),
EXTRACTNUMBER(G90),EXTRACTNUMBER(I90),
EXTRACTNUMBER(K90),EXTRACTNUMBER(M90),
EXTRACTNUMBER(O90),EXTRACTNUMBER(Q90),
EXTRACTNUMBER(S90),EXTRACTNUMBER(U90),
EXTRACTNUMBER(W90),EXTRACTNUMBER(Y90),EXTRACTNUMBER(AA90),
EXTRACTNUMBER(AC90),EXTRACTNUMBER(AE90)),"*"),IF(AND(COUNTIF(C90:AF90,"=34")&gt;=1,COUNTIF(C90:AF90,"=35")&gt;=1,COUNTIF(C90:AF90,"f")=2,COUNTIF(C90:AF90,"")=0,COUNTIF(C90:AF90," ")=0),CONCATENATE(SUM(EXTRACTNUMBER(C90),EXTRACTNUMBER(E90),
EXTRACTNUMBER(G90),EXTRACTNUMBER(I90),
EXTRACTNUMBER(K90),EXTRACTNUMBER(M90),
EXTRACTNUMBER(O90),EXTRACTNUMBER(Q90),
EXTRACTNUMBER(S90),EXTRACTNUMBER(U90),
EXTRACTNUMBER(W90),EXTRACTNUMBER(Y90),EXTRACTNUMBER(AA90),
EXTRACTNUMBER(AC90),EXTRACTNUMBER(AE90)),"*"),IF(AND(COUNTIF(C90:AF90,"=36")&gt;=2,COUNTIF(C90:AF90,"f")=2,COUNTIF(C90:AF90,"")=0,COUNTIF(C90:AF90," ")=0),CONCATENATE(SUM(EXTRACTNUMBER(C90),EXTRACTNUMBER(E90),
EXTRACTNUMBER(G90),EXTRACTNUMBER(I90),
EXTRACTNUMBER(K90),EXTRACTNUMBER(M90),
EXTRACTNUMBER(O90),EXTRACTNUMBER(Q90),
EXTRACTNUMBER(S90),EXTRACTNUMBER(U90),
EXTRACTNUMBER(W90),EXTRACTNUMBER(Y90),EXTRACTNUMBER(AA90),
EXTRACTNUMBER(AC90),EXTRACTNUMBER(AE90)),"*"),SUM(EXTRACTNUMBER(C90),EXTRACTNUMBER(E90),
EXTRACTNUMBER(G90),EXTRACTNUMBER(I90),
EXTRACTNUMBER(K90),EXTRACTNUMBER(M90),
EXTRACTNUMBER(O90),EXTRACTNUMBER(Q90),
EXTRACTNUMBER(S90),EXTRACTNUMBER(U90),
EXTRACTNUMBER(W90),EXTRACTNUMBER(Y90),EXTRACTNUMBER(AA90),
EXTRACTNUMBER(AC90),EXTRACTNUMBER(AE90))))),SUM(EXTRACTNUMBER(C90),EXTRACTNUMBER(E90),
EXTRACTNUMBER(G90),EXTRACTNUMBER(I90),
EXTRACTNUMBER(K90),EXTRACTNUMBER(M90),
EXTRACTNUMBER(O90),EXTRACTNUMBER(Q90),
EXTRACTNUMBER(S90),EXTRACTNUMBER(U90),
EXTRACTNUMBER(W90),EXTRACTNUMBER(Y90),EXTRACTNUMBER(AA90),
EXTRACTNUMBER(AC90),EXTRACTNUMBER(AE90)))</f>
        <v>332</v>
      </c>
      <c r="AH90" s="38" t="str">
        <f t="shared" ca="1" si="31"/>
        <v>FAIL</v>
      </c>
      <c r="AI90" s="28" t="str">
        <f>spellnumber(EXTRACTnUMBER_TOT(AG90))</f>
        <v xml:space="preserve">Three Hundred Thirty Two </v>
      </c>
    </row>
    <row r="91" spans="1:35" ht="15" customHeight="1">
      <c r="A91" s="58">
        <v>223291</v>
      </c>
      <c r="B91" s="32" t="s">
        <v>249</v>
      </c>
      <c r="C91" s="60">
        <v>12</v>
      </c>
      <c r="D91" s="61" t="str">
        <f t="shared" ca="1" si="17"/>
        <v>F</v>
      </c>
      <c r="E91" s="62">
        <v>15</v>
      </c>
      <c r="F91" s="61" t="str">
        <f t="shared" ca="1" si="18"/>
        <v>E</v>
      </c>
      <c r="G91" s="63">
        <v>55</v>
      </c>
      <c r="H91" s="61" t="str">
        <f t="shared" ca="1" si="19"/>
        <v>E</v>
      </c>
      <c r="I91" s="62">
        <v>19</v>
      </c>
      <c r="J91" s="61" t="str">
        <f t="shared" ca="1" si="20"/>
        <v>E</v>
      </c>
      <c r="K91" s="62">
        <v>18</v>
      </c>
      <c r="L91" s="61" t="str">
        <f t="shared" ca="1" si="21"/>
        <v>E</v>
      </c>
      <c r="M91" s="63">
        <v>40</v>
      </c>
      <c r="N91" s="61" t="str">
        <f t="shared" ca="1" si="16"/>
        <v>E</v>
      </c>
      <c r="O91" s="62">
        <v>15</v>
      </c>
      <c r="P91" s="64" t="str">
        <f t="shared" ca="1" si="22"/>
        <v>E</v>
      </c>
      <c r="Q91" s="60">
        <v>60</v>
      </c>
      <c r="R91" s="61" t="str">
        <f t="shared" ca="1" si="23"/>
        <v>E</v>
      </c>
      <c r="S91" s="62">
        <v>21</v>
      </c>
      <c r="T91" s="64" t="str">
        <f t="shared" ca="1" si="24"/>
        <v>E</v>
      </c>
      <c r="U91" s="60">
        <v>40</v>
      </c>
      <c r="V91" s="61" t="str">
        <f t="shared" ca="1" si="25"/>
        <v>E</v>
      </c>
      <c r="W91" s="62">
        <v>18</v>
      </c>
      <c r="X91" s="64" t="str">
        <f t="shared" ca="1" si="26"/>
        <v>E</v>
      </c>
      <c r="Y91" s="62">
        <v>19</v>
      </c>
      <c r="Z91" s="64" t="str">
        <f t="shared" ca="1" si="27"/>
        <v>E</v>
      </c>
      <c r="AA91" s="60">
        <v>30</v>
      </c>
      <c r="AB91" s="61" t="str">
        <f t="shared" ca="1" si="28"/>
        <v>F</v>
      </c>
      <c r="AC91" s="62">
        <v>20</v>
      </c>
      <c r="AD91" s="61" t="str">
        <f t="shared" ca="1" si="29"/>
        <v>E</v>
      </c>
      <c r="AE91" s="62">
        <v>41</v>
      </c>
      <c r="AF91" s="64" t="str">
        <f t="shared" ca="1" si="30"/>
        <v>E</v>
      </c>
      <c r="AG91" s="66">
        <f>IF(OR(AND(C91&gt;=31,C91&lt;40),AND(G91&gt;=31,G91&lt;40),AND(M91&gt;=31,M91&lt;40),AND(Q91&gt;=31,Q91&lt;40),AND(U91&gt;=31,U91&lt;40),AND(AA91&gt;=31,AA91&lt;40)),IF(AND(OR(COUNTIF(C91:AF91,"=31")&gt;=1,COUNTIF(C91:AF91,"=32")&gt;=1,COUNTIF(C91:AF91,"=33")&gt;=1,COUNTIF(C91:AF91,"=34")&gt;=1,COUNTIF(C91:AF91,"=35")&gt;=1,COUNTIF(C91:AF91,"=36")&gt;=1 ),COUNTIF(C91:AF91,"")=0,COUNTIF(C91:AF91," ")=0,COUNTIF(C91:AF91,"F")=1),CONCATENATE(SUM(EXTRACTNUMBER(C91),EXTRACTNUMBER(E91),
EXTRACTNUMBER(G91),EXTRACTNUMBER(I91),
EXTRACTNUMBER(K91),EXTRACTNUMBER(M91),
EXTRACTNUMBER(O91),EXTRACTNUMBER(Q91),
EXTRACTNUMBER(S91),EXTRACTNUMBER(U91),
EXTRACTNUMBER(W91),EXTRACTNUMBER(Y91),EXTRACTNUMBER(AA91),
EXTRACTNUMBER(AC91),EXTRACTNUMBER(AE91)),"*"),IF(AND(COUNTIF(C91:AF91,"=34")&gt;=1,COUNTIF(C91:AF91,"=35")&gt;=1,COUNTIF(C91:AF91,"f")=2,COUNTIF(C91:AF91,"")=0,COUNTIF(C91:AF91," ")=0),CONCATENATE(SUM(EXTRACTNUMBER(C91),EXTRACTNUMBER(E91),
EXTRACTNUMBER(G91),EXTRACTNUMBER(I91),
EXTRACTNUMBER(K91),EXTRACTNUMBER(M91),
EXTRACTNUMBER(O91),EXTRACTNUMBER(Q91),
EXTRACTNUMBER(S91),EXTRACTNUMBER(U91),
EXTRACTNUMBER(W91),EXTRACTNUMBER(Y91),EXTRACTNUMBER(AA91),
EXTRACTNUMBER(AC91),EXTRACTNUMBER(AE91)),"*"),IF(AND(COUNTIF(C91:AF91,"=36")&gt;=2,COUNTIF(C91:AF91,"f")=2,COUNTIF(C91:AF91,"")=0,COUNTIF(C91:AF91," ")=0),CONCATENATE(SUM(EXTRACTNUMBER(C91),EXTRACTNUMBER(E91),
EXTRACTNUMBER(G91),EXTRACTNUMBER(I91),
EXTRACTNUMBER(K91),EXTRACTNUMBER(M91),
EXTRACTNUMBER(O91),EXTRACTNUMBER(Q91),
EXTRACTNUMBER(S91),EXTRACTNUMBER(U91),
EXTRACTNUMBER(W91),EXTRACTNUMBER(Y91),EXTRACTNUMBER(AA91),
EXTRACTNUMBER(AC91),EXTRACTNUMBER(AE91)),"*"),SUM(EXTRACTNUMBER(C91),EXTRACTNUMBER(E91),
EXTRACTNUMBER(G91),EXTRACTNUMBER(I91),
EXTRACTNUMBER(K91),EXTRACTNUMBER(M91),
EXTRACTNUMBER(O91),EXTRACTNUMBER(Q91),
EXTRACTNUMBER(S91),EXTRACTNUMBER(U91),
EXTRACTNUMBER(W91),EXTRACTNUMBER(Y91),EXTRACTNUMBER(AA91),
EXTRACTNUMBER(AC91),EXTRACTNUMBER(AE91))))),SUM(EXTRACTNUMBER(C91),EXTRACTNUMBER(E91),
EXTRACTNUMBER(G91),EXTRACTNUMBER(I91),
EXTRACTNUMBER(K91),EXTRACTNUMBER(M91),
EXTRACTNUMBER(O91),EXTRACTNUMBER(Q91),
EXTRACTNUMBER(S91),EXTRACTNUMBER(U91),
EXTRACTNUMBER(W91),EXTRACTNUMBER(Y91),EXTRACTNUMBER(AA91),
EXTRACTNUMBER(AC91),EXTRACTNUMBER(AE91)))</f>
        <v>423</v>
      </c>
      <c r="AH91" s="38" t="str">
        <f t="shared" ca="1" si="31"/>
        <v>FAIL</v>
      </c>
      <c r="AI91" s="28" t="str">
        <f>spellnumber(EXTRACTnUMBER_TOT(AG91))</f>
        <v xml:space="preserve">Four Hundred Twenty Three </v>
      </c>
    </row>
    <row r="92" spans="1:35" ht="15" customHeight="1">
      <c r="A92" s="58">
        <v>223292</v>
      </c>
      <c r="B92" s="32" t="s">
        <v>250</v>
      </c>
      <c r="C92" s="60">
        <v>42</v>
      </c>
      <c r="D92" s="61" t="str">
        <f t="shared" ca="1" si="17"/>
        <v/>
      </c>
      <c r="E92" s="62">
        <v>17</v>
      </c>
      <c r="F92" s="61" t="str">
        <f t="shared" ca="1" si="18"/>
        <v/>
      </c>
      <c r="G92" s="63">
        <v>40</v>
      </c>
      <c r="H92" s="61" t="str">
        <f t="shared" ca="1" si="19"/>
        <v/>
      </c>
      <c r="I92" s="62">
        <v>22</v>
      </c>
      <c r="J92" s="61" t="str">
        <f t="shared" ca="1" si="20"/>
        <v/>
      </c>
      <c r="K92" s="62">
        <v>18</v>
      </c>
      <c r="L92" s="61" t="str">
        <f t="shared" ca="1" si="21"/>
        <v/>
      </c>
      <c r="M92" s="63">
        <v>63</v>
      </c>
      <c r="N92" s="61" t="str">
        <f t="shared" ca="1" si="16"/>
        <v/>
      </c>
      <c r="O92" s="62">
        <v>20</v>
      </c>
      <c r="P92" s="64" t="str">
        <f t="shared" ca="1" si="22"/>
        <v/>
      </c>
      <c r="Q92" s="60">
        <v>51</v>
      </c>
      <c r="R92" s="61" t="str">
        <f t="shared" ca="1" si="23"/>
        <v/>
      </c>
      <c r="S92" s="62">
        <v>23</v>
      </c>
      <c r="T92" s="64" t="str">
        <f t="shared" ca="1" si="24"/>
        <v/>
      </c>
      <c r="U92" s="60">
        <v>50</v>
      </c>
      <c r="V92" s="61" t="str">
        <f t="shared" ca="1" si="25"/>
        <v/>
      </c>
      <c r="W92" s="62">
        <v>21</v>
      </c>
      <c r="X92" s="64" t="str">
        <f t="shared" ca="1" si="26"/>
        <v/>
      </c>
      <c r="Y92" s="62">
        <v>22</v>
      </c>
      <c r="Z92" s="64" t="str">
        <f t="shared" ca="1" si="27"/>
        <v/>
      </c>
      <c r="AA92" s="60">
        <v>43</v>
      </c>
      <c r="AB92" s="61" t="str">
        <f t="shared" ca="1" si="28"/>
        <v/>
      </c>
      <c r="AC92" s="62">
        <v>23</v>
      </c>
      <c r="AD92" s="61" t="str">
        <f t="shared" ca="1" si="29"/>
        <v/>
      </c>
      <c r="AE92" s="62">
        <v>38</v>
      </c>
      <c r="AF92" s="64" t="str">
        <f t="shared" ca="1" si="30"/>
        <v/>
      </c>
      <c r="AG92" s="66">
        <f>IF(OR(AND(C92&gt;=31,C92&lt;40),AND(G92&gt;=31,G92&lt;40),AND(M92&gt;=31,M92&lt;40),AND(Q92&gt;=31,Q92&lt;40),AND(U92&gt;=31,U92&lt;40),AND(AA92&gt;=31,AA92&lt;40)),IF(AND(OR(COUNTIF(C92:AF92,"=31")&gt;=1,COUNTIF(C92:AF92,"=32")&gt;=1,COUNTIF(C92:AF92,"=33")&gt;=1,COUNTIF(C92:AF92,"=34")&gt;=1,COUNTIF(C92:AF92,"=35")&gt;=1,COUNTIF(C92:AF92,"=36")&gt;=1 ),COUNTIF(C92:AF92,"")=0,COUNTIF(C92:AF92," ")=0,COUNTIF(C92:AF92,"F")=1),CONCATENATE(SUM(EXTRACTNUMBER(C92),EXTRACTNUMBER(E92),
EXTRACTNUMBER(G92),EXTRACTNUMBER(I92),
EXTRACTNUMBER(K92),EXTRACTNUMBER(M92),
EXTRACTNUMBER(O92),EXTRACTNUMBER(Q92),
EXTRACTNUMBER(S92),EXTRACTNUMBER(U92),
EXTRACTNUMBER(W92),EXTRACTNUMBER(Y92),EXTRACTNUMBER(AA92),
EXTRACTNUMBER(AC92),EXTRACTNUMBER(AE92)),"*"),IF(AND(COUNTIF(C92:AF92,"=34")&gt;=1,COUNTIF(C92:AF92,"=35")&gt;=1,COUNTIF(C92:AF92,"f")=2,COUNTIF(C92:AF92,"")=0,COUNTIF(C92:AF92," ")=0),CONCATENATE(SUM(EXTRACTNUMBER(C92),EXTRACTNUMBER(E92),
EXTRACTNUMBER(G92),EXTRACTNUMBER(I92),
EXTRACTNUMBER(K92),EXTRACTNUMBER(M92),
EXTRACTNUMBER(O92),EXTRACTNUMBER(Q92),
EXTRACTNUMBER(S92),EXTRACTNUMBER(U92),
EXTRACTNUMBER(W92),EXTRACTNUMBER(Y92),EXTRACTNUMBER(AA92),
EXTRACTNUMBER(AC92),EXTRACTNUMBER(AE92)),"*"),IF(AND(COUNTIF(C92:AF92,"=36")&gt;=2,COUNTIF(C92:AF92,"f")=2,COUNTIF(C92:AF92,"")=0,COUNTIF(C92:AF92," ")=0),CONCATENATE(SUM(EXTRACTNUMBER(C92),EXTRACTNUMBER(E92),
EXTRACTNUMBER(G92),EXTRACTNUMBER(I92),
EXTRACTNUMBER(K92),EXTRACTNUMBER(M92),
EXTRACTNUMBER(O92),EXTRACTNUMBER(Q92),
EXTRACTNUMBER(S92),EXTRACTNUMBER(U92),
EXTRACTNUMBER(W92),EXTRACTNUMBER(Y92),EXTRACTNUMBER(AA92),
EXTRACTNUMBER(AC92),EXTRACTNUMBER(AE92)),"*"),SUM(EXTRACTNUMBER(C92),EXTRACTNUMBER(E92),
EXTRACTNUMBER(G92),EXTRACTNUMBER(I92),
EXTRACTNUMBER(K92),EXTRACTNUMBER(M92),
EXTRACTNUMBER(O92),EXTRACTNUMBER(Q92),
EXTRACTNUMBER(S92),EXTRACTNUMBER(U92),
EXTRACTNUMBER(W92),EXTRACTNUMBER(Y92),EXTRACTNUMBER(AA92),
EXTRACTNUMBER(AC92),EXTRACTNUMBER(AE92))))),SUM(EXTRACTNUMBER(C92),EXTRACTNUMBER(E92),
EXTRACTNUMBER(G92),EXTRACTNUMBER(I92),
EXTRACTNUMBER(K92),EXTRACTNUMBER(M92),
EXTRACTNUMBER(O92),EXTRACTNUMBER(Q92),
EXTRACTNUMBER(S92),EXTRACTNUMBER(U92),
EXTRACTNUMBER(W92),EXTRACTNUMBER(Y92),EXTRACTNUMBER(AA92),
EXTRACTNUMBER(AC92),EXTRACTNUMBER(AE92)))</f>
        <v>493</v>
      </c>
      <c r="AH92" s="38" t="str">
        <f t="shared" ca="1" si="31"/>
        <v>PASS</v>
      </c>
      <c r="AI92" s="28" t="str">
        <f>spellnumber(EXTRACTnUMBER_TOT(AG92))</f>
        <v xml:space="preserve">Four Hundred NinetyThree </v>
      </c>
    </row>
    <row r="93" spans="1:35" ht="15" customHeight="1">
      <c r="A93" s="58">
        <v>223293</v>
      </c>
      <c r="B93" s="32" t="s">
        <v>251</v>
      </c>
      <c r="C93" s="60">
        <v>18</v>
      </c>
      <c r="D93" s="61" t="str">
        <f t="shared" ca="1" si="17"/>
        <v>F</v>
      </c>
      <c r="E93" s="62">
        <v>16</v>
      </c>
      <c r="F93" s="61" t="str">
        <f t="shared" ca="1" si="18"/>
        <v>E</v>
      </c>
      <c r="G93" s="63">
        <v>32</v>
      </c>
      <c r="H93" s="61" t="str">
        <f t="shared" ca="1" si="19"/>
        <v>F</v>
      </c>
      <c r="I93" s="62">
        <v>19</v>
      </c>
      <c r="J93" s="61" t="str">
        <f t="shared" ca="1" si="20"/>
        <v>E</v>
      </c>
      <c r="K93" s="62">
        <v>19</v>
      </c>
      <c r="L93" s="61" t="str">
        <f t="shared" ca="1" si="21"/>
        <v>E</v>
      </c>
      <c r="M93" s="63">
        <v>40</v>
      </c>
      <c r="N93" s="61" t="str">
        <f t="shared" ca="1" si="16"/>
        <v>E</v>
      </c>
      <c r="O93" s="62">
        <v>19</v>
      </c>
      <c r="P93" s="64" t="str">
        <f t="shared" ca="1" si="22"/>
        <v>E</v>
      </c>
      <c r="Q93" s="60">
        <v>63</v>
      </c>
      <c r="R93" s="61" t="str">
        <f t="shared" ca="1" si="23"/>
        <v>E</v>
      </c>
      <c r="S93" s="62">
        <v>20</v>
      </c>
      <c r="T93" s="64" t="str">
        <f t="shared" ca="1" si="24"/>
        <v>E</v>
      </c>
      <c r="U93" s="60">
        <v>41</v>
      </c>
      <c r="V93" s="61" t="str">
        <f t="shared" ca="1" si="25"/>
        <v>E</v>
      </c>
      <c r="W93" s="62">
        <v>17</v>
      </c>
      <c r="X93" s="64" t="str">
        <f t="shared" ca="1" si="26"/>
        <v>E</v>
      </c>
      <c r="Y93" s="62">
        <v>19</v>
      </c>
      <c r="Z93" s="64" t="str">
        <f t="shared" ca="1" si="27"/>
        <v>E</v>
      </c>
      <c r="AA93" s="60">
        <v>59</v>
      </c>
      <c r="AB93" s="61" t="str">
        <f t="shared" ca="1" si="28"/>
        <v>E</v>
      </c>
      <c r="AC93" s="62">
        <v>21</v>
      </c>
      <c r="AD93" s="61" t="str">
        <f t="shared" ca="1" si="29"/>
        <v>E</v>
      </c>
      <c r="AE93" s="62">
        <v>40</v>
      </c>
      <c r="AF93" s="64" t="str">
        <f t="shared" ca="1" si="30"/>
        <v>E</v>
      </c>
      <c r="AG93" s="66">
        <f ca="1">IF(OR(AND(C93&gt;=31,C93&lt;40),AND(G93&gt;=31,G93&lt;40),AND(M93&gt;=31,M93&lt;40),AND(Q93&gt;=31,Q93&lt;40),AND(U93&gt;=31,U93&lt;40),AND(AA93&gt;=31,AA93&lt;40)),IF(AND(OR(COUNTIF(C93:AF93,"=31")&gt;=1,COUNTIF(C93:AF93,"=32")&gt;=1,COUNTIF(C93:AF93,"=33")&gt;=1,COUNTIF(C93:AF93,"=34")&gt;=1,COUNTIF(C93:AF93,"=35")&gt;=1,COUNTIF(C93:AF93,"=36")&gt;=1 ),COUNTIF(C93:AF93,"")=0,COUNTIF(C93:AF93," ")=0,COUNTIF(C93:AF93,"F")=1),CONCATENATE(SUM(EXTRACTNUMBER(C93),EXTRACTNUMBER(E93),
EXTRACTNUMBER(G93),EXTRACTNUMBER(I93),
EXTRACTNUMBER(K93),EXTRACTNUMBER(M93),
EXTRACTNUMBER(O93),EXTRACTNUMBER(Q93),
EXTRACTNUMBER(S93),EXTRACTNUMBER(U93),
EXTRACTNUMBER(W93),EXTRACTNUMBER(Y93),EXTRACTNUMBER(AA93),
EXTRACTNUMBER(AC93),EXTRACTNUMBER(AE93)),"*"),IF(AND(COUNTIF(C93:AF93,"=34")&gt;=1,COUNTIF(C93:AF93,"=35")&gt;=1,COUNTIF(C93:AF93,"f")=2,COUNTIF(C93:AF93,"")=0,COUNTIF(C93:AF93," ")=0),CONCATENATE(SUM(EXTRACTNUMBER(C93),EXTRACTNUMBER(E93),
EXTRACTNUMBER(G93),EXTRACTNUMBER(I93),
EXTRACTNUMBER(K93),EXTRACTNUMBER(M93),
EXTRACTNUMBER(O93),EXTRACTNUMBER(Q93),
EXTRACTNUMBER(S93),EXTRACTNUMBER(U93),
EXTRACTNUMBER(W93),EXTRACTNUMBER(Y93),EXTRACTNUMBER(AA93),
EXTRACTNUMBER(AC93),EXTRACTNUMBER(AE93)),"*"),IF(AND(COUNTIF(C93:AF93,"=36")&gt;=2,COUNTIF(C93:AF93,"f")=2,COUNTIF(C93:AF93,"")=0,COUNTIF(C93:AF93," ")=0),CONCATENATE(SUM(EXTRACTNUMBER(C93),EXTRACTNUMBER(E93),
EXTRACTNUMBER(G93),EXTRACTNUMBER(I93),
EXTRACTNUMBER(K93),EXTRACTNUMBER(M93),
EXTRACTNUMBER(O93),EXTRACTNUMBER(Q93),
EXTRACTNUMBER(S93),EXTRACTNUMBER(U93),
EXTRACTNUMBER(W93),EXTRACTNUMBER(Y93),EXTRACTNUMBER(AA93),
EXTRACTNUMBER(AC93),EXTRACTNUMBER(AE93)),"*"),SUM(EXTRACTNUMBER(C93),EXTRACTNUMBER(E93),
EXTRACTNUMBER(G93),EXTRACTNUMBER(I93),
EXTRACTNUMBER(K93),EXTRACTNUMBER(M93),
EXTRACTNUMBER(O93),EXTRACTNUMBER(Q93),
EXTRACTNUMBER(S93),EXTRACTNUMBER(U93),
EXTRACTNUMBER(W93),EXTRACTNUMBER(Y93),EXTRACTNUMBER(AA93),
EXTRACTNUMBER(AC93),EXTRACTNUMBER(AE93))))),SUM(EXTRACTNUMBER(C93),EXTRACTNUMBER(E93),
EXTRACTNUMBER(G93),EXTRACTNUMBER(I93),
EXTRACTNUMBER(K93),EXTRACTNUMBER(M93),
EXTRACTNUMBER(O93),EXTRACTNUMBER(Q93),
EXTRACTNUMBER(S93),EXTRACTNUMBER(U93),
EXTRACTNUMBER(W93),EXTRACTNUMBER(Y93),EXTRACTNUMBER(AA93),
EXTRACTNUMBER(AC93),EXTRACTNUMBER(AE93)))</f>
        <v>443</v>
      </c>
      <c r="AH93" s="38" t="str">
        <f t="shared" ca="1" si="31"/>
        <v>FAIL</v>
      </c>
      <c r="AI93" s="28" t="e">
        <f ca="1">spellnumber(EXTRACTnUMBER_TOT(AG93))</f>
        <v>#NAME?</v>
      </c>
    </row>
    <row r="94" spans="1:35" ht="15" customHeight="1">
      <c r="A94" s="58">
        <v>223294</v>
      </c>
      <c r="B94" s="32" t="s">
        <v>252</v>
      </c>
      <c r="C94" s="60">
        <v>27</v>
      </c>
      <c r="D94" s="61" t="str">
        <f t="shared" ca="1" si="17"/>
        <v>F</v>
      </c>
      <c r="E94" s="62">
        <v>24</v>
      </c>
      <c r="F94" s="61" t="str">
        <f t="shared" ca="1" si="18"/>
        <v>E</v>
      </c>
      <c r="G94" s="63">
        <v>54</v>
      </c>
      <c r="H94" s="61" t="str">
        <f t="shared" ca="1" si="19"/>
        <v>E</v>
      </c>
      <c r="I94" s="62">
        <v>24</v>
      </c>
      <c r="J94" s="61" t="str">
        <f t="shared" ca="1" si="20"/>
        <v>E</v>
      </c>
      <c r="K94" s="62">
        <v>19</v>
      </c>
      <c r="L94" s="61" t="str">
        <f t="shared" ca="1" si="21"/>
        <v>E</v>
      </c>
      <c r="M94" s="63">
        <v>67</v>
      </c>
      <c r="N94" s="61" t="str">
        <f t="shared" ca="1" si="16"/>
        <v>E</v>
      </c>
      <c r="O94" s="62">
        <v>24</v>
      </c>
      <c r="P94" s="64" t="str">
        <f t="shared" ca="1" si="22"/>
        <v>E</v>
      </c>
      <c r="Q94" s="60">
        <v>46</v>
      </c>
      <c r="R94" s="61" t="str">
        <f t="shared" ca="1" si="23"/>
        <v>E</v>
      </c>
      <c r="S94" s="62">
        <v>24</v>
      </c>
      <c r="T94" s="64" t="str">
        <f t="shared" ca="1" si="24"/>
        <v>E</v>
      </c>
      <c r="U94" s="60">
        <v>54</v>
      </c>
      <c r="V94" s="61" t="str">
        <f t="shared" ca="1" si="25"/>
        <v>E</v>
      </c>
      <c r="W94" s="62">
        <v>23</v>
      </c>
      <c r="X94" s="64" t="str">
        <f t="shared" ca="1" si="26"/>
        <v>E</v>
      </c>
      <c r="Y94" s="62">
        <v>23</v>
      </c>
      <c r="Z94" s="64" t="str">
        <f t="shared" ca="1" si="27"/>
        <v>E</v>
      </c>
      <c r="AA94" s="60">
        <v>51</v>
      </c>
      <c r="AB94" s="61" t="str">
        <f t="shared" ca="1" si="28"/>
        <v>E</v>
      </c>
      <c r="AC94" s="62">
        <v>23</v>
      </c>
      <c r="AD94" s="61" t="str">
        <f t="shared" ca="1" si="29"/>
        <v>E</v>
      </c>
      <c r="AE94" s="62">
        <v>44</v>
      </c>
      <c r="AF94" s="64" t="str">
        <f t="shared" ca="1" si="30"/>
        <v>E</v>
      </c>
      <c r="AG94" s="66">
        <f>IF(OR(AND(C94&gt;=31,C94&lt;40),AND(G94&gt;=31,G94&lt;40),AND(M94&gt;=31,M94&lt;40),AND(Q94&gt;=31,Q94&lt;40),AND(U94&gt;=31,U94&lt;40),AND(AA94&gt;=31,AA94&lt;40)),IF(AND(OR(COUNTIF(C94:AF94,"=31")&gt;=1,COUNTIF(C94:AF94,"=32")&gt;=1,COUNTIF(C94:AF94,"=33")&gt;=1,COUNTIF(C94:AF94,"=34")&gt;=1,COUNTIF(C94:AF94,"=35")&gt;=1,COUNTIF(C94:AF94,"=36")&gt;=1 ),COUNTIF(C94:AF94,"")=0,COUNTIF(C94:AF94," ")=0,COUNTIF(C94:AF94,"F")=1),CONCATENATE(SUM(EXTRACTNUMBER(C94),EXTRACTNUMBER(E94),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EXTRACTNUMBER(AC94),EXTRACTNUMBER(AE94)),"*"),IF(AND(COUNTIF(C94:AF94,"=34")&gt;=1,COUNTIF(C94:AF94,"=35")&gt;=1,COUNTIF(C94:AF94,"f")=2,COUNTIF(C94:AF94,"")=0,COUNTIF(C94:AF94," ")=0),CONCATENATE(SUM(EXTRACTNUMBER(C94),EXTRACTNUMBER(E94),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EXTRACTNUMBER(AC94),EXTRACTNUMBER(AE94)),"*"),IF(AND(COUNTIF(C94:AF94,"=36")&gt;=2,COUNTIF(C94:AF94,"f")=2,COUNTIF(C94:AF94,"")=0,COUNTIF(C94:AF94," ")=0),CONCATENATE(SUM(EXTRACTNUMBER(C94),EXTRACTNUMBER(E94),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EXTRACTNUMBER(AC94),EXTRACTNUMBER(AE94)),"*"),SUM(EXTRACTNUMBER(C94),EXTRACTNUMBER(E94),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EXTRACTNUMBER(AC94),EXTRACTNUMBER(AE94))))),SUM(EXTRACTNUMBER(C94),EXTRACTNUMBER(E94),
EXTRACTNUMBER(G94),EXTRACTNUMBER(I94),
EXTRACTNUMBER(K94),EXTRACTNUMBER(M94),
EXTRACTNUMBER(O94),EXTRACTNUMBER(Q94),
EXTRACTNUMBER(S94),EXTRACTNUMBER(U94),
EXTRACTNUMBER(W94),EXTRACTNUMBER(Y94),EXTRACTNUMBER(AA94),
EXTRACTNUMBER(AC94),EXTRACTNUMBER(AE94)))</f>
        <v>527</v>
      </c>
      <c r="AH94" s="38" t="str">
        <f t="shared" ca="1" si="31"/>
        <v>FAIL</v>
      </c>
      <c r="AI94" s="28" t="str">
        <f>spellnumber(EXTRACTnUMBER_TOT(AG94))</f>
        <v xml:space="preserve">Five Hundred Twenty Seven </v>
      </c>
    </row>
    <row r="95" spans="1:35" ht="15" customHeight="1">
      <c r="A95" s="58">
        <v>223295</v>
      </c>
      <c r="B95" s="32" t="s">
        <v>253</v>
      </c>
      <c r="C95" s="60">
        <v>18</v>
      </c>
      <c r="D95" s="61" t="str">
        <f t="shared" ca="1" si="17"/>
        <v>F</v>
      </c>
      <c r="E95" s="62">
        <v>16</v>
      </c>
      <c r="F95" s="61" t="str">
        <f t="shared" ca="1" si="18"/>
        <v>E</v>
      </c>
      <c r="G95" s="63">
        <v>62</v>
      </c>
      <c r="H95" s="61" t="str">
        <f t="shared" ca="1" si="19"/>
        <v>E</v>
      </c>
      <c r="I95" s="62">
        <v>20</v>
      </c>
      <c r="J95" s="61" t="str">
        <f t="shared" ca="1" si="20"/>
        <v>E</v>
      </c>
      <c r="K95" s="62">
        <v>18</v>
      </c>
      <c r="L95" s="61" t="str">
        <f t="shared" ca="1" si="21"/>
        <v>E</v>
      </c>
      <c r="M95" s="63">
        <v>59</v>
      </c>
      <c r="N95" s="61" t="str">
        <f t="shared" ca="1" si="16"/>
        <v>E</v>
      </c>
      <c r="O95" s="62">
        <v>20</v>
      </c>
      <c r="P95" s="64" t="str">
        <f t="shared" ca="1" si="22"/>
        <v>E</v>
      </c>
      <c r="Q95" s="60">
        <v>62</v>
      </c>
      <c r="R95" s="61" t="str">
        <f t="shared" ca="1" si="23"/>
        <v>E</v>
      </c>
      <c r="S95" s="62">
        <v>21</v>
      </c>
      <c r="T95" s="64" t="str">
        <f t="shared" ca="1" si="24"/>
        <v>E</v>
      </c>
      <c r="U95" s="60">
        <v>42</v>
      </c>
      <c r="V95" s="61" t="str">
        <f t="shared" ca="1" si="25"/>
        <v>E</v>
      </c>
      <c r="W95" s="62">
        <v>18</v>
      </c>
      <c r="X95" s="64" t="str">
        <f t="shared" ca="1" si="26"/>
        <v>E</v>
      </c>
      <c r="Y95" s="62">
        <v>19</v>
      </c>
      <c r="Z95" s="64" t="str">
        <f t="shared" ca="1" si="27"/>
        <v>E</v>
      </c>
      <c r="AA95" s="60">
        <v>56</v>
      </c>
      <c r="AB95" s="61" t="str">
        <f t="shared" ca="1" si="28"/>
        <v>E</v>
      </c>
      <c r="AC95" s="62">
        <v>22</v>
      </c>
      <c r="AD95" s="61" t="str">
        <f t="shared" ca="1" si="29"/>
        <v>E</v>
      </c>
      <c r="AE95" s="62">
        <v>40</v>
      </c>
      <c r="AF95" s="64" t="str">
        <f t="shared" ca="1" si="30"/>
        <v>E</v>
      </c>
      <c r="AG95" s="66">
        <f>IF(OR(AND(C95&gt;=31,C95&lt;40),AND(G95&gt;=31,G95&lt;40),AND(M95&gt;=31,M95&lt;40),AND(Q95&gt;=31,Q95&lt;40),AND(U95&gt;=31,U95&lt;40),AND(AA95&gt;=31,AA95&lt;40)),IF(AND(OR(COUNTIF(C95:AF95,"=31")&gt;=1,COUNTIF(C95:AF95,"=32")&gt;=1,COUNTIF(C95:AF95,"=33")&gt;=1,COUNTIF(C95:AF95,"=34")&gt;=1,COUNTIF(C95:AF95,"=35")&gt;=1,COUNTIF(C95:AF95,"=36")&gt;=1 ),COUNTIF(C95:AF95,"")=0,COUNTIF(C95:AF95," ")=0,COUNTIF(C95:AF95,"F")=1),CONCATENATE(SUM(EXTRACTNUMBER(C95),EXTRACTNUMBER(E95),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EXTRACTNUMBER(AC95),EXTRACTNUMBER(AE95)),"*"),IF(AND(COUNTIF(C95:AF95,"=34")&gt;=1,COUNTIF(C95:AF95,"=35")&gt;=1,COUNTIF(C95:AF95,"f")=2,COUNTIF(C95:AF95,"")=0,COUNTIF(C95:AF95,"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EXTRACTNUMBER(AC95),EXTRACTNUMBER(AE95)),"*"),IF(AND(COUNTIF(C95:AF95,"=36")&gt;=2,COUNTIF(C95:AF95,"f")=2,COUNTIF(C95:AF95,"")=0,COUNTIF(C95:AF95," ")=0),CONCATENATE(SUM(EXTRACTNUMBER(C95),EXTRACTNUMBER(E95),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EXTRACTNUMBER(AC95),EXTRACTNUMBER(AE95)),"*"),SUM(EXTRACTNUMBER(C95),EXTRACTNUMBER(E95),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EXTRACTNUMBER(AC95),EXTRACTNUMBER(AE95))))),SUM(EXTRACTNUMBER(C95),EXTRACTNUMBER(E95),
EXTRACTNUMBER(G95),EXTRACTNUMBER(I95),
EXTRACTNUMBER(K95),EXTRACTNUMBER(M95),
EXTRACTNUMBER(O95),EXTRACTNUMBER(Q95),
EXTRACTNUMBER(S95),EXTRACTNUMBER(U95),
EXTRACTNUMBER(W95),EXTRACTNUMBER(Y95),EXTRACTNUMBER(AA95),
EXTRACTNUMBER(AC95),EXTRACTNUMBER(AE95)))</f>
        <v>493</v>
      </c>
      <c r="AH95" s="38" t="str">
        <f t="shared" ca="1" si="31"/>
        <v>FAIL</v>
      </c>
      <c r="AI95" s="28" t="str">
        <f>spellnumber(EXTRACTnUMBER_TOT(AG95))</f>
        <v xml:space="preserve">Four Hundred NinetyThree </v>
      </c>
    </row>
    <row r="96" spans="1:35" ht="15" customHeight="1">
      <c r="A96" s="58">
        <v>223296</v>
      </c>
      <c r="B96" s="32" t="s">
        <v>254</v>
      </c>
      <c r="C96" s="60">
        <v>40</v>
      </c>
      <c r="D96" s="61"/>
      <c r="E96" s="62">
        <v>16</v>
      </c>
      <c r="F96" s="61"/>
      <c r="G96" s="63">
        <v>48</v>
      </c>
      <c r="H96" s="61"/>
      <c r="I96" s="62">
        <v>20</v>
      </c>
      <c r="J96" s="61"/>
      <c r="K96" s="62">
        <v>18</v>
      </c>
      <c r="L96" s="61"/>
      <c r="M96" s="63">
        <v>47</v>
      </c>
      <c r="N96" s="61"/>
      <c r="O96" s="62">
        <v>20</v>
      </c>
      <c r="P96" s="64"/>
      <c r="Q96" s="60" t="s">
        <v>462</v>
      </c>
      <c r="R96" s="61"/>
      <c r="S96" s="62">
        <v>23</v>
      </c>
      <c r="T96" s="64"/>
      <c r="U96" s="60">
        <v>40</v>
      </c>
      <c r="V96" s="61"/>
      <c r="W96" s="62">
        <v>18</v>
      </c>
      <c r="X96" s="64"/>
      <c r="Y96" s="62">
        <v>18</v>
      </c>
      <c r="Z96" s="64"/>
      <c r="AA96" s="60" t="s">
        <v>464</v>
      </c>
      <c r="AB96" s="61"/>
      <c r="AC96" s="62">
        <v>18</v>
      </c>
      <c r="AD96" s="61"/>
      <c r="AE96" s="62">
        <v>34</v>
      </c>
      <c r="AF96" s="64"/>
      <c r="AG96" s="66" t="s">
        <v>463</v>
      </c>
      <c r="AH96" s="38" t="str">
        <f t="shared" si="31"/>
        <v>PASS</v>
      </c>
      <c r="AI96" s="28" t="str">
        <f>spellnumber(EXTRACTnUMBER_TOT(AG96))</f>
        <v xml:space="preserve">Four Hundred Thirty Three </v>
      </c>
    </row>
    <row r="97" spans="1:35" ht="15" customHeight="1">
      <c r="A97" s="58">
        <v>223297</v>
      </c>
      <c r="B97" s="32" t="s">
        <v>255</v>
      </c>
      <c r="C97" s="60">
        <v>40</v>
      </c>
      <c r="D97" s="61" t="str">
        <f t="shared" ca="1" si="17"/>
        <v/>
      </c>
      <c r="E97" s="62">
        <v>17</v>
      </c>
      <c r="F97" s="61" t="str">
        <f t="shared" ca="1" si="18"/>
        <v/>
      </c>
      <c r="G97" s="63">
        <v>64</v>
      </c>
      <c r="H97" s="61" t="str">
        <f t="shared" ca="1" si="19"/>
        <v/>
      </c>
      <c r="I97" s="62">
        <v>21</v>
      </c>
      <c r="J97" s="61" t="str">
        <f t="shared" ca="1" si="20"/>
        <v/>
      </c>
      <c r="K97" s="62">
        <v>17</v>
      </c>
      <c r="L97" s="61" t="str">
        <f t="shared" ca="1" si="21"/>
        <v/>
      </c>
      <c r="M97" s="63">
        <v>69</v>
      </c>
      <c r="N97" s="61" t="str">
        <f t="shared" ca="1" si="16"/>
        <v/>
      </c>
      <c r="O97" s="62">
        <v>18</v>
      </c>
      <c r="P97" s="64" t="str">
        <f t="shared" ca="1" si="22"/>
        <v/>
      </c>
      <c r="Q97" s="60">
        <v>48</v>
      </c>
      <c r="R97" s="61" t="str">
        <f t="shared" ca="1" si="23"/>
        <v/>
      </c>
      <c r="S97" s="62">
        <v>23</v>
      </c>
      <c r="T97" s="64" t="str">
        <f t="shared" ca="1" si="24"/>
        <v/>
      </c>
      <c r="U97" s="60">
        <v>52</v>
      </c>
      <c r="V97" s="61" t="str">
        <f t="shared" ca="1" si="25"/>
        <v/>
      </c>
      <c r="W97" s="62">
        <v>19</v>
      </c>
      <c r="X97" s="64" t="str">
        <f t="shared" ca="1" si="26"/>
        <v/>
      </c>
      <c r="Y97" s="62">
        <v>18</v>
      </c>
      <c r="Z97" s="64" t="str">
        <f t="shared" ca="1" si="27"/>
        <v/>
      </c>
      <c r="AA97" s="60">
        <v>40</v>
      </c>
      <c r="AB97" s="61" t="str">
        <f t="shared" ca="1" si="28"/>
        <v/>
      </c>
      <c r="AC97" s="62">
        <v>20</v>
      </c>
      <c r="AD97" s="61" t="str">
        <f t="shared" ca="1" si="29"/>
        <v/>
      </c>
      <c r="AE97" s="62">
        <v>37</v>
      </c>
      <c r="AF97" s="64" t="str">
        <f t="shared" ca="1" si="30"/>
        <v/>
      </c>
      <c r="AG97" s="66">
        <f>IF(OR(AND(C97&gt;=31,C97&lt;40),AND(G97&gt;=31,G97&lt;40),AND(M97&gt;=31,M97&lt;40),AND(Q97&gt;=31,Q97&lt;40),AND(U97&gt;=31,U97&lt;40),AND(AA97&gt;=31,AA97&lt;40)),IF(AND(OR(COUNTIF(C97:AF97,"=31")&gt;=1,COUNTIF(C97:AF97,"=32")&gt;=1,COUNTIF(C97:AF97,"=33")&gt;=1,COUNTIF(C97:AF97,"=34")&gt;=1,COUNTIF(C97:AF97,"=35")&gt;=1,COUNTIF(C97:AF97,"=36")&gt;=1 ),COUNTIF(C97:AF97,"")=0,COUNTIF(C97:AF97," ")=0,COUNTIF(C97:AF97,"F")=1),CONCATENATE(SUM(EXTRACTNUMBER(C97),EXTRACTNUMBER(E97),
EXTRACTNUMBER(G97),EXTRACTNUMBER(I97),
EXTRACTNUMBER(K97),EXTRACTNUMBER(M97),
EXTRACTNUMBER(O97),EXTRACTNUMBER(Q97),
EXTRACTNUMBER(S97),EXTRACTNUMBER(U97),
EXTRACTNUMBER(W97),EXTRACTNUMBER(Y97),EXTRACTNUMBER(AA97),
EXTRACTNUMBER(AC97),EXTRACTNUMBER(AE97)),"*"),IF(AND(COUNTIF(C97:AF97,"=34")&gt;=1,COUNTIF(C97:AF97,"=35")&gt;=1,COUNTIF(C97:AF97,"f")=2,COUNTIF(C97:AF97,"")=0,COUNTIF(C97:AF97," ")=0),CONCATENATE(SUM(EXTRACTNUMBER(C97),EXTRACTNUMBER(E97),
EXTRACTNUMBER(G97),EXTRACTNUMBER(I97),
EXTRACTNUMBER(K97),EXTRACTNUMBER(M97),
EXTRACTNUMBER(O97),EXTRACTNUMBER(Q97),
EXTRACTNUMBER(S97),EXTRACTNUMBER(U97),
EXTRACTNUMBER(W97),EXTRACTNUMBER(Y97),EXTRACTNUMBER(AA97),
EXTRACTNUMBER(AC97),EXTRACTNUMBER(AE97)),"*"),IF(AND(COUNTIF(C97:AF97,"=36")&gt;=2,COUNTIF(C97:AF97,"f")=2,COUNTIF(C97:AF97,"")=0,COUNTIF(C97:AF97," ")=0),CONCATENATE(SUM(EXTRACTNUMBER(C97),EXTRACTNUMBER(E97),
EXTRACTNUMBER(G97),EXTRACTNUMBER(I97),
EXTRACTNUMBER(K97),EXTRACTNUMBER(M97),
EXTRACTNUMBER(O97),EXTRACTNUMBER(Q97),
EXTRACTNUMBER(S97),EXTRACTNUMBER(U97),
EXTRACTNUMBER(W97),EXTRACTNUMBER(Y97),EXTRACTNUMBER(AA97),
EXTRACTNUMBER(AC97),EXTRACTNUMBER(AE97)),"*"),SUM(EXTRACTNUMBER(C97),EXTRACTNUMBER(E97),
EXTRACTNUMBER(G97),EXTRACTNUMBER(I97),
EXTRACTNUMBER(K97),EXTRACTNUMBER(M97),
EXTRACTNUMBER(O97),EXTRACTNUMBER(Q97),
EXTRACTNUMBER(S97),EXTRACTNUMBER(U97),
EXTRACTNUMBER(W97),EXTRACTNUMBER(Y97),EXTRACTNUMBER(AA97),
EXTRACTNUMBER(AC97),EXTRACTNUMBER(AE97))))),SUM(EXTRACTNUMBER(C97),EXTRACTNUMBER(E97),
EXTRACTNUMBER(G97),EXTRACTNUMBER(I97),
EXTRACTNUMBER(K97),EXTRACTNUMBER(M97),
EXTRACTNUMBER(O97),EXTRACTNUMBER(Q97),
EXTRACTNUMBER(S97),EXTRACTNUMBER(U97),
EXTRACTNUMBER(W97),EXTRACTNUMBER(Y97),EXTRACTNUMBER(AA97),
EXTRACTNUMBER(AC97),EXTRACTNUMBER(AE97)))</f>
        <v>503</v>
      </c>
      <c r="AH97" s="38" t="str">
        <f t="shared" ca="1" si="31"/>
        <v>PASS</v>
      </c>
      <c r="AI97" s="28" t="str">
        <f>spellnumber(EXTRACTnUMBER_TOT(AG97))</f>
        <v xml:space="preserve">Five Hundred Three </v>
      </c>
    </row>
    <row r="98" spans="1:35" ht="15" customHeight="1">
      <c r="A98" s="58">
        <v>223298</v>
      </c>
      <c r="B98" s="32" t="s">
        <v>256</v>
      </c>
      <c r="C98" s="60">
        <v>52</v>
      </c>
      <c r="D98" s="61" t="str">
        <f t="shared" ca="1" si="17"/>
        <v/>
      </c>
      <c r="E98" s="62">
        <v>18</v>
      </c>
      <c r="F98" s="61" t="str">
        <f t="shared" ca="1" si="18"/>
        <v/>
      </c>
      <c r="G98" s="63">
        <v>83</v>
      </c>
      <c r="H98" s="61" t="str">
        <f t="shared" ca="1" si="19"/>
        <v/>
      </c>
      <c r="I98" s="62">
        <v>20</v>
      </c>
      <c r="J98" s="61" t="str">
        <f t="shared" ca="1" si="20"/>
        <v/>
      </c>
      <c r="K98" s="62">
        <v>20</v>
      </c>
      <c r="L98" s="61" t="str">
        <f t="shared" ca="1" si="21"/>
        <v/>
      </c>
      <c r="M98" s="63">
        <v>90</v>
      </c>
      <c r="N98" s="61" t="str">
        <f t="shared" ca="1" si="16"/>
        <v/>
      </c>
      <c r="O98" s="62">
        <v>23</v>
      </c>
      <c r="P98" s="64" t="str">
        <f t="shared" ca="1" si="22"/>
        <v/>
      </c>
      <c r="Q98" s="60">
        <v>80</v>
      </c>
      <c r="R98" s="61" t="str">
        <f t="shared" ca="1" si="23"/>
        <v/>
      </c>
      <c r="S98" s="62">
        <v>21</v>
      </c>
      <c r="T98" s="64" t="str">
        <f t="shared" ca="1" si="24"/>
        <v/>
      </c>
      <c r="U98" s="60">
        <v>67</v>
      </c>
      <c r="V98" s="61" t="str">
        <f t="shared" ca="1" si="25"/>
        <v/>
      </c>
      <c r="W98" s="62">
        <v>23</v>
      </c>
      <c r="X98" s="64" t="str">
        <f t="shared" ca="1" si="26"/>
        <v/>
      </c>
      <c r="Y98" s="62">
        <v>23</v>
      </c>
      <c r="Z98" s="64" t="str">
        <f t="shared" ca="1" si="27"/>
        <v/>
      </c>
      <c r="AA98" s="60">
        <v>59</v>
      </c>
      <c r="AB98" s="61" t="str">
        <f t="shared" ca="1" si="28"/>
        <v/>
      </c>
      <c r="AC98" s="62">
        <v>22</v>
      </c>
      <c r="AD98" s="61" t="str">
        <f t="shared" ca="1" si="29"/>
        <v/>
      </c>
      <c r="AE98" s="62">
        <v>42</v>
      </c>
      <c r="AF98" s="64" t="str">
        <f t="shared" ca="1" si="30"/>
        <v/>
      </c>
      <c r="AG98" s="66">
        <f>IF(OR(AND(C98&gt;=31,C98&lt;40),AND(G98&gt;=31,G98&lt;40),AND(M98&gt;=31,M98&lt;40),AND(Q98&gt;=31,Q98&lt;40),AND(U98&gt;=31,U98&lt;40),AND(AA98&gt;=31,AA98&lt;40)),IF(AND(OR(COUNTIF(C98:AF98,"=31")&gt;=1,COUNTIF(C98:AF98,"=32")&gt;=1,COUNTIF(C98:AF98,"=33")&gt;=1,COUNTIF(C98:AF98,"=34")&gt;=1,COUNTIF(C98:AF98,"=35")&gt;=1,COUNTIF(C98:AF98,"=36")&gt;=1 ),COUNTIF(C98:AF98,"")=0,COUNTIF(C98:AF98," ")=0,COUNTIF(C98:AF98,"F")=1),CONCATENATE(SUM(EXTRACTNUMBER(C98),EXTRACTNUMBER(E98),
EXTRACTNUMBER(G98),EXTRACTNUMBER(I98),
EXTRACTNUMBER(K98),EXTRACTNUMBER(M98),
EXTRACTNUMBER(O98),EXTRACTNUMBER(Q98),
EXTRACTNUMBER(S98),EXTRACTNUMBER(U98),
EXTRACTNUMBER(W98),EXTRACTNUMBER(Y98),EXTRACTNUMBER(AA98),
EXTRACTNUMBER(AC98),EXTRACTNUMBER(AE98)),"*"),IF(AND(COUNTIF(C98:AF98,"=34")&gt;=1,COUNTIF(C98:AF98,"=35")&gt;=1,COUNTIF(C98:AF98,"f")=2,COUNTIF(C98:AF98,"")=0,COUNTIF(C98:AF98," ")=0),CONCATENATE(SUM(EXTRACTNUMBER(C98),EXTRACTNUMBER(E98),
EXTRACTNUMBER(G98),EXTRACTNUMBER(I98),
EXTRACTNUMBER(K98),EXTRACTNUMBER(M98),
EXTRACTNUMBER(O98),EXTRACTNUMBER(Q98),
EXTRACTNUMBER(S98),EXTRACTNUMBER(U98),
EXTRACTNUMBER(W98),EXTRACTNUMBER(Y98),EXTRACTNUMBER(AA98),
EXTRACTNUMBER(AC98),EXTRACTNUMBER(AE98)),"*"),IF(AND(COUNTIF(C98:AF98,"=36")&gt;=2,COUNTIF(C98:AF98,"f")=2,COUNTIF(C98:AF98,"")=0,COUNTIF(C98:AF98," ")=0),CONCATENATE(SUM(EXTRACTNUMBER(C98),EXTRACTNUMBER(E98),
EXTRACTNUMBER(G98),EXTRACTNUMBER(I98),
EXTRACTNUMBER(K98),EXTRACTNUMBER(M98),
EXTRACTNUMBER(O98),EXTRACTNUMBER(Q98),
EXTRACTNUMBER(S98),EXTRACTNUMBER(U98),
EXTRACTNUMBER(W98),EXTRACTNUMBER(Y98),EXTRACTNUMBER(AA98),
EXTRACTNUMBER(AC98),EXTRACTNUMBER(AE98)),"*"),SUM(EXTRACTNUMBER(C98),EXTRACTNUMBER(E98),
EXTRACTNUMBER(G98),EXTRACTNUMBER(I98),
EXTRACTNUMBER(K98),EXTRACTNUMBER(M98),
EXTRACTNUMBER(O98),EXTRACTNUMBER(Q98),
EXTRACTNUMBER(S98),EXTRACTNUMBER(U98),
EXTRACTNUMBER(W98),EXTRACTNUMBER(Y98),EXTRACTNUMBER(AA98),
EXTRACTNUMBER(AC98),EXTRACTNUMBER(AE98))))),SUM(EXTRACTNUMBER(C98),EXTRACTNUMBER(E98),
EXTRACTNUMBER(G98),EXTRACTNUMBER(I98),
EXTRACTNUMBER(K98),EXTRACTNUMBER(M98),
EXTRACTNUMBER(O98),EXTRACTNUMBER(Q98),
EXTRACTNUMBER(S98),EXTRACTNUMBER(U98),
EXTRACTNUMBER(W98),EXTRACTNUMBER(Y98),EXTRACTNUMBER(AA98),
EXTRACTNUMBER(AC98),EXTRACTNUMBER(AE98)))</f>
        <v>643</v>
      </c>
      <c r="AH98" s="38" t="str">
        <f t="shared" ca="1" si="31"/>
        <v>PASS</v>
      </c>
      <c r="AI98" s="28" t="str">
        <f>spellnumber(EXTRACTnUMBER_TOT(AG98))</f>
        <v xml:space="preserve">Six Hundred Forty Three </v>
      </c>
    </row>
    <row r="99" spans="1:35" ht="15" customHeight="1">
      <c r="A99" s="58">
        <v>223299</v>
      </c>
      <c r="B99" s="32" t="s">
        <v>257</v>
      </c>
      <c r="C99" s="60">
        <v>45</v>
      </c>
      <c r="D99" s="61" t="str">
        <f t="shared" ca="1" si="17"/>
        <v/>
      </c>
      <c r="E99" s="62">
        <v>23</v>
      </c>
      <c r="F99" s="61" t="str">
        <f t="shared" ca="1" si="18"/>
        <v/>
      </c>
      <c r="G99" s="63">
        <v>62</v>
      </c>
      <c r="H99" s="61" t="str">
        <f t="shared" ca="1" si="19"/>
        <v/>
      </c>
      <c r="I99" s="62">
        <v>23</v>
      </c>
      <c r="J99" s="61" t="str">
        <f t="shared" ca="1" si="20"/>
        <v/>
      </c>
      <c r="K99" s="62">
        <v>18</v>
      </c>
      <c r="L99" s="61" t="str">
        <f t="shared" ca="1" si="21"/>
        <v/>
      </c>
      <c r="M99" s="63">
        <v>69</v>
      </c>
      <c r="N99" s="61" t="str">
        <f t="shared" ca="1" si="16"/>
        <v/>
      </c>
      <c r="O99" s="62">
        <v>24</v>
      </c>
      <c r="P99" s="64" t="str">
        <f t="shared" ca="1" si="22"/>
        <v/>
      </c>
      <c r="Q99" s="60">
        <v>62</v>
      </c>
      <c r="R99" s="61" t="str">
        <f t="shared" ca="1" si="23"/>
        <v/>
      </c>
      <c r="S99" s="62">
        <v>23</v>
      </c>
      <c r="T99" s="64" t="str">
        <f t="shared" ca="1" si="24"/>
        <v/>
      </c>
      <c r="U99" s="60">
        <v>60</v>
      </c>
      <c r="V99" s="61" t="str">
        <f t="shared" ca="1" si="25"/>
        <v/>
      </c>
      <c r="W99" s="62">
        <v>19</v>
      </c>
      <c r="X99" s="64" t="str">
        <f t="shared" ca="1" si="26"/>
        <v/>
      </c>
      <c r="Y99" s="62">
        <v>20</v>
      </c>
      <c r="Z99" s="64" t="str">
        <f t="shared" ca="1" si="27"/>
        <v/>
      </c>
      <c r="AA99" s="60">
        <v>52</v>
      </c>
      <c r="AB99" s="61" t="str">
        <f t="shared" ca="1" si="28"/>
        <v/>
      </c>
      <c r="AC99" s="62">
        <v>23</v>
      </c>
      <c r="AD99" s="61" t="str">
        <f t="shared" ca="1" si="29"/>
        <v/>
      </c>
      <c r="AE99" s="62">
        <v>39</v>
      </c>
      <c r="AF99" s="64" t="str">
        <f t="shared" ca="1" si="30"/>
        <v/>
      </c>
      <c r="AG99" s="66">
        <f>IF(OR(AND(C99&gt;=31,C99&lt;40),AND(G99&gt;=31,G99&lt;40),AND(M99&gt;=31,M99&lt;40),AND(Q99&gt;=31,Q99&lt;40),AND(U99&gt;=31,U99&lt;40),AND(AA99&gt;=31,AA99&lt;40)),IF(AND(OR(COUNTIF(C99:AF99,"=31")&gt;=1,COUNTIF(C99:AF99,"=32")&gt;=1,COUNTIF(C99:AF99,"=33")&gt;=1,COUNTIF(C99:AF99,"=34")&gt;=1,COUNTIF(C99:AF99,"=35")&gt;=1,COUNTIF(C99:AF99,"=36")&gt;=1 ),COUNTIF(C99:AF99,"")=0,COUNTIF(C99:AF99," ")=0,COUNTIF(C99:AF99,"F")=1),CONCATENATE(SUM(EXTRACTNUMBER(C99),EXTRACTNUMBER(E99),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EXTRACTNUMBER(AC99),EXTRACTNUMBER(AE99)),"*"),IF(AND(COUNTIF(C99:AF99,"=34")&gt;=1,COUNTIF(C99:AF99,"=35")&gt;=1,COUNTIF(C99:AF99,"f")=2,COUNTIF(C99:AF99,"")=0,COUNTIF(C99:AF99," ")=0),CONCATENATE(SUM(EXTRACTNUMBER(C99),EXTRACTNUMBER(E99),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EXTRACTNUMBER(AC99),EXTRACTNUMBER(AE99)),"*"),IF(AND(COUNTIF(C99:AF99,"=36")&gt;=2,COUNTIF(C99:AF99,"f")=2,COUNTIF(C99:AF99,"")=0,COUNTIF(C99:AF99," ")=0),CONCATENATE(SUM(EXTRACTNUMBER(C99),EXTRACTNUMBER(E99),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EXTRACTNUMBER(AC99),EXTRACTNUMBER(AE99)),"*"),SUM(EXTRACTNUMBER(C99),EXTRACTNUMBER(E99),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EXTRACTNUMBER(AC99),EXTRACTNUMBER(AE99))))),SUM(EXTRACTNUMBER(C99),EXTRACTNUMBER(E99),
EXTRACTNUMBER(G99),EXTRACTNUMBER(I99),
EXTRACTNUMBER(K99),EXTRACTNUMBER(M99),
EXTRACTNUMBER(O99),EXTRACTNUMBER(Q99),
EXTRACTNUMBER(S99),EXTRACTNUMBER(U99),
EXTRACTNUMBER(W99),EXTRACTNUMBER(Y99),EXTRACTNUMBER(AA99),
EXTRACTNUMBER(AC99),EXTRACTNUMBER(AE99)))</f>
        <v>562</v>
      </c>
      <c r="AH99" s="38" t="str">
        <f t="shared" ca="1" si="31"/>
        <v>PASS</v>
      </c>
      <c r="AI99" s="28" t="str">
        <f>spellnumber(EXTRACTnUMBER_TOT(AG99))</f>
        <v xml:space="preserve">Five Hundred Sixty Two </v>
      </c>
    </row>
    <row r="100" spans="1:35" ht="15" customHeight="1">
      <c r="A100" s="58">
        <v>223300</v>
      </c>
      <c r="B100" s="39" t="s">
        <v>258</v>
      </c>
      <c r="C100" s="60" t="s">
        <v>103</v>
      </c>
      <c r="D100" s="61" t="str">
        <f t="shared" si="17"/>
        <v/>
      </c>
      <c r="E100" s="62" t="s">
        <v>103</v>
      </c>
      <c r="F100" s="61" t="str">
        <f t="shared" si="18"/>
        <v/>
      </c>
      <c r="G100" s="63" t="s">
        <v>103</v>
      </c>
      <c r="H100" s="61" t="str">
        <f t="shared" si="19"/>
        <v/>
      </c>
      <c r="I100" s="62" t="s">
        <v>103</v>
      </c>
      <c r="J100" s="61" t="str">
        <f t="shared" si="20"/>
        <v/>
      </c>
      <c r="K100" s="62" t="s">
        <v>103</v>
      </c>
      <c r="L100" s="61" t="str">
        <f t="shared" si="21"/>
        <v/>
      </c>
      <c r="M100" s="63" t="s">
        <v>103</v>
      </c>
      <c r="N100" s="61" t="str">
        <f t="shared" si="16"/>
        <v/>
      </c>
      <c r="O100" s="62" t="s">
        <v>103</v>
      </c>
      <c r="P100" s="64" t="str">
        <f t="shared" si="22"/>
        <v/>
      </c>
      <c r="Q100" s="60" t="s">
        <v>103</v>
      </c>
      <c r="R100" s="61" t="str">
        <f t="shared" si="23"/>
        <v/>
      </c>
      <c r="S100" s="62" t="s">
        <v>103</v>
      </c>
      <c r="T100" s="64" t="str">
        <f t="shared" si="24"/>
        <v/>
      </c>
      <c r="U100" s="60" t="s">
        <v>103</v>
      </c>
      <c r="V100" s="61" t="str">
        <f t="shared" si="25"/>
        <v/>
      </c>
      <c r="W100" s="62" t="s">
        <v>103</v>
      </c>
      <c r="X100" s="64" t="str">
        <f t="shared" si="26"/>
        <v/>
      </c>
      <c r="Y100" s="62" t="s">
        <v>103</v>
      </c>
      <c r="Z100" s="64" t="str">
        <f t="shared" si="27"/>
        <v/>
      </c>
      <c r="AA100" s="60" t="s">
        <v>103</v>
      </c>
      <c r="AB100" s="61" t="str">
        <f t="shared" si="28"/>
        <v/>
      </c>
      <c r="AC100" s="65" t="s">
        <v>103</v>
      </c>
      <c r="AD100" s="61" t="str">
        <f t="shared" si="29"/>
        <v/>
      </c>
      <c r="AE100" s="62" t="s">
        <v>103</v>
      </c>
      <c r="AF100" s="64" t="str">
        <f t="shared" si="30"/>
        <v/>
      </c>
      <c r="AG100" s="66" t="s">
        <v>452</v>
      </c>
      <c r="AH100" s="38" t="str">
        <f t="shared" si="31"/>
        <v>ABSENT</v>
      </c>
      <c r="AI100" s="28" t="str">
        <f>spellnumber(EXTRACTnUMBER_TOT(AG100))</f>
        <v xml:space="preserve"> </v>
      </c>
    </row>
    <row r="101" spans="1:35" ht="15" customHeight="1">
      <c r="A101" s="58">
        <v>223301</v>
      </c>
      <c r="B101" s="32" t="s">
        <v>259</v>
      </c>
      <c r="C101" s="60">
        <v>27</v>
      </c>
      <c r="D101" s="61" t="str">
        <f t="shared" ca="1" si="17"/>
        <v>F</v>
      </c>
      <c r="E101" s="62">
        <v>16</v>
      </c>
      <c r="F101" s="61" t="str">
        <f t="shared" ca="1" si="18"/>
        <v>E</v>
      </c>
      <c r="G101" s="63">
        <v>40</v>
      </c>
      <c r="H101" s="61" t="str">
        <f t="shared" ca="1" si="19"/>
        <v>E</v>
      </c>
      <c r="I101" s="62">
        <v>21</v>
      </c>
      <c r="J101" s="61" t="str">
        <f t="shared" ca="1" si="20"/>
        <v>E</v>
      </c>
      <c r="K101" s="62">
        <v>17</v>
      </c>
      <c r="L101" s="61" t="str">
        <f t="shared" ca="1" si="21"/>
        <v>E</v>
      </c>
      <c r="M101" s="63">
        <v>76</v>
      </c>
      <c r="N101" s="61" t="str">
        <f t="shared" ca="1" si="16"/>
        <v>E</v>
      </c>
      <c r="O101" s="62">
        <v>20</v>
      </c>
      <c r="P101" s="64" t="str">
        <f t="shared" ca="1" si="22"/>
        <v>E</v>
      </c>
      <c r="Q101" s="60">
        <v>71</v>
      </c>
      <c r="R101" s="61" t="str">
        <f t="shared" ca="1" si="23"/>
        <v>E</v>
      </c>
      <c r="S101" s="62">
        <v>23</v>
      </c>
      <c r="T101" s="64" t="str">
        <f t="shared" ca="1" si="24"/>
        <v>E</v>
      </c>
      <c r="U101" s="60">
        <v>58</v>
      </c>
      <c r="V101" s="61" t="str">
        <f t="shared" ca="1" si="25"/>
        <v>E</v>
      </c>
      <c r="W101" s="62">
        <v>19</v>
      </c>
      <c r="X101" s="64" t="str">
        <f t="shared" ca="1" si="26"/>
        <v>E</v>
      </c>
      <c r="Y101" s="62">
        <v>19</v>
      </c>
      <c r="Z101" s="64" t="str">
        <f t="shared" ca="1" si="27"/>
        <v>E</v>
      </c>
      <c r="AA101" s="60">
        <v>40</v>
      </c>
      <c r="AB101" s="61" t="str">
        <f t="shared" ca="1" si="28"/>
        <v>E</v>
      </c>
      <c r="AC101" s="62">
        <v>22</v>
      </c>
      <c r="AD101" s="61" t="str">
        <f t="shared" ca="1" si="29"/>
        <v>E</v>
      </c>
      <c r="AE101" s="62">
        <v>41</v>
      </c>
      <c r="AF101" s="64" t="str">
        <f t="shared" ca="1" si="30"/>
        <v>E</v>
      </c>
      <c r="AG101" s="66">
        <f>IF(OR(AND(C101&gt;=31,C101&lt;40),AND(G101&gt;=31,G101&lt;40),AND(M101&gt;=31,M101&lt;40),AND(Q101&gt;=31,Q101&lt;40),AND(U101&gt;=31,U101&lt;40),AND(AA101&gt;=31,AA101&lt;40)),IF(AND(OR(COUNTIF(C101:AF101,"=31")&gt;=1,COUNTIF(C101:AF101,"=32")&gt;=1,COUNTIF(C101:AF101,"=33")&gt;=1,COUNTIF(C101:AF101,"=34")&gt;=1,COUNTIF(C101:AF101,"=35")&gt;=1,COUNTIF(C101:AF101,"=36")&gt;=1 ),COUNTIF(C101:AF101,"")=0,COUNTIF(C101:AF101," ")=0,COUNTIF(C101:AF101,"F")=1),CONCATENATE(SUM(EXTRACTNUMBER(C101),EXTRACTNUMBER(E101),
EXTRACTNUMBER(G101),EXTRACTNUMBER(I101),
EXTRACTNUMBER(K101),EXTRACTNUMBER(M101),
EXTRACTNUMBER(O101),EXTRACTNUMBER(Q101),
EXTRACTNUMBER(S101),EXTRACTNUMBER(U101),
EXTRACTNUMBER(W101),EXTRACTNUMBER(Y101),EXTRACTNUMBER(AA101),
EXTRACTNUMBER(AC101),EXTRACTNUMBER(AE101)),"*"),IF(AND(COUNTIF(C101:AF101,"=34")&gt;=1,COUNTIF(C101:AF101,"=35")&gt;=1,COUNTIF(C101:AF101,"f")=2,COUNTIF(C101:AF101,"")=0,COUNTIF(C101:AF101," ")=0),CONCATENATE(SUM(EXTRACTNUMBER(C101),EXTRACTNUMBER(E101),
EXTRACTNUMBER(G101),EXTRACTNUMBER(I101),
EXTRACTNUMBER(K101),EXTRACTNUMBER(M101),
EXTRACTNUMBER(O101),EXTRACTNUMBER(Q101),
EXTRACTNUMBER(S101),EXTRACTNUMBER(U101),
EXTRACTNUMBER(W101),EXTRACTNUMBER(Y101),EXTRACTNUMBER(AA101),
EXTRACTNUMBER(AC101),EXTRACTNUMBER(AE101)),"*"),IF(AND(COUNTIF(C101:AF101,"=36")&gt;=2,COUNTIF(C101:AF101,"f")=2,COUNTIF(C101:AF101,"")=0,COUNTIF(C101:AF101," ")=0),CONCATENATE(SUM(EXTRACTNUMBER(C101),EXTRACTNUMBER(E101),
EXTRACTNUMBER(G101),EXTRACTNUMBER(I101),
EXTRACTNUMBER(K101),EXTRACTNUMBER(M101),
EXTRACTNUMBER(O101),EXTRACTNUMBER(Q101),
EXTRACTNUMBER(S101),EXTRACTNUMBER(U101),
EXTRACTNUMBER(W101),EXTRACTNUMBER(Y101),EXTRACTNUMBER(AA101),
EXTRACTNUMBER(AC101),EXTRACTNUMBER(AE101)),"*"),SUM(EXTRACTNUMBER(C101),EXTRACTNUMBER(E101),
EXTRACTNUMBER(G101),EXTRACTNUMBER(I101),
EXTRACTNUMBER(K101),EXTRACTNUMBER(M101),
EXTRACTNUMBER(O101),EXTRACTNUMBER(Q101),
EXTRACTNUMBER(S101),EXTRACTNUMBER(U101),
EXTRACTNUMBER(W101),EXTRACTNUMBER(Y101),EXTRACTNUMBER(AA101),
EXTRACTNUMBER(AC101),EXTRACTNUMBER(AE101))))),SUM(EXTRACTNUMBER(C101),EXTRACTNUMBER(E101),
EXTRACTNUMBER(G101),EXTRACTNUMBER(I101),
EXTRACTNUMBER(K101),EXTRACTNUMBER(M101),
EXTRACTNUMBER(O101),EXTRACTNUMBER(Q101),
EXTRACTNUMBER(S101),EXTRACTNUMBER(U101),
EXTRACTNUMBER(W101),EXTRACTNUMBER(Y101),EXTRACTNUMBER(AA101),
EXTRACTNUMBER(AC101),EXTRACTNUMBER(AE101)))</f>
        <v>510</v>
      </c>
      <c r="AH101" s="38" t="str">
        <f t="shared" ca="1" si="31"/>
        <v>FAIL</v>
      </c>
      <c r="AI101" s="28" t="str">
        <f>spellnumber(EXTRACTnUMBER_TOT(AG101))</f>
        <v xml:space="preserve">Five Hundred Ten </v>
      </c>
    </row>
    <row r="102" spans="1:35" ht="15" customHeight="1">
      <c r="A102" s="58">
        <v>223302</v>
      </c>
      <c r="B102" s="32" t="s">
        <v>260</v>
      </c>
      <c r="C102" s="60">
        <v>13</v>
      </c>
      <c r="D102" s="61" t="str">
        <f t="shared" ca="1" si="17"/>
        <v>F</v>
      </c>
      <c r="E102" s="62">
        <v>15</v>
      </c>
      <c r="F102" s="61" t="str">
        <f t="shared" ca="1" si="18"/>
        <v>E</v>
      </c>
      <c r="G102" s="63">
        <v>66</v>
      </c>
      <c r="H102" s="61" t="str">
        <f t="shared" ca="1" si="19"/>
        <v>E</v>
      </c>
      <c r="I102" s="62">
        <v>21</v>
      </c>
      <c r="J102" s="61" t="str">
        <f t="shared" ca="1" si="20"/>
        <v>E</v>
      </c>
      <c r="K102" s="62">
        <v>17</v>
      </c>
      <c r="L102" s="61" t="str">
        <f t="shared" ca="1" si="21"/>
        <v>E</v>
      </c>
      <c r="M102" s="63">
        <v>42</v>
      </c>
      <c r="N102" s="61" t="str">
        <f t="shared" ca="1" si="16"/>
        <v>E</v>
      </c>
      <c r="O102" s="62">
        <v>20</v>
      </c>
      <c r="P102" s="64" t="str">
        <f t="shared" ca="1" si="22"/>
        <v>E</v>
      </c>
      <c r="Q102" s="60">
        <v>51</v>
      </c>
      <c r="R102" s="61" t="str">
        <f t="shared" ca="1" si="23"/>
        <v>E</v>
      </c>
      <c r="S102" s="62">
        <v>21</v>
      </c>
      <c r="T102" s="64" t="str">
        <f t="shared" ca="1" si="24"/>
        <v>E</v>
      </c>
      <c r="U102" s="60">
        <v>49</v>
      </c>
      <c r="V102" s="61" t="str">
        <f t="shared" ca="1" si="25"/>
        <v>E</v>
      </c>
      <c r="W102" s="62">
        <v>18</v>
      </c>
      <c r="X102" s="64" t="str">
        <f t="shared" ca="1" si="26"/>
        <v>E</v>
      </c>
      <c r="Y102" s="62">
        <v>19</v>
      </c>
      <c r="Z102" s="64" t="str">
        <f t="shared" ca="1" si="27"/>
        <v>E</v>
      </c>
      <c r="AA102" s="60">
        <v>52</v>
      </c>
      <c r="AB102" s="61" t="str">
        <f t="shared" ca="1" si="28"/>
        <v>E</v>
      </c>
      <c r="AC102" s="62">
        <v>21</v>
      </c>
      <c r="AD102" s="61" t="str">
        <f t="shared" ca="1" si="29"/>
        <v>E</v>
      </c>
      <c r="AE102" s="62">
        <v>40</v>
      </c>
      <c r="AF102" s="64" t="str">
        <f t="shared" ca="1" si="30"/>
        <v>E</v>
      </c>
      <c r="AG102" s="66">
        <f>IF(OR(AND(C102&gt;=31,C102&lt;40),AND(G102&gt;=31,G102&lt;40),AND(M102&gt;=31,M102&lt;40),AND(Q102&gt;=31,Q102&lt;40),AND(U102&gt;=31,U102&lt;40),AND(AA102&gt;=31,AA102&lt;40)),IF(AND(OR(COUNTIF(C102:AF102,"=31")&gt;=1,COUNTIF(C102:AF102,"=32")&gt;=1,COUNTIF(C102:AF102,"=33")&gt;=1,COUNTIF(C102:AF102,"=34")&gt;=1,COUNTIF(C102:AF102,"=35")&gt;=1,COUNTIF(C102:AF102,"=36")&gt;=1 ),COUNTIF(C102:AF102,"")=0,COUNTIF(C102:AF102," ")=0,COUNTIF(C102:AF102,"F")=1),CONCATENATE(SUM(EXTRACTNUMBER(C102),EXTRACTNUMBER(E102),
EXTRACTNUMBER(G102),EXTRACTNUMBER(I102),
EXTRACTNUMBER(K102),EXTRACTNUMBER(M102),
EXTRACTNUMBER(O102),EXTRACTNUMBER(Q102),
EXTRACTNUMBER(S102),EXTRACTNUMBER(U102),
EXTRACTNUMBER(W102),EXTRACTNUMBER(Y102),EXTRACTNUMBER(AA102),
EXTRACTNUMBER(AC102),EXTRACTNUMBER(AE102)),"*"),IF(AND(COUNTIF(C102:AF102,"=34")&gt;=1,COUNTIF(C102:AF102,"=35")&gt;=1,COUNTIF(C102:AF102,"f")=2,COUNTIF(C102:AF102,"")=0,COUNTIF(C102:AF102," ")=0),CONCATENATE(SUM(EXTRACTNUMBER(C102),EXTRACTNUMBER(E102),
EXTRACTNUMBER(G102),EXTRACTNUMBER(I102),
EXTRACTNUMBER(K102),EXTRACTNUMBER(M102),
EXTRACTNUMBER(O102),EXTRACTNUMBER(Q102),
EXTRACTNUMBER(S102),EXTRACTNUMBER(U102),
EXTRACTNUMBER(W102),EXTRACTNUMBER(Y102),EXTRACTNUMBER(AA102),
EXTRACTNUMBER(AC102),EXTRACTNUMBER(AE102)),"*"),IF(AND(COUNTIF(C102:AF102,"=36")&gt;=2,COUNTIF(C102:AF102,"f")=2,COUNTIF(C102:AF102,"")=0,COUNTIF(C102:AF102," ")=0),CONCATENATE(SUM(EXTRACTNUMBER(C102),EXTRACTNUMBER(E102),
EXTRACTNUMBER(G102),EXTRACTNUMBER(I102),
EXTRACTNUMBER(K102),EXTRACTNUMBER(M102),
EXTRACTNUMBER(O102),EXTRACTNUMBER(Q102),
EXTRACTNUMBER(S102),EXTRACTNUMBER(U102),
EXTRACTNUMBER(W102),EXTRACTNUMBER(Y102),EXTRACTNUMBER(AA102),
EXTRACTNUMBER(AC102),EXTRACTNUMBER(AE102)),"*"),SUM(EXTRACTNUMBER(C102),EXTRACTNUMBER(E102),
EXTRACTNUMBER(G102),EXTRACTNUMBER(I102),
EXTRACTNUMBER(K102),EXTRACTNUMBER(M102),
EXTRACTNUMBER(O102),EXTRACTNUMBER(Q102),
EXTRACTNUMBER(S102),EXTRACTNUMBER(U102),
EXTRACTNUMBER(W102),EXTRACTNUMBER(Y102),EXTRACTNUMBER(AA102),
EXTRACTNUMBER(AC102),EXTRACTNUMBER(AE102))))),SUM(EXTRACTNUMBER(C102),EXTRACTNUMBER(E102),
EXTRACTNUMBER(G102),EXTRACTNUMBER(I102),
EXTRACTNUMBER(K102),EXTRACTNUMBER(M102),
EXTRACTNUMBER(O102),EXTRACTNUMBER(Q102),
EXTRACTNUMBER(S102),EXTRACTNUMBER(U102),
EXTRACTNUMBER(W102),EXTRACTNUMBER(Y102),EXTRACTNUMBER(AA102),
EXTRACTNUMBER(AC102),EXTRACTNUMBER(AE102)))</f>
        <v>465</v>
      </c>
      <c r="AH102" s="38" t="str">
        <f t="shared" ca="1" si="31"/>
        <v>FAIL</v>
      </c>
      <c r="AI102" s="28" t="str">
        <f>spellnumber(EXTRACTnUMBER_TOT(AG102))</f>
        <v xml:space="preserve">Four Hundred Sixty Five </v>
      </c>
    </row>
    <row r="103" spans="1:35" ht="15" customHeight="1">
      <c r="A103" s="58">
        <v>223303</v>
      </c>
      <c r="B103" s="32" t="s">
        <v>261</v>
      </c>
      <c r="C103" s="60">
        <v>15</v>
      </c>
      <c r="D103" s="61" t="str">
        <f t="shared" ca="1" si="17"/>
        <v>F</v>
      </c>
      <c r="E103" s="62">
        <v>13</v>
      </c>
      <c r="F103" s="61" t="str">
        <f t="shared" ca="1" si="18"/>
        <v>E</v>
      </c>
      <c r="G103" s="63">
        <v>11</v>
      </c>
      <c r="H103" s="61" t="str">
        <f t="shared" ca="1" si="19"/>
        <v>F</v>
      </c>
      <c r="I103" s="62">
        <v>19</v>
      </c>
      <c r="J103" s="61" t="str">
        <f t="shared" ca="1" si="20"/>
        <v>E</v>
      </c>
      <c r="K103" s="62">
        <v>18</v>
      </c>
      <c r="L103" s="61" t="str">
        <f t="shared" ca="1" si="21"/>
        <v>E</v>
      </c>
      <c r="M103" s="63">
        <v>41</v>
      </c>
      <c r="N103" s="61" t="str">
        <f t="shared" ca="1" si="16"/>
        <v>E</v>
      </c>
      <c r="O103" s="62">
        <v>16</v>
      </c>
      <c r="P103" s="64" t="str">
        <f t="shared" ca="1" si="22"/>
        <v>E</v>
      </c>
      <c r="Q103" s="60">
        <v>40</v>
      </c>
      <c r="R103" s="61" t="str">
        <f t="shared" ca="1" si="23"/>
        <v>E</v>
      </c>
      <c r="S103" s="62">
        <v>21</v>
      </c>
      <c r="T103" s="64" t="str">
        <f t="shared" ca="1" si="24"/>
        <v>E</v>
      </c>
      <c r="U103" s="60">
        <v>40</v>
      </c>
      <c r="V103" s="61" t="str">
        <f t="shared" ca="1" si="25"/>
        <v>E</v>
      </c>
      <c r="W103" s="62">
        <v>18</v>
      </c>
      <c r="X103" s="64" t="str">
        <f t="shared" ca="1" si="26"/>
        <v>E</v>
      </c>
      <c r="Y103" s="62">
        <v>18</v>
      </c>
      <c r="Z103" s="64" t="str">
        <f t="shared" ca="1" si="27"/>
        <v>E</v>
      </c>
      <c r="AA103" s="60">
        <v>26</v>
      </c>
      <c r="AB103" s="61" t="str">
        <f t="shared" ca="1" si="28"/>
        <v>F</v>
      </c>
      <c r="AC103" s="62">
        <v>23</v>
      </c>
      <c r="AD103" s="61" t="str">
        <f t="shared" ca="1" si="29"/>
        <v>E</v>
      </c>
      <c r="AE103" s="62">
        <v>40</v>
      </c>
      <c r="AF103" s="64" t="str">
        <f t="shared" ca="1" si="30"/>
        <v>E</v>
      </c>
      <c r="AG103" s="66">
        <f>IF(OR(AND(C103&gt;=31,C103&lt;40),AND(G103&gt;=31,G103&lt;40),AND(M103&gt;=31,M103&lt;40),AND(Q103&gt;=31,Q103&lt;40),AND(U103&gt;=31,U103&lt;40),AND(AA103&gt;=31,AA103&lt;40)),IF(AND(OR(COUNTIF(C103:AF103,"=31")&gt;=1,COUNTIF(C103:AF103,"=32")&gt;=1,COUNTIF(C103:AF103,"=33")&gt;=1,COUNTIF(C103:AF103,"=34")&gt;=1,COUNTIF(C103:AF103,"=35")&gt;=1,COUNTIF(C103:AF103,"=36")&gt;=1 ),COUNTIF(C103:AF103,"")=0,COUNTIF(C103:AF103," ")=0,COUNTIF(C103:AF103,"F")=1),CONCATENATE(SUM(EXTRACTNUMBER(C103),EXTRACTNUMBER(E103),
EXTRACTNUMBER(G103),EXTRACTNUMBER(I103),
EXTRACTNUMBER(K103),EXTRACTNUMBER(M103),
EXTRACTNUMBER(O103),EXTRACTNUMBER(Q103),
EXTRACTNUMBER(S103),EXTRACTNUMBER(U103),
EXTRACTNUMBER(W103),EXTRACTNUMBER(Y103),EXTRACTNUMBER(AA103),
EXTRACTNUMBER(AC103),EXTRACTNUMBER(AE103)),"*"),IF(AND(COUNTIF(C103:AF103,"=34")&gt;=1,COUNTIF(C103:AF103,"=35")&gt;=1,COUNTIF(C103:AF103,"f")=2,COUNTIF(C103:AF103,"")=0,COUNTIF(C103:AF103," ")=0),CONCATENATE(SUM(EXTRACTNUMBER(C103),EXTRACTNUMBER(E103),
EXTRACTNUMBER(G103),EXTRACTNUMBER(I103),
EXTRACTNUMBER(K103),EXTRACTNUMBER(M103),
EXTRACTNUMBER(O103),EXTRACTNUMBER(Q103),
EXTRACTNUMBER(S103),EXTRACTNUMBER(U103),
EXTRACTNUMBER(W103),EXTRACTNUMBER(Y103),EXTRACTNUMBER(AA103),
EXTRACTNUMBER(AC103),EXTRACTNUMBER(AE103)),"*"),IF(AND(COUNTIF(C103:AF103,"=36")&gt;=2,COUNTIF(C103:AF103,"f")=2,COUNTIF(C103:AF103,"")=0,COUNTIF(C103:AF103," ")=0),CONCATENATE(SUM(EXTRACTNUMBER(C103),EXTRACTNUMBER(E103),
EXTRACTNUMBER(G103),EXTRACTNUMBER(I103),
EXTRACTNUMBER(K103),EXTRACTNUMBER(M103),
EXTRACTNUMBER(O103),EXTRACTNUMBER(Q103),
EXTRACTNUMBER(S103),EXTRACTNUMBER(U103),
EXTRACTNUMBER(W103),EXTRACTNUMBER(Y103),EXTRACTNUMBER(AA103),
EXTRACTNUMBER(AC103),EXTRACTNUMBER(AE103)),"*"),SUM(EXTRACTNUMBER(C103),EXTRACTNUMBER(E103),
EXTRACTNUMBER(G103),EXTRACTNUMBER(I103),
EXTRACTNUMBER(K103),EXTRACTNUMBER(M103),
EXTRACTNUMBER(O103),EXTRACTNUMBER(Q103),
EXTRACTNUMBER(S103),EXTRACTNUMBER(U103),
EXTRACTNUMBER(W103),EXTRACTNUMBER(Y103),EXTRACTNUMBER(AA103),
EXTRACTNUMBER(AC103),EXTRACTNUMBER(AE103))))),SUM(EXTRACTNUMBER(C103),EXTRACTNUMBER(E103),
EXTRACTNUMBER(G103),EXTRACTNUMBER(I103),
EXTRACTNUMBER(K103),EXTRACTNUMBER(M103),
EXTRACTNUMBER(O103),EXTRACTNUMBER(Q103),
EXTRACTNUMBER(S103),EXTRACTNUMBER(U103),
EXTRACTNUMBER(W103),EXTRACTNUMBER(Y103),EXTRACTNUMBER(AA103),
EXTRACTNUMBER(AC103),EXTRACTNUMBER(AE103)))</f>
        <v>359</v>
      </c>
      <c r="AH103" s="38" t="str">
        <f t="shared" ca="1" si="31"/>
        <v>FAIL</v>
      </c>
      <c r="AI103" s="28" t="str">
        <f>spellnumber(EXTRACTnUMBER_TOT(AG103))</f>
        <v xml:space="preserve">Three Hundred Fifty Nine </v>
      </c>
    </row>
    <row r="104" spans="1:35" ht="15" customHeight="1">
      <c r="A104" s="58">
        <v>223304</v>
      </c>
      <c r="B104" s="32" t="s">
        <v>262</v>
      </c>
      <c r="C104" s="60">
        <v>21</v>
      </c>
      <c r="D104" s="61" t="str">
        <f t="shared" ca="1" si="17"/>
        <v>F</v>
      </c>
      <c r="E104" s="62">
        <v>15</v>
      </c>
      <c r="F104" s="61" t="str">
        <f t="shared" ca="1" si="18"/>
        <v>E</v>
      </c>
      <c r="G104" s="63">
        <v>61</v>
      </c>
      <c r="H104" s="61" t="str">
        <f t="shared" ca="1" si="19"/>
        <v>E</v>
      </c>
      <c r="I104" s="62">
        <v>20</v>
      </c>
      <c r="J104" s="61" t="str">
        <f t="shared" ca="1" si="20"/>
        <v>E</v>
      </c>
      <c r="K104" s="62">
        <v>18</v>
      </c>
      <c r="L104" s="61" t="str">
        <f t="shared" ca="1" si="21"/>
        <v>E</v>
      </c>
      <c r="M104" s="63">
        <v>41</v>
      </c>
      <c r="N104" s="61" t="str">
        <f t="shared" ca="1" si="16"/>
        <v>E</v>
      </c>
      <c r="O104" s="62">
        <v>16</v>
      </c>
      <c r="P104" s="64" t="str">
        <f t="shared" ca="1" si="22"/>
        <v>E</v>
      </c>
      <c r="Q104" s="60">
        <v>41</v>
      </c>
      <c r="R104" s="61" t="str">
        <f t="shared" ca="1" si="23"/>
        <v>E</v>
      </c>
      <c r="S104" s="62">
        <v>19</v>
      </c>
      <c r="T104" s="64" t="str">
        <f t="shared" ca="1" si="24"/>
        <v>E</v>
      </c>
      <c r="U104" s="60">
        <v>40</v>
      </c>
      <c r="V104" s="61" t="str">
        <f t="shared" ca="1" si="25"/>
        <v>E</v>
      </c>
      <c r="W104" s="62">
        <v>21</v>
      </c>
      <c r="X104" s="64" t="str">
        <f t="shared" ca="1" si="26"/>
        <v>E</v>
      </c>
      <c r="Y104" s="62">
        <v>20</v>
      </c>
      <c r="Z104" s="64" t="str">
        <f t="shared" ca="1" si="27"/>
        <v>E</v>
      </c>
      <c r="AA104" s="60">
        <v>46</v>
      </c>
      <c r="AB104" s="61" t="str">
        <f t="shared" ca="1" si="28"/>
        <v>E</v>
      </c>
      <c r="AC104" s="62">
        <v>23</v>
      </c>
      <c r="AD104" s="61" t="str">
        <f t="shared" ca="1" si="29"/>
        <v>E</v>
      </c>
      <c r="AE104" s="62">
        <v>38</v>
      </c>
      <c r="AF104" s="64" t="str">
        <f t="shared" ca="1" si="30"/>
        <v>E</v>
      </c>
      <c r="AG104" s="66">
        <f>IF(OR(AND(C104&gt;=31,C104&lt;40),AND(G104&gt;=31,G104&lt;40),AND(M104&gt;=31,M104&lt;40),AND(Q104&gt;=31,Q104&lt;40),AND(U104&gt;=31,U104&lt;40),AND(AA104&gt;=31,AA104&lt;40)),IF(AND(OR(COUNTIF(C104:AF104,"=31")&gt;=1,COUNTIF(C104:AF104,"=32")&gt;=1,COUNTIF(C104:AF104,"=33")&gt;=1,COUNTIF(C104:AF104,"=34")&gt;=1,COUNTIF(C104:AF104,"=35")&gt;=1,COUNTIF(C104:AF104,"=36")&gt;=1 ),COUNTIF(C104:AF104,"")=0,COUNTIF(C104:AF104," ")=0,COUNTIF(C104:AF104,"F")=1),CONCATENATE(SUM(EXTRACTNUMBER(C104),EXTRACTNUMBER(E104),
EXTRACTNUMBER(G104),EXTRACTNUMBER(I104),
EXTRACTNUMBER(K104),EXTRACTNUMBER(M104),
EXTRACTNUMBER(O104),EXTRACTNUMBER(Q104),
EXTRACTNUMBER(S104),EXTRACTNUMBER(U104),
EXTRACTNUMBER(W104),EXTRACTNUMBER(Y104),EXTRACTNUMBER(AA104),
EXTRACTNUMBER(AC104),EXTRACTNUMBER(AE104)),"*"),IF(AND(COUNTIF(C104:AF104,"=34")&gt;=1,COUNTIF(C104:AF104,"=35")&gt;=1,COUNTIF(C104:AF104,"f")=2,COUNTIF(C104:AF104,"")=0,COUNTIF(C104:AF104," ")=0),CONCATENATE(SUM(EXTRACTNUMBER(C104),EXTRACTNUMBER(E104),
EXTRACTNUMBER(G104),EXTRACTNUMBER(I104),
EXTRACTNUMBER(K104),EXTRACTNUMBER(M104),
EXTRACTNUMBER(O104),EXTRACTNUMBER(Q104),
EXTRACTNUMBER(S104),EXTRACTNUMBER(U104),
EXTRACTNUMBER(W104),EXTRACTNUMBER(Y104),EXTRACTNUMBER(AA104),
EXTRACTNUMBER(AC104),EXTRACTNUMBER(AE104)),"*"),IF(AND(COUNTIF(C104:AF104,"=36")&gt;=2,COUNTIF(C104:AF104,"f")=2,COUNTIF(C104:AF104,"")=0,COUNTIF(C104:AF104," ")=0),CONCATENATE(SUM(EXTRACTNUMBER(C104),EXTRACTNUMBER(E104),
EXTRACTNUMBER(G104),EXTRACTNUMBER(I104),
EXTRACTNUMBER(K104),EXTRACTNUMBER(M104),
EXTRACTNUMBER(O104),EXTRACTNUMBER(Q104),
EXTRACTNUMBER(S104),EXTRACTNUMBER(U104),
EXTRACTNUMBER(W104),EXTRACTNUMBER(Y104),EXTRACTNUMBER(AA104),
EXTRACTNUMBER(AC104),EXTRACTNUMBER(AE104)),"*"),SUM(EXTRACTNUMBER(C104),EXTRACTNUMBER(E104),
EXTRACTNUMBER(G104),EXTRACTNUMBER(I104),
EXTRACTNUMBER(K104),EXTRACTNUMBER(M104),
EXTRACTNUMBER(O104),EXTRACTNUMBER(Q104),
EXTRACTNUMBER(S104),EXTRACTNUMBER(U104),
EXTRACTNUMBER(W104),EXTRACTNUMBER(Y104),EXTRACTNUMBER(AA104),
EXTRACTNUMBER(AC104),EXTRACTNUMBER(AE104))))),SUM(EXTRACTNUMBER(C104),EXTRACTNUMBER(E104),
EXTRACTNUMBER(G104),EXTRACTNUMBER(I104),
EXTRACTNUMBER(K104),EXTRACTNUMBER(M104),
EXTRACTNUMBER(O104),EXTRACTNUMBER(Q104),
EXTRACTNUMBER(S104),EXTRACTNUMBER(U104),
EXTRACTNUMBER(W104),EXTRACTNUMBER(Y104),EXTRACTNUMBER(AA104),
EXTRACTNUMBER(AC104),EXTRACTNUMBER(AE104)))</f>
        <v>440</v>
      </c>
      <c r="AH104" s="38" t="str">
        <f t="shared" ca="1" si="31"/>
        <v>FAIL</v>
      </c>
      <c r="AI104" s="28" t="str">
        <f>spellnumber(EXTRACTnUMBER_TOT(AG104))</f>
        <v xml:space="preserve">Four Hundred Forty  </v>
      </c>
    </row>
    <row r="105" spans="1:35" ht="15" customHeight="1">
      <c r="A105" s="58">
        <v>223305</v>
      </c>
      <c r="B105" s="32" t="s">
        <v>263</v>
      </c>
      <c r="C105" s="60">
        <v>40</v>
      </c>
      <c r="D105" s="61" t="str">
        <f t="shared" ca="1" si="17"/>
        <v/>
      </c>
      <c r="E105" s="62">
        <v>18</v>
      </c>
      <c r="F105" s="61" t="str">
        <f t="shared" ca="1" si="18"/>
        <v/>
      </c>
      <c r="G105" s="63">
        <v>50</v>
      </c>
      <c r="H105" s="61" t="str">
        <f t="shared" ca="1" si="19"/>
        <v/>
      </c>
      <c r="I105" s="62">
        <v>24</v>
      </c>
      <c r="J105" s="61" t="str">
        <f t="shared" ca="1" si="20"/>
        <v/>
      </c>
      <c r="K105" s="62">
        <v>19</v>
      </c>
      <c r="L105" s="61" t="str">
        <f t="shared" ca="1" si="21"/>
        <v/>
      </c>
      <c r="M105" s="63">
        <v>72</v>
      </c>
      <c r="N105" s="61" t="str">
        <f t="shared" ca="1" si="16"/>
        <v/>
      </c>
      <c r="O105" s="62">
        <v>19</v>
      </c>
      <c r="P105" s="64" t="str">
        <f t="shared" ca="1" si="22"/>
        <v/>
      </c>
      <c r="Q105" s="60">
        <v>45</v>
      </c>
      <c r="R105" s="61" t="str">
        <f t="shared" ca="1" si="23"/>
        <v/>
      </c>
      <c r="S105" s="62">
        <v>23</v>
      </c>
      <c r="T105" s="64" t="str">
        <f t="shared" ca="1" si="24"/>
        <v/>
      </c>
      <c r="U105" s="60">
        <v>52</v>
      </c>
      <c r="V105" s="61" t="str">
        <f t="shared" ca="1" si="25"/>
        <v/>
      </c>
      <c r="W105" s="62">
        <v>22</v>
      </c>
      <c r="X105" s="64" t="str">
        <f t="shared" ca="1" si="26"/>
        <v/>
      </c>
      <c r="Y105" s="62">
        <v>22</v>
      </c>
      <c r="Z105" s="64" t="str">
        <f t="shared" ca="1" si="27"/>
        <v/>
      </c>
      <c r="AA105" s="60">
        <v>43</v>
      </c>
      <c r="AB105" s="61" t="str">
        <f t="shared" ca="1" si="28"/>
        <v/>
      </c>
      <c r="AC105" s="62">
        <v>22</v>
      </c>
      <c r="AD105" s="61" t="str">
        <f t="shared" ca="1" si="29"/>
        <v/>
      </c>
      <c r="AE105" s="62">
        <v>39</v>
      </c>
      <c r="AF105" s="64" t="str">
        <f t="shared" ca="1" si="30"/>
        <v/>
      </c>
      <c r="AG105" s="66">
        <f>IF(OR(AND(C105&gt;=31,C105&lt;40),AND(G105&gt;=31,G105&lt;40),AND(M105&gt;=31,M105&lt;40),AND(Q105&gt;=31,Q105&lt;40),AND(U105&gt;=31,U105&lt;40),AND(AA105&gt;=31,AA105&lt;40)),IF(AND(OR(COUNTIF(C105:AF105,"=31")&gt;=1,COUNTIF(C105:AF105,"=32")&gt;=1,COUNTIF(C105:AF105,"=33")&gt;=1,COUNTIF(C105:AF105,"=34")&gt;=1,COUNTIF(C105:AF105,"=35")&gt;=1,COUNTIF(C105:AF105,"=36")&gt;=1 ),COUNTIF(C105:AF105,"")=0,COUNTIF(C105:AF105," ")=0,COUNTIF(C105:AF105,"F")=1),CONCATENATE(SUM(EXTRACTNUMBER(C105),EXTRACTNUMBER(E105),
EXTRACTNUMBER(G105),EXTRACTNUMBER(I105),
EXTRACTNUMBER(K105),EXTRACTNUMBER(M105),
EXTRACTNUMBER(O105),EXTRACTNUMBER(Q105),
EXTRACTNUMBER(S105),EXTRACTNUMBER(U105),
EXTRACTNUMBER(W105),EXTRACTNUMBER(Y105),EXTRACTNUMBER(AA105),
EXTRACTNUMBER(AC105),EXTRACTNUMBER(AE105)),"*"),IF(AND(COUNTIF(C105:AF105,"=34")&gt;=1,COUNTIF(C105:AF105,"=35")&gt;=1,COUNTIF(C105:AF105,"f")=2,COUNTIF(C105:AF105,"")=0,COUNTIF(C105:AF105," ")=0),CONCATENATE(SUM(EXTRACTNUMBER(C105),EXTRACTNUMBER(E105),
EXTRACTNUMBER(G105),EXTRACTNUMBER(I105),
EXTRACTNUMBER(K105),EXTRACTNUMBER(M105),
EXTRACTNUMBER(O105),EXTRACTNUMBER(Q105),
EXTRACTNUMBER(S105),EXTRACTNUMBER(U105),
EXTRACTNUMBER(W105),EXTRACTNUMBER(Y105),EXTRACTNUMBER(AA105),
EXTRACTNUMBER(AC105),EXTRACTNUMBER(AE105)),"*"),IF(AND(COUNTIF(C105:AF105,"=36")&gt;=2,COUNTIF(C105:AF105,"f")=2,COUNTIF(C105:AF105,"")=0,COUNTIF(C105:AF105," ")=0),CONCATENATE(SUM(EXTRACTNUMBER(C105),EXTRACTNUMBER(E105),
EXTRACTNUMBER(G105),EXTRACTNUMBER(I105),
EXTRACTNUMBER(K105),EXTRACTNUMBER(M105),
EXTRACTNUMBER(O105),EXTRACTNUMBER(Q105),
EXTRACTNUMBER(S105),EXTRACTNUMBER(U105),
EXTRACTNUMBER(W105),EXTRACTNUMBER(Y105),EXTRACTNUMBER(AA105),
EXTRACTNUMBER(AC105),EXTRACTNUMBER(AE105)),"*"),SUM(EXTRACTNUMBER(C105),EXTRACTNUMBER(E105),
EXTRACTNUMBER(G105),EXTRACTNUMBER(I105),
EXTRACTNUMBER(K105),EXTRACTNUMBER(M105),
EXTRACTNUMBER(O105),EXTRACTNUMBER(Q105),
EXTRACTNUMBER(S105),EXTRACTNUMBER(U105),
EXTRACTNUMBER(W105),EXTRACTNUMBER(Y105),EXTRACTNUMBER(AA105),
EXTRACTNUMBER(AC105),EXTRACTNUMBER(AE105))))),SUM(EXTRACTNUMBER(C105),EXTRACTNUMBER(E105),
EXTRACTNUMBER(G105),EXTRACTNUMBER(I105),
EXTRACTNUMBER(K105),EXTRACTNUMBER(M105),
EXTRACTNUMBER(O105),EXTRACTNUMBER(Q105),
EXTRACTNUMBER(S105),EXTRACTNUMBER(U105),
EXTRACTNUMBER(W105),EXTRACTNUMBER(Y105),EXTRACTNUMBER(AA105),
EXTRACTNUMBER(AC105),EXTRACTNUMBER(AE105)))</f>
        <v>510</v>
      </c>
      <c r="AH105" s="38" t="str">
        <f t="shared" ca="1" si="31"/>
        <v>PASS</v>
      </c>
      <c r="AI105" s="28" t="str">
        <f>spellnumber(EXTRACTnUMBER_TOT(AG105))</f>
        <v xml:space="preserve">Five Hundred Ten </v>
      </c>
    </row>
    <row r="106" spans="1:35" ht="15" customHeight="1">
      <c r="A106" s="58">
        <v>223306</v>
      </c>
      <c r="B106" s="32" t="s">
        <v>264</v>
      </c>
      <c r="C106" s="60">
        <v>56</v>
      </c>
      <c r="D106" s="61" t="str">
        <f t="shared" ca="1" si="17"/>
        <v/>
      </c>
      <c r="E106" s="62">
        <v>24</v>
      </c>
      <c r="F106" s="61" t="str">
        <f t="shared" ca="1" si="18"/>
        <v/>
      </c>
      <c r="G106" s="63">
        <v>67</v>
      </c>
      <c r="H106" s="61" t="str">
        <f t="shared" ca="1" si="19"/>
        <v/>
      </c>
      <c r="I106" s="62">
        <v>24</v>
      </c>
      <c r="J106" s="61" t="str">
        <f t="shared" ca="1" si="20"/>
        <v/>
      </c>
      <c r="K106" s="62">
        <v>20</v>
      </c>
      <c r="L106" s="61" t="str">
        <f t="shared" ca="1" si="21"/>
        <v/>
      </c>
      <c r="M106" s="63">
        <v>72</v>
      </c>
      <c r="N106" s="61" t="str">
        <f t="shared" ca="1" si="16"/>
        <v/>
      </c>
      <c r="O106" s="62">
        <v>24</v>
      </c>
      <c r="P106" s="64" t="str">
        <f t="shared" ca="1" si="22"/>
        <v/>
      </c>
      <c r="Q106" s="60">
        <v>41</v>
      </c>
      <c r="R106" s="61" t="str">
        <f t="shared" ca="1" si="23"/>
        <v/>
      </c>
      <c r="S106" s="62">
        <v>24</v>
      </c>
      <c r="T106" s="64" t="str">
        <f t="shared" ca="1" si="24"/>
        <v/>
      </c>
      <c r="U106" s="60">
        <v>52</v>
      </c>
      <c r="V106" s="61" t="str">
        <f t="shared" ca="1" si="25"/>
        <v/>
      </c>
      <c r="W106" s="62">
        <v>23</v>
      </c>
      <c r="X106" s="64" t="str">
        <f t="shared" ca="1" si="26"/>
        <v/>
      </c>
      <c r="Y106" s="62">
        <v>24</v>
      </c>
      <c r="Z106" s="64" t="str">
        <f t="shared" ca="1" si="27"/>
        <v/>
      </c>
      <c r="AA106" s="60">
        <v>48</v>
      </c>
      <c r="AB106" s="61" t="str">
        <f t="shared" ca="1" si="28"/>
        <v/>
      </c>
      <c r="AC106" s="62">
        <v>24</v>
      </c>
      <c r="AD106" s="61" t="str">
        <f t="shared" ca="1" si="29"/>
        <v/>
      </c>
      <c r="AE106" s="62">
        <v>47</v>
      </c>
      <c r="AF106" s="64" t="str">
        <f t="shared" ca="1" si="30"/>
        <v/>
      </c>
      <c r="AG106" s="66">
        <f>IF(OR(AND(C106&gt;=31,C106&lt;40),AND(G106&gt;=31,G106&lt;40),AND(M106&gt;=31,M106&lt;40),AND(Q106&gt;=31,Q106&lt;40),AND(U106&gt;=31,U106&lt;40),AND(AA106&gt;=31,AA106&lt;40)),IF(AND(OR(COUNTIF(C106:AF106,"=31")&gt;=1,COUNTIF(C106:AF106,"=32")&gt;=1,COUNTIF(C106:AF106,"=33")&gt;=1,COUNTIF(C106:AF106,"=34")&gt;=1,COUNTIF(C106:AF106,"=35")&gt;=1,COUNTIF(C106:AF106,"=36")&gt;=1 ),COUNTIF(C106:AF106,"")=0,COUNTIF(C106:AF106," ")=0,COUNTIF(C106:AF106,"F")=1),CONCATENATE(SUM(EXTRACTNUMBER(C106),EXTRACTNUMBER(E106),
EXTRACTNUMBER(G106),EXTRACTNUMBER(I106),
EXTRACTNUMBER(K106),EXTRACTNUMBER(M106),
EXTRACTNUMBER(O106),EXTRACTNUMBER(Q106),
EXTRACTNUMBER(S106),EXTRACTNUMBER(U106),
EXTRACTNUMBER(W106),EXTRACTNUMBER(Y106),EXTRACTNUMBER(AA106),
EXTRACTNUMBER(AC106),EXTRACTNUMBER(AE106)),"*"),IF(AND(COUNTIF(C106:AF106,"=34")&gt;=1,COUNTIF(C106:AF106,"=35")&gt;=1,COUNTIF(C106:AF106,"f")=2,COUNTIF(C106:AF106,"")=0,COUNTIF(C106:AF106," ")=0),CONCATENATE(SUM(EXTRACTNUMBER(C106),EXTRACTNUMBER(E106),
EXTRACTNUMBER(G106),EXTRACTNUMBER(I106),
EXTRACTNUMBER(K106),EXTRACTNUMBER(M106),
EXTRACTNUMBER(O106),EXTRACTNUMBER(Q106),
EXTRACTNUMBER(S106),EXTRACTNUMBER(U106),
EXTRACTNUMBER(W106),EXTRACTNUMBER(Y106),EXTRACTNUMBER(AA106),
EXTRACTNUMBER(AC106),EXTRACTNUMBER(AE106)),"*"),IF(AND(COUNTIF(C106:AF106,"=36")&gt;=2,COUNTIF(C106:AF106,"f")=2,COUNTIF(C106:AF106,"")=0,COUNTIF(C106:AF106," ")=0),CONCATENATE(SUM(EXTRACTNUMBER(C106),EXTRACTNUMBER(E106),
EXTRACTNUMBER(G106),EXTRACTNUMBER(I106),
EXTRACTNUMBER(K106),EXTRACTNUMBER(M106),
EXTRACTNUMBER(O106),EXTRACTNUMBER(Q106),
EXTRACTNUMBER(S106),EXTRACTNUMBER(U106),
EXTRACTNUMBER(W106),EXTRACTNUMBER(Y106),EXTRACTNUMBER(AA106),
EXTRACTNUMBER(AC106),EXTRACTNUMBER(AE106)),"*"),SUM(EXTRACTNUMBER(C106),EXTRACTNUMBER(E106),
EXTRACTNUMBER(G106),EXTRACTNUMBER(I106),
EXTRACTNUMBER(K106),EXTRACTNUMBER(M106),
EXTRACTNUMBER(O106),EXTRACTNUMBER(Q106),
EXTRACTNUMBER(S106),EXTRACTNUMBER(U106),
EXTRACTNUMBER(W106),EXTRACTNUMBER(Y106),EXTRACTNUMBER(AA106),
EXTRACTNUMBER(AC106),EXTRACTNUMBER(AE106))))),SUM(EXTRACTNUMBER(C106),EXTRACTNUMBER(E106),
EXTRACTNUMBER(G106),EXTRACTNUMBER(I106),
EXTRACTNUMBER(K106),EXTRACTNUMBER(M106),
EXTRACTNUMBER(O106),EXTRACTNUMBER(Q106),
EXTRACTNUMBER(S106),EXTRACTNUMBER(U106),
EXTRACTNUMBER(W106),EXTRACTNUMBER(Y106),EXTRACTNUMBER(AA106),
EXTRACTNUMBER(AC106),EXTRACTNUMBER(AE106)))</f>
        <v>570</v>
      </c>
      <c r="AH106" s="38" t="str">
        <f t="shared" ca="1" si="31"/>
        <v>PASS</v>
      </c>
      <c r="AI106" s="28" t="str">
        <f>spellnumber(EXTRACTnUMBER_TOT(AG106))</f>
        <v xml:space="preserve">Five Hundred Seventy  </v>
      </c>
    </row>
    <row r="107" spans="1:35" ht="15" customHeight="1">
      <c r="A107" s="58">
        <v>223307</v>
      </c>
      <c r="B107" s="32" t="s">
        <v>265</v>
      </c>
      <c r="C107" s="60">
        <v>14</v>
      </c>
      <c r="D107" s="61" t="str">
        <f t="shared" ca="1" si="17"/>
        <v>F</v>
      </c>
      <c r="E107" s="62">
        <v>17</v>
      </c>
      <c r="F107" s="61" t="str">
        <f t="shared" ca="1" si="18"/>
        <v>E</v>
      </c>
      <c r="G107" s="63">
        <v>61</v>
      </c>
      <c r="H107" s="61" t="str">
        <f t="shared" ca="1" si="19"/>
        <v>E</v>
      </c>
      <c r="I107" s="62">
        <v>19</v>
      </c>
      <c r="J107" s="61" t="str">
        <f t="shared" ca="1" si="20"/>
        <v>E</v>
      </c>
      <c r="K107" s="62">
        <v>17</v>
      </c>
      <c r="L107" s="61" t="str">
        <f t="shared" ca="1" si="21"/>
        <v>E</v>
      </c>
      <c r="M107" s="63">
        <v>52</v>
      </c>
      <c r="N107" s="61" t="str">
        <f t="shared" ca="1" si="16"/>
        <v>E</v>
      </c>
      <c r="O107" s="62">
        <v>17</v>
      </c>
      <c r="P107" s="64" t="str">
        <f t="shared" ca="1" si="22"/>
        <v>E</v>
      </c>
      <c r="Q107" s="60">
        <v>50</v>
      </c>
      <c r="R107" s="61" t="str">
        <f t="shared" ca="1" si="23"/>
        <v>E</v>
      </c>
      <c r="S107" s="62">
        <v>19</v>
      </c>
      <c r="T107" s="64" t="str">
        <f t="shared" ca="1" si="24"/>
        <v>E</v>
      </c>
      <c r="U107" s="60">
        <v>47</v>
      </c>
      <c r="V107" s="61" t="str">
        <f t="shared" ca="1" si="25"/>
        <v>E</v>
      </c>
      <c r="W107" s="62">
        <v>21</v>
      </c>
      <c r="X107" s="64" t="str">
        <f t="shared" ca="1" si="26"/>
        <v>E</v>
      </c>
      <c r="Y107" s="62">
        <v>21</v>
      </c>
      <c r="Z107" s="64" t="str">
        <f t="shared" ca="1" si="27"/>
        <v>E</v>
      </c>
      <c r="AA107" s="60">
        <v>49</v>
      </c>
      <c r="AB107" s="61" t="str">
        <f t="shared" ca="1" si="28"/>
        <v>E</v>
      </c>
      <c r="AC107" s="62">
        <v>21</v>
      </c>
      <c r="AD107" s="61" t="str">
        <f t="shared" ca="1" si="29"/>
        <v>E</v>
      </c>
      <c r="AE107" s="62">
        <v>40</v>
      </c>
      <c r="AF107" s="64" t="str">
        <f t="shared" ca="1" si="30"/>
        <v>E</v>
      </c>
      <c r="AG107" s="66">
        <f>IF(OR(AND(C107&gt;=31,C107&lt;40),AND(G107&gt;=31,G107&lt;40),AND(M107&gt;=31,M107&lt;40),AND(Q107&gt;=31,Q107&lt;40),AND(U107&gt;=31,U107&lt;40),AND(AA107&gt;=31,AA107&lt;40)),IF(AND(OR(COUNTIF(C107:AF107,"=31")&gt;=1,COUNTIF(C107:AF107,"=32")&gt;=1,COUNTIF(C107:AF107,"=33")&gt;=1,COUNTIF(C107:AF107,"=34")&gt;=1,COUNTIF(C107:AF107,"=35")&gt;=1,COUNTIF(C107:AF107,"=36")&gt;=1 ),COUNTIF(C107:AF107,"")=0,COUNTIF(C107:AF107," ")=0,COUNTIF(C107:AF107,"F")=1),CONCATENATE(SUM(EXTRACTNUMBER(C107),EXTRACTNUMBER(E107),
EXTRACTNUMBER(G107),EXTRACTNUMBER(I107),
EXTRACTNUMBER(K107),EXTRACTNUMBER(M107),
EXTRACTNUMBER(O107),EXTRACTNUMBER(Q107),
EXTRACTNUMBER(S107),EXTRACTNUMBER(U107),
EXTRACTNUMBER(W107),EXTRACTNUMBER(Y107),EXTRACTNUMBER(AA107),
EXTRACTNUMBER(AC107),EXTRACTNUMBER(AE107)),"*"),IF(AND(COUNTIF(C107:AF107,"=34")&gt;=1,COUNTIF(C107:AF107,"=35")&gt;=1,COUNTIF(C107:AF107,"f")=2,COUNTIF(C107:AF107,"")=0,COUNTIF(C107:AF107," ")=0),CONCATENATE(SUM(EXTRACTNUMBER(C107),EXTRACTNUMBER(E107),
EXTRACTNUMBER(G107),EXTRACTNUMBER(I107),
EXTRACTNUMBER(K107),EXTRACTNUMBER(M107),
EXTRACTNUMBER(O107),EXTRACTNUMBER(Q107),
EXTRACTNUMBER(S107),EXTRACTNUMBER(U107),
EXTRACTNUMBER(W107),EXTRACTNUMBER(Y107),EXTRACTNUMBER(AA107),
EXTRACTNUMBER(AC107),EXTRACTNUMBER(AE107)),"*"),IF(AND(COUNTIF(C107:AF107,"=36")&gt;=2,COUNTIF(C107:AF107,"f")=2,COUNTIF(C107:AF107,"")=0,COUNTIF(C107:AF107," ")=0),CONCATENATE(SUM(EXTRACTNUMBER(C107),EXTRACTNUMBER(E107),
EXTRACTNUMBER(G107),EXTRACTNUMBER(I107),
EXTRACTNUMBER(K107),EXTRACTNUMBER(M107),
EXTRACTNUMBER(O107),EXTRACTNUMBER(Q107),
EXTRACTNUMBER(S107),EXTRACTNUMBER(U107),
EXTRACTNUMBER(W107),EXTRACTNUMBER(Y107),EXTRACTNUMBER(AA107),
EXTRACTNUMBER(AC107),EXTRACTNUMBER(AE107)),"*"),SUM(EXTRACTNUMBER(C107),EXTRACTNUMBER(E107),
EXTRACTNUMBER(G107),EXTRACTNUMBER(I107),
EXTRACTNUMBER(K107),EXTRACTNUMBER(M107),
EXTRACTNUMBER(O107),EXTRACTNUMBER(Q107),
EXTRACTNUMBER(S107),EXTRACTNUMBER(U107),
EXTRACTNUMBER(W107),EXTRACTNUMBER(Y107),EXTRACTNUMBER(AA107),
EXTRACTNUMBER(AC107),EXTRACTNUMBER(AE107))))),SUM(EXTRACTNUMBER(C107),EXTRACTNUMBER(E107),
EXTRACTNUMBER(G107),EXTRACTNUMBER(I107),
EXTRACTNUMBER(K107),EXTRACTNUMBER(M107),
EXTRACTNUMBER(O107),EXTRACTNUMBER(Q107),
EXTRACTNUMBER(S107),EXTRACTNUMBER(U107),
EXTRACTNUMBER(W107),EXTRACTNUMBER(Y107),EXTRACTNUMBER(AA107),
EXTRACTNUMBER(AC107),EXTRACTNUMBER(AE107)))</f>
        <v>465</v>
      </c>
      <c r="AH107" s="38" t="str">
        <f t="shared" ca="1" si="31"/>
        <v>FAIL</v>
      </c>
      <c r="AI107" s="28" t="str">
        <f>spellnumber(EXTRACTnUMBER_TOT(AG107))</f>
        <v xml:space="preserve">Four Hundred Sixty Five </v>
      </c>
    </row>
    <row r="108" spans="1:35" ht="15" customHeight="1">
      <c r="A108" s="58">
        <v>223308</v>
      </c>
      <c r="B108" s="32" t="s">
        <v>266</v>
      </c>
      <c r="C108" s="60">
        <v>40</v>
      </c>
      <c r="D108" s="61" t="str">
        <f t="shared" ca="1" si="17"/>
        <v>E</v>
      </c>
      <c r="E108" s="62">
        <v>13</v>
      </c>
      <c r="F108" s="61" t="str">
        <f t="shared" ca="1" si="18"/>
        <v>E</v>
      </c>
      <c r="G108" s="63">
        <v>20</v>
      </c>
      <c r="H108" s="61" t="str">
        <f t="shared" ca="1" si="19"/>
        <v>F</v>
      </c>
      <c r="I108" s="62">
        <v>18</v>
      </c>
      <c r="J108" s="61" t="str">
        <f t="shared" ca="1" si="20"/>
        <v>E</v>
      </c>
      <c r="K108" s="62">
        <v>18</v>
      </c>
      <c r="L108" s="61" t="str">
        <f t="shared" ca="1" si="21"/>
        <v>E</v>
      </c>
      <c r="M108" s="63">
        <v>40</v>
      </c>
      <c r="N108" s="61" t="str">
        <f t="shared" ca="1" si="16"/>
        <v>E</v>
      </c>
      <c r="O108" s="62">
        <v>16</v>
      </c>
      <c r="P108" s="64" t="str">
        <f t="shared" ca="1" si="22"/>
        <v>E</v>
      </c>
      <c r="Q108" s="60">
        <v>28</v>
      </c>
      <c r="R108" s="61" t="str">
        <f t="shared" ca="1" si="23"/>
        <v>F</v>
      </c>
      <c r="S108" s="62">
        <v>15</v>
      </c>
      <c r="T108" s="64" t="str">
        <f t="shared" ca="1" si="24"/>
        <v>E</v>
      </c>
      <c r="U108" s="60">
        <v>52</v>
      </c>
      <c r="V108" s="61" t="str">
        <f t="shared" ca="1" si="25"/>
        <v>E</v>
      </c>
      <c r="W108" s="62">
        <v>17</v>
      </c>
      <c r="X108" s="64" t="str">
        <f t="shared" ca="1" si="26"/>
        <v>E</v>
      </c>
      <c r="Y108" s="62">
        <v>18</v>
      </c>
      <c r="Z108" s="64" t="str">
        <f t="shared" ca="1" si="27"/>
        <v>E</v>
      </c>
      <c r="AA108" s="60">
        <v>34</v>
      </c>
      <c r="AB108" s="61" t="str">
        <f t="shared" ca="1" si="28"/>
        <v>F</v>
      </c>
      <c r="AC108" s="62">
        <v>22</v>
      </c>
      <c r="AD108" s="61" t="str">
        <f t="shared" ca="1" si="29"/>
        <v>E</v>
      </c>
      <c r="AE108" s="62">
        <v>38</v>
      </c>
      <c r="AF108" s="64" t="str">
        <f t="shared" ca="1" si="30"/>
        <v>E</v>
      </c>
      <c r="AG108" s="66">
        <f ca="1">IF(OR(AND(C108&gt;=31,C108&lt;40),AND(G108&gt;=31,G108&lt;40),AND(M108&gt;=31,M108&lt;40),AND(Q108&gt;=31,Q108&lt;40),AND(U108&gt;=31,U108&lt;40),AND(AA108&gt;=31,AA108&lt;40)),IF(AND(OR(COUNTIF(C108:AF108,"=31")&gt;=1,COUNTIF(C108:AF108,"=32")&gt;=1,COUNTIF(C108:AF108,"=33")&gt;=1,COUNTIF(C108:AF108,"=34")&gt;=1,COUNTIF(C108:AF108,"=35")&gt;=1,COUNTIF(C108:AF108,"=36")&gt;=1 ),COUNTIF(C108:AF108,"")=0,COUNTIF(C108:AF108," ")=0,COUNTIF(C108:AF108,"F")=1),CONCATENATE(SUM(EXTRACTNUMBER(C108),EXTRACTNUMBER(E108),
EXTRACTNUMBER(G108),EXTRACTNUMBER(I108),
EXTRACTNUMBER(K108),EXTRACTNUMBER(M108),
EXTRACTNUMBER(O108),EXTRACTNUMBER(Q108),
EXTRACTNUMBER(S108),EXTRACTNUMBER(U108),
EXTRACTNUMBER(W108),EXTRACTNUMBER(Y108),EXTRACTNUMBER(AA108),
EXTRACTNUMBER(AC108),EXTRACTNUMBER(AE108)),"*"),IF(AND(COUNTIF(C108:AF108,"=34")&gt;=1,COUNTIF(C108:AF108,"=35")&gt;=1,COUNTIF(C108:AF108,"f")=2,COUNTIF(C108:AF108,"")=0,COUNTIF(C108:AF108," ")=0),CONCATENATE(SUM(EXTRACTNUMBER(C108),EXTRACTNUMBER(E108),
EXTRACTNUMBER(G108),EXTRACTNUMBER(I108),
EXTRACTNUMBER(K108),EXTRACTNUMBER(M108),
EXTRACTNUMBER(O108),EXTRACTNUMBER(Q108),
EXTRACTNUMBER(S108),EXTRACTNUMBER(U108),
EXTRACTNUMBER(W108),EXTRACTNUMBER(Y108),EXTRACTNUMBER(AA108),
EXTRACTNUMBER(AC108),EXTRACTNUMBER(AE108)),"*"),IF(AND(COUNTIF(C108:AF108,"=36")&gt;=2,COUNTIF(C108:AF108,"f")=2,COUNTIF(C108:AF108,"")=0,COUNTIF(C108:AF108," ")=0),CONCATENATE(SUM(EXTRACTNUMBER(C108),EXTRACTNUMBER(E108),
EXTRACTNUMBER(G108),EXTRACTNUMBER(I108),
EXTRACTNUMBER(K108),EXTRACTNUMBER(M108),
EXTRACTNUMBER(O108),EXTRACTNUMBER(Q108),
EXTRACTNUMBER(S108),EXTRACTNUMBER(U108),
EXTRACTNUMBER(W108),EXTRACTNUMBER(Y108),EXTRACTNUMBER(AA108),
EXTRACTNUMBER(AC108),EXTRACTNUMBER(AE108)),"*"),SUM(EXTRACTNUMBER(C108),EXTRACTNUMBER(E108),
EXTRACTNUMBER(G108),EXTRACTNUMBER(I108),
EXTRACTNUMBER(K108),EXTRACTNUMBER(M108),
EXTRACTNUMBER(O108),EXTRACTNUMBER(Q108),
EXTRACTNUMBER(S108),EXTRACTNUMBER(U108),
EXTRACTNUMBER(W108),EXTRACTNUMBER(Y108),EXTRACTNUMBER(AA108),
EXTRACTNUMBER(AC108),EXTRACTNUMBER(AE108))))),SUM(EXTRACTNUMBER(C108),EXTRACTNUMBER(E108),
EXTRACTNUMBER(G108),EXTRACTNUMBER(I108),
EXTRACTNUMBER(K108),EXTRACTNUMBER(M108),
EXTRACTNUMBER(O108),EXTRACTNUMBER(Q108),
EXTRACTNUMBER(S108),EXTRACTNUMBER(U108),
EXTRACTNUMBER(W108),EXTRACTNUMBER(Y108),EXTRACTNUMBER(AA108),
EXTRACTNUMBER(AC108),EXTRACTNUMBER(AE108)))</f>
        <v>389</v>
      </c>
      <c r="AH108" s="38" t="str">
        <f t="shared" ca="1" si="31"/>
        <v>FAIL</v>
      </c>
      <c r="AI108" s="28" t="e">
        <f ca="1">spellnumber(EXTRACTnUMBER_TOT(AG108))</f>
        <v>#NAME?</v>
      </c>
    </row>
    <row r="109" spans="1:35" ht="15" customHeight="1">
      <c r="A109" s="58">
        <v>223309</v>
      </c>
      <c r="B109" s="32" t="s">
        <v>267</v>
      </c>
      <c r="C109" s="60">
        <v>59</v>
      </c>
      <c r="D109" s="61" t="str">
        <f t="shared" ca="1" si="17"/>
        <v/>
      </c>
      <c r="E109" s="62">
        <v>16</v>
      </c>
      <c r="F109" s="61" t="str">
        <f t="shared" ca="1" si="18"/>
        <v/>
      </c>
      <c r="G109" s="63">
        <v>77</v>
      </c>
      <c r="H109" s="61" t="str">
        <f t="shared" ca="1" si="19"/>
        <v/>
      </c>
      <c r="I109" s="62">
        <v>23</v>
      </c>
      <c r="J109" s="61" t="str">
        <f t="shared" ca="1" si="20"/>
        <v/>
      </c>
      <c r="K109" s="62">
        <v>17</v>
      </c>
      <c r="L109" s="61" t="str">
        <f t="shared" ca="1" si="21"/>
        <v/>
      </c>
      <c r="M109" s="63">
        <v>77</v>
      </c>
      <c r="N109" s="61" t="str">
        <f t="shared" ca="1" si="16"/>
        <v/>
      </c>
      <c r="O109" s="62">
        <v>23</v>
      </c>
      <c r="P109" s="64" t="str">
        <f t="shared" ca="1" si="22"/>
        <v/>
      </c>
      <c r="Q109" s="60">
        <v>67</v>
      </c>
      <c r="R109" s="61" t="str">
        <f t="shared" ca="1" si="23"/>
        <v/>
      </c>
      <c r="S109" s="62">
        <v>23</v>
      </c>
      <c r="T109" s="64" t="str">
        <f t="shared" ca="1" si="24"/>
        <v/>
      </c>
      <c r="U109" s="60">
        <v>60</v>
      </c>
      <c r="V109" s="61" t="str">
        <f t="shared" ca="1" si="25"/>
        <v/>
      </c>
      <c r="W109" s="62">
        <v>19</v>
      </c>
      <c r="X109" s="64" t="str">
        <f t="shared" ca="1" si="26"/>
        <v/>
      </c>
      <c r="Y109" s="62">
        <v>20</v>
      </c>
      <c r="Z109" s="64" t="str">
        <f t="shared" ca="1" si="27"/>
        <v/>
      </c>
      <c r="AA109" s="60">
        <v>46</v>
      </c>
      <c r="AB109" s="61" t="str">
        <f t="shared" ca="1" si="28"/>
        <v/>
      </c>
      <c r="AC109" s="62">
        <v>23</v>
      </c>
      <c r="AD109" s="61" t="str">
        <f t="shared" ca="1" si="29"/>
        <v/>
      </c>
      <c r="AE109" s="62">
        <v>31</v>
      </c>
      <c r="AF109" s="64" t="str">
        <f t="shared" ca="1" si="30"/>
        <v/>
      </c>
      <c r="AG109" s="66">
        <f>IF(OR(AND(C109&gt;=31,C109&lt;40),AND(G109&gt;=31,G109&lt;40),AND(M109&gt;=31,M109&lt;40),AND(Q109&gt;=31,Q109&lt;40),AND(U109&gt;=31,U109&lt;40),AND(AA109&gt;=31,AA109&lt;40)),IF(AND(OR(COUNTIF(C109:AF109,"=31")&gt;=1,COUNTIF(C109:AF109,"=32")&gt;=1,COUNTIF(C109:AF109,"=33")&gt;=1,COUNTIF(C109:AF109,"=34")&gt;=1,COUNTIF(C109:AF109,"=35")&gt;=1,COUNTIF(C109:AF109,"=36")&gt;=1 ),COUNTIF(C109:AF109,"")=0,COUNTIF(C109:AF109," ")=0,COUNTIF(C109:AF109,"F")=1),CONCATENATE(SUM(EXTRACTNUMBER(C109),EXTRACTNUMBER(E109),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EXTRACTNUMBER(AC109),EXTRACTNUMBER(AE109)),"*"),IF(AND(COUNTIF(C109:AF109,"=34")&gt;=1,COUNTIF(C109:AF109,"=35")&gt;=1,COUNTIF(C109:AF109,"f")=2,COUNTIF(C109:AF109,"")=0,COUNTIF(C109:AF109," ")=0),CONCATENATE(SUM(EXTRACTNUMBER(C109),EXTRACTNUMBER(E109),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EXTRACTNUMBER(AC109),EXTRACTNUMBER(AE109)),"*"),IF(AND(COUNTIF(C109:AF109,"=36")&gt;=2,COUNTIF(C109:AF109,"f")=2,COUNTIF(C109:AF109,"")=0,COUNTIF(C109:AF109," ")=0),CONCATENATE(SUM(EXTRACTNUMBER(C109),EXTRACTNUMBER(E109),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EXTRACTNUMBER(AC109),EXTRACTNUMBER(AE109)),"*"),SUM(EXTRACTNUMBER(C109),EXTRACTNUMBER(E109),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EXTRACTNUMBER(AC109),EXTRACTNUMBER(AE109))))),SUM(EXTRACTNUMBER(C109),EXTRACTNUMBER(E109),
EXTRACTNUMBER(G109),EXTRACTNUMBER(I109),
EXTRACTNUMBER(K109),EXTRACTNUMBER(M109),
EXTRACTNUMBER(O109),EXTRACTNUMBER(Q109),
EXTRACTNUMBER(S109),EXTRACTNUMBER(U109),
EXTRACTNUMBER(W109),EXTRACTNUMBER(Y109),EXTRACTNUMBER(AA109),
EXTRACTNUMBER(AC109),EXTRACTNUMBER(AE109)))</f>
        <v>581</v>
      </c>
      <c r="AH109" s="38" t="str">
        <f t="shared" ca="1" si="31"/>
        <v>PASS</v>
      </c>
      <c r="AI109" s="28" t="str">
        <f>spellnumber(EXTRACTnUMBER_TOT(AG109))</f>
        <v xml:space="preserve">Five Hundred Eighty One </v>
      </c>
    </row>
    <row r="110" spans="1:35" ht="15" customHeight="1">
      <c r="A110" s="58">
        <v>223310</v>
      </c>
      <c r="B110" s="32" t="s">
        <v>268</v>
      </c>
      <c r="C110" s="60">
        <v>16</v>
      </c>
      <c r="D110" s="61" t="str">
        <f t="shared" ca="1" si="17"/>
        <v>F</v>
      </c>
      <c r="E110" s="62">
        <v>15</v>
      </c>
      <c r="F110" s="61" t="str">
        <f t="shared" ca="1" si="18"/>
        <v>E</v>
      </c>
      <c r="G110" s="63">
        <v>70</v>
      </c>
      <c r="H110" s="61" t="str">
        <f t="shared" ca="1" si="19"/>
        <v>E</v>
      </c>
      <c r="I110" s="62">
        <v>24</v>
      </c>
      <c r="J110" s="61" t="str">
        <f t="shared" ca="1" si="20"/>
        <v>E</v>
      </c>
      <c r="K110" s="62">
        <v>18</v>
      </c>
      <c r="L110" s="61" t="str">
        <f t="shared" ca="1" si="21"/>
        <v>E</v>
      </c>
      <c r="M110" s="63">
        <v>66</v>
      </c>
      <c r="N110" s="61" t="str">
        <f t="shared" ca="1" si="16"/>
        <v>E</v>
      </c>
      <c r="O110" s="62">
        <v>20</v>
      </c>
      <c r="P110" s="64" t="str">
        <f t="shared" ca="1" si="22"/>
        <v>E</v>
      </c>
      <c r="Q110" s="60">
        <v>71</v>
      </c>
      <c r="R110" s="61" t="str">
        <f t="shared" ca="1" si="23"/>
        <v>E</v>
      </c>
      <c r="S110" s="62">
        <v>20</v>
      </c>
      <c r="T110" s="64" t="str">
        <f t="shared" ca="1" si="24"/>
        <v>E</v>
      </c>
      <c r="U110" s="60">
        <v>45</v>
      </c>
      <c r="V110" s="61" t="str">
        <f t="shared" ca="1" si="25"/>
        <v>E</v>
      </c>
      <c r="W110" s="62">
        <v>16</v>
      </c>
      <c r="X110" s="64" t="str">
        <f t="shared" ca="1" si="26"/>
        <v>E</v>
      </c>
      <c r="Y110" s="62">
        <v>17</v>
      </c>
      <c r="Z110" s="64" t="str">
        <f t="shared" ca="1" si="27"/>
        <v>E</v>
      </c>
      <c r="AA110" s="60">
        <v>50</v>
      </c>
      <c r="AB110" s="61" t="str">
        <f t="shared" ca="1" si="28"/>
        <v>E</v>
      </c>
      <c r="AC110" s="62">
        <v>21</v>
      </c>
      <c r="AD110" s="61" t="str">
        <f t="shared" ca="1" si="29"/>
        <v>E</v>
      </c>
      <c r="AE110" s="62">
        <v>44</v>
      </c>
      <c r="AF110" s="64" t="str">
        <f t="shared" ca="1" si="30"/>
        <v>E</v>
      </c>
      <c r="AG110" s="66">
        <f>IF(OR(AND(C110&gt;=31,C110&lt;40),AND(G110&gt;=31,G110&lt;40),AND(M110&gt;=31,M110&lt;40),AND(Q110&gt;=31,Q110&lt;40),AND(U110&gt;=31,U110&lt;40),AND(AA110&gt;=31,AA110&lt;40)),IF(AND(OR(COUNTIF(C110:AF110,"=31")&gt;=1,COUNTIF(C110:AF110,"=32")&gt;=1,COUNTIF(C110:AF110,"=33")&gt;=1,COUNTIF(C110:AF110,"=34")&gt;=1,COUNTIF(C110:AF110,"=35")&gt;=1,COUNTIF(C110:AF110,"=36")&gt;=1 ),COUNTIF(C110:AF110,"")=0,COUNTIF(C110:AF110," ")=0,COUNTIF(C110:AF110,"F")=1),CONCATENATE(SUM(EXTRACTNUMBER(C110),EXTRACTNUMBER(E110),
EXTRACTNUMBER(G110),EXTRACTNUMBER(I110),
EXTRACTNUMBER(K110),EXTRACTNUMBER(M110),
EXTRACTNUMBER(O110),EXTRACTNUMBER(Q110),
EXTRACTNUMBER(S110),EXTRACTNUMBER(U110),
EXTRACTNUMBER(W110),EXTRACTNUMBER(Y110),EXTRACTNUMBER(AA110),
EXTRACTNUMBER(AC110),EXTRACTNUMBER(AE110)),"*"),IF(AND(COUNTIF(C110:AF110,"=34")&gt;=1,COUNTIF(C110:AF110,"=35")&gt;=1,COUNTIF(C110:AF110,"f")=2,COUNTIF(C110:AF110,"")=0,COUNTIF(C110:AF110," ")=0),CONCATENATE(SUM(EXTRACTNUMBER(C110),EXTRACTNUMBER(E110),
EXTRACTNUMBER(G110),EXTRACTNUMBER(I110),
EXTRACTNUMBER(K110),EXTRACTNUMBER(M110),
EXTRACTNUMBER(O110),EXTRACTNUMBER(Q110),
EXTRACTNUMBER(S110),EXTRACTNUMBER(U110),
EXTRACTNUMBER(W110),EXTRACTNUMBER(Y110),EXTRACTNUMBER(AA110),
EXTRACTNUMBER(AC110),EXTRACTNUMBER(AE110)),"*"),IF(AND(COUNTIF(C110:AF110,"=36")&gt;=2,COUNTIF(C110:AF110,"f")=2,COUNTIF(C110:AF110,"")=0,COUNTIF(C110:AF110," ")=0),CONCATENATE(SUM(EXTRACTNUMBER(C110),EXTRACTNUMBER(E110),
EXTRACTNUMBER(G110),EXTRACTNUMBER(I110),
EXTRACTNUMBER(K110),EXTRACTNUMBER(M110),
EXTRACTNUMBER(O110),EXTRACTNUMBER(Q110),
EXTRACTNUMBER(S110),EXTRACTNUMBER(U110),
EXTRACTNUMBER(W110),EXTRACTNUMBER(Y110),EXTRACTNUMBER(AA110),
EXTRACTNUMBER(AC110),EXTRACTNUMBER(AE110)),"*"),SUM(EXTRACTNUMBER(C110),EXTRACTNUMBER(E110),
EXTRACTNUMBER(G110),EXTRACTNUMBER(I110),
EXTRACTNUMBER(K110),EXTRACTNUMBER(M110),
EXTRACTNUMBER(O110),EXTRACTNUMBER(Q110),
EXTRACTNUMBER(S110),EXTRACTNUMBER(U110),
EXTRACTNUMBER(W110),EXTRACTNUMBER(Y110),EXTRACTNUMBER(AA110),
EXTRACTNUMBER(AC110),EXTRACTNUMBER(AE110))))),SUM(EXTRACTNUMBER(C110),EXTRACTNUMBER(E110),
EXTRACTNUMBER(G110),EXTRACTNUMBER(I110),
EXTRACTNUMBER(K110),EXTRACTNUMBER(M110),
EXTRACTNUMBER(O110),EXTRACTNUMBER(Q110),
EXTRACTNUMBER(S110),EXTRACTNUMBER(U110),
EXTRACTNUMBER(W110),EXTRACTNUMBER(Y110),EXTRACTNUMBER(AA110),
EXTRACTNUMBER(AC110),EXTRACTNUMBER(AE110)))</f>
        <v>513</v>
      </c>
      <c r="AH110" s="38" t="str">
        <f t="shared" ca="1" si="31"/>
        <v>FAIL</v>
      </c>
      <c r="AI110" s="28" t="str">
        <f>spellnumber(EXTRACTnUMBER_TOT(AG110))</f>
        <v xml:space="preserve">Five Hundred Thirteen </v>
      </c>
    </row>
    <row r="111" spans="1:35" ht="15" customHeight="1">
      <c r="A111" s="58">
        <v>223311</v>
      </c>
      <c r="B111" s="32" t="s">
        <v>269</v>
      </c>
      <c r="C111" s="60">
        <v>41</v>
      </c>
      <c r="D111" s="61" t="str">
        <f t="shared" ca="1" si="17"/>
        <v/>
      </c>
      <c r="E111" s="62">
        <v>21</v>
      </c>
      <c r="F111" s="61" t="str">
        <f t="shared" ca="1" si="18"/>
        <v/>
      </c>
      <c r="G111" s="63">
        <v>66</v>
      </c>
      <c r="H111" s="61" t="str">
        <f t="shared" ca="1" si="19"/>
        <v/>
      </c>
      <c r="I111" s="62">
        <v>20</v>
      </c>
      <c r="J111" s="61" t="str">
        <f t="shared" ca="1" si="20"/>
        <v/>
      </c>
      <c r="K111" s="62">
        <v>19</v>
      </c>
      <c r="L111" s="61" t="str">
        <f t="shared" ca="1" si="21"/>
        <v/>
      </c>
      <c r="M111" s="63">
        <v>70</v>
      </c>
      <c r="N111" s="61" t="str">
        <f t="shared" ca="1" si="16"/>
        <v/>
      </c>
      <c r="O111" s="62">
        <v>20</v>
      </c>
      <c r="P111" s="64" t="str">
        <f t="shared" ca="1" si="22"/>
        <v/>
      </c>
      <c r="Q111" s="60">
        <v>54</v>
      </c>
      <c r="R111" s="61" t="str">
        <f t="shared" ca="1" si="23"/>
        <v/>
      </c>
      <c r="S111" s="62">
        <v>22</v>
      </c>
      <c r="T111" s="64" t="str">
        <f t="shared" ca="1" si="24"/>
        <v/>
      </c>
      <c r="U111" s="60">
        <v>52</v>
      </c>
      <c r="V111" s="61" t="str">
        <f t="shared" ca="1" si="25"/>
        <v/>
      </c>
      <c r="W111" s="62">
        <v>16</v>
      </c>
      <c r="X111" s="64" t="str">
        <f t="shared" ca="1" si="26"/>
        <v/>
      </c>
      <c r="Y111" s="62">
        <v>17</v>
      </c>
      <c r="Z111" s="64" t="str">
        <f t="shared" ca="1" si="27"/>
        <v/>
      </c>
      <c r="AA111" s="60">
        <v>40</v>
      </c>
      <c r="AB111" s="61" t="str">
        <f t="shared" ca="1" si="28"/>
        <v/>
      </c>
      <c r="AC111" s="62">
        <v>22</v>
      </c>
      <c r="AD111" s="61" t="str">
        <f t="shared" ca="1" si="29"/>
        <v/>
      </c>
      <c r="AE111" s="62">
        <v>40</v>
      </c>
      <c r="AF111" s="64" t="str">
        <f t="shared" ca="1" si="30"/>
        <v/>
      </c>
      <c r="AG111" s="66">
        <f>IF(OR(AND(C111&gt;=31,C111&lt;40),AND(G111&gt;=31,G111&lt;40),AND(M111&gt;=31,M111&lt;40),AND(Q111&gt;=31,Q111&lt;40),AND(U111&gt;=31,U111&lt;40),AND(AA111&gt;=31,AA111&lt;40)),IF(AND(OR(COUNTIF(C111:AF111,"=31")&gt;=1,COUNTIF(C111:AF111,"=32")&gt;=1,COUNTIF(C111:AF111,"=33")&gt;=1,COUNTIF(C111:AF111,"=34")&gt;=1,COUNTIF(C111:AF111,"=35")&gt;=1,COUNTIF(C111:AF111,"=36")&gt;=1 ),COUNTIF(C111:AF111,"")=0,COUNTIF(C111:AF111," ")=0,COUNTIF(C111:AF111,"F")=1),CONCATENATE(SUM(EXTRACTNUMBER(C111),EXTRACTNUMBER(E111),
EXTRACTNUMBER(G111),EXTRACTNUMBER(I111),
EXTRACTNUMBER(K111),EXTRACTNUMBER(M111),
EXTRACTNUMBER(O111),EXTRACTNUMBER(Q111),
EXTRACTNUMBER(S111),EXTRACTNUMBER(U111),
EXTRACTNUMBER(W111),EXTRACTNUMBER(Y111),EXTRACTNUMBER(AA111),
EXTRACTNUMBER(AC111),EXTRACTNUMBER(AE111)),"*"),IF(AND(COUNTIF(C111:AF111,"=34")&gt;=1,COUNTIF(C111:AF111,"=35")&gt;=1,COUNTIF(C111:AF111,"f")=2,COUNTIF(C111:AF111,"")=0,COUNTIF(C111:AF111," ")=0),CONCATENATE(SUM(EXTRACTNUMBER(C111),EXTRACTNUMBER(E111),
EXTRACTNUMBER(G111),EXTRACTNUMBER(I111),
EXTRACTNUMBER(K111),EXTRACTNUMBER(M111),
EXTRACTNUMBER(O111),EXTRACTNUMBER(Q111),
EXTRACTNUMBER(S111),EXTRACTNUMBER(U111),
EXTRACTNUMBER(W111),EXTRACTNUMBER(Y111),EXTRACTNUMBER(AA111),
EXTRACTNUMBER(AC111),EXTRACTNUMBER(AE111)),"*"),IF(AND(COUNTIF(C111:AF111,"=36")&gt;=2,COUNTIF(C111:AF111,"f")=2,COUNTIF(C111:AF111,"")=0,COUNTIF(C111:AF111," ")=0),CONCATENATE(SUM(EXTRACTNUMBER(C111),EXTRACTNUMBER(E111),
EXTRACTNUMBER(G111),EXTRACTNUMBER(I111),
EXTRACTNUMBER(K111),EXTRACTNUMBER(M111),
EXTRACTNUMBER(O111),EXTRACTNUMBER(Q111),
EXTRACTNUMBER(S111),EXTRACTNUMBER(U111),
EXTRACTNUMBER(W111),EXTRACTNUMBER(Y111),EXTRACTNUMBER(AA111),
EXTRACTNUMBER(AC111),EXTRACTNUMBER(AE111)),"*"),SUM(EXTRACTNUMBER(C111),EXTRACTNUMBER(E111),
EXTRACTNUMBER(G111),EXTRACTNUMBER(I111),
EXTRACTNUMBER(K111),EXTRACTNUMBER(M111),
EXTRACTNUMBER(O111),EXTRACTNUMBER(Q111),
EXTRACTNUMBER(S111),EXTRACTNUMBER(U111),
EXTRACTNUMBER(W111),EXTRACTNUMBER(Y111),EXTRACTNUMBER(AA111),
EXTRACTNUMBER(AC111),EXTRACTNUMBER(AE111))))),SUM(EXTRACTNUMBER(C111),EXTRACTNUMBER(E111),
EXTRACTNUMBER(G111),EXTRACTNUMBER(I111),
EXTRACTNUMBER(K111),EXTRACTNUMBER(M111),
EXTRACTNUMBER(O111),EXTRACTNUMBER(Q111),
EXTRACTNUMBER(S111),EXTRACTNUMBER(U111),
EXTRACTNUMBER(W111),EXTRACTNUMBER(Y111),EXTRACTNUMBER(AA111),
EXTRACTNUMBER(AC111),EXTRACTNUMBER(AE111)))</f>
        <v>520</v>
      </c>
      <c r="AH111" s="38" t="str">
        <f t="shared" ca="1" si="31"/>
        <v>PASS</v>
      </c>
      <c r="AI111" s="28" t="str">
        <f>spellnumber(EXTRACTnUMBER_TOT(AG111))</f>
        <v xml:space="preserve">Five Hundred Twenty  </v>
      </c>
    </row>
    <row r="112" spans="1:35" ht="15" customHeight="1">
      <c r="A112" s="58">
        <v>223312</v>
      </c>
      <c r="B112" s="39" t="s">
        <v>270</v>
      </c>
      <c r="C112" s="60">
        <v>41</v>
      </c>
      <c r="D112" s="61" t="str">
        <f t="shared" ca="1" si="17"/>
        <v>E</v>
      </c>
      <c r="E112" s="62">
        <v>18</v>
      </c>
      <c r="F112" s="61" t="str">
        <f t="shared" ca="1" si="18"/>
        <v>E</v>
      </c>
      <c r="G112" s="63">
        <v>52</v>
      </c>
      <c r="H112" s="61" t="str">
        <f t="shared" ca="1" si="19"/>
        <v>E</v>
      </c>
      <c r="I112" s="62">
        <v>19</v>
      </c>
      <c r="J112" s="61" t="str">
        <f t="shared" ca="1" si="20"/>
        <v>E</v>
      </c>
      <c r="K112" s="62">
        <v>18</v>
      </c>
      <c r="L112" s="61" t="str">
        <f t="shared" ca="1" si="21"/>
        <v>E</v>
      </c>
      <c r="M112" s="63">
        <v>64</v>
      </c>
      <c r="N112" s="61" t="str">
        <f t="shared" ca="1" si="16"/>
        <v>E</v>
      </c>
      <c r="O112" s="62">
        <v>16</v>
      </c>
      <c r="P112" s="64" t="str">
        <f t="shared" ca="1" si="22"/>
        <v>E</v>
      </c>
      <c r="Q112" s="60">
        <v>40</v>
      </c>
      <c r="R112" s="61" t="str">
        <f t="shared" ca="1" si="23"/>
        <v>E</v>
      </c>
      <c r="S112" s="62">
        <v>20</v>
      </c>
      <c r="T112" s="64" t="str">
        <f t="shared" ca="1" si="24"/>
        <v>E</v>
      </c>
      <c r="U112" s="60">
        <v>47</v>
      </c>
      <c r="V112" s="61" t="str">
        <f t="shared" ca="1" si="25"/>
        <v>E</v>
      </c>
      <c r="W112" s="62">
        <v>19</v>
      </c>
      <c r="X112" s="64" t="str">
        <f t="shared" ca="1" si="26"/>
        <v>E</v>
      </c>
      <c r="Y112" s="62">
        <v>20</v>
      </c>
      <c r="Z112" s="64" t="str">
        <f t="shared" ca="1" si="27"/>
        <v>E</v>
      </c>
      <c r="AA112" s="60">
        <v>16</v>
      </c>
      <c r="AB112" s="61" t="str">
        <f t="shared" ca="1" si="28"/>
        <v>F</v>
      </c>
      <c r="AC112" s="62">
        <v>21</v>
      </c>
      <c r="AD112" s="61" t="str">
        <f t="shared" ca="1" si="29"/>
        <v>E</v>
      </c>
      <c r="AE112" s="62">
        <v>35</v>
      </c>
      <c r="AF112" s="64" t="str">
        <f t="shared" ca="1" si="30"/>
        <v>E</v>
      </c>
      <c r="AG112" s="66">
        <f>IF(OR(AND(C112&gt;=31,C112&lt;40),AND(G112&gt;=31,G112&lt;40),AND(M112&gt;=31,M112&lt;40),AND(Q112&gt;=31,Q112&lt;40),AND(U112&gt;=31,U112&lt;40),AND(AA112&gt;=31,AA112&lt;40)),IF(AND(OR(COUNTIF(C112:AF112,"=31")&gt;=1,COUNTIF(C112:AF112,"=32")&gt;=1,COUNTIF(C112:AF112,"=33")&gt;=1,COUNTIF(C112:AF112,"=34")&gt;=1,COUNTIF(C112:AF112,"=35")&gt;=1,COUNTIF(C112:AF112,"=36")&gt;=1 ),COUNTIF(C112:AF112,"")=0,COUNTIF(C112:AF112," ")=0,COUNTIF(C112:AF112,"F")=1),CONCATENATE(SUM(EXTRACTNUMBER(C112),EXTRACTNUMBER(E112),
EXTRACTNUMBER(G112),EXTRACTNUMBER(I112),
EXTRACTNUMBER(K112),EXTRACTNUMBER(M112),
EXTRACTNUMBER(O112),EXTRACTNUMBER(Q112),
EXTRACTNUMBER(S112),EXTRACTNUMBER(U112),
EXTRACTNUMBER(W112),EXTRACTNUMBER(Y112),EXTRACTNUMBER(AA112),
EXTRACTNUMBER(AC112),EXTRACTNUMBER(AE112)),"*"),IF(AND(COUNTIF(C112:AF112,"=34")&gt;=1,COUNTIF(C112:AF112,"=35")&gt;=1,COUNTIF(C112:AF112,"f")=2,COUNTIF(C112:AF112,"")=0,COUNTIF(C112:AF112," ")=0),CONCATENATE(SUM(EXTRACTNUMBER(C112),EXTRACTNUMBER(E112),
EXTRACTNUMBER(G112),EXTRACTNUMBER(I112),
EXTRACTNUMBER(K112),EXTRACTNUMBER(M112),
EXTRACTNUMBER(O112),EXTRACTNUMBER(Q112),
EXTRACTNUMBER(S112),EXTRACTNUMBER(U112),
EXTRACTNUMBER(W112),EXTRACTNUMBER(Y112),EXTRACTNUMBER(AA112),
EXTRACTNUMBER(AC112),EXTRACTNUMBER(AE112)),"*"),IF(AND(COUNTIF(C112:AF112,"=36")&gt;=2,COUNTIF(C112:AF112,"f")=2,COUNTIF(C112:AF112,"")=0,COUNTIF(C112:AF112," ")=0),CONCATENATE(SUM(EXTRACTNUMBER(C112),EXTRACTNUMBER(E112),
EXTRACTNUMBER(G112),EXTRACTNUMBER(I112),
EXTRACTNUMBER(K112),EXTRACTNUMBER(M112),
EXTRACTNUMBER(O112),EXTRACTNUMBER(Q112),
EXTRACTNUMBER(S112),EXTRACTNUMBER(U112),
EXTRACTNUMBER(W112),EXTRACTNUMBER(Y112),EXTRACTNUMBER(AA112),
EXTRACTNUMBER(AC112),EXTRACTNUMBER(AE112)),"*"),SUM(EXTRACTNUMBER(C112),EXTRACTNUMBER(E112),
EXTRACTNUMBER(G112),EXTRACTNUMBER(I112),
EXTRACTNUMBER(K112),EXTRACTNUMBER(M112),
EXTRACTNUMBER(O112),EXTRACTNUMBER(Q112),
EXTRACTNUMBER(S112),EXTRACTNUMBER(U112),
EXTRACTNUMBER(W112),EXTRACTNUMBER(Y112),EXTRACTNUMBER(AA112),
EXTRACTNUMBER(AC112),EXTRACTNUMBER(AE112))))),SUM(EXTRACTNUMBER(C112),EXTRACTNUMBER(E112),
EXTRACTNUMBER(G112),EXTRACTNUMBER(I112),
EXTRACTNUMBER(K112),EXTRACTNUMBER(M112),
EXTRACTNUMBER(O112),EXTRACTNUMBER(Q112),
EXTRACTNUMBER(S112),EXTRACTNUMBER(U112),
EXTRACTNUMBER(W112),EXTRACTNUMBER(Y112),EXTRACTNUMBER(AA112),
EXTRACTNUMBER(AC112),EXTRACTNUMBER(AE112)))</f>
        <v>446</v>
      </c>
      <c r="AH112" s="38" t="str">
        <f t="shared" ca="1" si="31"/>
        <v>FAIL</v>
      </c>
      <c r="AI112" s="28" t="str">
        <f>spellnumber(EXTRACTnUMBER_TOT(AG112))</f>
        <v xml:space="preserve">Four Hundred Forty Six </v>
      </c>
    </row>
    <row r="113" spans="1:35" ht="15" customHeight="1">
      <c r="A113" s="58">
        <v>223313</v>
      </c>
      <c r="B113" s="32" t="s">
        <v>271</v>
      </c>
      <c r="C113" s="60">
        <v>40</v>
      </c>
      <c r="D113" s="61" t="str">
        <f t="shared" ca="1" si="17"/>
        <v/>
      </c>
      <c r="E113" s="62">
        <v>20</v>
      </c>
      <c r="F113" s="61" t="str">
        <f t="shared" ca="1" si="18"/>
        <v/>
      </c>
      <c r="G113" s="63">
        <v>51</v>
      </c>
      <c r="H113" s="61" t="str">
        <f t="shared" ca="1" si="19"/>
        <v/>
      </c>
      <c r="I113" s="62">
        <v>19</v>
      </c>
      <c r="J113" s="61" t="str">
        <f t="shared" ca="1" si="20"/>
        <v/>
      </c>
      <c r="K113" s="62">
        <v>18</v>
      </c>
      <c r="L113" s="61" t="str">
        <f t="shared" ca="1" si="21"/>
        <v/>
      </c>
      <c r="M113" s="63">
        <v>57</v>
      </c>
      <c r="N113" s="61" t="str">
        <f t="shared" ca="1" si="16"/>
        <v/>
      </c>
      <c r="O113" s="62">
        <v>19</v>
      </c>
      <c r="P113" s="64" t="str">
        <f t="shared" ca="1" si="22"/>
        <v/>
      </c>
      <c r="Q113" s="60">
        <v>50</v>
      </c>
      <c r="R113" s="61" t="str">
        <f t="shared" ca="1" si="23"/>
        <v/>
      </c>
      <c r="S113" s="62">
        <v>22</v>
      </c>
      <c r="T113" s="64" t="str">
        <f t="shared" ca="1" si="24"/>
        <v/>
      </c>
      <c r="U113" s="60">
        <v>48</v>
      </c>
      <c r="V113" s="61" t="str">
        <f t="shared" ca="1" si="25"/>
        <v/>
      </c>
      <c r="W113" s="62">
        <v>18</v>
      </c>
      <c r="X113" s="64" t="str">
        <f t="shared" ca="1" si="26"/>
        <v/>
      </c>
      <c r="Y113" s="62">
        <v>19</v>
      </c>
      <c r="Z113" s="64" t="str">
        <f t="shared" ca="1" si="27"/>
        <v/>
      </c>
      <c r="AA113" s="60">
        <v>48</v>
      </c>
      <c r="AB113" s="61" t="str">
        <f t="shared" ca="1" si="28"/>
        <v/>
      </c>
      <c r="AC113" s="62">
        <v>22</v>
      </c>
      <c r="AD113" s="61" t="str">
        <f t="shared" ca="1" si="29"/>
        <v/>
      </c>
      <c r="AE113" s="62">
        <v>37</v>
      </c>
      <c r="AF113" s="64" t="str">
        <f t="shared" ca="1" si="30"/>
        <v/>
      </c>
      <c r="AG113" s="66">
        <f>IF(OR(AND(C113&gt;=31,C113&lt;40),AND(G113&gt;=31,G113&lt;40),AND(M113&gt;=31,M113&lt;40),AND(Q113&gt;=31,Q113&lt;40),AND(U113&gt;=31,U113&lt;40),AND(AA113&gt;=31,AA113&lt;40)),IF(AND(OR(COUNTIF(C113:AF113,"=31")&gt;=1,COUNTIF(C113:AF113,"=32")&gt;=1,COUNTIF(C113:AF113,"=33")&gt;=1,COUNTIF(C113:AF113,"=34")&gt;=1,COUNTIF(C113:AF113,"=35")&gt;=1,COUNTIF(C113:AF113,"=36")&gt;=1 ),COUNTIF(C113:AF113,"")=0,COUNTIF(C113:AF113," ")=0,COUNTIF(C113:AF113,"F")=1),CONCATENATE(SUM(EXTRACTNUMBER(C113),EXTRACTNUMBER(E113),
EXTRACTNUMBER(G113),EXTRACTNUMBER(I113),
EXTRACTNUMBER(K113),EXTRACTNUMBER(M113),
EXTRACTNUMBER(O113),EXTRACTNUMBER(Q113),
EXTRACTNUMBER(S113),EXTRACTNUMBER(U113),
EXTRACTNUMBER(W113),EXTRACTNUMBER(Y113),EXTRACTNUMBER(AA113),
EXTRACTNUMBER(AC113),EXTRACTNUMBER(AE113)),"*"),IF(AND(COUNTIF(C113:AF113,"=34")&gt;=1,COUNTIF(C113:AF113,"=35")&gt;=1,COUNTIF(C113:AF113,"f")=2,COUNTIF(C113:AF113,"")=0,COUNTIF(C113:AF113," ")=0),CONCATENATE(SUM(EXTRACTNUMBER(C113),EXTRACTNUMBER(E113),
EXTRACTNUMBER(G113),EXTRACTNUMBER(I113),
EXTRACTNUMBER(K113),EXTRACTNUMBER(M113),
EXTRACTNUMBER(O113),EXTRACTNUMBER(Q113),
EXTRACTNUMBER(S113),EXTRACTNUMBER(U113),
EXTRACTNUMBER(W113),EXTRACTNUMBER(Y113),EXTRACTNUMBER(AA113),
EXTRACTNUMBER(AC113),EXTRACTNUMBER(AE113)),"*"),IF(AND(COUNTIF(C113:AF113,"=36")&gt;=2,COUNTIF(C113:AF113,"f")=2,COUNTIF(C113:AF113,"")=0,COUNTIF(C113:AF113," ")=0),CONCATENATE(SUM(EXTRACTNUMBER(C113),EXTRACTNUMBER(E113),
EXTRACTNUMBER(G113),EXTRACTNUMBER(I113),
EXTRACTNUMBER(K113),EXTRACTNUMBER(M113),
EXTRACTNUMBER(O113),EXTRACTNUMBER(Q113),
EXTRACTNUMBER(S113),EXTRACTNUMBER(U113),
EXTRACTNUMBER(W113),EXTRACTNUMBER(Y113),EXTRACTNUMBER(AA113),
EXTRACTNUMBER(AC113),EXTRACTNUMBER(AE113)),"*"),SUM(EXTRACTNUMBER(C113),EXTRACTNUMBER(E113),
EXTRACTNUMBER(G113),EXTRACTNUMBER(I113),
EXTRACTNUMBER(K113),EXTRACTNUMBER(M113),
EXTRACTNUMBER(O113),EXTRACTNUMBER(Q113),
EXTRACTNUMBER(S113),EXTRACTNUMBER(U113),
EXTRACTNUMBER(W113),EXTRACTNUMBER(Y113),EXTRACTNUMBER(AA113),
EXTRACTNUMBER(AC113),EXTRACTNUMBER(AE113))))),SUM(EXTRACTNUMBER(C113),EXTRACTNUMBER(E113),
EXTRACTNUMBER(G113),EXTRACTNUMBER(I113),
EXTRACTNUMBER(K113),EXTRACTNUMBER(M113),
EXTRACTNUMBER(O113),EXTRACTNUMBER(Q113),
EXTRACTNUMBER(S113),EXTRACTNUMBER(U113),
EXTRACTNUMBER(W113),EXTRACTNUMBER(Y113),EXTRACTNUMBER(AA113),
EXTRACTNUMBER(AC113),EXTRACTNUMBER(AE113)))</f>
        <v>488</v>
      </c>
      <c r="AH113" s="38" t="str">
        <f t="shared" ca="1" si="31"/>
        <v>PASS</v>
      </c>
      <c r="AI113" s="28" t="str">
        <f>spellnumber(EXTRACTnUMBER_TOT(AG113))</f>
        <v xml:space="preserve">Four Hundred Eighty Eight </v>
      </c>
    </row>
    <row r="114" spans="1:35" ht="15" customHeight="1">
      <c r="A114" s="58">
        <v>223314</v>
      </c>
      <c r="B114" s="32" t="s">
        <v>272</v>
      </c>
      <c r="C114" s="60">
        <v>55</v>
      </c>
      <c r="D114" s="61" t="str">
        <f t="shared" ca="1" si="17"/>
        <v/>
      </c>
      <c r="E114" s="62">
        <v>14</v>
      </c>
      <c r="F114" s="61" t="str">
        <f t="shared" ca="1" si="18"/>
        <v/>
      </c>
      <c r="G114" s="63">
        <v>81</v>
      </c>
      <c r="H114" s="61" t="str">
        <f t="shared" ca="1" si="19"/>
        <v/>
      </c>
      <c r="I114" s="62">
        <v>19</v>
      </c>
      <c r="J114" s="61" t="str">
        <f t="shared" ca="1" si="20"/>
        <v/>
      </c>
      <c r="K114" s="62">
        <v>19</v>
      </c>
      <c r="L114" s="61" t="str">
        <f t="shared" ca="1" si="21"/>
        <v/>
      </c>
      <c r="M114" s="63">
        <v>78</v>
      </c>
      <c r="N114" s="61" t="str">
        <f t="shared" ca="1" si="16"/>
        <v/>
      </c>
      <c r="O114" s="62">
        <v>20</v>
      </c>
      <c r="P114" s="64" t="str">
        <f t="shared" ca="1" si="22"/>
        <v/>
      </c>
      <c r="Q114" s="60">
        <v>74</v>
      </c>
      <c r="R114" s="61" t="str">
        <f t="shared" ca="1" si="23"/>
        <v/>
      </c>
      <c r="S114" s="62">
        <v>22</v>
      </c>
      <c r="T114" s="64" t="str">
        <f t="shared" ca="1" si="24"/>
        <v/>
      </c>
      <c r="U114" s="60">
        <v>70</v>
      </c>
      <c r="V114" s="61" t="str">
        <f t="shared" ca="1" si="25"/>
        <v/>
      </c>
      <c r="W114" s="62">
        <v>17</v>
      </c>
      <c r="X114" s="64" t="str">
        <f t="shared" ca="1" si="26"/>
        <v/>
      </c>
      <c r="Y114" s="62">
        <v>19</v>
      </c>
      <c r="Z114" s="64" t="str">
        <f t="shared" ca="1" si="27"/>
        <v/>
      </c>
      <c r="AA114" s="60">
        <v>52</v>
      </c>
      <c r="AB114" s="61" t="str">
        <f t="shared" ca="1" si="28"/>
        <v/>
      </c>
      <c r="AC114" s="62">
        <v>20</v>
      </c>
      <c r="AD114" s="61" t="str">
        <f t="shared" ca="1" si="29"/>
        <v/>
      </c>
      <c r="AE114" s="62">
        <v>30</v>
      </c>
      <c r="AF114" s="64" t="str">
        <f t="shared" ca="1" si="30"/>
        <v/>
      </c>
      <c r="AG114" s="66">
        <f>IF(OR(AND(C114&gt;=31,C114&lt;40),AND(G114&gt;=31,G114&lt;40),AND(M114&gt;=31,M114&lt;40),AND(Q114&gt;=31,Q114&lt;40),AND(U114&gt;=31,U114&lt;40),AND(AA114&gt;=31,AA114&lt;40)),IF(AND(OR(COUNTIF(C114:AF114,"=31")&gt;=1,COUNTIF(C114:AF114,"=32")&gt;=1,COUNTIF(C114:AF114,"=33")&gt;=1,COUNTIF(C114:AF114,"=34")&gt;=1,COUNTIF(C114:AF114,"=35")&gt;=1,COUNTIF(C114:AF114,"=36")&gt;=1 ),COUNTIF(C114:AF114,"")=0,COUNTIF(C114:AF114," ")=0,COUNTIF(C114:AF114,"F")=1),CONCATENATE(SUM(EXTRACTNUMBER(C114),EXTRACTNUMBER(E114),
EXTRACTNUMBER(G114),EXTRACTNUMBER(I114),
EXTRACTNUMBER(K114),EXTRACTNUMBER(M114),
EXTRACTNUMBER(O114),EXTRACTNUMBER(Q114),
EXTRACTNUMBER(S114),EXTRACTNUMBER(U114),
EXTRACTNUMBER(W114),EXTRACTNUMBER(Y114),EXTRACTNUMBER(AA114),
EXTRACTNUMBER(AC114),EXTRACTNUMBER(AE114)),"*"),IF(AND(COUNTIF(C114:AF114,"=34")&gt;=1,COUNTIF(C114:AF114,"=35")&gt;=1,COUNTIF(C114:AF114,"f")=2,COUNTIF(C114:AF114,"")=0,COUNTIF(C114:AF114," ")=0),CONCATENATE(SUM(EXTRACTNUMBER(C114),EXTRACTNUMBER(E114),
EXTRACTNUMBER(G114),EXTRACTNUMBER(I114),
EXTRACTNUMBER(K114),EXTRACTNUMBER(M114),
EXTRACTNUMBER(O114),EXTRACTNUMBER(Q114),
EXTRACTNUMBER(S114),EXTRACTNUMBER(U114),
EXTRACTNUMBER(W114),EXTRACTNUMBER(Y114),EXTRACTNUMBER(AA114),
EXTRACTNUMBER(AC114),EXTRACTNUMBER(AE114)),"*"),IF(AND(COUNTIF(C114:AF114,"=36")&gt;=2,COUNTIF(C114:AF114,"f")=2,COUNTIF(C114:AF114,"")=0,COUNTIF(C114:AF114," ")=0),CONCATENATE(SUM(EXTRACTNUMBER(C114),EXTRACTNUMBER(E114),
EXTRACTNUMBER(G114),EXTRACTNUMBER(I114),
EXTRACTNUMBER(K114),EXTRACTNUMBER(M114),
EXTRACTNUMBER(O114),EXTRACTNUMBER(Q114),
EXTRACTNUMBER(S114),EXTRACTNUMBER(U114),
EXTRACTNUMBER(W114),EXTRACTNUMBER(Y114),EXTRACTNUMBER(AA114),
EXTRACTNUMBER(AC114),EXTRACTNUMBER(AE114)),"*"),SUM(EXTRACTNUMBER(C114),EXTRACTNUMBER(E114),
EXTRACTNUMBER(G114),EXTRACTNUMBER(I114),
EXTRACTNUMBER(K114),EXTRACTNUMBER(M114),
EXTRACTNUMBER(O114),EXTRACTNUMBER(Q114),
EXTRACTNUMBER(S114),EXTRACTNUMBER(U114),
EXTRACTNUMBER(W114),EXTRACTNUMBER(Y114),EXTRACTNUMBER(AA114),
EXTRACTNUMBER(AC114),EXTRACTNUMBER(AE114))))),SUM(EXTRACTNUMBER(C114),EXTRACTNUMBER(E114),
EXTRACTNUMBER(G114),EXTRACTNUMBER(I114),
EXTRACTNUMBER(K114),EXTRACTNUMBER(M114),
EXTRACTNUMBER(O114),EXTRACTNUMBER(Q114),
EXTRACTNUMBER(S114),EXTRACTNUMBER(U114),
EXTRACTNUMBER(W114),EXTRACTNUMBER(Y114),EXTRACTNUMBER(AA114),
EXTRACTNUMBER(AC114),EXTRACTNUMBER(AE114)))</f>
        <v>590</v>
      </c>
      <c r="AH114" s="38" t="str">
        <f t="shared" ca="1" si="31"/>
        <v>PASS</v>
      </c>
      <c r="AI114" s="28" t="str">
        <f>spellnumber(EXTRACTnUMBER_TOT(AG114))</f>
        <v xml:space="preserve">Five Hundred Ninety </v>
      </c>
    </row>
    <row r="115" spans="1:35" ht="15" customHeight="1">
      <c r="A115" s="58">
        <v>223315</v>
      </c>
      <c r="B115" s="39" t="s">
        <v>273</v>
      </c>
      <c r="C115" s="60" t="s">
        <v>103</v>
      </c>
      <c r="D115" s="61" t="str">
        <f t="shared" si="17"/>
        <v/>
      </c>
      <c r="E115" s="62" t="s">
        <v>103</v>
      </c>
      <c r="F115" s="61" t="str">
        <f t="shared" si="18"/>
        <v/>
      </c>
      <c r="G115" s="63" t="s">
        <v>103</v>
      </c>
      <c r="H115" s="61" t="str">
        <f t="shared" si="19"/>
        <v/>
      </c>
      <c r="I115" s="62" t="s">
        <v>103</v>
      </c>
      <c r="J115" s="61" t="str">
        <f t="shared" si="20"/>
        <v/>
      </c>
      <c r="K115" s="62" t="s">
        <v>103</v>
      </c>
      <c r="L115" s="61" t="str">
        <f t="shared" si="21"/>
        <v/>
      </c>
      <c r="M115" s="63" t="s">
        <v>103</v>
      </c>
      <c r="N115" s="61" t="str">
        <f t="shared" si="16"/>
        <v/>
      </c>
      <c r="O115" s="62" t="s">
        <v>103</v>
      </c>
      <c r="P115" s="64" t="str">
        <f t="shared" si="22"/>
        <v/>
      </c>
      <c r="Q115" s="60" t="s">
        <v>103</v>
      </c>
      <c r="R115" s="61" t="str">
        <f t="shared" si="23"/>
        <v/>
      </c>
      <c r="S115" s="62" t="s">
        <v>103</v>
      </c>
      <c r="T115" s="64" t="str">
        <f t="shared" si="24"/>
        <v/>
      </c>
      <c r="U115" s="60" t="s">
        <v>103</v>
      </c>
      <c r="V115" s="61" t="str">
        <f t="shared" si="25"/>
        <v/>
      </c>
      <c r="W115" s="62" t="s">
        <v>103</v>
      </c>
      <c r="X115" s="64" t="str">
        <f t="shared" si="26"/>
        <v/>
      </c>
      <c r="Y115" s="62" t="s">
        <v>103</v>
      </c>
      <c r="Z115" s="64" t="str">
        <f t="shared" si="27"/>
        <v/>
      </c>
      <c r="AA115" s="60" t="s">
        <v>103</v>
      </c>
      <c r="AB115" s="61" t="str">
        <f t="shared" si="28"/>
        <v/>
      </c>
      <c r="AC115" s="65" t="s">
        <v>103</v>
      </c>
      <c r="AD115" s="61" t="str">
        <f t="shared" si="29"/>
        <v/>
      </c>
      <c r="AE115" s="62" t="s">
        <v>103</v>
      </c>
      <c r="AF115" s="64" t="str">
        <f t="shared" si="30"/>
        <v/>
      </c>
      <c r="AG115" s="66" t="s">
        <v>452</v>
      </c>
      <c r="AH115" s="38" t="str">
        <f t="shared" si="31"/>
        <v>ABSENT</v>
      </c>
      <c r="AI115" s="28" t="str">
        <f>spellnumber(EXTRACTnUMBER_TOT(AG115))</f>
        <v xml:space="preserve"> </v>
      </c>
    </row>
    <row r="116" spans="1:35" ht="15" customHeight="1">
      <c r="A116" s="58">
        <v>223316</v>
      </c>
      <c r="B116" s="32" t="s">
        <v>274</v>
      </c>
      <c r="C116" s="60">
        <v>27</v>
      </c>
      <c r="D116" s="61" t="str">
        <f t="shared" ca="1" si="17"/>
        <v>F</v>
      </c>
      <c r="E116" s="62">
        <v>17</v>
      </c>
      <c r="F116" s="61" t="str">
        <f t="shared" ca="1" si="18"/>
        <v>E</v>
      </c>
      <c r="G116" s="63">
        <v>68</v>
      </c>
      <c r="H116" s="61" t="str">
        <f t="shared" ca="1" si="19"/>
        <v>E</v>
      </c>
      <c r="I116" s="62">
        <v>24</v>
      </c>
      <c r="J116" s="61" t="str">
        <f t="shared" ca="1" si="20"/>
        <v>E</v>
      </c>
      <c r="K116" s="62">
        <v>20</v>
      </c>
      <c r="L116" s="61" t="str">
        <f t="shared" ca="1" si="21"/>
        <v>E</v>
      </c>
      <c r="M116" s="63">
        <v>66</v>
      </c>
      <c r="N116" s="61" t="str">
        <f t="shared" ca="1" si="16"/>
        <v>E</v>
      </c>
      <c r="O116" s="62">
        <v>19</v>
      </c>
      <c r="P116" s="64" t="str">
        <f t="shared" ca="1" si="22"/>
        <v>E</v>
      </c>
      <c r="Q116" s="60">
        <v>61</v>
      </c>
      <c r="R116" s="61" t="str">
        <f t="shared" ca="1" si="23"/>
        <v>E</v>
      </c>
      <c r="S116" s="62">
        <v>21</v>
      </c>
      <c r="T116" s="64" t="str">
        <f t="shared" ca="1" si="24"/>
        <v>E</v>
      </c>
      <c r="U116" s="60">
        <v>55</v>
      </c>
      <c r="V116" s="61" t="str">
        <f t="shared" ca="1" si="25"/>
        <v>E</v>
      </c>
      <c r="W116" s="62">
        <v>22</v>
      </c>
      <c r="X116" s="64" t="str">
        <f t="shared" ca="1" si="26"/>
        <v>E</v>
      </c>
      <c r="Y116" s="62">
        <v>20</v>
      </c>
      <c r="Z116" s="64" t="str">
        <f t="shared" ca="1" si="27"/>
        <v>E</v>
      </c>
      <c r="AA116" s="60">
        <v>46</v>
      </c>
      <c r="AB116" s="61" t="str">
        <f t="shared" ca="1" si="28"/>
        <v>E</v>
      </c>
      <c r="AC116" s="62">
        <v>24</v>
      </c>
      <c r="AD116" s="61" t="str">
        <f t="shared" ca="1" si="29"/>
        <v>E</v>
      </c>
      <c r="AE116" s="62">
        <v>40</v>
      </c>
      <c r="AF116" s="64" t="str">
        <f t="shared" ca="1" si="30"/>
        <v>E</v>
      </c>
      <c r="AG116" s="66">
        <f>IF(OR(AND(C116&gt;=31,C116&lt;40),AND(G116&gt;=31,G116&lt;40),AND(M116&gt;=31,M116&lt;40),AND(Q116&gt;=31,Q116&lt;40),AND(U116&gt;=31,U116&lt;40),AND(AA116&gt;=31,AA116&lt;40)),IF(AND(OR(COUNTIF(C116:AF116,"=31")&gt;=1,COUNTIF(C116:AF116,"=32")&gt;=1,COUNTIF(C116:AF116,"=33")&gt;=1,COUNTIF(C116:AF116,"=34")&gt;=1,COUNTIF(C116:AF116,"=35")&gt;=1,COUNTIF(C116:AF116,"=36")&gt;=1 ),COUNTIF(C116:AF116,"")=0,COUNTIF(C116:AF116," ")=0,COUNTIF(C116:AF116,"F")=1),CONCATENATE(SUM(EXTRACTNUMBER(C116),EXTRACTNUMBER(E116),
EXTRACTNUMBER(G116),EXTRACTNUMBER(I116),
EXTRACTNUMBER(K116),EXTRACTNUMBER(M116),
EXTRACTNUMBER(O116),EXTRACTNUMBER(Q116),
EXTRACTNUMBER(S116),EXTRACTNUMBER(U116),
EXTRACTNUMBER(W116),EXTRACTNUMBER(Y116),EXTRACTNUMBER(AA116),
EXTRACTNUMBER(AC116),EXTRACTNUMBER(AE116)),"*"),IF(AND(COUNTIF(C116:AF116,"=34")&gt;=1,COUNTIF(C116:AF116,"=35")&gt;=1,COUNTIF(C116:AF116,"f")=2,COUNTIF(C116:AF116,"")=0,COUNTIF(C116:AF116," ")=0),CONCATENATE(SUM(EXTRACTNUMBER(C116),EXTRACTNUMBER(E116),
EXTRACTNUMBER(G116),EXTRACTNUMBER(I116),
EXTRACTNUMBER(K116),EXTRACTNUMBER(M116),
EXTRACTNUMBER(O116),EXTRACTNUMBER(Q116),
EXTRACTNUMBER(S116),EXTRACTNUMBER(U116),
EXTRACTNUMBER(W116),EXTRACTNUMBER(Y116),EXTRACTNUMBER(AA116),
EXTRACTNUMBER(AC116),EXTRACTNUMBER(AE116)),"*"),IF(AND(COUNTIF(C116:AF116,"=36")&gt;=2,COUNTIF(C116:AF116,"f")=2,COUNTIF(C116:AF116,"")=0,COUNTIF(C116:AF116," ")=0),CONCATENATE(SUM(EXTRACTNUMBER(C116),EXTRACTNUMBER(E116),
EXTRACTNUMBER(G116),EXTRACTNUMBER(I116),
EXTRACTNUMBER(K116),EXTRACTNUMBER(M116),
EXTRACTNUMBER(O116),EXTRACTNUMBER(Q116),
EXTRACTNUMBER(S116),EXTRACTNUMBER(U116),
EXTRACTNUMBER(W116),EXTRACTNUMBER(Y116),EXTRACTNUMBER(AA116),
EXTRACTNUMBER(AC116),EXTRACTNUMBER(AE116)),"*"),SUM(EXTRACTNUMBER(C116),EXTRACTNUMBER(E116),
EXTRACTNUMBER(G116),EXTRACTNUMBER(I116),
EXTRACTNUMBER(K116),EXTRACTNUMBER(M116),
EXTRACTNUMBER(O116),EXTRACTNUMBER(Q116),
EXTRACTNUMBER(S116),EXTRACTNUMBER(U116),
EXTRACTNUMBER(W116),EXTRACTNUMBER(Y116),EXTRACTNUMBER(AA116),
EXTRACTNUMBER(AC116),EXTRACTNUMBER(AE116))))),SUM(EXTRACTNUMBER(C116),EXTRACTNUMBER(E116),
EXTRACTNUMBER(G116),EXTRACTNUMBER(I116),
EXTRACTNUMBER(K116),EXTRACTNUMBER(M116),
EXTRACTNUMBER(O116),EXTRACTNUMBER(Q116),
EXTRACTNUMBER(S116),EXTRACTNUMBER(U116),
EXTRACTNUMBER(W116),EXTRACTNUMBER(Y116),EXTRACTNUMBER(AA116),
EXTRACTNUMBER(AC116),EXTRACTNUMBER(AE116)))</f>
        <v>530</v>
      </c>
      <c r="AH116" s="38" t="str">
        <f t="shared" ca="1" si="31"/>
        <v>FAIL</v>
      </c>
      <c r="AI116" s="28" t="str">
        <f>spellnumber(EXTRACTnUMBER_TOT(AG116))</f>
        <v xml:space="preserve">Five Hundred Thirty  </v>
      </c>
    </row>
    <row r="117" spans="1:35" ht="15" customHeight="1">
      <c r="A117" s="58">
        <v>223317</v>
      </c>
      <c r="B117" s="32" t="s">
        <v>275</v>
      </c>
      <c r="C117" s="60">
        <v>40</v>
      </c>
      <c r="D117" s="61" t="str">
        <f t="shared" ca="1" si="17"/>
        <v/>
      </c>
      <c r="E117" s="62">
        <v>24</v>
      </c>
      <c r="F117" s="61" t="str">
        <f t="shared" ca="1" si="18"/>
        <v/>
      </c>
      <c r="G117" s="63">
        <v>74</v>
      </c>
      <c r="H117" s="61" t="str">
        <f t="shared" ca="1" si="19"/>
        <v/>
      </c>
      <c r="I117" s="62">
        <v>22</v>
      </c>
      <c r="J117" s="61" t="str">
        <f t="shared" ca="1" si="20"/>
        <v/>
      </c>
      <c r="K117" s="62">
        <v>18</v>
      </c>
      <c r="L117" s="61" t="str">
        <f t="shared" ca="1" si="21"/>
        <v/>
      </c>
      <c r="M117" s="63">
        <v>85</v>
      </c>
      <c r="N117" s="61" t="str">
        <f t="shared" ca="1" si="16"/>
        <v/>
      </c>
      <c r="O117" s="62">
        <v>23</v>
      </c>
      <c r="P117" s="64" t="str">
        <f t="shared" ca="1" si="22"/>
        <v/>
      </c>
      <c r="Q117" s="60">
        <v>63</v>
      </c>
      <c r="R117" s="61" t="str">
        <f t="shared" ca="1" si="23"/>
        <v/>
      </c>
      <c r="S117" s="62">
        <v>23</v>
      </c>
      <c r="T117" s="64" t="str">
        <f t="shared" ca="1" si="24"/>
        <v/>
      </c>
      <c r="U117" s="60">
        <v>71</v>
      </c>
      <c r="V117" s="61" t="str">
        <f t="shared" ca="1" si="25"/>
        <v/>
      </c>
      <c r="W117" s="62">
        <v>19</v>
      </c>
      <c r="X117" s="64" t="str">
        <f t="shared" ca="1" si="26"/>
        <v/>
      </c>
      <c r="Y117" s="62">
        <v>18</v>
      </c>
      <c r="Z117" s="64" t="str">
        <f t="shared" ca="1" si="27"/>
        <v/>
      </c>
      <c r="AA117" s="60">
        <v>40</v>
      </c>
      <c r="AB117" s="61" t="str">
        <f t="shared" ca="1" si="28"/>
        <v/>
      </c>
      <c r="AC117" s="62">
        <v>23</v>
      </c>
      <c r="AD117" s="61" t="str">
        <f t="shared" ca="1" si="29"/>
        <v/>
      </c>
      <c r="AE117" s="62">
        <v>44</v>
      </c>
      <c r="AF117" s="64" t="str">
        <f t="shared" ca="1" si="30"/>
        <v/>
      </c>
      <c r="AG117" s="66">
        <f>IF(OR(AND(C117&gt;=31,C117&lt;40),AND(G117&gt;=31,G117&lt;40),AND(M117&gt;=31,M117&lt;40),AND(Q117&gt;=31,Q117&lt;40),AND(U117&gt;=31,U117&lt;40),AND(AA117&gt;=31,AA117&lt;40)),IF(AND(OR(COUNTIF(C117:AF117,"=31")&gt;=1,COUNTIF(C117:AF117,"=32")&gt;=1,COUNTIF(C117:AF117,"=33")&gt;=1,COUNTIF(C117:AF117,"=34")&gt;=1,COUNTIF(C117:AF117,"=35")&gt;=1,COUNTIF(C117:AF117,"=36")&gt;=1 ),COUNTIF(C117:AF117,"")=0,COUNTIF(C117:AF117," ")=0,COUNTIF(C117:AF117,"F")=1),CONCATENATE(SUM(EXTRACTNUMBER(C117),EXTRACTNUMBER(E117),
EXTRACTNUMBER(G117),EXTRACTNUMBER(I117),
EXTRACTNUMBER(K117),EXTRACTNUMBER(M117),
EXTRACTNUMBER(O117),EXTRACTNUMBER(Q117),
EXTRACTNUMBER(S117),EXTRACTNUMBER(U117),
EXTRACTNUMBER(W117),EXTRACTNUMBER(Y117),EXTRACTNUMBER(AA117),
EXTRACTNUMBER(AC117),EXTRACTNUMBER(AE117)),"*"),IF(AND(COUNTIF(C117:AF117,"=34")&gt;=1,COUNTIF(C117:AF117,"=35")&gt;=1,COUNTIF(C117:AF117,"f")=2,COUNTIF(C117:AF117,"")=0,COUNTIF(C117:AF117," ")=0),CONCATENATE(SUM(EXTRACTNUMBER(C117),EXTRACTNUMBER(E117),
EXTRACTNUMBER(G117),EXTRACTNUMBER(I117),
EXTRACTNUMBER(K117),EXTRACTNUMBER(M117),
EXTRACTNUMBER(O117),EXTRACTNUMBER(Q117),
EXTRACTNUMBER(S117),EXTRACTNUMBER(U117),
EXTRACTNUMBER(W117),EXTRACTNUMBER(Y117),EXTRACTNUMBER(AA117),
EXTRACTNUMBER(AC117),EXTRACTNUMBER(AE117)),"*"),IF(AND(COUNTIF(C117:AF117,"=36")&gt;=2,COUNTIF(C117:AF117,"f")=2,COUNTIF(C117:AF117,"")=0,COUNTIF(C117:AF117," ")=0),CONCATENATE(SUM(EXTRACTNUMBER(C117),EXTRACTNUMBER(E117),
EXTRACTNUMBER(G117),EXTRACTNUMBER(I117),
EXTRACTNUMBER(K117),EXTRACTNUMBER(M117),
EXTRACTNUMBER(O117),EXTRACTNUMBER(Q117),
EXTRACTNUMBER(S117),EXTRACTNUMBER(U117),
EXTRACTNUMBER(W117),EXTRACTNUMBER(Y117),EXTRACTNUMBER(AA117),
EXTRACTNUMBER(AC117),EXTRACTNUMBER(AE117)),"*"),SUM(EXTRACTNUMBER(C117),EXTRACTNUMBER(E117),
EXTRACTNUMBER(G117),EXTRACTNUMBER(I117),
EXTRACTNUMBER(K117),EXTRACTNUMBER(M117),
EXTRACTNUMBER(O117),EXTRACTNUMBER(Q117),
EXTRACTNUMBER(S117),EXTRACTNUMBER(U117),
EXTRACTNUMBER(W117),EXTRACTNUMBER(Y117),EXTRACTNUMBER(AA117),
EXTRACTNUMBER(AC117),EXTRACTNUMBER(AE117))))),SUM(EXTRACTNUMBER(C117),EXTRACTNUMBER(E117),
EXTRACTNUMBER(G117),EXTRACTNUMBER(I117),
EXTRACTNUMBER(K117),EXTRACTNUMBER(M117),
EXTRACTNUMBER(O117),EXTRACTNUMBER(Q117),
EXTRACTNUMBER(S117),EXTRACTNUMBER(U117),
EXTRACTNUMBER(W117),EXTRACTNUMBER(Y117),EXTRACTNUMBER(AA117),
EXTRACTNUMBER(AC117),EXTRACTNUMBER(AE117)))</f>
        <v>587</v>
      </c>
      <c r="AH117" s="38" t="str">
        <f t="shared" ca="1" si="31"/>
        <v>PASS</v>
      </c>
      <c r="AI117" s="28" t="str">
        <f>spellnumber(EXTRACTnUMBER_TOT(AG117))</f>
        <v xml:space="preserve">Five Hundred Eighty Seven </v>
      </c>
    </row>
    <row r="118" spans="1:35" ht="15" customHeight="1">
      <c r="A118" s="58">
        <v>223318</v>
      </c>
      <c r="B118" s="32" t="s">
        <v>276</v>
      </c>
      <c r="C118" s="60">
        <v>56</v>
      </c>
      <c r="D118" s="61" t="str">
        <f t="shared" ca="1" si="17"/>
        <v/>
      </c>
      <c r="E118" s="62">
        <v>15</v>
      </c>
      <c r="F118" s="61" t="str">
        <f t="shared" ca="1" si="18"/>
        <v/>
      </c>
      <c r="G118" s="63">
        <v>67</v>
      </c>
      <c r="H118" s="61" t="str">
        <f t="shared" ca="1" si="19"/>
        <v/>
      </c>
      <c r="I118" s="62">
        <v>18</v>
      </c>
      <c r="J118" s="61" t="str">
        <f t="shared" ca="1" si="20"/>
        <v/>
      </c>
      <c r="K118" s="62">
        <v>18</v>
      </c>
      <c r="L118" s="61" t="str">
        <f t="shared" ca="1" si="21"/>
        <v/>
      </c>
      <c r="M118" s="63">
        <v>78</v>
      </c>
      <c r="N118" s="61" t="str">
        <f t="shared" ca="1" si="16"/>
        <v/>
      </c>
      <c r="O118" s="62">
        <v>12</v>
      </c>
      <c r="P118" s="64" t="str">
        <f t="shared" ca="1" si="22"/>
        <v/>
      </c>
      <c r="Q118" s="60">
        <v>77</v>
      </c>
      <c r="R118" s="61" t="str">
        <f t="shared" ca="1" si="23"/>
        <v/>
      </c>
      <c r="S118" s="62">
        <v>15</v>
      </c>
      <c r="T118" s="64" t="str">
        <f t="shared" ca="1" si="24"/>
        <v/>
      </c>
      <c r="U118" s="60">
        <v>53</v>
      </c>
      <c r="V118" s="61" t="str">
        <f t="shared" ca="1" si="25"/>
        <v/>
      </c>
      <c r="W118" s="62">
        <v>17</v>
      </c>
      <c r="X118" s="64" t="str">
        <f t="shared" ca="1" si="26"/>
        <v/>
      </c>
      <c r="Y118" s="62">
        <v>18</v>
      </c>
      <c r="Z118" s="64" t="str">
        <f t="shared" ca="1" si="27"/>
        <v/>
      </c>
      <c r="AA118" s="60">
        <v>53</v>
      </c>
      <c r="AB118" s="61" t="str">
        <f t="shared" ca="1" si="28"/>
        <v/>
      </c>
      <c r="AC118" s="62">
        <v>18</v>
      </c>
      <c r="AD118" s="61" t="str">
        <f t="shared" ca="1" si="29"/>
        <v/>
      </c>
      <c r="AE118" s="62">
        <v>36</v>
      </c>
      <c r="AF118" s="64" t="str">
        <f t="shared" ca="1" si="30"/>
        <v/>
      </c>
      <c r="AG118" s="66">
        <f>IF(OR(AND(C118&gt;=31,C118&lt;40),AND(G118&gt;=31,G118&lt;40),AND(M118&gt;=31,M118&lt;40),AND(Q118&gt;=31,Q118&lt;40),AND(U118&gt;=31,U118&lt;40),AND(AA118&gt;=31,AA118&lt;40)),IF(AND(OR(COUNTIF(C118:AF118,"=31")&gt;=1,COUNTIF(C118:AF118,"=32")&gt;=1,COUNTIF(C118:AF118,"=33")&gt;=1,COUNTIF(C118:AF118,"=34")&gt;=1,COUNTIF(C118:AF118,"=35")&gt;=1,COUNTIF(C118:AF118,"=36")&gt;=1 ),COUNTIF(C118:AF118,"")=0,COUNTIF(C118:AF118," ")=0,COUNTIF(C118:AF118,"F")=1),CONCATENATE(SUM(EXTRACTNUMBER(C118),EXTRACTNUMBER(E118),
EXTRACTNUMBER(G118),EXTRACTNUMBER(I118),
EXTRACTNUMBER(K118),EXTRACTNUMBER(M118),
EXTRACTNUMBER(O118),EXTRACTNUMBER(Q118),
EXTRACTNUMBER(S118),EXTRACTNUMBER(U118),
EXTRACTNUMBER(W118),EXTRACTNUMBER(Y118),EXTRACTNUMBER(AA118),
EXTRACTNUMBER(AC118),EXTRACTNUMBER(AE118)),"*"),IF(AND(COUNTIF(C118:AF118,"=34")&gt;=1,COUNTIF(C118:AF118,"=35")&gt;=1,COUNTIF(C118:AF118,"f")=2,COUNTIF(C118:AF118,"")=0,COUNTIF(C118:AF118," ")=0),CONCATENATE(SUM(EXTRACTNUMBER(C118),EXTRACTNUMBER(E118),
EXTRACTNUMBER(G118),EXTRACTNUMBER(I118),
EXTRACTNUMBER(K118),EXTRACTNUMBER(M118),
EXTRACTNUMBER(O118),EXTRACTNUMBER(Q118),
EXTRACTNUMBER(S118),EXTRACTNUMBER(U118),
EXTRACTNUMBER(W118),EXTRACTNUMBER(Y118),EXTRACTNUMBER(AA118),
EXTRACTNUMBER(AC118),EXTRACTNUMBER(AE118)),"*"),IF(AND(COUNTIF(C118:AF118,"=36")&gt;=2,COUNTIF(C118:AF118,"f")=2,COUNTIF(C118:AF118,"")=0,COUNTIF(C118:AF118," ")=0),CONCATENATE(SUM(EXTRACTNUMBER(C118),EXTRACTNUMBER(E118),
EXTRACTNUMBER(G118),EXTRACTNUMBER(I118),
EXTRACTNUMBER(K118),EXTRACTNUMBER(M118),
EXTRACTNUMBER(O118),EXTRACTNUMBER(Q118),
EXTRACTNUMBER(S118),EXTRACTNUMBER(U118),
EXTRACTNUMBER(W118),EXTRACTNUMBER(Y118),EXTRACTNUMBER(AA118),
EXTRACTNUMBER(AC118),EXTRACTNUMBER(AE118)),"*"),SUM(EXTRACTNUMBER(C118),EXTRACTNUMBER(E118),
EXTRACTNUMBER(G118),EXTRACTNUMBER(I118),
EXTRACTNUMBER(K118),EXTRACTNUMBER(M118),
EXTRACTNUMBER(O118),EXTRACTNUMBER(Q118),
EXTRACTNUMBER(S118),EXTRACTNUMBER(U118),
EXTRACTNUMBER(W118),EXTRACTNUMBER(Y118),EXTRACTNUMBER(AA118),
EXTRACTNUMBER(AC118),EXTRACTNUMBER(AE118))))),SUM(EXTRACTNUMBER(C118),EXTRACTNUMBER(E118),
EXTRACTNUMBER(G118),EXTRACTNUMBER(I118),
EXTRACTNUMBER(K118),EXTRACTNUMBER(M118),
EXTRACTNUMBER(O118),EXTRACTNUMBER(Q118),
EXTRACTNUMBER(S118),EXTRACTNUMBER(U118),
EXTRACTNUMBER(W118),EXTRACTNUMBER(Y118),EXTRACTNUMBER(AA118),
EXTRACTNUMBER(AC118),EXTRACTNUMBER(AE118)))</f>
        <v>551</v>
      </c>
      <c r="AH118" s="38" t="str">
        <f t="shared" ca="1" si="31"/>
        <v>PASS</v>
      </c>
      <c r="AI118" s="28" t="str">
        <f>spellnumber(EXTRACTnUMBER_TOT(AG118))</f>
        <v xml:space="preserve">Five Hundred Fifty One </v>
      </c>
    </row>
    <row r="119" spans="1:35" ht="15" customHeight="1">
      <c r="A119" s="58">
        <v>223319</v>
      </c>
      <c r="B119" s="39" t="s">
        <v>277</v>
      </c>
      <c r="C119" s="60">
        <v>20</v>
      </c>
      <c r="D119" s="61" t="str">
        <f t="shared" ca="1" si="17"/>
        <v>F</v>
      </c>
      <c r="E119" s="62">
        <v>12</v>
      </c>
      <c r="F119" s="61" t="str">
        <f t="shared" ca="1" si="18"/>
        <v>E</v>
      </c>
      <c r="G119" s="63">
        <v>40</v>
      </c>
      <c r="H119" s="61" t="str">
        <f t="shared" ca="1" si="19"/>
        <v>E</v>
      </c>
      <c r="I119" s="62">
        <v>21</v>
      </c>
      <c r="J119" s="61" t="str">
        <f t="shared" ca="1" si="20"/>
        <v>E</v>
      </c>
      <c r="K119" s="62">
        <v>19</v>
      </c>
      <c r="L119" s="61" t="str">
        <f t="shared" ca="1" si="21"/>
        <v>E</v>
      </c>
      <c r="M119" s="63">
        <v>31</v>
      </c>
      <c r="N119" s="61" t="str">
        <f t="shared" ca="1" si="16"/>
        <v>F</v>
      </c>
      <c r="O119" s="62">
        <v>17</v>
      </c>
      <c r="P119" s="64" t="str">
        <f t="shared" ca="1" si="22"/>
        <v>E</v>
      </c>
      <c r="Q119" s="60">
        <v>20</v>
      </c>
      <c r="R119" s="61" t="str">
        <f t="shared" ca="1" si="23"/>
        <v>F</v>
      </c>
      <c r="S119" s="62">
        <v>20</v>
      </c>
      <c r="T119" s="64" t="str">
        <f t="shared" ca="1" si="24"/>
        <v>E</v>
      </c>
      <c r="U119" s="60">
        <v>40</v>
      </c>
      <c r="V119" s="61" t="str">
        <f t="shared" ca="1" si="25"/>
        <v>E</v>
      </c>
      <c r="W119" s="62">
        <v>17</v>
      </c>
      <c r="X119" s="64" t="str">
        <f t="shared" ca="1" si="26"/>
        <v>E</v>
      </c>
      <c r="Y119" s="62">
        <v>19</v>
      </c>
      <c r="Z119" s="64" t="str">
        <f t="shared" ca="1" si="27"/>
        <v>E</v>
      </c>
      <c r="AA119" s="60">
        <v>14</v>
      </c>
      <c r="AB119" s="61" t="str">
        <f t="shared" ca="1" si="28"/>
        <v>F</v>
      </c>
      <c r="AC119" s="62">
        <v>19</v>
      </c>
      <c r="AD119" s="61" t="str">
        <f t="shared" ca="1" si="29"/>
        <v>E</v>
      </c>
      <c r="AE119" s="62">
        <v>33</v>
      </c>
      <c r="AF119" s="64" t="str">
        <f t="shared" ca="1" si="30"/>
        <v>E</v>
      </c>
      <c r="AG119" s="66">
        <f ca="1">IF(OR(AND(C119&gt;=31,C119&lt;40),AND(G119&gt;=31,G119&lt;40),AND(M119&gt;=31,M119&lt;40),AND(Q119&gt;=31,Q119&lt;40),AND(U119&gt;=31,U119&lt;40),AND(AA119&gt;=31,AA119&lt;40)),IF(AND(OR(COUNTIF(C119:AF119,"=31")&gt;=1,COUNTIF(C119:AF119,"=32")&gt;=1,COUNTIF(C119:AF119,"=33")&gt;=1,COUNTIF(C119:AF119,"=34")&gt;=1,COUNTIF(C119:AF119,"=35")&gt;=1,COUNTIF(C119:AF119,"=36")&gt;=1 ),COUNTIF(C119:AF119,"")=0,COUNTIF(C119:AF119," ")=0,COUNTIF(C119:AF119,"F")=1),CONCATENATE(SUM(EXTRACTNUMBER(C119),EXTRACTNUMBER(E119),
EXTRACTNUMBER(G119),EXTRACTNUMBER(I119),
EXTRACTNUMBER(K119),EXTRACTNUMBER(M119),
EXTRACTNUMBER(O119),EXTRACTNUMBER(Q119),
EXTRACTNUMBER(S119),EXTRACTNUMBER(U119),
EXTRACTNUMBER(W119),EXTRACTNUMBER(Y119),EXTRACTNUMBER(AA119),
EXTRACTNUMBER(AC119),EXTRACTNUMBER(AE119)),"*"),IF(AND(COUNTIF(C119:AF119,"=34")&gt;=1,COUNTIF(C119:AF119,"=35")&gt;=1,COUNTIF(C119:AF119,"f")=2,COUNTIF(C119:AF119,"")=0,COUNTIF(C119:AF119," ")=0),CONCATENATE(SUM(EXTRACTNUMBER(C119),EXTRACTNUMBER(E119),
EXTRACTNUMBER(G119),EXTRACTNUMBER(I119),
EXTRACTNUMBER(K119),EXTRACTNUMBER(M119),
EXTRACTNUMBER(O119),EXTRACTNUMBER(Q119),
EXTRACTNUMBER(S119),EXTRACTNUMBER(U119),
EXTRACTNUMBER(W119),EXTRACTNUMBER(Y119),EXTRACTNUMBER(AA119),
EXTRACTNUMBER(AC119),EXTRACTNUMBER(AE119)),"*"),IF(AND(COUNTIF(C119:AF119,"=36")&gt;=2,COUNTIF(C119:AF119,"f")=2,COUNTIF(C119:AF119,"")=0,COUNTIF(C119:AF119," ")=0),CONCATENATE(SUM(EXTRACTNUMBER(C119),EXTRACTNUMBER(E119),
EXTRACTNUMBER(G119),EXTRACTNUMBER(I119),
EXTRACTNUMBER(K119),EXTRACTNUMBER(M119),
EXTRACTNUMBER(O119),EXTRACTNUMBER(Q119),
EXTRACTNUMBER(S119),EXTRACTNUMBER(U119),
EXTRACTNUMBER(W119),EXTRACTNUMBER(Y119),EXTRACTNUMBER(AA119),
EXTRACTNUMBER(AC119),EXTRACTNUMBER(AE119)),"*"),SUM(EXTRACTNUMBER(C119),EXTRACTNUMBER(E119),
EXTRACTNUMBER(G119),EXTRACTNUMBER(I119),
EXTRACTNUMBER(K119),EXTRACTNUMBER(M119),
EXTRACTNUMBER(O119),EXTRACTNUMBER(Q119),
EXTRACTNUMBER(S119),EXTRACTNUMBER(U119),
EXTRACTNUMBER(W119),EXTRACTNUMBER(Y119),EXTRACTNUMBER(AA119),
EXTRACTNUMBER(AC119),EXTRACTNUMBER(AE119))))),SUM(EXTRACTNUMBER(C119),EXTRACTNUMBER(E119),
EXTRACTNUMBER(G119),EXTRACTNUMBER(I119),
EXTRACTNUMBER(K119),EXTRACTNUMBER(M119),
EXTRACTNUMBER(O119),EXTRACTNUMBER(Q119),
EXTRACTNUMBER(S119),EXTRACTNUMBER(U119),
EXTRACTNUMBER(W119),EXTRACTNUMBER(Y119),EXTRACTNUMBER(AA119),
EXTRACTNUMBER(AC119),EXTRACTNUMBER(AE119)))</f>
        <v>342</v>
      </c>
      <c r="AH119" s="38" t="str">
        <f t="shared" ca="1" si="31"/>
        <v>FAIL</v>
      </c>
      <c r="AI119" s="28" t="e">
        <f ca="1">spellnumber(EXTRACTnUMBER_TOT(AG119))</f>
        <v>#NAME?</v>
      </c>
    </row>
    <row r="120" spans="1:35" ht="15" customHeight="1">
      <c r="A120" s="58">
        <v>223320</v>
      </c>
      <c r="B120" s="32" t="s">
        <v>278</v>
      </c>
      <c r="C120" s="60">
        <v>23</v>
      </c>
      <c r="D120" s="61" t="str">
        <f t="shared" ca="1" si="17"/>
        <v>F</v>
      </c>
      <c r="E120" s="62">
        <v>15</v>
      </c>
      <c r="F120" s="61" t="str">
        <f t="shared" ca="1" si="18"/>
        <v>E</v>
      </c>
      <c r="G120" s="63">
        <v>46</v>
      </c>
      <c r="H120" s="61" t="str">
        <f t="shared" ca="1" si="19"/>
        <v>E</v>
      </c>
      <c r="I120" s="62">
        <v>20</v>
      </c>
      <c r="J120" s="61" t="str">
        <f t="shared" ca="1" si="20"/>
        <v>E</v>
      </c>
      <c r="K120" s="62">
        <v>19</v>
      </c>
      <c r="L120" s="61" t="str">
        <f t="shared" ca="1" si="21"/>
        <v>E</v>
      </c>
      <c r="M120" s="63">
        <v>44</v>
      </c>
      <c r="N120" s="61" t="str">
        <f t="shared" ca="1" si="16"/>
        <v>E</v>
      </c>
      <c r="O120" s="62">
        <v>17</v>
      </c>
      <c r="P120" s="64" t="str">
        <f t="shared" ca="1" si="22"/>
        <v>E</v>
      </c>
      <c r="Q120" s="60">
        <v>59</v>
      </c>
      <c r="R120" s="61" t="str">
        <f t="shared" ca="1" si="23"/>
        <v>E</v>
      </c>
      <c r="S120" s="62">
        <v>20</v>
      </c>
      <c r="T120" s="64" t="str">
        <f t="shared" ca="1" si="24"/>
        <v>E</v>
      </c>
      <c r="U120" s="60">
        <v>46</v>
      </c>
      <c r="V120" s="61" t="str">
        <f t="shared" ca="1" si="25"/>
        <v>E</v>
      </c>
      <c r="W120" s="62">
        <v>22</v>
      </c>
      <c r="X120" s="64" t="str">
        <f t="shared" ca="1" si="26"/>
        <v>E</v>
      </c>
      <c r="Y120" s="62">
        <v>22</v>
      </c>
      <c r="Z120" s="64" t="str">
        <f t="shared" ca="1" si="27"/>
        <v>E</v>
      </c>
      <c r="AA120" s="60">
        <v>40</v>
      </c>
      <c r="AB120" s="61" t="str">
        <f t="shared" ca="1" si="28"/>
        <v>E</v>
      </c>
      <c r="AC120" s="62">
        <v>23</v>
      </c>
      <c r="AD120" s="61" t="str">
        <f t="shared" ca="1" si="29"/>
        <v>E</v>
      </c>
      <c r="AE120" s="62">
        <v>41</v>
      </c>
      <c r="AF120" s="64" t="str">
        <f t="shared" ca="1" si="30"/>
        <v>E</v>
      </c>
      <c r="AG120" s="66">
        <f>IF(OR(AND(C120&gt;=31,C120&lt;40),AND(G120&gt;=31,G120&lt;40),AND(M120&gt;=31,M120&lt;40),AND(Q120&gt;=31,Q120&lt;40),AND(U120&gt;=31,U120&lt;40),AND(AA120&gt;=31,AA120&lt;40)),IF(AND(OR(COUNTIF(C120:AF120,"=31")&gt;=1,COUNTIF(C120:AF120,"=32")&gt;=1,COUNTIF(C120:AF120,"=33")&gt;=1,COUNTIF(C120:AF120,"=34")&gt;=1,COUNTIF(C120:AF120,"=35")&gt;=1,COUNTIF(C120:AF120,"=36")&gt;=1 ),COUNTIF(C120:AF120,"")=0,COUNTIF(C120:AF120," ")=0,COUNTIF(C120:AF120,"F")=1),CONCATENATE(SUM(EXTRACTNUMBER(C120),EXTRACTNUMBER(E120),
EXTRACTNUMBER(G120),EXTRACTNUMBER(I120),
EXTRACTNUMBER(K120),EXTRACTNUMBER(M120),
EXTRACTNUMBER(O120),EXTRACTNUMBER(Q120),
EXTRACTNUMBER(S120),EXTRACTNUMBER(U120),
EXTRACTNUMBER(W120),EXTRACTNUMBER(Y120),EXTRACTNUMBER(AA120),
EXTRACTNUMBER(AC120),EXTRACTNUMBER(AE120)),"*"),IF(AND(COUNTIF(C120:AF120,"=34")&gt;=1,COUNTIF(C120:AF120,"=35")&gt;=1,COUNTIF(C120:AF120,"f")=2,COUNTIF(C120:AF120,"")=0,COUNTIF(C120:AF120," ")=0),CONCATENATE(SUM(EXTRACTNUMBER(C120),EXTRACTNUMBER(E120),
EXTRACTNUMBER(G120),EXTRACTNUMBER(I120),
EXTRACTNUMBER(K120),EXTRACTNUMBER(M120),
EXTRACTNUMBER(O120),EXTRACTNUMBER(Q120),
EXTRACTNUMBER(S120),EXTRACTNUMBER(U120),
EXTRACTNUMBER(W120),EXTRACTNUMBER(Y120),EXTRACTNUMBER(AA120),
EXTRACTNUMBER(AC120),EXTRACTNUMBER(AE120)),"*"),IF(AND(COUNTIF(C120:AF120,"=36")&gt;=2,COUNTIF(C120:AF120,"f")=2,COUNTIF(C120:AF120,"")=0,COUNTIF(C120:AF120," ")=0),CONCATENATE(SUM(EXTRACTNUMBER(C120),EXTRACTNUMBER(E120),
EXTRACTNUMBER(G120),EXTRACTNUMBER(I120),
EXTRACTNUMBER(K120),EXTRACTNUMBER(M120),
EXTRACTNUMBER(O120),EXTRACTNUMBER(Q120),
EXTRACTNUMBER(S120),EXTRACTNUMBER(U120),
EXTRACTNUMBER(W120),EXTRACTNUMBER(Y120),EXTRACTNUMBER(AA120),
EXTRACTNUMBER(AC120),EXTRACTNUMBER(AE120)),"*"),SUM(EXTRACTNUMBER(C120),EXTRACTNUMBER(E120),
EXTRACTNUMBER(G120),EXTRACTNUMBER(I120),
EXTRACTNUMBER(K120),EXTRACTNUMBER(M120),
EXTRACTNUMBER(O120),EXTRACTNUMBER(Q120),
EXTRACTNUMBER(S120),EXTRACTNUMBER(U120),
EXTRACTNUMBER(W120),EXTRACTNUMBER(Y120),EXTRACTNUMBER(AA120),
EXTRACTNUMBER(AC120),EXTRACTNUMBER(AE120))))),SUM(EXTRACTNUMBER(C120),EXTRACTNUMBER(E120),
EXTRACTNUMBER(G120),EXTRACTNUMBER(I120),
EXTRACTNUMBER(K120),EXTRACTNUMBER(M120),
EXTRACTNUMBER(O120),EXTRACTNUMBER(Q120),
EXTRACTNUMBER(S120),EXTRACTNUMBER(U120),
EXTRACTNUMBER(W120),EXTRACTNUMBER(Y120),EXTRACTNUMBER(AA120),
EXTRACTNUMBER(AC120),EXTRACTNUMBER(AE120)))</f>
        <v>457</v>
      </c>
      <c r="AH120" s="38" t="str">
        <f t="shared" ca="1" si="31"/>
        <v>FAIL</v>
      </c>
      <c r="AI120" s="28" t="str">
        <f>spellnumber(EXTRACTnUMBER_TOT(AG120))</f>
        <v xml:space="preserve">Four Hundred Fifty Seven </v>
      </c>
    </row>
    <row r="121" spans="1:35" ht="15" customHeight="1">
      <c r="A121" s="58">
        <v>223321</v>
      </c>
      <c r="B121" s="32" t="s">
        <v>279</v>
      </c>
      <c r="C121" s="60">
        <v>12</v>
      </c>
      <c r="D121" s="61" t="str">
        <f t="shared" ca="1" si="17"/>
        <v>F</v>
      </c>
      <c r="E121" s="62">
        <v>14</v>
      </c>
      <c r="F121" s="61" t="str">
        <f t="shared" ca="1" si="18"/>
        <v>E</v>
      </c>
      <c r="G121" s="63">
        <v>42</v>
      </c>
      <c r="H121" s="61" t="str">
        <f t="shared" ca="1" si="19"/>
        <v>E</v>
      </c>
      <c r="I121" s="62">
        <v>18</v>
      </c>
      <c r="J121" s="61" t="str">
        <f t="shared" ca="1" si="20"/>
        <v>E</v>
      </c>
      <c r="K121" s="62">
        <v>17</v>
      </c>
      <c r="L121" s="61" t="str">
        <f t="shared" ca="1" si="21"/>
        <v>E</v>
      </c>
      <c r="M121" s="63">
        <v>60</v>
      </c>
      <c r="N121" s="61" t="str">
        <f t="shared" ca="1" si="16"/>
        <v>E</v>
      </c>
      <c r="O121" s="62">
        <v>15</v>
      </c>
      <c r="P121" s="64" t="str">
        <f t="shared" ca="1" si="22"/>
        <v>E</v>
      </c>
      <c r="Q121" s="60">
        <v>40</v>
      </c>
      <c r="R121" s="61" t="str">
        <f t="shared" ca="1" si="23"/>
        <v>E</v>
      </c>
      <c r="S121" s="62">
        <v>15</v>
      </c>
      <c r="T121" s="64" t="str">
        <f t="shared" ca="1" si="24"/>
        <v>E</v>
      </c>
      <c r="U121" s="60">
        <v>40</v>
      </c>
      <c r="V121" s="61" t="str">
        <f t="shared" ca="1" si="25"/>
        <v>E</v>
      </c>
      <c r="W121" s="62">
        <v>17</v>
      </c>
      <c r="X121" s="64" t="str">
        <f t="shared" ca="1" si="26"/>
        <v>E</v>
      </c>
      <c r="Y121" s="62">
        <v>18</v>
      </c>
      <c r="Z121" s="64" t="str">
        <f t="shared" ca="1" si="27"/>
        <v>E</v>
      </c>
      <c r="AA121" s="60">
        <v>41</v>
      </c>
      <c r="AB121" s="61" t="str">
        <f t="shared" ca="1" si="28"/>
        <v>E</v>
      </c>
      <c r="AC121" s="62">
        <v>21</v>
      </c>
      <c r="AD121" s="61" t="str">
        <f t="shared" ca="1" si="29"/>
        <v>E</v>
      </c>
      <c r="AE121" s="62">
        <v>27</v>
      </c>
      <c r="AF121" s="64" t="str">
        <f t="shared" ca="1" si="30"/>
        <v>E</v>
      </c>
      <c r="AG121" s="66">
        <f>IF(OR(AND(C121&gt;=31,C121&lt;40),AND(G121&gt;=31,G121&lt;40),AND(M121&gt;=31,M121&lt;40),AND(Q121&gt;=31,Q121&lt;40),AND(U121&gt;=31,U121&lt;40),AND(AA121&gt;=31,AA121&lt;40)),IF(AND(OR(COUNTIF(C121:AF121,"=31")&gt;=1,COUNTIF(C121:AF121,"=32")&gt;=1,COUNTIF(C121:AF121,"=33")&gt;=1,COUNTIF(C121:AF121,"=34")&gt;=1,COUNTIF(C121:AF121,"=35")&gt;=1,COUNTIF(C121:AF121,"=36")&gt;=1 ),COUNTIF(C121:AF121,"")=0,COUNTIF(C121:AF121," ")=0,COUNTIF(C121:AF121,"F")=1),CONCATENATE(SUM(EXTRACTNUMBER(C121),EXTRACTNUMBER(E121),
EXTRACTNUMBER(G121),EXTRACTNUMBER(I121),
EXTRACTNUMBER(K121),EXTRACTNUMBER(M121),
EXTRACTNUMBER(O121),EXTRACTNUMBER(Q121),
EXTRACTNUMBER(S121),EXTRACTNUMBER(U121),
EXTRACTNUMBER(W121),EXTRACTNUMBER(Y121),EXTRACTNUMBER(AA121),
EXTRACTNUMBER(AC121),EXTRACTNUMBER(AE121)),"*"),IF(AND(COUNTIF(C121:AF121,"=34")&gt;=1,COUNTIF(C121:AF121,"=35")&gt;=1,COUNTIF(C121:AF121,"f")=2,COUNTIF(C121:AF121,"")=0,COUNTIF(C121:AF121," ")=0),CONCATENATE(SUM(EXTRACTNUMBER(C121),EXTRACTNUMBER(E121),
EXTRACTNUMBER(G121),EXTRACTNUMBER(I121),
EXTRACTNUMBER(K121),EXTRACTNUMBER(M121),
EXTRACTNUMBER(O121),EXTRACTNUMBER(Q121),
EXTRACTNUMBER(S121),EXTRACTNUMBER(U121),
EXTRACTNUMBER(W121),EXTRACTNUMBER(Y121),EXTRACTNUMBER(AA121),
EXTRACTNUMBER(AC121),EXTRACTNUMBER(AE121)),"*"),IF(AND(COUNTIF(C121:AF121,"=36")&gt;=2,COUNTIF(C121:AF121,"f")=2,COUNTIF(C121:AF121,"")=0,COUNTIF(C121:AF121," ")=0),CONCATENATE(SUM(EXTRACTNUMBER(C121),EXTRACTNUMBER(E121),
EXTRACTNUMBER(G121),EXTRACTNUMBER(I121),
EXTRACTNUMBER(K121),EXTRACTNUMBER(M121),
EXTRACTNUMBER(O121),EXTRACTNUMBER(Q121),
EXTRACTNUMBER(S121),EXTRACTNUMBER(U121),
EXTRACTNUMBER(W121),EXTRACTNUMBER(Y121),EXTRACTNUMBER(AA121),
EXTRACTNUMBER(AC121),EXTRACTNUMBER(AE121)),"*"),SUM(EXTRACTNUMBER(C121),EXTRACTNUMBER(E121),
EXTRACTNUMBER(G121),EXTRACTNUMBER(I121),
EXTRACTNUMBER(K121),EXTRACTNUMBER(M121),
EXTRACTNUMBER(O121),EXTRACTNUMBER(Q121),
EXTRACTNUMBER(S121),EXTRACTNUMBER(U121),
EXTRACTNUMBER(W121),EXTRACTNUMBER(Y121),EXTRACTNUMBER(AA121),
EXTRACTNUMBER(AC121),EXTRACTNUMBER(AE121))))),SUM(EXTRACTNUMBER(C121),EXTRACTNUMBER(E121),
EXTRACTNUMBER(G121),EXTRACTNUMBER(I121),
EXTRACTNUMBER(K121),EXTRACTNUMBER(M121),
EXTRACTNUMBER(O121),EXTRACTNUMBER(Q121),
EXTRACTNUMBER(S121),EXTRACTNUMBER(U121),
EXTRACTNUMBER(W121),EXTRACTNUMBER(Y121),EXTRACTNUMBER(AA121),
EXTRACTNUMBER(AC121),EXTRACTNUMBER(AE121)))</f>
        <v>397</v>
      </c>
      <c r="AH121" s="38" t="str">
        <f t="shared" ca="1" si="31"/>
        <v>FAIL</v>
      </c>
      <c r="AI121" s="28" t="str">
        <f>spellnumber(EXTRACTnUMBER_TOT(AG121))</f>
        <v xml:space="preserve">Three Hundred NinetySeven </v>
      </c>
    </row>
    <row r="122" spans="1:35" ht="15" customHeight="1">
      <c r="A122" s="58">
        <v>223322</v>
      </c>
      <c r="B122" s="32" t="s">
        <v>280</v>
      </c>
      <c r="C122" s="60">
        <v>40</v>
      </c>
      <c r="D122" s="61" t="str">
        <f t="shared" ca="1" si="17"/>
        <v/>
      </c>
      <c r="E122" s="62">
        <v>18</v>
      </c>
      <c r="F122" s="61" t="str">
        <f t="shared" ca="1" si="18"/>
        <v/>
      </c>
      <c r="G122" s="63">
        <v>59</v>
      </c>
      <c r="H122" s="61" t="str">
        <f t="shared" ca="1" si="19"/>
        <v/>
      </c>
      <c r="I122" s="62">
        <v>19</v>
      </c>
      <c r="J122" s="61" t="str">
        <f t="shared" ca="1" si="20"/>
        <v/>
      </c>
      <c r="K122" s="62">
        <v>19</v>
      </c>
      <c r="L122" s="61" t="str">
        <f t="shared" ca="1" si="21"/>
        <v/>
      </c>
      <c r="M122" s="63">
        <v>73</v>
      </c>
      <c r="N122" s="61" t="str">
        <f t="shared" ca="1" si="16"/>
        <v/>
      </c>
      <c r="O122" s="62">
        <v>20</v>
      </c>
      <c r="P122" s="64" t="str">
        <f t="shared" ca="1" si="22"/>
        <v/>
      </c>
      <c r="Q122" s="60">
        <v>62</v>
      </c>
      <c r="R122" s="61" t="str">
        <f t="shared" ca="1" si="23"/>
        <v/>
      </c>
      <c r="S122" s="62">
        <v>20</v>
      </c>
      <c r="T122" s="64" t="str">
        <f t="shared" ca="1" si="24"/>
        <v/>
      </c>
      <c r="U122" s="60">
        <v>62</v>
      </c>
      <c r="V122" s="61" t="str">
        <f t="shared" ca="1" si="25"/>
        <v/>
      </c>
      <c r="W122" s="62">
        <v>20</v>
      </c>
      <c r="X122" s="64" t="str">
        <f t="shared" ca="1" si="26"/>
        <v/>
      </c>
      <c r="Y122" s="62">
        <v>20</v>
      </c>
      <c r="Z122" s="64" t="str">
        <f t="shared" ca="1" si="27"/>
        <v/>
      </c>
      <c r="AA122" s="60">
        <v>50</v>
      </c>
      <c r="AB122" s="61" t="str">
        <f t="shared" ca="1" si="28"/>
        <v/>
      </c>
      <c r="AC122" s="62">
        <v>20</v>
      </c>
      <c r="AD122" s="61" t="str">
        <f t="shared" ca="1" si="29"/>
        <v/>
      </c>
      <c r="AE122" s="62">
        <v>34</v>
      </c>
      <c r="AF122" s="64" t="str">
        <f t="shared" ca="1" si="30"/>
        <v/>
      </c>
      <c r="AG122" s="66">
        <f>IF(OR(AND(C122&gt;=31,C122&lt;40),AND(G122&gt;=31,G122&lt;40),AND(M122&gt;=31,M122&lt;40),AND(Q122&gt;=31,Q122&lt;40),AND(U122&gt;=31,U122&lt;40),AND(AA122&gt;=31,AA122&lt;40)),IF(AND(OR(COUNTIF(C122:AF122,"=31")&gt;=1,COUNTIF(C122:AF122,"=32")&gt;=1,COUNTIF(C122:AF122,"=33")&gt;=1,COUNTIF(C122:AF122,"=34")&gt;=1,COUNTIF(C122:AF122,"=35")&gt;=1,COUNTIF(C122:AF122,"=36")&gt;=1 ),COUNTIF(C122:AF122,"")=0,COUNTIF(C122:AF122," ")=0,COUNTIF(C122:AF122,"F")=1),CONCATENATE(SUM(EXTRACTNUMBER(C122),EXTRACTNUMBER(E122),
EXTRACTNUMBER(G122),EXTRACTNUMBER(I122),
EXTRACTNUMBER(K122),EXTRACTNUMBER(M122),
EXTRACTNUMBER(O122),EXTRACTNUMBER(Q122),
EXTRACTNUMBER(S122),EXTRACTNUMBER(U122),
EXTRACTNUMBER(W122),EXTRACTNUMBER(Y122),EXTRACTNUMBER(AA122),
EXTRACTNUMBER(AC122),EXTRACTNUMBER(AE122)),"*"),IF(AND(COUNTIF(C122:AF122,"=34")&gt;=1,COUNTIF(C122:AF122,"=35")&gt;=1,COUNTIF(C122:AF122,"f")=2,COUNTIF(C122:AF122,"")=0,COUNTIF(C122:AF122," ")=0),CONCATENATE(SUM(EXTRACTNUMBER(C122),EXTRACTNUMBER(E122),
EXTRACTNUMBER(G122),EXTRACTNUMBER(I122),
EXTRACTNUMBER(K122),EXTRACTNUMBER(M122),
EXTRACTNUMBER(O122),EXTRACTNUMBER(Q122),
EXTRACTNUMBER(S122),EXTRACTNUMBER(U122),
EXTRACTNUMBER(W122),EXTRACTNUMBER(Y122),EXTRACTNUMBER(AA122),
EXTRACTNUMBER(AC122),EXTRACTNUMBER(AE122)),"*"),IF(AND(COUNTIF(C122:AF122,"=36")&gt;=2,COUNTIF(C122:AF122,"f")=2,COUNTIF(C122:AF122,"")=0,COUNTIF(C122:AF122," ")=0),CONCATENATE(SUM(EXTRACTNUMBER(C122),EXTRACTNUMBER(E122),
EXTRACTNUMBER(G122),EXTRACTNUMBER(I122),
EXTRACTNUMBER(K122),EXTRACTNUMBER(M122),
EXTRACTNUMBER(O122),EXTRACTNUMBER(Q122),
EXTRACTNUMBER(S122),EXTRACTNUMBER(U122),
EXTRACTNUMBER(W122),EXTRACTNUMBER(Y122),EXTRACTNUMBER(AA122),
EXTRACTNUMBER(AC122),EXTRACTNUMBER(AE122)),"*"),SUM(EXTRACTNUMBER(C122),EXTRACTNUMBER(E122),
EXTRACTNUMBER(G122),EXTRACTNUMBER(I122),
EXTRACTNUMBER(K122),EXTRACTNUMBER(M122),
EXTRACTNUMBER(O122),EXTRACTNUMBER(Q122),
EXTRACTNUMBER(S122),EXTRACTNUMBER(U122),
EXTRACTNUMBER(W122),EXTRACTNUMBER(Y122),EXTRACTNUMBER(AA122),
EXTRACTNUMBER(AC122),EXTRACTNUMBER(AE122))))),SUM(EXTRACTNUMBER(C122),EXTRACTNUMBER(E122),
EXTRACTNUMBER(G122),EXTRACTNUMBER(I122),
EXTRACTNUMBER(K122),EXTRACTNUMBER(M122),
EXTRACTNUMBER(O122),EXTRACTNUMBER(Q122),
EXTRACTNUMBER(S122),EXTRACTNUMBER(U122),
EXTRACTNUMBER(W122),EXTRACTNUMBER(Y122),EXTRACTNUMBER(AA122),
EXTRACTNUMBER(AC122),EXTRACTNUMBER(AE122)))</f>
        <v>536</v>
      </c>
      <c r="AH122" s="38" t="str">
        <f t="shared" ca="1" si="31"/>
        <v>PASS</v>
      </c>
      <c r="AI122" s="28" t="str">
        <f>spellnumber(EXTRACTnUMBER_TOT(AG122))</f>
        <v xml:space="preserve">Five Hundred Thirty Six </v>
      </c>
    </row>
    <row r="123" spans="1:35" ht="15" customHeight="1">
      <c r="A123" s="58">
        <v>223323</v>
      </c>
      <c r="B123" s="39" t="s">
        <v>281</v>
      </c>
      <c r="C123" s="60">
        <v>26</v>
      </c>
      <c r="D123" s="61" t="str">
        <f t="shared" ca="1" si="17"/>
        <v>F</v>
      </c>
      <c r="E123" s="62">
        <v>18</v>
      </c>
      <c r="F123" s="61" t="str">
        <f t="shared" ca="1" si="18"/>
        <v>E</v>
      </c>
      <c r="G123" s="63">
        <v>54</v>
      </c>
      <c r="H123" s="61" t="str">
        <f t="shared" ca="1" si="19"/>
        <v>E</v>
      </c>
      <c r="I123" s="62">
        <v>19</v>
      </c>
      <c r="J123" s="61" t="str">
        <f t="shared" ca="1" si="20"/>
        <v>E</v>
      </c>
      <c r="K123" s="62">
        <v>18</v>
      </c>
      <c r="L123" s="61" t="str">
        <f t="shared" ca="1" si="21"/>
        <v>E</v>
      </c>
      <c r="M123" s="63">
        <v>60</v>
      </c>
      <c r="N123" s="61" t="str">
        <f t="shared" ca="1" si="16"/>
        <v>E</v>
      </c>
      <c r="O123" s="62">
        <v>23</v>
      </c>
      <c r="P123" s="64" t="str">
        <f t="shared" ca="1" si="22"/>
        <v>E</v>
      </c>
      <c r="Q123" s="60">
        <v>43</v>
      </c>
      <c r="R123" s="61" t="str">
        <f t="shared" ca="1" si="23"/>
        <v>E</v>
      </c>
      <c r="S123" s="62">
        <v>21</v>
      </c>
      <c r="T123" s="64" t="str">
        <f t="shared" ca="1" si="24"/>
        <v>E</v>
      </c>
      <c r="U123" s="60">
        <v>52</v>
      </c>
      <c r="V123" s="61" t="str">
        <f t="shared" ca="1" si="25"/>
        <v>E</v>
      </c>
      <c r="W123" s="62">
        <v>19</v>
      </c>
      <c r="X123" s="64" t="str">
        <f t="shared" ca="1" si="26"/>
        <v>E</v>
      </c>
      <c r="Y123" s="62">
        <v>20</v>
      </c>
      <c r="Z123" s="64" t="str">
        <f t="shared" ca="1" si="27"/>
        <v>E</v>
      </c>
      <c r="AA123" s="60">
        <v>44</v>
      </c>
      <c r="AB123" s="61" t="str">
        <f t="shared" ca="1" si="28"/>
        <v>E</v>
      </c>
      <c r="AC123" s="62">
        <v>19</v>
      </c>
      <c r="AD123" s="61" t="str">
        <f t="shared" ca="1" si="29"/>
        <v>E</v>
      </c>
      <c r="AE123" s="62">
        <v>43</v>
      </c>
      <c r="AF123" s="64" t="str">
        <f t="shared" ca="1" si="30"/>
        <v>E</v>
      </c>
      <c r="AG123" s="66">
        <f>IF(OR(AND(C123&gt;=31,C123&lt;40),AND(G123&gt;=31,G123&lt;40),AND(M123&gt;=31,M123&lt;40),AND(Q123&gt;=31,Q123&lt;40),AND(U123&gt;=31,U123&lt;40),AND(AA123&gt;=31,AA123&lt;40)),IF(AND(OR(COUNTIF(C123:AF123,"=31")&gt;=1,COUNTIF(C123:AF123,"=32")&gt;=1,COUNTIF(C123:AF123,"=33")&gt;=1,COUNTIF(C123:AF123,"=34")&gt;=1,COUNTIF(C123:AF123,"=35")&gt;=1,COUNTIF(C123:AF123,"=36")&gt;=1 ),COUNTIF(C123:AF123,"")=0,COUNTIF(C123:AF123," ")=0,COUNTIF(C123:AF123,"F")=1),CONCATENATE(SUM(EXTRACTNUMBER(C123),EXTRACTNUMBER(E123),
EXTRACTNUMBER(G123),EXTRACTNUMBER(I123),
EXTRACTNUMBER(K123),EXTRACTNUMBER(M123),
EXTRACTNUMBER(O123),EXTRACTNUMBER(Q123),
EXTRACTNUMBER(S123),EXTRACTNUMBER(U123),
EXTRACTNUMBER(W123),EXTRACTNUMBER(Y123),EXTRACTNUMBER(AA123),
EXTRACTNUMBER(AC123),EXTRACTNUMBER(AE123)),"*"),IF(AND(COUNTIF(C123:AF123,"=34")&gt;=1,COUNTIF(C123:AF123,"=35")&gt;=1,COUNTIF(C123:AF123,"f")=2,COUNTIF(C123:AF123,"")=0,COUNTIF(C123:AF123," ")=0),CONCATENATE(SUM(EXTRACTNUMBER(C123),EXTRACTNUMBER(E123),
EXTRACTNUMBER(G123),EXTRACTNUMBER(I123),
EXTRACTNUMBER(K123),EXTRACTNUMBER(M123),
EXTRACTNUMBER(O123),EXTRACTNUMBER(Q123),
EXTRACTNUMBER(S123),EXTRACTNUMBER(U123),
EXTRACTNUMBER(W123),EXTRACTNUMBER(Y123),EXTRACTNUMBER(AA123),
EXTRACTNUMBER(AC123),EXTRACTNUMBER(AE123)),"*"),IF(AND(COUNTIF(C123:AF123,"=36")&gt;=2,COUNTIF(C123:AF123,"f")=2,COUNTIF(C123:AF123,"")=0,COUNTIF(C123:AF123," ")=0),CONCATENATE(SUM(EXTRACTNUMBER(C123),EXTRACTNUMBER(E123),
EXTRACTNUMBER(G123),EXTRACTNUMBER(I123),
EXTRACTNUMBER(K123),EXTRACTNUMBER(M123),
EXTRACTNUMBER(O123),EXTRACTNUMBER(Q123),
EXTRACTNUMBER(S123),EXTRACTNUMBER(U123),
EXTRACTNUMBER(W123),EXTRACTNUMBER(Y123),EXTRACTNUMBER(AA123),
EXTRACTNUMBER(AC123),EXTRACTNUMBER(AE123)),"*"),SUM(EXTRACTNUMBER(C123),EXTRACTNUMBER(E123),
EXTRACTNUMBER(G123),EXTRACTNUMBER(I123),
EXTRACTNUMBER(K123),EXTRACTNUMBER(M123),
EXTRACTNUMBER(O123),EXTRACTNUMBER(Q123),
EXTRACTNUMBER(S123),EXTRACTNUMBER(U123),
EXTRACTNUMBER(W123),EXTRACTNUMBER(Y123),EXTRACTNUMBER(AA123),
EXTRACTNUMBER(AC123),EXTRACTNUMBER(AE123))))),SUM(EXTRACTNUMBER(C123),EXTRACTNUMBER(E123),
EXTRACTNUMBER(G123),EXTRACTNUMBER(I123),
EXTRACTNUMBER(K123),EXTRACTNUMBER(M123),
EXTRACTNUMBER(O123),EXTRACTNUMBER(Q123),
EXTRACTNUMBER(S123),EXTRACTNUMBER(U123),
EXTRACTNUMBER(W123),EXTRACTNUMBER(Y123),EXTRACTNUMBER(AA123),
EXTRACTNUMBER(AC123),EXTRACTNUMBER(AE123)))</f>
        <v>479</v>
      </c>
      <c r="AH123" s="38" t="str">
        <f t="shared" ca="1" si="31"/>
        <v>FAIL</v>
      </c>
      <c r="AI123" s="28" t="str">
        <f>spellnumber(EXTRACTnUMBER_TOT(AG123))</f>
        <v xml:space="preserve">Four Hundred Seventy Nine </v>
      </c>
    </row>
    <row r="124" spans="1:35" ht="15" customHeight="1">
      <c r="A124" s="58">
        <v>223324</v>
      </c>
      <c r="B124" s="32" t="s">
        <v>282</v>
      </c>
      <c r="C124" s="60">
        <v>42</v>
      </c>
      <c r="D124" s="61" t="str">
        <f t="shared" ca="1" si="17"/>
        <v/>
      </c>
      <c r="E124" s="62">
        <v>22</v>
      </c>
      <c r="F124" s="61" t="str">
        <f t="shared" ca="1" si="18"/>
        <v/>
      </c>
      <c r="G124" s="63">
        <v>44</v>
      </c>
      <c r="H124" s="61" t="str">
        <f t="shared" ca="1" si="19"/>
        <v/>
      </c>
      <c r="I124" s="62">
        <v>23</v>
      </c>
      <c r="J124" s="61" t="str">
        <f t="shared" ca="1" si="20"/>
        <v/>
      </c>
      <c r="K124" s="62">
        <v>19</v>
      </c>
      <c r="L124" s="61" t="str">
        <f t="shared" ca="1" si="21"/>
        <v/>
      </c>
      <c r="M124" s="63">
        <v>65</v>
      </c>
      <c r="N124" s="61" t="str">
        <f t="shared" ca="1" si="16"/>
        <v/>
      </c>
      <c r="O124" s="62">
        <v>20</v>
      </c>
      <c r="P124" s="64" t="str">
        <f t="shared" ca="1" si="22"/>
        <v/>
      </c>
      <c r="Q124" s="60">
        <v>41</v>
      </c>
      <c r="R124" s="61" t="str">
        <f t="shared" ca="1" si="23"/>
        <v/>
      </c>
      <c r="S124" s="62">
        <v>23</v>
      </c>
      <c r="T124" s="64" t="str">
        <f t="shared" ca="1" si="24"/>
        <v/>
      </c>
      <c r="U124" s="60">
        <v>50</v>
      </c>
      <c r="V124" s="61" t="str">
        <f t="shared" ca="1" si="25"/>
        <v/>
      </c>
      <c r="W124" s="62">
        <v>23</v>
      </c>
      <c r="X124" s="64" t="str">
        <f t="shared" ca="1" si="26"/>
        <v/>
      </c>
      <c r="Y124" s="62">
        <v>23</v>
      </c>
      <c r="Z124" s="64" t="str">
        <f t="shared" ca="1" si="27"/>
        <v/>
      </c>
      <c r="AA124" s="60">
        <v>40</v>
      </c>
      <c r="AB124" s="61" t="str">
        <f t="shared" ca="1" si="28"/>
        <v/>
      </c>
      <c r="AC124" s="62">
        <v>23</v>
      </c>
      <c r="AD124" s="61" t="str">
        <f t="shared" ca="1" si="29"/>
        <v/>
      </c>
      <c r="AE124" s="62">
        <v>46</v>
      </c>
      <c r="AF124" s="64" t="str">
        <f t="shared" ca="1" si="30"/>
        <v/>
      </c>
      <c r="AG124" s="66">
        <f>IF(OR(AND(C124&gt;=31,C124&lt;40),AND(G124&gt;=31,G124&lt;40),AND(M124&gt;=31,M124&lt;40),AND(Q124&gt;=31,Q124&lt;40),AND(U124&gt;=31,U124&lt;40),AND(AA124&gt;=31,AA124&lt;40)),IF(AND(OR(COUNTIF(C124:AF124,"=31")&gt;=1,COUNTIF(C124:AF124,"=32")&gt;=1,COUNTIF(C124:AF124,"=33")&gt;=1,COUNTIF(C124:AF124,"=34")&gt;=1,COUNTIF(C124:AF124,"=35")&gt;=1,COUNTIF(C124:AF124,"=36")&gt;=1 ),COUNTIF(C124:AF124,"")=0,COUNTIF(C124:AF124," ")=0,COUNTIF(C124:AF124,"F")=1),CONCATENATE(SUM(EXTRACTNUMBER(C124),EXTRACTNUMBER(E124),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EXTRACTNUMBER(AC124),EXTRACTNUMBER(AE124)),"*"),IF(AND(COUNTIF(C124:AF124,"=34")&gt;=1,COUNTIF(C124:AF124,"=35")&gt;=1,COUNTIF(C124:AF124,"f")=2,COUNTIF(C124:AF124,"")=0,COUNTIF(C124:AF124,"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EXTRACTNUMBER(AC124),EXTRACTNUMBER(AE124)),"*"),IF(AND(COUNTIF(C124:AF124,"=36")&gt;=2,COUNTIF(C124:AF124,"f")=2,COUNTIF(C124:AF124,"")=0,COUNTIF(C124:AF124," ")=0),CONCATENATE(SUM(EXTRACTNUMBER(C124),EXTRACTNUMBER(E124),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EXTRACTNUMBER(AC124),EXTRACTNUMBER(AE124)),"*"),SUM(EXTRACTNUMBER(C124),EXTRACTNUMBER(E124),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EXTRACTNUMBER(AC124),EXTRACTNUMBER(AE124))))),SUM(EXTRACTNUMBER(C124),EXTRACTNUMBER(E124),
EXTRACTNUMBER(G124),EXTRACTNUMBER(I124),
EXTRACTNUMBER(K124),EXTRACTNUMBER(M124),
EXTRACTNUMBER(O124),EXTRACTNUMBER(Q124),
EXTRACTNUMBER(S124),EXTRACTNUMBER(U124),
EXTRACTNUMBER(W124),EXTRACTNUMBER(Y124),EXTRACTNUMBER(AA124),
EXTRACTNUMBER(AC124),EXTRACTNUMBER(AE124)))</f>
        <v>504</v>
      </c>
      <c r="AH124" s="38" t="str">
        <f t="shared" ca="1" si="31"/>
        <v>PASS</v>
      </c>
      <c r="AI124" s="28" t="str">
        <f>spellnumber(EXTRACTnUMBER_TOT(AG124))</f>
        <v xml:space="preserve">Five Hundred Four </v>
      </c>
    </row>
    <row r="125" spans="1:35" ht="15" customHeight="1">
      <c r="A125" s="58">
        <v>223325</v>
      </c>
      <c r="B125" s="32" t="s">
        <v>283</v>
      </c>
      <c r="C125" s="60">
        <v>40</v>
      </c>
      <c r="D125" s="61" t="str">
        <f t="shared" ca="1" si="17"/>
        <v>E</v>
      </c>
      <c r="E125" s="62">
        <v>18</v>
      </c>
      <c r="F125" s="61" t="str">
        <f t="shared" ca="1" si="18"/>
        <v>E</v>
      </c>
      <c r="G125" s="63">
        <v>40</v>
      </c>
      <c r="H125" s="61" t="str">
        <f t="shared" ca="1" si="19"/>
        <v>E</v>
      </c>
      <c r="I125" s="62">
        <v>19</v>
      </c>
      <c r="J125" s="61" t="str">
        <f t="shared" ca="1" si="20"/>
        <v>E</v>
      </c>
      <c r="K125" s="62">
        <v>19</v>
      </c>
      <c r="L125" s="61" t="str">
        <f t="shared" ca="1" si="21"/>
        <v>E</v>
      </c>
      <c r="M125" s="63">
        <v>53</v>
      </c>
      <c r="N125" s="61" t="str">
        <f t="shared" ca="1" si="16"/>
        <v>E</v>
      </c>
      <c r="O125" s="62">
        <v>16</v>
      </c>
      <c r="P125" s="64" t="str">
        <f t="shared" ca="1" si="22"/>
        <v>E</v>
      </c>
      <c r="Q125" s="60">
        <v>40</v>
      </c>
      <c r="R125" s="61" t="str">
        <f t="shared" ca="1" si="23"/>
        <v>E</v>
      </c>
      <c r="S125" s="62">
        <v>21</v>
      </c>
      <c r="T125" s="64" t="str">
        <f t="shared" ca="1" si="24"/>
        <v>E</v>
      </c>
      <c r="U125" s="60">
        <v>46</v>
      </c>
      <c r="V125" s="61" t="str">
        <f t="shared" ca="1" si="25"/>
        <v>E</v>
      </c>
      <c r="W125" s="62">
        <v>19</v>
      </c>
      <c r="X125" s="64" t="str">
        <f t="shared" ca="1" si="26"/>
        <v>E</v>
      </c>
      <c r="Y125" s="62">
        <v>20</v>
      </c>
      <c r="Z125" s="64" t="str">
        <f t="shared" ca="1" si="27"/>
        <v>E</v>
      </c>
      <c r="AA125" s="60">
        <v>27</v>
      </c>
      <c r="AB125" s="61" t="str">
        <f t="shared" ca="1" si="28"/>
        <v>F</v>
      </c>
      <c r="AC125" s="62">
        <v>21</v>
      </c>
      <c r="AD125" s="61" t="str">
        <f t="shared" ca="1" si="29"/>
        <v>E</v>
      </c>
      <c r="AE125" s="62">
        <v>30</v>
      </c>
      <c r="AF125" s="64" t="str">
        <f t="shared" ca="1" si="30"/>
        <v>E</v>
      </c>
      <c r="AG125" s="66">
        <f>IF(OR(AND(C125&gt;=31,C125&lt;40),AND(G125&gt;=31,G125&lt;40),AND(M125&gt;=31,M125&lt;40),AND(Q125&gt;=31,Q125&lt;40),AND(U125&gt;=31,U125&lt;40),AND(AA125&gt;=31,AA125&lt;40)),IF(AND(OR(COUNTIF(C125:AF125,"=31")&gt;=1,COUNTIF(C125:AF125,"=32")&gt;=1,COUNTIF(C125:AF125,"=33")&gt;=1,COUNTIF(C125:AF125,"=34")&gt;=1,COUNTIF(C125:AF125,"=35")&gt;=1,COUNTIF(C125:AF125,"=36")&gt;=1 ),COUNTIF(C125:AF125,"")=0,COUNTIF(C125:AF125," ")=0,COUNTIF(C125:AF125,"F")=1),CONCATENATE(SUM(EXTRACTNUMBER(C125),EXTRACTNUMBER(E125),
EXTRACTNUMBER(G125),EXTRACTNUMBER(I125),
EXTRACTNUMBER(K125),EXTRACTNUMBER(M125),
EXTRACTNUMBER(O125),EXTRACTNUMBER(Q125),
EXTRACTNUMBER(S125),EXTRACTNUMBER(U125),
EXTRACTNUMBER(W125),EXTRACTNUMBER(Y125),EXTRACTNUMBER(AA125),
EXTRACTNUMBER(AC125),EXTRACTNUMBER(AE125)),"*"),IF(AND(COUNTIF(C125:AF125,"=34")&gt;=1,COUNTIF(C125:AF125,"=35")&gt;=1,COUNTIF(C125:AF125,"f")=2,COUNTIF(C125:AF125,"")=0,COUNTIF(C125:AF125," ")=0),CONCATENATE(SUM(EXTRACTNUMBER(C125),EXTRACTNUMBER(E125),
EXTRACTNUMBER(G125),EXTRACTNUMBER(I125),
EXTRACTNUMBER(K125),EXTRACTNUMBER(M125),
EXTRACTNUMBER(O125),EXTRACTNUMBER(Q125),
EXTRACTNUMBER(S125),EXTRACTNUMBER(U125),
EXTRACTNUMBER(W125),EXTRACTNUMBER(Y125),EXTRACTNUMBER(AA125),
EXTRACTNUMBER(AC125),EXTRACTNUMBER(AE125)),"*"),IF(AND(COUNTIF(C125:AF125,"=36")&gt;=2,COUNTIF(C125:AF125,"f")=2,COUNTIF(C125:AF125,"")=0,COUNTIF(C125:AF125," ")=0),CONCATENATE(SUM(EXTRACTNUMBER(C125),EXTRACTNUMBER(E125),
EXTRACTNUMBER(G125),EXTRACTNUMBER(I125),
EXTRACTNUMBER(K125),EXTRACTNUMBER(M125),
EXTRACTNUMBER(O125),EXTRACTNUMBER(Q125),
EXTRACTNUMBER(S125),EXTRACTNUMBER(U125),
EXTRACTNUMBER(W125),EXTRACTNUMBER(Y125),EXTRACTNUMBER(AA125),
EXTRACTNUMBER(AC125),EXTRACTNUMBER(AE125)),"*"),SUM(EXTRACTNUMBER(C125),EXTRACTNUMBER(E125),
EXTRACTNUMBER(G125),EXTRACTNUMBER(I125),
EXTRACTNUMBER(K125),EXTRACTNUMBER(M125),
EXTRACTNUMBER(O125),EXTRACTNUMBER(Q125),
EXTRACTNUMBER(S125),EXTRACTNUMBER(U125),
EXTRACTNUMBER(W125),EXTRACTNUMBER(Y125),EXTRACTNUMBER(AA125),
EXTRACTNUMBER(AC125),EXTRACTNUMBER(AE125))))),SUM(EXTRACTNUMBER(C125),EXTRACTNUMBER(E125),
EXTRACTNUMBER(G125),EXTRACTNUMBER(I125),
EXTRACTNUMBER(K125),EXTRACTNUMBER(M125),
EXTRACTNUMBER(O125),EXTRACTNUMBER(Q125),
EXTRACTNUMBER(S125),EXTRACTNUMBER(U125),
EXTRACTNUMBER(W125),EXTRACTNUMBER(Y125),EXTRACTNUMBER(AA125),
EXTRACTNUMBER(AC125),EXTRACTNUMBER(AE125)))</f>
        <v>429</v>
      </c>
      <c r="AH125" s="38" t="str">
        <f t="shared" ca="1" si="31"/>
        <v>FAIL</v>
      </c>
      <c r="AI125" s="28" t="str">
        <f>spellnumber(EXTRACTnUMBER_TOT(AG125))</f>
        <v xml:space="preserve">Four Hundred Twenty Nine </v>
      </c>
    </row>
    <row r="126" spans="1:35" ht="15" customHeight="1">
      <c r="A126" s="58">
        <v>223326</v>
      </c>
      <c r="B126" s="32" t="s">
        <v>284</v>
      </c>
      <c r="C126" s="60">
        <v>19</v>
      </c>
      <c r="D126" s="61" t="str">
        <f t="shared" ca="1" si="17"/>
        <v>F</v>
      </c>
      <c r="E126" s="62">
        <v>16</v>
      </c>
      <c r="F126" s="61" t="str">
        <f t="shared" ca="1" si="18"/>
        <v>E</v>
      </c>
      <c r="G126" s="63" t="s">
        <v>103</v>
      </c>
      <c r="H126" s="61" t="str">
        <f t="shared" si="19"/>
        <v/>
      </c>
      <c r="I126" s="62">
        <v>19</v>
      </c>
      <c r="J126" s="61" t="str">
        <f t="shared" ca="1" si="20"/>
        <v>E</v>
      </c>
      <c r="K126" s="62">
        <v>17</v>
      </c>
      <c r="L126" s="61" t="str">
        <f t="shared" ca="1" si="21"/>
        <v>E</v>
      </c>
      <c r="M126" s="63">
        <v>61</v>
      </c>
      <c r="N126" s="61" t="str">
        <f t="shared" ca="1" si="16"/>
        <v>E</v>
      </c>
      <c r="O126" s="62">
        <v>16</v>
      </c>
      <c r="P126" s="64" t="str">
        <f t="shared" ca="1" si="22"/>
        <v>E</v>
      </c>
      <c r="Q126" s="60">
        <v>46</v>
      </c>
      <c r="R126" s="61" t="str">
        <f t="shared" ca="1" si="23"/>
        <v>E</v>
      </c>
      <c r="S126" s="62">
        <v>22</v>
      </c>
      <c r="T126" s="64" t="str">
        <f t="shared" ca="1" si="24"/>
        <v>E</v>
      </c>
      <c r="U126" s="60">
        <v>40</v>
      </c>
      <c r="V126" s="61" t="str">
        <f t="shared" ca="1" si="25"/>
        <v>E</v>
      </c>
      <c r="W126" s="62">
        <v>20</v>
      </c>
      <c r="X126" s="64" t="str">
        <f t="shared" ca="1" si="26"/>
        <v>E</v>
      </c>
      <c r="Y126" s="62">
        <v>20</v>
      </c>
      <c r="Z126" s="64" t="str">
        <f t="shared" ca="1" si="27"/>
        <v>E</v>
      </c>
      <c r="AA126" s="60">
        <v>30</v>
      </c>
      <c r="AB126" s="61" t="str">
        <f t="shared" ca="1" si="28"/>
        <v>F</v>
      </c>
      <c r="AC126" s="62">
        <v>22</v>
      </c>
      <c r="AD126" s="61" t="str">
        <f t="shared" ca="1" si="29"/>
        <v>E</v>
      </c>
      <c r="AE126" s="62">
        <v>40</v>
      </c>
      <c r="AF126" s="64" t="str">
        <f t="shared" ca="1" si="30"/>
        <v>E</v>
      </c>
      <c r="AG126" s="66">
        <f>IF(OR(AND(C126&gt;=31,C126&lt;40),AND(G126&gt;=31,G126&lt;40),AND(M126&gt;=31,M126&lt;40),AND(Q126&gt;=31,Q126&lt;40),AND(U126&gt;=31,U126&lt;40),AND(AA126&gt;=31,AA126&lt;40)),IF(AND(OR(COUNTIF(C126:AF126,"=31")&gt;=1,COUNTIF(C126:AF126,"=32")&gt;=1,COUNTIF(C126:AF126,"=33")&gt;=1,COUNTIF(C126:AF126,"=34")&gt;=1,COUNTIF(C126:AF126,"=35")&gt;=1,COUNTIF(C126:AF126,"=36")&gt;=1 ),COUNTIF(C126:AF126,"")=0,COUNTIF(C126:AF126," ")=0,COUNTIF(C126:AF126,"F")=1),CONCATENATE(SUM(EXTRACTNUMBER(C126),EXTRACTNUMBER(E126),
EXTRACTNUMBER(G126),EXTRACTNUMBER(I126),
EXTRACTNUMBER(K126),EXTRACTNUMBER(M126),
EXTRACTNUMBER(O126),EXTRACTNUMBER(Q126),
EXTRACTNUMBER(S126),EXTRACTNUMBER(U126),
EXTRACTNUMBER(W126),EXTRACTNUMBER(Y126),EXTRACTNUMBER(AA126),
EXTRACTNUMBER(AC126),EXTRACTNUMBER(AE126)),"*"),IF(AND(COUNTIF(C126:AF126,"=34")&gt;=1,COUNTIF(C126:AF126,"=35")&gt;=1,COUNTIF(C126:AF126,"f")=2,COUNTIF(C126:AF126,"")=0,COUNTIF(C126:AF126," ")=0),CONCATENATE(SUM(EXTRACTNUMBER(C126),EXTRACTNUMBER(E126),
EXTRACTNUMBER(G126),EXTRACTNUMBER(I126),
EXTRACTNUMBER(K126),EXTRACTNUMBER(M126),
EXTRACTNUMBER(O126),EXTRACTNUMBER(Q126),
EXTRACTNUMBER(S126),EXTRACTNUMBER(U126),
EXTRACTNUMBER(W126),EXTRACTNUMBER(Y126),EXTRACTNUMBER(AA126),
EXTRACTNUMBER(AC126),EXTRACTNUMBER(AE126)),"*"),IF(AND(COUNTIF(C126:AF126,"=36")&gt;=2,COUNTIF(C126:AF126,"f")=2,COUNTIF(C126:AF126,"")=0,COUNTIF(C126:AF126," ")=0),CONCATENATE(SUM(EXTRACTNUMBER(C126),EXTRACTNUMBER(E126),
EXTRACTNUMBER(G126),EXTRACTNUMBER(I126),
EXTRACTNUMBER(K126),EXTRACTNUMBER(M126),
EXTRACTNUMBER(O126),EXTRACTNUMBER(Q126),
EXTRACTNUMBER(S126),EXTRACTNUMBER(U126),
EXTRACTNUMBER(W126),EXTRACTNUMBER(Y126),EXTRACTNUMBER(AA126),
EXTRACTNUMBER(AC126),EXTRACTNUMBER(AE126)),"*"),SUM(EXTRACTNUMBER(C126),EXTRACTNUMBER(E126),
EXTRACTNUMBER(G126),EXTRACTNUMBER(I126),
EXTRACTNUMBER(K126),EXTRACTNUMBER(M126),
EXTRACTNUMBER(O126),EXTRACTNUMBER(Q126),
EXTRACTNUMBER(S126),EXTRACTNUMBER(U126),
EXTRACTNUMBER(W126),EXTRACTNUMBER(Y126),EXTRACTNUMBER(AA126),
EXTRACTNUMBER(AC126),EXTRACTNUMBER(AE126))))),SUM(EXTRACTNUMBER(C126),EXTRACTNUMBER(E126),
EXTRACTNUMBER(G126),EXTRACTNUMBER(I126),
EXTRACTNUMBER(K126),EXTRACTNUMBER(M126),
EXTRACTNUMBER(O126),EXTRACTNUMBER(Q126),
EXTRACTNUMBER(S126),EXTRACTNUMBER(U126),
EXTRACTNUMBER(W126),EXTRACTNUMBER(Y126),EXTRACTNUMBER(AA126),
EXTRACTNUMBER(AC126),EXTRACTNUMBER(AE126)))</f>
        <v>388</v>
      </c>
      <c r="AH126" s="38" t="str">
        <f t="shared" ca="1" si="31"/>
        <v>FAIL</v>
      </c>
      <c r="AI126" s="28" t="str">
        <f>spellnumber(EXTRACTnUMBER_TOT(AG126))</f>
        <v xml:space="preserve">Three Hundred Eighty Eight </v>
      </c>
    </row>
    <row r="127" spans="1:35" ht="15" customHeight="1">
      <c r="A127" s="58">
        <v>223327</v>
      </c>
      <c r="B127" s="32" t="s">
        <v>285</v>
      </c>
      <c r="C127" s="60">
        <v>50</v>
      </c>
      <c r="D127" s="61" t="str">
        <f t="shared" ca="1" si="17"/>
        <v/>
      </c>
      <c r="E127" s="62">
        <v>18</v>
      </c>
      <c r="F127" s="61" t="str">
        <f t="shared" ca="1" si="18"/>
        <v/>
      </c>
      <c r="G127" s="63">
        <v>72</v>
      </c>
      <c r="H127" s="61" t="str">
        <f t="shared" ca="1" si="19"/>
        <v/>
      </c>
      <c r="I127" s="62">
        <v>18</v>
      </c>
      <c r="J127" s="61" t="str">
        <f t="shared" ca="1" si="20"/>
        <v/>
      </c>
      <c r="K127" s="62">
        <v>19</v>
      </c>
      <c r="L127" s="61" t="str">
        <f t="shared" ca="1" si="21"/>
        <v/>
      </c>
      <c r="M127" s="63">
        <v>80</v>
      </c>
      <c r="N127" s="61" t="str">
        <f t="shared" ca="1" si="16"/>
        <v/>
      </c>
      <c r="O127" s="62">
        <v>16</v>
      </c>
      <c r="P127" s="64" t="str">
        <f t="shared" ca="1" si="22"/>
        <v/>
      </c>
      <c r="Q127" s="60">
        <v>71</v>
      </c>
      <c r="R127" s="61" t="str">
        <f t="shared" ca="1" si="23"/>
        <v/>
      </c>
      <c r="S127" s="62">
        <v>22</v>
      </c>
      <c r="T127" s="64" t="str">
        <f t="shared" ca="1" si="24"/>
        <v/>
      </c>
      <c r="U127" s="60">
        <v>56</v>
      </c>
      <c r="V127" s="61" t="str">
        <f t="shared" ca="1" si="25"/>
        <v/>
      </c>
      <c r="W127" s="62">
        <v>20</v>
      </c>
      <c r="X127" s="64" t="str">
        <f t="shared" ca="1" si="26"/>
        <v/>
      </c>
      <c r="Y127" s="62">
        <v>19</v>
      </c>
      <c r="Z127" s="64" t="str">
        <f t="shared" ca="1" si="27"/>
        <v/>
      </c>
      <c r="AA127" s="60">
        <v>55</v>
      </c>
      <c r="AB127" s="61" t="str">
        <f t="shared" ca="1" si="28"/>
        <v/>
      </c>
      <c r="AC127" s="62">
        <v>21</v>
      </c>
      <c r="AD127" s="61" t="str">
        <f t="shared" ca="1" si="29"/>
        <v/>
      </c>
      <c r="AE127" s="62">
        <v>40</v>
      </c>
      <c r="AF127" s="64" t="str">
        <f t="shared" ca="1" si="30"/>
        <v/>
      </c>
      <c r="AG127" s="66">
        <f>IF(OR(AND(C127&gt;=31,C127&lt;40),AND(G127&gt;=31,G127&lt;40),AND(M127&gt;=31,M127&lt;40),AND(Q127&gt;=31,Q127&lt;40),AND(U127&gt;=31,U127&lt;40),AND(AA127&gt;=31,AA127&lt;40)),IF(AND(OR(COUNTIF(C127:AF127,"=31")&gt;=1,COUNTIF(C127:AF127,"=32")&gt;=1,COUNTIF(C127:AF127,"=33")&gt;=1,COUNTIF(C127:AF127,"=34")&gt;=1,COUNTIF(C127:AF127,"=35")&gt;=1,COUNTIF(C127:AF127,"=36")&gt;=1 ),COUNTIF(C127:AF127,"")=0,COUNTIF(C127:AF127," ")=0,COUNTIF(C127:AF127,"F")=1),CONCATENATE(SUM(EXTRACTNUMBER(C127),EXTRACTNUMBER(E127),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EXTRACTNUMBER(AC127),EXTRACTNUMBER(AE127)),"*"),IF(AND(COUNTIF(C127:AF127,"=34")&gt;=1,COUNTIF(C127:AF127,"=35")&gt;=1,COUNTIF(C127:AF127,"f")=2,COUNTIF(C127:AF127,"")=0,COUNTIF(C127:AF127," ")=0),CONCATENATE(SUM(EXTRACTNUMBER(C127),EXTRACTNUMBER(E127),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EXTRACTNUMBER(AC127),EXTRACTNUMBER(AE127)),"*"),IF(AND(COUNTIF(C127:AF127,"=36")&gt;=2,COUNTIF(C127:AF127,"f")=2,COUNTIF(C127:AF127,"")=0,COUNTIF(C127:AF127," ")=0),CONCATENATE(SUM(EXTRACTNUMBER(C127),EXTRACTNUMBER(E127),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EXTRACTNUMBER(AC127),EXTRACTNUMBER(AE127)),"*"),SUM(EXTRACTNUMBER(C127),EXTRACTNUMBER(E127),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EXTRACTNUMBER(AC127),EXTRACTNUMBER(AE127))))),SUM(EXTRACTNUMBER(C127),EXTRACTNUMBER(E127),
EXTRACTNUMBER(G127),EXTRACTNUMBER(I127),
EXTRACTNUMBER(K127),EXTRACTNUMBER(M127),
EXTRACTNUMBER(O127),EXTRACTNUMBER(Q127),
EXTRACTNUMBER(S127),EXTRACTNUMBER(U127),
EXTRACTNUMBER(W127),EXTRACTNUMBER(Y127),EXTRACTNUMBER(AA127),
EXTRACTNUMBER(AC127),EXTRACTNUMBER(AE127)))</f>
        <v>577</v>
      </c>
      <c r="AH127" s="38" t="str">
        <f t="shared" ca="1" si="31"/>
        <v>PASS</v>
      </c>
      <c r="AI127" s="28" t="str">
        <f>spellnumber(EXTRACTnUMBER_TOT(AG127))</f>
        <v xml:space="preserve">Five Hundred Seventy Seven </v>
      </c>
    </row>
    <row r="128" spans="1:35" ht="15" customHeight="1">
      <c r="A128" s="58">
        <v>223328</v>
      </c>
      <c r="B128" s="32" t="s">
        <v>286</v>
      </c>
      <c r="C128" s="60">
        <v>40</v>
      </c>
      <c r="D128" s="61" t="str">
        <f t="shared" ca="1" si="17"/>
        <v/>
      </c>
      <c r="E128" s="62">
        <v>20</v>
      </c>
      <c r="F128" s="61" t="str">
        <f t="shared" ca="1" si="18"/>
        <v/>
      </c>
      <c r="G128" s="63">
        <v>66</v>
      </c>
      <c r="H128" s="61" t="str">
        <f t="shared" ca="1" si="19"/>
        <v/>
      </c>
      <c r="I128" s="62">
        <v>18</v>
      </c>
      <c r="J128" s="61" t="str">
        <f t="shared" ca="1" si="20"/>
        <v/>
      </c>
      <c r="K128" s="62">
        <v>17</v>
      </c>
      <c r="L128" s="61" t="str">
        <f t="shared" ca="1" si="21"/>
        <v/>
      </c>
      <c r="M128" s="63">
        <v>77</v>
      </c>
      <c r="N128" s="61" t="str">
        <f t="shared" ca="1" si="16"/>
        <v/>
      </c>
      <c r="O128" s="62">
        <v>12</v>
      </c>
      <c r="P128" s="64" t="str">
        <f t="shared" ca="1" si="22"/>
        <v/>
      </c>
      <c r="Q128" s="60">
        <v>56</v>
      </c>
      <c r="R128" s="61" t="str">
        <f t="shared" ca="1" si="23"/>
        <v/>
      </c>
      <c r="S128" s="62">
        <v>19</v>
      </c>
      <c r="T128" s="64" t="str">
        <f t="shared" ca="1" si="24"/>
        <v/>
      </c>
      <c r="U128" s="60">
        <v>51</v>
      </c>
      <c r="V128" s="61" t="str">
        <f t="shared" ca="1" si="25"/>
        <v/>
      </c>
      <c r="W128" s="62">
        <v>16</v>
      </c>
      <c r="X128" s="64" t="str">
        <f t="shared" ca="1" si="26"/>
        <v/>
      </c>
      <c r="Y128" s="62">
        <v>18</v>
      </c>
      <c r="Z128" s="64" t="str">
        <f t="shared" ca="1" si="27"/>
        <v/>
      </c>
      <c r="AA128" s="60">
        <v>41</v>
      </c>
      <c r="AB128" s="61" t="str">
        <f t="shared" ca="1" si="28"/>
        <v/>
      </c>
      <c r="AC128" s="62">
        <v>18</v>
      </c>
      <c r="AD128" s="61" t="str">
        <f t="shared" ca="1" si="29"/>
        <v/>
      </c>
      <c r="AE128" s="62">
        <v>36</v>
      </c>
      <c r="AF128" s="64" t="str">
        <f t="shared" ca="1" si="30"/>
        <v/>
      </c>
      <c r="AG128" s="66">
        <f>IF(OR(AND(C128&gt;=31,C128&lt;40),AND(G128&gt;=31,G128&lt;40),AND(M128&gt;=31,M128&lt;40),AND(Q128&gt;=31,Q128&lt;40),AND(U128&gt;=31,U128&lt;40),AND(AA128&gt;=31,AA128&lt;40)),IF(AND(OR(COUNTIF(C128:AF128,"=31")&gt;=1,COUNTIF(C128:AF128,"=32")&gt;=1,COUNTIF(C128:AF128,"=33")&gt;=1,COUNTIF(C128:AF128,"=34")&gt;=1,COUNTIF(C128:AF128,"=35")&gt;=1,COUNTIF(C128:AF128,"=36")&gt;=1 ),COUNTIF(C128:AF128,"")=0,COUNTIF(C128:AF128," ")=0,COUNTIF(C128:AF128,"F")=1),CONCATENATE(SUM(EXTRACTNUMBER(C128),EXTRACTNUMBER(E128),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EXTRACTNUMBER(AC128),EXTRACTNUMBER(AE128)),"*"),IF(AND(COUNTIF(C128:AF128,"=34")&gt;=1,COUNTIF(C128:AF128,"=35")&gt;=1,COUNTIF(C128:AF128,"f")=2,COUNTIF(C128:AF128,"")=0,COUNTIF(C128:AF128," ")=0),CONCATENATE(SUM(EXTRACTNUMBER(C128),EXTRACTNUMBER(E128),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EXTRACTNUMBER(AC128),EXTRACTNUMBER(AE128)),"*"),IF(AND(COUNTIF(C128:AF128,"=36")&gt;=2,COUNTIF(C128:AF128,"f")=2,COUNTIF(C128:AF128,"")=0,COUNTIF(C128:AF128," ")=0),CONCATENATE(SUM(EXTRACTNUMBER(C128),EXTRACTNUMBER(E128),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EXTRACTNUMBER(AC128),EXTRACTNUMBER(AE128)),"*"),SUM(EXTRACTNUMBER(C128),EXTRACTNUMBER(E128),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EXTRACTNUMBER(AC128),EXTRACTNUMBER(AE128))))),SUM(EXTRACTNUMBER(C128),EXTRACTNUMBER(E128),
EXTRACTNUMBER(G128),EXTRACTNUMBER(I128),
EXTRACTNUMBER(K128),EXTRACTNUMBER(M128),
EXTRACTNUMBER(O128),EXTRACTNUMBER(Q128),
EXTRACTNUMBER(S128),EXTRACTNUMBER(U128),
EXTRACTNUMBER(W128),EXTRACTNUMBER(Y128),EXTRACTNUMBER(AA128),
EXTRACTNUMBER(AC128),EXTRACTNUMBER(AE128)))</f>
        <v>505</v>
      </c>
      <c r="AH128" s="38" t="str">
        <f t="shared" ca="1" si="31"/>
        <v>PASS</v>
      </c>
      <c r="AI128" s="28" t="str">
        <f>spellnumber(EXTRACTnUMBER_TOT(AG128))</f>
        <v xml:space="preserve">Five Hundred Five </v>
      </c>
    </row>
    <row r="129" spans="1:35" ht="15" customHeight="1">
      <c r="A129" s="58">
        <v>223329</v>
      </c>
      <c r="B129" s="32" t="s">
        <v>287</v>
      </c>
      <c r="C129" s="60">
        <v>19</v>
      </c>
      <c r="D129" s="61" t="str">
        <f t="shared" ca="1" si="17"/>
        <v>F</v>
      </c>
      <c r="E129" s="62">
        <v>18</v>
      </c>
      <c r="F129" s="61" t="str">
        <f t="shared" ca="1" si="18"/>
        <v>E</v>
      </c>
      <c r="G129" s="63">
        <v>40</v>
      </c>
      <c r="H129" s="61" t="str">
        <f t="shared" ca="1" si="19"/>
        <v>E</v>
      </c>
      <c r="I129" s="62">
        <v>21</v>
      </c>
      <c r="J129" s="61" t="str">
        <f t="shared" ca="1" si="20"/>
        <v>E</v>
      </c>
      <c r="K129" s="62">
        <v>18</v>
      </c>
      <c r="L129" s="61" t="str">
        <f t="shared" ca="1" si="21"/>
        <v>E</v>
      </c>
      <c r="M129" s="63">
        <v>46</v>
      </c>
      <c r="N129" s="61" t="str">
        <f t="shared" ca="1" si="16"/>
        <v>E</v>
      </c>
      <c r="O129" s="62">
        <v>17</v>
      </c>
      <c r="P129" s="64" t="str">
        <f t="shared" ca="1" si="22"/>
        <v>E</v>
      </c>
      <c r="Q129" s="60">
        <v>55</v>
      </c>
      <c r="R129" s="61" t="str">
        <f t="shared" ca="1" si="23"/>
        <v>E</v>
      </c>
      <c r="S129" s="62">
        <v>20</v>
      </c>
      <c r="T129" s="64" t="str">
        <f t="shared" ca="1" si="24"/>
        <v>E</v>
      </c>
      <c r="U129" s="60">
        <v>57</v>
      </c>
      <c r="V129" s="61" t="str">
        <f t="shared" ca="1" si="25"/>
        <v>E</v>
      </c>
      <c r="W129" s="62">
        <v>17</v>
      </c>
      <c r="X129" s="64" t="str">
        <f t="shared" ca="1" si="26"/>
        <v>E</v>
      </c>
      <c r="Y129" s="62">
        <v>18</v>
      </c>
      <c r="Z129" s="64" t="str">
        <f t="shared" ca="1" si="27"/>
        <v>E</v>
      </c>
      <c r="AA129" s="60">
        <v>45</v>
      </c>
      <c r="AB129" s="61" t="str">
        <f t="shared" ca="1" si="28"/>
        <v>E</v>
      </c>
      <c r="AC129" s="62">
        <v>20</v>
      </c>
      <c r="AD129" s="61" t="str">
        <f t="shared" ca="1" si="29"/>
        <v>E</v>
      </c>
      <c r="AE129" s="62">
        <v>38</v>
      </c>
      <c r="AF129" s="64" t="str">
        <f t="shared" ca="1" si="30"/>
        <v>E</v>
      </c>
      <c r="AG129" s="66">
        <f>IF(OR(AND(C129&gt;=31,C129&lt;40),AND(G129&gt;=31,G129&lt;40),AND(M129&gt;=31,M129&lt;40),AND(Q129&gt;=31,Q129&lt;40),AND(U129&gt;=31,U129&lt;40),AND(AA129&gt;=31,AA129&lt;40)),IF(AND(OR(COUNTIF(C129:AF129,"=31")&gt;=1,COUNTIF(C129:AF129,"=32")&gt;=1,COUNTIF(C129:AF129,"=33")&gt;=1,COUNTIF(C129:AF129,"=34")&gt;=1,COUNTIF(C129:AF129,"=35")&gt;=1,COUNTIF(C129:AF129,"=36")&gt;=1 ),COUNTIF(C129:AF129,"")=0,COUNTIF(C129:AF129," ")=0,COUNTIF(C129:AF129,"F")=1),CONCATENATE(SUM(EXTRACTNUMBER(C129),EXTRACTNUMBER(E129),
EXTRACTNUMBER(G129),EXTRACTNUMBER(I129),
EXTRACTNUMBER(K129),EXTRACTNUMBER(M129),
EXTRACTNUMBER(O129),EXTRACTNUMBER(Q129),
EXTRACTNUMBER(S129),EXTRACTNUMBER(U129),
EXTRACTNUMBER(W129),EXTRACTNUMBER(Y129),EXTRACTNUMBER(AA129),
EXTRACTNUMBER(AC129),EXTRACTNUMBER(AE129)),"*"),IF(AND(COUNTIF(C129:AF129,"=34")&gt;=1,COUNTIF(C129:AF129,"=35")&gt;=1,COUNTIF(C129:AF129,"f")=2,COUNTIF(C129:AF129,"")=0,COUNTIF(C129:AF129," ")=0),CONCATENATE(SUM(EXTRACTNUMBER(C129),EXTRACTNUMBER(E129),
EXTRACTNUMBER(G129),EXTRACTNUMBER(I129),
EXTRACTNUMBER(K129),EXTRACTNUMBER(M129),
EXTRACTNUMBER(O129),EXTRACTNUMBER(Q129),
EXTRACTNUMBER(S129),EXTRACTNUMBER(U129),
EXTRACTNUMBER(W129),EXTRACTNUMBER(Y129),EXTRACTNUMBER(AA129),
EXTRACTNUMBER(AC129),EXTRACTNUMBER(AE129)),"*"),IF(AND(COUNTIF(C129:AF129,"=36")&gt;=2,COUNTIF(C129:AF129,"f")=2,COUNTIF(C129:AF129,"")=0,COUNTIF(C129:AF129," ")=0),CONCATENATE(SUM(EXTRACTNUMBER(C129),EXTRACTNUMBER(E129),
EXTRACTNUMBER(G129),EXTRACTNUMBER(I129),
EXTRACTNUMBER(K129),EXTRACTNUMBER(M129),
EXTRACTNUMBER(O129),EXTRACTNUMBER(Q129),
EXTRACTNUMBER(S129),EXTRACTNUMBER(U129),
EXTRACTNUMBER(W129),EXTRACTNUMBER(Y129),EXTRACTNUMBER(AA129),
EXTRACTNUMBER(AC129),EXTRACTNUMBER(AE129)),"*"),SUM(EXTRACTNUMBER(C129),EXTRACTNUMBER(E129),
EXTRACTNUMBER(G129),EXTRACTNUMBER(I129),
EXTRACTNUMBER(K129),EXTRACTNUMBER(M129),
EXTRACTNUMBER(O129),EXTRACTNUMBER(Q129),
EXTRACTNUMBER(S129),EXTRACTNUMBER(U129),
EXTRACTNUMBER(W129),EXTRACTNUMBER(Y129),EXTRACTNUMBER(AA129),
EXTRACTNUMBER(AC129),EXTRACTNUMBER(AE129))))),SUM(EXTRACTNUMBER(C129),EXTRACTNUMBER(E129),
EXTRACTNUMBER(G129),EXTRACTNUMBER(I129),
EXTRACTNUMBER(K129),EXTRACTNUMBER(M129),
EXTRACTNUMBER(O129),EXTRACTNUMBER(Q129),
EXTRACTNUMBER(S129),EXTRACTNUMBER(U129),
EXTRACTNUMBER(W129),EXTRACTNUMBER(Y129),EXTRACTNUMBER(AA129),
EXTRACTNUMBER(AC129),EXTRACTNUMBER(AE129)))</f>
        <v>449</v>
      </c>
      <c r="AH129" s="38" t="str">
        <f t="shared" ca="1" si="31"/>
        <v>FAIL</v>
      </c>
      <c r="AI129" s="28" t="str">
        <f>spellnumber(EXTRACTnUMBER_TOT(AG129))</f>
        <v xml:space="preserve">Four Hundred Forty Nine </v>
      </c>
    </row>
    <row r="130" spans="1:35" ht="15" customHeight="1">
      <c r="A130" s="58">
        <v>223330</v>
      </c>
      <c r="B130" s="32" t="s">
        <v>288</v>
      </c>
      <c r="C130" s="60">
        <v>28</v>
      </c>
      <c r="D130" s="61" t="str">
        <f t="shared" ca="1" si="17"/>
        <v>F</v>
      </c>
      <c r="E130" s="62">
        <v>13</v>
      </c>
      <c r="F130" s="61" t="str">
        <f t="shared" ca="1" si="18"/>
        <v>E</v>
      </c>
      <c r="G130" s="63">
        <v>46</v>
      </c>
      <c r="H130" s="61" t="str">
        <f t="shared" ca="1" si="19"/>
        <v>E</v>
      </c>
      <c r="I130" s="62">
        <v>20</v>
      </c>
      <c r="J130" s="61" t="str">
        <f t="shared" ca="1" si="20"/>
        <v>E</v>
      </c>
      <c r="K130" s="62">
        <v>18</v>
      </c>
      <c r="L130" s="61" t="str">
        <f t="shared" ca="1" si="21"/>
        <v>E</v>
      </c>
      <c r="M130" s="63">
        <v>70</v>
      </c>
      <c r="N130" s="61" t="str">
        <f t="shared" ref="N130:N193" ca="1" si="32">IF(IFERROR(FIND("+",M130),0)," ",
IF(M130="AB","",
IF(M130&lt;$N$27,"F",
IF(AND(C130&gt;=$D$27,E130&gt;=$F$27,G130&gt;=$H$27,
I130&gt;=$J$27,K130&gt;=$L$27,
M130&gt;=$N$27,O130&gt;=$P$27,Q130&gt;=$R$27,S130&gt;=$T$27,U130&gt;=$V$27,
W130&gt;=$X$27,Y130&gt;=$Z$27,AA130&gt;=$AB$27,AC130&gt;=$AD$27,AE130&gt;=$AF$27,
C130&lt;&gt;"AB",E130&lt;&gt;"AB",G130&lt;&gt;"AB",
I130&lt;&gt;"AB",K130&lt;&gt;"AB",
M130&lt;&gt;"AB",O130&lt;&gt;"AB",Q130&lt;&gt;"AB",S130&lt;&gt;"AB",U130&lt;&gt;"AB",
W130&lt;&gt;"AB",Y130&lt;&gt;"AB",AA130&lt;&gt;"AB",AC130&lt;&gt;"AB",AE130&lt;&gt;"AB"),"","E"))))</f>
        <v>E</v>
      </c>
      <c r="O130" s="62">
        <v>14</v>
      </c>
      <c r="P130" s="64" t="str">
        <f t="shared" ca="1" si="22"/>
        <v>E</v>
      </c>
      <c r="Q130" s="60">
        <v>52</v>
      </c>
      <c r="R130" s="61" t="str">
        <f t="shared" ca="1" si="23"/>
        <v>E</v>
      </c>
      <c r="S130" s="62">
        <v>22</v>
      </c>
      <c r="T130" s="64" t="str">
        <f t="shared" ca="1" si="24"/>
        <v>E</v>
      </c>
      <c r="U130" s="60">
        <v>45</v>
      </c>
      <c r="V130" s="61" t="str">
        <f t="shared" ca="1" si="25"/>
        <v>E</v>
      </c>
      <c r="W130" s="62">
        <v>16</v>
      </c>
      <c r="X130" s="64" t="str">
        <f t="shared" ca="1" si="26"/>
        <v>E</v>
      </c>
      <c r="Y130" s="62">
        <v>17</v>
      </c>
      <c r="Z130" s="64" t="str">
        <f t="shared" ca="1" si="27"/>
        <v>E</v>
      </c>
      <c r="AA130" s="60">
        <v>51</v>
      </c>
      <c r="AB130" s="61" t="str">
        <f t="shared" ca="1" si="28"/>
        <v>E</v>
      </c>
      <c r="AC130" s="62">
        <v>21</v>
      </c>
      <c r="AD130" s="61" t="str">
        <f t="shared" ca="1" si="29"/>
        <v>E</v>
      </c>
      <c r="AE130" s="62">
        <v>35</v>
      </c>
      <c r="AF130" s="64" t="str">
        <f t="shared" ca="1" si="30"/>
        <v>E</v>
      </c>
      <c r="AG130" s="66">
        <f>IF(OR(AND(C130&gt;=31,C130&lt;40),AND(G130&gt;=31,G130&lt;40),AND(M130&gt;=31,M130&lt;40),AND(Q130&gt;=31,Q130&lt;40),AND(U130&gt;=31,U130&lt;40),AND(AA130&gt;=31,AA130&lt;40)),IF(AND(OR(COUNTIF(C130:AF130,"=31")&gt;=1,COUNTIF(C130:AF130,"=32")&gt;=1,COUNTIF(C130:AF130,"=33")&gt;=1,COUNTIF(C130:AF130,"=34")&gt;=1,COUNTIF(C130:AF130,"=35")&gt;=1,COUNTIF(C130:AF130,"=36")&gt;=1 ),COUNTIF(C130:AF130,"")=0,COUNTIF(C130:AF130," ")=0,COUNTIF(C130:AF130,"F")=1),CONCATENATE(SUM(EXTRACTNUMBER(C130),EXTRACTNUMBER(E130),
EXTRACTNUMBER(G130),EXTRACTNUMBER(I130),
EXTRACTNUMBER(K130),EXTRACTNUMBER(M130),
EXTRACTNUMBER(O130),EXTRACTNUMBER(Q130),
EXTRACTNUMBER(S130),EXTRACTNUMBER(U130),
EXTRACTNUMBER(W130),EXTRACTNUMBER(Y130),EXTRACTNUMBER(AA130),
EXTRACTNUMBER(AC130),EXTRACTNUMBER(AE130)),"*"),IF(AND(COUNTIF(C130:AF130,"=34")&gt;=1,COUNTIF(C130:AF130,"=35")&gt;=1,COUNTIF(C130:AF130,"f")=2,COUNTIF(C130:AF130,"")=0,COUNTIF(C130:AF130," ")=0),CONCATENATE(SUM(EXTRACTNUMBER(C130),EXTRACTNUMBER(E130),
EXTRACTNUMBER(G130),EXTRACTNUMBER(I130),
EXTRACTNUMBER(K130),EXTRACTNUMBER(M130),
EXTRACTNUMBER(O130),EXTRACTNUMBER(Q130),
EXTRACTNUMBER(S130),EXTRACTNUMBER(U130),
EXTRACTNUMBER(W130),EXTRACTNUMBER(Y130),EXTRACTNUMBER(AA130),
EXTRACTNUMBER(AC130),EXTRACTNUMBER(AE130)),"*"),IF(AND(COUNTIF(C130:AF130,"=36")&gt;=2,COUNTIF(C130:AF130,"f")=2,COUNTIF(C130:AF130,"")=0,COUNTIF(C130:AF130," ")=0),CONCATENATE(SUM(EXTRACTNUMBER(C130),EXTRACTNUMBER(E130),
EXTRACTNUMBER(G130),EXTRACTNUMBER(I130),
EXTRACTNUMBER(K130),EXTRACTNUMBER(M130),
EXTRACTNUMBER(O130),EXTRACTNUMBER(Q130),
EXTRACTNUMBER(S130),EXTRACTNUMBER(U130),
EXTRACTNUMBER(W130),EXTRACTNUMBER(Y130),EXTRACTNUMBER(AA130),
EXTRACTNUMBER(AC130),EXTRACTNUMBER(AE130)),"*"),SUM(EXTRACTNUMBER(C130),EXTRACTNUMBER(E130),
EXTRACTNUMBER(G130),EXTRACTNUMBER(I130),
EXTRACTNUMBER(K130),EXTRACTNUMBER(M130),
EXTRACTNUMBER(O130),EXTRACTNUMBER(Q130),
EXTRACTNUMBER(S130),EXTRACTNUMBER(U130),
EXTRACTNUMBER(W130),EXTRACTNUMBER(Y130),EXTRACTNUMBER(AA130),
EXTRACTNUMBER(AC130),EXTRACTNUMBER(AE130))))),SUM(EXTRACTNUMBER(C130),EXTRACTNUMBER(E130),
EXTRACTNUMBER(G130),EXTRACTNUMBER(I130),
EXTRACTNUMBER(K130),EXTRACTNUMBER(M130),
EXTRACTNUMBER(O130),EXTRACTNUMBER(Q130),
EXTRACTNUMBER(S130),EXTRACTNUMBER(U130),
EXTRACTNUMBER(W130),EXTRACTNUMBER(Y130),EXTRACTNUMBER(AA130),
EXTRACTNUMBER(AC130),EXTRACTNUMBER(AE130)))</f>
        <v>468</v>
      </c>
      <c r="AH130" s="38" t="str">
        <f t="shared" ca="1" si="31"/>
        <v>FAIL</v>
      </c>
      <c r="AI130" s="28" t="str">
        <f>spellnumber(EXTRACTnUMBER_TOT(AG130))</f>
        <v xml:space="preserve">Four Hundred Sixty Eight </v>
      </c>
    </row>
    <row r="131" spans="1:35" ht="15" customHeight="1">
      <c r="A131" s="58">
        <v>223331</v>
      </c>
      <c r="B131" s="39" t="s">
        <v>289</v>
      </c>
      <c r="C131" s="60">
        <v>50</v>
      </c>
      <c r="D131" s="61" t="str">
        <f t="shared" ref="D131:D194" ca="1" si="33">IF(IFERROR(FIND("+",C131),0)," ",
IF(C131="AB","",
IF(C131&lt;$D$27,"F",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E131" s="62">
        <v>18</v>
      </c>
      <c r="F131" s="61" t="str">
        <f t="shared" ref="F131:F194" ca="1" si="34">IF(IFERROR(FIND("+",E131),0)," ",
IF(E131="AB","",
IF(E131&lt;$F$27,"F",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G131" s="63">
        <v>52</v>
      </c>
      <c r="H131" s="61" t="str">
        <f t="shared" ref="H131:H194" ca="1" si="35">IF(IFERROR(FIND("+",G131),0)," ",
IF(G131="AB","",
IF(G131&lt;$H$27,"F",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I131" s="62">
        <v>23</v>
      </c>
      <c r="J131" s="61" t="str">
        <f t="shared" ref="J131:J194" ca="1" si="36">IF(IFERROR(FIND("+",I131),0)," ",
IF(I131="AB","",
IF(I131&lt;$J$27,"F",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K131" s="62">
        <v>18</v>
      </c>
      <c r="L131" s="61" t="str">
        <f t="shared" ref="L131:L194" ca="1" si="37">IF(IFERROR(FIND("+",K131),0)," ",
IF(K131="AB","",
IF(K131&lt;$L$27,"F",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M131" s="63">
        <v>62</v>
      </c>
      <c r="N131" s="61" t="str">
        <f t="shared" ca="1" si="32"/>
        <v/>
      </c>
      <c r="O131" s="62">
        <v>14</v>
      </c>
      <c r="P131" s="64" t="str">
        <f t="shared" ref="P131:P194" ca="1" si="38">IF(IFERROR(FIND("+",O131),0)," ",
IF(O131="AB","",
IF(O131&lt;$P$27,"F",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Q131" s="60">
        <v>53</v>
      </c>
      <c r="R131" s="61" t="str">
        <f t="shared" ref="R131:R194" ca="1" si="39">IF(IFERROR(FIND("+",Q131),0)," ",
IF(Q131="AB","",
IF(Q131&lt;$R$27,"F",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S131" s="62">
        <v>15</v>
      </c>
      <c r="T131" s="64" t="str">
        <f t="shared" ref="T131:T194" ca="1" si="40">IF(IFERROR(FIND("+",S131),0)," ",
IF(S131="AB","",
IF(S131&lt;$T$27,"F",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U131" s="60">
        <v>45</v>
      </c>
      <c r="V131" s="61" t="str">
        <f t="shared" ref="V131:V194" ca="1" si="41">IF(IFERROR(FIND("+",U131),0)," ",
IF(U131="AB","",
IF(U131&lt;$V$27,"F",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W131" s="62">
        <v>19</v>
      </c>
      <c r="X131" s="64" t="str">
        <f t="shared" ref="X131:X194" ca="1" si="42">IF(IFERROR(FIND("+",W131),0)," ",
IF(W131="AB","",
IF(W131&lt;$X$27,"F",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Y131" s="62">
        <v>20</v>
      </c>
      <c r="Z131" s="64" t="str">
        <f t="shared" ref="Z131:Z194" ca="1" si="43">IF(IFERROR(FIND("+",Y131),0)," ",
IF(Y131="AB","",
IF(Y131&lt;$Z$27,"F",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AA131" s="60">
        <v>48</v>
      </c>
      <c r="AB131" s="61" t="str">
        <f t="shared" ref="AB131:AB194" ca="1" si="44">IF(IFERROR(FIND("+",AA131),0)," ",
IF(AA131="AB","",
IF(AA131&lt;$AB$27,"F",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AC131" s="62">
        <v>13</v>
      </c>
      <c r="AD131" s="61" t="str">
        <f t="shared" ref="AD131:AD194" ca="1" si="45">IF(IFERROR(FIND("+",AC131),0)," ",
IF(AC131="AB","",
IF(AC131&lt;$AD$27,"F",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AE131" s="62">
        <v>39</v>
      </c>
      <c r="AF131" s="64" t="str">
        <f t="shared" ref="AF131:AF194" ca="1" si="46">IF(IFERROR(FIND("+",AE131),0)," ",
IF(AE131="AB","",
IF(AE131&lt;$AF$27,"F",
IF(AND(C131&gt;=$D$27,E131&gt;=$F$27,G131&gt;=$H$27,
I131&gt;=$J$27,K131&gt;=$L$27,
M131&gt;=$N$27,O131&gt;=$P$27,Q131&gt;=$R$27,S131&gt;=$T$27,U131&gt;=$V$27,
W131&gt;=$X$27,Y131&gt;=$Z$27,AA131&gt;=$AB$27,AC131&gt;=$AD$27,AE131&gt;=$AF$27,
C131&lt;&gt;"AB",E131&lt;&gt;"AB",G131&lt;&gt;"AB",
I131&lt;&gt;"AB",K131&lt;&gt;"AB",
M131&lt;&gt;"AB",O131&lt;&gt;"AB",Q131&lt;&gt;"AB",S131&lt;&gt;"AB",U131&lt;&gt;"AB",
W131&lt;&gt;"AB",Y131&lt;&gt;"AB",AA131&lt;&gt;"AB",AC131&lt;&gt;"AB",AE131&lt;&gt;"AB"),"","E"))))</f>
        <v/>
      </c>
      <c r="AG131" s="66">
        <f>IF(OR(AND(C131&gt;=31,C131&lt;40),AND(G131&gt;=31,G131&lt;40),AND(M131&gt;=31,M131&lt;40),AND(Q131&gt;=31,Q131&lt;40),AND(U131&gt;=31,U131&lt;40),AND(AA131&gt;=31,AA131&lt;40)),IF(AND(OR(COUNTIF(C131:AF131,"=31")&gt;=1,COUNTIF(C131:AF131,"=32")&gt;=1,COUNTIF(C131:AF131,"=33")&gt;=1,COUNTIF(C131:AF131,"=34")&gt;=1,COUNTIF(C131:AF131,"=35")&gt;=1,COUNTIF(C131:AF131,"=36")&gt;=1 ),COUNTIF(C131:AF131,"")=0,COUNTIF(C131:AF131," ")=0,COUNTIF(C131:AF131,"F")=1),CONCATENATE(SUM(EXTRACTNUMBER(C131),EXTRACTNUMBER(E131),
EXTRACTNUMBER(G131),EXTRACTNUMBER(I131),
EXTRACTNUMBER(K131),EXTRACTNUMBER(M131),
EXTRACTNUMBER(O131),EXTRACTNUMBER(Q131),
EXTRACTNUMBER(S131),EXTRACTNUMBER(U131),
EXTRACTNUMBER(W131),EXTRACTNUMBER(Y131),EXTRACTNUMBER(AA131),
EXTRACTNUMBER(AC131),EXTRACTNUMBER(AE131)),"*"),IF(AND(COUNTIF(C131:AF131,"=34")&gt;=1,COUNTIF(C131:AF131,"=35")&gt;=1,COUNTIF(C131:AF131,"f")=2,COUNTIF(C131:AF131,"")=0,COUNTIF(C131:AF131," ")=0),CONCATENATE(SUM(EXTRACTNUMBER(C131),EXTRACTNUMBER(E131),
EXTRACTNUMBER(G131),EXTRACTNUMBER(I131),
EXTRACTNUMBER(K131),EXTRACTNUMBER(M131),
EXTRACTNUMBER(O131),EXTRACTNUMBER(Q131),
EXTRACTNUMBER(S131),EXTRACTNUMBER(U131),
EXTRACTNUMBER(W131),EXTRACTNUMBER(Y131),EXTRACTNUMBER(AA131),
EXTRACTNUMBER(AC131),EXTRACTNUMBER(AE131)),"*"),IF(AND(COUNTIF(C131:AF131,"=36")&gt;=2,COUNTIF(C131:AF131,"f")=2,COUNTIF(C131:AF131,"")=0,COUNTIF(C131:AF131," ")=0),CONCATENATE(SUM(EXTRACTNUMBER(C131),EXTRACTNUMBER(E131),
EXTRACTNUMBER(G131),EXTRACTNUMBER(I131),
EXTRACTNUMBER(K131),EXTRACTNUMBER(M131),
EXTRACTNUMBER(O131),EXTRACTNUMBER(Q131),
EXTRACTNUMBER(S131),EXTRACTNUMBER(U131),
EXTRACTNUMBER(W131),EXTRACTNUMBER(Y131),EXTRACTNUMBER(AA131),
EXTRACTNUMBER(AC131),EXTRACTNUMBER(AE131)),"*"),SUM(EXTRACTNUMBER(C131),EXTRACTNUMBER(E131),
EXTRACTNUMBER(G131),EXTRACTNUMBER(I131),
EXTRACTNUMBER(K131),EXTRACTNUMBER(M131),
EXTRACTNUMBER(O131),EXTRACTNUMBER(Q131),
EXTRACTNUMBER(S131),EXTRACTNUMBER(U131),
EXTRACTNUMBER(W131),EXTRACTNUMBER(Y131),EXTRACTNUMBER(AA131),
EXTRACTNUMBER(AC131),EXTRACTNUMBER(AE131))))),SUM(EXTRACTNUMBER(C131),EXTRACTNUMBER(E131),
EXTRACTNUMBER(G131),EXTRACTNUMBER(I131),
EXTRACTNUMBER(K131),EXTRACTNUMBER(M131),
EXTRACTNUMBER(O131),EXTRACTNUMBER(Q131),
EXTRACTNUMBER(S131),EXTRACTNUMBER(U131),
EXTRACTNUMBER(W131),EXTRACTNUMBER(Y131),EXTRACTNUMBER(AA131),
EXTRACTNUMBER(AC131),EXTRACTNUMBER(AE131)))</f>
        <v>489</v>
      </c>
      <c r="AH131" s="38" t="str">
        <f t="shared" ref="AH131:AH194" ca="1" si="47">IF(AND(COUNTIF(C131:AF131,"AB")&lt;15-COUNTIF(C131:AF131," "),
COUNTIF(C131:AF131,"AB")&lt;&gt;0),"FAIL",
IF(COUNTIF(C131:AF131,"AB")=15-COUNTIF(C131:AF131," "),"ABSENT",
IF(AND(COUNTIF(C131:AF131,"AB")=0,COUNTIF(C131:AF131,"F")=0),"PASS","FAIL")))</f>
        <v>PASS</v>
      </c>
      <c r="AI131" s="28" t="str">
        <f>spellnumber(EXTRACTnUMBER_TOT(AG131))</f>
        <v xml:space="preserve">Four Hundred Eighty Nine </v>
      </c>
    </row>
    <row r="132" spans="1:35" ht="15" customHeight="1">
      <c r="A132" s="58">
        <v>223332</v>
      </c>
      <c r="B132" s="39" t="s">
        <v>290</v>
      </c>
      <c r="C132" s="60">
        <v>25</v>
      </c>
      <c r="D132" s="61" t="str">
        <f t="shared" ca="1" si="33"/>
        <v>F</v>
      </c>
      <c r="E132" s="62">
        <v>15</v>
      </c>
      <c r="F132" s="61" t="str">
        <f t="shared" ca="1" si="34"/>
        <v>E</v>
      </c>
      <c r="G132" s="63">
        <v>60</v>
      </c>
      <c r="H132" s="61" t="str">
        <f t="shared" ca="1" si="35"/>
        <v>E</v>
      </c>
      <c r="I132" s="62">
        <v>23</v>
      </c>
      <c r="J132" s="61" t="str">
        <f t="shared" ca="1" si="36"/>
        <v>E</v>
      </c>
      <c r="K132" s="62">
        <v>18</v>
      </c>
      <c r="L132" s="61" t="str">
        <f t="shared" ca="1" si="37"/>
        <v>E</v>
      </c>
      <c r="M132" s="63">
        <v>41</v>
      </c>
      <c r="N132" s="61" t="str">
        <f t="shared" ca="1" si="32"/>
        <v>E</v>
      </c>
      <c r="O132" s="62">
        <v>23</v>
      </c>
      <c r="P132" s="64" t="str">
        <f t="shared" ca="1" si="38"/>
        <v>E</v>
      </c>
      <c r="Q132" s="60">
        <v>41</v>
      </c>
      <c r="R132" s="61" t="str">
        <f t="shared" ca="1" si="39"/>
        <v>E</v>
      </c>
      <c r="S132" s="62">
        <v>23</v>
      </c>
      <c r="T132" s="64" t="str">
        <f t="shared" ca="1" si="40"/>
        <v>E</v>
      </c>
      <c r="U132" s="60">
        <v>28</v>
      </c>
      <c r="V132" s="61" t="str">
        <f t="shared" ca="1" si="41"/>
        <v>F</v>
      </c>
      <c r="W132" s="62">
        <v>17</v>
      </c>
      <c r="X132" s="64" t="str">
        <f t="shared" ca="1" si="42"/>
        <v>E</v>
      </c>
      <c r="Y132" s="62">
        <v>18</v>
      </c>
      <c r="Z132" s="64" t="str">
        <f t="shared" ca="1" si="43"/>
        <v>E</v>
      </c>
      <c r="AA132" s="60">
        <v>32</v>
      </c>
      <c r="AB132" s="61" t="str">
        <f t="shared" ca="1" si="44"/>
        <v>F</v>
      </c>
      <c r="AC132" s="62">
        <v>18</v>
      </c>
      <c r="AD132" s="61" t="str">
        <f t="shared" ca="1" si="45"/>
        <v>E</v>
      </c>
      <c r="AE132" s="62">
        <v>44</v>
      </c>
      <c r="AF132" s="64" t="str">
        <f t="shared" ca="1" si="46"/>
        <v>E</v>
      </c>
      <c r="AG132" s="66">
        <f ca="1">IF(OR(AND(C132&gt;=31,C132&lt;40),AND(G132&gt;=31,G132&lt;40),AND(M132&gt;=31,M132&lt;40),AND(Q132&gt;=31,Q132&lt;40),AND(U132&gt;=31,U132&lt;40),AND(AA132&gt;=31,AA132&lt;40)),IF(AND(OR(COUNTIF(C132:AF132,"=31")&gt;=1,COUNTIF(C132:AF132,"=32")&gt;=1,COUNTIF(C132:AF132,"=33")&gt;=1,COUNTIF(C132:AF132,"=34")&gt;=1,COUNTIF(C132:AF132,"=35")&gt;=1,COUNTIF(C132:AF132,"=36")&gt;=1 ),COUNTIF(C132:AF132,"")=0,COUNTIF(C132:AF132," ")=0,COUNTIF(C132:AF132,"F")=1),CONCATENATE(SUM(EXTRACTNUMBER(C132),EXTRACTNUMBER(E132),
EXTRACTNUMBER(G132),EXTRACTNUMBER(I132),
EXTRACTNUMBER(K132),EXTRACTNUMBER(M132),
EXTRACTNUMBER(O132),EXTRACTNUMBER(Q132),
EXTRACTNUMBER(S132),EXTRACTNUMBER(U132),
EXTRACTNUMBER(W132),EXTRACTNUMBER(Y132),EXTRACTNUMBER(AA132),
EXTRACTNUMBER(AC132),EXTRACTNUMBER(AE132)),"*"),IF(AND(COUNTIF(C132:AF132,"=34")&gt;=1,COUNTIF(C132:AF132,"=35")&gt;=1,COUNTIF(C132:AF132,"f")=2,COUNTIF(C132:AF132,"")=0,COUNTIF(C132:AF132," ")=0),CONCATENATE(SUM(EXTRACTNUMBER(C132),EXTRACTNUMBER(E132),
EXTRACTNUMBER(G132),EXTRACTNUMBER(I132),
EXTRACTNUMBER(K132),EXTRACTNUMBER(M132),
EXTRACTNUMBER(O132),EXTRACTNUMBER(Q132),
EXTRACTNUMBER(S132),EXTRACTNUMBER(U132),
EXTRACTNUMBER(W132),EXTRACTNUMBER(Y132),EXTRACTNUMBER(AA132),
EXTRACTNUMBER(AC132),EXTRACTNUMBER(AE132)),"*"),IF(AND(COUNTIF(C132:AF132,"=36")&gt;=2,COUNTIF(C132:AF132,"f")=2,COUNTIF(C132:AF132,"")=0,COUNTIF(C132:AF132," ")=0),CONCATENATE(SUM(EXTRACTNUMBER(C132),EXTRACTNUMBER(E132),
EXTRACTNUMBER(G132),EXTRACTNUMBER(I132),
EXTRACTNUMBER(K132),EXTRACTNUMBER(M132),
EXTRACTNUMBER(O132),EXTRACTNUMBER(Q132),
EXTRACTNUMBER(S132),EXTRACTNUMBER(U132),
EXTRACTNUMBER(W132),EXTRACTNUMBER(Y132),EXTRACTNUMBER(AA132),
EXTRACTNUMBER(AC132),EXTRACTNUMBER(AE132)),"*"),SUM(EXTRACTNUMBER(C132),EXTRACTNUMBER(E132),
EXTRACTNUMBER(G132),EXTRACTNUMBER(I132),
EXTRACTNUMBER(K132),EXTRACTNUMBER(M132),
EXTRACTNUMBER(O132),EXTRACTNUMBER(Q132),
EXTRACTNUMBER(S132),EXTRACTNUMBER(U132),
EXTRACTNUMBER(W132),EXTRACTNUMBER(Y132),EXTRACTNUMBER(AA132),
EXTRACTNUMBER(AC132),EXTRACTNUMBER(AE132))))),SUM(EXTRACTNUMBER(C132),EXTRACTNUMBER(E132),
EXTRACTNUMBER(G132),EXTRACTNUMBER(I132),
EXTRACTNUMBER(K132),EXTRACTNUMBER(M132),
EXTRACTNUMBER(O132),EXTRACTNUMBER(Q132),
EXTRACTNUMBER(S132),EXTRACTNUMBER(U132),
EXTRACTNUMBER(W132),EXTRACTNUMBER(Y132),EXTRACTNUMBER(AA132),
EXTRACTNUMBER(AC132),EXTRACTNUMBER(AE132)))</f>
        <v>426</v>
      </c>
      <c r="AH132" s="38" t="str">
        <f t="shared" ca="1" si="47"/>
        <v>FAIL</v>
      </c>
      <c r="AI132" s="28" t="e">
        <f ca="1">spellnumber(EXTRACTnUMBER_TOT(AG132))</f>
        <v>#NAME?</v>
      </c>
    </row>
    <row r="133" spans="1:35" ht="15" customHeight="1">
      <c r="A133" s="58">
        <v>223333</v>
      </c>
      <c r="B133" s="32" t="s">
        <v>291</v>
      </c>
      <c r="C133" s="60">
        <v>28</v>
      </c>
      <c r="D133" s="61" t="str">
        <f t="shared" ca="1" si="33"/>
        <v>F</v>
      </c>
      <c r="E133" s="62">
        <v>23</v>
      </c>
      <c r="F133" s="61" t="str">
        <f t="shared" ca="1" si="34"/>
        <v>E</v>
      </c>
      <c r="G133" s="63">
        <v>42</v>
      </c>
      <c r="H133" s="61" t="str">
        <f t="shared" ca="1" si="35"/>
        <v>E</v>
      </c>
      <c r="I133" s="62">
        <v>23</v>
      </c>
      <c r="J133" s="61" t="str">
        <f t="shared" ca="1" si="36"/>
        <v>E</v>
      </c>
      <c r="K133" s="62">
        <v>17</v>
      </c>
      <c r="L133" s="61" t="str">
        <f t="shared" ca="1" si="37"/>
        <v>E</v>
      </c>
      <c r="M133" s="63">
        <v>55</v>
      </c>
      <c r="N133" s="61" t="str">
        <f t="shared" ca="1" si="32"/>
        <v>E</v>
      </c>
      <c r="O133" s="62">
        <v>20</v>
      </c>
      <c r="P133" s="64" t="str">
        <f t="shared" ca="1" si="38"/>
        <v>E</v>
      </c>
      <c r="Q133" s="60">
        <v>40</v>
      </c>
      <c r="R133" s="61" t="str">
        <f t="shared" ca="1" si="39"/>
        <v>E</v>
      </c>
      <c r="S133" s="62">
        <v>23</v>
      </c>
      <c r="T133" s="64" t="str">
        <f t="shared" ca="1" si="40"/>
        <v>E</v>
      </c>
      <c r="U133" s="60">
        <v>65</v>
      </c>
      <c r="V133" s="61" t="str">
        <f t="shared" ca="1" si="41"/>
        <v>E</v>
      </c>
      <c r="W133" s="62">
        <v>22</v>
      </c>
      <c r="X133" s="64" t="str">
        <f t="shared" ca="1" si="42"/>
        <v>E</v>
      </c>
      <c r="Y133" s="62">
        <v>23</v>
      </c>
      <c r="Z133" s="64" t="str">
        <f t="shared" ca="1" si="43"/>
        <v>E</v>
      </c>
      <c r="AA133" s="60">
        <v>43</v>
      </c>
      <c r="AB133" s="61" t="str">
        <f t="shared" ca="1" si="44"/>
        <v>E</v>
      </c>
      <c r="AC133" s="62">
        <v>23</v>
      </c>
      <c r="AD133" s="61" t="str">
        <f t="shared" ca="1" si="45"/>
        <v>E</v>
      </c>
      <c r="AE133" s="62">
        <v>44</v>
      </c>
      <c r="AF133" s="64" t="str">
        <f t="shared" ca="1" si="46"/>
        <v>E</v>
      </c>
      <c r="AG133" s="66">
        <f>IF(OR(AND(C133&gt;=31,C133&lt;40),AND(G133&gt;=31,G133&lt;40),AND(M133&gt;=31,M133&lt;40),AND(Q133&gt;=31,Q133&lt;40),AND(U133&gt;=31,U133&lt;40),AND(AA133&gt;=31,AA133&lt;40)),IF(AND(OR(COUNTIF(C133:AF133,"=31")&gt;=1,COUNTIF(C133:AF133,"=32")&gt;=1,COUNTIF(C133:AF133,"=33")&gt;=1,COUNTIF(C133:AF133,"=34")&gt;=1,COUNTIF(C133:AF133,"=35")&gt;=1,COUNTIF(C133:AF133,"=36")&gt;=1 ),COUNTIF(C133:AF133,"")=0,COUNTIF(C133:AF133," ")=0,COUNTIF(C133:AF133,"F")=1),CONCATENATE(SUM(EXTRACTNUMBER(C133),EXTRACTNUMBER(E133),
EXTRACTNUMBER(G133),EXTRACTNUMBER(I133),
EXTRACTNUMBER(K133),EXTRACTNUMBER(M133),
EXTRACTNUMBER(O133),EXTRACTNUMBER(Q133),
EXTRACTNUMBER(S133),EXTRACTNUMBER(U133),
EXTRACTNUMBER(W133),EXTRACTNUMBER(Y133),EXTRACTNUMBER(AA133),
EXTRACTNUMBER(AC133),EXTRACTNUMBER(AE133)),"*"),IF(AND(COUNTIF(C133:AF133,"=34")&gt;=1,COUNTIF(C133:AF133,"=35")&gt;=1,COUNTIF(C133:AF133,"f")=2,COUNTIF(C133:AF133,"")=0,COUNTIF(C133:AF133," ")=0),CONCATENATE(SUM(EXTRACTNUMBER(C133),EXTRACTNUMBER(E133),
EXTRACTNUMBER(G133),EXTRACTNUMBER(I133),
EXTRACTNUMBER(K133),EXTRACTNUMBER(M133),
EXTRACTNUMBER(O133),EXTRACTNUMBER(Q133),
EXTRACTNUMBER(S133),EXTRACTNUMBER(U133),
EXTRACTNUMBER(W133),EXTRACTNUMBER(Y133),EXTRACTNUMBER(AA133),
EXTRACTNUMBER(AC133),EXTRACTNUMBER(AE133)),"*"),IF(AND(COUNTIF(C133:AF133,"=36")&gt;=2,COUNTIF(C133:AF133,"f")=2,COUNTIF(C133:AF133,"")=0,COUNTIF(C133:AF133," ")=0),CONCATENATE(SUM(EXTRACTNUMBER(C133),EXTRACTNUMBER(E133),
EXTRACTNUMBER(G133),EXTRACTNUMBER(I133),
EXTRACTNUMBER(K133),EXTRACTNUMBER(M133),
EXTRACTNUMBER(O133),EXTRACTNUMBER(Q133),
EXTRACTNUMBER(S133),EXTRACTNUMBER(U133),
EXTRACTNUMBER(W133),EXTRACTNUMBER(Y133),EXTRACTNUMBER(AA133),
EXTRACTNUMBER(AC133),EXTRACTNUMBER(AE133)),"*"),SUM(EXTRACTNUMBER(C133),EXTRACTNUMBER(E133),
EXTRACTNUMBER(G133),EXTRACTNUMBER(I133),
EXTRACTNUMBER(K133),EXTRACTNUMBER(M133),
EXTRACTNUMBER(O133),EXTRACTNUMBER(Q133),
EXTRACTNUMBER(S133),EXTRACTNUMBER(U133),
EXTRACTNUMBER(W133),EXTRACTNUMBER(Y133),EXTRACTNUMBER(AA133),
EXTRACTNUMBER(AC133),EXTRACTNUMBER(AE133))))),SUM(EXTRACTNUMBER(C133),EXTRACTNUMBER(E133),
EXTRACTNUMBER(G133),EXTRACTNUMBER(I133),
EXTRACTNUMBER(K133),EXTRACTNUMBER(M133),
EXTRACTNUMBER(O133),EXTRACTNUMBER(Q133),
EXTRACTNUMBER(S133),EXTRACTNUMBER(U133),
EXTRACTNUMBER(W133),EXTRACTNUMBER(Y133),EXTRACTNUMBER(AA133),
EXTRACTNUMBER(AC133),EXTRACTNUMBER(AE133)))</f>
        <v>491</v>
      </c>
      <c r="AH133" s="38" t="str">
        <f t="shared" ca="1" si="47"/>
        <v>FAIL</v>
      </c>
      <c r="AI133" s="28" t="str">
        <f>spellnumber(EXTRACTnUMBER_TOT(AG133))</f>
        <v xml:space="preserve">Four Hundred NinetyOne </v>
      </c>
    </row>
    <row r="134" spans="1:35" ht="15" customHeight="1">
      <c r="A134" s="58">
        <v>223334</v>
      </c>
      <c r="B134" s="39" t="s">
        <v>292</v>
      </c>
      <c r="C134" s="60" t="s">
        <v>459</v>
      </c>
      <c r="D134" s="61" t="str">
        <f t="shared" ca="1" si="33"/>
        <v>F</v>
      </c>
      <c r="E134" s="62">
        <v>14</v>
      </c>
      <c r="F134" s="61" t="str">
        <f t="shared" ca="1" si="34"/>
        <v>E</v>
      </c>
      <c r="G134" s="63">
        <v>32</v>
      </c>
      <c r="H134" s="61" t="str">
        <f t="shared" ca="1" si="35"/>
        <v>F</v>
      </c>
      <c r="I134" s="62">
        <v>19</v>
      </c>
      <c r="J134" s="61" t="str">
        <f t="shared" ca="1" si="36"/>
        <v>E</v>
      </c>
      <c r="K134" s="62">
        <v>17</v>
      </c>
      <c r="L134" s="61" t="str">
        <f t="shared" ca="1" si="37"/>
        <v>E</v>
      </c>
      <c r="M134" s="63">
        <v>23</v>
      </c>
      <c r="N134" s="61" t="str">
        <f t="shared" ca="1" si="32"/>
        <v>F</v>
      </c>
      <c r="O134" s="62">
        <v>20</v>
      </c>
      <c r="P134" s="64" t="str">
        <f t="shared" ca="1" si="38"/>
        <v>E</v>
      </c>
      <c r="Q134" s="60">
        <v>40</v>
      </c>
      <c r="R134" s="61" t="str">
        <f t="shared" ca="1" si="39"/>
        <v>E</v>
      </c>
      <c r="S134" s="62">
        <v>14</v>
      </c>
      <c r="T134" s="64" t="str">
        <f t="shared" ca="1" si="40"/>
        <v>E</v>
      </c>
      <c r="U134" s="60">
        <v>40</v>
      </c>
      <c r="V134" s="61" t="str">
        <f t="shared" ca="1" si="41"/>
        <v>E</v>
      </c>
      <c r="W134" s="62">
        <v>17</v>
      </c>
      <c r="X134" s="64" t="str">
        <f t="shared" ca="1" si="42"/>
        <v>E</v>
      </c>
      <c r="Y134" s="62">
        <v>18</v>
      </c>
      <c r="Z134" s="64" t="str">
        <f t="shared" ca="1" si="43"/>
        <v>E</v>
      </c>
      <c r="AA134" s="60">
        <v>40</v>
      </c>
      <c r="AB134" s="61" t="str">
        <f t="shared" ca="1" si="44"/>
        <v>E</v>
      </c>
      <c r="AC134" s="62">
        <v>16</v>
      </c>
      <c r="AD134" s="61" t="str">
        <f t="shared" ca="1" si="45"/>
        <v>E</v>
      </c>
      <c r="AE134" s="62">
        <v>45</v>
      </c>
      <c r="AF134" s="64" t="str">
        <f t="shared" ca="1" si="46"/>
        <v>E</v>
      </c>
      <c r="AG134" s="66">
        <f ca="1">IF(OR(AND(C134&gt;=31,C134&lt;40),AND(G134&gt;=31,G134&lt;40),AND(M134&gt;=31,M134&lt;40),AND(Q134&gt;=31,Q134&lt;40),AND(U134&gt;=31,U134&lt;40),AND(AA134&gt;=31,AA134&lt;40)),IF(AND(OR(COUNTIF(C134:AF134,"=31")&gt;=1,COUNTIF(C134:AF134,"=32")&gt;=1,COUNTIF(C134:AF134,"=33")&gt;=1,COUNTIF(C134:AF134,"=34")&gt;=1,COUNTIF(C134:AF134,"=35")&gt;=1,COUNTIF(C134:AF134,"=36")&gt;=1 ),COUNTIF(C134:AF134,"")=0,COUNTIF(C134:AF134," ")=0,COUNTIF(C134:AF134,"F")=1),CONCATENATE(SUM(EXTRACTNUMBER(C134),EXTRACTNUMBER(E134),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EXTRACTNUMBER(AC134),EXTRACTNUMBER(AE134)),"*"),IF(AND(COUNTIF(C134:AF134,"=34")&gt;=1,COUNTIF(C134:AF134,"=35")&gt;=1,COUNTIF(C134:AF134,"f")=2,COUNTIF(C134:AF134,"")=0,COUNTIF(C134:AF134,"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EXTRACTNUMBER(AC134),EXTRACTNUMBER(AE134)),"*"),IF(AND(COUNTIF(C134:AF134,"=36")&gt;=2,COUNTIF(C134:AF134,"f")=2,COUNTIF(C134:AF134,"")=0,COUNTIF(C134:AF134," ")=0),CONCATENATE(SUM(EXTRACTNUMBER(C134),EXTRACTNUMBER(E134),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EXTRACTNUMBER(AC134),EXTRACTNUMBER(AE134)),"*"),SUM(EXTRACTNUMBER(C134),EXTRACTNUMBER(E134),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EXTRACTNUMBER(AC134),EXTRACTNUMBER(AE134))))),SUM(EXTRACTNUMBER(C134),EXTRACTNUMBER(E134),
EXTRACTNUMBER(G134),EXTRACTNUMBER(I134),
EXTRACTNUMBER(K134),EXTRACTNUMBER(M134),
EXTRACTNUMBER(O134),EXTRACTNUMBER(Q134),
EXTRACTNUMBER(S134),EXTRACTNUMBER(U134),
EXTRACTNUMBER(W134),EXTRACTNUMBER(Y134),EXTRACTNUMBER(AA134),
EXTRACTNUMBER(AC134),EXTRACTNUMBER(AE134)))</f>
        <v>363</v>
      </c>
      <c r="AH134" s="38" t="str">
        <f t="shared" ca="1" si="47"/>
        <v>FAIL</v>
      </c>
      <c r="AI134" s="28" t="e">
        <f ca="1">spellnumber(EXTRACTnUMBER_TOT(AG134))</f>
        <v>#NAME?</v>
      </c>
    </row>
    <row r="135" spans="1:35" ht="15" customHeight="1">
      <c r="A135" s="58">
        <v>223335</v>
      </c>
      <c r="B135" s="32" t="s">
        <v>293</v>
      </c>
      <c r="C135" s="60">
        <v>26</v>
      </c>
      <c r="D135" s="61" t="str">
        <f t="shared" ca="1" si="33"/>
        <v>F</v>
      </c>
      <c r="E135" s="62">
        <v>14</v>
      </c>
      <c r="F135" s="61" t="str">
        <f t="shared" ca="1" si="34"/>
        <v>E</v>
      </c>
      <c r="G135" s="63">
        <v>58</v>
      </c>
      <c r="H135" s="61" t="str">
        <f t="shared" ca="1" si="35"/>
        <v>E</v>
      </c>
      <c r="I135" s="62">
        <v>19</v>
      </c>
      <c r="J135" s="61" t="str">
        <f t="shared" ca="1" si="36"/>
        <v>E</v>
      </c>
      <c r="K135" s="62">
        <v>18</v>
      </c>
      <c r="L135" s="61" t="str">
        <f t="shared" ca="1" si="37"/>
        <v>E</v>
      </c>
      <c r="M135" s="63">
        <v>56</v>
      </c>
      <c r="N135" s="61" t="str">
        <f t="shared" ca="1" si="32"/>
        <v>E</v>
      </c>
      <c r="O135" s="62">
        <v>17</v>
      </c>
      <c r="P135" s="64" t="str">
        <f t="shared" ca="1" si="38"/>
        <v>E</v>
      </c>
      <c r="Q135" s="60">
        <v>63</v>
      </c>
      <c r="R135" s="61" t="str">
        <f t="shared" ca="1" si="39"/>
        <v>E</v>
      </c>
      <c r="S135" s="62">
        <v>21</v>
      </c>
      <c r="T135" s="64" t="str">
        <f t="shared" ca="1" si="40"/>
        <v>E</v>
      </c>
      <c r="U135" s="60">
        <v>56</v>
      </c>
      <c r="V135" s="61" t="str">
        <f t="shared" ca="1" si="41"/>
        <v>E</v>
      </c>
      <c r="W135" s="62">
        <v>16</v>
      </c>
      <c r="X135" s="64" t="str">
        <f t="shared" ca="1" si="42"/>
        <v>E</v>
      </c>
      <c r="Y135" s="62">
        <v>17</v>
      </c>
      <c r="Z135" s="64" t="str">
        <f t="shared" ca="1" si="43"/>
        <v>E</v>
      </c>
      <c r="AA135" s="60">
        <v>44</v>
      </c>
      <c r="AB135" s="61" t="str">
        <f t="shared" ca="1" si="44"/>
        <v>E</v>
      </c>
      <c r="AC135" s="62">
        <v>21</v>
      </c>
      <c r="AD135" s="61" t="str">
        <f t="shared" ca="1" si="45"/>
        <v>E</v>
      </c>
      <c r="AE135" s="62">
        <v>36</v>
      </c>
      <c r="AF135" s="64" t="str">
        <f t="shared" ca="1" si="46"/>
        <v>E</v>
      </c>
      <c r="AG135" s="66">
        <f>IF(OR(AND(C135&gt;=31,C135&lt;40),AND(G135&gt;=31,G135&lt;40),AND(M135&gt;=31,M135&lt;40),AND(Q135&gt;=31,Q135&lt;40),AND(U135&gt;=31,U135&lt;40),AND(AA135&gt;=31,AA135&lt;40)),IF(AND(OR(COUNTIF(C135:AF135,"=31")&gt;=1,COUNTIF(C135:AF135,"=32")&gt;=1,COUNTIF(C135:AF135,"=33")&gt;=1,COUNTIF(C135:AF135,"=34")&gt;=1,COUNTIF(C135:AF135,"=35")&gt;=1,COUNTIF(C135:AF135,"=36")&gt;=1 ),COUNTIF(C135:AF135,"")=0,COUNTIF(C135:AF135," ")=0,COUNTIF(C135:AF135,"F")=1),CONCATENATE(SUM(EXTRACTNUMBER(C135),EXTRACTNUMBER(E135),
EXTRACTNUMBER(G135),EXTRACTNUMBER(I135),
EXTRACTNUMBER(K135),EXTRACTNUMBER(M135),
EXTRACTNUMBER(O135),EXTRACTNUMBER(Q135),
EXTRACTNUMBER(S135),EXTRACTNUMBER(U135),
EXTRACTNUMBER(W135),EXTRACTNUMBER(Y135),EXTRACTNUMBER(AA135),
EXTRACTNUMBER(AC135),EXTRACTNUMBER(AE135)),"*"),IF(AND(COUNTIF(C135:AF135,"=34")&gt;=1,COUNTIF(C135:AF135,"=35")&gt;=1,COUNTIF(C135:AF135,"f")=2,COUNTIF(C135:AF135,"")=0,COUNTIF(C135:AF135," ")=0),CONCATENATE(SUM(EXTRACTNUMBER(C135),EXTRACTNUMBER(E135),
EXTRACTNUMBER(G135),EXTRACTNUMBER(I135),
EXTRACTNUMBER(K135),EXTRACTNUMBER(M135),
EXTRACTNUMBER(O135),EXTRACTNUMBER(Q135),
EXTRACTNUMBER(S135),EXTRACTNUMBER(U135),
EXTRACTNUMBER(W135),EXTRACTNUMBER(Y135),EXTRACTNUMBER(AA135),
EXTRACTNUMBER(AC135),EXTRACTNUMBER(AE135)),"*"),IF(AND(COUNTIF(C135:AF135,"=36")&gt;=2,COUNTIF(C135:AF135,"f")=2,COUNTIF(C135:AF135,"")=0,COUNTIF(C135:AF135," ")=0),CONCATENATE(SUM(EXTRACTNUMBER(C135),EXTRACTNUMBER(E135),
EXTRACTNUMBER(G135),EXTRACTNUMBER(I135),
EXTRACTNUMBER(K135),EXTRACTNUMBER(M135),
EXTRACTNUMBER(O135),EXTRACTNUMBER(Q135),
EXTRACTNUMBER(S135),EXTRACTNUMBER(U135),
EXTRACTNUMBER(W135),EXTRACTNUMBER(Y135),EXTRACTNUMBER(AA135),
EXTRACTNUMBER(AC135),EXTRACTNUMBER(AE135)),"*"),SUM(EXTRACTNUMBER(C135),EXTRACTNUMBER(E135),
EXTRACTNUMBER(G135),EXTRACTNUMBER(I135),
EXTRACTNUMBER(K135),EXTRACTNUMBER(M135),
EXTRACTNUMBER(O135),EXTRACTNUMBER(Q135),
EXTRACTNUMBER(S135),EXTRACTNUMBER(U135),
EXTRACTNUMBER(W135),EXTRACTNUMBER(Y135),EXTRACTNUMBER(AA135),
EXTRACTNUMBER(AC135),EXTRACTNUMBER(AE135))))),SUM(EXTRACTNUMBER(C135),EXTRACTNUMBER(E135),
EXTRACTNUMBER(G135),EXTRACTNUMBER(I135),
EXTRACTNUMBER(K135),EXTRACTNUMBER(M135),
EXTRACTNUMBER(O135),EXTRACTNUMBER(Q135),
EXTRACTNUMBER(S135),EXTRACTNUMBER(U135),
EXTRACTNUMBER(W135),EXTRACTNUMBER(Y135),EXTRACTNUMBER(AA135),
EXTRACTNUMBER(AC135),EXTRACTNUMBER(AE135)))</f>
        <v>482</v>
      </c>
      <c r="AH135" s="38" t="str">
        <f t="shared" ca="1" si="47"/>
        <v>FAIL</v>
      </c>
      <c r="AI135" s="28" t="str">
        <f>spellnumber(EXTRACTnUMBER_TOT(AG135))</f>
        <v xml:space="preserve">Four Hundred Eighty Two </v>
      </c>
    </row>
    <row r="136" spans="1:35" ht="15" customHeight="1">
      <c r="A136" s="58">
        <v>223336</v>
      </c>
      <c r="B136" s="32" t="s">
        <v>294</v>
      </c>
      <c r="C136" s="60">
        <v>29</v>
      </c>
      <c r="D136" s="61" t="str">
        <f t="shared" ca="1" si="33"/>
        <v>F</v>
      </c>
      <c r="E136" s="62">
        <v>15</v>
      </c>
      <c r="F136" s="61" t="str">
        <f t="shared" ca="1" si="34"/>
        <v>E</v>
      </c>
      <c r="G136" s="63">
        <v>59</v>
      </c>
      <c r="H136" s="61" t="str">
        <f t="shared" ca="1" si="35"/>
        <v>E</v>
      </c>
      <c r="I136" s="62">
        <v>24</v>
      </c>
      <c r="J136" s="61" t="str">
        <f t="shared" ca="1" si="36"/>
        <v>E</v>
      </c>
      <c r="K136" s="62">
        <v>18</v>
      </c>
      <c r="L136" s="61" t="str">
        <f t="shared" ca="1" si="37"/>
        <v>E</v>
      </c>
      <c r="M136" s="63">
        <v>57</v>
      </c>
      <c r="N136" s="61" t="str">
        <f t="shared" ca="1" si="32"/>
        <v>E</v>
      </c>
      <c r="O136" s="62">
        <v>19</v>
      </c>
      <c r="P136" s="64" t="str">
        <f t="shared" ca="1" si="38"/>
        <v>E</v>
      </c>
      <c r="Q136" s="60">
        <v>56</v>
      </c>
      <c r="R136" s="61" t="str">
        <f t="shared" ca="1" si="39"/>
        <v>E</v>
      </c>
      <c r="S136" s="62">
        <v>20</v>
      </c>
      <c r="T136" s="64" t="str">
        <f t="shared" ca="1" si="40"/>
        <v>E</v>
      </c>
      <c r="U136" s="60">
        <v>46</v>
      </c>
      <c r="V136" s="61" t="str">
        <f t="shared" ca="1" si="41"/>
        <v>E</v>
      </c>
      <c r="W136" s="62">
        <v>19</v>
      </c>
      <c r="X136" s="64" t="str">
        <f t="shared" ca="1" si="42"/>
        <v>E</v>
      </c>
      <c r="Y136" s="62">
        <v>18</v>
      </c>
      <c r="Z136" s="64" t="str">
        <f t="shared" ca="1" si="43"/>
        <v>E</v>
      </c>
      <c r="AA136" s="60">
        <v>48</v>
      </c>
      <c r="AB136" s="61" t="str">
        <f t="shared" ca="1" si="44"/>
        <v>E</v>
      </c>
      <c r="AC136" s="62">
        <v>22</v>
      </c>
      <c r="AD136" s="61" t="str">
        <f t="shared" ca="1" si="45"/>
        <v>E</v>
      </c>
      <c r="AE136" s="62">
        <v>40</v>
      </c>
      <c r="AF136" s="64" t="str">
        <f t="shared" ca="1" si="46"/>
        <v>E</v>
      </c>
      <c r="AG136" s="66">
        <f>IF(OR(AND(C136&gt;=31,C136&lt;40),AND(G136&gt;=31,G136&lt;40),AND(M136&gt;=31,M136&lt;40),AND(Q136&gt;=31,Q136&lt;40),AND(U136&gt;=31,U136&lt;40),AND(AA136&gt;=31,AA136&lt;40)),IF(AND(OR(COUNTIF(C136:AF136,"=31")&gt;=1,COUNTIF(C136:AF136,"=32")&gt;=1,COUNTIF(C136:AF136,"=33")&gt;=1,COUNTIF(C136:AF136,"=34")&gt;=1,COUNTIF(C136:AF136,"=35")&gt;=1,COUNTIF(C136:AF136,"=36")&gt;=1 ),COUNTIF(C136:AF136,"")=0,COUNTIF(C136:AF136," ")=0,COUNTIF(C136:AF136,"F")=1),CONCATENATE(SUM(EXTRACTNUMBER(C136),EXTRACTNUMBER(E136),
EXTRACTNUMBER(G136),EXTRACTNUMBER(I136),
EXTRACTNUMBER(K136),EXTRACTNUMBER(M136),
EXTRACTNUMBER(O136),EXTRACTNUMBER(Q136),
EXTRACTNUMBER(S136),EXTRACTNUMBER(U136),
EXTRACTNUMBER(W136),EXTRACTNUMBER(Y136),EXTRACTNUMBER(AA136),
EXTRACTNUMBER(AC136),EXTRACTNUMBER(AE136)),"*"),IF(AND(COUNTIF(C136:AF136,"=34")&gt;=1,COUNTIF(C136:AF136,"=35")&gt;=1,COUNTIF(C136:AF136,"f")=2,COUNTIF(C136:AF136,"")=0,COUNTIF(C136:AF136," ")=0),CONCATENATE(SUM(EXTRACTNUMBER(C136),EXTRACTNUMBER(E136),
EXTRACTNUMBER(G136),EXTRACTNUMBER(I136),
EXTRACTNUMBER(K136),EXTRACTNUMBER(M136),
EXTRACTNUMBER(O136),EXTRACTNUMBER(Q136),
EXTRACTNUMBER(S136),EXTRACTNUMBER(U136),
EXTRACTNUMBER(W136),EXTRACTNUMBER(Y136),EXTRACTNUMBER(AA136),
EXTRACTNUMBER(AC136),EXTRACTNUMBER(AE136)),"*"),IF(AND(COUNTIF(C136:AF136,"=36")&gt;=2,COUNTIF(C136:AF136,"f")=2,COUNTIF(C136:AF136,"")=0,COUNTIF(C136:AF136," ")=0),CONCATENATE(SUM(EXTRACTNUMBER(C136),EXTRACTNUMBER(E136),
EXTRACTNUMBER(G136),EXTRACTNUMBER(I136),
EXTRACTNUMBER(K136),EXTRACTNUMBER(M136),
EXTRACTNUMBER(O136),EXTRACTNUMBER(Q136),
EXTRACTNUMBER(S136),EXTRACTNUMBER(U136),
EXTRACTNUMBER(W136),EXTRACTNUMBER(Y136),EXTRACTNUMBER(AA136),
EXTRACTNUMBER(AC136),EXTRACTNUMBER(AE136)),"*"),SUM(EXTRACTNUMBER(C136),EXTRACTNUMBER(E136),
EXTRACTNUMBER(G136),EXTRACTNUMBER(I136),
EXTRACTNUMBER(K136),EXTRACTNUMBER(M136),
EXTRACTNUMBER(O136),EXTRACTNUMBER(Q136),
EXTRACTNUMBER(S136),EXTRACTNUMBER(U136),
EXTRACTNUMBER(W136),EXTRACTNUMBER(Y136),EXTRACTNUMBER(AA136),
EXTRACTNUMBER(AC136),EXTRACTNUMBER(AE136))))),SUM(EXTRACTNUMBER(C136),EXTRACTNUMBER(E136),
EXTRACTNUMBER(G136),EXTRACTNUMBER(I136),
EXTRACTNUMBER(K136),EXTRACTNUMBER(M136),
EXTRACTNUMBER(O136),EXTRACTNUMBER(Q136),
EXTRACTNUMBER(S136),EXTRACTNUMBER(U136),
EXTRACTNUMBER(W136),EXTRACTNUMBER(Y136),EXTRACTNUMBER(AA136),
EXTRACTNUMBER(AC136),EXTRACTNUMBER(AE136)))</f>
        <v>490</v>
      </c>
      <c r="AH136" s="38" t="str">
        <f t="shared" ca="1" si="47"/>
        <v>FAIL</v>
      </c>
      <c r="AI136" s="28" t="str">
        <f>spellnumber(EXTRACTnUMBER_TOT(AG136))</f>
        <v xml:space="preserve">Four Hundred Ninety </v>
      </c>
    </row>
    <row r="137" spans="1:35" ht="15" customHeight="1">
      <c r="A137" s="58">
        <v>223337</v>
      </c>
      <c r="B137" s="32" t="s">
        <v>295</v>
      </c>
      <c r="C137" s="60">
        <v>18</v>
      </c>
      <c r="D137" s="61" t="str">
        <f t="shared" ca="1" si="33"/>
        <v>F</v>
      </c>
      <c r="E137" s="62">
        <v>15</v>
      </c>
      <c r="F137" s="61" t="str">
        <f t="shared" ca="1" si="34"/>
        <v>E</v>
      </c>
      <c r="G137" s="63">
        <v>43</v>
      </c>
      <c r="H137" s="61" t="str">
        <f t="shared" ca="1" si="35"/>
        <v>E</v>
      </c>
      <c r="I137" s="62">
        <v>19</v>
      </c>
      <c r="J137" s="61" t="str">
        <f t="shared" ca="1" si="36"/>
        <v>E</v>
      </c>
      <c r="K137" s="62">
        <v>16</v>
      </c>
      <c r="L137" s="61" t="str">
        <f t="shared" ca="1" si="37"/>
        <v>E</v>
      </c>
      <c r="M137" s="63">
        <v>44</v>
      </c>
      <c r="N137" s="61" t="str">
        <f t="shared" ca="1" si="32"/>
        <v>E</v>
      </c>
      <c r="O137" s="62">
        <v>17</v>
      </c>
      <c r="P137" s="64" t="str">
        <f t="shared" ca="1" si="38"/>
        <v>E</v>
      </c>
      <c r="Q137" s="60">
        <v>48</v>
      </c>
      <c r="R137" s="61" t="str">
        <f t="shared" ca="1" si="39"/>
        <v>E</v>
      </c>
      <c r="S137" s="62">
        <v>22</v>
      </c>
      <c r="T137" s="64" t="str">
        <f t="shared" ca="1" si="40"/>
        <v>E</v>
      </c>
      <c r="U137" s="60">
        <v>46</v>
      </c>
      <c r="V137" s="61" t="str">
        <f t="shared" ca="1" si="41"/>
        <v>E</v>
      </c>
      <c r="W137" s="62">
        <v>17</v>
      </c>
      <c r="X137" s="64" t="str">
        <f t="shared" ca="1" si="42"/>
        <v>E</v>
      </c>
      <c r="Y137" s="62">
        <v>18</v>
      </c>
      <c r="Z137" s="64" t="str">
        <f t="shared" ca="1" si="43"/>
        <v>E</v>
      </c>
      <c r="AA137" s="60">
        <v>40</v>
      </c>
      <c r="AB137" s="61" t="str">
        <f t="shared" ca="1" si="44"/>
        <v>E</v>
      </c>
      <c r="AC137" s="62">
        <v>20</v>
      </c>
      <c r="AD137" s="61" t="str">
        <f t="shared" ca="1" si="45"/>
        <v>E</v>
      </c>
      <c r="AE137" s="62">
        <v>38</v>
      </c>
      <c r="AF137" s="64" t="str">
        <f t="shared" ca="1" si="46"/>
        <v>E</v>
      </c>
      <c r="AG137" s="66">
        <f>IF(OR(AND(C137&gt;=31,C137&lt;40),AND(G137&gt;=31,G137&lt;40),AND(M137&gt;=31,M137&lt;40),AND(Q137&gt;=31,Q137&lt;40),AND(U137&gt;=31,U137&lt;40),AND(AA137&gt;=31,AA137&lt;40)),IF(AND(OR(COUNTIF(C137:AF137,"=31")&gt;=1,COUNTIF(C137:AF137,"=32")&gt;=1,COUNTIF(C137:AF137,"=33")&gt;=1,COUNTIF(C137:AF137,"=34")&gt;=1,COUNTIF(C137:AF137,"=35")&gt;=1,COUNTIF(C137:AF137,"=36")&gt;=1 ),COUNTIF(C137:AF137,"")=0,COUNTIF(C137:AF137," ")=0,COUNTIF(C137:AF137,"F")=1),CONCATENATE(SUM(EXTRACTNUMBER(C137),EXTRACTNUMBER(E137),
EXTRACTNUMBER(G137),EXTRACTNUMBER(I137),
EXTRACTNUMBER(K137),EXTRACTNUMBER(M137),
EXTRACTNUMBER(O137),EXTRACTNUMBER(Q137),
EXTRACTNUMBER(S137),EXTRACTNUMBER(U137),
EXTRACTNUMBER(W137),EXTRACTNUMBER(Y137),EXTRACTNUMBER(AA137),
EXTRACTNUMBER(AC137),EXTRACTNUMBER(AE137)),"*"),IF(AND(COUNTIF(C137:AF137,"=34")&gt;=1,COUNTIF(C137:AF137,"=35")&gt;=1,COUNTIF(C137:AF137,"f")=2,COUNTIF(C137:AF137,"")=0,COUNTIF(C137:AF137," ")=0),CONCATENATE(SUM(EXTRACTNUMBER(C137),EXTRACTNUMBER(E137),
EXTRACTNUMBER(G137),EXTRACTNUMBER(I137),
EXTRACTNUMBER(K137),EXTRACTNUMBER(M137),
EXTRACTNUMBER(O137),EXTRACTNUMBER(Q137),
EXTRACTNUMBER(S137),EXTRACTNUMBER(U137),
EXTRACTNUMBER(W137),EXTRACTNUMBER(Y137),EXTRACTNUMBER(AA137),
EXTRACTNUMBER(AC137),EXTRACTNUMBER(AE137)),"*"),IF(AND(COUNTIF(C137:AF137,"=36")&gt;=2,COUNTIF(C137:AF137,"f")=2,COUNTIF(C137:AF137,"")=0,COUNTIF(C137:AF137," ")=0),CONCATENATE(SUM(EXTRACTNUMBER(C137),EXTRACTNUMBER(E137),
EXTRACTNUMBER(G137),EXTRACTNUMBER(I137),
EXTRACTNUMBER(K137),EXTRACTNUMBER(M137),
EXTRACTNUMBER(O137),EXTRACTNUMBER(Q137),
EXTRACTNUMBER(S137),EXTRACTNUMBER(U137),
EXTRACTNUMBER(W137),EXTRACTNUMBER(Y137),EXTRACTNUMBER(AA137),
EXTRACTNUMBER(AC137),EXTRACTNUMBER(AE137)),"*"),SUM(EXTRACTNUMBER(C137),EXTRACTNUMBER(E137),
EXTRACTNUMBER(G137),EXTRACTNUMBER(I137),
EXTRACTNUMBER(K137),EXTRACTNUMBER(M137),
EXTRACTNUMBER(O137),EXTRACTNUMBER(Q137),
EXTRACTNUMBER(S137),EXTRACTNUMBER(U137),
EXTRACTNUMBER(W137),EXTRACTNUMBER(Y137),EXTRACTNUMBER(AA137),
EXTRACTNUMBER(AC137),EXTRACTNUMBER(AE137))))),SUM(EXTRACTNUMBER(C137),EXTRACTNUMBER(E137),
EXTRACTNUMBER(G137),EXTRACTNUMBER(I137),
EXTRACTNUMBER(K137),EXTRACTNUMBER(M137),
EXTRACTNUMBER(O137),EXTRACTNUMBER(Q137),
EXTRACTNUMBER(S137),EXTRACTNUMBER(U137),
EXTRACTNUMBER(W137),EXTRACTNUMBER(Y137),EXTRACTNUMBER(AA137),
EXTRACTNUMBER(AC137),EXTRACTNUMBER(AE137)))</f>
        <v>421</v>
      </c>
      <c r="AH137" s="38" t="str">
        <f t="shared" ca="1" si="47"/>
        <v>FAIL</v>
      </c>
      <c r="AI137" s="28" t="str">
        <f>spellnumber(EXTRACTnUMBER_TOT(AG137))</f>
        <v xml:space="preserve">Four Hundred Twenty One </v>
      </c>
    </row>
    <row r="138" spans="1:35" ht="15" customHeight="1">
      <c r="A138" s="58">
        <v>223338</v>
      </c>
      <c r="B138" s="32" t="s">
        <v>296</v>
      </c>
      <c r="C138" s="60">
        <v>40</v>
      </c>
      <c r="D138" s="61" t="str">
        <f t="shared" ca="1" si="33"/>
        <v/>
      </c>
      <c r="E138" s="62">
        <v>10</v>
      </c>
      <c r="F138" s="61" t="str">
        <f t="shared" ca="1" si="34"/>
        <v/>
      </c>
      <c r="G138" s="63">
        <v>63</v>
      </c>
      <c r="H138" s="61" t="str">
        <f t="shared" ca="1" si="35"/>
        <v/>
      </c>
      <c r="I138" s="62">
        <v>20</v>
      </c>
      <c r="J138" s="61" t="str">
        <f t="shared" ca="1" si="36"/>
        <v/>
      </c>
      <c r="K138" s="62">
        <v>18</v>
      </c>
      <c r="L138" s="61" t="str">
        <f t="shared" ca="1" si="37"/>
        <v/>
      </c>
      <c r="M138" s="63">
        <v>50</v>
      </c>
      <c r="N138" s="61" t="str">
        <f t="shared" ca="1" si="32"/>
        <v/>
      </c>
      <c r="O138" s="62">
        <v>15</v>
      </c>
      <c r="P138" s="64" t="str">
        <f t="shared" ca="1" si="38"/>
        <v/>
      </c>
      <c r="Q138" s="60">
        <v>47</v>
      </c>
      <c r="R138" s="61" t="str">
        <f t="shared" ca="1" si="39"/>
        <v/>
      </c>
      <c r="S138" s="62">
        <v>20</v>
      </c>
      <c r="T138" s="64" t="str">
        <f t="shared" ca="1" si="40"/>
        <v/>
      </c>
      <c r="U138" s="60">
        <v>44</v>
      </c>
      <c r="V138" s="61" t="str">
        <f t="shared" ca="1" si="41"/>
        <v/>
      </c>
      <c r="W138" s="62">
        <v>18</v>
      </c>
      <c r="X138" s="64" t="str">
        <f t="shared" ca="1" si="42"/>
        <v/>
      </c>
      <c r="Y138" s="62">
        <v>18</v>
      </c>
      <c r="Z138" s="64" t="str">
        <f t="shared" ca="1" si="43"/>
        <v/>
      </c>
      <c r="AA138" s="60">
        <v>40</v>
      </c>
      <c r="AB138" s="61" t="str">
        <f t="shared" ca="1" si="44"/>
        <v/>
      </c>
      <c r="AC138" s="62">
        <v>19</v>
      </c>
      <c r="AD138" s="61" t="str">
        <f t="shared" ca="1" si="45"/>
        <v/>
      </c>
      <c r="AE138" s="62">
        <v>39</v>
      </c>
      <c r="AF138" s="64" t="str">
        <f t="shared" ca="1" si="46"/>
        <v/>
      </c>
      <c r="AG138" s="66">
        <f>IF(OR(AND(C138&gt;=31,C138&lt;40),AND(G138&gt;=31,G138&lt;40),AND(M138&gt;=31,M138&lt;40),AND(Q138&gt;=31,Q138&lt;40),AND(U138&gt;=31,U138&lt;40),AND(AA138&gt;=31,AA138&lt;40)),IF(AND(OR(COUNTIF(C138:AF138,"=31")&gt;=1,COUNTIF(C138:AF138,"=32")&gt;=1,COUNTIF(C138:AF138,"=33")&gt;=1,COUNTIF(C138:AF138,"=34")&gt;=1,COUNTIF(C138:AF138,"=35")&gt;=1,COUNTIF(C138:AF138,"=36")&gt;=1 ),COUNTIF(C138:AF138,"")=0,COUNTIF(C138:AF138," ")=0,COUNTIF(C138:AF138,"F")=1),CONCATENATE(SUM(EXTRACTNUMBER(C138),EXTRACTNUMBER(E138),
EXTRACTNUMBER(G138),EXTRACTNUMBER(I138),
EXTRACTNUMBER(K138),EXTRACTNUMBER(M138),
EXTRACTNUMBER(O138),EXTRACTNUMBER(Q138),
EXTRACTNUMBER(S138),EXTRACTNUMBER(U138),
EXTRACTNUMBER(W138),EXTRACTNUMBER(Y138),EXTRACTNUMBER(AA138),
EXTRACTNUMBER(AC138),EXTRACTNUMBER(AE138)),"*"),IF(AND(COUNTIF(C138:AF138,"=34")&gt;=1,COUNTIF(C138:AF138,"=35")&gt;=1,COUNTIF(C138:AF138,"f")=2,COUNTIF(C138:AF138,"")=0,COUNTIF(C138:AF138," ")=0),CONCATENATE(SUM(EXTRACTNUMBER(C138),EXTRACTNUMBER(E138),
EXTRACTNUMBER(G138),EXTRACTNUMBER(I138),
EXTRACTNUMBER(K138),EXTRACTNUMBER(M138),
EXTRACTNUMBER(O138),EXTRACTNUMBER(Q138),
EXTRACTNUMBER(S138),EXTRACTNUMBER(U138),
EXTRACTNUMBER(W138),EXTRACTNUMBER(Y138),EXTRACTNUMBER(AA138),
EXTRACTNUMBER(AC138),EXTRACTNUMBER(AE138)),"*"),IF(AND(COUNTIF(C138:AF138,"=36")&gt;=2,COUNTIF(C138:AF138,"f")=2,COUNTIF(C138:AF138,"")=0,COUNTIF(C138:AF138," ")=0),CONCATENATE(SUM(EXTRACTNUMBER(C138),EXTRACTNUMBER(E138),
EXTRACTNUMBER(G138),EXTRACTNUMBER(I138),
EXTRACTNUMBER(K138),EXTRACTNUMBER(M138),
EXTRACTNUMBER(O138),EXTRACTNUMBER(Q138),
EXTRACTNUMBER(S138),EXTRACTNUMBER(U138),
EXTRACTNUMBER(W138),EXTRACTNUMBER(Y138),EXTRACTNUMBER(AA138),
EXTRACTNUMBER(AC138),EXTRACTNUMBER(AE138)),"*"),SUM(EXTRACTNUMBER(C138),EXTRACTNUMBER(E138),
EXTRACTNUMBER(G138),EXTRACTNUMBER(I138),
EXTRACTNUMBER(K138),EXTRACTNUMBER(M138),
EXTRACTNUMBER(O138),EXTRACTNUMBER(Q138),
EXTRACTNUMBER(S138),EXTRACTNUMBER(U138),
EXTRACTNUMBER(W138),EXTRACTNUMBER(Y138),EXTRACTNUMBER(AA138),
EXTRACTNUMBER(AC138),EXTRACTNUMBER(AE138))))),SUM(EXTRACTNUMBER(C138),EXTRACTNUMBER(E138),
EXTRACTNUMBER(G138),EXTRACTNUMBER(I138),
EXTRACTNUMBER(K138),EXTRACTNUMBER(M138),
EXTRACTNUMBER(O138),EXTRACTNUMBER(Q138),
EXTRACTNUMBER(S138),EXTRACTNUMBER(U138),
EXTRACTNUMBER(W138),EXTRACTNUMBER(Y138),EXTRACTNUMBER(AA138),
EXTRACTNUMBER(AC138),EXTRACTNUMBER(AE138)))</f>
        <v>461</v>
      </c>
      <c r="AH138" s="38" t="str">
        <f t="shared" ca="1" si="47"/>
        <v>PASS</v>
      </c>
      <c r="AI138" s="28" t="str">
        <f>spellnumber(EXTRACTnUMBER_TOT(AG138))</f>
        <v xml:space="preserve">Four Hundred Sixty One </v>
      </c>
    </row>
    <row r="139" spans="1:35" ht="15" customHeight="1">
      <c r="A139" s="58">
        <v>223339</v>
      </c>
      <c r="B139" s="32" t="s">
        <v>297</v>
      </c>
      <c r="C139" s="60">
        <v>15</v>
      </c>
      <c r="D139" s="61" t="str">
        <f t="shared" ca="1" si="33"/>
        <v>F</v>
      </c>
      <c r="E139" s="62">
        <v>15</v>
      </c>
      <c r="F139" s="61" t="str">
        <f t="shared" ca="1" si="34"/>
        <v>E</v>
      </c>
      <c r="G139" s="63">
        <v>40</v>
      </c>
      <c r="H139" s="61" t="str">
        <f t="shared" ca="1" si="35"/>
        <v>E</v>
      </c>
      <c r="I139" s="62">
        <v>19</v>
      </c>
      <c r="J139" s="61" t="str">
        <f t="shared" ca="1" si="36"/>
        <v>E</v>
      </c>
      <c r="K139" s="62">
        <v>18</v>
      </c>
      <c r="L139" s="61" t="str">
        <f t="shared" ca="1" si="37"/>
        <v>E</v>
      </c>
      <c r="M139" s="63">
        <v>52</v>
      </c>
      <c r="N139" s="61" t="str">
        <f t="shared" ca="1" si="32"/>
        <v>E</v>
      </c>
      <c r="O139" s="62">
        <v>12</v>
      </c>
      <c r="P139" s="64" t="str">
        <f t="shared" ca="1" si="38"/>
        <v>E</v>
      </c>
      <c r="Q139" s="60">
        <v>49</v>
      </c>
      <c r="R139" s="61" t="str">
        <f t="shared" ca="1" si="39"/>
        <v>E</v>
      </c>
      <c r="S139" s="62">
        <v>21</v>
      </c>
      <c r="T139" s="64" t="str">
        <f t="shared" ca="1" si="40"/>
        <v>E</v>
      </c>
      <c r="U139" s="60">
        <v>56</v>
      </c>
      <c r="V139" s="61" t="str">
        <f t="shared" ca="1" si="41"/>
        <v>E</v>
      </c>
      <c r="W139" s="62">
        <v>17</v>
      </c>
      <c r="X139" s="64" t="str">
        <f t="shared" ca="1" si="42"/>
        <v>E</v>
      </c>
      <c r="Y139" s="62">
        <v>18</v>
      </c>
      <c r="Z139" s="64" t="str">
        <f t="shared" ca="1" si="43"/>
        <v>E</v>
      </c>
      <c r="AA139" s="60">
        <v>40</v>
      </c>
      <c r="AB139" s="61" t="str">
        <f t="shared" ca="1" si="44"/>
        <v>E</v>
      </c>
      <c r="AC139" s="62">
        <v>18</v>
      </c>
      <c r="AD139" s="61" t="str">
        <f t="shared" ca="1" si="45"/>
        <v>E</v>
      </c>
      <c r="AE139" s="62">
        <v>30</v>
      </c>
      <c r="AF139" s="64" t="str">
        <f t="shared" ca="1" si="46"/>
        <v>E</v>
      </c>
      <c r="AG139" s="66">
        <f>IF(OR(AND(C139&gt;=31,C139&lt;40),AND(G139&gt;=31,G139&lt;40),AND(M139&gt;=31,M139&lt;40),AND(Q139&gt;=31,Q139&lt;40),AND(U139&gt;=31,U139&lt;40),AND(AA139&gt;=31,AA139&lt;40)),IF(AND(OR(COUNTIF(C139:AF139,"=31")&gt;=1,COUNTIF(C139:AF139,"=32")&gt;=1,COUNTIF(C139:AF139,"=33")&gt;=1,COUNTIF(C139:AF139,"=34")&gt;=1,COUNTIF(C139:AF139,"=35")&gt;=1,COUNTIF(C139:AF139,"=36")&gt;=1 ),COUNTIF(C139:AF139,"")=0,COUNTIF(C139:AF139," ")=0,COUNTIF(C139:AF139,"F")=1),CONCATENATE(SUM(EXTRACTNUMBER(C139),EXTRACTNUMBER(E139),
EXTRACTNUMBER(G139),EXTRACTNUMBER(I139),
EXTRACTNUMBER(K139),EXTRACTNUMBER(M139),
EXTRACTNUMBER(O139),EXTRACTNUMBER(Q139),
EXTRACTNUMBER(S139),EXTRACTNUMBER(U139),
EXTRACTNUMBER(W139),EXTRACTNUMBER(Y139),EXTRACTNUMBER(AA139),
EXTRACTNUMBER(AC139),EXTRACTNUMBER(AE139)),"*"),IF(AND(COUNTIF(C139:AF139,"=34")&gt;=1,COUNTIF(C139:AF139,"=35")&gt;=1,COUNTIF(C139:AF139,"f")=2,COUNTIF(C139:AF139,"")=0,COUNTIF(C139:AF139," ")=0),CONCATENATE(SUM(EXTRACTNUMBER(C139),EXTRACTNUMBER(E139),
EXTRACTNUMBER(G139),EXTRACTNUMBER(I139),
EXTRACTNUMBER(K139),EXTRACTNUMBER(M139),
EXTRACTNUMBER(O139),EXTRACTNUMBER(Q139),
EXTRACTNUMBER(S139),EXTRACTNUMBER(U139),
EXTRACTNUMBER(W139),EXTRACTNUMBER(Y139),EXTRACTNUMBER(AA139),
EXTRACTNUMBER(AC139),EXTRACTNUMBER(AE139)),"*"),IF(AND(COUNTIF(C139:AF139,"=36")&gt;=2,COUNTIF(C139:AF139,"f")=2,COUNTIF(C139:AF139,"")=0,COUNTIF(C139:AF139," ")=0),CONCATENATE(SUM(EXTRACTNUMBER(C139),EXTRACTNUMBER(E139),
EXTRACTNUMBER(G139),EXTRACTNUMBER(I139),
EXTRACTNUMBER(K139),EXTRACTNUMBER(M139),
EXTRACTNUMBER(O139),EXTRACTNUMBER(Q139),
EXTRACTNUMBER(S139),EXTRACTNUMBER(U139),
EXTRACTNUMBER(W139),EXTRACTNUMBER(Y139),EXTRACTNUMBER(AA139),
EXTRACTNUMBER(AC139),EXTRACTNUMBER(AE139)),"*"),SUM(EXTRACTNUMBER(C139),EXTRACTNUMBER(E139),
EXTRACTNUMBER(G139),EXTRACTNUMBER(I139),
EXTRACTNUMBER(K139),EXTRACTNUMBER(M139),
EXTRACTNUMBER(O139),EXTRACTNUMBER(Q139),
EXTRACTNUMBER(S139),EXTRACTNUMBER(U139),
EXTRACTNUMBER(W139),EXTRACTNUMBER(Y139),EXTRACTNUMBER(AA139),
EXTRACTNUMBER(AC139),EXTRACTNUMBER(AE139))))),SUM(EXTRACTNUMBER(C139),EXTRACTNUMBER(E139),
EXTRACTNUMBER(G139),EXTRACTNUMBER(I139),
EXTRACTNUMBER(K139),EXTRACTNUMBER(M139),
EXTRACTNUMBER(O139),EXTRACTNUMBER(Q139),
EXTRACTNUMBER(S139),EXTRACTNUMBER(U139),
EXTRACTNUMBER(W139),EXTRACTNUMBER(Y139),EXTRACTNUMBER(AA139),
EXTRACTNUMBER(AC139),EXTRACTNUMBER(AE139)))</f>
        <v>420</v>
      </c>
      <c r="AH139" s="38" t="str">
        <f t="shared" ca="1" si="47"/>
        <v>FAIL</v>
      </c>
      <c r="AI139" s="28" t="str">
        <f>spellnumber(EXTRACTnUMBER_TOT(AG139))</f>
        <v xml:space="preserve">Four Hundred Twenty  </v>
      </c>
    </row>
    <row r="140" spans="1:35" ht="15" customHeight="1">
      <c r="A140" s="58">
        <v>223340</v>
      </c>
      <c r="B140" s="32" t="s">
        <v>298</v>
      </c>
      <c r="C140" s="60">
        <v>71</v>
      </c>
      <c r="D140" s="61" t="str">
        <f t="shared" ca="1" si="33"/>
        <v/>
      </c>
      <c r="E140" s="62">
        <v>24</v>
      </c>
      <c r="F140" s="61" t="str">
        <f t="shared" ca="1" si="34"/>
        <v/>
      </c>
      <c r="G140" s="63">
        <v>40</v>
      </c>
      <c r="H140" s="61" t="str">
        <f t="shared" ca="1" si="35"/>
        <v/>
      </c>
      <c r="I140" s="62">
        <v>24</v>
      </c>
      <c r="J140" s="61" t="str">
        <f t="shared" ca="1" si="36"/>
        <v/>
      </c>
      <c r="K140" s="62">
        <v>17</v>
      </c>
      <c r="L140" s="61" t="str">
        <f t="shared" ca="1" si="37"/>
        <v/>
      </c>
      <c r="M140" s="63">
        <v>72</v>
      </c>
      <c r="N140" s="61" t="str">
        <f t="shared" ca="1" si="32"/>
        <v/>
      </c>
      <c r="O140" s="62">
        <v>24</v>
      </c>
      <c r="P140" s="64" t="str">
        <f t="shared" ca="1" si="38"/>
        <v/>
      </c>
      <c r="Q140" s="60">
        <v>43</v>
      </c>
      <c r="R140" s="61" t="str">
        <f t="shared" ca="1" si="39"/>
        <v/>
      </c>
      <c r="S140" s="62">
        <v>24</v>
      </c>
      <c r="T140" s="64" t="str">
        <f t="shared" ca="1" si="40"/>
        <v/>
      </c>
      <c r="U140" s="60">
        <v>63</v>
      </c>
      <c r="V140" s="61" t="str">
        <f t="shared" ca="1" si="41"/>
        <v/>
      </c>
      <c r="W140" s="62">
        <v>24</v>
      </c>
      <c r="X140" s="64" t="str">
        <f t="shared" ca="1" si="42"/>
        <v/>
      </c>
      <c r="Y140" s="62">
        <v>24</v>
      </c>
      <c r="Z140" s="64" t="str">
        <f t="shared" ca="1" si="43"/>
        <v/>
      </c>
      <c r="AA140" s="60">
        <v>49</v>
      </c>
      <c r="AB140" s="61" t="str">
        <f t="shared" ca="1" si="44"/>
        <v/>
      </c>
      <c r="AC140" s="62">
        <v>24</v>
      </c>
      <c r="AD140" s="61" t="str">
        <f t="shared" ca="1" si="45"/>
        <v/>
      </c>
      <c r="AE140" s="62">
        <v>47</v>
      </c>
      <c r="AF140" s="64" t="str">
        <f t="shared" ca="1" si="46"/>
        <v/>
      </c>
      <c r="AG140" s="66">
        <f>IF(OR(AND(C140&gt;=31,C140&lt;40),AND(G140&gt;=31,G140&lt;40),AND(M140&gt;=31,M140&lt;40),AND(Q140&gt;=31,Q140&lt;40),AND(U140&gt;=31,U140&lt;40),AND(AA140&gt;=31,AA140&lt;40)),IF(AND(OR(COUNTIF(C140:AF140,"=31")&gt;=1,COUNTIF(C140:AF140,"=32")&gt;=1,COUNTIF(C140:AF140,"=33")&gt;=1,COUNTIF(C140:AF140,"=34")&gt;=1,COUNTIF(C140:AF140,"=35")&gt;=1,COUNTIF(C140:AF140,"=36")&gt;=1 ),COUNTIF(C140:AF140,"")=0,COUNTIF(C140:AF140," ")=0,COUNTIF(C140:AF140,"F")=1),CONCATENATE(SUM(EXTRACTNUMBER(C140),EXTRACTNUMBER(E140),
EXTRACTNUMBER(G140),EXTRACTNUMBER(I140),
EXTRACTNUMBER(K140),EXTRACTNUMBER(M140),
EXTRACTNUMBER(O140),EXTRACTNUMBER(Q140),
EXTRACTNUMBER(S140),EXTRACTNUMBER(U140),
EXTRACTNUMBER(W140),EXTRACTNUMBER(Y140),EXTRACTNUMBER(AA140),
EXTRACTNUMBER(AC140),EXTRACTNUMBER(AE140)),"*"),IF(AND(COUNTIF(C140:AF140,"=34")&gt;=1,COUNTIF(C140:AF140,"=35")&gt;=1,COUNTIF(C140:AF140,"f")=2,COUNTIF(C140:AF140,"")=0,COUNTIF(C140:AF140," ")=0),CONCATENATE(SUM(EXTRACTNUMBER(C140),EXTRACTNUMBER(E140),
EXTRACTNUMBER(G140),EXTRACTNUMBER(I140),
EXTRACTNUMBER(K140),EXTRACTNUMBER(M140),
EXTRACTNUMBER(O140),EXTRACTNUMBER(Q140),
EXTRACTNUMBER(S140),EXTRACTNUMBER(U140),
EXTRACTNUMBER(W140),EXTRACTNUMBER(Y140),EXTRACTNUMBER(AA140),
EXTRACTNUMBER(AC140),EXTRACTNUMBER(AE140)),"*"),IF(AND(COUNTIF(C140:AF140,"=36")&gt;=2,COUNTIF(C140:AF140,"f")=2,COUNTIF(C140:AF140,"")=0,COUNTIF(C140:AF140," ")=0),CONCATENATE(SUM(EXTRACTNUMBER(C140),EXTRACTNUMBER(E140),
EXTRACTNUMBER(G140),EXTRACTNUMBER(I140),
EXTRACTNUMBER(K140),EXTRACTNUMBER(M140),
EXTRACTNUMBER(O140),EXTRACTNUMBER(Q140),
EXTRACTNUMBER(S140),EXTRACTNUMBER(U140),
EXTRACTNUMBER(W140),EXTRACTNUMBER(Y140),EXTRACTNUMBER(AA140),
EXTRACTNUMBER(AC140),EXTRACTNUMBER(AE140)),"*"),SUM(EXTRACTNUMBER(C140),EXTRACTNUMBER(E140),
EXTRACTNUMBER(G140),EXTRACTNUMBER(I140),
EXTRACTNUMBER(K140),EXTRACTNUMBER(M140),
EXTRACTNUMBER(O140),EXTRACTNUMBER(Q140),
EXTRACTNUMBER(S140),EXTRACTNUMBER(U140),
EXTRACTNUMBER(W140),EXTRACTNUMBER(Y140),EXTRACTNUMBER(AA140),
EXTRACTNUMBER(AC140),EXTRACTNUMBER(AE140))))),SUM(EXTRACTNUMBER(C140),EXTRACTNUMBER(E140),
EXTRACTNUMBER(G140),EXTRACTNUMBER(I140),
EXTRACTNUMBER(K140),EXTRACTNUMBER(M140),
EXTRACTNUMBER(O140),EXTRACTNUMBER(Q140),
EXTRACTNUMBER(S140),EXTRACTNUMBER(U140),
EXTRACTNUMBER(W140),EXTRACTNUMBER(Y140),EXTRACTNUMBER(AA140),
EXTRACTNUMBER(AC140),EXTRACTNUMBER(AE140)))</f>
        <v>570</v>
      </c>
      <c r="AH140" s="38" t="str">
        <f t="shared" ca="1" si="47"/>
        <v>PASS</v>
      </c>
      <c r="AI140" s="28" t="str">
        <f>spellnumber(EXTRACTnUMBER_TOT(AG140))</f>
        <v xml:space="preserve">Five Hundred Seventy  </v>
      </c>
    </row>
    <row r="141" spans="1:35" ht="15" customHeight="1">
      <c r="A141" s="58">
        <v>223341</v>
      </c>
      <c r="B141" s="32" t="s">
        <v>299</v>
      </c>
      <c r="C141" s="60">
        <v>13</v>
      </c>
      <c r="D141" s="61" t="str">
        <f t="shared" ca="1" si="33"/>
        <v>F</v>
      </c>
      <c r="E141" s="62">
        <v>15</v>
      </c>
      <c r="F141" s="61" t="str">
        <f t="shared" ca="1" si="34"/>
        <v>E</v>
      </c>
      <c r="G141" s="63">
        <v>45</v>
      </c>
      <c r="H141" s="61" t="str">
        <f t="shared" ca="1" si="35"/>
        <v>E</v>
      </c>
      <c r="I141" s="62">
        <v>21</v>
      </c>
      <c r="J141" s="61" t="str">
        <f t="shared" ca="1" si="36"/>
        <v>E</v>
      </c>
      <c r="K141" s="62">
        <v>20</v>
      </c>
      <c r="L141" s="61" t="str">
        <f t="shared" ca="1" si="37"/>
        <v>E</v>
      </c>
      <c r="M141" s="63">
        <v>44</v>
      </c>
      <c r="N141" s="61" t="str">
        <f t="shared" ca="1" si="32"/>
        <v>E</v>
      </c>
      <c r="O141" s="62">
        <v>18</v>
      </c>
      <c r="P141" s="64" t="str">
        <f t="shared" ca="1" si="38"/>
        <v>E</v>
      </c>
      <c r="Q141" s="60">
        <v>55</v>
      </c>
      <c r="R141" s="61" t="str">
        <f t="shared" ca="1" si="39"/>
        <v>E</v>
      </c>
      <c r="S141" s="62">
        <v>20</v>
      </c>
      <c r="T141" s="64" t="str">
        <f t="shared" ca="1" si="40"/>
        <v>E</v>
      </c>
      <c r="U141" s="60">
        <v>50</v>
      </c>
      <c r="V141" s="61" t="str">
        <f t="shared" ca="1" si="41"/>
        <v>E</v>
      </c>
      <c r="W141" s="62">
        <v>18</v>
      </c>
      <c r="X141" s="64" t="str">
        <f t="shared" ca="1" si="42"/>
        <v>E</v>
      </c>
      <c r="Y141" s="62">
        <v>17</v>
      </c>
      <c r="Z141" s="64" t="str">
        <f t="shared" ca="1" si="43"/>
        <v>E</v>
      </c>
      <c r="AA141" s="60">
        <v>52</v>
      </c>
      <c r="AB141" s="61" t="str">
        <f t="shared" ca="1" si="44"/>
        <v>E</v>
      </c>
      <c r="AC141" s="62">
        <v>21</v>
      </c>
      <c r="AD141" s="61" t="str">
        <f t="shared" ca="1" si="45"/>
        <v>E</v>
      </c>
      <c r="AE141" s="62">
        <v>39</v>
      </c>
      <c r="AF141" s="64" t="str">
        <f t="shared" ca="1" si="46"/>
        <v>E</v>
      </c>
      <c r="AG141" s="66">
        <f>IF(OR(AND(C141&gt;=31,C141&lt;40),AND(G141&gt;=31,G141&lt;40),AND(M141&gt;=31,M141&lt;40),AND(Q141&gt;=31,Q141&lt;40),AND(U141&gt;=31,U141&lt;40),AND(AA141&gt;=31,AA141&lt;40)),IF(AND(OR(COUNTIF(C141:AF141,"=31")&gt;=1,COUNTIF(C141:AF141,"=32")&gt;=1,COUNTIF(C141:AF141,"=33")&gt;=1,COUNTIF(C141:AF141,"=34")&gt;=1,COUNTIF(C141:AF141,"=35")&gt;=1,COUNTIF(C141:AF141,"=36")&gt;=1 ),COUNTIF(C141:AF141,"")=0,COUNTIF(C141:AF141," ")=0,COUNTIF(C141:AF141,"F")=1),CONCATENATE(SUM(EXTRACTNUMBER(C141),EXTRACTNUMBER(E141),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EXTRACTNUMBER(AC141),EXTRACTNUMBER(AE141)),"*"),IF(AND(COUNTIF(C141:AF141,"=34")&gt;=1,COUNTIF(C141:AF141,"=35")&gt;=1,COUNTIF(C141:AF141,"f")=2,COUNTIF(C141:AF141,"")=0,COUNTIF(C141:AF141,"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EXTRACTNUMBER(AC141),EXTRACTNUMBER(AE141)),"*"),IF(AND(COUNTIF(C141:AF141,"=36")&gt;=2,COUNTIF(C141:AF141,"f")=2,COUNTIF(C141:AF141,"")=0,COUNTIF(C141:AF141," ")=0),CONCATENATE(SUM(EXTRACTNUMBER(C141),EXTRACTNUMBER(E141),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EXTRACTNUMBER(AC141),EXTRACTNUMBER(AE141)),"*"),SUM(EXTRACTNUMBER(C141),EXTRACTNUMBER(E141),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EXTRACTNUMBER(AC141),EXTRACTNUMBER(AE141))))),SUM(EXTRACTNUMBER(C141),EXTRACTNUMBER(E141),
EXTRACTNUMBER(G141),EXTRACTNUMBER(I141),
EXTRACTNUMBER(K141),EXTRACTNUMBER(M141),
EXTRACTNUMBER(O141),EXTRACTNUMBER(Q141),
EXTRACTNUMBER(S141),EXTRACTNUMBER(U141),
EXTRACTNUMBER(W141),EXTRACTNUMBER(Y141),EXTRACTNUMBER(AA141),
EXTRACTNUMBER(AC141),EXTRACTNUMBER(AE141)))</f>
        <v>448</v>
      </c>
      <c r="AH141" s="38" t="str">
        <f t="shared" ca="1" si="47"/>
        <v>FAIL</v>
      </c>
      <c r="AI141" s="28" t="str">
        <f>spellnumber(EXTRACTnUMBER_TOT(AG141))</f>
        <v xml:space="preserve">Four Hundred Forty Eight </v>
      </c>
    </row>
    <row r="142" spans="1:35" ht="15" customHeight="1">
      <c r="A142" s="58">
        <v>223342</v>
      </c>
      <c r="B142" s="32" t="s">
        <v>300</v>
      </c>
      <c r="C142" s="60">
        <v>25</v>
      </c>
      <c r="D142" s="61" t="str">
        <f t="shared" ca="1" si="33"/>
        <v>F</v>
      </c>
      <c r="E142" s="62">
        <v>15</v>
      </c>
      <c r="F142" s="61" t="str">
        <f t="shared" ca="1" si="34"/>
        <v>E</v>
      </c>
      <c r="G142" s="63">
        <v>40</v>
      </c>
      <c r="H142" s="61" t="str">
        <f t="shared" ca="1" si="35"/>
        <v>E</v>
      </c>
      <c r="I142" s="62">
        <v>21</v>
      </c>
      <c r="J142" s="61" t="str">
        <f t="shared" ca="1" si="36"/>
        <v>E</v>
      </c>
      <c r="K142" s="62">
        <v>20</v>
      </c>
      <c r="L142" s="61" t="str">
        <f t="shared" ca="1" si="37"/>
        <v>E</v>
      </c>
      <c r="M142" s="63">
        <v>65</v>
      </c>
      <c r="N142" s="61" t="str">
        <f t="shared" ca="1" si="32"/>
        <v>E</v>
      </c>
      <c r="O142" s="62">
        <v>20</v>
      </c>
      <c r="P142" s="64" t="str">
        <f t="shared" ca="1" si="38"/>
        <v>E</v>
      </c>
      <c r="Q142" s="60">
        <v>59</v>
      </c>
      <c r="R142" s="61" t="str">
        <f t="shared" ca="1" si="39"/>
        <v>E</v>
      </c>
      <c r="S142" s="62">
        <v>20</v>
      </c>
      <c r="T142" s="64" t="str">
        <f t="shared" ca="1" si="40"/>
        <v>E</v>
      </c>
      <c r="U142" s="60">
        <v>47</v>
      </c>
      <c r="V142" s="61" t="str">
        <f t="shared" ca="1" si="41"/>
        <v>E</v>
      </c>
      <c r="W142" s="62">
        <v>19</v>
      </c>
      <c r="X142" s="64" t="str">
        <f t="shared" ca="1" si="42"/>
        <v>E</v>
      </c>
      <c r="Y142" s="62">
        <v>18</v>
      </c>
      <c r="Z142" s="64" t="str">
        <f t="shared" ca="1" si="43"/>
        <v>E</v>
      </c>
      <c r="AA142" s="60">
        <v>51</v>
      </c>
      <c r="AB142" s="61" t="str">
        <f t="shared" ca="1" si="44"/>
        <v>E</v>
      </c>
      <c r="AC142" s="62">
        <v>23</v>
      </c>
      <c r="AD142" s="61" t="str">
        <f t="shared" ca="1" si="45"/>
        <v>E</v>
      </c>
      <c r="AE142" s="62">
        <v>41</v>
      </c>
      <c r="AF142" s="64" t="str">
        <f t="shared" ca="1" si="46"/>
        <v>E</v>
      </c>
      <c r="AG142" s="66">
        <f>IF(OR(AND(C142&gt;=31,C142&lt;40),AND(G142&gt;=31,G142&lt;40),AND(M142&gt;=31,M142&lt;40),AND(Q142&gt;=31,Q142&lt;40),AND(U142&gt;=31,U142&lt;40),AND(AA142&gt;=31,AA142&lt;40)),IF(AND(OR(COUNTIF(C142:AF142,"=31")&gt;=1,COUNTIF(C142:AF142,"=32")&gt;=1,COUNTIF(C142:AF142,"=33")&gt;=1,COUNTIF(C142:AF142,"=34")&gt;=1,COUNTIF(C142:AF142,"=35")&gt;=1,COUNTIF(C142:AF142,"=36")&gt;=1 ),COUNTIF(C142:AF142,"")=0,COUNTIF(C142:AF142," ")=0,COUNTIF(C142:AF142,"F")=1),CONCATENATE(SUM(EXTRACTNUMBER(C142),EXTRACTNUMBER(E142),
EXTRACTNUMBER(G142),EXTRACTNUMBER(I142),
EXTRACTNUMBER(K142),EXTRACTNUMBER(M142),
EXTRACTNUMBER(O142),EXTRACTNUMBER(Q142),
EXTRACTNUMBER(S142),EXTRACTNUMBER(U142),
EXTRACTNUMBER(W142),EXTRACTNUMBER(Y142),EXTRACTNUMBER(AA142),
EXTRACTNUMBER(AC142),EXTRACTNUMBER(AE142)),"*"),IF(AND(COUNTIF(C142:AF142,"=34")&gt;=1,COUNTIF(C142:AF142,"=35")&gt;=1,COUNTIF(C142:AF142,"f")=2,COUNTIF(C142:AF142,"")=0,COUNTIF(C142:AF142," ")=0),CONCATENATE(SUM(EXTRACTNUMBER(C142),EXTRACTNUMBER(E142),
EXTRACTNUMBER(G142),EXTRACTNUMBER(I142),
EXTRACTNUMBER(K142),EXTRACTNUMBER(M142),
EXTRACTNUMBER(O142),EXTRACTNUMBER(Q142),
EXTRACTNUMBER(S142),EXTRACTNUMBER(U142),
EXTRACTNUMBER(W142),EXTRACTNUMBER(Y142),EXTRACTNUMBER(AA142),
EXTRACTNUMBER(AC142),EXTRACTNUMBER(AE142)),"*"),IF(AND(COUNTIF(C142:AF142,"=36")&gt;=2,COUNTIF(C142:AF142,"f")=2,COUNTIF(C142:AF142,"")=0,COUNTIF(C142:AF142," ")=0),CONCATENATE(SUM(EXTRACTNUMBER(C142),EXTRACTNUMBER(E142),
EXTRACTNUMBER(G142),EXTRACTNUMBER(I142),
EXTRACTNUMBER(K142),EXTRACTNUMBER(M142),
EXTRACTNUMBER(O142),EXTRACTNUMBER(Q142),
EXTRACTNUMBER(S142),EXTRACTNUMBER(U142),
EXTRACTNUMBER(W142),EXTRACTNUMBER(Y142),EXTRACTNUMBER(AA142),
EXTRACTNUMBER(AC142),EXTRACTNUMBER(AE142)),"*"),SUM(EXTRACTNUMBER(C142),EXTRACTNUMBER(E142),
EXTRACTNUMBER(G142),EXTRACTNUMBER(I142),
EXTRACTNUMBER(K142),EXTRACTNUMBER(M142),
EXTRACTNUMBER(O142),EXTRACTNUMBER(Q142),
EXTRACTNUMBER(S142),EXTRACTNUMBER(U142),
EXTRACTNUMBER(W142),EXTRACTNUMBER(Y142),EXTRACTNUMBER(AA142),
EXTRACTNUMBER(AC142),EXTRACTNUMBER(AE142))))),SUM(EXTRACTNUMBER(C142),EXTRACTNUMBER(E142),
EXTRACTNUMBER(G142),EXTRACTNUMBER(I142),
EXTRACTNUMBER(K142),EXTRACTNUMBER(M142),
EXTRACTNUMBER(O142),EXTRACTNUMBER(Q142),
EXTRACTNUMBER(S142),EXTRACTNUMBER(U142),
EXTRACTNUMBER(W142),EXTRACTNUMBER(Y142),EXTRACTNUMBER(AA142),
EXTRACTNUMBER(AC142),EXTRACTNUMBER(AE142)))</f>
        <v>484</v>
      </c>
      <c r="AH142" s="38" t="str">
        <f t="shared" ca="1" si="47"/>
        <v>FAIL</v>
      </c>
      <c r="AI142" s="28" t="str">
        <f>spellnumber(EXTRACTnUMBER_TOT(AG142))</f>
        <v xml:space="preserve">Four Hundred Eighty Four </v>
      </c>
    </row>
    <row r="143" spans="1:35" ht="15" customHeight="1">
      <c r="A143" s="58">
        <v>223343</v>
      </c>
      <c r="B143" s="32" t="s">
        <v>301</v>
      </c>
      <c r="C143" s="60">
        <v>25</v>
      </c>
      <c r="D143" s="61" t="str">
        <f t="shared" ca="1" si="33"/>
        <v>F</v>
      </c>
      <c r="E143" s="62">
        <v>15</v>
      </c>
      <c r="F143" s="61" t="str">
        <f t="shared" ca="1" si="34"/>
        <v>E</v>
      </c>
      <c r="G143" s="63">
        <v>46</v>
      </c>
      <c r="H143" s="61" t="str">
        <f t="shared" ca="1" si="35"/>
        <v>E</v>
      </c>
      <c r="I143" s="62">
        <v>19</v>
      </c>
      <c r="J143" s="61" t="str">
        <f t="shared" ca="1" si="36"/>
        <v>E</v>
      </c>
      <c r="K143" s="62">
        <v>18</v>
      </c>
      <c r="L143" s="61" t="str">
        <f t="shared" ca="1" si="37"/>
        <v>E</v>
      </c>
      <c r="M143" s="63">
        <v>42</v>
      </c>
      <c r="N143" s="61" t="str">
        <f t="shared" ca="1" si="32"/>
        <v>E</v>
      </c>
      <c r="O143" s="62">
        <v>16</v>
      </c>
      <c r="P143" s="64" t="str">
        <f t="shared" ca="1" si="38"/>
        <v>E</v>
      </c>
      <c r="Q143" s="60">
        <v>44</v>
      </c>
      <c r="R143" s="61" t="str">
        <f t="shared" ca="1" si="39"/>
        <v>E</v>
      </c>
      <c r="S143" s="62">
        <v>20</v>
      </c>
      <c r="T143" s="64" t="str">
        <f t="shared" ca="1" si="40"/>
        <v>E</v>
      </c>
      <c r="U143" s="60">
        <v>23</v>
      </c>
      <c r="V143" s="61" t="str">
        <f t="shared" ca="1" si="41"/>
        <v>F</v>
      </c>
      <c r="W143" s="62">
        <v>21</v>
      </c>
      <c r="X143" s="64" t="str">
        <f t="shared" ca="1" si="42"/>
        <v>E</v>
      </c>
      <c r="Y143" s="62">
        <v>21</v>
      </c>
      <c r="Z143" s="64" t="str">
        <f t="shared" ca="1" si="43"/>
        <v>E</v>
      </c>
      <c r="AA143" s="60">
        <v>28</v>
      </c>
      <c r="AB143" s="61" t="str">
        <f t="shared" ca="1" si="44"/>
        <v>F</v>
      </c>
      <c r="AC143" s="62">
        <v>20</v>
      </c>
      <c r="AD143" s="61" t="str">
        <f t="shared" ca="1" si="45"/>
        <v>E</v>
      </c>
      <c r="AE143" s="62">
        <v>39</v>
      </c>
      <c r="AF143" s="64" t="str">
        <f t="shared" ca="1" si="46"/>
        <v>E</v>
      </c>
      <c r="AG143" s="66">
        <f>IF(OR(AND(C143&gt;=31,C143&lt;40),AND(G143&gt;=31,G143&lt;40),AND(M143&gt;=31,M143&lt;40),AND(Q143&gt;=31,Q143&lt;40),AND(U143&gt;=31,U143&lt;40),AND(AA143&gt;=31,AA143&lt;40)),IF(AND(OR(COUNTIF(C143:AF143,"=31")&gt;=1,COUNTIF(C143:AF143,"=32")&gt;=1,COUNTIF(C143:AF143,"=33")&gt;=1,COUNTIF(C143:AF143,"=34")&gt;=1,COUNTIF(C143:AF143,"=35")&gt;=1,COUNTIF(C143:AF143,"=36")&gt;=1 ),COUNTIF(C143:AF143,"")=0,COUNTIF(C143:AF143," ")=0,COUNTIF(C143:AF143,"F")=1),CONCATENATE(SUM(EXTRACTNUMBER(C143),EXTRACTNUMBER(E143),
EXTRACTNUMBER(G143),EXTRACTNUMBER(I143),
EXTRACTNUMBER(K143),EXTRACTNUMBER(M143),
EXTRACTNUMBER(O143),EXTRACTNUMBER(Q143),
EXTRACTNUMBER(S143),EXTRACTNUMBER(U143),
EXTRACTNUMBER(W143),EXTRACTNUMBER(Y143),EXTRACTNUMBER(AA143),
EXTRACTNUMBER(AC143),EXTRACTNUMBER(AE143)),"*"),IF(AND(COUNTIF(C143:AF143,"=34")&gt;=1,COUNTIF(C143:AF143,"=35")&gt;=1,COUNTIF(C143:AF143,"f")=2,COUNTIF(C143:AF143,"")=0,COUNTIF(C143:AF143," ")=0),CONCATENATE(SUM(EXTRACTNUMBER(C143),EXTRACTNUMBER(E143),
EXTRACTNUMBER(G143),EXTRACTNUMBER(I143),
EXTRACTNUMBER(K143),EXTRACTNUMBER(M143),
EXTRACTNUMBER(O143),EXTRACTNUMBER(Q143),
EXTRACTNUMBER(S143),EXTRACTNUMBER(U143),
EXTRACTNUMBER(W143),EXTRACTNUMBER(Y143),EXTRACTNUMBER(AA143),
EXTRACTNUMBER(AC143),EXTRACTNUMBER(AE143)),"*"),IF(AND(COUNTIF(C143:AF143,"=36")&gt;=2,COUNTIF(C143:AF143,"f")=2,COUNTIF(C143:AF143,"")=0,COUNTIF(C143:AF143," ")=0),CONCATENATE(SUM(EXTRACTNUMBER(C143),EXTRACTNUMBER(E143),
EXTRACTNUMBER(G143),EXTRACTNUMBER(I143),
EXTRACTNUMBER(K143),EXTRACTNUMBER(M143),
EXTRACTNUMBER(O143),EXTRACTNUMBER(Q143),
EXTRACTNUMBER(S143),EXTRACTNUMBER(U143),
EXTRACTNUMBER(W143),EXTRACTNUMBER(Y143),EXTRACTNUMBER(AA143),
EXTRACTNUMBER(AC143),EXTRACTNUMBER(AE143)),"*"),SUM(EXTRACTNUMBER(C143),EXTRACTNUMBER(E143),
EXTRACTNUMBER(G143),EXTRACTNUMBER(I143),
EXTRACTNUMBER(K143),EXTRACTNUMBER(M143),
EXTRACTNUMBER(O143),EXTRACTNUMBER(Q143),
EXTRACTNUMBER(S143),EXTRACTNUMBER(U143),
EXTRACTNUMBER(W143),EXTRACTNUMBER(Y143),EXTRACTNUMBER(AA143),
EXTRACTNUMBER(AC143),EXTRACTNUMBER(AE143))))),SUM(EXTRACTNUMBER(C143),EXTRACTNUMBER(E143),
EXTRACTNUMBER(G143),EXTRACTNUMBER(I143),
EXTRACTNUMBER(K143),EXTRACTNUMBER(M143),
EXTRACTNUMBER(O143),EXTRACTNUMBER(Q143),
EXTRACTNUMBER(S143),EXTRACTNUMBER(U143),
EXTRACTNUMBER(W143),EXTRACTNUMBER(Y143),EXTRACTNUMBER(AA143),
EXTRACTNUMBER(AC143),EXTRACTNUMBER(AE143)))</f>
        <v>397</v>
      </c>
      <c r="AH143" s="38" t="str">
        <f t="shared" ca="1" si="47"/>
        <v>FAIL</v>
      </c>
      <c r="AI143" s="28" t="str">
        <f>spellnumber(EXTRACTnUMBER_TOT(AG143))</f>
        <v xml:space="preserve">Three Hundred NinetySeven </v>
      </c>
    </row>
    <row r="144" spans="1:35" ht="15" customHeight="1">
      <c r="A144" s="58">
        <v>223344</v>
      </c>
      <c r="B144" s="32" t="s">
        <v>302</v>
      </c>
      <c r="C144" s="60">
        <v>21</v>
      </c>
      <c r="D144" s="61" t="str">
        <f t="shared" ca="1" si="33"/>
        <v>F</v>
      </c>
      <c r="E144" s="62">
        <v>18</v>
      </c>
      <c r="F144" s="61" t="str">
        <f t="shared" ca="1" si="34"/>
        <v>E</v>
      </c>
      <c r="G144" s="63">
        <v>58</v>
      </c>
      <c r="H144" s="61" t="str">
        <f t="shared" ca="1" si="35"/>
        <v>E</v>
      </c>
      <c r="I144" s="62">
        <v>24</v>
      </c>
      <c r="J144" s="61" t="str">
        <f t="shared" ca="1" si="36"/>
        <v>E</v>
      </c>
      <c r="K144" s="62">
        <v>18</v>
      </c>
      <c r="L144" s="61" t="str">
        <f t="shared" ca="1" si="37"/>
        <v>E</v>
      </c>
      <c r="M144" s="63">
        <v>72</v>
      </c>
      <c r="N144" s="61" t="str">
        <f t="shared" ca="1" si="32"/>
        <v>E</v>
      </c>
      <c r="O144" s="62">
        <v>15</v>
      </c>
      <c r="P144" s="64" t="str">
        <f t="shared" ca="1" si="38"/>
        <v>E</v>
      </c>
      <c r="Q144" s="60">
        <v>52</v>
      </c>
      <c r="R144" s="61" t="str">
        <f t="shared" ca="1" si="39"/>
        <v>E</v>
      </c>
      <c r="S144" s="62">
        <v>20</v>
      </c>
      <c r="T144" s="64" t="str">
        <f t="shared" ca="1" si="40"/>
        <v>E</v>
      </c>
      <c r="U144" s="60">
        <v>47</v>
      </c>
      <c r="V144" s="61" t="str">
        <f t="shared" ca="1" si="41"/>
        <v>E</v>
      </c>
      <c r="W144" s="62">
        <v>20</v>
      </c>
      <c r="X144" s="64" t="str">
        <f t="shared" ca="1" si="42"/>
        <v>E</v>
      </c>
      <c r="Y144" s="62">
        <v>20</v>
      </c>
      <c r="Z144" s="64" t="str">
        <f t="shared" ca="1" si="43"/>
        <v>E</v>
      </c>
      <c r="AA144" s="60">
        <v>53</v>
      </c>
      <c r="AB144" s="61" t="str">
        <f t="shared" ca="1" si="44"/>
        <v>E</v>
      </c>
      <c r="AC144" s="62">
        <v>21</v>
      </c>
      <c r="AD144" s="61" t="str">
        <f t="shared" ca="1" si="45"/>
        <v>E</v>
      </c>
      <c r="AE144" s="62">
        <v>40</v>
      </c>
      <c r="AF144" s="64" t="str">
        <f t="shared" ca="1" si="46"/>
        <v>E</v>
      </c>
      <c r="AG144" s="66">
        <f>IF(OR(AND(C144&gt;=31,C144&lt;40),AND(G144&gt;=31,G144&lt;40),AND(M144&gt;=31,M144&lt;40),AND(Q144&gt;=31,Q144&lt;40),AND(U144&gt;=31,U144&lt;40),AND(AA144&gt;=31,AA144&lt;40)),IF(AND(OR(COUNTIF(C144:AF144,"=31")&gt;=1,COUNTIF(C144:AF144,"=32")&gt;=1,COUNTIF(C144:AF144,"=33")&gt;=1,COUNTIF(C144:AF144,"=34")&gt;=1,COUNTIF(C144:AF144,"=35")&gt;=1,COUNTIF(C144:AF144,"=36")&gt;=1 ),COUNTIF(C144:AF144,"")=0,COUNTIF(C144:AF144," ")=0,COUNTIF(C144:AF144,"F")=1),CONCATENATE(SUM(EXTRACTNUMBER(C144),EXTRACTNUMBER(E144),
EXTRACTNUMBER(G144),EXTRACTNUMBER(I144),
EXTRACTNUMBER(K144),EXTRACTNUMBER(M144),
EXTRACTNUMBER(O144),EXTRACTNUMBER(Q144),
EXTRACTNUMBER(S144),EXTRACTNUMBER(U144),
EXTRACTNUMBER(W144),EXTRACTNUMBER(Y144),EXTRACTNUMBER(AA144),
EXTRACTNUMBER(AC144),EXTRACTNUMBER(AE144)),"*"),IF(AND(COUNTIF(C144:AF144,"=34")&gt;=1,COUNTIF(C144:AF144,"=35")&gt;=1,COUNTIF(C144:AF144,"f")=2,COUNTIF(C144:AF144,"")=0,COUNTIF(C144:AF144," ")=0),CONCATENATE(SUM(EXTRACTNUMBER(C144),EXTRACTNUMBER(E144),
EXTRACTNUMBER(G144),EXTRACTNUMBER(I144),
EXTRACTNUMBER(K144),EXTRACTNUMBER(M144),
EXTRACTNUMBER(O144),EXTRACTNUMBER(Q144),
EXTRACTNUMBER(S144),EXTRACTNUMBER(U144),
EXTRACTNUMBER(W144),EXTRACTNUMBER(Y144),EXTRACTNUMBER(AA144),
EXTRACTNUMBER(AC144),EXTRACTNUMBER(AE144)),"*"),IF(AND(COUNTIF(C144:AF144,"=36")&gt;=2,COUNTIF(C144:AF144,"f")=2,COUNTIF(C144:AF144,"")=0,COUNTIF(C144:AF144," ")=0),CONCATENATE(SUM(EXTRACTNUMBER(C144),EXTRACTNUMBER(E144),
EXTRACTNUMBER(G144),EXTRACTNUMBER(I144),
EXTRACTNUMBER(K144),EXTRACTNUMBER(M144),
EXTRACTNUMBER(O144),EXTRACTNUMBER(Q144),
EXTRACTNUMBER(S144),EXTRACTNUMBER(U144),
EXTRACTNUMBER(W144),EXTRACTNUMBER(Y144),EXTRACTNUMBER(AA144),
EXTRACTNUMBER(AC144),EXTRACTNUMBER(AE144)),"*"),SUM(EXTRACTNUMBER(C144),EXTRACTNUMBER(E144),
EXTRACTNUMBER(G144),EXTRACTNUMBER(I144),
EXTRACTNUMBER(K144),EXTRACTNUMBER(M144),
EXTRACTNUMBER(O144),EXTRACTNUMBER(Q144),
EXTRACTNUMBER(S144),EXTRACTNUMBER(U144),
EXTRACTNUMBER(W144),EXTRACTNUMBER(Y144),EXTRACTNUMBER(AA144),
EXTRACTNUMBER(AC144),EXTRACTNUMBER(AE144))))),SUM(EXTRACTNUMBER(C144),EXTRACTNUMBER(E144),
EXTRACTNUMBER(G144),EXTRACTNUMBER(I144),
EXTRACTNUMBER(K144),EXTRACTNUMBER(M144),
EXTRACTNUMBER(O144),EXTRACTNUMBER(Q144),
EXTRACTNUMBER(S144),EXTRACTNUMBER(U144),
EXTRACTNUMBER(W144),EXTRACTNUMBER(Y144),EXTRACTNUMBER(AA144),
EXTRACTNUMBER(AC144),EXTRACTNUMBER(AE144)))</f>
        <v>499</v>
      </c>
      <c r="AH144" s="38" t="str">
        <f t="shared" ca="1" si="47"/>
        <v>FAIL</v>
      </c>
      <c r="AI144" s="28" t="str">
        <f>spellnumber(EXTRACTnUMBER_TOT(AG144))</f>
        <v xml:space="preserve">Four Hundred NinetyNine </v>
      </c>
    </row>
    <row r="145" spans="1:35" ht="15" customHeight="1">
      <c r="A145" s="58">
        <v>223345</v>
      </c>
      <c r="B145" s="32" t="s">
        <v>303</v>
      </c>
      <c r="C145" s="60">
        <v>24</v>
      </c>
      <c r="D145" s="61" t="str">
        <f t="shared" ca="1" si="33"/>
        <v>F</v>
      </c>
      <c r="E145" s="62">
        <v>17</v>
      </c>
      <c r="F145" s="61" t="str">
        <f t="shared" ca="1" si="34"/>
        <v>E</v>
      </c>
      <c r="G145" s="63">
        <v>40</v>
      </c>
      <c r="H145" s="61" t="str">
        <f t="shared" ca="1" si="35"/>
        <v>E</v>
      </c>
      <c r="I145" s="62">
        <v>19</v>
      </c>
      <c r="J145" s="61" t="str">
        <f t="shared" ca="1" si="36"/>
        <v>E</v>
      </c>
      <c r="K145" s="62">
        <v>19</v>
      </c>
      <c r="L145" s="61" t="str">
        <f t="shared" ca="1" si="37"/>
        <v>E</v>
      </c>
      <c r="M145" s="63">
        <v>66</v>
      </c>
      <c r="N145" s="61" t="str">
        <f t="shared" ca="1" si="32"/>
        <v>E</v>
      </c>
      <c r="O145" s="62">
        <v>22</v>
      </c>
      <c r="P145" s="64" t="str">
        <f t="shared" ca="1" si="38"/>
        <v>E</v>
      </c>
      <c r="Q145" s="60">
        <v>46</v>
      </c>
      <c r="R145" s="61" t="str">
        <f t="shared" ca="1" si="39"/>
        <v>E</v>
      </c>
      <c r="S145" s="62">
        <v>21</v>
      </c>
      <c r="T145" s="64" t="str">
        <f t="shared" ca="1" si="40"/>
        <v>E</v>
      </c>
      <c r="U145" s="60">
        <v>50</v>
      </c>
      <c r="V145" s="61" t="str">
        <f t="shared" ca="1" si="41"/>
        <v>E</v>
      </c>
      <c r="W145" s="62">
        <v>22</v>
      </c>
      <c r="X145" s="64" t="str">
        <f t="shared" ca="1" si="42"/>
        <v>E</v>
      </c>
      <c r="Y145" s="62">
        <v>22</v>
      </c>
      <c r="Z145" s="64" t="str">
        <f t="shared" ca="1" si="43"/>
        <v>E</v>
      </c>
      <c r="AA145" s="60">
        <v>40</v>
      </c>
      <c r="AB145" s="61" t="str">
        <f t="shared" ca="1" si="44"/>
        <v>E</v>
      </c>
      <c r="AC145" s="62">
        <v>22</v>
      </c>
      <c r="AD145" s="61" t="str">
        <f t="shared" ca="1" si="45"/>
        <v>E</v>
      </c>
      <c r="AE145" s="62">
        <v>40</v>
      </c>
      <c r="AF145" s="64" t="str">
        <f t="shared" ca="1" si="46"/>
        <v>E</v>
      </c>
      <c r="AG145" s="66">
        <f>IF(OR(AND(C145&gt;=31,C145&lt;40),AND(G145&gt;=31,G145&lt;40),AND(M145&gt;=31,M145&lt;40),AND(Q145&gt;=31,Q145&lt;40),AND(U145&gt;=31,U145&lt;40),AND(AA145&gt;=31,AA145&lt;40)),IF(AND(OR(COUNTIF(C145:AF145,"=31")&gt;=1,COUNTIF(C145:AF145,"=32")&gt;=1,COUNTIF(C145:AF145,"=33")&gt;=1,COUNTIF(C145:AF145,"=34")&gt;=1,COUNTIF(C145:AF145,"=35")&gt;=1,COUNTIF(C145:AF145,"=36")&gt;=1 ),COUNTIF(C145:AF145,"")=0,COUNTIF(C145:AF145," ")=0,COUNTIF(C145:AF145,"F")=1),CONCATENATE(SUM(EXTRACTNUMBER(C145),EXTRACTNUMBER(E145),
EXTRACTNUMBER(G145),EXTRACTNUMBER(I145),
EXTRACTNUMBER(K145),EXTRACTNUMBER(M145),
EXTRACTNUMBER(O145),EXTRACTNUMBER(Q145),
EXTRACTNUMBER(S145),EXTRACTNUMBER(U145),
EXTRACTNUMBER(W145),EXTRACTNUMBER(Y145),EXTRACTNUMBER(AA145),
EXTRACTNUMBER(AC145),EXTRACTNUMBER(AE145)),"*"),IF(AND(COUNTIF(C145:AF145,"=34")&gt;=1,COUNTIF(C145:AF145,"=35")&gt;=1,COUNTIF(C145:AF145,"f")=2,COUNTIF(C145:AF145,"")=0,COUNTIF(C145:AF145," ")=0),CONCATENATE(SUM(EXTRACTNUMBER(C145),EXTRACTNUMBER(E145),
EXTRACTNUMBER(G145),EXTRACTNUMBER(I145),
EXTRACTNUMBER(K145),EXTRACTNUMBER(M145),
EXTRACTNUMBER(O145),EXTRACTNUMBER(Q145),
EXTRACTNUMBER(S145),EXTRACTNUMBER(U145),
EXTRACTNUMBER(W145),EXTRACTNUMBER(Y145),EXTRACTNUMBER(AA145),
EXTRACTNUMBER(AC145),EXTRACTNUMBER(AE145)),"*"),IF(AND(COUNTIF(C145:AF145,"=36")&gt;=2,COUNTIF(C145:AF145,"f")=2,COUNTIF(C145:AF145,"")=0,COUNTIF(C145:AF145," ")=0),CONCATENATE(SUM(EXTRACTNUMBER(C145),EXTRACTNUMBER(E145),
EXTRACTNUMBER(G145),EXTRACTNUMBER(I145),
EXTRACTNUMBER(K145),EXTRACTNUMBER(M145),
EXTRACTNUMBER(O145),EXTRACTNUMBER(Q145),
EXTRACTNUMBER(S145),EXTRACTNUMBER(U145),
EXTRACTNUMBER(W145),EXTRACTNUMBER(Y145),EXTRACTNUMBER(AA145),
EXTRACTNUMBER(AC145),EXTRACTNUMBER(AE145)),"*"),SUM(EXTRACTNUMBER(C145),EXTRACTNUMBER(E145),
EXTRACTNUMBER(G145),EXTRACTNUMBER(I145),
EXTRACTNUMBER(K145),EXTRACTNUMBER(M145),
EXTRACTNUMBER(O145),EXTRACTNUMBER(Q145),
EXTRACTNUMBER(S145),EXTRACTNUMBER(U145),
EXTRACTNUMBER(W145),EXTRACTNUMBER(Y145),EXTRACTNUMBER(AA145),
EXTRACTNUMBER(AC145),EXTRACTNUMBER(AE145))))),SUM(EXTRACTNUMBER(C145),EXTRACTNUMBER(E145),
EXTRACTNUMBER(G145),EXTRACTNUMBER(I145),
EXTRACTNUMBER(K145),EXTRACTNUMBER(M145),
EXTRACTNUMBER(O145),EXTRACTNUMBER(Q145),
EXTRACTNUMBER(S145),EXTRACTNUMBER(U145),
EXTRACTNUMBER(W145),EXTRACTNUMBER(Y145),EXTRACTNUMBER(AA145),
EXTRACTNUMBER(AC145),EXTRACTNUMBER(AE145)))</f>
        <v>470</v>
      </c>
      <c r="AH145" s="38" t="str">
        <f t="shared" ca="1" si="47"/>
        <v>FAIL</v>
      </c>
      <c r="AI145" s="28" t="str">
        <f>spellnumber(EXTRACTnUMBER_TOT(AG145))</f>
        <v xml:space="preserve">Four Hundred Seventy  </v>
      </c>
    </row>
    <row r="146" spans="1:35" ht="15" customHeight="1">
      <c r="A146" s="58">
        <v>223346</v>
      </c>
      <c r="B146" s="32" t="s">
        <v>304</v>
      </c>
      <c r="C146" s="60">
        <v>4</v>
      </c>
      <c r="D146" s="61" t="str">
        <f t="shared" ca="1" si="33"/>
        <v>F</v>
      </c>
      <c r="E146" s="62">
        <v>12</v>
      </c>
      <c r="F146" s="61" t="str">
        <f t="shared" ca="1" si="34"/>
        <v>E</v>
      </c>
      <c r="G146" s="63">
        <v>51</v>
      </c>
      <c r="H146" s="61" t="str">
        <f t="shared" ca="1" si="35"/>
        <v>E</v>
      </c>
      <c r="I146" s="62">
        <v>17</v>
      </c>
      <c r="J146" s="61" t="str">
        <f t="shared" ca="1" si="36"/>
        <v>E</v>
      </c>
      <c r="K146" s="62">
        <v>19</v>
      </c>
      <c r="L146" s="61" t="str">
        <f t="shared" ca="1" si="37"/>
        <v>E</v>
      </c>
      <c r="M146" s="63">
        <v>40</v>
      </c>
      <c r="N146" s="61" t="str">
        <f t="shared" ca="1" si="32"/>
        <v>E</v>
      </c>
      <c r="O146" s="62">
        <v>12</v>
      </c>
      <c r="P146" s="64" t="str">
        <f t="shared" ca="1" si="38"/>
        <v>E</v>
      </c>
      <c r="Q146" s="60">
        <v>40</v>
      </c>
      <c r="R146" s="61" t="str">
        <f t="shared" ca="1" si="39"/>
        <v>E</v>
      </c>
      <c r="S146" s="62">
        <v>20</v>
      </c>
      <c r="T146" s="64" t="str">
        <f t="shared" ca="1" si="40"/>
        <v>E</v>
      </c>
      <c r="U146" s="60">
        <v>14</v>
      </c>
      <c r="V146" s="61" t="str">
        <f t="shared" ca="1" si="41"/>
        <v>F</v>
      </c>
      <c r="W146" s="62">
        <v>16</v>
      </c>
      <c r="X146" s="64" t="str">
        <f t="shared" ca="1" si="42"/>
        <v>E</v>
      </c>
      <c r="Y146" s="62">
        <v>17</v>
      </c>
      <c r="Z146" s="64" t="str">
        <f t="shared" ca="1" si="43"/>
        <v>E</v>
      </c>
      <c r="AA146" s="60">
        <v>28</v>
      </c>
      <c r="AB146" s="61" t="str">
        <f t="shared" ca="1" si="44"/>
        <v>F</v>
      </c>
      <c r="AC146" s="62">
        <v>15</v>
      </c>
      <c r="AD146" s="61" t="str">
        <f t="shared" ca="1" si="45"/>
        <v>E</v>
      </c>
      <c r="AE146" s="62">
        <v>33</v>
      </c>
      <c r="AF146" s="64" t="str">
        <f t="shared" ca="1" si="46"/>
        <v>E</v>
      </c>
      <c r="AG146" s="66">
        <f>IF(OR(AND(C146&gt;=31,C146&lt;40),AND(G146&gt;=31,G146&lt;40),AND(M146&gt;=31,M146&lt;40),AND(Q146&gt;=31,Q146&lt;40),AND(U146&gt;=31,U146&lt;40),AND(AA146&gt;=31,AA146&lt;40)),IF(AND(OR(COUNTIF(C146:AF146,"=31")&gt;=1,COUNTIF(C146:AF146,"=32")&gt;=1,COUNTIF(C146:AF146,"=33")&gt;=1,COUNTIF(C146:AF146,"=34")&gt;=1,COUNTIF(C146:AF146,"=35")&gt;=1,COUNTIF(C146:AF146,"=36")&gt;=1 ),COUNTIF(C146:AF146,"")=0,COUNTIF(C146:AF146," ")=0,COUNTIF(C146:AF146,"F")=1),CONCATENATE(SUM(EXTRACTNUMBER(C146),EXTRACTNUMBER(E146),
EXTRACTNUMBER(G146),EXTRACTNUMBER(I146),
EXTRACTNUMBER(K146),EXTRACTNUMBER(M146),
EXTRACTNUMBER(O146),EXTRACTNUMBER(Q146),
EXTRACTNUMBER(S146),EXTRACTNUMBER(U146),
EXTRACTNUMBER(W146),EXTRACTNUMBER(Y146),EXTRACTNUMBER(AA146),
EXTRACTNUMBER(AC146),EXTRACTNUMBER(AE146)),"*"),IF(AND(COUNTIF(C146:AF146,"=34")&gt;=1,COUNTIF(C146:AF146,"=35")&gt;=1,COUNTIF(C146:AF146,"f")=2,COUNTIF(C146:AF146,"")=0,COUNTIF(C146:AF146," ")=0),CONCATENATE(SUM(EXTRACTNUMBER(C146),EXTRACTNUMBER(E146),
EXTRACTNUMBER(G146),EXTRACTNUMBER(I146),
EXTRACTNUMBER(K146),EXTRACTNUMBER(M146),
EXTRACTNUMBER(O146),EXTRACTNUMBER(Q146),
EXTRACTNUMBER(S146),EXTRACTNUMBER(U146),
EXTRACTNUMBER(W146),EXTRACTNUMBER(Y146),EXTRACTNUMBER(AA146),
EXTRACTNUMBER(AC146),EXTRACTNUMBER(AE146)),"*"),IF(AND(COUNTIF(C146:AF146,"=36")&gt;=2,COUNTIF(C146:AF146,"f")=2,COUNTIF(C146:AF146,"")=0,COUNTIF(C146:AF146," ")=0),CONCATENATE(SUM(EXTRACTNUMBER(C146),EXTRACTNUMBER(E146),
EXTRACTNUMBER(G146),EXTRACTNUMBER(I146),
EXTRACTNUMBER(K146),EXTRACTNUMBER(M146),
EXTRACTNUMBER(O146),EXTRACTNUMBER(Q146),
EXTRACTNUMBER(S146),EXTRACTNUMBER(U146),
EXTRACTNUMBER(W146),EXTRACTNUMBER(Y146),EXTRACTNUMBER(AA146),
EXTRACTNUMBER(AC146),EXTRACTNUMBER(AE146)),"*"),SUM(EXTRACTNUMBER(C146),EXTRACTNUMBER(E146),
EXTRACTNUMBER(G146),EXTRACTNUMBER(I146),
EXTRACTNUMBER(K146),EXTRACTNUMBER(M146),
EXTRACTNUMBER(O146),EXTRACTNUMBER(Q146),
EXTRACTNUMBER(S146),EXTRACTNUMBER(U146),
EXTRACTNUMBER(W146),EXTRACTNUMBER(Y146),EXTRACTNUMBER(AA146),
EXTRACTNUMBER(AC146),EXTRACTNUMBER(AE146))))),SUM(EXTRACTNUMBER(C146),EXTRACTNUMBER(E146),
EXTRACTNUMBER(G146),EXTRACTNUMBER(I146),
EXTRACTNUMBER(K146),EXTRACTNUMBER(M146),
EXTRACTNUMBER(O146),EXTRACTNUMBER(Q146),
EXTRACTNUMBER(S146),EXTRACTNUMBER(U146),
EXTRACTNUMBER(W146),EXTRACTNUMBER(Y146),EXTRACTNUMBER(AA146),
EXTRACTNUMBER(AC146),EXTRACTNUMBER(AE146)))</f>
        <v>338</v>
      </c>
      <c r="AH146" s="38" t="str">
        <f t="shared" ca="1" si="47"/>
        <v>FAIL</v>
      </c>
      <c r="AI146" s="28" t="str">
        <f>spellnumber(EXTRACTnUMBER_TOT(AG146))</f>
        <v xml:space="preserve">Three Hundred Thirty Eight </v>
      </c>
    </row>
    <row r="147" spans="1:35" ht="15" customHeight="1">
      <c r="A147" s="59">
        <v>223347</v>
      </c>
      <c r="B147" s="41" t="s">
        <v>23</v>
      </c>
      <c r="C147" s="60" t="s">
        <v>77</v>
      </c>
      <c r="D147" s="61" t="str">
        <f t="shared" si="33"/>
        <v xml:space="preserve"> </v>
      </c>
      <c r="E147" s="62" t="s">
        <v>67</v>
      </c>
      <c r="F147" s="61" t="str">
        <f t="shared" si="34"/>
        <v xml:space="preserve"> </v>
      </c>
      <c r="G147" s="63">
        <v>28</v>
      </c>
      <c r="H147" s="61" t="str">
        <f t="shared" ca="1" si="35"/>
        <v>F</v>
      </c>
      <c r="I147" s="62" t="s">
        <v>70</v>
      </c>
      <c r="J147" s="61" t="str">
        <f t="shared" si="36"/>
        <v xml:space="preserve"> </v>
      </c>
      <c r="K147" s="62" t="s">
        <v>69</v>
      </c>
      <c r="L147" s="61" t="str">
        <f t="shared" si="37"/>
        <v xml:space="preserve"> </v>
      </c>
      <c r="M147" s="63" t="s">
        <v>56</v>
      </c>
      <c r="N147" s="61" t="str">
        <f t="shared" si="32"/>
        <v xml:space="preserve"> </v>
      </c>
      <c r="O147" s="62" t="s">
        <v>69</v>
      </c>
      <c r="P147" s="64" t="str">
        <f t="shared" si="38"/>
        <v xml:space="preserve"> </v>
      </c>
      <c r="Q147" s="60" t="s">
        <v>65</v>
      </c>
      <c r="R147" s="61" t="str">
        <f t="shared" si="39"/>
        <v xml:space="preserve"> </v>
      </c>
      <c r="S147" s="62" t="s">
        <v>71</v>
      </c>
      <c r="T147" s="64" t="str">
        <f t="shared" si="40"/>
        <v xml:space="preserve"> </v>
      </c>
      <c r="U147" s="60" t="s">
        <v>63</v>
      </c>
      <c r="V147" s="61" t="str">
        <f t="shared" si="41"/>
        <v xml:space="preserve"> </v>
      </c>
      <c r="W147" s="62" t="s">
        <v>68</v>
      </c>
      <c r="X147" s="64" t="str">
        <f t="shared" si="42"/>
        <v xml:space="preserve"> </v>
      </c>
      <c r="Y147" s="62" t="s">
        <v>68</v>
      </c>
      <c r="Z147" s="64" t="str">
        <f t="shared" si="43"/>
        <v xml:space="preserve"> </v>
      </c>
      <c r="AA147" s="60">
        <v>40</v>
      </c>
      <c r="AB147" s="61" t="str">
        <f t="shared" ca="1" si="44"/>
        <v>E</v>
      </c>
      <c r="AC147" s="62" t="s">
        <v>69</v>
      </c>
      <c r="AD147" s="61" t="str">
        <f t="shared" si="45"/>
        <v xml:space="preserve"> </v>
      </c>
      <c r="AE147" s="62" t="s">
        <v>97</v>
      </c>
      <c r="AF147" s="64" t="str">
        <f t="shared" si="46"/>
        <v xml:space="preserve"> </v>
      </c>
      <c r="AG147" s="66">
        <f>IF(OR(AND(C147&gt;=31,C147&lt;40),AND(G147&gt;=31,G147&lt;40),AND(M147&gt;=31,M147&lt;40),AND(Q147&gt;=31,Q147&lt;40),AND(U147&gt;=31,U147&lt;40),AND(AA147&gt;=31,AA147&lt;40)),IF(AND(OR(COUNTIF(C147:AF147,"=31")&gt;=1,COUNTIF(C147:AF147,"=32")&gt;=1,COUNTIF(C147:AF147,"=33")&gt;=1,COUNTIF(C147:AF147,"=34")&gt;=1,COUNTIF(C147:AF147,"=35")&gt;=1,COUNTIF(C147:AF147,"=36")&gt;=1 ),COUNTIF(C147:AF147,"")=0,COUNTIF(C147:AF147," ")=0,COUNTIF(C147:AF147,"F")=1),CONCATENATE(SUM(EXTRACTNUMBER(C147),EXTRACTNUMBER(E147),
EXTRACTNUMBER(G147),EXTRACTNUMBER(I147),
EXTRACTNUMBER(K147),EXTRACTNUMBER(M147),
EXTRACTNUMBER(O147),EXTRACTNUMBER(Q147),
EXTRACTNUMBER(S147),EXTRACTNUMBER(U147),
EXTRACTNUMBER(W147),EXTRACTNUMBER(Y147),EXTRACTNUMBER(AA147),
EXTRACTNUMBER(AC147),EXTRACTNUMBER(AE147)),"*"),IF(AND(COUNTIF(C147:AF147,"=34")&gt;=1,COUNTIF(C147:AF147,"=35")&gt;=1,COUNTIF(C147:AF147,"f")=2,COUNTIF(C147:AF147,"")=0,COUNTIF(C147:AF147," ")=0),CONCATENATE(SUM(EXTRACTNUMBER(C147),EXTRACTNUMBER(E147),
EXTRACTNUMBER(G147),EXTRACTNUMBER(I147),
EXTRACTNUMBER(K147),EXTRACTNUMBER(M147),
EXTRACTNUMBER(O147),EXTRACTNUMBER(Q147),
EXTRACTNUMBER(S147),EXTRACTNUMBER(U147),
EXTRACTNUMBER(W147),EXTRACTNUMBER(Y147),EXTRACTNUMBER(AA147),
EXTRACTNUMBER(AC147),EXTRACTNUMBER(AE147)),"*"),IF(AND(COUNTIF(C147:AF147,"=36")&gt;=2,COUNTIF(C147:AF147,"f")=2,COUNTIF(C147:AF147,"")=0,COUNTIF(C147:AF147," ")=0),CONCATENATE(SUM(EXTRACTNUMBER(C147),EXTRACTNUMBER(E147),
EXTRACTNUMBER(G147),EXTRACTNUMBER(I147),
EXTRACTNUMBER(K147),EXTRACTNUMBER(M147),
EXTRACTNUMBER(O147),EXTRACTNUMBER(Q147),
EXTRACTNUMBER(S147),EXTRACTNUMBER(U147),
EXTRACTNUMBER(W147),EXTRACTNUMBER(Y147),EXTRACTNUMBER(AA147),
EXTRACTNUMBER(AC147),EXTRACTNUMBER(AE147)),"*"),SUM(EXTRACTNUMBER(C147),EXTRACTNUMBER(E147),
EXTRACTNUMBER(G147),EXTRACTNUMBER(I147),
EXTRACTNUMBER(K147),EXTRACTNUMBER(M147),
EXTRACTNUMBER(O147),EXTRACTNUMBER(Q147),
EXTRACTNUMBER(S147),EXTRACTNUMBER(U147),
EXTRACTNUMBER(W147),EXTRACTNUMBER(Y147),EXTRACTNUMBER(AA147),
EXTRACTNUMBER(AC147),EXTRACTNUMBER(AE147))))),SUM(EXTRACTNUMBER(C147),EXTRACTNUMBER(E147),
EXTRACTNUMBER(G147),EXTRACTNUMBER(I147),
EXTRACTNUMBER(K147),EXTRACTNUMBER(M147),
EXTRACTNUMBER(O147),EXTRACTNUMBER(Q147),
EXTRACTNUMBER(S147),EXTRACTNUMBER(U147),
EXTRACTNUMBER(W147),EXTRACTNUMBER(Y147),EXTRACTNUMBER(AA147),
EXTRACTNUMBER(AC147),EXTRACTNUMBER(AE147)))</f>
        <v>406</v>
      </c>
      <c r="AH147" s="38" t="str">
        <f t="shared" ca="1" si="47"/>
        <v>FAIL</v>
      </c>
      <c r="AI147" s="28" t="str">
        <f>spellnumber(EXTRACTnUMBER_TOT(AG147))</f>
        <v xml:space="preserve">Four Hundred Six </v>
      </c>
    </row>
    <row r="148" spans="1:35" ht="15" customHeight="1">
      <c r="A148" s="59">
        <v>223348</v>
      </c>
      <c r="B148" s="42" t="s">
        <v>305</v>
      </c>
      <c r="C148" s="60">
        <v>41</v>
      </c>
      <c r="D148" s="61" t="str">
        <f t="shared" ca="1" si="33"/>
        <v>E</v>
      </c>
      <c r="E148" s="62" t="s">
        <v>67</v>
      </c>
      <c r="F148" s="61" t="str">
        <f t="shared" si="34"/>
        <v xml:space="preserve"> </v>
      </c>
      <c r="G148" s="63" t="s">
        <v>103</v>
      </c>
      <c r="H148" s="61" t="str">
        <f t="shared" si="35"/>
        <v/>
      </c>
      <c r="I148" s="62" t="s">
        <v>74</v>
      </c>
      <c r="J148" s="61" t="str">
        <f t="shared" si="36"/>
        <v xml:space="preserve"> </v>
      </c>
      <c r="K148" s="62" t="s">
        <v>73</v>
      </c>
      <c r="L148" s="61" t="str">
        <f t="shared" si="37"/>
        <v xml:space="preserve"> </v>
      </c>
      <c r="M148" s="63" t="s">
        <v>56</v>
      </c>
      <c r="N148" s="61" t="str">
        <f t="shared" si="32"/>
        <v xml:space="preserve"> </v>
      </c>
      <c r="O148" s="62" t="s">
        <v>69</v>
      </c>
      <c r="P148" s="64" t="str">
        <f t="shared" si="38"/>
        <v xml:space="preserve"> </v>
      </c>
      <c r="Q148" s="60" t="s">
        <v>87</v>
      </c>
      <c r="R148" s="61" t="str">
        <f t="shared" si="39"/>
        <v xml:space="preserve"> </v>
      </c>
      <c r="S148" s="62" t="s">
        <v>69</v>
      </c>
      <c r="T148" s="64" t="str">
        <f t="shared" si="40"/>
        <v xml:space="preserve"> </v>
      </c>
      <c r="U148" s="60" t="s">
        <v>56</v>
      </c>
      <c r="V148" s="61" t="str">
        <f t="shared" si="41"/>
        <v xml:space="preserve"> </v>
      </c>
      <c r="W148" s="62" t="s">
        <v>70</v>
      </c>
      <c r="X148" s="64" t="str">
        <f t="shared" si="42"/>
        <v xml:space="preserve"> </v>
      </c>
      <c r="Y148" s="62" t="s">
        <v>74</v>
      </c>
      <c r="Z148" s="64" t="str">
        <f t="shared" si="43"/>
        <v xml:space="preserve"> </v>
      </c>
      <c r="AA148" s="60">
        <v>47</v>
      </c>
      <c r="AB148" s="61" t="str">
        <f t="shared" ca="1" si="44"/>
        <v>E</v>
      </c>
      <c r="AC148" s="62" t="s">
        <v>71</v>
      </c>
      <c r="AD148" s="61" t="str">
        <f t="shared" si="45"/>
        <v xml:space="preserve"> </v>
      </c>
      <c r="AE148" s="62" t="s">
        <v>56</v>
      </c>
      <c r="AF148" s="64" t="str">
        <f t="shared" si="46"/>
        <v xml:space="preserve"> </v>
      </c>
      <c r="AG148" s="66">
        <f>IF(OR(AND(C148&gt;=31,C148&lt;40),AND(G148&gt;=31,G148&lt;40),AND(M148&gt;=31,M148&lt;40),AND(Q148&gt;=31,Q148&lt;40),AND(U148&gt;=31,U148&lt;40),AND(AA148&gt;=31,AA148&lt;40)),IF(AND(OR(COUNTIF(C148:AF148,"=31")&gt;=1,COUNTIF(C148:AF148,"=32")&gt;=1,COUNTIF(C148:AF148,"=33")&gt;=1,COUNTIF(C148:AF148,"=34")&gt;=1,COUNTIF(C148:AF148,"=35")&gt;=1,COUNTIF(C148:AF148,"=36")&gt;=1 ),COUNTIF(C148:AF148,"")=0,COUNTIF(C148:AF148," ")=0,COUNTIF(C148:AF148,"F")=1),CONCATENATE(SUM(EXTRACTNUMBER(C148),EXTRACTNUMBER(E148),
EXTRACTNUMBER(G148),EXTRACTNUMBER(I148),
EXTRACTNUMBER(K148),EXTRACTNUMBER(M148),
EXTRACTNUMBER(O148),EXTRACTNUMBER(Q148),
EXTRACTNUMBER(S148),EXTRACTNUMBER(U148),
EXTRACTNUMBER(W148),EXTRACTNUMBER(Y148),EXTRACTNUMBER(AA148),
EXTRACTNUMBER(AC148),EXTRACTNUMBER(AE148)),"*"),IF(AND(COUNTIF(C148:AF148,"=34")&gt;=1,COUNTIF(C148:AF148,"=35")&gt;=1,COUNTIF(C148:AF148,"f")=2,COUNTIF(C148:AF148,"")=0,COUNTIF(C148:AF148," ")=0),CONCATENATE(SUM(EXTRACTNUMBER(C148),EXTRACTNUMBER(E148),
EXTRACTNUMBER(G148),EXTRACTNUMBER(I148),
EXTRACTNUMBER(K148),EXTRACTNUMBER(M148),
EXTRACTNUMBER(O148),EXTRACTNUMBER(Q148),
EXTRACTNUMBER(S148),EXTRACTNUMBER(U148),
EXTRACTNUMBER(W148),EXTRACTNUMBER(Y148),EXTRACTNUMBER(AA148),
EXTRACTNUMBER(AC148),EXTRACTNUMBER(AE148)),"*"),IF(AND(COUNTIF(C148:AF148,"=36")&gt;=2,COUNTIF(C148:AF148,"f")=2,COUNTIF(C148:AF148,"")=0,COUNTIF(C148:AF148," ")=0),CONCATENATE(SUM(EXTRACTNUMBER(C148),EXTRACTNUMBER(E148),
EXTRACTNUMBER(G148),EXTRACTNUMBER(I148),
EXTRACTNUMBER(K148),EXTRACTNUMBER(M148),
EXTRACTNUMBER(O148),EXTRACTNUMBER(Q148),
EXTRACTNUMBER(S148),EXTRACTNUMBER(U148),
EXTRACTNUMBER(W148),EXTRACTNUMBER(Y148),EXTRACTNUMBER(AA148),
EXTRACTNUMBER(AC148),EXTRACTNUMBER(AE148)),"*"),SUM(EXTRACTNUMBER(C148),EXTRACTNUMBER(E148),
EXTRACTNUMBER(G148),EXTRACTNUMBER(I148),
EXTRACTNUMBER(K148),EXTRACTNUMBER(M148),
EXTRACTNUMBER(O148),EXTRACTNUMBER(Q148),
EXTRACTNUMBER(S148),EXTRACTNUMBER(U148),
EXTRACTNUMBER(W148),EXTRACTNUMBER(Y148),EXTRACTNUMBER(AA148),
EXTRACTNUMBER(AC148),EXTRACTNUMBER(AE148))))),SUM(EXTRACTNUMBER(C148),EXTRACTNUMBER(E148),
EXTRACTNUMBER(G148),EXTRACTNUMBER(I148),
EXTRACTNUMBER(K148),EXTRACTNUMBER(M148),
EXTRACTNUMBER(O148),EXTRACTNUMBER(Q148),
EXTRACTNUMBER(S148),EXTRACTNUMBER(U148),
EXTRACTNUMBER(W148),EXTRACTNUMBER(Y148),EXTRACTNUMBER(AA148),
EXTRACTNUMBER(AC148),EXTRACTNUMBER(AE148)))</f>
        <v>418</v>
      </c>
      <c r="AH148" s="38" t="str">
        <f t="shared" ca="1" si="47"/>
        <v>FAIL</v>
      </c>
      <c r="AI148" s="28" t="str">
        <f>spellnumber(EXTRACTnUMBER_TOT(AG148))</f>
        <v xml:space="preserve">Four Hundred Eighteen </v>
      </c>
    </row>
    <row r="149" spans="1:35" ht="15" customHeight="1">
      <c r="A149" s="59">
        <v>223349</v>
      </c>
      <c r="B149" s="42" t="s">
        <v>306</v>
      </c>
      <c r="C149" s="60" t="s">
        <v>461</v>
      </c>
      <c r="D149" s="61" t="str">
        <f t="shared" ca="1" si="33"/>
        <v>F</v>
      </c>
      <c r="E149" s="62" t="s">
        <v>69</v>
      </c>
      <c r="F149" s="61" t="str">
        <f t="shared" si="34"/>
        <v xml:space="preserve"> </v>
      </c>
      <c r="G149" s="63" t="s">
        <v>103</v>
      </c>
      <c r="H149" s="61" t="str">
        <f t="shared" si="35"/>
        <v/>
      </c>
      <c r="I149" s="62" t="s">
        <v>71</v>
      </c>
      <c r="J149" s="61" t="str">
        <f t="shared" si="36"/>
        <v xml:space="preserve"> </v>
      </c>
      <c r="K149" s="62" t="s">
        <v>70</v>
      </c>
      <c r="L149" s="61" t="str">
        <f t="shared" si="37"/>
        <v xml:space="preserve"> </v>
      </c>
      <c r="M149" s="63">
        <v>27</v>
      </c>
      <c r="N149" s="61" t="str">
        <f t="shared" ca="1" si="32"/>
        <v>F</v>
      </c>
      <c r="O149" s="62" t="s">
        <v>72</v>
      </c>
      <c r="P149" s="64" t="str">
        <f t="shared" si="38"/>
        <v xml:space="preserve"> </v>
      </c>
      <c r="Q149" s="60" t="s">
        <v>65</v>
      </c>
      <c r="R149" s="61" t="str">
        <f t="shared" si="39"/>
        <v xml:space="preserve"> </v>
      </c>
      <c r="S149" s="62" t="s">
        <v>74</v>
      </c>
      <c r="T149" s="64" t="str">
        <f t="shared" si="40"/>
        <v xml:space="preserve"> </v>
      </c>
      <c r="U149" s="60" t="s">
        <v>56</v>
      </c>
      <c r="V149" s="61" t="str">
        <f t="shared" si="41"/>
        <v xml:space="preserve"> </v>
      </c>
      <c r="W149" s="62" t="s">
        <v>71</v>
      </c>
      <c r="X149" s="64" t="str">
        <f t="shared" si="42"/>
        <v xml:space="preserve"> </v>
      </c>
      <c r="Y149" s="62" t="s">
        <v>70</v>
      </c>
      <c r="Z149" s="64" t="str">
        <f t="shared" si="43"/>
        <v xml:space="preserve"> </v>
      </c>
      <c r="AA149" s="60" t="s">
        <v>61</v>
      </c>
      <c r="AB149" s="61" t="str">
        <f t="shared" si="44"/>
        <v xml:space="preserve"> </v>
      </c>
      <c r="AC149" s="62" t="s">
        <v>72</v>
      </c>
      <c r="AD149" s="61" t="str">
        <f t="shared" si="45"/>
        <v xml:space="preserve"> </v>
      </c>
      <c r="AE149" s="62" t="s">
        <v>63</v>
      </c>
      <c r="AF149" s="64" t="str">
        <f t="shared" si="46"/>
        <v xml:space="preserve"> </v>
      </c>
      <c r="AG149" s="66">
        <f>IF(OR(AND(C149&gt;=31,C149&lt;40),AND(G149&gt;=31,G149&lt;40),AND(M149&gt;=31,M149&lt;40),AND(Q149&gt;=31,Q149&lt;40),AND(U149&gt;=31,U149&lt;40),AND(AA149&gt;=31,AA149&lt;40)),IF(AND(OR(COUNTIF(C149:AF149,"=31")&gt;=1,COUNTIF(C149:AF149,"=32")&gt;=1,COUNTIF(C149:AF149,"=33")&gt;=1,COUNTIF(C149:AF149,"=34")&gt;=1,COUNTIF(C149:AF149,"=35")&gt;=1,COUNTIF(C149:AF149,"=36")&gt;=1 ),COUNTIF(C149:AF149,"")=0,COUNTIF(C149:AF149," ")=0,COUNTIF(C149:AF149,"F")=1),CONCATENATE(SUM(EXTRACTNUMBER(C149),EXTRACTNUMBER(E149),
EXTRACTNUMBER(G149),EXTRACTNUMBER(I149),
EXTRACTNUMBER(K149),EXTRACTNUMBER(M149),
EXTRACTNUMBER(O149),EXTRACTNUMBER(Q149),
EXTRACTNUMBER(S149),EXTRACTNUMBER(U149),
EXTRACTNUMBER(W149),EXTRACTNUMBER(Y149),EXTRACTNUMBER(AA149),
EXTRACTNUMBER(AC149),EXTRACTNUMBER(AE149)),"*"),IF(AND(COUNTIF(C149:AF149,"=34")&gt;=1,COUNTIF(C149:AF149,"=35")&gt;=1,COUNTIF(C149:AF149,"f")=2,COUNTIF(C149:AF149,"")=0,COUNTIF(C149:AF149," ")=0),CONCATENATE(SUM(EXTRACTNUMBER(C149),EXTRACTNUMBER(E149),
EXTRACTNUMBER(G149),EXTRACTNUMBER(I149),
EXTRACTNUMBER(K149),EXTRACTNUMBER(M149),
EXTRACTNUMBER(O149),EXTRACTNUMBER(Q149),
EXTRACTNUMBER(S149),EXTRACTNUMBER(U149),
EXTRACTNUMBER(W149),EXTRACTNUMBER(Y149),EXTRACTNUMBER(AA149),
EXTRACTNUMBER(AC149),EXTRACTNUMBER(AE149)),"*"),IF(AND(COUNTIF(C149:AF149,"=36")&gt;=2,COUNTIF(C149:AF149,"f")=2,COUNTIF(C149:AF149,"")=0,COUNTIF(C149:AF149," ")=0),CONCATENATE(SUM(EXTRACTNUMBER(C149),EXTRACTNUMBER(E149),
EXTRACTNUMBER(G149),EXTRACTNUMBER(I149),
EXTRACTNUMBER(K149),EXTRACTNUMBER(M149),
EXTRACTNUMBER(O149),EXTRACTNUMBER(Q149),
EXTRACTNUMBER(S149),EXTRACTNUMBER(U149),
EXTRACTNUMBER(W149),EXTRACTNUMBER(Y149),EXTRACTNUMBER(AA149),
EXTRACTNUMBER(AC149),EXTRACTNUMBER(AE149)),"*"),SUM(EXTRACTNUMBER(C149),EXTRACTNUMBER(E149),
EXTRACTNUMBER(G149),EXTRACTNUMBER(I149),
EXTRACTNUMBER(K149),EXTRACTNUMBER(M149),
EXTRACTNUMBER(O149),EXTRACTNUMBER(Q149),
EXTRACTNUMBER(S149),EXTRACTNUMBER(U149),
EXTRACTNUMBER(W149),EXTRACTNUMBER(Y149),EXTRACTNUMBER(AA149),
EXTRACTNUMBER(AC149),EXTRACTNUMBER(AE149))))),SUM(EXTRACTNUMBER(C149),EXTRACTNUMBER(E149),
EXTRACTNUMBER(G149),EXTRACTNUMBER(I149),
EXTRACTNUMBER(K149),EXTRACTNUMBER(M149),
EXTRACTNUMBER(O149),EXTRACTNUMBER(Q149),
EXTRACTNUMBER(S149),EXTRACTNUMBER(U149),
EXTRACTNUMBER(W149),EXTRACTNUMBER(Y149),EXTRACTNUMBER(AA149),
EXTRACTNUMBER(AC149),EXTRACTNUMBER(AE149)))</f>
        <v>355</v>
      </c>
      <c r="AH149" s="38" t="str">
        <f t="shared" ca="1" si="47"/>
        <v>FAIL</v>
      </c>
      <c r="AI149" s="28" t="str">
        <f>spellnumber(EXTRACTnUMBER_TOT(AG149))</f>
        <v xml:space="preserve">Three Hundred Fifty Five </v>
      </c>
    </row>
    <row r="150" spans="1:35" ht="15" customHeight="1">
      <c r="A150" s="59">
        <v>223350</v>
      </c>
      <c r="B150" s="42" t="s">
        <v>307</v>
      </c>
      <c r="C150" s="60" t="s">
        <v>58</v>
      </c>
      <c r="D150" s="61" t="str">
        <f t="shared" si="33"/>
        <v xml:space="preserve"> </v>
      </c>
      <c r="E150" s="62" t="s">
        <v>66</v>
      </c>
      <c r="F150" s="61" t="str">
        <f t="shared" si="34"/>
        <v xml:space="preserve"> </v>
      </c>
      <c r="G150" s="63" t="s">
        <v>103</v>
      </c>
      <c r="H150" s="61" t="str">
        <f t="shared" si="35"/>
        <v/>
      </c>
      <c r="I150" s="62" t="s">
        <v>69</v>
      </c>
      <c r="J150" s="61" t="str">
        <f t="shared" si="36"/>
        <v xml:space="preserve"> </v>
      </c>
      <c r="K150" s="62" t="s">
        <v>70</v>
      </c>
      <c r="L150" s="61" t="str">
        <f t="shared" si="37"/>
        <v xml:space="preserve"> </v>
      </c>
      <c r="M150" s="63" t="s">
        <v>63</v>
      </c>
      <c r="N150" s="61" t="str">
        <f t="shared" si="32"/>
        <v xml:space="preserve"> </v>
      </c>
      <c r="O150" s="62" t="s">
        <v>74</v>
      </c>
      <c r="P150" s="64" t="str">
        <f t="shared" si="38"/>
        <v xml:space="preserve"> </v>
      </c>
      <c r="Q150" s="60" t="s">
        <v>63</v>
      </c>
      <c r="R150" s="61" t="str">
        <f t="shared" si="39"/>
        <v xml:space="preserve"> </v>
      </c>
      <c r="S150" s="62" t="s">
        <v>71</v>
      </c>
      <c r="T150" s="64" t="str">
        <f t="shared" si="40"/>
        <v xml:space="preserve"> </v>
      </c>
      <c r="U150" s="60" t="s">
        <v>86</v>
      </c>
      <c r="V150" s="61" t="str">
        <f t="shared" si="41"/>
        <v xml:space="preserve"> </v>
      </c>
      <c r="W150" s="62" t="s">
        <v>66</v>
      </c>
      <c r="X150" s="64" t="str">
        <f t="shared" si="42"/>
        <v xml:space="preserve"> </v>
      </c>
      <c r="Y150" s="62" t="s">
        <v>70</v>
      </c>
      <c r="Z150" s="64" t="str">
        <f t="shared" si="43"/>
        <v xml:space="preserve"> </v>
      </c>
      <c r="AA150" s="60" t="s">
        <v>56</v>
      </c>
      <c r="AB150" s="61" t="str">
        <f t="shared" si="44"/>
        <v xml:space="preserve"> </v>
      </c>
      <c r="AC150" s="62" t="s">
        <v>68</v>
      </c>
      <c r="AD150" s="61" t="str">
        <f t="shared" si="45"/>
        <v xml:space="preserve"> </v>
      </c>
      <c r="AE150" s="62" t="s">
        <v>99</v>
      </c>
      <c r="AF150" s="64" t="str">
        <f t="shared" si="46"/>
        <v xml:space="preserve"> </v>
      </c>
      <c r="AG150" s="66">
        <f>IF(OR(AND(C150&gt;=31,C150&lt;40),AND(G150&gt;=31,G150&lt;40),AND(M150&gt;=31,M150&lt;40),AND(Q150&gt;=31,Q150&lt;40),AND(U150&gt;=31,U150&lt;40),AND(AA150&gt;=31,AA150&lt;40)),IF(AND(OR(COUNTIF(C150:AF150,"=31")&gt;=1,COUNTIF(C150:AF150,"=32")&gt;=1,COUNTIF(C150:AF150,"=33")&gt;=1,COUNTIF(C150:AF150,"=34")&gt;=1,COUNTIF(C150:AF150,"=35")&gt;=1,COUNTIF(C150:AF150,"=36")&gt;=1 ),COUNTIF(C150:AF150,"")=0,COUNTIF(C150:AF150," ")=0,COUNTIF(C150:AF150,"F")=1),CONCATENATE(SUM(EXTRACTNUMBER(C150),EXTRACTNUMBER(E150),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EXTRACTNUMBER(AC150),EXTRACTNUMBER(AE150)),"*"),IF(AND(COUNTIF(C150:AF150,"=34")&gt;=1,COUNTIF(C150:AF150,"=35")&gt;=1,COUNTIF(C150:AF150,"f")=2,COUNTIF(C150:AF150,"")=0,COUNTIF(C150:AF150," ")=0),CONCATENATE(SUM(EXTRACTNUMBER(C150),EXTRACTNUMBER(E150),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EXTRACTNUMBER(AC150),EXTRACTNUMBER(AE150)),"*"),IF(AND(COUNTIF(C150:AF150,"=36")&gt;=2,COUNTIF(C150:AF150,"f")=2,COUNTIF(C150:AF150,"")=0,COUNTIF(C150:AF150," ")=0),CONCATENATE(SUM(EXTRACTNUMBER(C150),EXTRACTNUMBER(E150),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EXTRACTNUMBER(AC150),EXTRACTNUMBER(AE150)),"*"),SUM(EXTRACTNUMBER(C150),EXTRACTNUMBER(E150),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EXTRACTNUMBER(AC150),EXTRACTNUMBER(AE150))))),SUM(EXTRACTNUMBER(C150),EXTRACTNUMBER(E150),
EXTRACTNUMBER(G150),EXTRACTNUMBER(I150),
EXTRACTNUMBER(K150),EXTRACTNUMBER(M150),
EXTRACTNUMBER(O150),EXTRACTNUMBER(Q150),
EXTRACTNUMBER(S150),EXTRACTNUMBER(U150),
EXTRACTNUMBER(W150),EXTRACTNUMBER(Y150),EXTRACTNUMBER(AA150),
EXTRACTNUMBER(AC150),EXTRACTNUMBER(AE150)))</f>
        <v>398</v>
      </c>
      <c r="AH150" s="38" t="str">
        <f t="shared" si="47"/>
        <v>ABSENT</v>
      </c>
      <c r="AI150" s="28" t="str">
        <f>spellnumber(EXTRACTnUMBER_TOT(AG150))</f>
        <v xml:space="preserve">Three Hundred NinetyEight </v>
      </c>
    </row>
    <row r="151" spans="1:35" ht="15" customHeight="1">
      <c r="A151" s="59">
        <v>223351</v>
      </c>
      <c r="B151" s="42" t="s">
        <v>24</v>
      </c>
      <c r="C151" s="60" t="s">
        <v>56</v>
      </c>
      <c r="D151" s="61" t="str">
        <f t="shared" si="33"/>
        <v xml:space="preserve"> </v>
      </c>
      <c r="E151" s="62" t="s">
        <v>69</v>
      </c>
      <c r="F151" s="61" t="str">
        <f t="shared" si="34"/>
        <v xml:space="preserve"> </v>
      </c>
      <c r="G151" s="63">
        <v>68</v>
      </c>
      <c r="H151" s="61" t="str">
        <f t="shared" ca="1" si="35"/>
        <v/>
      </c>
      <c r="I151" s="62" t="s">
        <v>74</v>
      </c>
      <c r="J151" s="61" t="str">
        <f t="shared" si="36"/>
        <v xml:space="preserve"> </v>
      </c>
      <c r="K151" s="62" t="s">
        <v>70</v>
      </c>
      <c r="L151" s="61" t="str">
        <f t="shared" si="37"/>
        <v xml:space="preserve"> </v>
      </c>
      <c r="M151" s="63" t="s">
        <v>56</v>
      </c>
      <c r="N151" s="61" t="str">
        <f t="shared" si="32"/>
        <v xml:space="preserve"> </v>
      </c>
      <c r="O151" s="62" t="s">
        <v>74</v>
      </c>
      <c r="P151" s="64" t="str">
        <f t="shared" si="38"/>
        <v xml:space="preserve"> </v>
      </c>
      <c r="Q151" s="60" t="s">
        <v>78</v>
      </c>
      <c r="R151" s="61" t="str">
        <f t="shared" si="39"/>
        <v xml:space="preserve"> </v>
      </c>
      <c r="S151" s="62" t="s">
        <v>72</v>
      </c>
      <c r="T151" s="64" t="str">
        <f t="shared" si="40"/>
        <v xml:space="preserve"> </v>
      </c>
      <c r="U151" s="60" t="s">
        <v>94</v>
      </c>
      <c r="V151" s="61" t="str">
        <f t="shared" si="41"/>
        <v xml:space="preserve"> </v>
      </c>
      <c r="W151" s="62" t="s">
        <v>69</v>
      </c>
      <c r="X151" s="64" t="str">
        <f t="shared" si="42"/>
        <v xml:space="preserve"> </v>
      </c>
      <c r="Y151" s="62" t="s">
        <v>69</v>
      </c>
      <c r="Z151" s="64" t="str">
        <f t="shared" si="43"/>
        <v xml:space="preserve"> </v>
      </c>
      <c r="AA151" s="60" t="s">
        <v>79</v>
      </c>
      <c r="AB151" s="61" t="str">
        <f t="shared" si="44"/>
        <v xml:space="preserve"> </v>
      </c>
      <c r="AC151" s="62" t="s">
        <v>72</v>
      </c>
      <c r="AD151" s="61" t="str">
        <f t="shared" si="45"/>
        <v xml:space="preserve"> </v>
      </c>
      <c r="AE151" s="62" t="s">
        <v>98</v>
      </c>
      <c r="AF151" s="64" t="str">
        <f t="shared" si="46"/>
        <v xml:space="preserve"> </v>
      </c>
      <c r="AG151" s="66">
        <f>IF(OR(AND(C151&gt;=31,C151&lt;40),AND(G151&gt;=31,G151&lt;40),AND(M151&gt;=31,M151&lt;40),AND(Q151&gt;=31,Q151&lt;40),AND(U151&gt;=31,U151&lt;40),AND(AA151&gt;=31,AA151&lt;40)),IF(AND(OR(COUNTIF(C151:AF151,"=31")&gt;=1,COUNTIF(C151:AF151,"=32")&gt;=1,COUNTIF(C151:AF151,"=33")&gt;=1,COUNTIF(C151:AF151,"=34")&gt;=1,COUNTIF(C151:AF151,"=35")&gt;=1,COUNTIF(C151:AF151,"=36")&gt;=1 ),COUNTIF(C151:AF151,"")=0,COUNTIF(C151:AF151," ")=0,COUNTIF(C151:AF151,"F")=1),CONCATENATE(SUM(EXTRACTNUMBER(C151),EXTRACTNUMBER(E151),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EXTRACTNUMBER(AC151),EXTRACTNUMBER(AE151)),"*"),IF(AND(COUNTIF(C151:AF151,"=34")&gt;=1,COUNTIF(C151:AF151,"=35")&gt;=1,COUNTIF(C151:AF151,"f")=2,COUNTIF(C151:AF151,"")=0,COUNTIF(C151:AF151," ")=0),CONCATENATE(SUM(EXTRACTNUMBER(C151),EXTRACTNUMBER(E151),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EXTRACTNUMBER(AC151),EXTRACTNUMBER(AE151)),"*"),IF(AND(COUNTIF(C151:AF151,"=36")&gt;=2,COUNTIF(C151:AF151,"f")=2,COUNTIF(C151:AF151,"")=0,COUNTIF(C151:AF151," ")=0),CONCATENATE(SUM(EXTRACTNUMBER(C151),EXTRACTNUMBER(E151),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EXTRACTNUMBER(AC151),EXTRACTNUMBER(AE151)),"*"),SUM(EXTRACTNUMBER(C151),EXTRACTNUMBER(E151),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EXTRACTNUMBER(AC151),EXTRACTNUMBER(AE151))))),SUM(EXTRACTNUMBER(C151),EXTRACTNUMBER(E151),
EXTRACTNUMBER(G151),EXTRACTNUMBER(I151),
EXTRACTNUMBER(K151),EXTRACTNUMBER(M151),
EXTRACTNUMBER(O151),EXTRACTNUMBER(Q151),
EXTRACTNUMBER(S151),EXTRACTNUMBER(U151),
EXTRACTNUMBER(W151),EXTRACTNUMBER(Y151),EXTRACTNUMBER(AA151),
EXTRACTNUMBER(AC151),EXTRACTNUMBER(AE151)))</f>
        <v>520</v>
      </c>
      <c r="AH151" s="38" t="str">
        <f t="shared" ca="1" si="47"/>
        <v>PASS</v>
      </c>
      <c r="AI151" s="28" t="str">
        <f>spellnumber(EXTRACTnUMBER_TOT(AG151))</f>
        <v xml:space="preserve">Five Hundred Twenty  </v>
      </c>
    </row>
    <row r="152" spans="1:35" ht="15" customHeight="1">
      <c r="A152" s="59">
        <v>223352</v>
      </c>
      <c r="B152" s="42" t="s">
        <v>308</v>
      </c>
      <c r="C152" s="60">
        <v>20</v>
      </c>
      <c r="D152" s="61" t="str">
        <f t="shared" ca="1" si="33"/>
        <v>F</v>
      </c>
      <c r="E152" s="62" t="s">
        <v>75</v>
      </c>
      <c r="F152" s="61" t="str">
        <f t="shared" si="34"/>
        <v xml:space="preserve"> </v>
      </c>
      <c r="G152" s="63" t="s">
        <v>64</v>
      </c>
      <c r="H152" s="61" t="str">
        <f t="shared" si="35"/>
        <v xml:space="preserve"> </v>
      </c>
      <c r="I152" s="62" t="s">
        <v>70</v>
      </c>
      <c r="J152" s="61" t="str">
        <f t="shared" si="36"/>
        <v xml:space="preserve"> </v>
      </c>
      <c r="K152" s="62" t="s">
        <v>74</v>
      </c>
      <c r="L152" s="61" t="str">
        <f t="shared" si="37"/>
        <v xml:space="preserve"> </v>
      </c>
      <c r="M152" s="63" t="s">
        <v>90</v>
      </c>
      <c r="N152" s="61" t="str">
        <f t="shared" si="32"/>
        <v xml:space="preserve"> </v>
      </c>
      <c r="O152" s="62" t="s">
        <v>70</v>
      </c>
      <c r="P152" s="64" t="str">
        <f t="shared" si="38"/>
        <v xml:space="preserve"> </v>
      </c>
      <c r="Q152" s="60" t="s">
        <v>90</v>
      </c>
      <c r="R152" s="61" t="str">
        <f t="shared" si="39"/>
        <v xml:space="preserve"> </v>
      </c>
      <c r="S152" s="62" t="s">
        <v>71</v>
      </c>
      <c r="T152" s="64" t="str">
        <f t="shared" si="40"/>
        <v xml:space="preserve"> </v>
      </c>
      <c r="U152" s="60" t="s">
        <v>90</v>
      </c>
      <c r="V152" s="61" t="str">
        <f t="shared" si="41"/>
        <v xml:space="preserve"> </v>
      </c>
      <c r="W152" s="62" t="s">
        <v>70</v>
      </c>
      <c r="X152" s="64" t="str">
        <f t="shared" si="42"/>
        <v xml:space="preserve"> </v>
      </c>
      <c r="Y152" s="62" t="s">
        <v>70</v>
      </c>
      <c r="Z152" s="64" t="str">
        <f t="shared" si="43"/>
        <v xml:space="preserve"> </v>
      </c>
      <c r="AA152" s="60" t="s">
        <v>56</v>
      </c>
      <c r="AB152" s="61" t="str">
        <f t="shared" si="44"/>
        <v xml:space="preserve"> </v>
      </c>
      <c r="AC152" s="62" t="s">
        <v>71</v>
      </c>
      <c r="AD152" s="61" t="str">
        <f t="shared" si="45"/>
        <v xml:space="preserve"> </v>
      </c>
      <c r="AE152" s="62" t="s">
        <v>55</v>
      </c>
      <c r="AF152" s="64" t="str">
        <f t="shared" si="46"/>
        <v xml:space="preserve"> </v>
      </c>
      <c r="AG152" s="66">
        <f>IF(OR(AND(C152&gt;=31,C152&lt;40),AND(G152&gt;=31,G152&lt;40),AND(M152&gt;=31,M152&lt;40),AND(Q152&gt;=31,Q152&lt;40),AND(U152&gt;=31,U152&lt;40),AND(AA152&gt;=31,AA152&lt;40)),IF(AND(OR(COUNTIF(C152:AF152,"=31")&gt;=1,COUNTIF(C152:AF152,"=32")&gt;=1,COUNTIF(C152:AF152,"=33")&gt;=1,COUNTIF(C152:AF152,"=34")&gt;=1,COUNTIF(C152:AF152,"=35")&gt;=1,COUNTIF(C152:AF152,"=36")&gt;=1 ),COUNTIF(C152:AF152,"")=0,COUNTIF(C152:AF152," ")=0,COUNTIF(C152:AF152,"F")=1),CONCATENATE(SUM(EXTRACTNUMBER(C152),EXTRACTNUMBER(E152),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EXTRACTNUMBER(AC152),EXTRACTNUMBER(AE152)),"*"),IF(AND(COUNTIF(C152:AF152,"=34")&gt;=1,COUNTIF(C152:AF152,"=35")&gt;=1,COUNTIF(C152:AF152,"f")=2,COUNTIF(C152:AF152,"")=0,COUNTIF(C152:AF152," ")=0),CONCATENATE(SUM(EXTRACTNUMBER(C152),EXTRACTNUMBER(E152),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EXTRACTNUMBER(AC152),EXTRACTNUMBER(AE152)),"*"),IF(AND(COUNTIF(C152:AF152,"=36")&gt;=2,COUNTIF(C152:AF152,"f")=2,COUNTIF(C152:AF152,"")=0,COUNTIF(C152:AF152," ")=0),CONCATENATE(SUM(EXTRACTNUMBER(C152),EXTRACTNUMBER(E152),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EXTRACTNUMBER(AC152),EXTRACTNUMBER(AE152)),"*"),SUM(EXTRACTNUMBER(C152),EXTRACTNUMBER(E152),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EXTRACTNUMBER(AC152),EXTRACTNUMBER(AE152))))),SUM(EXTRACTNUMBER(C152),EXTRACTNUMBER(E152),
EXTRACTNUMBER(G152),EXTRACTNUMBER(I152),
EXTRACTNUMBER(K152),EXTRACTNUMBER(M152),
EXTRACTNUMBER(O152),EXTRACTNUMBER(Q152),
EXTRACTNUMBER(S152),EXTRACTNUMBER(U152),
EXTRACTNUMBER(W152),EXTRACTNUMBER(Y152),EXTRACTNUMBER(AA152),
EXTRACTNUMBER(AC152),EXTRACTNUMBER(AE152)))</f>
        <v>464</v>
      </c>
      <c r="AH152" s="38" t="str">
        <f t="shared" ca="1" si="47"/>
        <v>FAIL</v>
      </c>
      <c r="AI152" s="28" t="str">
        <f>spellnumber(EXTRACTnUMBER_TOT(AG152))</f>
        <v xml:space="preserve">Four Hundred Sixty Four </v>
      </c>
    </row>
    <row r="153" spans="1:35" ht="15" customHeight="1">
      <c r="A153" s="59">
        <v>223353</v>
      </c>
      <c r="B153" s="43" t="s">
        <v>25</v>
      </c>
      <c r="C153" s="60" t="s">
        <v>57</v>
      </c>
      <c r="D153" s="61" t="str">
        <f t="shared" si="33"/>
        <v xml:space="preserve"> </v>
      </c>
      <c r="E153" s="62" t="s">
        <v>67</v>
      </c>
      <c r="F153" s="61" t="str">
        <f t="shared" si="34"/>
        <v xml:space="preserve"> </v>
      </c>
      <c r="G153" s="63" t="s">
        <v>103</v>
      </c>
      <c r="H153" s="61" t="str">
        <f t="shared" si="35"/>
        <v/>
      </c>
      <c r="I153" s="62" t="s">
        <v>75</v>
      </c>
      <c r="J153" s="61" t="str">
        <f t="shared" si="36"/>
        <v xml:space="preserve"> </v>
      </c>
      <c r="K153" s="62" t="s">
        <v>72</v>
      </c>
      <c r="L153" s="61" t="str">
        <f t="shared" si="37"/>
        <v xml:space="preserve"> </v>
      </c>
      <c r="M153" s="63">
        <v>65</v>
      </c>
      <c r="N153" s="61" t="str">
        <f t="shared" ca="1" si="32"/>
        <v>E</v>
      </c>
      <c r="O153" s="62" t="s">
        <v>66</v>
      </c>
      <c r="P153" s="64" t="str">
        <f t="shared" si="38"/>
        <v xml:space="preserve"> </v>
      </c>
      <c r="Q153" s="60">
        <v>41</v>
      </c>
      <c r="R153" s="61" t="str">
        <f t="shared" ca="1" si="39"/>
        <v>E</v>
      </c>
      <c r="S153" s="62" t="s">
        <v>71</v>
      </c>
      <c r="T153" s="64" t="str">
        <f t="shared" si="40"/>
        <v xml:space="preserve"> </v>
      </c>
      <c r="U153" s="60" t="s">
        <v>103</v>
      </c>
      <c r="V153" s="61" t="str">
        <f t="shared" si="41"/>
        <v/>
      </c>
      <c r="W153" s="62" t="s">
        <v>71</v>
      </c>
      <c r="X153" s="64" t="str">
        <f t="shared" si="42"/>
        <v xml:space="preserve"> </v>
      </c>
      <c r="Y153" s="62" t="s">
        <v>70</v>
      </c>
      <c r="Z153" s="64" t="str">
        <f t="shared" si="43"/>
        <v xml:space="preserve"> </v>
      </c>
      <c r="AA153" s="60" t="s">
        <v>103</v>
      </c>
      <c r="AB153" s="61" t="str">
        <f t="shared" si="44"/>
        <v/>
      </c>
      <c r="AC153" s="62" t="s">
        <v>74</v>
      </c>
      <c r="AD153" s="61" t="str">
        <f t="shared" si="45"/>
        <v xml:space="preserve"> </v>
      </c>
      <c r="AE153" s="62" t="s">
        <v>97</v>
      </c>
      <c r="AF153" s="64" t="str">
        <f t="shared" si="46"/>
        <v xml:space="preserve"> </v>
      </c>
      <c r="AG153" s="66">
        <f>IF(OR(AND(C153&gt;=31,C153&lt;40),AND(G153&gt;=31,G153&lt;40),AND(M153&gt;=31,M153&lt;40),AND(Q153&gt;=31,Q153&lt;40),AND(U153&gt;=31,U153&lt;40),AND(AA153&gt;=31,AA153&lt;40)),IF(AND(OR(COUNTIF(C153:AF153,"=31")&gt;=1,COUNTIF(C153:AF153,"=32")&gt;=1,COUNTIF(C153:AF153,"=33")&gt;=1,COUNTIF(C153:AF153,"=34")&gt;=1,COUNTIF(C153:AF153,"=35")&gt;=1,COUNTIF(C153:AF153,"=36")&gt;=1 ),COUNTIF(C153:AF153,"")=0,COUNTIF(C153:AF153," ")=0,COUNTIF(C153:AF153,"F")=1),CONCATENATE(SUM(EXTRACTNUMBER(C153),EXTRACTNUMBER(E153),
EXTRACTNUMBER(G153),EXTRACTNUMBER(I153),
EXTRACTNUMBER(K153),EXTRACTNUMBER(M153),
EXTRACTNUMBER(O153),EXTRACTNUMBER(Q153),
EXTRACTNUMBER(S153),EXTRACTNUMBER(U153),
EXTRACTNUMBER(W153),EXTRACTNUMBER(Y153),EXTRACTNUMBER(AA153),
EXTRACTNUMBER(AC153),EXTRACTNUMBER(AE153)),"*"),IF(AND(COUNTIF(C153:AF153,"=34")&gt;=1,COUNTIF(C153:AF153,"=35")&gt;=1,COUNTIF(C153:AF153,"f")=2,COUNTIF(C153:AF153,"")=0,COUNTIF(C153:AF153," ")=0),CONCATENATE(SUM(EXTRACTNUMBER(C153),EXTRACTNUMBER(E153),
EXTRACTNUMBER(G153),EXTRACTNUMBER(I153),
EXTRACTNUMBER(K153),EXTRACTNUMBER(M153),
EXTRACTNUMBER(O153),EXTRACTNUMBER(Q153),
EXTRACTNUMBER(S153),EXTRACTNUMBER(U153),
EXTRACTNUMBER(W153),EXTRACTNUMBER(Y153),EXTRACTNUMBER(AA153),
EXTRACTNUMBER(AC153),EXTRACTNUMBER(AE153)),"*"),IF(AND(COUNTIF(C153:AF153,"=36")&gt;=2,COUNTIF(C153:AF153,"f")=2,COUNTIF(C153:AF153,"")=0,COUNTIF(C153:AF153," ")=0),CONCATENATE(SUM(EXTRACTNUMBER(C153),EXTRACTNUMBER(E153),
EXTRACTNUMBER(G153),EXTRACTNUMBER(I153),
EXTRACTNUMBER(K153),EXTRACTNUMBER(M153),
EXTRACTNUMBER(O153),EXTRACTNUMBER(Q153),
EXTRACTNUMBER(S153),EXTRACTNUMBER(U153),
EXTRACTNUMBER(W153),EXTRACTNUMBER(Y153),EXTRACTNUMBER(AA153),
EXTRACTNUMBER(AC153),EXTRACTNUMBER(AE153)),"*"),SUM(EXTRACTNUMBER(C153),EXTRACTNUMBER(E153),
EXTRACTNUMBER(G153),EXTRACTNUMBER(I153),
EXTRACTNUMBER(K153),EXTRACTNUMBER(M153),
EXTRACTNUMBER(O153),EXTRACTNUMBER(Q153),
EXTRACTNUMBER(S153),EXTRACTNUMBER(U153),
EXTRACTNUMBER(W153),EXTRACTNUMBER(Y153),EXTRACTNUMBER(AA153),
EXTRACTNUMBER(AC153),EXTRACTNUMBER(AE153))))),SUM(EXTRACTNUMBER(C153),EXTRACTNUMBER(E153),
EXTRACTNUMBER(G153),EXTRACTNUMBER(I153),
EXTRACTNUMBER(K153),EXTRACTNUMBER(M153),
EXTRACTNUMBER(O153),EXTRACTNUMBER(Q153),
EXTRACTNUMBER(S153),EXTRACTNUMBER(U153),
EXTRACTNUMBER(W153),EXTRACTNUMBER(Y153),EXTRACTNUMBER(AA153),
EXTRACTNUMBER(AC153),EXTRACTNUMBER(AE153)))</f>
        <v>330</v>
      </c>
      <c r="AH153" s="38" t="str">
        <f t="shared" ca="1" si="47"/>
        <v>FAIL</v>
      </c>
      <c r="AI153" s="28" t="str">
        <f>spellnumber(EXTRACTnUMBER_TOT(AG153))</f>
        <v xml:space="preserve">Three Hundred Thirty  </v>
      </c>
    </row>
    <row r="154" spans="1:35" ht="15" customHeight="1">
      <c r="A154" s="59">
        <v>223354</v>
      </c>
      <c r="B154" s="42" t="s">
        <v>26</v>
      </c>
      <c r="C154" s="60">
        <v>15</v>
      </c>
      <c r="D154" s="61" t="str">
        <f t="shared" ca="1" si="33"/>
        <v>F</v>
      </c>
      <c r="E154" s="62" t="s">
        <v>67</v>
      </c>
      <c r="F154" s="61" t="str">
        <f t="shared" si="34"/>
        <v xml:space="preserve"> </v>
      </c>
      <c r="G154" s="63">
        <v>47</v>
      </c>
      <c r="H154" s="61" t="str">
        <f t="shared" ca="1" si="35"/>
        <v>E</v>
      </c>
      <c r="I154" s="62" t="s">
        <v>74</v>
      </c>
      <c r="J154" s="61" t="str">
        <f t="shared" si="36"/>
        <v xml:space="preserve"> </v>
      </c>
      <c r="K154" s="62" t="s">
        <v>72</v>
      </c>
      <c r="L154" s="61" t="str">
        <f t="shared" si="37"/>
        <v xml:space="preserve"> </v>
      </c>
      <c r="M154" s="63" t="s">
        <v>56</v>
      </c>
      <c r="N154" s="61" t="str">
        <f t="shared" si="32"/>
        <v xml:space="preserve"> </v>
      </c>
      <c r="O154" s="62" t="s">
        <v>70</v>
      </c>
      <c r="P154" s="64" t="str">
        <f t="shared" si="38"/>
        <v xml:space="preserve"> </v>
      </c>
      <c r="Q154" s="60" t="s">
        <v>59</v>
      </c>
      <c r="R154" s="61" t="str">
        <f t="shared" si="39"/>
        <v xml:space="preserve"> </v>
      </c>
      <c r="S154" s="62" t="s">
        <v>74</v>
      </c>
      <c r="T154" s="64" t="str">
        <f t="shared" si="40"/>
        <v xml:space="preserve"> </v>
      </c>
      <c r="U154" s="60" t="s">
        <v>56</v>
      </c>
      <c r="V154" s="61" t="str">
        <f t="shared" si="41"/>
        <v xml:space="preserve"> </v>
      </c>
      <c r="W154" s="62" t="s">
        <v>70</v>
      </c>
      <c r="X154" s="64" t="str">
        <f t="shared" si="42"/>
        <v xml:space="preserve"> </v>
      </c>
      <c r="Y154" s="62" t="s">
        <v>71</v>
      </c>
      <c r="Z154" s="64" t="str">
        <f t="shared" si="43"/>
        <v xml:space="preserve"> </v>
      </c>
      <c r="AA154" s="60" t="s">
        <v>63</v>
      </c>
      <c r="AB154" s="61" t="str">
        <f t="shared" si="44"/>
        <v xml:space="preserve"> </v>
      </c>
      <c r="AC154" s="62" t="s">
        <v>74</v>
      </c>
      <c r="AD154" s="61" t="str">
        <f t="shared" si="45"/>
        <v xml:space="preserve"> </v>
      </c>
      <c r="AE154" s="62" t="s">
        <v>79</v>
      </c>
      <c r="AF154" s="64" t="str">
        <f t="shared" si="46"/>
        <v xml:space="preserve"> </v>
      </c>
      <c r="AG154" s="66">
        <f>IF(OR(AND(C154&gt;=31,C154&lt;40),AND(G154&gt;=31,G154&lt;40),AND(M154&gt;=31,M154&lt;40),AND(Q154&gt;=31,Q154&lt;40),AND(U154&gt;=31,U154&lt;40),AND(AA154&gt;=31,AA154&lt;40)),IF(AND(OR(COUNTIF(C154:AF154,"=31")&gt;=1,COUNTIF(C154:AF154,"=32")&gt;=1,COUNTIF(C154:AF154,"=33")&gt;=1,COUNTIF(C154:AF154,"=34")&gt;=1,COUNTIF(C154:AF154,"=35")&gt;=1,COUNTIF(C154:AF154,"=36")&gt;=1 ),COUNTIF(C154:AF154,"")=0,COUNTIF(C154:AF154," ")=0,COUNTIF(C154:AF154,"F")=1),CONCATENATE(SUM(EXTRACTNUMBER(C154),EXTRACTNUMBER(E154),
EXTRACTNUMBER(G154),EXTRACTNUMBER(I154),
EXTRACTNUMBER(K154),EXTRACTNUMBER(M154),
EXTRACTNUMBER(O154),EXTRACTNUMBER(Q154),
EXTRACTNUMBER(S154),EXTRACTNUMBER(U154),
EXTRACTNUMBER(W154),EXTRACTNUMBER(Y154),EXTRACTNUMBER(AA154),
EXTRACTNUMBER(AC154),EXTRACTNUMBER(AE154)),"*"),IF(AND(COUNTIF(C154:AF154,"=34")&gt;=1,COUNTIF(C154:AF154,"=35")&gt;=1,COUNTIF(C154:AF154,"f")=2,COUNTIF(C154:AF154,"")=0,COUNTIF(C154:AF154," ")=0),CONCATENATE(SUM(EXTRACTNUMBER(C154),EXTRACTNUMBER(E154),
EXTRACTNUMBER(G154),EXTRACTNUMBER(I154),
EXTRACTNUMBER(K154),EXTRACTNUMBER(M154),
EXTRACTNUMBER(O154),EXTRACTNUMBER(Q154),
EXTRACTNUMBER(S154),EXTRACTNUMBER(U154),
EXTRACTNUMBER(W154),EXTRACTNUMBER(Y154),EXTRACTNUMBER(AA154),
EXTRACTNUMBER(AC154),EXTRACTNUMBER(AE154)),"*"),IF(AND(COUNTIF(C154:AF154,"=36")&gt;=2,COUNTIF(C154:AF154,"f")=2,COUNTIF(C154:AF154,"")=0,COUNTIF(C154:AF154," ")=0),CONCATENATE(SUM(EXTRACTNUMBER(C154),EXTRACTNUMBER(E154),
EXTRACTNUMBER(G154),EXTRACTNUMBER(I154),
EXTRACTNUMBER(K154),EXTRACTNUMBER(M154),
EXTRACTNUMBER(O154),EXTRACTNUMBER(Q154),
EXTRACTNUMBER(S154),EXTRACTNUMBER(U154),
EXTRACTNUMBER(W154),EXTRACTNUMBER(Y154),EXTRACTNUMBER(AA154),
EXTRACTNUMBER(AC154),EXTRACTNUMBER(AE154)),"*"),SUM(EXTRACTNUMBER(C154),EXTRACTNUMBER(E154),
EXTRACTNUMBER(G154),EXTRACTNUMBER(I154),
EXTRACTNUMBER(K154),EXTRACTNUMBER(M154),
EXTRACTNUMBER(O154),EXTRACTNUMBER(Q154),
EXTRACTNUMBER(S154),EXTRACTNUMBER(U154),
EXTRACTNUMBER(W154),EXTRACTNUMBER(Y154),EXTRACTNUMBER(AA154),
EXTRACTNUMBER(AC154),EXTRACTNUMBER(AE154))))),SUM(EXTRACTNUMBER(C154),EXTRACTNUMBER(E154),
EXTRACTNUMBER(G154),EXTRACTNUMBER(I154),
EXTRACTNUMBER(K154),EXTRACTNUMBER(M154),
EXTRACTNUMBER(O154),EXTRACTNUMBER(Q154),
EXTRACTNUMBER(S154),EXTRACTNUMBER(U154),
EXTRACTNUMBER(W154),EXTRACTNUMBER(Y154),EXTRACTNUMBER(AA154),
EXTRACTNUMBER(AC154),EXTRACTNUMBER(AE154)))</f>
        <v>436</v>
      </c>
      <c r="AH154" s="38" t="str">
        <f t="shared" ca="1" si="47"/>
        <v>FAIL</v>
      </c>
      <c r="AI154" s="28" t="str">
        <f>spellnumber(EXTRACTnUMBER_TOT(AG154))</f>
        <v xml:space="preserve">Four Hundred Thirty Six </v>
      </c>
    </row>
    <row r="155" spans="1:35" ht="15" customHeight="1">
      <c r="A155" s="59">
        <v>223355</v>
      </c>
      <c r="B155" s="41" t="s">
        <v>27</v>
      </c>
      <c r="C155" s="60" t="s">
        <v>56</v>
      </c>
      <c r="D155" s="61" t="str">
        <f t="shared" si="33"/>
        <v xml:space="preserve"> </v>
      </c>
      <c r="E155" s="62" t="s">
        <v>68</v>
      </c>
      <c r="F155" s="61" t="str">
        <f t="shared" si="34"/>
        <v xml:space="preserve"> </v>
      </c>
      <c r="G155" s="63">
        <v>52</v>
      </c>
      <c r="H155" s="61" t="str">
        <f t="shared" ca="1" si="35"/>
        <v/>
      </c>
      <c r="I155" s="62" t="s">
        <v>74</v>
      </c>
      <c r="J155" s="61" t="str">
        <f t="shared" si="36"/>
        <v xml:space="preserve"> </v>
      </c>
      <c r="K155" s="62" t="s">
        <v>72</v>
      </c>
      <c r="L155" s="61" t="str">
        <f t="shared" si="37"/>
        <v xml:space="preserve"> </v>
      </c>
      <c r="M155" s="63" t="s">
        <v>59</v>
      </c>
      <c r="N155" s="61" t="str">
        <f t="shared" si="32"/>
        <v xml:space="preserve"> </v>
      </c>
      <c r="O155" s="62" t="s">
        <v>75</v>
      </c>
      <c r="P155" s="64" t="str">
        <f t="shared" si="38"/>
        <v xml:space="preserve"> </v>
      </c>
      <c r="Q155" s="60" t="s">
        <v>77</v>
      </c>
      <c r="R155" s="61" t="str">
        <f t="shared" si="39"/>
        <v xml:space="preserve"> </v>
      </c>
      <c r="S155" s="62" t="s">
        <v>72</v>
      </c>
      <c r="T155" s="64" t="str">
        <f t="shared" si="40"/>
        <v xml:space="preserve"> </v>
      </c>
      <c r="U155" s="60" t="s">
        <v>79</v>
      </c>
      <c r="V155" s="61" t="str">
        <f t="shared" si="41"/>
        <v xml:space="preserve"> </v>
      </c>
      <c r="W155" s="62" t="s">
        <v>75</v>
      </c>
      <c r="X155" s="64" t="str">
        <f t="shared" si="42"/>
        <v xml:space="preserve"> </v>
      </c>
      <c r="Y155" s="62" t="s">
        <v>72</v>
      </c>
      <c r="Z155" s="64" t="str">
        <f t="shared" si="43"/>
        <v xml:space="preserve"> </v>
      </c>
      <c r="AA155" s="60" t="s">
        <v>64</v>
      </c>
      <c r="AB155" s="61" t="str">
        <f t="shared" si="44"/>
        <v xml:space="preserve"> </v>
      </c>
      <c r="AC155" s="62" t="s">
        <v>75</v>
      </c>
      <c r="AD155" s="61" t="str">
        <f t="shared" si="45"/>
        <v xml:space="preserve"> </v>
      </c>
      <c r="AE155" s="62" t="s">
        <v>58</v>
      </c>
      <c r="AF155" s="64" t="str">
        <f t="shared" si="46"/>
        <v xml:space="preserve"> </v>
      </c>
      <c r="AG155" s="66">
        <f>IF(OR(AND(C155&gt;=31,C155&lt;40),AND(G155&gt;=31,G155&lt;40),AND(M155&gt;=31,M155&lt;40),AND(Q155&gt;=31,Q155&lt;40),AND(U155&gt;=31,U155&lt;40),AND(AA155&gt;=31,AA155&lt;40)),IF(AND(OR(COUNTIF(C155:AF155,"=31")&gt;=1,COUNTIF(C155:AF155,"=32")&gt;=1,COUNTIF(C155:AF155,"=33")&gt;=1,COUNTIF(C155:AF155,"=34")&gt;=1,COUNTIF(C155:AF155,"=35")&gt;=1,COUNTIF(C155:AF155,"=36")&gt;=1 ),COUNTIF(C155:AF155,"")=0,COUNTIF(C155:AF155," ")=0,COUNTIF(C155:AF155,"F")=1),CONCATENATE(SUM(EXTRACTNUMBER(C155),EXTRACTNUMBER(E155),
EXTRACTNUMBER(G155),EXTRACTNUMBER(I155),
EXTRACTNUMBER(K155),EXTRACTNUMBER(M155),
EXTRACTNUMBER(O155),EXTRACTNUMBER(Q155),
EXTRACTNUMBER(S155),EXTRACTNUMBER(U155),
EXTRACTNUMBER(W155),EXTRACTNUMBER(Y155),EXTRACTNUMBER(AA155),
EXTRACTNUMBER(AC155),EXTRACTNUMBER(AE155)),"*"),IF(AND(COUNTIF(C155:AF155,"=34")&gt;=1,COUNTIF(C155:AF155,"=35")&gt;=1,COUNTIF(C155:AF155,"f")=2,COUNTIF(C155:AF155,"")=0,COUNTIF(C155:AF155," ")=0),CONCATENATE(SUM(EXTRACTNUMBER(C155),EXTRACTNUMBER(E155),
EXTRACTNUMBER(G155),EXTRACTNUMBER(I155),
EXTRACTNUMBER(K155),EXTRACTNUMBER(M155),
EXTRACTNUMBER(O155),EXTRACTNUMBER(Q155),
EXTRACTNUMBER(S155),EXTRACTNUMBER(U155),
EXTRACTNUMBER(W155),EXTRACTNUMBER(Y155),EXTRACTNUMBER(AA155),
EXTRACTNUMBER(AC155),EXTRACTNUMBER(AE155)),"*"),IF(AND(COUNTIF(C155:AF155,"=36")&gt;=2,COUNTIF(C155:AF155,"f")=2,COUNTIF(C155:AF155,"")=0,COUNTIF(C155:AF155," ")=0),CONCATENATE(SUM(EXTRACTNUMBER(C155),EXTRACTNUMBER(E155),
EXTRACTNUMBER(G155),EXTRACTNUMBER(I155),
EXTRACTNUMBER(K155),EXTRACTNUMBER(M155),
EXTRACTNUMBER(O155),EXTRACTNUMBER(Q155),
EXTRACTNUMBER(S155),EXTRACTNUMBER(U155),
EXTRACTNUMBER(W155),EXTRACTNUMBER(Y155),EXTRACTNUMBER(AA155),
EXTRACTNUMBER(AC155),EXTRACTNUMBER(AE155)),"*"),SUM(EXTRACTNUMBER(C155),EXTRACTNUMBER(E155),
EXTRACTNUMBER(G155),EXTRACTNUMBER(I155),
EXTRACTNUMBER(K155),EXTRACTNUMBER(M155),
EXTRACTNUMBER(O155),EXTRACTNUMBER(Q155),
EXTRACTNUMBER(S155),EXTRACTNUMBER(U155),
EXTRACTNUMBER(W155),EXTRACTNUMBER(Y155),EXTRACTNUMBER(AA155),
EXTRACTNUMBER(AC155),EXTRACTNUMBER(AE155))))),SUM(EXTRACTNUMBER(C155),EXTRACTNUMBER(E155),
EXTRACTNUMBER(G155),EXTRACTNUMBER(I155),
EXTRACTNUMBER(K155),EXTRACTNUMBER(M155),
EXTRACTNUMBER(O155),EXTRACTNUMBER(Q155),
EXTRACTNUMBER(S155),EXTRACTNUMBER(U155),
EXTRACTNUMBER(W155),EXTRACTNUMBER(Y155),EXTRACTNUMBER(AA155),
EXTRACTNUMBER(AC155),EXTRACTNUMBER(AE155)))</f>
        <v>496</v>
      </c>
      <c r="AH155" s="38" t="str">
        <f t="shared" ca="1" si="47"/>
        <v>PASS</v>
      </c>
      <c r="AI155" s="28" t="str">
        <f>spellnumber(EXTRACTnUMBER_TOT(AG155))</f>
        <v xml:space="preserve">Four Hundred NinetySix </v>
      </c>
    </row>
    <row r="156" spans="1:35" ht="15" customHeight="1">
      <c r="A156" s="59">
        <v>223356</v>
      </c>
      <c r="B156" s="42" t="s">
        <v>28</v>
      </c>
      <c r="C156" s="60" t="s">
        <v>103</v>
      </c>
      <c r="D156" s="61" t="str">
        <f t="shared" si="33"/>
        <v/>
      </c>
      <c r="E156" s="62" t="s">
        <v>67</v>
      </c>
      <c r="F156" s="61" t="str">
        <f t="shared" si="34"/>
        <v xml:space="preserve"> </v>
      </c>
      <c r="G156" s="63">
        <v>45</v>
      </c>
      <c r="H156" s="61" t="str">
        <f t="shared" ca="1" si="35"/>
        <v>E</v>
      </c>
      <c r="I156" s="62" t="s">
        <v>70</v>
      </c>
      <c r="J156" s="61" t="str">
        <f t="shared" si="36"/>
        <v xml:space="preserve"> </v>
      </c>
      <c r="K156" s="62" t="s">
        <v>70</v>
      </c>
      <c r="L156" s="61" t="str">
        <f t="shared" si="37"/>
        <v xml:space="preserve"> </v>
      </c>
      <c r="M156" s="63">
        <v>49</v>
      </c>
      <c r="N156" s="61" t="str">
        <f t="shared" ca="1" si="32"/>
        <v>E</v>
      </c>
      <c r="O156" s="62" t="s">
        <v>70</v>
      </c>
      <c r="P156" s="64" t="str">
        <f t="shared" si="38"/>
        <v xml:space="preserve"> </v>
      </c>
      <c r="Q156" s="60" t="s">
        <v>65</v>
      </c>
      <c r="R156" s="61" t="str">
        <f t="shared" si="39"/>
        <v xml:space="preserve"> </v>
      </c>
      <c r="S156" s="62" t="s">
        <v>74</v>
      </c>
      <c r="T156" s="64" t="str">
        <f t="shared" si="40"/>
        <v xml:space="preserve"> </v>
      </c>
      <c r="U156" s="60" t="s">
        <v>65</v>
      </c>
      <c r="V156" s="61" t="str">
        <f t="shared" si="41"/>
        <v xml:space="preserve"> </v>
      </c>
      <c r="W156" s="62" t="s">
        <v>69</v>
      </c>
      <c r="X156" s="64" t="str">
        <f t="shared" si="42"/>
        <v xml:space="preserve"> </v>
      </c>
      <c r="Y156" s="62" t="s">
        <v>69</v>
      </c>
      <c r="Z156" s="64" t="str">
        <f t="shared" si="43"/>
        <v xml:space="preserve"> </v>
      </c>
      <c r="AA156" s="60">
        <v>40</v>
      </c>
      <c r="AB156" s="61" t="str">
        <f t="shared" ca="1" si="44"/>
        <v>E</v>
      </c>
      <c r="AC156" s="62" t="s">
        <v>70</v>
      </c>
      <c r="AD156" s="61" t="str">
        <f t="shared" si="45"/>
        <v xml:space="preserve"> </v>
      </c>
      <c r="AE156" s="62" t="s">
        <v>56</v>
      </c>
      <c r="AF156" s="64" t="str">
        <f t="shared" si="46"/>
        <v xml:space="preserve"> </v>
      </c>
      <c r="AG156" s="66">
        <f>IF(OR(AND(C156&gt;=31,C156&lt;40),AND(G156&gt;=31,G156&lt;40),AND(M156&gt;=31,M156&lt;40),AND(Q156&gt;=31,Q156&lt;40),AND(U156&gt;=31,U156&lt;40),AND(AA156&gt;=31,AA156&lt;40)),IF(AND(OR(COUNTIF(C156:AF156,"=31")&gt;=1,COUNTIF(C156:AF156,"=32")&gt;=1,COUNTIF(C156:AF156,"=33")&gt;=1,COUNTIF(C156:AF156,"=34")&gt;=1,COUNTIF(C156:AF156,"=35")&gt;=1,COUNTIF(C156:AF156,"=36")&gt;=1 ),COUNTIF(C156:AF156,"")=0,COUNTIF(C156:AF156," ")=0,COUNTIF(C156:AF156,"F")=1),CONCATENATE(SUM(EXTRACTNUMBER(C156),EXTRACTNUMBER(E156),
EXTRACTNUMBER(G156),EXTRACTNUMBER(I156),
EXTRACTNUMBER(K156),EXTRACTNUMBER(M156),
EXTRACTNUMBER(O156),EXTRACTNUMBER(Q156),
EXTRACTNUMBER(S156),EXTRACTNUMBER(U156),
EXTRACTNUMBER(W156),EXTRACTNUMBER(Y156),EXTRACTNUMBER(AA156),
EXTRACTNUMBER(AC156),EXTRACTNUMBER(AE156)),"*"),IF(AND(COUNTIF(C156:AF156,"=34")&gt;=1,COUNTIF(C156:AF156,"=35")&gt;=1,COUNTIF(C156:AF156,"f")=2,COUNTIF(C156:AF156,"")=0,COUNTIF(C156:AF156," ")=0),CONCATENATE(SUM(EXTRACTNUMBER(C156),EXTRACTNUMBER(E156),
EXTRACTNUMBER(G156),EXTRACTNUMBER(I156),
EXTRACTNUMBER(K156),EXTRACTNUMBER(M156),
EXTRACTNUMBER(O156),EXTRACTNUMBER(Q156),
EXTRACTNUMBER(S156),EXTRACTNUMBER(U156),
EXTRACTNUMBER(W156),EXTRACTNUMBER(Y156),EXTRACTNUMBER(AA156),
EXTRACTNUMBER(AC156),EXTRACTNUMBER(AE156)),"*"),IF(AND(COUNTIF(C156:AF156,"=36")&gt;=2,COUNTIF(C156:AF156,"f")=2,COUNTIF(C156:AF156,"")=0,COUNTIF(C156:AF156," ")=0),CONCATENATE(SUM(EXTRACTNUMBER(C156),EXTRACTNUMBER(E156),
EXTRACTNUMBER(G156),EXTRACTNUMBER(I156),
EXTRACTNUMBER(K156),EXTRACTNUMBER(M156),
EXTRACTNUMBER(O156),EXTRACTNUMBER(Q156),
EXTRACTNUMBER(S156),EXTRACTNUMBER(U156),
EXTRACTNUMBER(W156),EXTRACTNUMBER(Y156),EXTRACTNUMBER(AA156),
EXTRACTNUMBER(AC156),EXTRACTNUMBER(AE156)),"*"),SUM(EXTRACTNUMBER(C156),EXTRACTNUMBER(E156),
EXTRACTNUMBER(G156),EXTRACTNUMBER(I156),
EXTRACTNUMBER(K156),EXTRACTNUMBER(M156),
EXTRACTNUMBER(O156),EXTRACTNUMBER(Q156),
EXTRACTNUMBER(S156),EXTRACTNUMBER(U156),
EXTRACTNUMBER(W156),EXTRACTNUMBER(Y156),EXTRACTNUMBER(AA156),
EXTRACTNUMBER(AC156),EXTRACTNUMBER(AE156))))),SUM(EXTRACTNUMBER(C156),EXTRACTNUMBER(E156),
EXTRACTNUMBER(G156),EXTRACTNUMBER(I156),
EXTRACTNUMBER(K156),EXTRACTNUMBER(M156),
EXTRACTNUMBER(O156),EXTRACTNUMBER(Q156),
EXTRACTNUMBER(S156),EXTRACTNUMBER(U156),
EXTRACTNUMBER(W156),EXTRACTNUMBER(Y156),EXTRACTNUMBER(AA156),
EXTRACTNUMBER(AC156),EXTRACTNUMBER(AE156)))</f>
        <v>400</v>
      </c>
      <c r="AH156" s="38" t="str">
        <f t="shared" ca="1" si="47"/>
        <v>FAIL</v>
      </c>
      <c r="AI156" s="28" t="str">
        <f>spellnumber(EXTRACTnUMBER_TOT(AG156))</f>
        <v xml:space="preserve">Four Hundred  </v>
      </c>
    </row>
    <row r="157" spans="1:35" ht="15" customHeight="1">
      <c r="A157" s="59">
        <v>223357</v>
      </c>
      <c r="B157" s="42" t="s">
        <v>29</v>
      </c>
      <c r="C157" s="60" t="s">
        <v>88</v>
      </c>
      <c r="D157" s="61" t="str">
        <f t="shared" si="33"/>
        <v xml:space="preserve"> </v>
      </c>
      <c r="E157" s="62" t="s">
        <v>72</v>
      </c>
      <c r="F157" s="61" t="str">
        <f t="shared" si="34"/>
        <v xml:space="preserve"> </v>
      </c>
      <c r="G157" s="63">
        <v>10</v>
      </c>
      <c r="H157" s="61" t="str">
        <f t="shared" ca="1" si="35"/>
        <v>F</v>
      </c>
      <c r="I157" s="62" t="s">
        <v>75</v>
      </c>
      <c r="J157" s="61" t="str">
        <f t="shared" si="36"/>
        <v xml:space="preserve"> </v>
      </c>
      <c r="K157" s="62" t="s">
        <v>75</v>
      </c>
      <c r="L157" s="61" t="str">
        <f t="shared" si="37"/>
        <v xml:space="preserve"> </v>
      </c>
      <c r="M157" s="63" t="s">
        <v>453</v>
      </c>
      <c r="N157" s="61" t="str">
        <f t="shared" ca="1" si="32"/>
        <v>F</v>
      </c>
      <c r="O157" s="62" t="s">
        <v>75</v>
      </c>
      <c r="P157" s="64" t="str">
        <f t="shared" si="38"/>
        <v xml:space="preserve"> </v>
      </c>
      <c r="Q157" s="60" t="s">
        <v>65</v>
      </c>
      <c r="R157" s="61" t="str">
        <f t="shared" si="39"/>
        <v xml:space="preserve"> </v>
      </c>
      <c r="S157" s="62" t="s">
        <v>75</v>
      </c>
      <c r="T157" s="64" t="str">
        <f t="shared" si="40"/>
        <v xml:space="preserve"> </v>
      </c>
      <c r="U157" s="60" t="s">
        <v>63</v>
      </c>
      <c r="V157" s="61" t="str">
        <f t="shared" si="41"/>
        <v xml:space="preserve"> </v>
      </c>
      <c r="W157" s="62" t="s">
        <v>74</v>
      </c>
      <c r="X157" s="64" t="str">
        <f t="shared" si="42"/>
        <v xml:space="preserve"> </v>
      </c>
      <c r="Y157" s="62" t="s">
        <v>74</v>
      </c>
      <c r="Z157" s="64" t="str">
        <f t="shared" si="43"/>
        <v xml:space="preserve"> </v>
      </c>
      <c r="AA157" s="60" t="s">
        <v>458</v>
      </c>
      <c r="AB157" s="61" t="str">
        <f t="shared" ca="1" si="44"/>
        <v>F</v>
      </c>
      <c r="AC157" s="62" t="s">
        <v>74</v>
      </c>
      <c r="AD157" s="61" t="str">
        <f t="shared" si="45"/>
        <v xml:space="preserve"> </v>
      </c>
      <c r="AE157" s="62" t="s">
        <v>56</v>
      </c>
      <c r="AF157" s="64" t="str">
        <f t="shared" si="46"/>
        <v xml:space="preserve"> </v>
      </c>
      <c r="AG157" s="66">
        <f>IF(OR(AND(C157&gt;=31,C157&lt;40),AND(G157&gt;=31,G157&lt;40),AND(M157&gt;=31,M157&lt;40),AND(Q157&gt;=31,Q157&lt;40),AND(U157&gt;=31,U157&lt;40),AND(AA157&gt;=31,AA157&lt;40)),IF(AND(OR(COUNTIF(C157:AF157,"=31")&gt;=1,COUNTIF(C157:AF157,"=32")&gt;=1,COUNTIF(C157:AF157,"=33")&gt;=1,COUNTIF(C157:AF157,"=34")&gt;=1,COUNTIF(C157:AF157,"=35")&gt;=1,COUNTIF(C157:AF157,"=36")&gt;=1 ),COUNTIF(C157:AF157,"")=0,COUNTIF(C157:AF157," ")=0,COUNTIF(C157:AF157,"F")=1),CONCATENATE(SUM(EXTRACTNUMBER(C157),EXTRACTNUMBER(E157),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EXTRACTNUMBER(AC157),EXTRACTNUMBER(AE157)),"*"),IF(AND(COUNTIF(C157:AF157,"=34")&gt;=1,COUNTIF(C157:AF157,"=35")&gt;=1,COUNTIF(C157:AF157,"f")=2,COUNTIF(C157:AF157,"")=0,COUNTIF(C157:AF157," ")=0),CONCATENATE(SUM(EXTRACTNUMBER(C157),EXTRACTNUMBER(E157),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EXTRACTNUMBER(AC157),EXTRACTNUMBER(AE157)),"*"),IF(AND(COUNTIF(C157:AF157,"=36")&gt;=2,COUNTIF(C157:AF157,"f")=2,COUNTIF(C157:AF157,"")=0,COUNTIF(C157:AF157," ")=0),CONCATENATE(SUM(EXTRACTNUMBER(C157),EXTRACTNUMBER(E157),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EXTRACTNUMBER(AC157),EXTRACTNUMBER(AE157)),"*"),SUM(EXTRACTNUMBER(C157),EXTRACTNUMBER(E157),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EXTRACTNUMBER(AC157),EXTRACTNUMBER(AE157))))),SUM(EXTRACTNUMBER(C157),EXTRACTNUMBER(E157),
EXTRACTNUMBER(G157),EXTRACTNUMBER(I157),
EXTRACTNUMBER(K157),EXTRACTNUMBER(M157),
EXTRACTNUMBER(O157),EXTRACTNUMBER(Q157),
EXTRACTNUMBER(S157),EXTRACTNUMBER(U157),
EXTRACTNUMBER(W157),EXTRACTNUMBER(Y157),EXTRACTNUMBER(AA157),
EXTRACTNUMBER(AC157),EXTRACTNUMBER(AE157)))</f>
        <v>376</v>
      </c>
      <c r="AH157" s="38" t="str">
        <f t="shared" ca="1" si="47"/>
        <v>FAIL</v>
      </c>
      <c r="AI157" s="28" t="str">
        <f>spellnumber(EXTRACTnUMBER_TOT(AG157))</f>
        <v xml:space="preserve">Three Hundred Seventy Six </v>
      </c>
    </row>
    <row r="158" spans="1:35" ht="15" customHeight="1">
      <c r="A158" s="59">
        <v>223358</v>
      </c>
      <c r="B158" s="42" t="s">
        <v>30</v>
      </c>
      <c r="C158" s="60" t="s">
        <v>85</v>
      </c>
      <c r="D158" s="61" t="str">
        <f t="shared" si="33"/>
        <v xml:space="preserve"> </v>
      </c>
      <c r="E158" s="62" t="s">
        <v>67</v>
      </c>
      <c r="F158" s="61" t="str">
        <f t="shared" si="34"/>
        <v xml:space="preserve"> </v>
      </c>
      <c r="G158" s="63" t="s">
        <v>103</v>
      </c>
      <c r="H158" s="61" t="str">
        <f t="shared" si="35"/>
        <v/>
      </c>
      <c r="I158" s="62" t="s">
        <v>75</v>
      </c>
      <c r="J158" s="61" t="str">
        <f t="shared" si="36"/>
        <v xml:space="preserve"> </v>
      </c>
      <c r="K158" s="62" t="s">
        <v>73</v>
      </c>
      <c r="L158" s="61" t="str">
        <f t="shared" si="37"/>
        <v xml:space="preserve"> </v>
      </c>
      <c r="M158" s="63" t="s">
        <v>62</v>
      </c>
      <c r="N158" s="61" t="str">
        <f t="shared" si="32"/>
        <v xml:space="preserve"> </v>
      </c>
      <c r="O158" s="62" t="s">
        <v>74</v>
      </c>
      <c r="P158" s="64" t="str">
        <f t="shared" si="38"/>
        <v xml:space="preserve"> </v>
      </c>
      <c r="Q158" s="60" t="s">
        <v>56</v>
      </c>
      <c r="R158" s="61" t="str">
        <f t="shared" si="39"/>
        <v xml:space="preserve"> </v>
      </c>
      <c r="S158" s="62" t="s">
        <v>70</v>
      </c>
      <c r="T158" s="64" t="str">
        <f t="shared" si="40"/>
        <v xml:space="preserve"> </v>
      </c>
      <c r="U158" s="60" t="s">
        <v>56</v>
      </c>
      <c r="V158" s="61" t="str">
        <f t="shared" si="41"/>
        <v xml:space="preserve"> </v>
      </c>
      <c r="W158" s="62" t="s">
        <v>74</v>
      </c>
      <c r="X158" s="64" t="str">
        <f t="shared" si="42"/>
        <v xml:space="preserve"> </v>
      </c>
      <c r="Y158" s="62" t="s">
        <v>72</v>
      </c>
      <c r="Z158" s="64" t="str">
        <f t="shared" si="43"/>
        <v xml:space="preserve"> </v>
      </c>
      <c r="AA158" s="60" t="s">
        <v>56</v>
      </c>
      <c r="AB158" s="61" t="str">
        <f t="shared" si="44"/>
        <v xml:space="preserve"> </v>
      </c>
      <c r="AC158" s="62" t="s">
        <v>74</v>
      </c>
      <c r="AD158" s="61" t="str">
        <f t="shared" si="45"/>
        <v xml:space="preserve"> </v>
      </c>
      <c r="AE158" s="62" t="s">
        <v>99</v>
      </c>
      <c r="AF158" s="64" t="str">
        <f t="shared" si="46"/>
        <v xml:space="preserve"> </v>
      </c>
      <c r="AG158" s="66">
        <f>IF(OR(AND(C158&gt;=31,C158&lt;40),AND(G158&gt;=31,G158&lt;40),AND(M158&gt;=31,M158&lt;40),AND(Q158&gt;=31,Q158&lt;40),AND(U158&gt;=31,U158&lt;40),AND(AA158&gt;=31,AA158&lt;40)),IF(AND(OR(COUNTIF(C158:AF158,"=31")&gt;=1,COUNTIF(C158:AF158,"=32")&gt;=1,COUNTIF(C158:AF158,"=33")&gt;=1,COUNTIF(C158:AF158,"=34")&gt;=1,COUNTIF(C158:AF158,"=35")&gt;=1,COUNTIF(C158:AF158,"=36")&gt;=1 ),COUNTIF(C158:AF158,"")=0,COUNTIF(C158:AF158," ")=0,COUNTIF(C158:AF158,"F")=1),CONCATENATE(SUM(EXTRACTNUMBER(C158),EXTRACTNUMBER(E158),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EXTRACTNUMBER(AC158),EXTRACTNUMBER(AE158)),"*"),IF(AND(COUNTIF(C158:AF158,"=34")&gt;=1,COUNTIF(C158:AF158,"=35")&gt;=1,COUNTIF(C158:AF158,"f")=2,COUNTIF(C158:AF158,"")=0,COUNTIF(C158:AF158," ")=0),CONCATENATE(SUM(EXTRACTNUMBER(C158),EXTRACTNUMBER(E158),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EXTRACTNUMBER(AC158),EXTRACTNUMBER(AE158)),"*"),IF(AND(COUNTIF(C158:AF158,"=36")&gt;=2,COUNTIF(C158:AF158,"f")=2,COUNTIF(C158:AF158,"")=0,COUNTIF(C158:AF158," ")=0),CONCATENATE(SUM(EXTRACTNUMBER(C158),EXTRACTNUMBER(E158),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EXTRACTNUMBER(AC158),EXTRACTNUMBER(AE158)),"*"),SUM(EXTRACTNUMBER(C158),EXTRACTNUMBER(E158),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EXTRACTNUMBER(AC158),EXTRACTNUMBER(AE158))))),SUM(EXTRACTNUMBER(C158),EXTRACTNUMBER(E158),
EXTRACTNUMBER(G158),EXTRACTNUMBER(I158),
EXTRACTNUMBER(K158),EXTRACTNUMBER(M158),
EXTRACTNUMBER(O158),EXTRACTNUMBER(Q158),
EXTRACTNUMBER(S158),EXTRACTNUMBER(U158),
EXTRACTNUMBER(W158),EXTRACTNUMBER(Y158),EXTRACTNUMBER(AA158),
EXTRACTNUMBER(AC158),EXTRACTNUMBER(AE158)))</f>
        <v>423</v>
      </c>
      <c r="AH158" s="38" t="str">
        <f t="shared" si="47"/>
        <v>ABSENT</v>
      </c>
      <c r="AI158" s="28" t="str">
        <f>spellnumber(EXTRACTnUMBER_TOT(AG158))</f>
        <v xml:space="preserve">Four Hundred Twenty Three </v>
      </c>
    </row>
    <row r="159" spans="1:35" ht="15" customHeight="1">
      <c r="A159" s="59">
        <v>223359</v>
      </c>
      <c r="B159" s="42" t="s">
        <v>309</v>
      </c>
      <c r="C159" s="60" t="s">
        <v>57</v>
      </c>
      <c r="D159" s="61" t="str">
        <f t="shared" si="33"/>
        <v xml:space="preserve"> </v>
      </c>
      <c r="E159" s="62" t="s">
        <v>67</v>
      </c>
      <c r="F159" s="61" t="str">
        <f t="shared" si="34"/>
        <v xml:space="preserve"> </v>
      </c>
      <c r="G159" s="63">
        <v>40</v>
      </c>
      <c r="H159" s="61" t="str">
        <f t="shared" ca="1" si="35"/>
        <v/>
      </c>
      <c r="I159" s="62" t="s">
        <v>73</v>
      </c>
      <c r="J159" s="61" t="str">
        <f t="shared" si="36"/>
        <v xml:space="preserve"> </v>
      </c>
      <c r="K159" s="62" t="s">
        <v>74</v>
      </c>
      <c r="L159" s="61" t="str">
        <f t="shared" si="37"/>
        <v xml:space="preserve"> </v>
      </c>
      <c r="M159" s="63" t="s">
        <v>56</v>
      </c>
      <c r="N159" s="61" t="str">
        <f t="shared" si="32"/>
        <v xml:space="preserve"> </v>
      </c>
      <c r="O159" s="62" t="s">
        <v>73</v>
      </c>
      <c r="P159" s="64" t="str">
        <f t="shared" si="38"/>
        <v xml:space="preserve"> </v>
      </c>
      <c r="Q159" s="60" t="s">
        <v>57</v>
      </c>
      <c r="R159" s="61" t="str">
        <f t="shared" si="39"/>
        <v xml:space="preserve"> </v>
      </c>
      <c r="S159" s="62" t="s">
        <v>75</v>
      </c>
      <c r="T159" s="64" t="str">
        <f t="shared" si="40"/>
        <v xml:space="preserve"> </v>
      </c>
      <c r="U159" s="60" t="s">
        <v>80</v>
      </c>
      <c r="V159" s="61" t="str">
        <f t="shared" si="41"/>
        <v xml:space="preserve"> </v>
      </c>
      <c r="W159" s="62" t="s">
        <v>70</v>
      </c>
      <c r="X159" s="64" t="str">
        <f t="shared" si="42"/>
        <v xml:space="preserve"> </v>
      </c>
      <c r="Y159" s="62" t="s">
        <v>71</v>
      </c>
      <c r="Z159" s="64" t="str">
        <f t="shared" si="43"/>
        <v xml:space="preserve"> </v>
      </c>
      <c r="AA159" s="60" t="s">
        <v>58</v>
      </c>
      <c r="AB159" s="61" t="str">
        <f t="shared" si="44"/>
        <v xml:space="preserve"> </v>
      </c>
      <c r="AC159" s="62" t="s">
        <v>73</v>
      </c>
      <c r="AD159" s="61" t="str">
        <f t="shared" si="45"/>
        <v xml:space="preserve"> </v>
      </c>
      <c r="AE159" s="62" t="s">
        <v>63</v>
      </c>
      <c r="AF159" s="64" t="str">
        <f t="shared" si="46"/>
        <v xml:space="preserve"> </v>
      </c>
      <c r="AG159" s="66">
        <f>IF(OR(AND(C159&gt;=31,C159&lt;40),AND(G159&gt;=31,G159&lt;40),AND(M159&gt;=31,M159&lt;40),AND(Q159&gt;=31,Q159&lt;40),AND(U159&gt;=31,U159&lt;40),AND(AA159&gt;=31,AA159&lt;40)),IF(AND(OR(COUNTIF(C159:AF159,"=31")&gt;=1,COUNTIF(C159:AF159,"=32")&gt;=1,COUNTIF(C159:AF159,"=33")&gt;=1,COUNTIF(C159:AF159,"=34")&gt;=1,COUNTIF(C159:AF159,"=35")&gt;=1,COUNTIF(C159:AF159,"=36")&gt;=1 ),COUNTIF(C159:AF159,"")=0,COUNTIF(C159:AF159," ")=0,COUNTIF(C159:AF159,"F")=1),CONCATENATE(SUM(EXTRACTNUMBER(C159),EXTRACTNUMBER(E159),
EXTRACTNUMBER(G159),EXTRACTNUMBER(I159),
EXTRACTNUMBER(K159),EXTRACTNUMBER(M159),
EXTRACTNUMBER(O159),EXTRACTNUMBER(Q159),
EXTRACTNUMBER(S159),EXTRACTNUMBER(U159),
EXTRACTNUMBER(W159),EXTRACTNUMBER(Y159),EXTRACTNUMBER(AA159),
EXTRACTNUMBER(AC159),EXTRACTNUMBER(AE159)),"*"),IF(AND(COUNTIF(C159:AF159,"=34")&gt;=1,COUNTIF(C159:AF159,"=35")&gt;=1,COUNTIF(C159:AF159,"f")=2,COUNTIF(C159:AF159,"")=0,COUNTIF(C159:AF159," ")=0),CONCATENATE(SUM(EXTRACTNUMBER(C159),EXTRACTNUMBER(E159),
EXTRACTNUMBER(G159),EXTRACTNUMBER(I159),
EXTRACTNUMBER(K159),EXTRACTNUMBER(M159),
EXTRACTNUMBER(O159),EXTRACTNUMBER(Q159),
EXTRACTNUMBER(S159),EXTRACTNUMBER(U159),
EXTRACTNUMBER(W159),EXTRACTNUMBER(Y159),EXTRACTNUMBER(AA159),
EXTRACTNUMBER(AC159),EXTRACTNUMBER(AE159)),"*"),IF(AND(COUNTIF(C159:AF159,"=36")&gt;=2,COUNTIF(C159:AF159,"f")=2,COUNTIF(C159:AF159,"")=0,COUNTIF(C159:AF159," ")=0),CONCATENATE(SUM(EXTRACTNUMBER(C159),EXTRACTNUMBER(E159),
EXTRACTNUMBER(G159),EXTRACTNUMBER(I159),
EXTRACTNUMBER(K159),EXTRACTNUMBER(M159),
EXTRACTNUMBER(O159),EXTRACTNUMBER(Q159),
EXTRACTNUMBER(S159),EXTRACTNUMBER(U159),
EXTRACTNUMBER(W159),EXTRACTNUMBER(Y159),EXTRACTNUMBER(AA159),
EXTRACTNUMBER(AC159),EXTRACTNUMBER(AE159)),"*"),SUM(EXTRACTNUMBER(C159),EXTRACTNUMBER(E159),
EXTRACTNUMBER(G159),EXTRACTNUMBER(I159),
EXTRACTNUMBER(K159),EXTRACTNUMBER(M159),
EXTRACTNUMBER(O159),EXTRACTNUMBER(Q159),
EXTRACTNUMBER(S159),EXTRACTNUMBER(U159),
EXTRACTNUMBER(W159),EXTRACTNUMBER(Y159),EXTRACTNUMBER(AA159),
EXTRACTNUMBER(AC159),EXTRACTNUMBER(AE159))))),SUM(EXTRACTNUMBER(C159),EXTRACTNUMBER(E159),
EXTRACTNUMBER(G159),EXTRACTNUMBER(I159),
EXTRACTNUMBER(K159),EXTRACTNUMBER(M159),
EXTRACTNUMBER(O159),EXTRACTNUMBER(Q159),
EXTRACTNUMBER(S159),EXTRACTNUMBER(U159),
EXTRACTNUMBER(W159),EXTRACTNUMBER(Y159),EXTRACTNUMBER(AA159),
EXTRACTNUMBER(AC159),EXTRACTNUMBER(AE159)))</f>
        <v>472</v>
      </c>
      <c r="AH159" s="38" t="str">
        <f t="shared" ca="1" si="47"/>
        <v>PASS</v>
      </c>
      <c r="AI159" s="28" t="str">
        <f>spellnumber(EXTRACTnUMBER_TOT(AG159))</f>
        <v xml:space="preserve">Four Hundred Seventy Two </v>
      </c>
    </row>
    <row r="160" spans="1:35" ht="15" customHeight="1">
      <c r="A160" s="59">
        <v>223360</v>
      </c>
      <c r="B160" s="42" t="s">
        <v>31</v>
      </c>
      <c r="C160" s="60" t="s">
        <v>58</v>
      </c>
      <c r="D160" s="61" t="str">
        <f t="shared" si="33"/>
        <v xml:space="preserve"> </v>
      </c>
      <c r="E160" s="62" t="s">
        <v>66</v>
      </c>
      <c r="F160" s="61" t="str">
        <f t="shared" si="34"/>
        <v xml:space="preserve"> </v>
      </c>
      <c r="G160" s="63" t="s">
        <v>63</v>
      </c>
      <c r="H160" s="61" t="str">
        <f t="shared" si="35"/>
        <v xml:space="preserve"> </v>
      </c>
      <c r="I160" s="62" t="s">
        <v>74</v>
      </c>
      <c r="J160" s="61" t="str">
        <f t="shared" si="36"/>
        <v xml:space="preserve"> </v>
      </c>
      <c r="K160" s="62" t="s">
        <v>74</v>
      </c>
      <c r="L160" s="61" t="str">
        <f t="shared" si="37"/>
        <v xml:space="preserve"> </v>
      </c>
      <c r="M160" s="63" t="s">
        <v>80</v>
      </c>
      <c r="N160" s="61" t="str">
        <f t="shared" si="32"/>
        <v xml:space="preserve"> </v>
      </c>
      <c r="O160" s="62" t="s">
        <v>73</v>
      </c>
      <c r="P160" s="64" t="str">
        <f t="shared" si="38"/>
        <v xml:space="preserve"> </v>
      </c>
      <c r="Q160" s="60" t="s">
        <v>56</v>
      </c>
      <c r="R160" s="61" t="str">
        <f t="shared" si="39"/>
        <v xml:space="preserve"> </v>
      </c>
      <c r="S160" s="62" t="s">
        <v>72</v>
      </c>
      <c r="T160" s="64" t="str">
        <f t="shared" si="40"/>
        <v xml:space="preserve"> </v>
      </c>
      <c r="U160" s="60" t="s">
        <v>86</v>
      </c>
      <c r="V160" s="61" t="str">
        <f t="shared" si="41"/>
        <v xml:space="preserve"> </v>
      </c>
      <c r="W160" s="62" t="s">
        <v>71</v>
      </c>
      <c r="X160" s="64" t="str">
        <f t="shared" si="42"/>
        <v xml:space="preserve"> </v>
      </c>
      <c r="Y160" s="62" t="s">
        <v>70</v>
      </c>
      <c r="Z160" s="64" t="str">
        <f t="shared" si="43"/>
        <v xml:space="preserve"> </v>
      </c>
      <c r="AA160" s="60">
        <v>49</v>
      </c>
      <c r="AB160" s="61" t="str">
        <f t="shared" ca="1" si="44"/>
        <v/>
      </c>
      <c r="AC160" s="62" t="s">
        <v>73</v>
      </c>
      <c r="AD160" s="61" t="str">
        <f t="shared" si="45"/>
        <v xml:space="preserve"> </v>
      </c>
      <c r="AE160" s="62" t="s">
        <v>79</v>
      </c>
      <c r="AF160" s="64" t="str">
        <f t="shared" si="46"/>
        <v xml:space="preserve"> </v>
      </c>
      <c r="AG160" s="66">
        <f>IF(OR(AND(C160&gt;=31,C160&lt;40),AND(G160&gt;=31,G160&lt;40),AND(M160&gt;=31,M160&lt;40),AND(Q160&gt;=31,Q160&lt;40),AND(U160&gt;=31,U160&lt;40),AND(AA160&gt;=31,AA160&lt;40)),IF(AND(OR(COUNTIF(C160:AF160,"=31")&gt;=1,COUNTIF(C160:AF160,"=32")&gt;=1,COUNTIF(C160:AF160,"=33")&gt;=1,COUNTIF(C160:AF160,"=34")&gt;=1,COUNTIF(C160:AF160,"=35")&gt;=1,COUNTIF(C160:AF160,"=36")&gt;=1 ),COUNTIF(C160:AF160,"")=0,COUNTIF(C160:AF160," ")=0,COUNTIF(C160:AF160,"F")=1),CONCATENATE(SUM(EXTRACTNUMBER(C160),EXTRACTNUMBER(E160),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EXTRACTNUMBER(AC160),EXTRACTNUMBER(AE160)),"*"),IF(AND(COUNTIF(C160:AF160,"=34")&gt;=1,COUNTIF(C160:AF160,"=35")&gt;=1,COUNTIF(C160:AF160,"f")=2,COUNTIF(C160:AF160,"")=0,COUNTIF(C160:AF160," ")=0),CONCATENATE(SUM(EXTRACTNUMBER(C160),EXTRACTNUMBER(E160),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EXTRACTNUMBER(AC160),EXTRACTNUMBER(AE160)),"*"),IF(AND(COUNTIF(C160:AF160,"=36")&gt;=2,COUNTIF(C160:AF160,"f")=2,COUNTIF(C160:AF160,"")=0,COUNTIF(C160:AF160," ")=0),CONCATENATE(SUM(EXTRACTNUMBER(C160),EXTRACTNUMBER(E160),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EXTRACTNUMBER(AC160),EXTRACTNUMBER(AE160)),"*"),SUM(EXTRACTNUMBER(C160),EXTRACTNUMBER(E160),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EXTRACTNUMBER(AC160),EXTRACTNUMBER(AE160))))),SUM(EXTRACTNUMBER(C160),EXTRACTNUMBER(E160),
EXTRACTNUMBER(G160),EXTRACTNUMBER(I160),
EXTRACTNUMBER(K160),EXTRACTNUMBER(M160),
EXTRACTNUMBER(O160),EXTRACTNUMBER(Q160),
EXTRACTNUMBER(S160),EXTRACTNUMBER(U160),
EXTRACTNUMBER(W160),EXTRACTNUMBER(Y160),EXTRACTNUMBER(AA160),
EXTRACTNUMBER(AC160),EXTRACTNUMBER(AE160)))</f>
        <v>487</v>
      </c>
      <c r="AH160" s="38" t="str">
        <f t="shared" ca="1" si="47"/>
        <v>PASS</v>
      </c>
      <c r="AI160" s="28" t="str">
        <f>spellnumber(EXTRACTnUMBER_TOT(AG160))</f>
        <v xml:space="preserve">Four Hundred Eighty Seven </v>
      </c>
    </row>
    <row r="161" spans="1:35" ht="15" customHeight="1">
      <c r="A161" s="59">
        <v>223361</v>
      </c>
      <c r="B161" s="42" t="s">
        <v>32</v>
      </c>
      <c r="C161" s="60">
        <v>19</v>
      </c>
      <c r="D161" s="61" t="str">
        <f t="shared" ca="1" si="33"/>
        <v>F</v>
      </c>
      <c r="E161" s="62" t="s">
        <v>67</v>
      </c>
      <c r="F161" s="61" t="str">
        <f t="shared" si="34"/>
        <v xml:space="preserve"> </v>
      </c>
      <c r="G161" s="63" t="s">
        <v>103</v>
      </c>
      <c r="H161" s="61" t="str">
        <f t="shared" si="35"/>
        <v/>
      </c>
      <c r="I161" s="62" t="s">
        <v>68</v>
      </c>
      <c r="J161" s="61" t="str">
        <f t="shared" si="36"/>
        <v xml:space="preserve"> </v>
      </c>
      <c r="K161" s="62" t="s">
        <v>69</v>
      </c>
      <c r="L161" s="61" t="str">
        <f t="shared" si="37"/>
        <v xml:space="preserve"> </v>
      </c>
      <c r="M161" s="63" t="s">
        <v>58</v>
      </c>
      <c r="N161" s="61" t="str">
        <f t="shared" si="32"/>
        <v xml:space="preserve"> </v>
      </c>
      <c r="O161" s="62" t="s">
        <v>70</v>
      </c>
      <c r="P161" s="64" t="str">
        <f t="shared" si="38"/>
        <v xml:space="preserve"> </v>
      </c>
      <c r="Q161" s="60" t="s">
        <v>80</v>
      </c>
      <c r="R161" s="61" t="str">
        <f t="shared" si="39"/>
        <v xml:space="preserve"> </v>
      </c>
      <c r="S161" s="62" t="s">
        <v>74</v>
      </c>
      <c r="T161" s="64" t="str">
        <f t="shared" si="40"/>
        <v xml:space="preserve"> </v>
      </c>
      <c r="U161" s="60" t="s">
        <v>77</v>
      </c>
      <c r="V161" s="61" t="str">
        <f t="shared" si="41"/>
        <v xml:space="preserve"> </v>
      </c>
      <c r="W161" s="62" t="s">
        <v>72</v>
      </c>
      <c r="X161" s="64" t="str">
        <f t="shared" si="42"/>
        <v xml:space="preserve"> </v>
      </c>
      <c r="Y161" s="62" t="s">
        <v>75</v>
      </c>
      <c r="Z161" s="64" t="str">
        <f t="shared" si="43"/>
        <v xml:space="preserve"> </v>
      </c>
      <c r="AA161" s="60" t="s">
        <v>55</v>
      </c>
      <c r="AB161" s="61" t="str">
        <f t="shared" si="44"/>
        <v xml:space="preserve"> </v>
      </c>
      <c r="AC161" s="62" t="s">
        <v>74</v>
      </c>
      <c r="AD161" s="61" t="str">
        <f t="shared" si="45"/>
        <v xml:space="preserve"> </v>
      </c>
      <c r="AE161" s="62" t="s">
        <v>79</v>
      </c>
      <c r="AF161" s="64" t="str">
        <f t="shared" si="46"/>
        <v xml:space="preserve"> </v>
      </c>
      <c r="AG161" s="66">
        <f>IF(OR(AND(C161&gt;=31,C161&lt;40),AND(G161&gt;=31,G161&lt;40),AND(M161&gt;=31,M161&lt;40),AND(Q161&gt;=31,Q161&lt;40),AND(U161&gt;=31,U161&lt;40),AND(AA161&gt;=31,AA161&lt;40)),IF(AND(OR(COUNTIF(C161:AF161,"=31")&gt;=1,COUNTIF(C161:AF161,"=32")&gt;=1,COUNTIF(C161:AF161,"=33")&gt;=1,COUNTIF(C161:AF161,"=34")&gt;=1,COUNTIF(C161:AF161,"=35")&gt;=1,COUNTIF(C161:AF161,"=36")&gt;=1 ),COUNTIF(C161:AF161,"")=0,COUNTIF(C161:AF161," ")=0,COUNTIF(C161:AF161,"F")=1),CONCATENATE(SUM(EXTRACTNUMBER(C161),EXTRACTNUMBER(E161),
EXTRACTNUMBER(G161),EXTRACTNUMBER(I161),
EXTRACTNUMBER(K161),EXTRACTNUMBER(M161),
EXTRACTNUMBER(O161),EXTRACTNUMBER(Q161),
EXTRACTNUMBER(S161),EXTRACTNUMBER(U161),
EXTRACTNUMBER(W161),EXTRACTNUMBER(Y161),EXTRACTNUMBER(AA161),
EXTRACTNUMBER(AC161),EXTRACTNUMBER(AE161)),"*"),IF(AND(COUNTIF(C161:AF161,"=34")&gt;=1,COUNTIF(C161:AF161,"=35")&gt;=1,COUNTIF(C161:AF161,"f")=2,COUNTIF(C161:AF161,"")=0,COUNTIF(C161:AF161," ")=0),CONCATENATE(SUM(EXTRACTNUMBER(C161),EXTRACTNUMBER(E161),
EXTRACTNUMBER(G161),EXTRACTNUMBER(I161),
EXTRACTNUMBER(K161),EXTRACTNUMBER(M161),
EXTRACTNUMBER(O161),EXTRACTNUMBER(Q161),
EXTRACTNUMBER(S161),EXTRACTNUMBER(U161),
EXTRACTNUMBER(W161),EXTRACTNUMBER(Y161),EXTRACTNUMBER(AA161),
EXTRACTNUMBER(AC161),EXTRACTNUMBER(AE161)),"*"),IF(AND(COUNTIF(C161:AF161,"=36")&gt;=2,COUNTIF(C161:AF161,"f")=2,COUNTIF(C161:AF161,"")=0,COUNTIF(C161:AF161," ")=0),CONCATENATE(SUM(EXTRACTNUMBER(C161),EXTRACTNUMBER(E161),
EXTRACTNUMBER(G161),EXTRACTNUMBER(I161),
EXTRACTNUMBER(K161),EXTRACTNUMBER(M161),
EXTRACTNUMBER(O161),EXTRACTNUMBER(Q161),
EXTRACTNUMBER(S161),EXTRACTNUMBER(U161),
EXTRACTNUMBER(W161),EXTRACTNUMBER(Y161),EXTRACTNUMBER(AA161),
EXTRACTNUMBER(AC161),EXTRACTNUMBER(AE161)),"*"),SUM(EXTRACTNUMBER(C161),EXTRACTNUMBER(E161),
EXTRACTNUMBER(G161),EXTRACTNUMBER(I161),
EXTRACTNUMBER(K161),EXTRACTNUMBER(M161),
EXTRACTNUMBER(O161),EXTRACTNUMBER(Q161),
EXTRACTNUMBER(S161),EXTRACTNUMBER(U161),
EXTRACTNUMBER(W161),EXTRACTNUMBER(Y161),EXTRACTNUMBER(AA161),
EXTRACTNUMBER(AC161),EXTRACTNUMBER(AE161))))),SUM(EXTRACTNUMBER(C161),EXTRACTNUMBER(E161),
EXTRACTNUMBER(G161),EXTRACTNUMBER(I161),
EXTRACTNUMBER(K161),EXTRACTNUMBER(M161),
EXTRACTNUMBER(O161),EXTRACTNUMBER(Q161),
EXTRACTNUMBER(S161),EXTRACTNUMBER(U161),
EXTRACTNUMBER(W161),EXTRACTNUMBER(Y161),EXTRACTNUMBER(AA161),
EXTRACTNUMBER(AC161),EXTRACTNUMBER(AE161)))</f>
        <v>406</v>
      </c>
      <c r="AH161" s="38" t="str">
        <f t="shared" ca="1" si="47"/>
        <v>FAIL</v>
      </c>
      <c r="AI161" s="28" t="str">
        <f>spellnumber(EXTRACTnUMBER_TOT(AG161))</f>
        <v xml:space="preserve">Four Hundred Six </v>
      </c>
    </row>
    <row r="162" spans="1:35" ht="15" customHeight="1">
      <c r="A162" s="59">
        <v>223362</v>
      </c>
      <c r="B162" s="42" t="s">
        <v>33</v>
      </c>
      <c r="C162" s="60" t="s">
        <v>62</v>
      </c>
      <c r="D162" s="61" t="str">
        <f t="shared" si="33"/>
        <v xml:space="preserve"> </v>
      </c>
      <c r="E162" s="62" t="s">
        <v>67</v>
      </c>
      <c r="F162" s="61" t="str">
        <f t="shared" si="34"/>
        <v xml:space="preserve"> </v>
      </c>
      <c r="G162" s="63" t="s">
        <v>103</v>
      </c>
      <c r="H162" s="61" t="str">
        <f t="shared" si="35"/>
        <v/>
      </c>
      <c r="I162" s="62" t="s">
        <v>68</v>
      </c>
      <c r="J162" s="61" t="str">
        <f t="shared" si="36"/>
        <v xml:space="preserve"> </v>
      </c>
      <c r="K162" s="62" t="s">
        <v>72</v>
      </c>
      <c r="L162" s="61" t="str">
        <f t="shared" si="37"/>
        <v xml:space="preserve"> </v>
      </c>
      <c r="M162" s="63" t="s">
        <v>56</v>
      </c>
      <c r="N162" s="61" t="str">
        <f t="shared" si="32"/>
        <v xml:space="preserve"> </v>
      </c>
      <c r="O162" s="62" t="s">
        <v>71</v>
      </c>
      <c r="P162" s="64" t="str">
        <f t="shared" si="38"/>
        <v xml:space="preserve"> </v>
      </c>
      <c r="Q162" s="60" t="s">
        <v>58</v>
      </c>
      <c r="R162" s="61" t="str">
        <f t="shared" si="39"/>
        <v xml:space="preserve"> </v>
      </c>
      <c r="S162" s="62" t="s">
        <v>70</v>
      </c>
      <c r="T162" s="64" t="str">
        <f t="shared" si="40"/>
        <v xml:space="preserve"> </v>
      </c>
      <c r="U162" s="60" t="s">
        <v>55</v>
      </c>
      <c r="V162" s="61" t="str">
        <f t="shared" si="41"/>
        <v xml:space="preserve"> </v>
      </c>
      <c r="W162" s="62" t="s">
        <v>71</v>
      </c>
      <c r="X162" s="64" t="str">
        <f t="shared" si="42"/>
        <v xml:space="preserve"> </v>
      </c>
      <c r="Y162" s="62" t="s">
        <v>69</v>
      </c>
      <c r="Z162" s="64" t="str">
        <f t="shared" si="43"/>
        <v xml:space="preserve"> </v>
      </c>
      <c r="AA162" s="60">
        <v>31</v>
      </c>
      <c r="AB162" s="61" t="str">
        <f t="shared" ca="1" si="44"/>
        <v>F</v>
      </c>
      <c r="AC162" s="62" t="s">
        <v>70</v>
      </c>
      <c r="AD162" s="61" t="str">
        <f t="shared" si="45"/>
        <v xml:space="preserve"> </v>
      </c>
      <c r="AE162" s="62" t="s">
        <v>63</v>
      </c>
      <c r="AF162" s="64" t="str">
        <f t="shared" si="46"/>
        <v xml:space="preserve"> </v>
      </c>
      <c r="AG162" s="66">
        <f ca="1">IF(OR(AND(C162&gt;=31,C162&lt;40),AND(G162&gt;=31,G162&lt;40),AND(M162&gt;=31,M162&lt;40),AND(Q162&gt;=31,Q162&lt;40),AND(U162&gt;=31,U162&lt;40),AND(AA162&gt;=31,AA162&lt;40)),IF(AND(OR(COUNTIF(C162:AF162,"=31")&gt;=1,COUNTIF(C162:AF162,"=32")&gt;=1,COUNTIF(C162:AF162,"=33")&gt;=1,COUNTIF(C162:AF162,"=34")&gt;=1,COUNTIF(C162:AF162,"=35")&gt;=1,COUNTIF(C162:AF162,"=36")&gt;=1 ),COUNTIF(C162:AF162,"")=0,COUNTIF(C162:AF162," ")=0,COUNTIF(C162:AF162,"F")=1),CONCATENATE(SUM(EXTRACTNUMBER(C162),EXTRACTNUMBER(E162),
EXTRACTNUMBER(G162),EXTRACTNUMBER(I162),
EXTRACTNUMBER(K162),EXTRACTNUMBER(M162),
EXTRACTNUMBER(O162),EXTRACTNUMBER(Q162),
EXTRACTNUMBER(S162),EXTRACTNUMBER(U162),
EXTRACTNUMBER(W162),EXTRACTNUMBER(Y162),EXTRACTNUMBER(AA162),
EXTRACTNUMBER(AC162),EXTRACTNUMBER(AE162)),"*"),IF(AND(COUNTIF(C162:AF162,"=34")&gt;=1,COUNTIF(C162:AF162,"=35")&gt;=1,COUNTIF(C162:AF162,"f")=2,COUNTIF(C162:AF162,"")=0,COUNTIF(C162:AF162," ")=0),CONCATENATE(SUM(EXTRACTNUMBER(C162),EXTRACTNUMBER(E162),
EXTRACTNUMBER(G162),EXTRACTNUMBER(I162),
EXTRACTNUMBER(K162),EXTRACTNUMBER(M162),
EXTRACTNUMBER(O162),EXTRACTNUMBER(Q162),
EXTRACTNUMBER(S162),EXTRACTNUMBER(U162),
EXTRACTNUMBER(W162),EXTRACTNUMBER(Y162),EXTRACTNUMBER(AA162),
EXTRACTNUMBER(AC162),EXTRACTNUMBER(AE162)),"*"),IF(AND(COUNTIF(C162:AF162,"=36")&gt;=2,COUNTIF(C162:AF162,"f")=2,COUNTIF(C162:AF162,"")=0,COUNTIF(C162:AF162," ")=0),CONCATENATE(SUM(EXTRACTNUMBER(C162),EXTRACTNUMBER(E162),
EXTRACTNUMBER(G162),EXTRACTNUMBER(I162),
EXTRACTNUMBER(K162),EXTRACTNUMBER(M162),
EXTRACTNUMBER(O162),EXTRACTNUMBER(Q162),
EXTRACTNUMBER(S162),EXTRACTNUMBER(U162),
EXTRACTNUMBER(W162),EXTRACTNUMBER(Y162),EXTRACTNUMBER(AA162),
EXTRACTNUMBER(AC162),EXTRACTNUMBER(AE162)),"*"),SUM(EXTRACTNUMBER(C162),EXTRACTNUMBER(E162),
EXTRACTNUMBER(G162),EXTRACTNUMBER(I162),
EXTRACTNUMBER(K162),EXTRACTNUMBER(M162),
EXTRACTNUMBER(O162),EXTRACTNUMBER(Q162),
EXTRACTNUMBER(S162),EXTRACTNUMBER(U162),
EXTRACTNUMBER(W162),EXTRACTNUMBER(Y162),EXTRACTNUMBER(AA162),
EXTRACTNUMBER(AC162),EXTRACTNUMBER(AE162))))),SUM(EXTRACTNUMBER(C162),EXTRACTNUMBER(E162),
EXTRACTNUMBER(G162),EXTRACTNUMBER(I162),
EXTRACTNUMBER(K162),EXTRACTNUMBER(M162),
EXTRACTNUMBER(O162),EXTRACTNUMBER(Q162),
EXTRACTNUMBER(S162),EXTRACTNUMBER(U162),
EXTRACTNUMBER(W162),EXTRACTNUMBER(Y162),EXTRACTNUMBER(AA162),
EXTRACTNUMBER(AC162),EXTRACTNUMBER(AE162)))</f>
        <v>400</v>
      </c>
      <c r="AH162" s="38" t="str">
        <f t="shared" ca="1" si="47"/>
        <v>FAIL</v>
      </c>
      <c r="AI162" s="28" t="e">
        <f ca="1">spellnumber(EXTRACTnUMBER_TOT(AG162))</f>
        <v>#NAME?</v>
      </c>
    </row>
    <row r="163" spans="1:35" ht="15" customHeight="1">
      <c r="A163" s="59">
        <v>223363</v>
      </c>
      <c r="B163" s="42" t="s">
        <v>310</v>
      </c>
      <c r="C163" s="60" t="s">
        <v>56</v>
      </c>
      <c r="D163" s="61" t="str">
        <f t="shared" si="33"/>
        <v xml:space="preserve"> </v>
      </c>
      <c r="E163" s="62" t="s">
        <v>73</v>
      </c>
      <c r="F163" s="61" t="str">
        <f t="shared" si="34"/>
        <v xml:space="preserve"> </v>
      </c>
      <c r="G163" s="63" t="s">
        <v>103</v>
      </c>
      <c r="H163" s="61" t="str">
        <f t="shared" si="35"/>
        <v/>
      </c>
      <c r="I163" s="62" t="s">
        <v>74</v>
      </c>
      <c r="J163" s="61" t="str">
        <f t="shared" si="36"/>
        <v xml:space="preserve"> </v>
      </c>
      <c r="K163" s="62" t="s">
        <v>72</v>
      </c>
      <c r="L163" s="61" t="str">
        <f t="shared" si="37"/>
        <v xml:space="preserve"> </v>
      </c>
      <c r="M163" s="63" t="s">
        <v>64</v>
      </c>
      <c r="N163" s="61" t="str">
        <f t="shared" si="32"/>
        <v xml:space="preserve"> </v>
      </c>
      <c r="O163" s="62" t="s">
        <v>74</v>
      </c>
      <c r="P163" s="64" t="str">
        <f t="shared" si="38"/>
        <v xml:space="preserve"> </v>
      </c>
      <c r="Q163" s="60" t="s">
        <v>88</v>
      </c>
      <c r="R163" s="61" t="str">
        <f t="shared" si="39"/>
        <v xml:space="preserve"> </v>
      </c>
      <c r="S163" s="62" t="s">
        <v>74</v>
      </c>
      <c r="T163" s="64" t="str">
        <f t="shared" si="40"/>
        <v xml:space="preserve"> </v>
      </c>
      <c r="U163" s="60" t="s">
        <v>87</v>
      </c>
      <c r="V163" s="61" t="str">
        <f t="shared" si="41"/>
        <v xml:space="preserve"> </v>
      </c>
      <c r="W163" s="62" t="s">
        <v>70</v>
      </c>
      <c r="X163" s="64" t="str">
        <f t="shared" si="42"/>
        <v xml:space="preserve"> </v>
      </c>
      <c r="Y163" s="62" t="s">
        <v>70</v>
      </c>
      <c r="Z163" s="64" t="str">
        <f t="shared" si="43"/>
        <v xml:space="preserve"> </v>
      </c>
      <c r="AA163" s="60" t="s">
        <v>92</v>
      </c>
      <c r="AB163" s="61" t="str">
        <f t="shared" si="44"/>
        <v xml:space="preserve"> </v>
      </c>
      <c r="AC163" s="62" t="s">
        <v>74</v>
      </c>
      <c r="AD163" s="61" t="str">
        <f t="shared" si="45"/>
        <v xml:space="preserve"> </v>
      </c>
      <c r="AE163" s="62" t="s">
        <v>64</v>
      </c>
      <c r="AF163" s="64" t="str">
        <f t="shared" si="46"/>
        <v xml:space="preserve"> </v>
      </c>
      <c r="AG163" s="66">
        <f>IF(OR(AND(C163&gt;=31,C163&lt;40),AND(G163&gt;=31,G163&lt;40),AND(M163&gt;=31,M163&lt;40),AND(Q163&gt;=31,Q163&lt;40),AND(U163&gt;=31,U163&lt;40),AND(AA163&gt;=31,AA163&lt;40)),IF(AND(OR(COUNTIF(C163:AF163,"=31")&gt;=1,COUNTIF(C163:AF163,"=32")&gt;=1,COUNTIF(C163:AF163,"=33")&gt;=1,COUNTIF(C163:AF163,"=34")&gt;=1,COUNTIF(C163:AF163,"=35")&gt;=1,COUNTIF(C163:AF163,"=36")&gt;=1 ),COUNTIF(C163:AF163,"")=0,COUNTIF(C163:AF163," ")=0,COUNTIF(C163:AF163,"F")=1),CONCATENATE(SUM(EXTRACTNUMBER(C163),EXTRACTNUMBER(E163),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EXTRACTNUMBER(AC163),EXTRACTNUMBER(AE163)),"*"),IF(AND(COUNTIF(C163:AF163,"=34")&gt;=1,COUNTIF(C163:AF163,"=35")&gt;=1,COUNTIF(C163:AF163,"f")=2,COUNTIF(C163:AF163,"")=0,COUNTIF(C163:AF163," ")=0),CONCATENATE(SUM(EXTRACTNUMBER(C163),EXTRACTNUMBER(E163),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EXTRACTNUMBER(AC163),EXTRACTNUMBER(AE163)),"*"),IF(AND(COUNTIF(C163:AF163,"=36")&gt;=2,COUNTIF(C163:AF163,"f")=2,COUNTIF(C163:AF163,"")=0,COUNTIF(C163:AF163," ")=0),CONCATENATE(SUM(EXTRACTNUMBER(C163),EXTRACTNUMBER(E163),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EXTRACTNUMBER(AC163),EXTRACTNUMBER(AE163)),"*"),SUM(EXTRACTNUMBER(C163),EXTRACTNUMBER(E163),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EXTRACTNUMBER(AC163),EXTRACTNUMBER(AE163))))),SUM(EXTRACTNUMBER(C163),EXTRACTNUMBER(E163),
EXTRACTNUMBER(G163),EXTRACTNUMBER(I163),
EXTRACTNUMBER(K163),EXTRACTNUMBER(M163),
EXTRACTNUMBER(O163),EXTRACTNUMBER(Q163),
EXTRACTNUMBER(S163),EXTRACTNUMBER(U163),
EXTRACTNUMBER(W163),EXTRACTNUMBER(Y163),EXTRACTNUMBER(AA163),
EXTRACTNUMBER(AC163),EXTRACTNUMBER(AE163)))</f>
        <v>469</v>
      </c>
      <c r="AH163" s="38" t="str">
        <f t="shared" si="47"/>
        <v>ABSENT</v>
      </c>
      <c r="AI163" s="28" t="str">
        <f>spellnumber(EXTRACTnUMBER_TOT(AG163))</f>
        <v xml:space="preserve">Four Hundred Sixty Nine </v>
      </c>
    </row>
    <row r="164" spans="1:35" ht="15" customHeight="1">
      <c r="A164" s="59">
        <v>223364</v>
      </c>
      <c r="B164" s="41" t="s">
        <v>311</v>
      </c>
      <c r="C164" s="60">
        <v>22</v>
      </c>
      <c r="D164" s="61" t="str">
        <f t="shared" ca="1" si="33"/>
        <v>F</v>
      </c>
      <c r="E164" s="62" t="s">
        <v>66</v>
      </c>
      <c r="F164" s="61" t="str">
        <f t="shared" si="34"/>
        <v xml:space="preserve"> </v>
      </c>
      <c r="G164" s="63" t="s">
        <v>78</v>
      </c>
      <c r="H164" s="61" t="str">
        <f t="shared" si="35"/>
        <v xml:space="preserve"> </v>
      </c>
      <c r="I164" s="62" t="s">
        <v>75</v>
      </c>
      <c r="J164" s="61" t="str">
        <f t="shared" si="36"/>
        <v xml:space="preserve"> </v>
      </c>
      <c r="K164" s="62" t="s">
        <v>72</v>
      </c>
      <c r="L164" s="61" t="str">
        <f t="shared" si="37"/>
        <v xml:space="preserve"> </v>
      </c>
      <c r="M164" s="63" t="s">
        <v>88</v>
      </c>
      <c r="N164" s="61" t="str">
        <f t="shared" si="32"/>
        <v xml:space="preserve"> </v>
      </c>
      <c r="O164" s="62" t="s">
        <v>70</v>
      </c>
      <c r="P164" s="64" t="str">
        <f t="shared" si="38"/>
        <v xml:space="preserve"> </v>
      </c>
      <c r="Q164" s="60" t="s">
        <v>91</v>
      </c>
      <c r="R164" s="61" t="str">
        <f t="shared" si="39"/>
        <v xml:space="preserve"> </v>
      </c>
      <c r="S164" s="62" t="s">
        <v>71</v>
      </c>
      <c r="T164" s="64" t="str">
        <f t="shared" si="40"/>
        <v xml:space="preserve"> </v>
      </c>
      <c r="U164" s="60" t="s">
        <v>56</v>
      </c>
      <c r="V164" s="61" t="str">
        <f t="shared" si="41"/>
        <v xml:space="preserve"> </v>
      </c>
      <c r="W164" s="62" t="s">
        <v>72</v>
      </c>
      <c r="X164" s="64" t="str">
        <f t="shared" si="42"/>
        <v xml:space="preserve"> </v>
      </c>
      <c r="Y164" s="62" t="s">
        <v>74</v>
      </c>
      <c r="Z164" s="64" t="str">
        <f t="shared" si="43"/>
        <v xml:space="preserve"> </v>
      </c>
      <c r="AA164" s="60" t="s">
        <v>96</v>
      </c>
      <c r="AB164" s="61" t="str">
        <f t="shared" si="44"/>
        <v xml:space="preserve"> </v>
      </c>
      <c r="AC164" s="62" t="s">
        <v>72</v>
      </c>
      <c r="AD164" s="61" t="str">
        <f t="shared" si="45"/>
        <v xml:space="preserve"> </v>
      </c>
      <c r="AE164" s="62" t="s">
        <v>57</v>
      </c>
      <c r="AF164" s="64" t="str">
        <f t="shared" si="46"/>
        <v xml:space="preserve"> </v>
      </c>
      <c r="AG164" s="66">
        <f>IF(OR(AND(C164&gt;=31,C164&lt;40),AND(G164&gt;=31,G164&lt;40),AND(M164&gt;=31,M164&lt;40),AND(Q164&gt;=31,Q164&lt;40),AND(U164&gt;=31,U164&lt;40),AND(AA164&gt;=31,AA164&lt;40)),IF(AND(OR(COUNTIF(C164:AF164,"=31")&gt;=1,COUNTIF(C164:AF164,"=32")&gt;=1,COUNTIF(C164:AF164,"=33")&gt;=1,COUNTIF(C164:AF164,"=34")&gt;=1,COUNTIF(C164:AF164,"=35")&gt;=1,COUNTIF(C164:AF164,"=36")&gt;=1 ),COUNTIF(C164:AF164,"")=0,COUNTIF(C164:AF164," ")=0,COUNTIF(C164:AF164,"F")=1),CONCATENATE(SUM(EXTRACTNUMBER(C164),EXTRACTNUMBER(E164),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EXTRACTNUMBER(AC164),EXTRACTNUMBER(AE164)),"*"),IF(AND(COUNTIF(C164:AF164,"=34")&gt;=1,COUNTIF(C164:AF164,"=35")&gt;=1,COUNTIF(C164:AF164,"f")=2,COUNTIF(C164:AF164,"")=0,COUNTIF(C164:AF164," ")=0),CONCATENATE(SUM(EXTRACTNUMBER(C164),EXTRACTNUMBER(E164),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EXTRACTNUMBER(AC164),EXTRACTNUMBER(AE164)),"*"),IF(AND(COUNTIF(C164:AF164,"=36")&gt;=2,COUNTIF(C164:AF164,"f")=2,COUNTIF(C164:AF164,"")=0,COUNTIF(C164:AF164," ")=0),CONCATENATE(SUM(EXTRACTNUMBER(C164),EXTRACTNUMBER(E164),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EXTRACTNUMBER(AC164),EXTRACTNUMBER(AE164)),"*"),SUM(EXTRACTNUMBER(C164),EXTRACTNUMBER(E164),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EXTRACTNUMBER(AC164),EXTRACTNUMBER(AE164))))),SUM(EXTRACTNUMBER(C164),EXTRACTNUMBER(E164),
EXTRACTNUMBER(G164),EXTRACTNUMBER(I164),
EXTRACTNUMBER(K164),EXTRACTNUMBER(M164),
EXTRACTNUMBER(O164),EXTRACTNUMBER(Q164),
EXTRACTNUMBER(S164),EXTRACTNUMBER(U164),
EXTRACTNUMBER(W164),EXTRACTNUMBER(Y164),EXTRACTNUMBER(AA164),
EXTRACTNUMBER(AC164),EXTRACTNUMBER(AE164)))</f>
        <v>524</v>
      </c>
      <c r="AH164" s="38" t="str">
        <f t="shared" ca="1" si="47"/>
        <v>FAIL</v>
      </c>
      <c r="AI164" s="28" t="str">
        <f>spellnumber(EXTRACTnUMBER_TOT(AG164))</f>
        <v xml:space="preserve">Five Hundred Twenty Four </v>
      </c>
    </row>
    <row r="165" spans="1:35" ht="15" customHeight="1">
      <c r="A165" s="59">
        <v>223365</v>
      </c>
      <c r="B165" s="42" t="s">
        <v>34</v>
      </c>
      <c r="C165" s="60" t="s">
        <v>55</v>
      </c>
      <c r="D165" s="61" t="str">
        <f t="shared" si="33"/>
        <v xml:space="preserve"> </v>
      </c>
      <c r="E165" s="62" t="s">
        <v>67</v>
      </c>
      <c r="F165" s="61" t="str">
        <f t="shared" si="34"/>
        <v xml:space="preserve"> </v>
      </c>
      <c r="G165" s="63">
        <v>54</v>
      </c>
      <c r="H165" s="61" t="str">
        <f t="shared" ca="1" si="35"/>
        <v/>
      </c>
      <c r="I165" s="62" t="s">
        <v>69</v>
      </c>
      <c r="J165" s="61" t="str">
        <f t="shared" si="36"/>
        <v xml:space="preserve"> </v>
      </c>
      <c r="K165" s="62" t="s">
        <v>71</v>
      </c>
      <c r="L165" s="61" t="str">
        <f t="shared" si="37"/>
        <v xml:space="preserve"> </v>
      </c>
      <c r="M165" s="63" t="s">
        <v>65</v>
      </c>
      <c r="N165" s="61" t="str">
        <f t="shared" si="32"/>
        <v xml:space="preserve"> </v>
      </c>
      <c r="O165" s="62" t="s">
        <v>71</v>
      </c>
      <c r="P165" s="64" t="str">
        <f t="shared" si="38"/>
        <v xml:space="preserve"> </v>
      </c>
      <c r="Q165" s="60" t="s">
        <v>63</v>
      </c>
      <c r="R165" s="61" t="str">
        <f t="shared" si="39"/>
        <v xml:space="preserve"> </v>
      </c>
      <c r="S165" s="62" t="s">
        <v>74</v>
      </c>
      <c r="T165" s="64" t="str">
        <f t="shared" si="40"/>
        <v xml:space="preserve"> </v>
      </c>
      <c r="U165" s="60" t="s">
        <v>56</v>
      </c>
      <c r="V165" s="61" t="str">
        <f t="shared" si="41"/>
        <v xml:space="preserve"> </v>
      </c>
      <c r="W165" s="62" t="s">
        <v>68</v>
      </c>
      <c r="X165" s="64" t="str">
        <f t="shared" si="42"/>
        <v xml:space="preserve"> </v>
      </c>
      <c r="Y165" s="62" t="s">
        <v>68</v>
      </c>
      <c r="Z165" s="64" t="str">
        <f t="shared" si="43"/>
        <v xml:space="preserve"> </v>
      </c>
      <c r="AA165" s="60">
        <v>40</v>
      </c>
      <c r="AB165" s="61" t="str">
        <f t="shared" ca="1" si="44"/>
        <v/>
      </c>
      <c r="AC165" s="62" t="s">
        <v>71</v>
      </c>
      <c r="AD165" s="61" t="str">
        <f t="shared" si="45"/>
        <v xml:space="preserve"> </v>
      </c>
      <c r="AE165" s="62" t="s">
        <v>58</v>
      </c>
      <c r="AF165" s="64" t="str">
        <f t="shared" si="46"/>
        <v xml:space="preserve"> </v>
      </c>
      <c r="AG165" s="66">
        <f>IF(OR(AND(C165&gt;=31,C165&lt;40),AND(G165&gt;=31,G165&lt;40),AND(M165&gt;=31,M165&lt;40),AND(Q165&gt;=31,Q165&lt;40),AND(U165&gt;=31,U165&lt;40),AND(AA165&gt;=31,AA165&lt;40)),IF(AND(OR(COUNTIF(C165:AF165,"=31")&gt;=1,COUNTIF(C165:AF165,"=32")&gt;=1,COUNTIF(C165:AF165,"=33")&gt;=1,COUNTIF(C165:AF165,"=34")&gt;=1,COUNTIF(C165:AF165,"=35")&gt;=1,COUNTIF(C165:AF165,"=36")&gt;=1 ),COUNTIF(C165:AF165,"")=0,COUNTIF(C165:AF165," ")=0,COUNTIF(C165:AF165,"F")=1),CONCATENATE(SUM(EXTRACTNUMBER(C165),EXTRACTNUMBER(E165),
EXTRACTNUMBER(G165),EXTRACTNUMBER(I165),
EXTRACTNUMBER(K165),EXTRACTNUMBER(M165),
EXTRACTNUMBER(O165),EXTRACTNUMBER(Q165),
EXTRACTNUMBER(S165),EXTRACTNUMBER(U165),
EXTRACTNUMBER(W165),EXTRACTNUMBER(Y165),EXTRACTNUMBER(AA165),
EXTRACTNUMBER(AC165),EXTRACTNUMBER(AE165)),"*"),IF(AND(COUNTIF(C165:AF165,"=34")&gt;=1,COUNTIF(C165:AF165,"=35")&gt;=1,COUNTIF(C165:AF165,"f")=2,COUNTIF(C165:AF165,"")=0,COUNTIF(C165:AF165," ")=0),CONCATENATE(SUM(EXTRACTNUMBER(C165),EXTRACTNUMBER(E165),
EXTRACTNUMBER(G165),EXTRACTNUMBER(I165),
EXTRACTNUMBER(K165),EXTRACTNUMBER(M165),
EXTRACTNUMBER(O165),EXTRACTNUMBER(Q165),
EXTRACTNUMBER(S165),EXTRACTNUMBER(U165),
EXTRACTNUMBER(W165),EXTRACTNUMBER(Y165),EXTRACTNUMBER(AA165),
EXTRACTNUMBER(AC165),EXTRACTNUMBER(AE165)),"*"),IF(AND(COUNTIF(C165:AF165,"=36")&gt;=2,COUNTIF(C165:AF165,"f")=2,COUNTIF(C165:AF165,"")=0,COUNTIF(C165:AF165," ")=0),CONCATENATE(SUM(EXTRACTNUMBER(C165),EXTRACTNUMBER(E165),
EXTRACTNUMBER(G165),EXTRACTNUMBER(I165),
EXTRACTNUMBER(K165),EXTRACTNUMBER(M165),
EXTRACTNUMBER(O165),EXTRACTNUMBER(Q165),
EXTRACTNUMBER(S165),EXTRACTNUMBER(U165),
EXTRACTNUMBER(W165),EXTRACTNUMBER(Y165),EXTRACTNUMBER(AA165),
EXTRACTNUMBER(AC165),EXTRACTNUMBER(AE165)),"*"),SUM(EXTRACTNUMBER(C165),EXTRACTNUMBER(E165),
EXTRACTNUMBER(G165),EXTRACTNUMBER(I165),
EXTRACTNUMBER(K165),EXTRACTNUMBER(M165),
EXTRACTNUMBER(O165),EXTRACTNUMBER(Q165),
EXTRACTNUMBER(S165),EXTRACTNUMBER(U165),
EXTRACTNUMBER(W165),EXTRACTNUMBER(Y165),EXTRACTNUMBER(AA165),
EXTRACTNUMBER(AC165),EXTRACTNUMBER(AE165))))),SUM(EXTRACTNUMBER(C165),EXTRACTNUMBER(E165),
EXTRACTNUMBER(G165),EXTRACTNUMBER(I165),
EXTRACTNUMBER(K165),EXTRACTNUMBER(M165),
EXTRACTNUMBER(O165),EXTRACTNUMBER(Q165),
EXTRACTNUMBER(S165),EXTRACTNUMBER(U165),
EXTRACTNUMBER(W165),EXTRACTNUMBER(Y165),EXTRACTNUMBER(AA165),
EXTRACTNUMBER(AC165),EXTRACTNUMBER(AE165)))</f>
        <v>443</v>
      </c>
      <c r="AH165" s="38" t="str">
        <f t="shared" ca="1" si="47"/>
        <v>PASS</v>
      </c>
      <c r="AI165" s="28" t="str">
        <f>spellnumber(EXTRACTnUMBER_TOT(AG165))</f>
        <v xml:space="preserve">Four Hundred Forty Three </v>
      </c>
    </row>
    <row r="166" spans="1:35" ht="15" customHeight="1">
      <c r="A166" s="59">
        <v>223366</v>
      </c>
      <c r="B166" s="42" t="s">
        <v>54</v>
      </c>
      <c r="C166" s="60" t="s">
        <v>455</v>
      </c>
      <c r="D166" s="61" t="str">
        <f t="shared" ca="1" si="33"/>
        <v>F</v>
      </c>
      <c r="E166" s="62" t="s">
        <v>72</v>
      </c>
      <c r="F166" s="61" t="str">
        <f t="shared" si="34"/>
        <v xml:space="preserve"> </v>
      </c>
      <c r="G166" s="63" t="s">
        <v>457</v>
      </c>
      <c r="H166" s="61" t="str">
        <f t="shared" ca="1" si="35"/>
        <v>F</v>
      </c>
      <c r="I166" s="62" t="s">
        <v>68</v>
      </c>
      <c r="J166" s="61" t="str">
        <f t="shared" si="36"/>
        <v xml:space="preserve"> </v>
      </c>
      <c r="K166" s="62" t="s">
        <v>69</v>
      </c>
      <c r="L166" s="61" t="str">
        <f t="shared" si="37"/>
        <v xml:space="preserve"> </v>
      </c>
      <c r="M166" s="63">
        <v>18</v>
      </c>
      <c r="N166" s="61" t="str">
        <f t="shared" ca="1" si="32"/>
        <v>F</v>
      </c>
      <c r="O166" s="62" t="s">
        <v>70</v>
      </c>
      <c r="P166" s="64" t="str">
        <f t="shared" si="38"/>
        <v xml:space="preserve"> </v>
      </c>
      <c r="Q166" s="60" t="s">
        <v>56</v>
      </c>
      <c r="R166" s="61" t="str">
        <f t="shared" si="39"/>
        <v xml:space="preserve"> </v>
      </c>
      <c r="S166" s="62" t="s">
        <v>70</v>
      </c>
      <c r="T166" s="64" t="str">
        <f t="shared" si="40"/>
        <v xml:space="preserve"> </v>
      </c>
      <c r="U166" s="60">
        <v>40</v>
      </c>
      <c r="V166" s="61" t="str">
        <f t="shared" ca="1" si="41"/>
        <v>E</v>
      </c>
      <c r="W166" s="62" t="s">
        <v>67</v>
      </c>
      <c r="X166" s="64" t="str">
        <f t="shared" si="42"/>
        <v xml:space="preserve"> </v>
      </c>
      <c r="Y166" s="62" t="s">
        <v>66</v>
      </c>
      <c r="Z166" s="64" t="str">
        <f t="shared" si="43"/>
        <v xml:space="preserve"> </v>
      </c>
      <c r="AA166" s="60">
        <v>18</v>
      </c>
      <c r="AB166" s="61" t="str">
        <f t="shared" ca="1" si="44"/>
        <v>F</v>
      </c>
      <c r="AC166" s="62" t="s">
        <v>70</v>
      </c>
      <c r="AD166" s="61" t="str">
        <f t="shared" si="45"/>
        <v xml:space="preserve"> </v>
      </c>
      <c r="AE166" s="62" t="s">
        <v>97</v>
      </c>
      <c r="AF166" s="64" t="str">
        <f t="shared" si="46"/>
        <v xml:space="preserve"> </v>
      </c>
      <c r="AG166" s="66">
        <f>IF(OR(AND(C166&gt;=31,C166&lt;40),AND(G166&gt;=31,G166&lt;40),AND(M166&gt;=31,M166&lt;40),AND(Q166&gt;=31,Q166&lt;40),AND(U166&gt;=31,U166&lt;40),AND(AA166&gt;=31,AA166&lt;40)),IF(AND(OR(COUNTIF(C166:AF166,"=31")&gt;=1,COUNTIF(C166:AF166,"=32")&gt;=1,COUNTIF(C166:AF166,"=33")&gt;=1,COUNTIF(C166:AF166,"=34")&gt;=1,COUNTIF(C166:AF166,"=35")&gt;=1,COUNTIF(C166:AF166,"=36")&gt;=1 ),COUNTIF(C166:AF166,"")=0,COUNTIF(C166:AF166," ")=0,COUNTIF(C166:AF166,"F")=1),CONCATENATE(SUM(EXTRACTNUMBER(C166),EXTRACTNUMBER(E166),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EXTRACTNUMBER(AC166),EXTRACTNUMBER(AE166)),"*"),IF(AND(COUNTIF(C166:AF166,"=34")&gt;=1,COUNTIF(C166:AF166,"=35")&gt;=1,COUNTIF(C166:AF166,"f")=2,COUNTIF(C166:AF166,"")=0,COUNTIF(C166:AF166," ")=0),CONCATENATE(SUM(EXTRACTNUMBER(C166),EXTRACTNUMBER(E166),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EXTRACTNUMBER(AC166),EXTRACTNUMBER(AE166)),"*"),IF(AND(COUNTIF(C166:AF166,"=36")&gt;=2,COUNTIF(C166:AF166,"f")=2,COUNTIF(C166:AF166,"")=0,COUNTIF(C166:AF166," ")=0),CONCATENATE(SUM(EXTRACTNUMBER(C166),EXTRACTNUMBER(E166),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EXTRACTNUMBER(AC166),EXTRACTNUMBER(AE166)),"*"),SUM(EXTRACTNUMBER(C166),EXTRACTNUMBER(E166),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EXTRACTNUMBER(AC166),EXTRACTNUMBER(AE166))))),SUM(EXTRACTNUMBER(C166),EXTRACTNUMBER(E166),
EXTRACTNUMBER(G166),EXTRACTNUMBER(I166),
EXTRACTNUMBER(K166),EXTRACTNUMBER(M166),
EXTRACTNUMBER(O166),EXTRACTNUMBER(Q166),
EXTRACTNUMBER(S166),EXTRACTNUMBER(U166),
EXTRACTNUMBER(W166),EXTRACTNUMBER(Y166),EXTRACTNUMBER(AA166),
EXTRACTNUMBER(AC166),EXTRACTNUMBER(AE166)))</f>
        <v>288</v>
      </c>
      <c r="AH166" s="38" t="str">
        <f t="shared" ca="1" si="47"/>
        <v>FAIL</v>
      </c>
      <c r="AI166" s="28" t="str">
        <f>spellnumber(EXTRACTnUMBER_TOT(AG166))</f>
        <v xml:space="preserve">Two Hundred Eighty Eight </v>
      </c>
    </row>
    <row r="167" spans="1:35" ht="15" customHeight="1">
      <c r="A167" s="59">
        <v>223367</v>
      </c>
      <c r="B167" s="42" t="s">
        <v>35</v>
      </c>
      <c r="C167" s="60" t="s">
        <v>80</v>
      </c>
      <c r="D167" s="61" t="str">
        <f t="shared" si="33"/>
        <v xml:space="preserve"> </v>
      </c>
      <c r="E167" s="62" t="s">
        <v>68</v>
      </c>
      <c r="F167" s="61" t="str">
        <f t="shared" si="34"/>
        <v xml:space="preserve"> </v>
      </c>
      <c r="G167" s="63" t="s">
        <v>56</v>
      </c>
      <c r="H167" s="61" t="str">
        <f t="shared" si="35"/>
        <v xml:space="preserve"> </v>
      </c>
      <c r="I167" s="62" t="s">
        <v>74</v>
      </c>
      <c r="J167" s="61" t="str">
        <f t="shared" si="36"/>
        <v xml:space="preserve"> </v>
      </c>
      <c r="K167" s="62" t="s">
        <v>74</v>
      </c>
      <c r="L167" s="61" t="str">
        <f t="shared" si="37"/>
        <v xml:space="preserve"> </v>
      </c>
      <c r="M167" s="63" t="s">
        <v>64</v>
      </c>
      <c r="N167" s="61" t="str">
        <f t="shared" si="32"/>
        <v xml:space="preserve"> </v>
      </c>
      <c r="O167" s="62" t="s">
        <v>74</v>
      </c>
      <c r="P167" s="64" t="str">
        <f t="shared" si="38"/>
        <v xml:space="preserve"> </v>
      </c>
      <c r="Q167" s="60" t="s">
        <v>79</v>
      </c>
      <c r="R167" s="61" t="str">
        <f t="shared" si="39"/>
        <v xml:space="preserve"> </v>
      </c>
      <c r="S167" s="62" t="s">
        <v>74</v>
      </c>
      <c r="T167" s="64" t="str">
        <f t="shared" si="40"/>
        <v xml:space="preserve"> </v>
      </c>
      <c r="U167" s="60" t="s">
        <v>78</v>
      </c>
      <c r="V167" s="61" t="str">
        <f t="shared" si="41"/>
        <v xml:space="preserve"> </v>
      </c>
      <c r="W167" s="62" t="s">
        <v>70</v>
      </c>
      <c r="X167" s="64" t="str">
        <f t="shared" si="42"/>
        <v xml:space="preserve"> </v>
      </c>
      <c r="Y167" s="62" t="s">
        <v>71</v>
      </c>
      <c r="Z167" s="64" t="str">
        <f t="shared" si="43"/>
        <v xml:space="preserve"> </v>
      </c>
      <c r="AA167" s="60">
        <v>45</v>
      </c>
      <c r="AB167" s="61" t="str">
        <f t="shared" ca="1" si="44"/>
        <v/>
      </c>
      <c r="AC167" s="62" t="s">
        <v>74</v>
      </c>
      <c r="AD167" s="61" t="str">
        <f t="shared" si="45"/>
        <v xml:space="preserve"> </v>
      </c>
      <c r="AE167" s="62" t="s">
        <v>58</v>
      </c>
      <c r="AF167" s="64" t="str">
        <f t="shared" si="46"/>
        <v xml:space="preserve"> </v>
      </c>
      <c r="AG167" s="66">
        <f>IF(OR(AND(C167&gt;=31,C167&lt;40),AND(G167&gt;=31,G167&lt;40),AND(M167&gt;=31,M167&lt;40),AND(Q167&gt;=31,Q167&lt;40),AND(U167&gt;=31,U167&lt;40),AND(AA167&gt;=31,AA167&lt;40)),IF(AND(OR(COUNTIF(C167:AF167,"=31")&gt;=1,COUNTIF(C167:AF167,"=32")&gt;=1,COUNTIF(C167:AF167,"=33")&gt;=1,COUNTIF(C167:AF167,"=34")&gt;=1,COUNTIF(C167:AF167,"=35")&gt;=1,COUNTIF(C167:AF167,"=36")&gt;=1 ),COUNTIF(C167:AF167,"")=0,COUNTIF(C167:AF167," ")=0,COUNTIF(C167:AF167,"F")=1),CONCATENATE(SUM(EXTRACTNUMBER(C167),EXTRACTNUMBER(E167),
EXTRACTNUMBER(G167),EXTRACTNUMBER(I167),
EXTRACTNUMBER(K167),EXTRACTNUMBER(M167),
EXTRACTNUMBER(O167),EXTRACTNUMBER(Q167),
EXTRACTNUMBER(S167),EXTRACTNUMBER(U167),
EXTRACTNUMBER(W167),EXTRACTNUMBER(Y167),EXTRACTNUMBER(AA167),
EXTRACTNUMBER(AC167),EXTRACTNUMBER(AE167)),"*"),IF(AND(COUNTIF(C167:AF167,"=34")&gt;=1,COUNTIF(C167:AF167,"=35")&gt;=1,COUNTIF(C167:AF167,"f")=2,COUNTIF(C167:AF167,"")=0,COUNTIF(C167:AF167," ")=0),CONCATENATE(SUM(EXTRACTNUMBER(C167),EXTRACTNUMBER(E167),
EXTRACTNUMBER(G167),EXTRACTNUMBER(I167),
EXTRACTNUMBER(K167),EXTRACTNUMBER(M167),
EXTRACTNUMBER(O167),EXTRACTNUMBER(Q167),
EXTRACTNUMBER(S167),EXTRACTNUMBER(U167),
EXTRACTNUMBER(W167),EXTRACTNUMBER(Y167),EXTRACTNUMBER(AA167),
EXTRACTNUMBER(AC167),EXTRACTNUMBER(AE167)),"*"),IF(AND(COUNTIF(C167:AF167,"=36")&gt;=2,COUNTIF(C167:AF167,"f")=2,COUNTIF(C167:AF167,"")=0,COUNTIF(C167:AF167," ")=0),CONCATENATE(SUM(EXTRACTNUMBER(C167),EXTRACTNUMBER(E167),
EXTRACTNUMBER(G167),EXTRACTNUMBER(I167),
EXTRACTNUMBER(K167),EXTRACTNUMBER(M167),
EXTRACTNUMBER(O167),EXTRACTNUMBER(Q167),
EXTRACTNUMBER(S167),EXTRACTNUMBER(U167),
EXTRACTNUMBER(W167),EXTRACTNUMBER(Y167),EXTRACTNUMBER(AA167),
EXTRACTNUMBER(AC167),EXTRACTNUMBER(AE167)),"*"),SUM(EXTRACTNUMBER(C167),EXTRACTNUMBER(E167),
EXTRACTNUMBER(G167),EXTRACTNUMBER(I167),
EXTRACTNUMBER(K167),EXTRACTNUMBER(M167),
EXTRACTNUMBER(O167),EXTRACTNUMBER(Q167),
EXTRACTNUMBER(S167),EXTRACTNUMBER(U167),
EXTRACTNUMBER(W167),EXTRACTNUMBER(Y167),EXTRACTNUMBER(AA167),
EXTRACTNUMBER(AC167),EXTRACTNUMBER(AE167))))),SUM(EXTRACTNUMBER(C167),EXTRACTNUMBER(E167),
EXTRACTNUMBER(G167),EXTRACTNUMBER(I167),
EXTRACTNUMBER(K167),EXTRACTNUMBER(M167),
EXTRACTNUMBER(O167),EXTRACTNUMBER(Q167),
EXTRACTNUMBER(S167),EXTRACTNUMBER(U167),
EXTRACTNUMBER(W167),EXTRACTNUMBER(Y167),EXTRACTNUMBER(AA167),
EXTRACTNUMBER(AC167),EXTRACTNUMBER(AE167)))</f>
        <v>483</v>
      </c>
      <c r="AH167" s="38" t="str">
        <f t="shared" ca="1" si="47"/>
        <v>PASS</v>
      </c>
      <c r="AI167" s="28" t="str">
        <f>spellnumber(EXTRACTnUMBER_TOT(AG167))</f>
        <v xml:space="preserve">Four Hundred Eighty Three </v>
      </c>
    </row>
    <row r="168" spans="1:35" ht="15" customHeight="1">
      <c r="A168" s="59">
        <v>223368</v>
      </c>
      <c r="B168" s="42" t="s">
        <v>36</v>
      </c>
      <c r="C168" s="60">
        <v>17</v>
      </c>
      <c r="D168" s="61" t="str">
        <f t="shared" ca="1" si="33"/>
        <v>F</v>
      </c>
      <c r="E168" s="62" t="s">
        <v>66</v>
      </c>
      <c r="F168" s="61" t="str">
        <f t="shared" si="34"/>
        <v xml:space="preserve"> </v>
      </c>
      <c r="G168" s="63">
        <v>24</v>
      </c>
      <c r="H168" s="61" t="str">
        <f t="shared" ca="1" si="35"/>
        <v>F</v>
      </c>
      <c r="I168" s="62" t="s">
        <v>71</v>
      </c>
      <c r="J168" s="61" t="str">
        <f t="shared" si="36"/>
        <v xml:space="preserve"> </v>
      </c>
      <c r="K168" s="62" t="s">
        <v>71</v>
      </c>
      <c r="L168" s="61" t="str">
        <f t="shared" si="37"/>
        <v xml:space="preserve"> </v>
      </c>
      <c r="M168" s="63" t="s">
        <v>56</v>
      </c>
      <c r="N168" s="61" t="str">
        <f t="shared" si="32"/>
        <v xml:space="preserve"> </v>
      </c>
      <c r="O168" s="62" t="s">
        <v>74</v>
      </c>
      <c r="P168" s="64" t="str">
        <f t="shared" si="38"/>
        <v xml:space="preserve"> </v>
      </c>
      <c r="Q168" s="60" t="s">
        <v>58</v>
      </c>
      <c r="R168" s="61" t="str">
        <f t="shared" si="39"/>
        <v xml:space="preserve"> </v>
      </c>
      <c r="S168" s="62" t="s">
        <v>74</v>
      </c>
      <c r="T168" s="64" t="str">
        <f t="shared" si="40"/>
        <v xml:space="preserve"> </v>
      </c>
      <c r="U168" s="60" t="s">
        <v>56</v>
      </c>
      <c r="V168" s="61" t="str">
        <f t="shared" si="41"/>
        <v xml:space="preserve"> </v>
      </c>
      <c r="W168" s="62" t="s">
        <v>71</v>
      </c>
      <c r="X168" s="64" t="str">
        <f t="shared" si="42"/>
        <v xml:space="preserve"> </v>
      </c>
      <c r="Y168" s="62" t="s">
        <v>69</v>
      </c>
      <c r="Z168" s="64" t="str">
        <f t="shared" si="43"/>
        <v xml:space="preserve"> </v>
      </c>
      <c r="AA168" s="60" t="s">
        <v>56</v>
      </c>
      <c r="AB168" s="61" t="str">
        <f t="shared" si="44"/>
        <v xml:space="preserve"> </v>
      </c>
      <c r="AC168" s="62" t="s">
        <v>74</v>
      </c>
      <c r="AD168" s="61" t="str">
        <f t="shared" si="45"/>
        <v xml:space="preserve"> </v>
      </c>
      <c r="AE168" s="62" t="s">
        <v>56</v>
      </c>
      <c r="AF168" s="64" t="str">
        <f t="shared" si="46"/>
        <v xml:space="preserve"> </v>
      </c>
      <c r="AG168" s="66">
        <f>IF(OR(AND(C168&gt;=31,C168&lt;40),AND(G168&gt;=31,G168&lt;40),AND(M168&gt;=31,M168&lt;40),AND(Q168&gt;=31,Q168&lt;40),AND(U168&gt;=31,U168&lt;40),AND(AA168&gt;=31,AA168&lt;40)),IF(AND(OR(COUNTIF(C168:AF168,"=31")&gt;=1,COUNTIF(C168:AF168,"=32")&gt;=1,COUNTIF(C168:AF168,"=33")&gt;=1,COUNTIF(C168:AF168,"=34")&gt;=1,COUNTIF(C168:AF168,"=35")&gt;=1,COUNTIF(C168:AF168,"=36")&gt;=1 ),COUNTIF(C168:AF168,"")=0,COUNTIF(C168:AF168," ")=0,COUNTIF(C168:AF168,"F")=1),CONCATENATE(SUM(EXTRACTNUMBER(C168),EXTRACTNUMBER(E168),
EXTRACTNUMBER(G168),EXTRACTNUMBER(I168),
EXTRACTNUMBER(K168),EXTRACTNUMBER(M168),
EXTRACTNUMBER(O168),EXTRACTNUMBER(Q168),
EXTRACTNUMBER(S168),EXTRACTNUMBER(U168),
EXTRACTNUMBER(W168),EXTRACTNUMBER(Y168),EXTRACTNUMBER(AA168),
EXTRACTNUMBER(AC168),EXTRACTNUMBER(AE168)),"*"),IF(AND(COUNTIF(C168:AF168,"=34")&gt;=1,COUNTIF(C168:AF168,"=35")&gt;=1,COUNTIF(C168:AF168,"f")=2,COUNTIF(C168:AF168,"")=0,COUNTIF(C168:AF168," ")=0),CONCATENATE(SUM(EXTRACTNUMBER(C168),EXTRACTNUMBER(E168),
EXTRACTNUMBER(G168),EXTRACTNUMBER(I168),
EXTRACTNUMBER(K168),EXTRACTNUMBER(M168),
EXTRACTNUMBER(O168),EXTRACTNUMBER(Q168),
EXTRACTNUMBER(S168),EXTRACTNUMBER(U168),
EXTRACTNUMBER(W168),EXTRACTNUMBER(Y168),EXTRACTNUMBER(AA168),
EXTRACTNUMBER(AC168),EXTRACTNUMBER(AE168)),"*"),IF(AND(COUNTIF(C168:AF168,"=36")&gt;=2,COUNTIF(C168:AF168,"f")=2,COUNTIF(C168:AF168,"")=0,COUNTIF(C168:AF168," ")=0),CONCATENATE(SUM(EXTRACTNUMBER(C168),EXTRACTNUMBER(E168),
EXTRACTNUMBER(G168),EXTRACTNUMBER(I168),
EXTRACTNUMBER(K168),EXTRACTNUMBER(M168),
EXTRACTNUMBER(O168),EXTRACTNUMBER(Q168),
EXTRACTNUMBER(S168),EXTRACTNUMBER(U168),
EXTRACTNUMBER(W168),EXTRACTNUMBER(Y168),EXTRACTNUMBER(AA168),
EXTRACTNUMBER(AC168),EXTRACTNUMBER(AE168)),"*"),SUM(EXTRACTNUMBER(C168),EXTRACTNUMBER(E168),
EXTRACTNUMBER(G168),EXTRACTNUMBER(I168),
EXTRACTNUMBER(K168),EXTRACTNUMBER(M168),
EXTRACTNUMBER(O168),EXTRACTNUMBER(Q168),
EXTRACTNUMBER(S168),EXTRACTNUMBER(U168),
EXTRACTNUMBER(W168),EXTRACTNUMBER(Y168),EXTRACTNUMBER(AA168),
EXTRACTNUMBER(AC168),EXTRACTNUMBER(AE168))))),SUM(EXTRACTNUMBER(C168),EXTRACTNUMBER(E168),
EXTRACTNUMBER(G168),EXTRACTNUMBER(I168),
EXTRACTNUMBER(K168),EXTRACTNUMBER(M168),
EXTRACTNUMBER(O168),EXTRACTNUMBER(Q168),
EXTRACTNUMBER(S168),EXTRACTNUMBER(U168),
EXTRACTNUMBER(W168),EXTRACTNUMBER(Y168),EXTRACTNUMBER(AA168),
EXTRACTNUMBER(AC168),EXTRACTNUMBER(AE168)))</f>
        <v>391</v>
      </c>
      <c r="AH168" s="38" t="str">
        <f t="shared" ca="1" si="47"/>
        <v>FAIL</v>
      </c>
      <c r="AI168" s="28" t="str">
        <f>spellnumber(EXTRACTnUMBER_TOT(AG168))</f>
        <v xml:space="preserve">Three Hundred NinetyOne </v>
      </c>
    </row>
    <row r="169" spans="1:35" ht="15" customHeight="1">
      <c r="A169" s="59">
        <v>223369</v>
      </c>
      <c r="B169" s="41" t="s">
        <v>37</v>
      </c>
      <c r="C169" s="60" t="s">
        <v>119</v>
      </c>
      <c r="D169" s="61" t="str">
        <f t="shared" ca="1" si="33"/>
        <v>F</v>
      </c>
      <c r="E169" s="62" t="s">
        <v>71</v>
      </c>
      <c r="F169" s="61" t="str">
        <f t="shared" si="34"/>
        <v xml:space="preserve"> </v>
      </c>
      <c r="G169" s="63">
        <v>27</v>
      </c>
      <c r="H169" s="61" t="str">
        <f t="shared" ca="1" si="35"/>
        <v>F</v>
      </c>
      <c r="I169" s="62" t="s">
        <v>74</v>
      </c>
      <c r="J169" s="61" t="str">
        <f t="shared" si="36"/>
        <v xml:space="preserve"> </v>
      </c>
      <c r="K169" s="62" t="s">
        <v>71</v>
      </c>
      <c r="L169" s="61" t="str">
        <f t="shared" si="37"/>
        <v xml:space="preserve"> </v>
      </c>
      <c r="M169" s="63" t="s">
        <v>56</v>
      </c>
      <c r="N169" s="61" t="str">
        <f t="shared" si="32"/>
        <v xml:space="preserve"> </v>
      </c>
      <c r="O169" s="62" t="s">
        <v>69</v>
      </c>
      <c r="P169" s="64" t="str">
        <f t="shared" si="38"/>
        <v xml:space="preserve"> </v>
      </c>
      <c r="Q169" s="60" t="s">
        <v>56</v>
      </c>
      <c r="R169" s="61" t="str">
        <f t="shared" si="39"/>
        <v xml:space="preserve"> </v>
      </c>
      <c r="S169" s="62" t="s">
        <v>74</v>
      </c>
      <c r="T169" s="64" t="str">
        <f t="shared" si="40"/>
        <v xml:space="preserve"> </v>
      </c>
      <c r="U169" s="60" t="s">
        <v>65</v>
      </c>
      <c r="V169" s="61" t="str">
        <f t="shared" si="41"/>
        <v xml:space="preserve"> </v>
      </c>
      <c r="W169" s="62" t="s">
        <v>70</v>
      </c>
      <c r="X169" s="64" t="str">
        <f t="shared" si="42"/>
        <v xml:space="preserve"> </v>
      </c>
      <c r="Y169" s="62" t="s">
        <v>72</v>
      </c>
      <c r="Z169" s="64" t="str">
        <f t="shared" si="43"/>
        <v xml:space="preserve"> </v>
      </c>
      <c r="AA169" s="60" t="s">
        <v>56</v>
      </c>
      <c r="AB169" s="61" t="str">
        <f t="shared" si="44"/>
        <v xml:space="preserve"> </v>
      </c>
      <c r="AC169" s="62" t="s">
        <v>71</v>
      </c>
      <c r="AD169" s="61" t="str">
        <f t="shared" si="45"/>
        <v xml:space="preserve"> </v>
      </c>
      <c r="AE169" s="62" t="s">
        <v>57</v>
      </c>
      <c r="AF169" s="64" t="str">
        <f t="shared" si="46"/>
        <v xml:space="preserve"> </v>
      </c>
      <c r="AG169" s="66">
        <f>IF(OR(AND(C169&gt;=31,C169&lt;40),AND(G169&gt;=31,G169&lt;40),AND(M169&gt;=31,M169&lt;40),AND(Q169&gt;=31,Q169&lt;40),AND(U169&gt;=31,U169&lt;40),AND(AA169&gt;=31,AA169&lt;40)),IF(AND(OR(COUNTIF(C169:AF169,"=31")&gt;=1,COUNTIF(C169:AF169,"=32")&gt;=1,COUNTIF(C169:AF169,"=33")&gt;=1,COUNTIF(C169:AF169,"=34")&gt;=1,COUNTIF(C169:AF169,"=35")&gt;=1,COUNTIF(C169:AF169,"=36")&gt;=1 ),COUNTIF(C169:AF169,"")=0,COUNTIF(C169:AF169," ")=0,COUNTIF(C169:AF169,"F")=1),CONCATENATE(SUM(EXTRACTNUMBER(C169),EXTRACTNUMBER(E169),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EXTRACTNUMBER(AC169),EXTRACTNUMBER(AE169)),"*"),IF(AND(COUNTIF(C169:AF169,"=34")&gt;=1,COUNTIF(C169:AF169,"=35")&gt;=1,COUNTIF(C169:AF169,"f")=2,COUNTIF(C169:AF169,"")=0,COUNTIF(C169:AF169," ")=0),CONCATENATE(SUM(EXTRACTNUMBER(C169),EXTRACTNUMBER(E169),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EXTRACTNUMBER(AC169),EXTRACTNUMBER(AE169)),"*"),IF(AND(COUNTIF(C169:AF169,"=36")&gt;=2,COUNTIF(C169:AF169,"f")=2,COUNTIF(C169:AF169,"")=0,COUNTIF(C169:AF169," ")=0),CONCATENATE(SUM(EXTRACTNUMBER(C169),EXTRACTNUMBER(E169),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EXTRACTNUMBER(AC169),EXTRACTNUMBER(AE169)),"*"),SUM(EXTRACTNUMBER(C169),EXTRACTNUMBER(E169),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EXTRACTNUMBER(AC169),EXTRACTNUMBER(AE169))))),SUM(EXTRACTNUMBER(C169),EXTRACTNUMBER(E169),
EXTRACTNUMBER(G169),EXTRACTNUMBER(I169),
EXTRACTNUMBER(K169),EXTRACTNUMBER(M169),
EXTRACTNUMBER(O169),EXTRACTNUMBER(Q169),
EXTRACTNUMBER(S169),EXTRACTNUMBER(U169),
EXTRACTNUMBER(W169),EXTRACTNUMBER(Y169),EXTRACTNUMBER(AA169),
EXTRACTNUMBER(AC169),EXTRACTNUMBER(AE169)))</f>
        <v>389</v>
      </c>
      <c r="AH169" s="38" t="str">
        <f t="shared" ca="1" si="47"/>
        <v>FAIL</v>
      </c>
      <c r="AI169" s="28" t="str">
        <f>spellnumber(EXTRACTnUMBER_TOT(AG169))</f>
        <v xml:space="preserve">Three Hundred Eighty Nine </v>
      </c>
    </row>
    <row r="170" spans="1:35" ht="15" customHeight="1">
      <c r="A170" s="59">
        <v>223370</v>
      </c>
      <c r="B170" s="41" t="s">
        <v>38</v>
      </c>
      <c r="C170" s="60" t="s">
        <v>414</v>
      </c>
      <c r="D170" s="61" t="str">
        <f t="shared" si="33"/>
        <v xml:space="preserve"> </v>
      </c>
      <c r="E170" s="62" t="s">
        <v>66</v>
      </c>
      <c r="F170" s="61" t="str">
        <f t="shared" si="34"/>
        <v xml:space="preserve"> </v>
      </c>
      <c r="G170" s="63" t="s">
        <v>103</v>
      </c>
      <c r="H170" s="61" t="str">
        <f t="shared" si="35"/>
        <v/>
      </c>
      <c r="I170" s="62" t="s">
        <v>72</v>
      </c>
      <c r="J170" s="61" t="str">
        <f t="shared" si="36"/>
        <v xml:space="preserve"> </v>
      </c>
      <c r="K170" s="62" t="s">
        <v>71</v>
      </c>
      <c r="L170" s="61" t="str">
        <f t="shared" si="37"/>
        <v xml:space="preserve"> </v>
      </c>
      <c r="M170" s="63" t="s">
        <v>56</v>
      </c>
      <c r="N170" s="61" t="str">
        <f t="shared" si="32"/>
        <v xml:space="preserve"> </v>
      </c>
      <c r="O170" s="62" t="s">
        <v>72</v>
      </c>
      <c r="P170" s="64" t="str">
        <f t="shared" si="38"/>
        <v xml:space="preserve"> </v>
      </c>
      <c r="Q170" s="60" t="s">
        <v>86</v>
      </c>
      <c r="R170" s="61" t="str">
        <f t="shared" si="39"/>
        <v xml:space="preserve"> </v>
      </c>
      <c r="S170" s="62" t="s">
        <v>72</v>
      </c>
      <c r="T170" s="64" t="str">
        <f t="shared" si="40"/>
        <v xml:space="preserve"> </v>
      </c>
      <c r="U170" s="60" t="s">
        <v>61</v>
      </c>
      <c r="V170" s="61" t="str">
        <f t="shared" si="41"/>
        <v xml:space="preserve"> </v>
      </c>
      <c r="W170" s="62" t="s">
        <v>74</v>
      </c>
      <c r="X170" s="64" t="str">
        <f t="shared" si="42"/>
        <v xml:space="preserve"> </v>
      </c>
      <c r="Y170" s="62" t="s">
        <v>70</v>
      </c>
      <c r="Z170" s="64" t="str">
        <f t="shared" si="43"/>
        <v xml:space="preserve"> </v>
      </c>
      <c r="AA170" s="60" t="s">
        <v>61</v>
      </c>
      <c r="AB170" s="61" t="str">
        <f t="shared" si="44"/>
        <v xml:space="preserve"> </v>
      </c>
      <c r="AC170" s="62" t="s">
        <v>72</v>
      </c>
      <c r="AD170" s="61" t="str">
        <f t="shared" si="45"/>
        <v xml:space="preserve"> </v>
      </c>
      <c r="AE170" s="62" t="s">
        <v>101</v>
      </c>
      <c r="AF170" s="64" t="str">
        <f t="shared" si="46"/>
        <v xml:space="preserve"> </v>
      </c>
      <c r="AG170" s="66">
        <f>IF(OR(AND(C170&gt;=31,C170&lt;40),AND(G170&gt;=31,G170&lt;40),AND(M170&gt;=31,M170&lt;40),AND(Q170&gt;=31,Q170&lt;40),AND(U170&gt;=31,U170&lt;40),AND(AA170&gt;=31,AA170&lt;40)),IF(AND(OR(COUNTIF(C170:AF170,"=31")&gt;=1,COUNTIF(C170:AF170,"=32")&gt;=1,COUNTIF(C170:AF170,"=33")&gt;=1,COUNTIF(C170:AF170,"=34")&gt;=1,COUNTIF(C170:AF170,"=35")&gt;=1,COUNTIF(C170:AF170,"=36")&gt;=1 ),COUNTIF(C170:AF170,"")=0,COUNTIF(C170:AF170," ")=0,COUNTIF(C170:AF170,"F")=1),CONCATENATE(SUM(EXTRACTNUMBER(C170),EXTRACTNUMBER(E170),
EXTRACTNUMBER(G170),EXTRACTNUMBER(I170),
EXTRACTNUMBER(K170),EXTRACTNUMBER(M170),
EXTRACTNUMBER(O170),EXTRACTNUMBER(Q170),
EXTRACTNUMBER(S170),EXTRACTNUMBER(U170),
EXTRACTNUMBER(W170),EXTRACTNUMBER(Y170),EXTRACTNUMBER(AA170),
EXTRACTNUMBER(AC170),EXTRACTNUMBER(AE170)),"*"),IF(AND(COUNTIF(C170:AF170,"=34")&gt;=1,COUNTIF(C170:AF170,"=35")&gt;=1,COUNTIF(C170:AF170,"f")=2,COUNTIF(C170:AF170,"")=0,COUNTIF(C170:AF170," ")=0),CONCATENATE(SUM(EXTRACTNUMBER(C170),EXTRACTNUMBER(E170),
EXTRACTNUMBER(G170),EXTRACTNUMBER(I170),
EXTRACTNUMBER(K170),EXTRACTNUMBER(M170),
EXTRACTNUMBER(O170),EXTRACTNUMBER(Q170),
EXTRACTNUMBER(S170),EXTRACTNUMBER(U170),
EXTRACTNUMBER(W170),EXTRACTNUMBER(Y170),EXTRACTNUMBER(AA170),
EXTRACTNUMBER(AC170),EXTRACTNUMBER(AE170)),"*"),IF(AND(COUNTIF(C170:AF170,"=36")&gt;=2,COUNTIF(C170:AF170,"f")=2,COUNTIF(C170:AF170,"")=0,COUNTIF(C170:AF170," ")=0),CONCATENATE(SUM(EXTRACTNUMBER(C170),EXTRACTNUMBER(E170),
EXTRACTNUMBER(G170),EXTRACTNUMBER(I170),
EXTRACTNUMBER(K170),EXTRACTNUMBER(M170),
EXTRACTNUMBER(O170),EXTRACTNUMBER(Q170),
EXTRACTNUMBER(S170),EXTRACTNUMBER(U170),
EXTRACTNUMBER(W170),EXTRACTNUMBER(Y170),EXTRACTNUMBER(AA170),
EXTRACTNUMBER(AC170),EXTRACTNUMBER(AE170)),"*"),SUM(EXTRACTNUMBER(C170),EXTRACTNUMBER(E170),
EXTRACTNUMBER(G170),EXTRACTNUMBER(I170),
EXTRACTNUMBER(K170),EXTRACTNUMBER(M170),
EXTRACTNUMBER(O170),EXTRACTNUMBER(Q170),
EXTRACTNUMBER(S170),EXTRACTNUMBER(U170),
EXTRACTNUMBER(W170),EXTRACTNUMBER(Y170),EXTRACTNUMBER(AA170),
EXTRACTNUMBER(AC170),EXTRACTNUMBER(AE170))))),SUM(EXTRACTNUMBER(C170),EXTRACTNUMBER(E170),
EXTRACTNUMBER(G170),EXTRACTNUMBER(I170),
EXTRACTNUMBER(K170),EXTRACTNUMBER(M170),
EXTRACTNUMBER(O170),EXTRACTNUMBER(Q170),
EXTRACTNUMBER(S170),EXTRACTNUMBER(U170),
EXTRACTNUMBER(W170),EXTRACTNUMBER(Y170),EXTRACTNUMBER(AA170),
EXTRACTNUMBER(AC170),EXTRACTNUMBER(AE170)))</f>
        <v>472</v>
      </c>
      <c r="AH170" s="38" t="str">
        <f t="shared" si="47"/>
        <v>ABSENT</v>
      </c>
      <c r="AI170" s="28" t="str">
        <f>spellnumber(EXTRACTnUMBER_TOT(AG170))</f>
        <v xml:space="preserve">Four Hundred Seventy Two </v>
      </c>
    </row>
    <row r="171" spans="1:35" ht="15" customHeight="1">
      <c r="A171" s="59">
        <v>223371</v>
      </c>
      <c r="B171" s="41" t="s">
        <v>39</v>
      </c>
      <c r="C171" s="60" t="s">
        <v>95</v>
      </c>
      <c r="D171" s="61" t="str">
        <f t="shared" si="33"/>
        <v xml:space="preserve"> </v>
      </c>
      <c r="E171" s="62" t="s">
        <v>74</v>
      </c>
      <c r="F171" s="61" t="str">
        <f t="shared" si="34"/>
        <v xml:space="preserve"> </v>
      </c>
      <c r="G171" s="63" t="s">
        <v>103</v>
      </c>
      <c r="H171" s="61" t="str">
        <f t="shared" si="35"/>
        <v/>
      </c>
      <c r="I171" s="62" t="s">
        <v>74</v>
      </c>
      <c r="J171" s="61" t="str">
        <f t="shared" si="36"/>
        <v xml:space="preserve"> </v>
      </c>
      <c r="K171" s="62" t="s">
        <v>75</v>
      </c>
      <c r="L171" s="61" t="str">
        <f t="shared" si="37"/>
        <v xml:space="preserve"> </v>
      </c>
      <c r="M171" s="63" t="s">
        <v>64</v>
      </c>
      <c r="N171" s="61" t="str">
        <f t="shared" si="32"/>
        <v xml:space="preserve"> </v>
      </c>
      <c r="O171" s="62" t="s">
        <v>75</v>
      </c>
      <c r="P171" s="64" t="str">
        <f t="shared" si="38"/>
        <v xml:space="preserve"> </v>
      </c>
      <c r="Q171" s="60" t="s">
        <v>56</v>
      </c>
      <c r="R171" s="61" t="str">
        <f t="shared" si="39"/>
        <v xml:space="preserve"> </v>
      </c>
      <c r="S171" s="62" t="s">
        <v>75</v>
      </c>
      <c r="T171" s="64" t="str">
        <f t="shared" si="40"/>
        <v xml:space="preserve"> </v>
      </c>
      <c r="U171" s="60" t="s">
        <v>56</v>
      </c>
      <c r="V171" s="61" t="str">
        <f t="shared" si="41"/>
        <v xml:space="preserve"> </v>
      </c>
      <c r="W171" s="62" t="s">
        <v>72</v>
      </c>
      <c r="X171" s="64" t="str">
        <f t="shared" si="42"/>
        <v xml:space="preserve"> </v>
      </c>
      <c r="Y171" s="62" t="s">
        <v>74</v>
      </c>
      <c r="Z171" s="64" t="str">
        <f t="shared" si="43"/>
        <v xml:space="preserve"> </v>
      </c>
      <c r="AA171" s="60" t="s">
        <v>103</v>
      </c>
      <c r="AB171" s="61" t="str">
        <f t="shared" si="44"/>
        <v/>
      </c>
      <c r="AC171" s="62" t="s">
        <v>75</v>
      </c>
      <c r="AD171" s="61" t="str">
        <f t="shared" si="45"/>
        <v xml:space="preserve"> </v>
      </c>
      <c r="AE171" s="62" t="s">
        <v>57</v>
      </c>
      <c r="AF171" s="64" t="str">
        <f t="shared" si="46"/>
        <v xml:space="preserve"> </v>
      </c>
      <c r="AG171" s="66">
        <f>IF(OR(AND(C171&gt;=31,C171&lt;40),AND(G171&gt;=31,G171&lt;40),AND(M171&gt;=31,M171&lt;40),AND(Q171&gt;=31,Q171&lt;40),AND(U171&gt;=31,U171&lt;40),AND(AA171&gt;=31,AA171&lt;40)),IF(AND(OR(COUNTIF(C171:AF171,"=31")&gt;=1,COUNTIF(C171:AF171,"=32")&gt;=1,COUNTIF(C171:AF171,"=33")&gt;=1,COUNTIF(C171:AF171,"=34")&gt;=1,COUNTIF(C171:AF171,"=35")&gt;=1,COUNTIF(C171:AF171,"=36")&gt;=1 ),COUNTIF(C171:AF171,"")=0,COUNTIF(C171:AF171," ")=0,COUNTIF(C171:AF171,"F")=1),CONCATENATE(SUM(EXTRACTNUMBER(C171),EXTRACTNUMBER(E171),
EXTRACTNUMBER(G171),EXTRACTNUMBER(I171),
EXTRACTNUMBER(K171),EXTRACTNUMBER(M171),
EXTRACTNUMBER(O171),EXTRACTNUMBER(Q171),
EXTRACTNUMBER(S171),EXTRACTNUMBER(U171),
EXTRACTNUMBER(W171),EXTRACTNUMBER(Y171),EXTRACTNUMBER(AA171),
EXTRACTNUMBER(AC171),EXTRACTNUMBER(AE171)),"*"),IF(AND(COUNTIF(C171:AF171,"=34")&gt;=1,COUNTIF(C171:AF171,"=35")&gt;=1,COUNTIF(C171:AF171,"f")=2,COUNTIF(C171:AF171,"")=0,COUNTIF(C171:AF171," ")=0),CONCATENATE(SUM(EXTRACTNUMBER(C171),EXTRACTNUMBER(E171),
EXTRACTNUMBER(G171),EXTRACTNUMBER(I171),
EXTRACTNUMBER(K171),EXTRACTNUMBER(M171),
EXTRACTNUMBER(O171),EXTRACTNUMBER(Q171),
EXTRACTNUMBER(S171),EXTRACTNUMBER(U171),
EXTRACTNUMBER(W171),EXTRACTNUMBER(Y171),EXTRACTNUMBER(AA171),
EXTRACTNUMBER(AC171),EXTRACTNUMBER(AE171)),"*"),IF(AND(COUNTIF(C171:AF171,"=36")&gt;=2,COUNTIF(C171:AF171,"f")=2,COUNTIF(C171:AF171,"")=0,COUNTIF(C171:AF171," ")=0),CONCATENATE(SUM(EXTRACTNUMBER(C171),EXTRACTNUMBER(E171),
EXTRACTNUMBER(G171),EXTRACTNUMBER(I171),
EXTRACTNUMBER(K171),EXTRACTNUMBER(M171),
EXTRACTNUMBER(O171),EXTRACTNUMBER(Q171),
EXTRACTNUMBER(S171),EXTRACTNUMBER(U171),
EXTRACTNUMBER(W171),EXTRACTNUMBER(Y171),EXTRACTNUMBER(AA171),
EXTRACTNUMBER(AC171),EXTRACTNUMBER(AE171)),"*"),SUM(EXTRACTNUMBER(C171),EXTRACTNUMBER(E171),
EXTRACTNUMBER(G171),EXTRACTNUMBER(I171),
EXTRACTNUMBER(K171),EXTRACTNUMBER(M171),
EXTRACTNUMBER(O171),EXTRACTNUMBER(Q171),
EXTRACTNUMBER(S171),EXTRACTNUMBER(U171),
EXTRACTNUMBER(W171),EXTRACTNUMBER(Y171),EXTRACTNUMBER(AA171),
EXTRACTNUMBER(AC171),EXTRACTNUMBER(AE171))))),SUM(EXTRACTNUMBER(C171),EXTRACTNUMBER(E171),
EXTRACTNUMBER(G171),EXTRACTNUMBER(I171),
EXTRACTNUMBER(K171),EXTRACTNUMBER(M171),
EXTRACTNUMBER(O171),EXTRACTNUMBER(Q171),
EXTRACTNUMBER(S171),EXTRACTNUMBER(U171),
EXTRACTNUMBER(W171),EXTRACTNUMBER(Y171),EXTRACTNUMBER(AA171),
EXTRACTNUMBER(AC171),EXTRACTNUMBER(AE171)))</f>
        <v>403</v>
      </c>
      <c r="AH171" s="38" t="str">
        <f t="shared" si="47"/>
        <v>ABSENT</v>
      </c>
      <c r="AI171" s="28" t="str">
        <f>spellnumber(EXTRACTnUMBER_TOT(AG171))</f>
        <v xml:space="preserve">Four Hundred Three </v>
      </c>
    </row>
    <row r="172" spans="1:35" ht="15" customHeight="1">
      <c r="A172" s="59">
        <v>223372</v>
      </c>
      <c r="B172" s="42" t="s">
        <v>40</v>
      </c>
      <c r="C172" s="60">
        <v>17</v>
      </c>
      <c r="D172" s="61" t="str">
        <f t="shared" ca="1" si="33"/>
        <v>F</v>
      </c>
      <c r="E172" s="62" t="s">
        <v>67</v>
      </c>
      <c r="F172" s="61" t="str">
        <f t="shared" si="34"/>
        <v xml:space="preserve"> </v>
      </c>
      <c r="G172" s="63" t="s">
        <v>65</v>
      </c>
      <c r="H172" s="61" t="str">
        <f t="shared" si="35"/>
        <v xml:space="preserve"> </v>
      </c>
      <c r="I172" s="62" t="s">
        <v>72</v>
      </c>
      <c r="J172" s="61" t="str">
        <f t="shared" si="36"/>
        <v xml:space="preserve"> </v>
      </c>
      <c r="K172" s="62" t="s">
        <v>70</v>
      </c>
      <c r="L172" s="61" t="str">
        <f t="shared" si="37"/>
        <v xml:space="preserve"> </v>
      </c>
      <c r="M172" s="63" t="s">
        <v>56</v>
      </c>
      <c r="N172" s="61" t="str">
        <f t="shared" si="32"/>
        <v xml:space="preserve"> </v>
      </c>
      <c r="O172" s="62" t="s">
        <v>72</v>
      </c>
      <c r="P172" s="64" t="str">
        <f t="shared" si="38"/>
        <v xml:space="preserve"> </v>
      </c>
      <c r="Q172" s="60" t="s">
        <v>64</v>
      </c>
      <c r="R172" s="61" t="str">
        <f t="shared" si="39"/>
        <v xml:space="preserve"> </v>
      </c>
      <c r="S172" s="62" t="s">
        <v>72</v>
      </c>
      <c r="T172" s="64" t="str">
        <f t="shared" si="40"/>
        <v xml:space="preserve"> </v>
      </c>
      <c r="U172" s="60" t="s">
        <v>62</v>
      </c>
      <c r="V172" s="61" t="str">
        <f t="shared" si="41"/>
        <v xml:space="preserve"> </v>
      </c>
      <c r="W172" s="62" t="s">
        <v>69</v>
      </c>
      <c r="X172" s="64" t="str">
        <f t="shared" si="42"/>
        <v xml:space="preserve"> </v>
      </c>
      <c r="Y172" s="62" t="s">
        <v>69</v>
      </c>
      <c r="Z172" s="64" t="str">
        <f t="shared" si="43"/>
        <v xml:space="preserve"> </v>
      </c>
      <c r="AA172" s="60" t="s">
        <v>56</v>
      </c>
      <c r="AB172" s="61" t="str">
        <f t="shared" si="44"/>
        <v xml:space="preserve"> </v>
      </c>
      <c r="AC172" s="62" t="s">
        <v>72</v>
      </c>
      <c r="AD172" s="61" t="str">
        <f t="shared" si="45"/>
        <v xml:space="preserve"> </v>
      </c>
      <c r="AE172" s="62" t="s">
        <v>100</v>
      </c>
      <c r="AF172" s="64" t="str">
        <f t="shared" si="46"/>
        <v xml:space="preserve"> </v>
      </c>
      <c r="AG172" s="66">
        <f>IF(OR(AND(C172&gt;=31,C172&lt;40),AND(G172&gt;=31,G172&lt;40),AND(M172&gt;=31,M172&lt;40),AND(Q172&gt;=31,Q172&lt;40),AND(U172&gt;=31,U172&lt;40),AND(AA172&gt;=31,AA172&lt;40)),IF(AND(OR(COUNTIF(C172:AF172,"=31")&gt;=1,COUNTIF(C172:AF172,"=32")&gt;=1,COUNTIF(C172:AF172,"=33")&gt;=1,COUNTIF(C172:AF172,"=34")&gt;=1,COUNTIF(C172:AF172,"=35")&gt;=1,COUNTIF(C172:AF172,"=36")&gt;=1 ),COUNTIF(C172:AF172,"")=0,COUNTIF(C172:AF172," ")=0,COUNTIF(C172:AF172,"F")=1),CONCATENATE(SUM(EXTRACTNUMBER(C172),EXTRACTNUMBER(E172),
EXTRACTNUMBER(G172),EXTRACTNUMBER(I172),
EXTRACTNUMBER(K172),EXTRACTNUMBER(M172),
EXTRACTNUMBER(O172),EXTRACTNUMBER(Q172),
EXTRACTNUMBER(S172),EXTRACTNUMBER(U172),
EXTRACTNUMBER(W172),EXTRACTNUMBER(Y172),EXTRACTNUMBER(AA172),
EXTRACTNUMBER(AC172),EXTRACTNUMBER(AE172)),"*"),IF(AND(COUNTIF(C172:AF172,"=34")&gt;=1,COUNTIF(C172:AF172,"=35")&gt;=1,COUNTIF(C172:AF172,"f")=2,COUNTIF(C172:AF172,"")=0,COUNTIF(C172:AF172," ")=0),CONCATENATE(SUM(EXTRACTNUMBER(C172),EXTRACTNUMBER(E172),
EXTRACTNUMBER(G172),EXTRACTNUMBER(I172),
EXTRACTNUMBER(K172),EXTRACTNUMBER(M172),
EXTRACTNUMBER(O172),EXTRACTNUMBER(Q172),
EXTRACTNUMBER(S172),EXTRACTNUMBER(U172),
EXTRACTNUMBER(W172),EXTRACTNUMBER(Y172),EXTRACTNUMBER(AA172),
EXTRACTNUMBER(AC172),EXTRACTNUMBER(AE172)),"*"),IF(AND(COUNTIF(C172:AF172,"=36")&gt;=2,COUNTIF(C172:AF172,"f")=2,COUNTIF(C172:AF172,"")=0,COUNTIF(C172:AF172," ")=0),CONCATENATE(SUM(EXTRACTNUMBER(C172),EXTRACTNUMBER(E172),
EXTRACTNUMBER(G172),EXTRACTNUMBER(I172),
EXTRACTNUMBER(K172),EXTRACTNUMBER(M172),
EXTRACTNUMBER(O172),EXTRACTNUMBER(Q172),
EXTRACTNUMBER(S172),EXTRACTNUMBER(U172),
EXTRACTNUMBER(W172),EXTRACTNUMBER(Y172),EXTRACTNUMBER(AA172),
EXTRACTNUMBER(AC172),EXTRACTNUMBER(AE172)),"*"),SUM(EXTRACTNUMBER(C172),EXTRACTNUMBER(E172),
EXTRACTNUMBER(G172),EXTRACTNUMBER(I172),
EXTRACTNUMBER(K172),EXTRACTNUMBER(M172),
EXTRACTNUMBER(O172),EXTRACTNUMBER(Q172),
EXTRACTNUMBER(S172),EXTRACTNUMBER(U172),
EXTRACTNUMBER(W172),EXTRACTNUMBER(Y172),EXTRACTNUMBER(AA172),
EXTRACTNUMBER(AC172),EXTRACTNUMBER(AE172))))),SUM(EXTRACTNUMBER(C172),EXTRACTNUMBER(E172),
EXTRACTNUMBER(G172),EXTRACTNUMBER(I172),
EXTRACTNUMBER(K172),EXTRACTNUMBER(M172),
EXTRACTNUMBER(O172),EXTRACTNUMBER(Q172),
EXTRACTNUMBER(S172),EXTRACTNUMBER(U172),
EXTRACTNUMBER(W172),EXTRACTNUMBER(Y172),EXTRACTNUMBER(AA172),
EXTRACTNUMBER(AC172),EXTRACTNUMBER(AE172)))</f>
        <v>413</v>
      </c>
      <c r="AH172" s="38" t="str">
        <f t="shared" ca="1" si="47"/>
        <v>FAIL</v>
      </c>
      <c r="AI172" s="28" t="str">
        <f>spellnumber(EXTRACTnUMBER_TOT(AG172))</f>
        <v xml:space="preserve">Four Hundred Thirteen </v>
      </c>
    </row>
    <row r="173" spans="1:35" ht="15" customHeight="1">
      <c r="A173" s="59">
        <v>223373</v>
      </c>
      <c r="B173" s="42" t="s">
        <v>312</v>
      </c>
      <c r="C173" s="60" t="s">
        <v>59</v>
      </c>
      <c r="D173" s="61" t="str">
        <f t="shared" si="33"/>
        <v xml:space="preserve"> </v>
      </c>
      <c r="E173" s="62" t="s">
        <v>72</v>
      </c>
      <c r="F173" s="61" t="str">
        <f t="shared" si="34"/>
        <v xml:space="preserve"> </v>
      </c>
      <c r="G173" s="63" t="s">
        <v>460</v>
      </c>
      <c r="H173" s="61" t="str">
        <f t="shared" ca="1" si="35"/>
        <v>F</v>
      </c>
      <c r="I173" s="62" t="s">
        <v>74</v>
      </c>
      <c r="J173" s="61" t="str">
        <f t="shared" si="36"/>
        <v xml:space="preserve"> </v>
      </c>
      <c r="K173" s="62" t="s">
        <v>71</v>
      </c>
      <c r="L173" s="61" t="str">
        <f t="shared" si="37"/>
        <v xml:space="preserve"> </v>
      </c>
      <c r="M173" s="63" t="s">
        <v>56</v>
      </c>
      <c r="N173" s="61" t="str">
        <f t="shared" si="32"/>
        <v xml:space="preserve"> </v>
      </c>
      <c r="O173" s="62" t="s">
        <v>74</v>
      </c>
      <c r="P173" s="64" t="str">
        <f t="shared" si="38"/>
        <v xml:space="preserve"> </v>
      </c>
      <c r="Q173" s="60" t="s">
        <v>63</v>
      </c>
      <c r="R173" s="61" t="str">
        <f t="shared" si="39"/>
        <v xml:space="preserve"> </v>
      </c>
      <c r="S173" s="62" t="s">
        <v>74</v>
      </c>
      <c r="T173" s="64" t="str">
        <f t="shared" si="40"/>
        <v xml:space="preserve"> </v>
      </c>
      <c r="U173" s="60" t="s">
        <v>454</v>
      </c>
      <c r="V173" s="61" t="str">
        <f t="shared" ca="1" si="41"/>
        <v>F</v>
      </c>
      <c r="W173" s="62" t="s">
        <v>72</v>
      </c>
      <c r="X173" s="64" t="str">
        <f t="shared" si="42"/>
        <v xml:space="preserve"> </v>
      </c>
      <c r="Y173" s="62" t="s">
        <v>67</v>
      </c>
      <c r="Z173" s="64" t="str">
        <f t="shared" si="43"/>
        <v xml:space="preserve"> </v>
      </c>
      <c r="AA173" s="60" t="s">
        <v>461</v>
      </c>
      <c r="AB173" s="61" t="str">
        <f t="shared" ca="1" si="44"/>
        <v>F</v>
      </c>
      <c r="AC173" s="62" t="s">
        <v>74</v>
      </c>
      <c r="AD173" s="61" t="str">
        <f t="shared" si="45"/>
        <v xml:space="preserve"> </v>
      </c>
      <c r="AE173" s="62" t="s">
        <v>56</v>
      </c>
      <c r="AF173" s="64" t="str">
        <f t="shared" si="46"/>
        <v xml:space="preserve"> </v>
      </c>
      <c r="AG173" s="66">
        <f>IF(OR(AND(C173&gt;=31,C173&lt;40),AND(G173&gt;=31,G173&lt;40),AND(M173&gt;=31,M173&lt;40),AND(Q173&gt;=31,Q173&lt;40),AND(U173&gt;=31,U173&lt;40),AND(AA173&gt;=31,AA173&lt;40)),IF(AND(OR(COUNTIF(C173:AF173,"=31")&gt;=1,COUNTIF(C173:AF173,"=32")&gt;=1,COUNTIF(C173:AF173,"=33")&gt;=1,COUNTIF(C173:AF173,"=34")&gt;=1,COUNTIF(C173:AF173,"=35")&gt;=1,COUNTIF(C173:AF173,"=36")&gt;=1 ),COUNTIF(C173:AF173,"")=0,COUNTIF(C173:AF173," ")=0,COUNTIF(C173:AF173,"F")=1),CONCATENATE(SUM(EXTRACTNUMBER(C173),EXTRACTNUMBER(E173),
EXTRACTNUMBER(G173),EXTRACTNUMBER(I173),
EXTRACTNUMBER(K173),EXTRACTNUMBER(M173),
EXTRACTNUMBER(O173),EXTRACTNUMBER(Q173),
EXTRACTNUMBER(S173),EXTRACTNUMBER(U173),
EXTRACTNUMBER(W173),EXTRACTNUMBER(Y173),EXTRACTNUMBER(AA173),
EXTRACTNUMBER(AC173),EXTRACTNUMBER(AE173)),"*"),IF(AND(COUNTIF(C173:AF173,"=34")&gt;=1,COUNTIF(C173:AF173,"=35")&gt;=1,COUNTIF(C173:AF173,"f")=2,COUNTIF(C173:AF173,"")=0,COUNTIF(C173:AF173," ")=0),CONCATENATE(SUM(EXTRACTNUMBER(C173),EXTRACTNUMBER(E173),
EXTRACTNUMBER(G173),EXTRACTNUMBER(I173),
EXTRACTNUMBER(K173),EXTRACTNUMBER(M173),
EXTRACTNUMBER(O173),EXTRACTNUMBER(Q173),
EXTRACTNUMBER(S173),EXTRACTNUMBER(U173),
EXTRACTNUMBER(W173),EXTRACTNUMBER(Y173),EXTRACTNUMBER(AA173),
EXTRACTNUMBER(AC173),EXTRACTNUMBER(AE173)),"*"),IF(AND(COUNTIF(C173:AF173,"=36")&gt;=2,COUNTIF(C173:AF173,"f")=2,COUNTIF(C173:AF173,"")=0,COUNTIF(C173:AF173," ")=0),CONCATENATE(SUM(EXTRACTNUMBER(C173),EXTRACTNUMBER(E173),
EXTRACTNUMBER(G173),EXTRACTNUMBER(I173),
EXTRACTNUMBER(K173),EXTRACTNUMBER(M173),
EXTRACTNUMBER(O173),EXTRACTNUMBER(Q173),
EXTRACTNUMBER(S173),EXTRACTNUMBER(U173),
EXTRACTNUMBER(W173),EXTRACTNUMBER(Y173),EXTRACTNUMBER(AA173),
EXTRACTNUMBER(AC173),EXTRACTNUMBER(AE173)),"*"),SUM(EXTRACTNUMBER(C173),EXTRACTNUMBER(E173),
EXTRACTNUMBER(G173),EXTRACTNUMBER(I173),
EXTRACTNUMBER(K173),EXTRACTNUMBER(M173),
EXTRACTNUMBER(O173),EXTRACTNUMBER(Q173),
EXTRACTNUMBER(S173),EXTRACTNUMBER(U173),
EXTRACTNUMBER(W173),EXTRACTNUMBER(Y173),EXTRACTNUMBER(AA173),
EXTRACTNUMBER(AC173),EXTRACTNUMBER(AE173))))),SUM(EXTRACTNUMBER(C173),EXTRACTNUMBER(E173),
EXTRACTNUMBER(G173),EXTRACTNUMBER(I173),
EXTRACTNUMBER(K173),EXTRACTNUMBER(M173),
EXTRACTNUMBER(O173),EXTRACTNUMBER(Q173),
EXTRACTNUMBER(S173),EXTRACTNUMBER(U173),
EXTRACTNUMBER(W173),EXTRACTNUMBER(Y173),EXTRACTNUMBER(AA173),
EXTRACTNUMBER(AC173),EXTRACTNUMBER(AE173)))</f>
        <v>343</v>
      </c>
      <c r="AH173" s="38" t="str">
        <f t="shared" ca="1" si="47"/>
        <v>FAIL</v>
      </c>
      <c r="AI173" s="28" t="str">
        <f>spellnumber(EXTRACTnUMBER_TOT(AG173))</f>
        <v xml:space="preserve">Three Hundred Forty Three </v>
      </c>
    </row>
    <row r="174" spans="1:35" ht="15" customHeight="1">
      <c r="A174" s="59">
        <v>223374</v>
      </c>
      <c r="B174" s="41" t="s">
        <v>41</v>
      </c>
      <c r="C174" s="60" t="s">
        <v>56</v>
      </c>
      <c r="D174" s="61" t="str">
        <f t="shared" si="33"/>
        <v xml:space="preserve"> </v>
      </c>
      <c r="E174" s="62" t="s">
        <v>72</v>
      </c>
      <c r="F174" s="61" t="str">
        <f t="shared" si="34"/>
        <v xml:space="preserve"> </v>
      </c>
      <c r="G174" s="63" t="s">
        <v>103</v>
      </c>
      <c r="H174" s="61" t="str">
        <f t="shared" si="35"/>
        <v/>
      </c>
      <c r="I174" s="62" t="s">
        <v>75</v>
      </c>
      <c r="J174" s="61" t="str">
        <f t="shared" si="36"/>
        <v xml:space="preserve"> </v>
      </c>
      <c r="K174" s="62" t="s">
        <v>73</v>
      </c>
      <c r="L174" s="61" t="str">
        <f t="shared" si="37"/>
        <v xml:space="preserve"> </v>
      </c>
      <c r="M174" s="63" t="s">
        <v>65</v>
      </c>
      <c r="N174" s="61" t="str">
        <f t="shared" si="32"/>
        <v xml:space="preserve"> </v>
      </c>
      <c r="O174" s="62" t="s">
        <v>75</v>
      </c>
      <c r="P174" s="64" t="str">
        <f t="shared" si="38"/>
        <v xml:space="preserve"> </v>
      </c>
      <c r="Q174" s="60" t="s">
        <v>56</v>
      </c>
      <c r="R174" s="61" t="str">
        <f t="shared" si="39"/>
        <v xml:space="preserve"> </v>
      </c>
      <c r="S174" s="62" t="s">
        <v>72</v>
      </c>
      <c r="T174" s="64" t="str">
        <f t="shared" si="40"/>
        <v xml:space="preserve"> </v>
      </c>
      <c r="U174" s="60" t="s">
        <v>59</v>
      </c>
      <c r="V174" s="61" t="str">
        <f t="shared" si="41"/>
        <v xml:space="preserve"> </v>
      </c>
      <c r="W174" s="62" t="s">
        <v>72</v>
      </c>
      <c r="X174" s="64" t="str">
        <f t="shared" si="42"/>
        <v xml:space="preserve"> </v>
      </c>
      <c r="Y174" s="62" t="s">
        <v>74</v>
      </c>
      <c r="Z174" s="64" t="str">
        <f t="shared" si="43"/>
        <v xml:space="preserve"> </v>
      </c>
      <c r="AA174" s="60">
        <v>51</v>
      </c>
      <c r="AB174" s="61" t="str">
        <f t="shared" ca="1" si="44"/>
        <v>E</v>
      </c>
      <c r="AC174" s="62" t="s">
        <v>72</v>
      </c>
      <c r="AD174" s="61" t="str">
        <f t="shared" si="45"/>
        <v xml:space="preserve"> </v>
      </c>
      <c r="AE174" s="62" t="s">
        <v>56</v>
      </c>
      <c r="AF174" s="64" t="str">
        <f t="shared" si="46"/>
        <v xml:space="preserve"> </v>
      </c>
      <c r="AG174" s="66">
        <f>IF(OR(AND(C174&gt;=31,C174&lt;40),AND(G174&gt;=31,G174&lt;40),AND(M174&gt;=31,M174&lt;40),AND(Q174&gt;=31,Q174&lt;40),AND(U174&gt;=31,U174&lt;40),AND(AA174&gt;=31,AA174&lt;40)),IF(AND(OR(COUNTIF(C174:AF174,"=31")&gt;=1,COUNTIF(C174:AF174,"=32")&gt;=1,COUNTIF(C174:AF174,"=33")&gt;=1,COUNTIF(C174:AF174,"=34")&gt;=1,COUNTIF(C174:AF174,"=35")&gt;=1,COUNTIF(C174:AF174,"=36")&gt;=1 ),COUNTIF(C174:AF174,"")=0,COUNTIF(C174:AF174," ")=0,COUNTIF(C174:AF174,"F")=1),CONCATENATE(SUM(EXTRACTNUMBER(C174),EXTRACTNUMBER(E174),
EXTRACTNUMBER(G174),EXTRACTNUMBER(I174),
EXTRACTNUMBER(K174),EXTRACTNUMBER(M174),
EXTRACTNUMBER(O174),EXTRACTNUMBER(Q174),
EXTRACTNUMBER(S174),EXTRACTNUMBER(U174),
EXTRACTNUMBER(W174),EXTRACTNUMBER(Y174),EXTRACTNUMBER(AA174),
EXTRACTNUMBER(AC174),EXTRACTNUMBER(AE174)),"*"),IF(AND(COUNTIF(C174:AF174,"=34")&gt;=1,COUNTIF(C174:AF174,"=35")&gt;=1,COUNTIF(C174:AF174,"f")=2,COUNTIF(C174:AF174,"")=0,COUNTIF(C174:AF174," ")=0),CONCATENATE(SUM(EXTRACTNUMBER(C174),EXTRACTNUMBER(E174),
EXTRACTNUMBER(G174),EXTRACTNUMBER(I174),
EXTRACTNUMBER(K174),EXTRACTNUMBER(M174),
EXTRACTNUMBER(O174),EXTRACTNUMBER(Q174),
EXTRACTNUMBER(S174),EXTRACTNUMBER(U174),
EXTRACTNUMBER(W174),EXTRACTNUMBER(Y174),EXTRACTNUMBER(AA174),
EXTRACTNUMBER(AC174),EXTRACTNUMBER(AE174)),"*"),IF(AND(COUNTIF(C174:AF174,"=36")&gt;=2,COUNTIF(C174:AF174,"f")=2,COUNTIF(C174:AF174,"")=0,COUNTIF(C174:AF174," ")=0),CONCATENATE(SUM(EXTRACTNUMBER(C174),EXTRACTNUMBER(E174),
EXTRACTNUMBER(G174),EXTRACTNUMBER(I174),
EXTRACTNUMBER(K174),EXTRACTNUMBER(M174),
EXTRACTNUMBER(O174),EXTRACTNUMBER(Q174),
EXTRACTNUMBER(S174),EXTRACTNUMBER(U174),
EXTRACTNUMBER(W174),EXTRACTNUMBER(Y174),EXTRACTNUMBER(AA174),
EXTRACTNUMBER(AC174),EXTRACTNUMBER(AE174)),"*"),SUM(EXTRACTNUMBER(C174),EXTRACTNUMBER(E174),
EXTRACTNUMBER(G174),EXTRACTNUMBER(I174),
EXTRACTNUMBER(K174),EXTRACTNUMBER(M174),
EXTRACTNUMBER(O174),EXTRACTNUMBER(Q174),
EXTRACTNUMBER(S174),EXTRACTNUMBER(U174),
EXTRACTNUMBER(W174),EXTRACTNUMBER(Y174),EXTRACTNUMBER(AA174),
EXTRACTNUMBER(AC174),EXTRACTNUMBER(AE174))))),SUM(EXTRACTNUMBER(C174),EXTRACTNUMBER(E174),
EXTRACTNUMBER(G174),EXTRACTNUMBER(I174),
EXTRACTNUMBER(K174),EXTRACTNUMBER(M174),
EXTRACTNUMBER(O174),EXTRACTNUMBER(Q174),
EXTRACTNUMBER(S174),EXTRACTNUMBER(U174),
EXTRACTNUMBER(W174),EXTRACTNUMBER(Y174),EXTRACTNUMBER(AA174),
EXTRACTNUMBER(AC174),EXTRACTNUMBER(AE174)))</f>
        <v>436</v>
      </c>
      <c r="AH174" s="38" t="str">
        <f t="shared" ca="1" si="47"/>
        <v>FAIL</v>
      </c>
      <c r="AI174" s="28" t="str">
        <f>spellnumber(EXTRACTnUMBER_TOT(AG174))</f>
        <v xml:space="preserve">Four Hundred Thirty Six </v>
      </c>
    </row>
    <row r="175" spans="1:35" ht="15" customHeight="1">
      <c r="A175" s="59">
        <v>223375</v>
      </c>
      <c r="B175" s="42" t="s">
        <v>313</v>
      </c>
      <c r="C175" s="60" t="s">
        <v>415</v>
      </c>
      <c r="D175" s="61" t="str">
        <f t="shared" si="33"/>
        <v xml:space="preserve"> </v>
      </c>
      <c r="E175" s="62" t="s">
        <v>74</v>
      </c>
      <c r="F175" s="61" t="str">
        <f t="shared" si="34"/>
        <v xml:space="preserve"> </v>
      </c>
      <c r="G175" s="63">
        <v>63</v>
      </c>
      <c r="H175" s="61" t="str">
        <f t="shared" ca="1" si="35"/>
        <v/>
      </c>
      <c r="I175" s="62" t="s">
        <v>72</v>
      </c>
      <c r="J175" s="61" t="str">
        <f t="shared" si="36"/>
        <v xml:space="preserve"> </v>
      </c>
      <c r="K175" s="62" t="s">
        <v>70</v>
      </c>
      <c r="L175" s="61" t="str">
        <f t="shared" si="37"/>
        <v xml:space="preserve"> </v>
      </c>
      <c r="M175" s="63" t="s">
        <v>58</v>
      </c>
      <c r="N175" s="61" t="str">
        <f t="shared" si="32"/>
        <v xml:space="preserve"> </v>
      </c>
      <c r="O175" s="62" t="s">
        <v>74</v>
      </c>
      <c r="P175" s="64" t="str">
        <f t="shared" si="38"/>
        <v xml:space="preserve"> </v>
      </c>
      <c r="Q175" s="60" t="s">
        <v>81</v>
      </c>
      <c r="R175" s="61" t="str">
        <f t="shared" si="39"/>
        <v xml:space="preserve"> </v>
      </c>
      <c r="S175" s="62" t="s">
        <v>72</v>
      </c>
      <c r="T175" s="64" t="str">
        <f t="shared" si="40"/>
        <v xml:space="preserve"> </v>
      </c>
      <c r="U175" s="60" t="s">
        <v>56</v>
      </c>
      <c r="V175" s="61" t="str">
        <f t="shared" si="41"/>
        <v xml:space="preserve"> </v>
      </c>
      <c r="W175" s="62" t="s">
        <v>75</v>
      </c>
      <c r="X175" s="64" t="str">
        <f t="shared" si="42"/>
        <v xml:space="preserve"> </v>
      </c>
      <c r="Y175" s="62" t="s">
        <v>72</v>
      </c>
      <c r="Z175" s="64" t="str">
        <f t="shared" si="43"/>
        <v xml:space="preserve"> </v>
      </c>
      <c r="AA175" s="60" t="s">
        <v>56</v>
      </c>
      <c r="AB175" s="61" t="str">
        <f t="shared" si="44"/>
        <v xml:space="preserve"> </v>
      </c>
      <c r="AC175" s="62" t="s">
        <v>74</v>
      </c>
      <c r="AD175" s="61" t="str">
        <f t="shared" si="45"/>
        <v xml:space="preserve"> </v>
      </c>
      <c r="AE175" s="62" t="s">
        <v>79</v>
      </c>
      <c r="AF175" s="64" t="str">
        <f t="shared" si="46"/>
        <v xml:space="preserve"> </v>
      </c>
      <c r="AG175" s="66">
        <f>IF(OR(AND(C175&gt;=31,C175&lt;40),AND(G175&gt;=31,G175&lt;40),AND(M175&gt;=31,M175&lt;40),AND(Q175&gt;=31,Q175&lt;40),AND(U175&gt;=31,U175&lt;40),AND(AA175&gt;=31,AA175&lt;40)),IF(AND(OR(COUNTIF(C175:AF175,"=31")&gt;=1,COUNTIF(C175:AF175,"=32")&gt;=1,COUNTIF(C175:AF175,"=33")&gt;=1,COUNTIF(C175:AF175,"=34")&gt;=1,COUNTIF(C175:AF175,"=35")&gt;=1,COUNTIF(C175:AF175,"=36")&gt;=1 ),COUNTIF(C175:AF175,"")=0,COUNTIF(C175:AF175," ")=0,COUNTIF(C175:AF175,"F")=1),CONCATENATE(SUM(EXTRACTNUMBER(C175),EXTRACTNUMBER(E175),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EXTRACTNUMBER(AC175),EXTRACTNUMBER(AE175)),"*"),IF(AND(COUNTIF(C175:AF175,"=34")&gt;=1,COUNTIF(C175:AF175,"=35")&gt;=1,COUNTIF(C175:AF175,"f")=2,COUNTIF(C175:AF175,"")=0,COUNTIF(C175:AF175," ")=0),CONCATENATE(SUM(EXTRACTNUMBER(C175),EXTRACTNUMBER(E175),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EXTRACTNUMBER(AC175),EXTRACTNUMBER(AE175)),"*"),IF(AND(COUNTIF(C175:AF175,"=36")&gt;=2,COUNTIF(C175:AF175,"f")=2,COUNTIF(C175:AF175,"")=0,COUNTIF(C175:AF175," ")=0),CONCATENATE(SUM(EXTRACTNUMBER(C175),EXTRACTNUMBER(E175),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EXTRACTNUMBER(AC175),EXTRACTNUMBER(AE175)),"*"),SUM(EXTRACTNUMBER(C175),EXTRACTNUMBER(E175),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EXTRACTNUMBER(AC175),EXTRACTNUMBER(AE175))))),SUM(EXTRACTNUMBER(C175),EXTRACTNUMBER(E175),
EXTRACTNUMBER(G175),EXTRACTNUMBER(I175),
EXTRACTNUMBER(K175),EXTRACTNUMBER(M175),
EXTRACTNUMBER(O175),EXTRACTNUMBER(Q175),
EXTRACTNUMBER(S175),EXTRACTNUMBER(U175),
EXTRACTNUMBER(W175),EXTRACTNUMBER(Y175),EXTRACTNUMBER(AA175),
EXTRACTNUMBER(AC175),EXTRACTNUMBER(AE175)))</f>
        <v>524</v>
      </c>
      <c r="AH175" s="38" t="str">
        <f t="shared" ca="1" si="47"/>
        <v>PASS</v>
      </c>
      <c r="AI175" s="28" t="str">
        <f>spellnumber(EXTRACTnUMBER_TOT(AG175))</f>
        <v xml:space="preserve">Five Hundred Twenty Four </v>
      </c>
    </row>
    <row r="176" spans="1:35" ht="15" customHeight="1">
      <c r="A176" s="59">
        <v>223376</v>
      </c>
      <c r="B176" s="41" t="s">
        <v>314</v>
      </c>
      <c r="C176" s="60" t="s">
        <v>82</v>
      </c>
      <c r="D176" s="61" t="str">
        <f t="shared" si="33"/>
        <v xml:space="preserve"> </v>
      </c>
      <c r="E176" s="62" t="s">
        <v>66</v>
      </c>
      <c r="F176" s="61" t="str">
        <f t="shared" si="34"/>
        <v xml:space="preserve"> </v>
      </c>
      <c r="G176" s="63">
        <v>45</v>
      </c>
      <c r="H176" s="61" t="str">
        <f t="shared" ca="1" si="35"/>
        <v/>
      </c>
      <c r="I176" s="62" t="s">
        <v>73</v>
      </c>
      <c r="J176" s="61" t="str">
        <f t="shared" si="36"/>
        <v xml:space="preserve"> </v>
      </c>
      <c r="K176" s="62" t="s">
        <v>70</v>
      </c>
      <c r="L176" s="61" t="str">
        <f t="shared" si="37"/>
        <v xml:space="preserve"> </v>
      </c>
      <c r="M176" s="63" t="s">
        <v>80</v>
      </c>
      <c r="N176" s="61" t="str">
        <f t="shared" si="32"/>
        <v xml:space="preserve"> </v>
      </c>
      <c r="O176" s="62" t="s">
        <v>73</v>
      </c>
      <c r="P176" s="64" t="str">
        <f t="shared" si="38"/>
        <v xml:space="preserve"> </v>
      </c>
      <c r="Q176" s="60" t="s">
        <v>56</v>
      </c>
      <c r="R176" s="61" t="str">
        <f t="shared" si="39"/>
        <v xml:space="preserve"> </v>
      </c>
      <c r="S176" s="62" t="s">
        <v>74</v>
      </c>
      <c r="T176" s="64" t="str">
        <f t="shared" si="40"/>
        <v xml:space="preserve"> </v>
      </c>
      <c r="U176" s="60" t="s">
        <v>88</v>
      </c>
      <c r="V176" s="61" t="str">
        <f t="shared" si="41"/>
        <v xml:space="preserve"> </v>
      </c>
      <c r="W176" s="62" t="s">
        <v>70</v>
      </c>
      <c r="X176" s="64" t="str">
        <f t="shared" si="42"/>
        <v xml:space="preserve"> </v>
      </c>
      <c r="Y176" s="62" t="s">
        <v>74</v>
      </c>
      <c r="Z176" s="64" t="str">
        <f t="shared" si="43"/>
        <v xml:space="preserve"> </v>
      </c>
      <c r="AA176" s="60" t="s">
        <v>56</v>
      </c>
      <c r="AB176" s="61" t="str">
        <f t="shared" si="44"/>
        <v xml:space="preserve"> </v>
      </c>
      <c r="AC176" s="62" t="s">
        <v>73</v>
      </c>
      <c r="AD176" s="61" t="str">
        <f t="shared" si="45"/>
        <v xml:space="preserve"> </v>
      </c>
      <c r="AE176" s="62" t="s">
        <v>97</v>
      </c>
      <c r="AF176" s="64" t="str">
        <f t="shared" si="46"/>
        <v xml:space="preserve"> </v>
      </c>
      <c r="AG176" s="66">
        <f>IF(OR(AND(C176&gt;=31,C176&lt;40),AND(G176&gt;=31,G176&lt;40),AND(M176&gt;=31,M176&lt;40),AND(Q176&gt;=31,Q176&lt;40),AND(U176&gt;=31,U176&lt;40),AND(AA176&gt;=31,AA176&lt;40)),IF(AND(OR(COUNTIF(C176:AF176,"=31")&gt;=1,COUNTIF(C176:AF176,"=32")&gt;=1,COUNTIF(C176:AF176,"=33")&gt;=1,COUNTIF(C176:AF176,"=34")&gt;=1,COUNTIF(C176:AF176,"=35")&gt;=1,COUNTIF(C176:AF176,"=36")&gt;=1 ),COUNTIF(C176:AF176,"")=0,COUNTIF(C176:AF176," ")=0,COUNTIF(C176:AF176,"F")=1),CONCATENATE(SUM(EXTRACTNUMBER(C176),EXTRACTNUMBER(E176),
EXTRACTNUMBER(G176),EXTRACTNUMBER(I176),
EXTRACTNUMBER(K176),EXTRACTNUMBER(M176),
EXTRACTNUMBER(O176),EXTRACTNUMBER(Q176),
EXTRACTNUMBER(S176),EXTRACTNUMBER(U176),
EXTRACTNUMBER(W176),EXTRACTNUMBER(Y176),EXTRACTNUMBER(AA176),
EXTRACTNUMBER(AC176),EXTRACTNUMBER(AE176)),"*"),IF(AND(COUNTIF(C176:AF176,"=34")&gt;=1,COUNTIF(C176:AF176,"=35")&gt;=1,COUNTIF(C176:AF176,"f")=2,COUNTIF(C176:AF176,"")=0,COUNTIF(C176:AF176," ")=0),CONCATENATE(SUM(EXTRACTNUMBER(C176),EXTRACTNUMBER(E176),
EXTRACTNUMBER(G176),EXTRACTNUMBER(I176),
EXTRACTNUMBER(K176),EXTRACTNUMBER(M176),
EXTRACTNUMBER(O176),EXTRACTNUMBER(Q176),
EXTRACTNUMBER(S176),EXTRACTNUMBER(U176),
EXTRACTNUMBER(W176),EXTRACTNUMBER(Y176),EXTRACTNUMBER(AA176),
EXTRACTNUMBER(AC176),EXTRACTNUMBER(AE176)),"*"),IF(AND(COUNTIF(C176:AF176,"=36")&gt;=2,COUNTIF(C176:AF176,"f")=2,COUNTIF(C176:AF176,"")=0,COUNTIF(C176:AF176," ")=0),CONCATENATE(SUM(EXTRACTNUMBER(C176),EXTRACTNUMBER(E176),
EXTRACTNUMBER(G176),EXTRACTNUMBER(I176),
EXTRACTNUMBER(K176),EXTRACTNUMBER(M176),
EXTRACTNUMBER(O176),EXTRACTNUMBER(Q176),
EXTRACTNUMBER(S176),EXTRACTNUMBER(U176),
EXTRACTNUMBER(W176),EXTRACTNUMBER(Y176),EXTRACTNUMBER(AA176),
EXTRACTNUMBER(AC176),EXTRACTNUMBER(AE176)),"*"),SUM(EXTRACTNUMBER(C176),EXTRACTNUMBER(E176),
EXTRACTNUMBER(G176),EXTRACTNUMBER(I176),
EXTRACTNUMBER(K176),EXTRACTNUMBER(M176),
EXTRACTNUMBER(O176),EXTRACTNUMBER(Q176),
EXTRACTNUMBER(S176),EXTRACTNUMBER(U176),
EXTRACTNUMBER(W176),EXTRACTNUMBER(Y176),EXTRACTNUMBER(AA176),
EXTRACTNUMBER(AC176),EXTRACTNUMBER(AE176))))),SUM(EXTRACTNUMBER(C176),EXTRACTNUMBER(E176),
EXTRACTNUMBER(G176),EXTRACTNUMBER(I176),
EXTRACTNUMBER(K176),EXTRACTNUMBER(M176),
EXTRACTNUMBER(O176),EXTRACTNUMBER(Q176),
EXTRACTNUMBER(S176),EXTRACTNUMBER(U176),
EXTRACTNUMBER(W176),EXTRACTNUMBER(Y176),EXTRACTNUMBER(AA176),
EXTRACTNUMBER(AC176),EXTRACTNUMBER(AE176)))</f>
        <v>495</v>
      </c>
      <c r="AH176" s="38" t="str">
        <f t="shared" ca="1" si="47"/>
        <v>PASS</v>
      </c>
      <c r="AI176" s="28" t="str">
        <f>spellnumber(EXTRACTnUMBER_TOT(AG176))</f>
        <v xml:space="preserve">Four Hundred NinetyFive </v>
      </c>
    </row>
    <row r="177" spans="1:35" ht="15" customHeight="1">
      <c r="A177" s="59">
        <v>223377</v>
      </c>
      <c r="B177" s="41" t="s">
        <v>315</v>
      </c>
      <c r="C177" s="60" t="s">
        <v>103</v>
      </c>
      <c r="D177" s="61" t="str">
        <f t="shared" si="33"/>
        <v/>
      </c>
      <c r="E177" s="62" t="s">
        <v>67</v>
      </c>
      <c r="F177" s="61" t="str">
        <f t="shared" si="34"/>
        <v xml:space="preserve"> </v>
      </c>
      <c r="G177" s="63" t="s">
        <v>103</v>
      </c>
      <c r="H177" s="61" t="str">
        <f t="shared" si="35"/>
        <v/>
      </c>
      <c r="I177" s="62" t="s">
        <v>72</v>
      </c>
      <c r="J177" s="61" t="str">
        <f t="shared" si="36"/>
        <v xml:space="preserve"> </v>
      </c>
      <c r="K177" s="62" t="s">
        <v>75</v>
      </c>
      <c r="L177" s="61" t="str">
        <f t="shared" si="37"/>
        <v xml:space="preserve"> </v>
      </c>
      <c r="M177" s="63" t="s">
        <v>103</v>
      </c>
      <c r="N177" s="61" t="str">
        <f t="shared" si="32"/>
        <v/>
      </c>
      <c r="O177" s="62" t="s">
        <v>68</v>
      </c>
      <c r="P177" s="64" t="str">
        <f t="shared" si="38"/>
        <v xml:space="preserve"> </v>
      </c>
      <c r="Q177" s="60" t="s">
        <v>103</v>
      </c>
      <c r="R177" s="61" t="str">
        <f t="shared" si="39"/>
        <v/>
      </c>
      <c r="S177" s="62" t="s">
        <v>74</v>
      </c>
      <c r="T177" s="64" t="str">
        <f t="shared" si="40"/>
        <v xml:space="preserve"> </v>
      </c>
      <c r="U177" s="60" t="s">
        <v>103</v>
      </c>
      <c r="V177" s="61" t="str">
        <f t="shared" si="41"/>
        <v/>
      </c>
      <c r="W177" s="62" t="s">
        <v>71</v>
      </c>
      <c r="X177" s="64" t="str">
        <f t="shared" si="42"/>
        <v xml:space="preserve"> </v>
      </c>
      <c r="Y177" s="62" t="s">
        <v>70</v>
      </c>
      <c r="Z177" s="64" t="str">
        <f t="shared" si="43"/>
        <v xml:space="preserve"> </v>
      </c>
      <c r="AA177" s="60" t="s">
        <v>103</v>
      </c>
      <c r="AB177" s="61" t="str">
        <f t="shared" si="44"/>
        <v/>
      </c>
      <c r="AC177" s="62" t="s">
        <v>72</v>
      </c>
      <c r="AD177" s="61" t="str">
        <f t="shared" si="45"/>
        <v xml:space="preserve"> </v>
      </c>
      <c r="AE177" s="62" t="s">
        <v>97</v>
      </c>
      <c r="AF177" s="64" t="str">
        <f t="shared" si="46"/>
        <v xml:space="preserve"> </v>
      </c>
      <c r="AG177" s="66">
        <f>IF(OR(AND(C177&gt;=31,C177&lt;40),AND(G177&gt;=31,G177&lt;40),AND(M177&gt;=31,M177&lt;40),AND(Q177&gt;=31,Q177&lt;40),AND(U177&gt;=31,U177&lt;40),AND(AA177&gt;=31,AA177&lt;40)),IF(AND(OR(COUNTIF(C177:AF177,"=31")&gt;=1,COUNTIF(C177:AF177,"=32")&gt;=1,COUNTIF(C177:AF177,"=33")&gt;=1,COUNTIF(C177:AF177,"=34")&gt;=1,COUNTIF(C177:AF177,"=35")&gt;=1,COUNTIF(C177:AF177,"=36")&gt;=1 ),COUNTIF(C177:AF177,"")=0,COUNTIF(C177:AF177," ")=0,COUNTIF(C177:AF177,"F")=1),CONCATENATE(SUM(EXTRACTNUMBER(C177),EXTRACTNUMBER(E177),
EXTRACTNUMBER(G177),EXTRACTNUMBER(I177),
EXTRACTNUMBER(K177),EXTRACTNUMBER(M177),
EXTRACTNUMBER(O177),EXTRACTNUMBER(Q177),
EXTRACTNUMBER(S177),EXTRACTNUMBER(U177),
EXTRACTNUMBER(W177),EXTRACTNUMBER(Y177),EXTRACTNUMBER(AA177),
EXTRACTNUMBER(AC177),EXTRACTNUMBER(AE177)),"*"),IF(AND(COUNTIF(C177:AF177,"=34")&gt;=1,COUNTIF(C177:AF177,"=35")&gt;=1,COUNTIF(C177:AF177,"f")=2,COUNTIF(C177:AF177,"")=0,COUNTIF(C177:AF177," ")=0),CONCATENATE(SUM(EXTRACTNUMBER(C177),EXTRACTNUMBER(E177),
EXTRACTNUMBER(G177),EXTRACTNUMBER(I177),
EXTRACTNUMBER(K177),EXTRACTNUMBER(M177),
EXTRACTNUMBER(O177),EXTRACTNUMBER(Q177),
EXTRACTNUMBER(S177),EXTRACTNUMBER(U177),
EXTRACTNUMBER(W177),EXTRACTNUMBER(Y177),EXTRACTNUMBER(AA177),
EXTRACTNUMBER(AC177),EXTRACTNUMBER(AE177)),"*"),IF(AND(COUNTIF(C177:AF177,"=36")&gt;=2,COUNTIF(C177:AF177,"f")=2,COUNTIF(C177:AF177,"")=0,COUNTIF(C177:AF177," ")=0),CONCATENATE(SUM(EXTRACTNUMBER(C177),EXTRACTNUMBER(E177),
EXTRACTNUMBER(G177),EXTRACTNUMBER(I177),
EXTRACTNUMBER(K177),EXTRACTNUMBER(M177),
EXTRACTNUMBER(O177),EXTRACTNUMBER(Q177),
EXTRACTNUMBER(S177),EXTRACTNUMBER(U177),
EXTRACTNUMBER(W177),EXTRACTNUMBER(Y177),EXTRACTNUMBER(AA177),
EXTRACTNUMBER(AC177),EXTRACTNUMBER(AE177)),"*"),SUM(EXTRACTNUMBER(C177),EXTRACTNUMBER(E177),
EXTRACTNUMBER(G177),EXTRACTNUMBER(I177),
EXTRACTNUMBER(K177),EXTRACTNUMBER(M177),
EXTRACTNUMBER(O177),EXTRACTNUMBER(Q177),
EXTRACTNUMBER(S177),EXTRACTNUMBER(U177),
EXTRACTNUMBER(W177),EXTRACTNUMBER(Y177),EXTRACTNUMBER(AA177),
EXTRACTNUMBER(AC177),EXTRACTNUMBER(AE177))))),SUM(EXTRACTNUMBER(C177),EXTRACTNUMBER(E177),
EXTRACTNUMBER(G177),EXTRACTNUMBER(I177),
EXTRACTNUMBER(K177),EXTRACTNUMBER(M177),
EXTRACTNUMBER(O177),EXTRACTNUMBER(Q177),
EXTRACTNUMBER(S177),EXTRACTNUMBER(U177),
EXTRACTNUMBER(W177),EXTRACTNUMBER(Y177),EXTRACTNUMBER(AA177),
EXTRACTNUMBER(AC177),EXTRACTNUMBER(AE177)))</f>
        <v>181</v>
      </c>
      <c r="AH177" s="38" t="str">
        <f t="shared" si="47"/>
        <v>ABSENT</v>
      </c>
      <c r="AI177" s="28" t="str">
        <f>spellnumber(EXTRACTnUMBER_TOT(AG177))</f>
        <v xml:space="preserve">One Hundred Eighty One </v>
      </c>
    </row>
    <row r="178" spans="1:35" ht="15" customHeight="1">
      <c r="A178" s="59">
        <v>223378</v>
      </c>
      <c r="B178" s="42" t="s">
        <v>42</v>
      </c>
      <c r="C178" s="60" t="s">
        <v>65</v>
      </c>
      <c r="D178" s="61" t="str">
        <f t="shared" si="33"/>
        <v xml:space="preserve"> </v>
      </c>
      <c r="E178" s="62" t="s">
        <v>72</v>
      </c>
      <c r="F178" s="61" t="str">
        <f t="shared" si="34"/>
        <v xml:space="preserve"> </v>
      </c>
      <c r="G178" s="63">
        <v>40</v>
      </c>
      <c r="H178" s="61" t="str">
        <f t="shared" ca="1" si="35"/>
        <v>E</v>
      </c>
      <c r="I178" s="62" t="s">
        <v>74</v>
      </c>
      <c r="J178" s="61" t="str">
        <f t="shared" si="36"/>
        <v xml:space="preserve"> </v>
      </c>
      <c r="K178" s="62" t="s">
        <v>74</v>
      </c>
      <c r="L178" s="61" t="str">
        <f t="shared" si="37"/>
        <v xml:space="preserve"> </v>
      </c>
      <c r="M178" s="63" t="s">
        <v>56</v>
      </c>
      <c r="N178" s="61" t="str">
        <f t="shared" si="32"/>
        <v xml:space="preserve"> </v>
      </c>
      <c r="O178" s="62" t="s">
        <v>74</v>
      </c>
      <c r="P178" s="64" t="str">
        <f t="shared" si="38"/>
        <v xml:space="preserve"> </v>
      </c>
      <c r="Q178" s="60" t="s">
        <v>62</v>
      </c>
      <c r="R178" s="61" t="str">
        <f t="shared" si="39"/>
        <v xml:space="preserve"> </v>
      </c>
      <c r="S178" s="62" t="s">
        <v>72</v>
      </c>
      <c r="T178" s="64" t="str">
        <f t="shared" si="40"/>
        <v xml:space="preserve"> </v>
      </c>
      <c r="U178" s="60" t="s">
        <v>59</v>
      </c>
      <c r="V178" s="61" t="str">
        <f t="shared" si="41"/>
        <v xml:space="preserve"> </v>
      </c>
      <c r="W178" s="62" t="s">
        <v>72</v>
      </c>
      <c r="X178" s="64" t="str">
        <f t="shared" si="42"/>
        <v xml:space="preserve"> </v>
      </c>
      <c r="Y178" s="62" t="s">
        <v>72</v>
      </c>
      <c r="Z178" s="64" t="str">
        <f t="shared" si="43"/>
        <v xml:space="preserve"> </v>
      </c>
      <c r="AA178" s="60">
        <v>28</v>
      </c>
      <c r="AB178" s="61" t="str">
        <f t="shared" ca="1" si="44"/>
        <v>F</v>
      </c>
      <c r="AC178" s="62" t="s">
        <v>74</v>
      </c>
      <c r="AD178" s="61" t="str">
        <f t="shared" si="45"/>
        <v xml:space="preserve"> </v>
      </c>
      <c r="AE178" s="62" t="s">
        <v>56</v>
      </c>
      <c r="AF178" s="64" t="str">
        <f t="shared" si="46"/>
        <v xml:space="preserve"> </v>
      </c>
      <c r="AG178" s="66">
        <f>IF(OR(AND(C178&gt;=31,C178&lt;40),AND(G178&gt;=31,G178&lt;40),AND(M178&gt;=31,M178&lt;40),AND(Q178&gt;=31,Q178&lt;40),AND(U178&gt;=31,U178&lt;40),AND(AA178&gt;=31,AA178&lt;40)),IF(AND(OR(COUNTIF(C178:AF178,"=31")&gt;=1,COUNTIF(C178:AF178,"=32")&gt;=1,COUNTIF(C178:AF178,"=33")&gt;=1,COUNTIF(C178:AF178,"=34")&gt;=1,COUNTIF(C178:AF178,"=35")&gt;=1,COUNTIF(C178:AF178,"=36")&gt;=1 ),COUNTIF(C178:AF178,"")=0,COUNTIF(C178:AF178," ")=0,COUNTIF(C178:AF178,"F")=1),CONCATENATE(SUM(EXTRACTNUMBER(C178),EXTRACTNUMBER(E178),
EXTRACTNUMBER(G178),EXTRACTNUMBER(I178),
EXTRACTNUMBER(K178),EXTRACTNUMBER(M178),
EXTRACTNUMBER(O178),EXTRACTNUMBER(Q178),
EXTRACTNUMBER(S178),EXTRACTNUMBER(U178),
EXTRACTNUMBER(W178),EXTRACTNUMBER(Y178),EXTRACTNUMBER(AA178),
EXTRACTNUMBER(AC178),EXTRACTNUMBER(AE178)),"*"),IF(AND(COUNTIF(C178:AF178,"=34")&gt;=1,COUNTIF(C178:AF178,"=35")&gt;=1,COUNTIF(C178:AF178,"f")=2,COUNTIF(C178:AF178,"")=0,COUNTIF(C178:AF178," ")=0),CONCATENATE(SUM(EXTRACTNUMBER(C178),EXTRACTNUMBER(E178),
EXTRACTNUMBER(G178),EXTRACTNUMBER(I178),
EXTRACTNUMBER(K178),EXTRACTNUMBER(M178),
EXTRACTNUMBER(O178),EXTRACTNUMBER(Q178),
EXTRACTNUMBER(S178),EXTRACTNUMBER(U178),
EXTRACTNUMBER(W178),EXTRACTNUMBER(Y178),EXTRACTNUMBER(AA178),
EXTRACTNUMBER(AC178),EXTRACTNUMBER(AE178)),"*"),IF(AND(COUNTIF(C178:AF178,"=36")&gt;=2,COUNTIF(C178:AF178,"f")=2,COUNTIF(C178:AF178,"")=0,COUNTIF(C178:AF178," ")=0),CONCATENATE(SUM(EXTRACTNUMBER(C178),EXTRACTNUMBER(E178),
EXTRACTNUMBER(G178),EXTRACTNUMBER(I178),
EXTRACTNUMBER(K178),EXTRACTNUMBER(M178),
EXTRACTNUMBER(O178),EXTRACTNUMBER(Q178),
EXTRACTNUMBER(S178),EXTRACTNUMBER(U178),
EXTRACTNUMBER(W178),EXTRACTNUMBER(Y178),EXTRACTNUMBER(AA178),
EXTRACTNUMBER(AC178),EXTRACTNUMBER(AE178)),"*"),SUM(EXTRACTNUMBER(C178),EXTRACTNUMBER(E178),
EXTRACTNUMBER(G178),EXTRACTNUMBER(I178),
EXTRACTNUMBER(K178),EXTRACTNUMBER(M178),
EXTRACTNUMBER(O178),EXTRACTNUMBER(Q178),
EXTRACTNUMBER(S178),EXTRACTNUMBER(U178),
EXTRACTNUMBER(W178),EXTRACTNUMBER(Y178),EXTRACTNUMBER(AA178),
EXTRACTNUMBER(AC178),EXTRACTNUMBER(AE178))))),SUM(EXTRACTNUMBER(C178),EXTRACTNUMBER(E178),
EXTRACTNUMBER(G178),EXTRACTNUMBER(I178),
EXTRACTNUMBER(K178),EXTRACTNUMBER(M178),
EXTRACTNUMBER(O178),EXTRACTNUMBER(Q178),
EXTRACTNUMBER(S178),EXTRACTNUMBER(U178),
EXTRACTNUMBER(W178),EXTRACTNUMBER(Y178),EXTRACTNUMBER(AA178),
EXTRACTNUMBER(AC178),EXTRACTNUMBER(AE178)))</f>
        <v>462</v>
      </c>
      <c r="AH178" s="38" t="str">
        <f t="shared" ca="1" si="47"/>
        <v>FAIL</v>
      </c>
      <c r="AI178" s="28" t="str">
        <f>spellnumber(EXTRACTnUMBER_TOT(AG178))</f>
        <v xml:space="preserve">Four Hundred Sixty Two </v>
      </c>
    </row>
    <row r="179" spans="1:35" ht="15" customHeight="1">
      <c r="A179" s="59">
        <v>223379</v>
      </c>
      <c r="B179" s="42" t="s">
        <v>43</v>
      </c>
      <c r="C179" s="60" t="s">
        <v>60</v>
      </c>
      <c r="D179" s="61" t="str">
        <f t="shared" si="33"/>
        <v xml:space="preserve"> </v>
      </c>
      <c r="E179" s="62" t="s">
        <v>71</v>
      </c>
      <c r="F179" s="61" t="str">
        <f t="shared" si="34"/>
        <v xml:space="preserve"> </v>
      </c>
      <c r="G179" s="63">
        <v>66</v>
      </c>
      <c r="H179" s="61" t="str">
        <f t="shared" ca="1" si="35"/>
        <v>E</v>
      </c>
      <c r="I179" s="62" t="s">
        <v>69</v>
      </c>
      <c r="J179" s="61" t="str">
        <f t="shared" si="36"/>
        <v xml:space="preserve"> </v>
      </c>
      <c r="K179" s="62" t="s">
        <v>70</v>
      </c>
      <c r="L179" s="61" t="str">
        <f t="shared" si="37"/>
        <v xml:space="preserve"> </v>
      </c>
      <c r="M179" s="63" t="s">
        <v>56</v>
      </c>
      <c r="N179" s="61" t="str">
        <f t="shared" si="32"/>
        <v xml:space="preserve"> </v>
      </c>
      <c r="O179" s="62" t="s">
        <v>70</v>
      </c>
      <c r="P179" s="64" t="str">
        <f t="shared" si="38"/>
        <v xml:space="preserve"> </v>
      </c>
      <c r="Q179" s="60" t="s">
        <v>89</v>
      </c>
      <c r="R179" s="61" t="str">
        <f t="shared" si="39"/>
        <v xml:space="preserve"> </v>
      </c>
      <c r="S179" s="62" t="s">
        <v>74</v>
      </c>
      <c r="T179" s="64" t="str">
        <f t="shared" si="40"/>
        <v xml:space="preserve"> </v>
      </c>
      <c r="U179" s="60" t="s">
        <v>59</v>
      </c>
      <c r="V179" s="61" t="str">
        <f t="shared" si="41"/>
        <v xml:space="preserve"> </v>
      </c>
      <c r="W179" s="62" t="s">
        <v>69</v>
      </c>
      <c r="X179" s="64" t="str">
        <f t="shared" si="42"/>
        <v xml:space="preserve"> </v>
      </c>
      <c r="Y179" s="62" t="s">
        <v>69</v>
      </c>
      <c r="Z179" s="64" t="str">
        <f t="shared" si="43"/>
        <v xml:space="preserve"> </v>
      </c>
      <c r="AA179" s="60" t="s">
        <v>453</v>
      </c>
      <c r="AB179" s="61" t="str">
        <f t="shared" ca="1" si="44"/>
        <v>F</v>
      </c>
      <c r="AC179" s="62" t="s">
        <v>74</v>
      </c>
      <c r="AD179" s="61" t="str">
        <f t="shared" si="45"/>
        <v xml:space="preserve"> </v>
      </c>
      <c r="AE179" s="62" t="s">
        <v>57</v>
      </c>
      <c r="AF179" s="64" t="str">
        <f t="shared" si="46"/>
        <v xml:space="preserve"> </v>
      </c>
      <c r="AG179" s="66">
        <f>IF(OR(AND(C179&gt;=31,C179&lt;40),AND(G179&gt;=31,G179&lt;40),AND(M179&gt;=31,M179&lt;40),AND(Q179&gt;=31,Q179&lt;40),AND(U179&gt;=31,U179&lt;40),AND(AA179&gt;=31,AA179&lt;40)),IF(AND(OR(COUNTIF(C179:AF179,"=31")&gt;=1,COUNTIF(C179:AF179,"=32")&gt;=1,COUNTIF(C179:AF179,"=33")&gt;=1,COUNTIF(C179:AF179,"=34")&gt;=1,COUNTIF(C179:AF179,"=35")&gt;=1,COUNTIF(C179:AF179,"=36")&gt;=1 ),COUNTIF(C179:AF179,"")=0,COUNTIF(C179:AF179," ")=0,COUNTIF(C179:AF179,"F")=1),CONCATENATE(SUM(EXTRACTNUMBER(C179),EXTRACTNUMBER(E179),
EXTRACTNUMBER(G179),EXTRACTNUMBER(I179),
EXTRACTNUMBER(K179),EXTRACTNUMBER(M179),
EXTRACTNUMBER(O179),EXTRACTNUMBER(Q179),
EXTRACTNUMBER(S179),EXTRACTNUMBER(U179),
EXTRACTNUMBER(W179),EXTRACTNUMBER(Y179),EXTRACTNUMBER(AA179),
EXTRACTNUMBER(AC179),EXTRACTNUMBER(AE179)),"*"),IF(AND(COUNTIF(C179:AF179,"=34")&gt;=1,COUNTIF(C179:AF179,"=35")&gt;=1,COUNTIF(C179:AF179,"f")=2,COUNTIF(C179:AF179,"")=0,COUNTIF(C179:AF179," ")=0),CONCATENATE(SUM(EXTRACTNUMBER(C179),EXTRACTNUMBER(E179),
EXTRACTNUMBER(G179),EXTRACTNUMBER(I179),
EXTRACTNUMBER(K179),EXTRACTNUMBER(M179),
EXTRACTNUMBER(O179),EXTRACTNUMBER(Q179),
EXTRACTNUMBER(S179),EXTRACTNUMBER(U179),
EXTRACTNUMBER(W179),EXTRACTNUMBER(Y179),EXTRACTNUMBER(AA179),
EXTRACTNUMBER(AC179),EXTRACTNUMBER(AE179)),"*"),IF(AND(COUNTIF(C179:AF179,"=36")&gt;=2,COUNTIF(C179:AF179,"f")=2,COUNTIF(C179:AF179,"")=0,COUNTIF(C179:AF179," ")=0),CONCATENATE(SUM(EXTRACTNUMBER(C179),EXTRACTNUMBER(E179),
EXTRACTNUMBER(G179),EXTRACTNUMBER(I179),
EXTRACTNUMBER(K179),EXTRACTNUMBER(M179),
EXTRACTNUMBER(O179),EXTRACTNUMBER(Q179),
EXTRACTNUMBER(S179),EXTRACTNUMBER(U179),
EXTRACTNUMBER(W179),EXTRACTNUMBER(Y179),EXTRACTNUMBER(AA179),
EXTRACTNUMBER(AC179),EXTRACTNUMBER(AE179)),"*"),SUM(EXTRACTNUMBER(C179),EXTRACTNUMBER(E179),
EXTRACTNUMBER(G179),EXTRACTNUMBER(I179),
EXTRACTNUMBER(K179),EXTRACTNUMBER(M179),
EXTRACTNUMBER(O179),EXTRACTNUMBER(Q179),
EXTRACTNUMBER(S179),EXTRACTNUMBER(U179),
EXTRACTNUMBER(W179),EXTRACTNUMBER(Y179),EXTRACTNUMBER(AA179),
EXTRACTNUMBER(AC179),EXTRACTNUMBER(AE179))))),SUM(EXTRACTNUMBER(C179),EXTRACTNUMBER(E179),
EXTRACTNUMBER(G179),EXTRACTNUMBER(I179),
EXTRACTNUMBER(K179),EXTRACTNUMBER(M179),
EXTRACTNUMBER(O179),EXTRACTNUMBER(Q179),
EXTRACTNUMBER(S179),EXTRACTNUMBER(U179),
EXTRACTNUMBER(W179),EXTRACTNUMBER(Y179),EXTRACTNUMBER(AA179),
EXTRACTNUMBER(AC179),EXTRACTNUMBER(AE179)))</f>
        <v>482</v>
      </c>
      <c r="AH179" s="38" t="str">
        <f t="shared" ca="1" si="47"/>
        <v>FAIL</v>
      </c>
      <c r="AI179" s="28" t="str">
        <f>spellnumber(EXTRACTnUMBER_TOT(AG179))</f>
        <v xml:space="preserve">Four Hundred Eighty Two </v>
      </c>
    </row>
    <row r="180" spans="1:35" ht="15" customHeight="1">
      <c r="A180" s="59">
        <v>223380</v>
      </c>
      <c r="B180" s="42" t="s">
        <v>44</v>
      </c>
      <c r="C180" s="60">
        <v>22</v>
      </c>
      <c r="D180" s="61" t="str">
        <f t="shared" ca="1" si="33"/>
        <v>F</v>
      </c>
      <c r="E180" s="62" t="s">
        <v>68</v>
      </c>
      <c r="F180" s="61" t="str">
        <f t="shared" si="34"/>
        <v xml:space="preserve"> </v>
      </c>
      <c r="G180" s="63" t="s">
        <v>103</v>
      </c>
      <c r="H180" s="61" t="str">
        <f t="shared" si="35"/>
        <v/>
      </c>
      <c r="I180" s="62" t="s">
        <v>71</v>
      </c>
      <c r="J180" s="61" t="str">
        <f t="shared" si="36"/>
        <v xml:space="preserve"> </v>
      </c>
      <c r="K180" s="62" t="s">
        <v>70</v>
      </c>
      <c r="L180" s="61" t="str">
        <f t="shared" si="37"/>
        <v xml:space="preserve"> </v>
      </c>
      <c r="M180" s="63">
        <v>63</v>
      </c>
      <c r="N180" s="61" t="str">
        <f t="shared" ca="1" si="32"/>
        <v>E</v>
      </c>
      <c r="O180" s="62" t="s">
        <v>70</v>
      </c>
      <c r="P180" s="64" t="str">
        <f t="shared" si="38"/>
        <v xml:space="preserve"> </v>
      </c>
      <c r="Q180" s="60" t="s">
        <v>55</v>
      </c>
      <c r="R180" s="61" t="str">
        <f t="shared" si="39"/>
        <v xml:space="preserve"> </v>
      </c>
      <c r="S180" s="62" t="s">
        <v>70</v>
      </c>
      <c r="T180" s="64" t="str">
        <f t="shared" si="40"/>
        <v xml:space="preserve"> </v>
      </c>
      <c r="U180" s="60" t="s">
        <v>103</v>
      </c>
      <c r="V180" s="61" t="str">
        <f t="shared" si="41"/>
        <v/>
      </c>
      <c r="W180" s="62" t="s">
        <v>66</v>
      </c>
      <c r="X180" s="64" t="str">
        <f t="shared" si="42"/>
        <v xml:space="preserve"> </v>
      </c>
      <c r="Y180" s="62" t="s">
        <v>68</v>
      </c>
      <c r="Z180" s="64" t="str">
        <f t="shared" si="43"/>
        <v xml:space="preserve"> </v>
      </c>
      <c r="AA180" s="60" t="s">
        <v>56</v>
      </c>
      <c r="AB180" s="61" t="str">
        <f t="shared" si="44"/>
        <v xml:space="preserve"> </v>
      </c>
      <c r="AC180" s="62" t="s">
        <v>74</v>
      </c>
      <c r="AD180" s="61" t="str">
        <f t="shared" si="45"/>
        <v xml:space="preserve"> </v>
      </c>
      <c r="AE180" s="62" t="s">
        <v>102</v>
      </c>
      <c r="AF180" s="64" t="str">
        <f t="shared" si="46"/>
        <v xml:space="preserve"> </v>
      </c>
      <c r="AG180" s="66">
        <f>IF(OR(AND(C180&gt;=31,C180&lt;40),AND(G180&gt;=31,G180&lt;40),AND(M180&gt;=31,M180&lt;40),AND(Q180&gt;=31,Q180&lt;40),AND(U180&gt;=31,U180&lt;40),AND(AA180&gt;=31,AA180&lt;40)),IF(AND(OR(COUNTIF(C180:AF180,"=31")&gt;=1,COUNTIF(C180:AF180,"=32")&gt;=1,COUNTIF(C180:AF180,"=33")&gt;=1,COUNTIF(C180:AF180,"=34")&gt;=1,COUNTIF(C180:AF180,"=35")&gt;=1,COUNTIF(C180:AF180,"=36")&gt;=1 ),COUNTIF(C180:AF180,"")=0,COUNTIF(C180:AF180," ")=0,COUNTIF(C180:AF180,"F")=1),CONCATENATE(SUM(EXTRACTNUMBER(C180),EXTRACTNUMBER(E180),
EXTRACTNUMBER(G180),EXTRACTNUMBER(I180),
EXTRACTNUMBER(K180),EXTRACTNUMBER(M180),
EXTRACTNUMBER(O180),EXTRACTNUMBER(Q180),
EXTRACTNUMBER(S180),EXTRACTNUMBER(U180),
EXTRACTNUMBER(W180),EXTRACTNUMBER(Y180),EXTRACTNUMBER(AA180),
EXTRACTNUMBER(AC180),EXTRACTNUMBER(AE180)),"*"),IF(AND(COUNTIF(C180:AF180,"=34")&gt;=1,COUNTIF(C180:AF180,"=35")&gt;=1,COUNTIF(C180:AF180,"f")=2,COUNTIF(C180:AF180,"")=0,COUNTIF(C180:AF180," ")=0),CONCATENATE(SUM(EXTRACTNUMBER(C180),EXTRACTNUMBER(E180),
EXTRACTNUMBER(G180),EXTRACTNUMBER(I180),
EXTRACTNUMBER(K180),EXTRACTNUMBER(M180),
EXTRACTNUMBER(O180),EXTRACTNUMBER(Q180),
EXTRACTNUMBER(S180),EXTRACTNUMBER(U180),
EXTRACTNUMBER(W180),EXTRACTNUMBER(Y180),EXTRACTNUMBER(AA180),
EXTRACTNUMBER(AC180),EXTRACTNUMBER(AE180)),"*"),IF(AND(COUNTIF(C180:AF180,"=36")&gt;=2,COUNTIF(C180:AF180,"f")=2,COUNTIF(C180:AF180,"")=0,COUNTIF(C180:AF180," ")=0),CONCATENATE(SUM(EXTRACTNUMBER(C180),EXTRACTNUMBER(E180),
EXTRACTNUMBER(G180),EXTRACTNUMBER(I180),
EXTRACTNUMBER(K180),EXTRACTNUMBER(M180),
EXTRACTNUMBER(O180),EXTRACTNUMBER(Q180),
EXTRACTNUMBER(S180),EXTRACTNUMBER(U180),
EXTRACTNUMBER(W180),EXTRACTNUMBER(Y180),EXTRACTNUMBER(AA180),
EXTRACTNUMBER(AC180),EXTRACTNUMBER(AE180)),"*"),SUM(EXTRACTNUMBER(C180),EXTRACTNUMBER(E180),
EXTRACTNUMBER(G180),EXTRACTNUMBER(I180),
EXTRACTNUMBER(K180),EXTRACTNUMBER(M180),
EXTRACTNUMBER(O180),EXTRACTNUMBER(Q180),
EXTRACTNUMBER(S180),EXTRACTNUMBER(U180),
EXTRACTNUMBER(W180),EXTRACTNUMBER(Y180),EXTRACTNUMBER(AA180),
EXTRACTNUMBER(AC180),EXTRACTNUMBER(AE180))))),SUM(EXTRACTNUMBER(C180),EXTRACTNUMBER(E180),
EXTRACTNUMBER(G180),EXTRACTNUMBER(I180),
EXTRACTNUMBER(K180),EXTRACTNUMBER(M180),
EXTRACTNUMBER(O180),EXTRACTNUMBER(Q180),
EXTRACTNUMBER(S180),EXTRACTNUMBER(U180),
EXTRACTNUMBER(W180),EXTRACTNUMBER(Y180),EXTRACTNUMBER(AA180),
EXTRACTNUMBER(AC180),EXTRACTNUMBER(AE180)))</f>
        <v>347</v>
      </c>
      <c r="AH180" s="38" t="str">
        <f t="shared" ca="1" si="47"/>
        <v>FAIL</v>
      </c>
      <c r="AI180" s="28" t="str">
        <f>spellnumber(EXTRACTnUMBER_TOT(AG180))</f>
        <v xml:space="preserve">Three Hundred Forty Seven </v>
      </c>
    </row>
    <row r="181" spans="1:35" ht="15" customHeight="1">
      <c r="A181" s="59">
        <v>223381</v>
      </c>
      <c r="B181" s="42" t="s">
        <v>45</v>
      </c>
      <c r="C181" s="60" t="s">
        <v>416</v>
      </c>
      <c r="D181" s="61" t="str">
        <f t="shared" si="33"/>
        <v xml:space="preserve"> </v>
      </c>
      <c r="E181" s="62" t="s">
        <v>74</v>
      </c>
      <c r="F181" s="61" t="str">
        <f t="shared" si="34"/>
        <v xml:space="preserve"> </v>
      </c>
      <c r="G181" s="63">
        <v>55</v>
      </c>
      <c r="H181" s="61" t="str">
        <f t="shared" ca="1" si="35"/>
        <v/>
      </c>
      <c r="I181" s="62" t="s">
        <v>72</v>
      </c>
      <c r="J181" s="61" t="str">
        <f t="shared" si="36"/>
        <v xml:space="preserve"> </v>
      </c>
      <c r="K181" s="62" t="s">
        <v>70</v>
      </c>
      <c r="L181" s="61" t="str">
        <f t="shared" si="37"/>
        <v xml:space="preserve"> </v>
      </c>
      <c r="M181" s="63" t="s">
        <v>61</v>
      </c>
      <c r="N181" s="61" t="str">
        <f t="shared" si="32"/>
        <v xml:space="preserve"> </v>
      </c>
      <c r="O181" s="62" t="s">
        <v>74</v>
      </c>
      <c r="P181" s="64" t="str">
        <f t="shared" si="38"/>
        <v xml:space="preserve"> </v>
      </c>
      <c r="Q181" s="60" t="s">
        <v>61</v>
      </c>
      <c r="R181" s="61" t="str">
        <f t="shared" si="39"/>
        <v xml:space="preserve"> </v>
      </c>
      <c r="S181" s="62" t="s">
        <v>74</v>
      </c>
      <c r="T181" s="64" t="str">
        <f t="shared" si="40"/>
        <v xml:space="preserve"> </v>
      </c>
      <c r="U181" s="60" t="s">
        <v>61</v>
      </c>
      <c r="V181" s="61" t="str">
        <f t="shared" si="41"/>
        <v xml:space="preserve"> </v>
      </c>
      <c r="W181" s="62" t="s">
        <v>74</v>
      </c>
      <c r="X181" s="64" t="str">
        <f t="shared" si="42"/>
        <v xml:space="preserve"> </v>
      </c>
      <c r="Y181" s="62" t="s">
        <v>70</v>
      </c>
      <c r="Z181" s="64" t="str">
        <f t="shared" si="43"/>
        <v xml:space="preserve"> </v>
      </c>
      <c r="AA181" s="60" t="s">
        <v>64</v>
      </c>
      <c r="AB181" s="61" t="str">
        <f t="shared" si="44"/>
        <v xml:space="preserve"> </v>
      </c>
      <c r="AC181" s="62" t="s">
        <v>72</v>
      </c>
      <c r="AD181" s="61" t="str">
        <f t="shared" si="45"/>
        <v xml:space="preserve"> </v>
      </c>
      <c r="AE181" s="62" t="s">
        <v>56</v>
      </c>
      <c r="AF181" s="64" t="str">
        <f t="shared" si="46"/>
        <v xml:space="preserve"> </v>
      </c>
      <c r="AG181" s="66">
        <f>IF(OR(AND(C181&gt;=31,C181&lt;40),AND(G181&gt;=31,G181&lt;40),AND(M181&gt;=31,M181&lt;40),AND(Q181&gt;=31,Q181&lt;40),AND(U181&gt;=31,U181&lt;40),AND(AA181&gt;=31,AA181&lt;40)),IF(AND(OR(COUNTIF(C181:AF181,"=31")&gt;=1,COUNTIF(C181:AF181,"=32")&gt;=1,COUNTIF(C181:AF181,"=33")&gt;=1,COUNTIF(C181:AF181,"=34")&gt;=1,COUNTIF(C181:AF181,"=35")&gt;=1,COUNTIF(C181:AF181,"=36")&gt;=1 ),COUNTIF(C181:AF181,"")=0,COUNTIF(C181:AF181," ")=0,COUNTIF(C181:AF181,"F")=1),CONCATENATE(SUM(EXTRACTNUMBER(C181),EXTRACTNUMBER(E181),
EXTRACTNUMBER(G181),EXTRACTNUMBER(I181),
EXTRACTNUMBER(K181),EXTRACTNUMBER(M181),
EXTRACTNUMBER(O181),EXTRACTNUMBER(Q181),
EXTRACTNUMBER(S181),EXTRACTNUMBER(U181),
EXTRACTNUMBER(W181),EXTRACTNUMBER(Y181),EXTRACTNUMBER(AA181),
EXTRACTNUMBER(AC181),EXTRACTNUMBER(AE181)),"*"),IF(AND(COUNTIF(C181:AF181,"=34")&gt;=1,COUNTIF(C181:AF181,"=35")&gt;=1,COUNTIF(C181:AF181,"f")=2,COUNTIF(C181:AF181,"")=0,COUNTIF(C181:AF181," ")=0),CONCATENATE(SUM(EXTRACTNUMBER(C181),EXTRACTNUMBER(E181),
EXTRACTNUMBER(G181),EXTRACTNUMBER(I181),
EXTRACTNUMBER(K181),EXTRACTNUMBER(M181),
EXTRACTNUMBER(O181),EXTRACTNUMBER(Q181),
EXTRACTNUMBER(S181),EXTRACTNUMBER(U181),
EXTRACTNUMBER(W181),EXTRACTNUMBER(Y181),EXTRACTNUMBER(AA181),
EXTRACTNUMBER(AC181),EXTRACTNUMBER(AE181)),"*"),IF(AND(COUNTIF(C181:AF181,"=36")&gt;=2,COUNTIF(C181:AF181,"f")=2,COUNTIF(C181:AF181,"")=0,COUNTIF(C181:AF181," ")=0),CONCATENATE(SUM(EXTRACTNUMBER(C181),EXTRACTNUMBER(E181),
EXTRACTNUMBER(G181),EXTRACTNUMBER(I181),
EXTRACTNUMBER(K181),EXTRACTNUMBER(M181),
EXTRACTNUMBER(O181),EXTRACTNUMBER(Q181),
EXTRACTNUMBER(S181),EXTRACTNUMBER(U181),
EXTRACTNUMBER(W181),EXTRACTNUMBER(Y181),EXTRACTNUMBER(AA181),
EXTRACTNUMBER(AC181),EXTRACTNUMBER(AE181)),"*"),SUM(EXTRACTNUMBER(C181),EXTRACTNUMBER(E181),
EXTRACTNUMBER(G181),EXTRACTNUMBER(I181),
EXTRACTNUMBER(K181),EXTRACTNUMBER(M181),
EXTRACTNUMBER(O181),EXTRACTNUMBER(Q181),
EXTRACTNUMBER(S181),EXTRACTNUMBER(U181),
EXTRACTNUMBER(W181),EXTRACTNUMBER(Y181),EXTRACTNUMBER(AA181),
EXTRACTNUMBER(AC181),EXTRACTNUMBER(AE181))))),SUM(EXTRACTNUMBER(C181),EXTRACTNUMBER(E181),
EXTRACTNUMBER(G181),EXTRACTNUMBER(I181),
EXTRACTNUMBER(K181),EXTRACTNUMBER(M181),
EXTRACTNUMBER(O181),EXTRACTNUMBER(Q181),
EXTRACTNUMBER(S181),EXTRACTNUMBER(U181),
EXTRACTNUMBER(W181),EXTRACTNUMBER(Y181),EXTRACTNUMBER(AA181),
EXTRACTNUMBER(AC181),EXTRACTNUMBER(AE181)))</f>
        <v>511</v>
      </c>
      <c r="AH181" s="38" t="str">
        <f t="shared" ca="1" si="47"/>
        <v>PASS</v>
      </c>
      <c r="AI181" s="28" t="str">
        <f>spellnumber(EXTRACTnUMBER_TOT(AG181))</f>
        <v xml:space="preserve">Five Hundred Eleven </v>
      </c>
    </row>
    <row r="182" spans="1:35" ht="15" customHeight="1">
      <c r="A182" s="59">
        <v>223382</v>
      </c>
      <c r="B182" s="42" t="s">
        <v>46</v>
      </c>
      <c r="C182" s="60" t="s">
        <v>61</v>
      </c>
      <c r="D182" s="61" t="str">
        <f t="shared" si="33"/>
        <v xml:space="preserve"> </v>
      </c>
      <c r="E182" s="62" t="s">
        <v>74</v>
      </c>
      <c r="F182" s="61" t="str">
        <f t="shared" si="34"/>
        <v xml:space="preserve"> </v>
      </c>
      <c r="G182" s="63" t="s">
        <v>456</v>
      </c>
      <c r="H182" s="61" t="str">
        <f t="shared" ca="1" si="35"/>
        <v>F</v>
      </c>
      <c r="I182" s="62" t="s">
        <v>74</v>
      </c>
      <c r="J182" s="61" t="str">
        <f t="shared" si="36"/>
        <v xml:space="preserve"> </v>
      </c>
      <c r="K182" s="62" t="s">
        <v>66</v>
      </c>
      <c r="L182" s="61" t="str">
        <f t="shared" si="37"/>
        <v xml:space="preserve"> </v>
      </c>
      <c r="M182" s="63" t="s">
        <v>56</v>
      </c>
      <c r="N182" s="61" t="str">
        <f t="shared" si="32"/>
        <v xml:space="preserve"> </v>
      </c>
      <c r="O182" s="62" t="s">
        <v>74</v>
      </c>
      <c r="P182" s="64" t="str">
        <f t="shared" si="38"/>
        <v xml:space="preserve"> </v>
      </c>
      <c r="Q182" s="60" t="s">
        <v>56</v>
      </c>
      <c r="R182" s="61" t="str">
        <f t="shared" si="39"/>
        <v xml:space="preserve"> </v>
      </c>
      <c r="S182" s="62" t="s">
        <v>74</v>
      </c>
      <c r="T182" s="64" t="str">
        <f t="shared" si="40"/>
        <v xml:space="preserve"> </v>
      </c>
      <c r="U182" s="60" t="s">
        <v>56</v>
      </c>
      <c r="V182" s="61" t="str">
        <f t="shared" si="41"/>
        <v xml:space="preserve"> </v>
      </c>
      <c r="W182" s="62" t="s">
        <v>72</v>
      </c>
      <c r="X182" s="64" t="str">
        <f t="shared" si="42"/>
        <v xml:space="preserve"> </v>
      </c>
      <c r="Y182" s="62" t="s">
        <v>66</v>
      </c>
      <c r="Z182" s="64" t="str">
        <f t="shared" si="43"/>
        <v xml:space="preserve"> </v>
      </c>
      <c r="AA182" s="60">
        <v>32</v>
      </c>
      <c r="AB182" s="61" t="str">
        <f t="shared" ca="1" si="44"/>
        <v>F</v>
      </c>
      <c r="AC182" s="62" t="s">
        <v>72</v>
      </c>
      <c r="AD182" s="61" t="str">
        <f t="shared" si="45"/>
        <v xml:space="preserve"> </v>
      </c>
      <c r="AE182" s="62" t="s">
        <v>56</v>
      </c>
      <c r="AF182" s="64" t="str">
        <f t="shared" si="46"/>
        <v xml:space="preserve"> </v>
      </c>
      <c r="AG182" s="66">
        <f ca="1">IF(OR(AND(C182&gt;=31,C182&lt;40),AND(G182&gt;=31,G182&lt;40),AND(M182&gt;=31,M182&lt;40),AND(Q182&gt;=31,Q182&lt;40),AND(U182&gt;=31,U182&lt;40),AND(AA182&gt;=31,AA182&lt;40)),IF(AND(OR(COUNTIF(C182:AF182,"=31")&gt;=1,COUNTIF(C182:AF182,"=32")&gt;=1,COUNTIF(C182:AF182,"=33")&gt;=1,COUNTIF(C182:AF182,"=34")&gt;=1,COUNTIF(C182:AF182,"=35")&gt;=1,COUNTIF(C182:AF182,"=36")&gt;=1 ),COUNTIF(C182:AF182,"")=0,COUNTIF(C182:AF182," ")=0,COUNTIF(C182:AF182,"F")=1),CONCATENATE(SUM(EXTRACTNUMBER(C182),EXTRACTNUMBER(E182),
EXTRACTNUMBER(G182),EXTRACTNUMBER(I182),
EXTRACTNUMBER(K182),EXTRACTNUMBER(M182),
EXTRACTNUMBER(O182),EXTRACTNUMBER(Q182),
EXTRACTNUMBER(S182),EXTRACTNUMBER(U182),
EXTRACTNUMBER(W182),EXTRACTNUMBER(Y182),EXTRACTNUMBER(AA182),
EXTRACTNUMBER(AC182),EXTRACTNUMBER(AE182)),"*"),IF(AND(COUNTIF(C182:AF182,"=34")&gt;=1,COUNTIF(C182:AF182,"=35")&gt;=1,COUNTIF(C182:AF182,"f")=2,COUNTIF(C182:AF182,"")=0,COUNTIF(C182:AF182," ")=0),CONCATENATE(SUM(EXTRACTNUMBER(C182),EXTRACTNUMBER(E182),
EXTRACTNUMBER(G182),EXTRACTNUMBER(I182),
EXTRACTNUMBER(K182),EXTRACTNUMBER(M182),
EXTRACTNUMBER(O182),EXTRACTNUMBER(Q182),
EXTRACTNUMBER(S182),EXTRACTNUMBER(U182),
EXTRACTNUMBER(W182),EXTRACTNUMBER(Y182),EXTRACTNUMBER(AA182),
EXTRACTNUMBER(AC182),EXTRACTNUMBER(AE182)),"*"),IF(AND(COUNTIF(C182:AF182,"=36")&gt;=2,COUNTIF(C182:AF182,"f")=2,COUNTIF(C182:AF182,"")=0,COUNTIF(C182:AF182," ")=0),CONCATENATE(SUM(EXTRACTNUMBER(C182),EXTRACTNUMBER(E182),
EXTRACTNUMBER(G182),EXTRACTNUMBER(I182),
EXTRACTNUMBER(K182),EXTRACTNUMBER(M182),
EXTRACTNUMBER(O182),EXTRACTNUMBER(Q182),
EXTRACTNUMBER(S182),EXTRACTNUMBER(U182),
EXTRACTNUMBER(W182),EXTRACTNUMBER(Y182),EXTRACTNUMBER(AA182),
EXTRACTNUMBER(AC182),EXTRACTNUMBER(AE182)),"*"),SUM(EXTRACTNUMBER(C182),EXTRACTNUMBER(E182),
EXTRACTNUMBER(G182),EXTRACTNUMBER(I182),
EXTRACTNUMBER(K182),EXTRACTNUMBER(M182),
EXTRACTNUMBER(O182),EXTRACTNUMBER(Q182),
EXTRACTNUMBER(S182),EXTRACTNUMBER(U182),
EXTRACTNUMBER(W182),EXTRACTNUMBER(Y182),EXTRACTNUMBER(AA182),
EXTRACTNUMBER(AC182),EXTRACTNUMBER(AE182))))),SUM(EXTRACTNUMBER(C182),EXTRACTNUMBER(E182),
EXTRACTNUMBER(G182),EXTRACTNUMBER(I182),
EXTRACTNUMBER(K182),EXTRACTNUMBER(M182),
EXTRACTNUMBER(O182),EXTRACTNUMBER(Q182),
EXTRACTNUMBER(S182),EXTRACTNUMBER(U182),
EXTRACTNUMBER(W182),EXTRACTNUMBER(Y182),EXTRACTNUMBER(AA182),
EXTRACTNUMBER(AC182),EXTRACTNUMBER(AE182)))</f>
        <v>395</v>
      </c>
      <c r="AH182" s="38" t="str">
        <f t="shared" ca="1" si="47"/>
        <v>FAIL</v>
      </c>
      <c r="AI182" s="28" t="e">
        <f ca="1">spellnumber(EXTRACTnUMBER_TOT(AG182))</f>
        <v>#NAME?</v>
      </c>
    </row>
    <row r="183" spans="1:35" ht="15" customHeight="1">
      <c r="A183" s="59">
        <v>223383</v>
      </c>
      <c r="B183" s="42" t="s">
        <v>316</v>
      </c>
      <c r="C183" s="60">
        <v>22</v>
      </c>
      <c r="D183" s="61" t="str">
        <f t="shared" ca="1" si="33"/>
        <v>F</v>
      </c>
      <c r="E183" s="62" t="s">
        <v>67</v>
      </c>
      <c r="F183" s="61" t="str">
        <f t="shared" si="34"/>
        <v xml:space="preserve"> </v>
      </c>
      <c r="G183" s="63" t="s">
        <v>56</v>
      </c>
      <c r="H183" s="61" t="str">
        <f t="shared" si="35"/>
        <v xml:space="preserve"> </v>
      </c>
      <c r="I183" s="62" t="s">
        <v>74</v>
      </c>
      <c r="J183" s="61" t="str">
        <f t="shared" si="36"/>
        <v xml:space="preserve"> </v>
      </c>
      <c r="K183" s="62" t="s">
        <v>74</v>
      </c>
      <c r="L183" s="61" t="str">
        <f t="shared" si="37"/>
        <v xml:space="preserve"> </v>
      </c>
      <c r="M183" s="63" t="s">
        <v>79</v>
      </c>
      <c r="N183" s="61" t="str">
        <f t="shared" si="32"/>
        <v xml:space="preserve"> </v>
      </c>
      <c r="O183" s="62" t="s">
        <v>74</v>
      </c>
      <c r="P183" s="64" t="str">
        <f t="shared" si="38"/>
        <v xml:space="preserve"> </v>
      </c>
      <c r="Q183" s="60" t="s">
        <v>80</v>
      </c>
      <c r="R183" s="61" t="str">
        <f t="shared" si="39"/>
        <v xml:space="preserve"> </v>
      </c>
      <c r="S183" s="62" t="s">
        <v>74</v>
      </c>
      <c r="T183" s="64" t="str">
        <f t="shared" si="40"/>
        <v xml:space="preserve"> </v>
      </c>
      <c r="U183" s="60" t="s">
        <v>61</v>
      </c>
      <c r="V183" s="61" t="str">
        <f t="shared" si="41"/>
        <v xml:space="preserve"> </v>
      </c>
      <c r="W183" s="62" t="s">
        <v>74</v>
      </c>
      <c r="X183" s="64" t="str">
        <f t="shared" si="42"/>
        <v xml:space="preserve"> </v>
      </c>
      <c r="Y183" s="62" t="s">
        <v>74</v>
      </c>
      <c r="Z183" s="64" t="str">
        <f t="shared" si="43"/>
        <v xml:space="preserve"> </v>
      </c>
      <c r="AA183" s="60" t="s">
        <v>58</v>
      </c>
      <c r="AB183" s="61" t="str">
        <f t="shared" si="44"/>
        <v xml:space="preserve"> </v>
      </c>
      <c r="AC183" s="62" t="s">
        <v>72</v>
      </c>
      <c r="AD183" s="61" t="str">
        <f t="shared" si="45"/>
        <v xml:space="preserve"> </v>
      </c>
      <c r="AE183" s="62" t="s">
        <v>98</v>
      </c>
      <c r="AF183" s="64" t="str">
        <f t="shared" si="46"/>
        <v xml:space="preserve"> </v>
      </c>
      <c r="AG183" s="66">
        <f>IF(OR(AND(C183&gt;=31,C183&lt;40),AND(G183&gt;=31,G183&lt;40),AND(M183&gt;=31,M183&lt;40),AND(Q183&gt;=31,Q183&lt;40),AND(U183&gt;=31,U183&lt;40),AND(AA183&gt;=31,AA183&lt;40)),IF(AND(OR(COUNTIF(C183:AF183,"=31")&gt;=1,COUNTIF(C183:AF183,"=32")&gt;=1,COUNTIF(C183:AF183,"=33")&gt;=1,COUNTIF(C183:AF183,"=34")&gt;=1,COUNTIF(C183:AF183,"=35")&gt;=1,COUNTIF(C183:AF183,"=36")&gt;=1 ),COUNTIF(C183:AF183,"")=0,COUNTIF(C183:AF183," ")=0,COUNTIF(C183:AF183,"F")=1),CONCATENATE(SUM(EXTRACTNUMBER(C183),EXTRACTNUMBER(E183),
EXTRACTNUMBER(G183),EXTRACTNUMBER(I183),
EXTRACTNUMBER(K183),EXTRACTNUMBER(M183),
EXTRACTNUMBER(O183),EXTRACTNUMBER(Q183),
EXTRACTNUMBER(S183),EXTRACTNUMBER(U183),
EXTRACTNUMBER(W183),EXTRACTNUMBER(Y183),EXTRACTNUMBER(AA183),
EXTRACTNUMBER(AC183),EXTRACTNUMBER(AE183)),"*"),IF(AND(COUNTIF(C183:AF183,"=34")&gt;=1,COUNTIF(C183:AF183,"=35")&gt;=1,COUNTIF(C183:AF183,"f")=2,COUNTIF(C183:AF183,"")=0,COUNTIF(C183:AF183," ")=0),CONCATENATE(SUM(EXTRACTNUMBER(C183),EXTRACTNUMBER(E183),
EXTRACTNUMBER(G183),EXTRACTNUMBER(I183),
EXTRACTNUMBER(K183),EXTRACTNUMBER(M183),
EXTRACTNUMBER(O183),EXTRACTNUMBER(Q183),
EXTRACTNUMBER(S183),EXTRACTNUMBER(U183),
EXTRACTNUMBER(W183),EXTRACTNUMBER(Y183),EXTRACTNUMBER(AA183),
EXTRACTNUMBER(AC183),EXTRACTNUMBER(AE183)),"*"),IF(AND(COUNTIF(C183:AF183,"=36")&gt;=2,COUNTIF(C183:AF183,"f")=2,COUNTIF(C183:AF183,"")=0,COUNTIF(C183:AF183," ")=0),CONCATENATE(SUM(EXTRACTNUMBER(C183),EXTRACTNUMBER(E183),
EXTRACTNUMBER(G183),EXTRACTNUMBER(I183),
EXTRACTNUMBER(K183),EXTRACTNUMBER(M183),
EXTRACTNUMBER(O183),EXTRACTNUMBER(Q183),
EXTRACTNUMBER(S183),EXTRACTNUMBER(U183),
EXTRACTNUMBER(W183),EXTRACTNUMBER(Y183),EXTRACTNUMBER(AA183),
EXTRACTNUMBER(AC183),EXTRACTNUMBER(AE183)),"*"),SUM(EXTRACTNUMBER(C183),EXTRACTNUMBER(E183),
EXTRACTNUMBER(G183),EXTRACTNUMBER(I183),
EXTRACTNUMBER(K183),EXTRACTNUMBER(M183),
EXTRACTNUMBER(O183),EXTRACTNUMBER(Q183),
EXTRACTNUMBER(S183),EXTRACTNUMBER(U183),
EXTRACTNUMBER(W183),EXTRACTNUMBER(Y183),EXTRACTNUMBER(AA183),
EXTRACTNUMBER(AC183),EXTRACTNUMBER(AE183))))),SUM(EXTRACTNUMBER(C183),EXTRACTNUMBER(E183),
EXTRACTNUMBER(G183),EXTRACTNUMBER(I183),
EXTRACTNUMBER(K183),EXTRACTNUMBER(M183),
EXTRACTNUMBER(O183),EXTRACTNUMBER(Q183),
EXTRACTNUMBER(S183),EXTRACTNUMBER(U183),
EXTRACTNUMBER(W183),EXTRACTNUMBER(Y183),EXTRACTNUMBER(AA183),
EXTRACTNUMBER(AC183),EXTRACTNUMBER(AE183)))</f>
        <v>444</v>
      </c>
      <c r="AH183" s="38" t="str">
        <f t="shared" ca="1" si="47"/>
        <v>FAIL</v>
      </c>
      <c r="AI183" s="28" t="str">
        <f>spellnumber(EXTRACTnUMBER_TOT(AG183))</f>
        <v xml:space="preserve">Four Hundred Forty Four </v>
      </c>
    </row>
    <row r="184" spans="1:35" ht="15" customHeight="1">
      <c r="A184" s="59">
        <v>223384</v>
      </c>
      <c r="B184" s="42" t="s">
        <v>317</v>
      </c>
      <c r="C184" s="60" t="s">
        <v>56</v>
      </c>
      <c r="D184" s="61" t="str">
        <f t="shared" si="33"/>
        <v xml:space="preserve"> </v>
      </c>
      <c r="E184" s="62" t="s">
        <v>66</v>
      </c>
      <c r="F184" s="61" t="str">
        <f t="shared" si="34"/>
        <v xml:space="preserve"> </v>
      </c>
      <c r="G184" s="63" t="s">
        <v>103</v>
      </c>
      <c r="H184" s="61" t="str">
        <f t="shared" si="35"/>
        <v/>
      </c>
      <c r="I184" s="62" t="s">
        <v>70</v>
      </c>
      <c r="J184" s="61" t="str">
        <f t="shared" si="36"/>
        <v xml:space="preserve"> </v>
      </c>
      <c r="K184" s="62" t="s">
        <v>71</v>
      </c>
      <c r="L184" s="61" t="str">
        <f t="shared" si="37"/>
        <v xml:space="preserve"> </v>
      </c>
      <c r="M184" s="63" t="s">
        <v>56</v>
      </c>
      <c r="N184" s="61" t="str">
        <f t="shared" si="32"/>
        <v xml:space="preserve"> </v>
      </c>
      <c r="O184" s="62" t="s">
        <v>75</v>
      </c>
      <c r="P184" s="64" t="str">
        <f t="shared" si="38"/>
        <v xml:space="preserve"> </v>
      </c>
      <c r="Q184" s="60" t="s">
        <v>64</v>
      </c>
      <c r="R184" s="61" t="str">
        <f t="shared" si="39"/>
        <v xml:space="preserve"> </v>
      </c>
      <c r="S184" s="62" t="s">
        <v>72</v>
      </c>
      <c r="T184" s="64" t="str">
        <f t="shared" si="40"/>
        <v xml:space="preserve"> </v>
      </c>
      <c r="U184" s="60" t="s">
        <v>78</v>
      </c>
      <c r="V184" s="61" t="str">
        <f t="shared" si="41"/>
        <v xml:space="preserve"> </v>
      </c>
      <c r="W184" s="62" t="s">
        <v>70</v>
      </c>
      <c r="X184" s="64" t="str">
        <f t="shared" si="42"/>
        <v xml:space="preserve"> </v>
      </c>
      <c r="Y184" s="62" t="s">
        <v>74</v>
      </c>
      <c r="Z184" s="64" t="str">
        <f t="shared" si="43"/>
        <v xml:space="preserve"> </v>
      </c>
      <c r="AA184" s="60" t="s">
        <v>56</v>
      </c>
      <c r="AB184" s="61" t="str">
        <f t="shared" si="44"/>
        <v xml:space="preserve"> </v>
      </c>
      <c r="AC184" s="62" t="s">
        <v>75</v>
      </c>
      <c r="AD184" s="61" t="str">
        <f t="shared" si="45"/>
        <v xml:space="preserve"> </v>
      </c>
      <c r="AE184" s="62" t="s">
        <v>56</v>
      </c>
      <c r="AF184" s="64" t="str">
        <f t="shared" si="46"/>
        <v xml:space="preserve"> </v>
      </c>
      <c r="AG184" s="66">
        <f>IF(OR(AND(C184&gt;=31,C184&lt;40),AND(G184&gt;=31,G184&lt;40),AND(M184&gt;=31,M184&lt;40),AND(Q184&gt;=31,Q184&lt;40),AND(U184&gt;=31,U184&lt;40),AND(AA184&gt;=31,AA184&lt;40)),IF(AND(OR(COUNTIF(C184:AF184,"=31")&gt;=1,COUNTIF(C184:AF184,"=32")&gt;=1,COUNTIF(C184:AF184,"=33")&gt;=1,COUNTIF(C184:AF184,"=34")&gt;=1,COUNTIF(C184:AF184,"=35")&gt;=1,COUNTIF(C184:AF184,"=36")&gt;=1 ),COUNTIF(C184:AF184,"")=0,COUNTIF(C184:AF184," ")=0,COUNTIF(C184:AF184,"F")=1),CONCATENATE(SUM(EXTRACTNUMBER(C184),EXTRACTNUMBER(E184),
EXTRACTNUMBER(G184),EXTRACTNUMBER(I184),
EXTRACTNUMBER(K184),EXTRACTNUMBER(M184),
EXTRACTNUMBER(O184),EXTRACTNUMBER(Q184),
EXTRACTNUMBER(S184),EXTRACTNUMBER(U184),
EXTRACTNUMBER(W184),EXTRACTNUMBER(Y184),EXTRACTNUMBER(AA184),
EXTRACTNUMBER(AC184),EXTRACTNUMBER(AE184)),"*"),IF(AND(COUNTIF(C184:AF184,"=34")&gt;=1,COUNTIF(C184:AF184,"=35")&gt;=1,COUNTIF(C184:AF184,"f")=2,COUNTIF(C184:AF184,"")=0,COUNTIF(C184:AF184," ")=0),CONCATENATE(SUM(EXTRACTNUMBER(C184),EXTRACTNUMBER(E184),
EXTRACTNUMBER(G184),EXTRACTNUMBER(I184),
EXTRACTNUMBER(K184),EXTRACTNUMBER(M184),
EXTRACTNUMBER(O184),EXTRACTNUMBER(Q184),
EXTRACTNUMBER(S184),EXTRACTNUMBER(U184),
EXTRACTNUMBER(W184),EXTRACTNUMBER(Y184),EXTRACTNUMBER(AA184),
EXTRACTNUMBER(AC184),EXTRACTNUMBER(AE184)),"*"),IF(AND(COUNTIF(C184:AF184,"=36")&gt;=2,COUNTIF(C184:AF184,"f")=2,COUNTIF(C184:AF184,"")=0,COUNTIF(C184:AF184," ")=0),CONCATENATE(SUM(EXTRACTNUMBER(C184),EXTRACTNUMBER(E184),
EXTRACTNUMBER(G184),EXTRACTNUMBER(I184),
EXTRACTNUMBER(K184),EXTRACTNUMBER(M184),
EXTRACTNUMBER(O184),EXTRACTNUMBER(Q184),
EXTRACTNUMBER(S184),EXTRACTNUMBER(U184),
EXTRACTNUMBER(W184),EXTRACTNUMBER(Y184),EXTRACTNUMBER(AA184),
EXTRACTNUMBER(AC184),EXTRACTNUMBER(AE184)),"*"),SUM(EXTRACTNUMBER(C184),EXTRACTNUMBER(E184),
EXTRACTNUMBER(G184),EXTRACTNUMBER(I184),
EXTRACTNUMBER(K184),EXTRACTNUMBER(M184),
EXTRACTNUMBER(O184),EXTRACTNUMBER(Q184),
EXTRACTNUMBER(S184),EXTRACTNUMBER(U184),
EXTRACTNUMBER(W184),EXTRACTNUMBER(Y184),EXTRACTNUMBER(AA184),
EXTRACTNUMBER(AC184),EXTRACTNUMBER(AE184))))),SUM(EXTRACTNUMBER(C184),EXTRACTNUMBER(E184),
EXTRACTNUMBER(G184),EXTRACTNUMBER(I184),
EXTRACTNUMBER(K184),EXTRACTNUMBER(M184),
EXTRACTNUMBER(O184),EXTRACTNUMBER(Q184),
EXTRACTNUMBER(S184),EXTRACTNUMBER(U184),
EXTRACTNUMBER(W184),EXTRACTNUMBER(Y184),EXTRACTNUMBER(AA184),
EXTRACTNUMBER(AC184),EXTRACTNUMBER(AE184)))</f>
        <v>419</v>
      </c>
      <c r="AH184" s="38" t="str">
        <f t="shared" si="47"/>
        <v>ABSENT</v>
      </c>
      <c r="AI184" s="28" t="str">
        <f>spellnumber(EXTRACTnUMBER_TOT(AG184))</f>
        <v xml:space="preserve">Four Hundred Nineteen </v>
      </c>
    </row>
    <row r="185" spans="1:35" ht="15" customHeight="1">
      <c r="A185" s="59">
        <v>223385</v>
      </c>
      <c r="B185" s="42" t="s">
        <v>47</v>
      </c>
      <c r="C185" s="60" t="s">
        <v>56</v>
      </c>
      <c r="D185" s="61" t="str">
        <f t="shared" si="33"/>
        <v xml:space="preserve"> </v>
      </c>
      <c r="E185" s="62" t="s">
        <v>67</v>
      </c>
      <c r="F185" s="61" t="str">
        <f t="shared" si="34"/>
        <v xml:space="preserve"> </v>
      </c>
      <c r="G185" s="63" t="s">
        <v>56</v>
      </c>
      <c r="H185" s="61" t="str">
        <f t="shared" si="35"/>
        <v xml:space="preserve"> </v>
      </c>
      <c r="I185" s="62" t="s">
        <v>75</v>
      </c>
      <c r="J185" s="61" t="str">
        <f t="shared" si="36"/>
        <v xml:space="preserve"> </v>
      </c>
      <c r="K185" s="62" t="s">
        <v>73</v>
      </c>
      <c r="L185" s="61" t="str">
        <f t="shared" si="37"/>
        <v xml:space="preserve"> </v>
      </c>
      <c r="M185" s="63" t="s">
        <v>88</v>
      </c>
      <c r="N185" s="61" t="str">
        <f t="shared" si="32"/>
        <v xml:space="preserve"> </v>
      </c>
      <c r="O185" s="62" t="s">
        <v>66</v>
      </c>
      <c r="P185" s="64" t="str">
        <f t="shared" si="38"/>
        <v xml:space="preserve"> </v>
      </c>
      <c r="Q185" s="60" t="s">
        <v>56</v>
      </c>
      <c r="R185" s="61" t="str">
        <f t="shared" si="39"/>
        <v xml:space="preserve"> </v>
      </c>
      <c r="S185" s="62" t="s">
        <v>70</v>
      </c>
      <c r="T185" s="64" t="str">
        <f t="shared" si="40"/>
        <v xml:space="preserve"> </v>
      </c>
      <c r="U185" s="60">
        <v>45</v>
      </c>
      <c r="V185" s="61" t="str">
        <f t="shared" ca="1" si="41"/>
        <v/>
      </c>
      <c r="W185" s="62" t="s">
        <v>75</v>
      </c>
      <c r="X185" s="64" t="str">
        <f t="shared" si="42"/>
        <v xml:space="preserve"> </v>
      </c>
      <c r="Y185" s="62" t="s">
        <v>73</v>
      </c>
      <c r="Z185" s="64" t="str">
        <f t="shared" si="43"/>
        <v xml:space="preserve"> </v>
      </c>
      <c r="AA185" s="60" t="s">
        <v>57</v>
      </c>
      <c r="AB185" s="61" t="str">
        <f t="shared" si="44"/>
        <v xml:space="preserve"> </v>
      </c>
      <c r="AC185" s="62" t="s">
        <v>74</v>
      </c>
      <c r="AD185" s="61" t="str">
        <f t="shared" si="45"/>
        <v xml:space="preserve"> </v>
      </c>
      <c r="AE185" s="62" t="s">
        <v>65</v>
      </c>
      <c r="AF185" s="64" t="str">
        <f t="shared" si="46"/>
        <v xml:space="preserve"> </v>
      </c>
      <c r="AG185" s="66">
        <f>IF(OR(AND(C185&gt;=31,C185&lt;40),AND(G185&gt;=31,G185&lt;40),AND(M185&gt;=31,M185&lt;40),AND(Q185&gt;=31,Q185&lt;40),AND(U185&gt;=31,U185&lt;40),AND(AA185&gt;=31,AA185&lt;40)),IF(AND(OR(COUNTIF(C185:AF185,"=31")&gt;=1,COUNTIF(C185:AF185,"=32")&gt;=1,COUNTIF(C185:AF185,"=33")&gt;=1,COUNTIF(C185:AF185,"=34")&gt;=1,COUNTIF(C185:AF185,"=35")&gt;=1,COUNTIF(C185:AF185,"=36")&gt;=1 ),COUNTIF(C185:AF185,"")=0,COUNTIF(C185:AF185," ")=0,COUNTIF(C185:AF185,"F")=1),CONCATENATE(SUM(EXTRACTNUMBER(C185),EXTRACTNUMBER(E185),
EXTRACTNUMBER(G185),EXTRACTNUMBER(I185),
EXTRACTNUMBER(K185),EXTRACTNUMBER(M185),
EXTRACTNUMBER(O185),EXTRACTNUMBER(Q185),
EXTRACTNUMBER(S185),EXTRACTNUMBER(U185),
EXTRACTNUMBER(W185),EXTRACTNUMBER(Y185),EXTRACTNUMBER(AA185),
EXTRACTNUMBER(AC185),EXTRACTNUMBER(AE185)),"*"),IF(AND(COUNTIF(C185:AF185,"=34")&gt;=1,COUNTIF(C185:AF185,"=35")&gt;=1,COUNTIF(C185:AF185,"f")=2,COUNTIF(C185:AF185,"")=0,COUNTIF(C185:AF185," ")=0),CONCATENATE(SUM(EXTRACTNUMBER(C185),EXTRACTNUMBER(E185),
EXTRACTNUMBER(G185),EXTRACTNUMBER(I185),
EXTRACTNUMBER(K185),EXTRACTNUMBER(M185),
EXTRACTNUMBER(O185),EXTRACTNUMBER(Q185),
EXTRACTNUMBER(S185),EXTRACTNUMBER(U185),
EXTRACTNUMBER(W185),EXTRACTNUMBER(Y185),EXTRACTNUMBER(AA185),
EXTRACTNUMBER(AC185),EXTRACTNUMBER(AE185)),"*"),IF(AND(COUNTIF(C185:AF185,"=36")&gt;=2,COUNTIF(C185:AF185,"f")=2,COUNTIF(C185:AF185,"")=0,COUNTIF(C185:AF185," ")=0),CONCATENATE(SUM(EXTRACTNUMBER(C185),EXTRACTNUMBER(E185),
EXTRACTNUMBER(G185),EXTRACTNUMBER(I185),
EXTRACTNUMBER(K185),EXTRACTNUMBER(M185),
EXTRACTNUMBER(O185),EXTRACTNUMBER(Q185),
EXTRACTNUMBER(S185),EXTRACTNUMBER(U185),
EXTRACTNUMBER(W185),EXTRACTNUMBER(Y185),EXTRACTNUMBER(AA185),
EXTRACTNUMBER(AC185),EXTRACTNUMBER(AE185)),"*"),SUM(EXTRACTNUMBER(C185),EXTRACTNUMBER(E185),
EXTRACTNUMBER(G185),EXTRACTNUMBER(I185),
EXTRACTNUMBER(K185),EXTRACTNUMBER(M185),
EXTRACTNUMBER(O185),EXTRACTNUMBER(Q185),
EXTRACTNUMBER(S185),EXTRACTNUMBER(U185),
EXTRACTNUMBER(W185),EXTRACTNUMBER(Y185),EXTRACTNUMBER(AA185),
EXTRACTNUMBER(AC185),EXTRACTNUMBER(AE185))))),SUM(EXTRACTNUMBER(C185),EXTRACTNUMBER(E185),
EXTRACTNUMBER(G185),EXTRACTNUMBER(I185),
EXTRACTNUMBER(K185),EXTRACTNUMBER(M185),
EXTRACTNUMBER(O185),EXTRACTNUMBER(Q185),
EXTRACTNUMBER(S185),EXTRACTNUMBER(U185),
EXTRACTNUMBER(W185),EXTRACTNUMBER(Y185),EXTRACTNUMBER(AA185),
EXTRACTNUMBER(AC185),EXTRACTNUMBER(AE185)))</f>
        <v>472</v>
      </c>
      <c r="AH185" s="38" t="str">
        <f t="shared" ca="1" si="47"/>
        <v>PASS</v>
      </c>
      <c r="AI185" s="28" t="str">
        <f>spellnumber(EXTRACTnUMBER_TOT(AG185))</f>
        <v xml:space="preserve">Four Hundred Seventy Two </v>
      </c>
    </row>
    <row r="186" spans="1:35" ht="15" customHeight="1">
      <c r="A186" s="59">
        <v>223386</v>
      </c>
      <c r="B186" s="42" t="s">
        <v>318</v>
      </c>
      <c r="C186" s="60">
        <v>10</v>
      </c>
      <c r="D186" s="61" t="str">
        <f t="shared" ca="1" si="33"/>
        <v>F</v>
      </c>
      <c r="E186" s="62" t="s">
        <v>67</v>
      </c>
      <c r="F186" s="61" t="str">
        <f t="shared" si="34"/>
        <v xml:space="preserve"> </v>
      </c>
      <c r="G186" s="63">
        <v>40</v>
      </c>
      <c r="H186" s="61" t="str">
        <f t="shared" ca="1" si="35"/>
        <v>E</v>
      </c>
      <c r="I186" s="62" t="s">
        <v>75</v>
      </c>
      <c r="J186" s="61" t="str">
        <f t="shared" si="36"/>
        <v xml:space="preserve"> </v>
      </c>
      <c r="K186" s="62" t="s">
        <v>73</v>
      </c>
      <c r="L186" s="61" t="str">
        <f t="shared" si="37"/>
        <v xml:space="preserve"> </v>
      </c>
      <c r="M186" s="63" t="s">
        <v>56</v>
      </c>
      <c r="N186" s="61" t="str">
        <f t="shared" si="32"/>
        <v xml:space="preserve"> </v>
      </c>
      <c r="O186" s="62" t="s">
        <v>70</v>
      </c>
      <c r="P186" s="64" t="str">
        <f t="shared" si="38"/>
        <v xml:space="preserve"> </v>
      </c>
      <c r="Q186" s="60" t="s">
        <v>56</v>
      </c>
      <c r="R186" s="61" t="str">
        <f t="shared" si="39"/>
        <v xml:space="preserve"> </v>
      </c>
      <c r="S186" s="62" t="s">
        <v>74</v>
      </c>
      <c r="T186" s="64" t="str">
        <f t="shared" si="40"/>
        <v xml:space="preserve"> </v>
      </c>
      <c r="U186" s="60" t="s">
        <v>56</v>
      </c>
      <c r="V186" s="61" t="str">
        <f t="shared" si="41"/>
        <v xml:space="preserve"> </v>
      </c>
      <c r="W186" s="62" t="s">
        <v>72</v>
      </c>
      <c r="X186" s="64" t="str">
        <f t="shared" si="42"/>
        <v xml:space="preserve"> </v>
      </c>
      <c r="Y186" s="62" t="s">
        <v>75</v>
      </c>
      <c r="Z186" s="64" t="str">
        <f t="shared" si="43"/>
        <v xml:space="preserve"> </v>
      </c>
      <c r="AA186" s="60" t="s">
        <v>56</v>
      </c>
      <c r="AB186" s="61" t="str">
        <f t="shared" si="44"/>
        <v xml:space="preserve"> </v>
      </c>
      <c r="AC186" s="62" t="s">
        <v>74</v>
      </c>
      <c r="AD186" s="61" t="str">
        <f t="shared" si="45"/>
        <v xml:space="preserve"> </v>
      </c>
      <c r="AE186" s="62" t="s">
        <v>61</v>
      </c>
      <c r="AF186" s="64" t="str">
        <f t="shared" si="46"/>
        <v xml:space="preserve"> </v>
      </c>
      <c r="AG186" s="66">
        <f>IF(OR(AND(C186&gt;=31,C186&lt;40),AND(G186&gt;=31,G186&lt;40),AND(M186&gt;=31,M186&lt;40),AND(Q186&gt;=31,Q186&lt;40),AND(U186&gt;=31,U186&lt;40),AND(AA186&gt;=31,AA186&lt;40)),IF(AND(OR(COUNTIF(C186:AF186,"=31")&gt;=1,COUNTIF(C186:AF186,"=32")&gt;=1,COUNTIF(C186:AF186,"=33")&gt;=1,COUNTIF(C186:AF186,"=34")&gt;=1,COUNTIF(C186:AF186,"=35")&gt;=1,COUNTIF(C186:AF186,"=36")&gt;=1 ),COUNTIF(C186:AF186,"")=0,COUNTIF(C186:AF186," ")=0,COUNTIF(C186:AF186,"F")=1),CONCATENATE(SUM(EXTRACTNUMBER(C186),EXTRACTNUMBER(E186),
EXTRACTNUMBER(G186),EXTRACTNUMBER(I186),
EXTRACTNUMBER(K186),EXTRACTNUMBER(M186),
EXTRACTNUMBER(O186),EXTRACTNUMBER(Q186),
EXTRACTNUMBER(S186),EXTRACTNUMBER(U186),
EXTRACTNUMBER(W186),EXTRACTNUMBER(Y186),EXTRACTNUMBER(AA186),
EXTRACTNUMBER(AC186),EXTRACTNUMBER(AE186)),"*"),IF(AND(COUNTIF(C186:AF186,"=34")&gt;=1,COUNTIF(C186:AF186,"=35")&gt;=1,COUNTIF(C186:AF186,"f")=2,COUNTIF(C186:AF186,"")=0,COUNTIF(C186:AF186," ")=0),CONCATENATE(SUM(EXTRACTNUMBER(C186),EXTRACTNUMBER(E186),
EXTRACTNUMBER(G186),EXTRACTNUMBER(I186),
EXTRACTNUMBER(K186),EXTRACTNUMBER(M186),
EXTRACTNUMBER(O186),EXTRACTNUMBER(Q186),
EXTRACTNUMBER(S186),EXTRACTNUMBER(U186),
EXTRACTNUMBER(W186),EXTRACTNUMBER(Y186),EXTRACTNUMBER(AA186),
EXTRACTNUMBER(AC186),EXTRACTNUMBER(AE186)),"*"),IF(AND(COUNTIF(C186:AF186,"=36")&gt;=2,COUNTIF(C186:AF186,"f")=2,COUNTIF(C186:AF186,"")=0,COUNTIF(C186:AF186," ")=0),CONCATENATE(SUM(EXTRACTNUMBER(C186),EXTRACTNUMBER(E186),
EXTRACTNUMBER(G186),EXTRACTNUMBER(I186),
EXTRACTNUMBER(K186),EXTRACTNUMBER(M186),
EXTRACTNUMBER(O186),EXTRACTNUMBER(Q186),
EXTRACTNUMBER(S186),EXTRACTNUMBER(U186),
EXTRACTNUMBER(W186),EXTRACTNUMBER(Y186),EXTRACTNUMBER(AA186),
EXTRACTNUMBER(AC186),EXTRACTNUMBER(AE186)),"*"),SUM(EXTRACTNUMBER(C186),EXTRACTNUMBER(E186),
EXTRACTNUMBER(G186),EXTRACTNUMBER(I186),
EXTRACTNUMBER(K186),EXTRACTNUMBER(M186),
EXTRACTNUMBER(O186),EXTRACTNUMBER(Q186),
EXTRACTNUMBER(S186),EXTRACTNUMBER(U186),
EXTRACTNUMBER(W186),EXTRACTNUMBER(Y186),EXTRACTNUMBER(AA186),
EXTRACTNUMBER(AC186),EXTRACTNUMBER(AE186))))),SUM(EXTRACTNUMBER(C186),EXTRACTNUMBER(E186),
EXTRACTNUMBER(G186),EXTRACTNUMBER(I186),
EXTRACTNUMBER(K186),EXTRACTNUMBER(M186),
EXTRACTNUMBER(O186),EXTRACTNUMBER(Q186),
EXTRACTNUMBER(S186),EXTRACTNUMBER(U186),
EXTRACTNUMBER(W186),EXTRACTNUMBER(Y186),EXTRACTNUMBER(AA186),
EXTRACTNUMBER(AC186),EXTRACTNUMBER(AE186)))</f>
        <v>417</v>
      </c>
      <c r="AH186" s="38" t="str">
        <f t="shared" ca="1" si="47"/>
        <v>FAIL</v>
      </c>
      <c r="AI186" s="28" t="str">
        <f>spellnumber(EXTRACTnUMBER_TOT(AG186))</f>
        <v xml:space="preserve">Four Hundred Seventeen </v>
      </c>
    </row>
    <row r="187" spans="1:35" ht="15" customHeight="1">
      <c r="A187" s="59">
        <v>223387</v>
      </c>
      <c r="B187" s="42" t="s">
        <v>48</v>
      </c>
      <c r="C187" s="60" t="s">
        <v>417</v>
      </c>
      <c r="D187" s="61" t="str">
        <f t="shared" si="33"/>
        <v xml:space="preserve"> </v>
      </c>
      <c r="E187" s="62" t="s">
        <v>66</v>
      </c>
      <c r="F187" s="61" t="str">
        <f t="shared" si="34"/>
        <v xml:space="preserve"> </v>
      </c>
      <c r="G187" s="63" t="s">
        <v>103</v>
      </c>
      <c r="H187" s="61" t="str">
        <f t="shared" si="35"/>
        <v/>
      </c>
      <c r="I187" s="62" t="s">
        <v>73</v>
      </c>
      <c r="J187" s="61" t="str">
        <f t="shared" si="36"/>
        <v xml:space="preserve"> </v>
      </c>
      <c r="K187" s="62" t="s">
        <v>70</v>
      </c>
      <c r="L187" s="61" t="str">
        <f t="shared" si="37"/>
        <v xml:space="preserve"> </v>
      </c>
      <c r="M187" s="63" t="s">
        <v>63</v>
      </c>
      <c r="N187" s="61" t="str">
        <f t="shared" si="32"/>
        <v xml:space="preserve"> </v>
      </c>
      <c r="O187" s="62" t="s">
        <v>74</v>
      </c>
      <c r="P187" s="64" t="str">
        <f t="shared" si="38"/>
        <v xml:space="preserve"> </v>
      </c>
      <c r="Q187" s="60" t="s">
        <v>64</v>
      </c>
      <c r="R187" s="61" t="str">
        <f t="shared" si="39"/>
        <v xml:space="preserve"> </v>
      </c>
      <c r="S187" s="62" t="s">
        <v>72</v>
      </c>
      <c r="T187" s="64" t="str">
        <f t="shared" si="40"/>
        <v xml:space="preserve"> </v>
      </c>
      <c r="U187" s="60" t="s">
        <v>56</v>
      </c>
      <c r="V187" s="61" t="str">
        <f t="shared" si="41"/>
        <v xml:space="preserve"> </v>
      </c>
      <c r="W187" s="62" t="s">
        <v>68</v>
      </c>
      <c r="X187" s="64" t="str">
        <f t="shared" si="42"/>
        <v xml:space="preserve"> </v>
      </c>
      <c r="Y187" s="62" t="s">
        <v>68</v>
      </c>
      <c r="Z187" s="64" t="str">
        <f t="shared" si="43"/>
        <v xml:space="preserve"> </v>
      </c>
      <c r="AA187" s="60">
        <v>24</v>
      </c>
      <c r="AB187" s="61" t="str">
        <f t="shared" ca="1" si="44"/>
        <v>F</v>
      </c>
      <c r="AC187" s="62" t="s">
        <v>75</v>
      </c>
      <c r="AD187" s="61" t="str">
        <f t="shared" si="45"/>
        <v xml:space="preserve"> </v>
      </c>
      <c r="AE187" s="62" t="s">
        <v>99</v>
      </c>
      <c r="AF187" s="64" t="str">
        <f t="shared" si="46"/>
        <v xml:space="preserve"> </v>
      </c>
      <c r="AG187" s="66">
        <f>IF(OR(AND(C187&gt;=31,C187&lt;40),AND(G187&gt;=31,G187&lt;40),AND(M187&gt;=31,M187&lt;40),AND(Q187&gt;=31,Q187&lt;40),AND(U187&gt;=31,U187&lt;40),AND(AA187&gt;=31,AA187&lt;40)),IF(AND(OR(COUNTIF(C187:AF187,"=31")&gt;=1,COUNTIF(C187:AF187,"=32")&gt;=1,COUNTIF(C187:AF187,"=33")&gt;=1,COUNTIF(C187:AF187,"=34")&gt;=1,COUNTIF(C187:AF187,"=35")&gt;=1,COUNTIF(C187:AF187,"=36")&gt;=1 ),COUNTIF(C187:AF187,"")=0,COUNTIF(C187:AF187," ")=0,COUNTIF(C187:AF187,"F")=1),CONCATENATE(SUM(EXTRACTNUMBER(C187),EXTRACTNUMBER(E187),
EXTRACTNUMBER(G187),EXTRACTNUMBER(I187),
EXTRACTNUMBER(K187),EXTRACTNUMBER(M187),
EXTRACTNUMBER(O187),EXTRACTNUMBER(Q187),
EXTRACTNUMBER(S187),EXTRACTNUMBER(U187),
EXTRACTNUMBER(W187),EXTRACTNUMBER(Y187),EXTRACTNUMBER(AA187),
EXTRACTNUMBER(AC187),EXTRACTNUMBER(AE187)),"*"),IF(AND(COUNTIF(C187:AF187,"=34")&gt;=1,COUNTIF(C187:AF187,"=35")&gt;=1,COUNTIF(C187:AF187,"f")=2,COUNTIF(C187:AF187,"")=0,COUNTIF(C187:AF187," ")=0),CONCATENATE(SUM(EXTRACTNUMBER(C187),EXTRACTNUMBER(E187),
EXTRACTNUMBER(G187),EXTRACTNUMBER(I187),
EXTRACTNUMBER(K187),EXTRACTNUMBER(M187),
EXTRACTNUMBER(O187),EXTRACTNUMBER(Q187),
EXTRACTNUMBER(S187),EXTRACTNUMBER(U187),
EXTRACTNUMBER(W187),EXTRACTNUMBER(Y187),EXTRACTNUMBER(AA187),
EXTRACTNUMBER(AC187),EXTRACTNUMBER(AE187)),"*"),IF(AND(COUNTIF(C187:AF187,"=36")&gt;=2,COUNTIF(C187:AF187,"f")=2,COUNTIF(C187:AF187,"")=0,COUNTIF(C187:AF187," ")=0),CONCATENATE(SUM(EXTRACTNUMBER(C187),EXTRACTNUMBER(E187),
EXTRACTNUMBER(G187),EXTRACTNUMBER(I187),
EXTRACTNUMBER(K187),EXTRACTNUMBER(M187),
EXTRACTNUMBER(O187),EXTRACTNUMBER(Q187),
EXTRACTNUMBER(S187),EXTRACTNUMBER(U187),
EXTRACTNUMBER(W187),EXTRACTNUMBER(Y187),EXTRACTNUMBER(AA187),
EXTRACTNUMBER(AC187),EXTRACTNUMBER(AE187)),"*"),SUM(EXTRACTNUMBER(C187),EXTRACTNUMBER(E187),
EXTRACTNUMBER(G187),EXTRACTNUMBER(I187),
EXTRACTNUMBER(K187),EXTRACTNUMBER(M187),
EXTRACTNUMBER(O187),EXTRACTNUMBER(Q187),
EXTRACTNUMBER(S187),EXTRACTNUMBER(U187),
EXTRACTNUMBER(W187),EXTRACTNUMBER(Y187),EXTRACTNUMBER(AA187),
EXTRACTNUMBER(AC187),EXTRACTNUMBER(AE187))))),SUM(EXTRACTNUMBER(C187),EXTRACTNUMBER(E187),
EXTRACTNUMBER(G187),EXTRACTNUMBER(I187),
EXTRACTNUMBER(K187),EXTRACTNUMBER(M187),
EXTRACTNUMBER(O187),EXTRACTNUMBER(Q187),
EXTRACTNUMBER(S187),EXTRACTNUMBER(U187),
EXTRACTNUMBER(W187),EXTRACTNUMBER(Y187),EXTRACTNUMBER(AA187),
EXTRACTNUMBER(AC187),EXTRACTNUMBER(AE187)))</f>
        <v>421</v>
      </c>
      <c r="AH187" s="38" t="str">
        <f t="shared" ca="1" si="47"/>
        <v>FAIL</v>
      </c>
      <c r="AI187" s="28" t="str">
        <f>spellnumber(EXTRACTnUMBER_TOT(AG187))</f>
        <v xml:space="preserve">Four Hundred Twenty One </v>
      </c>
    </row>
    <row r="188" spans="1:35" ht="15" customHeight="1">
      <c r="A188" s="59">
        <v>223388</v>
      </c>
      <c r="B188" s="42" t="s">
        <v>319</v>
      </c>
      <c r="C188" s="60" t="s">
        <v>80</v>
      </c>
      <c r="D188" s="61" t="str">
        <f t="shared" si="33"/>
        <v xml:space="preserve"> </v>
      </c>
      <c r="E188" s="62" t="s">
        <v>66</v>
      </c>
      <c r="F188" s="61" t="str">
        <f t="shared" si="34"/>
        <v xml:space="preserve"> </v>
      </c>
      <c r="G188" s="63">
        <v>45</v>
      </c>
      <c r="H188" s="61" t="str">
        <f t="shared" ca="1" si="35"/>
        <v/>
      </c>
      <c r="I188" s="62" t="s">
        <v>74</v>
      </c>
      <c r="J188" s="61" t="str">
        <f t="shared" si="36"/>
        <v xml:space="preserve"> </v>
      </c>
      <c r="K188" s="62" t="s">
        <v>72</v>
      </c>
      <c r="L188" s="61" t="str">
        <f t="shared" si="37"/>
        <v xml:space="preserve"> </v>
      </c>
      <c r="M188" s="63" t="s">
        <v>59</v>
      </c>
      <c r="N188" s="61" t="str">
        <f t="shared" si="32"/>
        <v xml:space="preserve"> </v>
      </c>
      <c r="O188" s="62" t="s">
        <v>72</v>
      </c>
      <c r="P188" s="64" t="str">
        <f t="shared" si="38"/>
        <v xml:space="preserve"> </v>
      </c>
      <c r="Q188" s="60" t="s">
        <v>63</v>
      </c>
      <c r="R188" s="61" t="str">
        <f t="shared" si="39"/>
        <v xml:space="preserve"> </v>
      </c>
      <c r="S188" s="62" t="s">
        <v>72</v>
      </c>
      <c r="T188" s="64" t="str">
        <f t="shared" si="40"/>
        <v xml:space="preserve"> </v>
      </c>
      <c r="U188" s="60" t="s">
        <v>62</v>
      </c>
      <c r="V188" s="61" t="str">
        <f t="shared" si="41"/>
        <v xml:space="preserve"> </v>
      </c>
      <c r="W188" s="62" t="s">
        <v>71</v>
      </c>
      <c r="X188" s="64" t="str">
        <f t="shared" si="42"/>
        <v xml:space="preserve"> </v>
      </c>
      <c r="Y188" s="62" t="s">
        <v>70</v>
      </c>
      <c r="Z188" s="64" t="str">
        <f t="shared" si="43"/>
        <v xml:space="preserve"> </v>
      </c>
      <c r="AA188" s="60">
        <v>40</v>
      </c>
      <c r="AB188" s="61" t="str">
        <f t="shared" ca="1" si="44"/>
        <v/>
      </c>
      <c r="AC188" s="62" t="s">
        <v>72</v>
      </c>
      <c r="AD188" s="61" t="str">
        <f t="shared" si="45"/>
        <v xml:space="preserve"> </v>
      </c>
      <c r="AE188" s="62" t="s">
        <v>99</v>
      </c>
      <c r="AF188" s="64" t="str">
        <f t="shared" si="46"/>
        <v xml:space="preserve"> </v>
      </c>
      <c r="AG188" s="66">
        <f>IF(OR(AND(C188&gt;=31,C188&lt;40),AND(G188&gt;=31,G188&lt;40),AND(M188&gt;=31,M188&lt;40),AND(Q188&gt;=31,Q188&lt;40),AND(U188&gt;=31,U188&lt;40),AND(AA188&gt;=31,AA188&lt;40)),IF(AND(OR(COUNTIF(C188:AF188,"=31")&gt;=1,COUNTIF(C188:AF188,"=32")&gt;=1,COUNTIF(C188:AF188,"=33")&gt;=1,COUNTIF(C188:AF188,"=34")&gt;=1,COUNTIF(C188:AF188,"=35")&gt;=1,COUNTIF(C188:AF188,"=36")&gt;=1 ),COUNTIF(C188:AF188,"")=0,COUNTIF(C188:AF188," ")=0,COUNTIF(C188:AF188,"F")=1),CONCATENATE(SUM(EXTRACTNUMBER(C188),EXTRACTNUMBER(E188),
EXTRACTNUMBER(G188),EXTRACTNUMBER(I188),
EXTRACTNUMBER(K188),EXTRACTNUMBER(M188),
EXTRACTNUMBER(O188),EXTRACTNUMBER(Q188),
EXTRACTNUMBER(S188),EXTRACTNUMBER(U188),
EXTRACTNUMBER(W188),EXTRACTNUMBER(Y188),EXTRACTNUMBER(AA188),
EXTRACTNUMBER(AC188),EXTRACTNUMBER(AE188)),"*"),IF(AND(COUNTIF(C188:AF188,"=34")&gt;=1,COUNTIF(C188:AF188,"=35")&gt;=1,COUNTIF(C188:AF188,"f")=2,COUNTIF(C188:AF188,"")=0,COUNTIF(C188:AF188," ")=0),CONCATENATE(SUM(EXTRACTNUMBER(C188),EXTRACTNUMBER(E188),
EXTRACTNUMBER(G188),EXTRACTNUMBER(I188),
EXTRACTNUMBER(K188),EXTRACTNUMBER(M188),
EXTRACTNUMBER(O188),EXTRACTNUMBER(Q188),
EXTRACTNUMBER(S188),EXTRACTNUMBER(U188),
EXTRACTNUMBER(W188),EXTRACTNUMBER(Y188),EXTRACTNUMBER(AA188),
EXTRACTNUMBER(AC188),EXTRACTNUMBER(AE188)),"*"),IF(AND(COUNTIF(C188:AF188,"=36")&gt;=2,COUNTIF(C188:AF188,"f")=2,COUNTIF(C188:AF188,"")=0,COUNTIF(C188:AF188," ")=0),CONCATENATE(SUM(EXTRACTNUMBER(C188),EXTRACTNUMBER(E188),
EXTRACTNUMBER(G188),EXTRACTNUMBER(I188),
EXTRACTNUMBER(K188),EXTRACTNUMBER(M188),
EXTRACTNUMBER(O188),EXTRACTNUMBER(Q188),
EXTRACTNUMBER(S188),EXTRACTNUMBER(U188),
EXTRACTNUMBER(W188),EXTRACTNUMBER(Y188),EXTRACTNUMBER(AA188),
EXTRACTNUMBER(AC188),EXTRACTNUMBER(AE188)),"*"),SUM(EXTRACTNUMBER(C188),EXTRACTNUMBER(E188),
EXTRACTNUMBER(G188),EXTRACTNUMBER(I188),
EXTRACTNUMBER(K188),EXTRACTNUMBER(M188),
EXTRACTNUMBER(O188),EXTRACTNUMBER(Q188),
EXTRACTNUMBER(S188),EXTRACTNUMBER(U188),
EXTRACTNUMBER(W188),EXTRACTNUMBER(Y188),EXTRACTNUMBER(AA188),
EXTRACTNUMBER(AC188),EXTRACTNUMBER(AE188))))),SUM(EXTRACTNUMBER(C188),EXTRACTNUMBER(E188),
EXTRACTNUMBER(G188),EXTRACTNUMBER(I188),
EXTRACTNUMBER(K188),EXTRACTNUMBER(M188),
EXTRACTNUMBER(O188),EXTRACTNUMBER(Q188),
EXTRACTNUMBER(S188),EXTRACTNUMBER(U188),
EXTRACTNUMBER(W188),EXTRACTNUMBER(Y188),EXTRACTNUMBER(AA188),
EXTRACTNUMBER(AC188),EXTRACTNUMBER(AE188)))</f>
        <v>478</v>
      </c>
      <c r="AH188" s="38" t="str">
        <f t="shared" ca="1" si="47"/>
        <v>PASS</v>
      </c>
      <c r="AI188" s="28" t="str">
        <f>spellnumber(EXTRACTnUMBER_TOT(AG188))</f>
        <v xml:space="preserve">Four Hundred Seventy Eight </v>
      </c>
    </row>
    <row r="189" spans="1:35" ht="15" customHeight="1">
      <c r="A189" s="59">
        <v>223389</v>
      </c>
      <c r="B189" s="42" t="s">
        <v>320</v>
      </c>
      <c r="C189" s="60" t="s">
        <v>56</v>
      </c>
      <c r="D189" s="61" t="str">
        <f t="shared" si="33"/>
        <v xml:space="preserve"> </v>
      </c>
      <c r="E189" s="62" t="s">
        <v>69</v>
      </c>
      <c r="F189" s="61" t="str">
        <f t="shared" si="34"/>
        <v xml:space="preserve"> </v>
      </c>
      <c r="G189" s="63" t="s">
        <v>56</v>
      </c>
      <c r="H189" s="61" t="str">
        <f t="shared" si="35"/>
        <v xml:space="preserve"> </v>
      </c>
      <c r="I189" s="62" t="s">
        <v>70</v>
      </c>
      <c r="J189" s="61" t="str">
        <f t="shared" si="36"/>
        <v xml:space="preserve"> </v>
      </c>
      <c r="K189" s="62" t="s">
        <v>70</v>
      </c>
      <c r="L189" s="61" t="str">
        <f t="shared" si="37"/>
        <v xml:space="preserve"> </v>
      </c>
      <c r="M189" s="63" t="s">
        <v>65</v>
      </c>
      <c r="N189" s="61" t="str">
        <f t="shared" si="32"/>
        <v xml:space="preserve"> </v>
      </c>
      <c r="O189" s="62" t="s">
        <v>72</v>
      </c>
      <c r="P189" s="64" t="str">
        <f t="shared" si="38"/>
        <v xml:space="preserve"> </v>
      </c>
      <c r="Q189" s="60" t="s">
        <v>85</v>
      </c>
      <c r="R189" s="61" t="str">
        <f t="shared" si="39"/>
        <v xml:space="preserve"> </v>
      </c>
      <c r="S189" s="62" t="s">
        <v>72</v>
      </c>
      <c r="T189" s="64" t="str">
        <f t="shared" si="40"/>
        <v xml:space="preserve"> </v>
      </c>
      <c r="U189" s="60" t="s">
        <v>63</v>
      </c>
      <c r="V189" s="61" t="str">
        <f t="shared" si="41"/>
        <v xml:space="preserve"> </v>
      </c>
      <c r="W189" s="62" t="s">
        <v>72</v>
      </c>
      <c r="X189" s="64" t="str">
        <f t="shared" si="42"/>
        <v xml:space="preserve"> </v>
      </c>
      <c r="Y189" s="62" t="s">
        <v>74</v>
      </c>
      <c r="Z189" s="64" t="str">
        <f t="shared" si="43"/>
        <v xml:space="preserve"> </v>
      </c>
      <c r="AA189" s="60">
        <v>40</v>
      </c>
      <c r="AB189" s="61" t="str">
        <f t="shared" ca="1" si="44"/>
        <v/>
      </c>
      <c r="AC189" s="62" t="s">
        <v>72</v>
      </c>
      <c r="AD189" s="61" t="str">
        <f t="shared" si="45"/>
        <v xml:space="preserve"> </v>
      </c>
      <c r="AE189" s="62" t="s">
        <v>56</v>
      </c>
      <c r="AF189" s="64" t="str">
        <f t="shared" si="46"/>
        <v xml:space="preserve"> </v>
      </c>
      <c r="AG189" s="66">
        <f>IF(OR(AND(C189&gt;=31,C189&lt;40),AND(G189&gt;=31,G189&lt;40),AND(M189&gt;=31,M189&lt;40),AND(Q189&gt;=31,Q189&lt;40),AND(U189&gt;=31,U189&lt;40),AND(AA189&gt;=31,AA189&lt;40)),IF(AND(OR(COUNTIF(C189:AF189,"=31")&gt;=1,COUNTIF(C189:AF189,"=32")&gt;=1,COUNTIF(C189:AF189,"=33")&gt;=1,COUNTIF(C189:AF189,"=34")&gt;=1,COUNTIF(C189:AF189,"=35")&gt;=1,COUNTIF(C189:AF189,"=36")&gt;=1 ),COUNTIF(C189:AF189,"")=0,COUNTIF(C189:AF189," ")=0,COUNTIF(C189:AF189,"F")=1),CONCATENATE(SUM(EXTRACTNUMBER(C189),EXTRACTNUMBER(E189),
EXTRACTNUMBER(G189),EXTRACTNUMBER(I189),
EXTRACTNUMBER(K189),EXTRACTNUMBER(M189),
EXTRACTNUMBER(O189),EXTRACTNUMBER(Q189),
EXTRACTNUMBER(S189),EXTRACTNUMBER(U189),
EXTRACTNUMBER(W189),EXTRACTNUMBER(Y189),EXTRACTNUMBER(AA189),
EXTRACTNUMBER(AC189),EXTRACTNUMBER(AE189)),"*"),IF(AND(COUNTIF(C189:AF189,"=34")&gt;=1,COUNTIF(C189:AF189,"=35")&gt;=1,COUNTIF(C189:AF189,"f")=2,COUNTIF(C189:AF189,"")=0,COUNTIF(C189:AF189," ")=0),CONCATENATE(SUM(EXTRACTNUMBER(C189),EXTRACTNUMBER(E189),
EXTRACTNUMBER(G189),EXTRACTNUMBER(I189),
EXTRACTNUMBER(K189),EXTRACTNUMBER(M189),
EXTRACTNUMBER(O189),EXTRACTNUMBER(Q189),
EXTRACTNUMBER(S189),EXTRACTNUMBER(U189),
EXTRACTNUMBER(W189),EXTRACTNUMBER(Y189),EXTRACTNUMBER(AA189),
EXTRACTNUMBER(AC189),EXTRACTNUMBER(AE189)),"*"),IF(AND(COUNTIF(C189:AF189,"=36")&gt;=2,COUNTIF(C189:AF189,"f")=2,COUNTIF(C189:AF189,"")=0,COUNTIF(C189:AF189," ")=0),CONCATENATE(SUM(EXTRACTNUMBER(C189),EXTRACTNUMBER(E189),
EXTRACTNUMBER(G189),EXTRACTNUMBER(I189),
EXTRACTNUMBER(K189),EXTRACTNUMBER(M189),
EXTRACTNUMBER(O189),EXTRACTNUMBER(Q189),
EXTRACTNUMBER(S189),EXTRACTNUMBER(U189),
EXTRACTNUMBER(W189),EXTRACTNUMBER(Y189),EXTRACTNUMBER(AA189),
EXTRACTNUMBER(AC189),EXTRACTNUMBER(AE189)),"*"),SUM(EXTRACTNUMBER(C189),EXTRACTNUMBER(E189),
EXTRACTNUMBER(G189),EXTRACTNUMBER(I189),
EXTRACTNUMBER(K189),EXTRACTNUMBER(M189),
EXTRACTNUMBER(O189),EXTRACTNUMBER(Q189),
EXTRACTNUMBER(S189),EXTRACTNUMBER(U189),
EXTRACTNUMBER(W189),EXTRACTNUMBER(Y189),EXTRACTNUMBER(AA189),
EXTRACTNUMBER(AC189),EXTRACTNUMBER(AE189))))),SUM(EXTRACTNUMBER(C189),EXTRACTNUMBER(E189),
EXTRACTNUMBER(G189),EXTRACTNUMBER(I189),
EXTRACTNUMBER(K189),EXTRACTNUMBER(M189),
EXTRACTNUMBER(O189),EXTRACTNUMBER(Q189),
EXTRACTNUMBER(S189),EXTRACTNUMBER(U189),
EXTRACTNUMBER(W189),EXTRACTNUMBER(Y189),EXTRACTNUMBER(AA189),
EXTRACTNUMBER(AC189),EXTRACTNUMBER(AE189)))</f>
        <v>454</v>
      </c>
      <c r="AH189" s="38" t="str">
        <f t="shared" ca="1" si="47"/>
        <v>PASS</v>
      </c>
      <c r="AI189" s="28" t="str">
        <f>spellnumber(EXTRACTnUMBER_TOT(AG189))</f>
        <v xml:space="preserve">Four Hundred Fifty Four </v>
      </c>
    </row>
    <row r="190" spans="1:35" ht="15" customHeight="1">
      <c r="A190" s="59">
        <v>223390</v>
      </c>
      <c r="B190" s="42" t="s">
        <v>49</v>
      </c>
      <c r="C190" s="60" t="s">
        <v>56</v>
      </c>
      <c r="D190" s="61" t="str">
        <f t="shared" si="33"/>
        <v xml:space="preserve"> </v>
      </c>
      <c r="E190" s="62" t="s">
        <v>67</v>
      </c>
      <c r="F190" s="61" t="str">
        <f t="shared" si="34"/>
        <v xml:space="preserve"> </v>
      </c>
      <c r="G190" s="63">
        <v>61</v>
      </c>
      <c r="H190" s="61" t="str">
        <f t="shared" ca="1" si="35"/>
        <v/>
      </c>
      <c r="I190" s="62" t="s">
        <v>72</v>
      </c>
      <c r="J190" s="61" t="str">
        <f t="shared" si="36"/>
        <v xml:space="preserve"> </v>
      </c>
      <c r="K190" s="62" t="s">
        <v>73</v>
      </c>
      <c r="L190" s="61" t="str">
        <f t="shared" si="37"/>
        <v xml:space="preserve"> </v>
      </c>
      <c r="M190" s="63" t="s">
        <v>64</v>
      </c>
      <c r="N190" s="61" t="str">
        <f t="shared" si="32"/>
        <v xml:space="preserve"> </v>
      </c>
      <c r="O190" s="62" t="s">
        <v>71</v>
      </c>
      <c r="P190" s="64" t="str">
        <f t="shared" si="38"/>
        <v xml:space="preserve"> </v>
      </c>
      <c r="Q190" s="60" t="s">
        <v>56</v>
      </c>
      <c r="R190" s="61" t="str">
        <f t="shared" si="39"/>
        <v xml:space="preserve"> </v>
      </c>
      <c r="S190" s="62" t="s">
        <v>72</v>
      </c>
      <c r="T190" s="64" t="str">
        <f t="shared" si="40"/>
        <v xml:space="preserve"> </v>
      </c>
      <c r="U190" s="60" t="s">
        <v>63</v>
      </c>
      <c r="V190" s="61" t="str">
        <f t="shared" si="41"/>
        <v xml:space="preserve"> </v>
      </c>
      <c r="W190" s="62" t="s">
        <v>70</v>
      </c>
      <c r="X190" s="64" t="str">
        <f t="shared" si="42"/>
        <v xml:space="preserve"> </v>
      </c>
      <c r="Y190" s="62" t="s">
        <v>74</v>
      </c>
      <c r="Z190" s="64" t="str">
        <f t="shared" si="43"/>
        <v xml:space="preserve"> </v>
      </c>
      <c r="AA190" s="60" t="s">
        <v>56</v>
      </c>
      <c r="AB190" s="61" t="str">
        <f t="shared" si="44"/>
        <v xml:space="preserve"> </v>
      </c>
      <c r="AC190" s="62" t="s">
        <v>74</v>
      </c>
      <c r="AD190" s="61" t="str">
        <f t="shared" si="45"/>
        <v xml:space="preserve"> </v>
      </c>
      <c r="AE190" s="62" t="s">
        <v>61</v>
      </c>
      <c r="AF190" s="64" t="str">
        <f t="shared" si="46"/>
        <v xml:space="preserve"> </v>
      </c>
      <c r="AG190" s="66">
        <f>IF(OR(AND(C190&gt;=31,C190&lt;40),AND(G190&gt;=31,G190&lt;40),AND(M190&gt;=31,M190&lt;40),AND(Q190&gt;=31,Q190&lt;40),AND(U190&gt;=31,U190&lt;40),AND(AA190&gt;=31,AA190&lt;40)),IF(AND(OR(COUNTIF(C190:AF190,"=31")&gt;=1,COUNTIF(C190:AF190,"=32")&gt;=1,COUNTIF(C190:AF190,"=33")&gt;=1,COUNTIF(C190:AF190,"=34")&gt;=1,COUNTIF(C190:AF190,"=35")&gt;=1,COUNTIF(C190:AF190,"=36")&gt;=1 ),COUNTIF(C190:AF190,"")=0,COUNTIF(C190:AF190," ")=0,COUNTIF(C190:AF190,"F")=1),CONCATENATE(SUM(EXTRACTNUMBER(C190),EXTRACTNUMBER(E190),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EXTRACTNUMBER(AC190),EXTRACTNUMBER(AE190)),"*"),IF(AND(COUNTIF(C190:AF190,"=34")&gt;=1,COUNTIF(C190:AF190,"=35")&gt;=1,COUNTIF(C190:AF190,"f")=2,COUNTIF(C190:AF190,"")=0,COUNTIF(C190:AF190," ")=0),CONCATENATE(SUM(EXTRACTNUMBER(C190),EXTRACTNUMBER(E190),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EXTRACTNUMBER(AC190),EXTRACTNUMBER(AE190)),"*"),IF(AND(COUNTIF(C190:AF190,"=36")&gt;=2,COUNTIF(C190:AF190,"f")=2,COUNTIF(C190:AF190,"")=0,COUNTIF(C190:AF190," ")=0),CONCATENATE(SUM(EXTRACTNUMBER(C190),EXTRACTNUMBER(E190),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EXTRACTNUMBER(AC190),EXTRACTNUMBER(AE190)),"*"),SUM(EXTRACTNUMBER(C190),EXTRACTNUMBER(E190),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EXTRACTNUMBER(AC190),EXTRACTNUMBER(AE190))))),SUM(EXTRACTNUMBER(C190),EXTRACTNUMBER(E190),
EXTRACTNUMBER(G190),EXTRACTNUMBER(I190),
EXTRACTNUMBER(K190),EXTRACTNUMBER(M190),
EXTRACTNUMBER(O190),EXTRACTNUMBER(Q190),
EXTRACTNUMBER(S190),EXTRACTNUMBER(U190),
EXTRACTNUMBER(W190),EXTRACTNUMBER(Y190),EXTRACTNUMBER(AA190),
EXTRACTNUMBER(AC190),EXTRACTNUMBER(AE190)))</f>
        <v>468</v>
      </c>
      <c r="AH190" s="38" t="str">
        <f t="shared" ca="1" si="47"/>
        <v>PASS</v>
      </c>
      <c r="AI190" s="28" t="str">
        <f>spellnumber(EXTRACTnUMBER_TOT(AG190))</f>
        <v xml:space="preserve">Four Hundred Sixty Eight </v>
      </c>
    </row>
    <row r="191" spans="1:35" ht="15" customHeight="1">
      <c r="A191" s="59">
        <v>223391</v>
      </c>
      <c r="B191" s="41" t="s">
        <v>321</v>
      </c>
      <c r="C191" s="60" t="s">
        <v>91</v>
      </c>
      <c r="D191" s="61" t="str">
        <f t="shared" si="33"/>
        <v xml:space="preserve"> </v>
      </c>
      <c r="E191" s="62" t="s">
        <v>72</v>
      </c>
      <c r="F191" s="61" t="str">
        <f t="shared" si="34"/>
        <v xml:space="preserve"> </v>
      </c>
      <c r="G191" s="63" t="s">
        <v>56</v>
      </c>
      <c r="H191" s="61" t="str">
        <f t="shared" si="35"/>
        <v xml:space="preserve"> </v>
      </c>
      <c r="I191" s="62" t="s">
        <v>74</v>
      </c>
      <c r="J191" s="61" t="str">
        <f t="shared" si="36"/>
        <v xml:space="preserve"> </v>
      </c>
      <c r="K191" s="62" t="s">
        <v>71</v>
      </c>
      <c r="L191" s="61" t="str">
        <f t="shared" si="37"/>
        <v xml:space="preserve"> </v>
      </c>
      <c r="M191" s="63" t="s">
        <v>79</v>
      </c>
      <c r="N191" s="61" t="str">
        <f t="shared" si="32"/>
        <v xml:space="preserve"> </v>
      </c>
      <c r="O191" s="62" t="s">
        <v>72</v>
      </c>
      <c r="P191" s="64" t="str">
        <f t="shared" si="38"/>
        <v xml:space="preserve"> </v>
      </c>
      <c r="Q191" s="60" t="s">
        <v>56</v>
      </c>
      <c r="R191" s="61" t="str">
        <f t="shared" si="39"/>
        <v xml:space="preserve"> </v>
      </c>
      <c r="S191" s="62" t="s">
        <v>72</v>
      </c>
      <c r="T191" s="64" t="str">
        <f t="shared" si="40"/>
        <v xml:space="preserve"> </v>
      </c>
      <c r="U191" s="60" t="s">
        <v>87</v>
      </c>
      <c r="V191" s="61" t="str">
        <f t="shared" si="41"/>
        <v xml:space="preserve"> </v>
      </c>
      <c r="W191" s="62" t="s">
        <v>72</v>
      </c>
      <c r="X191" s="64" t="str">
        <f t="shared" si="42"/>
        <v xml:space="preserve"> </v>
      </c>
      <c r="Y191" s="62" t="s">
        <v>70</v>
      </c>
      <c r="Z191" s="64" t="str">
        <f t="shared" si="43"/>
        <v xml:space="preserve"> </v>
      </c>
      <c r="AA191" s="60">
        <v>34</v>
      </c>
      <c r="AB191" s="61" t="str">
        <f t="shared" ca="1" si="44"/>
        <v>F</v>
      </c>
      <c r="AC191" s="62" t="s">
        <v>74</v>
      </c>
      <c r="AD191" s="61" t="str">
        <f t="shared" si="45"/>
        <v xml:space="preserve"> </v>
      </c>
      <c r="AE191" s="62" t="s">
        <v>56</v>
      </c>
      <c r="AF191" s="64" t="str">
        <f t="shared" si="46"/>
        <v xml:space="preserve"> </v>
      </c>
      <c r="AG191" s="66">
        <f ca="1">IF(OR(AND(C191&gt;=31,C191&lt;40),AND(G191&gt;=31,G191&lt;40),AND(M191&gt;=31,M191&lt;40),AND(Q191&gt;=31,Q191&lt;40),AND(U191&gt;=31,U191&lt;40),AND(AA191&gt;=31,AA191&lt;40)),IF(AND(OR(COUNTIF(C191:AF191,"=31")&gt;=1,COUNTIF(C191:AF191,"=32")&gt;=1,COUNTIF(C191:AF191,"=33")&gt;=1,COUNTIF(C191:AF191,"=34")&gt;=1,COUNTIF(C191:AF191,"=35")&gt;=1,COUNTIF(C191:AF191,"=36")&gt;=1 ),COUNTIF(C191:AF191,"")=0,COUNTIF(C191:AF191," ")=0,COUNTIF(C191:AF191,"F")=1),CONCATENATE(SUM(EXTRACTNUMBER(C191),EXTRACTNUMBER(E191),
EXTRACTNUMBER(G191),EXTRACTNUMBER(I191),
EXTRACTNUMBER(K191),EXTRACTNUMBER(M191),
EXTRACTNUMBER(O191),EXTRACTNUMBER(Q191),
EXTRACTNUMBER(S191),EXTRACTNUMBER(U191),
EXTRACTNUMBER(W191),EXTRACTNUMBER(Y191),EXTRACTNUMBER(AA191),
EXTRACTNUMBER(AC191),EXTRACTNUMBER(AE191)),"*"),IF(AND(COUNTIF(C191:AF191,"=34")&gt;=1,COUNTIF(C191:AF191,"=35")&gt;=1,COUNTIF(C191:AF191,"f")=2,COUNTIF(C191:AF191,"")=0,COUNTIF(C191:AF191," ")=0),CONCATENATE(SUM(EXTRACTNUMBER(C191),EXTRACTNUMBER(E191),
EXTRACTNUMBER(G191),EXTRACTNUMBER(I191),
EXTRACTNUMBER(K191),EXTRACTNUMBER(M191),
EXTRACTNUMBER(O191),EXTRACTNUMBER(Q191),
EXTRACTNUMBER(S191),EXTRACTNUMBER(U191),
EXTRACTNUMBER(W191),EXTRACTNUMBER(Y191),EXTRACTNUMBER(AA191),
EXTRACTNUMBER(AC191),EXTRACTNUMBER(AE191)),"*"),IF(AND(COUNTIF(C191:AF191,"=36")&gt;=2,COUNTIF(C191:AF191,"f")=2,COUNTIF(C191:AF191,"")=0,COUNTIF(C191:AF191," ")=0),CONCATENATE(SUM(EXTRACTNUMBER(C191),EXTRACTNUMBER(E191),
EXTRACTNUMBER(G191),EXTRACTNUMBER(I191),
EXTRACTNUMBER(K191),EXTRACTNUMBER(M191),
EXTRACTNUMBER(O191),EXTRACTNUMBER(Q191),
EXTRACTNUMBER(S191),EXTRACTNUMBER(U191),
EXTRACTNUMBER(W191),EXTRACTNUMBER(Y191),EXTRACTNUMBER(AA191),
EXTRACTNUMBER(AC191),EXTRACTNUMBER(AE191)),"*"),SUM(EXTRACTNUMBER(C191),EXTRACTNUMBER(E191),
EXTRACTNUMBER(G191),EXTRACTNUMBER(I191),
EXTRACTNUMBER(K191),EXTRACTNUMBER(M191),
EXTRACTNUMBER(O191),EXTRACTNUMBER(Q191),
EXTRACTNUMBER(S191),EXTRACTNUMBER(U191),
EXTRACTNUMBER(W191),EXTRACTNUMBER(Y191),EXTRACTNUMBER(AA191),
EXTRACTNUMBER(AC191),EXTRACTNUMBER(AE191))))),SUM(EXTRACTNUMBER(C191),EXTRACTNUMBER(E191),
EXTRACTNUMBER(G191),EXTRACTNUMBER(I191),
EXTRACTNUMBER(K191),EXTRACTNUMBER(M191),
EXTRACTNUMBER(O191),EXTRACTNUMBER(Q191),
EXTRACTNUMBER(S191),EXTRACTNUMBER(U191),
EXTRACTNUMBER(W191),EXTRACTNUMBER(Y191),EXTRACTNUMBER(AA191),
EXTRACTNUMBER(AC191),EXTRACTNUMBER(AE191)))</f>
        <v>491</v>
      </c>
      <c r="AH191" s="38" t="str">
        <f t="shared" ca="1" si="47"/>
        <v>FAIL</v>
      </c>
      <c r="AI191" s="28" t="e">
        <f ca="1">spellnumber(EXTRACTnUMBER_TOT(AG191))</f>
        <v>#NAME?</v>
      </c>
    </row>
    <row r="192" spans="1:35" ht="15" customHeight="1">
      <c r="A192" s="59">
        <v>223392</v>
      </c>
      <c r="B192" s="41" t="s">
        <v>50</v>
      </c>
      <c r="C192" s="60" t="s">
        <v>80</v>
      </c>
      <c r="D192" s="61" t="str">
        <f t="shared" si="33"/>
        <v xml:space="preserve"> </v>
      </c>
      <c r="E192" s="62" t="s">
        <v>66</v>
      </c>
      <c r="F192" s="61" t="str">
        <f t="shared" si="34"/>
        <v xml:space="preserve"> </v>
      </c>
      <c r="G192" s="63" t="s">
        <v>103</v>
      </c>
      <c r="H192" s="61" t="str">
        <f t="shared" si="35"/>
        <v/>
      </c>
      <c r="I192" s="62" t="s">
        <v>70</v>
      </c>
      <c r="J192" s="61" t="str">
        <f t="shared" si="36"/>
        <v xml:space="preserve"> </v>
      </c>
      <c r="K192" s="62" t="s">
        <v>70</v>
      </c>
      <c r="L192" s="61" t="str">
        <f t="shared" si="37"/>
        <v xml:space="preserve"> </v>
      </c>
      <c r="M192" s="63">
        <v>21</v>
      </c>
      <c r="N192" s="61" t="str">
        <f t="shared" ca="1" si="32"/>
        <v>F</v>
      </c>
      <c r="O192" s="62" t="s">
        <v>70</v>
      </c>
      <c r="P192" s="64" t="str">
        <f t="shared" si="38"/>
        <v xml:space="preserve"> </v>
      </c>
      <c r="Q192" s="60" t="s">
        <v>64</v>
      </c>
      <c r="R192" s="61" t="str">
        <f t="shared" si="39"/>
        <v xml:space="preserve"> </v>
      </c>
      <c r="S192" s="62" t="s">
        <v>70</v>
      </c>
      <c r="T192" s="64" t="str">
        <f t="shared" si="40"/>
        <v xml:space="preserve"> </v>
      </c>
      <c r="U192" s="60" t="s">
        <v>57</v>
      </c>
      <c r="V192" s="61" t="str">
        <f t="shared" si="41"/>
        <v xml:space="preserve"> </v>
      </c>
      <c r="W192" s="62" t="s">
        <v>74</v>
      </c>
      <c r="X192" s="64" t="str">
        <f t="shared" si="42"/>
        <v xml:space="preserve"> </v>
      </c>
      <c r="Y192" s="62" t="s">
        <v>74</v>
      </c>
      <c r="Z192" s="64" t="str">
        <f t="shared" si="43"/>
        <v xml:space="preserve"> </v>
      </c>
      <c r="AA192" s="60">
        <v>21</v>
      </c>
      <c r="AB192" s="61" t="str">
        <f t="shared" ca="1" si="44"/>
        <v>F</v>
      </c>
      <c r="AC192" s="62" t="s">
        <v>72</v>
      </c>
      <c r="AD192" s="61" t="str">
        <f t="shared" si="45"/>
        <v xml:space="preserve"> </v>
      </c>
      <c r="AE192" s="62" t="s">
        <v>61</v>
      </c>
      <c r="AF192" s="64" t="str">
        <f t="shared" si="46"/>
        <v xml:space="preserve"> </v>
      </c>
      <c r="AG192" s="66">
        <f>IF(OR(AND(C192&gt;=31,C192&lt;40),AND(G192&gt;=31,G192&lt;40),AND(M192&gt;=31,M192&lt;40),AND(Q192&gt;=31,Q192&lt;40),AND(U192&gt;=31,U192&lt;40),AND(AA192&gt;=31,AA192&lt;40)),IF(AND(OR(COUNTIF(C192:AF192,"=31")&gt;=1,COUNTIF(C192:AF192,"=32")&gt;=1,COUNTIF(C192:AF192,"=33")&gt;=1,COUNTIF(C192:AF192,"=34")&gt;=1,COUNTIF(C192:AF192,"=35")&gt;=1,COUNTIF(C192:AF192,"=36")&gt;=1 ),COUNTIF(C192:AF192,"")=0,COUNTIF(C192:AF192," ")=0,COUNTIF(C192:AF192,"F")=1),CONCATENATE(SUM(EXTRACTNUMBER(C192),EXTRACTNUMBER(E192),
EXTRACTNUMBER(G192),EXTRACTNUMBER(I192),
EXTRACTNUMBER(K192),EXTRACTNUMBER(M192),
EXTRACTNUMBER(O192),EXTRACTNUMBER(Q192),
EXTRACTNUMBER(S192),EXTRACTNUMBER(U192),
EXTRACTNUMBER(W192),EXTRACTNUMBER(Y192),EXTRACTNUMBER(AA192),
EXTRACTNUMBER(AC192),EXTRACTNUMBER(AE192)),"*"),IF(AND(COUNTIF(C192:AF192,"=34")&gt;=1,COUNTIF(C192:AF192,"=35")&gt;=1,COUNTIF(C192:AF192,"f")=2,COUNTIF(C192:AF192,"")=0,COUNTIF(C192:AF192," ")=0),CONCATENATE(SUM(EXTRACTNUMBER(C192),EXTRACTNUMBER(E192),
EXTRACTNUMBER(G192),EXTRACTNUMBER(I192),
EXTRACTNUMBER(K192),EXTRACTNUMBER(M192),
EXTRACTNUMBER(O192),EXTRACTNUMBER(Q192),
EXTRACTNUMBER(S192),EXTRACTNUMBER(U192),
EXTRACTNUMBER(W192),EXTRACTNUMBER(Y192),EXTRACTNUMBER(AA192),
EXTRACTNUMBER(AC192),EXTRACTNUMBER(AE192)),"*"),IF(AND(COUNTIF(C192:AF192,"=36")&gt;=2,COUNTIF(C192:AF192,"f")=2,COUNTIF(C192:AF192,"")=0,COUNTIF(C192:AF192," ")=0),CONCATENATE(SUM(EXTRACTNUMBER(C192),EXTRACTNUMBER(E192),
EXTRACTNUMBER(G192),EXTRACTNUMBER(I192),
EXTRACTNUMBER(K192),EXTRACTNUMBER(M192),
EXTRACTNUMBER(O192),EXTRACTNUMBER(Q192),
EXTRACTNUMBER(S192),EXTRACTNUMBER(U192),
EXTRACTNUMBER(W192),EXTRACTNUMBER(Y192),EXTRACTNUMBER(AA192),
EXTRACTNUMBER(AC192),EXTRACTNUMBER(AE192)),"*"),SUM(EXTRACTNUMBER(C192),EXTRACTNUMBER(E192),
EXTRACTNUMBER(G192),EXTRACTNUMBER(I192),
EXTRACTNUMBER(K192),EXTRACTNUMBER(M192),
EXTRACTNUMBER(O192),EXTRACTNUMBER(Q192),
EXTRACTNUMBER(S192),EXTRACTNUMBER(U192),
EXTRACTNUMBER(W192),EXTRACTNUMBER(Y192),EXTRACTNUMBER(AA192),
EXTRACTNUMBER(AC192),EXTRACTNUMBER(AE192))))),SUM(EXTRACTNUMBER(C192),EXTRACTNUMBER(E192),
EXTRACTNUMBER(G192),EXTRACTNUMBER(I192),
EXTRACTNUMBER(K192),EXTRACTNUMBER(M192),
EXTRACTNUMBER(O192),EXTRACTNUMBER(Q192),
EXTRACTNUMBER(S192),EXTRACTNUMBER(U192),
EXTRACTNUMBER(W192),EXTRACTNUMBER(Y192),EXTRACTNUMBER(AA192),
EXTRACTNUMBER(AC192),EXTRACTNUMBER(AE192)))</f>
        <v>380</v>
      </c>
      <c r="AH192" s="38" t="str">
        <f t="shared" ca="1" si="47"/>
        <v>FAIL</v>
      </c>
      <c r="AI192" s="28" t="str">
        <f>spellnumber(EXTRACTnUMBER_TOT(AG192))</f>
        <v xml:space="preserve">Three Hundred Eighty  </v>
      </c>
    </row>
    <row r="193" spans="1:35" ht="15" customHeight="1">
      <c r="A193" s="59">
        <v>223393</v>
      </c>
      <c r="B193" s="42" t="s">
        <v>322</v>
      </c>
      <c r="C193" s="60" t="s">
        <v>63</v>
      </c>
      <c r="D193" s="61" t="str">
        <f t="shared" si="33"/>
        <v xml:space="preserve"> </v>
      </c>
      <c r="E193" s="62" t="s">
        <v>67</v>
      </c>
      <c r="F193" s="61" t="str">
        <f t="shared" si="34"/>
        <v xml:space="preserve"> </v>
      </c>
      <c r="G193" s="63" t="s">
        <v>103</v>
      </c>
      <c r="H193" s="61" t="str">
        <f t="shared" si="35"/>
        <v/>
      </c>
      <c r="I193" s="62" t="s">
        <v>71</v>
      </c>
      <c r="J193" s="61" t="str">
        <f t="shared" si="36"/>
        <v xml:space="preserve"> </v>
      </c>
      <c r="K193" s="62" t="s">
        <v>70</v>
      </c>
      <c r="L193" s="61" t="str">
        <f t="shared" si="37"/>
        <v xml:space="preserve"> </v>
      </c>
      <c r="M193" s="63" t="s">
        <v>57</v>
      </c>
      <c r="N193" s="61" t="str">
        <f t="shared" si="32"/>
        <v xml:space="preserve"> </v>
      </c>
      <c r="O193" s="62" t="s">
        <v>70</v>
      </c>
      <c r="P193" s="64" t="str">
        <f t="shared" si="38"/>
        <v xml:space="preserve"> </v>
      </c>
      <c r="Q193" s="60" t="s">
        <v>58</v>
      </c>
      <c r="R193" s="61" t="str">
        <f t="shared" si="39"/>
        <v xml:space="preserve"> </v>
      </c>
      <c r="S193" s="62" t="s">
        <v>70</v>
      </c>
      <c r="T193" s="64" t="str">
        <f t="shared" si="40"/>
        <v xml:space="preserve"> </v>
      </c>
      <c r="U193" s="60" t="s">
        <v>87</v>
      </c>
      <c r="V193" s="61" t="str">
        <f t="shared" si="41"/>
        <v xml:space="preserve"> </v>
      </c>
      <c r="W193" s="62" t="s">
        <v>74</v>
      </c>
      <c r="X193" s="64" t="str">
        <f t="shared" si="42"/>
        <v xml:space="preserve"> </v>
      </c>
      <c r="Y193" s="62" t="s">
        <v>74</v>
      </c>
      <c r="Z193" s="64" t="str">
        <f t="shared" si="43"/>
        <v xml:space="preserve"> </v>
      </c>
      <c r="AA193" s="60" t="s">
        <v>56</v>
      </c>
      <c r="AB193" s="61" t="str">
        <f t="shared" si="44"/>
        <v xml:space="preserve"> </v>
      </c>
      <c r="AC193" s="62" t="s">
        <v>74</v>
      </c>
      <c r="AD193" s="61" t="str">
        <f t="shared" si="45"/>
        <v xml:space="preserve"> </v>
      </c>
      <c r="AE193" s="62" t="s">
        <v>63</v>
      </c>
      <c r="AF193" s="64" t="str">
        <f t="shared" si="46"/>
        <v xml:space="preserve"> </v>
      </c>
      <c r="AG193" s="66">
        <f>IF(OR(AND(C193&gt;=31,C193&lt;40),AND(G193&gt;=31,G193&lt;40),AND(M193&gt;=31,M193&lt;40),AND(Q193&gt;=31,Q193&lt;40),AND(U193&gt;=31,U193&lt;40),AND(AA193&gt;=31,AA193&lt;40)),IF(AND(OR(COUNTIF(C193:AF193,"=31")&gt;=1,COUNTIF(C193:AF193,"=32")&gt;=1,COUNTIF(C193:AF193,"=33")&gt;=1,COUNTIF(C193:AF193,"=34")&gt;=1,COUNTIF(C193:AF193,"=35")&gt;=1,COUNTIF(C193:AF193,"=36")&gt;=1 ),COUNTIF(C193:AF193,"")=0,COUNTIF(C193:AF193," ")=0,COUNTIF(C193:AF193,"F")=1),CONCATENATE(SUM(EXTRACTNUMBER(C193),EXTRACTNUMBER(E193),
EXTRACTNUMBER(G193),EXTRACTNUMBER(I193),
EXTRACTNUMBER(K193),EXTRACTNUMBER(M193),
EXTRACTNUMBER(O193),EXTRACTNUMBER(Q193),
EXTRACTNUMBER(S193),EXTRACTNUMBER(U193),
EXTRACTNUMBER(W193),EXTRACTNUMBER(Y193),EXTRACTNUMBER(AA193),
EXTRACTNUMBER(AC193),EXTRACTNUMBER(AE193)),"*"),IF(AND(COUNTIF(C193:AF193,"=34")&gt;=1,COUNTIF(C193:AF193,"=35")&gt;=1,COUNTIF(C193:AF193,"f")=2,COUNTIF(C193:AF193,"")=0,COUNTIF(C193:AF193," ")=0),CONCATENATE(SUM(EXTRACTNUMBER(C193),EXTRACTNUMBER(E193),
EXTRACTNUMBER(G193),EXTRACTNUMBER(I193),
EXTRACTNUMBER(K193),EXTRACTNUMBER(M193),
EXTRACTNUMBER(O193),EXTRACTNUMBER(Q193),
EXTRACTNUMBER(S193),EXTRACTNUMBER(U193),
EXTRACTNUMBER(W193),EXTRACTNUMBER(Y193),EXTRACTNUMBER(AA193),
EXTRACTNUMBER(AC193),EXTRACTNUMBER(AE193)),"*"),IF(AND(COUNTIF(C193:AF193,"=36")&gt;=2,COUNTIF(C193:AF193,"f")=2,COUNTIF(C193:AF193,"")=0,COUNTIF(C193:AF193," ")=0),CONCATENATE(SUM(EXTRACTNUMBER(C193),EXTRACTNUMBER(E193),
EXTRACTNUMBER(G193),EXTRACTNUMBER(I193),
EXTRACTNUMBER(K193),EXTRACTNUMBER(M193),
EXTRACTNUMBER(O193),EXTRACTNUMBER(Q193),
EXTRACTNUMBER(S193),EXTRACTNUMBER(U193),
EXTRACTNUMBER(W193),EXTRACTNUMBER(Y193),EXTRACTNUMBER(AA193),
EXTRACTNUMBER(AC193),EXTRACTNUMBER(AE193)),"*"),SUM(EXTRACTNUMBER(C193),EXTRACTNUMBER(E193),
EXTRACTNUMBER(G193),EXTRACTNUMBER(I193),
EXTRACTNUMBER(K193),EXTRACTNUMBER(M193),
EXTRACTNUMBER(O193),EXTRACTNUMBER(Q193),
EXTRACTNUMBER(S193),EXTRACTNUMBER(U193),
EXTRACTNUMBER(W193),EXTRACTNUMBER(Y193),EXTRACTNUMBER(AA193),
EXTRACTNUMBER(AC193),EXTRACTNUMBER(AE193))))),SUM(EXTRACTNUMBER(C193),EXTRACTNUMBER(E193),
EXTRACTNUMBER(G193),EXTRACTNUMBER(I193),
EXTRACTNUMBER(K193),EXTRACTNUMBER(M193),
EXTRACTNUMBER(O193),EXTRACTNUMBER(Q193),
EXTRACTNUMBER(S193),EXTRACTNUMBER(U193),
EXTRACTNUMBER(W193),EXTRACTNUMBER(Y193),EXTRACTNUMBER(AA193),
EXTRACTNUMBER(AC193),EXTRACTNUMBER(AE193)))</f>
        <v>426</v>
      </c>
      <c r="AH193" s="38" t="str">
        <f t="shared" si="47"/>
        <v>ABSENT</v>
      </c>
      <c r="AI193" s="28" t="str">
        <f>spellnumber(EXTRACTnUMBER_TOT(AG193))</f>
        <v xml:space="preserve">Four Hundred Twenty Six </v>
      </c>
    </row>
    <row r="194" spans="1:35" ht="15" customHeight="1">
      <c r="A194" s="59">
        <v>223394</v>
      </c>
      <c r="B194" s="41" t="s">
        <v>418</v>
      </c>
      <c r="C194" s="60" t="s">
        <v>85</v>
      </c>
      <c r="D194" s="61" t="str">
        <f t="shared" si="33"/>
        <v xml:space="preserve"> </v>
      </c>
      <c r="E194" s="62" t="s">
        <v>71</v>
      </c>
      <c r="F194" s="61" t="str">
        <f t="shared" si="34"/>
        <v xml:space="preserve"> </v>
      </c>
      <c r="G194" s="63" t="s">
        <v>103</v>
      </c>
      <c r="H194" s="61" t="str">
        <f t="shared" si="35"/>
        <v/>
      </c>
      <c r="I194" s="62" t="s">
        <v>73</v>
      </c>
      <c r="J194" s="61" t="str">
        <f t="shared" si="36"/>
        <v xml:space="preserve"> </v>
      </c>
      <c r="K194" s="62" t="s">
        <v>84</v>
      </c>
      <c r="L194" s="61" t="str">
        <f t="shared" si="37"/>
        <v xml:space="preserve"> </v>
      </c>
      <c r="M194" s="63">
        <v>21</v>
      </c>
      <c r="N194" s="61" t="str">
        <f t="shared" ref="N194:N244" ca="1" si="48">IF(IFERROR(FIND("+",M194),0)," ",
IF(M194="AB","",
IF(M194&lt;$N$27,"F",
IF(AND(C194&gt;=$D$27,E194&gt;=$F$27,G194&gt;=$H$27,
I194&gt;=$J$27,K194&gt;=$L$27,
M194&gt;=$N$27,O194&gt;=$P$27,Q194&gt;=$R$27,S194&gt;=$T$27,U194&gt;=$V$27,
W194&gt;=$X$27,Y194&gt;=$Z$27,AA194&gt;=$AB$27,AC194&gt;=$AD$27,AE194&gt;=$AF$27,
C194&lt;&gt;"AB",E194&lt;&gt;"AB",G194&lt;&gt;"AB",
I194&lt;&gt;"AB",K194&lt;&gt;"AB",
M194&lt;&gt;"AB",O194&lt;&gt;"AB",Q194&lt;&gt;"AB",S194&lt;&gt;"AB",U194&lt;&gt;"AB",
W194&lt;&gt;"AB",Y194&lt;&gt;"AB",AA194&lt;&gt;"AB",AC194&lt;&gt;"AB",AE194&lt;&gt;"AB"),"","E"))))</f>
        <v>F</v>
      </c>
      <c r="O194" s="62" t="s">
        <v>73</v>
      </c>
      <c r="P194" s="64" t="str">
        <f t="shared" si="38"/>
        <v xml:space="preserve"> </v>
      </c>
      <c r="Q194" s="60" t="s">
        <v>63</v>
      </c>
      <c r="R194" s="61" t="str">
        <f t="shared" si="39"/>
        <v xml:space="preserve"> </v>
      </c>
      <c r="S194" s="62" t="s">
        <v>73</v>
      </c>
      <c r="T194" s="64" t="str">
        <f t="shared" si="40"/>
        <v xml:space="preserve"> </v>
      </c>
      <c r="U194" s="60" t="s">
        <v>56</v>
      </c>
      <c r="V194" s="61" t="str">
        <f t="shared" si="41"/>
        <v xml:space="preserve"> </v>
      </c>
      <c r="W194" s="62" t="s">
        <v>73</v>
      </c>
      <c r="X194" s="64" t="str">
        <f t="shared" si="42"/>
        <v xml:space="preserve"> </v>
      </c>
      <c r="Y194" s="62" t="s">
        <v>75</v>
      </c>
      <c r="Z194" s="64" t="str">
        <f t="shared" si="43"/>
        <v xml:space="preserve"> </v>
      </c>
      <c r="AA194" s="60" t="s">
        <v>58</v>
      </c>
      <c r="AB194" s="61" t="str">
        <f t="shared" si="44"/>
        <v xml:space="preserve"> </v>
      </c>
      <c r="AC194" s="62" t="s">
        <v>69</v>
      </c>
      <c r="AD194" s="61" t="str">
        <f t="shared" si="45"/>
        <v xml:space="preserve"> </v>
      </c>
      <c r="AE194" s="62" t="s">
        <v>56</v>
      </c>
      <c r="AF194" s="64" t="str">
        <f t="shared" si="46"/>
        <v xml:space="preserve"> </v>
      </c>
      <c r="AG194" s="66">
        <f>IF(OR(AND(C194&gt;=31,C194&lt;40),AND(G194&gt;=31,G194&lt;40),AND(M194&gt;=31,M194&lt;40),AND(Q194&gt;=31,Q194&lt;40),AND(U194&gt;=31,U194&lt;40),AND(AA194&gt;=31,AA194&lt;40)),IF(AND(OR(COUNTIF(C194:AF194,"=31")&gt;=1,COUNTIF(C194:AF194,"=32")&gt;=1,COUNTIF(C194:AF194,"=33")&gt;=1,COUNTIF(C194:AF194,"=34")&gt;=1,COUNTIF(C194:AF194,"=35")&gt;=1,COUNTIF(C194:AF194,"=36")&gt;=1 ),COUNTIF(C194:AF194,"")=0,COUNTIF(C194:AF194," ")=0,COUNTIF(C194:AF194,"F")=1),CONCATENATE(SUM(EXTRACTNUMBER(C194),EXTRACTNUMBER(E194),
EXTRACTNUMBER(G194),EXTRACTNUMBER(I194),
EXTRACTNUMBER(K194),EXTRACTNUMBER(M194),
EXTRACTNUMBER(O194),EXTRACTNUMBER(Q194),
EXTRACTNUMBER(S194),EXTRACTNUMBER(U194),
EXTRACTNUMBER(W194),EXTRACTNUMBER(Y194),EXTRACTNUMBER(AA194),
EXTRACTNUMBER(AC194),EXTRACTNUMBER(AE194)),"*"),IF(AND(COUNTIF(C194:AF194,"=34")&gt;=1,COUNTIF(C194:AF194,"=35")&gt;=1,COUNTIF(C194:AF194,"f")=2,COUNTIF(C194:AF194,"")=0,COUNTIF(C194:AF194," ")=0),CONCATENATE(SUM(EXTRACTNUMBER(C194),EXTRACTNUMBER(E194),
EXTRACTNUMBER(G194),EXTRACTNUMBER(I194),
EXTRACTNUMBER(K194),EXTRACTNUMBER(M194),
EXTRACTNUMBER(O194),EXTRACTNUMBER(Q194),
EXTRACTNUMBER(S194),EXTRACTNUMBER(U194),
EXTRACTNUMBER(W194),EXTRACTNUMBER(Y194),EXTRACTNUMBER(AA194),
EXTRACTNUMBER(AC194),EXTRACTNUMBER(AE194)),"*"),IF(AND(COUNTIF(C194:AF194,"=36")&gt;=2,COUNTIF(C194:AF194,"f")=2,COUNTIF(C194:AF194,"")=0,COUNTIF(C194:AF194," ")=0),CONCATENATE(SUM(EXTRACTNUMBER(C194),EXTRACTNUMBER(E194),
EXTRACTNUMBER(G194),EXTRACTNUMBER(I194),
EXTRACTNUMBER(K194),EXTRACTNUMBER(M194),
EXTRACTNUMBER(O194),EXTRACTNUMBER(Q194),
EXTRACTNUMBER(S194),EXTRACTNUMBER(U194),
EXTRACTNUMBER(W194),EXTRACTNUMBER(Y194),EXTRACTNUMBER(AA194),
EXTRACTNUMBER(AC194),EXTRACTNUMBER(AE194)),"*"),SUM(EXTRACTNUMBER(C194),EXTRACTNUMBER(E194),
EXTRACTNUMBER(G194),EXTRACTNUMBER(I194),
EXTRACTNUMBER(K194),EXTRACTNUMBER(M194),
EXTRACTNUMBER(O194),EXTRACTNUMBER(Q194),
EXTRACTNUMBER(S194),EXTRACTNUMBER(U194),
EXTRACTNUMBER(W194),EXTRACTNUMBER(Y194),EXTRACTNUMBER(AA194),
EXTRACTNUMBER(AC194),EXTRACTNUMBER(AE194))))),SUM(EXTRACTNUMBER(C194),EXTRACTNUMBER(E194),
EXTRACTNUMBER(G194),EXTRACTNUMBER(I194),
EXTRACTNUMBER(K194),EXTRACTNUMBER(M194),
EXTRACTNUMBER(O194),EXTRACTNUMBER(Q194),
EXTRACTNUMBER(S194),EXTRACTNUMBER(U194),
EXTRACTNUMBER(W194),EXTRACTNUMBER(Y194),EXTRACTNUMBER(AA194),
EXTRACTNUMBER(AC194),EXTRACTNUMBER(AE194)))</f>
        <v>412</v>
      </c>
      <c r="AH194" s="38" t="str">
        <f t="shared" ca="1" si="47"/>
        <v>FAIL</v>
      </c>
      <c r="AI194" s="28" t="str">
        <f>spellnumber(EXTRACTnUMBER_TOT(AG194))</f>
        <v xml:space="preserve">Four Hundred Twelve </v>
      </c>
    </row>
    <row r="195" spans="1:35" ht="15" customHeight="1">
      <c r="A195" s="59">
        <v>223395</v>
      </c>
      <c r="B195" s="42" t="s">
        <v>323</v>
      </c>
      <c r="C195" s="60" t="s">
        <v>103</v>
      </c>
      <c r="D195" s="61" t="str">
        <f t="shared" ref="D195:D244" si="49">IF(IFERROR(FIND("+",C195),0)," ",
IF(C195="AB","",
IF(C195&lt;$D$27,"F",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/>
      </c>
      <c r="E195" s="62" t="s">
        <v>69</v>
      </c>
      <c r="F195" s="61" t="str">
        <f t="shared" ref="F195:F244" si="50">IF(IFERROR(FIND("+",E195),0)," ",
IF(E195="AB","",
IF(E195&lt;$F$27,"F",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G195" s="63" t="s">
        <v>103</v>
      </c>
      <c r="H195" s="61" t="str">
        <f t="shared" ref="H195:H244" si="51">IF(IFERROR(FIND("+",G195),0)," ",
IF(G195="AB","",
IF(G195&lt;$H$27,"F",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/>
      </c>
      <c r="I195" s="62" t="s">
        <v>74</v>
      </c>
      <c r="J195" s="61" t="str">
        <f t="shared" ref="J195:J244" si="52">IF(IFERROR(FIND("+",I195),0)," ",
IF(I195="AB","",
IF(I195&lt;$J$27,"F",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K195" s="62" t="s">
        <v>67</v>
      </c>
      <c r="L195" s="61" t="str">
        <f t="shared" ref="L195:L244" si="53">IF(IFERROR(FIND("+",K195),0)," ",
IF(K195="AB","",
IF(K195&lt;$L$27,"F",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M195" s="63" t="s">
        <v>103</v>
      </c>
      <c r="N195" s="61" t="str">
        <f t="shared" si="48"/>
        <v/>
      </c>
      <c r="O195" s="62" t="s">
        <v>72</v>
      </c>
      <c r="P195" s="64" t="str">
        <f t="shared" ref="P195:P244" si="54">IF(IFERROR(FIND("+",O195),0)," ",
IF(O195="AB","",
IF(O195&lt;$P$27,"F",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Q195" s="60" t="s">
        <v>103</v>
      </c>
      <c r="R195" s="61" t="str">
        <f t="shared" ref="R195:R244" si="55">IF(IFERROR(FIND("+",Q195),0)," ",
IF(Q195="AB","",
IF(Q195&lt;$R$27,"F",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/>
      </c>
      <c r="S195" s="62" t="s">
        <v>72</v>
      </c>
      <c r="T195" s="64" t="str">
        <f t="shared" ref="T195:T244" si="56">IF(IFERROR(FIND("+",S195),0)," ",
IF(S195="AB","",
IF(S195&lt;$T$27,"F",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U195" s="60" t="s">
        <v>103</v>
      </c>
      <c r="V195" s="61" t="str">
        <f t="shared" ref="V195:V244" si="57">IF(IFERROR(FIND("+",U195),0)," ",
IF(U195="AB","",
IF(U195&lt;$V$27,"F",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/>
      </c>
      <c r="W195" s="62" t="s">
        <v>74</v>
      </c>
      <c r="X195" s="64" t="str">
        <f t="shared" ref="X195:X244" si="58">IF(IFERROR(FIND("+",W195),0)," ",
IF(W195="AB","",
IF(W195&lt;$X$27,"F",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Y195" s="62" t="s">
        <v>71</v>
      </c>
      <c r="Z195" s="64" t="str">
        <f t="shared" ref="Z195:Z244" si="59">IF(IFERROR(FIND("+",Y195),0)," ",
IF(Y195="AB","",
IF(Y195&lt;$Z$27,"F",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AA195" s="60" t="s">
        <v>103</v>
      </c>
      <c r="AB195" s="61" t="str">
        <f t="shared" ref="AB195:AB244" si="60">IF(IFERROR(FIND("+",AA195),0)," ",
IF(AA195="AB","",
IF(AA195&lt;$AB$27,"F",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/>
      </c>
      <c r="AC195" s="62" t="s">
        <v>75</v>
      </c>
      <c r="AD195" s="61" t="str">
        <f t="shared" ref="AD195:AD244" si="61">IF(IFERROR(FIND("+",AC195),0)," ",
IF(AC195="AB","",
IF(AC195&lt;$AD$27,"F",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AE195" s="62" t="s">
        <v>79</v>
      </c>
      <c r="AF195" s="64" t="str">
        <f t="shared" ref="AF195:AF244" si="62">IF(IFERROR(FIND("+",AE195),0)," ",
IF(AE195="AB","",
IF(AE195&lt;$AF$27,"F",
IF(AND(C195&gt;=$D$27,E195&gt;=$F$27,G195&gt;=$H$27,
I195&gt;=$J$27,K195&gt;=$L$27,
M195&gt;=$N$27,O195&gt;=$P$27,Q195&gt;=$R$27,S195&gt;=$T$27,U195&gt;=$V$27,
W195&gt;=$X$27,Y195&gt;=$Z$27,AA195&gt;=$AB$27,AC195&gt;=$AD$27,AE195&gt;=$AF$27,
C195&lt;&gt;"AB",E195&lt;&gt;"AB",G195&lt;&gt;"AB",
I195&lt;&gt;"AB",K195&lt;&gt;"AB",
M195&lt;&gt;"AB",O195&lt;&gt;"AB",Q195&lt;&gt;"AB",S195&lt;&gt;"AB",U195&lt;&gt;"AB",
W195&lt;&gt;"AB",Y195&lt;&gt;"AB",AA195&lt;&gt;"AB",AC195&lt;&gt;"AB",AE195&lt;&gt;"AB"),"","E"))))</f>
        <v xml:space="preserve"> </v>
      </c>
      <c r="AG195" s="66">
        <f>IF(OR(AND(C195&gt;=31,C195&lt;40),AND(G195&gt;=31,G195&lt;40),AND(M195&gt;=31,M195&lt;40),AND(Q195&gt;=31,Q195&lt;40),AND(U195&gt;=31,U195&lt;40),AND(AA195&gt;=31,AA195&lt;40)),IF(AND(OR(COUNTIF(C195:AF195,"=31")&gt;=1,COUNTIF(C195:AF195,"=32")&gt;=1,COUNTIF(C195:AF195,"=33")&gt;=1,COUNTIF(C195:AF195,"=34")&gt;=1,COUNTIF(C195:AF195,"=35")&gt;=1,COUNTIF(C195:AF195,"=36")&gt;=1 ),COUNTIF(C195:AF195,"")=0,COUNTIF(C195:AF195," ")=0,COUNTIF(C195:AF195,"F")=1),CONCATENATE(SUM(EXTRACTNUMBER(C195),EXTRACTNUMBER(E195),
EXTRACTNUMBER(G195),EXTRACTNUMBER(I195),
EXTRACTNUMBER(K195),EXTRACTNUMBER(M195),
EXTRACTNUMBER(O195),EXTRACTNUMBER(Q195),
EXTRACTNUMBER(S195),EXTRACTNUMBER(U195),
EXTRACTNUMBER(W195),EXTRACTNUMBER(Y195),EXTRACTNUMBER(AA195),
EXTRACTNUMBER(AC195),EXTRACTNUMBER(AE195)),"*"),IF(AND(COUNTIF(C195:AF195,"=34")&gt;=1,COUNTIF(C195:AF195,"=35")&gt;=1,COUNTIF(C195:AF195,"f")=2,COUNTIF(C195:AF195,"")=0,COUNTIF(C195:AF195," ")=0),CONCATENATE(SUM(EXTRACTNUMBER(C195),EXTRACTNUMBER(E195),
EXTRACTNUMBER(G195),EXTRACTNUMBER(I195),
EXTRACTNUMBER(K195),EXTRACTNUMBER(M195),
EXTRACTNUMBER(O195),EXTRACTNUMBER(Q195),
EXTRACTNUMBER(S195),EXTRACTNUMBER(U195),
EXTRACTNUMBER(W195),EXTRACTNUMBER(Y195),EXTRACTNUMBER(AA195),
EXTRACTNUMBER(AC195),EXTRACTNUMBER(AE195)),"*"),IF(AND(COUNTIF(C195:AF195,"=36")&gt;=2,COUNTIF(C195:AF195,"f")=2,COUNTIF(C195:AF195,"")=0,COUNTIF(C195:AF195," ")=0),CONCATENATE(SUM(EXTRACTNUMBER(C195),EXTRACTNUMBER(E195),
EXTRACTNUMBER(G195),EXTRACTNUMBER(I195),
EXTRACTNUMBER(K195),EXTRACTNUMBER(M195),
EXTRACTNUMBER(O195),EXTRACTNUMBER(Q195),
EXTRACTNUMBER(S195),EXTRACTNUMBER(U195),
EXTRACTNUMBER(W195),EXTRACTNUMBER(Y195),EXTRACTNUMBER(AA195),
EXTRACTNUMBER(AC195),EXTRACTNUMBER(AE195)),"*"),SUM(EXTRACTNUMBER(C195),EXTRACTNUMBER(E195),
EXTRACTNUMBER(G195),EXTRACTNUMBER(I195),
EXTRACTNUMBER(K195),EXTRACTNUMBER(M195),
EXTRACTNUMBER(O195),EXTRACTNUMBER(Q195),
EXTRACTNUMBER(S195),EXTRACTNUMBER(U195),
EXTRACTNUMBER(W195),EXTRACTNUMBER(Y195),EXTRACTNUMBER(AA195),
EXTRACTNUMBER(AC195),EXTRACTNUMBER(AE195))))),SUM(EXTRACTNUMBER(C195),EXTRACTNUMBER(E195),
EXTRACTNUMBER(G195),EXTRACTNUMBER(I195),
EXTRACTNUMBER(K195),EXTRACTNUMBER(M195),
EXTRACTNUMBER(O195),EXTRACTNUMBER(Q195),
EXTRACTNUMBER(S195),EXTRACTNUMBER(U195),
EXTRACTNUMBER(W195),EXTRACTNUMBER(Y195),EXTRACTNUMBER(AA195),
EXTRACTNUMBER(AC195),EXTRACTNUMBER(AE195)))</f>
        <v>201</v>
      </c>
      <c r="AH195" s="38" t="str">
        <f t="shared" ref="AH195:AH244" si="63">IF(AND(COUNTIF(C195:AF195,"AB")&lt;15-COUNTIF(C195:AF195," "),
COUNTIF(C195:AF195,"AB")&lt;&gt;0),"FAIL",
IF(COUNTIF(C195:AF195,"AB")=15-COUNTIF(C195:AF195," "),"ABSENT",
IF(AND(COUNTIF(C195:AF195,"AB")=0,COUNTIF(C195:AF195,"F")=0),"PASS","FAIL")))</f>
        <v>ABSENT</v>
      </c>
      <c r="AI195" s="28" t="str">
        <f>spellnumber(EXTRACTnUMBER_TOT(AG195))</f>
        <v xml:space="preserve">Two Hundred One </v>
      </c>
    </row>
    <row r="196" spans="1:35" ht="15" customHeight="1">
      <c r="A196" s="59">
        <v>223396</v>
      </c>
      <c r="B196" s="42" t="s">
        <v>51</v>
      </c>
      <c r="C196" s="60" t="s">
        <v>419</v>
      </c>
      <c r="D196" s="61" t="str">
        <f t="shared" si="49"/>
        <v xml:space="preserve"> </v>
      </c>
      <c r="E196" s="62" t="s">
        <v>74</v>
      </c>
      <c r="F196" s="61" t="str">
        <f t="shared" si="50"/>
        <v xml:space="preserve"> </v>
      </c>
      <c r="G196" s="63" t="s">
        <v>56</v>
      </c>
      <c r="H196" s="61" t="str">
        <f t="shared" si="51"/>
        <v xml:space="preserve"> </v>
      </c>
      <c r="I196" s="62" t="s">
        <v>75</v>
      </c>
      <c r="J196" s="61" t="str">
        <f t="shared" si="52"/>
        <v xml:space="preserve"> </v>
      </c>
      <c r="K196" s="62" t="s">
        <v>70</v>
      </c>
      <c r="L196" s="61" t="str">
        <f t="shared" si="53"/>
        <v xml:space="preserve"> </v>
      </c>
      <c r="M196" s="63" t="s">
        <v>56</v>
      </c>
      <c r="N196" s="61" t="str">
        <f t="shared" si="48"/>
        <v xml:space="preserve"> </v>
      </c>
      <c r="O196" s="62" t="s">
        <v>72</v>
      </c>
      <c r="P196" s="64" t="str">
        <f t="shared" si="54"/>
        <v xml:space="preserve"> </v>
      </c>
      <c r="Q196" s="60" t="s">
        <v>79</v>
      </c>
      <c r="R196" s="61" t="str">
        <f t="shared" si="55"/>
        <v xml:space="preserve"> </v>
      </c>
      <c r="S196" s="62" t="s">
        <v>72</v>
      </c>
      <c r="T196" s="64" t="str">
        <f t="shared" si="56"/>
        <v xml:space="preserve"> </v>
      </c>
      <c r="U196" s="60" t="s">
        <v>59</v>
      </c>
      <c r="V196" s="61" t="str">
        <f t="shared" si="57"/>
        <v xml:space="preserve"> </v>
      </c>
      <c r="W196" s="62" t="s">
        <v>72</v>
      </c>
      <c r="X196" s="64" t="str">
        <f t="shared" si="58"/>
        <v xml:space="preserve"> </v>
      </c>
      <c r="Y196" s="62" t="s">
        <v>74</v>
      </c>
      <c r="Z196" s="64" t="str">
        <f t="shared" si="59"/>
        <v xml:space="preserve"> </v>
      </c>
      <c r="AA196" s="60">
        <v>40</v>
      </c>
      <c r="AB196" s="61" t="str">
        <f t="shared" ca="1" si="60"/>
        <v/>
      </c>
      <c r="AC196" s="62" t="s">
        <v>74</v>
      </c>
      <c r="AD196" s="61" t="str">
        <f t="shared" si="61"/>
        <v xml:space="preserve"> </v>
      </c>
      <c r="AE196" s="62" t="s">
        <v>56</v>
      </c>
      <c r="AF196" s="64" t="str">
        <f t="shared" si="62"/>
        <v xml:space="preserve"> </v>
      </c>
      <c r="AG196" s="66">
        <f>IF(OR(AND(C196&gt;=31,C196&lt;40),AND(G196&gt;=31,G196&lt;40),AND(M196&gt;=31,M196&lt;40),AND(Q196&gt;=31,Q196&lt;40),AND(U196&gt;=31,U196&lt;40),AND(AA196&gt;=31,AA196&lt;40)),IF(AND(OR(COUNTIF(C196:AF196,"=31")&gt;=1,COUNTIF(C196:AF196,"=32")&gt;=1,COUNTIF(C196:AF196,"=33")&gt;=1,COUNTIF(C196:AF196,"=34")&gt;=1,COUNTIF(C196:AF196,"=35")&gt;=1,COUNTIF(C196:AF196,"=36")&gt;=1 ),COUNTIF(C196:AF196,"")=0,COUNTIF(C196:AF196," ")=0,COUNTIF(C196:AF196,"F")=1),CONCATENATE(SUM(EXTRACTNUMBER(C196),EXTRACTNUMBER(E196),
EXTRACTNUMBER(G196),EXTRACTNUMBER(I196),
EXTRACTNUMBER(K196),EXTRACTNUMBER(M196),
EXTRACTNUMBER(O196),EXTRACTNUMBER(Q196),
EXTRACTNUMBER(S196),EXTRACTNUMBER(U196),
EXTRACTNUMBER(W196),EXTRACTNUMBER(Y196),EXTRACTNUMBER(AA196),
EXTRACTNUMBER(AC196),EXTRACTNUMBER(AE196)),"*"),IF(AND(COUNTIF(C196:AF196,"=34")&gt;=1,COUNTIF(C196:AF196,"=35")&gt;=1,COUNTIF(C196:AF196,"f")=2,COUNTIF(C196:AF196,"")=0,COUNTIF(C196:AF196," ")=0),CONCATENATE(SUM(EXTRACTNUMBER(C196),EXTRACTNUMBER(E196),
EXTRACTNUMBER(G196),EXTRACTNUMBER(I196),
EXTRACTNUMBER(K196),EXTRACTNUMBER(M196),
EXTRACTNUMBER(O196),EXTRACTNUMBER(Q196),
EXTRACTNUMBER(S196),EXTRACTNUMBER(U196),
EXTRACTNUMBER(W196),EXTRACTNUMBER(Y196),EXTRACTNUMBER(AA196),
EXTRACTNUMBER(AC196),EXTRACTNUMBER(AE196)),"*"),IF(AND(COUNTIF(C196:AF196,"=36")&gt;=2,COUNTIF(C196:AF196,"f")=2,COUNTIF(C196:AF196,"")=0,COUNTIF(C196:AF196," ")=0),CONCATENATE(SUM(EXTRACTNUMBER(C196),EXTRACTNUMBER(E196),
EXTRACTNUMBER(G196),EXTRACTNUMBER(I196),
EXTRACTNUMBER(K196),EXTRACTNUMBER(M196),
EXTRACTNUMBER(O196),EXTRACTNUMBER(Q196),
EXTRACTNUMBER(S196),EXTRACTNUMBER(U196),
EXTRACTNUMBER(W196),EXTRACTNUMBER(Y196),EXTRACTNUMBER(AA196),
EXTRACTNUMBER(AC196),EXTRACTNUMBER(AE196)),"*"),SUM(EXTRACTNUMBER(C196),EXTRACTNUMBER(E196),
EXTRACTNUMBER(G196),EXTRACTNUMBER(I196),
EXTRACTNUMBER(K196),EXTRACTNUMBER(M196),
EXTRACTNUMBER(O196),EXTRACTNUMBER(Q196),
EXTRACTNUMBER(S196),EXTRACTNUMBER(U196),
EXTRACTNUMBER(W196),EXTRACTNUMBER(Y196),EXTRACTNUMBER(AA196),
EXTRACTNUMBER(AC196),EXTRACTNUMBER(AE196))))),SUM(EXTRACTNUMBER(C196),EXTRACTNUMBER(E196),
EXTRACTNUMBER(G196),EXTRACTNUMBER(I196),
EXTRACTNUMBER(K196),EXTRACTNUMBER(M196),
EXTRACTNUMBER(O196),EXTRACTNUMBER(Q196),
EXTRACTNUMBER(S196),EXTRACTNUMBER(U196),
EXTRACTNUMBER(W196),EXTRACTNUMBER(Y196),EXTRACTNUMBER(AA196),
EXTRACTNUMBER(AC196),EXTRACTNUMBER(AE196)))</f>
        <v>497</v>
      </c>
      <c r="AH196" s="38" t="str">
        <f t="shared" ca="1" si="63"/>
        <v>PASS</v>
      </c>
      <c r="AI196" s="28" t="str">
        <f>spellnumber(EXTRACTnUMBER_TOT(AG196))</f>
        <v xml:space="preserve">Four Hundred NinetySeven </v>
      </c>
    </row>
    <row r="197" spans="1:35" ht="15" customHeight="1">
      <c r="A197" s="59">
        <v>223397</v>
      </c>
      <c r="B197" s="42" t="s">
        <v>324</v>
      </c>
      <c r="C197" s="60" t="s">
        <v>103</v>
      </c>
      <c r="D197" s="61" t="str">
        <f t="shared" si="49"/>
        <v/>
      </c>
      <c r="E197" s="62" t="s">
        <v>76</v>
      </c>
      <c r="F197" s="61" t="str">
        <f t="shared" si="50"/>
        <v xml:space="preserve"> </v>
      </c>
      <c r="G197" s="63" t="s">
        <v>103</v>
      </c>
      <c r="H197" s="61" t="str">
        <f t="shared" si="51"/>
        <v/>
      </c>
      <c r="I197" s="62" t="s">
        <v>83</v>
      </c>
      <c r="J197" s="61" t="str">
        <f t="shared" si="52"/>
        <v xml:space="preserve"> </v>
      </c>
      <c r="K197" s="62" t="s">
        <v>75</v>
      </c>
      <c r="L197" s="61" t="str">
        <f t="shared" si="53"/>
        <v xml:space="preserve"> </v>
      </c>
      <c r="M197" s="63" t="s">
        <v>56</v>
      </c>
      <c r="N197" s="61" t="str">
        <f t="shared" si="48"/>
        <v xml:space="preserve"> </v>
      </c>
      <c r="O197" s="62" t="s">
        <v>76</v>
      </c>
      <c r="P197" s="64" t="str">
        <f t="shared" si="54"/>
        <v xml:space="preserve"> </v>
      </c>
      <c r="Q197" s="60" t="s">
        <v>56</v>
      </c>
      <c r="R197" s="61" t="str">
        <f t="shared" si="55"/>
        <v xml:space="preserve"> </v>
      </c>
      <c r="S197" s="62" t="s">
        <v>83</v>
      </c>
      <c r="T197" s="64" t="str">
        <f t="shared" si="56"/>
        <v xml:space="preserve"> </v>
      </c>
      <c r="U197" s="60" t="s">
        <v>56</v>
      </c>
      <c r="V197" s="61" t="str">
        <f t="shared" si="57"/>
        <v xml:space="preserve"> </v>
      </c>
      <c r="W197" s="62" t="s">
        <v>83</v>
      </c>
      <c r="X197" s="64" t="str">
        <f t="shared" si="58"/>
        <v xml:space="preserve"> </v>
      </c>
      <c r="Y197" s="62" t="s">
        <v>75</v>
      </c>
      <c r="Z197" s="64" t="str">
        <f t="shared" si="59"/>
        <v xml:space="preserve"> </v>
      </c>
      <c r="AA197" s="60" t="s">
        <v>103</v>
      </c>
      <c r="AB197" s="61" t="str">
        <f t="shared" si="60"/>
        <v/>
      </c>
      <c r="AC197" s="62" t="s">
        <v>83</v>
      </c>
      <c r="AD197" s="61" t="str">
        <f t="shared" si="61"/>
        <v xml:space="preserve"> </v>
      </c>
      <c r="AE197" s="62" t="s">
        <v>73</v>
      </c>
      <c r="AF197" s="64" t="str">
        <f t="shared" si="62"/>
        <v xml:space="preserve"> </v>
      </c>
      <c r="AG197" s="66">
        <f>IF(OR(AND(C197&gt;=31,C197&lt;40),AND(G197&gt;=31,G197&lt;40),AND(M197&gt;=31,M197&lt;40),AND(Q197&gt;=31,Q197&lt;40),AND(U197&gt;=31,U197&lt;40),AND(AA197&gt;=31,AA197&lt;40)),IF(AND(OR(COUNTIF(C197:AF197,"=31")&gt;=1,COUNTIF(C197:AF197,"=32")&gt;=1,COUNTIF(C197:AF197,"=33")&gt;=1,COUNTIF(C197:AF197,"=34")&gt;=1,COUNTIF(C197:AF197,"=35")&gt;=1,COUNTIF(C197:AF197,"=36")&gt;=1 ),COUNTIF(C197:AF197,"")=0,COUNTIF(C197:AF197," ")=0,COUNTIF(C197:AF197,"F")=1),CONCATENATE(SUM(EXTRACTNUMBER(C197),EXTRACTNUMBER(E197),
EXTRACTNUMBER(G197),EXTRACTNUMBER(I197),
EXTRACTNUMBER(K197),EXTRACTNUMBER(M197),
EXTRACTNUMBER(O197),EXTRACTNUMBER(Q197),
EXTRACTNUMBER(S197),EXTRACTNUMBER(U197),
EXTRACTNUMBER(W197),EXTRACTNUMBER(Y197),EXTRACTNUMBER(AA197),
EXTRACTNUMBER(AC197),EXTRACTNUMBER(AE197)),"*"),IF(AND(COUNTIF(C197:AF197,"=34")&gt;=1,COUNTIF(C197:AF197,"=35")&gt;=1,COUNTIF(C197:AF197,"f")=2,COUNTIF(C197:AF197,"")=0,COUNTIF(C197:AF197," ")=0),CONCATENATE(SUM(EXTRACTNUMBER(C197),EXTRACTNUMBER(E197),
EXTRACTNUMBER(G197),EXTRACTNUMBER(I197),
EXTRACTNUMBER(K197),EXTRACTNUMBER(M197),
EXTRACTNUMBER(O197),EXTRACTNUMBER(Q197),
EXTRACTNUMBER(S197),EXTRACTNUMBER(U197),
EXTRACTNUMBER(W197),EXTRACTNUMBER(Y197),EXTRACTNUMBER(AA197),
EXTRACTNUMBER(AC197),EXTRACTNUMBER(AE197)),"*"),IF(AND(COUNTIF(C197:AF197,"=36")&gt;=2,COUNTIF(C197:AF197,"f")=2,COUNTIF(C197:AF197,"")=0,COUNTIF(C197:AF197," ")=0),CONCATENATE(SUM(EXTRACTNUMBER(C197),EXTRACTNUMBER(E197),
EXTRACTNUMBER(G197),EXTRACTNUMBER(I197),
EXTRACTNUMBER(K197),EXTRACTNUMBER(M197),
EXTRACTNUMBER(O197),EXTRACTNUMBER(Q197),
EXTRACTNUMBER(S197),EXTRACTNUMBER(U197),
EXTRACTNUMBER(W197),EXTRACTNUMBER(Y197),EXTRACTNUMBER(AA197),
EXTRACTNUMBER(AC197),EXTRACTNUMBER(AE197)),"*"),SUM(EXTRACTNUMBER(C197),EXTRACTNUMBER(E197),
EXTRACTNUMBER(G197),EXTRACTNUMBER(I197),
EXTRACTNUMBER(K197),EXTRACTNUMBER(M197),
EXTRACTNUMBER(O197),EXTRACTNUMBER(Q197),
EXTRACTNUMBER(S197),EXTRACTNUMBER(U197),
EXTRACTNUMBER(W197),EXTRACTNUMBER(Y197),EXTRACTNUMBER(AA197),
EXTRACTNUMBER(AC197),EXTRACTNUMBER(AE197))))),SUM(EXTRACTNUMBER(C197),EXTRACTNUMBER(E197),
EXTRACTNUMBER(G197),EXTRACTNUMBER(I197),
EXTRACTNUMBER(K197),EXTRACTNUMBER(M197),
EXTRACTNUMBER(O197),EXTRACTNUMBER(Q197),
EXTRACTNUMBER(S197),EXTRACTNUMBER(U197),
EXTRACTNUMBER(W197),EXTRACTNUMBER(Y197),EXTRACTNUMBER(AA197),
EXTRACTNUMBER(AC197),EXTRACTNUMBER(AE197)))</f>
        <v>251</v>
      </c>
      <c r="AH197" s="38" t="str">
        <f t="shared" si="63"/>
        <v>ABSENT</v>
      </c>
      <c r="AI197" s="28" t="str">
        <f>spellnumber(EXTRACTnUMBER_TOT(AG197))</f>
        <v xml:space="preserve">Two Hundred Fifty One </v>
      </c>
    </row>
    <row r="198" spans="1:35" ht="15" customHeight="1">
      <c r="A198" s="59">
        <v>223398</v>
      </c>
      <c r="B198" s="42" t="s">
        <v>325</v>
      </c>
      <c r="C198" s="60">
        <v>15</v>
      </c>
      <c r="D198" s="61" t="str">
        <f t="shared" ca="1" si="49"/>
        <v>F</v>
      </c>
      <c r="E198" s="62" t="s">
        <v>67</v>
      </c>
      <c r="F198" s="61" t="str">
        <f t="shared" si="50"/>
        <v xml:space="preserve"> </v>
      </c>
      <c r="G198" s="63">
        <v>22</v>
      </c>
      <c r="H198" s="61" t="str">
        <f t="shared" ca="1" si="51"/>
        <v>F</v>
      </c>
      <c r="I198" s="62" t="s">
        <v>69</v>
      </c>
      <c r="J198" s="61" t="str">
        <f t="shared" si="52"/>
        <v xml:space="preserve"> </v>
      </c>
      <c r="K198" s="62" t="s">
        <v>70</v>
      </c>
      <c r="L198" s="61" t="str">
        <f t="shared" si="53"/>
        <v xml:space="preserve"> </v>
      </c>
      <c r="M198" s="63" t="s">
        <v>56</v>
      </c>
      <c r="N198" s="61" t="str">
        <f t="shared" si="48"/>
        <v xml:space="preserve"> </v>
      </c>
      <c r="O198" s="62" t="s">
        <v>75</v>
      </c>
      <c r="P198" s="64" t="str">
        <f t="shared" si="54"/>
        <v xml:space="preserve"> </v>
      </c>
      <c r="Q198" s="60" t="s">
        <v>63</v>
      </c>
      <c r="R198" s="61" t="str">
        <f t="shared" si="55"/>
        <v xml:space="preserve"> </v>
      </c>
      <c r="S198" s="62" t="s">
        <v>72</v>
      </c>
      <c r="T198" s="64" t="str">
        <f t="shared" si="56"/>
        <v xml:space="preserve"> </v>
      </c>
      <c r="U198" s="60" t="s">
        <v>90</v>
      </c>
      <c r="V198" s="61" t="str">
        <f t="shared" si="57"/>
        <v xml:space="preserve"> </v>
      </c>
      <c r="W198" s="62" t="s">
        <v>68</v>
      </c>
      <c r="X198" s="64" t="str">
        <f t="shared" si="58"/>
        <v xml:space="preserve"> </v>
      </c>
      <c r="Y198" s="62" t="s">
        <v>69</v>
      </c>
      <c r="Z198" s="64" t="str">
        <f t="shared" si="59"/>
        <v xml:space="preserve"> </v>
      </c>
      <c r="AA198" s="60">
        <v>29</v>
      </c>
      <c r="AB198" s="61" t="str">
        <f t="shared" ca="1" si="60"/>
        <v>F</v>
      </c>
      <c r="AC198" s="62" t="s">
        <v>75</v>
      </c>
      <c r="AD198" s="61" t="str">
        <f t="shared" si="61"/>
        <v xml:space="preserve"> </v>
      </c>
      <c r="AE198" s="62" t="s">
        <v>56</v>
      </c>
      <c r="AF198" s="64" t="str">
        <f t="shared" si="62"/>
        <v xml:space="preserve"> </v>
      </c>
      <c r="AG198" s="66">
        <f>IF(OR(AND(C198&gt;=31,C198&lt;40),AND(G198&gt;=31,G198&lt;40),AND(M198&gt;=31,M198&lt;40),AND(Q198&gt;=31,Q198&lt;40),AND(U198&gt;=31,U198&lt;40),AND(AA198&gt;=31,AA198&lt;40)),IF(AND(OR(COUNTIF(C198:AF198,"=31")&gt;=1,COUNTIF(C198:AF198,"=32")&gt;=1,COUNTIF(C198:AF198,"=33")&gt;=1,COUNTIF(C198:AF198,"=34")&gt;=1,COUNTIF(C198:AF198,"=35")&gt;=1,COUNTIF(C198:AF198,"=36")&gt;=1 ),COUNTIF(C198:AF198,"")=0,COUNTIF(C198:AF198," ")=0,COUNTIF(C198:AF198,"F")=1),CONCATENATE(SUM(EXTRACTNUMBER(C198),EXTRACTNUMBER(E198),
EXTRACTNUMBER(G198),EXTRACTNUMBER(I198),
EXTRACTNUMBER(K198),EXTRACTNUMBER(M198),
EXTRACTNUMBER(O198),EXTRACTNUMBER(Q198),
EXTRACTNUMBER(S198),EXTRACTNUMBER(U198),
EXTRACTNUMBER(W198),EXTRACTNUMBER(Y198),EXTRACTNUMBER(AA198),
EXTRACTNUMBER(AC198),EXTRACTNUMBER(AE198)),"*"),IF(AND(COUNTIF(C198:AF198,"=34")&gt;=1,COUNTIF(C198:AF198,"=35")&gt;=1,COUNTIF(C198:AF198,"f")=2,COUNTIF(C198:AF198,"")=0,COUNTIF(C198:AF198," ")=0),CONCATENATE(SUM(EXTRACTNUMBER(C198),EXTRACTNUMBER(E198),
EXTRACTNUMBER(G198),EXTRACTNUMBER(I198),
EXTRACTNUMBER(K198),EXTRACTNUMBER(M198),
EXTRACTNUMBER(O198),EXTRACTNUMBER(Q198),
EXTRACTNUMBER(S198),EXTRACTNUMBER(U198),
EXTRACTNUMBER(W198),EXTRACTNUMBER(Y198),EXTRACTNUMBER(AA198),
EXTRACTNUMBER(AC198),EXTRACTNUMBER(AE198)),"*"),IF(AND(COUNTIF(C198:AF198,"=36")&gt;=2,COUNTIF(C198:AF198,"f")=2,COUNTIF(C198:AF198,"")=0,COUNTIF(C198:AF198," ")=0),CONCATENATE(SUM(EXTRACTNUMBER(C198),EXTRACTNUMBER(E198),
EXTRACTNUMBER(G198),EXTRACTNUMBER(I198),
EXTRACTNUMBER(K198),EXTRACTNUMBER(M198),
EXTRACTNUMBER(O198),EXTRACTNUMBER(Q198),
EXTRACTNUMBER(S198),EXTRACTNUMBER(U198),
EXTRACTNUMBER(W198),EXTRACTNUMBER(Y198),EXTRACTNUMBER(AA198),
EXTRACTNUMBER(AC198),EXTRACTNUMBER(AE198)),"*"),SUM(EXTRACTNUMBER(C198),EXTRACTNUMBER(E198),
EXTRACTNUMBER(G198),EXTRACTNUMBER(I198),
EXTRACTNUMBER(K198),EXTRACTNUMBER(M198),
EXTRACTNUMBER(O198),EXTRACTNUMBER(Q198),
EXTRACTNUMBER(S198),EXTRACTNUMBER(U198),
EXTRACTNUMBER(W198),EXTRACTNUMBER(Y198),EXTRACTNUMBER(AA198),
EXTRACTNUMBER(AC198),EXTRACTNUMBER(AE198))))),SUM(EXTRACTNUMBER(C198),EXTRACTNUMBER(E198),
EXTRACTNUMBER(G198),EXTRACTNUMBER(I198),
EXTRACTNUMBER(K198),EXTRACTNUMBER(M198),
EXTRACTNUMBER(O198),EXTRACTNUMBER(Q198),
EXTRACTNUMBER(S198),EXTRACTNUMBER(U198),
EXTRACTNUMBER(W198),EXTRACTNUMBER(Y198),EXTRACTNUMBER(AA198),
EXTRACTNUMBER(AC198),EXTRACTNUMBER(AE198)))</f>
        <v>390</v>
      </c>
      <c r="AH198" s="38" t="str">
        <f t="shared" ca="1" si="63"/>
        <v>FAIL</v>
      </c>
      <c r="AI198" s="28" t="str">
        <f>spellnumber(EXTRACTnUMBER_TOT(AG198))</f>
        <v xml:space="preserve">Three Hundred Ninety </v>
      </c>
    </row>
    <row r="199" spans="1:35" ht="15" customHeight="1">
      <c r="A199" s="59">
        <v>223399</v>
      </c>
      <c r="B199" s="42" t="s">
        <v>326</v>
      </c>
      <c r="C199" s="60" t="s">
        <v>65</v>
      </c>
      <c r="D199" s="61" t="str">
        <f t="shared" si="49"/>
        <v xml:space="preserve"> </v>
      </c>
      <c r="E199" s="62" t="s">
        <v>66</v>
      </c>
      <c r="F199" s="61" t="str">
        <f t="shared" si="50"/>
        <v xml:space="preserve"> </v>
      </c>
      <c r="G199" s="63" t="s">
        <v>103</v>
      </c>
      <c r="H199" s="61" t="str">
        <f t="shared" si="51"/>
        <v/>
      </c>
      <c r="I199" s="62" t="s">
        <v>69</v>
      </c>
      <c r="J199" s="61" t="str">
        <f t="shared" si="52"/>
        <v xml:space="preserve"> </v>
      </c>
      <c r="K199" s="62" t="s">
        <v>70</v>
      </c>
      <c r="L199" s="61" t="str">
        <f t="shared" si="53"/>
        <v xml:space="preserve"> </v>
      </c>
      <c r="M199" s="63" t="s">
        <v>65</v>
      </c>
      <c r="N199" s="61" t="str">
        <f t="shared" si="48"/>
        <v xml:space="preserve"> </v>
      </c>
      <c r="O199" s="62" t="s">
        <v>70</v>
      </c>
      <c r="P199" s="64" t="str">
        <f t="shared" si="54"/>
        <v xml:space="preserve"> </v>
      </c>
      <c r="Q199" s="60" t="s">
        <v>56</v>
      </c>
      <c r="R199" s="61" t="str">
        <f t="shared" si="55"/>
        <v xml:space="preserve"> </v>
      </c>
      <c r="S199" s="62" t="s">
        <v>71</v>
      </c>
      <c r="T199" s="64" t="str">
        <f t="shared" si="56"/>
        <v xml:space="preserve"> </v>
      </c>
      <c r="U199" s="60" t="s">
        <v>90</v>
      </c>
      <c r="V199" s="61" t="str">
        <f t="shared" si="57"/>
        <v xml:space="preserve"> </v>
      </c>
      <c r="W199" s="62" t="s">
        <v>69</v>
      </c>
      <c r="X199" s="64" t="str">
        <f t="shared" si="58"/>
        <v xml:space="preserve"> </v>
      </c>
      <c r="Y199" s="62" t="s">
        <v>69</v>
      </c>
      <c r="Z199" s="64" t="str">
        <f t="shared" si="59"/>
        <v xml:space="preserve"> </v>
      </c>
      <c r="AA199" s="60" t="s">
        <v>56</v>
      </c>
      <c r="AB199" s="61" t="str">
        <f t="shared" si="60"/>
        <v xml:space="preserve"> </v>
      </c>
      <c r="AC199" s="62" t="s">
        <v>70</v>
      </c>
      <c r="AD199" s="61" t="str">
        <f t="shared" si="61"/>
        <v xml:space="preserve"> </v>
      </c>
      <c r="AE199" s="62" t="s">
        <v>56</v>
      </c>
      <c r="AF199" s="64" t="str">
        <f t="shared" si="62"/>
        <v xml:space="preserve"> </v>
      </c>
      <c r="AG199" s="66">
        <f>IF(OR(AND(C199&gt;=31,C199&lt;40),AND(G199&gt;=31,G199&lt;40),AND(M199&gt;=31,M199&lt;40),AND(Q199&gt;=31,Q199&lt;40),AND(U199&gt;=31,U199&lt;40),AND(AA199&gt;=31,AA199&lt;40)),IF(AND(OR(COUNTIF(C199:AF199,"=31")&gt;=1,COUNTIF(C199:AF199,"=32")&gt;=1,COUNTIF(C199:AF199,"=33")&gt;=1,COUNTIF(C199:AF199,"=34")&gt;=1,COUNTIF(C199:AF199,"=35")&gt;=1,COUNTIF(C199:AF199,"=36")&gt;=1 ),COUNTIF(C199:AF199,"")=0,COUNTIF(C199:AF199," ")=0,COUNTIF(C199:AF199,"F")=1),CONCATENATE(SUM(EXTRACTNUMBER(C199),EXTRACTNUMBER(E199),
EXTRACTNUMBER(G199),EXTRACTNUMBER(I199),
EXTRACTNUMBER(K199),EXTRACTNUMBER(M199),
EXTRACTNUMBER(O199),EXTRACTNUMBER(Q199),
EXTRACTNUMBER(S199),EXTRACTNUMBER(U199),
EXTRACTNUMBER(W199),EXTRACTNUMBER(Y199),EXTRACTNUMBER(AA199),
EXTRACTNUMBER(AC199),EXTRACTNUMBER(AE199)),"*"),IF(AND(COUNTIF(C199:AF199,"=34")&gt;=1,COUNTIF(C199:AF199,"=35")&gt;=1,COUNTIF(C199:AF199,"f")=2,COUNTIF(C199:AF199,"")=0,COUNTIF(C199:AF199," ")=0),CONCATENATE(SUM(EXTRACTNUMBER(C199),EXTRACTNUMBER(E199),
EXTRACTNUMBER(G199),EXTRACTNUMBER(I199),
EXTRACTNUMBER(K199),EXTRACTNUMBER(M199),
EXTRACTNUMBER(O199),EXTRACTNUMBER(Q199),
EXTRACTNUMBER(S199),EXTRACTNUMBER(U199),
EXTRACTNUMBER(W199),EXTRACTNUMBER(Y199),EXTRACTNUMBER(AA199),
EXTRACTNUMBER(AC199),EXTRACTNUMBER(AE199)),"*"),IF(AND(COUNTIF(C199:AF199,"=36")&gt;=2,COUNTIF(C199:AF199,"f")=2,COUNTIF(C199:AF199,"")=0,COUNTIF(C199:AF199," ")=0),CONCATENATE(SUM(EXTRACTNUMBER(C199),EXTRACTNUMBER(E199),
EXTRACTNUMBER(G199),EXTRACTNUMBER(I199),
EXTRACTNUMBER(K199),EXTRACTNUMBER(M199),
EXTRACTNUMBER(O199),EXTRACTNUMBER(Q199),
EXTRACTNUMBER(S199),EXTRACTNUMBER(U199),
EXTRACTNUMBER(W199),EXTRACTNUMBER(Y199),EXTRACTNUMBER(AA199),
EXTRACTNUMBER(AC199),EXTRACTNUMBER(AE199)),"*"),SUM(EXTRACTNUMBER(C199),EXTRACTNUMBER(E199),
EXTRACTNUMBER(G199),EXTRACTNUMBER(I199),
EXTRACTNUMBER(K199),EXTRACTNUMBER(M199),
EXTRACTNUMBER(O199),EXTRACTNUMBER(Q199),
EXTRACTNUMBER(S199),EXTRACTNUMBER(U199),
EXTRACTNUMBER(W199),EXTRACTNUMBER(Y199),EXTRACTNUMBER(AA199),
EXTRACTNUMBER(AC199),EXTRACTNUMBER(AE199))))),SUM(EXTRACTNUMBER(C199),EXTRACTNUMBER(E199),
EXTRACTNUMBER(G199),EXTRACTNUMBER(I199),
EXTRACTNUMBER(K199),EXTRACTNUMBER(M199),
EXTRACTNUMBER(O199),EXTRACTNUMBER(Q199),
EXTRACTNUMBER(S199),EXTRACTNUMBER(U199),
EXTRACTNUMBER(W199),EXTRACTNUMBER(Y199),EXTRACTNUMBER(AA199),
EXTRACTNUMBER(AC199),EXTRACTNUMBER(AE199)))</f>
        <v>397</v>
      </c>
      <c r="AH199" s="38" t="str">
        <f t="shared" si="63"/>
        <v>ABSENT</v>
      </c>
      <c r="AI199" s="28" t="str">
        <f>spellnumber(EXTRACTnUMBER_TOT(AG199))</f>
        <v xml:space="preserve">Three Hundred NinetySeven </v>
      </c>
    </row>
    <row r="200" spans="1:35" ht="15" customHeight="1">
      <c r="A200" s="59">
        <v>223400</v>
      </c>
      <c r="B200" s="42" t="s">
        <v>52</v>
      </c>
      <c r="C200" s="60">
        <v>10</v>
      </c>
      <c r="D200" s="61" t="str">
        <f t="shared" ca="1" si="49"/>
        <v>F</v>
      </c>
      <c r="E200" s="62" t="s">
        <v>67</v>
      </c>
      <c r="F200" s="61" t="str">
        <f t="shared" si="50"/>
        <v xml:space="preserve"> </v>
      </c>
      <c r="G200" s="63" t="s">
        <v>81</v>
      </c>
      <c r="H200" s="61" t="str">
        <f t="shared" si="51"/>
        <v xml:space="preserve"> </v>
      </c>
      <c r="I200" s="62" t="s">
        <v>74</v>
      </c>
      <c r="J200" s="61" t="str">
        <f t="shared" si="52"/>
        <v xml:space="preserve"> </v>
      </c>
      <c r="K200" s="62" t="s">
        <v>68</v>
      </c>
      <c r="L200" s="61" t="str">
        <f t="shared" si="53"/>
        <v xml:space="preserve"> </v>
      </c>
      <c r="M200" s="63" t="s">
        <v>56</v>
      </c>
      <c r="N200" s="61" t="str">
        <f t="shared" si="48"/>
        <v xml:space="preserve"> </v>
      </c>
      <c r="O200" s="62" t="s">
        <v>71</v>
      </c>
      <c r="P200" s="64" t="str">
        <f t="shared" si="54"/>
        <v xml:space="preserve"> </v>
      </c>
      <c r="Q200" s="60" t="s">
        <v>80</v>
      </c>
      <c r="R200" s="61" t="str">
        <f t="shared" si="55"/>
        <v xml:space="preserve"> </v>
      </c>
      <c r="S200" s="62" t="s">
        <v>74</v>
      </c>
      <c r="T200" s="64" t="str">
        <f t="shared" si="56"/>
        <v xml:space="preserve"> </v>
      </c>
      <c r="U200" s="60" t="s">
        <v>78</v>
      </c>
      <c r="V200" s="61" t="str">
        <f t="shared" si="57"/>
        <v xml:space="preserve"> </v>
      </c>
      <c r="W200" s="62" t="s">
        <v>72</v>
      </c>
      <c r="X200" s="64" t="str">
        <f t="shared" si="58"/>
        <v xml:space="preserve"> </v>
      </c>
      <c r="Y200" s="62" t="s">
        <v>74</v>
      </c>
      <c r="Z200" s="64" t="str">
        <f t="shared" si="59"/>
        <v xml:space="preserve"> </v>
      </c>
      <c r="AA200" s="60" t="s">
        <v>61</v>
      </c>
      <c r="AB200" s="61" t="str">
        <f t="shared" si="60"/>
        <v xml:space="preserve"> </v>
      </c>
      <c r="AC200" s="62" t="s">
        <v>71</v>
      </c>
      <c r="AD200" s="61" t="str">
        <f t="shared" si="61"/>
        <v xml:space="preserve"> </v>
      </c>
      <c r="AE200" s="62" t="s">
        <v>97</v>
      </c>
      <c r="AF200" s="64" t="str">
        <f t="shared" si="62"/>
        <v xml:space="preserve"> </v>
      </c>
      <c r="AG200" s="66">
        <f>IF(OR(AND(C200&gt;=31,C200&lt;40),AND(G200&gt;=31,G200&lt;40),AND(M200&gt;=31,M200&lt;40),AND(Q200&gt;=31,Q200&lt;40),AND(U200&gt;=31,U200&lt;40),AND(AA200&gt;=31,AA200&lt;40)),IF(AND(OR(COUNTIF(C200:AF200,"=31")&gt;=1,COUNTIF(C200:AF200,"=32")&gt;=1,COUNTIF(C200:AF200,"=33")&gt;=1,COUNTIF(C200:AF200,"=34")&gt;=1,COUNTIF(C200:AF200,"=35")&gt;=1,COUNTIF(C200:AF200,"=36")&gt;=1 ),COUNTIF(C200:AF200,"")=0,COUNTIF(C200:AF200," ")=0,COUNTIF(C200:AF200,"F")=1),CONCATENATE(SUM(EXTRACTNUMBER(C200),EXTRACTNUMBER(E200),
EXTRACTNUMBER(G200),EXTRACTNUMBER(I200),
EXTRACTNUMBER(K200),EXTRACTNUMBER(M200),
EXTRACTNUMBER(O200),EXTRACTNUMBER(Q200),
EXTRACTNUMBER(S200),EXTRACTNUMBER(U200),
EXTRACTNUMBER(W200),EXTRACTNUMBER(Y200),EXTRACTNUMBER(AA200),
EXTRACTNUMBER(AC200),EXTRACTNUMBER(AE200)),"*"),IF(AND(COUNTIF(C200:AF200,"=34")&gt;=1,COUNTIF(C200:AF200,"=35")&gt;=1,COUNTIF(C200:AF200,"f")=2,COUNTIF(C200:AF200,"")=0,COUNTIF(C200:AF200," ")=0),CONCATENATE(SUM(EXTRACTNUMBER(C200),EXTRACTNUMBER(E200),
EXTRACTNUMBER(G200),EXTRACTNUMBER(I200),
EXTRACTNUMBER(K200),EXTRACTNUMBER(M200),
EXTRACTNUMBER(O200),EXTRACTNUMBER(Q200),
EXTRACTNUMBER(S200),EXTRACTNUMBER(U200),
EXTRACTNUMBER(W200),EXTRACTNUMBER(Y200),EXTRACTNUMBER(AA200),
EXTRACTNUMBER(AC200),EXTRACTNUMBER(AE200)),"*"),IF(AND(COUNTIF(C200:AF200,"=36")&gt;=2,COUNTIF(C200:AF200,"f")=2,COUNTIF(C200:AF200,"")=0,COUNTIF(C200:AF200," ")=0),CONCATENATE(SUM(EXTRACTNUMBER(C200),EXTRACTNUMBER(E200),
EXTRACTNUMBER(G200),EXTRACTNUMBER(I200),
EXTRACTNUMBER(K200),EXTRACTNUMBER(M200),
EXTRACTNUMBER(O200),EXTRACTNUMBER(Q200),
EXTRACTNUMBER(S200),EXTRACTNUMBER(U200),
EXTRACTNUMBER(W200),EXTRACTNUMBER(Y200),EXTRACTNUMBER(AA200),
EXTRACTNUMBER(AC200),EXTRACTNUMBER(AE200)),"*"),SUM(EXTRACTNUMBER(C200),EXTRACTNUMBER(E200),
EXTRACTNUMBER(G200),EXTRACTNUMBER(I200),
EXTRACTNUMBER(K200),EXTRACTNUMBER(M200),
EXTRACTNUMBER(O200),EXTRACTNUMBER(Q200),
EXTRACTNUMBER(S200),EXTRACTNUMBER(U200),
EXTRACTNUMBER(W200),EXTRACTNUMBER(Y200),EXTRACTNUMBER(AA200),
EXTRACTNUMBER(AC200),EXTRACTNUMBER(AE200))))),SUM(EXTRACTNUMBER(C200),EXTRACTNUMBER(E200),
EXTRACTNUMBER(G200),EXTRACTNUMBER(I200),
EXTRACTNUMBER(K200),EXTRACTNUMBER(M200),
EXTRACTNUMBER(O200),EXTRACTNUMBER(Q200),
EXTRACTNUMBER(S200),EXTRACTNUMBER(U200),
EXTRACTNUMBER(W200),EXTRACTNUMBER(Y200),EXTRACTNUMBER(AA200),
EXTRACTNUMBER(AC200),EXTRACTNUMBER(AE200)))</f>
        <v>432</v>
      </c>
      <c r="AH200" s="38" t="str">
        <f t="shared" ca="1" si="63"/>
        <v>FAIL</v>
      </c>
      <c r="AI200" s="28" t="str">
        <f>spellnumber(EXTRACTnUMBER_TOT(AG200))</f>
        <v xml:space="preserve">Four Hundred Thirty Two </v>
      </c>
    </row>
    <row r="201" spans="1:35" ht="15" customHeight="1">
      <c r="A201" s="59" t="s">
        <v>327</v>
      </c>
      <c r="B201" s="42" t="s">
        <v>53</v>
      </c>
      <c r="C201" s="60" t="s">
        <v>55</v>
      </c>
      <c r="D201" s="61" t="str">
        <f t="shared" si="49"/>
        <v xml:space="preserve"> </v>
      </c>
      <c r="E201" s="62" t="s">
        <v>68</v>
      </c>
      <c r="F201" s="61" t="str">
        <f t="shared" si="50"/>
        <v xml:space="preserve"> </v>
      </c>
      <c r="G201" s="63">
        <v>40</v>
      </c>
      <c r="H201" s="61" t="str">
        <f t="shared" ca="1" si="51"/>
        <v/>
      </c>
      <c r="I201" s="62" t="s">
        <v>74</v>
      </c>
      <c r="J201" s="61" t="str">
        <f t="shared" si="52"/>
        <v xml:space="preserve"> </v>
      </c>
      <c r="K201" s="62" t="s">
        <v>72</v>
      </c>
      <c r="L201" s="61" t="str">
        <f t="shared" si="53"/>
        <v xml:space="preserve"> </v>
      </c>
      <c r="M201" s="63" t="s">
        <v>63</v>
      </c>
      <c r="N201" s="61" t="str">
        <f t="shared" si="48"/>
        <v xml:space="preserve"> </v>
      </c>
      <c r="O201" s="62" t="s">
        <v>74</v>
      </c>
      <c r="P201" s="64" t="str">
        <f t="shared" si="54"/>
        <v xml:space="preserve"> </v>
      </c>
      <c r="Q201" s="60" t="s">
        <v>92</v>
      </c>
      <c r="R201" s="61" t="str">
        <f t="shared" si="55"/>
        <v xml:space="preserve"> </v>
      </c>
      <c r="S201" s="62" t="s">
        <v>72</v>
      </c>
      <c r="T201" s="64" t="str">
        <f t="shared" si="56"/>
        <v xml:space="preserve"> </v>
      </c>
      <c r="U201" s="60" t="s">
        <v>62</v>
      </c>
      <c r="V201" s="61" t="str">
        <f t="shared" si="57"/>
        <v xml:space="preserve"> </v>
      </c>
      <c r="W201" s="62" t="s">
        <v>70</v>
      </c>
      <c r="X201" s="64" t="str">
        <f t="shared" si="58"/>
        <v xml:space="preserve"> </v>
      </c>
      <c r="Y201" s="62" t="s">
        <v>70</v>
      </c>
      <c r="Z201" s="64" t="str">
        <f t="shared" si="59"/>
        <v xml:space="preserve"> </v>
      </c>
      <c r="AA201" s="60" t="s">
        <v>65</v>
      </c>
      <c r="AB201" s="61" t="str">
        <f t="shared" si="60"/>
        <v xml:space="preserve"> </v>
      </c>
      <c r="AC201" s="62" t="s">
        <v>72</v>
      </c>
      <c r="AD201" s="61" t="str">
        <f t="shared" si="61"/>
        <v xml:space="preserve"> </v>
      </c>
      <c r="AE201" s="62" t="s">
        <v>56</v>
      </c>
      <c r="AF201" s="64" t="str">
        <f t="shared" si="62"/>
        <v xml:space="preserve"> </v>
      </c>
      <c r="AG201" s="66">
        <f>IF(OR(AND(C201&gt;=31,C201&lt;40),AND(G201&gt;=31,G201&lt;40),AND(M201&gt;=31,M201&lt;40),AND(Q201&gt;=31,Q201&lt;40),AND(U201&gt;=31,U201&lt;40),AND(AA201&gt;=31,AA201&lt;40)),IF(AND(OR(COUNTIF(C201:AF201,"=31")&gt;=1,COUNTIF(C201:AF201,"=32")&gt;=1,COUNTIF(C201:AF201,"=33")&gt;=1,COUNTIF(C201:AF201,"=34")&gt;=1,COUNTIF(C201:AF201,"=35")&gt;=1,COUNTIF(C201:AF201,"=36")&gt;=1 ),COUNTIF(C201:AF201,"")=0,COUNTIF(C201:AF201," ")=0,COUNTIF(C201:AF201,"F")=1),CONCATENATE(SUM(EXTRACTNUMBER(C201),EXTRACTNUMBER(E201),
EXTRACTNUMBER(G201),EXTRACTNUMBER(I201),
EXTRACTNUMBER(K201),EXTRACTNUMBER(M201),
EXTRACTNUMBER(O201),EXTRACTNUMBER(Q201),
EXTRACTNUMBER(S201),EXTRACTNUMBER(U201),
EXTRACTNUMBER(W201),EXTRACTNUMBER(Y201),EXTRACTNUMBER(AA201),
EXTRACTNUMBER(AC201),EXTRACTNUMBER(AE201)),"*"),IF(AND(COUNTIF(C201:AF201,"=34")&gt;=1,COUNTIF(C201:AF201,"=35")&gt;=1,COUNTIF(C201:AF201,"f")=2,COUNTIF(C201:AF201,"")=0,COUNTIF(C201:AF201," ")=0),CONCATENATE(SUM(EXTRACTNUMBER(C201),EXTRACTNUMBER(E201),
EXTRACTNUMBER(G201),EXTRACTNUMBER(I201),
EXTRACTNUMBER(K201),EXTRACTNUMBER(M201),
EXTRACTNUMBER(O201),EXTRACTNUMBER(Q201),
EXTRACTNUMBER(S201),EXTRACTNUMBER(U201),
EXTRACTNUMBER(W201),EXTRACTNUMBER(Y201),EXTRACTNUMBER(AA201),
EXTRACTNUMBER(AC201),EXTRACTNUMBER(AE201)),"*"),IF(AND(COUNTIF(C201:AF201,"=36")&gt;=2,COUNTIF(C201:AF201,"f")=2,COUNTIF(C201:AF201,"")=0,COUNTIF(C201:AF201," ")=0),CONCATENATE(SUM(EXTRACTNUMBER(C201),EXTRACTNUMBER(E201),
EXTRACTNUMBER(G201),EXTRACTNUMBER(I201),
EXTRACTNUMBER(K201),EXTRACTNUMBER(M201),
EXTRACTNUMBER(O201),EXTRACTNUMBER(Q201),
EXTRACTNUMBER(S201),EXTRACTNUMBER(U201),
EXTRACTNUMBER(W201),EXTRACTNUMBER(Y201),EXTRACTNUMBER(AA201),
EXTRACTNUMBER(AC201),EXTRACTNUMBER(AE201)),"*"),SUM(EXTRACTNUMBER(C201),EXTRACTNUMBER(E201),
EXTRACTNUMBER(G201),EXTRACTNUMBER(I201),
EXTRACTNUMBER(K201),EXTRACTNUMBER(M201),
EXTRACTNUMBER(O201),EXTRACTNUMBER(Q201),
EXTRACTNUMBER(S201),EXTRACTNUMBER(U201),
EXTRACTNUMBER(W201),EXTRACTNUMBER(Y201),EXTRACTNUMBER(AA201),
EXTRACTNUMBER(AC201),EXTRACTNUMBER(AE201))))),SUM(EXTRACTNUMBER(C201),EXTRACTNUMBER(E201),
EXTRACTNUMBER(G201),EXTRACTNUMBER(I201),
EXTRACTNUMBER(K201),EXTRACTNUMBER(M201),
EXTRACTNUMBER(O201),EXTRACTNUMBER(Q201),
EXTRACTNUMBER(S201),EXTRACTNUMBER(U201),
EXTRACTNUMBER(W201),EXTRACTNUMBER(Y201),EXTRACTNUMBER(AA201),
EXTRACTNUMBER(AC201),EXTRACTNUMBER(AE201)))</f>
        <v>479</v>
      </c>
      <c r="AH201" s="38" t="str">
        <f t="shared" ca="1" si="63"/>
        <v>PASS</v>
      </c>
      <c r="AI201" s="28" t="str">
        <f>spellnumber(EXTRACTnUMBER_TOT(AG201))</f>
        <v xml:space="preserve">Four Hundred Seventy Nine </v>
      </c>
    </row>
    <row r="202" spans="1:35" ht="15" customHeight="1">
      <c r="A202" s="59" t="s">
        <v>328</v>
      </c>
      <c r="B202" s="42" t="s">
        <v>329</v>
      </c>
      <c r="C202" s="60" t="s">
        <v>103</v>
      </c>
      <c r="D202" s="61" t="str">
        <f t="shared" si="49"/>
        <v/>
      </c>
      <c r="E202" s="62" t="s">
        <v>66</v>
      </c>
      <c r="F202" s="61" t="str">
        <f t="shared" si="50"/>
        <v xml:space="preserve"> </v>
      </c>
      <c r="G202" s="63" t="s">
        <v>103</v>
      </c>
      <c r="H202" s="61" t="str">
        <f t="shared" si="51"/>
        <v/>
      </c>
      <c r="I202" s="62" t="s">
        <v>74</v>
      </c>
      <c r="J202" s="61" t="str">
        <f t="shared" si="52"/>
        <v xml:space="preserve"> </v>
      </c>
      <c r="K202" s="62" t="s">
        <v>72</v>
      </c>
      <c r="L202" s="61" t="str">
        <f t="shared" si="53"/>
        <v xml:space="preserve"> </v>
      </c>
      <c r="M202" s="63" t="s">
        <v>61</v>
      </c>
      <c r="N202" s="61" t="str">
        <f t="shared" si="48"/>
        <v xml:space="preserve"> </v>
      </c>
      <c r="O202" s="62" t="s">
        <v>66</v>
      </c>
      <c r="P202" s="64" t="str">
        <f t="shared" si="54"/>
        <v xml:space="preserve"> </v>
      </c>
      <c r="Q202" s="60" t="s">
        <v>103</v>
      </c>
      <c r="R202" s="61" t="str">
        <f t="shared" si="55"/>
        <v/>
      </c>
      <c r="S202" s="62" t="s">
        <v>71</v>
      </c>
      <c r="T202" s="64" t="str">
        <f t="shared" si="56"/>
        <v xml:space="preserve"> </v>
      </c>
      <c r="U202" s="60" t="s">
        <v>103</v>
      </c>
      <c r="V202" s="61" t="str">
        <f t="shared" si="57"/>
        <v/>
      </c>
      <c r="W202" s="62" t="s">
        <v>70</v>
      </c>
      <c r="X202" s="64" t="str">
        <f t="shared" si="58"/>
        <v xml:space="preserve"> </v>
      </c>
      <c r="Y202" s="62" t="s">
        <v>74</v>
      </c>
      <c r="Z202" s="64" t="str">
        <f t="shared" si="59"/>
        <v xml:space="preserve"> </v>
      </c>
      <c r="AA202" s="60" t="s">
        <v>64</v>
      </c>
      <c r="AB202" s="61" t="str">
        <f t="shared" si="60"/>
        <v xml:space="preserve"> </v>
      </c>
      <c r="AC202" s="62" t="s">
        <v>74</v>
      </c>
      <c r="AD202" s="61" t="str">
        <f t="shared" si="61"/>
        <v xml:space="preserve"> </v>
      </c>
      <c r="AE202" s="62" t="s">
        <v>101</v>
      </c>
      <c r="AF202" s="64" t="str">
        <f t="shared" si="62"/>
        <v xml:space="preserve"> </v>
      </c>
      <c r="AG202" s="66">
        <f>IF(OR(AND(C202&gt;=31,C202&lt;40),AND(G202&gt;=31,G202&lt;40),AND(M202&gt;=31,M202&lt;40),AND(Q202&gt;=31,Q202&lt;40),AND(U202&gt;=31,U202&lt;40),AND(AA202&gt;=31,AA202&lt;40)),IF(AND(OR(COUNTIF(C202:AF202,"=31")&gt;=1,COUNTIF(C202:AF202,"=32")&gt;=1,COUNTIF(C202:AF202,"=33")&gt;=1,COUNTIF(C202:AF202,"=34")&gt;=1,COUNTIF(C202:AF202,"=35")&gt;=1,COUNTIF(C202:AF202,"=36")&gt;=1 ),COUNTIF(C202:AF202,"")=0,COUNTIF(C202:AF202," ")=0,COUNTIF(C202:AF202,"F")=1),CONCATENATE(SUM(EXTRACTNUMBER(C202),EXTRACTNUMBER(E202),
EXTRACTNUMBER(G202),EXTRACTNUMBER(I202),
EXTRACTNUMBER(K202),EXTRACTNUMBER(M202),
EXTRACTNUMBER(O202),EXTRACTNUMBER(Q202),
EXTRACTNUMBER(S202),EXTRACTNUMBER(U202),
EXTRACTNUMBER(W202),EXTRACTNUMBER(Y202),EXTRACTNUMBER(AA202),
EXTRACTNUMBER(AC202),EXTRACTNUMBER(AE202)),"*"),IF(AND(COUNTIF(C202:AF202,"=34")&gt;=1,COUNTIF(C202:AF202,"=35")&gt;=1,COUNTIF(C202:AF202,"f")=2,COUNTIF(C202:AF202,"")=0,COUNTIF(C202:AF202," ")=0),CONCATENATE(SUM(EXTRACTNUMBER(C202),EXTRACTNUMBER(E202),
EXTRACTNUMBER(G202),EXTRACTNUMBER(I202),
EXTRACTNUMBER(K202),EXTRACTNUMBER(M202),
EXTRACTNUMBER(O202),EXTRACTNUMBER(Q202),
EXTRACTNUMBER(S202),EXTRACTNUMBER(U202),
EXTRACTNUMBER(W202),EXTRACTNUMBER(Y202),EXTRACTNUMBER(AA202),
EXTRACTNUMBER(AC202),EXTRACTNUMBER(AE202)),"*"),IF(AND(COUNTIF(C202:AF202,"=36")&gt;=2,COUNTIF(C202:AF202,"f")=2,COUNTIF(C202:AF202,"")=0,COUNTIF(C202:AF202," ")=0),CONCATENATE(SUM(EXTRACTNUMBER(C202),EXTRACTNUMBER(E202),
EXTRACTNUMBER(G202),EXTRACTNUMBER(I202),
EXTRACTNUMBER(K202),EXTRACTNUMBER(M202),
EXTRACTNUMBER(O202),EXTRACTNUMBER(Q202),
EXTRACTNUMBER(S202),EXTRACTNUMBER(U202),
EXTRACTNUMBER(W202),EXTRACTNUMBER(Y202),EXTRACTNUMBER(AA202),
EXTRACTNUMBER(AC202),EXTRACTNUMBER(AE202)),"*"),SUM(EXTRACTNUMBER(C202),EXTRACTNUMBER(E202),
EXTRACTNUMBER(G202),EXTRACTNUMBER(I202),
EXTRACTNUMBER(K202),EXTRACTNUMBER(M202),
EXTRACTNUMBER(O202),EXTRACTNUMBER(Q202),
EXTRACTNUMBER(S202),EXTRACTNUMBER(U202),
EXTRACTNUMBER(W202),EXTRACTNUMBER(Y202),EXTRACTNUMBER(AA202),
EXTRACTNUMBER(AC202),EXTRACTNUMBER(AE202))))),SUM(EXTRACTNUMBER(C202),EXTRACTNUMBER(E202),
EXTRACTNUMBER(G202),EXTRACTNUMBER(I202),
EXTRACTNUMBER(K202),EXTRACTNUMBER(M202),
EXTRACTNUMBER(O202),EXTRACTNUMBER(Q202),
EXTRACTNUMBER(S202),EXTRACTNUMBER(U202),
EXTRACTNUMBER(W202),EXTRACTNUMBER(Y202),EXTRACTNUMBER(AA202),
EXTRACTNUMBER(AC202),EXTRACTNUMBER(AE202)))</f>
        <v>275</v>
      </c>
      <c r="AH202" s="38" t="str">
        <f t="shared" si="63"/>
        <v>ABSENT</v>
      </c>
      <c r="AI202" s="28" t="str">
        <f>spellnumber(EXTRACTnUMBER_TOT(AG202))</f>
        <v xml:space="preserve">Two Hundred Seventy Five </v>
      </c>
    </row>
    <row r="203" spans="1:35" ht="15" customHeight="1">
      <c r="A203" s="59" t="s">
        <v>330</v>
      </c>
      <c r="B203" s="42" t="s">
        <v>331</v>
      </c>
      <c r="C203" s="60">
        <v>18</v>
      </c>
      <c r="D203" s="61" t="str">
        <f t="shared" ca="1" si="49"/>
        <v>F</v>
      </c>
      <c r="E203" s="62" t="s">
        <v>67</v>
      </c>
      <c r="F203" s="61" t="str">
        <f t="shared" si="50"/>
        <v xml:space="preserve"> </v>
      </c>
      <c r="G203" s="63" t="s">
        <v>65</v>
      </c>
      <c r="H203" s="61" t="str">
        <f t="shared" si="51"/>
        <v xml:space="preserve"> </v>
      </c>
      <c r="I203" s="62" t="s">
        <v>74</v>
      </c>
      <c r="J203" s="61" t="str">
        <f t="shared" si="52"/>
        <v xml:space="preserve"> </v>
      </c>
      <c r="K203" s="62" t="s">
        <v>72</v>
      </c>
      <c r="L203" s="61" t="str">
        <f t="shared" si="53"/>
        <v xml:space="preserve"> </v>
      </c>
      <c r="M203" s="63" t="s">
        <v>58</v>
      </c>
      <c r="N203" s="61" t="str">
        <f t="shared" si="48"/>
        <v xml:space="preserve"> </v>
      </c>
      <c r="O203" s="62" t="s">
        <v>73</v>
      </c>
      <c r="P203" s="64" t="str">
        <f t="shared" si="54"/>
        <v xml:space="preserve"> </v>
      </c>
      <c r="Q203" s="60" t="s">
        <v>93</v>
      </c>
      <c r="R203" s="61" t="str">
        <f t="shared" si="55"/>
        <v xml:space="preserve"> </v>
      </c>
      <c r="S203" s="62" t="s">
        <v>75</v>
      </c>
      <c r="T203" s="64" t="str">
        <f t="shared" si="56"/>
        <v xml:space="preserve"> </v>
      </c>
      <c r="U203" s="60" t="s">
        <v>89</v>
      </c>
      <c r="V203" s="61" t="str">
        <f t="shared" si="57"/>
        <v xml:space="preserve"> </v>
      </c>
      <c r="W203" s="62" t="s">
        <v>71</v>
      </c>
      <c r="X203" s="64" t="str">
        <f t="shared" si="58"/>
        <v xml:space="preserve"> </v>
      </c>
      <c r="Y203" s="62" t="s">
        <v>71</v>
      </c>
      <c r="Z203" s="64" t="str">
        <f t="shared" si="59"/>
        <v xml:space="preserve"> </v>
      </c>
      <c r="AA203" s="60" t="s">
        <v>80</v>
      </c>
      <c r="AB203" s="61" t="str">
        <f t="shared" si="60"/>
        <v xml:space="preserve"> </v>
      </c>
      <c r="AC203" s="62" t="s">
        <v>73</v>
      </c>
      <c r="AD203" s="61" t="str">
        <f t="shared" si="61"/>
        <v xml:space="preserve"> </v>
      </c>
      <c r="AE203" s="62" t="s">
        <v>56</v>
      </c>
      <c r="AF203" s="64" t="str">
        <f t="shared" si="62"/>
        <v xml:space="preserve"> </v>
      </c>
      <c r="AG203" s="66">
        <f>IF(OR(AND(C203&gt;=31,C203&lt;40),AND(G203&gt;=31,G203&lt;40),AND(M203&gt;=31,M203&lt;40),AND(Q203&gt;=31,Q203&lt;40),AND(U203&gt;=31,U203&lt;40),AND(AA203&gt;=31,AA203&lt;40)),IF(AND(OR(COUNTIF(C203:AF203,"=31")&gt;=1,COUNTIF(C203:AF203,"=32")&gt;=1,COUNTIF(C203:AF203,"=33")&gt;=1,COUNTIF(C203:AF203,"=34")&gt;=1,COUNTIF(C203:AF203,"=35")&gt;=1,COUNTIF(C203:AF203,"=36")&gt;=1 ),COUNTIF(C203:AF203,"")=0,COUNTIF(C203:AF203," ")=0,COUNTIF(C203:AF203,"F")=1),CONCATENATE(SUM(EXTRACTNUMBER(C203),EXTRACTNUMBER(E203),
EXTRACTNUMBER(G203),EXTRACTNUMBER(I203),
EXTRACTNUMBER(K203),EXTRACTNUMBER(M203),
EXTRACTNUMBER(O203),EXTRACTNUMBER(Q203),
EXTRACTNUMBER(S203),EXTRACTNUMBER(U203),
EXTRACTNUMBER(W203),EXTRACTNUMBER(Y203),EXTRACTNUMBER(AA203),
EXTRACTNUMBER(AC203),EXTRACTNUMBER(AE203)),"*"),IF(AND(COUNTIF(C203:AF203,"=34")&gt;=1,COUNTIF(C203:AF203,"=35")&gt;=1,COUNTIF(C203:AF203,"f")=2,COUNTIF(C203:AF203,"")=0,COUNTIF(C203:AF203," ")=0),CONCATENATE(SUM(EXTRACTNUMBER(C203),EXTRACTNUMBER(E203),
EXTRACTNUMBER(G203),EXTRACTNUMBER(I203),
EXTRACTNUMBER(K203),EXTRACTNUMBER(M203),
EXTRACTNUMBER(O203),EXTRACTNUMBER(Q203),
EXTRACTNUMBER(S203),EXTRACTNUMBER(U203),
EXTRACTNUMBER(W203),EXTRACTNUMBER(Y203),EXTRACTNUMBER(AA203),
EXTRACTNUMBER(AC203),EXTRACTNUMBER(AE203)),"*"),IF(AND(COUNTIF(C203:AF203,"=36")&gt;=2,COUNTIF(C203:AF203,"f")=2,COUNTIF(C203:AF203,"")=0,COUNTIF(C203:AF203," ")=0),CONCATENATE(SUM(EXTRACTNUMBER(C203),EXTRACTNUMBER(E203),
EXTRACTNUMBER(G203),EXTRACTNUMBER(I203),
EXTRACTNUMBER(K203),EXTRACTNUMBER(M203),
EXTRACTNUMBER(O203),EXTRACTNUMBER(Q203),
EXTRACTNUMBER(S203),EXTRACTNUMBER(U203),
EXTRACTNUMBER(W203),EXTRACTNUMBER(Y203),EXTRACTNUMBER(AA203),
EXTRACTNUMBER(AC203),EXTRACTNUMBER(AE203)),"*"),SUM(EXTRACTNUMBER(C203),EXTRACTNUMBER(E203),
EXTRACTNUMBER(G203),EXTRACTNUMBER(I203),
EXTRACTNUMBER(K203),EXTRACTNUMBER(M203),
EXTRACTNUMBER(O203),EXTRACTNUMBER(Q203),
EXTRACTNUMBER(S203),EXTRACTNUMBER(U203),
EXTRACTNUMBER(W203),EXTRACTNUMBER(Y203),EXTRACTNUMBER(AA203),
EXTRACTNUMBER(AC203),EXTRACTNUMBER(AE203))))),SUM(EXTRACTNUMBER(C203),EXTRACTNUMBER(E203),
EXTRACTNUMBER(G203),EXTRACTNUMBER(I203),
EXTRACTNUMBER(K203),EXTRACTNUMBER(M203),
EXTRACTNUMBER(O203),EXTRACTNUMBER(Q203),
EXTRACTNUMBER(S203),EXTRACTNUMBER(U203),
EXTRACTNUMBER(W203),EXTRACTNUMBER(Y203),EXTRACTNUMBER(AA203),
EXTRACTNUMBER(AC203),EXTRACTNUMBER(AE203)))</f>
        <v>474</v>
      </c>
      <c r="AH203" s="38" t="str">
        <f t="shared" ca="1" si="63"/>
        <v>FAIL</v>
      </c>
      <c r="AI203" s="28" t="str">
        <f>spellnumber(EXTRACTnUMBER_TOT(AG203))</f>
        <v xml:space="preserve">Four Hundred Seventy Four </v>
      </c>
    </row>
    <row r="204" spans="1:35" ht="15" customHeight="1">
      <c r="A204" s="59" t="s">
        <v>332</v>
      </c>
      <c r="B204" s="42" t="s">
        <v>333</v>
      </c>
      <c r="C204" s="60" t="s">
        <v>103</v>
      </c>
      <c r="D204" s="61" t="str">
        <f t="shared" si="49"/>
        <v/>
      </c>
      <c r="E204" s="62" t="s">
        <v>103</v>
      </c>
      <c r="F204" s="61" t="str">
        <f t="shared" si="50"/>
        <v/>
      </c>
      <c r="G204" s="63" t="s">
        <v>103</v>
      </c>
      <c r="H204" s="61" t="str">
        <f t="shared" si="51"/>
        <v/>
      </c>
      <c r="I204" s="62" t="s">
        <v>103</v>
      </c>
      <c r="J204" s="61" t="str">
        <f t="shared" si="52"/>
        <v/>
      </c>
      <c r="K204" s="62" t="s">
        <v>103</v>
      </c>
      <c r="L204" s="61" t="str">
        <f t="shared" si="53"/>
        <v/>
      </c>
      <c r="M204" s="63" t="s">
        <v>103</v>
      </c>
      <c r="N204" s="61" t="str">
        <f t="shared" si="48"/>
        <v/>
      </c>
      <c r="O204" s="62" t="s">
        <v>103</v>
      </c>
      <c r="P204" s="64" t="str">
        <f t="shared" si="54"/>
        <v/>
      </c>
      <c r="Q204" s="60" t="s">
        <v>103</v>
      </c>
      <c r="R204" s="61" t="str">
        <f t="shared" si="55"/>
        <v/>
      </c>
      <c r="S204" s="62" t="s">
        <v>103</v>
      </c>
      <c r="T204" s="64" t="str">
        <f t="shared" si="56"/>
        <v/>
      </c>
      <c r="U204" s="60" t="s">
        <v>103</v>
      </c>
      <c r="V204" s="61" t="str">
        <f t="shared" si="57"/>
        <v/>
      </c>
      <c r="W204" s="62" t="s">
        <v>103</v>
      </c>
      <c r="X204" s="64" t="str">
        <f t="shared" si="58"/>
        <v/>
      </c>
      <c r="Y204" s="62" t="s">
        <v>103</v>
      </c>
      <c r="Z204" s="64" t="str">
        <f t="shared" si="59"/>
        <v/>
      </c>
      <c r="AA204" s="60" t="s">
        <v>103</v>
      </c>
      <c r="AB204" s="61" t="str">
        <f t="shared" si="60"/>
        <v/>
      </c>
      <c r="AC204" s="62" t="s">
        <v>103</v>
      </c>
      <c r="AD204" s="61" t="str">
        <f t="shared" si="61"/>
        <v/>
      </c>
      <c r="AE204" s="62" t="s">
        <v>103</v>
      </c>
      <c r="AF204" s="64" t="str">
        <f t="shared" si="62"/>
        <v/>
      </c>
      <c r="AG204" s="66" t="s">
        <v>452</v>
      </c>
      <c r="AH204" s="38" t="str">
        <f t="shared" si="63"/>
        <v>ABSENT</v>
      </c>
      <c r="AI204" s="28" t="str">
        <f>spellnumber(EXTRACTnUMBER_TOT(AG204))</f>
        <v xml:space="preserve"> </v>
      </c>
    </row>
    <row r="205" spans="1:35" ht="15" customHeight="1">
      <c r="A205" s="59" t="s">
        <v>334</v>
      </c>
      <c r="B205" s="42" t="s">
        <v>335</v>
      </c>
      <c r="C205" s="60" t="s">
        <v>457</v>
      </c>
      <c r="D205" s="61" t="str">
        <f t="shared" ca="1" si="49"/>
        <v>F</v>
      </c>
      <c r="E205" s="62">
        <v>10</v>
      </c>
      <c r="F205" s="61" t="str">
        <f t="shared" ca="1" si="50"/>
        <v>E</v>
      </c>
      <c r="G205" s="63" t="s">
        <v>454</v>
      </c>
      <c r="H205" s="61" t="str">
        <f t="shared" ca="1" si="51"/>
        <v>F</v>
      </c>
      <c r="I205" s="62">
        <v>14</v>
      </c>
      <c r="J205" s="61" t="str">
        <f t="shared" ca="1" si="52"/>
        <v>E</v>
      </c>
      <c r="K205" s="62" t="s">
        <v>103</v>
      </c>
      <c r="L205" s="61" t="str">
        <f t="shared" si="53"/>
        <v/>
      </c>
      <c r="M205" s="63" t="s">
        <v>103</v>
      </c>
      <c r="N205" s="61" t="str">
        <f t="shared" si="48"/>
        <v/>
      </c>
      <c r="O205" s="62">
        <v>12</v>
      </c>
      <c r="P205" s="64" t="str">
        <f t="shared" ca="1" si="54"/>
        <v>E</v>
      </c>
      <c r="Q205" s="60" t="s">
        <v>103</v>
      </c>
      <c r="R205" s="61" t="str">
        <f t="shared" si="55"/>
        <v/>
      </c>
      <c r="S205" s="62">
        <v>12</v>
      </c>
      <c r="T205" s="64" t="str">
        <f t="shared" ca="1" si="56"/>
        <v>E</v>
      </c>
      <c r="U205" s="60" t="s">
        <v>103</v>
      </c>
      <c r="V205" s="61" t="str">
        <f t="shared" si="57"/>
        <v/>
      </c>
      <c r="W205" s="62">
        <v>12</v>
      </c>
      <c r="X205" s="64" t="str">
        <f t="shared" ca="1" si="58"/>
        <v>E</v>
      </c>
      <c r="Y205" s="62" t="s">
        <v>103</v>
      </c>
      <c r="Z205" s="64" t="str">
        <f t="shared" si="59"/>
        <v/>
      </c>
      <c r="AA205" s="60" t="s">
        <v>103</v>
      </c>
      <c r="AB205" s="61" t="str">
        <f t="shared" si="60"/>
        <v/>
      </c>
      <c r="AC205" s="62">
        <v>12</v>
      </c>
      <c r="AD205" s="61" t="str">
        <f t="shared" ca="1" si="61"/>
        <v>E</v>
      </c>
      <c r="AE205" s="62">
        <v>30</v>
      </c>
      <c r="AF205" s="64" t="str">
        <f t="shared" ca="1" si="62"/>
        <v>E</v>
      </c>
      <c r="AG205" s="66">
        <f>IF(OR(AND(C205&gt;=31,C205&lt;40),AND(G205&gt;=31,G205&lt;40),AND(M205&gt;=31,M205&lt;40),AND(Q205&gt;=31,Q205&lt;40),AND(U205&gt;=31,U205&lt;40),AND(AA205&gt;=31,AA205&lt;40)),IF(AND(OR(COUNTIF(C205:AF205,"=31")&gt;=1,COUNTIF(C205:AF205,"=32")&gt;=1,COUNTIF(C205:AF205,"=33")&gt;=1,COUNTIF(C205:AF205,"=34")&gt;=1,COUNTIF(C205:AF205,"=35")&gt;=1,COUNTIF(C205:AF205,"=36")&gt;=1 ),COUNTIF(C205:AF205,"")=0,COUNTIF(C205:AF205," ")=0,COUNTIF(C205:AF205,"F")=1),CONCATENATE(SUM(EXTRACTNUMBER(C205),EXTRACTNUMBER(E205),
EXTRACTNUMBER(G205),EXTRACTNUMBER(I205),
EXTRACTNUMBER(K205),EXTRACTNUMBER(M205),
EXTRACTNUMBER(O205),EXTRACTNUMBER(Q205),
EXTRACTNUMBER(S205),EXTRACTNUMBER(U205),
EXTRACTNUMBER(W205),EXTRACTNUMBER(Y205),EXTRACTNUMBER(AA205),
EXTRACTNUMBER(AC205),EXTRACTNUMBER(AE205)),"*"),IF(AND(COUNTIF(C205:AF205,"=34")&gt;=1,COUNTIF(C205:AF205,"=35")&gt;=1,COUNTIF(C205:AF205,"f")=2,COUNTIF(C205:AF205,"")=0,COUNTIF(C205:AF205," ")=0),CONCATENATE(SUM(EXTRACTNUMBER(C205),EXTRACTNUMBER(E205),
EXTRACTNUMBER(G205),EXTRACTNUMBER(I205),
EXTRACTNUMBER(K205),EXTRACTNUMBER(M205),
EXTRACTNUMBER(O205),EXTRACTNUMBER(Q205),
EXTRACTNUMBER(S205),EXTRACTNUMBER(U205),
EXTRACTNUMBER(W205),EXTRACTNUMBER(Y205),EXTRACTNUMBER(AA205),
EXTRACTNUMBER(AC205),EXTRACTNUMBER(AE205)),"*"),IF(AND(COUNTIF(C205:AF205,"=36")&gt;=2,COUNTIF(C205:AF205,"f")=2,COUNTIF(C205:AF205,"")=0,COUNTIF(C205:AF205," ")=0),CONCATENATE(SUM(EXTRACTNUMBER(C205),EXTRACTNUMBER(E205),
EXTRACTNUMBER(G205),EXTRACTNUMBER(I205),
EXTRACTNUMBER(K205),EXTRACTNUMBER(M205),
EXTRACTNUMBER(O205),EXTRACTNUMBER(Q205),
EXTRACTNUMBER(S205),EXTRACTNUMBER(U205),
EXTRACTNUMBER(W205),EXTRACTNUMBER(Y205),EXTRACTNUMBER(AA205),
EXTRACTNUMBER(AC205),EXTRACTNUMBER(AE205)),"*"),SUM(EXTRACTNUMBER(C205),EXTRACTNUMBER(E205),
EXTRACTNUMBER(G205),EXTRACTNUMBER(I205),
EXTRACTNUMBER(K205),EXTRACTNUMBER(M205),
EXTRACTNUMBER(O205),EXTRACTNUMBER(Q205),
EXTRACTNUMBER(S205),EXTRACTNUMBER(U205),
EXTRACTNUMBER(W205),EXTRACTNUMBER(Y205),EXTRACTNUMBER(AA205),
EXTRACTNUMBER(AC205),EXTRACTNUMBER(AE205))))),SUM(EXTRACTNUMBER(C205),EXTRACTNUMBER(E205),
EXTRACTNUMBER(G205),EXTRACTNUMBER(I205),
EXTRACTNUMBER(K205),EXTRACTNUMBER(M205),
EXTRACTNUMBER(O205),EXTRACTNUMBER(Q205),
EXTRACTNUMBER(S205),EXTRACTNUMBER(U205),
EXTRACTNUMBER(W205),EXTRACTNUMBER(Y205),EXTRACTNUMBER(AA205),
EXTRACTNUMBER(AC205),EXTRACTNUMBER(AE205)))</f>
        <v>111</v>
      </c>
      <c r="AH205" s="38" t="str">
        <f t="shared" ca="1" si="63"/>
        <v>FAIL</v>
      </c>
      <c r="AI205" s="28" t="str">
        <f>spellnumber(EXTRACTnUMBER_TOT(AG205))</f>
        <v xml:space="preserve">One Hundred Eleven </v>
      </c>
    </row>
    <row r="206" spans="1:35" ht="15" customHeight="1">
      <c r="A206" s="59" t="s">
        <v>336</v>
      </c>
      <c r="B206" s="42" t="s">
        <v>337</v>
      </c>
      <c r="C206" s="60">
        <v>10</v>
      </c>
      <c r="D206" s="61" t="str">
        <f t="shared" ca="1" si="49"/>
        <v>F</v>
      </c>
      <c r="E206" s="62">
        <v>12</v>
      </c>
      <c r="F206" s="61" t="str">
        <f t="shared" ca="1" si="50"/>
        <v>E</v>
      </c>
      <c r="G206" s="63" t="s">
        <v>103</v>
      </c>
      <c r="H206" s="61" t="str">
        <f t="shared" si="51"/>
        <v/>
      </c>
      <c r="I206" s="62">
        <v>18</v>
      </c>
      <c r="J206" s="61" t="str">
        <f t="shared" ca="1" si="52"/>
        <v>E</v>
      </c>
      <c r="K206" s="62">
        <v>18</v>
      </c>
      <c r="L206" s="61" t="str">
        <f t="shared" ca="1" si="53"/>
        <v>E</v>
      </c>
      <c r="M206" s="63" t="s">
        <v>103</v>
      </c>
      <c r="N206" s="61" t="str">
        <f t="shared" si="48"/>
        <v/>
      </c>
      <c r="O206" s="62">
        <v>14</v>
      </c>
      <c r="P206" s="64" t="str">
        <f t="shared" ca="1" si="54"/>
        <v>E</v>
      </c>
      <c r="Q206" s="60" t="s">
        <v>103</v>
      </c>
      <c r="R206" s="61" t="str">
        <f t="shared" si="55"/>
        <v/>
      </c>
      <c r="S206" s="62">
        <v>12</v>
      </c>
      <c r="T206" s="64" t="str">
        <f t="shared" ca="1" si="56"/>
        <v>E</v>
      </c>
      <c r="U206" s="60" t="s">
        <v>103</v>
      </c>
      <c r="V206" s="61" t="str">
        <f t="shared" si="57"/>
        <v/>
      </c>
      <c r="W206" s="62">
        <v>16</v>
      </c>
      <c r="X206" s="64" t="str">
        <f t="shared" ca="1" si="58"/>
        <v>E</v>
      </c>
      <c r="Y206" s="62">
        <v>17</v>
      </c>
      <c r="Z206" s="64" t="str">
        <f t="shared" ca="1" si="59"/>
        <v>E</v>
      </c>
      <c r="AA206" s="60" t="s">
        <v>103</v>
      </c>
      <c r="AB206" s="61" t="str">
        <f t="shared" si="60"/>
        <v/>
      </c>
      <c r="AC206" s="62">
        <v>13</v>
      </c>
      <c r="AD206" s="61" t="str">
        <f t="shared" ca="1" si="61"/>
        <v>E</v>
      </c>
      <c r="AE206" s="62">
        <v>35</v>
      </c>
      <c r="AF206" s="64" t="str">
        <f t="shared" ca="1" si="62"/>
        <v>E</v>
      </c>
      <c r="AG206" s="66">
        <f>IF(OR(AND(C206&gt;=31,C206&lt;40),AND(G206&gt;=31,G206&lt;40),AND(M206&gt;=31,M206&lt;40),AND(Q206&gt;=31,Q206&lt;40),AND(U206&gt;=31,U206&lt;40),AND(AA206&gt;=31,AA206&lt;40)),IF(AND(OR(COUNTIF(C206:AF206,"=31")&gt;=1,COUNTIF(C206:AF206,"=32")&gt;=1,COUNTIF(C206:AF206,"=33")&gt;=1,COUNTIF(C206:AF206,"=34")&gt;=1,COUNTIF(C206:AF206,"=35")&gt;=1,COUNTIF(C206:AF206,"=36")&gt;=1 ),COUNTIF(C206:AF206,"")=0,COUNTIF(C206:AF206," ")=0,COUNTIF(C206:AF206,"F")=1),CONCATENATE(SUM(EXTRACTNUMBER(C206),EXTRACTNUMBER(E206),
EXTRACTNUMBER(G206),EXTRACTNUMBER(I206),
EXTRACTNUMBER(K206),EXTRACTNUMBER(M206),
EXTRACTNUMBER(O206),EXTRACTNUMBER(Q206),
EXTRACTNUMBER(S206),EXTRACTNUMBER(U206),
EXTRACTNUMBER(W206),EXTRACTNUMBER(Y206),EXTRACTNUMBER(AA206),
EXTRACTNUMBER(AC206),EXTRACTNUMBER(AE206)),"*"),IF(AND(COUNTIF(C206:AF206,"=34")&gt;=1,COUNTIF(C206:AF206,"=35")&gt;=1,COUNTIF(C206:AF206,"f")=2,COUNTIF(C206:AF206,"")=0,COUNTIF(C206:AF206," ")=0),CONCATENATE(SUM(EXTRACTNUMBER(C206),EXTRACTNUMBER(E206),
EXTRACTNUMBER(G206),EXTRACTNUMBER(I206),
EXTRACTNUMBER(K206),EXTRACTNUMBER(M206),
EXTRACTNUMBER(O206),EXTRACTNUMBER(Q206),
EXTRACTNUMBER(S206),EXTRACTNUMBER(U206),
EXTRACTNUMBER(W206),EXTRACTNUMBER(Y206),EXTRACTNUMBER(AA206),
EXTRACTNUMBER(AC206),EXTRACTNUMBER(AE206)),"*"),IF(AND(COUNTIF(C206:AF206,"=36")&gt;=2,COUNTIF(C206:AF206,"f")=2,COUNTIF(C206:AF206,"")=0,COUNTIF(C206:AF206," ")=0),CONCATENATE(SUM(EXTRACTNUMBER(C206),EXTRACTNUMBER(E206),
EXTRACTNUMBER(G206),EXTRACTNUMBER(I206),
EXTRACTNUMBER(K206),EXTRACTNUMBER(M206),
EXTRACTNUMBER(O206),EXTRACTNUMBER(Q206),
EXTRACTNUMBER(S206),EXTRACTNUMBER(U206),
EXTRACTNUMBER(W206),EXTRACTNUMBER(Y206),EXTRACTNUMBER(AA206),
EXTRACTNUMBER(AC206),EXTRACTNUMBER(AE206)),"*"),SUM(EXTRACTNUMBER(C206),EXTRACTNUMBER(E206),
EXTRACTNUMBER(G206),EXTRACTNUMBER(I206),
EXTRACTNUMBER(K206),EXTRACTNUMBER(M206),
EXTRACTNUMBER(O206),EXTRACTNUMBER(Q206),
EXTRACTNUMBER(S206),EXTRACTNUMBER(U206),
EXTRACTNUMBER(W206),EXTRACTNUMBER(Y206),EXTRACTNUMBER(AA206),
EXTRACTNUMBER(AC206),EXTRACTNUMBER(AE206))))),SUM(EXTRACTNUMBER(C206),EXTRACTNUMBER(E206),
EXTRACTNUMBER(G206),EXTRACTNUMBER(I206),
EXTRACTNUMBER(K206),EXTRACTNUMBER(M206),
EXTRACTNUMBER(O206),EXTRACTNUMBER(Q206),
EXTRACTNUMBER(S206),EXTRACTNUMBER(U206),
EXTRACTNUMBER(W206),EXTRACTNUMBER(Y206),EXTRACTNUMBER(AA206),
EXTRACTNUMBER(AC206),EXTRACTNUMBER(AE206)))</f>
        <v>165</v>
      </c>
      <c r="AH206" s="38" t="str">
        <f t="shared" ca="1" si="63"/>
        <v>FAIL</v>
      </c>
      <c r="AI206" s="28" t="str">
        <f>spellnumber(EXTRACTnUMBER_TOT(AG206))</f>
        <v xml:space="preserve">One Hundred Sixty Five </v>
      </c>
    </row>
    <row r="207" spans="1:35" ht="15" customHeight="1">
      <c r="A207" s="59" t="s">
        <v>338</v>
      </c>
      <c r="B207" s="42" t="s">
        <v>339</v>
      </c>
      <c r="C207" s="60" t="s">
        <v>103</v>
      </c>
      <c r="D207" s="61" t="str">
        <f t="shared" si="49"/>
        <v/>
      </c>
      <c r="E207" s="62">
        <v>13</v>
      </c>
      <c r="F207" s="61" t="str">
        <f t="shared" ca="1" si="50"/>
        <v>E</v>
      </c>
      <c r="G207" s="63" t="s">
        <v>103</v>
      </c>
      <c r="H207" s="61" t="str">
        <f t="shared" si="51"/>
        <v/>
      </c>
      <c r="I207" s="62">
        <v>23</v>
      </c>
      <c r="J207" s="61" t="str">
        <f t="shared" ca="1" si="52"/>
        <v>E</v>
      </c>
      <c r="K207" s="62">
        <v>18</v>
      </c>
      <c r="L207" s="61" t="str">
        <f t="shared" ca="1" si="53"/>
        <v>E</v>
      </c>
      <c r="M207" s="63" t="s">
        <v>103</v>
      </c>
      <c r="N207" s="61" t="str">
        <f t="shared" si="48"/>
        <v/>
      </c>
      <c r="O207" s="62">
        <v>15</v>
      </c>
      <c r="P207" s="64" t="str">
        <f t="shared" ca="1" si="54"/>
        <v>E</v>
      </c>
      <c r="Q207" s="60" t="s">
        <v>103</v>
      </c>
      <c r="R207" s="61" t="str">
        <f t="shared" si="55"/>
        <v/>
      </c>
      <c r="S207" s="62">
        <v>20</v>
      </c>
      <c r="T207" s="64" t="str">
        <f t="shared" ca="1" si="56"/>
        <v>E</v>
      </c>
      <c r="U207" s="60" t="s">
        <v>103</v>
      </c>
      <c r="V207" s="61" t="str">
        <f t="shared" si="57"/>
        <v/>
      </c>
      <c r="W207" s="62">
        <v>17</v>
      </c>
      <c r="X207" s="64" t="str">
        <f t="shared" ca="1" si="58"/>
        <v>E</v>
      </c>
      <c r="Y207" s="62">
        <v>19</v>
      </c>
      <c r="Z207" s="64" t="str">
        <f t="shared" ca="1" si="59"/>
        <v>E</v>
      </c>
      <c r="AA207" s="60" t="s">
        <v>103</v>
      </c>
      <c r="AB207" s="61" t="str">
        <f t="shared" si="60"/>
        <v/>
      </c>
      <c r="AC207" s="62">
        <v>20</v>
      </c>
      <c r="AD207" s="61" t="str">
        <f t="shared" ca="1" si="61"/>
        <v>E</v>
      </c>
      <c r="AE207" s="62">
        <v>34</v>
      </c>
      <c r="AF207" s="64" t="str">
        <f t="shared" ca="1" si="62"/>
        <v>E</v>
      </c>
      <c r="AG207" s="66">
        <f>IF(OR(AND(C207&gt;=31,C207&lt;40),AND(G207&gt;=31,G207&lt;40),AND(M207&gt;=31,M207&lt;40),AND(Q207&gt;=31,Q207&lt;40),AND(U207&gt;=31,U207&lt;40),AND(AA207&gt;=31,AA207&lt;40)),IF(AND(OR(COUNTIF(C207:AF207,"=31")&gt;=1,COUNTIF(C207:AF207,"=32")&gt;=1,COUNTIF(C207:AF207,"=33")&gt;=1,COUNTIF(C207:AF207,"=34")&gt;=1,COUNTIF(C207:AF207,"=35")&gt;=1,COUNTIF(C207:AF207,"=36")&gt;=1 ),COUNTIF(C207:AF207,"")=0,COUNTIF(C207:AF207," ")=0,COUNTIF(C207:AF207,"F")=1),CONCATENATE(SUM(EXTRACTNUMBER(C207),EXTRACTNUMBER(E207),
EXTRACTNUMBER(G207),EXTRACTNUMBER(I207),
EXTRACTNUMBER(K207),EXTRACTNUMBER(M207),
EXTRACTNUMBER(O207),EXTRACTNUMBER(Q207),
EXTRACTNUMBER(S207),EXTRACTNUMBER(U207),
EXTRACTNUMBER(W207),EXTRACTNUMBER(Y207),EXTRACTNUMBER(AA207),
EXTRACTNUMBER(AC207),EXTRACTNUMBER(AE207)),"*"),IF(AND(COUNTIF(C207:AF207,"=34")&gt;=1,COUNTIF(C207:AF207,"=35")&gt;=1,COUNTIF(C207:AF207,"f")=2,COUNTIF(C207:AF207,"")=0,COUNTIF(C207:AF207," ")=0),CONCATENATE(SUM(EXTRACTNUMBER(C207),EXTRACTNUMBER(E207),
EXTRACTNUMBER(G207),EXTRACTNUMBER(I207),
EXTRACTNUMBER(K207),EXTRACTNUMBER(M207),
EXTRACTNUMBER(O207),EXTRACTNUMBER(Q207),
EXTRACTNUMBER(S207),EXTRACTNUMBER(U207),
EXTRACTNUMBER(W207),EXTRACTNUMBER(Y207),EXTRACTNUMBER(AA207),
EXTRACTNUMBER(AC207),EXTRACTNUMBER(AE207)),"*"),IF(AND(COUNTIF(C207:AF207,"=36")&gt;=2,COUNTIF(C207:AF207,"f")=2,COUNTIF(C207:AF207,"")=0,COUNTIF(C207:AF207," ")=0),CONCATENATE(SUM(EXTRACTNUMBER(C207),EXTRACTNUMBER(E207),
EXTRACTNUMBER(G207),EXTRACTNUMBER(I207),
EXTRACTNUMBER(K207),EXTRACTNUMBER(M207),
EXTRACTNUMBER(O207),EXTRACTNUMBER(Q207),
EXTRACTNUMBER(S207),EXTRACTNUMBER(U207),
EXTRACTNUMBER(W207),EXTRACTNUMBER(Y207),EXTRACTNUMBER(AA207),
EXTRACTNUMBER(AC207),EXTRACTNUMBER(AE207)),"*"),SUM(EXTRACTNUMBER(C207),EXTRACTNUMBER(E207),
EXTRACTNUMBER(G207),EXTRACTNUMBER(I207),
EXTRACTNUMBER(K207),EXTRACTNUMBER(M207),
EXTRACTNUMBER(O207),EXTRACTNUMBER(Q207),
EXTRACTNUMBER(S207),EXTRACTNUMBER(U207),
EXTRACTNUMBER(W207),EXTRACTNUMBER(Y207),EXTRACTNUMBER(AA207),
EXTRACTNUMBER(AC207),EXTRACTNUMBER(AE207))))),SUM(EXTRACTNUMBER(C207),EXTRACTNUMBER(E207),
EXTRACTNUMBER(G207),EXTRACTNUMBER(I207),
EXTRACTNUMBER(K207),EXTRACTNUMBER(M207),
EXTRACTNUMBER(O207),EXTRACTNUMBER(Q207),
EXTRACTNUMBER(S207),EXTRACTNUMBER(U207),
EXTRACTNUMBER(W207),EXTRACTNUMBER(Y207),EXTRACTNUMBER(AA207),
EXTRACTNUMBER(AC207),EXTRACTNUMBER(AE207)))</f>
        <v>179</v>
      </c>
      <c r="AH207" s="38" t="str">
        <f t="shared" ca="1" si="63"/>
        <v>FAIL</v>
      </c>
      <c r="AI207" s="28" t="str">
        <f>spellnumber(EXTRACTnUMBER_TOT(AG207))</f>
        <v xml:space="preserve">One Hundred Seventy Nine </v>
      </c>
    </row>
    <row r="208" spans="1:35" ht="15" customHeight="1">
      <c r="A208" s="59" t="s">
        <v>340</v>
      </c>
      <c r="B208" s="42" t="s">
        <v>341</v>
      </c>
      <c r="C208" s="60">
        <v>15</v>
      </c>
      <c r="D208" s="61" t="str">
        <f t="shared" ca="1" si="49"/>
        <v>F</v>
      </c>
      <c r="E208" s="62">
        <v>15</v>
      </c>
      <c r="F208" s="61" t="str">
        <f t="shared" ca="1" si="50"/>
        <v>E</v>
      </c>
      <c r="G208" s="63" t="s">
        <v>103</v>
      </c>
      <c r="H208" s="61" t="str">
        <f t="shared" si="51"/>
        <v/>
      </c>
      <c r="I208" s="62">
        <v>18</v>
      </c>
      <c r="J208" s="61" t="str">
        <f t="shared" ca="1" si="52"/>
        <v>E</v>
      </c>
      <c r="K208" s="62">
        <v>20</v>
      </c>
      <c r="L208" s="61" t="str">
        <f t="shared" ca="1" si="53"/>
        <v>E</v>
      </c>
      <c r="M208" s="63" t="s">
        <v>103</v>
      </c>
      <c r="N208" s="61" t="str">
        <f t="shared" si="48"/>
        <v/>
      </c>
      <c r="O208" s="62">
        <v>21</v>
      </c>
      <c r="P208" s="64" t="str">
        <f t="shared" ca="1" si="54"/>
        <v>E</v>
      </c>
      <c r="Q208" s="60" t="s">
        <v>103</v>
      </c>
      <c r="R208" s="61" t="str">
        <f t="shared" si="55"/>
        <v/>
      </c>
      <c r="S208" s="62">
        <v>21</v>
      </c>
      <c r="T208" s="64" t="str">
        <f t="shared" ca="1" si="56"/>
        <v>E</v>
      </c>
      <c r="U208" s="60" t="s">
        <v>103</v>
      </c>
      <c r="V208" s="61" t="str">
        <f t="shared" si="57"/>
        <v/>
      </c>
      <c r="W208" s="62">
        <v>18</v>
      </c>
      <c r="X208" s="64" t="str">
        <f t="shared" ca="1" si="58"/>
        <v>E</v>
      </c>
      <c r="Y208" s="62">
        <v>20</v>
      </c>
      <c r="Z208" s="64" t="str">
        <f t="shared" ca="1" si="59"/>
        <v>E</v>
      </c>
      <c r="AA208" s="60" t="s">
        <v>103</v>
      </c>
      <c r="AB208" s="61" t="str">
        <f t="shared" si="60"/>
        <v/>
      </c>
      <c r="AC208" s="62">
        <v>21</v>
      </c>
      <c r="AD208" s="61" t="str">
        <f t="shared" ca="1" si="61"/>
        <v>E</v>
      </c>
      <c r="AE208" s="62">
        <v>42</v>
      </c>
      <c r="AF208" s="64" t="str">
        <f t="shared" ca="1" si="62"/>
        <v>E</v>
      </c>
      <c r="AG208" s="66">
        <f>IF(OR(AND(C208&gt;=31,C208&lt;40),AND(G208&gt;=31,G208&lt;40),AND(M208&gt;=31,M208&lt;40),AND(Q208&gt;=31,Q208&lt;40),AND(U208&gt;=31,U208&lt;40),AND(AA208&gt;=31,AA208&lt;40)),IF(AND(OR(COUNTIF(C208:AF208,"=31")&gt;=1,COUNTIF(C208:AF208,"=32")&gt;=1,COUNTIF(C208:AF208,"=33")&gt;=1,COUNTIF(C208:AF208,"=34")&gt;=1,COUNTIF(C208:AF208,"=35")&gt;=1,COUNTIF(C208:AF208,"=36")&gt;=1 ),COUNTIF(C208:AF208,"")=0,COUNTIF(C208:AF208," ")=0,COUNTIF(C208:AF208,"F")=1),CONCATENATE(SUM(EXTRACTNUMBER(C208),EXTRACTNUMBER(E208),
EXTRACTNUMBER(G208),EXTRACTNUMBER(I208),
EXTRACTNUMBER(K208),EXTRACTNUMBER(M208),
EXTRACTNUMBER(O208),EXTRACTNUMBER(Q208),
EXTRACTNUMBER(S208),EXTRACTNUMBER(U208),
EXTRACTNUMBER(W208),EXTRACTNUMBER(Y208),EXTRACTNUMBER(AA208),
EXTRACTNUMBER(AC208),EXTRACTNUMBER(AE208)),"*"),IF(AND(COUNTIF(C208:AF208,"=34")&gt;=1,COUNTIF(C208:AF208,"=35")&gt;=1,COUNTIF(C208:AF208,"f")=2,COUNTIF(C208:AF208,"")=0,COUNTIF(C208:AF208," ")=0),CONCATENATE(SUM(EXTRACTNUMBER(C208),EXTRACTNUMBER(E208),
EXTRACTNUMBER(G208),EXTRACTNUMBER(I208),
EXTRACTNUMBER(K208),EXTRACTNUMBER(M208),
EXTRACTNUMBER(O208),EXTRACTNUMBER(Q208),
EXTRACTNUMBER(S208),EXTRACTNUMBER(U208),
EXTRACTNUMBER(W208),EXTRACTNUMBER(Y208),EXTRACTNUMBER(AA208),
EXTRACTNUMBER(AC208),EXTRACTNUMBER(AE208)),"*"),IF(AND(COUNTIF(C208:AF208,"=36")&gt;=2,COUNTIF(C208:AF208,"f")=2,COUNTIF(C208:AF208,"")=0,COUNTIF(C208:AF208," ")=0),CONCATENATE(SUM(EXTRACTNUMBER(C208),EXTRACTNUMBER(E208),
EXTRACTNUMBER(G208),EXTRACTNUMBER(I208),
EXTRACTNUMBER(K208),EXTRACTNUMBER(M208),
EXTRACTNUMBER(O208),EXTRACTNUMBER(Q208),
EXTRACTNUMBER(S208),EXTRACTNUMBER(U208),
EXTRACTNUMBER(W208),EXTRACTNUMBER(Y208),EXTRACTNUMBER(AA208),
EXTRACTNUMBER(AC208),EXTRACTNUMBER(AE208)),"*"),SUM(EXTRACTNUMBER(C208),EXTRACTNUMBER(E208),
EXTRACTNUMBER(G208),EXTRACTNUMBER(I208),
EXTRACTNUMBER(K208),EXTRACTNUMBER(M208),
EXTRACTNUMBER(O208),EXTRACTNUMBER(Q208),
EXTRACTNUMBER(S208),EXTRACTNUMBER(U208),
EXTRACTNUMBER(W208),EXTRACTNUMBER(Y208),EXTRACTNUMBER(AA208),
EXTRACTNUMBER(AC208),EXTRACTNUMBER(AE208))))),SUM(EXTRACTNUMBER(C208),EXTRACTNUMBER(E208),
EXTRACTNUMBER(G208),EXTRACTNUMBER(I208),
EXTRACTNUMBER(K208),EXTRACTNUMBER(M208),
EXTRACTNUMBER(O208),EXTRACTNUMBER(Q208),
EXTRACTNUMBER(S208),EXTRACTNUMBER(U208),
EXTRACTNUMBER(W208),EXTRACTNUMBER(Y208),EXTRACTNUMBER(AA208),
EXTRACTNUMBER(AC208),EXTRACTNUMBER(AE208)))</f>
        <v>211</v>
      </c>
      <c r="AH208" s="38" t="str">
        <f t="shared" ca="1" si="63"/>
        <v>FAIL</v>
      </c>
      <c r="AI208" s="28" t="str">
        <f>spellnumber(EXTRACTnUMBER_TOT(AG208))</f>
        <v xml:space="preserve">Two Hundred Eleven </v>
      </c>
    </row>
    <row r="209" spans="1:35" ht="15" customHeight="1">
      <c r="A209" s="59" t="s">
        <v>342</v>
      </c>
      <c r="B209" s="42" t="s">
        <v>343</v>
      </c>
      <c r="C209" s="60" t="s">
        <v>103</v>
      </c>
      <c r="D209" s="61" t="str">
        <f t="shared" si="49"/>
        <v/>
      </c>
      <c r="E209" s="62" t="s">
        <v>103</v>
      </c>
      <c r="F209" s="61" t="str">
        <f t="shared" si="50"/>
        <v/>
      </c>
      <c r="G209" s="63" t="s">
        <v>103</v>
      </c>
      <c r="H209" s="61" t="str">
        <f t="shared" si="51"/>
        <v/>
      </c>
      <c r="I209" s="62" t="s">
        <v>103</v>
      </c>
      <c r="J209" s="61" t="str">
        <f t="shared" si="52"/>
        <v/>
      </c>
      <c r="K209" s="62" t="s">
        <v>103</v>
      </c>
      <c r="L209" s="61" t="str">
        <f t="shared" si="53"/>
        <v/>
      </c>
      <c r="M209" s="63" t="s">
        <v>103</v>
      </c>
      <c r="N209" s="61" t="str">
        <f t="shared" si="48"/>
        <v/>
      </c>
      <c r="O209" s="62" t="s">
        <v>103</v>
      </c>
      <c r="P209" s="64" t="str">
        <f t="shared" si="54"/>
        <v/>
      </c>
      <c r="Q209" s="60" t="s">
        <v>103</v>
      </c>
      <c r="R209" s="61" t="str">
        <f t="shared" si="55"/>
        <v/>
      </c>
      <c r="S209" s="62" t="s">
        <v>103</v>
      </c>
      <c r="T209" s="64" t="str">
        <f t="shared" si="56"/>
        <v/>
      </c>
      <c r="U209" s="60" t="s">
        <v>103</v>
      </c>
      <c r="V209" s="61" t="str">
        <f t="shared" si="57"/>
        <v/>
      </c>
      <c r="W209" s="62" t="s">
        <v>103</v>
      </c>
      <c r="X209" s="64" t="str">
        <f t="shared" si="58"/>
        <v/>
      </c>
      <c r="Y209" s="62" t="s">
        <v>103</v>
      </c>
      <c r="Z209" s="64" t="str">
        <f t="shared" si="59"/>
        <v/>
      </c>
      <c r="AA209" s="60" t="s">
        <v>103</v>
      </c>
      <c r="AB209" s="61" t="str">
        <f t="shared" si="60"/>
        <v/>
      </c>
      <c r="AC209" s="62" t="s">
        <v>103</v>
      </c>
      <c r="AD209" s="61" t="str">
        <f t="shared" si="61"/>
        <v/>
      </c>
      <c r="AE209" s="62" t="s">
        <v>103</v>
      </c>
      <c r="AF209" s="64" t="str">
        <f t="shared" si="62"/>
        <v/>
      </c>
      <c r="AG209" s="66" t="s">
        <v>452</v>
      </c>
      <c r="AH209" s="38" t="str">
        <f t="shared" si="63"/>
        <v>ABSENT</v>
      </c>
      <c r="AI209" s="28" t="str">
        <f>spellnumber(EXTRACTnUMBER_TOT(AG209))</f>
        <v xml:space="preserve"> </v>
      </c>
    </row>
    <row r="210" spans="1:35" ht="15" customHeight="1">
      <c r="A210" s="59" t="s">
        <v>344</v>
      </c>
      <c r="B210" s="42" t="s">
        <v>345</v>
      </c>
      <c r="C210" s="60" t="s">
        <v>103</v>
      </c>
      <c r="D210" s="61" t="str">
        <f t="shared" si="49"/>
        <v/>
      </c>
      <c r="E210" s="62" t="s">
        <v>103</v>
      </c>
      <c r="F210" s="61" t="str">
        <f t="shared" si="50"/>
        <v/>
      </c>
      <c r="G210" s="63" t="s">
        <v>103</v>
      </c>
      <c r="H210" s="61" t="str">
        <f t="shared" si="51"/>
        <v/>
      </c>
      <c r="I210" s="62" t="s">
        <v>103</v>
      </c>
      <c r="J210" s="61" t="str">
        <f t="shared" si="52"/>
        <v/>
      </c>
      <c r="K210" s="62" t="s">
        <v>103</v>
      </c>
      <c r="L210" s="61" t="str">
        <f t="shared" si="53"/>
        <v/>
      </c>
      <c r="M210" s="63" t="s">
        <v>103</v>
      </c>
      <c r="N210" s="61" t="str">
        <f t="shared" si="48"/>
        <v/>
      </c>
      <c r="O210" s="62" t="s">
        <v>103</v>
      </c>
      <c r="P210" s="64" t="str">
        <f t="shared" si="54"/>
        <v/>
      </c>
      <c r="Q210" s="60" t="s">
        <v>103</v>
      </c>
      <c r="R210" s="61" t="str">
        <f t="shared" si="55"/>
        <v/>
      </c>
      <c r="S210" s="62" t="s">
        <v>103</v>
      </c>
      <c r="T210" s="64" t="str">
        <f t="shared" si="56"/>
        <v/>
      </c>
      <c r="U210" s="60" t="s">
        <v>103</v>
      </c>
      <c r="V210" s="61" t="str">
        <f t="shared" si="57"/>
        <v/>
      </c>
      <c r="W210" s="62" t="s">
        <v>103</v>
      </c>
      <c r="X210" s="64" t="str">
        <f t="shared" si="58"/>
        <v/>
      </c>
      <c r="Y210" s="62" t="s">
        <v>103</v>
      </c>
      <c r="Z210" s="64" t="str">
        <f t="shared" si="59"/>
        <v/>
      </c>
      <c r="AA210" s="60" t="s">
        <v>103</v>
      </c>
      <c r="AB210" s="61" t="str">
        <f t="shared" si="60"/>
        <v/>
      </c>
      <c r="AC210" s="62" t="s">
        <v>103</v>
      </c>
      <c r="AD210" s="61" t="str">
        <f t="shared" si="61"/>
        <v/>
      </c>
      <c r="AE210" s="62" t="s">
        <v>103</v>
      </c>
      <c r="AF210" s="64" t="str">
        <f t="shared" si="62"/>
        <v/>
      </c>
      <c r="AG210" s="66" t="s">
        <v>452</v>
      </c>
      <c r="AH210" s="38" t="str">
        <f t="shared" si="63"/>
        <v>ABSENT</v>
      </c>
      <c r="AI210" s="28" t="str">
        <f>spellnumber(EXTRACTnUMBER_TOT(AG210))</f>
        <v xml:space="preserve"> </v>
      </c>
    </row>
    <row r="211" spans="1:35" ht="15" customHeight="1">
      <c r="A211" s="59" t="s">
        <v>346</v>
      </c>
      <c r="B211" s="42" t="s">
        <v>347</v>
      </c>
      <c r="C211" s="60" t="s">
        <v>103</v>
      </c>
      <c r="D211" s="61" t="str">
        <f t="shared" si="49"/>
        <v/>
      </c>
      <c r="E211" s="62" t="s">
        <v>103</v>
      </c>
      <c r="F211" s="61" t="str">
        <f t="shared" si="50"/>
        <v/>
      </c>
      <c r="G211" s="63" t="s">
        <v>103</v>
      </c>
      <c r="H211" s="61" t="str">
        <f t="shared" si="51"/>
        <v/>
      </c>
      <c r="I211" s="62" t="s">
        <v>103</v>
      </c>
      <c r="J211" s="61" t="str">
        <f t="shared" si="52"/>
        <v/>
      </c>
      <c r="K211" s="62" t="s">
        <v>103</v>
      </c>
      <c r="L211" s="61" t="str">
        <f t="shared" si="53"/>
        <v/>
      </c>
      <c r="M211" s="63" t="s">
        <v>103</v>
      </c>
      <c r="N211" s="61" t="str">
        <f t="shared" si="48"/>
        <v/>
      </c>
      <c r="O211" s="62" t="s">
        <v>103</v>
      </c>
      <c r="P211" s="64" t="str">
        <f t="shared" si="54"/>
        <v/>
      </c>
      <c r="Q211" s="60" t="s">
        <v>103</v>
      </c>
      <c r="R211" s="61" t="str">
        <f t="shared" si="55"/>
        <v/>
      </c>
      <c r="S211" s="62" t="s">
        <v>103</v>
      </c>
      <c r="T211" s="64" t="str">
        <f t="shared" si="56"/>
        <v/>
      </c>
      <c r="U211" s="60" t="s">
        <v>103</v>
      </c>
      <c r="V211" s="61" t="str">
        <f t="shared" si="57"/>
        <v/>
      </c>
      <c r="W211" s="62" t="s">
        <v>103</v>
      </c>
      <c r="X211" s="64" t="str">
        <f t="shared" si="58"/>
        <v/>
      </c>
      <c r="Y211" s="62" t="s">
        <v>103</v>
      </c>
      <c r="Z211" s="64" t="str">
        <f t="shared" si="59"/>
        <v/>
      </c>
      <c r="AA211" s="60" t="s">
        <v>103</v>
      </c>
      <c r="AB211" s="61" t="str">
        <f t="shared" si="60"/>
        <v/>
      </c>
      <c r="AC211" s="62" t="s">
        <v>103</v>
      </c>
      <c r="AD211" s="61" t="str">
        <f t="shared" si="61"/>
        <v/>
      </c>
      <c r="AE211" s="62" t="s">
        <v>103</v>
      </c>
      <c r="AF211" s="64" t="str">
        <f t="shared" si="62"/>
        <v/>
      </c>
      <c r="AG211" s="66" t="s">
        <v>452</v>
      </c>
      <c r="AH211" s="38" t="str">
        <f t="shared" si="63"/>
        <v>ABSENT</v>
      </c>
      <c r="AI211" s="28" t="str">
        <f>spellnumber(EXTRACTnUMBER_TOT(AG211))</f>
        <v xml:space="preserve"> </v>
      </c>
    </row>
    <row r="212" spans="1:35" ht="15" customHeight="1">
      <c r="A212" s="59" t="s">
        <v>348</v>
      </c>
      <c r="B212" s="42" t="s">
        <v>349</v>
      </c>
      <c r="C212" s="60" t="s">
        <v>103</v>
      </c>
      <c r="D212" s="61" t="str">
        <f t="shared" si="49"/>
        <v/>
      </c>
      <c r="E212" s="62" t="s">
        <v>103</v>
      </c>
      <c r="F212" s="61" t="str">
        <f t="shared" si="50"/>
        <v/>
      </c>
      <c r="G212" s="63" t="s">
        <v>103</v>
      </c>
      <c r="H212" s="61" t="str">
        <f t="shared" si="51"/>
        <v/>
      </c>
      <c r="I212" s="62" t="s">
        <v>103</v>
      </c>
      <c r="J212" s="61" t="str">
        <f t="shared" si="52"/>
        <v/>
      </c>
      <c r="K212" s="62" t="s">
        <v>103</v>
      </c>
      <c r="L212" s="61" t="str">
        <f t="shared" si="53"/>
        <v/>
      </c>
      <c r="M212" s="63" t="s">
        <v>103</v>
      </c>
      <c r="N212" s="61" t="str">
        <f t="shared" si="48"/>
        <v/>
      </c>
      <c r="O212" s="62" t="s">
        <v>103</v>
      </c>
      <c r="P212" s="64" t="str">
        <f t="shared" si="54"/>
        <v/>
      </c>
      <c r="Q212" s="60" t="s">
        <v>103</v>
      </c>
      <c r="R212" s="61" t="str">
        <f t="shared" si="55"/>
        <v/>
      </c>
      <c r="S212" s="62" t="s">
        <v>103</v>
      </c>
      <c r="T212" s="64" t="str">
        <f t="shared" si="56"/>
        <v/>
      </c>
      <c r="U212" s="60" t="s">
        <v>103</v>
      </c>
      <c r="V212" s="61" t="str">
        <f t="shared" si="57"/>
        <v/>
      </c>
      <c r="W212" s="62" t="s">
        <v>103</v>
      </c>
      <c r="X212" s="64" t="str">
        <f t="shared" si="58"/>
        <v/>
      </c>
      <c r="Y212" s="62" t="s">
        <v>103</v>
      </c>
      <c r="Z212" s="64" t="str">
        <f t="shared" si="59"/>
        <v/>
      </c>
      <c r="AA212" s="60" t="s">
        <v>103</v>
      </c>
      <c r="AB212" s="61" t="str">
        <f t="shared" si="60"/>
        <v/>
      </c>
      <c r="AC212" s="62" t="s">
        <v>103</v>
      </c>
      <c r="AD212" s="61" t="str">
        <f t="shared" si="61"/>
        <v/>
      </c>
      <c r="AE212" s="62" t="s">
        <v>103</v>
      </c>
      <c r="AF212" s="64" t="str">
        <f t="shared" si="62"/>
        <v/>
      </c>
      <c r="AG212" s="66" t="s">
        <v>452</v>
      </c>
      <c r="AH212" s="38" t="str">
        <f t="shared" si="63"/>
        <v>ABSENT</v>
      </c>
      <c r="AI212" s="28" t="str">
        <f>spellnumber(EXTRACTnUMBER_TOT(AG212))</f>
        <v xml:space="preserve"> </v>
      </c>
    </row>
    <row r="213" spans="1:35" ht="15" customHeight="1">
      <c r="A213" s="59" t="s">
        <v>350</v>
      </c>
      <c r="B213" s="42" t="s">
        <v>351</v>
      </c>
      <c r="C213" s="60" t="s">
        <v>103</v>
      </c>
      <c r="D213" s="61" t="str">
        <f t="shared" si="49"/>
        <v/>
      </c>
      <c r="E213" s="62" t="s">
        <v>103</v>
      </c>
      <c r="F213" s="61" t="str">
        <f t="shared" si="50"/>
        <v/>
      </c>
      <c r="G213" s="63" t="s">
        <v>103</v>
      </c>
      <c r="H213" s="61" t="str">
        <f t="shared" si="51"/>
        <v/>
      </c>
      <c r="I213" s="62" t="s">
        <v>103</v>
      </c>
      <c r="J213" s="61" t="str">
        <f t="shared" si="52"/>
        <v/>
      </c>
      <c r="K213" s="62" t="s">
        <v>103</v>
      </c>
      <c r="L213" s="61" t="str">
        <f t="shared" si="53"/>
        <v/>
      </c>
      <c r="M213" s="63" t="s">
        <v>103</v>
      </c>
      <c r="N213" s="61" t="str">
        <f t="shared" si="48"/>
        <v/>
      </c>
      <c r="O213" s="62" t="s">
        <v>103</v>
      </c>
      <c r="P213" s="64" t="str">
        <f t="shared" si="54"/>
        <v/>
      </c>
      <c r="Q213" s="60" t="s">
        <v>103</v>
      </c>
      <c r="R213" s="61" t="str">
        <f t="shared" si="55"/>
        <v/>
      </c>
      <c r="S213" s="62" t="s">
        <v>103</v>
      </c>
      <c r="T213" s="64" t="str">
        <f t="shared" si="56"/>
        <v/>
      </c>
      <c r="U213" s="60" t="s">
        <v>103</v>
      </c>
      <c r="V213" s="61" t="str">
        <f t="shared" si="57"/>
        <v/>
      </c>
      <c r="W213" s="62" t="s">
        <v>103</v>
      </c>
      <c r="X213" s="64" t="str">
        <f t="shared" si="58"/>
        <v/>
      </c>
      <c r="Y213" s="62" t="s">
        <v>103</v>
      </c>
      <c r="Z213" s="64" t="str">
        <f t="shared" si="59"/>
        <v/>
      </c>
      <c r="AA213" s="60" t="s">
        <v>103</v>
      </c>
      <c r="AB213" s="61" t="str">
        <f t="shared" si="60"/>
        <v/>
      </c>
      <c r="AC213" s="62" t="s">
        <v>103</v>
      </c>
      <c r="AD213" s="61" t="str">
        <f t="shared" si="61"/>
        <v/>
      </c>
      <c r="AE213" s="62" t="s">
        <v>103</v>
      </c>
      <c r="AF213" s="64" t="str">
        <f t="shared" si="62"/>
        <v/>
      </c>
      <c r="AG213" s="66" t="s">
        <v>452</v>
      </c>
      <c r="AH213" s="38" t="str">
        <f t="shared" si="63"/>
        <v>ABSENT</v>
      </c>
      <c r="AI213" s="28" t="str">
        <f>spellnumber(EXTRACTnUMBER_TOT(AG213))</f>
        <v xml:space="preserve"> </v>
      </c>
    </row>
    <row r="214" spans="1:35" ht="15" customHeight="1">
      <c r="A214" s="59" t="s">
        <v>352</v>
      </c>
      <c r="B214" s="42" t="s">
        <v>353</v>
      </c>
      <c r="C214" s="60" t="s">
        <v>103</v>
      </c>
      <c r="D214" s="61" t="str">
        <f t="shared" si="49"/>
        <v/>
      </c>
      <c r="E214" s="62" t="s">
        <v>103</v>
      </c>
      <c r="F214" s="61" t="str">
        <f t="shared" si="50"/>
        <v/>
      </c>
      <c r="G214" s="63" t="s">
        <v>103</v>
      </c>
      <c r="H214" s="61" t="str">
        <f t="shared" si="51"/>
        <v/>
      </c>
      <c r="I214" s="62" t="s">
        <v>103</v>
      </c>
      <c r="J214" s="61" t="str">
        <f t="shared" si="52"/>
        <v/>
      </c>
      <c r="K214" s="62" t="s">
        <v>103</v>
      </c>
      <c r="L214" s="61" t="str">
        <f t="shared" si="53"/>
        <v/>
      </c>
      <c r="M214" s="63" t="s">
        <v>103</v>
      </c>
      <c r="N214" s="61" t="str">
        <f t="shared" si="48"/>
        <v/>
      </c>
      <c r="O214" s="62" t="s">
        <v>103</v>
      </c>
      <c r="P214" s="64" t="str">
        <f t="shared" si="54"/>
        <v/>
      </c>
      <c r="Q214" s="60" t="s">
        <v>103</v>
      </c>
      <c r="R214" s="61" t="str">
        <f t="shared" si="55"/>
        <v/>
      </c>
      <c r="S214" s="62" t="s">
        <v>103</v>
      </c>
      <c r="T214" s="64" t="str">
        <f t="shared" si="56"/>
        <v/>
      </c>
      <c r="U214" s="60" t="s">
        <v>103</v>
      </c>
      <c r="V214" s="61" t="str">
        <f t="shared" si="57"/>
        <v/>
      </c>
      <c r="W214" s="62" t="s">
        <v>103</v>
      </c>
      <c r="X214" s="64" t="str">
        <f t="shared" si="58"/>
        <v/>
      </c>
      <c r="Y214" s="62" t="s">
        <v>103</v>
      </c>
      <c r="Z214" s="64" t="str">
        <f t="shared" si="59"/>
        <v/>
      </c>
      <c r="AA214" s="60" t="s">
        <v>103</v>
      </c>
      <c r="AB214" s="61" t="str">
        <f t="shared" si="60"/>
        <v/>
      </c>
      <c r="AC214" s="62" t="s">
        <v>103</v>
      </c>
      <c r="AD214" s="61" t="str">
        <f t="shared" si="61"/>
        <v/>
      </c>
      <c r="AE214" s="62" t="s">
        <v>103</v>
      </c>
      <c r="AF214" s="64" t="str">
        <f t="shared" si="62"/>
        <v/>
      </c>
      <c r="AG214" s="66" t="s">
        <v>452</v>
      </c>
      <c r="AH214" s="38" t="str">
        <f t="shared" si="63"/>
        <v>ABSENT</v>
      </c>
      <c r="AI214" s="28" t="str">
        <f>spellnumber(EXTRACTnUMBER_TOT(AG214))</f>
        <v xml:space="preserve"> </v>
      </c>
    </row>
    <row r="215" spans="1:35" ht="15" customHeight="1">
      <c r="A215" s="59" t="s">
        <v>354</v>
      </c>
      <c r="B215" s="42" t="s">
        <v>355</v>
      </c>
      <c r="C215" s="60" t="s">
        <v>103</v>
      </c>
      <c r="D215" s="61" t="str">
        <f t="shared" si="49"/>
        <v/>
      </c>
      <c r="E215" s="62" t="s">
        <v>103</v>
      </c>
      <c r="F215" s="61" t="str">
        <f t="shared" si="50"/>
        <v/>
      </c>
      <c r="G215" s="63" t="s">
        <v>103</v>
      </c>
      <c r="H215" s="61" t="str">
        <f t="shared" si="51"/>
        <v/>
      </c>
      <c r="I215" s="62" t="s">
        <v>103</v>
      </c>
      <c r="J215" s="61" t="str">
        <f t="shared" si="52"/>
        <v/>
      </c>
      <c r="K215" s="62" t="s">
        <v>103</v>
      </c>
      <c r="L215" s="61" t="str">
        <f t="shared" si="53"/>
        <v/>
      </c>
      <c r="M215" s="63" t="s">
        <v>103</v>
      </c>
      <c r="N215" s="61" t="str">
        <f t="shared" si="48"/>
        <v/>
      </c>
      <c r="O215" s="62" t="s">
        <v>103</v>
      </c>
      <c r="P215" s="64" t="str">
        <f t="shared" si="54"/>
        <v/>
      </c>
      <c r="Q215" s="60" t="s">
        <v>103</v>
      </c>
      <c r="R215" s="61" t="str">
        <f t="shared" si="55"/>
        <v/>
      </c>
      <c r="S215" s="62" t="s">
        <v>103</v>
      </c>
      <c r="T215" s="64" t="str">
        <f t="shared" si="56"/>
        <v/>
      </c>
      <c r="U215" s="60" t="s">
        <v>103</v>
      </c>
      <c r="V215" s="61" t="str">
        <f t="shared" si="57"/>
        <v/>
      </c>
      <c r="W215" s="62" t="s">
        <v>103</v>
      </c>
      <c r="X215" s="64" t="str">
        <f t="shared" si="58"/>
        <v/>
      </c>
      <c r="Y215" s="62" t="s">
        <v>103</v>
      </c>
      <c r="Z215" s="64" t="str">
        <f t="shared" si="59"/>
        <v/>
      </c>
      <c r="AA215" s="60" t="s">
        <v>103</v>
      </c>
      <c r="AB215" s="61" t="str">
        <f t="shared" si="60"/>
        <v/>
      </c>
      <c r="AC215" s="62" t="s">
        <v>103</v>
      </c>
      <c r="AD215" s="61" t="str">
        <f t="shared" si="61"/>
        <v/>
      </c>
      <c r="AE215" s="62" t="s">
        <v>103</v>
      </c>
      <c r="AF215" s="64" t="str">
        <f t="shared" si="62"/>
        <v/>
      </c>
      <c r="AG215" s="66" t="s">
        <v>452</v>
      </c>
      <c r="AH215" s="38" t="str">
        <f t="shared" si="63"/>
        <v>ABSENT</v>
      </c>
      <c r="AI215" s="28" t="str">
        <f>spellnumber(EXTRACTnUMBER_TOT(AG215))</f>
        <v xml:space="preserve"> </v>
      </c>
    </row>
    <row r="216" spans="1:35" ht="15" customHeight="1">
      <c r="A216" s="59" t="s">
        <v>356</v>
      </c>
      <c r="B216" s="42" t="s">
        <v>357</v>
      </c>
      <c r="C216" s="60">
        <v>11</v>
      </c>
      <c r="D216" s="61" t="str">
        <f t="shared" ca="1" si="49"/>
        <v>F</v>
      </c>
      <c r="E216" s="62" t="s">
        <v>103</v>
      </c>
      <c r="F216" s="61" t="str">
        <f t="shared" si="50"/>
        <v/>
      </c>
      <c r="G216" s="63" t="s">
        <v>457</v>
      </c>
      <c r="H216" s="61" t="str">
        <f t="shared" ca="1" si="51"/>
        <v>F</v>
      </c>
      <c r="I216" s="62" t="s">
        <v>103</v>
      </c>
      <c r="J216" s="61" t="str">
        <f t="shared" si="52"/>
        <v/>
      </c>
      <c r="K216" s="62" t="s">
        <v>103</v>
      </c>
      <c r="L216" s="61" t="str">
        <f t="shared" si="53"/>
        <v/>
      </c>
      <c r="M216" s="63" t="s">
        <v>103</v>
      </c>
      <c r="N216" s="61" t="str">
        <f t="shared" si="48"/>
        <v/>
      </c>
      <c r="O216" s="62" t="s">
        <v>103</v>
      </c>
      <c r="P216" s="64" t="str">
        <f t="shared" si="54"/>
        <v/>
      </c>
      <c r="Q216" s="60" t="s">
        <v>103</v>
      </c>
      <c r="R216" s="61" t="str">
        <f t="shared" si="55"/>
        <v/>
      </c>
      <c r="S216" s="62" t="s">
        <v>103</v>
      </c>
      <c r="T216" s="64" t="str">
        <f t="shared" si="56"/>
        <v/>
      </c>
      <c r="U216" s="60" t="s">
        <v>103</v>
      </c>
      <c r="V216" s="61" t="str">
        <f t="shared" si="57"/>
        <v/>
      </c>
      <c r="W216" s="62" t="s">
        <v>103</v>
      </c>
      <c r="X216" s="64" t="str">
        <f t="shared" si="58"/>
        <v/>
      </c>
      <c r="Y216" s="62" t="s">
        <v>103</v>
      </c>
      <c r="Z216" s="64" t="str">
        <f t="shared" si="59"/>
        <v/>
      </c>
      <c r="AA216" s="60" t="s">
        <v>103</v>
      </c>
      <c r="AB216" s="61" t="str">
        <f t="shared" si="60"/>
        <v/>
      </c>
      <c r="AC216" s="62" t="s">
        <v>103</v>
      </c>
      <c r="AD216" s="61" t="str">
        <f t="shared" si="61"/>
        <v/>
      </c>
      <c r="AE216" s="62" t="s">
        <v>103</v>
      </c>
      <c r="AF216" s="64" t="str">
        <f t="shared" si="62"/>
        <v/>
      </c>
      <c r="AG216" s="66">
        <f>IF(OR(AND(C216&gt;=31,C216&lt;40),AND(G216&gt;=31,G216&lt;40),AND(M216&gt;=31,M216&lt;40),AND(Q216&gt;=31,Q216&lt;40),AND(U216&gt;=31,U216&lt;40),AND(AA216&gt;=31,AA216&lt;40)),IF(AND(OR(COUNTIF(C216:AF216,"=31")&gt;=1,COUNTIF(C216:AF216,"=32")&gt;=1,COUNTIF(C216:AF216,"=33")&gt;=1,COUNTIF(C216:AF216,"=34")&gt;=1,COUNTIF(C216:AF216,"=35")&gt;=1,COUNTIF(C216:AF216,"=36")&gt;=1 ),COUNTIF(C216:AF216,"")=0,COUNTIF(C216:AF216," ")=0,COUNTIF(C216:AF216,"F")=1),CONCATENATE(SUM(EXTRACTNUMBER(C216),EXTRACTNUMBER(E216),
EXTRACTNUMBER(G216),EXTRACTNUMBER(I216),
EXTRACTNUMBER(K216),EXTRACTNUMBER(M216),
EXTRACTNUMBER(O216),EXTRACTNUMBER(Q216),
EXTRACTNUMBER(S216),EXTRACTNUMBER(U216),
EXTRACTNUMBER(W216),EXTRACTNUMBER(Y216),EXTRACTNUMBER(AA216),
EXTRACTNUMBER(AC216),EXTRACTNUMBER(AE216)),"*"),IF(AND(COUNTIF(C216:AF216,"=34")&gt;=1,COUNTIF(C216:AF216,"=35")&gt;=1,COUNTIF(C216:AF216,"f")=2,COUNTIF(C216:AF216,"")=0,COUNTIF(C216:AF216," ")=0),CONCATENATE(SUM(EXTRACTNUMBER(C216),EXTRACTNUMBER(E216),
EXTRACTNUMBER(G216),EXTRACTNUMBER(I216),
EXTRACTNUMBER(K216),EXTRACTNUMBER(M216),
EXTRACTNUMBER(O216),EXTRACTNUMBER(Q216),
EXTRACTNUMBER(S216),EXTRACTNUMBER(U216),
EXTRACTNUMBER(W216),EXTRACTNUMBER(Y216),EXTRACTNUMBER(AA216),
EXTRACTNUMBER(AC216),EXTRACTNUMBER(AE216)),"*"),IF(AND(COUNTIF(C216:AF216,"=36")&gt;=2,COUNTIF(C216:AF216,"f")=2,COUNTIF(C216:AF216,"")=0,COUNTIF(C216:AF216," ")=0),CONCATENATE(SUM(EXTRACTNUMBER(C216),EXTRACTNUMBER(E216),
EXTRACTNUMBER(G216),EXTRACTNUMBER(I216),
EXTRACTNUMBER(K216),EXTRACTNUMBER(M216),
EXTRACTNUMBER(O216),EXTRACTNUMBER(Q216),
EXTRACTNUMBER(S216),EXTRACTNUMBER(U216),
EXTRACTNUMBER(W216),EXTRACTNUMBER(Y216),EXTRACTNUMBER(AA216),
EXTRACTNUMBER(AC216),EXTRACTNUMBER(AE216)),"*"),SUM(EXTRACTNUMBER(C216),EXTRACTNUMBER(E216),
EXTRACTNUMBER(G216),EXTRACTNUMBER(I216),
EXTRACTNUMBER(K216),EXTRACTNUMBER(M216),
EXTRACTNUMBER(O216),EXTRACTNUMBER(Q216),
EXTRACTNUMBER(S216),EXTRACTNUMBER(U216),
EXTRACTNUMBER(W216),EXTRACTNUMBER(Y216),EXTRACTNUMBER(AA216),
EXTRACTNUMBER(AC216),EXTRACTNUMBER(AE216))))),SUM(EXTRACTNUMBER(C216),EXTRACTNUMBER(E216),
EXTRACTNUMBER(G216),EXTRACTNUMBER(I216),
EXTRACTNUMBER(K216),EXTRACTNUMBER(M216),
EXTRACTNUMBER(O216),EXTRACTNUMBER(Q216),
EXTRACTNUMBER(S216),EXTRACTNUMBER(U216),
EXTRACTNUMBER(W216),EXTRACTNUMBER(Y216),EXTRACTNUMBER(AA216),
EXTRACTNUMBER(AC216),EXTRACTNUMBER(AE216)))</f>
        <v>13</v>
      </c>
      <c r="AH216" s="38" t="s">
        <v>420</v>
      </c>
      <c r="AI216" s="28" t="str">
        <f>spellnumber(EXTRACTnUMBER_TOT(AG216))</f>
        <v xml:space="preserve">Thirteen </v>
      </c>
    </row>
    <row r="217" spans="1:35" ht="15" customHeight="1">
      <c r="A217" s="59" t="s">
        <v>358</v>
      </c>
      <c r="B217" s="42" t="s">
        <v>359</v>
      </c>
      <c r="C217" s="60" t="s">
        <v>103</v>
      </c>
      <c r="D217" s="61" t="str">
        <f t="shared" si="49"/>
        <v/>
      </c>
      <c r="E217" s="62">
        <v>16</v>
      </c>
      <c r="F217" s="61" t="str">
        <f t="shared" ca="1" si="50"/>
        <v>E</v>
      </c>
      <c r="G217" s="63" t="s">
        <v>103</v>
      </c>
      <c r="H217" s="61" t="str">
        <f t="shared" si="51"/>
        <v/>
      </c>
      <c r="I217" s="62">
        <v>20</v>
      </c>
      <c r="J217" s="61" t="str">
        <f t="shared" ca="1" si="52"/>
        <v>E</v>
      </c>
      <c r="K217" s="62">
        <v>19</v>
      </c>
      <c r="L217" s="61" t="str">
        <f t="shared" ca="1" si="53"/>
        <v>E</v>
      </c>
      <c r="M217" s="63" t="s">
        <v>103</v>
      </c>
      <c r="N217" s="61" t="str">
        <f t="shared" si="48"/>
        <v/>
      </c>
      <c r="O217" s="62">
        <v>16</v>
      </c>
      <c r="P217" s="64" t="str">
        <f t="shared" ca="1" si="54"/>
        <v>E</v>
      </c>
      <c r="Q217" s="60" t="s">
        <v>103</v>
      </c>
      <c r="R217" s="61" t="str">
        <f t="shared" si="55"/>
        <v/>
      </c>
      <c r="S217" s="62">
        <v>21</v>
      </c>
      <c r="T217" s="64" t="str">
        <f t="shared" ca="1" si="56"/>
        <v>E</v>
      </c>
      <c r="U217" s="60" t="s">
        <v>103</v>
      </c>
      <c r="V217" s="61" t="str">
        <f t="shared" si="57"/>
        <v/>
      </c>
      <c r="W217" s="62">
        <v>20</v>
      </c>
      <c r="X217" s="64" t="str">
        <f t="shared" ca="1" si="58"/>
        <v>E</v>
      </c>
      <c r="Y217" s="62">
        <v>20</v>
      </c>
      <c r="Z217" s="64" t="str">
        <f t="shared" ca="1" si="59"/>
        <v>E</v>
      </c>
      <c r="AA217" s="60" t="s">
        <v>103</v>
      </c>
      <c r="AB217" s="61" t="str">
        <f t="shared" si="60"/>
        <v/>
      </c>
      <c r="AC217" s="62">
        <v>20</v>
      </c>
      <c r="AD217" s="61" t="str">
        <f t="shared" ca="1" si="61"/>
        <v>E</v>
      </c>
      <c r="AE217" s="62">
        <v>40</v>
      </c>
      <c r="AF217" s="64" t="str">
        <f t="shared" ca="1" si="62"/>
        <v>E</v>
      </c>
      <c r="AG217" s="66">
        <f>IF(OR(AND(C217&gt;=31,C217&lt;40),AND(G217&gt;=31,G217&lt;40),AND(M217&gt;=31,M217&lt;40),AND(Q217&gt;=31,Q217&lt;40),AND(U217&gt;=31,U217&lt;40),AND(AA217&gt;=31,AA217&lt;40)),IF(AND(OR(COUNTIF(C217:AF217,"=31")&gt;=1,COUNTIF(C217:AF217,"=32")&gt;=1,COUNTIF(C217:AF217,"=33")&gt;=1,COUNTIF(C217:AF217,"=34")&gt;=1,COUNTIF(C217:AF217,"=35")&gt;=1,COUNTIF(C217:AF217,"=36")&gt;=1 ),COUNTIF(C217:AF217,"")=0,COUNTIF(C217:AF217," ")=0,COUNTIF(C217:AF217,"F")=1),CONCATENATE(SUM(EXTRACTNUMBER(C217),EXTRACTNUMBER(E217),
EXTRACTNUMBER(G217),EXTRACTNUMBER(I217),
EXTRACTNUMBER(K217),EXTRACTNUMBER(M217),
EXTRACTNUMBER(O217),EXTRACTNUMBER(Q217),
EXTRACTNUMBER(S217),EXTRACTNUMBER(U217),
EXTRACTNUMBER(W217),EXTRACTNUMBER(Y217),EXTRACTNUMBER(AA217),
EXTRACTNUMBER(AC217),EXTRACTNUMBER(AE217)),"*"),IF(AND(COUNTIF(C217:AF217,"=34")&gt;=1,COUNTIF(C217:AF217,"=35")&gt;=1,COUNTIF(C217:AF217,"f")=2,COUNTIF(C217:AF217,"")=0,COUNTIF(C217:AF217," ")=0),CONCATENATE(SUM(EXTRACTNUMBER(C217),EXTRACTNUMBER(E217),
EXTRACTNUMBER(G217),EXTRACTNUMBER(I217),
EXTRACTNUMBER(K217),EXTRACTNUMBER(M217),
EXTRACTNUMBER(O217),EXTRACTNUMBER(Q217),
EXTRACTNUMBER(S217),EXTRACTNUMBER(U217),
EXTRACTNUMBER(W217),EXTRACTNUMBER(Y217),EXTRACTNUMBER(AA217),
EXTRACTNUMBER(AC217),EXTRACTNUMBER(AE217)),"*"),IF(AND(COUNTIF(C217:AF217,"=36")&gt;=2,COUNTIF(C217:AF217,"f")=2,COUNTIF(C217:AF217,"")=0,COUNTIF(C217:AF217," ")=0),CONCATENATE(SUM(EXTRACTNUMBER(C217),EXTRACTNUMBER(E217),
EXTRACTNUMBER(G217),EXTRACTNUMBER(I217),
EXTRACTNUMBER(K217),EXTRACTNUMBER(M217),
EXTRACTNUMBER(O217),EXTRACTNUMBER(Q217),
EXTRACTNUMBER(S217),EXTRACTNUMBER(U217),
EXTRACTNUMBER(W217),EXTRACTNUMBER(Y217),EXTRACTNUMBER(AA217),
EXTRACTNUMBER(AC217),EXTRACTNUMBER(AE217)),"*"),SUM(EXTRACTNUMBER(C217),EXTRACTNUMBER(E217),
EXTRACTNUMBER(G217),EXTRACTNUMBER(I217),
EXTRACTNUMBER(K217),EXTRACTNUMBER(M217),
EXTRACTNUMBER(O217),EXTRACTNUMBER(Q217),
EXTRACTNUMBER(S217),EXTRACTNUMBER(U217),
EXTRACTNUMBER(W217),EXTRACTNUMBER(Y217),EXTRACTNUMBER(AA217),
EXTRACTNUMBER(AC217),EXTRACTNUMBER(AE217))))),SUM(EXTRACTNUMBER(C217),EXTRACTNUMBER(E217),
EXTRACTNUMBER(G217),EXTRACTNUMBER(I217),
EXTRACTNUMBER(K217),EXTRACTNUMBER(M217),
EXTRACTNUMBER(O217),EXTRACTNUMBER(Q217),
EXTRACTNUMBER(S217),EXTRACTNUMBER(U217),
EXTRACTNUMBER(W217),EXTRACTNUMBER(Y217),EXTRACTNUMBER(AA217),
EXTRACTNUMBER(AC217),EXTRACTNUMBER(AE217)))</f>
        <v>192</v>
      </c>
      <c r="AH217" s="38" t="str">
        <f t="shared" ca="1" si="63"/>
        <v>FAIL</v>
      </c>
      <c r="AI217" s="28" t="str">
        <f>spellnumber(EXTRACTnUMBER_TOT(AG217))</f>
        <v xml:space="preserve">One Hundred NinetyTwo </v>
      </c>
    </row>
    <row r="218" spans="1:35" ht="15" customHeight="1">
      <c r="A218" s="59" t="s">
        <v>360</v>
      </c>
      <c r="B218" s="42" t="s">
        <v>361</v>
      </c>
      <c r="C218" s="60">
        <v>15</v>
      </c>
      <c r="D218" s="61" t="str">
        <f t="shared" ca="1" si="49"/>
        <v>F</v>
      </c>
      <c r="E218" s="62">
        <v>14</v>
      </c>
      <c r="F218" s="61" t="str">
        <f t="shared" ca="1" si="50"/>
        <v>E</v>
      </c>
      <c r="G218" s="63">
        <v>50</v>
      </c>
      <c r="H218" s="61" t="str">
        <f t="shared" ca="1" si="51"/>
        <v>E</v>
      </c>
      <c r="I218" s="62">
        <v>23</v>
      </c>
      <c r="J218" s="61" t="str">
        <f t="shared" ca="1" si="52"/>
        <v>E</v>
      </c>
      <c r="K218" s="62">
        <v>18</v>
      </c>
      <c r="L218" s="61" t="str">
        <f t="shared" ca="1" si="53"/>
        <v>E</v>
      </c>
      <c r="M218" s="63">
        <v>44</v>
      </c>
      <c r="N218" s="61" t="str">
        <f t="shared" ca="1" si="48"/>
        <v>E</v>
      </c>
      <c r="O218" s="62">
        <v>14</v>
      </c>
      <c r="P218" s="64" t="str">
        <f t="shared" ca="1" si="54"/>
        <v>E</v>
      </c>
      <c r="Q218" s="60">
        <v>40</v>
      </c>
      <c r="R218" s="61" t="str">
        <f t="shared" ca="1" si="55"/>
        <v>E</v>
      </c>
      <c r="S218" s="62">
        <v>23</v>
      </c>
      <c r="T218" s="64" t="str">
        <f t="shared" ca="1" si="56"/>
        <v>E</v>
      </c>
      <c r="U218" s="60">
        <v>26</v>
      </c>
      <c r="V218" s="61" t="str">
        <f t="shared" ca="1" si="57"/>
        <v>F</v>
      </c>
      <c r="W218" s="62">
        <v>20</v>
      </c>
      <c r="X218" s="64" t="str">
        <f t="shared" ca="1" si="58"/>
        <v>E</v>
      </c>
      <c r="Y218" s="62">
        <v>20</v>
      </c>
      <c r="Z218" s="64" t="str">
        <f t="shared" ca="1" si="59"/>
        <v>E</v>
      </c>
      <c r="AA218" s="60">
        <v>24</v>
      </c>
      <c r="AB218" s="61" t="str">
        <f t="shared" ca="1" si="60"/>
        <v>F</v>
      </c>
      <c r="AC218" s="62">
        <v>14</v>
      </c>
      <c r="AD218" s="61" t="str">
        <f t="shared" ca="1" si="61"/>
        <v>E</v>
      </c>
      <c r="AE218" s="62">
        <v>30</v>
      </c>
      <c r="AF218" s="64" t="str">
        <f t="shared" ca="1" si="62"/>
        <v>E</v>
      </c>
      <c r="AG218" s="66">
        <f>IF(OR(AND(C218&gt;=31,C218&lt;40),AND(G218&gt;=31,G218&lt;40),AND(M218&gt;=31,M218&lt;40),AND(Q218&gt;=31,Q218&lt;40),AND(U218&gt;=31,U218&lt;40),AND(AA218&gt;=31,AA218&lt;40)),IF(AND(OR(COUNTIF(C218:AF218,"=31")&gt;=1,COUNTIF(C218:AF218,"=32")&gt;=1,COUNTIF(C218:AF218,"=33")&gt;=1,COUNTIF(C218:AF218,"=34")&gt;=1,COUNTIF(C218:AF218,"=35")&gt;=1,COUNTIF(C218:AF218,"=36")&gt;=1 ),COUNTIF(C218:AF218,"")=0,COUNTIF(C218:AF218," ")=0,COUNTIF(C218:AF218,"F")=1),CONCATENATE(SUM(EXTRACTNUMBER(C218),EXTRACTNUMBER(E218),
EXTRACTNUMBER(G218),EXTRACTNUMBER(I218),
EXTRACTNUMBER(K218),EXTRACTNUMBER(M218),
EXTRACTNUMBER(O218),EXTRACTNUMBER(Q218),
EXTRACTNUMBER(S218),EXTRACTNUMBER(U218),
EXTRACTNUMBER(W218),EXTRACTNUMBER(Y218),EXTRACTNUMBER(AA218),
EXTRACTNUMBER(AC218),EXTRACTNUMBER(AE218)),"*"),IF(AND(COUNTIF(C218:AF218,"=34")&gt;=1,COUNTIF(C218:AF218,"=35")&gt;=1,COUNTIF(C218:AF218,"f")=2,COUNTIF(C218:AF218,"")=0,COUNTIF(C218:AF218," ")=0),CONCATENATE(SUM(EXTRACTNUMBER(C218),EXTRACTNUMBER(E218),
EXTRACTNUMBER(G218),EXTRACTNUMBER(I218),
EXTRACTNUMBER(K218),EXTRACTNUMBER(M218),
EXTRACTNUMBER(O218),EXTRACTNUMBER(Q218),
EXTRACTNUMBER(S218),EXTRACTNUMBER(U218),
EXTRACTNUMBER(W218),EXTRACTNUMBER(Y218),EXTRACTNUMBER(AA218),
EXTRACTNUMBER(AC218),EXTRACTNUMBER(AE218)),"*"),IF(AND(COUNTIF(C218:AF218,"=36")&gt;=2,COUNTIF(C218:AF218,"f")=2,COUNTIF(C218:AF218,"")=0,COUNTIF(C218:AF218," ")=0),CONCATENATE(SUM(EXTRACTNUMBER(C218),EXTRACTNUMBER(E218),
EXTRACTNUMBER(G218),EXTRACTNUMBER(I218),
EXTRACTNUMBER(K218),EXTRACTNUMBER(M218),
EXTRACTNUMBER(O218),EXTRACTNUMBER(Q218),
EXTRACTNUMBER(S218),EXTRACTNUMBER(U218),
EXTRACTNUMBER(W218),EXTRACTNUMBER(Y218),EXTRACTNUMBER(AA218),
EXTRACTNUMBER(AC218),EXTRACTNUMBER(AE218)),"*"),SUM(EXTRACTNUMBER(C218),EXTRACTNUMBER(E218),
EXTRACTNUMBER(G218),EXTRACTNUMBER(I218),
EXTRACTNUMBER(K218),EXTRACTNUMBER(M218),
EXTRACTNUMBER(O218),EXTRACTNUMBER(Q218),
EXTRACTNUMBER(S218),EXTRACTNUMBER(U218),
EXTRACTNUMBER(W218),EXTRACTNUMBER(Y218),EXTRACTNUMBER(AA218),
EXTRACTNUMBER(AC218),EXTRACTNUMBER(AE218))))),SUM(EXTRACTNUMBER(C218),EXTRACTNUMBER(E218),
EXTRACTNUMBER(G218),EXTRACTNUMBER(I218),
EXTRACTNUMBER(K218),EXTRACTNUMBER(M218),
EXTRACTNUMBER(O218),EXTRACTNUMBER(Q218),
EXTRACTNUMBER(S218),EXTRACTNUMBER(U218),
EXTRACTNUMBER(W218),EXTRACTNUMBER(Y218),EXTRACTNUMBER(AA218),
EXTRACTNUMBER(AC218),EXTRACTNUMBER(AE218)))</f>
        <v>375</v>
      </c>
      <c r="AH218" s="38" t="str">
        <f t="shared" ca="1" si="63"/>
        <v>FAIL</v>
      </c>
      <c r="AI218" s="28" t="str">
        <f>spellnumber(EXTRACTnUMBER_TOT(AG218))</f>
        <v xml:space="preserve">Three Hundred Seventy Five </v>
      </c>
    </row>
    <row r="219" spans="1:35" ht="15" customHeight="1">
      <c r="A219" s="59" t="s">
        <v>362</v>
      </c>
      <c r="B219" s="42" t="s">
        <v>363</v>
      </c>
      <c r="C219" s="60" t="s">
        <v>103</v>
      </c>
      <c r="D219" s="61" t="str">
        <f t="shared" si="49"/>
        <v/>
      </c>
      <c r="E219" s="62" t="s">
        <v>103</v>
      </c>
      <c r="F219" s="61" t="str">
        <f t="shared" si="50"/>
        <v/>
      </c>
      <c r="G219" s="63" t="s">
        <v>103</v>
      </c>
      <c r="H219" s="61" t="str">
        <f t="shared" si="51"/>
        <v/>
      </c>
      <c r="I219" s="62" t="s">
        <v>103</v>
      </c>
      <c r="J219" s="61" t="str">
        <f t="shared" si="52"/>
        <v/>
      </c>
      <c r="K219" s="62" t="s">
        <v>103</v>
      </c>
      <c r="L219" s="61" t="str">
        <f t="shared" si="53"/>
        <v/>
      </c>
      <c r="M219" s="63" t="s">
        <v>103</v>
      </c>
      <c r="N219" s="61" t="str">
        <f t="shared" si="48"/>
        <v/>
      </c>
      <c r="O219" s="62" t="s">
        <v>103</v>
      </c>
      <c r="P219" s="64" t="str">
        <f t="shared" si="54"/>
        <v/>
      </c>
      <c r="Q219" s="60" t="s">
        <v>103</v>
      </c>
      <c r="R219" s="61" t="str">
        <f t="shared" si="55"/>
        <v/>
      </c>
      <c r="S219" s="62" t="s">
        <v>103</v>
      </c>
      <c r="T219" s="64" t="str">
        <f t="shared" si="56"/>
        <v/>
      </c>
      <c r="U219" s="60" t="s">
        <v>103</v>
      </c>
      <c r="V219" s="61" t="str">
        <f t="shared" si="57"/>
        <v/>
      </c>
      <c r="W219" s="62" t="s">
        <v>103</v>
      </c>
      <c r="X219" s="64" t="str">
        <f t="shared" si="58"/>
        <v/>
      </c>
      <c r="Y219" s="62" t="s">
        <v>103</v>
      </c>
      <c r="Z219" s="64" t="str">
        <f t="shared" si="59"/>
        <v/>
      </c>
      <c r="AA219" s="60" t="s">
        <v>103</v>
      </c>
      <c r="AB219" s="61" t="str">
        <f t="shared" si="60"/>
        <v/>
      </c>
      <c r="AC219" s="62" t="s">
        <v>103</v>
      </c>
      <c r="AD219" s="61" t="str">
        <f t="shared" si="61"/>
        <v/>
      </c>
      <c r="AE219" s="62" t="s">
        <v>103</v>
      </c>
      <c r="AF219" s="64" t="str">
        <f t="shared" si="62"/>
        <v/>
      </c>
      <c r="AG219" s="66" t="s">
        <v>452</v>
      </c>
      <c r="AH219" s="38" t="str">
        <f t="shared" si="63"/>
        <v>ABSENT</v>
      </c>
      <c r="AI219" s="28" t="str">
        <f>spellnumber(EXTRACTnUMBER_TOT(AG219))</f>
        <v xml:space="preserve"> </v>
      </c>
    </row>
    <row r="220" spans="1:35" ht="15" customHeight="1">
      <c r="A220" s="59" t="s">
        <v>364</v>
      </c>
      <c r="B220" s="42" t="s">
        <v>365</v>
      </c>
      <c r="C220" s="60">
        <v>18</v>
      </c>
      <c r="D220" s="61" t="str">
        <f t="shared" ca="1" si="49"/>
        <v>F</v>
      </c>
      <c r="E220" s="62">
        <v>15</v>
      </c>
      <c r="F220" s="61" t="str">
        <f t="shared" ca="1" si="50"/>
        <v>E</v>
      </c>
      <c r="G220" s="63" t="s">
        <v>103</v>
      </c>
      <c r="H220" s="61" t="str">
        <f t="shared" si="51"/>
        <v/>
      </c>
      <c r="I220" s="62">
        <v>23</v>
      </c>
      <c r="J220" s="61" t="str">
        <f t="shared" ca="1" si="52"/>
        <v>E</v>
      </c>
      <c r="K220" s="62">
        <v>18</v>
      </c>
      <c r="L220" s="61" t="str">
        <f t="shared" ca="1" si="53"/>
        <v>E</v>
      </c>
      <c r="M220" s="63" t="s">
        <v>103</v>
      </c>
      <c r="N220" s="61" t="str">
        <f t="shared" si="48"/>
        <v/>
      </c>
      <c r="O220" s="62">
        <v>16</v>
      </c>
      <c r="P220" s="64" t="str">
        <f t="shared" ca="1" si="54"/>
        <v>E</v>
      </c>
      <c r="Q220" s="60" t="s">
        <v>103</v>
      </c>
      <c r="R220" s="61" t="str">
        <f t="shared" si="55"/>
        <v/>
      </c>
      <c r="S220" s="62">
        <v>20</v>
      </c>
      <c r="T220" s="64" t="str">
        <f t="shared" ca="1" si="56"/>
        <v>E</v>
      </c>
      <c r="U220" s="60" t="s">
        <v>103</v>
      </c>
      <c r="V220" s="61" t="str">
        <f t="shared" si="57"/>
        <v/>
      </c>
      <c r="W220" s="62">
        <v>21</v>
      </c>
      <c r="X220" s="64" t="str">
        <f t="shared" ca="1" si="58"/>
        <v>E</v>
      </c>
      <c r="Y220" s="62">
        <v>22</v>
      </c>
      <c r="Z220" s="64" t="str">
        <f t="shared" ca="1" si="59"/>
        <v>E</v>
      </c>
      <c r="AA220" s="60" t="s">
        <v>103</v>
      </c>
      <c r="AB220" s="61" t="str">
        <f t="shared" si="60"/>
        <v/>
      </c>
      <c r="AC220" s="62">
        <v>14</v>
      </c>
      <c r="AD220" s="61" t="str">
        <f t="shared" ca="1" si="61"/>
        <v>E</v>
      </c>
      <c r="AE220" s="62">
        <v>40</v>
      </c>
      <c r="AF220" s="64" t="str">
        <f t="shared" ca="1" si="62"/>
        <v>E</v>
      </c>
      <c r="AG220" s="66">
        <f>IF(OR(AND(C220&gt;=31,C220&lt;40),AND(G220&gt;=31,G220&lt;40),AND(M220&gt;=31,M220&lt;40),AND(Q220&gt;=31,Q220&lt;40),AND(U220&gt;=31,U220&lt;40),AND(AA220&gt;=31,AA220&lt;40)),IF(AND(OR(COUNTIF(C220:AF220,"=31")&gt;=1,COUNTIF(C220:AF220,"=32")&gt;=1,COUNTIF(C220:AF220,"=33")&gt;=1,COUNTIF(C220:AF220,"=34")&gt;=1,COUNTIF(C220:AF220,"=35")&gt;=1,COUNTIF(C220:AF220,"=36")&gt;=1 ),COUNTIF(C220:AF220,"")=0,COUNTIF(C220:AF220," ")=0,COUNTIF(C220:AF220,"F")=1),CONCATENATE(SUM(EXTRACTNUMBER(C220),EXTRACTNUMBER(E220),
EXTRACTNUMBER(G220),EXTRACTNUMBER(I220),
EXTRACTNUMBER(K220),EXTRACTNUMBER(M220),
EXTRACTNUMBER(O220),EXTRACTNUMBER(Q220),
EXTRACTNUMBER(S220),EXTRACTNUMBER(U220),
EXTRACTNUMBER(W220),EXTRACTNUMBER(Y220),EXTRACTNUMBER(AA220),
EXTRACTNUMBER(AC220),EXTRACTNUMBER(AE220)),"*"),IF(AND(COUNTIF(C220:AF220,"=34")&gt;=1,COUNTIF(C220:AF220,"=35")&gt;=1,COUNTIF(C220:AF220,"f")=2,COUNTIF(C220:AF220,"")=0,COUNTIF(C220:AF220," ")=0),CONCATENATE(SUM(EXTRACTNUMBER(C220),EXTRACTNUMBER(E220),
EXTRACTNUMBER(G220),EXTRACTNUMBER(I220),
EXTRACTNUMBER(K220),EXTRACTNUMBER(M220),
EXTRACTNUMBER(O220),EXTRACTNUMBER(Q220),
EXTRACTNUMBER(S220),EXTRACTNUMBER(U220),
EXTRACTNUMBER(W220),EXTRACTNUMBER(Y220),EXTRACTNUMBER(AA220),
EXTRACTNUMBER(AC220),EXTRACTNUMBER(AE220)),"*"),IF(AND(COUNTIF(C220:AF220,"=36")&gt;=2,COUNTIF(C220:AF220,"f")=2,COUNTIF(C220:AF220,"")=0,COUNTIF(C220:AF220," ")=0),CONCATENATE(SUM(EXTRACTNUMBER(C220),EXTRACTNUMBER(E220),
EXTRACTNUMBER(G220),EXTRACTNUMBER(I220),
EXTRACTNUMBER(K220),EXTRACTNUMBER(M220),
EXTRACTNUMBER(O220),EXTRACTNUMBER(Q220),
EXTRACTNUMBER(S220),EXTRACTNUMBER(U220),
EXTRACTNUMBER(W220),EXTRACTNUMBER(Y220),EXTRACTNUMBER(AA220),
EXTRACTNUMBER(AC220),EXTRACTNUMBER(AE220)),"*"),SUM(EXTRACTNUMBER(C220),EXTRACTNUMBER(E220),
EXTRACTNUMBER(G220),EXTRACTNUMBER(I220),
EXTRACTNUMBER(K220),EXTRACTNUMBER(M220),
EXTRACTNUMBER(O220),EXTRACTNUMBER(Q220),
EXTRACTNUMBER(S220),EXTRACTNUMBER(U220),
EXTRACTNUMBER(W220),EXTRACTNUMBER(Y220),EXTRACTNUMBER(AA220),
EXTRACTNUMBER(AC220),EXTRACTNUMBER(AE220))))),SUM(EXTRACTNUMBER(C220),EXTRACTNUMBER(E220),
EXTRACTNUMBER(G220),EXTRACTNUMBER(I220),
EXTRACTNUMBER(K220),EXTRACTNUMBER(M220),
EXTRACTNUMBER(O220),EXTRACTNUMBER(Q220),
EXTRACTNUMBER(S220),EXTRACTNUMBER(U220),
EXTRACTNUMBER(W220),EXTRACTNUMBER(Y220),EXTRACTNUMBER(AA220),
EXTRACTNUMBER(AC220),EXTRACTNUMBER(AE220)))</f>
        <v>207</v>
      </c>
      <c r="AH220" s="38" t="str">
        <f t="shared" ca="1" si="63"/>
        <v>FAIL</v>
      </c>
      <c r="AI220" s="28" t="str">
        <f>spellnumber(EXTRACTnUMBER_TOT(AG220))</f>
        <v xml:space="preserve">Two Hundred Seven </v>
      </c>
    </row>
    <row r="221" spans="1:35" ht="15" customHeight="1">
      <c r="A221" s="59" t="s">
        <v>366</v>
      </c>
      <c r="B221" s="42" t="s">
        <v>367</v>
      </c>
      <c r="C221" s="60" t="s">
        <v>103</v>
      </c>
      <c r="D221" s="61" t="str">
        <f t="shared" si="49"/>
        <v/>
      </c>
      <c r="E221" s="62">
        <v>12</v>
      </c>
      <c r="F221" s="61" t="str">
        <f t="shared" ca="1" si="50"/>
        <v>E</v>
      </c>
      <c r="G221" s="63">
        <v>12</v>
      </c>
      <c r="H221" s="61" t="str">
        <f t="shared" ca="1" si="51"/>
        <v>F</v>
      </c>
      <c r="I221" s="62">
        <v>15</v>
      </c>
      <c r="J221" s="61" t="str">
        <f t="shared" ca="1" si="52"/>
        <v>E</v>
      </c>
      <c r="K221" s="62" t="s">
        <v>103</v>
      </c>
      <c r="L221" s="61" t="str">
        <f t="shared" si="53"/>
        <v/>
      </c>
      <c r="M221" s="63">
        <v>10</v>
      </c>
      <c r="N221" s="61" t="str">
        <f t="shared" ca="1" si="48"/>
        <v>F</v>
      </c>
      <c r="O221" s="62">
        <v>13</v>
      </c>
      <c r="P221" s="64" t="str">
        <f t="shared" ca="1" si="54"/>
        <v>E</v>
      </c>
      <c r="Q221" s="60" t="s">
        <v>119</v>
      </c>
      <c r="R221" s="61" t="str">
        <f t="shared" ca="1" si="55"/>
        <v>F</v>
      </c>
      <c r="S221" s="62">
        <v>13</v>
      </c>
      <c r="T221" s="64" t="str">
        <f t="shared" ca="1" si="56"/>
        <v>E</v>
      </c>
      <c r="U221" s="60" t="s">
        <v>459</v>
      </c>
      <c r="V221" s="61" t="str">
        <f t="shared" ca="1" si="57"/>
        <v>F</v>
      </c>
      <c r="W221" s="62">
        <v>13</v>
      </c>
      <c r="X221" s="64" t="str">
        <f t="shared" ca="1" si="58"/>
        <v>E</v>
      </c>
      <c r="Y221" s="62" t="s">
        <v>103</v>
      </c>
      <c r="Z221" s="64" t="str">
        <f t="shared" si="59"/>
        <v/>
      </c>
      <c r="AA221" s="60" t="s">
        <v>455</v>
      </c>
      <c r="AB221" s="61" t="str">
        <f t="shared" ca="1" si="60"/>
        <v>F</v>
      </c>
      <c r="AC221" s="62">
        <v>12</v>
      </c>
      <c r="AD221" s="61" t="str">
        <f t="shared" ca="1" si="61"/>
        <v>E</v>
      </c>
      <c r="AE221" s="62">
        <v>30</v>
      </c>
      <c r="AF221" s="64" t="str">
        <f t="shared" ca="1" si="62"/>
        <v>E</v>
      </c>
      <c r="AG221" s="66">
        <f>IF(OR(AND(C221&gt;=31,C221&lt;40),AND(G221&gt;=31,G221&lt;40),AND(M221&gt;=31,M221&lt;40),AND(Q221&gt;=31,Q221&lt;40),AND(U221&gt;=31,U221&lt;40),AND(AA221&gt;=31,AA221&lt;40)),IF(AND(OR(COUNTIF(C221:AF221,"=31")&gt;=1,COUNTIF(C221:AF221,"=32")&gt;=1,COUNTIF(C221:AF221,"=33")&gt;=1,COUNTIF(C221:AF221,"=34")&gt;=1,COUNTIF(C221:AF221,"=35")&gt;=1,COUNTIF(C221:AF221,"=36")&gt;=1 ),COUNTIF(C221:AF221,"")=0,COUNTIF(C221:AF221," ")=0,COUNTIF(C221:AF221,"F")=1),CONCATENATE(SUM(EXTRACTNUMBER(C221),EXTRACTNUMBER(E221),
EXTRACTNUMBER(G221),EXTRACTNUMBER(I221),
EXTRACTNUMBER(K221),EXTRACTNUMBER(M221),
EXTRACTNUMBER(O221),EXTRACTNUMBER(Q221),
EXTRACTNUMBER(S221),EXTRACTNUMBER(U221),
EXTRACTNUMBER(W221),EXTRACTNUMBER(Y221),EXTRACTNUMBER(AA221),
EXTRACTNUMBER(AC221),EXTRACTNUMBER(AE221)),"*"),IF(AND(COUNTIF(C221:AF221,"=34")&gt;=1,COUNTIF(C221:AF221,"=35")&gt;=1,COUNTIF(C221:AF221,"f")=2,COUNTIF(C221:AF221,"")=0,COUNTIF(C221:AF221," ")=0),CONCATENATE(SUM(EXTRACTNUMBER(C221),EXTRACTNUMBER(E221),
EXTRACTNUMBER(G221),EXTRACTNUMBER(I221),
EXTRACTNUMBER(K221),EXTRACTNUMBER(M221),
EXTRACTNUMBER(O221),EXTRACTNUMBER(Q221),
EXTRACTNUMBER(S221),EXTRACTNUMBER(U221),
EXTRACTNUMBER(W221),EXTRACTNUMBER(Y221),EXTRACTNUMBER(AA221),
EXTRACTNUMBER(AC221),EXTRACTNUMBER(AE221)),"*"),IF(AND(COUNTIF(C221:AF221,"=36")&gt;=2,COUNTIF(C221:AF221,"f")=2,COUNTIF(C221:AF221,"")=0,COUNTIF(C221:AF221," ")=0),CONCATENATE(SUM(EXTRACTNUMBER(C221),EXTRACTNUMBER(E221),
EXTRACTNUMBER(G221),EXTRACTNUMBER(I221),
EXTRACTNUMBER(K221),EXTRACTNUMBER(M221),
EXTRACTNUMBER(O221),EXTRACTNUMBER(Q221),
EXTRACTNUMBER(S221),EXTRACTNUMBER(U221),
EXTRACTNUMBER(W221),EXTRACTNUMBER(Y221),EXTRACTNUMBER(AA221),
EXTRACTNUMBER(AC221),EXTRACTNUMBER(AE221)),"*"),SUM(EXTRACTNUMBER(C221),EXTRACTNUMBER(E221),
EXTRACTNUMBER(G221),EXTRACTNUMBER(I221),
EXTRACTNUMBER(K221),EXTRACTNUMBER(M221),
EXTRACTNUMBER(O221),EXTRACTNUMBER(Q221),
EXTRACTNUMBER(S221),EXTRACTNUMBER(U221),
EXTRACTNUMBER(W221),EXTRACTNUMBER(Y221),EXTRACTNUMBER(AA221),
EXTRACTNUMBER(AC221),EXTRACTNUMBER(AE221))))),SUM(EXTRACTNUMBER(C221),EXTRACTNUMBER(E221),
EXTRACTNUMBER(G221),EXTRACTNUMBER(I221),
EXTRACTNUMBER(K221),EXTRACTNUMBER(M221),
EXTRACTNUMBER(O221),EXTRACTNUMBER(Q221),
EXTRACTNUMBER(S221),EXTRACTNUMBER(U221),
EXTRACTNUMBER(W221),EXTRACTNUMBER(Y221),EXTRACTNUMBER(AA221),
EXTRACTNUMBER(AC221),EXTRACTNUMBER(AE221)))</f>
        <v>141</v>
      </c>
      <c r="AH221" s="38" t="str">
        <f t="shared" ca="1" si="63"/>
        <v>FAIL</v>
      </c>
      <c r="AI221" s="28" t="str">
        <f>spellnumber(EXTRACTnUMBER_TOT(AG221))</f>
        <v xml:space="preserve">One Hundred Forty One </v>
      </c>
    </row>
    <row r="222" spans="1:35" ht="15" customHeight="1">
      <c r="A222" s="59" t="s">
        <v>368</v>
      </c>
      <c r="B222" s="42" t="s">
        <v>369</v>
      </c>
      <c r="C222" s="60" t="s">
        <v>103</v>
      </c>
      <c r="D222" s="61" t="str">
        <f t="shared" si="49"/>
        <v/>
      </c>
      <c r="E222" s="62" t="s">
        <v>103</v>
      </c>
      <c r="F222" s="61" t="str">
        <f t="shared" si="50"/>
        <v/>
      </c>
      <c r="G222" s="63" t="s">
        <v>103</v>
      </c>
      <c r="H222" s="61" t="str">
        <f t="shared" si="51"/>
        <v/>
      </c>
      <c r="I222" s="62" t="s">
        <v>103</v>
      </c>
      <c r="J222" s="61" t="str">
        <f t="shared" si="52"/>
        <v/>
      </c>
      <c r="K222" s="62" t="s">
        <v>103</v>
      </c>
      <c r="L222" s="61" t="str">
        <f t="shared" si="53"/>
        <v/>
      </c>
      <c r="M222" s="63" t="s">
        <v>103</v>
      </c>
      <c r="N222" s="61" t="str">
        <f t="shared" si="48"/>
        <v/>
      </c>
      <c r="O222" s="62" t="s">
        <v>103</v>
      </c>
      <c r="P222" s="64" t="str">
        <f t="shared" si="54"/>
        <v/>
      </c>
      <c r="Q222" s="60" t="s">
        <v>103</v>
      </c>
      <c r="R222" s="61" t="str">
        <f t="shared" si="55"/>
        <v/>
      </c>
      <c r="S222" s="62" t="s">
        <v>103</v>
      </c>
      <c r="T222" s="64" t="str">
        <f t="shared" si="56"/>
        <v/>
      </c>
      <c r="U222" s="60" t="s">
        <v>103</v>
      </c>
      <c r="V222" s="61" t="str">
        <f t="shared" si="57"/>
        <v/>
      </c>
      <c r="W222" s="62" t="s">
        <v>103</v>
      </c>
      <c r="X222" s="64" t="str">
        <f t="shared" si="58"/>
        <v/>
      </c>
      <c r="Y222" s="62" t="s">
        <v>103</v>
      </c>
      <c r="Z222" s="64" t="str">
        <f t="shared" si="59"/>
        <v/>
      </c>
      <c r="AA222" s="60" t="s">
        <v>103</v>
      </c>
      <c r="AB222" s="61" t="str">
        <f t="shared" si="60"/>
        <v/>
      </c>
      <c r="AC222" s="62" t="s">
        <v>103</v>
      </c>
      <c r="AD222" s="61" t="str">
        <f t="shared" si="61"/>
        <v/>
      </c>
      <c r="AE222" s="62" t="s">
        <v>103</v>
      </c>
      <c r="AF222" s="64" t="str">
        <f t="shared" si="62"/>
        <v/>
      </c>
      <c r="AG222" s="66" t="s">
        <v>452</v>
      </c>
      <c r="AH222" s="38" t="str">
        <f t="shared" si="63"/>
        <v>ABSENT</v>
      </c>
      <c r="AI222" s="28" t="str">
        <f>spellnumber(EXTRACTnUMBER_TOT(AG222))</f>
        <v xml:space="preserve"> </v>
      </c>
    </row>
    <row r="223" spans="1:35" ht="15" customHeight="1">
      <c r="A223" s="59" t="s">
        <v>370</v>
      </c>
      <c r="B223" s="42" t="s">
        <v>371</v>
      </c>
      <c r="C223" s="60" t="s">
        <v>103</v>
      </c>
      <c r="D223" s="61" t="str">
        <f t="shared" si="49"/>
        <v/>
      </c>
      <c r="E223" s="62" t="s">
        <v>103</v>
      </c>
      <c r="F223" s="61" t="str">
        <f t="shared" si="50"/>
        <v/>
      </c>
      <c r="G223" s="63" t="s">
        <v>103</v>
      </c>
      <c r="H223" s="61" t="str">
        <f t="shared" si="51"/>
        <v/>
      </c>
      <c r="I223" s="62" t="s">
        <v>103</v>
      </c>
      <c r="J223" s="61" t="str">
        <f t="shared" si="52"/>
        <v/>
      </c>
      <c r="K223" s="62" t="s">
        <v>103</v>
      </c>
      <c r="L223" s="61" t="str">
        <f t="shared" si="53"/>
        <v/>
      </c>
      <c r="M223" s="63" t="s">
        <v>103</v>
      </c>
      <c r="N223" s="61" t="str">
        <f t="shared" si="48"/>
        <v/>
      </c>
      <c r="O223" s="62" t="s">
        <v>103</v>
      </c>
      <c r="P223" s="64" t="str">
        <f t="shared" si="54"/>
        <v/>
      </c>
      <c r="Q223" s="60" t="s">
        <v>103</v>
      </c>
      <c r="R223" s="61" t="str">
        <f t="shared" si="55"/>
        <v/>
      </c>
      <c r="S223" s="62" t="s">
        <v>103</v>
      </c>
      <c r="T223" s="64" t="str">
        <f t="shared" si="56"/>
        <v/>
      </c>
      <c r="U223" s="60" t="s">
        <v>103</v>
      </c>
      <c r="V223" s="61" t="str">
        <f t="shared" si="57"/>
        <v/>
      </c>
      <c r="W223" s="62" t="s">
        <v>103</v>
      </c>
      <c r="X223" s="64" t="str">
        <f t="shared" si="58"/>
        <v/>
      </c>
      <c r="Y223" s="62" t="s">
        <v>103</v>
      </c>
      <c r="Z223" s="64" t="str">
        <f t="shared" si="59"/>
        <v/>
      </c>
      <c r="AA223" s="60" t="s">
        <v>103</v>
      </c>
      <c r="AB223" s="61" t="str">
        <f t="shared" si="60"/>
        <v/>
      </c>
      <c r="AC223" s="62" t="s">
        <v>103</v>
      </c>
      <c r="AD223" s="61" t="str">
        <f t="shared" si="61"/>
        <v/>
      </c>
      <c r="AE223" s="62" t="s">
        <v>103</v>
      </c>
      <c r="AF223" s="64" t="str">
        <f t="shared" si="62"/>
        <v/>
      </c>
      <c r="AG223" s="66" t="s">
        <v>452</v>
      </c>
      <c r="AH223" s="38" t="str">
        <f t="shared" si="63"/>
        <v>ABSENT</v>
      </c>
      <c r="AI223" s="28" t="str">
        <f>spellnumber(EXTRACTnUMBER_TOT(AG223))</f>
        <v xml:space="preserve"> </v>
      </c>
    </row>
    <row r="224" spans="1:35" ht="15" customHeight="1">
      <c r="A224" s="59" t="s">
        <v>372</v>
      </c>
      <c r="B224" s="42" t="s">
        <v>373</v>
      </c>
      <c r="C224" s="60" t="s">
        <v>455</v>
      </c>
      <c r="D224" s="61" t="str">
        <f t="shared" ca="1" si="49"/>
        <v>F</v>
      </c>
      <c r="E224" s="62">
        <v>10</v>
      </c>
      <c r="F224" s="61" t="str">
        <f t="shared" ca="1" si="50"/>
        <v>E</v>
      </c>
      <c r="G224" s="63">
        <v>40</v>
      </c>
      <c r="H224" s="61" t="str">
        <f t="shared" ca="1" si="51"/>
        <v>E</v>
      </c>
      <c r="I224" s="62">
        <v>16</v>
      </c>
      <c r="J224" s="61" t="str">
        <f t="shared" ca="1" si="52"/>
        <v>E</v>
      </c>
      <c r="K224" s="62">
        <v>19</v>
      </c>
      <c r="L224" s="61" t="str">
        <f t="shared" ca="1" si="53"/>
        <v>E</v>
      </c>
      <c r="M224" s="63">
        <v>10</v>
      </c>
      <c r="N224" s="61" t="str">
        <f t="shared" ca="1" si="48"/>
        <v>F</v>
      </c>
      <c r="O224" s="62">
        <v>10</v>
      </c>
      <c r="P224" s="64" t="str">
        <f t="shared" ca="1" si="54"/>
        <v>E</v>
      </c>
      <c r="Q224" s="60">
        <v>15</v>
      </c>
      <c r="R224" s="61" t="str">
        <f t="shared" ca="1" si="55"/>
        <v>F</v>
      </c>
      <c r="S224" s="62">
        <v>20</v>
      </c>
      <c r="T224" s="64" t="str">
        <f t="shared" ca="1" si="56"/>
        <v>E</v>
      </c>
      <c r="U224" s="60" t="s">
        <v>460</v>
      </c>
      <c r="V224" s="61" t="str">
        <f t="shared" ca="1" si="57"/>
        <v>F</v>
      </c>
      <c r="W224" s="62">
        <v>10</v>
      </c>
      <c r="X224" s="64" t="str">
        <f t="shared" ca="1" si="58"/>
        <v>E</v>
      </c>
      <c r="Y224" s="62">
        <v>12</v>
      </c>
      <c r="Z224" s="64" t="str">
        <f t="shared" ca="1" si="59"/>
        <v>E</v>
      </c>
      <c r="AA224" s="60" t="s">
        <v>119</v>
      </c>
      <c r="AB224" s="61" t="str">
        <f t="shared" ca="1" si="60"/>
        <v>F</v>
      </c>
      <c r="AC224" s="62">
        <v>10</v>
      </c>
      <c r="AD224" s="61" t="str">
        <f t="shared" ca="1" si="61"/>
        <v>E</v>
      </c>
      <c r="AE224" s="62">
        <v>33</v>
      </c>
      <c r="AF224" s="64" t="str">
        <f t="shared" ca="1" si="62"/>
        <v>E</v>
      </c>
      <c r="AG224" s="66">
        <f>IF(OR(AND(C224&gt;=31,C224&lt;40),AND(G224&gt;=31,G224&lt;40),AND(M224&gt;=31,M224&lt;40),AND(Q224&gt;=31,Q224&lt;40),AND(U224&gt;=31,U224&lt;40),AND(AA224&gt;=31,AA224&lt;40)),IF(AND(OR(COUNTIF(C224:AF224,"=31")&gt;=1,COUNTIF(C224:AF224,"=32")&gt;=1,COUNTIF(C224:AF224,"=33")&gt;=1,COUNTIF(C224:AF224,"=34")&gt;=1,COUNTIF(C224:AF224,"=35")&gt;=1,COUNTIF(C224:AF224,"=36")&gt;=1 ),COUNTIF(C224:AF224,"")=0,COUNTIF(C224:AF224," ")=0,COUNTIF(C224:AF224,"F")=1),CONCATENATE(SUM(EXTRACTNUMBER(C224),EXTRACTNUMBER(E224),
EXTRACTNUMBER(G224),EXTRACTNUMBER(I224),
EXTRACTNUMBER(K224),EXTRACTNUMBER(M224),
EXTRACTNUMBER(O224),EXTRACTNUMBER(Q224),
EXTRACTNUMBER(S224),EXTRACTNUMBER(U224),
EXTRACTNUMBER(W224),EXTRACTNUMBER(Y224),EXTRACTNUMBER(AA224),
EXTRACTNUMBER(AC224),EXTRACTNUMBER(AE224)),"*"),IF(AND(COUNTIF(C224:AF224,"=34")&gt;=1,COUNTIF(C224:AF224,"=35")&gt;=1,COUNTIF(C224:AF224,"f")=2,COUNTIF(C224:AF224,"")=0,COUNTIF(C224:AF224," ")=0),CONCATENATE(SUM(EXTRACTNUMBER(C224),EXTRACTNUMBER(E224),
EXTRACTNUMBER(G224),EXTRACTNUMBER(I224),
EXTRACTNUMBER(K224),EXTRACTNUMBER(M224),
EXTRACTNUMBER(O224),EXTRACTNUMBER(Q224),
EXTRACTNUMBER(S224),EXTRACTNUMBER(U224),
EXTRACTNUMBER(W224),EXTRACTNUMBER(Y224),EXTRACTNUMBER(AA224),
EXTRACTNUMBER(AC224),EXTRACTNUMBER(AE224)),"*"),IF(AND(COUNTIF(C224:AF224,"=36")&gt;=2,COUNTIF(C224:AF224,"f")=2,COUNTIF(C224:AF224,"")=0,COUNTIF(C224:AF224," ")=0),CONCATENATE(SUM(EXTRACTNUMBER(C224),EXTRACTNUMBER(E224),
EXTRACTNUMBER(G224),EXTRACTNUMBER(I224),
EXTRACTNUMBER(K224),EXTRACTNUMBER(M224),
EXTRACTNUMBER(O224),EXTRACTNUMBER(Q224),
EXTRACTNUMBER(S224),EXTRACTNUMBER(U224),
EXTRACTNUMBER(W224),EXTRACTNUMBER(Y224),EXTRACTNUMBER(AA224),
EXTRACTNUMBER(AC224),EXTRACTNUMBER(AE224)),"*"),SUM(EXTRACTNUMBER(C224),EXTRACTNUMBER(E224),
EXTRACTNUMBER(G224),EXTRACTNUMBER(I224),
EXTRACTNUMBER(K224),EXTRACTNUMBER(M224),
EXTRACTNUMBER(O224),EXTRACTNUMBER(Q224),
EXTRACTNUMBER(S224),EXTRACTNUMBER(U224),
EXTRACTNUMBER(W224),EXTRACTNUMBER(Y224),EXTRACTNUMBER(AA224),
EXTRACTNUMBER(AC224),EXTRACTNUMBER(AE224))))),SUM(EXTRACTNUMBER(C224),EXTRACTNUMBER(E224),
EXTRACTNUMBER(G224),EXTRACTNUMBER(I224),
EXTRACTNUMBER(K224),EXTRACTNUMBER(M224),
EXTRACTNUMBER(O224),EXTRACTNUMBER(Q224),
EXTRACTNUMBER(S224),EXTRACTNUMBER(U224),
EXTRACTNUMBER(W224),EXTRACTNUMBER(Y224),EXTRACTNUMBER(AA224),
EXTRACTNUMBER(AC224),EXTRACTNUMBER(AE224)))</f>
        <v>209</v>
      </c>
      <c r="AH224" s="38" t="str">
        <f t="shared" ca="1" si="63"/>
        <v>FAIL</v>
      </c>
      <c r="AI224" s="28" t="str">
        <f>spellnumber(EXTRACTnUMBER_TOT(AG224))</f>
        <v xml:space="preserve">Two Hundred Nine </v>
      </c>
    </row>
    <row r="225" spans="1:35" ht="15" customHeight="1">
      <c r="A225" s="59" t="s">
        <v>374</v>
      </c>
      <c r="B225" s="42" t="s">
        <v>375</v>
      </c>
      <c r="C225" s="60" t="s">
        <v>103</v>
      </c>
      <c r="D225" s="61" t="str">
        <f t="shared" si="49"/>
        <v/>
      </c>
      <c r="E225" s="62" t="s">
        <v>103</v>
      </c>
      <c r="F225" s="61" t="str">
        <f t="shared" si="50"/>
        <v/>
      </c>
      <c r="G225" s="63" t="s">
        <v>103</v>
      </c>
      <c r="H225" s="61" t="str">
        <f t="shared" si="51"/>
        <v/>
      </c>
      <c r="I225" s="62" t="s">
        <v>103</v>
      </c>
      <c r="J225" s="61" t="str">
        <f t="shared" si="52"/>
        <v/>
      </c>
      <c r="K225" s="62" t="s">
        <v>103</v>
      </c>
      <c r="L225" s="61" t="str">
        <f t="shared" si="53"/>
        <v/>
      </c>
      <c r="M225" s="63" t="s">
        <v>103</v>
      </c>
      <c r="N225" s="61" t="str">
        <f t="shared" si="48"/>
        <v/>
      </c>
      <c r="O225" s="62" t="s">
        <v>103</v>
      </c>
      <c r="P225" s="64" t="str">
        <f t="shared" si="54"/>
        <v/>
      </c>
      <c r="Q225" s="60" t="s">
        <v>103</v>
      </c>
      <c r="R225" s="61" t="str">
        <f t="shared" si="55"/>
        <v/>
      </c>
      <c r="S225" s="62" t="s">
        <v>103</v>
      </c>
      <c r="T225" s="64" t="str">
        <f t="shared" si="56"/>
        <v/>
      </c>
      <c r="U225" s="60" t="s">
        <v>103</v>
      </c>
      <c r="V225" s="61" t="str">
        <f t="shared" si="57"/>
        <v/>
      </c>
      <c r="W225" s="62" t="s">
        <v>103</v>
      </c>
      <c r="X225" s="64" t="str">
        <f t="shared" si="58"/>
        <v/>
      </c>
      <c r="Y225" s="62" t="s">
        <v>103</v>
      </c>
      <c r="Z225" s="64" t="str">
        <f t="shared" si="59"/>
        <v/>
      </c>
      <c r="AA225" s="60" t="s">
        <v>103</v>
      </c>
      <c r="AB225" s="61" t="str">
        <f t="shared" si="60"/>
        <v/>
      </c>
      <c r="AC225" s="62" t="s">
        <v>103</v>
      </c>
      <c r="AD225" s="61" t="str">
        <f t="shared" si="61"/>
        <v/>
      </c>
      <c r="AE225" s="62" t="s">
        <v>103</v>
      </c>
      <c r="AF225" s="64" t="str">
        <f t="shared" si="62"/>
        <v/>
      </c>
      <c r="AG225" s="66" t="s">
        <v>452</v>
      </c>
      <c r="AH225" s="38" t="str">
        <f t="shared" si="63"/>
        <v>ABSENT</v>
      </c>
      <c r="AI225" s="28" t="str">
        <f>spellnumber(EXTRACTnUMBER_TOT(AG225))</f>
        <v xml:space="preserve"> </v>
      </c>
    </row>
    <row r="226" spans="1:35" ht="15" customHeight="1">
      <c r="A226" s="59" t="s">
        <v>376</v>
      </c>
      <c r="B226" s="42" t="s">
        <v>377</v>
      </c>
      <c r="C226" s="60" t="s">
        <v>103</v>
      </c>
      <c r="D226" s="61" t="str">
        <f t="shared" si="49"/>
        <v/>
      </c>
      <c r="E226" s="62" t="s">
        <v>103</v>
      </c>
      <c r="F226" s="61" t="str">
        <f t="shared" si="50"/>
        <v/>
      </c>
      <c r="G226" s="63" t="s">
        <v>103</v>
      </c>
      <c r="H226" s="61" t="str">
        <f t="shared" si="51"/>
        <v/>
      </c>
      <c r="I226" s="62" t="s">
        <v>103</v>
      </c>
      <c r="J226" s="61" t="str">
        <f t="shared" si="52"/>
        <v/>
      </c>
      <c r="K226" s="62" t="s">
        <v>103</v>
      </c>
      <c r="L226" s="61" t="str">
        <f t="shared" si="53"/>
        <v/>
      </c>
      <c r="M226" s="63" t="s">
        <v>103</v>
      </c>
      <c r="N226" s="61" t="str">
        <f t="shared" si="48"/>
        <v/>
      </c>
      <c r="O226" s="62" t="s">
        <v>103</v>
      </c>
      <c r="P226" s="64" t="str">
        <f t="shared" si="54"/>
        <v/>
      </c>
      <c r="Q226" s="60" t="s">
        <v>103</v>
      </c>
      <c r="R226" s="61" t="str">
        <f t="shared" si="55"/>
        <v/>
      </c>
      <c r="S226" s="62" t="s">
        <v>103</v>
      </c>
      <c r="T226" s="64" t="str">
        <f t="shared" si="56"/>
        <v/>
      </c>
      <c r="U226" s="60" t="s">
        <v>103</v>
      </c>
      <c r="V226" s="61" t="str">
        <f t="shared" si="57"/>
        <v/>
      </c>
      <c r="W226" s="62" t="s">
        <v>103</v>
      </c>
      <c r="X226" s="64" t="str">
        <f t="shared" si="58"/>
        <v/>
      </c>
      <c r="Y226" s="62" t="s">
        <v>103</v>
      </c>
      <c r="Z226" s="64" t="str">
        <f t="shared" si="59"/>
        <v/>
      </c>
      <c r="AA226" s="60" t="s">
        <v>103</v>
      </c>
      <c r="AB226" s="61" t="str">
        <f t="shared" si="60"/>
        <v/>
      </c>
      <c r="AC226" s="62" t="s">
        <v>103</v>
      </c>
      <c r="AD226" s="61" t="str">
        <f t="shared" si="61"/>
        <v/>
      </c>
      <c r="AE226" s="62" t="s">
        <v>103</v>
      </c>
      <c r="AF226" s="64" t="str">
        <f t="shared" si="62"/>
        <v/>
      </c>
      <c r="AG226" s="66" t="s">
        <v>452</v>
      </c>
      <c r="AH226" s="38" t="str">
        <f t="shared" si="63"/>
        <v>ABSENT</v>
      </c>
      <c r="AI226" s="28" t="str">
        <f>spellnumber(EXTRACTnUMBER_TOT(AG226))</f>
        <v xml:space="preserve"> </v>
      </c>
    </row>
    <row r="227" spans="1:35" ht="15" customHeight="1">
      <c r="A227" s="59" t="s">
        <v>378</v>
      </c>
      <c r="B227" s="42" t="s">
        <v>379</v>
      </c>
      <c r="C227" s="60" t="s">
        <v>103</v>
      </c>
      <c r="D227" s="61" t="str">
        <f t="shared" si="49"/>
        <v/>
      </c>
      <c r="E227" s="62" t="s">
        <v>103</v>
      </c>
      <c r="F227" s="61" t="str">
        <f t="shared" si="50"/>
        <v/>
      </c>
      <c r="G227" s="63" t="s">
        <v>103</v>
      </c>
      <c r="H227" s="61" t="str">
        <f t="shared" si="51"/>
        <v/>
      </c>
      <c r="I227" s="62" t="s">
        <v>103</v>
      </c>
      <c r="J227" s="61" t="str">
        <f t="shared" si="52"/>
        <v/>
      </c>
      <c r="K227" s="62" t="s">
        <v>103</v>
      </c>
      <c r="L227" s="61" t="str">
        <f t="shared" si="53"/>
        <v/>
      </c>
      <c r="M227" s="63" t="s">
        <v>103</v>
      </c>
      <c r="N227" s="61" t="str">
        <f t="shared" si="48"/>
        <v/>
      </c>
      <c r="O227" s="62" t="s">
        <v>103</v>
      </c>
      <c r="P227" s="64" t="str">
        <f t="shared" si="54"/>
        <v/>
      </c>
      <c r="Q227" s="60" t="s">
        <v>103</v>
      </c>
      <c r="R227" s="61" t="str">
        <f t="shared" si="55"/>
        <v/>
      </c>
      <c r="S227" s="62" t="s">
        <v>103</v>
      </c>
      <c r="T227" s="64" t="str">
        <f t="shared" si="56"/>
        <v/>
      </c>
      <c r="U227" s="60" t="s">
        <v>103</v>
      </c>
      <c r="V227" s="61" t="str">
        <f t="shared" si="57"/>
        <v/>
      </c>
      <c r="W227" s="62" t="s">
        <v>103</v>
      </c>
      <c r="X227" s="64" t="str">
        <f t="shared" si="58"/>
        <v/>
      </c>
      <c r="Y227" s="62" t="s">
        <v>103</v>
      </c>
      <c r="Z227" s="64" t="str">
        <f t="shared" si="59"/>
        <v/>
      </c>
      <c r="AA227" s="60" t="s">
        <v>103</v>
      </c>
      <c r="AB227" s="61" t="str">
        <f t="shared" si="60"/>
        <v/>
      </c>
      <c r="AC227" s="62" t="s">
        <v>103</v>
      </c>
      <c r="AD227" s="61" t="str">
        <f t="shared" si="61"/>
        <v/>
      </c>
      <c r="AE227" s="62" t="s">
        <v>103</v>
      </c>
      <c r="AF227" s="64" t="str">
        <f t="shared" si="62"/>
        <v/>
      </c>
      <c r="AG227" s="66" t="s">
        <v>452</v>
      </c>
      <c r="AH227" s="38" t="str">
        <f t="shared" si="63"/>
        <v>ABSENT</v>
      </c>
      <c r="AI227" s="28" t="str">
        <f>spellnumber(EXTRACTnUMBER_TOT(AG227))</f>
        <v xml:space="preserve"> </v>
      </c>
    </row>
    <row r="228" spans="1:35" ht="15" customHeight="1">
      <c r="A228" s="59" t="s">
        <v>380</v>
      </c>
      <c r="B228" s="42" t="s">
        <v>381</v>
      </c>
      <c r="C228" s="60" t="s">
        <v>103</v>
      </c>
      <c r="D228" s="61" t="str">
        <f t="shared" si="49"/>
        <v/>
      </c>
      <c r="E228" s="62" t="s">
        <v>103</v>
      </c>
      <c r="F228" s="61" t="str">
        <f t="shared" si="50"/>
        <v/>
      </c>
      <c r="G228" s="63" t="s">
        <v>103</v>
      </c>
      <c r="H228" s="61" t="str">
        <f t="shared" si="51"/>
        <v/>
      </c>
      <c r="I228" s="62" t="s">
        <v>103</v>
      </c>
      <c r="J228" s="61" t="str">
        <f t="shared" si="52"/>
        <v/>
      </c>
      <c r="K228" s="62" t="s">
        <v>103</v>
      </c>
      <c r="L228" s="61" t="str">
        <f t="shared" si="53"/>
        <v/>
      </c>
      <c r="M228" s="63" t="s">
        <v>103</v>
      </c>
      <c r="N228" s="61" t="str">
        <f t="shared" si="48"/>
        <v/>
      </c>
      <c r="O228" s="62" t="s">
        <v>103</v>
      </c>
      <c r="P228" s="64" t="str">
        <f t="shared" si="54"/>
        <v/>
      </c>
      <c r="Q228" s="60" t="s">
        <v>103</v>
      </c>
      <c r="R228" s="61" t="str">
        <f t="shared" si="55"/>
        <v/>
      </c>
      <c r="S228" s="62" t="s">
        <v>103</v>
      </c>
      <c r="T228" s="64" t="str">
        <f t="shared" si="56"/>
        <v/>
      </c>
      <c r="U228" s="60" t="s">
        <v>103</v>
      </c>
      <c r="V228" s="61" t="str">
        <f t="shared" si="57"/>
        <v/>
      </c>
      <c r="W228" s="62" t="s">
        <v>103</v>
      </c>
      <c r="X228" s="64" t="str">
        <f t="shared" si="58"/>
        <v/>
      </c>
      <c r="Y228" s="62" t="s">
        <v>103</v>
      </c>
      <c r="Z228" s="64" t="str">
        <f t="shared" si="59"/>
        <v/>
      </c>
      <c r="AA228" s="60" t="s">
        <v>103</v>
      </c>
      <c r="AB228" s="61" t="str">
        <f t="shared" si="60"/>
        <v/>
      </c>
      <c r="AC228" s="62" t="s">
        <v>103</v>
      </c>
      <c r="AD228" s="61" t="str">
        <f t="shared" si="61"/>
        <v/>
      </c>
      <c r="AE228" s="62" t="s">
        <v>103</v>
      </c>
      <c r="AF228" s="64" t="str">
        <f t="shared" si="62"/>
        <v/>
      </c>
      <c r="AG228" s="66" t="s">
        <v>452</v>
      </c>
      <c r="AH228" s="38" t="str">
        <f t="shared" si="63"/>
        <v>ABSENT</v>
      </c>
      <c r="AI228" s="28" t="str">
        <f>spellnumber(EXTRACTnUMBER_TOT(AG228))</f>
        <v xml:space="preserve"> </v>
      </c>
    </row>
    <row r="229" spans="1:35" ht="15" customHeight="1">
      <c r="A229" s="59" t="s">
        <v>382</v>
      </c>
      <c r="B229" s="42" t="s">
        <v>383</v>
      </c>
      <c r="C229" s="60" t="s">
        <v>103</v>
      </c>
      <c r="D229" s="61" t="str">
        <f t="shared" si="49"/>
        <v/>
      </c>
      <c r="E229" s="62" t="s">
        <v>103</v>
      </c>
      <c r="F229" s="61" t="str">
        <f t="shared" si="50"/>
        <v/>
      </c>
      <c r="G229" s="63" t="s">
        <v>103</v>
      </c>
      <c r="H229" s="61" t="str">
        <f t="shared" si="51"/>
        <v/>
      </c>
      <c r="I229" s="62" t="s">
        <v>103</v>
      </c>
      <c r="J229" s="61" t="str">
        <f t="shared" si="52"/>
        <v/>
      </c>
      <c r="K229" s="62" t="s">
        <v>103</v>
      </c>
      <c r="L229" s="61" t="str">
        <f t="shared" si="53"/>
        <v/>
      </c>
      <c r="M229" s="63" t="s">
        <v>103</v>
      </c>
      <c r="N229" s="61" t="str">
        <f t="shared" si="48"/>
        <v/>
      </c>
      <c r="O229" s="62" t="s">
        <v>103</v>
      </c>
      <c r="P229" s="64" t="str">
        <f t="shared" si="54"/>
        <v/>
      </c>
      <c r="Q229" s="60" t="s">
        <v>103</v>
      </c>
      <c r="R229" s="61" t="str">
        <f t="shared" si="55"/>
        <v/>
      </c>
      <c r="S229" s="62" t="s">
        <v>103</v>
      </c>
      <c r="T229" s="64" t="str">
        <f t="shared" si="56"/>
        <v/>
      </c>
      <c r="U229" s="60" t="s">
        <v>103</v>
      </c>
      <c r="V229" s="61" t="str">
        <f t="shared" si="57"/>
        <v/>
      </c>
      <c r="W229" s="62" t="s">
        <v>103</v>
      </c>
      <c r="X229" s="64" t="str">
        <f t="shared" si="58"/>
        <v/>
      </c>
      <c r="Y229" s="62" t="s">
        <v>103</v>
      </c>
      <c r="Z229" s="64" t="str">
        <f t="shared" si="59"/>
        <v/>
      </c>
      <c r="AA229" s="60" t="s">
        <v>103</v>
      </c>
      <c r="AB229" s="61" t="str">
        <f t="shared" si="60"/>
        <v/>
      </c>
      <c r="AC229" s="62" t="s">
        <v>103</v>
      </c>
      <c r="AD229" s="61" t="str">
        <f t="shared" si="61"/>
        <v/>
      </c>
      <c r="AE229" s="62" t="s">
        <v>103</v>
      </c>
      <c r="AF229" s="64" t="str">
        <f t="shared" si="62"/>
        <v/>
      </c>
      <c r="AG229" s="66" t="s">
        <v>452</v>
      </c>
      <c r="AH229" s="38" t="str">
        <f t="shared" si="63"/>
        <v>ABSENT</v>
      </c>
      <c r="AI229" s="28" t="str">
        <f>spellnumber(EXTRACTnUMBER_TOT(AG229))</f>
        <v xml:space="preserve"> </v>
      </c>
    </row>
    <row r="230" spans="1:35" ht="15" customHeight="1">
      <c r="A230" s="59" t="s">
        <v>384</v>
      </c>
      <c r="B230" s="42" t="s">
        <v>385</v>
      </c>
      <c r="C230" s="60" t="s">
        <v>103</v>
      </c>
      <c r="D230" s="61" t="str">
        <f t="shared" si="49"/>
        <v/>
      </c>
      <c r="E230" s="62" t="s">
        <v>103</v>
      </c>
      <c r="F230" s="61" t="str">
        <f t="shared" si="50"/>
        <v/>
      </c>
      <c r="G230" s="63" t="s">
        <v>103</v>
      </c>
      <c r="H230" s="61" t="str">
        <f t="shared" si="51"/>
        <v/>
      </c>
      <c r="I230" s="62" t="s">
        <v>103</v>
      </c>
      <c r="J230" s="61" t="str">
        <f t="shared" si="52"/>
        <v/>
      </c>
      <c r="K230" s="62" t="s">
        <v>103</v>
      </c>
      <c r="L230" s="61" t="str">
        <f t="shared" si="53"/>
        <v/>
      </c>
      <c r="M230" s="63" t="s">
        <v>103</v>
      </c>
      <c r="N230" s="61" t="str">
        <f t="shared" si="48"/>
        <v/>
      </c>
      <c r="O230" s="62" t="s">
        <v>103</v>
      </c>
      <c r="P230" s="64" t="str">
        <f t="shared" si="54"/>
        <v/>
      </c>
      <c r="Q230" s="60" t="s">
        <v>103</v>
      </c>
      <c r="R230" s="61" t="str">
        <f t="shared" si="55"/>
        <v/>
      </c>
      <c r="S230" s="62" t="s">
        <v>103</v>
      </c>
      <c r="T230" s="64" t="str">
        <f t="shared" si="56"/>
        <v/>
      </c>
      <c r="U230" s="60" t="s">
        <v>103</v>
      </c>
      <c r="V230" s="61" t="str">
        <f t="shared" si="57"/>
        <v/>
      </c>
      <c r="W230" s="62" t="s">
        <v>103</v>
      </c>
      <c r="X230" s="64" t="str">
        <f t="shared" si="58"/>
        <v/>
      </c>
      <c r="Y230" s="62" t="s">
        <v>103</v>
      </c>
      <c r="Z230" s="64" t="str">
        <f t="shared" si="59"/>
        <v/>
      </c>
      <c r="AA230" s="60" t="s">
        <v>103</v>
      </c>
      <c r="AB230" s="61" t="str">
        <f t="shared" si="60"/>
        <v/>
      </c>
      <c r="AC230" s="62" t="s">
        <v>103</v>
      </c>
      <c r="AD230" s="61" t="str">
        <f t="shared" si="61"/>
        <v/>
      </c>
      <c r="AE230" s="62" t="s">
        <v>103</v>
      </c>
      <c r="AF230" s="64" t="str">
        <f t="shared" si="62"/>
        <v/>
      </c>
      <c r="AG230" s="66" t="s">
        <v>452</v>
      </c>
      <c r="AH230" s="38" t="str">
        <f t="shared" si="63"/>
        <v>ABSENT</v>
      </c>
      <c r="AI230" s="28" t="str">
        <f>spellnumber(EXTRACTnUMBER_TOT(AG230))</f>
        <v xml:space="preserve"> </v>
      </c>
    </row>
    <row r="231" spans="1:35" ht="15" customHeight="1">
      <c r="A231" s="59" t="s">
        <v>386</v>
      </c>
      <c r="B231" s="42" t="s">
        <v>387</v>
      </c>
      <c r="C231" s="60" t="s">
        <v>103</v>
      </c>
      <c r="D231" s="61" t="str">
        <f t="shared" si="49"/>
        <v/>
      </c>
      <c r="E231" s="62" t="s">
        <v>103</v>
      </c>
      <c r="F231" s="61" t="str">
        <f t="shared" si="50"/>
        <v/>
      </c>
      <c r="G231" s="63" t="s">
        <v>103</v>
      </c>
      <c r="H231" s="61" t="str">
        <f t="shared" si="51"/>
        <v/>
      </c>
      <c r="I231" s="62">
        <v>16</v>
      </c>
      <c r="J231" s="61" t="str">
        <f t="shared" ca="1" si="52"/>
        <v>E</v>
      </c>
      <c r="K231" s="62">
        <v>19</v>
      </c>
      <c r="L231" s="61" t="str">
        <f t="shared" ca="1" si="53"/>
        <v>E</v>
      </c>
      <c r="M231" s="63" t="s">
        <v>103</v>
      </c>
      <c r="N231" s="61" t="str">
        <f t="shared" si="48"/>
        <v/>
      </c>
      <c r="O231" s="62" t="s">
        <v>103</v>
      </c>
      <c r="P231" s="64" t="str">
        <f t="shared" si="54"/>
        <v/>
      </c>
      <c r="Q231" s="60" t="s">
        <v>103</v>
      </c>
      <c r="R231" s="61" t="str">
        <f t="shared" si="55"/>
        <v/>
      </c>
      <c r="S231" s="62" t="s">
        <v>103</v>
      </c>
      <c r="T231" s="64" t="str">
        <f t="shared" si="56"/>
        <v/>
      </c>
      <c r="U231" s="60" t="s">
        <v>103</v>
      </c>
      <c r="V231" s="61" t="str">
        <f t="shared" si="57"/>
        <v/>
      </c>
      <c r="W231" s="62" t="s">
        <v>103</v>
      </c>
      <c r="X231" s="64" t="str">
        <f t="shared" si="58"/>
        <v/>
      </c>
      <c r="Y231" s="62" t="s">
        <v>103</v>
      </c>
      <c r="Z231" s="64" t="str">
        <f t="shared" si="59"/>
        <v/>
      </c>
      <c r="AA231" s="60" t="s">
        <v>103</v>
      </c>
      <c r="AB231" s="61" t="str">
        <f t="shared" si="60"/>
        <v/>
      </c>
      <c r="AC231" s="62" t="s">
        <v>103</v>
      </c>
      <c r="AD231" s="61" t="str">
        <f t="shared" si="61"/>
        <v/>
      </c>
      <c r="AE231" s="62" t="s">
        <v>103</v>
      </c>
      <c r="AF231" s="64" t="str">
        <f t="shared" si="62"/>
        <v/>
      </c>
      <c r="AG231" s="66">
        <f>IF(OR(AND(C231&gt;=31,C231&lt;40),AND(G231&gt;=31,G231&lt;40),AND(M231&gt;=31,M231&lt;40),AND(Q231&gt;=31,Q231&lt;40),AND(U231&gt;=31,U231&lt;40),AND(AA231&gt;=31,AA231&lt;40)),IF(AND(OR(COUNTIF(C231:AF231,"=31")&gt;=1,COUNTIF(C231:AF231,"=32")&gt;=1,COUNTIF(C231:AF231,"=33")&gt;=1,COUNTIF(C231:AF231,"=34")&gt;=1,COUNTIF(C231:AF231,"=35")&gt;=1,COUNTIF(C231:AF231,"=36")&gt;=1 ),COUNTIF(C231:AF231,"")=0,COUNTIF(C231:AF231," ")=0,COUNTIF(C231:AF231,"F")=1),CONCATENATE(SUM(EXTRACTNUMBER(C231),EXTRACTNUMBER(E231),
EXTRACTNUMBER(G231),EXTRACTNUMBER(I231),
EXTRACTNUMBER(K231),EXTRACTNUMBER(M231),
EXTRACTNUMBER(O231),EXTRACTNUMBER(Q231),
EXTRACTNUMBER(S231),EXTRACTNUMBER(U231),
EXTRACTNUMBER(W231),EXTRACTNUMBER(Y231),EXTRACTNUMBER(AA231),
EXTRACTNUMBER(AC231),EXTRACTNUMBER(AE231)),"*"),IF(AND(COUNTIF(C231:AF231,"=34")&gt;=1,COUNTIF(C231:AF231,"=35")&gt;=1,COUNTIF(C231:AF231,"f")=2,COUNTIF(C231:AF231,"")=0,COUNTIF(C231:AF231," ")=0),CONCATENATE(SUM(EXTRACTNUMBER(C231),EXTRACTNUMBER(E231),
EXTRACTNUMBER(G231),EXTRACTNUMBER(I231),
EXTRACTNUMBER(K231),EXTRACTNUMBER(M231),
EXTRACTNUMBER(O231),EXTRACTNUMBER(Q231),
EXTRACTNUMBER(S231),EXTRACTNUMBER(U231),
EXTRACTNUMBER(W231),EXTRACTNUMBER(Y231),EXTRACTNUMBER(AA231),
EXTRACTNUMBER(AC231),EXTRACTNUMBER(AE231)),"*"),IF(AND(COUNTIF(C231:AF231,"=36")&gt;=2,COUNTIF(C231:AF231,"f")=2,COUNTIF(C231:AF231,"")=0,COUNTIF(C231:AF231," ")=0),CONCATENATE(SUM(EXTRACTNUMBER(C231),EXTRACTNUMBER(E231),
EXTRACTNUMBER(G231),EXTRACTNUMBER(I231),
EXTRACTNUMBER(K231),EXTRACTNUMBER(M231),
EXTRACTNUMBER(O231),EXTRACTNUMBER(Q231),
EXTRACTNUMBER(S231),EXTRACTNUMBER(U231),
EXTRACTNUMBER(W231),EXTRACTNUMBER(Y231),EXTRACTNUMBER(AA231),
EXTRACTNUMBER(AC231),EXTRACTNUMBER(AE231)),"*"),SUM(EXTRACTNUMBER(C231),EXTRACTNUMBER(E231),
EXTRACTNUMBER(G231),EXTRACTNUMBER(I231),
EXTRACTNUMBER(K231),EXTRACTNUMBER(M231),
EXTRACTNUMBER(O231),EXTRACTNUMBER(Q231),
EXTRACTNUMBER(S231),EXTRACTNUMBER(U231),
EXTRACTNUMBER(W231),EXTRACTNUMBER(Y231),EXTRACTNUMBER(AA231),
EXTRACTNUMBER(AC231),EXTRACTNUMBER(AE231))))),SUM(EXTRACTNUMBER(C231),EXTRACTNUMBER(E231),
EXTRACTNUMBER(G231),EXTRACTNUMBER(I231),
EXTRACTNUMBER(K231),EXTRACTNUMBER(M231),
EXTRACTNUMBER(O231),EXTRACTNUMBER(Q231),
EXTRACTNUMBER(S231),EXTRACTNUMBER(U231),
EXTRACTNUMBER(W231),EXTRACTNUMBER(Y231),EXTRACTNUMBER(AA231),
EXTRACTNUMBER(AC231),EXTRACTNUMBER(AE231)))</f>
        <v>35</v>
      </c>
      <c r="AH231" s="38" t="s">
        <v>420</v>
      </c>
      <c r="AI231" s="28" t="str">
        <f>spellnumber(EXTRACTnUMBER_TOT(AG231))</f>
        <v xml:space="preserve">Thirty Five </v>
      </c>
    </row>
    <row r="232" spans="1:35" ht="15" customHeight="1">
      <c r="A232" s="59" t="s">
        <v>388</v>
      </c>
      <c r="B232" s="42" t="s">
        <v>389</v>
      </c>
      <c r="C232" s="60" t="s">
        <v>103</v>
      </c>
      <c r="D232" s="61" t="str">
        <f t="shared" si="49"/>
        <v/>
      </c>
      <c r="E232" s="62">
        <v>22</v>
      </c>
      <c r="F232" s="61" t="str">
        <f t="shared" ca="1" si="50"/>
        <v>E</v>
      </c>
      <c r="G232" s="63" t="s">
        <v>103</v>
      </c>
      <c r="H232" s="61" t="str">
        <f t="shared" si="51"/>
        <v/>
      </c>
      <c r="I232" s="62">
        <v>23</v>
      </c>
      <c r="J232" s="61" t="str">
        <f t="shared" ca="1" si="52"/>
        <v>E</v>
      </c>
      <c r="K232" s="62">
        <v>22</v>
      </c>
      <c r="L232" s="61" t="str">
        <f t="shared" ca="1" si="53"/>
        <v>E</v>
      </c>
      <c r="M232" s="63" t="s">
        <v>461</v>
      </c>
      <c r="N232" s="61" t="str">
        <f t="shared" ca="1" si="48"/>
        <v>F</v>
      </c>
      <c r="O232" s="62">
        <v>23</v>
      </c>
      <c r="P232" s="64" t="str">
        <f t="shared" ca="1" si="54"/>
        <v>E</v>
      </c>
      <c r="Q232" s="60" t="s">
        <v>461</v>
      </c>
      <c r="R232" s="61" t="str">
        <f t="shared" ca="1" si="55"/>
        <v>F</v>
      </c>
      <c r="S232" s="62">
        <v>22</v>
      </c>
      <c r="T232" s="64" t="str">
        <f t="shared" ca="1" si="56"/>
        <v>E</v>
      </c>
      <c r="U232" s="60">
        <v>14</v>
      </c>
      <c r="V232" s="61" t="str">
        <f t="shared" ca="1" si="57"/>
        <v>F</v>
      </c>
      <c r="W232" s="62">
        <v>22</v>
      </c>
      <c r="X232" s="64" t="str">
        <f t="shared" ca="1" si="58"/>
        <v>E</v>
      </c>
      <c r="Y232" s="62">
        <v>23</v>
      </c>
      <c r="Z232" s="64" t="str">
        <f t="shared" ca="1" si="59"/>
        <v>E</v>
      </c>
      <c r="AA232" s="60">
        <v>22</v>
      </c>
      <c r="AB232" s="61" t="str">
        <f t="shared" ca="1" si="60"/>
        <v>F</v>
      </c>
      <c r="AC232" s="62">
        <v>23</v>
      </c>
      <c r="AD232" s="61" t="str">
        <f t="shared" ca="1" si="61"/>
        <v>E</v>
      </c>
      <c r="AE232" s="62">
        <v>45</v>
      </c>
      <c r="AF232" s="64" t="str">
        <f t="shared" ca="1" si="62"/>
        <v>E</v>
      </c>
      <c r="AG232" s="66">
        <f>IF(OR(AND(C232&gt;=31,C232&lt;40),AND(G232&gt;=31,G232&lt;40),AND(M232&gt;=31,M232&lt;40),AND(Q232&gt;=31,Q232&lt;40),AND(U232&gt;=31,U232&lt;40),AND(AA232&gt;=31,AA232&lt;40)),IF(AND(OR(COUNTIF(C232:AF232,"=31")&gt;=1,COUNTIF(C232:AF232,"=32")&gt;=1,COUNTIF(C232:AF232,"=33")&gt;=1,COUNTIF(C232:AF232,"=34")&gt;=1,COUNTIF(C232:AF232,"=35")&gt;=1,COUNTIF(C232:AF232,"=36")&gt;=1 ),COUNTIF(C232:AF232,"")=0,COUNTIF(C232:AF232," ")=0,COUNTIF(C232:AF232,"F")=1),CONCATENATE(SUM(EXTRACTNUMBER(C232),EXTRACTNUMBER(E232),
EXTRACTNUMBER(G232),EXTRACTNUMBER(I232),
EXTRACTNUMBER(K232),EXTRACTNUMBER(M232),
EXTRACTNUMBER(O232),EXTRACTNUMBER(Q232),
EXTRACTNUMBER(S232),EXTRACTNUMBER(U232),
EXTRACTNUMBER(W232),EXTRACTNUMBER(Y232),EXTRACTNUMBER(AA232),
EXTRACTNUMBER(AC232),EXTRACTNUMBER(AE232)),"*"),IF(AND(COUNTIF(C232:AF232,"=34")&gt;=1,COUNTIF(C232:AF232,"=35")&gt;=1,COUNTIF(C232:AF232,"f")=2,COUNTIF(C232:AF232,"")=0,COUNTIF(C232:AF232," ")=0),CONCATENATE(SUM(EXTRACTNUMBER(C232),EXTRACTNUMBER(E232),
EXTRACTNUMBER(G232),EXTRACTNUMBER(I232),
EXTRACTNUMBER(K232),EXTRACTNUMBER(M232),
EXTRACTNUMBER(O232),EXTRACTNUMBER(Q232),
EXTRACTNUMBER(S232),EXTRACTNUMBER(U232),
EXTRACTNUMBER(W232),EXTRACTNUMBER(Y232),EXTRACTNUMBER(AA232),
EXTRACTNUMBER(AC232),EXTRACTNUMBER(AE232)),"*"),IF(AND(COUNTIF(C232:AF232,"=36")&gt;=2,COUNTIF(C232:AF232,"f")=2,COUNTIF(C232:AF232,"")=0,COUNTIF(C232:AF232," ")=0),CONCATENATE(SUM(EXTRACTNUMBER(C232),EXTRACTNUMBER(E232),
EXTRACTNUMBER(G232),EXTRACTNUMBER(I232),
EXTRACTNUMBER(K232),EXTRACTNUMBER(M232),
EXTRACTNUMBER(O232),EXTRACTNUMBER(Q232),
EXTRACTNUMBER(S232),EXTRACTNUMBER(U232),
EXTRACTNUMBER(W232),EXTRACTNUMBER(Y232),EXTRACTNUMBER(AA232),
EXTRACTNUMBER(AC232),EXTRACTNUMBER(AE232)),"*"),SUM(EXTRACTNUMBER(C232),EXTRACTNUMBER(E232),
EXTRACTNUMBER(G232),EXTRACTNUMBER(I232),
EXTRACTNUMBER(K232),EXTRACTNUMBER(M232),
EXTRACTNUMBER(O232),EXTRACTNUMBER(Q232),
EXTRACTNUMBER(S232),EXTRACTNUMBER(U232),
EXTRACTNUMBER(W232),EXTRACTNUMBER(Y232),EXTRACTNUMBER(AA232),
EXTRACTNUMBER(AC232),EXTRACTNUMBER(AE232))))),SUM(EXTRACTNUMBER(C232),EXTRACTNUMBER(E232),
EXTRACTNUMBER(G232),EXTRACTNUMBER(I232),
EXTRACTNUMBER(K232),EXTRACTNUMBER(M232),
EXTRACTNUMBER(O232),EXTRACTNUMBER(Q232),
EXTRACTNUMBER(S232),EXTRACTNUMBER(U232),
EXTRACTNUMBER(W232),EXTRACTNUMBER(Y232),EXTRACTNUMBER(AA232),
EXTRACTNUMBER(AC232),EXTRACTNUMBER(AE232)))</f>
        <v>273</v>
      </c>
      <c r="AH232" s="38" t="str">
        <f t="shared" ca="1" si="63"/>
        <v>FAIL</v>
      </c>
      <c r="AI232" s="28" t="str">
        <f>spellnumber(EXTRACTnUMBER_TOT(AG232))</f>
        <v xml:space="preserve">Two Hundred Seventy Three </v>
      </c>
    </row>
    <row r="233" spans="1:35" ht="15" customHeight="1">
      <c r="A233" s="59" t="s">
        <v>390</v>
      </c>
      <c r="B233" s="42" t="s">
        <v>391</v>
      </c>
      <c r="C233" s="60" t="s">
        <v>103</v>
      </c>
      <c r="D233" s="61" t="str">
        <f t="shared" si="49"/>
        <v/>
      </c>
      <c r="E233" s="62" t="s">
        <v>103</v>
      </c>
      <c r="F233" s="61" t="str">
        <f t="shared" si="50"/>
        <v/>
      </c>
      <c r="G233" s="63" t="s">
        <v>103</v>
      </c>
      <c r="H233" s="61" t="str">
        <f t="shared" si="51"/>
        <v/>
      </c>
      <c r="I233" s="62" t="s">
        <v>103</v>
      </c>
      <c r="J233" s="61" t="str">
        <f t="shared" si="52"/>
        <v/>
      </c>
      <c r="K233" s="62" t="s">
        <v>103</v>
      </c>
      <c r="L233" s="61" t="str">
        <f t="shared" si="53"/>
        <v/>
      </c>
      <c r="M233" s="63" t="s">
        <v>103</v>
      </c>
      <c r="N233" s="61" t="str">
        <f t="shared" si="48"/>
        <v/>
      </c>
      <c r="O233" s="62" t="s">
        <v>103</v>
      </c>
      <c r="P233" s="64" t="str">
        <f t="shared" si="54"/>
        <v/>
      </c>
      <c r="Q233" s="60" t="s">
        <v>103</v>
      </c>
      <c r="R233" s="61" t="str">
        <f t="shared" si="55"/>
        <v/>
      </c>
      <c r="S233" s="62" t="s">
        <v>103</v>
      </c>
      <c r="T233" s="64" t="str">
        <f t="shared" si="56"/>
        <v/>
      </c>
      <c r="U233" s="60" t="s">
        <v>103</v>
      </c>
      <c r="V233" s="61" t="str">
        <f t="shared" si="57"/>
        <v/>
      </c>
      <c r="W233" s="62" t="s">
        <v>103</v>
      </c>
      <c r="X233" s="64" t="str">
        <f t="shared" si="58"/>
        <v/>
      </c>
      <c r="Y233" s="62" t="s">
        <v>103</v>
      </c>
      <c r="Z233" s="64" t="str">
        <f t="shared" si="59"/>
        <v/>
      </c>
      <c r="AA233" s="60" t="s">
        <v>103</v>
      </c>
      <c r="AB233" s="61" t="str">
        <f t="shared" si="60"/>
        <v/>
      </c>
      <c r="AC233" s="62" t="s">
        <v>103</v>
      </c>
      <c r="AD233" s="61" t="str">
        <f t="shared" si="61"/>
        <v/>
      </c>
      <c r="AE233" s="62" t="s">
        <v>103</v>
      </c>
      <c r="AF233" s="64" t="str">
        <f t="shared" si="62"/>
        <v/>
      </c>
      <c r="AG233" s="66" t="s">
        <v>452</v>
      </c>
      <c r="AH233" s="38" t="str">
        <f t="shared" si="63"/>
        <v>ABSENT</v>
      </c>
      <c r="AI233" s="28" t="str">
        <f>spellnumber(EXTRACTnUMBER_TOT(AG233))</f>
        <v xml:space="preserve"> </v>
      </c>
    </row>
    <row r="234" spans="1:35" ht="15" customHeight="1">
      <c r="A234" s="59" t="s">
        <v>392</v>
      </c>
      <c r="B234" s="42" t="s">
        <v>393</v>
      </c>
      <c r="C234" s="60" t="s">
        <v>103</v>
      </c>
      <c r="D234" s="61" t="str">
        <f t="shared" si="49"/>
        <v/>
      </c>
      <c r="E234" s="62" t="s">
        <v>103</v>
      </c>
      <c r="F234" s="61" t="str">
        <f t="shared" si="50"/>
        <v/>
      </c>
      <c r="G234" s="63" t="s">
        <v>103</v>
      </c>
      <c r="H234" s="61" t="str">
        <f t="shared" si="51"/>
        <v/>
      </c>
      <c r="I234" s="62" t="s">
        <v>103</v>
      </c>
      <c r="J234" s="61" t="str">
        <f t="shared" si="52"/>
        <v/>
      </c>
      <c r="K234" s="62" t="s">
        <v>103</v>
      </c>
      <c r="L234" s="61" t="str">
        <f t="shared" si="53"/>
        <v/>
      </c>
      <c r="M234" s="63" t="s">
        <v>103</v>
      </c>
      <c r="N234" s="61" t="str">
        <f t="shared" si="48"/>
        <v/>
      </c>
      <c r="O234" s="62" t="s">
        <v>103</v>
      </c>
      <c r="P234" s="64" t="str">
        <f t="shared" si="54"/>
        <v/>
      </c>
      <c r="Q234" s="60" t="s">
        <v>103</v>
      </c>
      <c r="R234" s="61" t="str">
        <f t="shared" si="55"/>
        <v/>
      </c>
      <c r="S234" s="62" t="s">
        <v>103</v>
      </c>
      <c r="T234" s="64" t="str">
        <f t="shared" si="56"/>
        <v/>
      </c>
      <c r="U234" s="60" t="s">
        <v>103</v>
      </c>
      <c r="V234" s="61" t="str">
        <f t="shared" si="57"/>
        <v/>
      </c>
      <c r="W234" s="62" t="s">
        <v>103</v>
      </c>
      <c r="X234" s="64" t="str">
        <f t="shared" si="58"/>
        <v/>
      </c>
      <c r="Y234" s="62" t="s">
        <v>103</v>
      </c>
      <c r="Z234" s="64" t="str">
        <f t="shared" si="59"/>
        <v/>
      </c>
      <c r="AA234" s="60" t="s">
        <v>103</v>
      </c>
      <c r="AB234" s="61" t="str">
        <f t="shared" si="60"/>
        <v/>
      </c>
      <c r="AC234" s="62" t="s">
        <v>103</v>
      </c>
      <c r="AD234" s="61" t="str">
        <f t="shared" si="61"/>
        <v/>
      </c>
      <c r="AE234" s="62" t="s">
        <v>103</v>
      </c>
      <c r="AF234" s="64" t="str">
        <f t="shared" si="62"/>
        <v/>
      </c>
      <c r="AG234" s="66" t="s">
        <v>452</v>
      </c>
      <c r="AH234" s="38" t="str">
        <f t="shared" si="63"/>
        <v>ABSENT</v>
      </c>
      <c r="AI234" s="28" t="str">
        <f>spellnumber(EXTRACTnUMBER_TOT(AG234))</f>
        <v xml:space="preserve"> </v>
      </c>
    </row>
    <row r="235" spans="1:35" ht="15" customHeight="1">
      <c r="A235" s="59" t="s">
        <v>394</v>
      </c>
      <c r="B235" s="42" t="s">
        <v>395</v>
      </c>
      <c r="C235" s="60" t="s">
        <v>103</v>
      </c>
      <c r="D235" s="61" t="str">
        <f t="shared" si="49"/>
        <v/>
      </c>
      <c r="E235" s="62" t="s">
        <v>103</v>
      </c>
      <c r="F235" s="61" t="str">
        <f t="shared" si="50"/>
        <v/>
      </c>
      <c r="G235" s="63" t="s">
        <v>103</v>
      </c>
      <c r="H235" s="61" t="str">
        <f t="shared" si="51"/>
        <v/>
      </c>
      <c r="I235" s="62" t="s">
        <v>103</v>
      </c>
      <c r="J235" s="61" t="str">
        <f t="shared" si="52"/>
        <v/>
      </c>
      <c r="K235" s="62" t="s">
        <v>103</v>
      </c>
      <c r="L235" s="61" t="str">
        <f t="shared" si="53"/>
        <v/>
      </c>
      <c r="M235" s="63" t="s">
        <v>103</v>
      </c>
      <c r="N235" s="61" t="str">
        <f t="shared" si="48"/>
        <v/>
      </c>
      <c r="O235" s="62" t="s">
        <v>103</v>
      </c>
      <c r="P235" s="64" t="str">
        <f t="shared" si="54"/>
        <v/>
      </c>
      <c r="Q235" s="60" t="s">
        <v>103</v>
      </c>
      <c r="R235" s="61" t="str">
        <f t="shared" si="55"/>
        <v/>
      </c>
      <c r="S235" s="62" t="s">
        <v>103</v>
      </c>
      <c r="T235" s="64" t="str">
        <f t="shared" si="56"/>
        <v/>
      </c>
      <c r="U235" s="60" t="s">
        <v>103</v>
      </c>
      <c r="V235" s="61" t="str">
        <f t="shared" si="57"/>
        <v/>
      </c>
      <c r="W235" s="62" t="s">
        <v>103</v>
      </c>
      <c r="X235" s="64" t="str">
        <f t="shared" si="58"/>
        <v/>
      </c>
      <c r="Y235" s="62" t="s">
        <v>103</v>
      </c>
      <c r="Z235" s="64" t="str">
        <f t="shared" si="59"/>
        <v/>
      </c>
      <c r="AA235" s="60" t="s">
        <v>103</v>
      </c>
      <c r="AB235" s="61" t="str">
        <f t="shared" si="60"/>
        <v/>
      </c>
      <c r="AC235" s="62" t="s">
        <v>103</v>
      </c>
      <c r="AD235" s="61" t="str">
        <f t="shared" si="61"/>
        <v/>
      </c>
      <c r="AE235" s="62" t="s">
        <v>103</v>
      </c>
      <c r="AF235" s="64" t="str">
        <f t="shared" si="62"/>
        <v/>
      </c>
      <c r="AG235" s="66" t="s">
        <v>452</v>
      </c>
      <c r="AH235" s="38" t="str">
        <f t="shared" si="63"/>
        <v>ABSENT</v>
      </c>
      <c r="AI235" s="28" t="str">
        <f>spellnumber(EXTRACTnUMBER_TOT(AG235))</f>
        <v xml:space="preserve"> </v>
      </c>
    </row>
    <row r="236" spans="1:35" ht="15" customHeight="1">
      <c r="A236" s="59" t="s">
        <v>396</v>
      </c>
      <c r="B236" s="42" t="s">
        <v>397</v>
      </c>
      <c r="C236" s="60" t="s">
        <v>103</v>
      </c>
      <c r="D236" s="61" t="str">
        <f t="shared" si="49"/>
        <v/>
      </c>
      <c r="E236" s="62" t="s">
        <v>103</v>
      </c>
      <c r="F236" s="61" t="str">
        <f t="shared" si="50"/>
        <v/>
      </c>
      <c r="G236" s="63" t="s">
        <v>103</v>
      </c>
      <c r="H236" s="61" t="str">
        <f t="shared" si="51"/>
        <v/>
      </c>
      <c r="I236" s="62" t="s">
        <v>103</v>
      </c>
      <c r="J236" s="61" t="str">
        <f t="shared" si="52"/>
        <v/>
      </c>
      <c r="K236" s="62" t="s">
        <v>103</v>
      </c>
      <c r="L236" s="61" t="str">
        <f t="shared" si="53"/>
        <v/>
      </c>
      <c r="M236" s="63" t="s">
        <v>103</v>
      </c>
      <c r="N236" s="61" t="str">
        <f t="shared" si="48"/>
        <v/>
      </c>
      <c r="O236" s="62" t="s">
        <v>103</v>
      </c>
      <c r="P236" s="64" t="str">
        <f t="shared" si="54"/>
        <v/>
      </c>
      <c r="Q236" s="60" t="s">
        <v>103</v>
      </c>
      <c r="R236" s="61" t="str">
        <f t="shared" si="55"/>
        <v/>
      </c>
      <c r="S236" s="62" t="s">
        <v>103</v>
      </c>
      <c r="T236" s="64" t="str">
        <f t="shared" si="56"/>
        <v/>
      </c>
      <c r="U236" s="60" t="s">
        <v>103</v>
      </c>
      <c r="V236" s="61" t="str">
        <f t="shared" si="57"/>
        <v/>
      </c>
      <c r="W236" s="62" t="s">
        <v>103</v>
      </c>
      <c r="X236" s="64" t="str">
        <f t="shared" si="58"/>
        <v/>
      </c>
      <c r="Y236" s="62" t="s">
        <v>103</v>
      </c>
      <c r="Z236" s="64" t="str">
        <f t="shared" si="59"/>
        <v/>
      </c>
      <c r="AA236" s="60" t="s">
        <v>103</v>
      </c>
      <c r="AB236" s="61" t="str">
        <f t="shared" si="60"/>
        <v/>
      </c>
      <c r="AC236" s="62" t="s">
        <v>103</v>
      </c>
      <c r="AD236" s="61" t="str">
        <f t="shared" si="61"/>
        <v/>
      </c>
      <c r="AE236" s="62" t="s">
        <v>103</v>
      </c>
      <c r="AF236" s="64" t="str">
        <f t="shared" si="62"/>
        <v/>
      </c>
      <c r="AG236" s="66" t="s">
        <v>452</v>
      </c>
      <c r="AH236" s="38" t="str">
        <f t="shared" si="63"/>
        <v>ABSENT</v>
      </c>
      <c r="AI236" s="28" t="str">
        <f>spellnumber(EXTRACTnUMBER_TOT(AG236))</f>
        <v xml:space="preserve"> </v>
      </c>
    </row>
    <row r="237" spans="1:35" ht="15" customHeight="1">
      <c r="A237" s="59" t="s">
        <v>398</v>
      </c>
      <c r="B237" s="42" t="s">
        <v>399</v>
      </c>
      <c r="C237" s="60" t="s">
        <v>103</v>
      </c>
      <c r="D237" s="61" t="str">
        <f t="shared" si="49"/>
        <v/>
      </c>
      <c r="E237" s="62" t="s">
        <v>103</v>
      </c>
      <c r="F237" s="61" t="str">
        <f t="shared" si="50"/>
        <v/>
      </c>
      <c r="G237" s="63" t="s">
        <v>103</v>
      </c>
      <c r="H237" s="61" t="str">
        <f t="shared" si="51"/>
        <v/>
      </c>
      <c r="I237" s="62" t="s">
        <v>103</v>
      </c>
      <c r="J237" s="61" t="str">
        <f t="shared" si="52"/>
        <v/>
      </c>
      <c r="K237" s="62" t="s">
        <v>103</v>
      </c>
      <c r="L237" s="61" t="str">
        <f t="shared" si="53"/>
        <v/>
      </c>
      <c r="M237" s="63" t="s">
        <v>103</v>
      </c>
      <c r="N237" s="61" t="str">
        <f t="shared" si="48"/>
        <v/>
      </c>
      <c r="O237" s="62" t="s">
        <v>103</v>
      </c>
      <c r="P237" s="64" t="str">
        <f t="shared" si="54"/>
        <v/>
      </c>
      <c r="Q237" s="60" t="s">
        <v>103</v>
      </c>
      <c r="R237" s="61" t="str">
        <f t="shared" si="55"/>
        <v/>
      </c>
      <c r="S237" s="62" t="s">
        <v>103</v>
      </c>
      <c r="T237" s="64" t="str">
        <f t="shared" si="56"/>
        <v/>
      </c>
      <c r="U237" s="60" t="s">
        <v>103</v>
      </c>
      <c r="V237" s="61" t="str">
        <f t="shared" si="57"/>
        <v/>
      </c>
      <c r="W237" s="62" t="s">
        <v>103</v>
      </c>
      <c r="X237" s="64" t="str">
        <f t="shared" si="58"/>
        <v/>
      </c>
      <c r="Y237" s="62" t="s">
        <v>103</v>
      </c>
      <c r="Z237" s="64" t="str">
        <f t="shared" si="59"/>
        <v/>
      </c>
      <c r="AA237" s="60" t="s">
        <v>103</v>
      </c>
      <c r="AB237" s="61" t="str">
        <f t="shared" si="60"/>
        <v/>
      </c>
      <c r="AC237" s="62" t="s">
        <v>103</v>
      </c>
      <c r="AD237" s="61" t="str">
        <f t="shared" si="61"/>
        <v/>
      </c>
      <c r="AE237" s="62" t="s">
        <v>103</v>
      </c>
      <c r="AF237" s="64" t="str">
        <f t="shared" si="62"/>
        <v/>
      </c>
      <c r="AG237" s="66" t="s">
        <v>452</v>
      </c>
      <c r="AH237" s="38" t="str">
        <f t="shared" si="63"/>
        <v>ABSENT</v>
      </c>
      <c r="AI237" s="28" t="str">
        <f>spellnumber(EXTRACTnUMBER_TOT(AG237))</f>
        <v xml:space="preserve"> </v>
      </c>
    </row>
    <row r="238" spans="1:35" ht="15" customHeight="1">
      <c r="A238" s="59" t="s">
        <v>400</v>
      </c>
      <c r="B238" s="42" t="s">
        <v>401</v>
      </c>
      <c r="C238" s="60" t="s">
        <v>103</v>
      </c>
      <c r="D238" s="61" t="str">
        <f t="shared" si="49"/>
        <v/>
      </c>
      <c r="E238" s="62" t="s">
        <v>103</v>
      </c>
      <c r="F238" s="61" t="str">
        <f t="shared" si="50"/>
        <v/>
      </c>
      <c r="G238" s="63" t="s">
        <v>103</v>
      </c>
      <c r="H238" s="61" t="str">
        <f t="shared" si="51"/>
        <v/>
      </c>
      <c r="I238" s="62" t="s">
        <v>103</v>
      </c>
      <c r="J238" s="61" t="str">
        <f t="shared" si="52"/>
        <v/>
      </c>
      <c r="K238" s="62" t="s">
        <v>103</v>
      </c>
      <c r="L238" s="61" t="str">
        <f t="shared" si="53"/>
        <v/>
      </c>
      <c r="M238" s="63" t="s">
        <v>103</v>
      </c>
      <c r="N238" s="61" t="str">
        <f t="shared" si="48"/>
        <v/>
      </c>
      <c r="O238" s="62" t="s">
        <v>103</v>
      </c>
      <c r="P238" s="64" t="str">
        <f t="shared" si="54"/>
        <v/>
      </c>
      <c r="Q238" s="60" t="s">
        <v>103</v>
      </c>
      <c r="R238" s="61" t="str">
        <f t="shared" si="55"/>
        <v/>
      </c>
      <c r="S238" s="62" t="s">
        <v>103</v>
      </c>
      <c r="T238" s="64" t="str">
        <f t="shared" si="56"/>
        <v/>
      </c>
      <c r="U238" s="60" t="s">
        <v>103</v>
      </c>
      <c r="V238" s="61" t="str">
        <f t="shared" si="57"/>
        <v/>
      </c>
      <c r="W238" s="62" t="s">
        <v>103</v>
      </c>
      <c r="X238" s="64" t="str">
        <f t="shared" si="58"/>
        <v/>
      </c>
      <c r="Y238" s="62" t="s">
        <v>103</v>
      </c>
      <c r="Z238" s="64" t="str">
        <f t="shared" si="59"/>
        <v/>
      </c>
      <c r="AA238" s="60" t="s">
        <v>103</v>
      </c>
      <c r="AB238" s="61" t="str">
        <f t="shared" si="60"/>
        <v/>
      </c>
      <c r="AC238" s="62" t="s">
        <v>103</v>
      </c>
      <c r="AD238" s="61" t="str">
        <f t="shared" si="61"/>
        <v/>
      </c>
      <c r="AE238" s="62" t="s">
        <v>103</v>
      </c>
      <c r="AF238" s="64" t="str">
        <f t="shared" si="62"/>
        <v/>
      </c>
      <c r="AG238" s="66" t="s">
        <v>452</v>
      </c>
      <c r="AH238" s="38" t="str">
        <f t="shared" si="63"/>
        <v>ABSENT</v>
      </c>
      <c r="AI238" s="28" t="str">
        <f>spellnumber(EXTRACTnUMBER_TOT(AG238))</f>
        <v xml:space="preserve"> </v>
      </c>
    </row>
    <row r="239" spans="1:35" ht="15" customHeight="1">
      <c r="A239" s="59" t="s">
        <v>402</v>
      </c>
      <c r="B239" s="42" t="s">
        <v>403</v>
      </c>
      <c r="C239" s="60" t="s">
        <v>455</v>
      </c>
      <c r="D239" s="61" t="str">
        <f t="shared" ca="1" si="49"/>
        <v>F</v>
      </c>
      <c r="E239" s="62">
        <v>12</v>
      </c>
      <c r="F239" s="61" t="str">
        <f t="shared" ca="1" si="50"/>
        <v>E</v>
      </c>
      <c r="G239" s="63">
        <v>17</v>
      </c>
      <c r="H239" s="61" t="str">
        <f t="shared" ca="1" si="51"/>
        <v>F</v>
      </c>
      <c r="I239" s="62">
        <v>17</v>
      </c>
      <c r="J239" s="61" t="str">
        <f t="shared" ca="1" si="52"/>
        <v>E</v>
      </c>
      <c r="K239" s="62">
        <v>19</v>
      </c>
      <c r="L239" s="61" t="str">
        <f t="shared" ca="1" si="53"/>
        <v>E</v>
      </c>
      <c r="M239" s="63">
        <v>10</v>
      </c>
      <c r="N239" s="61" t="str">
        <f t="shared" ca="1" si="48"/>
        <v>F</v>
      </c>
      <c r="O239" s="62">
        <v>14</v>
      </c>
      <c r="P239" s="64" t="str">
        <f t="shared" ca="1" si="54"/>
        <v>E</v>
      </c>
      <c r="Q239" s="60">
        <v>40</v>
      </c>
      <c r="R239" s="61" t="str">
        <f t="shared" ca="1" si="55"/>
        <v>E</v>
      </c>
      <c r="S239" s="62">
        <v>12</v>
      </c>
      <c r="T239" s="64" t="str">
        <f t="shared" ca="1" si="56"/>
        <v>E</v>
      </c>
      <c r="U239" s="60" t="s">
        <v>454</v>
      </c>
      <c r="V239" s="61" t="str">
        <f t="shared" ca="1" si="57"/>
        <v>F</v>
      </c>
      <c r="W239" s="62">
        <v>15</v>
      </c>
      <c r="X239" s="64" t="str">
        <f t="shared" ca="1" si="58"/>
        <v>E</v>
      </c>
      <c r="Y239" s="62">
        <v>17</v>
      </c>
      <c r="Z239" s="64" t="str">
        <f t="shared" ca="1" si="59"/>
        <v>E</v>
      </c>
      <c r="AA239" s="60" t="s">
        <v>459</v>
      </c>
      <c r="AB239" s="61" t="str">
        <f t="shared" ca="1" si="60"/>
        <v>F</v>
      </c>
      <c r="AC239" s="62">
        <v>14</v>
      </c>
      <c r="AD239" s="61" t="str">
        <f t="shared" ca="1" si="61"/>
        <v>E</v>
      </c>
      <c r="AE239" s="62">
        <v>30</v>
      </c>
      <c r="AF239" s="64" t="str">
        <f t="shared" ca="1" si="62"/>
        <v>E</v>
      </c>
      <c r="AG239" s="66">
        <f>IF(OR(AND(C239&gt;=31,C239&lt;40),AND(G239&gt;=31,G239&lt;40),AND(M239&gt;=31,M239&lt;40),AND(Q239&gt;=31,Q239&lt;40),AND(U239&gt;=31,U239&lt;40),AND(AA239&gt;=31,AA239&lt;40)),IF(AND(OR(COUNTIF(C239:AF239,"=31")&gt;=1,COUNTIF(C239:AF239,"=32")&gt;=1,COUNTIF(C239:AF239,"=33")&gt;=1,COUNTIF(C239:AF239,"=34")&gt;=1,COUNTIF(C239:AF239,"=35")&gt;=1,COUNTIF(C239:AF239,"=36")&gt;=1 ),COUNTIF(C239:AF239,"")=0,COUNTIF(C239:AF239," ")=0,COUNTIF(C239:AF239,"F")=1),CONCATENATE(SUM(EXTRACTNUMBER(C239),EXTRACTNUMBER(E239),
EXTRACTNUMBER(G239),EXTRACTNUMBER(I239),
EXTRACTNUMBER(K239),EXTRACTNUMBER(M239),
EXTRACTNUMBER(O239),EXTRACTNUMBER(Q239),
EXTRACTNUMBER(S239),EXTRACTNUMBER(U239),
EXTRACTNUMBER(W239),EXTRACTNUMBER(Y239),EXTRACTNUMBER(AA239),
EXTRACTNUMBER(AC239),EXTRACTNUMBER(AE239)),"*"),IF(AND(COUNTIF(C239:AF239,"=34")&gt;=1,COUNTIF(C239:AF239,"=35")&gt;=1,COUNTIF(C239:AF239,"f")=2,COUNTIF(C239:AF239,"")=0,COUNTIF(C239:AF239," ")=0),CONCATENATE(SUM(EXTRACTNUMBER(C239),EXTRACTNUMBER(E239),
EXTRACTNUMBER(G239),EXTRACTNUMBER(I239),
EXTRACTNUMBER(K239),EXTRACTNUMBER(M239),
EXTRACTNUMBER(O239),EXTRACTNUMBER(Q239),
EXTRACTNUMBER(S239),EXTRACTNUMBER(U239),
EXTRACTNUMBER(W239),EXTRACTNUMBER(Y239),EXTRACTNUMBER(AA239),
EXTRACTNUMBER(AC239),EXTRACTNUMBER(AE239)),"*"),IF(AND(COUNTIF(C239:AF239,"=36")&gt;=2,COUNTIF(C239:AF239,"f")=2,COUNTIF(C239:AF239,"")=0,COUNTIF(C239:AF239," ")=0),CONCATENATE(SUM(EXTRACTNUMBER(C239),EXTRACTNUMBER(E239),
EXTRACTNUMBER(G239),EXTRACTNUMBER(I239),
EXTRACTNUMBER(K239),EXTRACTNUMBER(M239),
EXTRACTNUMBER(O239),EXTRACTNUMBER(Q239),
EXTRACTNUMBER(S239),EXTRACTNUMBER(U239),
EXTRACTNUMBER(W239),EXTRACTNUMBER(Y239),EXTRACTNUMBER(AA239),
EXTRACTNUMBER(AC239),EXTRACTNUMBER(AE239)),"*"),SUM(EXTRACTNUMBER(C239),EXTRACTNUMBER(E239),
EXTRACTNUMBER(G239),EXTRACTNUMBER(I239),
EXTRACTNUMBER(K239),EXTRACTNUMBER(M239),
EXTRACTNUMBER(O239),EXTRACTNUMBER(Q239),
EXTRACTNUMBER(S239),EXTRACTNUMBER(U239),
EXTRACTNUMBER(W239),EXTRACTNUMBER(Y239),EXTRACTNUMBER(AA239),
EXTRACTNUMBER(AC239),EXTRACTNUMBER(AE239))))),SUM(EXTRACTNUMBER(C239),EXTRACTNUMBER(E239),
EXTRACTNUMBER(G239),EXTRACTNUMBER(I239),
EXTRACTNUMBER(K239),EXTRACTNUMBER(M239),
EXTRACTNUMBER(O239),EXTRACTNUMBER(Q239),
EXTRACTNUMBER(S239),EXTRACTNUMBER(U239),
EXTRACTNUMBER(W239),EXTRACTNUMBER(Y239),EXTRACTNUMBER(AA239),
EXTRACTNUMBER(AC239),EXTRACTNUMBER(AE239)))</f>
        <v>232</v>
      </c>
      <c r="AH239" s="38" t="str">
        <f t="shared" ca="1" si="63"/>
        <v>FAIL</v>
      </c>
      <c r="AI239" s="28" t="str">
        <f>spellnumber(EXTRACTnUMBER_TOT(AG239))</f>
        <v xml:space="preserve">Two Hundred Thirty Two </v>
      </c>
    </row>
    <row r="240" spans="1:35" ht="15" customHeight="1">
      <c r="A240" s="59" t="s">
        <v>404</v>
      </c>
      <c r="B240" s="42" t="s">
        <v>405</v>
      </c>
      <c r="C240" s="60" t="s">
        <v>103</v>
      </c>
      <c r="D240" s="61" t="str">
        <f t="shared" si="49"/>
        <v/>
      </c>
      <c r="E240" s="62" t="s">
        <v>103</v>
      </c>
      <c r="F240" s="61" t="str">
        <f t="shared" si="50"/>
        <v/>
      </c>
      <c r="G240" s="63" t="s">
        <v>103</v>
      </c>
      <c r="H240" s="61" t="str">
        <f t="shared" si="51"/>
        <v/>
      </c>
      <c r="I240" s="62" t="s">
        <v>103</v>
      </c>
      <c r="J240" s="61" t="str">
        <f t="shared" si="52"/>
        <v/>
      </c>
      <c r="K240" s="62" t="s">
        <v>103</v>
      </c>
      <c r="L240" s="61" t="str">
        <f t="shared" si="53"/>
        <v/>
      </c>
      <c r="M240" s="63" t="s">
        <v>103</v>
      </c>
      <c r="N240" s="61" t="str">
        <f t="shared" si="48"/>
        <v/>
      </c>
      <c r="O240" s="62" t="s">
        <v>103</v>
      </c>
      <c r="P240" s="64" t="str">
        <f t="shared" si="54"/>
        <v/>
      </c>
      <c r="Q240" s="60" t="s">
        <v>103</v>
      </c>
      <c r="R240" s="61" t="str">
        <f t="shared" si="55"/>
        <v/>
      </c>
      <c r="S240" s="62" t="s">
        <v>103</v>
      </c>
      <c r="T240" s="64" t="str">
        <f t="shared" si="56"/>
        <v/>
      </c>
      <c r="U240" s="60" t="s">
        <v>103</v>
      </c>
      <c r="V240" s="61" t="str">
        <f t="shared" si="57"/>
        <v/>
      </c>
      <c r="W240" s="62" t="s">
        <v>103</v>
      </c>
      <c r="X240" s="64" t="str">
        <f t="shared" si="58"/>
        <v/>
      </c>
      <c r="Y240" s="62" t="s">
        <v>103</v>
      </c>
      <c r="Z240" s="64" t="str">
        <f t="shared" si="59"/>
        <v/>
      </c>
      <c r="AA240" s="60" t="s">
        <v>103</v>
      </c>
      <c r="AB240" s="61" t="str">
        <f t="shared" si="60"/>
        <v/>
      </c>
      <c r="AC240" s="62" t="s">
        <v>103</v>
      </c>
      <c r="AD240" s="61" t="str">
        <f t="shared" si="61"/>
        <v/>
      </c>
      <c r="AE240" s="62" t="s">
        <v>103</v>
      </c>
      <c r="AF240" s="64" t="str">
        <f t="shared" si="62"/>
        <v/>
      </c>
      <c r="AG240" s="66" t="s">
        <v>452</v>
      </c>
      <c r="AH240" s="38" t="str">
        <f t="shared" si="63"/>
        <v>ABSENT</v>
      </c>
      <c r="AI240" s="28" t="str">
        <f>spellnumber(EXTRACTnUMBER_TOT(AG240))</f>
        <v xml:space="preserve"> </v>
      </c>
    </row>
    <row r="241" spans="1:35" ht="15" customHeight="1">
      <c r="A241" s="59" t="s">
        <v>406</v>
      </c>
      <c r="B241" s="42" t="s">
        <v>407</v>
      </c>
      <c r="C241" s="60" t="s">
        <v>103</v>
      </c>
      <c r="D241" s="61" t="str">
        <f t="shared" si="49"/>
        <v/>
      </c>
      <c r="E241" s="62" t="s">
        <v>103</v>
      </c>
      <c r="F241" s="61" t="str">
        <f t="shared" si="50"/>
        <v/>
      </c>
      <c r="G241" s="63" t="s">
        <v>103</v>
      </c>
      <c r="H241" s="61" t="str">
        <f t="shared" si="51"/>
        <v/>
      </c>
      <c r="I241" s="62" t="s">
        <v>103</v>
      </c>
      <c r="J241" s="61" t="str">
        <f t="shared" si="52"/>
        <v/>
      </c>
      <c r="K241" s="62" t="s">
        <v>103</v>
      </c>
      <c r="L241" s="61" t="str">
        <f t="shared" si="53"/>
        <v/>
      </c>
      <c r="M241" s="63" t="s">
        <v>103</v>
      </c>
      <c r="N241" s="61" t="str">
        <f t="shared" si="48"/>
        <v/>
      </c>
      <c r="O241" s="62" t="s">
        <v>103</v>
      </c>
      <c r="P241" s="64" t="str">
        <f t="shared" si="54"/>
        <v/>
      </c>
      <c r="Q241" s="60" t="s">
        <v>103</v>
      </c>
      <c r="R241" s="61" t="str">
        <f t="shared" si="55"/>
        <v/>
      </c>
      <c r="S241" s="62" t="s">
        <v>103</v>
      </c>
      <c r="T241" s="64" t="str">
        <f t="shared" si="56"/>
        <v/>
      </c>
      <c r="U241" s="60" t="s">
        <v>103</v>
      </c>
      <c r="V241" s="61" t="str">
        <f t="shared" si="57"/>
        <v/>
      </c>
      <c r="W241" s="62" t="s">
        <v>103</v>
      </c>
      <c r="X241" s="64" t="str">
        <f t="shared" si="58"/>
        <v/>
      </c>
      <c r="Y241" s="62" t="s">
        <v>103</v>
      </c>
      <c r="Z241" s="64" t="str">
        <f t="shared" si="59"/>
        <v/>
      </c>
      <c r="AA241" s="60" t="s">
        <v>103</v>
      </c>
      <c r="AB241" s="61" t="str">
        <f t="shared" si="60"/>
        <v/>
      </c>
      <c r="AC241" s="62" t="s">
        <v>103</v>
      </c>
      <c r="AD241" s="61" t="str">
        <f t="shared" si="61"/>
        <v/>
      </c>
      <c r="AE241" s="62" t="s">
        <v>103</v>
      </c>
      <c r="AF241" s="64" t="str">
        <f t="shared" si="62"/>
        <v/>
      </c>
      <c r="AG241" s="66" t="s">
        <v>452</v>
      </c>
      <c r="AH241" s="38" t="str">
        <f t="shared" si="63"/>
        <v>ABSENT</v>
      </c>
      <c r="AI241" s="28" t="str">
        <f>spellnumber(EXTRACTnUMBER_TOT(AG241))</f>
        <v xml:space="preserve"> </v>
      </c>
    </row>
    <row r="242" spans="1:35" ht="15" customHeight="1">
      <c r="A242" s="59" t="s">
        <v>408</v>
      </c>
      <c r="B242" s="42" t="s">
        <v>409</v>
      </c>
      <c r="C242" s="60" t="s">
        <v>103</v>
      </c>
      <c r="D242" s="61" t="str">
        <f t="shared" si="49"/>
        <v/>
      </c>
      <c r="E242" s="62" t="s">
        <v>103</v>
      </c>
      <c r="F242" s="61" t="str">
        <f t="shared" si="50"/>
        <v/>
      </c>
      <c r="G242" s="63" t="s">
        <v>103</v>
      </c>
      <c r="H242" s="61" t="str">
        <f t="shared" si="51"/>
        <v/>
      </c>
      <c r="I242" s="62" t="s">
        <v>103</v>
      </c>
      <c r="J242" s="61" t="str">
        <f t="shared" si="52"/>
        <v/>
      </c>
      <c r="K242" s="62" t="s">
        <v>103</v>
      </c>
      <c r="L242" s="61" t="str">
        <f t="shared" si="53"/>
        <v/>
      </c>
      <c r="M242" s="63" t="s">
        <v>103</v>
      </c>
      <c r="N242" s="61" t="str">
        <f t="shared" si="48"/>
        <v/>
      </c>
      <c r="O242" s="62" t="s">
        <v>103</v>
      </c>
      <c r="P242" s="64" t="str">
        <f t="shared" si="54"/>
        <v/>
      </c>
      <c r="Q242" s="60" t="s">
        <v>103</v>
      </c>
      <c r="R242" s="61" t="str">
        <f t="shared" si="55"/>
        <v/>
      </c>
      <c r="S242" s="62" t="s">
        <v>103</v>
      </c>
      <c r="T242" s="64" t="str">
        <f t="shared" si="56"/>
        <v/>
      </c>
      <c r="U242" s="60" t="s">
        <v>103</v>
      </c>
      <c r="V242" s="61" t="str">
        <f t="shared" si="57"/>
        <v/>
      </c>
      <c r="W242" s="62" t="s">
        <v>103</v>
      </c>
      <c r="X242" s="64" t="str">
        <f t="shared" si="58"/>
        <v/>
      </c>
      <c r="Y242" s="62" t="s">
        <v>103</v>
      </c>
      <c r="Z242" s="64" t="str">
        <f t="shared" si="59"/>
        <v/>
      </c>
      <c r="AA242" s="60" t="s">
        <v>103</v>
      </c>
      <c r="AB242" s="61" t="str">
        <f t="shared" si="60"/>
        <v/>
      </c>
      <c r="AC242" s="62" t="s">
        <v>103</v>
      </c>
      <c r="AD242" s="61" t="str">
        <f t="shared" si="61"/>
        <v/>
      </c>
      <c r="AE242" s="62" t="s">
        <v>103</v>
      </c>
      <c r="AF242" s="64" t="str">
        <f t="shared" si="62"/>
        <v/>
      </c>
      <c r="AG242" s="66" t="s">
        <v>452</v>
      </c>
      <c r="AH242" s="38" t="str">
        <f t="shared" si="63"/>
        <v>ABSENT</v>
      </c>
      <c r="AI242" s="28" t="str">
        <f>spellnumber(EXTRACTnUMBER_TOT(AG242))</f>
        <v xml:space="preserve"> </v>
      </c>
    </row>
    <row r="243" spans="1:35" ht="15" customHeight="1">
      <c r="A243" s="59" t="s">
        <v>410</v>
      </c>
      <c r="B243" s="42" t="s">
        <v>411</v>
      </c>
      <c r="C243" s="60" t="s">
        <v>455</v>
      </c>
      <c r="D243" s="61" t="str">
        <f t="shared" ca="1" si="49"/>
        <v>F</v>
      </c>
      <c r="E243" s="62">
        <v>13</v>
      </c>
      <c r="F243" s="61" t="str">
        <f t="shared" ca="1" si="50"/>
        <v>E</v>
      </c>
      <c r="G243" s="63" t="s">
        <v>459</v>
      </c>
      <c r="H243" s="61" t="str">
        <f t="shared" ca="1" si="51"/>
        <v>F</v>
      </c>
      <c r="I243" s="62">
        <v>16</v>
      </c>
      <c r="J243" s="61" t="str">
        <f t="shared" ca="1" si="52"/>
        <v>E</v>
      </c>
      <c r="K243" s="62">
        <v>19</v>
      </c>
      <c r="L243" s="61" t="str">
        <f t="shared" ca="1" si="53"/>
        <v>E</v>
      </c>
      <c r="M243" s="63" t="s">
        <v>460</v>
      </c>
      <c r="N243" s="61" t="str">
        <f t="shared" ca="1" si="48"/>
        <v>F</v>
      </c>
      <c r="O243" s="62">
        <v>12</v>
      </c>
      <c r="P243" s="64" t="str">
        <f t="shared" ca="1" si="54"/>
        <v>E</v>
      </c>
      <c r="Q243" s="60" t="s">
        <v>461</v>
      </c>
      <c r="R243" s="61" t="str">
        <f t="shared" ca="1" si="55"/>
        <v>F</v>
      </c>
      <c r="S243" s="62">
        <v>20</v>
      </c>
      <c r="T243" s="64" t="str">
        <f t="shared" ca="1" si="56"/>
        <v>E</v>
      </c>
      <c r="U243" s="60" t="s">
        <v>461</v>
      </c>
      <c r="V243" s="61" t="str">
        <f t="shared" ca="1" si="57"/>
        <v>F</v>
      </c>
      <c r="W243" s="62">
        <v>16</v>
      </c>
      <c r="X243" s="64" t="str">
        <f t="shared" ca="1" si="58"/>
        <v>E</v>
      </c>
      <c r="Y243" s="62">
        <v>17</v>
      </c>
      <c r="Z243" s="64" t="str">
        <f t="shared" ca="1" si="59"/>
        <v>E</v>
      </c>
      <c r="AA243" s="60" t="s">
        <v>455</v>
      </c>
      <c r="AB243" s="61" t="str">
        <f t="shared" ca="1" si="60"/>
        <v>F</v>
      </c>
      <c r="AC243" s="62">
        <v>12</v>
      </c>
      <c r="AD243" s="61" t="str">
        <f t="shared" ca="1" si="61"/>
        <v>E</v>
      </c>
      <c r="AE243" s="62">
        <v>30</v>
      </c>
      <c r="AF243" s="64" t="str">
        <f t="shared" ca="1" si="62"/>
        <v>E</v>
      </c>
      <c r="AG243" s="66">
        <f>IF(OR(AND(C243&gt;=31,C243&lt;40),AND(G243&gt;=31,G243&lt;40),AND(M243&gt;=31,M243&lt;40),AND(Q243&gt;=31,Q243&lt;40),AND(U243&gt;=31,U243&lt;40),AND(AA243&gt;=31,AA243&lt;40)),IF(AND(OR(COUNTIF(C243:AF243,"=31")&gt;=1,COUNTIF(C243:AF243,"=32")&gt;=1,COUNTIF(C243:AF243,"=33")&gt;=1,COUNTIF(C243:AF243,"=34")&gt;=1,COUNTIF(C243:AF243,"=35")&gt;=1,COUNTIF(C243:AF243,"=36")&gt;=1 ),COUNTIF(C243:AF243,"")=0,COUNTIF(C243:AF243," ")=0,COUNTIF(C243:AF243,"F")=1),CONCATENATE(SUM(EXTRACTNUMBER(C243),EXTRACTNUMBER(E243),
EXTRACTNUMBER(G243),EXTRACTNUMBER(I243),
EXTRACTNUMBER(K243),EXTRACTNUMBER(M243),
EXTRACTNUMBER(O243),EXTRACTNUMBER(Q243),
EXTRACTNUMBER(S243),EXTRACTNUMBER(U243),
EXTRACTNUMBER(W243),EXTRACTNUMBER(Y243),EXTRACTNUMBER(AA243),
EXTRACTNUMBER(AC243),EXTRACTNUMBER(AE243)),"*"),IF(AND(COUNTIF(C243:AF243,"=34")&gt;=1,COUNTIF(C243:AF243,"=35")&gt;=1,COUNTIF(C243:AF243,"f")=2,COUNTIF(C243:AF243,"")=0,COUNTIF(C243:AF243," ")=0),CONCATENATE(SUM(EXTRACTNUMBER(C243),EXTRACTNUMBER(E243),
EXTRACTNUMBER(G243),EXTRACTNUMBER(I243),
EXTRACTNUMBER(K243),EXTRACTNUMBER(M243),
EXTRACTNUMBER(O243),EXTRACTNUMBER(Q243),
EXTRACTNUMBER(S243),EXTRACTNUMBER(U243),
EXTRACTNUMBER(W243),EXTRACTNUMBER(Y243),EXTRACTNUMBER(AA243),
EXTRACTNUMBER(AC243),EXTRACTNUMBER(AE243)),"*"),IF(AND(COUNTIF(C243:AF243,"=36")&gt;=2,COUNTIF(C243:AF243,"f")=2,COUNTIF(C243:AF243,"")=0,COUNTIF(C243:AF243," ")=0),CONCATENATE(SUM(EXTRACTNUMBER(C243),EXTRACTNUMBER(E243),
EXTRACTNUMBER(G243),EXTRACTNUMBER(I243),
EXTRACTNUMBER(K243),EXTRACTNUMBER(M243),
EXTRACTNUMBER(O243),EXTRACTNUMBER(Q243),
EXTRACTNUMBER(S243),EXTRACTNUMBER(U243),
EXTRACTNUMBER(W243),EXTRACTNUMBER(Y243),EXTRACTNUMBER(AA243),
EXTRACTNUMBER(AC243),EXTRACTNUMBER(AE243)),"*"),SUM(EXTRACTNUMBER(C243),EXTRACTNUMBER(E243),
EXTRACTNUMBER(G243),EXTRACTNUMBER(I243),
EXTRACTNUMBER(K243),EXTRACTNUMBER(M243),
EXTRACTNUMBER(O243),EXTRACTNUMBER(Q243),
EXTRACTNUMBER(S243),EXTRACTNUMBER(U243),
EXTRACTNUMBER(W243),EXTRACTNUMBER(Y243),EXTRACTNUMBER(AA243),
EXTRACTNUMBER(AC243),EXTRACTNUMBER(AE243))))),SUM(EXTRACTNUMBER(C243),EXTRACTNUMBER(E243),
EXTRACTNUMBER(G243),EXTRACTNUMBER(I243),
EXTRACTNUMBER(K243),EXTRACTNUMBER(M243),
EXTRACTNUMBER(O243),EXTRACTNUMBER(Q243),
EXTRACTNUMBER(S243),EXTRACTNUMBER(U243),
EXTRACTNUMBER(W243),EXTRACTNUMBER(Y243),EXTRACTNUMBER(AA243),
EXTRACTNUMBER(AC243),EXTRACTNUMBER(AE243)))</f>
        <v>176</v>
      </c>
      <c r="AH243" s="38" t="str">
        <f t="shared" ca="1" si="63"/>
        <v>FAIL</v>
      </c>
      <c r="AI243" s="28" t="str">
        <f>spellnumber(EXTRACTnUMBER_TOT(AG243))</f>
        <v xml:space="preserve">One Hundred Seventy Six </v>
      </c>
    </row>
    <row r="244" spans="1:35" ht="15" customHeight="1">
      <c r="A244" s="59" t="s">
        <v>412</v>
      </c>
      <c r="B244" s="42" t="s">
        <v>413</v>
      </c>
      <c r="C244" s="60" t="s">
        <v>119</v>
      </c>
      <c r="D244" s="61" t="str">
        <f t="shared" ca="1" si="49"/>
        <v>F</v>
      </c>
      <c r="E244" s="62">
        <v>15</v>
      </c>
      <c r="F244" s="61" t="str">
        <f t="shared" ca="1" si="50"/>
        <v>E</v>
      </c>
      <c r="G244" s="63" t="s">
        <v>103</v>
      </c>
      <c r="H244" s="61" t="str">
        <f t="shared" si="51"/>
        <v/>
      </c>
      <c r="I244" s="62">
        <v>18</v>
      </c>
      <c r="J244" s="61" t="str">
        <f t="shared" ca="1" si="52"/>
        <v>E</v>
      </c>
      <c r="K244" s="62">
        <v>20</v>
      </c>
      <c r="L244" s="61" t="str">
        <f t="shared" ca="1" si="53"/>
        <v>E</v>
      </c>
      <c r="M244" s="63" t="s">
        <v>103</v>
      </c>
      <c r="N244" s="61" t="str">
        <f t="shared" si="48"/>
        <v/>
      </c>
      <c r="O244" s="62">
        <v>15</v>
      </c>
      <c r="P244" s="64" t="str">
        <f t="shared" ca="1" si="54"/>
        <v>E</v>
      </c>
      <c r="Q244" s="60" t="s">
        <v>103</v>
      </c>
      <c r="R244" s="61" t="str">
        <f t="shared" si="55"/>
        <v/>
      </c>
      <c r="S244" s="62">
        <v>22</v>
      </c>
      <c r="T244" s="64" t="str">
        <f t="shared" ca="1" si="56"/>
        <v>E</v>
      </c>
      <c r="U244" s="60" t="s">
        <v>103</v>
      </c>
      <c r="V244" s="61" t="str">
        <f t="shared" si="57"/>
        <v/>
      </c>
      <c r="W244" s="62">
        <v>16</v>
      </c>
      <c r="X244" s="64" t="str">
        <f t="shared" ca="1" si="58"/>
        <v>E</v>
      </c>
      <c r="Y244" s="62">
        <v>17</v>
      </c>
      <c r="Z244" s="64" t="str">
        <f t="shared" ca="1" si="59"/>
        <v>E</v>
      </c>
      <c r="AA244" s="60" t="s">
        <v>103</v>
      </c>
      <c r="AB244" s="61" t="str">
        <f t="shared" si="60"/>
        <v/>
      </c>
      <c r="AC244" s="62">
        <v>18</v>
      </c>
      <c r="AD244" s="61" t="str">
        <f t="shared" ca="1" si="61"/>
        <v>E</v>
      </c>
      <c r="AE244" s="62">
        <v>35</v>
      </c>
      <c r="AF244" s="64" t="str">
        <f t="shared" ca="1" si="62"/>
        <v>E</v>
      </c>
      <c r="AG244" s="66">
        <f>IF(OR(AND(C244&gt;=31,C244&lt;40),AND(G244&gt;=31,G244&lt;40),AND(M244&gt;=31,M244&lt;40),AND(Q244&gt;=31,Q244&lt;40),AND(U244&gt;=31,U244&lt;40),AND(AA244&gt;=31,AA244&lt;40)),IF(AND(OR(COUNTIF(C244:AF244,"=31")&gt;=1,COUNTIF(C244:AF244,"=32")&gt;=1,COUNTIF(C244:AF244,"=33")&gt;=1,COUNTIF(C244:AF244,"=34")&gt;=1,COUNTIF(C244:AF244,"=35")&gt;=1,COUNTIF(C244:AF244,"=36")&gt;=1 ),COUNTIF(C244:AF244,"")=0,COUNTIF(C244:AF244," ")=0,COUNTIF(C244:AF244,"F")=1),CONCATENATE(SUM(EXTRACTNUMBER(C244),EXTRACTNUMBER(E244),
EXTRACTNUMBER(G244),EXTRACTNUMBER(I244),
EXTRACTNUMBER(K244),EXTRACTNUMBER(M244),
EXTRACTNUMBER(O244),EXTRACTNUMBER(Q244),
EXTRACTNUMBER(S244),EXTRACTNUMBER(U244),
EXTRACTNUMBER(W244),EXTRACTNUMBER(Y244),EXTRACTNUMBER(AA244),
EXTRACTNUMBER(AC244),EXTRACTNUMBER(AE244)),"*"),IF(AND(COUNTIF(C244:AF244,"=34")&gt;=1,COUNTIF(C244:AF244,"=35")&gt;=1,COUNTIF(C244:AF244,"f")=2,COUNTIF(C244:AF244,"")=0,COUNTIF(C244:AF244," ")=0),CONCATENATE(SUM(EXTRACTNUMBER(C244),EXTRACTNUMBER(E244),
EXTRACTNUMBER(G244),EXTRACTNUMBER(I244),
EXTRACTNUMBER(K244),EXTRACTNUMBER(M244),
EXTRACTNUMBER(O244),EXTRACTNUMBER(Q244),
EXTRACTNUMBER(S244),EXTRACTNUMBER(U244),
EXTRACTNUMBER(W244),EXTRACTNUMBER(Y244),EXTRACTNUMBER(AA244),
EXTRACTNUMBER(AC244),EXTRACTNUMBER(AE244)),"*"),IF(AND(COUNTIF(C244:AF244,"=36")&gt;=2,COUNTIF(C244:AF244,"f")=2,COUNTIF(C244:AF244,"")=0,COUNTIF(C244:AF244," ")=0),CONCATENATE(SUM(EXTRACTNUMBER(C244),EXTRACTNUMBER(E244),
EXTRACTNUMBER(G244),EXTRACTNUMBER(I244),
EXTRACTNUMBER(K244),EXTRACTNUMBER(M244),
EXTRACTNUMBER(O244),EXTRACTNUMBER(Q244),
EXTRACTNUMBER(S244),EXTRACTNUMBER(U244),
EXTRACTNUMBER(W244),EXTRACTNUMBER(Y244),EXTRACTNUMBER(AA244),
EXTRACTNUMBER(AC244),EXTRACTNUMBER(AE244)),"*"),SUM(EXTRACTNUMBER(C244),EXTRACTNUMBER(E244),
EXTRACTNUMBER(G244),EXTRACTNUMBER(I244),
EXTRACTNUMBER(K244),EXTRACTNUMBER(M244),
EXTRACTNUMBER(O244),EXTRACTNUMBER(Q244),
EXTRACTNUMBER(S244),EXTRACTNUMBER(U244),
EXTRACTNUMBER(W244),EXTRACTNUMBER(Y244),EXTRACTNUMBER(AA244),
EXTRACTNUMBER(AC244),EXTRACTNUMBER(AE244))))),SUM(EXTRACTNUMBER(C244),EXTRACTNUMBER(E244),
EXTRACTNUMBER(G244),EXTRACTNUMBER(I244),
EXTRACTNUMBER(K244),EXTRACTNUMBER(M244),
EXTRACTNUMBER(O244),EXTRACTNUMBER(Q244),
EXTRACTNUMBER(S244),EXTRACTNUMBER(U244),
EXTRACTNUMBER(W244),EXTRACTNUMBER(Y244),EXTRACTNUMBER(AA244),
EXTRACTNUMBER(AC244),EXTRACTNUMBER(AE244)))</f>
        <v>179</v>
      </c>
      <c r="AH244" s="38" t="str">
        <f t="shared" ca="1" si="63"/>
        <v>FAIL</v>
      </c>
      <c r="AI244" s="28" t="str">
        <f>spellnumber(EXTRACTnUMBER_TOT(AG244))</f>
        <v xml:space="preserve">One Hundred Seventy Nine </v>
      </c>
    </row>
  </sheetData>
  <conditionalFormatting sqref="G2:G122 Q2:Q122 U2:U122 M2:M122 AA2:AA122">
    <cfRule type="cellIs" dxfId="24" priority="28" operator="lessThan">
      <formula>40</formula>
    </cfRule>
  </conditionalFormatting>
  <conditionalFormatting sqref="I2:I122 E2:E122 K2:K122 AC2:AC122 W2:W122 O2:O122 S2:S122 Y2:Y122">
    <cfRule type="cellIs" dxfId="23" priority="27" operator="lessThan">
      <formula>10</formula>
    </cfRule>
  </conditionalFormatting>
  <conditionalFormatting sqref="AE2:AE122">
    <cfRule type="cellIs" dxfId="22" priority="26" operator="lessThan">
      <formula>20</formula>
    </cfRule>
  </conditionalFormatting>
  <conditionalFormatting sqref="C2:C122">
    <cfRule type="cellIs" dxfId="21" priority="24" operator="greaterThan">
      <formula>100</formula>
    </cfRule>
    <cfRule type="cellIs" dxfId="20" priority="25" operator="lessThan">
      <formula>40</formula>
    </cfRule>
  </conditionalFormatting>
  <conditionalFormatting sqref="C2">
    <cfRule type="colorScale" priority="20">
      <colorScale>
        <cfvo type="min" val="0"/>
        <cfvo type="max" val="0"/>
        <color theme="0"/>
        <color theme="0"/>
      </colorScale>
    </cfRule>
    <cfRule type="colorScale" priority="21">
      <colorScale>
        <cfvo type="min" val="0"/>
        <cfvo type="max" val="0"/>
        <color theme="0"/>
        <color theme="0"/>
      </colorScale>
    </cfRule>
    <cfRule type="colorScale" priority="22">
      <colorScale>
        <cfvo type="min" val="0"/>
        <cfvo type="max" val="0"/>
        <color rgb="FFFF7128"/>
        <color theme="0"/>
      </colorScale>
    </cfRule>
    <cfRule type="cellIs" dxfId="19" priority="23" operator="greaterThan">
      <formula>100</formula>
    </cfRule>
  </conditionalFormatting>
  <conditionalFormatting sqref="D2:D122 F2:F122 H2:H122 J2:J122 L2:L122 P2:P122 T2:T122 X2:X122 Z2:Z122 AD2:AD122 N2:N122 R2:R122 V2:V122 AB2:AB122 AF2:AF122">
    <cfRule type="cellIs" dxfId="18" priority="19" operator="equal">
      <formula>"F"</formula>
    </cfRule>
  </conditionalFormatting>
  <conditionalFormatting sqref="AH2:AH122">
    <cfRule type="containsText" dxfId="17" priority="18" operator="containsText" text="FAIL">
      <formula>NOT(ISERROR(SEARCH("FAIL",AH2)))</formula>
    </cfRule>
  </conditionalFormatting>
  <conditionalFormatting sqref="C2:C122 E2:E122 I2:I122 K2:K122 O2:O122 S2:S122 W2:W122 AC2:AC122 G2:G122 M2:M122 Q2:Q122 U2:U122 AE2:AE122 AA2:AA122 Y2:Y122">
    <cfRule type="cellIs" dxfId="16" priority="17" operator="equal">
      <formula>"AB"</formula>
    </cfRule>
  </conditionalFormatting>
  <conditionalFormatting sqref="D2:D244 F2:F244 H2:H244 J2:J244 L2:L244 N2:N244 P2:P244 R2:R244 T2:T244 V2:V244 X2:X244 Z2:Z244 AB2:AB244 AD2:AD244 AF2:AF244">
    <cfRule type="cellIs" dxfId="15" priority="16" operator="equal">
      <formula>"F"</formula>
    </cfRule>
  </conditionalFormatting>
  <conditionalFormatting sqref="AH2:AH244">
    <cfRule type="containsText" dxfId="14" priority="15" operator="containsText" text="FAIL">
      <formula>NOT(ISERROR(SEARCH("FAIL",AH2)))</formula>
    </cfRule>
  </conditionalFormatting>
  <conditionalFormatting sqref="G2:G244 C2:C244 M2:M244 Q2:Q244 U2:U244 AA2:AA244">
    <cfRule type="cellIs" dxfId="13" priority="13" operator="lessThan">
      <formula>40</formula>
    </cfRule>
    <cfRule type="cellIs" dxfId="12" priority="14" operator="equal">
      <formula>"AB"</formula>
    </cfRule>
  </conditionalFormatting>
  <conditionalFormatting sqref="I2:I244 K2:K244 AC2:AC244 O2:O244 S2:S244 W2:W244 Y2:Y244 E2:E244">
    <cfRule type="cellIs" dxfId="11" priority="11" operator="lessThan">
      <formula>10</formula>
    </cfRule>
    <cfRule type="cellIs" dxfId="10" priority="12" operator="equal">
      <formula>"AB"</formula>
    </cfRule>
  </conditionalFormatting>
  <conditionalFormatting sqref="AE2:AE244">
    <cfRule type="cellIs" dxfId="9" priority="9" operator="lessThan">
      <formula>20</formula>
    </cfRule>
    <cfRule type="cellIs" dxfId="8" priority="10" operator="equal">
      <formula>"AB"</formula>
    </cfRule>
  </conditionalFormatting>
  <conditionalFormatting sqref="D2:D244 F2:F244 H2:H244 J2:J244 L2:L244 N2:N244 P2:P244 R2:R244 T2:T244 V2:V244 X2:X244 Z2:Z244 AB2:AB244 AD2:AD244 AF2:AF244">
    <cfRule type="cellIs" dxfId="7" priority="8" operator="equal">
      <formula>"F"</formula>
    </cfRule>
  </conditionalFormatting>
  <conditionalFormatting sqref="AH2:AH244">
    <cfRule type="containsText" dxfId="6" priority="7" operator="containsText" text="FAIL">
      <formula>NOT(ISERROR(SEARCH("FAIL",AH2)))</formula>
    </cfRule>
  </conditionalFormatting>
  <conditionalFormatting sqref="G2:G244 C2:C244 M2:M244 Q2:Q244 U2:U244 AA2:AA244">
    <cfRule type="cellIs" dxfId="5" priority="5" operator="lessThan">
      <formula>40</formula>
    </cfRule>
    <cfRule type="cellIs" dxfId="4" priority="6" operator="equal">
      <formula>"AB"</formula>
    </cfRule>
  </conditionalFormatting>
  <conditionalFormatting sqref="I2:I244 K2:K244 AC2:AC244 O2:O244 S2:S244 W2:W244 Y2:Y244 E2:E244">
    <cfRule type="cellIs" dxfId="3" priority="3" operator="lessThan">
      <formula>10</formula>
    </cfRule>
    <cfRule type="cellIs" dxfId="2" priority="4" operator="equal">
      <formula>"AB"</formula>
    </cfRule>
  </conditionalFormatting>
  <conditionalFormatting sqref="AE2:AE244">
    <cfRule type="cellIs" dxfId="1" priority="1" operator="lessThan">
      <formula>20</formula>
    </cfRule>
    <cfRule type="cellIs" dxfId="0" priority="2" operator="equal">
      <formula>"AB"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GAZET</vt:lpstr>
      <vt:lpstr>analysis</vt:lpstr>
      <vt:lpstr>MarkSheet</vt:lpstr>
      <vt:lpstr>analysis!Print_Area</vt:lpstr>
      <vt:lpstr>GAZET!Print_Area</vt:lpstr>
      <vt:lpstr>GAZET!Print_Titles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2008-08-07T23:08:32Z</cp:lastPrinted>
  <dcterms:created xsi:type="dcterms:W3CDTF">2012-04-16T06:06:25Z</dcterms:created>
  <dcterms:modified xsi:type="dcterms:W3CDTF">2015-07-15T10:31:13Z</dcterms:modified>
</cp:coreProperties>
</file>