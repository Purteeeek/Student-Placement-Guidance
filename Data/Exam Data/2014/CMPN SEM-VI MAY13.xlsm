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5" windowWidth="15195" windowHeight="8190" activeTab="2"/>
  </bookViews>
  <sheets>
    <sheet name="Guzet" sheetId="1" r:id="rId1"/>
    <sheet name="Sheet2" sheetId="2" r:id="rId2"/>
    <sheet name="MArksheet" sheetId="3" r:id="rId3"/>
  </sheets>
  <functionGroups/>
  <definedNames>
    <definedName name="_xlnm.Print_Area" localSheetId="0">Guzet!$B$28:$AP$197</definedName>
    <definedName name="_xlnm.Print_Titles" localSheetId="0">Guzet!$20:$27</definedName>
  </definedNames>
  <calcPr calcId="124519"/>
</workbook>
</file>

<file path=xl/calcChain.xml><?xml version="1.0" encoding="utf-8"?>
<calcChain xmlns="http://schemas.openxmlformats.org/spreadsheetml/2006/main">
  <c r="AN150" i="3"/>
  <c r="AN134"/>
  <c r="AN83"/>
  <c r="AN56"/>
  <c r="AN152"/>
  <c r="AN94"/>
  <c r="AN141"/>
  <c r="AN157"/>
  <c r="V18"/>
  <c r="P18"/>
  <c r="J18"/>
  <c r="AN18"/>
  <c r="AO18" s="1"/>
  <c r="AN99"/>
  <c r="AN73"/>
  <c r="AN4"/>
  <c r="P160"/>
  <c r="AN160"/>
  <c r="AO160" s="1"/>
  <c r="AJ164"/>
  <c r="AH164"/>
  <c r="AF164"/>
  <c r="AD164"/>
  <c r="AB164"/>
  <c r="Z164"/>
  <c r="X164"/>
  <c r="V164"/>
  <c r="T164"/>
  <c r="R164"/>
  <c r="P164"/>
  <c r="N164"/>
  <c r="L164"/>
  <c r="H164"/>
  <c r="F164"/>
  <c r="AN164"/>
  <c r="AJ163"/>
  <c r="AH163"/>
  <c r="AF163"/>
  <c r="AD163"/>
  <c r="AB163"/>
  <c r="Z163"/>
  <c r="X163"/>
  <c r="V163"/>
  <c r="T163"/>
  <c r="R163"/>
  <c r="P163"/>
  <c r="N163"/>
  <c r="L163"/>
  <c r="H163"/>
  <c r="F163"/>
  <c r="D163"/>
  <c r="AN163" s="1"/>
  <c r="AN109"/>
  <c r="AN84"/>
  <c r="AN124"/>
  <c r="AP182" i="1"/>
  <c r="AP188"/>
  <c r="AP191"/>
  <c r="AP193"/>
  <c r="AP194"/>
  <c r="AP197"/>
  <c r="AJ166" i="3"/>
  <c r="AH166"/>
  <c r="AF166"/>
  <c r="AD166"/>
  <c r="AB166"/>
  <c r="Z166"/>
  <c r="X166"/>
  <c r="T166"/>
  <c r="R166"/>
  <c r="P166"/>
  <c r="N166"/>
  <c r="L166"/>
  <c r="H166"/>
  <c r="F166"/>
  <c r="D166"/>
  <c r="AN166" s="1"/>
  <c r="I8" i="2"/>
  <c r="I9"/>
  <c r="I10"/>
  <c r="I11"/>
  <c r="I12"/>
  <c r="I7"/>
  <c r="AK150" i="3"/>
  <c r="AO150"/>
  <c r="AP137"/>
  <c r="AK94"/>
  <c r="AK124"/>
  <c r="AK134"/>
  <c r="AK157"/>
  <c r="AK152"/>
  <c r="AO94"/>
  <c r="AK109"/>
  <c r="AP141"/>
  <c r="AQ48" i="1"/>
  <c r="AQ54"/>
  <c r="AK166" i="3"/>
  <c r="AQ117" i="1"/>
  <c r="AK99" i="3"/>
  <c r="AK141"/>
  <c r="AQ176" i="1"/>
  <c r="AP150" i="3"/>
  <c r="AQ163" i="1"/>
  <c r="AK100" i="3"/>
  <c r="AK18"/>
  <c r="AK160"/>
  <c r="AK164"/>
  <c r="AK163"/>
  <c r="AQ183" i="1"/>
  <c r="AP157" i="3"/>
  <c r="AK56"/>
  <c r="AK83"/>
  <c r="AP148" i="1"/>
  <c r="AL30"/>
  <c r="AO134" i="3"/>
  <c r="AK4"/>
  <c r="AK73"/>
  <c r="AK84"/>
  <c r="AN100" l="1"/>
  <c r="AN137"/>
  <c r="AO56"/>
  <c r="AM109"/>
  <c r="AM152"/>
  <c r="AO99"/>
  <c r="AO73"/>
  <c r="AM99"/>
  <c r="AM160"/>
  <c r="AO163"/>
  <c r="AO166"/>
  <c r="AO141"/>
  <c r="AM73"/>
  <c r="AM134"/>
  <c r="AM56"/>
  <c r="AO157"/>
  <c r="AM166"/>
  <c r="AO83"/>
  <c r="AM163"/>
  <c r="AM83"/>
  <c r="AO4"/>
  <c r="AM84"/>
  <c r="AM4"/>
  <c r="AO124"/>
  <c r="AO164"/>
  <c r="AO152"/>
  <c r="AO100"/>
  <c r="AO84"/>
  <c r="AM100"/>
  <c r="AM18"/>
  <c r="AM164"/>
  <c r="AO109"/>
  <c r="AM94"/>
  <c r="AH14" i="1" l="1"/>
  <c r="AH7" s="1"/>
  <c r="AH12"/>
  <c r="AH11"/>
  <c r="AH10"/>
  <c r="AB14"/>
  <c r="AB7" s="1"/>
  <c r="AB12"/>
  <c r="AB11"/>
  <c r="AB10"/>
  <c r="V14"/>
  <c r="V7" s="1"/>
  <c r="V12"/>
  <c r="V11"/>
  <c r="V10"/>
  <c r="P14"/>
  <c r="P7" s="1"/>
  <c r="P12"/>
  <c r="P11"/>
  <c r="P10"/>
  <c r="J14"/>
  <c r="J7" s="1"/>
  <c r="J12"/>
  <c r="J11"/>
  <c r="J10"/>
  <c r="D14"/>
  <c r="D7" s="1"/>
  <c r="E7" i="2" s="1"/>
  <c r="G7" s="1"/>
  <c r="D12" i="1"/>
  <c r="D11"/>
  <c r="D10"/>
  <c r="AQ199"/>
  <c r="AP134" i="3"/>
  <c r="AP160"/>
  <c r="AP73"/>
  <c r="AP164"/>
  <c r="AP99"/>
  <c r="AP100"/>
  <c r="AP109"/>
  <c r="AP4"/>
  <c r="AP84"/>
  <c r="AP83"/>
  <c r="AP152"/>
  <c r="AP18"/>
  <c r="AP56"/>
  <c r="AP94"/>
  <c r="AP166"/>
  <c r="AP163"/>
  <c r="E8" i="2" l="1"/>
  <c r="AO48" i="1" l="1"/>
  <c r="AI29"/>
  <c r="AI30"/>
  <c r="AG30" s="1"/>
  <c r="AI31"/>
  <c r="AI32"/>
  <c r="AG32" s="1"/>
  <c r="AI33"/>
  <c r="AI34"/>
  <c r="G34" s="1"/>
  <c r="AI35"/>
  <c r="AI36"/>
  <c r="G36" s="1"/>
  <c r="AI37"/>
  <c r="AK37" s="1"/>
  <c r="AI38"/>
  <c r="G38" s="1"/>
  <c r="AI39"/>
  <c r="AK39" s="1"/>
  <c r="AI40"/>
  <c r="G40" s="1"/>
  <c r="AI41"/>
  <c r="AI42"/>
  <c r="G42" s="1"/>
  <c r="AI43"/>
  <c r="AI44"/>
  <c r="G44" s="1"/>
  <c r="AI45"/>
  <c r="W45" s="1"/>
  <c r="AI46"/>
  <c r="G46" s="1"/>
  <c r="AI47"/>
  <c r="AG47" s="1"/>
  <c r="AI48"/>
  <c r="G48" s="1"/>
  <c r="AI49"/>
  <c r="AG49" s="1"/>
  <c r="AI50"/>
  <c r="G50" s="1"/>
  <c r="AI51"/>
  <c r="AG51" s="1"/>
  <c r="AI52"/>
  <c r="G52" s="1"/>
  <c r="AI53"/>
  <c r="AA53" s="1"/>
  <c r="AI54"/>
  <c r="G54" s="1"/>
  <c r="AI55"/>
  <c r="AG55" s="1"/>
  <c r="AI56"/>
  <c r="G56" s="1"/>
  <c r="AI57"/>
  <c r="AG57" s="1"/>
  <c r="AI58"/>
  <c r="G58" s="1"/>
  <c r="AI59"/>
  <c r="AG59" s="1"/>
  <c r="AI60"/>
  <c r="G60" s="1"/>
  <c r="AI61"/>
  <c r="AG61" s="1"/>
  <c r="AI62"/>
  <c r="G62" s="1"/>
  <c r="AI63"/>
  <c r="AK63" s="1"/>
  <c r="AI64"/>
  <c r="G64" s="1"/>
  <c r="AI65"/>
  <c r="AK65" s="1"/>
  <c r="AI66"/>
  <c r="G66" s="1"/>
  <c r="AI67"/>
  <c r="AG67" s="1"/>
  <c r="AI68"/>
  <c r="G68" s="1"/>
  <c r="AI69"/>
  <c r="AI70"/>
  <c r="G70" s="1"/>
  <c r="AI71"/>
  <c r="AI72"/>
  <c r="G72" s="1"/>
  <c r="AI73"/>
  <c r="AI74"/>
  <c r="G74" s="1"/>
  <c r="AI75"/>
  <c r="AI76"/>
  <c r="G76" s="1"/>
  <c r="AI77"/>
  <c r="AI78"/>
  <c r="G78" s="1"/>
  <c r="AI79"/>
  <c r="AI80"/>
  <c r="G80" s="1"/>
  <c r="AI81"/>
  <c r="AI82"/>
  <c r="G82" s="1"/>
  <c r="AI83"/>
  <c r="AI84"/>
  <c r="G84" s="1"/>
  <c r="AI85"/>
  <c r="AI86"/>
  <c r="G86" s="1"/>
  <c r="AI87"/>
  <c r="AK87" s="1"/>
  <c r="AI88"/>
  <c r="G88" s="1"/>
  <c r="AI89"/>
  <c r="AK89" s="1"/>
  <c r="AI90"/>
  <c r="G90" s="1"/>
  <c r="AI91"/>
  <c r="AK91" s="1"/>
  <c r="AI92"/>
  <c r="G92" s="1"/>
  <c r="AI93"/>
  <c r="AG93" s="1"/>
  <c r="AI94"/>
  <c r="G94" s="1"/>
  <c r="AI95"/>
  <c r="AG95" s="1"/>
  <c r="AI96"/>
  <c r="G96" s="1"/>
  <c r="AI97"/>
  <c r="AI98"/>
  <c r="G98" s="1"/>
  <c r="AI99"/>
  <c r="AG99" s="1"/>
  <c r="AI100"/>
  <c r="G100" s="1"/>
  <c r="AI101"/>
  <c r="AK101" s="1"/>
  <c r="AI102"/>
  <c r="G102" s="1"/>
  <c r="AI103"/>
  <c r="AK103" s="1"/>
  <c r="AI104"/>
  <c r="G104" s="1"/>
  <c r="AI105"/>
  <c r="AK105" s="1"/>
  <c r="AI106"/>
  <c r="G106" s="1"/>
  <c r="AI107"/>
  <c r="AK107" s="1"/>
  <c r="AI108"/>
  <c r="G108" s="1"/>
  <c r="AI109"/>
  <c r="AK109" s="1"/>
  <c r="AI110"/>
  <c r="G110" s="1"/>
  <c r="AI111"/>
  <c r="AK111" s="1"/>
  <c r="AI112"/>
  <c r="G112" s="1"/>
  <c r="AI113"/>
  <c r="AK113" s="1"/>
  <c r="AI114"/>
  <c r="G114" s="1"/>
  <c r="AI115"/>
  <c r="AK115" s="1"/>
  <c r="AI116"/>
  <c r="G116" s="1"/>
  <c r="AI117"/>
  <c r="AK117" s="1"/>
  <c r="AI118"/>
  <c r="G118" s="1"/>
  <c r="AI119"/>
  <c r="AG119" s="1"/>
  <c r="AI120"/>
  <c r="G120" s="1"/>
  <c r="AI121"/>
  <c r="AK121" s="1"/>
  <c r="AI122"/>
  <c r="G122" s="1"/>
  <c r="AI123"/>
  <c r="AK123" s="1"/>
  <c r="AI124"/>
  <c r="G124" s="1"/>
  <c r="AI125"/>
  <c r="AI126"/>
  <c r="G126" s="1"/>
  <c r="AI127"/>
  <c r="AI128"/>
  <c r="G128" s="1"/>
  <c r="AI129"/>
  <c r="AE129" s="1"/>
  <c r="AI130"/>
  <c r="G130" s="1"/>
  <c r="AI131"/>
  <c r="AK131" s="1"/>
  <c r="AI132"/>
  <c r="G132" s="1"/>
  <c r="AI133"/>
  <c r="AG133" s="1"/>
  <c r="AI134"/>
  <c r="G134" s="1"/>
  <c r="AI135"/>
  <c r="AK135" s="1"/>
  <c r="AI136"/>
  <c r="G136" s="1"/>
  <c r="AI137"/>
  <c r="AG137" s="1"/>
  <c r="AI138"/>
  <c r="G138" s="1"/>
  <c r="AI139"/>
  <c r="AG139" s="1"/>
  <c r="AI140"/>
  <c r="G140" s="1"/>
  <c r="AI141"/>
  <c r="AK141" s="1"/>
  <c r="AI142"/>
  <c r="G142" s="1"/>
  <c r="AI143"/>
  <c r="AK143" s="1"/>
  <c r="AI144"/>
  <c r="G144" s="1"/>
  <c r="AI145"/>
  <c r="AK145" s="1"/>
  <c r="AI146"/>
  <c r="G146" s="1"/>
  <c r="AI147"/>
  <c r="AG147" s="1"/>
  <c r="AI148"/>
  <c r="G148" s="1"/>
  <c r="AI149"/>
  <c r="AE149" s="1"/>
  <c r="AI150"/>
  <c r="G150" s="1"/>
  <c r="AI151"/>
  <c r="AG151" s="1"/>
  <c r="AI152"/>
  <c r="G152" s="1"/>
  <c r="AI153"/>
  <c r="AK153" s="1"/>
  <c r="AI154"/>
  <c r="G154" s="1"/>
  <c r="AI155"/>
  <c r="AK155" s="1"/>
  <c r="AI156"/>
  <c r="G156" s="1"/>
  <c r="AI157"/>
  <c r="AK157" s="1"/>
  <c r="AI158"/>
  <c r="G158" s="1"/>
  <c r="AI159"/>
  <c r="AK159" s="1"/>
  <c r="AI160"/>
  <c r="G160" s="1"/>
  <c r="AI161"/>
  <c r="AK161" s="1"/>
  <c r="AI162"/>
  <c r="G162" s="1"/>
  <c r="AI163"/>
  <c r="AG163" s="1"/>
  <c r="AI164"/>
  <c r="G164" s="1"/>
  <c r="AI165"/>
  <c r="AI166"/>
  <c r="G166" s="1"/>
  <c r="AI167"/>
  <c r="AG167" s="1"/>
  <c r="AI168"/>
  <c r="G168" s="1"/>
  <c r="AI169"/>
  <c r="AG169" s="1"/>
  <c r="AI170"/>
  <c r="G170" s="1"/>
  <c r="AI171"/>
  <c r="AG171" s="1"/>
  <c r="AI172"/>
  <c r="G172" s="1"/>
  <c r="AI173"/>
  <c r="AK173" s="1"/>
  <c r="AI174"/>
  <c r="G174" s="1"/>
  <c r="AI175"/>
  <c r="AI176"/>
  <c r="G176" s="1"/>
  <c r="AI177"/>
  <c r="AI178"/>
  <c r="G178" s="1"/>
  <c r="AI179"/>
  <c r="AI180"/>
  <c r="G180" s="1"/>
  <c r="AI181"/>
  <c r="AI182"/>
  <c r="G182" s="1"/>
  <c r="AI183"/>
  <c r="AK183" s="1"/>
  <c r="AI184"/>
  <c r="G184" s="1"/>
  <c r="AI185"/>
  <c r="AI186"/>
  <c r="AI187"/>
  <c r="AA187" s="1"/>
  <c r="AI188"/>
  <c r="AI189"/>
  <c r="AI190"/>
  <c r="AI191"/>
  <c r="AI192"/>
  <c r="AI193"/>
  <c r="K193" s="1"/>
  <c r="AI194"/>
  <c r="AI195"/>
  <c r="AI196"/>
  <c r="AI197"/>
  <c r="AK197" s="1"/>
  <c r="AI28"/>
  <c r="AK29"/>
  <c r="AK30"/>
  <c r="AK31"/>
  <c r="AK32"/>
  <c r="AK35"/>
  <c r="AK38"/>
  <c r="AK41"/>
  <c r="AK43"/>
  <c r="AK45"/>
  <c r="AK47"/>
  <c r="AK49"/>
  <c r="AK51"/>
  <c r="AK53"/>
  <c r="AK55"/>
  <c r="AK57"/>
  <c r="AK59"/>
  <c r="AK61"/>
  <c r="AK64"/>
  <c r="AK67"/>
  <c r="AK68"/>
  <c r="AK69"/>
  <c r="AK70"/>
  <c r="AK71"/>
  <c r="AK72"/>
  <c r="AK73"/>
  <c r="AK74"/>
  <c r="AK75"/>
  <c r="AK76"/>
  <c r="AK77"/>
  <c r="AK78"/>
  <c r="AK79"/>
  <c r="AK80"/>
  <c r="AK81"/>
  <c r="AK82"/>
  <c r="AK83"/>
  <c r="AK84"/>
  <c r="AK85"/>
  <c r="AK88"/>
  <c r="AK93"/>
  <c r="AK95"/>
  <c r="AK97"/>
  <c r="AK100"/>
  <c r="AK104"/>
  <c r="AK108"/>
  <c r="AK112"/>
  <c r="AK116"/>
  <c r="AK119"/>
  <c r="AK125"/>
  <c r="AK127"/>
  <c r="AK130"/>
  <c r="AK133"/>
  <c r="AK134"/>
  <c r="AK142"/>
  <c r="AK147"/>
  <c r="AK149"/>
  <c r="AK158"/>
  <c r="AK163"/>
  <c r="AK165"/>
  <c r="AK167"/>
  <c r="AK169"/>
  <c r="AK171"/>
  <c r="AK175"/>
  <c r="AK177"/>
  <c r="AK179"/>
  <c r="AK181"/>
  <c r="AK185"/>
  <c r="AK187"/>
  <c r="AK188"/>
  <c r="AK189"/>
  <c r="AK190"/>
  <c r="AK191"/>
  <c r="AK192"/>
  <c r="AK193"/>
  <c r="AK194"/>
  <c r="AK195"/>
  <c r="AK196"/>
  <c r="AG29"/>
  <c r="AG31"/>
  <c r="AG35"/>
  <c r="AG41"/>
  <c r="AG43"/>
  <c r="AG45"/>
  <c r="AG50"/>
  <c r="AG54"/>
  <c r="AG60"/>
  <c r="AG64"/>
  <c r="AG69"/>
  <c r="AG71"/>
  <c r="AG73"/>
  <c r="AG75"/>
  <c r="AG77"/>
  <c r="AG79"/>
  <c r="AG81"/>
  <c r="AG83"/>
  <c r="AG85"/>
  <c r="AG87"/>
  <c r="AG89"/>
  <c r="AG91"/>
  <c r="AG97"/>
  <c r="AG100"/>
  <c r="AG104"/>
  <c r="AG108"/>
  <c r="AG112"/>
  <c r="AG116"/>
  <c r="AG120"/>
  <c r="AG125"/>
  <c r="AG126"/>
  <c r="AG127"/>
  <c r="AG130"/>
  <c r="AG131"/>
  <c r="AG134"/>
  <c r="AG138"/>
  <c r="AG141"/>
  <c r="AG143"/>
  <c r="AG145"/>
  <c r="AG152"/>
  <c r="AG156"/>
  <c r="AG159"/>
  <c r="AG162"/>
  <c r="AG165"/>
  <c r="AG170"/>
  <c r="AG173"/>
  <c r="AG174"/>
  <c r="AG175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E29"/>
  <c r="AE31"/>
  <c r="AE35"/>
  <c r="AE37"/>
  <c r="AE39"/>
  <c r="AE40"/>
  <c r="AE41"/>
  <c r="AE42"/>
  <c r="AE43"/>
  <c r="AE45"/>
  <c r="AE47"/>
  <c r="AE49"/>
  <c r="AE51"/>
  <c r="AE53"/>
  <c r="AE54"/>
  <c r="AE55"/>
  <c r="AE56"/>
  <c r="AE57"/>
  <c r="AE60"/>
  <c r="AE61"/>
  <c r="AE62"/>
  <c r="AE63"/>
  <c r="AE64"/>
  <c r="AE65"/>
  <c r="AE67"/>
  <c r="AE69"/>
  <c r="AE71"/>
  <c r="AE73"/>
  <c r="AE75"/>
  <c r="AE77"/>
  <c r="AE79"/>
  <c r="AE81"/>
  <c r="AE83"/>
  <c r="AE85"/>
  <c r="AE87"/>
  <c r="AE89"/>
  <c r="AE91"/>
  <c r="AE93"/>
  <c r="AE94"/>
  <c r="AE95"/>
  <c r="AE96"/>
  <c r="AE97"/>
  <c r="AE98"/>
  <c r="AE101"/>
  <c r="AE103"/>
  <c r="AE105"/>
  <c r="AE107"/>
  <c r="AE109"/>
  <c r="AE111"/>
  <c r="AE113"/>
  <c r="AE115"/>
  <c r="AE117"/>
  <c r="AE119"/>
  <c r="AE120"/>
  <c r="AE123"/>
  <c r="AE125"/>
  <c r="AE127"/>
  <c r="AE130"/>
  <c r="AE131"/>
  <c r="AE133"/>
  <c r="AE135"/>
  <c r="AE137"/>
  <c r="AE140"/>
  <c r="AE141"/>
  <c r="AE142"/>
  <c r="AE143"/>
  <c r="AE144"/>
  <c r="AE145"/>
  <c r="AE147"/>
  <c r="AE150"/>
  <c r="AE151"/>
  <c r="AE152"/>
  <c r="AE153"/>
  <c r="AE154"/>
  <c r="AE155"/>
  <c r="AE156"/>
  <c r="AE157"/>
  <c r="AE159"/>
  <c r="AE161"/>
  <c r="AE163"/>
  <c r="AE165"/>
  <c r="AE167"/>
  <c r="AE168"/>
  <c r="AE169"/>
  <c r="AE170"/>
  <c r="AE171"/>
  <c r="AE172"/>
  <c r="AE173"/>
  <c r="AE175"/>
  <c r="AE177"/>
  <c r="AE179"/>
  <c r="AE181"/>
  <c r="AE183"/>
  <c r="AE185"/>
  <c r="AE187"/>
  <c r="AE188"/>
  <c r="AE189"/>
  <c r="AE190"/>
  <c r="AE191"/>
  <c r="AE192"/>
  <c r="AE193"/>
  <c r="AE194"/>
  <c r="AE195"/>
  <c r="AE196"/>
  <c r="AE197"/>
  <c r="AC29"/>
  <c r="AC30"/>
  <c r="AC31"/>
  <c r="AC32"/>
  <c r="AC35"/>
  <c r="AC37"/>
  <c r="AC39"/>
  <c r="AC41"/>
  <c r="AC43"/>
  <c r="AC45"/>
  <c r="AC47"/>
  <c r="AC49"/>
  <c r="AC51"/>
  <c r="AC53"/>
  <c r="AC55"/>
  <c r="AC57"/>
  <c r="AC59"/>
  <c r="AC61"/>
  <c r="AC63"/>
  <c r="AC65"/>
  <c r="AC67"/>
  <c r="AC69"/>
  <c r="AC71"/>
  <c r="AC73"/>
  <c r="AC75"/>
  <c r="AC77"/>
  <c r="AC79"/>
  <c r="AC81"/>
  <c r="AC83"/>
  <c r="AC85"/>
  <c r="AC87"/>
  <c r="AC89"/>
  <c r="AC91"/>
  <c r="AC93"/>
  <c r="AC95"/>
  <c r="AC97"/>
  <c r="AC99"/>
  <c r="AC101"/>
  <c r="AC103"/>
  <c r="AC105"/>
  <c r="AC107"/>
  <c r="AC109"/>
  <c r="AC111"/>
  <c r="AC113"/>
  <c r="AC115"/>
  <c r="AC117"/>
  <c r="AC119"/>
  <c r="AC121"/>
  <c r="AC123"/>
  <c r="AC125"/>
  <c r="AC127"/>
  <c r="AC129"/>
  <c r="AC131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A29"/>
  <c r="AA30"/>
  <c r="AA31"/>
  <c r="AA32"/>
  <c r="AA35"/>
  <c r="AA36"/>
  <c r="AA37"/>
  <c r="AA39"/>
  <c r="AA40"/>
  <c r="AA41"/>
  <c r="AA42"/>
  <c r="AA43"/>
  <c r="AA45"/>
  <c r="AA47"/>
  <c r="AA48"/>
  <c r="AA49"/>
  <c r="AA50"/>
  <c r="AA51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7"/>
  <c r="AA98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3"/>
  <c r="AA125"/>
  <c r="AA126"/>
  <c r="AA127"/>
  <c r="AA128"/>
  <c r="AA130"/>
  <c r="AA131"/>
  <c r="AA132"/>
  <c r="AA133"/>
  <c r="AA134"/>
  <c r="AA136"/>
  <c r="AA137"/>
  <c r="AA138"/>
  <c r="AA139"/>
  <c r="AA140"/>
  <c r="AA141"/>
  <c r="AA142"/>
  <c r="AA143"/>
  <c r="AA144"/>
  <c r="AA145"/>
  <c r="AA146"/>
  <c r="AA147"/>
  <c r="AA148"/>
  <c r="AA151"/>
  <c r="AA152"/>
  <c r="AA153"/>
  <c r="AA155"/>
  <c r="AA157"/>
  <c r="AA159"/>
  <c r="AA160"/>
  <c r="AA161"/>
  <c r="AA162"/>
  <c r="AA163"/>
  <c r="AA164"/>
  <c r="AA165"/>
  <c r="AA166"/>
  <c r="AA167"/>
  <c r="AA168"/>
  <c r="AA169"/>
  <c r="AA170"/>
  <c r="AA171"/>
  <c r="AA173"/>
  <c r="AA175"/>
  <c r="AA177"/>
  <c r="AA179"/>
  <c r="AA181"/>
  <c r="AA183"/>
  <c r="AA185"/>
  <c r="AA188"/>
  <c r="AA189"/>
  <c r="AA190"/>
  <c r="AA191"/>
  <c r="AA192"/>
  <c r="AA193"/>
  <c r="AA194"/>
  <c r="AA195"/>
  <c r="AA196"/>
  <c r="AA197"/>
  <c r="Y29"/>
  <c r="Y30"/>
  <c r="Y31"/>
  <c r="Y32"/>
  <c r="Y35"/>
  <c r="Y36"/>
  <c r="Y37"/>
  <c r="Y38"/>
  <c r="Y39"/>
  <c r="Y40"/>
  <c r="Y41"/>
  <c r="Y42"/>
  <c r="Y43"/>
  <c r="Y45"/>
  <c r="Y47"/>
  <c r="Y48"/>
  <c r="Y49"/>
  <c r="Y50"/>
  <c r="Y51"/>
  <c r="Y52"/>
  <c r="Y53"/>
  <c r="Y54"/>
  <c r="Y55"/>
  <c r="Y56"/>
  <c r="Y57"/>
  <c r="Y60"/>
  <c r="Y61"/>
  <c r="Y62"/>
  <c r="Y63"/>
  <c r="Y64"/>
  <c r="Y65"/>
  <c r="Y66"/>
  <c r="Y67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7"/>
  <c r="Y98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3"/>
  <c r="Y124"/>
  <c r="Y125"/>
  <c r="Y126"/>
  <c r="Y127"/>
  <c r="Y130"/>
  <c r="Y131"/>
  <c r="Y132"/>
  <c r="Y133"/>
  <c r="Y134"/>
  <c r="Y135"/>
  <c r="Y136"/>
  <c r="Y138"/>
  <c r="Y139"/>
  <c r="Y140"/>
  <c r="Y141"/>
  <c r="Y143"/>
  <c r="Y144"/>
  <c r="Y145"/>
  <c r="Y147"/>
  <c r="Y148"/>
  <c r="Y150"/>
  <c r="Y151"/>
  <c r="Y152"/>
  <c r="Y153"/>
  <c r="Y154"/>
  <c r="Y155"/>
  <c r="Y156"/>
  <c r="Y157"/>
  <c r="Y159"/>
  <c r="Y161"/>
  <c r="Y162"/>
  <c r="Y163"/>
  <c r="Y164"/>
  <c r="Y165"/>
  <c r="Y167"/>
  <c r="Y168"/>
  <c r="Y169"/>
  <c r="Y170"/>
  <c r="Y171"/>
  <c r="Y172"/>
  <c r="Y173"/>
  <c r="Y175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W29"/>
  <c r="W30"/>
  <c r="W31"/>
  <c r="W32"/>
  <c r="W35"/>
  <c r="W36"/>
  <c r="W37"/>
  <c r="W38"/>
  <c r="W39"/>
  <c r="W40"/>
  <c r="W41"/>
  <c r="W42"/>
  <c r="W43"/>
  <c r="W44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2"/>
  <c r="W153"/>
  <c r="W154"/>
  <c r="W155"/>
  <c r="W156"/>
  <c r="W157"/>
  <c r="W159"/>
  <c r="W161"/>
  <c r="W162"/>
  <c r="W163"/>
  <c r="W164"/>
  <c r="W165"/>
  <c r="W167"/>
  <c r="W168"/>
  <c r="W169"/>
  <c r="W170"/>
  <c r="W171"/>
  <c r="W173"/>
  <c r="W174"/>
  <c r="W175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U29"/>
  <c r="U30"/>
  <c r="U31"/>
  <c r="U32"/>
  <c r="U35"/>
  <c r="U37"/>
  <c r="U38"/>
  <c r="U40"/>
  <c r="U41"/>
  <c r="U42"/>
  <c r="U43"/>
  <c r="U45"/>
  <c r="U46"/>
  <c r="U47"/>
  <c r="U48"/>
  <c r="U49"/>
  <c r="U50"/>
  <c r="U51"/>
  <c r="U53"/>
  <c r="U55"/>
  <c r="U56"/>
  <c r="U57"/>
  <c r="U58"/>
  <c r="U60"/>
  <c r="U61"/>
  <c r="U62"/>
  <c r="U63"/>
  <c r="U64"/>
  <c r="U65"/>
  <c r="U67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2"/>
  <c r="U123"/>
  <c r="U125"/>
  <c r="U126"/>
  <c r="U127"/>
  <c r="U130"/>
  <c r="U131"/>
  <c r="U132"/>
  <c r="U133"/>
  <c r="U134"/>
  <c r="U136"/>
  <c r="U138"/>
  <c r="U139"/>
  <c r="U140"/>
  <c r="U141"/>
  <c r="U142"/>
  <c r="U143"/>
  <c r="U144"/>
  <c r="U145"/>
  <c r="U146"/>
  <c r="U147"/>
  <c r="U148"/>
  <c r="U149"/>
  <c r="U151"/>
  <c r="U152"/>
  <c r="U153"/>
  <c r="U154"/>
  <c r="U155"/>
  <c r="U156"/>
  <c r="U157"/>
  <c r="U159"/>
  <c r="U161"/>
  <c r="U162"/>
  <c r="U163"/>
  <c r="U164"/>
  <c r="U165"/>
  <c r="U166"/>
  <c r="U167"/>
  <c r="U168"/>
  <c r="U169"/>
  <c r="U170"/>
  <c r="U171"/>
  <c r="U173"/>
  <c r="U175"/>
  <c r="U177"/>
  <c r="U178"/>
  <c r="U179"/>
  <c r="U180"/>
  <c r="U181"/>
  <c r="U182"/>
  <c r="U183"/>
  <c r="U184"/>
  <c r="U185"/>
  <c r="U186"/>
  <c r="U188"/>
  <c r="U189"/>
  <c r="U190"/>
  <c r="U191"/>
  <c r="U192"/>
  <c r="U193"/>
  <c r="U194"/>
  <c r="U195"/>
  <c r="U196"/>
  <c r="U197"/>
  <c r="S29"/>
  <c r="S30"/>
  <c r="S31"/>
  <c r="S32"/>
  <c r="S35"/>
  <c r="S37"/>
  <c r="S38"/>
  <c r="S39"/>
  <c r="S41"/>
  <c r="S42"/>
  <c r="S43"/>
  <c r="S45"/>
  <c r="S46"/>
  <c r="S47"/>
  <c r="S48"/>
  <c r="S49"/>
  <c r="S50"/>
  <c r="S51"/>
  <c r="S54"/>
  <c r="S55"/>
  <c r="S56"/>
  <c r="S57"/>
  <c r="S60"/>
  <c r="S61"/>
  <c r="S62"/>
  <c r="S63"/>
  <c r="S64"/>
  <c r="S65"/>
  <c r="S66"/>
  <c r="S67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3"/>
  <c r="S94"/>
  <c r="S95"/>
  <c r="S96"/>
  <c r="S97"/>
  <c r="S98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3"/>
  <c r="S124"/>
  <c r="S125"/>
  <c r="S126"/>
  <c r="S127"/>
  <c r="S130"/>
  <c r="S131"/>
  <c r="S132"/>
  <c r="S133"/>
  <c r="S134"/>
  <c r="S135"/>
  <c r="S136"/>
  <c r="S137"/>
  <c r="S138"/>
  <c r="S140"/>
  <c r="S141"/>
  <c r="S142"/>
  <c r="S143"/>
  <c r="S144"/>
  <c r="S145"/>
  <c r="S147"/>
  <c r="S148"/>
  <c r="S152"/>
  <c r="S153"/>
  <c r="S154"/>
  <c r="S155"/>
  <c r="S156"/>
  <c r="S157"/>
  <c r="S159"/>
  <c r="S161"/>
  <c r="S162"/>
  <c r="S163"/>
  <c r="S164"/>
  <c r="S165"/>
  <c r="S166"/>
  <c r="S167"/>
  <c r="S168"/>
  <c r="S169"/>
  <c r="S170"/>
  <c r="S171"/>
  <c r="S172"/>
  <c r="S173"/>
  <c r="S175"/>
  <c r="S177"/>
  <c r="S178"/>
  <c r="S179"/>
  <c r="S180"/>
  <c r="S181"/>
  <c r="S182"/>
  <c r="S183"/>
  <c r="S184"/>
  <c r="S185"/>
  <c r="S186"/>
  <c r="S188"/>
  <c r="S189"/>
  <c r="S190"/>
  <c r="S191"/>
  <c r="S192"/>
  <c r="S193"/>
  <c r="S194"/>
  <c r="S195"/>
  <c r="S196"/>
  <c r="S197"/>
  <c r="Q29"/>
  <c r="Q30"/>
  <c r="Q31"/>
  <c r="Q32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3"/>
  <c r="Q94"/>
  <c r="Q95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9"/>
  <c r="Q160"/>
  <c r="Q161"/>
  <c r="Q162"/>
  <c r="Q163"/>
  <c r="Q164"/>
  <c r="Q165"/>
  <c r="Q166"/>
  <c r="Q167"/>
  <c r="Q168"/>
  <c r="Q169"/>
  <c r="Q170"/>
  <c r="Q171"/>
  <c r="Q173"/>
  <c r="Q174"/>
  <c r="Q175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O29"/>
  <c r="O30"/>
  <c r="O31"/>
  <c r="O32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3"/>
  <c r="O55"/>
  <c r="O56"/>
  <c r="O57"/>
  <c r="O60"/>
  <c r="O61"/>
  <c r="O62"/>
  <c r="O63"/>
  <c r="O64"/>
  <c r="O65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2"/>
  <c r="O123"/>
  <c r="O124"/>
  <c r="O125"/>
  <c r="O126"/>
  <c r="O127"/>
  <c r="O128"/>
  <c r="O130"/>
  <c r="O131"/>
  <c r="O132"/>
  <c r="O133"/>
  <c r="O134"/>
  <c r="O136"/>
  <c r="O137"/>
  <c r="O138"/>
  <c r="O139"/>
  <c r="O140"/>
  <c r="O141"/>
  <c r="O143"/>
  <c r="O144"/>
  <c r="O145"/>
  <c r="O146"/>
  <c r="O147"/>
  <c r="O148"/>
  <c r="O150"/>
  <c r="O152"/>
  <c r="O153"/>
  <c r="O154"/>
  <c r="O155"/>
  <c r="O156"/>
  <c r="O157"/>
  <c r="O159"/>
  <c r="O160"/>
  <c r="O161"/>
  <c r="O162"/>
  <c r="O163"/>
  <c r="O164"/>
  <c r="O165"/>
  <c r="O167"/>
  <c r="O168"/>
  <c r="O169"/>
  <c r="O170"/>
  <c r="O171"/>
  <c r="O172"/>
  <c r="O173"/>
  <c r="O175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M29"/>
  <c r="M30"/>
  <c r="M31"/>
  <c r="M32"/>
  <c r="M34"/>
  <c r="M35"/>
  <c r="M37"/>
  <c r="M40"/>
  <c r="M41"/>
  <c r="M42"/>
  <c r="M43"/>
  <c r="M44"/>
  <c r="M45"/>
  <c r="M47"/>
  <c r="M48"/>
  <c r="M49"/>
  <c r="M50"/>
  <c r="M51"/>
  <c r="M55"/>
  <c r="M56"/>
  <c r="M57"/>
  <c r="M60"/>
  <c r="M61"/>
  <c r="M62"/>
  <c r="M63"/>
  <c r="M64"/>
  <c r="M65"/>
  <c r="M66"/>
  <c r="M67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3"/>
  <c r="M94"/>
  <c r="M95"/>
  <c r="M97"/>
  <c r="M98"/>
  <c r="M100"/>
  <c r="M101"/>
  <c r="M103"/>
  <c r="M105"/>
  <c r="M107"/>
  <c r="M109"/>
  <c r="M111"/>
  <c r="M113"/>
  <c r="M115"/>
  <c r="M117"/>
  <c r="M119"/>
  <c r="M121"/>
  <c r="M123"/>
  <c r="M125"/>
  <c r="M127"/>
  <c r="M131"/>
  <c r="M133"/>
  <c r="M137"/>
  <c r="M139"/>
  <c r="M141"/>
  <c r="M143"/>
  <c r="M145"/>
  <c r="M147"/>
  <c r="M153"/>
  <c r="M155"/>
  <c r="M157"/>
  <c r="M159"/>
  <c r="M161"/>
  <c r="M163"/>
  <c r="M165"/>
  <c r="M167"/>
  <c r="M169"/>
  <c r="M171"/>
  <c r="M173"/>
  <c r="M175"/>
  <c r="M177"/>
  <c r="M179"/>
  <c r="M181"/>
  <c r="M183"/>
  <c r="M185"/>
  <c r="M187"/>
  <c r="M188"/>
  <c r="M189"/>
  <c r="M190"/>
  <c r="M191"/>
  <c r="M192"/>
  <c r="M193"/>
  <c r="M194"/>
  <c r="M195"/>
  <c r="M196"/>
  <c r="M197"/>
  <c r="K29"/>
  <c r="K30"/>
  <c r="K31"/>
  <c r="K32"/>
  <c r="K34"/>
  <c r="K35"/>
  <c r="K37"/>
  <c r="K38"/>
  <c r="K39"/>
  <c r="K41"/>
  <c r="K42"/>
  <c r="K43"/>
  <c r="K44"/>
  <c r="K45"/>
  <c r="K47"/>
  <c r="K48"/>
  <c r="K49"/>
  <c r="K50"/>
  <c r="K51"/>
  <c r="K52"/>
  <c r="K53"/>
  <c r="K55"/>
  <c r="K56"/>
  <c r="K57"/>
  <c r="K58"/>
  <c r="K59"/>
  <c r="K60"/>
  <c r="K61"/>
  <c r="K62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3"/>
  <c r="K94"/>
  <c r="K95"/>
  <c r="K96"/>
  <c r="K97"/>
  <c r="K98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9"/>
  <c r="K120"/>
  <c r="K121"/>
  <c r="K123"/>
  <c r="K124"/>
  <c r="K125"/>
  <c r="K126"/>
  <c r="K127"/>
  <c r="K128"/>
  <c r="K130"/>
  <c r="K131"/>
  <c r="K132"/>
  <c r="K133"/>
  <c r="K134"/>
  <c r="K136"/>
  <c r="K137"/>
  <c r="K138"/>
  <c r="K139"/>
  <c r="K140"/>
  <c r="K141"/>
  <c r="K143"/>
  <c r="K144"/>
  <c r="K145"/>
  <c r="K147"/>
  <c r="K148"/>
  <c r="K150"/>
  <c r="K152"/>
  <c r="K153"/>
  <c r="K154"/>
  <c r="K155"/>
  <c r="K156"/>
  <c r="K157"/>
  <c r="K159"/>
  <c r="K160"/>
  <c r="K161"/>
  <c r="K162"/>
  <c r="K163"/>
  <c r="K164"/>
  <c r="K165"/>
  <c r="K166"/>
  <c r="K167"/>
  <c r="K168"/>
  <c r="K169"/>
  <c r="K170"/>
  <c r="K171"/>
  <c r="K173"/>
  <c r="K175"/>
  <c r="K177"/>
  <c r="K178"/>
  <c r="K179"/>
  <c r="K180"/>
  <c r="K181"/>
  <c r="K182"/>
  <c r="K183"/>
  <c r="K184"/>
  <c r="K185"/>
  <c r="K186"/>
  <c r="K187"/>
  <c r="K188"/>
  <c r="K189"/>
  <c r="K190"/>
  <c r="K191"/>
  <c r="K192"/>
  <c r="K194"/>
  <c r="K195"/>
  <c r="K196"/>
  <c r="K197"/>
  <c r="I29"/>
  <c r="I30"/>
  <c r="I31"/>
  <c r="I32"/>
  <c r="I34"/>
  <c r="I35"/>
  <c r="I37"/>
  <c r="I41"/>
  <c r="I42"/>
  <c r="I43"/>
  <c r="I47"/>
  <c r="I48"/>
  <c r="I49"/>
  <c r="I50"/>
  <c r="I51"/>
  <c r="I53"/>
  <c r="I55"/>
  <c r="I56"/>
  <c r="I57"/>
  <c r="I58"/>
  <c r="I60"/>
  <c r="I61"/>
  <c r="I62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3"/>
  <c r="I94"/>
  <c r="I95"/>
  <c r="I96"/>
  <c r="I97"/>
  <c r="I98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3"/>
  <c r="I124"/>
  <c r="I125"/>
  <c r="I126"/>
  <c r="I127"/>
  <c r="I130"/>
  <c r="I131"/>
  <c r="I132"/>
  <c r="I133"/>
  <c r="I134"/>
  <c r="I136"/>
  <c r="I138"/>
  <c r="I139"/>
  <c r="I140"/>
  <c r="I141"/>
  <c r="I143"/>
  <c r="I144"/>
  <c r="I145"/>
  <c r="I147"/>
  <c r="I148"/>
  <c r="I151"/>
  <c r="I152"/>
  <c r="I153"/>
  <c r="I154"/>
  <c r="I155"/>
  <c r="I156"/>
  <c r="I157"/>
  <c r="I159"/>
  <c r="I160"/>
  <c r="I161"/>
  <c r="I162"/>
  <c r="I163"/>
  <c r="I164"/>
  <c r="I165"/>
  <c r="I166"/>
  <c r="I167"/>
  <c r="I168"/>
  <c r="I169"/>
  <c r="I170"/>
  <c r="I171"/>
  <c r="I173"/>
  <c r="I175"/>
  <c r="I177"/>
  <c r="I178"/>
  <c r="I179"/>
  <c r="I180"/>
  <c r="I181"/>
  <c r="I182"/>
  <c r="I183"/>
  <c r="I184"/>
  <c r="I185"/>
  <c r="I186"/>
  <c r="I188"/>
  <c r="I189"/>
  <c r="I190"/>
  <c r="I191"/>
  <c r="I192"/>
  <c r="I193"/>
  <c r="I194"/>
  <c r="I195"/>
  <c r="I196"/>
  <c r="I197"/>
  <c r="G29"/>
  <c r="G30"/>
  <c r="G31"/>
  <c r="G32"/>
  <c r="G35"/>
  <c r="G37"/>
  <c r="G39"/>
  <c r="G41"/>
  <c r="G43"/>
  <c r="G47"/>
  <c r="G49"/>
  <c r="G51"/>
  <c r="G53"/>
  <c r="G55"/>
  <c r="G57"/>
  <c r="G59"/>
  <c r="G61"/>
  <c r="G63"/>
  <c r="G65"/>
  <c r="G67"/>
  <c r="G69"/>
  <c r="G71"/>
  <c r="G73"/>
  <c r="G75"/>
  <c r="G77"/>
  <c r="G79"/>
  <c r="G81"/>
  <c r="G83"/>
  <c r="G85"/>
  <c r="G87"/>
  <c r="G89"/>
  <c r="G91"/>
  <c r="G93"/>
  <c r="G95"/>
  <c r="G97"/>
  <c r="G101"/>
  <c r="G103"/>
  <c r="G105"/>
  <c r="G107"/>
  <c r="G109"/>
  <c r="G111"/>
  <c r="G113"/>
  <c r="G115"/>
  <c r="G117"/>
  <c r="G119"/>
  <c r="G121"/>
  <c r="G123"/>
  <c r="G125"/>
  <c r="G127"/>
  <c r="G131"/>
  <c r="G133"/>
  <c r="G139"/>
  <c r="G141"/>
  <c r="G143"/>
  <c r="G145"/>
  <c r="G147"/>
  <c r="G149"/>
  <c r="G153"/>
  <c r="G155"/>
  <c r="G157"/>
  <c r="G159"/>
  <c r="G161"/>
  <c r="G163"/>
  <c r="G165"/>
  <c r="G167"/>
  <c r="G169"/>
  <c r="G171"/>
  <c r="G173"/>
  <c r="G175"/>
  <c r="G177"/>
  <c r="G179"/>
  <c r="G181"/>
  <c r="G183"/>
  <c r="G185"/>
  <c r="G188"/>
  <c r="G189"/>
  <c r="G190"/>
  <c r="G191"/>
  <c r="G192"/>
  <c r="G193"/>
  <c r="G194"/>
  <c r="G195"/>
  <c r="G196"/>
  <c r="G197"/>
  <c r="E29"/>
  <c r="E30"/>
  <c r="E31"/>
  <c r="E32"/>
  <c r="E34"/>
  <c r="E35"/>
  <c r="E36"/>
  <c r="E37"/>
  <c r="E38"/>
  <c r="E41"/>
  <c r="E42"/>
  <c r="E43"/>
  <c r="E44"/>
  <c r="E47"/>
  <c r="E48"/>
  <c r="E49"/>
  <c r="E50"/>
  <c r="E51"/>
  <c r="E52"/>
  <c r="E54"/>
  <c r="E55"/>
  <c r="E56"/>
  <c r="E57"/>
  <c r="E60"/>
  <c r="E61"/>
  <c r="E62"/>
  <c r="E63"/>
  <c r="E64"/>
  <c r="E65"/>
  <c r="E66"/>
  <c r="E67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3"/>
  <c r="E125"/>
  <c r="E126"/>
  <c r="E127"/>
  <c r="E128"/>
  <c r="E130"/>
  <c r="E131"/>
  <c r="E132"/>
  <c r="E133"/>
  <c r="E134"/>
  <c r="E135"/>
  <c r="E136"/>
  <c r="E137"/>
  <c r="E138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9"/>
  <c r="E161"/>
  <c r="E162"/>
  <c r="E163"/>
  <c r="E164"/>
  <c r="E165"/>
  <c r="E166"/>
  <c r="E167"/>
  <c r="E168"/>
  <c r="E169"/>
  <c r="E170"/>
  <c r="E171"/>
  <c r="E173"/>
  <c r="E174"/>
  <c r="E175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AL152"/>
  <c r="AL120"/>
  <c r="AL112"/>
  <c r="AL72"/>
  <c r="AL129"/>
  <c r="AL79"/>
  <c r="AL122"/>
  <c r="AL48"/>
  <c r="AL34"/>
  <c r="AL89"/>
  <c r="AL49"/>
  <c r="AL55"/>
  <c r="AL189"/>
  <c r="AL111"/>
  <c r="AL178"/>
  <c r="AL70"/>
  <c r="AL80"/>
  <c r="AL140"/>
  <c r="AL37"/>
  <c r="AL99"/>
  <c r="AL114"/>
  <c r="AL103"/>
  <c r="AL150"/>
  <c r="AL113"/>
  <c r="AL123"/>
  <c r="AL58"/>
  <c r="AL164"/>
  <c r="AL118"/>
  <c r="AL64"/>
  <c r="AL176"/>
  <c r="AL175"/>
  <c r="AL73"/>
  <c r="AL125"/>
  <c r="AL36"/>
  <c r="AL193"/>
  <c r="AL130"/>
  <c r="AL153"/>
  <c r="AL74"/>
  <c r="AL108"/>
  <c r="AL182"/>
  <c r="AL136"/>
  <c r="AL105"/>
  <c r="AL174"/>
  <c r="AL170"/>
  <c r="AL93"/>
  <c r="AL116"/>
  <c r="AL43"/>
  <c r="AL57"/>
  <c r="AL44"/>
  <c r="AL167"/>
  <c r="AL191"/>
  <c r="AL31"/>
  <c r="AL128"/>
  <c r="AL137"/>
  <c r="AL86"/>
  <c r="AL180"/>
  <c r="AL29"/>
  <c r="AL84"/>
  <c r="AL33"/>
  <c r="AL28"/>
  <c r="AL39"/>
  <c r="AL85"/>
  <c r="AL95"/>
  <c r="AL104"/>
  <c r="AL119"/>
  <c r="AL158"/>
  <c r="AL166"/>
  <c r="AL92"/>
  <c r="AL63"/>
  <c r="AL188"/>
  <c r="AL32"/>
  <c r="AL149"/>
  <c r="AL190"/>
  <c r="AL162"/>
  <c r="AL106"/>
  <c r="AL141"/>
  <c r="AL155"/>
  <c r="AL107"/>
  <c r="AL173"/>
  <c r="AL185"/>
  <c r="AL78"/>
  <c r="AL59"/>
  <c r="AL187"/>
  <c r="AL157"/>
  <c r="AL82"/>
  <c r="AL161"/>
  <c r="AL35"/>
  <c r="AL87"/>
  <c r="AL186"/>
  <c r="AL40"/>
  <c r="AL168"/>
  <c r="AL147"/>
  <c r="AL69"/>
  <c r="AL60"/>
  <c r="AL195"/>
  <c r="AL126"/>
  <c r="AL184"/>
  <c r="AL62"/>
  <c r="AL56"/>
  <c r="AL127"/>
  <c r="AL77"/>
  <c r="AL53"/>
  <c r="AL75"/>
  <c r="AL133"/>
  <c r="AL146"/>
  <c r="AL90"/>
  <c r="AL169"/>
  <c r="AL151"/>
  <c r="AL142"/>
  <c r="AL154"/>
  <c r="AL46"/>
  <c r="AL144"/>
  <c r="AL160"/>
  <c r="AL109"/>
  <c r="AL45"/>
  <c r="AL196"/>
  <c r="AL96"/>
  <c r="AL66"/>
  <c r="AL134"/>
  <c r="AL71"/>
  <c r="AL171"/>
  <c r="AL131"/>
  <c r="AL124"/>
  <c r="AL54"/>
  <c r="AL110"/>
  <c r="AL121"/>
  <c r="AL179"/>
  <c r="AL183"/>
  <c r="AL42"/>
  <c r="AL98"/>
  <c r="AL41"/>
  <c r="AL91"/>
  <c r="AL138"/>
  <c r="AL135"/>
  <c r="AL76"/>
  <c r="AL177"/>
  <c r="AL52"/>
  <c r="AL197"/>
  <c r="AL102"/>
  <c r="AL68"/>
  <c r="AL115"/>
  <c r="AL156"/>
  <c r="AL38"/>
  <c r="AL181"/>
  <c r="AL159"/>
  <c r="AL50"/>
  <c r="AL139"/>
  <c r="AL172"/>
  <c r="AL81"/>
  <c r="AL47"/>
  <c r="AL143"/>
  <c r="AL165"/>
  <c r="AL51"/>
  <c r="AL61"/>
  <c r="AL132"/>
  <c r="AL101"/>
  <c r="AL88"/>
  <c r="AL192"/>
  <c r="AL65"/>
  <c r="AL117"/>
  <c r="AL100"/>
  <c r="AL97"/>
  <c r="AL94"/>
  <c r="AL83"/>
  <c r="AL145"/>
  <c r="AL194"/>
  <c r="K176" l="1"/>
  <c r="O176"/>
  <c r="P8"/>
  <c r="P9" s="1"/>
  <c r="P13" s="1"/>
  <c r="Q176"/>
  <c r="U176"/>
  <c r="W176"/>
  <c r="V8" s="1"/>
  <c r="V9" s="1"/>
  <c r="V13" s="1"/>
  <c r="AG176"/>
  <c r="E176"/>
  <c r="I176"/>
  <c r="S176"/>
  <c r="Y176"/>
  <c r="AC176"/>
  <c r="D8"/>
  <c r="D9" s="1"/>
  <c r="D13" s="1"/>
  <c r="G186"/>
  <c r="AH8"/>
  <c r="AH9" s="1"/>
  <c r="AH13" s="1"/>
  <c r="AA186"/>
  <c r="AA184"/>
  <c r="AA182"/>
  <c r="AA180"/>
  <c r="AA178"/>
  <c r="AA176"/>
  <c r="AA174"/>
  <c r="AA156"/>
  <c r="AA154"/>
  <c r="AC130"/>
  <c r="AC128"/>
  <c r="AC126"/>
  <c r="AC124"/>
  <c r="AC122"/>
  <c r="AC120"/>
  <c r="AC118"/>
  <c r="AC116"/>
  <c r="AC114"/>
  <c r="AC112"/>
  <c r="AC110"/>
  <c r="AC108"/>
  <c r="AC106"/>
  <c r="AC104"/>
  <c r="AC102"/>
  <c r="AC100"/>
  <c r="AC98"/>
  <c r="AC96"/>
  <c r="AC94"/>
  <c r="AC92"/>
  <c r="AC90"/>
  <c r="AC88"/>
  <c r="AC86"/>
  <c r="AC84"/>
  <c r="AC82"/>
  <c r="AC80"/>
  <c r="AC78"/>
  <c r="AC76"/>
  <c r="AC74"/>
  <c r="AC72"/>
  <c r="AC70"/>
  <c r="AC68"/>
  <c r="AC66"/>
  <c r="AC64"/>
  <c r="AC62"/>
  <c r="AC60"/>
  <c r="AC58"/>
  <c r="AC56"/>
  <c r="AC54"/>
  <c r="AC52"/>
  <c r="AC50"/>
  <c r="AC48"/>
  <c r="AC46"/>
  <c r="AC44"/>
  <c r="AB8" s="1"/>
  <c r="AB9" s="1"/>
  <c r="AB13" s="1"/>
  <c r="AC42"/>
  <c r="AC40"/>
  <c r="AC38"/>
  <c r="AC36"/>
  <c r="AC34"/>
  <c r="AE186"/>
  <c r="AE184"/>
  <c r="AE182"/>
  <c r="AE180"/>
  <c r="AE178"/>
  <c r="AE176"/>
  <c r="AE164"/>
  <c r="AE162"/>
  <c r="AE160"/>
  <c r="AE148"/>
  <c r="AE138"/>
  <c r="AE136"/>
  <c r="AE134"/>
  <c r="AE128"/>
  <c r="AE126"/>
  <c r="AE116"/>
  <c r="AE114"/>
  <c r="AE112"/>
  <c r="AE110"/>
  <c r="AE108"/>
  <c r="AE106"/>
  <c r="AE104"/>
  <c r="AE102"/>
  <c r="AE100"/>
  <c r="AE90"/>
  <c r="AE88"/>
  <c r="AE86"/>
  <c r="AE84"/>
  <c r="AE82"/>
  <c r="AE80"/>
  <c r="AE78"/>
  <c r="AE76"/>
  <c r="AE74"/>
  <c r="AE72"/>
  <c r="AE70"/>
  <c r="AE68"/>
  <c r="AE50"/>
  <c r="AE48"/>
  <c r="AE46"/>
  <c r="AE36"/>
  <c r="AE32"/>
  <c r="AE30"/>
  <c r="AG168"/>
  <c r="AG164"/>
  <c r="AG154"/>
  <c r="AG148"/>
  <c r="AG144"/>
  <c r="AG142"/>
  <c r="AG140"/>
  <c r="AG136"/>
  <c r="AG118"/>
  <c r="AG114"/>
  <c r="AG110"/>
  <c r="AG106"/>
  <c r="AG102"/>
  <c r="AG98"/>
  <c r="AG94"/>
  <c r="AG90"/>
  <c r="AG88"/>
  <c r="AG86"/>
  <c r="AG84"/>
  <c r="AG82"/>
  <c r="AG80"/>
  <c r="AG78"/>
  <c r="AG76"/>
  <c r="AG74"/>
  <c r="AG72"/>
  <c r="AG70"/>
  <c r="AG66"/>
  <c r="AG62"/>
  <c r="AG56"/>
  <c r="AG52"/>
  <c r="AG48"/>
  <c r="AG44"/>
  <c r="AG42"/>
  <c r="AG38"/>
  <c r="AK186"/>
  <c r="AK184"/>
  <c r="AK182"/>
  <c r="AK180"/>
  <c r="AK178"/>
  <c r="AK176"/>
  <c r="AK154"/>
  <c r="AK138"/>
  <c r="AK114"/>
  <c r="AK110"/>
  <c r="AK106"/>
  <c r="AK102"/>
  <c r="AK98"/>
  <c r="AK96"/>
  <c r="AK94"/>
  <c r="AK90"/>
  <c r="AK62"/>
  <c r="AK60"/>
  <c r="AK58"/>
  <c r="AK56"/>
  <c r="AK54"/>
  <c r="AK52"/>
  <c r="AK50"/>
  <c r="AK48"/>
  <c r="AK46"/>
  <c r="AK44"/>
  <c r="AK42"/>
  <c r="AK40"/>
  <c r="AK170"/>
  <c r="AK168"/>
  <c r="AK166"/>
  <c r="AK164"/>
  <c r="AK160"/>
  <c r="AK156"/>
  <c r="AK152"/>
  <c r="AK148"/>
  <c r="AK144"/>
  <c r="AK140"/>
  <c r="AK136"/>
  <c r="AK128"/>
  <c r="AK126"/>
  <c r="AG161"/>
  <c r="AG157"/>
  <c r="AG155"/>
  <c r="AG153"/>
  <c r="AG149"/>
  <c r="AG123"/>
  <c r="AG117"/>
  <c r="AG115"/>
  <c r="AG113"/>
  <c r="AG111"/>
  <c r="AG109"/>
  <c r="AG107"/>
  <c r="AG105"/>
  <c r="AG103"/>
  <c r="AG101"/>
  <c r="AG65"/>
  <c r="AG63"/>
  <c r="AG53"/>
  <c r="AG39"/>
  <c r="AG37"/>
  <c r="AK151"/>
  <c r="AK139"/>
  <c r="AK137"/>
  <c r="AO195"/>
  <c r="AO189"/>
  <c r="AC132"/>
  <c r="AE132"/>
  <c r="AG132"/>
  <c r="AK132"/>
  <c r="E172"/>
  <c r="I172"/>
  <c r="K172"/>
  <c r="Q172"/>
  <c r="U172"/>
  <c r="W172"/>
  <c r="AA172"/>
  <c r="AG172"/>
  <c r="AK172"/>
  <c r="E160"/>
  <c r="S160"/>
  <c r="U160"/>
  <c r="W160"/>
  <c r="Y160"/>
  <c r="AG160"/>
  <c r="K158"/>
  <c r="W158"/>
  <c r="AA158"/>
  <c r="G151"/>
  <c r="K151"/>
  <c r="M151"/>
  <c r="O151"/>
  <c r="S151"/>
  <c r="W151"/>
  <c r="M96"/>
  <c r="Q96"/>
  <c r="Y96"/>
  <c r="AA96"/>
  <c r="AG96"/>
  <c r="E68"/>
  <c r="M68"/>
  <c r="S68"/>
  <c r="U68"/>
  <c r="Y68"/>
  <c r="AG68"/>
  <c r="E45"/>
  <c r="G45"/>
  <c r="I45"/>
  <c r="E39"/>
  <c r="I39"/>
  <c r="M39"/>
  <c r="U39"/>
  <c r="O166"/>
  <c r="W166"/>
  <c r="Y166"/>
  <c r="AE166"/>
  <c r="AG166"/>
  <c r="S34"/>
  <c r="U34"/>
  <c r="W34"/>
  <c r="Y34"/>
  <c r="AA34"/>
  <c r="AE34"/>
  <c r="AG34"/>
  <c r="AK34"/>
  <c r="E158"/>
  <c r="O158"/>
  <c r="Q158"/>
  <c r="U158"/>
  <c r="Y158"/>
  <c r="E139"/>
  <c r="S139"/>
  <c r="AE139"/>
  <c r="Q129"/>
  <c r="E124"/>
  <c r="AE124"/>
  <c r="E121"/>
  <c r="I121"/>
  <c r="O121"/>
  <c r="S121"/>
  <c r="U121"/>
  <c r="Y121"/>
  <c r="AE121"/>
  <c r="AG121"/>
  <c r="K118"/>
  <c r="AE118"/>
  <c r="AK118"/>
  <c r="E92"/>
  <c r="I92"/>
  <c r="K92"/>
  <c r="M92"/>
  <c r="Q92"/>
  <c r="S92"/>
  <c r="AE92"/>
  <c r="AG92"/>
  <c r="AK92"/>
  <c r="O66"/>
  <c r="Q66"/>
  <c r="U66"/>
  <c r="AE66"/>
  <c r="AK66"/>
  <c r="E59"/>
  <c r="I59"/>
  <c r="M59"/>
  <c r="O59"/>
  <c r="S59"/>
  <c r="U59"/>
  <c r="Y59"/>
  <c r="AE59"/>
  <c r="AO193"/>
  <c r="I38"/>
  <c r="M38"/>
  <c r="AA38"/>
  <c r="AE38"/>
  <c r="S174"/>
  <c r="U174"/>
  <c r="Y174"/>
  <c r="AK174"/>
  <c r="I150"/>
  <c r="S150"/>
  <c r="U150"/>
  <c r="AA150"/>
  <c r="AG150"/>
  <c r="AK150"/>
  <c r="I142"/>
  <c r="K142"/>
  <c r="O142"/>
  <c r="Y142"/>
  <c r="G129"/>
  <c r="I129"/>
  <c r="K129"/>
  <c r="M129"/>
  <c r="O129"/>
  <c r="U129"/>
  <c r="AG129"/>
  <c r="AK129"/>
  <c r="E129"/>
  <c r="S129"/>
  <c r="Y129"/>
  <c r="AA129"/>
  <c r="I128"/>
  <c r="S128"/>
  <c r="U128"/>
  <c r="Y128"/>
  <c r="AG128"/>
  <c r="U124"/>
  <c r="AA124"/>
  <c r="AG124"/>
  <c r="AK124"/>
  <c r="AK122"/>
  <c r="E122"/>
  <c r="I122"/>
  <c r="K122"/>
  <c r="S122"/>
  <c r="Y122"/>
  <c r="AA122"/>
  <c r="AE122"/>
  <c r="AG122"/>
  <c r="O120"/>
  <c r="S120"/>
  <c r="U120"/>
  <c r="Y120"/>
  <c r="AK120"/>
  <c r="E53"/>
  <c r="M53"/>
  <c r="S53"/>
  <c r="I52"/>
  <c r="M52"/>
  <c r="O52"/>
  <c r="S52"/>
  <c r="U52"/>
  <c r="AA52"/>
  <c r="AE52"/>
  <c r="E46"/>
  <c r="I46"/>
  <c r="K46"/>
  <c r="M46"/>
  <c r="Y46"/>
  <c r="AA46"/>
  <c r="AG46"/>
  <c r="E58"/>
  <c r="M58"/>
  <c r="O58"/>
  <c r="S58"/>
  <c r="Y58"/>
  <c r="AE58"/>
  <c r="AG58"/>
  <c r="E40"/>
  <c r="I40"/>
  <c r="AK162"/>
  <c r="AK86"/>
  <c r="I174"/>
  <c r="K174"/>
  <c r="O174"/>
  <c r="AE174"/>
  <c r="I158"/>
  <c r="S158"/>
  <c r="AE158"/>
  <c r="AG158"/>
  <c r="I146"/>
  <c r="K146"/>
  <c r="S146"/>
  <c r="Y146"/>
  <c r="AE146"/>
  <c r="AG146"/>
  <c r="AK146"/>
  <c r="I54"/>
  <c r="K54"/>
  <c r="M54"/>
  <c r="O54"/>
  <c r="U54"/>
  <c r="AA54"/>
  <c r="I44"/>
  <c r="S44"/>
  <c r="U44"/>
  <c r="Y44"/>
  <c r="AA44"/>
  <c r="AE44"/>
  <c r="K40"/>
  <c r="S40"/>
  <c r="AG40"/>
  <c r="I36"/>
  <c r="K36"/>
  <c r="M36"/>
  <c r="S36"/>
  <c r="U36"/>
  <c r="AG36"/>
  <c r="AK36"/>
  <c r="AO192"/>
  <c r="G187"/>
  <c r="I187"/>
  <c r="S187"/>
  <c r="U187"/>
  <c r="I149"/>
  <c r="K149"/>
  <c r="M149"/>
  <c r="O149"/>
  <c r="S149"/>
  <c r="Y149"/>
  <c r="AA149"/>
  <c r="G137"/>
  <c r="I137"/>
  <c r="U137"/>
  <c r="Y137"/>
  <c r="G135"/>
  <c r="I135"/>
  <c r="K135"/>
  <c r="M135"/>
  <c r="O135"/>
  <c r="U135"/>
  <c r="AA135"/>
  <c r="AG135"/>
  <c r="I99"/>
  <c r="AK99"/>
  <c r="G99"/>
  <c r="K99"/>
  <c r="J8" s="1"/>
  <c r="J9" s="1"/>
  <c r="J13" s="1"/>
  <c r="M99"/>
  <c r="O99"/>
  <c r="S99"/>
  <c r="U99"/>
  <c r="AO99" s="1"/>
  <c r="Y99"/>
  <c r="AA99"/>
  <c r="AE99"/>
  <c r="I63"/>
  <c r="K63"/>
  <c r="AO197"/>
  <c r="AO196"/>
  <c r="AO194"/>
  <c r="AO191"/>
  <c r="AO190"/>
  <c r="AO188"/>
  <c r="AO31"/>
  <c r="AO185"/>
  <c r="AO183"/>
  <c r="AO181"/>
  <c r="AO179"/>
  <c r="AO177"/>
  <c r="AO175"/>
  <c r="AO173"/>
  <c r="AO171"/>
  <c r="AO169"/>
  <c r="AO167"/>
  <c r="AO165"/>
  <c r="AO163"/>
  <c r="AO161"/>
  <c r="AO159"/>
  <c r="AO157"/>
  <c r="AO155"/>
  <c r="AO153"/>
  <c r="AO147"/>
  <c r="AO145"/>
  <c r="AO143"/>
  <c r="AO141"/>
  <c r="AO139"/>
  <c r="AO135"/>
  <c r="AO133"/>
  <c r="AO131"/>
  <c r="AO127"/>
  <c r="AO125"/>
  <c r="AO123"/>
  <c r="AO119"/>
  <c r="AO117"/>
  <c r="AO115"/>
  <c r="AO113"/>
  <c r="AO111"/>
  <c r="AO109"/>
  <c r="AO107"/>
  <c r="AO105"/>
  <c r="AO103"/>
  <c r="AO101"/>
  <c r="AO97"/>
  <c r="AO95"/>
  <c r="AO93"/>
  <c r="AO91"/>
  <c r="AO89"/>
  <c r="AO87"/>
  <c r="AO85"/>
  <c r="AO83"/>
  <c r="AO81"/>
  <c r="AO79"/>
  <c r="AP79" s="1"/>
  <c r="AO77"/>
  <c r="AO75"/>
  <c r="AO73"/>
  <c r="AO71"/>
  <c r="AO69"/>
  <c r="AO67"/>
  <c r="AO65"/>
  <c r="AO59"/>
  <c r="AP59" s="1"/>
  <c r="AO55"/>
  <c r="AO51"/>
  <c r="AO47"/>
  <c r="AO43"/>
  <c r="AO39"/>
  <c r="AO35"/>
  <c r="M186"/>
  <c r="AO186" s="1"/>
  <c r="M184"/>
  <c r="AO184" s="1"/>
  <c r="M182"/>
  <c r="AO182" s="1"/>
  <c r="M180"/>
  <c r="AO180" s="1"/>
  <c r="M178"/>
  <c r="AO178" s="1"/>
  <c r="M176"/>
  <c r="AO176" s="1"/>
  <c r="M174"/>
  <c r="M172"/>
  <c r="AO172" s="1"/>
  <c r="M170"/>
  <c r="AO170" s="1"/>
  <c r="M168"/>
  <c r="AO168" s="1"/>
  <c r="M166"/>
  <c r="M164"/>
  <c r="M162"/>
  <c r="AO162" s="1"/>
  <c r="M160"/>
  <c r="AO160" s="1"/>
  <c r="M158"/>
  <c r="AO158" s="1"/>
  <c r="M156"/>
  <c r="AO156" s="1"/>
  <c r="M154"/>
  <c r="AO154" s="1"/>
  <c r="M152"/>
  <c r="AO152" s="1"/>
  <c r="M150"/>
  <c r="M148"/>
  <c r="AO148" s="1"/>
  <c r="M146"/>
  <c r="AO146" s="1"/>
  <c r="M144"/>
  <c r="AO144" s="1"/>
  <c r="M142"/>
  <c r="AO142" s="1"/>
  <c r="M140"/>
  <c r="M138"/>
  <c r="AO138" s="1"/>
  <c r="M136"/>
  <c r="AO136" s="1"/>
  <c r="M134"/>
  <c r="AO134" s="1"/>
  <c r="M132"/>
  <c r="M130"/>
  <c r="AO130" s="1"/>
  <c r="M128"/>
  <c r="AO128" s="1"/>
  <c r="M126"/>
  <c r="AO126" s="1"/>
  <c r="M124"/>
  <c r="AO124" s="1"/>
  <c r="M122"/>
  <c r="AO122" s="1"/>
  <c r="M120"/>
  <c r="M118"/>
  <c r="AO118" s="1"/>
  <c r="M116"/>
  <c r="AO116" s="1"/>
  <c r="M114"/>
  <c r="AO114" s="1"/>
  <c r="M112"/>
  <c r="AO112" s="1"/>
  <c r="M110"/>
  <c r="AO110" s="1"/>
  <c r="M108"/>
  <c r="AO108" s="1"/>
  <c r="M106"/>
  <c r="AO106" s="1"/>
  <c r="AP106" s="1"/>
  <c r="M104"/>
  <c r="AO104" s="1"/>
  <c r="M102"/>
  <c r="AO102" s="1"/>
  <c r="AO61"/>
  <c r="AO57"/>
  <c r="AO49"/>
  <c r="AO45"/>
  <c r="AO41"/>
  <c r="AP41" s="1"/>
  <c r="AO37"/>
  <c r="AO32"/>
  <c r="AO30"/>
  <c r="AO164"/>
  <c r="AO150"/>
  <c r="AO140"/>
  <c r="AO132"/>
  <c r="AO100"/>
  <c r="AO98"/>
  <c r="AO96"/>
  <c r="AO94"/>
  <c r="AO92"/>
  <c r="AO90"/>
  <c r="AO88"/>
  <c r="AO86"/>
  <c r="AO84"/>
  <c r="AO82"/>
  <c r="AO80"/>
  <c r="AO78"/>
  <c r="AO76"/>
  <c r="AO74"/>
  <c r="AO72"/>
  <c r="AO70"/>
  <c r="AO68"/>
  <c r="AO66"/>
  <c r="AO64"/>
  <c r="AO62"/>
  <c r="AO60"/>
  <c r="AO58"/>
  <c r="AO56"/>
  <c r="AP56" s="1"/>
  <c r="AO50"/>
  <c r="AP50" s="1"/>
  <c r="AP48"/>
  <c r="AO46"/>
  <c r="AO44"/>
  <c r="AP44" s="1"/>
  <c r="AO42"/>
  <c r="AO36"/>
  <c r="AO34"/>
  <c r="M28"/>
  <c r="AE28"/>
  <c r="Y28"/>
  <c r="Q28"/>
  <c r="G28"/>
  <c r="O28"/>
  <c r="W28"/>
  <c r="K28"/>
  <c r="AG28"/>
  <c r="I28"/>
  <c r="S28"/>
  <c r="AA28"/>
  <c r="AC28"/>
  <c r="U28"/>
  <c r="AK28"/>
  <c r="E28"/>
  <c r="AP122"/>
  <c r="AP99"/>
  <c r="AP155"/>
  <c r="AP150"/>
  <c r="AP178"/>
  <c r="AP153"/>
  <c r="AP154"/>
  <c r="AP119"/>
  <c r="AP170"/>
  <c r="AP151"/>
  <c r="AP192"/>
  <c r="AP137"/>
  <c r="AP120"/>
  <c r="AP93"/>
  <c r="AP185"/>
  <c r="AP162"/>
  <c r="AP136"/>
  <c r="AP157"/>
  <c r="AP67"/>
  <c r="AP165"/>
  <c r="AP130"/>
  <c r="AP127"/>
  <c r="AP175"/>
  <c r="AP176"/>
  <c r="AP133"/>
  <c r="AP144"/>
  <c r="AP135"/>
  <c r="AP125"/>
  <c r="AP171"/>
  <c r="AP180"/>
  <c r="AP189"/>
  <c r="AP143"/>
  <c r="AP139"/>
  <c r="AP147"/>
  <c r="AP158"/>
  <c r="AP109"/>
  <c r="AP195"/>
  <c r="AP152"/>
  <c r="AP146"/>
  <c r="AP70"/>
  <c r="AP123"/>
  <c r="AP169"/>
  <c r="AP177"/>
  <c r="AP183"/>
  <c r="AP172"/>
  <c r="AP118"/>
  <c r="AP121"/>
  <c r="AP173"/>
  <c r="AP30"/>
  <c r="AP110"/>
  <c r="AP124"/>
  <c r="AP80"/>
  <c r="AP128"/>
  <c r="AP160"/>
  <c r="AP149"/>
  <c r="AP174"/>
  <c r="AP179"/>
  <c r="AP141"/>
  <c r="AP35"/>
  <c r="AN184"/>
  <c r="AP196"/>
  <c r="AP140"/>
  <c r="AP142"/>
  <c r="AP184"/>
  <c r="AP166"/>
  <c r="AP96"/>
  <c r="AP115"/>
  <c r="AP161"/>
  <c r="AP82"/>
  <c r="AP132"/>
  <c r="AP167"/>
  <c r="AP181"/>
  <c r="AP131"/>
  <c r="AP145"/>
  <c r="AP129"/>
  <c r="AP156"/>
  <c r="AP134"/>
  <c r="AP159"/>
  <c r="AP164"/>
  <c r="AP126"/>
  <c r="AP190"/>
  <c r="AP138"/>
  <c r="AP168"/>
  <c r="AP47"/>
  <c r="AP187"/>
  <c r="AP186" l="1"/>
  <c r="AP199"/>
  <c r="AO63"/>
  <c r="AO149"/>
  <c r="AO174"/>
  <c r="AO121"/>
  <c r="AO166"/>
  <c r="AO151"/>
  <c r="AO187"/>
  <c r="AO137"/>
  <c r="AO120"/>
  <c r="AO38"/>
  <c r="AO53"/>
  <c r="AO54"/>
  <c r="AP54" s="1"/>
  <c r="AO52"/>
  <c r="AO129"/>
  <c r="AO40"/>
  <c r="AO28"/>
  <c r="S33"/>
  <c r="AA33"/>
  <c r="AG33"/>
  <c r="K33"/>
  <c r="Q33"/>
  <c r="Y33"/>
  <c r="G33"/>
  <c r="O33"/>
  <c r="W33"/>
  <c r="AE33"/>
  <c r="AK33"/>
  <c r="M33"/>
  <c r="U33"/>
  <c r="AC33"/>
  <c r="I33"/>
  <c r="AO29"/>
  <c r="AP29" s="1"/>
  <c r="E33"/>
  <c r="AN87"/>
  <c r="AN62"/>
  <c r="AN90"/>
  <c r="AP88"/>
  <c r="AP40"/>
  <c r="AN134"/>
  <c r="AN71"/>
  <c r="AN143"/>
  <c r="AP90"/>
  <c r="AP61"/>
  <c r="AN39"/>
  <c r="AN32"/>
  <c r="AN43"/>
  <c r="AN69"/>
  <c r="AN80"/>
  <c r="AP66"/>
  <c r="AN148"/>
  <c r="AN98"/>
  <c r="AP38"/>
  <c r="AP108"/>
  <c r="AN30"/>
  <c r="AN114"/>
  <c r="AP76"/>
  <c r="AN102"/>
  <c r="AN50"/>
  <c r="AP36"/>
  <c r="AP107"/>
  <c r="AN185"/>
  <c r="AN96"/>
  <c r="AP104"/>
  <c r="AN135"/>
  <c r="AP87"/>
  <c r="AN189"/>
  <c r="AP73"/>
  <c r="AN178"/>
  <c r="AN37"/>
  <c r="AN95"/>
  <c r="AN145"/>
  <c r="AP68"/>
  <c r="AN142"/>
  <c r="AN28"/>
  <c r="AN82"/>
  <c r="AN171"/>
  <c r="AN168"/>
  <c r="AP28"/>
  <c r="AP114"/>
  <c r="AP58"/>
  <c r="AP72"/>
  <c r="AN56"/>
  <c r="AN92"/>
  <c r="AN112"/>
  <c r="AN181"/>
  <c r="AP101"/>
  <c r="AP42"/>
  <c r="AP71"/>
  <c r="AN144"/>
  <c r="AN123"/>
  <c r="AN120"/>
  <c r="AP60"/>
  <c r="AP91"/>
  <c r="AN116"/>
  <c r="AN192"/>
  <c r="AN101"/>
  <c r="AN161"/>
  <c r="AN104"/>
  <c r="AN84"/>
  <c r="AN137"/>
  <c r="AN146"/>
  <c r="AP57"/>
  <c r="AP92"/>
  <c r="AN122"/>
  <c r="AN141"/>
  <c r="AN177"/>
  <c r="AN130"/>
  <c r="AN154"/>
  <c r="AP78"/>
  <c r="AP65"/>
  <c r="AN36"/>
  <c r="AP98"/>
  <c r="AN139"/>
  <c r="AN128"/>
  <c r="AN65"/>
  <c r="AN133"/>
  <c r="AN73"/>
  <c r="AN182"/>
  <c r="AP32"/>
  <c r="AP52"/>
  <c r="AP49"/>
  <c r="AN44"/>
  <c r="AP46"/>
  <c r="AN77"/>
  <c r="AN103"/>
  <c r="AN42"/>
  <c r="AN169"/>
  <c r="AN86"/>
  <c r="AN52"/>
  <c r="AN136"/>
  <c r="AN194"/>
  <c r="AN83"/>
  <c r="AN55"/>
  <c r="AN131"/>
  <c r="AN165"/>
  <c r="AN34"/>
  <c r="AN93"/>
  <c r="AP86"/>
  <c r="AP55"/>
  <c r="AN57"/>
  <c r="AN173"/>
  <c r="AN152"/>
  <c r="AN75"/>
  <c r="AP116"/>
  <c r="AN78"/>
  <c r="AN160"/>
  <c r="AP34"/>
  <c r="AN132"/>
  <c r="AN67"/>
  <c r="AN147"/>
  <c r="AN63"/>
  <c r="AP113"/>
  <c r="AN41"/>
  <c r="AN153"/>
  <c r="AN79"/>
  <c r="AN64"/>
  <c r="AP102"/>
  <c r="AP112"/>
  <c r="AP31"/>
  <c r="AP53"/>
  <c r="AN180"/>
  <c r="AN72"/>
  <c r="AP103"/>
  <c r="AN108"/>
  <c r="AN70"/>
  <c r="AN97"/>
  <c r="AP97"/>
  <c r="AP39"/>
  <c r="AN68"/>
  <c r="AN155"/>
  <c r="AN193"/>
  <c r="AP84"/>
  <c r="AN29"/>
  <c r="AN115"/>
  <c r="AN166"/>
  <c r="AN110"/>
  <c r="AN138"/>
  <c r="AN46"/>
  <c r="AN121"/>
  <c r="AN58"/>
  <c r="AP105"/>
  <c r="AN85"/>
  <c r="AP37"/>
  <c r="AN126"/>
  <c r="AN38"/>
  <c r="AN188"/>
  <c r="AN195"/>
  <c r="AN91"/>
  <c r="AN107"/>
  <c r="AP63"/>
  <c r="AN125"/>
  <c r="AP75"/>
  <c r="AP77"/>
  <c r="AN175"/>
  <c r="AN47"/>
  <c r="AN113"/>
  <c r="AP89"/>
  <c r="AN129"/>
  <c r="AN190"/>
  <c r="AQ184"/>
  <c r="AN197"/>
  <c r="AP51"/>
  <c r="AN31"/>
  <c r="AN94"/>
  <c r="AP74"/>
  <c r="AN89"/>
  <c r="AN156"/>
  <c r="AN76"/>
  <c r="AN111"/>
  <c r="AN172"/>
  <c r="AN179"/>
  <c r="AP95"/>
  <c r="AN124"/>
  <c r="AN60"/>
  <c r="AN53"/>
  <c r="AN100"/>
  <c r="AN66"/>
  <c r="AP62"/>
  <c r="AN49"/>
  <c r="AP45"/>
  <c r="AP111"/>
  <c r="AN196"/>
  <c r="AP69"/>
  <c r="AP100"/>
  <c r="AN33"/>
  <c r="AN106"/>
  <c r="AP43"/>
  <c r="AN191"/>
  <c r="AN105"/>
  <c r="AN162"/>
  <c r="AN40"/>
  <c r="AP64"/>
  <c r="AN74"/>
  <c r="AN164"/>
  <c r="AN140"/>
  <c r="AN186"/>
  <c r="AN174"/>
  <c r="AN119"/>
  <c r="AN88"/>
  <c r="AN127"/>
  <c r="AN35"/>
  <c r="AN158"/>
  <c r="AN51"/>
  <c r="AN159"/>
  <c r="AN170"/>
  <c r="AP83"/>
  <c r="AN149"/>
  <c r="AN81"/>
  <c r="AN61"/>
  <c r="AN99"/>
  <c r="AN157"/>
  <c r="AP81"/>
  <c r="AP94"/>
  <c r="AN151"/>
  <c r="AN59"/>
  <c r="AP85"/>
  <c r="AN45"/>
  <c r="AN118"/>
  <c r="AN109"/>
  <c r="AN187"/>
  <c r="AO33" l="1"/>
  <c r="AQ83"/>
  <c r="AQ135"/>
  <c r="AQ62"/>
  <c r="AQ152"/>
  <c r="AQ65"/>
  <c r="AQ129"/>
  <c r="AQ148"/>
  <c r="AQ67"/>
  <c r="AQ190"/>
  <c r="AQ66"/>
  <c r="AQ167"/>
  <c r="AQ104"/>
  <c r="AQ140"/>
  <c r="AQ96"/>
  <c r="AQ175"/>
  <c r="AQ130"/>
  <c r="AQ41"/>
  <c r="AQ71"/>
  <c r="AQ92"/>
  <c r="AQ56"/>
  <c r="AQ39"/>
  <c r="AQ93"/>
  <c r="AQ161"/>
  <c r="AQ28"/>
  <c r="AQ103"/>
  <c r="AQ97"/>
  <c r="AQ191"/>
  <c r="AQ170"/>
  <c r="AQ81"/>
  <c r="AQ145"/>
  <c r="AQ188"/>
  <c r="AQ133"/>
  <c r="AQ59"/>
  <c r="AQ128"/>
  <c r="AQ68"/>
  <c r="AQ158"/>
  <c r="AQ57"/>
  <c r="AQ132"/>
  <c r="AQ159"/>
  <c r="AQ36"/>
  <c r="AQ37"/>
  <c r="AQ47"/>
  <c r="AQ146"/>
  <c r="AQ31"/>
  <c r="AQ85"/>
  <c r="AQ84"/>
  <c r="AQ134"/>
  <c r="AQ164"/>
  <c r="AQ79"/>
  <c r="AQ122"/>
  <c r="AQ195"/>
  <c r="AQ169"/>
  <c r="AQ110"/>
  <c r="AQ42"/>
  <c r="AQ177"/>
  <c r="AQ138"/>
  <c r="AQ53"/>
  <c r="AQ131"/>
  <c r="AQ45"/>
  <c r="AQ69"/>
  <c r="AQ109"/>
  <c r="AQ120"/>
  <c r="AQ76"/>
  <c r="AQ172"/>
  <c r="AQ153"/>
  <c r="AQ34"/>
  <c r="AQ102"/>
  <c r="AQ166"/>
  <c r="AQ168"/>
  <c r="AQ142"/>
  <c r="AQ82"/>
  <c r="AQ194"/>
  <c r="AQ55"/>
  <c r="AQ74"/>
  <c r="AQ49"/>
  <c r="AQ178"/>
  <c r="AQ119"/>
  <c r="AQ144"/>
  <c r="AQ147"/>
  <c r="AQ186"/>
  <c r="AQ189"/>
  <c r="AQ137"/>
  <c r="AQ95"/>
  <c r="AQ107"/>
  <c r="AQ73"/>
  <c r="AQ143"/>
  <c r="AQ149"/>
  <c r="AQ52"/>
  <c r="AQ86"/>
  <c r="AQ115"/>
  <c r="AQ113"/>
  <c r="AQ196"/>
  <c r="AQ197"/>
  <c r="AQ94"/>
  <c r="AQ181"/>
  <c r="AQ151"/>
  <c r="AQ162"/>
  <c r="AQ112"/>
  <c r="AQ106"/>
  <c r="AQ155"/>
  <c r="AQ127"/>
  <c r="AQ32"/>
  <c r="AQ43"/>
  <c r="AQ111"/>
  <c r="AQ108"/>
  <c r="AQ80"/>
  <c r="AQ174"/>
  <c r="AQ63"/>
  <c r="AP33"/>
  <c r="AQ75"/>
  <c r="AQ30"/>
  <c r="AQ173"/>
  <c r="AQ44"/>
  <c r="AQ139"/>
  <c r="AQ89"/>
  <c r="AQ193"/>
  <c r="AQ64"/>
  <c r="AQ88"/>
  <c r="AQ105"/>
  <c r="AQ118"/>
  <c r="AQ29"/>
  <c r="AQ123"/>
  <c r="AQ70"/>
  <c r="AQ154"/>
  <c r="AQ114"/>
  <c r="AQ101"/>
  <c r="AQ180"/>
  <c r="AQ116"/>
  <c r="AQ179"/>
  <c r="AQ58"/>
  <c r="AQ100"/>
  <c r="AQ171"/>
  <c r="AQ156"/>
  <c r="AQ87"/>
  <c r="AQ46"/>
  <c r="AQ90"/>
  <c r="AQ72"/>
  <c r="AQ60"/>
  <c r="AQ141"/>
  <c r="AQ157"/>
  <c r="AQ121"/>
  <c r="AQ50"/>
  <c r="AQ35"/>
  <c r="AQ51"/>
  <c r="AQ165"/>
  <c r="AQ40"/>
  <c r="AQ192"/>
  <c r="AQ185"/>
  <c r="AQ98"/>
  <c r="AQ78"/>
  <c r="AQ125"/>
  <c r="AQ136"/>
  <c r="AQ77"/>
  <c r="AQ126"/>
  <c r="AQ124"/>
  <c r="AQ61"/>
  <c r="AQ33"/>
  <c r="AQ91"/>
  <c r="AQ38"/>
  <c r="AQ99"/>
  <c r="AQ182"/>
  <c r="AQ160"/>
  <c r="AQ187"/>
  <c r="AP200" l="1"/>
  <c r="AP201" s="1"/>
</calcChain>
</file>

<file path=xl/sharedStrings.xml><?xml version="1.0" encoding="utf-8"?>
<sst xmlns="http://schemas.openxmlformats.org/spreadsheetml/2006/main" count="4228" uniqueCount="576">
  <si>
    <t>EXAM SEAT NO.</t>
  </si>
  <si>
    <t>ACN</t>
  </si>
  <si>
    <t>SPCC</t>
  </si>
  <si>
    <t>OOSE</t>
  </si>
  <si>
    <t>AMP</t>
  </si>
  <si>
    <t>DWM</t>
  </si>
  <si>
    <t>SEMR</t>
  </si>
  <si>
    <t>TOTAL VI</t>
  </si>
  <si>
    <t>TOTAL V</t>
  </si>
  <si>
    <t>GNT</t>
  </si>
  <si>
    <t>REMARK</t>
  </si>
  <si>
    <t>CLASS</t>
  </si>
  <si>
    <t>NAME OF THE CANDIDATE</t>
  </si>
  <si>
    <t>TH</t>
  </si>
  <si>
    <t>TW</t>
  </si>
  <si>
    <t>P&amp;O</t>
  </si>
  <si>
    <t>Max</t>
  </si>
  <si>
    <t xml:space="preserve">Min </t>
  </si>
  <si>
    <t xml:space="preserve">ACN :- Advance Computer Network          </t>
  </si>
  <si>
    <t>SPCC :-  System Programming And Compiler Construction</t>
  </si>
  <si>
    <t xml:space="preserve">OOSE :- Object Oriented Software Engineering    </t>
  </si>
  <si>
    <t xml:space="preserve">AMP :- Advanced Microprocessor       </t>
  </si>
  <si>
    <t xml:space="preserve">DWM :- Data Warehouse And Mining     </t>
  </si>
  <si>
    <t xml:space="preserve">SEMR :- Seminar
SEMR :- Seminar
</t>
  </si>
  <si>
    <t>ACHAREKAR RUTURAJ PRAMOD</t>
  </si>
  <si>
    <t>AMBRE ABHISHEK ARUN</t>
  </si>
  <si>
    <t>ANSARI ABEER AHMED</t>
  </si>
  <si>
    <t>AWARI ANESH SITARAM</t>
  </si>
  <si>
    <t>BADVE ADITYA SANJAY</t>
  </si>
  <si>
    <t>BAGKAR AARTI NARESH</t>
  </si>
  <si>
    <t>BARKE SAIPRASAD GOVIND ALKA</t>
  </si>
  <si>
    <t>BHANDARE RAJKUMAR NAGORAO</t>
  </si>
  <si>
    <t>BHARTI HARSHADA TUKARAM</t>
  </si>
  <si>
    <t>BHUPENDRA MAHENDRA SASWADE</t>
  </si>
  <si>
    <t>CASTELINO JAMES JOHN</t>
  </si>
  <si>
    <t>CHAUDHARI AJINKYA VIJAY</t>
  </si>
  <si>
    <t xml:space="preserve">CHAVAN  RUPALI VIJAY </t>
  </si>
  <si>
    <t>CHETTIER SANJAY GANESHAN</t>
  </si>
  <si>
    <t>CHINDARKAR ANIRUDDHA VISHNU</t>
  </si>
  <si>
    <t>CHOUDHARI YOGESH AJIT</t>
  </si>
  <si>
    <t>CHOUDHARY SHANKAR MAFATLAL</t>
  </si>
  <si>
    <t>DALVI SAGAR SANJAY</t>
  </si>
  <si>
    <t>DEDHIA SOHIL BHARAT</t>
  </si>
  <si>
    <t>DEOLE ADITYA VIKRAM</t>
  </si>
  <si>
    <t>DESHMUKH AMEYA CHANDRAKUMAR</t>
  </si>
  <si>
    <t>DHANEDHAR SNEHAL PRAKASH</t>
  </si>
  <si>
    <t>DHOTRE KUNAL RAMCHANDRA</t>
  </si>
  <si>
    <t>DIVYA RAJ</t>
  </si>
  <si>
    <t>DOSHI DIVYA DHIREN</t>
  </si>
  <si>
    <t>DUKHANDE PRASAD PRAKASH</t>
  </si>
  <si>
    <t>EDAVI PRATIK PRAKASH</t>
  </si>
  <si>
    <t>GAHANE KETAN DHANANJAY</t>
  </si>
  <si>
    <t>GAIKWAD NITISH RAVINDRA</t>
  </si>
  <si>
    <t>GHADGE ANUPAMA AVINASH</t>
  </si>
  <si>
    <t>GHARAT BHAGYASHREE ASHOK</t>
  </si>
  <si>
    <t>GHUNAVAT ATUL  ISHWAR</t>
  </si>
  <si>
    <t>GHUTUKADE GANESH SUBRAO SHALANA</t>
  </si>
  <si>
    <t>GILANI ANISA IQBAL</t>
  </si>
  <si>
    <t>GOHIL NAVAL PRAKASH BHAI</t>
  </si>
  <si>
    <t>GORAD SURAJ RAMESH</t>
  </si>
  <si>
    <t>GOSAVI MANJIRI DINKAR</t>
  </si>
  <si>
    <t>HARDIK NAVIN MISTRY</t>
  </si>
  <si>
    <t>HAROON NASSER KOTADIYA</t>
  </si>
  <si>
    <t>HARSHAVARDHAN PRABHAKARA POOJARY</t>
  </si>
  <si>
    <t>HOLAMB SHWETA DEEPAK</t>
  </si>
  <si>
    <t>HULYALKAR SAYALI SUHAS</t>
  </si>
  <si>
    <t>INGALE SINDHU VITTHALRAO</t>
  </si>
  <si>
    <t>JADHAV CHANDRAKANT ASHOK</t>
  </si>
  <si>
    <t>JADHAV NISHIGANDHA RAVINDRA</t>
  </si>
  <si>
    <t>JHAVERI SIDDHARTH PANKAJ</t>
  </si>
  <si>
    <t>JOSHI MANASI KISHORE</t>
  </si>
  <si>
    <t>JOSHI SAGAR RAMESH</t>
  </si>
  <si>
    <t>K SUCHITHA SURESH</t>
  </si>
  <si>
    <t>KADAM SACHIN ANKUSH</t>
  </si>
  <si>
    <t>KAMBLE PRIYANKA DILIP</t>
  </si>
  <si>
    <t>KATARE SUNITA DATTU</t>
  </si>
  <si>
    <t>KATARIYA SURYAKANT PREMJIBHAI</t>
  </si>
  <si>
    <t>KESARKAR SONALI SHAM</t>
  </si>
  <si>
    <t>KHAIRE AMEY SATYAWAN</t>
  </si>
  <si>
    <t>KHARSHIKAR TANMAY SUBODH</t>
  </si>
  <si>
    <t>KHOBRAGADE ASHISH MAHESH</t>
  </si>
  <si>
    <t>KOHLI AMANDEEP SINGH AMARPAL SINGH</t>
  </si>
  <si>
    <t>KUDTARKAR BHAKTI DEEPAK</t>
  </si>
  <si>
    <t>LAD OMKAR SURESH</t>
  </si>
  <si>
    <t>LADHE SNEHAL BHASKAR</t>
  </si>
  <si>
    <t>LOHAR SHIVKUMAR GHANSHYAM</t>
  </si>
  <si>
    <t>LONDHE SUNNY RAVINDRA</t>
  </si>
  <si>
    <t>MAHADIK OMKAR DHONDU</t>
  </si>
  <si>
    <t>MALLIK SHRUTI SARAT</t>
  </si>
  <si>
    <t>MARIGUDDI RAHUL MALLIKARJUN</t>
  </si>
  <si>
    <t>MEHTA JINESH JASWANTRAI</t>
  </si>
  <si>
    <t>MEHTA RADHI KETAN</t>
  </si>
  <si>
    <t>MHATRE SUMIT BHALCHANDRA</t>
  </si>
  <si>
    <t>MHATRE YASH PRABODH</t>
  </si>
  <si>
    <t>MISTRY YUVARAJ SHAILESH</t>
  </si>
  <si>
    <t>MOHAMMED MUSTAFA MOHAMMED HAROON</t>
  </si>
  <si>
    <t>MORE DEVANGI PRAKASH</t>
  </si>
  <si>
    <t>MORE SANKET CHANDRASHEKHAR</t>
  </si>
  <si>
    <t xml:space="preserve">MORE TANMAY MURLIDHAR </t>
  </si>
  <si>
    <t>MUNAVVAR AHMED</t>
  </si>
  <si>
    <t>NAIK KALPESH DILIP</t>
  </si>
  <si>
    <t>NANGARE PRATHAMESH RAMESH</t>
  </si>
  <si>
    <t>NARWATE ROHAN DILIP</t>
  </si>
  <si>
    <t>NARWEKAR KOMAL DEVENDRA</t>
  </si>
  <si>
    <t>NAVALE KETAN BHAUSAHEB</t>
  </si>
  <si>
    <t>NIKAM PRIYANKA SHANKAR</t>
  </si>
  <si>
    <t>PADAYA HARSHAD PANKAJ</t>
  </si>
  <si>
    <t>PAGARE KIRTI ULHAS</t>
  </si>
  <si>
    <t>PAL DEBJYOTI NARAYAN</t>
  </si>
  <si>
    <t>PALVE GANESH SUBHASH</t>
  </si>
  <si>
    <t>PANDEY NIRAJ RAMASHANKAR</t>
  </si>
  <si>
    <t>PARAB RUPALI RAMAKANT NEHA</t>
  </si>
  <si>
    <t>PARMITA SAR</t>
  </si>
  <si>
    <t>PAKHARE MAHESH MAHADEO</t>
  </si>
  <si>
    <t>PATIL PRACHITI CHANDRAKANT</t>
  </si>
  <si>
    <t>PATIL PRIYANKA RAMKRISHNA</t>
  </si>
  <si>
    <t>PATIL RAVINDRA YASHWANT</t>
  </si>
  <si>
    <t>PATIL ROHIT NARENDRA</t>
  </si>
  <si>
    <t>PATIL SANJALI SANDIP</t>
  </si>
  <si>
    <t>PATIL VISHAL SHRIKANT</t>
  </si>
  <si>
    <t>PATIL VRUSHALI KISHOR</t>
  </si>
  <si>
    <t>PATKAR DIPIKA SANTOSH</t>
  </si>
  <si>
    <t>PAWAR MINAKSHI SHATRU</t>
  </si>
  <si>
    <t>PEDNEKAR ROMIT GAUTAM</t>
  </si>
  <si>
    <t>PEVEKAR NEHA BALKRISHNA</t>
  </si>
  <si>
    <t>PIMPLE ROSHAN ASHOK</t>
  </si>
  <si>
    <t>POOJA BHARATKUMAR LAD</t>
  </si>
  <si>
    <t>PUJARI PUNEET SUNDAR</t>
  </si>
  <si>
    <t>PURALKAR TEJESH RAMAKANT</t>
  </si>
  <si>
    <t>RAHUL DEEPAK JADHAV</t>
  </si>
  <si>
    <t>RAHUL SOLANKI</t>
  </si>
  <si>
    <t>RANA VIVEK DIPAK</t>
  </si>
  <si>
    <t>RANE ANKITA UMESH</t>
  </si>
  <si>
    <t>RANE TEJAL SHANTA</t>
  </si>
  <si>
    <t>RATHOD SURABHI MANHAR</t>
  </si>
  <si>
    <t>RAUT PALASH RAVINDRA</t>
  </si>
  <si>
    <t>SAINDANE BHUSHAN GOPAL</t>
  </si>
  <si>
    <t xml:space="preserve">SAKARSUDHA JASPREET SINGH DARVINDERPAL SINGH </t>
  </si>
  <si>
    <t>SAKRE SUSHANT SURESH</t>
  </si>
  <si>
    <t>SALONI UJWAL KARNIK</t>
  </si>
  <si>
    <t>SANKHE TEJASVI BALARAM</t>
  </si>
  <si>
    <t>SARVAIYA HEENA RAMESHBHAI</t>
  </si>
  <si>
    <t>SATAM JIGNESH SURYAKANT</t>
  </si>
  <si>
    <t>SATVIK MADHAVA SHETTY</t>
  </si>
  <si>
    <t>SAWANT GAURAV SUDHIR</t>
  </si>
  <si>
    <t>SAWANT GAUTAM SUDHIR</t>
  </si>
  <si>
    <t>SAWANT SIDDHESH SHIVRAM</t>
  </si>
  <si>
    <t>SAWANT SWATI MADHAV</t>
  </si>
  <si>
    <t>SAWANT VIKRAM MARUTI</t>
  </si>
  <si>
    <t>SHAH AAKASH SUNIL</t>
  </si>
  <si>
    <t>SHAH AKSHAY RAJESH</t>
  </si>
  <si>
    <t>SHAH JAY PANKAJ</t>
  </si>
  <si>
    <t>SHAH NISHAL PARESH</t>
  </si>
  <si>
    <t>SHAH PARAG NISHITHKUMAR</t>
  </si>
  <si>
    <t>SHAIKH AAYSHA ABDUL QADIR</t>
  </si>
  <si>
    <t>SHETYE SONALI MUKUND</t>
  </si>
  <si>
    <t>SHINDE NISHAD RAMESH</t>
  </si>
  <si>
    <t>SHINDE SAMRUDDHI ABHAY</t>
  </si>
  <si>
    <t>SHINDE SARIKA NANDKISHORE</t>
  </si>
  <si>
    <t>SHIRSAT DHARMESH ANAND</t>
  </si>
  <si>
    <t>SHUKLA ABHISHEK</t>
  </si>
  <si>
    <t>SINGH DHIRAJ NARESH</t>
  </si>
  <si>
    <t>SINGH PRASHANT KUMAR GIRISHANKAR</t>
  </si>
  <si>
    <t>SONAR SUMIT RAMESH</t>
  </si>
  <si>
    <t>SUBHRIMA BHADURY</t>
  </si>
  <si>
    <t>SUCHETA RAVINDRA RAICHUR</t>
  </si>
  <si>
    <t>SURYAVANSHI VAISHALI MANRAJ</t>
  </si>
  <si>
    <t>SWAPNIL KR SINGH</t>
  </si>
  <si>
    <t>SWARNKAR SHASHIKESH SATISH</t>
  </si>
  <si>
    <t>TAILOR PURAV SANJAY</t>
  </si>
  <si>
    <t>TANEJA ROHIT SANTOSH</t>
  </si>
  <si>
    <t>THAKKAR JIGNAL NILESH</t>
  </si>
  <si>
    <t>THAKUR OMKAR PRALHAD</t>
  </si>
  <si>
    <t>TRIVEDI ADITYA DUSHYANT</t>
  </si>
  <si>
    <t>VANMALI SANKET DILIP</t>
  </si>
  <si>
    <t>VISHWAKARMA VIKASKUMAR RAJNATH</t>
  </si>
  <si>
    <t>VYAS MAHEK TUSHAR</t>
  </si>
  <si>
    <t>WARADE SONAL EKNATH</t>
  </si>
  <si>
    <t>YADAV AMIT KUMAR VIKRAMA PRASAD</t>
  </si>
  <si>
    <t>YADAV ASHISH KUMAR HEERALAL</t>
  </si>
  <si>
    <t>YADAV LALJI MUNIRAM</t>
  </si>
  <si>
    <t>YADAV NIKHIL BHARAT</t>
  </si>
  <si>
    <t>SHARMA SHIVAM SUBHASH</t>
  </si>
  <si>
    <t>BOLINJKAR SNEHA VIJAY</t>
  </si>
  <si>
    <t>BHOLE NILIMA SURESH</t>
  </si>
  <si>
    <t>GAWAI SANDESH MADHUKAR</t>
  </si>
  <si>
    <t>GHORPADE AMOL EKNATH</t>
  </si>
  <si>
    <t>GHUMAN RAJNEET SINGH IQBAL SINGH</t>
  </si>
  <si>
    <t>LOTANKAR AJINKYA ASHOK</t>
  </si>
  <si>
    <t>MESHRAM ARCHIES SIDDHARTH</t>
  </si>
  <si>
    <t>PALKAR MOHIT PRAFULLA</t>
  </si>
  <si>
    <t>SHEVALE UMESH NAMDEV</t>
  </si>
  <si>
    <t>VALSE AMIT PRAKASH</t>
  </si>
  <si>
    <t>PC6001</t>
  </si>
  <si>
    <t>CHANDGUDE  TEJAL SURESH</t>
  </si>
  <si>
    <t>19+</t>
  </si>
  <si>
    <t>41+</t>
  </si>
  <si>
    <t>20+</t>
  </si>
  <si>
    <t>17+</t>
  </si>
  <si>
    <t>21+</t>
  </si>
  <si>
    <t>39+</t>
  </si>
  <si>
    <t>18+</t>
  </si>
  <si>
    <t>40+</t>
  </si>
  <si>
    <t>23+</t>
  </si>
  <si>
    <t>35+</t>
  </si>
  <si>
    <t>45+</t>
  </si>
  <si>
    <t>38+</t>
  </si>
  <si>
    <t>42+</t>
  </si>
  <si>
    <t>48+</t>
  </si>
  <si>
    <t>36+</t>
  </si>
  <si>
    <t>54+</t>
  </si>
  <si>
    <t>59+</t>
  </si>
  <si>
    <t>44+</t>
  </si>
  <si>
    <t>13+</t>
  </si>
  <si>
    <t>15+</t>
  </si>
  <si>
    <t>16+</t>
  </si>
  <si>
    <t>64+</t>
  </si>
  <si>
    <t>22+</t>
  </si>
  <si>
    <t>47+</t>
  </si>
  <si>
    <t>37+</t>
  </si>
  <si>
    <t>52+</t>
  </si>
  <si>
    <t>53+</t>
  </si>
  <si>
    <t>46+</t>
  </si>
  <si>
    <t>557+</t>
  </si>
  <si>
    <t>498+</t>
  </si>
  <si>
    <t>490+</t>
  </si>
  <si>
    <t>579+</t>
  </si>
  <si>
    <t>603+</t>
  </si>
  <si>
    <t>542+</t>
  </si>
  <si>
    <t>488+</t>
  </si>
  <si>
    <t>550+</t>
  </si>
  <si>
    <t>494+</t>
  </si>
  <si>
    <t>518+</t>
  </si>
  <si>
    <t>591+</t>
  </si>
  <si>
    <t>487+</t>
  </si>
  <si>
    <t>570+</t>
  </si>
  <si>
    <t>513+</t>
  </si>
  <si>
    <t>480+</t>
  </si>
  <si>
    <t>659+</t>
  </si>
  <si>
    <t>585+</t>
  </si>
  <si>
    <t>526+</t>
  </si>
  <si>
    <t>623+</t>
  </si>
  <si>
    <t>534+</t>
  </si>
  <si>
    <t>639+</t>
  </si>
  <si>
    <t>558+</t>
  </si>
  <si>
    <t>630+</t>
  </si>
  <si>
    <t>537+</t>
  </si>
  <si>
    <t>515+</t>
  </si>
  <si>
    <t>533+</t>
  </si>
  <si>
    <t>596+</t>
  </si>
  <si>
    <t>551+</t>
  </si>
  <si>
    <t>613+</t>
  </si>
  <si>
    <t>466*+</t>
  </si>
  <si>
    <t>641+</t>
  </si>
  <si>
    <t>592+</t>
  </si>
  <si>
    <t>571+</t>
  </si>
  <si>
    <t>493+</t>
  </si>
  <si>
    <t>546+</t>
  </si>
  <si>
    <t>461+</t>
  </si>
  <si>
    <t>496*+</t>
  </si>
  <si>
    <t>544+</t>
  </si>
  <si>
    <t>512+</t>
  </si>
  <si>
    <t>489*+</t>
  </si>
  <si>
    <t>516+</t>
  </si>
  <si>
    <t>545+</t>
  </si>
  <si>
    <t>536+</t>
  </si>
  <si>
    <t>520+</t>
  </si>
  <si>
    <t>492+</t>
  </si>
  <si>
    <t>489+</t>
  </si>
  <si>
    <t>530+</t>
  </si>
  <si>
    <t>539+</t>
  </si>
  <si>
    <t>516*+</t>
  </si>
  <si>
    <t>481+</t>
  </si>
  <si>
    <t>598+</t>
  </si>
  <si>
    <t>504+</t>
  </si>
  <si>
    <t>543+</t>
  </si>
  <si>
    <t>600+</t>
  </si>
  <si>
    <t>517+</t>
  </si>
  <si>
    <t>576+</t>
  </si>
  <si>
    <t>554+</t>
  </si>
  <si>
    <t>495*+</t>
  </si>
  <si>
    <t>521+</t>
  </si>
  <si>
    <t>575+</t>
  </si>
  <si>
    <t>501+</t>
  </si>
  <si>
    <t>469+</t>
  </si>
  <si>
    <t>529+</t>
  </si>
  <si>
    <t>564+</t>
  </si>
  <si>
    <t>519+</t>
  </si>
  <si>
    <t>626+</t>
  </si>
  <si>
    <t>581+</t>
  </si>
  <si>
    <t>522+</t>
  </si>
  <si>
    <t>555+</t>
  </si>
  <si>
    <t>560+</t>
  </si>
  <si>
    <t>586+</t>
  </si>
  <si>
    <t>565+</t>
  </si>
  <si>
    <t>525+</t>
  </si>
  <si>
    <t>475+</t>
  </si>
  <si>
    <t>485+</t>
  </si>
  <si>
    <t>547+</t>
  </si>
  <si>
    <t>528+</t>
  </si>
  <si>
    <t>502+</t>
  </si>
  <si>
    <t>559+</t>
  </si>
  <si>
    <t>599+</t>
  </si>
  <si>
    <t>569+</t>
  </si>
  <si>
    <t>523+</t>
  </si>
  <si>
    <t>553+</t>
  </si>
  <si>
    <t>510+</t>
  </si>
  <si>
    <t>511+</t>
  </si>
  <si>
    <t>605+</t>
  </si>
  <si>
    <t>531+</t>
  </si>
  <si>
    <t>490x</t>
  </si>
  <si>
    <t>AB</t>
  </si>
  <si>
    <t>34*</t>
  </si>
  <si>
    <t>31*</t>
  </si>
  <si>
    <t>35@</t>
  </si>
  <si>
    <t>33*</t>
  </si>
  <si>
    <t>II</t>
  </si>
  <si>
    <t>527*</t>
  </si>
  <si>
    <t>538*</t>
  </si>
  <si>
    <t>509*</t>
  </si>
  <si>
    <t>1135#10</t>
  </si>
  <si>
    <t>CN</t>
  </si>
  <si>
    <t>How many Student Appeared</t>
  </si>
  <si>
    <t>How many student failed</t>
  </si>
  <si>
    <t>How Many students Passed</t>
  </si>
  <si>
    <t>Average Marks</t>
  </si>
  <si>
    <t>Maximum Marks</t>
  </si>
  <si>
    <t>Marks greater than  60</t>
  </si>
  <si>
    <t>Marks between 40 and 60</t>
  </si>
  <si>
    <t>grace marks</t>
  </si>
  <si>
    <t>Total No. of Students Appeared :</t>
  </si>
  <si>
    <t>Total No. of Students Passed :</t>
  </si>
  <si>
    <t>Overall Percentage of Passing  :</t>
  </si>
  <si>
    <t xml:space="preserve">Statistical Data in various subjects prescribed at the S.E. SEM. (III)  First Half of 2013 Examination held by college </t>
  </si>
  <si>
    <t>on behalf of the University in the month of  May /June 2013.</t>
  </si>
  <si>
    <t>Branch : Computer Engineering</t>
  </si>
  <si>
    <t>S NO.</t>
  </si>
  <si>
    <t>Subject Name</t>
  </si>
  <si>
    <t>Name of Examiner</t>
  </si>
  <si>
    <t>Name of Moderator</t>
  </si>
  <si>
    <t>Total no of students appeared</t>
  </si>
  <si>
    <t>Total no of students passed</t>
  </si>
  <si>
    <t>% of Passing in the subjects</t>
  </si>
  <si>
    <t>Candidates scored marks between 40 &amp; 60</t>
  </si>
  <si>
    <t>Number of candidates scored marks above 60</t>
  </si>
  <si>
    <t>No of grace marks awarded in the subject by examiner</t>
  </si>
  <si>
    <t>Applied Mathematics-III</t>
  </si>
  <si>
    <t>Prof.P.Unnikrishnan      (ACE)</t>
  </si>
  <si>
    <t>Prof. Vinita Gupta      (TCET)</t>
  </si>
  <si>
    <t>03</t>
  </si>
  <si>
    <t>Electronics Devices &amp; Linear Circuits</t>
  </si>
  <si>
    <t>Prof.Anuradha Kapoor      (ACE)</t>
  </si>
  <si>
    <t>Prof. Sunita Sharma       (Wattumal)</t>
  </si>
  <si>
    <t>Discrete Structure &amp; Graph Theory</t>
  </si>
  <si>
    <t>Prof.Chetana Anilkumar               (ACE)</t>
  </si>
  <si>
    <t>Prof. Rashmi Thakur     (TCET)</t>
  </si>
  <si>
    <t>Digital Logic Design and Application</t>
  </si>
  <si>
    <t>Prof. Suvarana Pansambal                   (ACE)</t>
  </si>
  <si>
    <t>Prof. M.S. Kathane     (Wattumal)</t>
  </si>
  <si>
    <t>Data Structures and Files</t>
  </si>
  <si>
    <t>Prof. Mahindra Patil         (ACE)</t>
  </si>
  <si>
    <t>Prof. Roshni Padate     (FCRCE)</t>
  </si>
  <si>
    <t>Computer Organization &amp; Architecture</t>
  </si>
  <si>
    <t>Prof. Vaishali Nirgude           (TCET)</t>
  </si>
  <si>
    <t>Total no of students appeared:</t>
  </si>
  <si>
    <t>Total no of students passed:</t>
  </si>
  <si>
    <t>Overall Percentage of passing:</t>
  </si>
  <si>
    <t>Name of the college:</t>
  </si>
  <si>
    <t>Atharva College of Engineering, Malad (W)</t>
  </si>
  <si>
    <t>Date:</t>
  </si>
  <si>
    <t>(Signature of principal with College seal)</t>
  </si>
  <si>
    <t>I</t>
  </si>
  <si>
    <t>NUM</t>
  </si>
  <si>
    <t>NAME</t>
  </si>
  <si>
    <t>CAN-TH</t>
  </si>
  <si>
    <t>CAN-TW</t>
  </si>
  <si>
    <t>CAN-P&amp;O</t>
  </si>
  <si>
    <t>SPCC-TH</t>
  </si>
  <si>
    <t>SPCC-TW</t>
  </si>
  <si>
    <t>SPCC-P&amp;O</t>
  </si>
  <si>
    <t>OOSE-TH</t>
  </si>
  <si>
    <t>OOSE-TW</t>
  </si>
  <si>
    <t>OOSE-P&amp;O</t>
  </si>
  <si>
    <t>AMP-TH</t>
  </si>
  <si>
    <t>AMP-TW</t>
  </si>
  <si>
    <t>AMP-P&amp;O</t>
  </si>
  <si>
    <t>DWM-TH</t>
  </si>
  <si>
    <t>DWM-TW</t>
  </si>
  <si>
    <t>DWN-P&amp;O</t>
  </si>
  <si>
    <t>SEMR-TW</t>
  </si>
  <si>
    <t>SEMR-P&amp;O</t>
  </si>
  <si>
    <t>TOT-VI</t>
  </si>
  <si>
    <t>TOT-V</t>
  </si>
  <si>
    <t xml:space="preserve">SPELLNUMBER </t>
  </si>
  <si>
    <t/>
  </si>
  <si>
    <t>PASS</t>
  </si>
  <si>
    <t xml:space="preserve">One Thousand One Hundred Sixteen </t>
  </si>
  <si>
    <t>F</t>
  </si>
  <si>
    <t>E</t>
  </si>
  <si>
    <t>FAIL</t>
  </si>
  <si>
    <t>--</t>
  </si>
  <si>
    <t xml:space="preserve">Three Hundred NinetyThree </t>
  </si>
  <si>
    <t xml:space="preserve">One Thousand Six </t>
  </si>
  <si>
    <t xml:space="preserve">One Thousand Forty Seven </t>
  </si>
  <si>
    <t xml:space="preserve">One Thousand Three Hundred Sixty Eight </t>
  </si>
  <si>
    <t xml:space="preserve">One Thousand Two Hundred Fourteen </t>
  </si>
  <si>
    <t xml:space="preserve">One Thousand Two Hundred Forty  </t>
  </si>
  <si>
    <t>RS 5</t>
  </si>
  <si>
    <t xml:space="preserve">Five Hundred Thirty  </t>
  </si>
  <si>
    <t xml:space="preserve">One Thousand One Hundred Eighty Seven </t>
  </si>
  <si>
    <t xml:space="preserve">One Thousand Twenty Seven </t>
  </si>
  <si>
    <t xml:space="preserve">One Thousand One Hundred Seventy Six </t>
  </si>
  <si>
    <t xml:space="preserve">One Thousand NinetyTwo </t>
  </si>
  <si>
    <t xml:space="preserve">One Thousand Fifty Four </t>
  </si>
  <si>
    <t xml:space="preserve">Five Hundred Two </t>
  </si>
  <si>
    <t xml:space="preserve">One Thousand Two Hundred Ten </t>
  </si>
  <si>
    <t xml:space="preserve">One Thousand Thirty Eight </t>
  </si>
  <si>
    <t xml:space="preserve">One Thousand One Hundred Forty Four </t>
  </si>
  <si>
    <t xml:space="preserve">One Thousand One Hundred Seventy One </t>
  </si>
  <si>
    <t xml:space="preserve">Five Hundred Forty Four </t>
  </si>
  <si>
    <t xml:space="preserve">One Thousand Nineteen </t>
  </si>
  <si>
    <t xml:space="preserve">Nine Hundred NinetySix </t>
  </si>
  <si>
    <t xml:space="preserve">Three Hundred NinetyTwo </t>
  </si>
  <si>
    <t xml:space="preserve">One Thousand One Hundred Twenty Two </t>
  </si>
  <si>
    <t xml:space="preserve">One Thousand Two Hundred Eighty Three </t>
  </si>
  <si>
    <t xml:space="preserve">One Thousand Eleven </t>
  </si>
  <si>
    <t xml:space="preserve">One Thousand Seventy Nine </t>
  </si>
  <si>
    <t xml:space="preserve">Five Hundred Four </t>
  </si>
  <si>
    <t xml:space="preserve">One Thousand Three Hundred One </t>
  </si>
  <si>
    <t xml:space="preserve">One Thousand One Hundred Forty Eight </t>
  </si>
  <si>
    <t xml:space="preserve">Five Hundred Six </t>
  </si>
  <si>
    <t xml:space="preserve">One Thousand Two Hundred Eighty Six </t>
  </si>
  <si>
    <t xml:space="preserve">One Thousand One Hundred Twenty Four </t>
  </si>
  <si>
    <t xml:space="preserve">One Thousand Sixty Two </t>
  </si>
  <si>
    <t xml:space="preserve">One Thousand NinetySix </t>
  </si>
  <si>
    <t xml:space="preserve">One Thousand NinetyNine </t>
  </si>
  <si>
    <t xml:space="preserve">One Thousand One Hundred NinetySeven </t>
  </si>
  <si>
    <t xml:space="preserve">One Thousand Two Hundred Thirty Seven </t>
  </si>
  <si>
    <t xml:space="preserve">Five Hundred Thirty Five </t>
  </si>
  <si>
    <t xml:space="preserve">Nine Hundred Fifty Six </t>
  </si>
  <si>
    <t xml:space="preserve">One Thousand Two Hundred Sixty Seven </t>
  </si>
  <si>
    <t xml:space="preserve">One Thousand One Hundred Eighty Eight </t>
  </si>
  <si>
    <t xml:space="preserve">One Thousand Two Hundred Seventeen </t>
  </si>
  <si>
    <t xml:space="preserve">One Thousand One Hundred NinetyNine </t>
  </si>
  <si>
    <t>1011@9</t>
  </si>
  <si>
    <t xml:space="preserve">One Thousand One Hundred Forty Nine </t>
  </si>
  <si>
    <t xml:space="preserve">Nine Hundred Fifty Five </t>
  </si>
  <si>
    <t xml:space="preserve">Five Hundred Thirty Eight </t>
  </si>
  <si>
    <t>1013@7</t>
  </si>
  <si>
    <t xml:space="preserve">One Thousand One Hundred Fifty Seven </t>
  </si>
  <si>
    <t xml:space="preserve">One Thousand One Hundred Fifty Nine </t>
  </si>
  <si>
    <t xml:space="preserve">One Thousand One Hundred Five </t>
  </si>
  <si>
    <t xml:space="preserve">One Thousand Forty  </t>
  </si>
  <si>
    <t xml:space="preserve">One Thousand Forty Eight </t>
  </si>
  <si>
    <t xml:space="preserve">One Thousand Eighty Seven </t>
  </si>
  <si>
    <t xml:space="preserve">One Thousand One Hundred Twenty Six </t>
  </si>
  <si>
    <t xml:space="preserve">One Thousand Two Hundred Thirteen </t>
  </si>
  <si>
    <t xml:space="preserve">One Thousand Thirty Three </t>
  </si>
  <si>
    <t xml:space="preserve">One Thousand Sixty One </t>
  </si>
  <si>
    <t xml:space="preserve">One Thousand Thirty One </t>
  </si>
  <si>
    <t xml:space="preserve">One Thousand One Hundred Fourteen </t>
  </si>
  <si>
    <t xml:space="preserve">One Thousand NinetyOne </t>
  </si>
  <si>
    <t xml:space="preserve">One Thousand One Hundred Twenty Seven </t>
  </si>
  <si>
    <t xml:space="preserve">One Thousand One Hundred Three </t>
  </si>
  <si>
    <t xml:space="preserve">One Thousand Seventy  </t>
  </si>
  <si>
    <t xml:space="preserve">Nine Hundred Forty Nine </t>
  </si>
  <si>
    <t xml:space="preserve">One Thousand One Hundred NinetyEight </t>
  </si>
  <si>
    <t xml:space="preserve">One Thousand Forty One </t>
  </si>
  <si>
    <t xml:space="preserve">One Thousand One Hundred Forty  </t>
  </si>
  <si>
    <t xml:space="preserve">One Thousand Two Hundred Six </t>
  </si>
  <si>
    <t xml:space="preserve">One Thousand One Hundred Seventy Two </t>
  </si>
  <si>
    <t xml:space="preserve">One Thousand One Hundred Twenty Eight </t>
  </si>
  <si>
    <t xml:space="preserve">One Thousand One Hundred Seven </t>
  </si>
  <si>
    <t xml:space="preserve">One Thousand Two Hundred Twenty Eight </t>
  </si>
  <si>
    <t xml:space="preserve">One Thousand Forty Five </t>
  </si>
  <si>
    <t xml:space="preserve">One Thousand One Hundred Nine </t>
  </si>
  <si>
    <t xml:space="preserve">Five Hundred Thirteen </t>
  </si>
  <si>
    <t xml:space="preserve">One Thousand One Hundred Fifty One </t>
  </si>
  <si>
    <t xml:space="preserve">One Thousand Twenty One </t>
  </si>
  <si>
    <t xml:space="preserve">One Thousand One Hundred Fifty Four </t>
  </si>
  <si>
    <t xml:space="preserve">One Thousand One Hundred Eighty Two </t>
  </si>
  <si>
    <t xml:space="preserve">One Thousand Fifty Nine </t>
  </si>
  <si>
    <t xml:space="preserve">One Thousand Eighty Five </t>
  </si>
  <si>
    <t xml:space="preserve">One Thousand Two Hundred Sixty Five </t>
  </si>
  <si>
    <t xml:space="preserve">One Thousand One Hundred Seventy Four </t>
  </si>
  <si>
    <t xml:space="preserve">One Thousand One Hundred Thirty Two </t>
  </si>
  <si>
    <t xml:space="preserve">One Thousand One Hundred Fifty Two </t>
  </si>
  <si>
    <t xml:space="preserve">One Thousand One Hundred Nineteen </t>
  </si>
  <si>
    <t xml:space="preserve">One Thousand Two Hundred Sixty One </t>
  </si>
  <si>
    <t xml:space="preserve">One Thousand One Hundred Sixty Six </t>
  </si>
  <si>
    <t xml:space="preserve">One Thousand One Hundred NinetyFive </t>
  </si>
  <si>
    <t xml:space="preserve">One Thousand Eighty One </t>
  </si>
  <si>
    <t xml:space="preserve">One Thousand Sixty Nine </t>
  </si>
  <si>
    <t xml:space="preserve">One Thousand Thirty Five </t>
  </si>
  <si>
    <t xml:space="preserve">One Thousand Forty Two </t>
  </si>
  <si>
    <t xml:space="preserve">One Thousand One Hundred Thirty Three </t>
  </si>
  <si>
    <t xml:space="preserve">One Thousand One Hundred Thirty Five </t>
  </si>
  <si>
    <t xml:space="preserve">One Thousand Seventy Five </t>
  </si>
  <si>
    <t xml:space="preserve">One Thousand Two Hundred Eight </t>
  </si>
  <si>
    <t xml:space="preserve">One Thousand Sixty Six </t>
  </si>
  <si>
    <t xml:space="preserve">One Thousand One Hundred Fifty Three </t>
  </si>
  <si>
    <t xml:space="preserve">One Thousand Two Hundred Fifteen </t>
  </si>
  <si>
    <t xml:space="preserve">Five Hundred Eighty Nine </t>
  </si>
  <si>
    <t xml:space="preserve">One Thousand One Hundred Forty One </t>
  </si>
  <si>
    <t xml:space="preserve">One Thousand One Hundred Twenty Three </t>
  </si>
  <si>
    <t xml:space="preserve">One Thousand Two Hundred Forty Five </t>
  </si>
  <si>
    <t xml:space="preserve">One Thousand One Hundred Ten </t>
  </si>
  <si>
    <t xml:space="preserve">One Thousand One Hundred Two </t>
  </si>
  <si>
    <t xml:space="preserve">One Thousand Two Hundred Sixteen </t>
  </si>
  <si>
    <t xml:space="preserve">One Thousand Seventy Two </t>
  </si>
  <si>
    <t xml:space="preserve"> </t>
  </si>
  <si>
    <t xml:space="preserve">Three Hundred Sixty Six </t>
  </si>
  <si>
    <t xml:space="preserve">Four Hundred Eighty  </t>
  </si>
  <si>
    <t>ABSENT</t>
  </si>
  <si>
    <t xml:space="preserve">Two Hundred Fifty Three </t>
  </si>
  <si>
    <t xml:space="preserve">Five Hundred Five </t>
  </si>
  <si>
    <t>P</t>
  </si>
  <si>
    <t xml:space="preserve">Nine Hundred Eighty Nine </t>
  </si>
  <si>
    <t xml:space="preserve">Four Hundred NinetyOne </t>
  </si>
  <si>
    <t>PCT6C001</t>
  </si>
  <si>
    <t xml:space="preserve">TORASKAR NISHANT YESHWANT </t>
  </si>
  <si>
    <t>PCT6C002</t>
  </si>
  <si>
    <t xml:space="preserve">NEVREKAR PRIYANKA CHANDRAKANT </t>
  </si>
  <si>
    <t>PCT6C003</t>
  </si>
  <si>
    <t>BHILWARI TASNEEM KHANALI</t>
  </si>
  <si>
    <t xml:space="preserve">Five Hundred Fifty  </t>
  </si>
  <si>
    <t>PCT6C004</t>
  </si>
  <si>
    <t xml:space="preserve">SOLANKI DHAWAL SANDEEP  </t>
  </si>
  <si>
    <t>PCT6C005</t>
  </si>
  <si>
    <t>TRIPATHI ABHISHEK GIRISH</t>
  </si>
  <si>
    <t>14+</t>
  </si>
  <si>
    <t>32+</t>
  </si>
  <si>
    <t>12+</t>
  </si>
  <si>
    <t>30+</t>
  </si>
  <si>
    <t xml:space="preserve">Three Hundred Seventy Two </t>
  </si>
  <si>
    <t>000</t>
  </si>
  <si>
    <t>01</t>
  </si>
  <si>
    <t>06</t>
  </si>
  <si>
    <t>04</t>
  </si>
  <si>
    <t>494x</t>
  </si>
  <si>
    <t>One Thousand Eleven &amp; Nine</t>
  </si>
  <si>
    <t>One Thousand Thirteen @ seven</t>
  </si>
  <si>
    <t xml:space="preserve">One Thousand One Hundred Thirty One </t>
  </si>
  <si>
    <t>513</t>
  </si>
  <si>
    <t>544</t>
  </si>
  <si>
    <t xml:space="preserve">One Thousand Sixty Three </t>
  </si>
  <si>
    <t>495x</t>
  </si>
  <si>
    <t xml:space="preserve">One Thousand Seventeen </t>
  </si>
  <si>
    <t>503+</t>
  </si>
  <si>
    <t>558x</t>
  </si>
  <si>
    <t>477x</t>
  </si>
  <si>
    <t xml:space="preserve">Nine Hundred Sixty Six </t>
  </si>
  <si>
    <t>501x</t>
  </si>
  <si>
    <t>505x</t>
  </si>
  <si>
    <t>487x</t>
  </si>
  <si>
    <t>454x</t>
  </si>
  <si>
    <t>48</t>
  </si>
  <si>
    <t>543</t>
  </si>
  <si>
    <t>1018@2</t>
  </si>
  <si>
    <t>One Thousand Eighteen and Two</t>
  </si>
  <si>
    <t>136293</t>
  </si>
  <si>
    <t>519x</t>
  </si>
  <si>
    <t>510x</t>
  </si>
  <si>
    <t>468</t>
  </si>
  <si>
    <t>485x</t>
  </si>
  <si>
    <t>508x</t>
  </si>
  <si>
    <t>510</t>
  </si>
  <si>
    <t>473+</t>
  </si>
  <si>
    <t>1017@3</t>
  </si>
  <si>
    <t>One Thousand Seventeen and Three</t>
  </si>
  <si>
    <t>468x</t>
  </si>
  <si>
    <t>136333</t>
  </si>
  <si>
    <t>136366</t>
  </si>
  <si>
    <t>482x</t>
  </si>
  <si>
    <t>991</t>
  </si>
  <si>
    <t>Nine Hundred Ninety One</t>
  </si>
</sst>
</file>

<file path=xl/styles.xml><?xml version="1.0" encoding="utf-8"?>
<styleSheet xmlns="http://schemas.openxmlformats.org/spreadsheetml/2006/main">
  <numFmts count="2">
    <numFmt numFmtId="164" formatCode="00"/>
    <numFmt numFmtId="165" formatCode="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rgb="FF000000"/>
      <name val="Times New Roman"/>
      <family val="1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12"/>
      <color rgb="FFFF0000"/>
      <name val="Calibri"/>
      <family val="2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9"/>
      <color indexed="8"/>
      <name val="Calibri"/>
      <family val="2"/>
    </font>
    <font>
      <sz val="12"/>
      <color indexed="8"/>
      <name val="Calibri"/>
      <family val="2"/>
    </font>
    <font>
      <sz val="11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</cellStyleXfs>
  <cellXfs count="108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wrapText="1"/>
      <protection locked="0"/>
    </xf>
    <xf numFmtId="0" fontId="4" fillId="0" borderId="0" xfId="0" applyFont="1" applyProtection="1">
      <protection locked="0"/>
    </xf>
    <xf numFmtId="0" fontId="2" fillId="0" borderId="1" xfId="0" applyFont="1" applyBorder="1" applyAlignment="1" applyProtection="1">
      <alignment horizontal="right" vertic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3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2" fillId="0" borderId="1" xfId="0" applyFont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 wrapText="1"/>
      <protection locked="0"/>
    </xf>
    <xf numFmtId="165" fontId="0" fillId="0" borderId="8" xfId="0" applyNumberForma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165" fontId="0" fillId="0" borderId="1" xfId="0" applyNumberFormat="1" applyBorder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right" vertical="center"/>
      <protection locked="0"/>
    </xf>
    <xf numFmtId="0" fontId="6" fillId="0" borderId="1" xfId="0" applyFont="1" applyBorder="1" applyAlignment="1" applyProtection="1">
      <alignment wrapText="1"/>
      <protection locked="0"/>
    </xf>
    <xf numFmtId="0" fontId="0" fillId="0" borderId="0" xfId="0" applyFont="1" applyBorder="1" applyProtection="1">
      <protection locked="0"/>
    </xf>
    <xf numFmtId="0" fontId="11" fillId="0" borderId="1" xfId="0" applyFont="1" applyBorder="1" applyAlignment="1" applyProtection="1">
      <alignment wrapText="1"/>
      <protection locked="0"/>
    </xf>
    <xf numFmtId="0" fontId="12" fillId="0" borderId="1" xfId="0" applyFont="1" applyBorder="1" applyAlignment="1" applyProtection="1">
      <alignment wrapText="1"/>
      <protection locked="0"/>
    </xf>
    <xf numFmtId="0" fontId="7" fillId="0" borderId="2" xfId="0" applyFont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/>
      <protection locked="0"/>
    </xf>
    <xf numFmtId="164" fontId="7" fillId="0" borderId="9" xfId="0" applyNumberFormat="1" applyFont="1" applyBorder="1" applyAlignment="1" applyProtection="1">
      <alignment horizontal="left"/>
      <protection locked="0"/>
    </xf>
    <xf numFmtId="164" fontId="13" fillId="0" borderId="9" xfId="0" applyNumberFormat="1" applyFont="1" applyBorder="1" applyAlignment="1" applyProtection="1">
      <alignment horizontal="left"/>
      <protection locked="0"/>
    </xf>
    <xf numFmtId="164" fontId="7" fillId="0" borderId="8" xfId="0" applyNumberFormat="1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10" fillId="0" borderId="0" xfId="0" applyFont="1" applyAlignment="1" applyProtection="1">
      <alignment horizontal="left"/>
      <protection locked="0"/>
    </xf>
    <xf numFmtId="164" fontId="7" fillId="0" borderId="2" xfId="0" applyNumberFormat="1" applyFont="1" applyBorder="1" applyAlignment="1" applyProtection="1">
      <alignment horizontal="left"/>
      <protection locked="0"/>
    </xf>
    <xf numFmtId="164" fontId="14" fillId="0" borderId="2" xfId="1" applyNumberFormat="1" applyFont="1" applyBorder="1" applyAlignment="1" applyProtection="1">
      <alignment horizontal="left"/>
      <protection locked="0"/>
    </xf>
    <xf numFmtId="164" fontId="13" fillId="0" borderId="2" xfId="0" applyNumberFormat="1" applyFont="1" applyBorder="1" applyAlignment="1" applyProtection="1">
      <alignment horizontal="left"/>
      <protection locked="0"/>
    </xf>
    <xf numFmtId="164" fontId="0" fillId="0" borderId="0" xfId="0" applyNumberFormat="1" applyAlignment="1" applyProtection="1">
      <alignment horizontal="left"/>
      <protection locked="0"/>
    </xf>
    <xf numFmtId="0" fontId="0" fillId="0" borderId="0" xfId="0" applyBorder="1" applyAlignment="1" applyProtection="1">
      <alignment wrapText="1"/>
      <protection locked="0"/>
    </xf>
    <xf numFmtId="0" fontId="15" fillId="0" borderId="0" xfId="0" applyFont="1"/>
    <xf numFmtId="0" fontId="16" fillId="0" borderId="0" xfId="0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 hidden="1"/>
    </xf>
    <xf numFmtId="0" fontId="0" fillId="0" borderId="0" xfId="0" applyProtection="1">
      <protection locked="0" hidden="1"/>
    </xf>
    <xf numFmtId="10" fontId="0" fillId="0" borderId="0" xfId="2" applyNumberFormat="1" applyFont="1" applyBorder="1" applyAlignment="1" applyProtection="1">
      <alignment horizontal="center"/>
      <protection locked="0" hidden="1"/>
    </xf>
    <xf numFmtId="0" fontId="10" fillId="0" borderId="0" xfId="0" applyFont="1"/>
    <xf numFmtId="0" fontId="1" fillId="0" borderId="0" xfId="0" applyFont="1"/>
    <xf numFmtId="0" fontId="17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left" vertical="center" wrapText="1"/>
    </xf>
    <xf numFmtId="0" fontId="7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10" fontId="7" fillId="0" borderId="1" xfId="2" applyNumberFormat="1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 wrapText="1"/>
    </xf>
    <xf numFmtId="0" fontId="7" fillId="0" borderId="1" xfId="0" applyNumberFormat="1" applyFont="1" applyBorder="1" applyAlignment="1">
      <alignment horizontal="left" vertical="center" wrapText="1"/>
    </xf>
    <xf numFmtId="0" fontId="7" fillId="0" borderId="0" xfId="0" applyFont="1"/>
    <xf numFmtId="0" fontId="7" fillId="0" borderId="0" xfId="0" applyFont="1" applyAlignment="1">
      <alignment horizontal="left" vertical="top"/>
    </xf>
    <xf numFmtId="10" fontId="7" fillId="0" borderId="0" xfId="2" applyNumberFormat="1" applyFont="1" applyAlignment="1">
      <alignment horizontal="left" vertical="top"/>
    </xf>
    <xf numFmtId="14" fontId="7" fillId="0" borderId="0" xfId="0" applyNumberFormat="1" applyFont="1" applyAlignment="1">
      <alignment horizontal="left"/>
    </xf>
    <xf numFmtId="0" fontId="0" fillId="0" borderId="0" xfId="0" applyAlignment="1">
      <alignment horizontal="left" vertical="top"/>
    </xf>
    <xf numFmtId="0" fontId="12" fillId="0" borderId="1" xfId="0" applyFont="1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left" vertical="top"/>
      <protection hidden="1"/>
    </xf>
    <xf numFmtId="0" fontId="0" fillId="0" borderId="0" xfId="0" applyAlignment="1" applyProtection="1">
      <alignment horizontal="left" vertical="top"/>
      <protection locked="0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11" fillId="0" borderId="1" xfId="0" applyFont="1" applyBorder="1" applyAlignment="1" applyProtection="1">
      <alignment horizontal="left" vertical="top" wrapText="1"/>
      <protection locked="0"/>
    </xf>
    <xf numFmtId="0" fontId="19" fillId="0" borderId="1" xfId="0" applyFont="1" applyBorder="1" applyAlignment="1">
      <alignment horizontal="left" wrapText="1"/>
    </xf>
    <xf numFmtId="0" fontId="19" fillId="0" borderId="1" xfId="0" applyFont="1" applyBorder="1" applyAlignment="1">
      <alignment wrapText="1"/>
    </xf>
    <xf numFmtId="0" fontId="0" fillId="0" borderId="1" xfId="0" applyBorder="1" applyAlignment="1">
      <alignment horizontal="center"/>
    </xf>
    <xf numFmtId="0" fontId="19" fillId="0" borderId="1" xfId="0" applyFont="1" applyBorder="1" applyAlignment="1">
      <alignment vertical="top" wrapText="1"/>
    </xf>
    <xf numFmtId="49" fontId="0" fillId="0" borderId="0" xfId="0" applyNumberFormat="1" applyProtection="1">
      <protection locked="0"/>
    </xf>
    <xf numFmtId="49" fontId="4" fillId="0" borderId="0" xfId="0" applyNumberFormat="1" applyFont="1" applyProtection="1">
      <protection locked="0"/>
    </xf>
    <xf numFmtId="49" fontId="12" fillId="0" borderId="1" xfId="0" applyNumberFormat="1" applyFont="1" applyBorder="1" applyAlignment="1" applyProtection="1">
      <alignment horizontal="center" wrapText="1"/>
      <protection locked="0"/>
    </xf>
    <xf numFmtId="49" fontId="5" fillId="0" borderId="1" xfId="0" applyNumberFormat="1" applyFont="1" applyBorder="1" applyAlignment="1" applyProtection="1">
      <alignment horizontal="center" wrapText="1"/>
      <protection locked="0"/>
    </xf>
    <xf numFmtId="49" fontId="5" fillId="0" borderId="1" xfId="0" applyNumberFormat="1" applyFont="1" applyBorder="1" applyAlignment="1" applyProtection="1">
      <alignment horizontal="center" vertical="top" wrapText="1"/>
      <protection locked="0"/>
    </xf>
    <xf numFmtId="49" fontId="6" fillId="0" borderId="1" xfId="0" applyNumberFormat="1" applyFont="1" applyBorder="1" applyAlignment="1" applyProtection="1">
      <alignment horizontal="center" wrapText="1"/>
      <protection locked="0"/>
    </xf>
    <xf numFmtId="49" fontId="0" fillId="0" borderId="0" xfId="0" applyNumberFormat="1" applyBorder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49" fontId="0" fillId="0" borderId="0" xfId="0" applyNumberFormat="1" applyAlignment="1">
      <alignment horizontal="left" vertical="top"/>
    </xf>
    <xf numFmtId="49" fontId="12" fillId="0" borderId="1" xfId="0" applyNumberFormat="1" applyFont="1" applyBorder="1" applyAlignment="1" applyProtection="1">
      <alignment horizontal="left" vertical="top" wrapText="1"/>
      <protection locked="0"/>
    </xf>
    <xf numFmtId="49" fontId="5" fillId="0" borderId="1" xfId="0" applyNumberFormat="1" applyFont="1" applyBorder="1" applyAlignment="1" applyProtection="1">
      <alignment horizontal="left" vertical="top" wrapText="1"/>
      <protection locked="0"/>
    </xf>
    <xf numFmtId="49" fontId="6" fillId="0" borderId="1" xfId="0" applyNumberFormat="1" applyFont="1" applyBorder="1" applyAlignment="1" applyProtection="1">
      <alignment horizontal="left" vertical="top" wrapText="1"/>
      <protection locked="0"/>
    </xf>
    <xf numFmtId="49" fontId="7" fillId="0" borderId="9" xfId="0" applyNumberFormat="1" applyFont="1" applyBorder="1" applyAlignment="1" applyProtection="1">
      <alignment horizontal="left" vertical="top"/>
      <protection locked="0"/>
    </xf>
    <xf numFmtId="49" fontId="0" fillId="0" borderId="3" xfId="0" applyNumberFormat="1" applyBorder="1" applyAlignment="1" applyProtection="1">
      <alignment horizontal="left" vertical="top"/>
      <protection hidden="1"/>
    </xf>
    <xf numFmtId="49" fontId="7" fillId="0" borderId="2" xfId="0" applyNumberFormat="1" applyFont="1" applyBorder="1" applyAlignment="1" applyProtection="1">
      <alignment horizontal="left" vertical="top"/>
      <protection locked="0"/>
    </xf>
    <xf numFmtId="49" fontId="0" fillId="0" borderId="1" xfId="0" applyNumberFormat="1" applyBorder="1" applyAlignment="1" applyProtection="1">
      <alignment horizontal="center" vertical="top"/>
      <protection hidden="1"/>
    </xf>
    <xf numFmtId="49" fontId="0" fillId="0" borderId="1" xfId="0" applyNumberFormat="1" applyBorder="1" applyAlignment="1" applyProtection="1">
      <alignment horizontal="center" vertical="top"/>
      <protection locked="0"/>
    </xf>
    <xf numFmtId="49" fontId="7" fillId="0" borderId="9" xfId="0" applyNumberFormat="1" applyFont="1" applyBorder="1" applyAlignment="1" applyProtection="1">
      <alignment horizontal="left"/>
      <protection locked="0"/>
    </xf>
    <xf numFmtId="49" fontId="0" fillId="0" borderId="3" xfId="0" applyNumberFormat="1" applyBorder="1" applyProtection="1">
      <protection hidden="1"/>
    </xf>
    <xf numFmtId="49" fontId="7" fillId="0" borderId="2" xfId="0" applyNumberFormat="1" applyFont="1" applyBorder="1" applyAlignment="1" applyProtection="1">
      <alignment horizontal="left" vertical="center"/>
      <protection locked="0"/>
    </xf>
    <xf numFmtId="49" fontId="7" fillId="0" borderId="2" xfId="0" applyNumberFormat="1" applyFont="1" applyBorder="1" applyAlignment="1" applyProtection="1">
      <alignment horizontal="left"/>
      <protection locked="0"/>
    </xf>
    <xf numFmtId="49" fontId="0" fillId="0" borderId="1" xfId="0" applyNumberFormat="1" applyBorder="1" applyAlignment="1" applyProtection="1">
      <alignment horizontal="center"/>
      <protection hidden="1"/>
    </xf>
    <xf numFmtId="49" fontId="13" fillId="0" borderId="2" xfId="0" applyNumberFormat="1" applyFont="1" applyBorder="1" applyAlignment="1" applyProtection="1">
      <alignment horizontal="left" vertical="top"/>
      <protection locked="0"/>
    </xf>
    <xf numFmtId="49" fontId="13" fillId="0" borderId="9" xfId="0" applyNumberFormat="1" applyFont="1" applyBorder="1" applyAlignment="1" applyProtection="1">
      <alignment horizontal="left" vertical="top"/>
      <protection locked="0"/>
    </xf>
    <xf numFmtId="49" fontId="0" fillId="0" borderId="9" xfId="0" applyNumberFormat="1" applyBorder="1" applyAlignment="1">
      <alignment horizontal="left"/>
    </xf>
    <xf numFmtId="49" fontId="0" fillId="0" borderId="3" xfId="0" applyNumberFormat="1" applyBorder="1"/>
    <xf numFmtId="49" fontId="0" fillId="0" borderId="2" xfId="0" applyNumberFormat="1" applyBorder="1"/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 applyProtection="1">
      <alignment horizontal="left" vertical="top"/>
      <protection hidden="1"/>
    </xf>
    <xf numFmtId="0" fontId="0" fillId="0" borderId="1" xfId="0" applyBorder="1" applyAlignment="1" applyProtection="1">
      <alignment horizontal="left"/>
      <protection hidden="1"/>
    </xf>
    <xf numFmtId="49" fontId="8" fillId="0" borderId="1" xfId="1" applyNumberFormat="1" applyBorder="1" applyAlignment="1" applyProtection="1">
      <alignment horizontal="center"/>
    </xf>
    <xf numFmtId="49" fontId="8" fillId="0" borderId="2" xfId="1" applyNumberFormat="1" applyBorder="1" applyAlignment="1" applyProtection="1">
      <alignment horizontal="left" vertical="top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wrapText="1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10" fillId="0" borderId="10" xfId="0" applyNumberFormat="1" applyFont="1" applyBorder="1" applyAlignment="1" applyProtection="1">
      <alignment horizontal="center" vertical="center" wrapText="1"/>
      <protection locked="0"/>
    </xf>
    <xf numFmtId="49" fontId="7" fillId="0" borderId="5" xfId="0" applyNumberFormat="1" applyFont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Percent" xfId="2" builtinId="5"/>
  </cellStyles>
  <dxfs count="238"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2818607</xdr:colOff>
      <xdr:row>25</xdr:row>
      <xdr:rowOff>793</xdr:rowOff>
    </xdr:from>
    <xdr:to>
      <xdr:col>2</xdr:col>
      <xdr:colOff>2820195</xdr:colOff>
      <xdr:row>27</xdr:row>
      <xdr:rowOff>10318</xdr:rowOff>
    </xdr:to>
    <xdr:cxnSp macro="">
      <xdr:nvCxnSpPr>
        <xdr:cNvPr id="3" name="Straight Connector 2"/>
        <xdr:cNvCxnSpPr/>
      </xdr:nvCxnSpPr>
      <xdr:spPr>
        <a:xfrm rot="5400000">
          <a:off x="3852863" y="5014912"/>
          <a:ext cx="390525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35@" TargetMode="Externa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1017@3" TargetMode="External"/><Relationship Id="rId1" Type="http://schemas.openxmlformats.org/officeDocument/2006/relationships/hyperlink" Target="mailto:1018@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4:AQ312"/>
  <sheetViews>
    <sheetView topLeftCell="C185" workbookViewId="0">
      <selection activeCell="A187" sqref="A187:XFD187"/>
    </sheetView>
  </sheetViews>
  <sheetFormatPr defaultRowHeight="15.75"/>
  <cols>
    <col min="1" max="1" width="4.28515625" style="1" customWidth="1"/>
    <col min="2" max="2" width="10.5703125" style="65" customWidth="1"/>
    <col min="3" max="3" width="47.42578125" style="1" customWidth="1"/>
    <col min="4" max="4" width="3.85546875" style="23" customWidth="1"/>
    <col min="5" max="5" width="1.7109375" style="1" customWidth="1"/>
    <col min="6" max="6" width="3.85546875" style="23" customWidth="1"/>
    <col min="7" max="7" width="1.5703125" style="1" customWidth="1"/>
    <col min="8" max="8" width="3.85546875" style="23" customWidth="1"/>
    <col min="9" max="9" width="1.7109375" style="1" customWidth="1"/>
    <col min="10" max="10" width="4.85546875" style="23" customWidth="1"/>
    <col min="11" max="11" width="1.7109375" style="1" customWidth="1"/>
    <col min="12" max="12" width="3.85546875" style="23" customWidth="1"/>
    <col min="13" max="13" width="1.7109375" style="1" customWidth="1"/>
    <col min="14" max="14" width="3.85546875" style="23" customWidth="1"/>
    <col min="15" max="15" width="1.7109375" style="1" customWidth="1"/>
    <col min="16" max="16" width="3.85546875" style="23" customWidth="1"/>
    <col min="17" max="17" width="1.7109375" style="1" customWidth="1"/>
    <col min="18" max="18" width="3.85546875" style="23" customWidth="1"/>
    <col min="19" max="19" width="1.7109375" style="1" customWidth="1"/>
    <col min="20" max="20" width="3.85546875" style="23" customWidth="1"/>
    <col min="21" max="21" width="1.7109375" style="1" customWidth="1"/>
    <col min="22" max="22" width="3.85546875" style="23" customWidth="1"/>
    <col min="23" max="23" width="1.7109375" style="1" customWidth="1"/>
    <col min="24" max="24" width="3.85546875" style="23" customWidth="1"/>
    <col min="25" max="25" width="1.7109375" style="1" customWidth="1"/>
    <col min="26" max="26" width="3.85546875" style="23" customWidth="1"/>
    <col min="27" max="27" width="1.7109375" style="1" customWidth="1"/>
    <col min="28" max="28" width="3.85546875" style="23" customWidth="1"/>
    <col min="29" max="29" width="1.7109375" style="1" customWidth="1"/>
    <col min="30" max="30" width="3.85546875" style="23" customWidth="1"/>
    <col min="31" max="31" width="1.7109375" style="1" customWidth="1"/>
    <col min="32" max="32" width="3.85546875" style="23" customWidth="1"/>
    <col min="33" max="33" width="1.7109375" style="1" customWidth="1"/>
    <col min="34" max="34" width="3.85546875" style="23" customWidth="1"/>
    <col min="35" max="35" width="1.7109375" style="1" customWidth="1"/>
    <col min="36" max="36" width="3.85546875" style="23" customWidth="1"/>
    <col min="37" max="37" width="1.7109375" style="1" customWidth="1"/>
    <col min="38" max="38" width="8.7109375" style="2" customWidth="1"/>
    <col min="39" max="39" width="7.85546875" style="2" customWidth="1"/>
    <col min="40" max="40" width="9.140625" style="1" customWidth="1"/>
    <col min="41" max="41" width="8.7109375" style="1" customWidth="1"/>
    <col min="42" max="42" width="7.85546875" style="1" customWidth="1"/>
    <col min="43" max="16384" width="9.140625" style="1"/>
  </cols>
  <sheetData>
    <row r="4" spans="3:34">
      <c r="D4" s="32" t="s">
        <v>321</v>
      </c>
      <c r="J4" s="23" t="s">
        <v>2</v>
      </c>
      <c r="P4" s="23" t="s">
        <v>3</v>
      </c>
      <c r="V4" s="23" t="s">
        <v>4</v>
      </c>
      <c r="AB4" s="23" t="s">
        <v>5</v>
      </c>
      <c r="AH4" s="23" t="s">
        <v>6</v>
      </c>
    </row>
    <row r="7" spans="3:34">
      <c r="C7" s="3" t="s">
        <v>322</v>
      </c>
      <c r="D7" s="32">
        <f>COUNT(D28:D197)+D14</f>
        <v>166</v>
      </c>
      <c r="J7" s="32">
        <f>COUNT(J28:J197)+J14</f>
        <v>166</v>
      </c>
      <c r="P7" s="32">
        <f>COUNT(P28:P197)+P14</f>
        <v>164</v>
      </c>
      <c r="V7" s="32">
        <f>COUNT(V28:V197)+V14</f>
        <v>165</v>
      </c>
      <c r="AB7" s="32">
        <f>COUNT(AB28:AB197)+AB14</f>
        <v>163</v>
      </c>
      <c r="AH7" s="32">
        <f>COUNT(AH28:AH197)+AH14</f>
        <v>161</v>
      </c>
    </row>
    <row r="8" spans="3:34">
      <c r="C8" s="3" t="s">
        <v>323</v>
      </c>
      <c r="D8" s="32">
        <f>COUNTIF(E28:E197,"F")</f>
        <v>5</v>
      </c>
      <c r="J8" s="32">
        <f>COUNTIF(K28:K197,"F")</f>
        <v>9</v>
      </c>
      <c r="P8" s="32">
        <f>COUNTIF(Q28:Q197,"F")</f>
        <v>4</v>
      </c>
      <c r="V8" s="32">
        <f>COUNTIF(W28:W197,"F")</f>
        <v>5</v>
      </c>
      <c r="AB8" s="32">
        <f>COUNTIF(AC28:AC197,"F")</f>
        <v>5</v>
      </c>
      <c r="AH8" s="32">
        <f>COUNTIF(AI28:AI197,"F")</f>
        <v>0</v>
      </c>
    </row>
    <row r="9" spans="3:34">
      <c r="C9" s="3" t="s">
        <v>324</v>
      </c>
      <c r="D9" s="32">
        <f>D7-D8</f>
        <v>161</v>
      </c>
      <c r="J9" s="32">
        <f>J7-J8</f>
        <v>157</v>
      </c>
      <c r="P9" s="32">
        <f>P7-P8</f>
        <v>160</v>
      </c>
      <c r="V9" s="32">
        <f>V7-V8</f>
        <v>160</v>
      </c>
      <c r="AB9" s="32">
        <f>AB7-AB8</f>
        <v>158</v>
      </c>
      <c r="AH9" s="32">
        <f>AH7-AH8</f>
        <v>161</v>
      </c>
    </row>
    <row r="10" spans="3:34">
      <c r="C10" s="3" t="s">
        <v>325</v>
      </c>
      <c r="D10" s="32">
        <f>AVERAGE(D28:D197)</f>
        <v>51.451807228915662</v>
      </c>
      <c r="J10" s="32">
        <f>AVERAGE(J28:J197)</f>
        <v>49.490797546012267</v>
      </c>
      <c r="P10" s="32">
        <f>AVERAGE(P28:P197)</f>
        <v>60.762195121951223</v>
      </c>
      <c r="V10" s="32">
        <f>AVERAGE(V28:V197)</f>
        <v>55.169696969696972</v>
      </c>
      <c r="AB10" s="32">
        <f>AVERAGE(AB28:AB197)</f>
        <v>50.766871165644169</v>
      </c>
      <c r="AH10" s="32">
        <f>AVERAGE(AH28:AH197)</f>
        <v>21.658385093167702</v>
      </c>
    </row>
    <row r="11" spans="3:34">
      <c r="C11" s="3" t="s">
        <v>326</v>
      </c>
      <c r="D11" s="32">
        <f>MAX(D28:D197)</f>
        <v>76</v>
      </c>
      <c r="J11" s="32">
        <f>MAX(J28:J197)</f>
        <v>82</v>
      </c>
      <c r="P11" s="32">
        <f>MAX(P28:P197)</f>
        <v>77</v>
      </c>
      <c r="V11" s="32">
        <f>MAX(V28:V197)</f>
        <v>82</v>
      </c>
      <c r="AB11" s="32">
        <f>MAX(AB28:AB197)</f>
        <v>78</v>
      </c>
      <c r="AH11" s="32">
        <f>MAX(AH28:AH197)</f>
        <v>23</v>
      </c>
    </row>
    <row r="12" spans="3:34">
      <c r="C12" s="3" t="s">
        <v>327</v>
      </c>
      <c r="D12" s="32">
        <f>COUNTIF(D28:D197,"&gt;60")</f>
        <v>42</v>
      </c>
      <c r="J12" s="32">
        <f>COUNTIF(J28:J197,"&gt;60")</f>
        <v>34</v>
      </c>
      <c r="P12" s="32">
        <f>COUNTIF(P28:P197,"&gt;60")</f>
        <v>100</v>
      </c>
      <c r="V12" s="32">
        <f>COUNTIF(V28:V197,"&gt;60")</f>
        <v>57</v>
      </c>
      <c r="AB12" s="32">
        <f>COUNTIF(AB28:AB197,"&gt;60")</f>
        <v>22</v>
      </c>
      <c r="AH12" s="32">
        <f>COUNTIF(AH28:AH197,"&gt;60")</f>
        <v>0</v>
      </c>
    </row>
    <row r="13" spans="3:34">
      <c r="C13" s="33" t="s">
        <v>328</v>
      </c>
      <c r="D13" s="32">
        <f>D9-D12</f>
        <v>119</v>
      </c>
      <c r="J13" s="32">
        <f>J9-J12</f>
        <v>123</v>
      </c>
      <c r="P13" s="32">
        <f>P9-P12</f>
        <v>60</v>
      </c>
      <c r="V13" s="32">
        <f>V9-V12</f>
        <v>103</v>
      </c>
      <c r="AB13" s="32">
        <f>AB9-AB12</f>
        <v>136</v>
      </c>
      <c r="AH13" s="32">
        <f>AH9-AH12</f>
        <v>161</v>
      </c>
    </row>
    <row r="14" spans="3:34">
      <c r="C14" s="33" t="s">
        <v>329</v>
      </c>
      <c r="D14" s="32">
        <f>COUNTIF(D28:D197,"??~*")</f>
        <v>0</v>
      </c>
      <c r="J14" s="32">
        <f>COUNTIF(J28:J197,"??~*")</f>
        <v>3</v>
      </c>
      <c r="P14" s="32">
        <f>COUNTIF(P28:P197,"??~*")</f>
        <v>0</v>
      </c>
      <c r="V14" s="32">
        <f>COUNTIF(V28:V197,"??~*")</f>
        <v>0</v>
      </c>
      <c r="AB14" s="32">
        <f>COUNTIF(AB28:AB197,"??~*")</f>
        <v>0</v>
      </c>
      <c r="AH14" s="32">
        <f>COUNTIF(AH28:AH197,"??~*")</f>
        <v>0</v>
      </c>
    </row>
    <row r="20" spans="2:43" ht="17.25">
      <c r="B20" s="66" t="s">
        <v>18</v>
      </c>
      <c r="C20" s="3"/>
      <c r="F20" s="28"/>
      <c r="G20" s="4" t="s">
        <v>19</v>
      </c>
      <c r="S20" s="3"/>
      <c r="AF20" s="28"/>
      <c r="AG20" s="3"/>
      <c r="AJ20" s="28" t="s">
        <v>20</v>
      </c>
      <c r="AM20" s="13"/>
      <c r="AO20" s="2"/>
      <c r="AP20" s="2"/>
    </row>
    <row r="21" spans="2:43">
      <c r="C21" s="3"/>
      <c r="G21" s="3"/>
      <c r="S21" s="3"/>
      <c r="AG21" s="3"/>
      <c r="AM21" s="13"/>
      <c r="AO21" s="2"/>
      <c r="AP21" s="2"/>
    </row>
    <row r="22" spans="2:43" ht="17.25">
      <c r="B22" s="66" t="s">
        <v>21</v>
      </c>
      <c r="C22" s="3"/>
      <c r="F22" s="28"/>
      <c r="G22" s="4" t="s">
        <v>22</v>
      </c>
      <c r="S22" s="3"/>
      <c r="AF22" s="28"/>
      <c r="AG22" s="3"/>
      <c r="AJ22" s="103" t="s">
        <v>23</v>
      </c>
      <c r="AK22" s="103"/>
      <c r="AL22" s="103"/>
      <c r="AM22" s="103"/>
      <c r="AO22" s="2"/>
      <c r="AP22" s="2"/>
    </row>
    <row r="23" spans="2:43" ht="16.5" thickBot="1"/>
    <row r="24" spans="2:43" ht="15">
      <c r="B24" s="106" t="s">
        <v>0</v>
      </c>
      <c r="C24" s="100" t="s">
        <v>12</v>
      </c>
      <c r="D24" s="104" t="s">
        <v>1</v>
      </c>
      <c r="E24" s="104"/>
      <c r="F24" s="104"/>
      <c r="G24" s="104"/>
      <c r="H24" s="104"/>
      <c r="I24" s="104"/>
      <c r="J24" s="104" t="s">
        <v>2</v>
      </c>
      <c r="K24" s="104"/>
      <c r="L24" s="104"/>
      <c r="M24" s="104"/>
      <c r="N24" s="104"/>
      <c r="O24" s="104"/>
      <c r="P24" s="104" t="s">
        <v>3</v>
      </c>
      <c r="Q24" s="104"/>
      <c r="R24" s="104"/>
      <c r="S24" s="104"/>
      <c r="T24" s="104"/>
      <c r="U24" s="104"/>
      <c r="V24" s="104" t="s">
        <v>4</v>
      </c>
      <c r="W24" s="104"/>
      <c r="X24" s="104"/>
      <c r="Y24" s="104"/>
      <c r="Z24" s="104"/>
      <c r="AA24" s="104"/>
      <c r="AB24" s="104" t="s">
        <v>5</v>
      </c>
      <c r="AC24" s="104"/>
      <c r="AD24" s="104"/>
      <c r="AE24" s="104"/>
      <c r="AF24" s="104"/>
      <c r="AG24" s="104"/>
      <c r="AH24" s="104" t="s">
        <v>6</v>
      </c>
      <c r="AI24" s="104"/>
      <c r="AJ24" s="104"/>
      <c r="AK24" s="104"/>
      <c r="AL24" s="12" t="s">
        <v>7</v>
      </c>
      <c r="AM24" s="12" t="s">
        <v>8</v>
      </c>
      <c r="AN24" s="6" t="s">
        <v>9</v>
      </c>
      <c r="AO24" s="100" t="s">
        <v>10</v>
      </c>
      <c r="AP24" s="100" t="s">
        <v>11</v>
      </c>
    </row>
    <row r="25" spans="2:43" ht="15">
      <c r="B25" s="107"/>
      <c r="C25" s="102"/>
      <c r="D25" s="104" t="s">
        <v>13</v>
      </c>
      <c r="E25" s="104"/>
      <c r="F25" s="104" t="s">
        <v>14</v>
      </c>
      <c r="G25" s="104"/>
      <c r="H25" s="104" t="s">
        <v>15</v>
      </c>
      <c r="I25" s="104"/>
      <c r="J25" s="104" t="s">
        <v>13</v>
      </c>
      <c r="K25" s="104"/>
      <c r="L25" s="104" t="s">
        <v>14</v>
      </c>
      <c r="M25" s="104"/>
      <c r="N25" s="104" t="s">
        <v>15</v>
      </c>
      <c r="O25" s="104"/>
      <c r="P25" s="104" t="s">
        <v>13</v>
      </c>
      <c r="Q25" s="104"/>
      <c r="R25" s="104" t="s">
        <v>14</v>
      </c>
      <c r="S25" s="104"/>
      <c r="T25" s="104" t="s">
        <v>15</v>
      </c>
      <c r="U25" s="104"/>
      <c r="V25" s="104" t="s">
        <v>13</v>
      </c>
      <c r="W25" s="104"/>
      <c r="X25" s="104" t="s">
        <v>14</v>
      </c>
      <c r="Y25" s="104"/>
      <c r="Z25" s="104" t="s">
        <v>15</v>
      </c>
      <c r="AA25" s="104"/>
      <c r="AB25" s="104" t="s">
        <v>13</v>
      </c>
      <c r="AC25" s="104"/>
      <c r="AD25" s="104" t="s">
        <v>14</v>
      </c>
      <c r="AE25" s="104"/>
      <c r="AF25" s="104" t="s">
        <v>15</v>
      </c>
      <c r="AG25" s="104"/>
      <c r="AH25" s="104" t="s">
        <v>14</v>
      </c>
      <c r="AI25" s="104"/>
      <c r="AJ25" s="104" t="s">
        <v>15</v>
      </c>
      <c r="AK25" s="104"/>
      <c r="AL25" s="97">
        <v>850</v>
      </c>
      <c r="AM25" s="97">
        <v>850</v>
      </c>
      <c r="AN25" s="97">
        <v>1700</v>
      </c>
      <c r="AO25" s="101"/>
      <c r="AP25" s="101"/>
    </row>
    <row r="26" spans="2:43" ht="15">
      <c r="B26" s="107"/>
      <c r="C26" s="5" t="s">
        <v>16</v>
      </c>
      <c r="D26" s="105">
        <v>100</v>
      </c>
      <c r="E26" s="105"/>
      <c r="F26" s="105">
        <v>25</v>
      </c>
      <c r="G26" s="105"/>
      <c r="H26" s="105">
        <v>50</v>
      </c>
      <c r="I26" s="105"/>
      <c r="J26" s="105">
        <v>100</v>
      </c>
      <c r="K26" s="105"/>
      <c r="L26" s="105">
        <v>25</v>
      </c>
      <c r="M26" s="105"/>
      <c r="N26" s="105">
        <v>25</v>
      </c>
      <c r="O26" s="105"/>
      <c r="P26" s="105">
        <v>100</v>
      </c>
      <c r="Q26" s="105"/>
      <c r="R26" s="105">
        <v>25</v>
      </c>
      <c r="S26" s="105"/>
      <c r="T26" s="105">
        <v>50</v>
      </c>
      <c r="U26" s="105"/>
      <c r="V26" s="105">
        <v>100</v>
      </c>
      <c r="W26" s="105"/>
      <c r="X26" s="105">
        <v>25</v>
      </c>
      <c r="Y26" s="105"/>
      <c r="Z26" s="105">
        <v>25</v>
      </c>
      <c r="AA26" s="105"/>
      <c r="AB26" s="105">
        <v>100</v>
      </c>
      <c r="AC26" s="105"/>
      <c r="AD26" s="105">
        <v>25</v>
      </c>
      <c r="AE26" s="105"/>
      <c r="AF26" s="105">
        <v>25</v>
      </c>
      <c r="AG26" s="105"/>
      <c r="AH26" s="105">
        <v>25</v>
      </c>
      <c r="AI26" s="105"/>
      <c r="AJ26" s="105">
        <v>25</v>
      </c>
      <c r="AK26" s="105"/>
      <c r="AL26" s="98"/>
      <c r="AM26" s="98"/>
      <c r="AN26" s="98"/>
      <c r="AO26" s="101"/>
      <c r="AP26" s="101"/>
    </row>
    <row r="27" spans="2:43" ht="15">
      <c r="B27" s="107"/>
      <c r="C27" s="17" t="s">
        <v>17</v>
      </c>
      <c r="D27" s="105">
        <v>40</v>
      </c>
      <c r="E27" s="105"/>
      <c r="F27" s="105">
        <v>10</v>
      </c>
      <c r="G27" s="105"/>
      <c r="H27" s="105">
        <v>20</v>
      </c>
      <c r="I27" s="105"/>
      <c r="J27" s="105">
        <v>40</v>
      </c>
      <c r="K27" s="105"/>
      <c r="L27" s="105">
        <v>10</v>
      </c>
      <c r="M27" s="105"/>
      <c r="N27" s="105">
        <v>10</v>
      </c>
      <c r="O27" s="105"/>
      <c r="P27" s="105">
        <v>40</v>
      </c>
      <c r="Q27" s="105"/>
      <c r="R27" s="105">
        <v>10</v>
      </c>
      <c r="S27" s="105"/>
      <c r="T27" s="105">
        <v>20</v>
      </c>
      <c r="U27" s="105"/>
      <c r="V27" s="105">
        <v>40</v>
      </c>
      <c r="W27" s="105"/>
      <c r="X27" s="105">
        <v>10</v>
      </c>
      <c r="Y27" s="105"/>
      <c r="Z27" s="105">
        <v>10</v>
      </c>
      <c r="AA27" s="105"/>
      <c r="AB27" s="105">
        <v>40</v>
      </c>
      <c r="AC27" s="105"/>
      <c r="AD27" s="105">
        <v>10</v>
      </c>
      <c r="AE27" s="105"/>
      <c r="AF27" s="105">
        <v>10</v>
      </c>
      <c r="AG27" s="105"/>
      <c r="AH27" s="105">
        <v>10</v>
      </c>
      <c r="AI27" s="105"/>
      <c r="AJ27" s="105">
        <v>10</v>
      </c>
      <c r="AK27" s="105"/>
      <c r="AL27" s="99"/>
      <c r="AM27" s="99"/>
      <c r="AN27" s="99"/>
      <c r="AO27" s="102"/>
      <c r="AP27" s="102"/>
    </row>
    <row r="28" spans="2:43" ht="15.95" customHeight="1">
      <c r="B28" s="67">
        <v>136201</v>
      </c>
      <c r="C28" s="21" t="s">
        <v>24</v>
      </c>
      <c r="D28" s="24">
        <v>50</v>
      </c>
      <c r="E28" s="9" t="str">
        <f>IF(IFERROR(FIND("+",D28),0)," ",
IF(D28="AB","",
IF(D28&lt;$D$27,"F",
IF(AND(D28&gt;=$D$27,F28&gt;=$F$27,H28&gt;=$H$27,
J28&gt;=$J$27,L28&gt;=$L$27,
N28&gt;=$N$27,P28&gt;=$P$27,R28&gt;=$R$27,T28&gt;=$T$27,V28&gt;=$V$27,
X28&gt;=$X$27,Z28&gt;=$Z$27,AB28&gt;=$AB$27,AD28&gt;=$AD$27,AF28&gt;=$AF$27,
AH28&gt;=$AH$27,AJ28&gt;=$AJ$27,D28&lt;&gt;"AB",F28&lt;&gt;"AB",H28&lt;&gt;"AB",
J28&lt;&gt;"AB",L28&lt;&gt;"AB",
N28&lt;&gt;"AB",P28&lt;&gt;"AB",R28&lt;&gt;"AB",T28&lt;&gt;"AB",V28&lt;&gt;"AB",
X28&lt;&gt;"AB",Z28&lt;&gt;"AB",AB28&lt;&gt;"AB",AD28&lt;&gt;"AB",AF28&lt;&gt;"AB",
AH28&lt;&gt;"AB",AI28&lt;&gt;"AB"),"","E"))))</f>
        <v/>
      </c>
      <c r="F28" s="22">
        <v>19</v>
      </c>
      <c r="G28" s="9" t="str">
        <f>IF(IFERROR(FIND("+",F28),0)," ",
IF(F28="AB","",
IF(F28&lt;$F$27,"F",
IF(AND(D28&gt;=$D$27,F28&gt;=$F$27,H28&gt;=$H$27,
J28&gt;=$J$27,L28&gt;=$L$27,
N28&gt;=$N$27,P28&gt;=$P$27,R28&gt;=$R$27,T28&gt;=$T$27,V28&gt;=$V$27,
X28&gt;=$X$27,Z28&gt;=$Z$27,AB28&gt;=$AB$27,AD28&gt;=$AD$27,AF28&gt;=$AF$27,
AH28&gt;=$AH$27,AJ28&gt;=$AJ$27,D28&lt;&gt;"AB",F28&lt;&gt;"AB",H28&lt;&gt;"AB",
J28&lt;&gt;"AB",L28&lt;&gt;"AB",
N28&lt;&gt;"AB",P28&lt;&gt;"AB",R28&lt;&gt;"AB",T28&lt;&gt;"AB",V28&lt;&gt;"AB",
X28&lt;&gt;"AB",Z28&lt;&gt;"AB",AB28&lt;&gt;"AB",AD28&lt;&gt;"AB",AF28&lt;&gt;"AB",
AH28&lt;&gt;"AB",AI28&lt;&gt;"AB"),"","E"))))</f>
        <v/>
      </c>
      <c r="H28" s="22">
        <v>42</v>
      </c>
      <c r="I28" s="9" t="str">
        <f>IF(IFERROR(FIND("+",H28),0)," ",
IF(H28="AB","",
IF(H28&lt;$H$27,"F",
IF(AND(D28&gt;=$D$27,F28&gt;=$F$27,H28&gt;=$H$27,
J28&gt;=$J$27,L28&gt;=$L$27,
N28&gt;=$N$27,P28&gt;=$P$27,R28&gt;=$R$27,T28&gt;=$T$27,V28&gt;=$V$27,
X28&gt;=$X$27,Z28&gt;=$Z$27,AB28&gt;=$AB$27,AD28&gt;=$AD$27,AF28&gt;=$AF$27,
AH28&gt;=$AH$27,AJ28&gt;=$AJ$27,D28&lt;&gt;"AB",F28&lt;&gt;"AB",H28&lt;&gt;"AB",
J28&lt;&gt;"AB",L28&lt;&gt;"AB",
N28&lt;&gt;"AB",P28&lt;&gt;"AB",R28&lt;&gt;"AB",T28&lt;&gt;"AB",V28&lt;&gt;"AB",
X28&lt;&gt;"AB",Z28&lt;&gt;"AB",AB28&lt;&gt;"AB",AD28&lt;&gt;"AB",AF28&lt;&gt;"AB",
AH28&lt;&gt;"AB",AI28&lt;&gt;"AB"),"","E"))))</f>
        <v/>
      </c>
      <c r="J28" s="29">
        <v>40</v>
      </c>
      <c r="K28" s="9" t="str">
        <f>IF(IFERROR(FIND("+",J28),0)," ",
IF(J28="AB","",
IF(J28&lt;$J$27,"F",
IF(AND(D28&gt;=$D$27,F28&gt;=$F$27,H28&gt;=$H$27,
J28&gt;=$J$27,L28&gt;=$L$27,
N28&gt;=$N$27,P28&gt;=$P$27,R28&gt;=$R$27,T28&gt;=$T$27,V28&gt;=$V$27,
X28&gt;=$X$27,Z28&gt;=$Z$27,AB28&gt;=$AB$27,AD28&gt;=$AD$27,AF28&gt;=$AF$27,
AH28&gt;=$AH$27,AJ28&gt;=$AJ$27,D28&lt;&gt;"AB",F28&lt;&gt;"AB",H28&lt;&gt;"AB",
J28&lt;&gt;"AB",L28&lt;&gt;"AB",
N28&lt;&gt;"AB",P28&lt;&gt;"AB",R28&lt;&gt;"AB",T28&lt;&gt;"AB",V28&lt;&gt;"AB",
X28&lt;&gt;"AB",Z28&lt;&gt;"AB",AB28&lt;&gt;"AB",AD28&lt;&gt;"AB",AF28&lt;&gt;"AB",
AH28&lt;&gt;"AB",AI28&lt;&gt;"AB"),"","E"))))</f>
        <v/>
      </c>
      <c r="L28" s="22">
        <v>20</v>
      </c>
      <c r="M28" s="9" t="str">
        <f>IF(IFERROR(FIND("+",L28),0)," ",
IF(L28="AB","",
IF(L28&lt;$L$27,"F",
IF(AND(D28&gt;=$D$27,F28&gt;=$F$27,H28&gt;=$H$27,
J28&gt;=$J$27,L28&gt;=$L$27,
N28&gt;=$N$27,P28&gt;=$P$27,R28&gt;=$R$27,T28&gt;=$T$27,V28&gt;=$V$27,
X28&gt;=$X$27,Z28&gt;=$Z$27,AB28&gt;=$AB$27,AD28&gt;=$AD$27,AF28&gt;=$AF$27,
AH28&gt;=$AH$27,AJ28&gt;=$AJ$27,D28&lt;&gt;"AB",F28&lt;&gt;"AB",H28&lt;&gt;"AB",
J28&lt;&gt;"AB",L28&lt;&gt;"AB",
N28&lt;&gt;"AB",P28&lt;&gt;"AB",R28&lt;&gt;"AB",T28&lt;&gt;"AB",V28&lt;&gt;"AB",
X28&lt;&gt;"AB",Z28&lt;&gt;"AB",AB28&lt;&gt;"AB",AD28&lt;&gt;"AB",AF28&lt;&gt;"AB",
AH28&lt;&gt;"AB",AI28&lt;&gt;"AB"),"","E"))))</f>
        <v/>
      </c>
      <c r="N28" s="22">
        <v>21</v>
      </c>
      <c r="O28" s="9" t="str">
        <f>IF(IFERROR(FIND("+",N28),0)," ",
IF(N28="AB","",
IF(N28&lt;$N$27,"F",
IF(AND(D28&gt;=$D$27,F28&gt;=$F$27,H28&gt;=$H$27,
J28&gt;=$J$27,L28&gt;=$L$27,
N28&gt;=$N$27,P28&gt;=$P$27,R28&gt;=$R$27,T28&gt;=$T$27,V28&gt;=$V$27,
X28&gt;=$X$27,Z28&gt;=$Z$27,AB28&gt;=$AB$27,AD28&gt;=$AD$27,AF28&gt;=$AF$27,
AH28&gt;=$AH$27,AJ28&gt;=$AJ$27,D28&lt;&gt;"AB",F28&lt;&gt;"AB",H28&lt;&gt;"AB",
J28&lt;&gt;"AB",L28&lt;&gt;"AB",
N28&lt;&gt;"AB",P28&lt;&gt;"AB",R28&lt;&gt;"AB",T28&lt;&gt;"AB",V28&lt;&gt;"AB",
X28&lt;&gt;"AB",Z28&lt;&gt;"AB",AB28&lt;&gt;"AB",AD28&lt;&gt;"AB",AF28&lt;&gt;"AB",
AH28&lt;&gt;"AB",AI28&lt;&gt;"AB"),"","E"))))</f>
        <v/>
      </c>
      <c r="P28" s="29">
        <v>64</v>
      </c>
      <c r="Q28" s="9" t="str">
        <f>IF(IFERROR(FIND("+",P28),0)," ",
IF(P28="AB","",
IF(P28&lt;$P$27,"F",
IF(AND(D28&gt;=$D$27,F28&gt;=$F$27,H28&gt;=$H$27,
J28&gt;=$J$27,L28&gt;=$L$27,
N28&gt;=$N$27,P28&gt;=$P$27,R28&gt;=$R$27,T28&gt;=$T$27,V28&gt;=$V$27,
X28&gt;=$X$27,Z28&gt;=$Z$27,AB28&gt;=$AB$27,AD28&gt;=$AD$27,AF28&gt;=$AF$27,
AH28&gt;=$AH$27,AJ28&gt;=$AJ$27,D28&lt;&gt;"AB",F28&lt;&gt;"AB",H28&lt;&gt;"AB",
J28&lt;&gt;"AB",L28&lt;&gt;"AB",
N28&lt;&gt;"AB",P28&lt;&gt;"AB",R28&lt;&gt;"AB",T28&lt;&gt;"AB",V28&lt;&gt;"AB",
X28&lt;&gt;"AB",Z28&lt;&gt;"AB",AB28&lt;&gt;"AB",AD28&lt;&gt;"AB",AF28&lt;&gt;"AB",
AH28&lt;&gt;"AB",AI28&lt;&gt;"AB"),"","E"))))</f>
        <v/>
      </c>
      <c r="R28" s="22">
        <v>20</v>
      </c>
      <c r="S28" s="9" t="str">
        <f>IF(IFERROR(FIND("+",R28),0)," ",
IF(R28="AB","",
IF(R28&lt;$R$27,"F",
IF(AND(D28&gt;=$D$27,F28&gt;=$F$27,H28&gt;=$H$27,
J28&gt;=$J$27,L28&gt;=$L$27,
N28&gt;=$N$27,P28&gt;=$P$27,R28&gt;=$R$27,T28&gt;=$T$27,V28&gt;=$V$27,
X28&gt;=$X$27,Z28&gt;=$Z$27,AB28&gt;=$AB$27,AD28&gt;=$AD$27,AF28&gt;=$AF$27,
AH28&gt;=$AH$27,AJ28&gt;=$AJ$27,D28&lt;&gt;"AB",F28&lt;&gt;"AB",H28&lt;&gt;"AB",
J28&lt;&gt;"AB",L28&lt;&gt;"AB",
N28&lt;&gt;"AB",P28&lt;&gt;"AB",R28&lt;&gt;"AB",T28&lt;&gt;"AB",V28&lt;&gt;"AB",
X28&lt;&gt;"AB",Z28&lt;&gt;"AB",AB28&lt;&gt;"AB",AD28&lt;&gt;"AB",AF28&lt;&gt;"AB",
AH28&lt;&gt;"AB",AI28&lt;&gt;"AB"),"","E"))))</f>
        <v/>
      </c>
      <c r="T28" s="22">
        <v>42</v>
      </c>
      <c r="U28" s="9" t="str">
        <f>IF(IFERROR(FIND("+",T28),0)," ",
IF(T28="AB","",
IF(T28&lt;$T$27,"F",
IF(AND(D28&gt;=$D$27,F28&gt;=$F$27,H28&gt;=$H$27,
J28&gt;=$J$27,L28&gt;=$L$27,
N28&gt;=$N$27,P28&gt;=$P$27,R28&gt;=$R$27,T28&gt;=$T$27,V28&gt;=$V$27,
X28&gt;=$X$27,Z28&gt;=$Z$27,AB28&gt;=$AB$27,AD28&gt;=$AD$27,AF28&gt;=$AF$27,
AH28&gt;=$AH$27,AJ28&gt;=$AJ$27,D28&lt;&gt;"AB",F28&lt;&gt;"AB",H28&lt;&gt;"AB",
J28&lt;&gt;"AB",L28&lt;&gt;"AB",
N28&lt;&gt;"AB",P28&lt;&gt;"AB",R28&lt;&gt;"AB",T28&lt;&gt;"AB",V28&lt;&gt;"AB",
X28&lt;&gt;"AB",Z28&lt;&gt;"AB",AB28&lt;&gt;"AB",AD28&lt;&gt;"AB",AF28&lt;&gt;"AB",
AH28&lt;&gt;"AB",AI28&lt;&gt;"AB"),"","E"))))</f>
        <v/>
      </c>
      <c r="V28" s="29">
        <v>59</v>
      </c>
      <c r="W28" s="9" t="str">
        <f>IF(IFERROR(FIND("+",V28),0)," ",
IF(V28="AB","",
IF(V28&lt;$V$27,"F",
IF(AND(D28&gt;=$D$27,F28&gt;=$F$27,H28&gt;=$H$27,
J28&gt;=$J$27,L28&gt;=$L$27,
N28&gt;=$N$27,P28&gt;=$P$27,R28&gt;=$R$27,T28&gt;=$T$27,V28&gt;=$V$27,
X28&gt;=$X$27,Z28&gt;=$Z$27,AB28&gt;=$AB$27,AD28&gt;=$AD$27,AF28&gt;=$AF$27,
AH28&gt;=$AH$27,AJ28&gt;=$AJ$27,D28&lt;&gt;"AB",F28&lt;&gt;"AB",H28&lt;&gt;"AB",
J28&lt;&gt;"AB",L28&lt;&gt;"AB",
N28&lt;&gt;"AB",P28&lt;&gt;"AB",R28&lt;&gt;"AB",T28&lt;&gt;"AB",V28&lt;&gt;"AB",
X28&lt;&gt;"AB",Z28&lt;&gt;"AB",AB28&lt;&gt;"AB",AD28&lt;&gt;"AB",AF28&lt;&gt;"AB",
AH28&lt;&gt;"AB",AI28&lt;&gt;"AB"),"","E"))))</f>
        <v/>
      </c>
      <c r="X28" s="22">
        <v>20</v>
      </c>
      <c r="Y28" s="9" t="str">
        <f>IF(IFERROR(FIND("+",X28),0)," ",
IF(X28="AB","",
IF(X28&lt;$X$27,"F",
IF(AND(D28&gt;=$D$27,F28&gt;=$F$27,H28&gt;=$H$27,
J28&gt;=$J$27,L28&gt;=$L$27,
N28&gt;=$N$27,P28&gt;=$P$27,R28&gt;=$R$27,T28&gt;=$T$27,V28&gt;=$V$27,
X28&gt;=$X$27,Z28&gt;=$Z$27,AB28&gt;=$AB$27,AD28&gt;=$AD$27,AF28&gt;=$AF$27,
AH28&gt;=$AH$27,AJ28&gt;=$AJ$27,D28&lt;&gt;"AB",F28&lt;&gt;"AB",H28&lt;&gt;"AB",
J28&lt;&gt;"AB",L28&lt;&gt;"AB",
N28&lt;&gt;"AB",P28&lt;&gt;"AB",R28&lt;&gt;"AB",T28&lt;&gt;"AB",V28&lt;&gt;"AB",
X28&lt;&gt;"AB",Z28&lt;&gt;"AB",AB28&lt;&gt;"AB",AD28&lt;&gt;"AB",AF28&lt;&gt;"AB",
AH28&lt;&gt;"AB",AI28&lt;&gt;"AB"),"","E"))))</f>
        <v/>
      </c>
      <c r="Z28" s="22">
        <v>21</v>
      </c>
      <c r="AA28" s="9" t="str">
        <f>IF(IFERROR(FIND("+",Z28),0)," ",
IF(Z28="AB","",
IF(Z28&lt;$Z$27,"F",
IF(AND(D28&gt;=$D$27,F28&gt;=$F$27,H28&gt;=$H$27,
J28&gt;=$J$27,L28&gt;=$L$27,
N28&gt;=$N$27,P28&gt;=$P$27,R28&gt;=$R$27,T28&gt;=$T$27,V28&gt;=$V$27,
X28&gt;=$X$27,Z28&gt;=$Z$27,AB28&gt;=$AB$27,AD28&gt;=$AD$27,AF28&gt;=$AF$27,
AH28&gt;=$AH$27,AJ28&gt;=$AJ$27,D28&lt;&gt;"AB",F28&lt;&gt;"AB",H28&lt;&gt;"AB",
J28&lt;&gt;"AB",L28&lt;&gt;"AB",
N28&lt;&gt;"AB",P28&lt;&gt;"AB",R28&lt;&gt;"AB",T28&lt;&gt;"AB",V28&lt;&gt;"AB",
X28&lt;&gt;"AB",Z28&lt;&gt;"AB",AB28&lt;&gt;"AB",AD28&lt;&gt;"AB",AF28&lt;&gt;"AB",
AH28&lt;&gt;"AB",AI28&lt;&gt;"AB"),"","E"))))</f>
        <v/>
      </c>
      <c r="AB28" s="29">
        <v>60</v>
      </c>
      <c r="AC28" s="9" t="str">
        <f>IF(IFERROR(FIND("+",AB28),0)," ",
IF(AB28="AB","",
IF(AB28&lt;$AB$27,"F",
IF(AND(D28&gt;=$D$27,F28&gt;=$F$27,H28&gt;=$H$27,
J28&gt;=$J$27,L28&gt;=$L$27,
N28&gt;=$N$27,P28&gt;=$P$27,R28&gt;=$R$27,T28&gt;=$T$27,V28&gt;=$V$27,
X28&gt;=$X$27,Z28&gt;=$Z$27,AB28&gt;=$AB$27,AD28&gt;=$AD$27,AF28&gt;=$AF$27,
AH28&gt;=$AH$27,AJ28&gt;=$AJ$27,D28&lt;&gt;"AB",F28&lt;&gt;"AB",H28&lt;&gt;"AB",
J28&lt;&gt;"AB",L28&lt;&gt;"AB",
N28&lt;&gt;"AB",P28&lt;&gt;"AB",R28&lt;&gt;"AB",T28&lt;&gt;"AB",V28&lt;&gt;"AB",
X28&lt;&gt;"AB",Z28&lt;&gt;"AB",AB28&lt;&gt;"AB",AD28&lt;&gt;"AB",AF28&lt;&gt;"AB",
AH28&lt;&gt;"AB",AI28&lt;&gt;"AB"),"","E"))))</f>
        <v/>
      </c>
      <c r="AD28" s="22">
        <v>20</v>
      </c>
      <c r="AE28" s="9" t="str">
        <f>IF(IFERROR(FIND("+",AD28),0)," ",
IF(AD28="AB","",
IF(AD28&lt;$AD$27,"F",
IF(AND(D28&gt;=$D$27,F28&gt;=$F$27,H28&gt;=$H$27,
J28&gt;=$J$27,L28&gt;=$L$27,
N28&gt;=$N$27,P28&gt;=$P$27,R28&gt;=$R$27,T28&gt;=$T$27,V28&gt;=$V$27,
X28&gt;=$X$27,Z28&gt;=$Z$27,AB28&gt;=$AB$27,AD28&gt;=$AD$27,AF28&gt;=$AF$27,
AH28&gt;=$AH$27,AJ28&gt;=$AJ$27,D28&lt;&gt;"AB",F28&lt;&gt;"AB",H28&lt;&gt;"AB",
J28&lt;&gt;"AB",L28&lt;&gt;"AB",
N28&lt;&gt;"AB",P28&lt;&gt;"AB",R28&lt;&gt;"AB",T28&lt;&gt;"AB",V28&lt;&gt;"AB",
X28&lt;&gt;"AB",Z28&lt;&gt;"AB",AB28&lt;&gt;"AB",AD28&lt;&gt;"AB",AF28&lt;&gt;"AB",
AH28&lt;&gt;"AB",AI28&lt;&gt;"AB"),"","E"))))</f>
        <v/>
      </c>
      <c r="AF28" s="22">
        <v>19</v>
      </c>
      <c r="AG28" s="9" t="str">
        <f>IF(IFERROR(FIND("+",AF28),0)," ",
IF(AF28="AB","",
IF(AF28&lt;$AF$27,"F",
IF(AND(D28&gt;=$D$27,F28&gt;=$F$27,H28&gt;=$H$27,
J28&gt;=$J$27,L28&gt;=$L$27,
N28&gt;=$N$27,P28&gt;=$P$27,R28&gt;=$R$27,T28&gt;=$T$27,V28&gt;=$V$27,
X28&gt;=$X$27,Z28&gt;=$Z$27,AB28&gt;=$AB$27,AD28&gt;=$AD$27,AF28&gt;=$AF$27,
AH28&gt;=$AH$27,AJ28&gt;=$AJ$27,D28&lt;&gt;"AB",F28&lt;&gt;"AB",H28&lt;&gt;"AB",
J28&lt;&gt;"AB",L28&lt;&gt;"AB",
N28&lt;&gt;"AB",P28&lt;&gt;"AB",R28&lt;&gt;"AB",T28&lt;&gt;"AB",V28&lt;&gt;"AB",
X28&lt;&gt;"AB",Z28&lt;&gt;"AB",AB28&lt;&gt;"AB",AD28&lt;&gt;"AB",AF28&lt;&gt;"AB",
AH28&lt;&gt;"AB",AI28&lt;&gt;"AB"),"","E"))))</f>
        <v/>
      </c>
      <c r="AH28" s="22">
        <v>22</v>
      </c>
      <c r="AI28" s="9" t="str">
        <f>IF(IFERROR(FIND("+",AH28),0)," ",
IF(AH28="AB","",
IF(AH28&lt;$AH$27,"F",
IF(AND(D28&gt;=$D$27,F28&gt;=$F$27,H28&gt;=$H$27,
J28&gt;=$J$27,L28&gt;=$L$27,
N28&gt;=$N$27,P28&gt;=$P$27,R28&gt;=$R$27,T28&gt;=$T$27,V28&gt;=$V$27,
X28&gt;=$X$27,Z28&gt;=$Z$27,AB28&gt;=$AB$27,AD28&gt;=$AD$27,AF28&gt;=$AF$27,
AH28&gt;=$AH$27,AJ28&gt;=$AJ$27,D28&lt;&gt;"AB",F28&lt;&gt;"AB",H28&lt;&gt;"AB",
J28&lt;&gt;"AB",L28&lt;&gt;"AB",
N28&lt;&gt;"AB",P28&lt;&gt;"AB",R28&lt;&gt;"AB",T28&lt;&gt;"AB",V28&lt;&gt;"AB",
X28&lt;&gt;"AB",Z28&lt;&gt;"AB",AB28&lt;&gt;"AB",AD28&lt;&gt;"AB",AF28&lt;&gt;"AB",
AH28&lt;&gt;"AB",AJ28&lt;&gt;"AB"),"","E"))))</f>
        <v/>
      </c>
      <c r="AJ28" s="22">
        <v>20</v>
      </c>
      <c r="AK28" s="9" t="str">
        <f>IF(IFERROR(FIND("+",AJ28),0)," ",
IF(AJ28="AB","",
IF(AJ28&lt;$AJ$27,"F",
IF(AND(D28&gt;=$D$27,F28&gt;=$F$27,H28&gt;=$H$27,
J28&gt;=$J$27,L28&gt;=$L$27,
N28&gt;=$N$27,P28&gt;=$P$27,R28&gt;=$R$27,T28&gt;=$T$27,V28&gt;=$V$27,
X28&gt;=$X$27,Z28&gt;=$Z$27,AB28&gt;=$AB$27,AD28&gt;=$AD$27,AF28&gt;=$AF$27,
AH28&gt;=$AH$27,AJ28&gt;=$AJ$27,D28&lt;&gt;"AB",F28&lt;&gt;"AB",H28&lt;&gt;"AB",
J28&lt;&gt;"AB",L28&lt;&gt;"AB",
N28&lt;&gt;"AB",P28&lt;&gt;"AB",R28&lt;&gt;"AB",T28&lt;&gt;"AB",V28&lt;&gt;"AB",
X28&lt;&gt;"AB",Z28&lt;&gt;"AB",AB28&lt;&gt;"AB",AD28&lt;&gt;"AB",AF28&lt;&gt;"AB",
AH28&lt;&gt;"AB",AI28&lt;&gt;"AB"),"","E"))))</f>
        <v/>
      </c>
      <c r="AL28" s="16">
        <f>IF(OR(AND(D28&gt;=31,D28&lt;40),AND(J28&gt;=31,J28&lt;40),AND(P28&gt;=31,P28&lt;40),AND(V28&gt;=31,V28&lt;40),AND(AB28&gt;=31,AB28&lt;40)),IF(AND(OR(COUNTIF(D28:AK28,"=31")&gt;=1,COUNTIF(D28:AK28,"=32")&gt;=1,COUNTIF(D28:AK28,"=33")&gt;=1,COUNTIF(D28:AK28,"=34")&gt;=1,COUNTIF(D28:AK28,"=35")&gt;=1,COUNTIF(D28:AK28,"=36")&gt;=1 ),COUNTIF(D28:AK28,"")=0,COUNTIF(D28:AK28," ")=0,COUNTIF(D28:AK28,"F")=1),CONCATENATE(SUM(EXTRACTNUMBER(D28),EXTRACTNUMBER(F28),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EXTRACTNUMBER(AD28),EXTRACTNUMBER(AF28),EXTRACTNUMBER(AH28),EXTRACTNUMBER(AJ28)),"*"),IF(AND(COUNTIF(D28:AK28,"=34")&gt;=1,COUNTIF(D28:AK28,"=35")&gt;=1,COUNTIF(D28:AK28,"f")=2,COUNTIF(D28:AK28,"")=0,COUNTIF(D28:AK28," ")=0),CONCATENATE(SUM(EXTRACTNUMBER(D28),EXTRACTNUMBER(F28),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EXTRACTNUMBER(AD28),EXTRACTNUMBER(AF28),EXTRACTNUMBER(AH28),EXTRACTNUMBER(AJ28)),"*"),IF(AND(COUNTIF(D28:AK28,"=36")&gt;=2,COUNTIF(D28:AK28,"f")=2,COUNTIF(D28:AK28,"")=0,COUNTIF(D28:AK28," ")=0),CONCATENATE(SUM(EXTRACTNUMBER(D28),EXTRACTNUMBER(F28),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EXTRACTNUMBER(AD28),EXTRACTNUMBER(AF28),EXTRACTNUMBER(AH28),EXTRACTNUMBER(AJ28)),"*"),SUM(EXTRACTNUMBER(D28),EXTRACTNUMBER(F28),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EXTRACTNUMBER(AD28),EXTRACTNUMBER(AF28),EXTRACTNUMBER(AH28),EXTRACTNUMBER(AJ28))))),SUM(EXTRACTNUMBER(D28),EXTRACTNUMBER(F28),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EXTRACTNUMBER(AD28),EXTRACTNUMBER(AF28),EXTRACTNUMBER(AH28),EXTRACTNUMBER(AJ28)))</f>
        <v>559</v>
      </c>
      <c r="AM28" s="72" t="s">
        <v>223</v>
      </c>
      <c r="AN28" s="11">
        <f t="shared" ref="AN28:AN91" si="0">IF(IFERROR(FIND("x",AM28),0),SUM(EXTRACTNUMBER(AL28),EXTRACTNUMBER(AM28)),IF(AND(SUM(EXTRACTNUMBER(AL28),EXTRACTNUMBER(AM28))&gt;1009,        SUM(EXTRACTNUMBER(AL28),EXTRACTNUMBER(AM28))&lt;1020),
CONCATENATE(SUM(EXTRACTNUMBER(AL28),EXTRACTNUMBER(AM28)),"@",1020-SUM(EXTRACTNUMBER(AL28),EXTRACTNUMBER(AM28))),
IF(AND(SUM(EXTRACTNUMBER(AL28),EXTRACTNUMBER(AM28))&gt;839,   SUM(EXTRACTNUMBER(AL28),EXTRACTNUMBER(AM28))&lt;850),CONCATENATE(SUM(EXTRACTNUMBER(AL28),EXTRACTNUMBER(AM28)),"@",850-SUM(EXTRACTNUMBER(AL28),EXTRACTNUMBER(AM28))),
IF(AND(SUM(EXTRACTNUMBER(AL28),EXTRACTNUMBER(AM28))&gt;669,        SUM(EXTRACTNUMBER(AL28),EXTRACTNUMBER(AM28))&lt;680),
CONCATENATE(SUM(EXTRACTNUMBER(AL28),EXTRACTNUMBER(AM28)),"@",680-SUM(EXTRACTNUMBER(AL28),EXTRACTNUMBER(AM28))),
SUM(EXTRACTNUMBER(AL28),EXTRACTNUMBER(AM28))))))</f>
        <v>1116</v>
      </c>
      <c r="AO28" s="11" t="str">
        <f>IF(AND(COUNTIF(D28:AK28,"AB")&lt;17-COUNTIF(D28:AK28," "),
COUNTIF(D28:AK28,"AB")&lt;&gt;0),"FAIL",
IF(COUNTIF(D28:AK28,"AB")=17-COUNTIF(D28:AK28," "),"ABSENT",
IF(AND(COUNTIF(D28:AK28,"AB")=0,COUNTIF(D28:AK28,"F")=0),"PASS","FAIL")))</f>
        <v>PASS</v>
      </c>
      <c r="AP28" s="11" t="str">
        <f t="shared" ref="AP28:AP91" si="1">IF(AO28="ABSENT","AB",IF(AO28="FAIL","--",
IF(AM28=0,"RS 5",
IF(AND(SUM(EXTRACTNUMBER(AL28),EXTRACTNUMBER(AM28))&gt;=1010,
        NOT(IFERROR(FIND("x",AL28),0)),
        NOT(IFERROR(FIND("x",AM28),0))),"I",
IF(AND(SUM(EXTRACTNUMBER(AL28),EXTRACTNUMBER(AM28))&gt;=850,
      SUM(EXTRACTNUMBER(AL28),EXTRACTNUMBER(AM28))&lt;1010,
      NOT(IFERROR(FIND("x",AL28),0)),
      NOT(IFERROR(FIND("x",AM28),0))),"II",
IF(OR(AND(SUM(EXTRACTNUMBER(AL28),EXTRACTNUMBER(AM28))&lt;850,
SUM(EXTRACTNUMBER(AL28),EXTRACTNUMBER(AM28))&gt;=670),
IFERROR(FIND("x",AL28),0),IFERROR(FIND("x",AM28),0)),"P","--"))))))</f>
        <v>I</v>
      </c>
      <c r="AQ28" s="1" t="str">
        <f>spellnumber(AN28)</f>
        <v xml:space="preserve">One Thousand One Hundred Sixteen </v>
      </c>
    </row>
    <row r="29" spans="2:43" ht="15.95" customHeight="1">
      <c r="B29" s="67">
        <v>136202</v>
      </c>
      <c r="C29" s="21" t="s">
        <v>25</v>
      </c>
      <c r="D29" s="24">
        <v>1</v>
      </c>
      <c r="E29" s="9" t="str">
        <f t="shared" ref="E29:E92" si="2">IF(IFERROR(FIND("+",D29),0)," ",
IF(D29="AB","",
IF(D29&lt;$D$27,"F",
IF(AND(D29&gt;=$D$27,F29&gt;=$F$27,H29&gt;=$H$27,
J29&gt;=$J$27,L29&gt;=$L$27,
N29&gt;=$N$27,P29&gt;=$P$27,R29&gt;=$R$27,T29&gt;=$T$27,V29&gt;=$V$27,
X29&gt;=$X$27,Z29&gt;=$Z$27,AB29&gt;=$AB$27,AD29&gt;=$AD$27,AF29&gt;=$AF$27,
AH29&gt;=$AH$27,AJ29&gt;=$AJ$27,D29&lt;&gt;"AB",F29&lt;&gt;"AB",H29&lt;&gt;"AB",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>F</v>
      </c>
      <c r="F29" s="22">
        <v>23</v>
      </c>
      <c r="G29" s="9" t="str">
        <f t="shared" ref="G29:G92" si="3">IF(IFERROR(FIND("+",F29),0)," ",
IF(F29="AB","",
IF(F29&lt;$F$27,"F",
IF(AND(D29&gt;=$D$27,F29&gt;=$F$27,H29&gt;=$H$27,
J29&gt;=$J$27,L29&gt;=$L$27,
N29&gt;=$N$27,P29&gt;=$P$27,R29&gt;=$R$27,T29&gt;=$T$27,V29&gt;=$V$27,
X29&gt;=$X$27,Z29&gt;=$Z$27,AB29&gt;=$AB$27,AD29&gt;=$AD$27,AF29&gt;=$AF$27,
AH29&gt;=$AH$27,AJ29&gt;=$AJ$27,D29&lt;&gt;"AB",F29&lt;&gt;"AB",H29&lt;&gt;"AB",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>E</v>
      </c>
      <c r="H29" s="22">
        <v>38</v>
      </c>
      <c r="I29" s="9" t="str">
        <f t="shared" ref="I29:I92" si="4">IF(IFERROR(FIND("+",H29),0)," ",
IF(H29="AB","",
IF(H29&lt;$H$27,"F",
IF(AND(D29&gt;=$D$27,F29&gt;=$F$27,H29&gt;=$H$27,
J29&gt;=$J$27,L29&gt;=$L$27,
N29&gt;=$N$27,P29&gt;=$P$27,R29&gt;=$R$27,T29&gt;=$T$27,V29&gt;=$V$27,
X29&gt;=$X$27,Z29&gt;=$Z$27,AB29&gt;=$AB$27,AD29&gt;=$AD$27,AF29&gt;=$AF$27,
AH29&gt;=$AH$27,AJ29&gt;=$AJ$27,D29&lt;&gt;"AB",F29&lt;&gt;"AB",H29&lt;&gt;"AB",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>E</v>
      </c>
      <c r="J29" s="29">
        <v>6</v>
      </c>
      <c r="K29" s="9" t="str">
        <f t="shared" ref="K29:K92" si="5">IF(IFERROR(FIND("+",J29),0)," ",
IF(J29="AB","",
IF(J29&lt;$J$27,"F",
IF(AND(D29&gt;=$D$27,F29&gt;=$F$27,H29&gt;=$H$27,
J29&gt;=$J$27,L29&gt;=$L$27,
N29&gt;=$N$27,P29&gt;=$P$27,R29&gt;=$R$27,T29&gt;=$T$27,V29&gt;=$V$27,
X29&gt;=$X$27,Z29&gt;=$Z$27,AB29&gt;=$AB$27,AD29&gt;=$AD$27,AF29&gt;=$AF$27,
AH29&gt;=$AH$27,AJ29&gt;=$AJ$27,D29&lt;&gt;"AB",F29&lt;&gt;"AB",H29&lt;&gt;"AB",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>F</v>
      </c>
      <c r="L29" s="22">
        <v>23</v>
      </c>
      <c r="M29" s="9" t="str">
        <f t="shared" ref="M29:M92" si="6">IF(IFERROR(FIND("+",L29),0)," ",
IF(L29="AB","",
IF(L29&lt;$L$27,"F",
IF(AND(D29&gt;=$D$27,F29&gt;=$F$27,H29&gt;=$H$27,
J29&gt;=$J$27,L29&gt;=$L$27,
N29&gt;=$N$27,P29&gt;=$P$27,R29&gt;=$R$27,T29&gt;=$T$27,V29&gt;=$V$27,
X29&gt;=$X$27,Z29&gt;=$Z$27,AB29&gt;=$AB$27,AD29&gt;=$AD$27,AF29&gt;=$AF$27,
AH29&gt;=$AH$27,AJ29&gt;=$AJ$27,D29&lt;&gt;"AB",F29&lt;&gt;"AB",H29&lt;&gt;"AB",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>E</v>
      </c>
      <c r="N29" s="22">
        <v>20</v>
      </c>
      <c r="O29" s="9" t="str">
        <f t="shared" ref="O29:O92" si="7">IF(IFERROR(FIND("+",N29),0)," ",
IF(N29="AB","",
IF(N29&lt;$N$27,"F",
IF(AND(D29&gt;=$D$27,F29&gt;=$F$27,H29&gt;=$H$27,
J29&gt;=$J$27,L29&gt;=$L$27,
N29&gt;=$N$27,P29&gt;=$P$27,R29&gt;=$R$27,T29&gt;=$T$27,V29&gt;=$V$27,
X29&gt;=$X$27,Z29&gt;=$Z$27,AB29&gt;=$AB$27,AD29&gt;=$AD$27,AF29&gt;=$AF$27,
AH29&gt;=$AH$27,AJ29&gt;=$AJ$27,D29&lt;&gt;"AB",F29&lt;&gt;"AB",H29&lt;&gt;"AB",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>E</v>
      </c>
      <c r="P29" s="29">
        <v>44</v>
      </c>
      <c r="Q29" s="9" t="str">
        <f t="shared" ref="Q29:Q92" si="8">IF(IFERROR(FIND("+",P29),0)," ",
IF(P29="AB","",
IF(P29&lt;$P$27,"F",
IF(AND(D29&gt;=$D$27,F29&gt;=$F$27,H29&gt;=$H$27,
J29&gt;=$J$27,L29&gt;=$L$27,
N29&gt;=$N$27,P29&gt;=$P$27,R29&gt;=$R$27,T29&gt;=$T$27,V29&gt;=$V$27,
X29&gt;=$X$27,Z29&gt;=$Z$27,AB29&gt;=$AB$27,AD29&gt;=$AD$27,AF29&gt;=$AF$27,
AH29&gt;=$AH$27,AJ29&gt;=$AJ$27,D29&lt;&gt;"AB",F29&lt;&gt;"AB",H29&lt;&gt;"AB",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>E</v>
      </c>
      <c r="R29" s="22">
        <v>23</v>
      </c>
      <c r="S29" s="9" t="str">
        <f t="shared" ref="S29:S92" si="9">IF(IFERROR(FIND("+",R29),0)," ",
IF(R29="AB","",
IF(R29&lt;$R$27,"F",
IF(AND(D29&gt;=$D$27,F29&gt;=$F$27,H29&gt;=$H$27,
J29&gt;=$J$27,L29&gt;=$L$27,
N29&gt;=$N$27,P29&gt;=$P$27,R29&gt;=$R$27,T29&gt;=$T$27,V29&gt;=$V$27,
X29&gt;=$X$27,Z29&gt;=$Z$27,AB29&gt;=$AB$27,AD29&gt;=$AD$27,AF29&gt;=$AF$27,
AH29&gt;=$AH$27,AJ29&gt;=$AJ$27,D29&lt;&gt;"AB",F29&lt;&gt;"AB",H29&lt;&gt;"AB",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>E</v>
      </c>
      <c r="T29" s="22">
        <v>38</v>
      </c>
      <c r="U29" s="9" t="str">
        <f t="shared" ref="U29:U92" si="10">IF(IFERROR(FIND("+",T29),0)," ",
IF(T29="AB","",
IF(T29&lt;$T$27,"F",
IF(AND(D29&gt;=$D$27,F29&gt;=$F$27,H29&gt;=$H$27,
J29&gt;=$J$27,L29&gt;=$L$27,
N29&gt;=$N$27,P29&gt;=$P$27,R29&gt;=$R$27,T29&gt;=$T$27,V29&gt;=$V$27,
X29&gt;=$X$27,Z29&gt;=$Z$27,AB29&gt;=$AB$27,AD29&gt;=$AD$27,AF29&gt;=$AF$27,
AH29&gt;=$AH$27,AJ29&gt;=$AJ$27,D29&lt;&gt;"AB",F29&lt;&gt;"AB",H29&lt;&gt;"AB",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>E</v>
      </c>
      <c r="V29" s="29">
        <v>40</v>
      </c>
      <c r="W29" s="9" t="str">
        <f t="shared" ref="W29:W92" si="11">IF(IFERROR(FIND("+",V29),0)," ",
IF(V29="AB","",
IF(V29&lt;$V$27,"F",
IF(AND(D29&gt;=$D$27,F29&gt;=$F$27,H29&gt;=$H$27,
J29&gt;=$J$27,L29&gt;=$L$27,
N29&gt;=$N$27,P29&gt;=$P$27,R29&gt;=$R$27,T29&gt;=$T$27,V29&gt;=$V$27,
X29&gt;=$X$27,Z29&gt;=$Z$27,AB29&gt;=$AB$27,AD29&gt;=$AD$27,AF29&gt;=$AF$27,
AH29&gt;=$AH$27,AJ29&gt;=$AJ$27,D29&lt;&gt;"AB",F29&lt;&gt;"AB",H29&lt;&gt;"AB",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>E</v>
      </c>
      <c r="X29" s="22">
        <v>23</v>
      </c>
      <c r="Y29" s="9" t="str">
        <f t="shared" ref="Y29:Y92" si="12">IF(IFERROR(FIND("+",X29),0)," ",
IF(X29="AB","",
IF(X29&lt;$X$27,"F",
IF(AND(D29&gt;=$D$27,F29&gt;=$F$27,H29&gt;=$H$27,
J29&gt;=$J$27,L29&gt;=$L$27,
N29&gt;=$N$27,P29&gt;=$P$27,R29&gt;=$R$27,T29&gt;=$T$27,V29&gt;=$V$27,
X29&gt;=$X$27,Z29&gt;=$Z$27,AB29&gt;=$AB$27,AD29&gt;=$AD$27,AF29&gt;=$AF$27,
AH29&gt;=$AH$27,AJ29&gt;=$AJ$27,D29&lt;&gt;"AB",F29&lt;&gt;"AB",H29&lt;&gt;"AB",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>E</v>
      </c>
      <c r="Z29" s="22">
        <v>23</v>
      </c>
      <c r="AA29" s="9" t="str">
        <f t="shared" ref="AA29:AA92" si="13">IF(IFERROR(FIND("+",Z29),0)," ",
IF(Z29="AB","",
IF(Z29&lt;$Z$27,"F",
IF(AND(D29&gt;=$D$27,F29&gt;=$F$27,H29&gt;=$H$27,
J29&gt;=$J$27,L29&gt;=$L$27,
N29&gt;=$N$27,P29&gt;=$P$27,R29&gt;=$R$27,T29&gt;=$T$27,V29&gt;=$V$27,
X29&gt;=$X$27,Z29&gt;=$Z$27,AB29&gt;=$AB$27,AD29&gt;=$AD$27,AF29&gt;=$AF$27,
AH29&gt;=$AH$27,AJ29&gt;=$AJ$27,D29&lt;&gt;"AB",F29&lt;&gt;"AB",H29&lt;&gt;"AB",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>E</v>
      </c>
      <c r="AB29" s="29">
        <v>4</v>
      </c>
      <c r="AC29" s="9" t="str">
        <f t="shared" ref="AC29:AC92" si="14">IF(IFERROR(FIND("+",AB29),0)," ",
IF(AB29="AB","",
IF(AB29&lt;$AB$27,"F",
IF(AND(D29&gt;=$D$27,F29&gt;=$F$27,H29&gt;=$H$27,
J29&gt;=$J$27,L29&gt;=$L$27,
N29&gt;=$N$27,P29&gt;=$P$27,R29&gt;=$R$27,T29&gt;=$T$27,V29&gt;=$V$27,
X29&gt;=$X$27,Z29&gt;=$Z$27,AB29&gt;=$AB$27,AD29&gt;=$AD$27,AF29&gt;=$AF$27,
AH29&gt;=$AH$27,AJ29&gt;=$AJ$27,D29&lt;&gt;"AB",F29&lt;&gt;"AB",H29&lt;&gt;"AB",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>F</v>
      </c>
      <c r="AD29" s="22">
        <v>23</v>
      </c>
      <c r="AE29" s="9" t="str">
        <f t="shared" ref="AE29:AE92" si="15">IF(IFERROR(FIND("+",AD29),0)," ",
IF(AD29="AB","",
IF(AD29&lt;$AD$27,"F",
IF(AND(D29&gt;=$D$27,F29&gt;=$F$27,H29&gt;=$H$27,
J29&gt;=$J$27,L29&gt;=$L$27,
N29&gt;=$N$27,P29&gt;=$P$27,R29&gt;=$R$27,T29&gt;=$T$27,V29&gt;=$V$27,
X29&gt;=$X$27,Z29&gt;=$Z$27,AB29&gt;=$AB$27,AD29&gt;=$AD$27,AF29&gt;=$AF$27,
AH29&gt;=$AH$27,AJ29&gt;=$AJ$27,D29&lt;&gt;"AB",F29&lt;&gt;"AB",H29&lt;&gt;"AB",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>E</v>
      </c>
      <c r="AF29" s="22">
        <v>18</v>
      </c>
      <c r="AG29" s="9" t="str">
        <f t="shared" ref="AG29:AG92" si="16">IF(IFERROR(FIND("+",AF29),0)," ",
IF(AF29="AB","",
IF(AF29&lt;$AF$27,"F",
IF(AND(D29&gt;=$D$27,F29&gt;=$F$27,H29&gt;=$H$27,
J29&gt;=$J$27,L29&gt;=$L$27,
N29&gt;=$N$27,P29&gt;=$P$27,R29&gt;=$R$27,T29&gt;=$T$27,V29&gt;=$V$27,
X29&gt;=$X$27,Z29&gt;=$Z$27,AB29&gt;=$AB$27,AD29&gt;=$AD$27,AF29&gt;=$AF$27,
AH29&gt;=$AH$27,AJ29&gt;=$AJ$27,D29&lt;&gt;"AB",F29&lt;&gt;"AB",H29&lt;&gt;"AB",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>E</v>
      </c>
      <c r="AH29" s="22">
        <v>23</v>
      </c>
      <c r="AI29" s="9" t="str">
        <f t="shared" ref="AI29:AI92" si="17">IF(IFERROR(FIND("+",AH29),0)," ",
IF(AH29="AB","",
IF(AH29&lt;$AH$27,"F",
IF(AND(D29&gt;=$D$27,F29&gt;=$F$27,H29&gt;=$H$27,
J29&gt;=$J$27,L29&gt;=$L$27,
N29&gt;=$N$27,P29&gt;=$P$27,R29&gt;=$R$27,T29&gt;=$T$27,V29&gt;=$V$27,
X29&gt;=$X$27,Z29&gt;=$Z$27,AB29&gt;=$AB$27,AD29&gt;=$AD$27,AF29&gt;=$AF$27,
AH29&gt;=$AH$27,AJ29&gt;=$AJ$27,D29&lt;&gt;"AB",F29&lt;&gt;"AB",H29&lt;&gt;"AB",
J29&lt;&gt;"AB",L29&lt;&gt;"AB",
N29&lt;&gt;"AB",P29&lt;&gt;"AB",R29&lt;&gt;"AB",T29&lt;&gt;"AB",V29&lt;&gt;"AB",
X29&lt;&gt;"AB",Z29&lt;&gt;"AB",AB29&lt;&gt;"AB",AD29&lt;&gt;"AB",AF29&lt;&gt;"AB",
AH29&lt;&gt;"AB",AJ29&lt;&gt;"AB"),"","E"))))</f>
        <v>E</v>
      </c>
      <c r="AJ29" s="22">
        <v>23</v>
      </c>
      <c r="AK29" s="9" t="str">
        <f t="shared" ref="AK29:AK92" si="18">IF(IFERROR(FIND("+",AJ29),0)," ",
IF(AJ29="AB","",
IF(AJ29&lt;$AJ$27,"F",
IF(AND(D29&gt;=$D$27,F29&gt;=$F$27,H29&gt;=$H$27,
J29&gt;=$J$27,L29&gt;=$L$27,
N29&gt;=$N$27,P29&gt;=$P$27,R29&gt;=$R$27,T29&gt;=$T$27,V29&gt;=$V$27,
X29&gt;=$X$27,Z29&gt;=$Z$27,AB29&gt;=$AB$27,AD29&gt;=$AD$27,AF29&gt;=$AF$27,
AH29&gt;=$AH$27,AJ29&gt;=$AJ$27,D29&lt;&gt;"AB",F29&lt;&gt;"AB",H29&lt;&gt;"AB",
J29&lt;&gt;"AB",L29&lt;&gt;"AB",
N29&lt;&gt;"AB",P29&lt;&gt;"AB",R29&lt;&gt;"AB",T29&lt;&gt;"AB",V29&lt;&gt;"AB",
X29&lt;&gt;"AB",Z29&lt;&gt;"AB",AB29&lt;&gt;"AB",AD29&lt;&gt;"AB",AF29&lt;&gt;"AB",
AH29&lt;&gt;"AB",AI29&lt;&gt;"AB"),"","E"))))</f>
        <v>E</v>
      </c>
      <c r="AL29" s="16">
        <f>IF(OR(AND(D29&gt;=31,D29&lt;40),AND(J29&gt;=31,J29&lt;40),AND(P29&gt;=31,P29&lt;40),AND(V29&gt;=31,V29&lt;40),AND(AB29&gt;=31,AB29&lt;40)),IF(AND(OR(COUNTIF(D29:AK29,"=31")&gt;=1,COUNTIF(D29:AK29,"=32")&gt;=1,COUNTIF(D29:AK29,"=33")&gt;=1,COUNTIF(D29:AK29,"=34")&gt;=1,COUNTIF(D29:AK29,"=35")&gt;=1,COUNTIF(D29:AK29,"=36")&gt;=1 ),COUNTIF(D29:AK29,"")=0,COUNTIF(D29:AK29," ")=0,COUNTIF(D29:AK29,"F")=1),CONCATENATE(SUM(EXTRACTNUMBER(D29),EXTRACTNUMBER(F29),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EXTRACTNUMBER(AD29),EXTRACTNUMBER(AF29),EXTRACTNUMBER(AH29),EXTRACTNUMBER(AJ29)),"*"),IF(AND(COUNTIF(D29:AK29,"=34")&gt;=1,COUNTIF(D29:AK29,"=35")&gt;=1,COUNTIF(D29:AK29,"f")=2,COUNTIF(D29:AK29,"")=0,COUNTIF(D29:AK29," ")=0),CONCATENATE(SUM(EXTRACTNUMBER(D29),EXTRACTNUMBER(F29),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EXTRACTNUMBER(AD29),EXTRACTNUMBER(AF29),EXTRACTNUMBER(AH29),EXTRACTNUMBER(AJ29)),"*"),IF(AND(COUNTIF(D29:AK29,"=36")&gt;=2,COUNTIF(D29:AK29,"f")=2,COUNTIF(D29:AK29,"")=0,COUNTIF(D29:AK29," ")=0),CONCATENATE(SUM(EXTRACTNUMBER(D29),EXTRACTNUMBER(F29),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EXTRACTNUMBER(AD29),EXTRACTNUMBER(AF29),EXTRACTNUMBER(AH29),EXTRACTNUMBER(AJ29)),"*"),SUM(EXTRACTNUMBER(D29),EXTRACTNUMBER(F29),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EXTRACTNUMBER(AD29),EXTRACTNUMBER(AF29),EXTRACTNUMBER(AH29),EXTRACTNUMBER(AJ29))))),SUM(EXTRACTNUMBER(D29),EXTRACTNUMBER(F29),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EXTRACTNUMBER(AD29),EXTRACTNUMBER(AF29),EXTRACTNUMBER(AH29),EXTRACTNUMBER(AJ29)))</f>
        <v>393</v>
      </c>
      <c r="AM29" s="72" t="s">
        <v>535</v>
      </c>
      <c r="AN29" s="11">
        <f t="shared" si="0"/>
        <v>393</v>
      </c>
      <c r="AO29" s="11" t="str">
        <f t="shared" ref="AO29:AO92" si="19">IF(AND(COUNTIF(D29:AK29,"AB")&lt;17-COUNTIF(D29:AK29," "),
COUNTIF(D29:AK29,"AB")&lt;&gt;0),"FAIL",
IF(COUNTIF(D29:AK29,"AB")=17-COUNTIF(D29:AK29," "),"ABSENT",
IF(AND(COUNTIF(D29:AK29,"AB")=0,COUNTIF(D29:AK29,"F")=0),"PASS","FAIL")))</f>
        <v>FAIL</v>
      </c>
      <c r="AP29" s="11" t="str">
        <f t="shared" si="1"/>
        <v>--</v>
      </c>
      <c r="AQ29" s="1" t="str">
        <f t="shared" ref="AQ29:AQ92" si="20">spellnumber(AN29)</f>
        <v xml:space="preserve">Three Hundred NinetyThree </v>
      </c>
    </row>
    <row r="30" spans="2:43" ht="15.95" customHeight="1">
      <c r="B30" s="67">
        <v>136203</v>
      </c>
      <c r="C30" s="21" t="s">
        <v>26</v>
      </c>
      <c r="D30" s="24">
        <v>48</v>
      </c>
      <c r="E30" s="9" t="str">
        <f t="shared" si="2"/>
        <v/>
      </c>
      <c r="F30" s="22">
        <v>19</v>
      </c>
      <c r="G30" s="9" t="str">
        <f t="shared" si="3"/>
        <v/>
      </c>
      <c r="H30" s="22">
        <v>44</v>
      </c>
      <c r="I30" s="9" t="str">
        <f t="shared" si="4"/>
        <v/>
      </c>
      <c r="J30" s="29">
        <v>40</v>
      </c>
      <c r="K30" s="9" t="str">
        <f t="shared" si="5"/>
        <v/>
      </c>
      <c r="L30" s="22">
        <v>21</v>
      </c>
      <c r="M30" s="9" t="str">
        <f t="shared" si="6"/>
        <v/>
      </c>
      <c r="N30" s="22">
        <v>22</v>
      </c>
      <c r="O30" s="9" t="str">
        <f t="shared" si="7"/>
        <v/>
      </c>
      <c r="P30" s="29">
        <v>48</v>
      </c>
      <c r="Q30" s="9" t="str">
        <f t="shared" si="8"/>
        <v/>
      </c>
      <c r="R30" s="22">
        <v>19</v>
      </c>
      <c r="S30" s="9" t="str">
        <f t="shared" si="9"/>
        <v/>
      </c>
      <c r="T30" s="22">
        <v>44</v>
      </c>
      <c r="U30" s="9" t="str">
        <f t="shared" si="10"/>
        <v/>
      </c>
      <c r="V30" s="29">
        <v>49</v>
      </c>
      <c r="W30" s="9" t="str">
        <f t="shared" si="11"/>
        <v/>
      </c>
      <c r="X30" s="22">
        <v>20</v>
      </c>
      <c r="Y30" s="9" t="str">
        <f t="shared" si="12"/>
        <v/>
      </c>
      <c r="Z30" s="22">
        <v>21</v>
      </c>
      <c r="AA30" s="9" t="str">
        <f t="shared" si="13"/>
        <v/>
      </c>
      <c r="AB30" s="29">
        <v>53</v>
      </c>
      <c r="AC30" s="9" t="str">
        <f t="shared" si="14"/>
        <v/>
      </c>
      <c r="AD30" s="22">
        <v>19</v>
      </c>
      <c r="AE30" s="9" t="str">
        <f t="shared" si="15"/>
        <v/>
      </c>
      <c r="AF30" s="22">
        <v>20</v>
      </c>
      <c r="AG30" s="9" t="str">
        <f t="shared" si="16"/>
        <v/>
      </c>
      <c r="AH30" s="22">
        <v>20</v>
      </c>
      <c r="AI30" s="9" t="str">
        <f t="shared" si="17"/>
        <v/>
      </c>
      <c r="AJ30" s="22">
        <v>22</v>
      </c>
      <c r="AK30" s="9" t="str">
        <f t="shared" si="18"/>
        <v/>
      </c>
      <c r="AL30" s="16">
        <f>IF(OR(AND(D30&gt;=31,D30&lt;40),AND(J30&gt;=31,J30&lt;40),AND(P30&gt;=31,P30&lt;40),AND(V30&gt;=31,V30&lt;40),AND(AB30&gt;=31,AB30&lt;40)),IF(AND(OR(COUNTIF(D30:AK30,"=31")&gt;=1,COUNTIF(D30:AK30,"=32")&gt;=1,COUNTIF(D30:AK30,"=33")&gt;=1,COUNTIF(D30:AK30,"=34")&gt;=1,COUNTIF(D30:AK30,"=35")&gt;=1,COUNTIF(D30:AK30,"=36")&gt;=1 ),COUNTIF(D30:AK30,"")=0,COUNTIF(D30:AK30," ")=0,COUNTIF(D30:AK30,"F")=1),CONCATENATE(SUM(EXTRACTNUMBER(D30),EXTRACTNUMBER(F30),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EXTRACTNUMBER(AD30),EXTRACTNUMBER(AF30),EXTRACTNUMBER(AH30),EXTRACTNUMBER(AJ30)),"*"),IF(AND(COUNTIF(D30:AK30,"=34")&gt;=1,COUNTIF(D30:AK30,"=35")&gt;=1,COUNTIF(D30:AK30,"f")=2,COUNTIF(D30:AK30,"")=0,COUNTIF(D30:AK30," ")=0),CONCATENATE(SUM(EXTRACTNUMBER(D30),EXTRACTNUMBER(F30),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EXTRACTNUMBER(AD30),EXTRACTNUMBER(AF30),EXTRACTNUMBER(AH30),EXTRACTNUMBER(AJ30)),"*"),IF(AND(COUNTIF(D30:AK30,"=36")&gt;=2,COUNTIF(D30:AK30,"f")=2,COUNTIF(D30:AK30,"")=0,COUNTIF(D30:AK30," ")=0),CONCATENATE(SUM(EXTRACTNUMBER(D30),EXTRACTNUMBER(F30),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EXTRACTNUMBER(AD30),EXTRACTNUMBER(AF30),EXTRACTNUMBER(AH30),EXTRACTNUMBER(AJ30)),"*"),SUM(EXTRACTNUMBER(D30),EXTRACTNUMBER(F30),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EXTRACTNUMBER(AD30),EXTRACTNUMBER(AF30),EXTRACTNUMBER(AH30),EXTRACTNUMBER(AJ30))))),SUM(EXTRACTNUMBER(D30),EXTRACTNUMBER(F30),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EXTRACTNUMBER(AD30),EXTRACTNUMBER(AF30),EXTRACTNUMBER(AH30),EXTRACTNUMBER(AJ30)))</f>
        <v>529</v>
      </c>
      <c r="AM30" s="72" t="s">
        <v>224</v>
      </c>
      <c r="AN30" s="11">
        <f t="shared" si="0"/>
        <v>1027</v>
      </c>
      <c r="AO30" s="11" t="str">
        <f t="shared" si="19"/>
        <v>PASS</v>
      </c>
      <c r="AP30" s="11" t="str">
        <f t="shared" si="1"/>
        <v>I</v>
      </c>
      <c r="AQ30" s="1" t="str">
        <f t="shared" si="20"/>
        <v xml:space="preserve">One Thousand Twenty Seven </v>
      </c>
    </row>
    <row r="31" spans="2:43" ht="15.95" customHeight="1">
      <c r="B31" s="67">
        <v>136204</v>
      </c>
      <c r="C31" s="21" t="s">
        <v>27</v>
      </c>
      <c r="D31" s="24">
        <v>40</v>
      </c>
      <c r="E31" s="9" t="str">
        <f t="shared" si="2"/>
        <v/>
      </c>
      <c r="F31" s="22">
        <v>23</v>
      </c>
      <c r="G31" s="9" t="str">
        <f t="shared" si="3"/>
        <v/>
      </c>
      <c r="H31" s="22">
        <v>44</v>
      </c>
      <c r="I31" s="9" t="str">
        <f t="shared" si="4"/>
        <v/>
      </c>
      <c r="J31" s="29">
        <v>40</v>
      </c>
      <c r="K31" s="9" t="str">
        <f t="shared" si="5"/>
        <v/>
      </c>
      <c r="L31" s="22">
        <v>22</v>
      </c>
      <c r="M31" s="9" t="str">
        <f t="shared" si="6"/>
        <v/>
      </c>
      <c r="N31" s="22">
        <v>22</v>
      </c>
      <c r="O31" s="9" t="str">
        <f t="shared" si="7"/>
        <v/>
      </c>
      <c r="P31" s="29">
        <v>66</v>
      </c>
      <c r="Q31" s="9" t="str">
        <f t="shared" si="8"/>
        <v/>
      </c>
      <c r="R31" s="22">
        <v>22</v>
      </c>
      <c r="S31" s="9" t="str">
        <f t="shared" si="9"/>
        <v/>
      </c>
      <c r="T31" s="22">
        <v>44</v>
      </c>
      <c r="U31" s="9" t="str">
        <f t="shared" si="10"/>
        <v/>
      </c>
      <c r="V31" s="29">
        <v>46</v>
      </c>
      <c r="W31" s="9" t="str">
        <f t="shared" si="11"/>
        <v/>
      </c>
      <c r="X31" s="22">
        <v>22</v>
      </c>
      <c r="Y31" s="9" t="str">
        <f t="shared" si="12"/>
        <v/>
      </c>
      <c r="Z31" s="22">
        <v>22</v>
      </c>
      <c r="AA31" s="9" t="str">
        <f t="shared" si="13"/>
        <v/>
      </c>
      <c r="AB31" s="29">
        <v>58</v>
      </c>
      <c r="AC31" s="9" t="str">
        <f t="shared" si="14"/>
        <v/>
      </c>
      <c r="AD31" s="22">
        <v>22</v>
      </c>
      <c r="AE31" s="9" t="str">
        <f t="shared" si="15"/>
        <v/>
      </c>
      <c r="AF31" s="22">
        <v>21</v>
      </c>
      <c r="AG31" s="9" t="str">
        <f t="shared" si="16"/>
        <v/>
      </c>
      <c r="AH31" s="22">
        <v>21</v>
      </c>
      <c r="AI31" s="9" t="str">
        <f t="shared" si="17"/>
        <v/>
      </c>
      <c r="AJ31" s="22">
        <v>22</v>
      </c>
      <c r="AK31" s="9" t="str">
        <f t="shared" si="18"/>
        <v/>
      </c>
      <c r="AL31" s="16">
        <f>IF(OR(AND(D31&gt;=31,D31&lt;40),AND(J31&gt;=31,J31&lt;40),AND(P31&gt;=31,P31&lt;40),AND(V31&gt;=31,V31&lt;40),AND(AB31&gt;=31,AB31&lt;40)),IF(AND(OR(COUNTIF(D31:AK31,"=31")&gt;=1,COUNTIF(D31:AK31,"=32")&gt;=1,COUNTIF(D31:AK31,"=33")&gt;=1,COUNTIF(D31:AK31,"=34")&gt;=1,COUNTIF(D31:AK31,"=35")&gt;=1,COUNTIF(D31:AK31,"=36")&gt;=1 ),COUNTIF(D31:AK31,"")=0,COUNTIF(D31:AK31," ")=0,COUNTIF(D31:AK31,"F")=1),CONCATENATE(SUM(EXTRACTNUMBER(D31),EXTRACTNUMBER(F31),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EXTRACTNUMBER(AD31),EXTRACTNUMBER(AF31),EXTRACTNUMBER(AH31),EXTRACTNUMBER(AJ31)),"*"),IF(AND(COUNTIF(D31:AK31,"=34")&gt;=1,COUNTIF(D31:AK31,"=35")&gt;=1,COUNTIF(D31:AK31,"f")=2,COUNTIF(D31:AK31,"")=0,COUNTIF(D31:AK31," ")=0),CONCATENATE(SUM(EXTRACTNUMBER(D31),EXTRACTNUMBER(F31),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EXTRACTNUMBER(AD31),EXTRACTNUMBER(AF31),EXTRACTNUMBER(AH31),EXTRACTNUMBER(AJ31)),"*"),IF(AND(COUNTIF(D31:AK31,"=36")&gt;=2,COUNTIF(D31:AK31,"f")=2,COUNTIF(D31:AK31,"")=0,COUNTIF(D31:AK31," ")=0),CONCATENATE(SUM(EXTRACTNUMBER(D31),EXTRACTNUMBER(F31),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EXTRACTNUMBER(AD31),EXTRACTNUMBER(AF31),EXTRACTNUMBER(AH31),EXTRACTNUMBER(AJ31)),"*"),SUM(EXTRACTNUMBER(D31),EXTRACTNUMBER(F31),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EXTRACTNUMBER(AD31),EXTRACTNUMBER(AF31),EXTRACTNUMBER(AH31),EXTRACTNUMBER(AJ31))))),SUM(EXTRACTNUMBER(D31),EXTRACTNUMBER(F31),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EXTRACTNUMBER(AD31),EXTRACTNUMBER(AF31),EXTRACTNUMBER(AH31),EXTRACTNUMBER(AJ31)))</f>
        <v>557</v>
      </c>
      <c r="AM31" s="72" t="s">
        <v>225</v>
      </c>
      <c r="AN31" s="11">
        <f t="shared" si="0"/>
        <v>1047</v>
      </c>
      <c r="AO31" s="11" t="str">
        <f t="shared" si="19"/>
        <v>PASS</v>
      </c>
      <c r="AP31" s="11" t="str">
        <f t="shared" si="1"/>
        <v>I</v>
      </c>
      <c r="AQ31" s="1" t="str">
        <f t="shared" si="20"/>
        <v xml:space="preserve">One Thousand Forty Seven </v>
      </c>
    </row>
    <row r="32" spans="2:43" ht="15.95" customHeight="1">
      <c r="B32" s="67">
        <v>136205</v>
      </c>
      <c r="C32" s="21" t="s">
        <v>28</v>
      </c>
      <c r="D32" s="24">
        <v>72</v>
      </c>
      <c r="E32" s="9" t="str">
        <f t="shared" si="2"/>
        <v/>
      </c>
      <c r="F32" s="22">
        <v>23</v>
      </c>
      <c r="G32" s="9" t="str">
        <f t="shared" si="3"/>
        <v/>
      </c>
      <c r="H32" s="22">
        <v>46</v>
      </c>
      <c r="I32" s="9" t="str">
        <f t="shared" si="4"/>
        <v/>
      </c>
      <c r="J32" s="29">
        <v>82</v>
      </c>
      <c r="K32" s="9" t="str">
        <f t="shared" si="5"/>
        <v/>
      </c>
      <c r="L32" s="22">
        <v>23</v>
      </c>
      <c r="M32" s="9" t="str">
        <f t="shared" si="6"/>
        <v/>
      </c>
      <c r="N32" s="22">
        <v>22</v>
      </c>
      <c r="O32" s="9" t="str">
        <f t="shared" si="7"/>
        <v/>
      </c>
      <c r="P32" s="29">
        <v>74</v>
      </c>
      <c r="Q32" s="9" t="str">
        <f t="shared" si="8"/>
        <v/>
      </c>
      <c r="R32" s="22">
        <v>23</v>
      </c>
      <c r="S32" s="9" t="str">
        <f t="shared" si="9"/>
        <v/>
      </c>
      <c r="T32" s="22">
        <v>46</v>
      </c>
      <c r="U32" s="9" t="str">
        <f t="shared" si="10"/>
        <v/>
      </c>
      <c r="V32" s="29">
        <v>82</v>
      </c>
      <c r="W32" s="9" t="str">
        <f t="shared" si="11"/>
        <v/>
      </c>
      <c r="X32" s="22">
        <v>23</v>
      </c>
      <c r="Y32" s="9" t="str">
        <f t="shared" si="12"/>
        <v/>
      </c>
      <c r="Z32" s="22">
        <v>23</v>
      </c>
      <c r="AA32" s="9" t="str">
        <f t="shared" si="13"/>
        <v/>
      </c>
      <c r="AB32" s="29">
        <v>78</v>
      </c>
      <c r="AC32" s="9" t="str">
        <f t="shared" si="14"/>
        <v/>
      </c>
      <c r="AD32" s="22">
        <v>23</v>
      </c>
      <c r="AE32" s="9" t="str">
        <f t="shared" si="15"/>
        <v/>
      </c>
      <c r="AF32" s="22">
        <v>23</v>
      </c>
      <c r="AG32" s="9" t="str">
        <f t="shared" si="16"/>
        <v/>
      </c>
      <c r="AH32" s="22">
        <v>23</v>
      </c>
      <c r="AI32" s="9" t="str">
        <f t="shared" si="17"/>
        <v/>
      </c>
      <c r="AJ32" s="22">
        <v>23</v>
      </c>
      <c r="AK32" s="9" t="str">
        <f t="shared" si="18"/>
        <v/>
      </c>
      <c r="AL32" s="16">
        <f>IF(OR(AND(D32&gt;=31,D32&lt;40),AND(J32&gt;=31,J32&lt;40),AND(P32&gt;=31,P32&lt;40),AND(V32&gt;=31,V32&lt;40),AND(AB32&gt;=31,AB32&lt;40)),IF(AND(OR(COUNTIF(D32:AK32,"=31")&gt;=1,COUNTIF(D32:AK32,"=32")&gt;=1,COUNTIF(D32:AK32,"=33")&gt;=1,COUNTIF(D32:AK32,"=34")&gt;=1,COUNTIF(D32:AK32,"=35")&gt;=1,COUNTIF(D32:AK32,"=36")&gt;=1 ),COUNTIF(D32:AK32,"")=0,COUNTIF(D32:AK32," ")=0,COUNTIF(D32:AK32,"F")=1),CONCATENATE(SUM(EXTRACTNUMBER(D32),EXTRACTNUMBER(F32),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EXTRACTNUMBER(AD32),EXTRACTNUMBER(AF32),EXTRACTNUMBER(AH32),EXTRACTNUMBER(AJ32)),"*"),IF(AND(COUNTIF(D32:AK32,"=34")&gt;=1,COUNTIF(D32:AK32,"=35")&gt;=1,COUNTIF(D32:AK32,"f")=2,COUNTIF(D32:AK32,"")=0,COUNTIF(D32:AK32," ")=0),CONCATENATE(SUM(EXTRACTNUMBER(D32),EXTRACTNUMBER(F32),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EXTRACTNUMBER(AD32),EXTRACTNUMBER(AF32),EXTRACTNUMBER(AH32),EXTRACTNUMBER(AJ32)),"*"),IF(AND(COUNTIF(D32:AK32,"=36")&gt;=2,COUNTIF(D32:AK32,"f")=2,COUNTIF(D32:AK32,"")=0,COUNTIF(D32:AK32," ")=0),CONCATENATE(SUM(EXTRACTNUMBER(D32),EXTRACTNUMBER(F32),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EXTRACTNUMBER(AD32),EXTRACTNUMBER(AF32),EXTRACTNUMBER(AH32),EXTRACTNUMBER(AJ32)),"*"),SUM(EXTRACTNUMBER(D32),EXTRACTNUMBER(F32),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EXTRACTNUMBER(AD32),EXTRACTNUMBER(AF32),EXTRACTNUMBER(AH32),EXTRACTNUMBER(AJ32))))),SUM(EXTRACTNUMBER(D32),EXTRACTNUMBER(F32),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EXTRACTNUMBER(AD32),EXTRACTNUMBER(AF32),EXTRACTNUMBER(AH32),EXTRACTNUMBER(AJ32)))</f>
        <v>709</v>
      </c>
      <c r="AM32" s="72" t="s">
        <v>238</v>
      </c>
      <c r="AN32" s="11">
        <f t="shared" si="0"/>
        <v>1368</v>
      </c>
      <c r="AO32" s="11" t="str">
        <f t="shared" si="19"/>
        <v>PASS</v>
      </c>
      <c r="AP32" s="11" t="str">
        <f t="shared" si="1"/>
        <v>I</v>
      </c>
      <c r="AQ32" s="1" t="str">
        <f t="shared" si="20"/>
        <v xml:space="preserve">One Thousand Three Hundred Sixty Eight </v>
      </c>
    </row>
    <row r="33" spans="2:43" ht="15.95" customHeight="1">
      <c r="B33" s="67">
        <v>136206</v>
      </c>
      <c r="C33" s="21" t="s">
        <v>29</v>
      </c>
      <c r="D33" s="24">
        <v>52</v>
      </c>
      <c r="E33" s="9" t="str">
        <f t="shared" si="2"/>
        <v/>
      </c>
      <c r="F33" s="22">
        <v>20</v>
      </c>
      <c r="G33" s="9" t="str">
        <f t="shared" si="3"/>
        <v/>
      </c>
      <c r="H33" s="22">
        <v>42</v>
      </c>
      <c r="I33" s="9" t="str">
        <f t="shared" si="4"/>
        <v/>
      </c>
      <c r="J33" s="29">
        <v>60</v>
      </c>
      <c r="K33" s="9" t="str">
        <f t="shared" si="5"/>
        <v/>
      </c>
      <c r="L33" s="22">
        <v>22</v>
      </c>
      <c r="M33" s="9" t="str">
        <f t="shared" si="6"/>
        <v/>
      </c>
      <c r="N33" s="22">
        <v>21</v>
      </c>
      <c r="O33" s="9" t="str">
        <f t="shared" si="7"/>
        <v/>
      </c>
      <c r="P33" s="29">
        <v>70</v>
      </c>
      <c r="Q33" s="9" t="str">
        <f t="shared" si="8"/>
        <v/>
      </c>
      <c r="R33" s="22">
        <v>23</v>
      </c>
      <c r="S33" s="9" t="str">
        <f t="shared" si="9"/>
        <v/>
      </c>
      <c r="T33" s="22">
        <v>42</v>
      </c>
      <c r="U33" s="9" t="str">
        <f t="shared" si="10"/>
        <v/>
      </c>
      <c r="V33" s="29">
        <v>71</v>
      </c>
      <c r="W33" s="9" t="str">
        <f t="shared" si="11"/>
        <v/>
      </c>
      <c r="X33" s="22">
        <v>23</v>
      </c>
      <c r="Y33" s="9" t="str">
        <f t="shared" si="12"/>
        <v/>
      </c>
      <c r="Z33" s="22">
        <v>22</v>
      </c>
      <c r="AA33" s="9" t="str">
        <f t="shared" si="13"/>
        <v/>
      </c>
      <c r="AB33" s="29">
        <v>76</v>
      </c>
      <c r="AC33" s="9" t="str">
        <f t="shared" si="14"/>
        <v/>
      </c>
      <c r="AD33" s="22">
        <v>23</v>
      </c>
      <c r="AE33" s="9" t="str">
        <f t="shared" si="15"/>
        <v/>
      </c>
      <c r="AF33" s="22">
        <v>23</v>
      </c>
      <c r="AG33" s="9" t="str">
        <f t="shared" si="16"/>
        <v/>
      </c>
      <c r="AH33" s="22">
        <v>23</v>
      </c>
      <c r="AI33" s="9" t="str">
        <f t="shared" si="17"/>
        <v/>
      </c>
      <c r="AJ33" s="22">
        <v>22</v>
      </c>
      <c r="AK33" s="9" t="str">
        <f t="shared" si="18"/>
        <v/>
      </c>
      <c r="AL33" s="16">
        <f>IF(OR(AND(D33&gt;=31,D33&lt;40),AND(J33&gt;=31,J33&lt;40),AND(P33&gt;=31,P33&lt;40),AND(V33&gt;=31,V33&lt;40),AND(AB33&gt;=31,AB33&lt;40)),IF(AND(OR(COUNTIF(D33:AK33,"=31")&gt;=1,COUNTIF(D33:AK33,"=32")&gt;=1,COUNTIF(D33:AK33,"=33")&gt;=1,COUNTIF(D33:AK33,"=34")&gt;=1,COUNTIF(D33:AK33,"=35")&gt;=1,COUNTIF(D33:AK33,"=36")&gt;=1 ),COUNTIF(D33:AK33,"")=0,COUNTIF(D33:AK33," ")=0,COUNTIF(D33:AK33,"F")=1),CONCATENATE(SUM(EXTRACTNUMBER(D33),EXTRACTNUMBER(F33),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EXTRACTNUMBER(AD33),EXTRACTNUMBER(AF33),EXTRACTNUMBER(AH33),EXTRACTNUMBER(AJ33)),"*"),IF(AND(COUNTIF(D33:AK33,"=34")&gt;=1,COUNTIF(D33:AK33,"=35")&gt;=1,COUNTIF(D33:AK33,"f")=2,COUNTIF(D33:AK33,"")=0,COUNTIF(D33:AK33," ")=0),CONCATENATE(SUM(EXTRACTNUMBER(D33),EXTRACTNUMBER(F33),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EXTRACTNUMBER(AD33),EXTRACTNUMBER(AF33),EXTRACTNUMBER(AH33),EXTRACTNUMBER(AJ33)),"*"),IF(AND(COUNTIF(D33:AK33,"=36")&gt;=2,COUNTIF(D33:AK33,"f")=2,COUNTIF(D33:AK33,"")=0,COUNTIF(D33:AK33," ")=0),CONCATENATE(SUM(EXTRACTNUMBER(D33),EXTRACTNUMBER(F33),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EXTRACTNUMBER(AD33),EXTRACTNUMBER(AF33),EXTRACTNUMBER(AH33),EXTRACTNUMBER(AJ33)),"*"),SUM(EXTRACTNUMBER(D33),EXTRACTNUMBER(F33),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EXTRACTNUMBER(AD33),EXTRACTNUMBER(AF33),EXTRACTNUMBER(AH33),EXTRACTNUMBER(AJ33))))),SUM(EXTRACTNUMBER(D33),EXTRACTNUMBER(F33),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EXTRACTNUMBER(AD33),EXTRACTNUMBER(AF33),EXTRACTNUMBER(AH33),EXTRACTNUMBER(AJ33)))</f>
        <v>635</v>
      </c>
      <c r="AM33" s="72" t="s">
        <v>226</v>
      </c>
      <c r="AN33" s="11">
        <f t="shared" si="0"/>
        <v>1214</v>
      </c>
      <c r="AO33" s="11" t="str">
        <f t="shared" si="19"/>
        <v>PASS</v>
      </c>
      <c r="AP33" s="11" t="str">
        <f t="shared" si="1"/>
        <v>I</v>
      </c>
      <c r="AQ33" s="1" t="str">
        <f t="shared" si="20"/>
        <v xml:space="preserve">One Thousand Two Hundred Fourteen </v>
      </c>
    </row>
    <row r="34" spans="2:43" ht="15.95" customHeight="1">
      <c r="B34" s="67">
        <v>136207</v>
      </c>
      <c r="C34" s="21" t="s">
        <v>30</v>
      </c>
      <c r="D34" s="24">
        <v>69</v>
      </c>
      <c r="E34" s="9" t="str">
        <f t="shared" si="2"/>
        <v/>
      </c>
      <c r="F34" s="22">
        <v>23</v>
      </c>
      <c r="G34" s="9" t="str">
        <f t="shared" si="3"/>
        <v/>
      </c>
      <c r="H34" s="22">
        <v>46</v>
      </c>
      <c r="I34" s="9" t="str">
        <f t="shared" si="4"/>
        <v/>
      </c>
      <c r="J34" s="29">
        <v>48</v>
      </c>
      <c r="K34" s="9" t="str">
        <f t="shared" si="5"/>
        <v/>
      </c>
      <c r="L34" s="22">
        <v>23</v>
      </c>
      <c r="M34" s="9" t="str">
        <f t="shared" si="6"/>
        <v/>
      </c>
      <c r="N34" s="22">
        <v>22</v>
      </c>
      <c r="O34" s="9" t="str">
        <f t="shared" si="7"/>
        <v/>
      </c>
      <c r="P34" s="29">
        <v>67</v>
      </c>
      <c r="Q34" s="9" t="str">
        <f t="shared" si="8"/>
        <v/>
      </c>
      <c r="R34" s="22">
        <v>23</v>
      </c>
      <c r="S34" s="9" t="str">
        <f t="shared" si="9"/>
        <v/>
      </c>
      <c r="T34" s="22">
        <v>46</v>
      </c>
      <c r="U34" s="9" t="str">
        <f t="shared" si="10"/>
        <v/>
      </c>
      <c r="V34" s="29">
        <v>67</v>
      </c>
      <c r="W34" s="9" t="str">
        <f t="shared" si="11"/>
        <v/>
      </c>
      <c r="X34" s="22">
        <v>23</v>
      </c>
      <c r="Y34" s="9" t="str">
        <f t="shared" si="12"/>
        <v/>
      </c>
      <c r="Z34" s="22">
        <v>21</v>
      </c>
      <c r="AA34" s="9" t="str">
        <f t="shared" si="13"/>
        <v/>
      </c>
      <c r="AB34" s="29">
        <v>68</v>
      </c>
      <c r="AC34" s="9" t="str">
        <f t="shared" si="14"/>
        <v/>
      </c>
      <c r="AD34" s="22">
        <v>23</v>
      </c>
      <c r="AE34" s="9" t="str">
        <f t="shared" si="15"/>
        <v/>
      </c>
      <c r="AF34" s="22">
        <v>22</v>
      </c>
      <c r="AG34" s="9" t="str">
        <f t="shared" si="16"/>
        <v/>
      </c>
      <c r="AH34" s="22">
        <v>23</v>
      </c>
      <c r="AI34" s="9" t="str">
        <f t="shared" si="17"/>
        <v/>
      </c>
      <c r="AJ34" s="22">
        <v>23</v>
      </c>
      <c r="AK34" s="9" t="str">
        <f t="shared" si="18"/>
        <v/>
      </c>
      <c r="AL34" s="16">
        <f>IF(OR(AND(D34&gt;=31,D34&lt;40),AND(J34&gt;=31,J34&lt;40),AND(P34&gt;=31,P34&lt;40),AND(V34&gt;=31,V34&lt;40),AND(AB34&gt;=31,AB34&lt;40)),IF(AND(OR(COUNTIF(D34:AK34,"=31")&gt;=1,COUNTIF(D34:AK34,"=32")&gt;=1,COUNTIF(D34:AK34,"=33")&gt;=1,COUNTIF(D34:AK34,"=34")&gt;=1,COUNTIF(D34:AK34,"=35")&gt;=1,COUNTIF(D34:AK34,"=36")&gt;=1 ),COUNTIF(D34:AK34,"")=0,COUNTIF(D34:AK34," ")=0,COUNTIF(D34:AK34,"F")=1),CONCATENATE(SUM(EXTRACTNUMBER(D34),EXTRACTNUMBER(F34),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EXTRACTNUMBER(AD34),EXTRACTNUMBER(AF34),EXTRACTNUMBER(AH34),EXTRACTNUMBER(AJ34)),"*"),IF(AND(COUNTIF(D34:AK34,"=34")&gt;=1,COUNTIF(D34:AK34,"=35")&gt;=1,COUNTIF(D34:AK34,"f")=2,COUNTIF(D34:AK34,"")=0,COUNTIF(D34:AK34," ")=0),CONCATENATE(SUM(EXTRACTNUMBER(D34),EXTRACTNUMBER(F34),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EXTRACTNUMBER(AD34),EXTRACTNUMBER(AF34),EXTRACTNUMBER(AH34),EXTRACTNUMBER(AJ34)),"*"),IF(AND(COUNTIF(D34:AK34,"=36")&gt;=2,COUNTIF(D34:AK34,"f")=2,COUNTIF(D34:AK34,"")=0,COUNTIF(D34:AK34," ")=0),CONCATENATE(SUM(EXTRACTNUMBER(D34),EXTRACTNUMBER(F34),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EXTRACTNUMBER(AD34),EXTRACTNUMBER(AF34),EXTRACTNUMBER(AH34),EXTRACTNUMBER(AJ34)),"*"),SUM(EXTRACTNUMBER(D34),EXTRACTNUMBER(F34),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EXTRACTNUMBER(AD34),EXTRACTNUMBER(AF34),EXTRACTNUMBER(AH34),EXTRACTNUMBER(AJ34))))),SUM(EXTRACTNUMBER(D34),EXTRACTNUMBER(F34),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EXTRACTNUMBER(AD34),EXTRACTNUMBER(AF34),EXTRACTNUMBER(AH34),EXTRACTNUMBER(AJ34)))</f>
        <v>637</v>
      </c>
      <c r="AM34" s="72" t="s">
        <v>227</v>
      </c>
      <c r="AN34" s="11">
        <f t="shared" si="0"/>
        <v>1240</v>
      </c>
      <c r="AO34" s="11" t="str">
        <f t="shared" si="19"/>
        <v>PASS</v>
      </c>
      <c r="AP34" s="11" t="str">
        <f t="shared" si="1"/>
        <v>I</v>
      </c>
      <c r="AQ34" s="1" t="str">
        <f t="shared" si="20"/>
        <v xml:space="preserve">One Thousand Two Hundred Forty  </v>
      </c>
    </row>
    <row r="35" spans="2:43" ht="15.95" customHeight="1">
      <c r="B35" s="67">
        <v>136208</v>
      </c>
      <c r="C35" s="21" t="s">
        <v>31</v>
      </c>
      <c r="D35" s="24">
        <v>40</v>
      </c>
      <c r="E35" s="9" t="str">
        <f t="shared" si="2"/>
        <v/>
      </c>
      <c r="F35" s="22">
        <v>19</v>
      </c>
      <c r="G35" s="9" t="str">
        <f t="shared" si="3"/>
        <v/>
      </c>
      <c r="H35" s="22">
        <v>44</v>
      </c>
      <c r="I35" s="9" t="str">
        <f t="shared" si="4"/>
        <v/>
      </c>
      <c r="J35" s="29">
        <v>40</v>
      </c>
      <c r="K35" s="9" t="str">
        <f t="shared" si="5"/>
        <v/>
      </c>
      <c r="L35" s="22">
        <v>19</v>
      </c>
      <c r="M35" s="9" t="str">
        <f t="shared" si="6"/>
        <v/>
      </c>
      <c r="N35" s="22">
        <v>22</v>
      </c>
      <c r="O35" s="9" t="str">
        <f t="shared" si="7"/>
        <v/>
      </c>
      <c r="P35" s="29">
        <v>66</v>
      </c>
      <c r="Q35" s="9" t="str">
        <f t="shared" si="8"/>
        <v/>
      </c>
      <c r="R35" s="22">
        <v>19</v>
      </c>
      <c r="S35" s="9" t="str">
        <f t="shared" si="9"/>
        <v/>
      </c>
      <c r="T35" s="22">
        <v>42</v>
      </c>
      <c r="U35" s="9" t="str">
        <f t="shared" si="10"/>
        <v/>
      </c>
      <c r="V35" s="29">
        <v>51</v>
      </c>
      <c r="W35" s="9" t="str">
        <f t="shared" si="11"/>
        <v/>
      </c>
      <c r="X35" s="22">
        <v>20</v>
      </c>
      <c r="Y35" s="9" t="str">
        <f t="shared" si="12"/>
        <v/>
      </c>
      <c r="Z35" s="22">
        <v>21</v>
      </c>
      <c r="AA35" s="9" t="str">
        <f t="shared" si="13"/>
        <v/>
      </c>
      <c r="AB35" s="29">
        <v>47</v>
      </c>
      <c r="AC35" s="9" t="str">
        <f t="shared" si="14"/>
        <v/>
      </c>
      <c r="AD35" s="22">
        <v>19</v>
      </c>
      <c r="AE35" s="9" t="str">
        <f t="shared" si="15"/>
        <v/>
      </c>
      <c r="AF35" s="22">
        <v>20</v>
      </c>
      <c r="AG35" s="9" t="str">
        <f t="shared" si="16"/>
        <v/>
      </c>
      <c r="AH35" s="22">
        <v>20</v>
      </c>
      <c r="AI35" s="9" t="str">
        <f t="shared" si="17"/>
        <v/>
      </c>
      <c r="AJ35" s="22">
        <v>21</v>
      </c>
      <c r="AK35" s="9" t="str">
        <f t="shared" si="18"/>
        <v/>
      </c>
      <c r="AL35" s="16">
        <f>IF(OR(AND(D35&gt;=31,D35&lt;40),AND(J35&gt;=31,J35&lt;40),AND(P35&gt;=31,P35&lt;40),AND(V35&gt;=31,V35&lt;40),AND(AB35&gt;=31,AB35&lt;40)),IF(AND(OR(COUNTIF(D35:AK35,"=31")&gt;=1,COUNTIF(D35:AK35,"=32")&gt;=1,COUNTIF(D35:AK35,"=33")&gt;=1,COUNTIF(D35:AK35,"=34")&gt;=1,COUNTIF(D35:AK35,"=35")&gt;=1,COUNTIF(D35:AK35,"=36")&gt;=1 ),COUNTIF(D35:AK35,"")=0,COUNTIF(D35:AK35," ")=0,COUNTIF(D35:AK35,"F")=1),CONCATENATE(SUM(EXTRACTNUMBER(D35),EXTRACTNUMBER(F35),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EXTRACTNUMBER(AD35),EXTRACTNUMBER(AF35),EXTRACTNUMBER(AH35),EXTRACTNUMBER(AJ35)),"*"),IF(AND(COUNTIF(D35:AK35,"=34")&gt;=1,COUNTIF(D35:AK35,"=35")&gt;=1,COUNTIF(D35:AK35,"f")=2,COUNTIF(D35:AK35,"")=0,COUNTIF(D35:AK35," ")=0),CONCATENATE(SUM(EXTRACTNUMBER(D35),EXTRACTNUMBER(F35),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EXTRACTNUMBER(AD35),EXTRACTNUMBER(AF35),EXTRACTNUMBER(AH35),EXTRACTNUMBER(AJ35)),"*"),IF(AND(COUNTIF(D35:AK35,"=36")&gt;=2,COUNTIF(D35:AK35,"f")=2,COUNTIF(D35:AK35,"")=0,COUNTIF(D35:AK35," ")=0),CONCATENATE(SUM(EXTRACTNUMBER(D35),EXTRACTNUMBER(F35),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EXTRACTNUMBER(AD35),EXTRACTNUMBER(AF35),EXTRACTNUMBER(AH35),EXTRACTNUMBER(AJ35)),"*"),SUM(EXTRACTNUMBER(D35),EXTRACTNUMBER(F35),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EXTRACTNUMBER(AD35),EXTRACTNUMBER(AF35),EXTRACTNUMBER(AH35),EXTRACTNUMBER(AJ35))))),SUM(EXTRACTNUMBER(D35),EXTRACTNUMBER(F35),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EXTRACTNUMBER(AD35),EXTRACTNUMBER(AF35),EXTRACTNUMBER(AH35),EXTRACTNUMBER(AJ35)))</f>
        <v>530</v>
      </c>
      <c r="AM35" s="72" t="s">
        <v>535</v>
      </c>
      <c r="AN35" s="11">
        <f t="shared" si="0"/>
        <v>530</v>
      </c>
      <c r="AO35" s="11" t="str">
        <f t="shared" si="19"/>
        <v>PASS</v>
      </c>
      <c r="AP35" s="11" t="str">
        <f t="shared" si="1"/>
        <v>--</v>
      </c>
      <c r="AQ35" s="1" t="str">
        <f t="shared" si="20"/>
        <v xml:space="preserve">Five Hundred Thirty  </v>
      </c>
    </row>
    <row r="36" spans="2:43" ht="15.95" customHeight="1">
      <c r="B36" s="67">
        <v>136209</v>
      </c>
      <c r="C36" s="21" t="s">
        <v>32</v>
      </c>
      <c r="D36" s="24">
        <v>70</v>
      </c>
      <c r="E36" s="9" t="str">
        <f t="shared" si="2"/>
        <v/>
      </c>
      <c r="F36" s="22">
        <v>22</v>
      </c>
      <c r="G36" s="9" t="str">
        <f t="shared" si="3"/>
        <v/>
      </c>
      <c r="H36" s="22">
        <v>44</v>
      </c>
      <c r="I36" s="9" t="str">
        <f t="shared" si="4"/>
        <v/>
      </c>
      <c r="J36" s="29">
        <v>61</v>
      </c>
      <c r="K36" s="9" t="str">
        <f t="shared" si="5"/>
        <v/>
      </c>
      <c r="L36" s="22">
        <v>22</v>
      </c>
      <c r="M36" s="9" t="str">
        <f t="shared" si="6"/>
        <v/>
      </c>
      <c r="N36" s="22">
        <v>22</v>
      </c>
      <c r="O36" s="9" t="str">
        <f t="shared" si="7"/>
        <v/>
      </c>
      <c r="P36" s="29">
        <v>72</v>
      </c>
      <c r="Q36" s="9" t="str">
        <f t="shared" si="8"/>
        <v/>
      </c>
      <c r="R36" s="22">
        <v>22</v>
      </c>
      <c r="S36" s="9" t="str">
        <f t="shared" si="9"/>
        <v/>
      </c>
      <c r="T36" s="22">
        <v>42</v>
      </c>
      <c r="U36" s="9" t="str">
        <f t="shared" si="10"/>
        <v/>
      </c>
      <c r="V36" s="29">
        <v>70</v>
      </c>
      <c r="W36" s="9" t="str">
        <f t="shared" si="11"/>
        <v/>
      </c>
      <c r="X36" s="22">
        <v>22</v>
      </c>
      <c r="Y36" s="9" t="str">
        <f t="shared" si="12"/>
        <v/>
      </c>
      <c r="Z36" s="22">
        <v>22</v>
      </c>
      <c r="AA36" s="9" t="str">
        <f t="shared" si="13"/>
        <v/>
      </c>
      <c r="AB36" s="29">
        <v>67</v>
      </c>
      <c r="AC36" s="9" t="str">
        <f t="shared" si="14"/>
        <v/>
      </c>
      <c r="AD36" s="22">
        <v>22</v>
      </c>
      <c r="AE36" s="9" t="str">
        <f t="shared" si="15"/>
        <v/>
      </c>
      <c r="AF36" s="22">
        <v>21</v>
      </c>
      <c r="AG36" s="9" t="str">
        <f t="shared" si="16"/>
        <v/>
      </c>
      <c r="AH36" s="22">
        <v>22</v>
      </c>
      <c r="AI36" s="9" t="str">
        <f t="shared" si="17"/>
        <v/>
      </c>
      <c r="AJ36" s="22">
        <v>22</v>
      </c>
      <c r="AK36" s="9" t="str">
        <f t="shared" si="18"/>
        <v/>
      </c>
      <c r="AL36" s="16">
        <f>IF(OR(AND(D36&gt;=31,D36&lt;40),AND(J36&gt;=31,J36&lt;40),AND(P36&gt;=31,P36&lt;40),AND(V36&gt;=31,V36&lt;40),AND(AB36&gt;=31,AB36&lt;40)),IF(AND(OR(COUNTIF(D36:AK36,"=31")&gt;=1,COUNTIF(D36:AK36,"=32")&gt;=1,COUNTIF(D36:AK36,"=33")&gt;=1,COUNTIF(D36:AK36,"=34")&gt;=1,COUNTIF(D36:AK36,"=35")&gt;=1,COUNTIF(D36:AK36,"=36")&gt;=1 ),COUNTIF(D36:AK36,"")=0,COUNTIF(D36:AK36," ")=0,COUNTIF(D36:AK36,"F")=1),CONCATENATE(SUM(EXTRACTNUMBER(D36),EXTRACTNUMBER(F36),
EXTRACTNUMBER(H36),EXTRACTNUMBER(J36),
EXTRACTNUMBER(L36),EXTRACTNUMBER(N36),
EXTRACTNUMBER(P36),EXTRACTNUMBER(R36),
EXTRACTNUMBER(T36),EXTRACTNUMBER(V36),
EXTRACTNUMBER(X36),EXTRACTNUMBER(Z36),EXTRACTNUMBER(AB36),
EXTRACTNUMBER(AD36),EXTRACTNUMBER(AF36),EXTRACTNUMBER(AH36),EXTRACTNUMBER(AJ36)),"*"),IF(AND(COUNTIF(D36:AK36,"=34")&gt;=1,COUNTIF(D36:AK36,"=35")&gt;=1,COUNTIF(D36:AK36,"f")=2,COUNTIF(D36:AK36,"")=0,COUNTIF(D36:AK36," ")=0),CONCATENATE(SUM(EXTRACTNUMBER(D36),EXTRACTNUMBER(F36),
EXTRACTNUMBER(H36),EXTRACTNUMBER(J36),
EXTRACTNUMBER(L36),EXTRACTNUMBER(N36),
EXTRACTNUMBER(P36),EXTRACTNUMBER(R36),
EXTRACTNUMBER(T36),EXTRACTNUMBER(V36),
EXTRACTNUMBER(X36),EXTRACTNUMBER(Z36),EXTRACTNUMBER(AB36),
EXTRACTNUMBER(AD36),EXTRACTNUMBER(AF36),EXTRACTNUMBER(AH36),EXTRACTNUMBER(AJ36)),"*"),IF(AND(COUNTIF(D36:AK36,"=36")&gt;=2,COUNTIF(D36:AK36,"f")=2,COUNTIF(D36:AK36,"")=0,COUNTIF(D36:AK36," ")=0),CONCATENATE(SUM(EXTRACTNUMBER(D36),EXTRACTNUMBER(F36),
EXTRACTNUMBER(H36),EXTRACTNUMBER(J36),
EXTRACTNUMBER(L36),EXTRACTNUMBER(N36),
EXTRACTNUMBER(P36),EXTRACTNUMBER(R36),
EXTRACTNUMBER(T36),EXTRACTNUMBER(V36),
EXTRACTNUMBER(X36),EXTRACTNUMBER(Z36),EXTRACTNUMBER(AB36),
EXTRACTNUMBER(AD36),EXTRACTNUMBER(AF36),EXTRACTNUMBER(AH36),EXTRACTNUMBER(AJ36)),"*"),SUM(EXTRACTNUMBER(D36),EXTRACTNUMBER(F36),
EXTRACTNUMBER(H36),EXTRACTNUMBER(J36),
EXTRACTNUMBER(L36),EXTRACTNUMBER(N36),
EXTRACTNUMBER(P36),EXTRACTNUMBER(R36),
EXTRACTNUMBER(T36),EXTRACTNUMBER(V36),
EXTRACTNUMBER(X36),EXTRACTNUMBER(Z36),EXTRACTNUMBER(AB36),
EXTRACTNUMBER(AD36),EXTRACTNUMBER(AF36),EXTRACTNUMBER(AH36),EXTRACTNUMBER(AJ36))))),SUM(EXTRACTNUMBER(D36),EXTRACTNUMBER(F36),
EXTRACTNUMBER(H36),EXTRACTNUMBER(J36),
EXTRACTNUMBER(L36),EXTRACTNUMBER(N36),
EXTRACTNUMBER(P36),EXTRACTNUMBER(R36),
EXTRACTNUMBER(T36),EXTRACTNUMBER(V36),
EXTRACTNUMBER(X36),EXTRACTNUMBER(Z36),EXTRACTNUMBER(AB36),
EXTRACTNUMBER(AD36),EXTRACTNUMBER(AF36),EXTRACTNUMBER(AH36),EXTRACTNUMBER(AJ36)))</f>
        <v>645</v>
      </c>
      <c r="AM36" s="72" t="s">
        <v>228</v>
      </c>
      <c r="AN36" s="11">
        <f t="shared" si="0"/>
        <v>1187</v>
      </c>
      <c r="AO36" s="11" t="str">
        <f t="shared" si="19"/>
        <v>PASS</v>
      </c>
      <c r="AP36" s="11" t="str">
        <f t="shared" si="1"/>
        <v>I</v>
      </c>
      <c r="AQ36" s="1" t="str">
        <f t="shared" si="20"/>
        <v xml:space="preserve">One Thousand One Hundred Eighty Seven </v>
      </c>
    </row>
    <row r="37" spans="2:43" ht="15.95" customHeight="1">
      <c r="B37" s="67">
        <v>136210</v>
      </c>
      <c r="C37" s="21" t="s">
        <v>33</v>
      </c>
      <c r="D37" s="24">
        <v>42</v>
      </c>
      <c r="E37" s="9" t="str">
        <f t="shared" si="2"/>
        <v/>
      </c>
      <c r="F37" s="22">
        <v>20</v>
      </c>
      <c r="G37" s="9" t="str">
        <f t="shared" si="3"/>
        <v/>
      </c>
      <c r="H37" s="22">
        <v>42</v>
      </c>
      <c r="I37" s="9" t="str">
        <f t="shared" si="4"/>
        <v/>
      </c>
      <c r="J37" s="29">
        <v>46</v>
      </c>
      <c r="K37" s="9" t="str">
        <f t="shared" si="5"/>
        <v/>
      </c>
      <c r="L37" s="22">
        <v>20</v>
      </c>
      <c r="M37" s="9" t="str">
        <f t="shared" si="6"/>
        <v/>
      </c>
      <c r="N37" s="22">
        <v>21</v>
      </c>
      <c r="O37" s="9" t="str">
        <f t="shared" si="7"/>
        <v/>
      </c>
      <c r="P37" s="29">
        <v>58</v>
      </c>
      <c r="Q37" s="9" t="str">
        <f t="shared" si="8"/>
        <v/>
      </c>
      <c r="R37" s="22">
        <v>22</v>
      </c>
      <c r="S37" s="9" t="str">
        <f t="shared" si="9"/>
        <v/>
      </c>
      <c r="T37" s="22">
        <v>38</v>
      </c>
      <c r="U37" s="9" t="str">
        <f t="shared" si="10"/>
        <v/>
      </c>
      <c r="V37" s="29">
        <v>49</v>
      </c>
      <c r="W37" s="9" t="str">
        <f t="shared" si="11"/>
        <v/>
      </c>
      <c r="X37" s="22">
        <v>22</v>
      </c>
      <c r="Y37" s="9" t="str">
        <f t="shared" si="12"/>
        <v/>
      </c>
      <c r="Z37" s="22">
        <v>22</v>
      </c>
      <c r="AA37" s="9" t="str">
        <f t="shared" si="13"/>
        <v/>
      </c>
      <c r="AB37" s="29">
        <v>50</v>
      </c>
      <c r="AC37" s="9" t="str">
        <f t="shared" si="14"/>
        <v/>
      </c>
      <c r="AD37" s="22">
        <v>22</v>
      </c>
      <c r="AE37" s="9" t="str">
        <f t="shared" si="15"/>
        <v/>
      </c>
      <c r="AF37" s="22">
        <v>22</v>
      </c>
      <c r="AG37" s="9" t="str">
        <f t="shared" si="16"/>
        <v/>
      </c>
      <c r="AH37" s="22">
        <v>21</v>
      </c>
      <c r="AI37" s="9" t="str">
        <f t="shared" si="17"/>
        <v/>
      </c>
      <c r="AJ37" s="22">
        <v>22</v>
      </c>
      <c r="AK37" s="9" t="str">
        <f t="shared" si="18"/>
        <v/>
      </c>
      <c r="AL37" s="16">
        <f>IF(OR(AND(D37&gt;=31,D37&lt;40),AND(J37&gt;=31,J37&lt;40),AND(P37&gt;=31,P37&lt;40),AND(V37&gt;=31,V37&lt;40),AND(AB37&gt;=31,AB37&lt;40)),IF(AND(OR(COUNTIF(D37:AK37,"=31")&gt;=1,COUNTIF(D37:AK37,"=32")&gt;=1,COUNTIF(D37:AK37,"=33")&gt;=1,COUNTIF(D37:AK37,"=34")&gt;=1,COUNTIF(D37:AK37,"=35")&gt;=1,COUNTIF(D37:AK37,"=36")&gt;=1 ),COUNTIF(D37:AK37,"")=0,COUNTIF(D37:AK37," ")=0,COUNTIF(D37:AK37,"F")=1),CONCATENATE(SUM(EXTRACTNUMBER(D37),EXTRACTNUMBER(F37),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EXTRACTNUMBER(AD37),EXTRACTNUMBER(AF37),EXTRACTNUMBER(AH37),EXTRACTNUMBER(AJ37)),"*"),IF(AND(COUNTIF(D37:AK37,"=34")&gt;=1,COUNTIF(D37:AK37,"=35")&gt;=1,COUNTIF(D37:AK37,"f")=2,COUNTIF(D37:AK37,"")=0,COUNTIF(D37:AK37," ")=0),CONCATENATE(SUM(EXTRACTNUMBER(D37),EXTRACTNUMBER(F37),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EXTRACTNUMBER(AD37),EXTRACTNUMBER(AF37),EXTRACTNUMBER(AH37),EXTRACTNUMBER(AJ37)),"*"),IF(AND(COUNTIF(D37:AK37,"=36")&gt;=2,COUNTIF(D37:AK37,"f")=2,COUNTIF(D37:AK37,"")=0,COUNTIF(D37:AK37," ")=0),CONCATENATE(SUM(EXTRACTNUMBER(D37),EXTRACTNUMBER(F37),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EXTRACTNUMBER(AD37),EXTRACTNUMBER(AF37),EXTRACTNUMBER(AH37),EXTRACTNUMBER(AJ37)),"*"),SUM(EXTRACTNUMBER(D37),EXTRACTNUMBER(F37),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EXTRACTNUMBER(AD37),EXTRACTNUMBER(AF37),EXTRACTNUMBER(AH37),EXTRACTNUMBER(AJ37))))),SUM(EXTRACTNUMBER(D37),EXTRACTNUMBER(F37),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EXTRACTNUMBER(AD37),EXTRACTNUMBER(AF37),EXTRACTNUMBER(AH37),EXTRACTNUMBER(AJ37)))</f>
        <v>539</v>
      </c>
      <c r="AM37" s="72" t="s">
        <v>229</v>
      </c>
      <c r="AN37" s="11">
        <f t="shared" si="0"/>
        <v>1027</v>
      </c>
      <c r="AO37" s="11" t="str">
        <f t="shared" si="19"/>
        <v>PASS</v>
      </c>
      <c r="AP37" s="11" t="str">
        <f t="shared" si="1"/>
        <v>I</v>
      </c>
      <c r="AQ37" s="1" t="str">
        <f t="shared" si="20"/>
        <v xml:space="preserve">One Thousand Twenty Seven </v>
      </c>
    </row>
    <row r="38" spans="2:43" ht="15.95" customHeight="1">
      <c r="B38" s="67">
        <v>136211</v>
      </c>
      <c r="C38" s="21" t="s">
        <v>34</v>
      </c>
      <c r="D38" s="24">
        <v>60</v>
      </c>
      <c r="E38" s="9" t="str">
        <f t="shared" si="2"/>
        <v/>
      </c>
      <c r="F38" s="22">
        <v>23</v>
      </c>
      <c r="G38" s="9" t="str">
        <f t="shared" si="3"/>
        <v/>
      </c>
      <c r="H38" s="22">
        <v>44</v>
      </c>
      <c r="I38" s="9" t="str">
        <f t="shared" si="4"/>
        <v/>
      </c>
      <c r="J38" s="29">
        <v>61</v>
      </c>
      <c r="K38" s="9" t="str">
        <f t="shared" si="5"/>
        <v/>
      </c>
      <c r="L38" s="22">
        <v>23</v>
      </c>
      <c r="M38" s="9" t="str">
        <f t="shared" si="6"/>
        <v/>
      </c>
      <c r="N38" s="22">
        <v>21</v>
      </c>
      <c r="O38" s="9" t="str">
        <f t="shared" si="7"/>
        <v/>
      </c>
      <c r="P38" s="29">
        <v>69</v>
      </c>
      <c r="Q38" s="9" t="str">
        <f t="shared" si="8"/>
        <v/>
      </c>
      <c r="R38" s="22">
        <v>23</v>
      </c>
      <c r="S38" s="9" t="str">
        <f t="shared" si="9"/>
        <v/>
      </c>
      <c r="T38" s="22">
        <v>44</v>
      </c>
      <c r="U38" s="9" t="str">
        <f t="shared" si="10"/>
        <v/>
      </c>
      <c r="V38" s="29">
        <v>60</v>
      </c>
      <c r="W38" s="9" t="str">
        <f t="shared" si="11"/>
        <v/>
      </c>
      <c r="X38" s="22">
        <v>23</v>
      </c>
      <c r="Y38" s="9" t="str">
        <f t="shared" si="12"/>
        <v/>
      </c>
      <c r="Z38" s="22">
        <v>23</v>
      </c>
      <c r="AA38" s="9" t="str">
        <f t="shared" si="13"/>
        <v/>
      </c>
      <c r="AB38" s="29">
        <v>62</v>
      </c>
      <c r="AC38" s="9" t="str">
        <f t="shared" si="14"/>
        <v/>
      </c>
      <c r="AD38" s="22">
        <v>23</v>
      </c>
      <c r="AE38" s="9" t="str">
        <f t="shared" si="15"/>
        <v/>
      </c>
      <c r="AF38" s="22">
        <v>21</v>
      </c>
      <c r="AG38" s="9" t="str">
        <f t="shared" si="16"/>
        <v/>
      </c>
      <c r="AH38" s="22">
        <v>23</v>
      </c>
      <c r="AI38" s="9" t="str">
        <f t="shared" si="17"/>
        <v/>
      </c>
      <c r="AJ38" s="22">
        <v>23</v>
      </c>
      <c r="AK38" s="9" t="str">
        <f t="shared" si="18"/>
        <v/>
      </c>
      <c r="AL38" s="16">
        <f>IF(OR(AND(D38&gt;=31,D38&lt;40),AND(J38&gt;=31,J38&lt;40),AND(P38&gt;=31,P38&lt;40),AND(V38&gt;=31,V38&lt;40),AND(AB38&gt;=31,AB38&lt;40)),IF(AND(OR(COUNTIF(D38:AK38,"=31")&gt;=1,COUNTIF(D38:AK38,"=32")&gt;=1,COUNTIF(D38:AK38,"=33")&gt;=1,COUNTIF(D38:AK38,"=34")&gt;=1,COUNTIF(D38:AK38,"=35")&gt;=1,COUNTIF(D38:AK38,"=36")&gt;=1 ),COUNTIF(D38:AK38,"")=0,COUNTIF(D38:AK38," ")=0,COUNTIF(D38:AK38,"F")=1),CONCATENATE(SUM(EXTRACTNUMBER(D38),EXTRACTNUMBER(F38),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EXTRACTNUMBER(AD38),EXTRACTNUMBER(AF38),EXTRACTNUMBER(AH38),EXTRACTNUMBER(AJ38)),"*"),IF(AND(COUNTIF(D38:AK38,"=34")&gt;=1,COUNTIF(D38:AK38,"=35")&gt;=1,COUNTIF(D38:AK38,"f")=2,COUNTIF(D38:AK38,"")=0,COUNTIF(D38:AK38," ")=0),CONCATENATE(SUM(EXTRACTNUMBER(D38),EXTRACTNUMBER(F38),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EXTRACTNUMBER(AD38),EXTRACTNUMBER(AF38),EXTRACTNUMBER(AH38),EXTRACTNUMBER(AJ38)),"*"),IF(AND(COUNTIF(D38:AK38,"=36")&gt;=2,COUNTIF(D38:AK38,"f")=2,COUNTIF(D38:AK38,"")=0,COUNTIF(D38:AK38," ")=0),CONCATENATE(SUM(EXTRACTNUMBER(D38),EXTRACTNUMBER(F38),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EXTRACTNUMBER(AD38),EXTRACTNUMBER(AF38),EXTRACTNUMBER(AH38),EXTRACTNUMBER(AJ38)),"*"),SUM(EXTRACTNUMBER(D38),EXTRACTNUMBER(F38),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EXTRACTNUMBER(AD38),EXTRACTNUMBER(AF38),EXTRACTNUMBER(AH38),EXTRACTNUMBER(AJ38))))),SUM(EXTRACTNUMBER(D38),EXTRACTNUMBER(F38),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EXTRACTNUMBER(AD38),EXTRACTNUMBER(AF38),EXTRACTNUMBER(AH38),EXTRACTNUMBER(AJ38)))</f>
        <v>626</v>
      </c>
      <c r="AM38" s="72" t="s">
        <v>230</v>
      </c>
      <c r="AN38" s="11">
        <f t="shared" si="0"/>
        <v>1176</v>
      </c>
      <c r="AO38" s="11" t="str">
        <f t="shared" si="19"/>
        <v>PASS</v>
      </c>
      <c r="AP38" s="11" t="str">
        <f t="shared" si="1"/>
        <v>I</v>
      </c>
      <c r="AQ38" s="1" t="str">
        <f t="shared" si="20"/>
        <v xml:space="preserve">One Thousand One Hundred Seventy Six </v>
      </c>
    </row>
    <row r="39" spans="2:43" ht="15.95" customHeight="1">
      <c r="B39" s="67">
        <v>136212</v>
      </c>
      <c r="C39" s="21" t="s">
        <v>35</v>
      </c>
      <c r="D39" s="24">
        <v>51</v>
      </c>
      <c r="E39" s="9" t="str">
        <f t="shared" si="2"/>
        <v/>
      </c>
      <c r="F39" s="22">
        <v>23</v>
      </c>
      <c r="G39" s="9" t="str">
        <f t="shared" si="3"/>
        <v/>
      </c>
      <c r="H39" s="22">
        <v>44</v>
      </c>
      <c r="I39" s="9" t="str">
        <f t="shared" si="4"/>
        <v/>
      </c>
      <c r="J39" s="29">
        <v>45</v>
      </c>
      <c r="K39" s="9" t="str">
        <f t="shared" si="5"/>
        <v/>
      </c>
      <c r="L39" s="22">
        <v>22</v>
      </c>
      <c r="M39" s="9" t="str">
        <f t="shared" si="6"/>
        <v/>
      </c>
      <c r="N39" s="22">
        <v>21</v>
      </c>
      <c r="O39" s="9" t="str">
        <f t="shared" si="7"/>
        <v/>
      </c>
      <c r="P39" s="29">
        <v>67</v>
      </c>
      <c r="Q39" s="9" t="str">
        <f t="shared" si="8"/>
        <v/>
      </c>
      <c r="R39" s="22">
        <v>22</v>
      </c>
      <c r="S39" s="9" t="str">
        <f t="shared" si="9"/>
        <v/>
      </c>
      <c r="T39" s="22">
        <v>42</v>
      </c>
      <c r="U39" s="9" t="str">
        <f t="shared" si="10"/>
        <v/>
      </c>
      <c r="V39" s="29">
        <v>66</v>
      </c>
      <c r="W39" s="9" t="str">
        <f t="shared" si="11"/>
        <v/>
      </c>
      <c r="X39" s="22">
        <v>22</v>
      </c>
      <c r="Y39" s="9" t="str">
        <f t="shared" si="12"/>
        <v/>
      </c>
      <c r="Z39" s="22">
        <v>22</v>
      </c>
      <c r="AA39" s="9" t="str">
        <f t="shared" si="13"/>
        <v/>
      </c>
      <c r="AB39" s="29">
        <v>65</v>
      </c>
      <c r="AC39" s="9" t="str">
        <f t="shared" si="14"/>
        <v/>
      </c>
      <c r="AD39" s="22">
        <v>22</v>
      </c>
      <c r="AE39" s="9" t="str">
        <f t="shared" si="15"/>
        <v/>
      </c>
      <c r="AF39" s="22">
        <v>21</v>
      </c>
      <c r="AG39" s="9" t="str">
        <f t="shared" si="16"/>
        <v/>
      </c>
      <c r="AH39" s="22">
        <v>21</v>
      </c>
      <c r="AI39" s="9" t="str">
        <f t="shared" si="17"/>
        <v/>
      </c>
      <c r="AJ39" s="22">
        <v>22</v>
      </c>
      <c r="AK39" s="9" t="str">
        <f t="shared" si="18"/>
        <v/>
      </c>
      <c r="AL39" s="16">
        <f>IF(OR(AND(D39&gt;=31,D39&lt;40),AND(J39&gt;=31,J39&lt;40),AND(P39&gt;=31,P39&lt;40),AND(V39&gt;=31,V39&lt;40),AND(AB39&gt;=31,AB39&lt;40)),IF(AND(OR(COUNTIF(D39:AK39,"=31")&gt;=1,COUNTIF(D39:AK39,"=32")&gt;=1,COUNTIF(D39:AK39,"=33")&gt;=1,COUNTIF(D39:AK39,"=34")&gt;=1,COUNTIF(D39:AK39,"=35")&gt;=1,COUNTIF(D39:AK39,"=36")&gt;=1 ),COUNTIF(D39:AK39,"")=0,COUNTIF(D39:AK39," ")=0,COUNTIF(D39:AK39,"F")=1),CONCATENATE(SUM(EXTRACTNUMBER(D39),EXTRACTNUMBER(F39),
EXTRACTNUMBER(H39),EXTRACTNUMBER(J39),
EXTRACTNUMBER(L39),EXTRACTNUMBER(N39),
EXTRACTNUMBER(P39),EXTRACTNUMBER(R39),
EXTRACTNUMBER(T39),EXTRACTNUMBER(V39),
EXTRACTNUMBER(X39),EXTRACTNUMBER(Z39),EXTRACTNUMBER(AB39),
EXTRACTNUMBER(AD39),EXTRACTNUMBER(AF39),EXTRACTNUMBER(AH39),EXTRACTNUMBER(AJ39)),"*"),IF(AND(COUNTIF(D39:AK39,"=34")&gt;=1,COUNTIF(D39:AK39,"=35")&gt;=1,COUNTIF(D39:AK39,"f")=2,COUNTIF(D39:AK39,"")=0,COUNTIF(D39:AK39," ")=0),CONCATENATE(SUM(EXTRACTNUMBER(D39),EXTRACTNUMBER(F39),
EXTRACTNUMBER(H39),EXTRACTNUMBER(J39),
EXTRACTNUMBER(L39),EXTRACTNUMBER(N39),
EXTRACTNUMBER(P39),EXTRACTNUMBER(R39),
EXTRACTNUMBER(T39),EXTRACTNUMBER(V39),
EXTRACTNUMBER(X39),EXTRACTNUMBER(Z39),EXTRACTNUMBER(AB39),
EXTRACTNUMBER(AD39),EXTRACTNUMBER(AF39),EXTRACTNUMBER(AH39),EXTRACTNUMBER(AJ39)),"*"),IF(AND(COUNTIF(D39:AK39,"=36")&gt;=2,COUNTIF(D39:AK39,"f")=2,COUNTIF(D39:AK39,"")=0,COUNTIF(D39:AK39," ")=0),CONCATENATE(SUM(EXTRACTNUMBER(D39),EXTRACTNUMBER(F39),
EXTRACTNUMBER(H39),EXTRACTNUMBER(J39),
EXTRACTNUMBER(L39),EXTRACTNUMBER(N39),
EXTRACTNUMBER(P39),EXTRACTNUMBER(R39),
EXTRACTNUMBER(T39),EXTRACTNUMBER(V39),
EXTRACTNUMBER(X39),EXTRACTNUMBER(Z39),EXTRACTNUMBER(AB39),
EXTRACTNUMBER(AD39),EXTRACTNUMBER(AF39),EXTRACTNUMBER(AH39),EXTRACTNUMBER(AJ39)),"*"),SUM(EXTRACTNUMBER(D39),EXTRACTNUMBER(F39),
EXTRACTNUMBER(H39),EXTRACTNUMBER(J39),
EXTRACTNUMBER(L39),EXTRACTNUMBER(N39),
EXTRACTNUMBER(P39),EXTRACTNUMBER(R39),
EXTRACTNUMBER(T39),EXTRACTNUMBER(V39),
EXTRACTNUMBER(X39),EXTRACTNUMBER(Z39),EXTRACTNUMBER(AB39),
EXTRACTNUMBER(AD39),EXTRACTNUMBER(AF39),EXTRACTNUMBER(AH39),EXTRACTNUMBER(AJ39))))),SUM(EXTRACTNUMBER(D39),EXTRACTNUMBER(F39),
EXTRACTNUMBER(H39),EXTRACTNUMBER(J39),
EXTRACTNUMBER(L39),EXTRACTNUMBER(N39),
EXTRACTNUMBER(P39),EXTRACTNUMBER(R39),
EXTRACTNUMBER(T39),EXTRACTNUMBER(V39),
EXTRACTNUMBER(X39),EXTRACTNUMBER(Z39),EXTRACTNUMBER(AB39),
EXTRACTNUMBER(AD39),EXTRACTNUMBER(AF39),EXTRACTNUMBER(AH39),EXTRACTNUMBER(AJ39)))</f>
        <v>598</v>
      </c>
      <c r="AM39" s="72" t="s">
        <v>231</v>
      </c>
      <c r="AN39" s="11">
        <f t="shared" si="0"/>
        <v>1092</v>
      </c>
      <c r="AO39" s="11" t="str">
        <f t="shared" si="19"/>
        <v>PASS</v>
      </c>
      <c r="AP39" s="11" t="str">
        <f t="shared" si="1"/>
        <v>I</v>
      </c>
      <c r="AQ39" s="1" t="str">
        <f t="shared" si="20"/>
        <v xml:space="preserve">One Thousand NinetyTwo </v>
      </c>
    </row>
    <row r="40" spans="2:43" ht="15.95" customHeight="1">
      <c r="B40" s="67">
        <v>136213</v>
      </c>
      <c r="C40" s="21" t="s">
        <v>36</v>
      </c>
      <c r="D40" s="24">
        <v>40</v>
      </c>
      <c r="E40" s="9" t="str">
        <f t="shared" si="2"/>
        <v/>
      </c>
      <c r="F40" s="22">
        <v>20</v>
      </c>
      <c r="G40" s="9" t="str">
        <f t="shared" si="3"/>
        <v/>
      </c>
      <c r="H40" s="22">
        <v>42</v>
      </c>
      <c r="I40" s="9" t="str">
        <f t="shared" si="4"/>
        <v/>
      </c>
      <c r="J40" s="29">
        <v>41</v>
      </c>
      <c r="K40" s="9" t="str">
        <f t="shared" si="5"/>
        <v/>
      </c>
      <c r="L40" s="22">
        <v>20</v>
      </c>
      <c r="M40" s="9" t="str">
        <f t="shared" si="6"/>
        <v/>
      </c>
      <c r="N40" s="22">
        <v>21</v>
      </c>
      <c r="O40" s="9" t="str">
        <f t="shared" si="7"/>
        <v/>
      </c>
      <c r="P40" s="29">
        <v>60</v>
      </c>
      <c r="Q40" s="9" t="str">
        <f t="shared" si="8"/>
        <v/>
      </c>
      <c r="R40" s="22">
        <v>22</v>
      </c>
      <c r="S40" s="9" t="str">
        <f t="shared" si="9"/>
        <v/>
      </c>
      <c r="T40" s="22">
        <v>38</v>
      </c>
      <c r="U40" s="9" t="str">
        <f t="shared" si="10"/>
        <v/>
      </c>
      <c r="V40" s="29">
        <v>53</v>
      </c>
      <c r="W40" s="9" t="str">
        <f t="shared" si="11"/>
        <v/>
      </c>
      <c r="X40" s="22">
        <v>22</v>
      </c>
      <c r="Y40" s="9" t="str">
        <f t="shared" si="12"/>
        <v/>
      </c>
      <c r="Z40" s="22">
        <v>22</v>
      </c>
      <c r="AA40" s="9" t="str">
        <f t="shared" si="13"/>
        <v/>
      </c>
      <c r="AB40" s="29">
        <v>49</v>
      </c>
      <c r="AC40" s="9" t="str">
        <f t="shared" si="14"/>
        <v/>
      </c>
      <c r="AD40" s="22">
        <v>22</v>
      </c>
      <c r="AE40" s="9" t="str">
        <f t="shared" si="15"/>
        <v/>
      </c>
      <c r="AF40" s="22">
        <v>19</v>
      </c>
      <c r="AG40" s="9" t="str">
        <f t="shared" si="16"/>
        <v/>
      </c>
      <c r="AH40" s="22">
        <v>22</v>
      </c>
      <c r="AI40" s="9" t="str">
        <f t="shared" si="17"/>
        <v/>
      </c>
      <c r="AJ40" s="22">
        <v>23</v>
      </c>
      <c r="AK40" s="9" t="str">
        <f t="shared" si="18"/>
        <v/>
      </c>
      <c r="AL40" s="16">
        <f>IF(OR(AND(D40&gt;=31,D40&lt;40),AND(J40&gt;=31,J40&lt;40),AND(P40&gt;=31,P40&lt;40),AND(V40&gt;=31,V40&lt;40),AND(AB40&gt;=31,AB40&lt;40)),IF(AND(OR(COUNTIF(D40:AK40,"=31")&gt;=1,COUNTIF(D40:AK40,"=32")&gt;=1,COUNTIF(D40:AK40,"=33")&gt;=1,COUNTIF(D40:AK40,"=34")&gt;=1,COUNTIF(D40:AK40,"=35")&gt;=1,COUNTIF(D40:AK40,"=36")&gt;=1 ),COUNTIF(D40:AK40,"")=0,COUNTIF(D40:AK40," ")=0,COUNTIF(D40:AK40,"F")=1),CONCATENATE(SUM(EXTRACTNUMBER(D40),EXTRACTNUMBER(F40),
EXTRACTNUMBER(H40),EXTRACTNUMBER(J40),
EXTRACTNUMBER(L40),EXTRACTNUMBER(N40),
EXTRACTNUMBER(P40),EXTRACTNUMBER(R40),
EXTRACTNUMBER(T40),EXTRACTNUMBER(V40),
EXTRACTNUMBER(X40),EXTRACTNUMBER(Z40),EXTRACTNUMBER(AB40),
EXTRACTNUMBER(AD40),EXTRACTNUMBER(AF40),EXTRACTNUMBER(AH40),EXTRACTNUMBER(AJ40)),"*"),IF(AND(COUNTIF(D40:AK40,"=34")&gt;=1,COUNTIF(D40:AK40,"=35")&gt;=1,COUNTIF(D40:AK40,"f")=2,COUNTIF(D40:AK40,"")=0,COUNTIF(D40:AK40," ")=0),CONCATENATE(SUM(EXTRACTNUMBER(D40),EXTRACTNUMBER(F40),
EXTRACTNUMBER(H40),EXTRACTNUMBER(J40),
EXTRACTNUMBER(L40),EXTRACTNUMBER(N40),
EXTRACTNUMBER(P40),EXTRACTNUMBER(R40),
EXTRACTNUMBER(T40),EXTRACTNUMBER(V40),
EXTRACTNUMBER(X40),EXTRACTNUMBER(Z40),EXTRACTNUMBER(AB40),
EXTRACTNUMBER(AD40),EXTRACTNUMBER(AF40),EXTRACTNUMBER(AH40),EXTRACTNUMBER(AJ40)),"*"),IF(AND(COUNTIF(D40:AK40,"=36")&gt;=2,COUNTIF(D40:AK40,"f")=2,COUNTIF(D40:AK40,"")=0,COUNTIF(D40:AK40," ")=0),CONCATENATE(SUM(EXTRACTNUMBER(D40),EXTRACTNUMBER(F40),
EXTRACTNUMBER(H40),EXTRACTNUMBER(J40),
EXTRACTNUMBER(L40),EXTRACTNUMBER(N40),
EXTRACTNUMBER(P40),EXTRACTNUMBER(R40),
EXTRACTNUMBER(T40),EXTRACTNUMBER(V40),
EXTRACTNUMBER(X40),EXTRACTNUMBER(Z40),EXTRACTNUMBER(AB40),
EXTRACTNUMBER(AD40),EXTRACTNUMBER(AF40),EXTRACTNUMBER(AH40),EXTRACTNUMBER(AJ40)),"*"),SUM(EXTRACTNUMBER(D40),EXTRACTNUMBER(F40),
EXTRACTNUMBER(H40),EXTRACTNUMBER(J40),
EXTRACTNUMBER(L40),EXTRACTNUMBER(N40),
EXTRACTNUMBER(P40),EXTRACTNUMBER(R40),
EXTRACTNUMBER(T40),EXTRACTNUMBER(V40),
EXTRACTNUMBER(X40),EXTRACTNUMBER(Z40),EXTRACTNUMBER(AB40),
EXTRACTNUMBER(AD40),EXTRACTNUMBER(AF40),EXTRACTNUMBER(AH40),EXTRACTNUMBER(AJ40))))),SUM(EXTRACTNUMBER(D40),EXTRACTNUMBER(F40),
EXTRACTNUMBER(H40),EXTRACTNUMBER(J40),
EXTRACTNUMBER(L40),EXTRACTNUMBER(N40),
EXTRACTNUMBER(P40),EXTRACTNUMBER(R40),
EXTRACTNUMBER(T40),EXTRACTNUMBER(V40),
EXTRACTNUMBER(X40),EXTRACTNUMBER(Z40),EXTRACTNUMBER(AB40),
EXTRACTNUMBER(AD40),EXTRACTNUMBER(AF40),EXTRACTNUMBER(AH40),EXTRACTNUMBER(AJ40)))</f>
        <v>536</v>
      </c>
      <c r="AM40" s="72" t="s">
        <v>232</v>
      </c>
      <c r="AN40" s="11">
        <f t="shared" si="0"/>
        <v>1054</v>
      </c>
      <c r="AO40" s="11" t="str">
        <f t="shared" si="19"/>
        <v>PASS</v>
      </c>
      <c r="AP40" s="11" t="str">
        <f t="shared" si="1"/>
        <v>I</v>
      </c>
      <c r="AQ40" s="1" t="str">
        <f t="shared" si="20"/>
        <v xml:space="preserve">One Thousand Fifty Four </v>
      </c>
    </row>
    <row r="41" spans="2:43" ht="15.95" customHeight="1">
      <c r="B41" s="67">
        <v>136214</v>
      </c>
      <c r="C41" s="21" t="s">
        <v>37</v>
      </c>
      <c r="D41" s="24">
        <v>40</v>
      </c>
      <c r="E41" s="9" t="str">
        <f t="shared" si="2"/>
        <v>E</v>
      </c>
      <c r="F41" s="22">
        <v>23</v>
      </c>
      <c r="G41" s="9" t="str">
        <f t="shared" si="3"/>
        <v>E</v>
      </c>
      <c r="H41" s="22">
        <v>44</v>
      </c>
      <c r="I41" s="9" t="str">
        <f t="shared" si="4"/>
        <v>E</v>
      </c>
      <c r="J41" s="29">
        <v>25</v>
      </c>
      <c r="K41" s="9" t="str">
        <f t="shared" si="5"/>
        <v>F</v>
      </c>
      <c r="L41" s="22">
        <v>23</v>
      </c>
      <c r="M41" s="9" t="str">
        <f t="shared" si="6"/>
        <v>E</v>
      </c>
      <c r="N41" s="22">
        <v>22</v>
      </c>
      <c r="O41" s="9" t="str">
        <f t="shared" si="7"/>
        <v>E</v>
      </c>
      <c r="P41" s="29">
        <v>50</v>
      </c>
      <c r="Q41" s="9" t="str">
        <f t="shared" si="8"/>
        <v>E</v>
      </c>
      <c r="R41" s="22">
        <v>23</v>
      </c>
      <c r="S41" s="9" t="str">
        <f t="shared" si="9"/>
        <v>E</v>
      </c>
      <c r="T41" s="22">
        <v>42</v>
      </c>
      <c r="U41" s="9" t="str">
        <f t="shared" si="10"/>
        <v>E</v>
      </c>
      <c r="V41" s="29">
        <v>40</v>
      </c>
      <c r="W41" s="9" t="str">
        <f t="shared" si="11"/>
        <v>E</v>
      </c>
      <c r="X41" s="22">
        <v>23</v>
      </c>
      <c r="Y41" s="9" t="str">
        <f t="shared" si="12"/>
        <v>E</v>
      </c>
      <c r="Z41" s="22">
        <v>22</v>
      </c>
      <c r="AA41" s="9" t="str">
        <f t="shared" si="13"/>
        <v>E</v>
      </c>
      <c r="AB41" s="29">
        <v>34</v>
      </c>
      <c r="AC41" s="9" t="str">
        <f t="shared" si="14"/>
        <v>F</v>
      </c>
      <c r="AD41" s="22">
        <v>23</v>
      </c>
      <c r="AE41" s="9" t="str">
        <f t="shared" si="15"/>
        <v>E</v>
      </c>
      <c r="AF41" s="22">
        <v>22</v>
      </c>
      <c r="AG41" s="9" t="str">
        <f t="shared" si="16"/>
        <v>E</v>
      </c>
      <c r="AH41" s="22">
        <v>23</v>
      </c>
      <c r="AI41" s="9" t="str">
        <f t="shared" si="17"/>
        <v>E</v>
      </c>
      <c r="AJ41" s="22">
        <v>23</v>
      </c>
      <c r="AK41" s="9" t="str">
        <f t="shared" si="18"/>
        <v>E</v>
      </c>
      <c r="AL41" s="16">
        <f>IF(OR(AND(D41&gt;=31,D41&lt;40),AND(J41&gt;=31,J41&lt;40),AND(P41&gt;=31,P41&lt;40),AND(V41&gt;=31,V41&lt;40),AND(AB41&gt;=31,AB41&lt;40)),IF(AND(OR(COUNTIF(D41:AK41,"=31")&gt;=1,COUNTIF(D41:AK41,"=32")&gt;=1,COUNTIF(D41:AK41,"=33")&gt;=1,COUNTIF(D41:AK41,"=34")&gt;=1,COUNTIF(D41:AK41,"=35")&gt;=1,COUNTIF(D41:AK41,"=36")&gt;=1 ),COUNTIF(D41:AK41,"")=0,COUNTIF(D41:AK41," ")=0,COUNTIF(D41:AK41,"F")=1),CONCATENATE(SUM(EXTRACTNUMBER(D41),EXTRACTNUMBER(F41),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EXTRACTNUMBER(AD41),EXTRACTNUMBER(AF41),EXTRACTNUMBER(AH41),EXTRACTNUMBER(AJ41)),"*"),IF(AND(COUNTIF(D41:AK41,"=34")&gt;=1,COUNTIF(D41:AK41,"=35")&gt;=1,COUNTIF(D41:AK41,"f")=2,COUNTIF(D41:AK41,"")=0,COUNTIF(D41:AK41," ")=0),CONCATENATE(SUM(EXTRACTNUMBER(D41),EXTRACTNUMBER(F41),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EXTRACTNUMBER(AD41),EXTRACTNUMBER(AF41),EXTRACTNUMBER(AH41),EXTRACTNUMBER(AJ41)),"*"),IF(AND(COUNTIF(D41:AK41,"=36")&gt;=2,COUNTIF(D41:AK41,"f")=2,COUNTIF(D41:AK41,"")=0,COUNTIF(D41:AK41," ")=0),CONCATENATE(SUM(EXTRACTNUMBER(D41),EXTRACTNUMBER(F41),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EXTRACTNUMBER(AD41),EXTRACTNUMBER(AF41),EXTRACTNUMBER(AH41),EXTRACTNUMBER(AJ41)),"*"),SUM(EXTRACTNUMBER(D41),EXTRACTNUMBER(F41),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EXTRACTNUMBER(AD41),EXTRACTNUMBER(AF41),EXTRACTNUMBER(AH41),EXTRACTNUMBER(AJ41))))),SUM(EXTRACTNUMBER(D41),EXTRACTNUMBER(F41),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EXTRACTNUMBER(AD41),EXTRACTNUMBER(AF41),EXTRACTNUMBER(AH41),EXTRACTNUMBER(AJ41)))</f>
        <v>502</v>
      </c>
      <c r="AM41" s="72" t="s">
        <v>535</v>
      </c>
      <c r="AN41" s="11">
        <f t="shared" si="0"/>
        <v>502</v>
      </c>
      <c r="AO41" s="11" t="str">
        <f t="shared" si="19"/>
        <v>FAIL</v>
      </c>
      <c r="AP41" s="11" t="str">
        <f t="shared" si="1"/>
        <v>--</v>
      </c>
      <c r="AQ41" s="1" t="str">
        <f t="shared" si="20"/>
        <v xml:space="preserve">Five Hundred Two </v>
      </c>
    </row>
    <row r="42" spans="2:43" ht="15.95" customHeight="1">
      <c r="B42" s="67">
        <v>136215</v>
      </c>
      <c r="C42" s="21" t="s">
        <v>38</v>
      </c>
      <c r="D42" s="24">
        <v>52</v>
      </c>
      <c r="E42" s="9" t="str">
        <f t="shared" si="2"/>
        <v/>
      </c>
      <c r="F42" s="22">
        <v>22</v>
      </c>
      <c r="G42" s="9" t="str">
        <f t="shared" si="3"/>
        <v/>
      </c>
      <c r="H42" s="22">
        <v>44</v>
      </c>
      <c r="I42" s="9" t="str">
        <f t="shared" si="4"/>
        <v/>
      </c>
      <c r="J42" s="29">
        <v>61</v>
      </c>
      <c r="K42" s="9" t="str">
        <f t="shared" si="5"/>
        <v/>
      </c>
      <c r="L42" s="22">
        <v>23</v>
      </c>
      <c r="M42" s="9" t="str">
        <f t="shared" si="6"/>
        <v/>
      </c>
      <c r="N42" s="22">
        <v>22</v>
      </c>
      <c r="O42" s="9" t="str">
        <f t="shared" si="7"/>
        <v/>
      </c>
      <c r="P42" s="29">
        <v>64</v>
      </c>
      <c r="Q42" s="9" t="str">
        <f t="shared" si="8"/>
        <v/>
      </c>
      <c r="R42" s="22">
        <v>23</v>
      </c>
      <c r="S42" s="9" t="str">
        <f t="shared" si="9"/>
        <v/>
      </c>
      <c r="T42" s="22">
        <v>42</v>
      </c>
      <c r="U42" s="9" t="str">
        <f t="shared" si="10"/>
        <v/>
      </c>
      <c r="V42" s="29">
        <v>59</v>
      </c>
      <c r="W42" s="9" t="str">
        <f t="shared" si="11"/>
        <v/>
      </c>
      <c r="X42" s="22">
        <v>23</v>
      </c>
      <c r="Y42" s="9" t="str">
        <f t="shared" si="12"/>
        <v/>
      </c>
      <c r="Z42" s="22">
        <v>21</v>
      </c>
      <c r="AA42" s="9" t="str">
        <f t="shared" si="13"/>
        <v/>
      </c>
      <c r="AB42" s="29">
        <v>71</v>
      </c>
      <c r="AC42" s="9" t="str">
        <f t="shared" si="14"/>
        <v/>
      </c>
      <c r="AD42" s="22">
        <v>23</v>
      </c>
      <c r="AE42" s="9" t="str">
        <f t="shared" si="15"/>
        <v/>
      </c>
      <c r="AF42" s="22">
        <v>23</v>
      </c>
      <c r="AG42" s="9" t="str">
        <f t="shared" si="16"/>
        <v/>
      </c>
      <c r="AH42" s="22">
        <v>23</v>
      </c>
      <c r="AI42" s="9" t="str">
        <f t="shared" si="17"/>
        <v/>
      </c>
      <c r="AJ42" s="22">
        <v>23</v>
      </c>
      <c r="AK42" s="9" t="str">
        <f t="shared" si="18"/>
        <v/>
      </c>
      <c r="AL42" s="16">
        <f>IF(OR(AND(D42&gt;=31,D42&lt;40),AND(J42&gt;=31,J42&lt;40),AND(P42&gt;=31,P42&lt;40),AND(V42&gt;=31,V42&lt;40),AND(AB42&gt;=31,AB42&lt;40)),IF(AND(OR(COUNTIF(D42:AK42,"=31")&gt;=1,COUNTIF(D42:AK42,"=32")&gt;=1,COUNTIF(D42:AK42,"=33")&gt;=1,COUNTIF(D42:AK42,"=34")&gt;=1,COUNTIF(D42:AK42,"=35")&gt;=1,COUNTIF(D42:AK42,"=36")&gt;=1 ),COUNTIF(D42:AK42,"")=0,COUNTIF(D42:AK42," ")=0,COUNTIF(D42:AK42,"F")=1),CONCATENATE(SUM(EXTRACTNUMBER(D42),EXTRACTNUMBER(F42),
EXTRACTNUMBER(H42),EXTRACTNUMBER(J42),
EXTRACTNUMBER(L42),EXTRACTNUMBER(N42),
EXTRACTNUMBER(P42),EXTRACTNUMBER(R42),
EXTRACTNUMBER(T42),EXTRACTNUMBER(V42),
EXTRACTNUMBER(X42),EXTRACTNUMBER(Z42),EXTRACTNUMBER(AB42),
EXTRACTNUMBER(AD42),EXTRACTNUMBER(AF42),EXTRACTNUMBER(AH42),EXTRACTNUMBER(AJ42)),"*"),IF(AND(COUNTIF(D42:AK42,"=34")&gt;=1,COUNTIF(D42:AK42,"=35")&gt;=1,COUNTIF(D42:AK42,"f")=2,COUNTIF(D42:AK42,"")=0,COUNTIF(D42:AK42," ")=0),CONCATENATE(SUM(EXTRACTNUMBER(D42),EXTRACTNUMBER(F42),
EXTRACTNUMBER(H42),EXTRACTNUMBER(J42),
EXTRACTNUMBER(L42),EXTRACTNUMBER(N42),
EXTRACTNUMBER(P42),EXTRACTNUMBER(R42),
EXTRACTNUMBER(T42),EXTRACTNUMBER(V42),
EXTRACTNUMBER(X42),EXTRACTNUMBER(Z42),EXTRACTNUMBER(AB42),
EXTRACTNUMBER(AD42),EXTRACTNUMBER(AF42),EXTRACTNUMBER(AH42),EXTRACTNUMBER(AJ42)),"*"),IF(AND(COUNTIF(D42:AK42,"=36")&gt;=2,COUNTIF(D42:AK42,"f")=2,COUNTIF(D42:AK42,"")=0,COUNTIF(D42:AK42," ")=0),CONCATENATE(SUM(EXTRACTNUMBER(D42),EXTRACTNUMBER(F42),
EXTRACTNUMBER(H42),EXTRACTNUMBER(J42),
EXTRACTNUMBER(L42),EXTRACTNUMBER(N42),
EXTRACTNUMBER(P42),EXTRACTNUMBER(R42),
EXTRACTNUMBER(T42),EXTRACTNUMBER(V42),
EXTRACTNUMBER(X42),EXTRACTNUMBER(Z42),EXTRACTNUMBER(AB42),
EXTRACTNUMBER(AD42),EXTRACTNUMBER(AF42),EXTRACTNUMBER(AH42),EXTRACTNUMBER(AJ42)),"*"),SUM(EXTRACTNUMBER(D42),EXTRACTNUMBER(F42),
EXTRACTNUMBER(H42),EXTRACTNUMBER(J42),
EXTRACTNUMBER(L42),EXTRACTNUMBER(N42),
EXTRACTNUMBER(P42),EXTRACTNUMBER(R42),
EXTRACTNUMBER(T42),EXTRACTNUMBER(V42),
EXTRACTNUMBER(X42),EXTRACTNUMBER(Z42),EXTRACTNUMBER(AB42),
EXTRACTNUMBER(AD42),EXTRACTNUMBER(AF42),EXTRACTNUMBER(AH42),EXTRACTNUMBER(AJ42))))),SUM(EXTRACTNUMBER(D42),EXTRACTNUMBER(F42),
EXTRACTNUMBER(H42),EXTRACTNUMBER(J42),
EXTRACTNUMBER(L42),EXTRACTNUMBER(N42),
EXTRACTNUMBER(P42),EXTRACTNUMBER(R42),
EXTRACTNUMBER(T42),EXTRACTNUMBER(V42),
EXTRACTNUMBER(X42),EXTRACTNUMBER(Z42),EXTRACTNUMBER(AB42),
EXTRACTNUMBER(AD42),EXTRACTNUMBER(AF42),EXTRACTNUMBER(AH42),EXTRACTNUMBER(AJ42)))</f>
        <v>619</v>
      </c>
      <c r="AM42" s="72" t="s">
        <v>233</v>
      </c>
      <c r="AN42" s="11">
        <f t="shared" si="0"/>
        <v>1210</v>
      </c>
      <c r="AO42" s="11" t="str">
        <f t="shared" si="19"/>
        <v>PASS</v>
      </c>
      <c r="AP42" s="11" t="str">
        <f t="shared" si="1"/>
        <v>I</v>
      </c>
      <c r="AQ42" s="1" t="str">
        <f t="shared" si="20"/>
        <v xml:space="preserve">One Thousand Two Hundred Ten </v>
      </c>
    </row>
    <row r="43" spans="2:43" ht="15.95" customHeight="1">
      <c r="B43" s="67">
        <v>136216</v>
      </c>
      <c r="C43" s="21" t="s">
        <v>39</v>
      </c>
      <c r="D43" s="24">
        <v>45</v>
      </c>
      <c r="E43" s="9" t="str">
        <f t="shared" si="2"/>
        <v/>
      </c>
      <c r="F43" s="22">
        <v>23</v>
      </c>
      <c r="G43" s="9" t="str">
        <f t="shared" si="3"/>
        <v/>
      </c>
      <c r="H43" s="22">
        <v>46</v>
      </c>
      <c r="I43" s="9" t="str">
        <f t="shared" si="4"/>
        <v/>
      </c>
      <c r="J43" s="29">
        <v>43</v>
      </c>
      <c r="K43" s="9" t="str">
        <f t="shared" si="5"/>
        <v/>
      </c>
      <c r="L43" s="22">
        <v>23</v>
      </c>
      <c r="M43" s="9" t="str">
        <f t="shared" si="6"/>
        <v/>
      </c>
      <c r="N43" s="22">
        <v>23</v>
      </c>
      <c r="O43" s="9" t="str">
        <f t="shared" si="7"/>
        <v/>
      </c>
      <c r="P43" s="29">
        <v>47</v>
      </c>
      <c r="Q43" s="9" t="str">
        <f t="shared" si="8"/>
        <v/>
      </c>
      <c r="R43" s="22">
        <v>23</v>
      </c>
      <c r="S43" s="9" t="str">
        <f t="shared" si="9"/>
        <v/>
      </c>
      <c r="T43" s="22">
        <v>44</v>
      </c>
      <c r="U43" s="9" t="str">
        <f t="shared" si="10"/>
        <v/>
      </c>
      <c r="V43" s="29">
        <v>41</v>
      </c>
      <c r="W43" s="9" t="str">
        <f t="shared" si="11"/>
        <v/>
      </c>
      <c r="X43" s="22">
        <v>23</v>
      </c>
      <c r="Y43" s="9" t="str">
        <f t="shared" si="12"/>
        <v/>
      </c>
      <c r="Z43" s="22">
        <v>23</v>
      </c>
      <c r="AA43" s="9" t="str">
        <f t="shared" si="13"/>
        <v/>
      </c>
      <c r="AB43" s="29">
        <v>56</v>
      </c>
      <c r="AC43" s="9" t="str">
        <f t="shared" si="14"/>
        <v/>
      </c>
      <c r="AD43" s="22">
        <v>23</v>
      </c>
      <c r="AE43" s="9" t="str">
        <f t="shared" si="15"/>
        <v/>
      </c>
      <c r="AF43" s="22">
        <v>22</v>
      </c>
      <c r="AG43" s="9" t="str">
        <f t="shared" si="16"/>
        <v/>
      </c>
      <c r="AH43" s="22">
        <v>23</v>
      </c>
      <c r="AI43" s="9" t="str">
        <f t="shared" si="17"/>
        <v/>
      </c>
      <c r="AJ43" s="22">
        <v>23</v>
      </c>
      <c r="AK43" s="9" t="str">
        <f t="shared" si="18"/>
        <v/>
      </c>
      <c r="AL43" s="16">
        <f>IF(OR(AND(D43&gt;=31,D43&lt;40),AND(J43&gt;=31,J43&lt;40),AND(P43&gt;=31,P43&lt;40),AND(V43&gt;=31,V43&lt;40),AND(AB43&gt;=31,AB43&lt;40)),IF(AND(OR(COUNTIF(D43:AK43,"=31")&gt;=1,COUNTIF(D43:AK43,"=32")&gt;=1,COUNTIF(D43:AK43,"=33")&gt;=1,COUNTIF(D43:AK43,"=34")&gt;=1,COUNTIF(D43:AK43,"=35")&gt;=1,COUNTIF(D43:AK43,"=36")&gt;=1 ),COUNTIF(D43:AK43,"")=0,COUNTIF(D43:AK43," ")=0,COUNTIF(D43:AK43,"F")=1),CONCATENATE(SUM(EXTRACTNUMBER(D43),EXTRACTNUMBER(F43),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EXTRACTNUMBER(AD43),EXTRACTNUMBER(AF43),EXTRACTNUMBER(AH43),EXTRACTNUMBER(AJ43)),"*"),IF(AND(COUNTIF(D43:AK43,"=34")&gt;=1,COUNTIF(D43:AK43,"=35")&gt;=1,COUNTIF(D43:AK43,"f")=2,COUNTIF(D43:AK43,"")=0,COUNTIF(D43:AK43," ")=0),CONCATENATE(SUM(EXTRACTNUMBER(D43),EXTRACTNUMBER(F43),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EXTRACTNUMBER(AD43),EXTRACTNUMBER(AF43),EXTRACTNUMBER(AH43),EXTRACTNUMBER(AJ43)),"*"),IF(AND(COUNTIF(D43:AK43,"=36")&gt;=2,COUNTIF(D43:AK43,"f")=2,COUNTIF(D43:AK43,"")=0,COUNTIF(D43:AK43," ")=0),CONCATENATE(SUM(EXTRACTNUMBER(D43),EXTRACTNUMBER(F43),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EXTRACTNUMBER(AD43),EXTRACTNUMBER(AF43),EXTRACTNUMBER(AH43),EXTRACTNUMBER(AJ43)),"*"),SUM(EXTRACTNUMBER(D43),EXTRACTNUMBER(F43),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EXTRACTNUMBER(AD43),EXTRACTNUMBER(AF43),EXTRACTNUMBER(AH43),EXTRACTNUMBER(AJ43))))),SUM(EXTRACTNUMBER(D43),EXTRACTNUMBER(F43),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EXTRACTNUMBER(AD43),EXTRACTNUMBER(AF43),EXTRACTNUMBER(AH43),EXTRACTNUMBER(AJ43)))</f>
        <v>551</v>
      </c>
      <c r="AM43" s="72" t="s">
        <v>234</v>
      </c>
      <c r="AN43" s="11">
        <f t="shared" si="0"/>
        <v>1038</v>
      </c>
      <c r="AO43" s="11" t="str">
        <f t="shared" si="19"/>
        <v>PASS</v>
      </c>
      <c r="AP43" s="11" t="str">
        <f t="shared" si="1"/>
        <v>I</v>
      </c>
      <c r="AQ43" s="1" t="str">
        <f t="shared" si="20"/>
        <v xml:space="preserve">One Thousand Thirty Eight </v>
      </c>
    </row>
    <row r="44" spans="2:43" ht="15.95" customHeight="1">
      <c r="B44" s="67">
        <v>136217</v>
      </c>
      <c r="C44" s="21" t="s">
        <v>40</v>
      </c>
      <c r="D44" s="24">
        <v>40</v>
      </c>
      <c r="E44" s="9" t="str">
        <f t="shared" si="2"/>
        <v>E</v>
      </c>
      <c r="F44" s="22">
        <v>23</v>
      </c>
      <c r="G44" s="9" t="str">
        <f t="shared" si="3"/>
        <v>E</v>
      </c>
      <c r="H44" s="22">
        <v>46</v>
      </c>
      <c r="I44" s="9" t="str">
        <f t="shared" si="4"/>
        <v>E</v>
      </c>
      <c r="J44" s="29">
        <v>21</v>
      </c>
      <c r="K44" s="9" t="str">
        <f t="shared" si="5"/>
        <v>F</v>
      </c>
      <c r="L44" s="22">
        <v>23</v>
      </c>
      <c r="M44" s="9" t="str">
        <f t="shared" si="6"/>
        <v>E</v>
      </c>
      <c r="N44" s="22">
        <v>22</v>
      </c>
      <c r="O44" s="9" t="str">
        <f t="shared" si="7"/>
        <v>E</v>
      </c>
      <c r="P44" s="29">
        <v>7</v>
      </c>
      <c r="Q44" s="9" t="str">
        <f t="shared" si="8"/>
        <v>F</v>
      </c>
      <c r="R44" s="22">
        <v>23</v>
      </c>
      <c r="S44" s="9" t="str">
        <f t="shared" si="9"/>
        <v>E</v>
      </c>
      <c r="T44" s="22">
        <v>44</v>
      </c>
      <c r="U44" s="9" t="str">
        <f t="shared" si="10"/>
        <v>E</v>
      </c>
      <c r="V44" s="29">
        <v>0</v>
      </c>
      <c r="W44" s="9" t="str">
        <f t="shared" si="11"/>
        <v>F</v>
      </c>
      <c r="X44" s="22">
        <v>23</v>
      </c>
      <c r="Y44" s="9" t="str">
        <f t="shared" si="12"/>
        <v>E</v>
      </c>
      <c r="Z44" s="22">
        <v>23</v>
      </c>
      <c r="AA44" s="9" t="str">
        <f t="shared" si="13"/>
        <v>E</v>
      </c>
      <c r="AB44" s="29">
        <v>40</v>
      </c>
      <c r="AC44" s="9" t="str">
        <f t="shared" si="14"/>
        <v>E</v>
      </c>
      <c r="AD44" s="22">
        <v>23</v>
      </c>
      <c r="AE44" s="9" t="str">
        <f t="shared" si="15"/>
        <v>E</v>
      </c>
      <c r="AF44" s="22">
        <v>21</v>
      </c>
      <c r="AG44" s="9" t="str">
        <f t="shared" si="16"/>
        <v>E</v>
      </c>
      <c r="AH44" s="22">
        <v>23</v>
      </c>
      <c r="AI44" s="9" t="str">
        <f t="shared" si="17"/>
        <v>E</v>
      </c>
      <c r="AJ44" s="22">
        <v>23</v>
      </c>
      <c r="AK44" s="9" t="str">
        <f t="shared" si="18"/>
        <v>E</v>
      </c>
      <c r="AL44" s="16">
        <f>IF(OR(AND(D44&gt;=31,D44&lt;40),AND(J44&gt;=31,J44&lt;40),AND(P44&gt;=31,P44&lt;40),AND(V44&gt;=31,V44&lt;40),AND(AB44&gt;=31,AB44&lt;40)),IF(AND(OR(COUNTIF(D44:AK44,"=31")&gt;=1,COUNTIF(D44:AK44,"=32")&gt;=1,COUNTIF(D44:AK44,"=33")&gt;=1,COUNTIF(D44:AK44,"=34")&gt;=1,COUNTIF(D44:AK44,"=35")&gt;=1,COUNTIF(D44:AK44,"=36")&gt;=1 ),COUNTIF(D44:AK44,"")=0,COUNTIF(D44:AK44," ")=0,COUNTIF(D44:AK44,"F")=1),CONCATENATE(SUM(EXTRACTNUMBER(D44),EXTRACTNUMBER(F44),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EXTRACTNUMBER(AD44),EXTRACTNUMBER(AF44),EXTRACTNUMBER(AH44),EXTRACTNUMBER(AJ44)),"*"),IF(AND(COUNTIF(D44:AK44,"=34")&gt;=1,COUNTIF(D44:AK44,"=35")&gt;=1,COUNTIF(D44:AK44,"f")=2,COUNTIF(D44:AK44,"")=0,COUNTIF(D44:AK44," ")=0),CONCATENATE(SUM(EXTRACTNUMBER(D44),EXTRACTNUMBER(F44),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EXTRACTNUMBER(AD44),EXTRACTNUMBER(AF44),EXTRACTNUMBER(AH44),EXTRACTNUMBER(AJ44)),"*"),IF(AND(COUNTIF(D44:AK44,"=36")&gt;=2,COUNTIF(D44:AK44,"f")=2,COUNTIF(D44:AK44,"")=0,COUNTIF(D44:AK44," ")=0),CONCATENATE(SUM(EXTRACTNUMBER(D44),EXTRACTNUMBER(F44),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EXTRACTNUMBER(AD44),EXTRACTNUMBER(AF44),EXTRACTNUMBER(AH44),EXTRACTNUMBER(AJ44)),"*"),SUM(EXTRACTNUMBER(D44),EXTRACTNUMBER(F44),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EXTRACTNUMBER(AD44),EXTRACTNUMBER(AF44),EXTRACTNUMBER(AH44),EXTRACTNUMBER(AJ44))))),SUM(EXTRACTNUMBER(D44),EXTRACTNUMBER(F44),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EXTRACTNUMBER(AD44),EXTRACTNUMBER(AF44),EXTRACTNUMBER(AH44),EXTRACTNUMBER(AJ44)))</f>
        <v>425</v>
      </c>
      <c r="AM44" s="72" t="s">
        <v>535</v>
      </c>
      <c r="AN44" s="11">
        <f t="shared" si="0"/>
        <v>425</v>
      </c>
      <c r="AO44" s="11" t="str">
        <f t="shared" si="19"/>
        <v>FAIL</v>
      </c>
      <c r="AP44" s="11" t="str">
        <f t="shared" si="1"/>
        <v>--</v>
      </c>
      <c r="AQ44" s="1" t="str">
        <f t="shared" si="20"/>
        <v xml:space="preserve">Four Hundred Twenty Five </v>
      </c>
    </row>
    <row r="45" spans="2:43" ht="15.95" customHeight="1">
      <c r="B45" s="67">
        <v>136218</v>
      </c>
      <c r="C45" s="21" t="s">
        <v>41</v>
      </c>
      <c r="D45" s="24">
        <v>50</v>
      </c>
      <c r="E45" s="9" t="str">
        <f t="shared" si="2"/>
        <v/>
      </c>
      <c r="F45" s="22">
        <v>20</v>
      </c>
      <c r="G45" s="9" t="str">
        <f t="shared" si="3"/>
        <v/>
      </c>
      <c r="H45" s="22">
        <v>44</v>
      </c>
      <c r="I45" s="9" t="str">
        <f t="shared" si="4"/>
        <v/>
      </c>
      <c r="J45" s="29">
        <v>62</v>
      </c>
      <c r="K45" s="9" t="str">
        <f t="shared" si="5"/>
        <v/>
      </c>
      <c r="L45" s="22">
        <v>20</v>
      </c>
      <c r="M45" s="9" t="str">
        <f t="shared" si="6"/>
        <v/>
      </c>
      <c r="N45" s="22">
        <v>22</v>
      </c>
      <c r="O45" s="9" t="str">
        <f t="shared" si="7"/>
        <v/>
      </c>
      <c r="P45" s="29">
        <v>66</v>
      </c>
      <c r="Q45" s="9" t="str">
        <f t="shared" si="8"/>
        <v/>
      </c>
      <c r="R45" s="22">
        <v>20</v>
      </c>
      <c r="S45" s="9" t="str">
        <f t="shared" si="9"/>
        <v/>
      </c>
      <c r="T45" s="22">
        <v>46</v>
      </c>
      <c r="U45" s="9" t="str">
        <f t="shared" si="10"/>
        <v/>
      </c>
      <c r="V45" s="29">
        <v>57</v>
      </c>
      <c r="W45" s="9" t="str">
        <f t="shared" si="11"/>
        <v/>
      </c>
      <c r="X45" s="22">
        <v>20</v>
      </c>
      <c r="Y45" s="9" t="str">
        <f t="shared" si="12"/>
        <v/>
      </c>
      <c r="Z45" s="22">
        <v>21</v>
      </c>
      <c r="AA45" s="9" t="str">
        <f t="shared" si="13"/>
        <v/>
      </c>
      <c r="AB45" s="29">
        <v>58</v>
      </c>
      <c r="AC45" s="9" t="str">
        <f t="shared" si="14"/>
        <v/>
      </c>
      <c r="AD45" s="22">
        <v>20</v>
      </c>
      <c r="AE45" s="9" t="str">
        <f t="shared" si="15"/>
        <v/>
      </c>
      <c r="AF45" s="22">
        <v>20</v>
      </c>
      <c r="AG45" s="9" t="str">
        <f t="shared" si="16"/>
        <v/>
      </c>
      <c r="AH45" s="22">
        <v>20</v>
      </c>
      <c r="AI45" s="9" t="str">
        <f t="shared" si="17"/>
        <v/>
      </c>
      <c r="AJ45" s="22">
        <v>21</v>
      </c>
      <c r="AK45" s="9" t="str">
        <f t="shared" si="18"/>
        <v/>
      </c>
      <c r="AL45" s="16">
        <f>IF(OR(AND(D45&gt;=31,D45&lt;40),AND(J45&gt;=31,J45&lt;40),AND(P45&gt;=31,P45&lt;40),AND(V45&gt;=31,V45&lt;40),AND(AB45&gt;=31,AB45&lt;40)),IF(AND(OR(COUNTIF(D45:AK45,"=31")&gt;=1,COUNTIF(D45:AK45,"=32")&gt;=1,COUNTIF(D45:AK45,"=33")&gt;=1,COUNTIF(D45:AK45,"=34")&gt;=1,COUNTIF(D45:AK45,"=35")&gt;=1,COUNTIF(D45:AK45,"=36")&gt;=1 ),COUNTIF(D45:AK45,"")=0,COUNTIF(D45:AK45," ")=0,COUNTIF(D45:AK45,"F")=1),CONCATENATE(SUM(EXTRACTNUMBER(D45),EXTRACTNUMBER(F45),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EXTRACTNUMBER(AD45),EXTRACTNUMBER(AF45),EXTRACTNUMBER(AH45),EXTRACTNUMBER(AJ45)),"*"),IF(AND(COUNTIF(D45:AK45,"=34")&gt;=1,COUNTIF(D45:AK45,"=35")&gt;=1,COUNTIF(D45:AK45,"f")=2,COUNTIF(D45:AK45,"")=0,COUNTIF(D45:AK45," ")=0),CONCATENATE(SUM(EXTRACTNUMBER(D45),EXTRACTNUMBER(F45),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EXTRACTNUMBER(AD45),EXTRACTNUMBER(AF45),EXTRACTNUMBER(AH45),EXTRACTNUMBER(AJ45)),"*"),IF(AND(COUNTIF(D45:AK45,"=36")&gt;=2,COUNTIF(D45:AK45,"f")=2,COUNTIF(D45:AK45,"")=0,COUNTIF(D45:AK45," ")=0),CONCATENATE(SUM(EXTRACTNUMBER(D45),EXTRACTNUMBER(F45),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EXTRACTNUMBER(AD45),EXTRACTNUMBER(AF45),EXTRACTNUMBER(AH45),EXTRACTNUMBER(AJ45)),"*"),SUM(EXTRACTNUMBER(D45),EXTRACTNUMBER(F45),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EXTRACTNUMBER(AD45),EXTRACTNUMBER(AF45),EXTRACTNUMBER(AH45),EXTRACTNUMBER(AJ45))))),SUM(EXTRACTNUMBER(D45),EXTRACTNUMBER(F45),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EXTRACTNUMBER(AD45),EXTRACTNUMBER(AF45),EXTRACTNUMBER(AH45),EXTRACTNUMBER(AJ45)))</f>
        <v>587</v>
      </c>
      <c r="AM45" s="72" t="s">
        <v>223</v>
      </c>
      <c r="AN45" s="11">
        <f t="shared" si="0"/>
        <v>1144</v>
      </c>
      <c r="AO45" s="11" t="str">
        <f t="shared" si="19"/>
        <v>PASS</v>
      </c>
      <c r="AP45" s="11" t="str">
        <f t="shared" si="1"/>
        <v>I</v>
      </c>
      <c r="AQ45" s="1" t="str">
        <f t="shared" si="20"/>
        <v xml:space="preserve">One Thousand One Hundred Forty Four </v>
      </c>
    </row>
    <row r="46" spans="2:43" ht="15.95" customHeight="1">
      <c r="B46" s="67">
        <v>136219</v>
      </c>
      <c r="C46" s="21" t="s">
        <v>42</v>
      </c>
      <c r="D46" s="24">
        <v>64</v>
      </c>
      <c r="E46" s="9" t="str">
        <f t="shared" si="2"/>
        <v/>
      </c>
      <c r="F46" s="22">
        <v>21</v>
      </c>
      <c r="G46" s="9" t="str">
        <f t="shared" si="3"/>
        <v/>
      </c>
      <c r="H46" s="22">
        <v>46</v>
      </c>
      <c r="I46" s="9" t="str">
        <f t="shared" si="4"/>
        <v/>
      </c>
      <c r="J46" s="29">
        <v>40</v>
      </c>
      <c r="K46" s="9" t="str">
        <f t="shared" si="5"/>
        <v/>
      </c>
      <c r="L46" s="22">
        <v>22</v>
      </c>
      <c r="M46" s="9" t="str">
        <f t="shared" si="6"/>
        <v/>
      </c>
      <c r="N46" s="22">
        <v>23</v>
      </c>
      <c r="O46" s="9" t="str">
        <f t="shared" si="7"/>
        <v/>
      </c>
      <c r="P46" s="29">
        <v>64</v>
      </c>
      <c r="Q46" s="9" t="str">
        <f t="shared" si="8"/>
        <v/>
      </c>
      <c r="R46" s="22">
        <v>19</v>
      </c>
      <c r="S46" s="9" t="str">
        <f t="shared" si="9"/>
        <v/>
      </c>
      <c r="T46" s="22">
        <v>44</v>
      </c>
      <c r="U46" s="9" t="str">
        <f t="shared" si="10"/>
        <v/>
      </c>
      <c r="V46" s="29">
        <v>65</v>
      </c>
      <c r="W46" s="9" t="str">
        <f t="shared" si="11"/>
        <v/>
      </c>
      <c r="X46" s="22">
        <v>20</v>
      </c>
      <c r="Y46" s="9" t="str">
        <f t="shared" si="12"/>
        <v/>
      </c>
      <c r="Z46" s="22">
        <v>21</v>
      </c>
      <c r="AA46" s="9" t="str">
        <f t="shared" si="13"/>
        <v/>
      </c>
      <c r="AB46" s="29">
        <v>69</v>
      </c>
      <c r="AC46" s="9" t="str">
        <f t="shared" si="14"/>
        <v/>
      </c>
      <c r="AD46" s="22">
        <v>19</v>
      </c>
      <c r="AE46" s="9" t="str">
        <f t="shared" si="15"/>
        <v/>
      </c>
      <c r="AF46" s="22">
        <v>21</v>
      </c>
      <c r="AG46" s="9" t="str">
        <f t="shared" si="16"/>
        <v/>
      </c>
      <c r="AH46" s="22">
        <v>20</v>
      </c>
      <c r="AI46" s="9" t="str">
        <f t="shared" si="17"/>
        <v/>
      </c>
      <c r="AJ46" s="22">
        <v>23</v>
      </c>
      <c r="AK46" s="9" t="str">
        <f t="shared" si="18"/>
        <v/>
      </c>
      <c r="AL46" s="16">
        <f>IF(OR(AND(D46&gt;=31,D46&lt;40),AND(J46&gt;=31,J46&lt;40),AND(P46&gt;=31,P46&lt;40),AND(V46&gt;=31,V46&lt;40),AND(AB46&gt;=31,AB46&lt;40)),IF(AND(OR(COUNTIF(D46:AK46,"=31")&gt;=1,COUNTIF(D46:AK46,"=32")&gt;=1,COUNTIF(D46:AK46,"=33")&gt;=1,COUNTIF(D46:AK46,"=34")&gt;=1,COUNTIF(D46:AK46,"=35")&gt;=1,COUNTIF(D46:AK46,"=36")&gt;=1 ),COUNTIF(D46:AK46,"")=0,COUNTIF(D46:AK46," ")=0,COUNTIF(D46:AK46,"F")=1),CONCATENATE(SUM(EXTRACTNUMBER(D46),EXTRACTNUMBER(F46),
EXTRACTNUMBER(H46),EXTRACTNUMBER(J46),
EXTRACTNUMBER(L46),EXTRACTNUMBER(N46),
EXTRACTNUMBER(P46),EXTRACTNUMBER(R46),
EXTRACTNUMBER(T46),EXTRACTNUMBER(V46),
EXTRACTNUMBER(X46),EXTRACTNUMBER(Z46),EXTRACTNUMBER(AB46),
EXTRACTNUMBER(AD46),EXTRACTNUMBER(AF46),EXTRACTNUMBER(AH46),EXTRACTNUMBER(AJ46)),"*"),IF(AND(COUNTIF(D46:AK46,"=34")&gt;=1,COUNTIF(D46:AK46,"=35")&gt;=1,COUNTIF(D46:AK46,"f")=2,COUNTIF(D46:AK46,"")=0,COUNTIF(D46:AK46," ")=0),CONCATENATE(SUM(EXTRACTNUMBER(D46),EXTRACTNUMBER(F46),
EXTRACTNUMBER(H46),EXTRACTNUMBER(J46),
EXTRACTNUMBER(L46),EXTRACTNUMBER(N46),
EXTRACTNUMBER(P46),EXTRACTNUMBER(R46),
EXTRACTNUMBER(T46),EXTRACTNUMBER(V46),
EXTRACTNUMBER(X46),EXTRACTNUMBER(Z46),EXTRACTNUMBER(AB46),
EXTRACTNUMBER(AD46),EXTRACTNUMBER(AF46),EXTRACTNUMBER(AH46),EXTRACTNUMBER(AJ46)),"*"),IF(AND(COUNTIF(D46:AK46,"=36")&gt;=2,COUNTIF(D46:AK46,"f")=2,COUNTIF(D46:AK46,"")=0,COUNTIF(D46:AK46," ")=0),CONCATENATE(SUM(EXTRACTNUMBER(D46),EXTRACTNUMBER(F46),
EXTRACTNUMBER(H46),EXTRACTNUMBER(J46),
EXTRACTNUMBER(L46),EXTRACTNUMBER(N46),
EXTRACTNUMBER(P46),EXTRACTNUMBER(R46),
EXTRACTNUMBER(T46),EXTRACTNUMBER(V46),
EXTRACTNUMBER(X46),EXTRACTNUMBER(Z46),EXTRACTNUMBER(AB46),
EXTRACTNUMBER(AD46),EXTRACTNUMBER(AF46),EXTRACTNUMBER(AH46),EXTRACTNUMBER(AJ46)),"*"),SUM(EXTRACTNUMBER(D46),EXTRACTNUMBER(F46),
EXTRACTNUMBER(H46),EXTRACTNUMBER(J46),
EXTRACTNUMBER(L46),EXTRACTNUMBER(N46),
EXTRACTNUMBER(P46),EXTRACTNUMBER(R46),
EXTRACTNUMBER(T46),EXTRACTNUMBER(V46),
EXTRACTNUMBER(X46),EXTRACTNUMBER(Z46),EXTRACTNUMBER(AB46),
EXTRACTNUMBER(AD46),EXTRACTNUMBER(AF46),EXTRACTNUMBER(AH46),EXTRACTNUMBER(AJ46))))),SUM(EXTRACTNUMBER(D46),EXTRACTNUMBER(F46),
EXTRACTNUMBER(H46),EXTRACTNUMBER(J46),
EXTRACTNUMBER(L46),EXTRACTNUMBER(N46),
EXTRACTNUMBER(P46),EXTRACTNUMBER(R46),
EXTRACTNUMBER(T46),EXTRACTNUMBER(V46),
EXTRACTNUMBER(X46),EXTRACTNUMBER(Z46),EXTRACTNUMBER(AB46),
EXTRACTNUMBER(AD46),EXTRACTNUMBER(AF46),EXTRACTNUMBER(AH46),EXTRACTNUMBER(AJ46)))</f>
        <v>601</v>
      </c>
      <c r="AM46" s="72" t="s">
        <v>235</v>
      </c>
      <c r="AN46" s="11">
        <f t="shared" si="0"/>
        <v>1171</v>
      </c>
      <c r="AO46" s="11" t="str">
        <f t="shared" si="19"/>
        <v>PASS</v>
      </c>
      <c r="AP46" s="11" t="str">
        <f t="shared" si="1"/>
        <v>I</v>
      </c>
      <c r="AQ46" s="1" t="str">
        <f t="shared" si="20"/>
        <v xml:space="preserve">One Thousand One Hundred Seventy One </v>
      </c>
    </row>
    <row r="47" spans="2:43" ht="15.95" customHeight="1">
      <c r="B47" s="67">
        <v>136220</v>
      </c>
      <c r="C47" s="21" t="s">
        <v>43</v>
      </c>
      <c r="D47" s="24">
        <v>40</v>
      </c>
      <c r="E47" s="9" t="str">
        <f t="shared" si="2"/>
        <v/>
      </c>
      <c r="F47" s="22">
        <v>23</v>
      </c>
      <c r="G47" s="9" t="str">
        <f t="shared" si="3"/>
        <v/>
      </c>
      <c r="H47" s="22">
        <v>44</v>
      </c>
      <c r="I47" s="9" t="str">
        <f t="shared" si="4"/>
        <v/>
      </c>
      <c r="J47" s="29">
        <v>49</v>
      </c>
      <c r="K47" s="9" t="str">
        <f t="shared" si="5"/>
        <v/>
      </c>
      <c r="L47" s="22">
        <v>23</v>
      </c>
      <c r="M47" s="9" t="str">
        <f t="shared" si="6"/>
        <v/>
      </c>
      <c r="N47" s="22">
        <v>22</v>
      </c>
      <c r="O47" s="9" t="str">
        <f t="shared" si="7"/>
        <v/>
      </c>
      <c r="P47" s="29">
        <v>52</v>
      </c>
      <c r="Q47" s="9" t="str">
        <f t="shared" si="8"/>
        <v/>
      </c>
      <c r="R47" s="22">
        <v>23</v>
      </c>
      <c r="S47" s="9" t="str">
        <f t="shared" si="9"/>
        <v/>
      </c>
      <c r="T47" s="22">
        <v>42</v>
      </c>
      <c r="U47" s="9" t="str">
        <f t="shared" si="10"/>
        <v/>
      </c>
      <c r="V47" s="29">
        <v>52</v>
      </c>
      <c r="W47" s="9" t="str">
        <f t="shared" si="11"/>
        <v/>
      </c>
      <c r="X47" s="22">
        <v>23</v>
      </c>
      <c r="Y47" s="9" t="str">
        <f t="shared" si="12"/>
        <v/>
      </c>
      <c r="Z47" s="22">
        <v>22</v>
      </c>
      <c r="AA47" s="9" t="str">
        <f t="shared" si="13"/>
        <v/>
      </c>
      <c r="AB47" s="29">
        <v>40</v>
      </c>
      <c r="AC47" s="9" t="str">
        <f t="shared" si="14"/>
        <v/>
      </c>
      <c r="AD47" s="22">
        <v>23</v>
      </c>
      <c r="AE47" s="9" t="str">
        <f t="shared" si="15"/>
        <v/>
      </c>
      <c r="AF47" s="22">
        <v>20</v>
      </c>
      <c r="AG47" s="9" t="str">
        <f t="shared" si="16"/>
        <v/>
      </c>
      <c r="AH47" s="22">
        <v>23</v>
      </c>
      <c r="AI47" s="9" t="str">
        <f t="shared" si="17"/>
        <v/>
      </c>
      <c r="AJ47" s="22">
        <v>23</v>
      </c>
      <c r="AK47" s="9" t="str">
        <f t="shared" si="18"/>
        <v/>
      </c>
      <c r="AL47" s="16">
        <f>IF(OR(AND(D47&gt;=31,D47&lt;40),AND(J47&gt;=31,J47&lt;40),AND(P47&gt;=31,P47&lt;40),AND(V47&gt;=31,V47&lt;40),AND(AB47&gt;=31,AB47&lt;40)),IF(AND(OR(COUNTIF(D47:AK47,"=31")&gt;=1,COUNTIF(D47:AK47,"=32")&gt;=1,COUNTIF(D47:AK47,"=33")&gt;=1,COUNTIF(D47:AK47,"=34")&gt;=1,COUNTIF(D47:AK47,"=35")&gt;=1,COUNTIF(D47:AK47,"=36")&gt;=1 ),COUNTIF(D47:AK47,"")=0,COUNTIF(D47:AK47," ")=0,COUNTIF(D47:AK47,"F")=1),CONCATENATE(SUM(EXTRACTNUMBER(D47),EXTRACTNUMBER(F47),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EXTRACTNUMBER(AD47),EXTRACTNUMBER(AF47),EXTRACTNUMBER(AH47),EXTRACTNUMBER(AJ47)),"*"),IF(AND(COUNTIF(D47:AK47,"=34")&gt;=1,COUNTIF(D47:AK47,"=35")&gt;=1,COUNTIF(D47:AK47,"f")=2,COUNTIF(D47:AK47,"")=0,COUNTIF(D47:AK47," ")=0),CONCATENATE(SUM(EXTRACTNUMBER(D47),EXTRACTNUMBER(F47),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EXTRACTNUMBER(AD47),EXTRACTNUMBER(AF47),EXTRACTNUMBER(AH47),EXTRACTNUMBER(AJ47)),"*"),IF(AND(COUNTIF(D47:AK47,"=36")&gt;=2,COUNTIF(D47:AK47,"f")=2,COUNTIF(D47:AK47,"")=0,COUNTIF(D47:AK47," ")=0),CONCATENATE(SUM(EXTRACTNUMBER(D47),EXTRACTNUMBER(F47),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EXTRACTNUMBER(AD47),EXTRACTNUMBER(AF47),EXTRACTNUMBER(AH47),EXTRACTNUMBER(AJ47)),"*"),SUM(EXTRACTNUMBER(D47),EXTRACTNUMBER(F47),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EXTRACTNUMBER(AD47),EXTRACTNUMBER(AF47),EXTRACTNUMBER(AH47),EXTRACTNUMBER(AJ47))))),SUM(EXTRACTNUMBER(D47),EXTRACTNUMBER(F47),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EXTRACTNUMBER(AD47),EXTRACTNUMBER(AF47),EXTRACTNUMBER(AH47),EXTRACTNUMBER(AJ47)))</f>
        <v>544</v>
      </c>
      <c r="AM47" s="72" t="s">
        <v>552</v>
      </c>
      <c r="AN47" s="11">
        <f t="shared" si="0"/>
        <v>1045</v>
      </c>
      <c r="AO47" s="11" t="str">
        <f t="shared" si="19"/>
        <v>PASS</v>
      </c>
      <c r="AP47" s="11" t="str">
        <f t="shared" si="1"/>
        <v>P</v>
      </c>
      <c r="AQ47" s="1" t="str">
        <f t="shared" si="20"/>
        <v xml:space="preserve">One Thousand Forty Five </v>
      </c>
    </row>
    <row r="48" spans="2:43" ht="15.95" customHeight="1">
      <c r="B48" s="67">
        <v>136221</v>
      </c>
      <c r="C48" s="21" t="s">
        <v>44</v>
      </c>
      <c r="D48" s="24">
        <v>40</v>
      </c>
      <c r="E48" s="9" t="str">
        <f t="shared" si="2"/>
        <v>E</v>
      </c>
      <c r="F48" s="22">
        <v>23</v>
      </c>
      <c r="G48" s="9" t="str">
        <f t="shared" si="3"/>
        <v>E</v>
      </c>
      <c r="H48" s="22">
        <v>42</v>
      </c>
      <c r="I48" s="9" t="str">
        <f t="shared" si="4"/>
        <v>E</v>
      </c>
      <c r="J48" s="29">
        <v>25</v>
      </c>
      <c r="K48" s="9" t="str">
        <f t="shared" si="5"/>
        <v>F</v>
      </c>
      <c r="L48" s="22">
        <v>23</v>
      </c>
      <c r="M48" s="9" t="str">
        <f t="shared" si="6"/>
        <v>E</v>
      </c>
      <c r="N48" s="22">
        <v>21</v>
      </c>
      <c r="O48" s="9" t="str">
        <f t="shared" si="7"/>
        <v>E</v>
      </c>
      <c r="P48" s="29">
        <v>41</v>
      </c>
      <c r="Q48" s="9" t="str">
        <f t="shared" si="8"/>
        <v>E</v>
      </c>
      <c r="R48" s="22">
        <v>23</v>
      </c>
      <c r="S48" s="9" t="str">
        <f t="shared" si="9"/>
        <v>E</v>
      </c>
      <c r="T48" s="22">
        <v>42</v>
      </c>
      <c r="U48" s="9" t="str">
        <f t="shared" si="10"/>
        <v>E</v>
      </c>
      <c r="V48" s="29">
        <v>49</v>
      </c>
      <c r="W48" s="9" t="str">
        <f t="shared" si="11"/>
        <v>E</v>
      </c>
      <c r="X48" s="22">
        <v>23</v>
      </c>
      <c r="Y48" s="9" t="str">
        <f t="shared" si="12"/>
        <v>E</v>
      </c>
      <c r="Z48" s="22">
        <v>22</v>
      </c>
      <c r="AA48" s="9" t="str">
        <f t="shared" si="13"/>
        <v>E</v>
      </c>
      <c r="AB48" s="29">
        <v>41</v>
      </c>
      <c r="AC48" s="9" t="str">
        <f t="shared" si="14"/>
        <v>E</v>
      </c>
      <c r="AD48" s="22">
        <v>23</v>
      </c>
      <c r="AE48" s="9" t="str">
        <f t="shared" si="15"/>
        <v>E</v>
      </c>
      <c r="AF48" s="22">
        <v>21</v>
      </c>
      <c r="AG48" s="9" t="str">
        <f t="shared" si="16"/>
        <v>E</v>
      </c>
      <c r="AH48" s="22">
        <v>23</v>
      </c>
      <c r="AI48" s="9" t="str">
        <f t="shared" si="17"/>
        <v>E</v>
      </c>
      <c r="AJ48" s="22">
        <v>24</v>
      </c>
      <c r="AK48" s="9" t="str">
        <f t="shared" si="18"/>
        <v>E</v>
      </c>
      <c r="AL48" s="16">
        <f>IF(OR(AND(D48&gt;=31,D48&lt;40),AND(J48&gt;=31,J48&lt;40),AND(P48&gt;=31,P48&lt;40),AND(V48&gt;=31,V48&lt;40),AND(AB48&gt;=31,AB48&lt;40)),IF(AND(OR(COUNTIF(D48:AK48,"=31")&gt;=1,COUNTIF(D48:AK48,"=32")&gt;=1,COUNTIF(D48:AK48,"=33")&gt;=1,COUNTIF(D48:AK48,"=34")&gt;=1,COUNTIF(D48:AK48,"=35")&gt;=1,COUNTIF(D48:AK48,"=36")&gt;=1 ),COUNTIF(D48:AK48,"")=0,COUNTIF(D48:AK48," ")=0,COUNTIF(D48:AK48,"F")=1),CONCATENATE(SUM(EXTRACTNUMBER(D48),EXTRACTNUMBER(F48),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EXTRACTNUMBER(AD48),EXTRACTNUMBER(AF48),EXTRACTNUMBER(AH48),EXTRACTNUMBER(AJ48)),"*"),IF(AND(COUNTIF(D48:AK48,"=34")&gt;=1,COUNTIF(D48:AK48,"=35")&gt;=1,COUNTIF(D48:AK48,"f")=2,COUNTIF(D48:AK48,"")=0,COUNTIF(D48:AK48," ")=0),CONCATENATE(SUM(EXTRACTNUMBER(D48),EXTRACTNUMBER(F48),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EXTRACTNUMBER(AD48),EXTRACTNUMBER(AF48),EXTRACTNUMBER(AH48),EXTRACTNUMBER(AJ48)),"*"),IF(AND(COUNTIF(D48:AK48,"=36")&gt;=2,COUNTIF(D48:AK48,"f")=2,COUNTIF(D48:AK48,"")=0,COUNTIF(D48:AK48," ")=0),CONCATENATE(SUM(EXTRACTNUMBER(D48),EXTRACTNUMBER(F48),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EXTRACTNUMBER(AD48),EXTRACTNUMBER(AF48),EXTRACTNUMBER(AH48),EXTRACTNUMBER(AJ48)),"*"),SUM(EXTRACTNUMBER(D48),EXTRACTNUMBER(F48),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EXTRACTNUMBER(AD48),EXTRACTNUMBER(AF48),EXTRACTNUMBER(AH48),EXTRACTNUMBER(AJ48))))),SUM(EXTRACTNUMBER(D48),EXTRACTNUMBER(F48),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EXTRACTNUMBER(AD48),EXTRACTNUMBER(AF48),EXTRACTNUMBER(AH48),EXTRACTNUMBER(AJ48)))</f>
        <v>506</v>
      </c>
      <c r="AM48" s="72" t="s">
        <v>236</v>
      </c>
      <c r="AN48" s="11">
        <v>1019</v>
      </c>
      <c r="AO48" s="11" t="str">
        <f t="shared" si="19"/>
        <v>FAIL</v>
      </c>
      <c r="AP48" s="11" t="str">
        <f t="shared" si="1"/>
        <v>--</v>
      </c>
      <c r="AQ48" s="1" t="str">
        <f t="shared" si="20"/>
        <v xml:space="preserve">One Thousand Nineteen </v>
      </c>
    </row>
    <row r="49" spans="2:43" ht="15.95" customHeight="1">
      <c r="B49" s="67">
        <v>136222</v>
      </c>
      <c r="C49" s="21" t="s">
        <v>45</v>
      </c>
      <c r="D49" s="24">
        <v>40</v>
      </c>
      <c r="E49" s="9" t="str">
        <f t="shared" si="2"/>
        <v/>
      </c>
      <c r="F49" s="22">
        <v>23</v>
      </c>
      <c r="G49" s="9" t="str">
        <f t="shared" si="3"/>
        <v/>
      </c>
      <c r="H49" s="22">
        <v>42</v>
      </c>
      <c r="I49" s="9" t="str">
        <f t="shared" si="4"/>
        <v/>
      </c>
      <c r="J49" s="29">
        <v>41</v>
      </c>
      <c r="K49" s="9" t="str">
        <f t="shared" si="5"/>
        <v/>
      </c>
      <c r="L49" s="22">
        <v>23</v>
      </c>
      <c r="M49" s="9" t="str">
        <f t="shared" si="6"/>
        <v/>
      </c>
      <c r="N49" s="22">
        <v>21</v>
      </c>
      <c r="O49" s="9" t="str">
        <f t="shared" si="7"/>
        <v/>
      </c>
      <c r="P49" s="29">
        <v>41</v>
      </c>
      <c r="Q49" s="9" t="str">
        <f t="shared" si="8"/>
        <v/>
      </c>
      <c r="R49" s="22">
        <v>23</v>
      </c>
      <c r="S49" s="9" t="str">
        <f t="shared" si="9"/>
        <v/>
      </c>
      <c r="T49" s="22">
        <v>44</v>
      </c>
      <c r="U49" s="9" t="str">
        <f t="shared" si="10"/>
        <v/>
      </c>
      <c r="V49" s="29">
        <v>45</v>
      </c>
      <c r="W49" s="9" t="str">
        <f t="shared" si="11"/>
        <v/>
      </c>
      <c r="X49" s="22">
        <v>23</v>
      </c>
      <c r="Y49" s="9" t="str">
        <f t="shared" si="12"/>
        <v/>
      </c>
      <c r="Z49" s="22">
        <v>22</v>
      </c>
      <c r="AA49" s="9" t="str">
        <f t="shared" si="13"/>
        <v/>
      </c>
      <c r="AB49" s="29">
        <v>40</v>
      </c>
      <c r="AC49" s="9" t="str">
        <f t="shared" si="14"/>
        <v/>
      </c>
      <c r="AD49" s="22">
        <v>23</v>
      </c>
      <c r="AE49" s="9" t="str">
        <f t="shared" si="15"/>
        <v/>
      </c>
      <c r="AF49" s="22">
        <v>19</v>
      </c>
      <c r="AG49" s="9" t="str">
        <f t="shared" si="16"/>
        <v/>
      </c>
      <c r="AH49" s="22">
        <v>23</v>
      </c>
      <c r="AI49" s="9" t="str">
        <f t="shared" si="17"/>
        <v/>
      </c>
      <c r="AJ49" s="22">
        <v>23</v>
      </c>
      <c r="AK49" s="9" t="str">
        <f t="shared" si="18"/>
        <v/>
      </c>
      <c r="AL49" s="16">
        <f>IF(OR(AND(D49&gt;=31,D49&lt;40),AND(J49&gt;=31,J49&lt;40),AND(P49&gt;=31,P49&lt;40),AND(V49&gt;=31,V49&lt;40),AND(AB49&gt;=31,AB49&lt;40)),IF(AND(OR(COUNTIF(D49:AK49,"=31")&gt;=1,COUNTIF(D49:AK49,"=32")&gt;=1,COUNTIF(D49:AK49,"=33")&gt;=1,COUNTIF(D49:AK49,"=34")&gt;=1,COUNTIF(D49:AK49,"=35")&gt;=1,COUNTIF(D49:AK49,"=36")&gt;=1 ),COUNTIF(D49:AK49,"")=0,COUNTIF(D49:AK49," ")=0,COUNTIF(D49:AK49,"F")=1),CONCATENATE(SUM(EXTRACTNUMBER(D49),EXTRACTNUMBER(F49),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EXTRACTNUMBER(AD49),EXTRACTNUMBER(AF49),EXTRACTNUMBER(AH49),EXTRACTNUMBER(AJ49)),"*"),IF(AND(COUNTIF(D49:AK49,"=34")&gt;=1,COUNTIF(D49:AK49,"=35")&gt;=1,COUNTIF(D49:AK49,"f")=2,COUNTIF(D49:AK49,"")=0,COUNTIF(D49:AK49," ")=0),CONCATENATE(SUM(EXTRACTNUMBER(D49),EXTRACTNUMBER(F49),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EXTRACTNUMBER(AD49),EXTRACTNUMBER(AF49),EXTRACTNUMBER(AH49),EXTRACTNUMBER(AJ49)),"*"),IF(AND(COUNTIF(D49:AK49,"=36")&gt;=2,COUNTIF(D49:AK49,"f")=2,COUNTIF(D49:AK49,"")=0,COUNTIF(D49:AK49," ")=0),CONCATENATE(SUM(EXTRACTNUMBER(D49),EXTRACTNUMBER(F49),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EXTRACTNUMBER(AD49),EXTRACTNUMBER(AF49),EXTRACTNUMBER(AH49),EXTRACTNUMBER(AJ49)),"*"),SUM(EXTRACTNUMBER(D49),EXTRACTNUMBER(F49),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EXTRACTNUMBER(AD49),EXTRACTNUMBER(AF49),EXTRACTNUMBER(AH49),EXTRACTNUMBER(AJ49))))),SUM(EXTRACTNUMBER(D49),EXTRACTNUMBER(F49),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EXTRACTNUMBER(AD49),EXTRACTNUMBER(AF49),EXTRACTNUMBER(AH49),EXTRACTNUMBER(AJ49)))</f>
        <v>516</v>
      </c>
      <c r="AM49" s="72" t="s">
        <v>237</v>
      </c>
      <c r="AN49" s="11">
        <f t="shared" si="0"/>
        <v>996</v>
      </c>
      <c r="AO49" s="11" t="str">
        <f t="shared" si="19"/>
        <v>PASS</v>
      </c>
      <c r="AP49" s="11" t="str">
        <f t="shared" si="1"/>
        <v>II</v>
      </c>
      <c r="AQ49" s="1" t="str">
        <f t="shared" si="20"/>
        <v xml:space="preserve">Nine Hundred NinetySix </v>
      </c>
    </row>
    <row r="50" spans="2:43" ht="15.95" customHeight="1">
      <c r="B50" s="67">
        <v>136223</v>
      </c>
      <c r="C50" s="21" t="s">
        <v>46</v>
      </c>
      <c r="D50" s="24">
        <v>12</v>
      </c>
      <c r="E50" s="9" t="str">
        <f t="shared" si="2"/>
        <v>F</v>
      </c>
      <c r="F50" s="22">
        <v>19</v>
      </c>
      <c r="G50" s="9" t="str">
        <f t="shared" si="3"/>
        <v>E</v>
      </c>
      <c r="H50" s="22">
        <v>38</v>
      </c>
      <c r="I50" s="9" t="str">
        <f t="shared" si="4"/>
        <v>E</v>
      </c>
      <c r="J50" s="29">
        <v>18</v>
      </c>
      <c r="K50" s="9" t="str">
        <f t="shared" si="5"/>
        <v>F</v>
      </c>
      <c r="L50" s="22">
        <v>19</v>
      </c>
      <c r="M50" s="9" t="str">
        <f t="shared" si="6"/>
        <v>E</v>
      </c>
      <c r="N50" s="22">
        <v>20</v>
      </c>
      <c r="O50" s="9" t="str">
        <f t="shared" si="7"/>
        <v>E</v>
      </c>
      <c r="P50" s="29">
        <v>40</v>
      </c>
      <c r="Q50" s="9" t="str">
        <f t="shared" si="8"/>
        <v>E</v>
      </c>
      <c r="R50" s="22">
        <v>19</v>
      </c>
      <c r="S50" s="9" t="str">
        <f t="shared" si="9"/>
        <v>E</v>
      </c>
      <c r="T50" s="22">
        <v>38</v>
      </c>
      <c r="U50" s="9" t="str">
        <f t="shared" si="10"/>
        <v>E</v>
      </c>
      <c r="V50" s="29">
        <v>6</v>
      </c>
      <c r="W50" s="9" t="str">
        <f t="shared" si="11"/>
        <v>F</v>
      </c>
      <c r="X50" s="22">
        <v>20</v>
      </c>
      <c r="Y50" s="9" t="str">
        <f t="shared" si="12"/>
        <v>E</v>
      </c>
      <c r="Z50" s="22">
        <v>21</v>
      </c>
      <c r="AA50" s="9" t="str">
        <f t="shared" si="13"/>
        <v>E</v>
      </c>
      <c r="AB50" s="29">
        <v>42</v>
      </c>
      <c r="AC50" s="9" t="str">
        <f t="shared" si="14"/>
        <v>E</v>
      </c>
      <c r="AD50" s="22">
        <v>19</v>
      </c>
      <c r="AE50" s="9" t="str">
        <f t="shared" si="15"/>
        <v>E</v>
      </c>
      <c r="AF50" s="22">
        <v>20</v>
      </c>
      <c r="AG50" s="9" t="str">
        <f t="shared" si="16"/>
        <v>E</v>
      </c>
      <c r="AH50" s="22">
        <v>20</v>
      </c>
      <c r="AI50" s="9" t="str">
        <f t="shared" si="17"/>
        <v>E</v>
      </c>
      <c r="AJ50" s="22">
        <v>21</v>
      </c>
      <c r="AK50" s="9" t="str">
        <f t="shared" si="18"/>
        <v>E</v>
      </c>
      <c r="AL50" s="16">
        <f>IF(OR(AND(D50&gt;=31,D50&lt;40),AND(J50&gt;=31,J50&lt;40),AND(P50&gt;=31,P50&lt;40),AND(V50&gt;=31,V50&lt;40),AND(AB50&gt;=31,AB50&lt;40)),IF(AND(OR(COUNTIF(D50:AK50,"=31")&gt;=1,COUNTIF(D50:AK50,"=32")&gt;=1,COUNTIF(D50:AK50,"=33")&gt;=1,COUNTIF(D50:AK50,"=34")&gt;=1,COUNTIF(D50:AK50,"=35")&gt;=1,COUNTIF(D50:AK50,"=36")&gt;=1 ),COUNTIF(D50:AK50,"")=0,COUNTIF(D50:AK50," ")=0,COUNTIF(D50:AK50,"F")=1),CONCATENATE(SUM(EXTRACTNUMBER(D50),EXTRACTNUMBER(F50),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EXTRACTNUMBER(AD50),EXTRACTNUMBER(AF50),EXTRACTNUMBER(AH50),EXTRACTNUMBER(AJ50)),"*"),IF(AND(COUNTIF(D50:AK50,"=34")&gt;=1,COUNTIF(D50:AK50,"=35")&gt;=1,COUNTIF(D50:AK50,"f")=2,COUNTIF(D50:AK50,"")=0,COUNTIF(D50:AK50," ")=0),CONCATENATE(SUM(EXTRACTNUMBER(D50),EXTRACTNUMBER(F50),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EXTRACTNUMBER(AD50),EXTRACTNUMBER(AF50),EXTRACTNUMBER(AH50),EXTRACTNUMBER(AJ50)),"*"),IF(AND(COUNTIF(D50:AK50,"=36")&gt;=2,COUNTIF(D50:AK50,"f")=2,COUNTIF(D50:AK50,"")=0,COUNTIF(D50:AK50," ")=0),CONCATENATE(SUM(EXTRACTNUMBER(D50),EXTRACTNUMBER(F50),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EXTRACTNUMBER(AD50),EXTRACTNUMBER(AF50),EXTRACTNUMBER(AH50),EXTRACTNUMBER(AJ50)),"*"),SUM(EXTRACTNUMBER(D50),EXTRACTNUMBER(F50),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EXTRACTNUMBER(AD50),EXTRACTNUMBER(AF50),EXTRACTNUMBER(AH50),EXTRACTNUMBER(AJ50))))),SUM(EXTRACTNUMBER(D50),EXTRACTNUMBER(F50),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EXTRACTNUMBER(AD50),EXTRACTNUMBER(AF50),EXTRACTNUMBER(AH50),EXTRACTNUMBER(AJ50)))</f>
        <v>392</v>
      </c>
      <c r="AM50" s="72" t="s">
        <v>535</v>
      </c>
      <c r="AN50" s="11">
        <f t="shared" si="0"/>
        <v>392</v>
      </c>
      <c r="AO50" s="11" t="str">
        <f t="shared" si="19"/>
        <v>FAIL</v>
      </c>
      <c r="AP50" s="11" t="str">
        <f t="shared" si="1"/>
        <v>--</v>
      </c>
      <c r="AQ50" s="1" t="str">
        <f t="shared" si="20"/>
        <v xml:space="preserve">Three Hundred NinetyTwo </v>
      </c>
    </row>
    <row r="51" spans="2:43" ht="15.95" customHeight="1">
      <c r="B51" s="67">
        <v>136224</v>
      </c>
      <c r="C51" s="21" t="s">
        <v>47</v>
      </c>
      <c r="D51" s="24">
        <v>65</v>
      </c>
      <c r="E51" s="9" t="str">
        <f t="shared" si="2"/>
        <v/>
      </c>
      <c r="F51" s="22">
        <v>23</v>
      </c>
      <c r="G51" s="9" t="str">
        <f t="shared" si="3"/>
        <v/>
      </c>
      <c r="H51" s="22">
        <v>44</v>
      </c>
      <c r="I51" s="9" t="str">
        <f t="shared" si="4"/>
        <v/>
      </c>
      <c r="J51" s="29">
        <v>44</v>
      </c>
      <c r="K51" s="9" t="str">
        <f t="shared" si="5"/>
        <v/>
      </c>
      <c r="L51" s="22">
        <v>23</v>
      </c>
      <c r="M51" s="9" t="str">
        <f t="shared" si="6"/>
        <v/>
      </c>
      <c r="N51" s="22">
        <v>21</v>
      </c>
      <c r="O51" s="9" t="str">
        <f t="shared" si="7"/>
        <v/>
      </c>
      <c r="P51" s="29">
        <v>65</v>
      </c>
      <c r="Q51" s="9" t="str">
        <f t="shared" si="8"/>
        <v/>
      </c>
      <c r="R51" s="22">
        <v>23</v>
      </c>
      <c r="S51" s="9" t="str">
        <f t="shared" si="9"/>
        <v/>
      </c>
      <c r="T51" s="22">
        <v>44</v>
      </c>
      <c r="U51" s="9" t="str">
        <f t="shared" si="10"/>
        <v/>
      </c>
      <c r="V51" s="29">
        <v>56</v>
      </c>
      <c r="W51" s="9" t="str">
        <f t="shared" si="11"/>
        <v/>
      </c>
      <c r="X51" s="22">
        <v>23</v>
      </c>
      <c r="Y51" s="9" t="str">
        <f t="shared" si="12"/>
        <v/>
      </c>
      <c r="Z51" s="22">
        <v>22</v>
      </c>
      <c r="AA51" s="9" t="str">
        <f t="shared" si="13"/>
        <v/>
      </c>
      <c r="AB51" s="29">
        <v>50</v>
      </c>
      <c r="AC51" s="9" t="str">
        <f t="shared" si="14"/>
        <v/>
      </c>
      <c r="AD51" s="22">
        <v>23</v>
      </c>
      <c r="AE51" s="9" t="str">
        <f t="shared" si="15"/>
        <v/>
      </c>
      <c r="AF51" s="22">
        <v>21</v>
      </c>
      <c r="AG51" s="9" t="str">
        <f t="shared" si="16"/>
        <v/>
      </c>
      <c r="AH51" s="22">
        <v>23</v>
      </c>
      <c r="AI51" s="9" t="str">
        <f t="shared" si="17"/>
        <v/>
      </c>
      <c r="AJ51" s="22">
        <v>21</v>
      </c>
      <c r="AK51" s="9" t="str">
        <f t="shared" si="18"/>
        <v/>
      </c>
      <c r="AL51" s="16">
        <f>IF(OR(AND(D51&gt;=31,D51&lt;40),AND(J51&gt;=31,J51&lt;40),AND(P51&gt;=31,P51&lt;40),AND(V51&gt;=31,V51&lt;40),AND(AB51&gt;=31,AB51&lt;40)),IF(AND(OR(COUNTIF(D51:AK51,"=31")&gt;=1,COUNTIF(D51:AK51,"=32")&gt;=1,COUNTIF(D51:AK51,"=33")&gt;=1,COUNTIF(D51:AK51,"=34")&gt;=1,COUNTIF(D51:AK51,"=35")&gt;=1,COUNTIF(D51:AK51,"=36")&gt;=1 ),COUNTIF(D51:AK51,"")=0,COUNTIF(D51:AK51," ")=0,COUNTIF(D51:AK51,"F")=1),CONCATENATE(SUM(EXTRACTNUMBER(D51),EXTRACTNUMBER(F51),
EXTRACTNUMBER(H51),EXTRACTNUMBER(J51),
EXTRACTNUMBER(L51),EXTRACTNUMBER(N51),
EXTRACTNUMBER(P51),EXTRACTNUMBER(R51),
EXTRACTNUMBER(T51),EXTRACTNUMBER(V51),
EXTRACTNUMBER(X51),EXTRACTNUMBER(Z51),EXTRACTNUMBER(AB51),
EXTRACTNUMBER(AD51),EXTRACTNUMBER(AF51),EXTRACTNUMBER(AH51),EXTRACTNUMBER(AJ51)),"*"),IF(AND(COUNTIF(D51:AK51,"=34")&gt;=1,COUNTIF(D51:AK51,"=35")&gt;=1,COUNTIF(D51:AK51,"f")=2,COUNTIF(D51:AK51,"")=0,COUNTIF(D51:AK51," ")=0),CONCATENATE(SUM(EXTRACTNUMBER(D51),EXTRACTNUMBER(F51),
EXTRACTNUMBER(H51),EXTRACTNUMBER(J51),
EXTRACTNUMBER(L51),EXTRACTNUMBER(N51),
EXTRACTNUMBER(P51),EXTRACTNUMBER(R51),
EXTRACTNUMBER(T51),EXTRACTNUMBER(V51),
EXTRACTNUMBER(X51),EXTRACTNUMBER(Z51),EXTRACTNUMBER(AB51),
EXTRACTNUMBER(AD51),EXTRACTNUMBER(AF51),EXTRACTNUMBER(AH51),EXTRACTNUMBER(AJ51)),"*"),IF(AND(COUNTIF(D51:AK51,"=36")&gt;=2,COUNTIF(D51:AK51,"f")=2,COUNTIF(D51:AK51,"")=0,COUNTIF(D51:AK51," ")=0),CONCATENATE(SUM(EXTRACTNUMBER(D51),EXTRACTNUMBER(F51),
EXTRACTNUMBER(H51),EXTRACTNUMBER(J51),
EXTRACTNUMBER(L51),EXTRACTNUMBER(N51),
EXTRACTNUMBER(P51),EXTRACTNUMBER(R51),
EXTRACTNUMBER(T51),EXTRACTNUMBER(V51),
EXTRACTNUMBER(X51),EXTRACTNUMBER(Z51),EXTRACTNUMBER(AB51),
EXTRACTNUMBER(AD51),EXTRACTNUMBER(AF51),EXTRACTNUMBER(AH51),EXTRACTNUMBER(AJ51)),"*"),SUM(EXTRACTNUMBER(D51),EXTRACTNUMBER(F51),
EXTRACTNUMBER(H51),EXTRACTNUMBER(J51),
EXTRACTNUMBER(L51),EXTRACTNUMBER(N51),
EXTRACTNUMBER(P51),EXTRACTNUMBER(R51),
EXTRACTNUMBER(T51),EXTRACTNUMBER(V51),
EXTRACTNUMBER(X51),EXTRACTNUMBER(Z51),EXTRACTNUMBER(AB51),
EXTRACTNUMBER(AD51),EXTRACTNUMBER(AF51),EXTRACTNUMBER(AH51),EXTRACTNUMBER(AJ51))))),SUM(EXTRACTNUMBER(D51),EXTRACTNUMBER(F51),
EXTRACTNUMBER(H51),EXTRACTNUMBER(J51),
EXTRACTNUMBER(L51),EXTRACTNUMBER(N51),
EXTRACTNUMBER(P51),EXTRACTNUMBER(R51),
EXTRACTNUMBER(T51),EXTRACTNUMBER(V51),
EXTRACTNUMBER(X51),EXTRACTNUMBER(Z51),EXTRACTNUMBER(AB51),
EXTRACTNUMBER(AD51),EXTRACTNUMBER(AF51),EXTRACTNUMBER(AH51),EXTRACTNUMBER(AJ51)))</f>
        <v>591</v>
      </c>
      <c r="AM51" s="72" t="s">
        <v>239</v>
      </c>
      <c r="AN51" s="11">
        <f t="shared" si="0"/>
        <v>1176</v>
      </c>
      <c r="AO51" s="11" t="str">
        <f t="shared" si="19"/>
        <v>PASS</v>
      </c>
      <c r="AP51" s="11" t="str">
        <f t="shared" si="1"/>
        <v>I</v>
      </c>
      <c r="AQ51" s="1" t="str">
        <f t="shared" si="20"/>
        <v xml:space="preserve">One Thousand One Hundred Seventy Six </v>
      </c>
    </row>
    <row r="52" spans="2:43" ht="15.95" customHeight="1">
      <c r="B52" s="67">
        <v>136225</v>
      </c>
      <c r="C52" s="21" t="s">
        <v>48</v>
      </c>
      <c r="D52" s="24">
        <v>54</v>
      </c>
      <c r="E52" s="9" t="str">
        <f t="shared" si="2"/>
        <v/>
      </c>
      <c r="F52" s="22">
        <v>22</v>
      </c>
      <c r="G52" s="9" t="str">
        <f t="shared" si="3"/>
        <v/>
      </c>
      <c r="H52" s="22">
        <v>42</v>
      </c>
      <c r="I52" s="9" t="str">
        <f t="shared" si="4"/>
        <v/>
      </c>
      <c r="J52" s="29">
        <v>48</v>
      </c>
      <c r="K52" s="9" t="str">
        <f t="shared" si="5"/>
        <v/>
      </c>
      <c r="L52" s="22">
        <v>23</v>
      </c>
      <c r="M52" s="9" t="str">
        <f t="shared" si="6"/>
        <v/>
      </c>
      <c r="N52" s="22">
        <v>21</v>
      </c>
      <c r="O52" s="9" t="str">
        <f t="shared" si="7"/>
        <v/>
      </c>
      <c r="P52" s="29">
        <v>64</v>
      </c>
      <c r="Q52" s="9" t="str">
        <f t="shared" si="8"/>
        <v/>
      </c>
      <c r="R52" s="22">
        <v>23</v>
      </c>
      <c r="S52" s="9" t="str">
        <f t="shared" si="9"/>
        <v/>
      </c>
      <c r="T52" s="22">
        <v>44</v>
      </c>
      <c r="U52" s="9" t="str">
        <f t="shared" si="10"/>
        <v/>
      </c>
      <c r="V52" s="29">
        <v>61</v>
      </c>
      <c r="W52" s="9" t="str">
        <f t="shared" si="11"/>
        <v/>
      </c>
      <c r="X52" s="22">
        <v>23</v>
      </c>
      <c r="Y52" s="9" t="str">
        <f t="shared" si="12"/>
        <v/>
      </c>
      <c r="Z52" s="22">
        <v>22</v>
      </c>
      <c r="AA52" s="9" t="str">
        <f t="shared" si="13"/>
        <v/>
      </c>
      <c r="AB52" s="29">
        <v>63</v>
      </c>
      <c r="AC52" s="9" t="str">
        <f t="shared" si="14"/>
        <v/>
      </c>
      <c r="AD52" s="22">
        <v>23</v>
      </c>
      <c r="AE52" s="9" t="str">
        <f t="shared" si="15"/>
        <v/>
      </c>
      <c r="AF52" s="22">
        <v>19</v>
      </c>
      <c r="AG52" s="9" t="str">
        <f t="shared" si="16"/>
        <v/>
      </c>
      <c r="AH52" s="22">
        <v>23</v>
      </c>
      <c r="AI52" s="9" t="str">
        <f t="shared" si="17"/>
        <v/>
      </c>
      <c r="AJ52" s="22">
        <v>21</v>
      </c>
      <c r="AK52" s="9" t="str">
        <f t="shared" si="18"/>
        <v/>
      </c>
      <c r="AL52" s="16">
        <f>IF(OR(AND(D52&gt;=31,D52&lt;40),AND(J52&gt;=31,J52&lt;40),AND(P52&gt;=31,P52&lt;40),AND(V52&gt;=31,V52&lt;40),AND(AB52&gt;=31,AB52&lt;40)),IF(AND(OR(COUNTIF(D52:AK52,"=31")&gt;=1,COUNTIF(D52:AK52,"=32")&gt;=1,COUNTIF(D52:AK52,"=33")&gt;=1,COUNTIF(D52:AK52,"=34")&gt;=1,COUNTIF(D52:AK52,"=35")&gt;=1,COUNTIF(D52:AK52,"=36")&gt;=1 ),COUNTIF(D52:AK52,"")=0,COUNTIF(D52:AK52," ")=0,COUNTIF(D52:AK52,"F")=1),CONCATENATE(SUM(EXTRACTNUMBER(D52),EXTRACTNUMBER(F52),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EXTRACTNUMBER(AD52),EXTRACTNUMBER(AF52),EXTRACTNUMBER(AH52),EXTRACTNUMBER(AJ52)),"*"),IF(AND(COUNTIF(D52:AK52,"=34")&gt;=1,COUNTIF(D52:AK52,"=35")&gt;=1,COUNTIF(D52:AK52,"f")=2,COUNTIF(D52:AK52,"")=0,COUNTIF(D52:AK52," ")=0),CONCATENATE(SUM(EXTRACTNUMBER(D52),EXTRACTNUMBER(F52),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EXTRACTNUMBER(AD52),EXTRACTNUMBER(AF52),EXTRACTNUMBER(AH52),EXTRACTNUMBER(AJ52)),"*"),IF(AND(COUNTIF(D52:AK52,"=36")&gt;=2,COUNTIF(D52:AK52,"f")=2,COUNTIF(D52:AK52,"")=0,COUNTIF(D52:AK52," ")=0),CONCATENATE(SUM(EXTRACTNUMBER(D52),EXTRACTNUMBER(F52),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EXTRACTNUMBER(AD52),EXTRACTNUMBER(AF52),EXTRACTNUMBER(AH52),EXTRACTNUMBER(AJ52)),"*"),SUM(EXTRACTNUMBER(D52),EXTRACTNUMBER(F52),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EXTRACTNUMBER(AD52),EXTRACTNUMBER(AF52),EXTRACTNUMBER(AH52),EXTRACTNUMBER(AJ52))))),SUM(EXTRACTNUMBER(D52),EXTRACTNUMBER(F52),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EXTRACTNUMBER(AD52),EXTRACTNUMBER(AF52),EXTRACTNUMBER(AH52),EXTRACTNUMBER(AJ52)))</f>
        <v>596</v>
      </c>
      <c r="AM52" s="72" t="s">
        <v>240</v>
      </c>
      <c r="AN52" s="11">
        <f t="shared" si="0"/>
        <v>1122</v>
      </c>
      <c r="AO52" s="11" t="str">
        <f t="shared" si="19"/>
        <v>PASS</v>
      </c>
      <c r="AP52" s="11" t="str">
        <f t="shared" si="1"/>
        <v>I</v>
      </c>
      <c r="AQ52" s="1" t="str">
        <f t="shared" si="20"/>
        <v xml:space="preserve">One Thousand One Hundred Twenty Two </v>
      </c>
    </row>
    <row r="53" spans="2:43" ht="15.95" customHeight="1">
      <c r="B53" s="67">
        <v>136226</v>
      </c>
      <c r="C53" s="21" t="s">
        <v>49</v>
      </c>
      <c r="D53" s="24">
        <v>66</v>
      </c>
      <c r="E53" s="9" t="str">
        <f t="shared" si="2"/>
        <v/>
      </c>
      <c r="F53" s="22">
        <v>23</v>
      </c>
      <c r="G53" s="9" t="str">
        <f t="shared" si="3"/>
        <v/>
      </c>
      <c r="H53" s="22">
        <v>44</v>
      </c>
      <c r="I53" s="9" t="str">
        <f t="shared" si="4"/>
        <v/>
      </c>
      <c r="J53" s="29">
        <v>61</v>
      </c>
      <c r="K53" s="9" t="str">
        <f t="shared" si="5"/>
        <v/>
      </c>
      <c r="L53" s="22">
        <v>23</v>
      </c>
      <c r="M53" s="9" t="str">
        <f t="shared" si="6"/>
        <v/>
      </c>
      <c r="N53" s="22">
        <v>22</v>
      </c>
      <c r="O53" s="9" t="str">
        <f t="shared" si="7"/>
        <v/>
      </c>
      <c r="P53" s="29">
        <v>70</v>
      </c>
      <c r="Q53" s="9" t="str">
        <f t="shared" si="8"/>
        <v/>
      </c>
      <c r="R53" s="22">
        <v>23</v>
      </c>
      <c r="S53" s="9" t="str">
        <f t="shared" si="9"/>
        <v/>
      </c>
      <c r="T53" s="22">
        <v>46</v>
      </c>
      <c r="U53" s="9" t="str">
        <f t="shared" si="10"/>
        <v/>
      </c>
      <c r="V53" s="29">
        <v>74</v>
      </c>
      <c r="W53" s="9" t="str">
        <f t="shared" si="11"/>
        <v/>
      </c>
      <c r="X53" s="22">
        <v>23</v>
      </c>
      <c r="Y53" s="9" t="str">
        <f t="shared" si="12"/>
        <v/>
      </c>
      <c r="Z53" s="22">
        <v>21</v>
      </c>
      <c r="AA53" s="9" t="str">
        <f t="shared" si="13"/>
        <v/>
      </c>
      <c r="AB53" s="29">
        <v>74</v>
      </c>
      <c r="AC53" s="9" t="str">
        <f t="shared" si="14"/>
        <v/>
      </c>
      <c r="AD53" s="22">
        <v>23</v>
      </c>
      <c r="AE53" s="9" t="str">
        <f t="shared" si="15"/>
        <v/>
      </c>
      <c r="AF53" s="22">
        <v>21</v>
      </c>
      <c r="AG53" s="9" t="str">
        <f t="shared" si="16"/>
        <v/>
      </c>
      <c r="AH53" s="22">
        <v>23</v>
      </c>
      <c r="AI53" s="9" t="str">
        <f t="shared" si="17"/>
        <v/>
      </c>
      <c r="AJ53" s="22">
        <v>23</v>
      </c>
      <c r="AK53" s="9" t="str">
        <f t="shared" si="18"/>
        <v/>
      </c>
      <c r="AL53" s="16">
        <f>IF(OR(AND(D53&gt;=31,D53&lt;40),AND(J53&gt;=31,J53&lt;40),AND(P53&gt;=31,P53&lt;40),AND(V53&gt;=31,V53&lt;40),AND(AB53&gt;=31,AB53&lt;40)),IF(AND(OR(COUNTIF(D53:AK53,"=31")&gt;=1,COUNTIF(D53:AK53,"=32")&gt;=1,COUNTIF(D53:AK53,"=33")&gt;=1,COUNTIF(D53:AK53,"=34")&gt;=1,COUNTIF(D53:AK53,"=35")&gt;=1,COUNTIF(D53:AK53,"=36")&gt;=1 ),COUNTIF(D53:AK53,"")=0,COUNTIF(D53:AK53," ")=0,COUNTIF(D53:AK53,"F")=1),CONCATENATE(SUM(EXTRACTNUMBER(D53),EXTRACTNUMBER(F53),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EXTRACTNUMBER(AD53),EXTRACTNUMBER(AF53),EXTRACTNUMBER(AH53),EXTRACTNUMBER(AJ53)),"*"),IF(AND(COUNTIF(D53:AK53,"=34")&gt;=1,COUNTIF(D53:AK53,"=35")&gt;=1,COUNTIF(D53:AK53,"f")=2,COUNTIF(D53:AK53,"")=0,COUNTIF(D53:AK53," ")=0),CONCATENATE(SUM(EXTRACTNUMBER(D53),EXTRACTNUMBER(F53),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EXTRACTNUMBER(AD53),EXTRACTNUMBER(AF53),EXTRACTNUMBER(AH53),EXTRACTNUMBER(AJ53)),"*"),IF(AND(COUNTIF(D53:AK53,"=36")&gt;=2,COUNTIF(D53:AK53,"f")=2,COUNTIF(D53:AK53,"")=0,COUNTIF(D53:AK53," ")=0),CONCATENATE(SUM(EXTRACTNUMBER(D53),EXTRACTNUMBER(F53),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EXTRACTNUMBER(AD53),EXTRACTNUMBER(AF53),EXTRACTNUMBER(AH53),EXTRACTNUMBER(AJ53)),"*"),SUM(EXTRACTNUMBER(D53),EXTRACTNUMBER(F53),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EXTRACTNUMBER(AD53),EXTRACTNUMBER(AF53),EXTRACTNUMBER(AH53),EXTRACTNUMBER(AJ53))))),SUM(EXTRACTNUMBER(D53),EXTRACTNUMBER(F53),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EXTRACTNUMBER(AD53),EXTRACTNUMBER(AF53),EXTRACTNUMBER(AH53),EXTRACTNUMBER(AJ53)))</f>
        <v>660</v>
      </c>
      <c r="AM53" s="72" t="s">
        <v>241</v>
      </c>
      <c r="AN53" s="11">
        <f t="shared" si="0"/>
        <v>1283</v>
      </c>
      <c r="AO53" s="11" t="str">
        <f t="shared" si="19"/>
        <v>PASS</v>
      </c>
      <c r="AP53" s="11" t="str">
        <f t="shared" si="1"/>
        <v>I</v>
      </c>
      <c r="AQ53" s="1" t="str">
        <f t="shared" si="20"/>
        <v xml:space="preserve">One Thousand Two Hundred Eighty Three </v>
      </c>
    </row>
    <row r="54" spans="2:43" ht="15.95" customHeight="1">
      <c r="B54" s="67">
        <v>136227</v>
      </c>
      <c r="C54" s="21" t="s">
        <v>50</v>
      </c>
      <c r="D54" s="24">
        <v>10</v>
      </c>
      <c r="E54" s="9" t="str">
        <f t="shared" si="2"/>
        <v>F</v>
      </c>
      <c r="F54" s="22">
        <v>19</v>
      </c>
      <c r="G54" s="9" t="str">
        <f t="shared" si="3"/>
        <v>E</v>
      </c>
      <c r="H54" s="22">
        <v>46</v>
      </c>
      <c r="I54" s="9" t="str">
        <f t="shared" si="4"/>
        <v>E</v>
      </c>
      <c r="J54" s="29">
        <v>47</v>
      </c>
      <c r="K54" s="9" t="str">
        <f t="shared" si="5"/>
        <v>E</v>
      </c>
      <c r="L54" s="22">
        <v>21</v>
      </c>
      <c r="M54" s="9" t="str">
        <f t="shared" si="6"/>
        <v>E</v>
      </c>
      <c r="N54" s="22">
        <v>23</v>
      </c>
      <c r="O54" s="9" t="str">
        <f t="shared" si="7"/>
        <v>E</v>
      </c>
      <c r="P54" s="29">
        <v>53</v>
      </c>
      <c r="Q54" s="9" t="str">
        <f t="shared" si="8"/>
        <v>E</v>
      </c>
      <c r="R54" s="22">
        <v>19</v>
      </c>
      <c r="S54" s="9" t="str">
        <f t="shared" si="9"/>
        <v>E</v>
      </c>
      <c r="T54" s="22">
        <v>46</v>
      </c>
      <c r="U54" s="9" t="str">
        <f t="shared" si="10"/>
        <v>E</v>
      </c>
      <c r="V54" s="29">
        <v>47</v>
      </c>
      <c r="W54" s="9" t="str">
        <f t="shared" si="11"/>
        <v>E</v>
      </c>
      <c r="X54" s="22">
        <v>20</v>
      </c>
      <c r="Y54" s="9" t="str">
        <f t="shared" si="12"/>
        <v>E</v>
      </c>
      <c r="Z54" s="22">
        <v>21</v>
      </c>
      <c r="AA54" s="9" t="str">
        <f t="shared" si="13"/>
        <v>E</v>
      </c>
      <c r="AB54" s="29">
        <v>40</v>
      </c>
      <c r="AC54" s="9" t="str">
        <f t="shared" si="14"/>
        <v>E</v>
      </c>
      <c r="AD54" s="22">
        <v>19</v>
      </c>
      <c r="AE54" s="9" t="str">
        <f t="shared" si="15"/>
        <v>E</v>
      </c>
      <c r="AF54" s="22">
        <v>22</v>
      </c>
      <c r="AG54" s="9" t="str">
        <f t="shared" si="16"/>
        <v>E</v>
      </c>
      <c r="AH54" s="22">
        <v>20</v>
      </c>
      <c r="AI54" s="9" t="str">
        <f t="shared" si="17"/>
        <v>E</v>
      </c>
      <c r="AJ54" s="22">
        <v>20</v>
      </c>
      <c r="AK54" s="9" t="str">
        <f t="shared" si="18"/>
        <v>E</v>
      </c>
      <c r="AL54" s="16">
        <f>IF(OR(AND(D54&gt;=31,D54&lt;40),AND(J54&gt;=31,J54&lt;40),AND(P54&gt;=31,P54&lt;40),AND(V54&gt;=31,V54&lt;40),AND(AB54&gt;=31,AB54&lt;40)),IF(AND(OR(COUNTIF(D54:AK54,"=31")&gt;=1,COUNTIF(D54:AK54,"=32")&gt;=1,COUNTIF(D54:AK54,"=33")&gt;=1,COUNTIF(D54:AK54,"=34")&gt;=1,COUNTIF(D54:AK54,"=35")&gt;=1,COUNTIF(D54:AK54,"=36")&gt;=1 ),COUNTIF(D54:AK54,"")=0,COUNTIF(D54:AK54," ")=0,COUNTIF(D54:AK54,"F")=1),CONCATENATE(SUM(EXTRACTNUMBER(D54),EXTRACTNUMBER(F54),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EXTRACTNUMBER(AD54),EXTRACTNUMBER(AF54),EXTRACTNUMBER(AH54),EXTRACTNUMBER(AJ54)),"*"),IF(AND(COUNTIF(D54:AK54,"=34")&gt;=1,COUNTIF(D54:AK54,"=35")&gt;=1,COUNTIF(D54:AK54,"f")=2,COUNTIF(D54:AK54,"")=0,COUNTIF(D54:AK54," ")=0),CONCATENATE(SUM(EXTRACTNUMBER(D54),EXTRACTNUMBER(F54),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EXTRACTNUMBER(AD54),EXTRACTNUMBER(AF54),EXTRACTNUMBER(AH54),EXTRACTNUMBER(AJ54)),"*"),IF(AND(COUNTIF(D54:AK54,"=36")&gt;=2,COUNTIF(D54:AK54,"f")=2,COUNTIF(D54:AK54,"")=0,COUNTIF(D54:AK54," ")=0),CONCATENATE(SUM(EXTRACTNUMBER(D54),EXTRACTNUMBER(F54),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EXTRACTNUMBER(AD54),EXTRACTNUMBER(AF54),EXTRACTNUMBER(AH54),EXTRACTNUMBER(AJ54)),"*"),SUM(EXTRACTNUMBER(D54),EXTRACTNUMBER(F54),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EXTRACTNUMBER(AD54),EXTRACTNUMBER(AF54),EXTRACTNUMBER(AH54),EXTRACTNUMBER(AJ54))))),SUM(EXTRACTNUMBER(D54),EXTRACTNUMBER(F54),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EXTRACTNUMBER(AD54),EXTRACTNUMBER(AF54),EXTRACTNUMBER(AH54),EXTRACTNUMBER(AJ54)))</f>
        <v>493</v>
      </c>
      <c r="AM54" s="72" t="s">
        <v>232</v>
      </c>
      <c r="AN54" s="11">
        <v>1011</v>
      </c>
      <c r="AO54" s="11" t="str">
        <f t="shared" si="19"/>
        <v>FAIL</v>
      </c>
      <c r="AP54" s="11" t="str">
        <f t="shared" si="1"/>
        <v>--</v>
      </c>
      <c r="AQ54" s="1" t="str">
        <f t="shared" si="20"/>
        <v xml:space="preserve">One Thousand Eleven </v>
      </c>
    </row>
    <row r="55" spans="2:43" ht="15.95" customHeight="1">
      <c r="B55" s="67">
        <v>136228</v>
      </c>
      <c r="C55" s="21" t="s">
        <v>51</v>
      </c>
      <c r="D55" s="24">
        <v>57</v>
      </c>
      <c r="E55" s="9" t="str">
        <f t="shared" si="2"/>
        <v/>
      </c>
      <c r="F55" s="22">
        <v>20</v>
      </c>
      <c r="G55" s="9" t="str">
        <f t="shared" si="3"/>
        <v/>
      </c>
      <c r="H55" s="22">
        <v>46</v>
      </c>
      <c r="I55" s="9" t="str">
        <f t="shared" si="4"/>
        <v/>
      </c>
      <c r="J55" s="29">
        <v>40</v>
      </c>
      <c r="K55" s="9" t="str">
        <f t="shared" si="5"/>
        <v/>
      </c>
      <c r="L55" s="22">
        <v>20</v>
      </c>
      <c r="M55" s="9" t="str">
        <f t="shared" si="6"/>
        <v/>
      </c>
      <c r="N55" s="22">
        <v>23</v>
      </c>
      <c r="O55" s="9" t="str">
        <f t="shared" si="7"/>
        <v/>
      </c>
      <c r="P55" s="29">
        <v>55</v>
      </c>
      <c r="Q55" s="9" t="str">
        <f t="shared" si="8"/>
        <v/>
      </c>
      <c r="R55" s="22">
        <v>20</v>
      </c>
      <c r="S55" s="9" t="str">
        <f t="shared" si="9"/>
        <v/>
      </c>
      <c r="T55" s="22">
        <v>44</v>
      </c>
      <c r="U55" s="9" t="str">
        <f t="shared" si="10"/>
        <v/>
      </c>
      <c r="V55" s="29">
        <v>52</v>
      </c>
      <c r="W55" s="9" t="str">
        <f t="shared" si="11"/>
        <v/>
      </c>
      <c r="X55" s="22">
        <v>20</v>
      </c>
      <c r="Y55" s="9" t="str">
        <f t="shared" si="12"/>
        <v/>
      </c>
      <c r="Z55" s="22">
        <v>21</v>
      </c>
      <c r="AA55" s="9" t="str">
        <f t="shared" si="13"/>
        <v/>
      </c>
      <c r="AB55" s="29">
        <v>46</v>
      </c>
      <c r="AC55" s="9" t="str">
        <f t="shared" si="14"/>
        <v/>
      </c>
      <c r="AD55" s="22">
        <v>20</v>
      </c>
      <c r="AE55" s="9" t="str">
        <f t="shared" si="15"/>
        <v/>
      </c>
      <c r="AF55" s="22">
        <v>21</v>
      </c>
      <c r="AG55" s="9" t="str">
        <f t="shared" si="16"/>
        <v/>
      </c>
      <c r="AH55" s="22">
        <v>20</v>
      </c>
      <c r="AI55" s="9" t="str">
        <f t="shared" si="17"/>
        <v/>
      </c>
      <c r="AJ55" s="22">
        <v>20</v>
      </c>
      <c r="AK55" s="9" t="str">
        <f t="shared" si="18"/>
        <v/>
      </c>
      <c r="AL55" s="16">
        <f>IF(OR(AND(D55&gt;=31,D55&lt;40),AND(J55&gt;=31,J55&lt;40),AND(P55&gt;=31,P55&lt;40),AND(V55&gt;=31,V55&lt;40),AND(AB55&gt;=31,AB55&lt;40)),IF(AND(OR(COUNTIF(D55:AK55,"=31")&gt;=1,COUNTIF(D55:AK55,"=32")&gt;=1,COUNTIF(D55:AK55,"=33")&gt;=1,COUNTIF(D55:AK55,"=34")&gt;=1,COUNTIF(D55:AK55,"=35")&gt;=1,COUNTIF(D55:AK55,"=36")&gt;=1 ),COUNTIF(D55:AK55,"")=0,COUNTIF(D55:AK55," ")=0,COUNTIF(D55:AK55,"F")=1),CONCATENATE(SUM(EXTRACTNUMBER(D55),EXTRACTNUMBER(F55),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EXTRACTNUMBER(AD55),EXTRACTNUMBER(AF55),EXTRACTNUMBER(AH55),EXTRACTNUMBER(AJ55)),"*"),IF(AND(COUNTIF(D55:AK55,"=34")&gt;=1,COUNTIF(D55:AK55,"=35")&gt;=1,COUNTIF(D55:AK55,"f")=2,COUNTIF(D55:AK55,"")=0,COUNTIF(D55:AK55," ")=0),CONCATENATE(SUM(EXTRACTNUMBER(D55),EXTRACTNUMBER(F55),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EXTRACTNUMBER(AD55),EXTRACTNUMBER(AF55),EXTRACTNUMBER(AH55),EXTRACTNUMBER(AJ55)),"*"),IF(AND(COUNTIF(D55:AK55,"=36")&gt;=2,COUNTIF(D55:AK55,"f")=2,COUNTIF(D55:AK55,"")=0,COUNTIF(D55:AK55," ")=0),CONCATENATE(SUM(EXTRACTNUMBER(D55),EXTRACTNUMBER(F55),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EXTRACTNUMBER(AD55),EXTRACTNUMBER(AF55),EXTRACTNUMBER(AH55),EXTRACTNUMBER(AJ55)),"*"),SUM(EXTRACTNUMBER(D55),EXTRACTNUMBER(F55),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EXTRACTNUMBER(AD55),EXTRACTNUMBER(AF55),EXTRACTNUMBER(AH55),EXTRACTNUMBER(AJ55))))),SUM(EXTRACTNUMBER(D55),EXTRACTNUMBER(F55),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EXTRACTNUMBER(AD55),EXTRACTNUMBER(AF55),EXTRACTNUMBER(AH55),EXTRACTNUMBER(AJ55)))</f>
        <v>545</v>
      </c>
      <c r="AM55" s="72" t="s">
        <v>242</v>
      </c>
      <c r="AN55" s="11">
        <f t="shared" si="0"/>
        <v>1079</v>
      </c>
      <c r="AO55" s="11" t="str">
        <f t="shared" si="19"/>
        <v>PASS</v>
      </c>
      <c r="AP55" s="11" t="str">
        <f t="shared" si="1"/>
        <v>I</v>
      </c>
      <c r="AQ55" s="1" t="str">
        <f t="shared" si="20"/>
        <v xml:space="preserve">One Thousand Seventy Nine </v>
      </c>
    </row>
    <row r="56" spans="2:43" ht="15.95" customHeight="1">
      <c r="B56" s="67">
        <v>136229</v>
      </c>
      <c r="C56" s="21" t="s">
        <v>52</v>
      </c>
      <c r="D56" s="24">
        <v>40</v>
      </c>
      <c r="E56" s="9" t="str">
        <f t="shared" si="2"/>
        <v>E</v>
      </c>
      <c r="F56" s="22">
        <v>23</v>
      </c>
      <c r="G56" s="9" t="str">
        <f t="shared" si="3"/>
        <v>E</v>
      </c>
      <c r="H56" s="22">
        <v>44</v>
      </c>
      <c r="I56" s="9" t="str">
        <f t="shared" si="4"/>
        <v>E</v>
      </c>
      <c r="J56" s="29">
        <v>25</v>
      </c>
      <c r="K56" s="9" t="str">
        <f t="shared" si="5"/>
        <v>F</v>
      </c>
      <c r="L56" s="22">
        <v>23</v>
      </c>
      <c r="M56" s="9" t="str">
        <f t="shared" si="6"/>
        <v>E</v>
      </c>
      <c r="N56" s="22">
        <v>22</v>
      </c>
      <c r="O56" s="9" t="str">
        <f t="shared" si="7"/>
        <v>E</v>
      </c>
      <c r="P56" s="29">
        <v>46</v>
      </c>
      <c r="Q56" s="9" t="str">
        <f t="shared" si="8"/>
        <v>E</v>
      </c>
      <c r="R56" s="22">
        <v>23</v>
      </c>
      <c r="S56" s="9" t="str">
        <f t="shared" si="9"/>
        <v>E</v>
      </c>
      <c r="T56" s="22">
        <v>42</v>
      </c>
      <c r="U56" s="9" t="str">
        <f t="shared" si="10"/>
        <v>E</v>
      </c>
      <c r="V56" s="29">
        <v>29</v>
      </c>
      <c r="W56" s="9" t="str">
        <f t="shared" si="11"/>
        <v>F</v>
      </c>
      <c r="X56" s="22">
        <v>23</v>
      </c>
      <c r="Y56" s="9" t="str">
        <f t="shared" si="12"/>
        <v>E</v>
      </c>
      <c r="Z56" s="22">
        <v>22</v>
      </c>
      <c r="AA56" s="9" t="str">
        <f t="shared" si="13"/>
        <v>E</v>
      </c>
      <c r="AB56" s="29">
        <v>51</v>
      </c>
      <c r="AC56" s="9" t="str">
        <f t="shared" si="14"/>
        <v>E</v>
      </c>
      <c r="AD56" s="22">
        <v>23</v>
      </c>
      <c r="AE56" s="9" t="str">
        <f t="shared" si="15"/>
        <v>E</v>
      </c>
      <c r="AF56" s="22">
        <v>22</v>
      </c>
      <c r="AG56" s="9" t="str">
        <f t="shared" si="16"/>
        <v>E</v>
      </c>
      <c r="AH56" s="22">
        <v>23</v>
      </c>
      <c r="AI56" s="9" t="str">
        <f t="shared" si="17"/>
        <v>E</v>
      </c>
      <c r="AJ56" s="22">
        <v>23</v>
      </c>
      <c r="AK56" s="9" t="str">
        <f t="shared" si="18"/>
        <v>E</v>
      </c>
      <c r="AL56" s="16">
        <f>IF(OR(AND(D56&gt;=31,D56&lt;40),AND(J56&gt;=31,J56&lt;40),AND(P56&gt;=31,P56&lt;40),AND(V56&gt;=31,V56&lt;40),AND(AB56&gt;=31,AB56&lt;40)),IF(AND(OR(COUNTIF(D56:AK56,"=31")&gt;=1,COUNTIF(D56:AK56,"=32")&gt;=1,COUNTIF(D56:AK56,"=33")&gt;=1,COUNTIF(D56:AK56,"=34")&gt;=1,COUNTIF(D56:AK56,"=35")&gt;=1,COUNTIF(D56:AK56,"=36")&gt;=1 ),COUNTIF(D56:AK56,"")=0,COUNTIF(D56:AK56," ")=0,COUNTIF(D56:AK56,"F")=1),CONCATENATE(SUM(EXTRACTNUMBER(D56),EXTRACTNUMBER(F56),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EXTRACTNUMBER(AD56),EXTRACTNUMBER(AF56),EXTRACTNUMBER(AH56),EXTRACTNUMBER(AJ56)),"*"),IF(AND(COUNTIF(D56:AK56,"=34")&gt;=1,COUNTIF(D56:AK56,"=35")&gt;=1,COUNTIF(D56:AK56,"f")=2,COUNTIF(D56:AK56,"")=0,COUNTIF(D56:AK56," ")=0),CONCATENATE(SUM(EXTRACTNUMBER(D56),EXTRACTNUMBER(F56),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EXTRACTNUMBER(AD56),EXTRACTNUMBER(AF56),EXTRACTNUMBER(AH56),EXTRACTNUMBER(AJ56)),"*"),IF(AND(COUNTIF(D56:AK56,"=36")&gt;=2,COUNTIF(D56:AK56,"f")=2,COUNTIF(D56:AK56,"")=0,COUNTIF(D56:AK56," ")=0),CONCATENATE(SUM(EXTRACTNUMBER(D56),EXTRACTNUMBER(F56),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EXTRACTNUMBER(AD56),EXTRACTNUMBER(AF56),EXTRACTNUMBER(AH56),EXTRACTNUMBER(AJ56)),"*"),SUM(EXTRACTNUMBER(D56),EXTRACTNUMBER(F56),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EXTRACTNUMBER(AD56),EXTRACTNUMBER(AF56),EXTRACTNUMBER(AH56),EXTRACTNUMBER(AJ56))))),SUM(EXTRACTNUMBER(D56),EXTRACTNUMBER(F56),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EXTRACTNUMBER(AD56),EXTRACTNUMBER(AF56),EXTRACTNUMBER(AH56),EXTRACTNUMBER(AJ56)))</f>
        <v>504</v>
      </c>
      <c r="AM56" s="72" t="s">
        <v>535</v>
      </c>
      <c r="AN56" s="11">
        <f t="shared" si="0"/>
        <v>504</v>
      </c>
      <c r="AO56" s="11" t="str">
        <f t="shared" si="19"/>
        <v>FAIL</v>
      </c>
      <c r="AP56" s="11" t="str">
        <f t="shared" si="1"/>
        <v>--</v>
      </c>
      <c r="AQ56" s="1" t="str">
        <f t="shared" si="20"/>
        <v xml:space="preserve">Five Hundred Four </v>
      </c>
    </row>
    <row r="57" spans="2:43" ht="15.95" customHeight="1">
      <c r="B57" s="67">
        <v>136230</v>
      </c>
      <c r="C57" s="21" t="s">
        <v>53</v>
      </c>
      <c r="D57" s="24">
        <v>62</v>
      </c>
      <c r="E57" s="9" t="str">
        <f t="shared" si="2"/>
        <v/>
      </c>
      <c r="F57" s="22">
        <v>23</v>
      </c>
      <c r="G57" s="9" t="str">
        <f t="shared" si="3"/>
        <v/>
      </c>
      <c r="H57" s="22">
        <v>44</v>
      </c>
      <c r="I57" s="9" t="str">
        <f t="shared" si="4"/>
        <v/>
      </c>
      <c r="J57" s="29">
        <v>78</v>
      </c>
      <c r="K57" s="9" t="str">
        <f t="shared" si="5"/>
        <v/>
      </c>
      <c r="L57" s="22">
        <v>23</v>
      </c>
      <c r="M57" s="9" t="str">
        <f t="shared" si="6"/>
        <v/>
      </c>
      <c r="N57" s="22">
        <v>22</v>
      </c>
      <c r="O57" s="9" t="str">
        <f t="shared" si="7"/>
        <v/>
      </c>
      <c r="P57" s="29">
        <v>74</v>
      </c>
      <c r="Q57" s="9" t="str">
        <f t="shared" si="8"/>
        <v/>
      </c>
      <c r="R57" s="22">
        <v>23</v>
      </c>
      <c r="S57" s="9" t="str">
        <f t="shared" si="9"/>
        <v/>
      </c>
      <c r="T57" s="22">
        <v>44</v>
      </c>
      <c r="U57" s="9" t="str">
        <f t="shared" si="10"/>
        <v/>
      </c>
      <c r="V57" s="29">
        <v>69</v>
      </c>
      <c r="W57" s="9" t="str">
        <f t="shared" si="11"/>
        <v/>
      </c>
      <c r="X57" s="22">
        <v>23</v>
      </c>
      <c r="Y57" s="9" t="str">
        <f t="shared" si="12"/>
        <v/>
      </c>
      <c r="Z57" s="22">
        <v>22</v>
      </c>
      <c r="AA57" s="9" t="str">
        <f t="shared" si="13"/>
        <v/>
      </c>
      <c r="AB57" s="29">
        <v>66</v>
      </c>
      <c r="AC57" s="9" t="str">
        <f t="shared" si="14"/>
        <v/>
      </c>
      <c r="AD57" s="22">
        <v>23</v>
      </c>
      <c r="AE57" s="9" t="str">
        <f t="shared" si="15"/>
        <v/>
      </c>
      <c r="AF57" s="22">
        <v>20</v>
      </c>
      <c r="AG57" s="9" t="str">
        <f t="shared" si="16"/>
        <v/>
      </c>
      <c r="AH57" s="22">
        <v>23</v>
      </c>
      <c r="AI57" s="9" t="str">
        <f t="shared" si="17"/>
        <v/>
      </c>
      <c r="AJ57" s="22">
        <v>23</v>
      </c>
      <c r="AK57" s="9" t="str">
        <f t="shared" si="18"/>
        <v/>
      </c>
      <c r="AL57" s="16">
        <f>IF(OR(AND(D57&gt;=31,D57&lt;40),AND(J57&gt;=31,J57&lt;40),AND(P57&gt;=31,P57&lt;40),AND(V57&gt;=31,V57&lt;40),AND(AB57&gt;=31,AB57&lt;40)),IF(AND(OR(COUNTIF(D57:AK57,"=31")&gt;=1,COUNTIF(D57:AK57,"=32")&gt;=1,COUNTIF(D57:AK57,"=33")&gt;=1,COUNTIF(D57:AK57,"=34")&gt;=1,COUNTIF(D57:AK57,"=35")&gt;=1,COUNTIF(D57:AK57,"=36")&gt;=1 ),COUNTIF(D57:AK57,"")=0,COUNTIF(D57:AK57," ")=0,COUNTIF(D57:AK57,"F")=1),CONCATENATE(SUM(EXTRACTNUMBER(D57),EXTRACTNUMBER(F57),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EXTRACTNUMBER(AD57),EXTRACTNUMBER(AF57),EXTRACTNUMBER(AH57),EXTRACTNUMBER(AJ57)),"*"),IF(AND(COUNTIF(D57:AK57,"=34")&gt;=1,COUNTIF(D57:AK57,"=35")&gt;=1,COUNTIF(D57:AK57,"f")=2,COUNTIF(D57:AK57,"")=0,COUNTIF(D57:AK57," ")=0),CONCATENATE(SUM(EXTRACTNUMBER(D57),EXTRACTNUMBER(F57),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EXTRACTNUMBER(AD57),EXTRACTNUMBER(AF57),EXTRACTNUMBER(AH57),EXTRACTNUMBER(AJ57)),"*"),IF(AND(COUNTIF(D57:AK57,"=36")&gt;=2,COUNTIF(D57:AK57,"f")=2,COUNTIF(D57:AK57,"")=0,COUNTIF(D57:AK57," ")=0),CONCATENATE(SUM(EXTRACTNUMBER(D57),EXTRACTNUMBER(F57),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EXTRACTNUMBER(AD57),EXTRACTNUMBER(AF57),EXTRACTNUMBER(AH57),EXTRACTNUMBER(AJ57)),"*"),SUM(EXTRACTNUMBER(D57),EXTRACTNUMBER(F57),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EXTRACTNUMBER(AD57),EXTRACTNUMBER(AF57),EXTRACTNUMBER(AH57),EXTRACTNUMBER(AJ57))))),SUM(EXTRACTNUMBER(D57),EXTRACTNUMBER(F57),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EXTRACTNUMBER(AD57),EXTRACTNUMBER(AF57),EXTRACTNUMBER(AH57),EXTRACTNUMBER(AJ57)))</f>
        <v>662</v>
      </c>
      <c r="AM57" s="72" t="s">
        <v>243</v>
      </c>
      <c r="AN57" s="11">
        <f t="shared" si="0"/>
        <v>1301</v>
      </c>
      <c r="AO57" s="11" t="str">
        <f t="shared" si="19"/>
        <v>PASS</v>
      </c>
      <c r="AP57" s="11" t="str">
        <f t="shared" si="1"/>
        <v>I</v>
      </c>
      <c r="AQ57" s="1" t="str">
        <f t="shared" si="20"/>
        <v xml:space="preserve">One Thousand Three Hundred One </v>
      </c>
    </row>
    <row r="58" spans="2:43" ht="15.95" customHeight="1">
      <c r="B58" s="67">
        <v>136231</v>
      </c>
      <c r="C58" s="21" t="s">
        <v>54</v>
      </c>
      <c r="D58" s="24">
        <v>52</v>
      </c>
      <c r="E58" s="9" t="str">
        <f t="shared" si="2"/>
        <v/>
      </c>
      <c r="F58" s="22">
        <v>22</v>
      </c>
      <c r="G58" s="9" t="str">
        <f t="shared" si="3"/>
        <v/>
      </c>
      <c r="H58" s="22">
        <v>44</v>
      </c>
      <c r="I58" s="9" t="str">
        <f t="shared" si="4"/>
        <v/>
      </c>
      <c r="J58" s="29">
        <v>49</v>
      </c>
      <c r="K58" s="9" t="str">
        <f t="shared" si="5"/>
        <v/>
      </c>
      <c r="L58" s="22">
        <v>22</v>
      </c>
      <c r="M58" s="9" t="str">
        <f t="shared" si="6"/>
        <v/>
      </c>
      <c r="N58" s="22">
        <v>22</v>
      </c>
      <c r="O58" s="9" t="str">
        <f t="shared" si="7"/>
        <v/>
      </c>
      <c r="P58" s="29">
        <v>59</v>
      </c>
      <c r="Q58" s="9" t="str">
        <f t="shared" si="8"/>
        <v/>
      </c>
      <c r="R58" s="22">
        <v>22</v>
      </c>
      <c r="S58" s="9" t="str">
        <f t="shared" si="9"/>
        <v/>
      </c>
      <c r="T58" s="22">
        <v>44</v>
      </c>
      <c r="U58" s="9" t="str">
        <f t="shared" si="10"/>
        <v/>
      </c>
      <c r="V58" s="29">
        <v>68</v>
      </c>
      <c r="W58" s="9" t="str">
        <f t="shared" si="11"/>
        <v/>
      </c>
      <c r="X58" s="22">
        <v>22</v>
      </c>
      <c r="Y58" s="9" t="str">
        <f t="shared" si="12"/>
        <v/>
      </c>
      <c r="Z58" s="22">
        <v>21</v>
      </c>
      <c r="AA58" s="9" t="str">
        <f t="shared" si="13"/>
        <v/>
      </c>
      <c r="AB58" s="29">
        <v>56</v>
      </c>
      <c r="AC58" s="9" t="str">
        <f t="shared" si="14"/>
        <v/>
      </c>
      <c r="AD58" s="22">
        <v>22</v>
      </c>
      <c r="AE58" s="9" t="str">
        <f t="shared" si="15"/>
        <v/>
      </c>
      <c r="AF58" s="22">
        <v>20</v>
      </c>
      <c r="AG58" s="9" t="str">
        <f t="shared" si="16"/>
        <v/>
      </c>
      <c r="AH58" s="22">
        <v>23</v>
      </c>
      <c r="AI58" s="9" t="str">
        <f t="shared" si="17"/>
        <v/>
      </c>
      <c r="AJ58" s="22">
        <v>23</v>
      </c>
      <c r="AK58" s="9" t="str">
        <f t="shared" si="18"/>
        <v/>
      </c>
      <c r="AL58" s="16">
        <f>IF(OR(AND(D58&gt;=31,D58&lt;40),AND(J58&gt;=31,J58&lt;40),AND(P58&gt;=31,P58&lt;40),AND(V58&gt;=31,V58&lt;40),AND(AB58&gt;=31,AB58&lt;40)),IF(AND(OR(COUNTIF(D58:AK58,"=31")&gt;=1,COUNTIF(D58:AK58,"=32")&gt;=1,COUNTIF(D58:AK58,"=33")&gt;=1,COUNTIF(D58:AK58,"=34")&gt;=1,COUNTIF(D58:AK58,"=35")&gt;=1,COUNTIF(D58:AK58,"=36")&gt;=1 ),COUNTIF(D58:AK58,"")=0,COUNTIF(D58:AK58," ")=0,COUNTIF(D58:AK58,"F")=1),CONCATENATE(SUM(EXTRACTNUMBER(D58),EXTRACTNUMBER(F58),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EXTRACTNUMBER(AD58),EXTRACTNUMBER(AF58),EXTRACTNUMBER(AH58),EXTRACTNUMBER(AJ58)),"*"),IF(AND(COUNTIF(D58:AK58,"=34")&gt;=1,COUNTIF(D58:AK58,"=35")&gt;=1,COUNTIF(D58:AK58,"f")=2,COUNTIF(D58:AK58,"")=0,COUNTIF(D58:AK58," ")=0),CONCATENATE(SUM(EXTRACTNUMBER(D58),EXTRACTNUMBER(F58),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EXTRACTNUMBER(AD58),EXTRACTNUMBER(AF58),EXTRACTNUMBER(AH58),EXTRACTNUMBER(AJ58)),"*"),IF(AND(COUNTIF(D58:AK58,"=36")&gt;=2,COUNTIF(D58:AK58,"f")=2,COUNTIF(D58:AK58,"")=0,COUNTIF(D58:AK58," ")=0),CONCATENATE(SUM(EXTRACTNUMBER(D58),EXTRACTNUMBER(F58),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EXTRACTNUMBER(AD58),EXTRACTNUMBER(AF58),EXTRACTNUMBER(AH58),EXTRACTNUMBER(AJ58)),"*"),SUM(EXTRACTNUMBER(D58),EXTRACTNUMBER(F58),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EXTRACTNUMBER(AD58),EXTRACTNUMBER(AF58),EXTRACTNUMBER(AH58),EXTRACTNUMBER(AJ58))))),SUM(EXTRACTNUMBER(D58),EXTRACTNUMBER(F58),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EXTRACTNUMBER(AD58),EXTRACTNUMBER(AF58),EXTRACTNUMBER(AH58),EXTRACTNUMBER(AJ58)))</f>
        <v>591</v>
      </c>
      <c r="AM58" s="72" t="s">
        <v>223</v>
      </c>
      <c r="AN58" s="11">
        <f t="shared" si="0"/>
        <v>1148</v>
      </c>
      <c r="AO58" s="11" t="str">
        <f t="shared" si="19"/>
        <v>PASS</v>
      </c>
      <c r="AP58" s="11" t="str">
        <f t="shared" si="1"/>
        <v>I</v>
      </c>
      <c r="AQ58" s="1" t="str">
        <f t="shared" si="20"/>
        <v xml:space="preserve">One Thousand One Hundred Forty Eight </v>
      </c>
    </row>
    <row r="59" spans="2:43" ht="15.95" customHeight="1">
      <c r="B59" s="67">
        <v>136232</v>
      </c>
      <c r="C59" s="21" t="s">
        <v>55</v>
      </c>
      <c r="D59" s="24">
        <v>40</v>
      </c>
      <c r="E59" s="9" t="str">
        <f t="shared" si="2"/>
        <v>E</v>
      </c>
      <c r="F59" s="22">
        <v>23</v>
      </c>
      <c r="G59" s="9" t="str">
        <f t="shared" si="3"/>
        <v>E</v>
      </c>
      <c r="H59" s="22">
        <v>42</v>
      </c>
      <c r="I59" s="9" t="str">
        <f t="shared" si="4"/>
        <v>E</v>
      </c>
      <c r="J59" s="29">
        <v>40</v>
      </c>
      <c r="K59" s="9" t="str">
        <f t="shared" si="5"/>
        <v>E</v>
      </c>
      <c r="L59" s="22">
        <v>23</v>
      </c>
      <c r="M59" s="9" t="str">
        <f t="shared" si="6"/>
        <v>E</v>
      </c>
      <c r="N59" s="22">
        <v>21</v>
      </c>
      <c r="O59" s="9" t="str">
        <f t="shared" si="7"/>
        <v>E</v>
      </c>
      <c r="P59" s="29">
        <v>41</v>
      </c>
      <c r="Q59" s="9" t="str">
        <f t="shared" si="8"/>
        <v>E</v>
      </c>
      <c r="R59" s="22">
        <v>23</v>
      </c>
      <c r="S59" s="9" t="str">
        <f t="shared" si="9"/>
        <v>E</v>
      </c>
      <c r="T59" s="22">
        <v>42</v>
      </c>
      <c r="U59" s="9" t="str">
        <f t="shared" si="10"/>
        <v>E</v>
      </c>
      <c r="V59" s="29">
        <v>51</v>
      </c>
      <c r="W59" s="9" t="str">
        <f t="shared" si="11"/>
        <v>E</v>
      </c>
      <c r="X59" s="22">
        <v>23</v>
      </c>
      <c r="Y59" s="9" t="str">
        <f t="shared" si="12"/>
        <v>E</v>
      </c>
      <c r="Z59" s="22">
        <v>22</v>
      </c>
      <c r="AA59" s="9" t="str">
        <f t="shared" si="13"/>
        <v>E</v>
      </c>
      <c r="AB59" s="29">
        <v>27</v>
      </c>
      <c r="AC59" s="9" t="str">
        <f t="shared" si="14"/>
        <v>F</v>
      </c>
      <c r="AD59" s="22">
        <v>23</v>
      </c>
      <c r="AE59" s="9" t="str">
        <f t="shared" si="15"/>
        <v>E</v>
      </c>
      <c r="AF59" s="22">
        <v>19</v>
      </c>
      <c r="AG59" s="9" t="str">
        <f t="shared" si="16"/>
        <v>E</v>
      </c>
      <c r="AH59" s="22">
        <v>23</v>
      </c>
      <c r="AI59" s="9" t="str">
        <f t="shared" si="17"/>
        <v>E</v>
      </c>
      <c r="AJ59" s="22">
        <v>23</v>
      </c>
      <c r="AK59" s="9" t="str">
        <f t="shared" si="18"/>
        <v>E</v>
      </c>
      <c r="AL59" s="16">
        <f>IF(OR(AND(D59&gt;=31,D59&lt;40),AND(J59&gt;=31,J59&lt;40),AND(P59&gt;=31,P59&lt;40),AND(V59&gt;=31,V59&lt;40),AND(AB59&gt;=31,AB59&lt;40)),IF(AND(OR(COUNTIF(D59:AK59,"=31")&gt;=1,COUNTIF(D59:AK59,"=32")&gt;=1,COUNTIF(D59:AK59,"=33")&gt;=1,COUNTIF(D59:AK59,"=34")&gt;=1,COUNTIF(D59:AK59,"=35")&gt;=1,COUNTIF(D59:AK59,"=36")&gt;=1 ),COUNTIF(D59:AK59,"")=0,COUNTIF(D59:AK59," ")=0,COUNTIF(D59:AK59,"F")=1),CONCATENATE(SUM(EXTRACTNUMBER(D59),EXTRACTNUMBER(F59),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EXTRACTNUMBER(AD59),EXTRACTNUMBER(AF59),EXTRACTNUMBER(AH59),EXTRACTNUMBER(AJ59)),"*"),IF(AND(COUNTIF(D59:AK59,"=34")&gt;=1,COUNTIF(D59:AK59,"=35")&gt;=1,COUNTIF(D59:AK59,"f")=2,COUNTIF(D59:AK59,"")=0,COUNTIF(D59:AK59," ")=0),CONCATENATE(SUM(EXTRACTNUMBER(D59),EXTRACTNUMBER(F59),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EXTRACTNUMBER(AD59),EXTRACTNUMBER(AF59),EXTRACTNUMBER(AH59),EXTRACTNUMBER(AJ59)),"*"),IF(AND(COUNTIF(D59:AK59,"=36")&gt;=2,COUNTIF(D59:AK59,"f")=2,COUNTIF(D59:AK59,"")=0,COUNTIF(D59:AK59," ")=0),CONCATENATE(SUM(EXTRACTNUMBER(D59),EXTRACTNUMBER(F59),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EXTRACTNUMBER(AD59),EXTRACTNUMBER(AF59),EXTRACTNUMBER(AH59),EXTRACTNUMBER(AJ59)),"*"),SUM(EXTRACTNUMBER(D59),EXTRACTNUMBER(F59),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EXTRACTNUMBER(AD59),EXTRACTNUMBER(AF59),EXTRACTNUMBER(AH59),EXTRACTNUMBER(AJ59))))),SUM(EXTRACTNUMBER(D59),EXTRACTNUMBER(F59),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EXTRACTNUMBER(AD59),EXTRACTNUMBER(AF59),EXTRACTNUMBER(AH59),EXTRACTNUMBER(AJ59)))</f>
        <v>506</v>
      </c>
      <c r="AM59" s="72" t="s">
        <v>535</v>
      </c>
      <c r="AN59" s="11">
        <f t="shared" si="0"/>
        <v>506</v>
      </c>
      <c r="AO59" s="11" t="str">
        <f t="shared" si="19"/>
        <v>FAIL</v>
      </c>
      <c r="AP59" s="11" t="str">
        <f t="shared" si="1"/>
        <v>--</v>
      </c>
      <c r="AQ59" s="1" t="str">
        <f t="shared" si="20"/>
        <v xml:space="preserve">Five Hundred Six </v>
      </c>
    </row>
    <row r="60" spans="2:43" ht="15.95" customHeight="1">
      <c r="B60" s="67">
        <v>136233</v>
      </c>
      <c r="C60" s="21" t="s">
        <v>56</v>
      </c>
      <c r="D60" s="24">
        <v>56</v>
      </c>
      <c r="E60" s="9" t="str">
        <f t="shared" si="2"/>
        <v/>
      </c>
      <c r="F60" s="22">
        <v>19</v>
      </c>
      <c r="G60" s="9" t="str">
        <f t="shared" si="3"/>
        <v/>
      </c>
      <c r="H60" s="22">
        <v>44</v>
      </c>
      <c r="I60" s="9" t="str">
        <f t="shared" si="4"/>
        <v/>
      </c>
      <c r="J60" s="29">
        <v>54</v>
      </c>
      <c r="K60" s="9" t="str">
        <f t="shared" si="5"/>
        <v/>
      </c>
      <c r="L60" s="22">
        <v>20</v>
      </c>
      <c r="M60" s="9" t="str">
        <f t="shared" si="6"/>
        <v/>
      </c>
      <c r="N60" s="22">
        <v>22</v>
      </c>
      <c r="O60" s="9" t="str">
        <f t="shared" si="7"/>
        <v/>
      </c>
      <c r="P60" s="29">
        <v>71</v>
      </c>
      <c r="Q60" s="9" t="str">
        <f t="shared" si="8"/>
        <v/>
      </c>
      <c r="R60" s="22">
        <v>19</v>
      </c>
      <c r="S60" s="9" t="str">
        <f t="shared" si="9"/>
        <v/>
      </c>
      <c r="T60" s="22">
        <v>44</v>
      </c>
      <c r="U60" s="9" t="str">
        <f t="shared" si="10"/>
        <v/>
      </c>
      <c r="V60" s="29">
        <v>61</v>
      </c>
      <c r="W60" s="9" t="str">
        <f t="shared" si="11"/>
        <v/>
      </c>
      <c r="X60" s="22">
        <v>19</v>
      </c>
      <c r="Y60" s="9" t="str">
        <f t="shared" si="12"/>
        <v/>
      </c>
      <c r="Z60" s="22">
        <v>20</v>
      </c>
      <c r="AA60" s="9" t="str">
        <f t="shared" si="13"/>
        <v/>
      </c>
      <c r="AB60" s="29">
        <v>62</v>
      </c>
      <c r="AC60" s="9" t="str">
        <f t="shared" si="14"/>
        <v/>
      </c>
      <c r="AD60" s="22">
        <v>19</v>
      </c>
      <c r="AE60" s="9" t="str">
        <f t="shared" si="15"/>
        <v/>
      </c>
      <c r="AF60" s="22">
        <v>21</v>
      </c>
      <c r="AG60" s="9" t="str">
        <f t="shared" si="16"/>
        <v/>
      </c>
      <c r="AH60" s="22">
        <v>19</v>
      </c>
      <c r="AI60" s="9" t="str">
        <f t="shared" si="17"/>
        <v/>
      </c>
      <c r="AJ60" s="22">
        <v>20</v>
      </c>
      <c r="AK60" s="9" t="str">
        <f t="shared" si="18"/>
        <v/>
      </c>
      <c r="AL60" s="16">
        <f>IF(OR(AND(D60&gt;=31,D60&lt;40),AND(J60&gt;=31,J60&lt;40),AND(P60&gt;=31,P60&lt;40),AND(V60&gt;=31,V60&lt;40),AND(AB60&gt;=31,AB60&lt;40)),IF(AND(OR(COUNTIF(D60:AK60,"=31")&gt;=1,COUNTIF(D60:AK60,"=32")&gt;=1,COUNTIF(D60:AK60,"=33")&gt;=1,COUNTIF(D60:AK60,"=34")&gt;=1,COUNTIF(D60:AK60,"=35")&gt;=1,COUNTIF(D60:AK60,"=36")&gt;=1 ),COUNTIF(D60:AK60,"")=0,COUNTIF(D60:AK60," ")=0,COUNTIF(D60:AK60,"F")=1),CONCATENATE(SUM(EXTRACTNUMBER(D60),EXTRACTNUMBER(F60),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EXTRACTNUMBER(AD60),EXTRACTNUMBER(AF60),EXTRACTNUMBER(AH60),EXTRACTNUMBER(AJ60)),"*"),IF(AND(COUNTIF(D60:AK60,"=34")&gt;=1,COUNTIF(D60:AK60,"=35")&gt;=1,COUNTIF(D60:AK60,"f")=2,COUNTIF(D60:AK60,"")=0,COUNTIF(D60:AK60," ")=0),CONCATENATE(SUM(EXTRACTNUMBER(D60),EXTRACTNUMBER(F60),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EXTRACTNUMBER(AD60),EXTRACTNUMBER(AF60),EXTRACTNUMBER(AH60),EXTRACTNUMBER(AJ60)),"*"),IF(AND(COUNTIF(D60:AK60,"=36")&gt;=2,COUNTIF(D60:AK60,"f")=2,COUNTIF(D60:AK60,"")=0,COUNTIF(D60:AK60," ")=0),CONCATENATE(SUM(EXTRACTNUMBER(D60),EXTRACTNUMBER(F60),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EXTRACTNUMBER(AD60),EXTRACTNUMBER(AF60),EXTRACTNUMBER(AH60),EXTRACTNUMBER(AJ60)),"*"),SUM(EXTRACTNUMBER(D60),EXTRACTNUMBER(F60),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EXTRACTNUMBER(AD60),EXTRACTNUMBER(AF60),EXTRACTNUMBER(AH60),EXTRACTNUMBER(AJ60))))),SUM(EXTRACTNUMBER(D60),EXTRACTNUMBER(F60),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EXTRACTNUMBER(AD60),EXTRACTNUMBER(AF60),EXTRACTNUMBER(AH60),EXTRACTNUMBER(AJ60)))</f>
        <v>590</v>
      </c>
      <c r="AM60" s="72" t="s">
        <v>244</v>
      </c>
      <c r="AN60" s="11">
        <f t="shared" si="0"/>
        <v>1148</v>
      </c>
      <c r="AO60" s="11" t="str">
        <f t="shared" si="19"/>
        <v>PASS</v>
      </c>
      <c r="AP60" s="11" t="str">
        <f t="shared" si="1"/>
        <v>I</v>
      </c>
      <c r="AQ60" s="1" t="str">
        <f t="shared" si="20"/>
        <v xml:space="preserve">One Thousand One Hundred Forty Eight </v>
      </c>
    </row>
    <row r="61" spans="2:43" ht="15.95" customHeight="1">
      <c r="B61" s="67">
        <v>136234</v>
      </c>
      <c r="C61" s="21" t="s">
        <v>57</v>
      </c>
      <c r="D61" s="24">
        <v>67</v>
      </c>
      <c r="E61" s="9" t="str">
        <f t="shared" si="2"/>
        <v/>
      </c>
      <c r="F61" s="22">
        <v>23</v>
      </c>
      <c r="G61" s="9" t="str">
        <f t="shared" si="3"/>
        <v/>
      </c>
      <c r="H61" s="22">
        <v>44</v>
      </c>
      <c r="I61" s="9" t="str">
        <f t="shared" si="4"/>
        <v/>
      </c>
      <c r="J61" s="29">
        <v>62</v>
      </c>
      <c r="K61" s="9" t="str">
        <f t="shared" si="5"/>
        <v/>
      </c>
      <c r="L61" s="22">
        <v>23</v>
      </c>
      <c r="M61" s="9" t="str">
        <f t="shared" si="6"/>
        <v/>
      </c>
      <c r="N61" s="22">
        <v>22</v>
      </c>
      <c r="O61" s="9" t="str">
        <f t="shared" si="7"/>
        <v/>
      </c>
      <c r="P61" s="29">
        <v>75</v>
      </c>
      <c r="Q61" s="9" t="str">
        <f t="shared" si="8"/>
        <v/>
      </c>
      <c r="R61" s="22">
        <v>23</v>
      </c>
      <c r="S61" s="9" t="str">
        <f t="shared" si="9"/>
        <v/>
      </c>
      <c r="T61" s="22">
        <v>42</v>
      </c>
      <c r="U61" s="9" t="str">
        <f t="shared" si="10"/>
        <v/>
      </c>
      <c r="V61" s="29">
        <v>71</v>
      </c>
      <c r="W61" s="9" t="str">
        <f t="shared" si="11"/>
        <v/>
      </c>
      <c r="X61" s="22">
        <v>23</v>
      </c>
      <c r="Y61" s="9" t="str">
        <f t="shared" si="12"/>
        <v/>
      </c>
      <c r="Z61" s="22">
        <v>22</v>
      </c>
      <c r="AA61" s="9" t="str">
        <f t="shared" si="13"/>
        <v/>
      </c>
      <c r="AB61" s="29">
        <v>70</v>
      </c>
      <c r="AC61" s="9" t="str">
        <f t="shared" si="14"/>
        <v/>
      </c>
      <c r="AD61" s="22">
        <v>23</v>
      </c>
      <c r="AE61" s="9" t="str">
        <f t="shared" si="15"/>
        <v/>
      </c>
      <c r="AF61" s="22">
        <v>20</v>
      </c>
      <c r="AG61" s="9" t="str">
        <f t="shared" si="16"/>
        <v/>
      </c>
      <c r="AH61" s="22">
        <v>23</v>
      </c>
      <c r="AI61" s="9" t="str">
        <f t="shared" si="17"/>
        <v/>
      </c>
      <c r="AJ61" s="22">
        <v>23</v>
      </c>
      <c r="AK61" s="9" t="str">
        <f t="shared" si="18"/>
        <v/>
      </c>
      <c r="AL61" s="16">
        <f>IF(OR(AND(D61&gt;=31,D61&lt;40),AND(J61&gt;=31,J61&lt;40),AND(P61&gt;=31,P61&lt;40),AND(V61&gt;=31,V61&lt;40),AND(AB61&gt;=31,AB61&lt;40)),IF(AND(OR(COUNTIF(D61:AK61,"=31")&gt;=1,COUNTIF(D61:AK61,"=32")&gt;=1,COUNTIF(D61:AK61,"=33")&gt;=1,COUNTIF(D61:AK61,"=34")&gt;=1,COUNTIF(D61:AK61,"=35")&gt;=1,COUNTIF(D61:AK61,"=36")&gt;=1 ),COUNTIF(D61:AK61,"")=0,COUNTIF(D61:AK61," ")=0,COUNTIF(D61:AK61,"F")=1),CONCATENATE(SUM(EXTRACTNUMBER(D61),EXTRACTNUMBER(F61),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EXTRACTNUMBER(AD61),EXTRACTNUMBER(AF61),EXTRACTNUMBER(AH61),EXTRACTNUMBER(AJ61)),"*"),IF(AND(COUNTIF(D61:AK61,"=34")&gt;=1,COUNTIF(D61:AK61,"=35")&gt;=1,COUNTIF(D61:AK61,"f")=2,COUNTIF(D61:AK61,"")=0,COUNTIF(D61:AK61," ")=0),CONCATENATE(SUM(EXTRACTNUMBER(D61),EXTRACTNUMBER(F61),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EXTRACTNUMBER(AD61),EXTRACTNUMBER(AF61),EXTRACTNUMBER(AH61),EXTRACTNUMBER(AJ61)),"*"),IF(AND(COUNTIF(D61:AK61,"=36")&gt;=2,COUNTIF(D61:AK61,"f")=2,COUNTIF(D61:AK61,"")=0,COUNTIF(D61:AK61," ")=0),CONCATENATE(SUM(EXTRACTNUMBER(D61),EXTRACTNUMBER(F61),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EXTRACTNUMBER(AD61),EXTRACTNUMBER(AF61),EXTRACTNUMBER(AH61),EXTRACTNUMBER(AJ61)),"*"),SUM(EXTRACTNUMBER(D61),EXTRACTNUMBER(F61),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EXTRACTNUMBER(AD61),EXTRACTNUMBER(AF61),EXTRACTNUMBER(AH61),EXTRACTNUMBER(AJ61))))),SUM(EXTRACTNUMBER(D61),EXTRACTNUMBER(F61),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EXTRACTNUMBER(AD61),EXTRACTNUMBER(AF61),EXTRACTNUMBER(AH61),EXTRACTNUMBER(AJ61)))</f>
        <v>656</v>
      </c>
      <c r="AM61" s="72" t="s">
        <v>245</v>
      </c>
      <c r="AN61" s="11">
        <f t="shared" si="0"/>
        <v>1286</v>
      </c>
      <c r="AO61" s="11" t="str">
        <f t="shared" si="19"/>
        <v>PASS</v>
      </c>
      <c r="AP61" s="11" t="str">
        <f t="shared" si="1"/>
        <v>I</v>
      </c>
      <c r="AQ61" s="1" t="str">
        <f t="shared" si="20"/>
        <v xml:space="preserve">One Thousand Two Hundred Eighty Six </v>
      </c>
    </row>
    <row r="62" spans="2:43" ht="15.95" customHeight="1">
      <c r="B62" s="67">
        <v>136235</v>
      </c>
      <c r="C62" s="21" t="s">
        <v>58</v>
      </c>
      <c r="D62" s="24">
        <v>60</v>
      </c>
      <c r="E62" s="9" t="str">
        <f t="shared" si="2"/>
        <v/>
      </c>
      <c r="F62" s="22">
        <v>21</v>
      </c>
      <c r="G62" s="9" t="str">
        <f t="shared" si="3"/>
        <v/>
      </c>
      <c r="H62" s="22">
        <v>44</v>
      </c>
      <c r="I62" s="9" t="str">
        <f t="shared" si="4"/>
        <v/>
      </c>
      <c r="J62" s="29">
        <v>52</v>
      </c>
      <c r="K62" s="9" t="str">
        <f t="shared" si="5"/>
        <v/>
      </c>
      <c r="L62" s="22">
        <v>22</v>
      </c>
      <c r="M62" s="9" t="str">
        <f t="shared" si="6"/>
        <v/>
      </c>
      <c r="N62" s="22">
        <v>22</v>
      </c>
      <c r="O62" s="9" t="str">
        <f t="shared" si="7"/>
        <v/>
      </c>
      <c r="P62" s="29">
        <v>63</v>
      </c>
      <c r="Q62" s="9" t="str">
        <f t="shared" si="8"/>
        <v/>
      </c>
      <c r="R62" s="22">
        <v>22</v>
      </c>
      <c r="S62" s="9" t="str">
        <f t="shared" si="9"/>
        <v/>
      </c>
      <c r="T62" s="22">
        <v>42</v>
      </c>
      <c r="U62" s="9" t="str">
        <f t="shared" si="10"/>
        <v/>
      </c>
      <c r="V62" s="29">
        <v>61</v>
      </c>
      <c r="W62" s="9" t="str">
        <f t="shared" si="11"/>
        <v/>
      </c>
      <c r="X62" s="22">
        <v>22</v>
      </c>
      <c r="Y62" s="9" t="str">
        <f t="shared" si="12"/>
        <v/>
      </c>
      <c r="Z62" s="22">
        <v>21</v>
      </c>
      <c r="AA62" s="9" t="str">
        <f t="shared" si="13"/>
        <v/>
      </c>
      <c r="AB62" s="29">
        <v>48</v>
      </c>
      <c r="AC62" s="9" t="str">
        <f t="shared" si="14"/>
        <v/>
      </c>
      <c r="AD62" s="22">
        <v>22</v>
      </c>
      <c r="AE62" s="9" t="str">
        <f t="shared" si="15"/>
        <v/>
      </c>
      <c r="AF62" s="22">
        <v>20</v>
      </c>
      <c r="AG62" s="9" t="str">
        <f t="shared" si="16"/>
        <v/>
      </c>
      <c r="AH62" s="22">
        <v>22</v>
      </c>
      <c r="AI62" s="9" t="str">
        <f t="shared" si="17"/>
        <v/>
      </c>
      <c r="AJ62" s="22">
        <v>23</v>
      </c>
      <c r="AK62" s="9" t="str">
        <f t="shared" si="18"/>
        <v/>
      </c>
      <c r="AL62" s="16">
        <f>IF(OR(AND(D62&gt;=31,D62&lt;40),AND(J62&gt;=31,J62&lt;40),AND(P62&gt;=31,P62&lt;40),AND(V62&gt;=31,V62&lt;40),AND(AB62&gt;=31,AB62&lt;40)),IF(AND(OR(COUNTIF(D62:AK62,"=31")&gt;=1,COUNTIF(D62:AK62,"=32")&gt;=1,COUNTIF(D62:AK62,"=33")&gt;=1,COUNTIF(D62:AK62,"=34")&gt;=1,COUNTIF(D62:AK62,"=35")&gt;=1,COUNTIF(D62:AK62,"=36")&gt;=1 ),COUNTIF(D62:AK62,"")=0,COUNTIF(D62:AK62," ")=0,COUNTIF(D62:AK62,"F")=1),CONCATENATE(SUM(EXTRACTNUMBER(D62),EXTRACTNUMBER(F62),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EXTRACTNUMBER(AD62),EXTRACTNUMBER(AF62),EXTRACTNUMBER(AH62),EXTRACTNUMBER(AJ62)),"*"),IF(AND(COUNTIF(D62:AK62,"=34")&gt;=1,COUNTIF(D62:AK62,"=35")&gt;=1,COUNTIF(D62:AK62,"f")=2,COUNTIF(D62:AK62,"")=0,COUNTIF(D62:AK62," ")=0),CONCATENATE(SUM(EXTRACTNUMBER(D62),EXTRACTNUMBER(F62),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EXTRACTNUMBER(AD62),EXTRACTNUMBER(AF62),EXTRACTNUMBER(AH62),EXTRACTNUMBER(AJ62)),"*"),IF(AND(COUNTIF(D62:AK62,"=36")&gt;=2,COUNTIF(D62:AK62,"f")=2,COUNTIF(D62:AK62,"")=0,COUNTIF(D62:AK62," ")=0),CONCATENATE(SUM(EXTRACTNUMBER(D62),EXTRACTNUMBER(F62),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EXTRACTNUMBER(AD62),EXTRACTNUMBER(AF62),EXTRACTNUMBER(AH62),EXTRACTNUMBER(AJ62)),"*"),SUM(EXTRACTNUMBER(D62),EXTRACTNUMBER(F62),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EXTRACTNUMBER(AD62),EXTRACTNUMBER(AF62),EXTRACTNUMBER(AH62),EXTRACTNUMBER(AJ62))))),SUM(EXTRACTNUMBER(D62),EXTRACTNUMBER(F62),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EXTRACTNUMBER(AD62),EXTRACTNUMBER(AF62),EXTRACTNUMBER(AH62),EXTRACTNUMBER(AJ62)))</f>
        <v>587</v>
      </c>
      <c r="AM62" s="72" t="s">
        <v>246</v>
      </c>
      <c r="AN62" s="11">
        <f t="shared" si="0"/>
        <v>1124</v>
      </c>
      <c r="AO62" s="11" t="str">
        <f t="shared" si="19"/>
        <v>PASS</v>
      </c>
      <c r="AP62" s="11" t="str">
        <f t="shared" si="1"/>
        <v>I</v>
      </c>
      <c r="AQ62" s="1" t="str">
        <f t="shared" si="20"/>
        <v xml:space="preserve">One Thousand One Hundred Twenty Four </v>
      </c>
    </row>
    <row r="63" spans="2:43" ht="15.95" customHeight="1">
      <c r="B63" s="67">
        <v>136236</v>
      </c>
      <c r="C63" s="21" t="s">
        <v>59</v>
      </c>
      <c r="D63" s="24">
        <v>50</v>
      </c>
      <c r="E63" s="9" t="str">
        <f t="shared" si="2"/>
        <v/>
      </c>
      <c r="F63" s="22">
        <v>19</v>
      </c>
      <c r="G63" s="9" t="str">
        <f t="shared" si="3"/>
        <v/>
      </c>
      <c r="H63" s="22">
        <v>44</v>
      </c>
      <c r="I63" s="9" t="str">
        <f t="shared" si="4"/>
        <v/>
      </c>
      <c r="J63" s="29">
        <v>40</v>
      </c>
      <c r="K63" s="9" t="str">
        <f t="shared" si="5"/>
        <v/>
      </c>
      <c r="L63" s="22">
        <v>20</v>
      </c>
      <c r="M63" s="9" t="str">
        <f t="shared" si="6"/>
        <v/>
      </c>
      <c r="N63" s="22">
        <v>22</v>
      </c>
      <c r="O63" s="9" t="str">
        <f t="shared" si="7"/>
        <v/>
      </c>
      <c r="P63" s="29">
        <v>66</v>
      </c>
      <c r="Q63" s="9" t="str">
        <f t="shared" si="8"/>
        <v/>
      </c>
      <c r="R63" s="22">
        <v>19</v>
      </c>
      <c r="S63" s="9" t="str">
        <f t="shared" si="9"/>
        <v/>
      </c>
      <c r="T63" s="22">
        <v>44</v>
      </c>
      <c r="U63" s="9" t="str">
        <f t="shared" si="10"/>
        <v/>
      </c>
      <c r="V63" s="29">
        <v>58</v>
      </c>
      <c r="W63" s="9" t="str">
        <f t="shared" si="11"/>
        <v/>
      </c>
      <c r="X63" s="22">
        <v>19</v>
      </c>
      <c r="Y63" s="9" t="str">
        <f t="shared" si="12"/>
        <v/>
      </c>
      <c r="Z63" s="22">
        <v>20</v>
      </c>
      <c r="AA63" s="9" t="str">
        <f t="shared" si="13"/>
        <v/>
      </c>
      <c r="AB63" s="29">
        <v>48</v>
      </c>
      <c r="AC63" s="9" t="str">
        <f t="shared" si="14"/>
        <v/>
      </c>
      <c r="AD63" s="22">
        <v>19</v>
      </c>
      <c r="AE63" s="9" t="str">
        <f t="shared" si="15"/>
        <v/>
      </c>
      <c r="AF63" s="22">
        <v>20</v>
      </c>
      <c r="AG63" s="9" t="str">
        <f t="shared" si="16"/>
        <v/>
      </c>
      <c r="AH63" s="22">
        <v>19</v>
      </c>
      <c r="AI63" s="9" t="str">
        <f t="shared" si="17"/>
        <v/>
      </c>
      <c r="AJ63" s="22">
        <v>20</v>
      </c>
      <c r="AK63" s="9" t="str">
        <f t="shared" si="18"/>
        <v/>
      </c>
      <c r="AL63" s="16">
        <f>IF(OR(AND(D63&gt;=31,D63&lt;40),AND(J63&gt;=31,J63&lt;40),AND(P63&gt;=31,P63&lt;40),AND(V63&gt;=31,V63&lt;40),AND(AB63&gt;=31,AB63&lt;40)),IF(AND(OR(COUNTIF(D63:AK63,"=31")&gt;=1,COUNTIF(D63:AK63,"=32")&gt;=1,COUNTIF(D63:AK63,"=33")&gt;=1,COUNTIF(D63:AK63,"=34")&gt;=1,COUNTIF(D63:AK63,"=35")&gt;=1,COUNTIF(D63:AK63,"=36")&gt;=1 ),COUNTIF(D63:AK63,"")=0,COUNTIF(D63:AK63," ")=0,COUNTIF(D63:AK63,"F")=1),CONCATENATE(SUM(EXTRACTNUMBER(D63),EXTRACTNUMBER(F63),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EXTRACTNUMBER(AD63),EXTRACTNUMBER(AF63),EXTRACTNUMBER(AH63),EXTRACTNUMBER(AJ63)),"*"),IF(AND(COUNTIF(D63:AK63,"=34")&gt;=1,COUNTIF(D63:AK63,"=35")&gt;=1,COUNTIF(D63:AK63,"f")=2,COUNTIF(D63:AK63,"")=0,COUNTIF(D63:AK63," ")=0),CONCATENATE(SUM(EXTRACTNUMBER(D63),EXTRACTNUMBER(F63),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EXTRACTNUMBER(AD63),EXTRACTNUMBER(AF63),EXTRACTNUMBER(AH63),EXTRACTNUMBER(AJ63)),"*"),IF(AND(COUNTIF(D63:AK63,"=36")&gt;=2,COUNTIF(D63:AK63,"f")=2,COUNTIF(D63:AK63,"")=0,COUNTIF(D63:AK63," ")=0),CONCATENATE(SUM(EXTRACTNUMBER(D63),EXTRACTNUMBER(F63),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EXTRACTNUMBER(AD63),EXTRACTNUMBER(AF63),EXTRACTNUMBER(AH63),EXTRACTNUMBER(AJ63)),"*"),SUM(EXTRACTNUMBER(D63),EXTRACTNUMBER(F63),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EXTRACTNUMBER(AD63),EXTRACTNUMBER(AF63),EXTRACTNUMBER(AH63),EXTRACTNUMBER(AJ63))))),SUM(EXTRACTNUMBER(D63),EXTRACTNUMBER(F63),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EXTRACTNUMBER(AD63),EXTRACTNUMBER(AF63),EXTRACTNUMBER(AH63),EXTRACTNUMBER(AJ63)))</f>
        <v>547</v>
      </c>
      <c r="AM63" s="72" t="s">
        <v>247</v>
      </c>
      <c r="AN63" s="11">
        <f t="shared" si="0"/>
        <v>1062</v>
      </c>
      <c r="AO63" s="11" t="str">
        <f t="shared" si="19"/>
        <v>PASS</v>
      </c>
      <c r="AP63" s="11" t="str">
        <f t="shared" si="1"/>
        <v>I</v>
      </c>
      <c r="AQ63" s="1" t="str">
        <f t="shared" si="20"/>
        <v xml:space="preserve">One Thousand Sixty Two </v>
      </c>
    </row>
    <row r="64" spans="2:43" ht="15.95" customHeight="1">
      <c r="B64" s="67">
        <v>136237</v>
      </c>
      <c r="C64" s="21" t="s">
        <v>60</v>
      </c>
      <c r="D64" s="24">
        <v>42</v>
      </c>
      <c r="E64" s="9" t="str">
        <f t="shared" si="2"/>
        <v/>
      </c>
      <c r="F64" s="22">
        <v>20</v>
      </c>
      <c r="G64" s="9" t="str">
        <f t="shared" si="3"/>
        <v/>
      </c>
      <c r="H64" s="22">
        <v>44</v>
      </c>
      <c r="I64" s="9" t="str">
        <f t="shared" si="4"/>
        <v/>
      </c>
      <c r="J64" s="29">
        <v>50</v>
      </c>
      <c r="K64" s="9" t="str">
        <f t="shared" si="5"/>
        <v/>
      </c>
      <c r="L64" s="22">
        <v>21</v>
      </c>
      <c r="M64" s="9" t="str">
        <f t="shared" si="6"/>
        <v/>
      </c>
      <c r="N64" s="22">
        <v>22</v>
      </c>
      <c r="O64" s="9" t="str">
        <f t="shared" si="7"/>
        <v/>
      </c>
      <c r="P64" s="29">
        <v>68</v>
      </c>
      <c r="Q64" s="9" t="str">
        <f t="shared" si="8"/>
        <v/>
      </c>
      <c r="R64" s="22">
        <v>21</v>
      </c>
      <c r="S64" s="9" t="str">
        <f t="shared" si="9"/>
        <v/>
      </c>
      <c r="T64" s="22">
        <v>44</v>
      </c>
      <c r="U64" s="9" t="str">
        <f t="shared" si="10"/>
        <v/>
      </c>
      <c r="V64" s="29">
        <v>53</v>
      </c>
      <c r="W64" s="9" t="str">
        <f t="shared" si="11"/>
        <v/>
      </c>
      <c r="X64" s="22">
        <v>21</v>
      </c>
      <c r="Y64" s="9" t="str">
        <f t="shared" si="12"/>
        <v/>
      </c>
      <c r="Z64" s="22">
        <v>22</v>
      </c>
      <c r="AA64" s="9" t="str">
        <f t="shared" si="13"/>
        <v/>
      </c>
      <c r="AB64" s="29">
        <v>52</v>
      </c>
      <c r="AC64" s="9" t="str">
        <f t="shared" si="14"/>
        <v/>
      </c>
      <c r="AD64" s="22">
        <v>21</v>
      </c>
      <c r="AE64" s="9" t="str">
        <f t="shared" si="15"/>
        <v/>
      </c>
      <c r="AF64" s="22">
        <v>21</v>
      </c>
      <c r="AG64" s="9" t="str">
        <f t="shared" si="16"/>
        <v/>
      </c>
      <c r="AH64" s="22">
        <v>21</v>
      </c>
      <c r="AI64" s="9" t="str">
        <f t="shared" si="17"/>
        <v/>
      </c>
      <c r="AJ64" s="22">
        <v>20</v>
      </c>
      <c r="AK64" s="9" t="str">
        <f t="shared" si="18"/>
        <v/>
      </c>
      <c r="AL64" s="16">
        <f>IF(OR(AND(D64&gt;=31,D64&lt;40),AND(J64&gt;=31,J64&lt;40),AND(P64&gt;=31,P64&lt;40),AND(V64&gt;=31,V64&lt;40),AND(AB64&gt;=31,AB64&lt;40)),IF(AND(OR(COUNTIF(D64:AK64,"=31")&gt;=1,COUNTIF(D64:AK64,"=32")&gt;=1,COUNTIF(D64:AK64,"=33")&gt;=1,COUNTIF(D64:AK64,"=34")&gt;=1,COUNTIF(D64:AK64,"=35")&gt;=1,COUNTIF(D64:AK64,"=36")&gt;=1 ),COUNTIF(D64:AK64,"")=0,COUNTIF(D64:AK64," ")=0,COUNTIF(D64:AK64,"F")=1),CONCATENATE(SUM(EXTRACTNUMBER(D64),EXTRACTNUMBER(F64),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EXTRACTNUMBER(AD64),EXTRACTNUMBER(AF64),EXTRACTNUMBER(AH64),EXTRACTNUMBER(AJ64)),"*"),IF(AND(COUNTIF(D64:AK64,"=34")&gt;=1,COUNTIF(D64:AK64,"=35")&gt;=1,COUNTIF(D64:AK64,"f")=2,COUNTIF(D64:AK64,"")=0,COUNTIF(D64:AK64," ")=0),CONCATENATE(SUM(EXTRACTNUMBER(D64),EXTRACTNUMBER(F64),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EXTRACTNUMBER(AD64),EXTRACTNUMBER(AF64),EXTRACTNUMBER(AH64),EXTRACTNUMBER(AJ64)),"*"),IF(AND(COUNTIF(D64:AK64,"=36")&gt;=2,COUNTIF(D64:AK64,"f")=2,COUNTIF(D64:AK64,"")=0,COUNTIF(D64:AK64," ")=0),CONCATENATE(SUM(EXTRACTNUMBER(D64),EXTRACTNUMBER(F64),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EXTRACTNUMBER(AD64),EXTRACTNUMBER(AF64),EXTRACTNUMBER(AH64),EXTRACTNUMBER(AJ64)),"*"),SUM(EXTRACTNUMBER(D64),EXTRACTNUMBER(F64),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EXTRACTNUMBER(AD64),EXTRACTNUMBER(AF64),EXTRACTNUMBER(AH64),EXTRACTNUMBER(AJ64))))),SUM(EXTRACTNUMBER(D64),EXTRACTNUMBER(F64),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EXTRACTNUMBER(AD64),EXTRACTNUMBER(AF64),EXTRACTNUMBER(AH64),EXTRACTNUMBER(AJ64)))</f>
        <v>563</v>
      </c>
      <c r="AM64" s="72" t="s">
        <v>248</v>
      </c>
      <c r="AN64" s="11">
        <f t="shared" si="0"/>
        <v>1096</v>
      </c>
      <c r="AO64" s="11" t="str">
        <f t="shared" si="19"/>
        <v>PASS</v>
      </c>
      <c r="AP64" s="11" t="str">
        <f t="shared" si="1"/>
        <v>I</v>
      </c>
      <c r="AQ64" s="1" t="str">
        <f t="shared" si="20"/>
        <v xml:space="preserve">One Thousand NinetySix </v>
      </c>
    </row>
    <row r="65" spans="2:43" ht="15.95" customHeight="1">
      <c r="B65" s="67">
        <v>136238</v>
      </c>
      <c r="C65" s="21" t="s">
        <v>61</v>
      </c>
      <c r="D65" s="24">
        <v>72</v>
      </c>
      <c r="E65" s="9" t="str">
        <f t="shared" si="2"/>
        <v/>
      </c>
      <c r="F65" s="22">
        <v>24</v>
      </c>
      <c r="G65" s="9" t="str">
        <f t="shared" si="3"/>
        <v/>
      </c>
      <c r="H65" s="22">
        <v>46</v>
      </c>
      <c r="I65" s="9" t="str">
        <f t="shared" si="4"/>
        <v/>
      </c>
      <c r="J65" s="29">
        <v>61</v>
      </c>
      <c r="K65" s="9" t="str">
        <f t="shared" si="5"/>
        <v/>
      </c>
      <c r="L65" s="22">
        <v>23</v>
      </c>
      <c r="M65" s="9" t="str">
        <f t="shared" si="6"/>
        <v/>
      </c>
      <c r="N65" s="22">
        <v>23</v>
      </c>
      <c r="O65" s="9" t="str">
        <f t="shared" si="7"/>
        <v/>
      </c>
      <c r="P65" s="29">
        <v>64</v>
      </c>
      <c r="Q65" s="9" t="str">
        <f t="shared" si="8"/>
        <v/>
      </c>
      <c r="R65" s="22">
        <v>23</v>
      </c>
      <c r="S65" s="9" t="str">
        <f t="shared" si="9"/>
        <v/>
      </c>
      <c r="T65" s="22">
        <v>46</v>
      </c>
      <c r="U65" s="9" t="str">
        <f t="shared" si="10"/>
        <v/>
      </c>
      <c r="V65" s="29">
        <v>65</v>
      </c>
      <c r="W65" s="9" t="str">
        <f t="shared" si="11"/>
        <v/>
      </c>
      <c r="X65" s="22">
        <v>23</v>
      </c>
      <c r="Y65" s="9" t="str">
        <f t="shared" si="12"/>
        <v/>
      </c>
      <c r="Z65" s="22">
        <v>22</v>
      </c>
      <c r="AA65" s="9" t="str">
        <f t="shared" si="13"/>
        <v/>
      </c>
      <c r="AB65" s="29">
        <v>61</v>
      </c>
      <c r="AC65" s="9" t="str">
        <f t="shared" si="14"/>
        <v/>
      </c>
      <c r="AD65" s="22">
        <v>23</v>
      </c>
      <c r="AE65" s="9" t="str">
        <f t="shared" si="15"/>
        <v/>
      </c>
      <c r="AF65" s="22">
        <v>23</v>
      </c>
      <c r="AG65" s="9" t="str">
        <f t="shared" si="16"/>
        <v/>
      </c>
      <c r="AH65" s="22">
        <v>23</v>
      </c>
      <c r="AI65" s="9" t="str">
        <f t="shared" si="17"/>
        <v/>
      </c>
      <c r="AJ65" s="22">
        <v>22</v>
      </c>
      <c r="AK65" s="9" t="str">
        <f t="shared" si="18"/>
        <v/>
      </c>
      <c r="AL65" s="16">
        <f>IF(OR(AND(D65&gt;=31,D65&lt;40),AND(J65&gt;=31,J65&lt;40),AND(P65&gt;=31,P65&lt;40),AND(V65&gt;=31,V65&lt;40),AND(AB65&gt;=31,AB65&lt;40)),IF(AND(OR(COUNTIF(D65:AK65,"=31")&gt;=1,COUNTIF(D65:AK65,"=32")&gt;=1,COUNTIF(D65:AK65,"=33")&gt;=1,COUNTIF(D65:AK65,"=34")&gt;=1,COUNTIF(D65:AK65,"=35")&gt;=1,COUNTIF(D65:AK65,"=36")&gt;=1 ),COUNTIF(D65:AK65,"")=0,COUNTIF(D65:AK65," ")=0,COUNTIF(D65:AK65,"F")=1),CONCATENATE(SUM(EXTRACTNUMBER(D65),EXTRACTNUMBER(F65),
EXTRACTNUMBER(H65),EXTRACTNUMBER(J65),
EXTRACTNUMBER(L65),EXTRACTNUMBER(N65),
EXTRACTNUMBER(P65),EXTRACTNUMBER(R65),
EXTRACTNUMBER(T65),EXTRACTNUMBER(V65),
EXTRACTNUMBER(X65),EXTRACTNUMBER(Z65),EXTRACTNUMBER(AB65),
EXTRACTNUMBER(AD65),EXTRACTNUMBER(AF65),EXTRACTNUMBER(AH65),EXTRACTNUMBER(AJ65)),"*"),IF(AND(COUNTIF(D65:AK65,"=34")&gt;=1,COUNTIF(D65:AK65,"=35")&gt;=1,COUNTIF(D65:AK65,"f")=2,COUNTIF(D65:AK65,"")=0,COUNTIF(D65:AK65," ")=0),CONCATENATE(SUM(EXTRACTNUMBER(D65),EXTRACTNUMBER(F65),
EXTRACTNUMBER(H65),EXTRACTNUMBER(J65),
EXTRACTNUMBER(L65),EXTRACTNUMBER(N65),
EXTRACTNUMBER(P65),EXTRACTNUMBER(R65),
EXTRACTNUMBER(T65),EXTRACTNUMBER(V65),
EXTRACTNUMBER(X65),EXTRACTNUMBER(Z65),EXTRACTNUMBER(AB65),
EXTRACTNUMBER(AD65),EXTRACTNUMBER(AF65),EXTRACTNUMBER(AH65),EXTRACTNUMBER(AJ65)),"*"),IF(AND(COUNTIF(D65:AK65,"=36")&gt;=2,COUNTIF(D65:AK65,"f")=2,COUNTIF(D65:AK65,"")=0,COUNTIF(D65:AK65," ")=0),CONCATENATE(SUM(EXTRACTNUMBER(D65),EXTRACTNUMBER(F65),
EXTRACTNUMBER(H65),EXTRACTNUMBER(J65),
EXTRACTNUMBER(L65),EXTRACTNUMBER(N65),
EXTRACTNUMBER(P65),EXTRACTNUMBER(R65),
EXTRACTNUMBER(T65),EXTRACTNUMBER(V65),
EXTRACTNUMBER(X65),EXTRACTNUMBER(Z65),EXTRACTNUMBER(AB65),
EXTRACTNUMBER(AD65),EXTRACTNUMBER(AF65),EXTRACTNUMBER(AH65),EXTRACTNUMBER(AJ65)),"*"),SUM(EXTRACTNUMBER(D65),EXTRACTNUMBER(F65),
EXTRACTNUMBER(H65),EXTRACTNUMBER(J65),
EXTRACTNUMBER(L65),EXTRACTNUMBER(N65),
EXTRACTNUMBER(P65),EXTRACTNUMBER(R65),
EXTRACTNUMBER(T65),EXTRACTNUMBER(V65),
EXTRACTNUMBER(X65),EXTRACTNUMBER(Z65),EXTRACTNUMBER(AB65),
EXTRACTNUMBER(AD65),EXTRACTNUMBER(AF65),EXTRACTNUMBER(AH65),EXTRACTNUMBER(AJ65))))),SUM(EXTRACTNUMBER(D65),EXTRACTNUMBER(F65),
EXTRACTNUMBER(H65),EXTRACTNUMBER(J65),
EXTRACTNUMBER(L65),EXTRACTNUMBER(N65),
EXTRACTNUMBER(P65),EXTRACTNUMBER(R65),
EXTRACTNUMBER(T65),EXTRACTNUMBER(V65),
EXTRACTNUMBER(X65),EXTRACTNUMBER(Z65),EXTRACTNUMBER(AB65),
EXTRACTNUMBER(AD65),EXTRACTNUMBER(AF65),EXTRACTNUMBER(AH65),EXTRACTNUMBER(AJ65)))</f>
        <v>644</v>
      </c>
      <c r="AM65" s="72" t="s">
        <v>249</v>
      </c>
      <c r="AN65" s="11">
        <f t="shared" si="0"/>
        <v>1240</v>
      </c>
      <c r="AO65" s="11" t="str">
        <f t="shared" si="19"/>
        <v>PASS</v>
      </c>
      <c r="AP65" s="11" t="str">
        <f t="shared" si="1"/>
        <v>I</v>
      </c>
      <c r="AQ65" s="1" t="str">
        <f t="shared" si="20"/>
        <v xml:space="preserve">One Thousand Two Hundred Forty  </v>
      </c>
    </row>
    <row r="66" spans="2:43" ht="15.95" customHeight="1">
      <c r="B66" s="67">
        <v>136239</v>
      </c>
      <c r="C66" s="21" t="s">
        <v>62</v>
      </c>
      <c r="D66" s="24">
        <v>56</v>
      </c>
      <c r="E66" s="9" t="str">
        <f t="shared" si="2"/>
        <v/>
      </c>
      <c r="F66" s="22">
        <v>19</v>
      </c>
      <c r="G66" s="9" t="str">
        <f t="shared" si="3"/>
        <v/>
      </c>
      <c r="H66" s="22">
        <v>42</v>
      </c>
      <c r="I66" s="9" t="str">
        <f t="shared" si="4"/>
        <v/>
      </c>
      <c r="J66" s="29">
        <v>40</v>
      </c>
      <c r="K66" s="9" t="str">
        <f t="shared" si="5"/>
        <v/>
      </c>
      <c r="L66" s="22">
        <v>20</v>
      </c>
      <c r="M66" s="9" t="str">
        <f t="shared" si="6"/>
        <v/>
      </c>
      <c r="N66" s="22">
        <v>21</v>
      </c>
      <c r="O66" s="9" t="str">
        <f t="shared" si="7"/>
        <v/>
      </c>
      <c r="P66" s="29">
        <v>67</v>
      </c>
      <c r="Q66" s="9" t="str">
        <f t="shared" si="8"/>
        <v/>
      </c>
      <c r="R66" s="22">
        <v>21</v>
      </c>
      <c r="S66" s="9" t="str">
        <f t="shared" si="9"/>
        <v/>
      </c>
      <c r="T66" s="22">
        <v>42</v>
      </c>
      <c r="U66" s="9" t="str">
        <f t="shared" si="10"/>
        <v/>
      </c>
      <c r="V66" s="29">
        <v>41</v>
      </c>
      <c r="W66" s="9" t="str">
        <f t="shared" si="11"/>
        <v/>
      </c>
      <c r="X66" s="22">
        <v>21</v>
      </c>
      <c r="Y66" s="9" t="str">
        <f t="shared" si="12"/>
        <v/>
      </c>
      <c r="Z66" s="22">
        <v>21</v>
      </c>
      <c r="AA66" s="9" t="str">
        <f t="shared" si="13"/>
        <v/>
      </c>
      <c r="AB66" s="29">
        <v>49</v>
      </c>
      <c r="AC66" s="9" t="str">
        <f t="shared" si="14"/>
        <v/>
      </c>
      <c r="AD66" s="22">
        <v>21</v>
      </c>
      <c r="AE66" s="9" t="str">
        <f t="shared" si="15"/>
        <v/>
      </c>
      <c r="AF66" s="22">
        <v>22</v>
      </c>
      <c r="AG66" s="9" t="str">
        <f t="shared" si="16"/>
        <v/>
      </c>
      <c r="AH66" s="22">
        <v>21</v>
      </c>
      <c r="AI66" s="9" t="str">
        <f t="shared" si="17"/>
        <v/>
      </c>
      <c r="AJ66" s="22">
        <v>24</v>
      </c>
      <c r="AK66" s="9" t="str">
        <f t="shared" si="18"/>
        <v/>
      </c>
      <c r="AL66" s="16">
        <f>IF(OR(AND(D66&gt;=31,D66&lt;40),AND(J66&gt;=31,J66&lt;40),AND(P66&gt;=31,P66&lt;40),AND(V66&gt;=31,V66&lt;40),AND(AB66&gt;=31,AB66&lt;40)),IF(AND(OR(COUNTIF(D66:AK66,"=31")&gt;=1,COUNTIF(D66:AK66,"=32")&gt;=1,COUNTIF(D66:AK66,"=33")&gt;=1,COUNTIF(D66:AK66,"=34")&gt;=1,COUNTIF(D66:AK66,"=35")&gt;=1,COUNTIF(D66:AK66,"=36")&gt;=1 ),COUNTIF(D66:AK66,"")=0,COUNTIF(D66:AK66," ")=0,COUNTIF(D66:AK66,"F")=1),CONCATENATE(SUM(EXTRACTNUMBER(D66),EXTRACTNUMBER(F66),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EXTRACTNUMBER(AD66),EXTRACTNUMBER(AF66),EXTRACTNUMBER(AH66),EXTRACTNUMBER(AJ66)),"*"),IF(AND(COUNTIF(D66:AK66,"=34")&gt;=1,COUNTIF(D66:AK66,"=35")&gt;=1,COUNTIF(D66:AK66,"f")=2,COUNTIF(D66:AK66,"")=0,COUNTIF(D66:AK66," ")=0),CONCATENATE(SUM(EXTRACTNUMBER(D66),EXTRACTNUMBER(F66),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EXTRACTNUMBER(AD66),EXTRACTNUMBER(AF66),EXTRACTNUMBER(AH66),EXTRACTNUMBER(AJ66)),"*"),IF(AND(COUNTIF(D66:AK66,"=36")&gt;=2,COUNTIF(D66:AK66,"f")=2,COUNTIF(D66:AK66,"")=0,COUNTIF(D66:AK66," ")=0),CONCATENATE(SUM(EXTRACTNUMBER(D66),EXTRACTNUMBER(F66),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EXTRACTNUMBER(AD66),EXTRACTNUMBER(AF66),EXTRACTNUMBER(AH66),EXTRACTNUMBER(AJ66)),"*"),SUM(EXTRACTNUMBER(D66),EXTRACTNUMBER(F66),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EXTRACTNUMBER(AD66),EXTRACTNUMBER(AF66),EXTRACTNUMBER(AH66),EXTRACTNUMBER(AJ66))))),SUM(EXTRACTNUMBER(D66),EXTRACTNUMBER(F66),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EXTRACTNUMBER(AD66),EXTRACTNUMBER(AF66),EXTRACTNUMBER(AH66),EXTRACTNUMBER(AJ66)))</f>
        <v>548</v>
      </c>
      <c r="AM66" s="72" t="s">
        <v>250</v>
      </c>
      <c r="AN66" s="11">
        <f t="shared" si="0"/>
        <v>1099</v>
      </c>
      <c r="AO66" s="11" t="str">
        <f t="shared" si="19"/>
        <v>PASS</v>
      </c>
      <c r="AP66" s="11" t="str">
        <f t="shared" si="1"/>
        <v>I</v>
      </c>
      <c r="AQ66" s="1" t="str">
        <f t="shared" si="20"/>
        <v xml:space="preserve">One Thousand NinetyNine </v>
      </c>
    </row>
    <row r="67" spans="2:43" ht="15.95" customHeight="1">
      <c r="B67" s="67">
        <v>136240</v>
      </c>
      <c r="C67" s="21" t="s">
        <v>63</v>
      </c>
      <c r="D67" s="24">
        <v>47</v>
      </c>
      <c r="E67" s="9" t="str">
        <f t="shared" si="2"/>
        <v/>
      </c>
      <c r="F67" s="22">
        <v>23</v>
      </c>
      <c r="G67" s="9" t="str">
        <f t="shared" si="3"/>
        <v/>
      </c>
      <c r="H67" s="22">
        <v>42</v>
      </c>
      <c r="I67" s="9" t="str">
        <f t="shared" si="4"/>
        <v/>
      </c>
      <c r="J67" s="29" t="s">
        <v>313</v>
      </c>
      <c r="K67" s="9" t="str">
        <f t="shared" si="5"/>
        <v/>
      </c>
      <c r="L67" s="22">
        <v>23</v>
      </c>
      <c r="M67" s="9" t="str">
        <f t="shared" si="6"/>
        <v/>
      </c>
      <c r="N67" s="22">
        <v>21</v>
      </c>
      <c r="O67" s="9" t="str">
        <f t="shared" si="7"/>
        <v/>
      </c>
      <c r="P67" s="29">
        <v>56</v>
      </c>
      <c r="Q67" s="9" t="str">
        <f t="shared" si="8"/>
        <v/>
      </c>
      <c r="R67" s="22">
        <v>23</v>
      </c>
      <c r="S67" s="9" t="str">
        <f t="shared" si="9"/>
        <v/>
      </c>
      <c r="T67" s="22">
        <v>42</v>
      </c>
      <c r="U67" s="9" t="str">
        <f t="shared" si="10"/>
        <v/>
      </c>
      <c r="V67" s="29">
        <v>43</v>
      </c>
      <c r="W67" s="9" t="str">
        <f t="shared" si="11"/>
        <v/>
      </c>
      <c r="X67" s="22">
        <v>23</v>
      </c>
      <c r="Y67" s="9" t="str">
        <f t="shared" si="12"/>
        <v/>
      </c>
      <c r="Z67" s="22">
        <v>22</v>
      </c>
      <c r="AA67" s="9" t="str">
        <f t="shared" si="13"/>
        <v/>
      </c>
      <c r="AB67" s="29">
        <v>42</v>
      </c>
      <c r="AC67" s="9" t="str">
        <f t="shared" si="14"/>
        <v/>
      </c>
      <c r="AD67" s="22">
        <v>23</v>
      </c>
      <c r="AE67" s="9" t="str">
        <f t="shared" si="15"/>
        <v/>
      </c>
      <c r="AF67" s="22">
        <v>19</v>
      </c>
      <c r="AG67" s="9" t="str">
        <f t="shared" si="16"/>
        <v/>
      </c>
      <c r="AH67" s="22">
        <v>23</v>
      </c>
      <c r="AI67" s="9" t="str">
        <f t="shared" si="17"/>
        <v/>
      </c>
      <c r="AJ67" s="22">
        <v>24</v>
      </c>
      <c r="AK67" s="9" t="str">
        <f t="shared" si="18"/>
        <v/>
      </c>
      <c r="AL67" s="16" t="s">
        <v>317</v>
      </c>
      <c r="AM67" s="72" t="s">
        <v>549</v>
      </c>
      <c r="AN67" s="11">
        <f t="shared" si="0"/>
        <v>1085</v>
      </c>
      <c r="AO67" s="11" t="str">
        <f t="shared" si="19"/>
        <v>PASS</v>
      </c>
      <c r="AP67" s="11" t="str">
        <f t="shared" si="1"/>
        <v>P</v>
      </c>
      <c r="AQ67" s="1" t="str">
        <f t="shared" si="20"/>
        <v xml:space="preserve">One Thousand Eighty Five </v>
      </c>
    </row>
    <row r="68" spans="2:43" ht="15.95" customHeight="1">
      <c r="B68" s="67">
        <v>136241</v>
      </c>
      <c r="C68" s="21" t="s">
        <v>64</v>
      </c>
      <c r="D68" s="24">
        <v>68</v>
      </c>
      <c r="E68" s="9" t="str">
        <f t="shared" si="2"/>
        <v/>
      </c>
      <c r="F68" s="22">
        <v>23</v>
      </c>
      <c r="G68" s="9" t="str">
        <f t="shared" si="3"/>
        <v/>
      </c>
      <c r="H68" s="22">
        <v>44</v>
      </c>
      <c r="I68" s="9" t="str">
        <f t="shared" si="4"/>
        <v/>
      </c>
      <c r="J68" s="29">
        <v>47</v>
      </c>
      <c r="K68" s="9" t="str">
        <f t="shared" si="5"/>
        <v/>
      </c>
      <c r="L68" s="22">
        <v>23</v>
      </c>
      <c r="M68" s="9" t="str">
        <f t="shared" si="6"/>
        <v/>
      </c>
      <c r="N68" s="22">
        <v>22</v>
      </c>
      <c r="O68" s="9" t="str">
        <f t="shared" si="7"/>
        <v/>
      </c>
      <c r="P68" s="29">
        <v>68</v>
      </c>
      <c r="Q68" s="9" t="str">
        <f t="shared" si="8"/>
        <v/>
      </c>
      <c r="R68" s="22">
        <v>23</v>
      </c>
      <c r="S68" s="9" t="str">
        <f t="shared" si="9"/>
        <v/>
      </c>
      <c r="T68" s="22">
        <v>44</v>
      </c>
      <c r="U68" s="9" t="str">
        <f t="shared" si="10"/>
        <v/>
      </c>
      <c r="V68" s="29">
        <v>66</v>
      </c>
      <c r="W68" s="9" t="str">
        <f t="shared" si="11"/>
        <v/>
      </c>
      <c r="X68" s="22">
        <v>23</v>
      </c>
      <c r="Y68" s="9" t="str">
        <f t="shared" si="12"/>
        <v/>
      </c>
      <c r="Z68" s="22">
        <v>23</v>
      </c>
      <c r="AA68" s="9" t="str">
        <f t="shared" si="13"/>
        <v/>
      </c>
      <c r="AB68" s="29">
        <v>57</v>
      </c>
      <c r="AC68" s="9" t="str">
        <f t="shared" si="14"/>
        <v/>
      </c>
      <c r="AD68" s="22">
        <v>23</v>
      </c>
      <c r="AE68" s="9" t="str">
        <f t="shared" si="15"/>
        <v/>
      </c>
      <c r="AF68" s="22">
        <v>20</v>
      </c>
      <c r="AG68" s="9" t="str">
        <f t="shared" si="16"/>
        <v/>
      </c>
      <c r="AH68" s="22">
        <v>22</v>
      </c>
      <c r="AI68" s="9" t="str">
        <f t="shared" si="17"/>
        <v/>
      </c>
      <c r="AJ68" s="22">
        <v>22</v>
      </c>
      <c r="AK68" s="9" t="str">
        <f t="shared" si="18"/>
        <v/>
      </c>
      <c r="AL68" s="16">
        <f>IF(OR(AND(D68&gt;=31,D68&lt;40),AND(J68&gt;=31,J68&lt;40),AND(P68&gt;=31,P68&lt;40),AND(V68&gt;=31,V68&lt;40),AND(AB68&gt;=31,AB68&lt;40)),IF(AND(OR(COUNTIF(D68:AK68,"=31")&gt;=1,COUNTIF(D68:AK68,"=32")&gt;=1,COUNTIF(D68:AK68,"=33")&gt;=1,COUNTIF(D68:AK68,"=34")&gt;=1,COUNTIF(D68:AK68,"=35")&gt;=1,COUNTIF(D68:AK68,"=36")&gt;=1 ),COUNTIF(D68:AK68,"")=0,COUNTIF(D68:AK68," ")=0,COUNTIF(D68:AK68,"F")=1),CONCATENATE(SUM(EXTRACTNUMBER(D68),EXTRACTNUMBER(F68),
EXTRACTNUMBER(H68),EXTRACTNUMBER(J68),
EXTRACTNUMBER(L68),EXTRACTNUMBER(N68),
EXTRACTNUMBER(P68),EXTRACTNUMBER(R68),
EXTRACTNUMBER(T68),EXTRACTNUMBER(V68),
EXTRACTNUMBER(X68),EXTRACTNUMBER(Z68),EXTRACTNUMBER(AB68),
EXTRACTNUMBER(AD68),EXTRACTNUMBER(AF68),EXTRACTNUMBER(AH68),EXTRACTNUMBER(AJ68)),"*"),IF(AND(COUNTIF(D68:AK68,"=34")&gt;=1,COUNTIF(D68:AK68,"=35")&gt;=1,COUNTIF(D68:AK68,"f")=2,COUNTIF(D68:AK68,"")=0,COUNTIF(D68:AK68," ")=0),CONCATENATE(SUM(EXTRACTNUMBER(D68),EXTRACTNUMBER(F68),
EXTRACTNUMBER(H68),EXTRACTNUMBER(J68),
EXTRACTNUMBER(L68),EXTRACTNUMBER(N68),
EXTRACTNUMBER(P68),EXTRACTNUMBER(R68),
EXTRACTNUMBER(T68),EXTRACTNUMBER(V68),
EXTRACTNUMBER(X68),EXTRACTNUMBER(Z68),EXTRACTNUMBER(AB68),
EXTRACTNUMBER(AD68),EXTRACTNUMBER(AF68),EXTRACTNUMBER(AH68),EXTRACTNUMBER(AJ68)),"*"),IF(AND(COUNTIF(D68:AK68,"=36")&gt;=2,COUNTIF(D68:AK68,"f")=2,COUNTIF(D68:AK68,"")=0,COUNTIF(D68:AK68," ")=0),CONCATENATE(SUM(EXTRACTNUMBER(D68),EXTRACTNUMBER(F68),
EXTRACTNUMBER(H68),EXTRACTNUMBER(J68),
EXTRACTNUMBER(L68),EXTRACTNUMBER(N68),
EXTRACTNUMBER(P68),EXTRACTNUMBER(R68),
EXTRACTNUMBER(T68),EXTRACTNUMBER(V68),
EXTRACTNUMBER(X68),EXTRACTNUMBER(Z68),EXTRACTNUMBER(AB68),
EXTRACTNUMBER(AD68),EXTRACTNUMBER(AF68),EXTRACTNUMBER(AH68),EXTRACTNUMBER(AJ68)),"*"),SUM(EXTRACTNUMBER(D68),EXTRACTNUMBER(F68),
EXTRACTNUMBER(H68),EXTRACTNUMBER(J68),
EXTRACTNUMBER(L68),EXTRACTNUMBER(N68),
EXTRACTNUMBER(P68),EXTRACTNUMBER(R68),
EXTRACTNUMBER(T68),EXTRACTNUMBER(V68),
EXTRACTNUMBER(X68),EXTRACTNUMBER(Z68),EXTRACTNUMBER(AB68),
EXTRACTNUMBER(AD68),EXTRACTNUMBER(AF68),EXTRACTNUMBER(AH68),EXTRACTNUMBER(AJ68))))),SUM(EXTRACTNUMBER(D68),EXTRACTNUMBER(F68),
EXTRACTNUMBER(H68),EXTRACTNUMBER(J68),
EXTRACTNUMBER(L68),EXTRACTNUMBER(N68),
EXTRACTNUMBER(P68),EXTRACTNUMBER(R68),
EXTRACTNUMBER(T68),EXTRACTNUMBER(V68),
EXTRACTNUMBER(X68),EXTRACTNUMBER(Z68),EXTRACTNUMBER(AB68),
EXTRACTNUMBER(AD68),EXTRACTNUMBER(AF68),EXTRACTNUMBER(AH68),EXTRACTNUMBER(AJ68)))</f>
        <v>618</v>
      </c>
      <c r="AM68" s="72" t="s">
        <v>226</v>
      </c>
      <c r="AN68" s="11">
        <f t="shared" si="0"/>
        <v>1197</v>
      </c>
      <c r="AO68" s="11" t="str">
        <f t="shared" si="19"/>
        <v>PASS</v>
      </c>
      <c r="AP68" s="11" t="str">
        <f t="shared" si="1"/>
        <v>I</v>
      </c>
      <c r="AQ68" s="1" t="str">
        <f t="shared" si="20"/>
        <v xml:space="preserve">One Thousand One Hundred NinetySeven </v>
      </c>
    </row>
    <row r="69" spans="2:43" ht="15.95" customHeight="1">
      <c r="B69" s="67">
        <v>136242</v>
      </c>
      <c r="C69" s="21" t="s">
        <v>65</v>
      </c>
      <c r="D69" s="24">
        <v>75</v>
      </c>
      <c r="E69" s="9" t="str">
        <f t="shared" si="2"/>
        <v/>
      </c>
      <c r="F69" s="22">
        <v>24</v>
      </c>
      <c r="G69" s="9" t="str">
        <f t="shared" si="3"/>
        <v/>
      </c>
      <c r="H69" s="22">
        <v>44</v>
      </c>
      <c r="I69" s="9" t="str">
        <f t="shared" si="4"/>
        <v/>
      </c>
      <c r="J69" s="29">
        <v>43</v>
      </c>
      <c r="K69" s="9" t="str">
        <f t="shared" si="5"/>
        <v/>
      </c>
      <c r="L69" s="22">
        <v>20</v>
      </c>
      <c r="M69" s="9" t="str">
        <f t="shared" si="6"/>
        <v/>
      </c>
      <c r="N69" s="22">
        <v>22</v>
      </c>
      <c r="O69" s="9" t="str">
        <f t="shared" si="7"/>
        <v/>
      </c>
      <c r="P69" s="29">
        <v>63</v>
      </c>
      <c r="Q69" s="9" t="str">
        <f t="shared" si="8"/>
        <v/>
      </c>
      <c r="R69" s="22">
        <v>23</v>
      </c>
      <c r="S69" s="9" t="str">
        <f t="shared" si="9"/>
        <v/>
      </c>
      <c r="T69" s="22">
        <v>44</v>
      </c>
      <c r="U69" s="9" t="str">
        <f t="shared" si="10"/>
        <v/>
      </c>
      <c r="V69" s="29">
        <v>69</v>
      </c>
      <c r="W69" s="9" t="str">
        <f t="shared" si="11"/>
        <v/>
      </c>
      <c r="X69" s="22">
        <v>23</v>
      </c>
      <c r="Y69" s="9" t="str">
        <f t="shared" si="12"/>
        <v/>
      </c>
      <c r="Z69" s="22">
        <v>23</v>
      </c>
      <c r="AA69" s="9" t="str">
        <f t="shared" si="13"/>
        <v/>
      </c>
      <c r="AB69" s="29">
        <v>59</v>
      </c>
      <c r="AC69" s="9" t="str">
        <f t="shared" si="14"/>
        <v/>
      </c>
      <c r="AD69" s="22">
        <v>23</v>
      </c>
      <c r="AE69" s="9" t="str">
        <f t="shared" si="15"/>
        <v/>
      </c>
      <c r="AF69" s="22">
        <v>23</v>
      </c>
      <c r="AG69" s="9" t="str">
        <f t="shared" si="16"/>
        <v/>
      </c>
      <c r="AH69" s="22">
        <v>23</v>
      </c>
      <c r="AI69" s="9" t="str">
        <f t="shared" si="17"/>
        <v/>
      </c>
      <c r="AJ69" s="22">
        <v>23</v>
      </c>
      <c r="AK69" s="9" t="str">
        <f t="shared" si="18"/>
        <v/>
      </c>
      <c r="AL69" s="16">
        <f>IF(OR(AND(D69&gt;=31,D69&lt;40),AND(J69&gt;=31,J69&lt;40),AND(P69&gt;=31,P69&lt;40),AND(V69&gt;=31,V69&lt;40),AND(AB69&gt;=31,AB69&lt;40)),IF(AND(OR(COUNTIF(D69:AK69,"=31")&gt;=1,COUNTIF(D69:AK69,"=32")&gt;=1,COUNTIF(D69:AK69,"=33")&gt;=1,COUNTIF(D69:AK69,"=34")&gt;=1,COUNTIF(D69:AK69,"=35")&gt;=1,COUNTIF(D69:AK69,"=36")&gt;=1 ),COUNTIF(D69:AK69,"")=0,COUNTIF(D69:AK69," ")=0,COUNTIF(D69:AK69,"F")=1),CONCATENATE(SUM(EXTRACTNUMBER(D69),EXTRACTNUMBER(F69),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EXTRACTNUMBER(AD69),EXTRACTNUMBER(AF69),EXTRACTNUMBER(AH69),EXTRACTNUMBER(AJ69)),"*"),IF(AND(COUNTIF(D69:AK69,"=34")&gt;=1,COUNTIF(D69:AK69,"=35")&gt;=1,COUNTIF(D69:AK69,"f")=2,COUNTIF(D69:AK69,"")=0,COUNTIF(D69:AK69," ")=0),CONCATENATE(SUM(EXTRACTNUMBER(D69),EXTRACTNUMBER(F69),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EXTRACTNUMBER(AD69),EXTRACTNUMBER(AF69),EXTRACTNUMBER(AH69),EXTRACTNUMBER(AJ69)),"*"),IF(AND(COUNTIF(D69:AK69,"=36")&gt;=2,COUNTIF(D69:AK69,"f")=2,COUNTIF(D69:AK69,"")=0,COUNTIF(D69:AK69," ")=0),CONCATENATE(SUM(EXTRACTNUMBER(D69),EXTRACTNUMBER(F69),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EXTRACTNUMBER(AD69),EXTRACTNUMBER(AF69),EXTRACTNUMBER(AH69),EXTRACTNUMBER(AJ69)),"*"),SUM(EXTRACTNUMBER(D69),EXTRACTNUMBER(F69),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EXTRACTNUMBER(AD69),EXTRACTNUMBER(AF69),EXTRACTNUMBER(AH69),EXTRACTNUMBER(AJ69))))),SUM(EXTRACTNUMBER(D69),EXTRACTNUMBER(F69),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EXTRACTNUMBER(AD69),EXTRACTNUMBER(AF69),EXTRACTNUMBER(AH69),EXTRACTNUMBER(AJ69)))</f>
        <v>624</v>
      </c>
      <c r="AM69" s="72" t="s">
        <v>251</v>
      </c>
      <c r="AN69" s="11">
        <f t="shared" si="0"/>
        <v>1237</v>
      </c>
      <c r="AO69" s="11" t="str">
        <f t="shared" si="19"/>
        <v>PASS</v>
      </c>
      <c r="AP69" s="11" t="str">
        <f t="shared" si="1"/>
        <v>I</v>
      </c>
      <c r="AQ69" s="1" t="str">
        <f t="shared" si="20"/>
        <v xml:space="preserve">One Thousand Two Hundred Thirty Seven </v>
      </c>
    </row>
    <row r="70" spans="2:43" ht="15.95" customHeight="1">
      <c r="B70" s="67">
        <v>136243</v>
      </c>
      <c r="C70" s="21" t="s">
        <v>66</v>
      </c>
      <c r="D70" s="24">
        <v>49</v>
      </c>
      <c r="E70" s="9" t="str">
        <f t="shared" si="2"/>
        <v/>
      </c>
      <c r="F70" s="22">
        <v>19</v>
      </c>
      <c r="G70" s="9" t="str">
        <f t="shared" si="3"/>
        <v/>
      </c>
      <c r="H70" s="22">
        <v>38</v>
      </c>
      <c r="I70" s="9" t="str">
        <f t="shared" si="4"/>
        <v/>
      </c>
      <c r="J70" s="29">
        <v>40</v>
      </c>
      <c r="K70" s="9" t="str">
        <f t="shared" si="5"/>
        <v/>
      </c>
      <c r="L70" s="22">
        <v>20</v>
      </c>
      <c r="M70" s="9" t="str">
        <f t="shared" si="6"/>
        <v/>
      </c>
      <c r="N70" s="22">
        <v>19</v>
      </c>
      <c r="O70" s="9" t="str">
        <f t="shared" si="7"/>
        <v/>
      </c>
      <c r="P70" s="29">
        <v>64</v>
      </c>
      <c r="Q70" s="9" t="str">
        <f t="shared" si="8"/>
        <v/>
      </c>
      <c r="R70" s="22">
        <v>19</v>
      </c>
      <c r="S70" s="9" t="str">
        <f t="shared" si="9"/>
        <v/>
      </c>
      <c r="T70" s="22">
        <v>38</v>
      </c>
      <c r="U70" s="9" t="str">
        <f t="shared" si="10"/>
        <v/>
      </c>
      <c r="V70" s="29">
        <v>65</v>
      </c>
      <c r="W70" s="9" t="str">
        <f t="shared" si="11"/>
        <v/>
      </c>
      <c r="X70" s="22">
        <v>19</v>
      </c>
      <c r="Y70" s="9" t="str">
        <f t="shared" si="12"/>
        <v/>
      </c>
      <c r="Z70" s="22">
        <v>20</v>
      </c>
      <c r="AA70" s="9" t="str">
        <f t="shared" si="13"/>
        <v/>
      </c>
      <c r="AB70" s="29">
        <v>48</v>
      </c>
      <c r="AC70" s="9" t="str">
        <f t="shared" si="14"/>
        <v/>
      </c>
      <c r="AD70" s="22">
        <v>19</v>
      </c>
      <c r="AE70" s="9" t="str">
        <f t="shared" si="15"/>
        <v/>
      </c>
      <c r="AF70" s="22">
        <v>20</v>
      </c>
      <c r="AG70" s="9" t="str">
        <f t="shared" si="16"/>
        <v/>
      </c>
      <c r="AH70" s="22">
        <v>19</v>
      </c>
      <c r="AI70" s="9" t="str">
        <f t="shared" si="17"/>
        <v/>
      </c>
      <c r="AJ70" s="22">
        <v>19</v>
      </c>
      <c r="AK70" s="9" t="str">
        <f t="shared" si="18"/>
        <v/>
      </c>
      <c r="AL70" s="16">
        <f>IF(OR(AND(D70&gt;=31,D70&lt;40),AND(J70&gt;=31,J70&lt;40),AND(P70&gt;=31,P70&lt;40),AND(V70&gt;=31,V70&lt;40),AND(AB70&gt;=31,AB70&lt;40)),IF(AND(OR(COUNTIF(D70:AK70,"=31")&gt;=1,COUNTIF(D70:AK70,"=32")&gt;=1,COUNTIF(D70:AK70,"=33")&gt;=1,COUNTIF(D70:AK70,"=34")&gt;=1,COUNTIF(D70:AK70,"=35")&gt;=1,COUNTIF(D70:AK70,"=36")&gt;=1 ),COUNTIF(D70:AK70,"")=0,COUNTIF(D70:AK70," ")=0,COUNTIF(D70:AK70,"F")=1),CONCATENATE(SUM(EXTRACTNUMBER(D70),EXTRACTNUMBER(F70),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EXTRACTNUMBER(AD70),EXTRACTNUMBER(AF70),EXTRACTNUMBER(AH70),EXTRACTNUMBER(AJ70)),"*"),IF(AND(COUNTIF(D70:AK70,"=34")&gt;=1,COUNTIF(D70:AK70,"=35")&gt;=1,COUNTIF(D70:AK70,"f")=2,COUNTIF(D70:AK70,"")=0,COUNTIF(D70:AK70," ")=0),CONCATENATE(SUM(EXTRACTNUMBER(D70),EXTRACTNUMBER(F70),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EXTRACTNUMBER(AD70),EXTRACTNUMBER(AF70),EXTRACTNUMBER(AH70),EXTRACTNUMBER(AJ70)),"*"),IF(AND(COUNTIF(D70:AK70,"=36")&gt;=2,COUNTIF(D70:AK70,"f")=2,COUNTIF(D70:AK70,"")=0,COUNTIF(D70:AK70," ")=0),CONCATENATE(SUM(EXTRACTNUMBER(D70),EXTRACTNUMBER(F70),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EXTRACTNUMBER(AD70),EXTRACTNUMBER(AF70),EXTRACTNUMBER(AH70),EXTRACTNUMBER(AJ70)),"*"),SUM(EXTRACTNUMBER(D70),EXTRACTNUMBER(F70),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EXTRACTNUMBER(AD70),EXTRACTNUMBER(AF70),EXTRACTNUMBER(AH70),EXTRACTNUMBER(AJ70))))),SUM(EXTRACTNUMBER(D70),EXTRACTNUMBER(F70),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EXTRACTNUMBER(AD70),EXTRACTNUMBER(AF70),EXTRACTNUMBER(AH70),EXTRACTNUMBER(AJ70)))</f>
        <v>535</v>
      </c>
      <c r="AM70" s="72" t="s">
        <v>535</v>
      </c>
      <c r="AN70" s="11">
        <f t="shared" si="0"/>
        <v>535</v>
      </c>
      <c r="AO70" s="11" t="str">
        <f t="shared" si="19"/>
        <v>PASS</v>
      </c>
      <c r="AP70" s="11" t="str">
        <f t="shared" si="1"/>
        <v>--</v>
      </c>
      <c r="AQ70" s="1" t="str">
        <f t="shared" si="20"/>
        <v xml:space="preserve">Five Hundred Thirty Five </v>
      </c>
    </row>
    <row r="71" spans="2:43" ht="15.95" customHeight="1">
      <c r="B71" s="67">
        <v>136244</v>
      </c>
      <c r="C71" s="21" t="s">
        <v>67</v>
      </c>
      <c r="D71" s="24">
        <v>40</v>
      </c>
      <c r="E71" s="9" t="str">
        <f t="shared" si="2"/>
        <v/>
      </c>
      <c r="F71" s="22">
        <v>20</v>
      </c>
      <c r="G71" s="9" t="str">
        <f t="shared" si="3"/>
        <v/>
      </c>
      <c r="H71" s="22">
        <v>42</v>
      </c>
      <c r="I71" s="9" t="str">
        <f t="shared" si="4"/>
        <v/>
      </c>
      <c r="J71" s="29">
        <v>40</v>
      </c>
      <c r="K71" s="9" t="str">
        <f t="shared" si="5"/>
        <v/>
      </c>
      <c r="L71" s="22">
        <v>20</v>
      </c>
      <c r="M71" s="9" t="str">
        <f t="shared" si="6"/>
        <v/>
      </c>
      <c r="N71" s="22">
        <v>21</v>
      </c>
      <c r="O71" s="9" t="str">
        <f t="shared" si="7"/>
        <v/>
      </c>
      <c r="P71" s="29">
        <v>40</v>
      </c>
      <c r="Q71" s="9" t="str">
        <f t="shared" si="8"/>
        <v/>
      </c>
      <c r="R71" s="22">
        <v>20</v>
      </c>
      <c r="S71" s="9" t="str">
        <f t="shared" si="9"/>
        <v/>
      </c>
      <c r="T71" s="22">
        <v>42</v>
      </c>
      <c r="U71" s="9" t="str">
        <f t="shared" si="10"/>
        <v/>
      </c>
      <c r="V71" s="29">
        <v>40</v>
      </c>
      <c r="W71" s="9" t="str">
        <f t="shared" si="11"/>
        <v/>
      </c>
      <c r="X71" s="22">
        <v>20</v>
      </c>
      <c r="Y71" s="9" t="str">
        <f t="shared" si="12"/>
        <v/>
      </c>
      <c r="Z71" s="22">
        <v>21</v>
      </c>
      <c r="AA71" s="9" t="str">
        <f t="shared" si="13"/>
        <v/>
      </c>
      <c r="AB71" s="29">
        <v>40</v>
      </c>
      <c r="AC71" s="9" t="str">
        <f t="shared" si="14"/>
        <v/>
      </c>
      <c r="AD71" s="22">
        <v>20</v>
      </c>
      <c r="AE71" s="9" t="str">
        <f t="shared" si="15"/>
        <v/>
      </c>
      <c r="AF71" s="22">
        <v>20</v>
      </c>
      <c r="AG71" s="9" t="str">
        <f t="shared" si="16"/>
        <v/>
      </c>
      <c r="AH71" s="22">
        <v>22</v>
      </c>
      <c r="AI71" s="9" t="str">
        <f t="shared" si="17"/>
        <v/>
      </c>
      <c r="AJ71" s="22">
        <v>22</v>
      </c>
      <c r="AK71" s="9" t="str">
        <f t="shared" si="18"/>
        <v/>
      </c>
      <c r="AL71" s="16">
        <f>IF(OR(AND(D71&gt;=31,D71&lt;40),AND(J71&gt;=31,J71&lt;40),AND(P71&gt;=31,P71&lt;40),AND(V71&gt;=31,V71&lt;40),AND(AB71&gt;=31,AB71&lt;40)),IF(AND(OR(COUNTIF(D71:AK71,"=31")&gt;=1,COUNTIF(D71:AK71,"=32")&gt;=1,COUNTIF(D71:AK71,"=33")&gt;=1,COUNTIF(D71:AK71,"=34")&gt;=1,COUNTIF(D71:AK71,"=35")&gt;=1,COUNTIF(D71:AK71,"=36")&gt;=1 ),COUNTIF(D71:AK71,"")=0,COUNTIF(D71:AK71," ")=0,COUNTIF(D71:AK71,"F")=1),CONCATENATE(SUM(EXTRACTNUMBER(D71),EXTRACTNUMBER(F71),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EXTRACTNUMBER(AD71),EXTRACTNUMBER(AF71),EXTRACTNUMBER(AH71),EXTRACTNUMBER(AJ71)),"*"),IF(AND(COUNTIF(D71:AK71,"=34")&gt;=1,COUNTIF(D71:AK71,"=35")&gt;=1,COUNTIF(D71:AK71,"f")=2,COUNTIF(D71:AK71,"")=0,COUNTIF(D71:AK71," ")=0),CONCATENATE(SUM(EXTRACTNUMBER(D71),EXTRACTNUMBER(F71),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EXTRACTNUMBER(AD71),EXTRACTNUMBER(AF71),EXTRACTNUMBER(AH71),EXTRACTNUMBER(AJ71)),"*"),IF(AND(COUNTIF(D71:AK71,"=36")&gt;=2,COUNTIF(D71:AK71,"f")=2,COUNTIF(D71:AK71,"")=0,COUNTIF(D71:AK71," ")=0),CONCATENATE(SUM(EXTRACTNUMBER(D71),EXTRACTNUMBER(F71),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EXTRACTNUMBER(AD71),EXTRACTNUMBER(AF71),EXTRACTNUMBER(AH71),EXTRACTNUMBER(AJ71)),"*"),SUM(EXTRACTNUMBER(D71),EXTRACTNUMBER(F71),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EXTRACTNUMBER(AD71),EXTRACTNUMBER(AF71),EXTRACTNUMBER(AH71),EXTRACTNUMBER(AJ71))))),SUM(EXTRACTNUMBER(D71),EXTRACTNUMBER(F71),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EXTRACTNUMBER(AD71),EXTRACTNUMBER(AF71),EXTRACTNUMBER(AH71),EXTRACTNUMBER(AJ71)))</f>
        <v>490</v>
      </c>
      <c r="AM71" s="72" t="s">
        <v>252</v>
      </c>
      <c r="AN71" s="11">
        <f t="shared" si="0"/>
        <v>956</v>
      </c>
      <c r="AO71" s="11" t="str">
        <f t="shared" si="19"/>
        <v>PASS</v>
      </c>
      <c r="AP71" s="11" t="str">
        <f t="shared" si="1"/>
        <v>II</v>
      </c>
      <c r="AQ71" s="1" t="str">
        <f t="shared" si="20"/>
        <v xml:space="preserve">Nine Hundred Fifty Six </v>
      </c>
    </row>
    <row r="72" spans="2:43" ht="15.95" customHeight="1">
      <c r="B72" s="67">
        <v>136245</v>
      </c>
      <c r="C72" s="21" t="s">
        <v>68</v>
      </c>
      <c r="D72" s="24">
        <v>70</v>
      </c>
      <c r="E72" s="9" t="str">
        <f t="shared" si="2"/>
        <v/>
      </c>
      <c r="F72" s="22">
        <v>19</v>
      </c>
      <c r="G72" s="9" t="str">
        <f t="shared" si="3"/>
        <v/>
      </c>
      <c r="H72" s="22">
        <v>44</v>
      </c>
      <c r="I72" s="9" t="str">
        <f t="shared" si="4"/>
        <v/>
      </c>
      <c r="J72" s="29">
        <v>64</v>
      </c>
      <c r="K72" s="9" t="str">
        <f t="shared" si="5"/>
        <v/>
      </c>
      <c r="L72" s="22">
        <v>22</v>
      </c>
      <c r="M72" s="9" t="str">
        <f t="shared" si="6"/>
        <v/>
      </c>
      <c r="N72" s="22">
        <v>22</v>
      </c>
      <c r="O72" s="9" t="str">
        <f t="shared" si="7"/>
        <v/>
      </c>
      <c r="P72" s="29">
        <v>76</v>
      </c>
      <c r="Q72" s="9" t="str">
        <f t="shared" si="8"/>
        <v/>
      </c>
      <c r="R72" s="22">
        <v>19</v>
      </c>
      <c r="S72" s="9" t="str">
        <f t="shared" si="9"/>
        <v/>
      </c>
      <c r="T72" s="22">
        <v>44</v>
      </c>
      <c r="U72" s="9" t="str">
        <f t="shared" si="10"/>
        <v/>
      </c>
      <c r="V72" s="29">
        <v>72</v>
      </c>
      <c r="W72" s="9" t="str">
        <f t="shared" si="11"/>
        <v/>
      </c>
      <c r="X72" s="22">
        <v>19</v>
      </c>
      <c r="Y72" s="9" t="str">
        <f t="shared" si="12"/>
        <v/>
      </c>
      <c r="Z72" s="22">
        <v>20</v>
      </c>
      <c r="AA72" s="9" t="str">
        <f t="shared" si="13"/>
        <v/>
      </c>
      <c r="AB72" s="29">
        <v>54</v>
      </c>
      <c r="AC72" s="9" t="str">
        <f t="shared" si="14"/>
        <v/>
      </c>
      <c r="AD72" s="22">
        <v>19</v>
      </c>
      <c r="AE72" s="9" t="str">
        <f t="shared" si="15"/>
        <v/>
      </c>
      <c r="AF72" s="22">
        <v>21</v>
      </c>
      <c r="AG72" s="9" t="str">
        <f t="shared" si="16"/>
        <v/>
      </c>
      <c r="AH72" s="22">
        <v>19</v>
      </c>
      <c r="AI72" s="9" t="str">
        <f t="shared" si="17"/>
        <v/>
      </c>
      <c r="AJ72" s="22">
        <v>22</v>
      </c>
      <c r="AK72" s="9" t="str">
        <f t="shared" si="18"/>
        <v/>
      </c>
      <c r="AL72" s="16">
        <f>IF(OR(AND(D72&gt;=31,D72&lt;40),AND(J72&gt;=31,J72&lt;40),AND(P72&gt;=31,P72&lt;40),AND(V72&gt;=31,V72&lt;40),AND(AB72&gt;=31,AB72&lt;40)),IF(AND(OR(COUNTIF(D72:AK72,"=31")&gt;=1,COUNTIF(D72:AK72,"=32")&gt;=1,COUNTIF(D72:AK72,"=33")&gt;=1,COUNTIF(D72:AK72,"=34")&gt;=1,COUNTIF(D72:AK72,"=35")&gt;=1,COUNTIF(D72:AK72,"=36")&gt;=1 ),COUNTIF(D72:AK72,"")=0,COUNTIF(D72:AK72," ")=0,COUNTIF(D72:AK72,"F")=1),CONCATENATE(SUM(EXTRACTNUMBER(D72),EXTRACTNUMBER(F72),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EXTRACTNUMBER(AD72),EXTRACTNUMBER(AF72),EXTRACTNUMBER(AH72),EXTRACTNUMBER(AJ72)),"*"),IF(AND(COUNTIF(D72:AK72,"=34")&gt;=1,COUNTIF(D72:AK72,"=35")&gt;=1,COUNTIF(D72:AK72,"f")=2,COUNTIF(D72:AK72,"")=0,COUNTIF(D72:AK72," ")=0),CONCATENATE(SUM(EXTRACTNUMBER(D72),EXTRACTNUMBER(F72),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EXTRACTNUMBER(AD72),EXTRACTNUMBER(AF72),EXTRACTNUMBER(AH72),EXTRACTNUMBER(AJ72)),"*"),IF(AND(COUNTIF(D72:AK72,"=36")&gt;=2,COUNTIF(D72:AK72,"f")=2,COUNTIF(D72:AK72,"")=0,COUNTIF(D72:AK72," ")=0),CONCATENATE(SUM(EXTRACTNUMBER(D72),EXTRACTNUMBER(F72),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EXTRACTNUMBER(AD72),EXTRACTNUMBER(AF72),EXTRACTNUMBER(AH72),EXTRACTNUMBER(AJ72)),"*"),SUM(EXTRACTNUMBER(D72),EXTRACTNUMBER(F72),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EXTRACTNUMBER(AD72),EXTRACTNUMBER(AF72),EXTRACTNUMBER(AH72),EXTRACTNUMBER(AJ72))))),SUM(EXTRACTNUMBER(D72),EXTRACTNUMBER(F72),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EXTRACTNUMBER(AD72),EXTRACTNUMBER(AF72),EXTRACTNUMBER(AH72),EXTRACTNUMBER(AJ72)))</f>
        <v>626</v>
      </c>
      <c r="AM72" s="72" t="s">
        <v>253</v>
      </c>
      <c r="AN72" s="11">
        <f t="shared" si="0"/>
        <v>1267</v>
      </c>
      <c r="AO72" s="11" t="str">
        <f t="shared" si="19"/>
        <v>PASS</v>
      </c>
      <c r="AP72" s="11" t="str">
        <f t="shared" si="1"/>
        <v>I</v>
      </c>
      <c r="AQ72" s="1" t="str">
        <f t="shared" si="20"/>
        <v xml:space="preserve">One Thousand Two Hundred Sixty Seven </v>
      </c>
    </row>
    <row r="73" spans="2:43" ht="15.95" customHeight="1">
      <c r="B73" s="67">
        <v>136246</v>
      </c>
      <c r="C73" s="21" t="s">
        <v>69</v>
      </c>
      <c r="D73" s="24">
        <v>62</v>
      </c>
      <c r="E73" s="9" t="str">
        <f t="shared" si="2"/>
        <v/>
      </c>
      <c r="F73" s="22">
        <v>23</v>
      </c>
      <c r="G73" s="9" t="str">
        <f t="shared" si="3"/>
        <v/>
      </c>
      <c r="H73" s="22">
        <v>46</v>
      </c>
      <c r="I73" s="9" t="str">
        <f t="shared" si="4"/>
        <v/>
      </c>
      <c r="J73" s="29">
        <v>48</v>
      </c>
      <c r="K73" s="9" t="str">
        <f t="shared" si="5"/>
        <v/>
      </c>
      <c r="L73" s="22">
        <v>23</v>
      </c>
      <c r="M73" s="9" t="str">
        <f t="shared" si="6"/>
        <v/>
      </c>
      <c r="N73" s="22">
        <v>23</v>
      </c>
      <c r="O73" s="9" t="str">
        <f t="shared" si="7"/>
        <v/>
      </c>
      <c r="P73" s="29">
        <v>61</v>
      </c>
      <c r="Q73" s="9" t="str">
        <f t="shared" si="8"/>
        <v/>
      </c>
      <c r="R73" s="22">
        <v>23</v>
      </c>
      <c r="S73" s="9" t="str">
        <f t="shared" si="9"/>
        <v/>
      </c>
      <c r="T73" s="22">
        <v>44</v>
      </c>
      <c r="U73" s="9" t="str">
        <f t="shared" si="10"/>
        <v/>
      </c>
      <c r="V73" s="29">
        <v>62</v>
      </c>
      <c r="W73" s="9" t="str">
        <f t="shared" si="11"/>
        <v/>
      </c>
      <c r="X73" s="22">
        <v>23</v>
      </c>
      <c r="Y73" s="9" t="str">
        <f t="shared" si="12"/>
        <v/>
      </c>
      <c r="Z73" s="22">
        <v>22</v>
      </c>
      <c r="AA73" s="9" t="str">
        <f t="shared" si="13"/>
        <v/>
      </c>
      <c r="AB73" s="29">
        <v>51</v>
      </c>
      <c r="AC73" s="9" t="str">
        <f t="shared" si="14"/>
        <v/>
      </c>
      <c r="AD73" s="22">
        <v>23</v>
      </c>
      <c r="AE73" s="9" t="str">
        <f t="shared" si="15"/>
        <v/>
      </c>
      <c r="AF73" s="22">
        <v>23</v>
      </c>
      <c r="AG73" s="9" t="str">
        <f t="shared" si="16"/>
        <v/>
      </c>
      <c r="AH73" s="22">
        <v>23</v>
      </c>
      <c r="AI73" s="9" t="str">
        <f t="shared" si="17"/>
        <v/>
      </c>
      <c r="AJ73" s="22">
        <v>23</v>
      </c>
      <c r="AK73" s="9" t="str">
        <f t="shared" si="18"/>
        <v/>
      </c>
      <c r="AL73" s="16">
        <f>IF(OR(AND(D73&gt;=31,D73&lt;40),AND(J73&gt;=31,J73&lt;40),AND(P73&gt;=31,P73&lt;40),AND(V73&gt;=31,V73&lt;40),AND(AB73&gt;=31,AB73&lt;40)),IF(AND(OR(COUNTIF(D73:AK73,"=31")&gt;=1,COUNTIF(D73:AK73,"=32")&gt;=1,COUNTIF(D73:AK73,"=33")&gt;=1,COUNTIF(D73:AK73,"=34")&gt;=1,COUNTIF(D73:AK73,"=35")&gt;=1,COUNTIF(D73:AK73,"=36")&gt;=1 ),COUNTIF(D73:AK73,"")=0,COUNTIF(D73:AK73," ")=0,COUNTIF(D73:AK73,"F")=1),CONCATENATE(SUM(EXTRACTNUMBER(D73),EXTRACTNUMBER(F73),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EXTRACTNUMBER(AD73),EXTRACTNUMBER(AF73),EXTRACTNUMBER(AH73),EXTRACTNUMBER(AJ73)),"*"),IF(AND(COUNTIF(D73:AK73,"=34")&gt;=1,COUNTIF(D73:AK73,"=35")&gt;=1,COUNTIF(D73:AK73,"f")=2,COUNTIF(D73:AK73,"")=0,COUNTIF(D73:AK73," ")=0),CONCATENATE(SUM(EXTRACTNUMBER(D73),EXTRACTNUMBER(F73),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EXTRACTNUMBER(AD73),EXTRACTNUMBER(AF73),EXTRACTNUMBER(AH73),EXTRACTNUMBER(AJ73)),"*"),IF(AND(COUNTIF(D73:AK73,"=36")&gt;=2,COUNTIF(D73:AK73,"f")=2,COUNTIF(D73:AK73,"")=0,COUNTIF(D73:AK73," ")=0),CONCATENATE(SUM(EXTRACTNUMBER(D73),EXTRACTNUMBER(F73),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EXTRACTNUMBER(AD73),EXTRACTNUMBER(AF73),EXTRACTNUMBER(AH73),EXTRACTNUMBER(AJ73)),"*"),SUM(EXTRACTNUMBER(D73),EXTRACTNUMBER(F73),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EXTRACTNUMBER(AD73),EXTRACTNUMBER(AF73),EXTRACTNUMBER(AH73),EXTRACTNUMBER(AJ73))))),SUM(EXTRACTNUMBER(D73),EXTRACTNUMBER(F73),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EXTRACTNUMBER(AD73),EXTRACTNUMBER(AF73),EXTRACTNUMBER(AH73),EXTRACTNUMBER(AJ73)))</f>
        <v>603</v>
      </c>
      <c r="AM73" s="72" t="s">
        <v>239</v>
      </c>
      <c r="AN73" s="11">
        <f t="shared" si="0"/>
        <v>1188</v>
      </c>
      <c r="AO73" s="11" t="str">
        <f t="shared" si="19"/>
        <v>PASS</v>
      </c>
      <c r="AP73" s="11" t="str">
        <f t="shared" si="1"/>
        <v>I</v>
      </c>
      <c r="AQ73" s="1" t="str">
        <f t="shared" si="20"/>
        <v xml:space="preserve">One Thousand One Hundred Eighty Eight </v>
      </c>
    </row>
    <row r="74" spans="2:43" ht="15.95" customHeight="1">
      <c r="B74" s="67">
        <v>136247</v>
      </c>
      <c r="C74" s="21" t="s">
        <v>70</v>
      </c>
      <c r="D74" s="24">
        <v>62</v>
      </c>
      <c r="E74" s="9" t="str">
        <f t="shared" si="2"/>
        <v/>
      </c>
      <c r="F74" s="22">
        <v>23</v>
      </c>
      <c r="G74" s="9" t="str">
        <f t="shared" si="3"/>
        <v/>
      </c>
      <c r="H74" s="22">
        <v>46</v>
      </c>
      <c r="I74" s="9" t="str">
        <f t="shared" si="4"/>
        <v/>
      </c>
      <c r="J74" s="29">
        <v>61</v>
      </c>
      <c r="K74" s="9" t="str">
        <f t="shared" si="5"/>
        <v/>
      </c>
      <c r="L74" s="22">
        <v>23</v>
      </c>
      <c r="M74" s="9" t="str">
        <f t="shared" si="6"/>
        <v/>
      </c>
      <c r="N74" s="22">
        <v>23</v>
      </c>
      <c r="O74" s="9" t="str">
        <f t="shared" si="7"/>
        <v/>
      </c>
      <c r="P74" s="29">
        <v>68</v>
      </c>
      <c r="Q74" s="9" t="str">
        <f t="shared" si="8"/>
        <v/>
      </c>
      <c r="R74" s="22">
        <v>23</v>
      </c>
      <c r="S74" s="9" t="str">
        <f t="shared" si="9"/>
        <v/>
      </c>
      <c r="T74" s="22">
        <v>46</v>
      </c>
      <c r="U74" s="9" t="str">
        <f t="shared" si="10"/>
        <v/>
      </c>
      <c r="V74" s="29">
        <v>64</v>
      </c>
      <c r="W74" s="9" t="str">
        <f t="shared" si="11"/>
        <v/>
      </c>
      <c r="X74" s="22">
        <v>23</v>
      </c>
      <c r="Y74" s="9" t="str">
        <f t="shared" si="12"/>
        <v/>
      </c>
      <c r="Z74" s="22">
        <v>22</v>
      </c>
      <c r="AA74" s="9" t="str">
        <f t="shared" si="13"/>
        <v/>
      </c>
      <c r="AB74" s="29">
        <v>49</v>
      </c>
      <c r="AC74" s="9" t="str">
        <f t="shared" si="14"/>
        <v/>
      </c>
      <c r="AD74" s="22">
        <v>23</v>
      </c>
      <c r="AE74" s="9" t="str">
        <f t="shared" si="15"/>
        <v/>
      </c>
      <c r="AF74" s="22">
        <v>23</v>
      </c>
      <c r="AG74" s="9" t="str">
        <f t="shared" si="16"/>
        <v/>
      </c>
      <c r="AH74" s="22">
        <v>23</v>
      </c>
      <c r="AI74" s="9" t="str">
        <f t="shared" si="17"/>
        <v/>
      </c>
      <c r="AJ74" s="22">
        <v>23</v>
      </c>
      <c r="AK74" s="9" t="str">
        <f t="shared" si="18"/>
        <v/>
      </c>
      <c r="AL74" s="16">
        <f>IF(OR(AND(D74&gt;=31,D74&lt;40),AND(J74&gt;=31,J74&lt;40),AND(P74&gt;=31,P74&lt;40),AND(V74&gt;=31,V74&lt;40),AND(AB74&gt;=31,AB74&lt;40)),IF(AND(OR(COUNTIF(D74:AK74,"=31")&gt;=1,COUNTIF(D74:AK74,"=32")&gt;=1,COUNTIF(D74:AK74,"=33")&gt;=1,COUNTIF(D74:AK74,"=34")&gt;=1,COUNTIF(D74:AK74,"=35")&gt;=1,COUNTIF(D74:AK74,"=36")&gt;=1 ),COUNTIF(D74:AK74,"")=0,COUNTIF(D74:AK74," ")=0,COUNTIF(D74:AK74,"F")=1),CONCATENATE(SUM(EXTRACTNUMBER(D74),EXTRACTNUMBER(F74),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EXTRACTNUMBER(AD74),EXTRACTNUMBER(AF74),EXTRACTNUMBER(AH74),EXTRACTNUMBER(AJ74)),"*"),IF(AND(COUNTIF(D74:AK74,"=34")&gt;=1,COUNTIF(D74:AK74,"=35")&gt;=1,COUNTIF(D74:AK74,"f")=2,COUNTIF(D74:AK74,"")=0,COUNTIF(D74:AK74," ")=0),CONCATENATE(SUM(EXTRACTNUMBER(D74),EXTRACTNUMBER(F74),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EXTRACTNUMBER(AD74),EXTRACTNUMBER(AF74),EXTRACTNUMBER(AH74),EXTRACTNUMBER(AJ74)),"*"),IF(AND(COUNTIF(D74:AK74,"=36")&gt;=2,COUNTIF(D74:AK74,"f")=2,COUNTIF(D74:AK74,"")=0,COUNTIF(D74:AK74," ")=0),CONCATENATE(SUM(EXTRACTNUMBER(D74),EXTRACTNUMBER(F74),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EXTRACTNUMBER(AD74),EXTRACTNUMBER(AF74),EXTRACTNUMBER(AH74),EXTRACTNUMBER(AJ74)),"*"),SUM(EXTRACTNUMBER(D74),EXTRACTNUMBER(F74),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EXTRACTNUMBER(AD74),EXTRACTNUMBER(AF74),EXTRACTNUMBER(AH74),EXTRACTNUMBER(AJ74))))),SUM(EXTRACTNUMBER(D74),EXTRACTNUMBER(F74),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EXTRACTNUMBER(AD74),EXTRACTNUMBER(AF74),EXTRACTNUMBER(AH74),EXTRACTNUMBER(AJ74)))</f>
        <v>625</v>
      </c>
      <c r="AM74" s="72" t="s">
        <v>254</v>
      </c>
      <c r="AN74" s="11">
        <f t="shared" si="0"/>
        <v>1217</v>
      </c>
      <c r="AO74" s="11" t="str">
        <f t="shared" si="19"/>
        <v>PASS</v>
      </c>
      <c r="AP74" s="11" t="str">
        <f t="shared" si="1"/>
        <v>I</v>
      </c>
      <c r="AQ74" s="1" t="str">
        <f t="shared" si="20"/>
        <v xml:space="preserve">One Thousand Two Hundred Seventeen </v>
      </c>
    </row>
    <row r="75" spans="2:43" ht="15.95" customHeight="1">
      <c r="B75" s="67">
        <v>136248</v>
      </c>
      <c r="C75" s="21" t="s">
        <v>71</v>
      </c>
      <c r="D75" s="24">
        <v>71</v>
      </c>
      <c r="E75" s="9" t="str">
        <f t="shared" si="2"/>
        <v/>
      </c>
      <c r="F75" s="22">
        <v>20</v>
      </c>
      <c r="G75" s="9" t="str">
        <f t="shared" si="3"/>
        <v/>
      </c>
      <c r="H75" s="22">
        <v>42</v>
      </c>
      <c r="I75" s="9" t="str">
        <f t="shared" si="4"/>
        <v/>
      </c>
      <c r="J75" s="29">
        <v>51</v>
      </c>
      <c r="K75" s="9" t="str">
        <f t="shared" si="5"/>
        <v/>
      </c>
      <c r="L75" s="22">
        <v>22</v>
      </c>
      <c r="M75" s="9" t="str">
        <f t="shared" si="6"/>
        <v/>
      </c>
      <c r="N75" s="22">
        <v>21</v>
      </c>
      <c r="O75" s="9" t="str">
        <f t="shared" si="7"/>
        <v/>
      </c>
      <c r="P75" s="29">
        <v>61</v>
      </c>
      <c r="Q75" s="9" t="str">
        <f t="shared" si="8"/>
        <v/>
      </c>
      <c r="R75" s="22">
        <v>21</v>
      </c>
      <c r="S75" s="9" t="str">
        <f t="shared" si="9"/>
        <v/>
      </c>
      <c r="T75" s="22">
        <v>42</v>
      </c>
      <c r="U75" s="9" t="str">
        <f t="shared" si="10"/>
        <v/>
      </c>
      <c r="V75" s="29">
        <v>55</v>
      </c>
      <c r="W75" s="9" t="str">
        <f t="shared" si="11"/>
        <v/>
      </c>
      <c r="X75" s="22">
        <v>20</v>
      </c>
      <c r="Y75" s="9" t="str">
        <f t="shared" si="12"/>
        <v/>
      </c>
      <c r="Z75" s="22">
        <v>21</v>
      </c>
      <c r="AA75" s="9" t="str">
        <f t="shared" si="13"/>
        <v/>
      </c>
      <c r="AB75" s="29">
        <v>59</v>
      </c>
      <c r="AC75" s="9" t="str">
        <f t="shared" si="14"/>
        <v/>
      </c>
      <c r="AD75" s="22">
        <v>21</v>
      </c>
      <c r="AE75" s="9" t="str">
        <f t="shared" si="15"/>
        <v/>
      </c>
      <c r="AF75" s="22">
        <v>22</v>
      </c>
      <c r="AG75" s="9" t="str">
        <f t="shared" si="16"/>
        <v/>
      </c>
      <c r="AH75" s="22">
        <v>23</v>
      </c>
      <c r="AI75" s="9" t="str">
        <f t="shared" si="17"/>
        <v/>
      </c>
      <c r="AJ75" s="22">
        <v>21</v>
      </c>
      <c r="AK75" s="9" t="str">
        <f t="shared" si="18"/>
        <v/>
      </c>
      <c r="AL75" s="16">
        <f>IF(OR(AND(D75&gt;=31,D75&lt;40),AND(J75&gt;=31,J75&lt;40),AND(P75&gt;=31,P75&lt;40),AND(V75&gt;=31,V75&lt;40),AND(AB75&gt;=31,AB75&lt;40)),IF(AND(OR(COUNTIF(D75:AK75,"=31")&gt;=1,COUNTIF(D75:AK75,"=32")&gt;=1,COUNTIF(D75:AK75,"=33")&gt;=1,COUNTIF(D75:AK75,"=34")&gt;=1,COUNTIF(D75:AK75,"=35")&gt;=1,COUNTIF(D75:AK75,"=36")&gt;=1 ),COUNTIF(D75:AK75,"")=0,COUNTIF(D75:AK75," ")=0,COUNTIF(D75:AK75,"F")=1),CONCATENATE(SUM(EXTRACTNUMBER(D75),EXTRACTNUMBER(F75),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EXTRACTNUMBER(AD75),EXTRACTNUMBER(AF75),EXTRACTNUMBER(AH75),EXTRACTNUMBER(AJ75)),"*"),IF(AND(COUNTIF(D75:AK75,"=34")&gt;=1,COUNTIF(D75:AK75,"=35")&gt;=1,COUNTIF(D75:AK75,"f")=2,COUNTIF(D75:AK75,"")=0,COUNTIF(D75:AK75," ")=0),CONCATENATE(SUM(EXTRACTNUMBER(D75),EXTRACTNUMBER(F75),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EXTRACTNUMBER(AD75),EXTRACTNUMBER(AF75),EXTRACTNUMBER(AH75),EXTRACTNUMBER(AJ75)),"*"),IF(AND(COUNTIF(D75:AK75,"=36")&gt;=2,COUNTIF(D75:AK75,"f")=2,COUNTIF(D75:AK75,"")=0,COUNTIF(D75:AK75," ")=0),CONCATENATE(SUM(EXTRACTNUMBER(D75),EXTRACTNUMBER(F75),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EXTRACTNUMBER(AD75),EXTRACTNUMBER(AF75),EXTRACTNUMBER(AH75),EXTRACTNUMBER(AJ75)),"*"),SUM(EXTRACTNUMBER(D75),EXTRACTNUMBER(F75),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EXTRACTNUMBER(AD75),EXTRACTNUMBER(AF75),EXTRACTNUMBER(AH75),EXTRACTNUMBER(AJ75))))),SUM(EXTRACTNUMBER(D75),EXTRACTNUMBER(F75),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EXTRACTNUMBER(AD75),EXTRACTNUMBER(AF75),EXTRACTNUMBER(AH75),EXTRACTNUMBER(AJ75)))</f>
        <v>593</v>
      </c>
      <c r="AM75" s="72" t="s">
        <v>250</v>
      </c>
      <c r="AN75" s="11">
        <f t="shared" si="0"/>
        <v>1144</v>
      </c>
      <c r="AO75" s="11" t="str">
        <f t="shared" si="19"/>
        <v>PASS</v>
      </c>
      <c r="AP75" s="11" t="str">
        <f t="shared" si="1"/>
        <v>I</v>
      </c>
      <c r="AQ75" s="1" t="str">
        <f t="shared" si="20"/>
        <v xml:space="preserve">One Thousand One Hundred Forty Four </v>
      </c>
    </row>
    <row r="76" spans="2:43" ht="15.95" customHeight="1">
      <c r="B76" s="67">
        <v>136249</v>
      </c>
      <c r="C76" s="21" t="s">
        <v>72</v>
      </c>
      <c r="D76" s="24">
        <v>66</v>
      </c>
      <c r="E76" s="9" t="str">
        <f t="shared" si="2"/>
        <v/>
      </c>
      <c r="F76" s="22">
        <v>23</v>
      </c>
      <c r="G76" s="9" t="str">
        <f t="shared" si="3"/>
        <v/>
      </c>
      <c r="H76" s="22">
        <v>44</v>
      </c>
      <c r="I76" s="9" t="str">
        <f t="shared" si="4"/>
        <v/>
      </c>
      <c r="J76" s="29">
        <v>64</v>
      </c>
      <c r="K76" s="9" t="str">
        <f t="shared" si="5"/>
        <v/>
      </c>
      <c r="L76" s="22">
        <v>23</v>
      </c>
      <c r="M76" s="9" t="str">
        <f t="shared" si="6"/>
        <v/>
      </c>
      <c r="N76" s="22">
        <v>22</v>
      </c>
      <c r="O76" s="9" t="str">
        <f t="shared" si="7"/>
        <v/>
      </c>
      <c r="P76" s="29">
        <v>68</v>
      </c>
      <c r="Q76" s="9" t="str">
        <f t="shared" si="8"/>
        <v/>
      </c>
      <c r="R76" s="22">
        <v>23</v>
      </c>
      <c r="S76" s="9" t="str">
        <f t="shared" si="9"/>
        <v/>
      </c>
      <c r="T76" s="22">
        <v>44</v>
      </c>
      <c r="U76" s="9" t="str">
        <f t="shared" si="10"/>
        <v/>
      </c>
      <c r="V76" s="29">
        <v>64</v>
      </c>
      <c r="W76" s="9" t="str">
        <f t="shared" si="11"/>
        <v/>
      </c>
      <c r="X76" s="22">
        <v>23</v>
      </c>
      <c r="Y76" s="9" t="str">
        <f t="shared" si="12"/>
        <v/>
      </c>
      <c r="Z76" s="22">
        <v>22</v>
      </c>
      <c r="AA76" s="9" t="str">
        <f t="shared" si="13"/>
        <v/>
      </c>
      <c r="AB76" s="29">
        <v>53</v>
      </c>
      <c r="AC76" s="9" t="str">
        <f t="shared" si="14"/>
        <v/>
      </c>
      <c r="AD76" s="22">
        <v>23</v>
      </c>
      <c r="AE76" s="9" t="str">
        <f t="shared" si="15"/>
        <v/>
      </c>
      <c r="AF76" s="22">
        <v>20</v>
      </c>
      <c r="AG76" s="9" t="str">
        <f t="shared" si="16"/>
        <v/>
      </c>
      <c r="AH76" s="22">
        <v>23</v>
      </c>
      <c r="AI76" s="9" t="str">
        <f t="shared" si="17"/>
        <v/>
      </c>
      <c r="AJ76" s="22">
        <v>23</v>
      </c>
      <c r="AK76" s="9" t="str">
        <f t="shared" si="18"/>
        <v/>
      </c>
      <c r="AL76" s="16">
        <f>IF(OR(AND(D76&gt;=31,D76&lt;40),AND(J76&gt;=31,J76&lt;40),AND(P76&gt;=31,P76&lt;40),AND(V76&gt;=31,V76&lt;40),AND(AB76&gt;=31,AB76&lt;40)),IF(AND(OR(COUNTIF(D76:AK76,"=31")&gt;=1,COUNTIF(D76:AK76,"=32")&gt;=1,COUNTIF(D76:AK76,"=33")&gt;=1,COUNTIF(D76:AK76,"=34")&gt;=1,COUNTIF(D76:AK76,"=35")&gt;=1,COUNTIF(D76:AK76,"=36")&gt;=1 ),COUNTIF(D76:AK76,"")=0,COUNTIF(D76:AK76," ")=0,COUNTIF(D76:AK76,"F")=1),CONCATENATE(SUM(EXTRACTNUMBER(D76),EXTRACTNUMBER(F76),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EXTRACTNUMBER(AD76),EXTRACTNUMBER(AF76),EXTRACTNUMBER(AH76),EXTRACTNUMBER(AJ76)),"*"),IF(AND(COUNTIF(D76:AK76,"=34")&gt;=1,COUNTIF(D76:AK76,"=35")&gt;=1,COUNTIF(D76:AK76,"f")=2,COUNTIF(D76:AK76,"")=0,COUNTIF(D76:AK76," ")=0),CONCATENATE(SUM(EXTRACTNUMBER(D76),EXTRACTNUMBER(F76),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EXTRACTNUMBER(AD76),EXTRACTNUMBER(AF76),EXTRACTNUMBER(AH76),EXTRACTNUMBER(AJ76)),"*"),IF(AND(COUNTIF(D76:AK76,"=36")&gt;=2,COUNTIF(D76:AK76,"f")=2,COUNTIF(D76:AK76,"")=0,COUNTIF(D76:AK76," ")=0),CONCATENATE(SUM(EXTRACTNUMBER(D76),EXTRACTNUMBER(F76),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EXTRACTNUMBER(AD76),EXTRACTNUMBER(AF76),EXTRACTNUMBER(AH76),EXTRACTNUMBER(AJ76)),"*"),SUM(EXTRACTNUMBER(D76),EXTRACTNUMBER(F76),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EXTRACTNUMBER(AD76),EXTRACTNUMBER(AF76),EXTRACTNUMBER(AH76),EXTRACTNUMBER(AJ76))))),SUM(EXTRACTNUMBER(D76),EXTRACTNUMBER(F76),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EXTRACTNUMBER(AD76),EXTRACTNUMBER(AF76),EXTRACTNUMBER(AH76),EXTRACTNUMBER(AJ76)))</f>
        <v>628</v>
      </c>
      <c r="AM76" s="72" t="s">
        <v>255</v>
      </c>
      <c r="AN76" s="11">
        <f t="shared" si="0"/>
        <v>1199</v>
      </c>
      <c r="AO76" s="11" t="str">
        <f t="shared" si="19"/>
        <v>PASS</v>
      </c>
      <c r="AP76" s="11" t="str">
        <f t="shared" si="1"/>
        <v>I</v>
      </c>
      <c r="AQ76" s="1" t="str">
        <f t="shared" si="20"/>
        <v xml:space="preserve">One Thousand One Hundred NinetyNine </v>
      </c>
    </row>
    <row r="77" spans="2:43" ht="15.95" customHeight="1">
      <c r="B77" s="67">
        <v>136250</v>
      </c>
      <c r="C77" s="21" t="s">
        <v>73</v>
      </c>
      <c r="D77" s="24">
        <v>40</v>
      </c>
      <c r="E77" s="9" t="str">
        <f t="shared" si="2"/>
        <v/>
      </c>
      <c r="F77" s="22">
        <v>20</v>
      </c>
      <c r="G77" s="9" t="str">
        <f t="shared" si="3"/>
        <v/>
      </c>
      <c r="H77" s="22">
        <v>40</v>
      </c>
      <c r="I77" s="9" t="str">
        <f t="shared" si="4"/>
        <v/>
      </c>
      <c r="J77" s="29">
        <v>48</v>
      </c>
      <c r="K77" s="9" t="str">
        <f t="shared" si="5"/>
        <v/>
      </c>
      <c r="L77" s="22">
        <v>20</v>
      </c>
      <c r="M77" s="9" t="str">
        <f t="shared" si="6"/>
        <v/>
      </c>
      <c r="N77" s="22">
        <v>20</v>
      </c>
      <c r="O77" s="9" t="str">
        <f t="shared" si="7"/>
        <v/>
      </c>
      <c r="P77" s="29">
        <v>60</v>
      </c>
      <c r="Q77" s="9" t="str">
        <f t="shared" si="8"/>
        <v/>
      </c>
      <c r="R77" s="22">
        <v>20</v>
      </c>
      <c r="S77" s="9" t="str">
        <f t="shared" si="9"/>
        <v/>
      </c>
      <c r="T77" s="22">
        <v>40</v>
      </c>
      <c r="U77" s="9" t="str">
        <f t="shared" si="10"/>
        <v/>
      </c>
      <c r="V77" s="29">
        <v>51</v>
      </c>
      <c r="W77" s="9" t="str">
        <f t="shared" si="11"/>
        <v/>
      </c>
      <c r="X77" s="22">
        <v>20</v>
      </c>
      <c r="Y77" s="9" t="str">
        <f t="shared" si="12"/>
        <v/>
      </c>
      <c r="Z77" s="22">
        <v>21</v>
      </c>
      <c r="AA77" s="9" t="str">
        <f t="shared" si="13"/>
        <v/>
      </c>
      <c r="AB77" s="29">
        <v>40</v>
      </c>
      <c r="AC77" s="9" t="str">
        <f t="shared" si="14"/>
        <v/>
      </c>
      <c r="AD77" s="22">
        <v>20</v>
      </c>
      <c r="AE77" s="9" t="str">
        <f t="shared" si="15"/>
        <v/>
      </c>
      <c r="AF77" s="22">
        <v>18</v>
      </c>
      <c r="AG77" s="9" t="str">
        <f t="shared" si="16"/>
        <v/>
      </c>
      <c r="AH77" s="22">
        <v>20</v>
      </c>
      <c r="AI77" s="9" t="str">
        <f t="shared" si="17"/>
        <v/>
      </c>
      <c r="AJ77" s="22">
        <v>20</v>
      </c>
      <c r="AK77" s="9" t="str">
        <f t="shared" si="18"/>
        <v/>
      </c>
      <c r="AL77" s="16">
        <f>IF(OR(AND(D77&gt;=31,D77&lt;40),AND(J77&gt;=31,J77&lt;40),AND(P77&gt;=31,P77&lt;40),AND(V77&gt;=31,V77&lt;40),AND(AB77&gt;=31,AB77&lt;40)),IF(AND(OR(COUNTIF(D77:AK77,"=31")&gt;=1,COUNTIF(D77:AK77,"=32")&gt;=1,COUNTIF(D77:AK77,"=33")&gt;=1,COUNTIF(D77:AK77,"=34")&gt;=1,COUNTIF(D77:AK77,"=35")&gt;=1,COUNTIF(D77:AK77,"=36")&gt;=1 ),COUNTIF(D77:AK77,"")=0,COUNTIF(D77:AK77," ")=0,COUNTIF(D77:AK77,"F")=1),CONCATENATE(SUM(EXTRACTNUMBER(D77),EXTRACTNUMBER(F77),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EXTRACTNUMBER(AD77),EXTRACTNUMBER(AF77),EXTRACTNUMBER(AH77),EXTRACTNUMBER(AJ77)),"*"),IF(AND(COUNTIF(D77:AK77,"=34")&gt;=1,COUNTIF(D77:AK77,"=35")&gt;=1,COUNTIF(D77:AK77,"f")=2,COUNTIF(D77:AK77,"")=0,COUNTIF(D77:AK77," ")=0),CONCATENATE(SUM(EXTRACTNUMBER(D77),EXTRACTNUMBER(F77),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EXTRACTNUMBER(AD77),EXTRACTNUMBER(AF77),EXTRACTNUMBER(AH77),EXTRACTNUMBER(AJ77)),"*"),IF(AND(COUNTIF(D77:AK77,"=36")&gt;=2,COUNTIF(D77:AK77,"f")=2,COUNTIF(D77:AK77,"")=0,COUNTIF(D77:AK77," ")=0),CONCATENATE(SUM(EXTRACTNUMBER(D77),EXTRACTNUMBER(F77),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EXTRACTNUMBER(AD77),EXTRACTNUMBER(AF77),EXTRACTNUMBER(AH77),EXTRACTNUMBER(AJ77)),"*"),SUM(EXTRACTNUMBER(D77),EXTRACTNUMBER(F77),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EXTRACTNUMBER(AD77),EXTRACTNUMBER(AF77),EXTRACTNUMBER(AH77),EXTRACTNUMBER(AJ77))))),SUM(EXTRACTNUMBER(D77),EXTRACTNUMBER(F77),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EXTRACTNUMBER(AD77),EXTRACTNUMBER(AF77),EXTRACTNUMBER(AH77),EXTRACTNUMBER(AJ77)))</f>
        <v>518</v>
      </c>
      <c r="AM77" s="72" t="s">
        <v>256</v>
      </c>
      <c r="AN77" s="11" t="str">
        <f t="shared" si="0"/>
        <v>1011@9</v>
      </c>
      <c r="AO77" s="11" t="str">
        <f t="shared" si="19"/>
        <v>PASS</v>
      </c>
      <c r="AP77" s="11" t="str">
        <f t="shared" si="1"/>
        <v>I</v>
      </c>
      <c r="AQ77" s="1" t="e">
        <f t="shared" si="20"/>
        <v>#VALUE!</v>
      </c>
    </row>
    <row r="78" spans="2:43" ht="15.95" customHeight="1">
      <c r="B78" s="67">
        <v>136251</v>
      </c>
      <c r="C78" s="21" t="s">
        <v>74</v>
      </c>
      <c r="D78" s="24">
        <v>68</v>
      </c>
      <c r="E78" s="9" t="str">
        <f t="shared" si="2"/>
        <v/>
      </c>
      <c r="F78" s="22">
        <v>20</v>
      </c>
      <c r="G78" s="9" t="str">
        <f t="shared" si="3"/>
        <v/>
      </c>
      <c r="H78" s="22">
        <v>38</v>
      </c>
      <c r="I78" s="9" t="str">
        <f t="shared" si="4"/>
        <v/>
      </c>
      <c r="J78" s="29">
        <v>58</v>
      </c>
      <c r="K78" s="9" t="str">
        <f t="shared" si="5"/>
        <v/>
      </c>
      <c r="L78" s="22">
        <v>20</v>
      </c>
      <c r="M78" s="9" t="str">
        <f t="shared" si="6"/>
        <v/>
      </c>
      <c r="N78" s="22">
        <v>19</v>
      </c>
      <c r="O78" s="9" t="str">
        <f t="shared" si="7"/>
        <v/>
      </c>
      <c r="P78" s="29">
        <v>69</v>
      </c>
      <c r="Q78" s="9" t="str">
        <f t="shared" si="8"/>
        <v/>
      </c>
      <c r="R78" s="22">
        <v>21</v>
      </c>
      <c r="S78" s="9" t="str">
        <f t="shared" si="9"/>
        <v/>
      </c>
      <c r="T78" s="22">
        <v>38</v>
      </c>
      <c r="U78" s="9" t="str">
        <f t="shared" si="10"/>
        <v/>
      </c>
      <c r="V78" s="29">
        <v>65</v>
      </c>
      <c r="W78" s="9" t="str">
        <f t="shared" si="11"/>
        <v/>
      </c>
      <c r="X78" s="22">
        <v>21</v>
      </c>
      <c r="Y78" s="9" t="str">
        <f t="shared" si="12"/>
        <v/>
      </c>
      <c r="Z78" s="22">
        <v>21</v>
      </c>
      <c r="AA78" s="9" t="str">
        <f t="shared" si="13"/>
        <v/>
      </c>
      <c r="AB78" s="29">
        <v>62</v>
      </c>
      <c r="AC78" s="9" t="str">
        <f t="shared" si="14"/>
        <v/>
      </c>
      <c r="AD78" s="22">
        <v>21</v>
      </c>
      <c r="AE78" s="9" t="str">
        <f t="shared" si="15"/>
        <v/>
      </c>
      <c r="AF78" s="22">
        <v>18</v>
      </c>
      <c r="AG78" s="9" t="str">
        <f t="shared" si="16"/>
        <v/>
      </c>
      <c r="AH78" s="22">
        <v>22</v>
      </c>
      <c r="AI78" s="9" t="str">
        <f t="shared" si="17"/>
        <v/>
      </c>
      <c r="AJ78" s="22">
        <v>22</v>
      </c>
      <c r="AK78" s="9" t="str">
        <f t="shared" si="18"/>
        <v/>
      </c>
      <c r="AL78" s="16">
        <f>IF(OR(AND(D78&gt;=31,D78&lt;40),AND(J78&gt;=31,J78&lt;40),AND(P78&gt;=31,P78&lt;40),AND(V78&gt;=31,V78&lt;40),AND(AB78&gt;=31,AB78&lt;40)),IF(AND(OR(COUNTIF(D78:AK78,"=31")&gt;=1,COUNTIF(D78:AK78,"=32")&gt;=1,COUNTIF(D78:AK78,"=33")&gt;=1,COUNTIF(D78:AK78,"=34")&gt;=1,COUNTIF(D78:AK78,"=35")&gt;=1,COUNTIF(D78:AK78,"=36")&gt;=1 ),COUNTIF(D78:AK78,"")=0,COUNTIF(D78:AK78," ")=0,COUNTIF(D78:AK78,"F")=1),CONCATENATE(SUM(EXTRACTNUMBER(D78),EXTRACTNUMBER(F78),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EXTRACTNUMBER(AD78),EXTRACTNUMBER(AF78),EXTRACTNUMBER(AH78),EXTRACTNUMBER(AJ78)),"*"),IF(AND(COUNTIF(D78:AK78,"=34")&gt;=1,COUNTIF(D78:AK78,"=35")&gt;=1,COUNTIF(D78:AK78,"f")=2,COUNTIF(D78:AK78,"")=0,COUNTIF(D78:AK78," ")=0),CONCATENATE(SUM(EXTRACTNUMBER(D78),EXTRACTNUMBER(F78),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EXTRACTNUMBER(AD78),EXTRACTNUMBER(AF78),EXTRACTNUMBER(AH78),EXTRACTNUMBER(AJ78)),"*"),IF(AND(COUNTIF(D78:AK78,"=36")&gt;=2,COUNTIF(D78:AK78,"f")=2,COUNTIF(D78:AK78,"")=0,COUNTIF(D78:AK78," ")=0),CONCATENATE(SUM(EXTRACTNUMBER(D78),EXTRACTNUMBER(F78),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EXTRACTNUMBER(AD78),EXTRACTNUMBER(AF78),EXTRACTNUMBER(AH78),EXTRACTNUMBER(AJ78)),"*"),SUM(EXTRACTNUMBER(D78),EXTRACTNUMBER(F78),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EXTRACTNUMBER(AD78),EXTRACTNUMBER(AF78),EXTRACTNUMBER(AH78),EXTRACTNUMBER(AJ78))))),SUM(EXTRACTNUMBER(D78),EXTRACTNUMBER(F78),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EXTRACTNUMBER(AD78),EXTRACTNUMBER(AF78),EXTRACTNUMBER(AH78),EXTRACTNUMBER(AJ78)))</f>
        <v>603</v>
      </c>
      <c r="AM78" s="72" t="s">
        <v>257</v>
      </c>
      <c r="AN78" s="11">
        <f t="shared" si="0"/>
        <v>1149</v>
      </c>
      <c r="AO78" s="11" t="str">
        <f t="shared" si="19"/>
        <v>PASS</v>
      </c>
      <c r="AP78" s="11" t="str">
        <f t="shared" si="1"/>
        <v>I</v>
      </c>
      <c r="AQ78" s="1" t="str">
        <f t="shared" si="20"/>
        <v xml:space="preserve">One Thousand One Hundred Forty Nine </v>
      </c>
    </row>
    <row r="79" spans="2:43" ht="15.95" customHeight="1">
      <c r="B79" s="67">
        <v>136252</v>
      </c>
      <c r="C79" s="21" t="s">
        <v>75</v>
      </c>
      <c r="D79" s="24">
        <v>40</v>
      </c>
      <c r="E79" s="9" t="str">
        <f t="shared" si="2"/>
        <v>E</v>
      </c>
      <c r="F79" s="22">
        <v>21</v>
      </c>
      <c r="G79" s="9" t="str">
        <f t="shared" si="3"/>
        <v>E</v>
      </c>
      <c r="H79" s="22">
        <v>42</v>
      </c>
      <c r="I79" s="9" t="str">
        <f t="shared" si="4"/>
        <v>E</v>
      </c>
      <c r="J79" s="29">
        <v>41</v>
      </c>
      <c r="K79" s="9" t="str">
        <f t="shared" si="5"/>
        <v>E</v>
      </c>
      <c r="L79" s="22">
        <v>21</v>
      </c>
      <c r="M79" s="9" t="str">
        <f t="shared" si="6"/>
        <v>E</v>
      </c>
      <c r="N79" s="22">
        <v>21</v>
      </c>
      <c r="O79" s="9" t="str">
        <f t="shared" si="7"/>
        <v>E</v>
      </c>
      <c r="P79" s="29">
        <v>48</v>
      </c>
      <c r="Q79" s="9" t="str">
        <f t="shared" si="8"/>
        <v>E</v>
      </c>
      <c r="R79" s="22">
        <v>21</v>
      </c>
      <c r="S79" s="9" t="str">
        <f t="shared" si="9"/>
        <v>E</v>
      </c>
      <c r="T79" s="22">
        <v>42</v>
      </c>
      <c r="U79" s="9" t="str">
        <f t="shared" si="10"/>
        <v>E</v>
      </c>
      <c r="V79" s="29">
        <v>49</v>
      </c>
      <c r="W79" s="9" t="str">
        <f t="shared" si="11"/>
        <v>E</v>
      </c>
      <c r="X79" s="22">
        <v>21</v>
      </c>
      <c r="Y79" s="9" t="str">
        <f t="shared" si="12"/>
        <v>E</v>
      </c>
      <c r="Z79" s="22">
        <v>21</v>
      </c>
      <c r="AA79" s="9" t="str">
        <f t="shared" si="13"/>
        <v>E</v>
      </c>
      <c r="AB79" s="29">
        <v>23</v>
      </c>
      <c r="AC79" s="9" t="str">
        <f t="shared" si="14"/>
        <v>F</v>
      </c>
      <c r="AD79" s="22">
        <v>21</v>
      </c>
      <c r="AE79" s="9" t="str">
        <f t="shared" si="15"/>
        <v>E</v>
      </c>
      <c r="AF79" s="22">
        <v>20</v>
      </c>
      <c r="AG79" s="9" t="str">
        <f t="shared" si="16"/>
        <v>E</v>
      </c>
      <c r="AH79" s="22">
        <v>21</v>
      </c>
      <c r="AI79" s="9" t="str">
        <f t="shared" si="17"/>
        <v>E</v>
      </c>
      <c r="AJ79" s="22">
        <v>21</v>
      </c>
      <c r="AK79" s="9" t="str">
        <f t="shared" si="18"/>
        <v>E</v>
      </c>
      <c r="AL79" s="16">
        <f>IF(OR(AND(D79&gt;=31,D79&lt;40),AND(J79&gt;=31,J79&lt;40),AND(P79&gt;=31,P79&lt;40),AND(V79&gt;=31,V79&lt;40),AND(AB79&gt;=31,AB79&lt;40)),IF(AND(OR(COUNTIF(D79:AK79,"=31")&gt;=1,COUNTIF(D79:AK79,"=32")&gt;=1,COUNTIF(D79:AK79,"=33")&gt;=1,COUNTIF(D79:AK79,"=34")&gt;=1,COUNTIF(D79:AK79,"=35")&gt;=1,COUNTIF(D79:AK79,"=36")&gt;=1 ),COUNTIF(D79:AK79,"")=0,COUNTIF(D79:AK79," ")=0,COUNTIF(D79:AK79,"F")=1),CONCATENATE(SUM(EXTRACTNUMBER(D79),EXTRACTNUMBER(F79),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EXTRACTNUMBER(AD79),EXTRACTNUMBER(AF79),EXTRACTNUMBER(AH79),EXTRACTNUMBER(AJ79)),"*"),IF(AND(COUNTIF(D79:AK79,"=34")&gt;=1,COUNTIF(D79:AK79,"=35")&gt;=1,COUNTIF(D79:AK79,"f")=2,COUNTIF(D79:AK79,"")=0,COUNTIF(D79:AK79," ")=0),CONCATENATE(SUM(EXTRACTNUMBER(D79),EXTRACTNUMBER(F79),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EXTRACTNUMBER(AD79),EXTRACTNUMBER(AF79),EXTRACTNUMBER(AH79),EXTRACTNUMBER(AJ79)),"*"),IF(AND(COUNTIF(D79:AK79,"=36")&gt;=2,COUNTIF(D79:AK79,"f")=2,COUNTIF(D79:AK79,"")=0,COUNTIF(D79:AK79," ")=0),CONCATENATE(SUM(EXTRACTNUMBER(D79),EXTRACTNUMBER(F79),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EXTRACTNUMBER(AD79),EXTRACTNUMBER(AF79),EXTRACTNUMBER(AH79),EXTRACTNUMBER(AJ79)),"*"),SUM(EXTRACTNUMBER(D79),EXTRACTNUMBER(F79),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EXTRACTNUMBER(AD79),EXTRACTNUMBER(AF79),EXTRACTNUMBER(AH79),EXTRACTNUMBER(AJ79))))),SUM(EXTRACTNUMBER(D79),EXTRACTNUMBER(F79),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EXTRACTNUMBER(AD79),EXTRACTNUMBER(AF79),EXTRACTNUMBER(AH79),EXTRACTNUMBER(AJ79)))</f>
        <v>494</v>
      </c>
      <c r="AM79" s="72" t="s">
        <v>258</v>
      </c>
      <c r="AN79" s="11">
        <f t="shared" si="0"/>
        <v>955</v>
      </c>
      <c r="AO79" s="11" t="str">
        <f t="shared" si="19"/>
        <v>FAIL</v>
      </c>
      <c r="AP79" s="11" t="str">
        <f t="shared" si="1"/>
        <v>--</v>
      </c>
      <c r="AQ79" s="1" t="str">
        <f t="shared" si="20"/>
        <v xml:space="preserve">Nine Hundred Fifty Five </v>
      </c>
    </row>
    <row r="80" spans="2:43" ht="15.95" customHeight="1">
      <c r="B80" s="67">
        <v>136253</v>
      </c>
      <c r="C80" s="21" t="s">
        <v>76</v>
      </c>
      <c r="D80" s="24">
        <v>63</v>
      </c>
      <c r="E80" s="9" t="str">
        <f t="shared" si="2"/>
        <v/>
      </c>
      <c r="F80" s="22">
        <v>20</v>
      </c>
      <c r="G80" s="9" t="str">
        <f t="shared" si="3"/>
        <v/>
      </c>
      <c r="H80" s="22">
        <v>42</v>
      </c>
      <c r="I80" s="9" t="str">
        <f t="shared" si="4"/>
        <v/>
      </c>
      <c r="J80" s="29">
        <v>40</v>
      </c>
      <c r="K80" s="9" t="str">
        <f t="shared" si="5"/>
        <v/>
      </c>
      <c r="L80" s="22">
        <v>20</v>
      </c>
      <c r="M80" s="9" t="str">
        <f t="shared" si="6"/>
        <v/>
      </c>
      <c r="N80" s="22">
        <v>21</v>
      </c>
      <c r="O80" s="9" t="str">
        <f t="shared" si="7"/>
        <v/>
      </c>
      <c r="P80" s="29">
        <v>62</v>
      </c>
      <c r="Q80" s="9" t="str">
        <f t="shared" si="8"/>
        <v/>
      </c>
      <c r="R80" s="22">
        <v>20</v>
      </c>
      <c r="S80" s="9" t="str">
        <f t="shared" si="9"/>
        <v/>
      </c>
      <c r="T80" s="22">
        <v>42</v>
      </c>
      <c r="U80" s="9" t="str">
        <f t="shared" si="10"/>
        <v/>
      </c>
      <c r="V80" s="29">
        <v>40</v>
      </c>
      <c r="W80" s="9" t="str">
        <f t="shared" si="11"/>
        <v/>
      </c>
      <c r="X80" s="22">
        <v>20</v>
      </c>
      <c r="Y80" s="9" t="str">
        <f t="shared" si="12"/>
        <v/>
      </c>
      <c r="Z80" s="22">
        <v>21</v>
      </c>
      <c r="AA80" s="9" t="str">
        <f t="shared" si="13"/>
        <v/>
      </c>
      <c r="AB80" s="29">
        <v>46</v>
      </c>
      <c r="AC80" s="9" t="str">
        <f t="shared" si="14"/>
        <v/>
      </c>
      <c r="AD80" s="22">
        <v>20</v>
      </c>
      <c r="AE80" s="9" t="str">
        <f t="shared" si="15"/>
        <v/>
      </c>
      <c r="AF80" s="22">
        <v>21</v>
      </c>
      <c r="AG80" s="9" t="str">
        <f t="shared" si="16"/>
        <v/>
      </c>
      <c r="AH80" s="22">
        <v>20</v>
      </c>
      <c r="AI80" s="9" t="str">
        <f t="shared" si="17"/>
        <v/>
      </c>
      <c r="AJ80" s="22">
        <v>20</v>
      </c>
      <c r="AK80" s="9" t="str">
        <f t="shared" si="18"/>
        <v/>
      </c>
      <c r="AL80" s="16">
        <f>IF(OR(AND(D80&gt;=31,D80&lt;40),AND(J80&gt;=31,J80&lt;40),AND(P80&gt;=31,P80&lt;40),AND(V80&gt;=31,V80&lt;40),AND(AB80&gt;=31,AB80&lt;40)),IF(AND(OR(COUNTIF(D80:AK80,"=31")&gt;=1,COUNTIF(D80:AK80,"=32")&gt;=1,COUNTIF(D80:AK80,"=33")&gt;=1,COUNTIF(D80:AK80,"=34")&gt;=1,COUNTIF(D80:AK80,"=35")&gt;=1,COUNTIF(D80:AK80,"=36")&gt;=1 ),COUNTIF(D80:AK80,"")=0,COUNTIF(D80:AK80," ")=0,COUNTIF(D80:AK80,"F")=1),CONCATENATE(SUM(EXTRACTNUMBER(D80),EXTRACTNUMBER(F80),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EXTRACTNUMBER(AD80),EXTRACTNUMBER(AF80),EXTRACTNUMBER(AH80),EXTRACTNUMBER(AJ80)),"*"),IF(AND(COUNTIF(D80:AK80,"=34")&gt;=1,COUNTIF(D80:AK80,"=35")&gt;=1,COUNTIF(D80:AK80,"f")=2,COUNTIF(D80:AK80,"")=0,COUNTIF(D80:AK80," ")=0),CONCATENATE(SUM(EXTRACTNUMBER(D80),EXTRACTNUMBER(F80),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EXTRACTNUMBER(AD80),EXTRACTNUMBER(AF80),EXTRACTNUMBER(AH80),EXTRACTNUMBER(AJ80)),"*"),IF(AND(COUNTIF(D80:AK80,"=36")&gt;=2,COUNTIF(D80:AK80,"f")=2,COUNTIF(D80:AK80,"")=0,COUNTIF(D80:AK80," ")=0),CONCATENATE(SUM(EXTRACTNUMBER(D80),EXTRACTNUMBER(F80),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EXTRACTNUMBER(AD80),EXTRACTNUMBER(AF80),EXTRACTNUMBER(AH80),EXTRACTNUMBER(AJ80)),"*"),SUM(EXTRACTNUMBER(D80),EXTRACTNUMBER(F80),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EXTRACTNUMBER(AD80),EXTRACTNUMBER(AF80),EXTRACTNUMBER(AH80),EXTRACTNUMBER(AJ80))))),SUM(EXTRACTNUMBER(D80),EXTRACTNUMBER(F80),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EXTRACTNUMBER(AD80),EXTRACTNUMBER(AF80),EXTRACTNUMBER(AH80),EXTRACTNUMBER(AJ80)))</f>
        <v>538</v>
      </c>
      <c r="AM80" s="72" t="s">
        <v>535</v>
      </c>
      <c r="AN80" s="11">
        <f t="shared" si="0"/>
        <v>538</v>
      </c>
      <c r="AO80" s="11" t="str">
        <f t="shared" si="19"/>
        <v>PASS</v>
      </c>
      <c r="AP80" s="11" t="str">
        <f t="shared" si="1"/>
        <v>--</v>
      </c>
      <c r="AQ80" s="1" t="str">
        <f t="shared" si="20"/>
        <v xml:space="preserve">Five Hundred Thirty Eight </v>
      </c>
    </row>
    <row r="81" spans="2:43" ht="15.95" customHeight="1">
      <c r="B81" s="67">
        <v>136254</v>
      </c>
      <c r="C81" s="21" t="s">
        <v>77</v>
      </c>
      <c r="D81" s="24">
        <v>53</v>
      </c>
      <c r="E81" s="9" t="str">
        <f t="shared" si="2"/>
        <v/>
      </c>
      <c r="F81" s="22">
        <v>20</v>
      </c>
      <c r="G81" s="9" t="str">
        <f t="shared" si="3"/>
        <v/>
      </c>
      <c r="H81" s="22">
        <v>38</v>
      </c>
      <c r="I81" s="9" t="str">
        <f t="shared" si="4"/>
        <v/>
      </c>
      <c r="J81" s="29">
        <v>40</v>
      </c>
      <c r="K81" s="9" t="str">
        <f t="shared" si="5"/>
        <v/>
      </c>
      <c r="L81" s="22">
        <v>20</v>
      </c>
      <c r="M81" s="9" t="str">
        <f t="shared" si="6"/>
        <v/>
      </c>
      <c r="N81" s="22">
        <v>19</v>
      </c>
      <c r="O81" s="9" t="str">
        <f t="shared" si="7"/>
        <v/>
      </c>
      <c r="P81" s="29">
        <v>56</v>
      </c>
      <c r="Q81" s="9" t="str">
        <f t="shared" si="8"/>
        <v/>
      </c>
      <c r="R81" s="22">
        <v>20</v>
      </c>
      <c r="S81" s="9" t="str">
        <f t="shared" si="9"/>
        <v/>
      </c>
      <c r="T81" s="22">
        <v>38</v>
      </c>
      <c r="U81" s="9" t="str">
        <f t="shared" si="10"/>
        <v/>
      </c>
      <c r="V81" s="29">
        <v>55</v>
      </c>
      <c r="W81" s="9" t="str">
        <f t="shared" si="11"/>
        <v/>
      </c>
      <c r="X81" s="22">
        <v>20</v>
      </c>
      <c r="Y81" s="9" t="str">
        <f t="shared" si="12"/>
        <v/>
      </c>
      <c r="Z81" s="22">
        <v>21</v>
      </c>
      <c r="AA81" s="9" t="str">
        <f t="shared" si="13"/>
        <v/>
      </c>
      <c r="AB81" s="29">
        <v>40</v>
      </c>
      <c r="AC81" s="9" t="str">
        <f t="shared" si="14"/>
        <v/>
      </c>
      <c r="AD81" s="22">
        <v>20</v>
      </c>
      <c r="AE81" s="9" t="str">
        <f t="shared" si="15"/>
        <v/>
      </c>
      <c r="AF81" s="22">
        <v>19</v>
      </c>
      <c r="AG81" s="9" t="str">
        <f t="shared" si="16"/>
        <v/>
      </c>
      <c r="AH81" s="22">
        <v>20</v>
      </c>
      <c r="AI81" s="9" t="str">
        <f t="shared" si="17"/>
        <v/>
      </c>
      <c r="AJ81" s="22">
        <v>20</v>
      </c>
      <c r="AK81" s="9" t="str">
        <f t="shared" si="18"/>
        <v/>
      </c>
      <c r="AL81" s="16">
        <f>IF(OR(AND(D81&gt;=31,D81&lt;40),AND(J81&gt;=31,J81&lt;40),AND(P81&gt;=31,P81&lt;40),AND(V81&gt;=31,V81&lt;40),AND(AB81&gt;=31,AB81&lt;40)),IF(AND(OR(COUNTIF(D81:AK81,"=31")&gt;=1,COUNTIF(D81:AK81,"=32")&gt;=1,COUNTIF(D81:AK81,"=33")&gt;=1,COUNTIF(D81:AK81,"=34")&gt;=1,COUNTIF(D81:AK81,"=35")&gt;=1,COUNTIF(D81:AK81,"=36")&gt;=1 ),COUNTIF(D81:AK81,"")=0,COUNTIF(D81:AK81," ")=0,COUNTIF(D81:AK81,"F")=1),CONCATENATE(SUM(EXTRACTNUMBER(D81),EXTRACTNUMBER(F81),
EXTRACTNUMBER(H81),EXTRACTNUMBER(J81),
EXTRACTNUMBER(L81),EXTRACTNUMBER(N81),
EXTRACTNUMBER(P81),EXTRACTNUMBER(R81),
EXTRACTNUMBER(T81),EXTRACTNUMBER(V81),
EXTRACTNUMBER(X81),EXTRACTNUMBER(Z81),EXTRACTNUMBER(AB81),
EXTRACTNUMBER(AD81),EXTRACTNUMBER(AF81),EXTRACTNUMBER(AH81),EXTRACTNUMBER(AJ81)),"*"),IF(AND(COUNTIF(D81:AK81,"=34")&gt;=1,COUNTIF(D81:AK81,"=35")&gt;=1,COUNTIF(D81:AK81,"f")=2,COUNTIF(D81:AK81,"")=0,COUNTIF(D81:AK81," ")=0),CONCATENATE(SUM(EXTRACTNUMBER(D81),EXTRACTNUMBER(F81),
EXTRACTNUMBER(H81),EXTRACTNUMBER(J81),
EXTRACTNUMBER(L81),EXTRACTNUMBER(N81),
EXTRACTNUMBER(P81),EXTRACTNUMBER(R81),
EXTRACTNUMBER(T81),EXTRACTNUMBER(V81),
EXTRACTNUMBER(X81),EXTRACTNUMBER(Z81),EXTRACTNUMBER(AB81),
EXTRACTNUMBER(AD81),EXTRACTNUMBER(AF81),EXTRACTNUMBER(AH81),EXTRACTNUMBER(AJ81)),"*"),IF(AND(COUNTIF(D81:AK81,"=36")&gt;=2,COUNTIF(D81:AK81,"f")=2,COUNTIF(D81:AK81,"")=0,COUNTIF(D81:AK81," ")=0),CONCATENATE(SUM(EXTRACTNUMBER(D81),EXTRACTNUMBER(F81),
EXTRACTNUMBER(H81),EXTRACTNUMBER(J81),
EXTRACTNUMBER(L81),EXTRACTNUMBER(N81),
EXTRACTNUMBER(P81),EXTRACTNUMBER(R81),
EXTRACTNUMBER(T81),EXTRACTNUMBER(V81),
EXTRACTNUMBER(X81),EXTRACTNUMBER(Z81),EXTRACTNUMBER(AB81),
EXTRACTNUMBER(AD81),EXTRACTNUMBER(AF81),EXTRACTNUMBER(AH81),EXTRACTNUMBER(AJ81)),"*"),SUM(EXTRACTNUMBER(D81),EXTRACTNUMBER(F81),
EXTRACTNUMBER(H81),EXTRACTNUMBER(J81),
EXTRACTNUMBER(L81),EXTRACTNUMBER(N81),
EXTRACTNUMBER(P81),EXTRACTNUMBER(R81),
EXTRACTNUMBER(T81),EXTRACTNUMBER(V81),
EXTRACTNUMBER(X81),EXTRACTNUMBER(Z81),EXTRACTNUMBER(AB81),
EXTRACTNUMBER(AD81),EXTRACTNUMBER(AF81),EXTRACTNUMBER(AH81),EXTRACTNUMBER(AJ81))))),SUM(EXTRACTNUMBER(D81),EXTRACTNUMBER(F81),
EXTRACTNUMBER(H81),EXTRACTNUMBER(J81),
EXTRACTNUMBER(L81),EXTRACTNUMBER(N81),
EXTRACTNUMBER(P81),EXTRACTNUMBER(R81),
EXTRACTNUMBER(T81),EXTRACTNUMBER(V81),
EXTRACTNUMBER(X81),EXTRACTNUMBER(Z81),EXTRACTNUMBER(AB81),
EXTRACTNUMBER(AD81),EXTRACTNUMBER(AF81),EXTRACTNUMBER(AH81),EXTRACTNUMBER(AJ81)))</f>
        <v>519</v>
      </c>
      <c r="AM81" s="72" t="s">
        <v>231</v>
      </c>
      <c r="AN81" s="11" t="str">
        <f t="shared" si="0"/>
        <v>1013@7</v>
      </c>
      <c r="AO81" s="11" t="str">
        <f t="shared" si="19"/>
        <v>PASS</v>
      </c>
      <c r="AP81" s="11" t="str">
        <f t="shared" si="1"/>
        <v>I</v>
      </c>
      <c r="AQ81" s="1" t="e">
        <f t="shared" si="20"/>
        <v>#VALUE!</v>
      </c>
    </row>
    <row r="82" spans="2:43" ht="15.95" customHeight="1">
      <c r="B82" s="67">
        <v>136255</v>
      </c>
      <c r="C82" s="21" t="s">
        <v>78</v>
      </c>
      <c r="D82" s="24">
        <v>46</v>
      </c>
      <c r="E82" s="9" t="str">
        <f t="shared" si="2"/>
        <v/>
      </c>
      <c r="F82" s="22">
        <v>19</v>
      </c>
      <c r="G82" s="9" t="str">
        <f t="shared" si="3"/>
        <v/>
      </c>
      <c r="H82" s="22">
        <v>42</v>
      </c>
      <c r="I82" s="9" t="str">
        <f t="shared" si="4"/>
        <v/>
      </c>
      <c r="J82" s="29">
        <v>40</v>
      </c>
      <c r="K82" s="9" t="str">
        <f t="shared" si="5"/>
        <v/>
      </c>
      <c r="L82" s="22">
        <v>20</v>
      </c>
      <c r="M82" s="9" t="str">
        <f t="shared" si="6"/>
        <v/>
      </c>
      <c r="N82" s="22">
        <v>20</v>
      </c>
      <c r="O82" s="9" t="str">
        <f t="shared" si="7"/>
        <v/>
      </c>
      <c r="P82" s="29">
        <v>51</v>
      </c>
      <c r="Q82" s="9" t="str">
        <f t="shared" si="8"/>
        <v/>
      </c>
      <c r="R82" s="22">
        <v>20</v>
      </c>
      <c r="S82" s="9" t="str">
        <f t="shared" si="9"/>
        <v/>
      </c>
      <c r="T82" s="22">
        <v>42</v>
      </c>
      <c r="U82" s="9" t="str">
        <f t="shared" si="10"/>
        <v/>
      </c>
      <c r="V82" s="29">
        <v>41</v>
      </c>
      <c r="W82" s="9" t="str">
        <f t="shared" si="11"/>
        <v/>
      </c>
      <c r="X82" s="22">
        <v>20</v>
      </c>
      <c r="Y82" s="9" t="str">
        <f t="shared" si="12"/>
        <v/>
      </c>
      <c r="Z82" s="22">
        <v>22</v>
      </c>
      <c r="AA82" s="9" t="str">
        <f t="shared" si="13"/>
        <v/>
      </c>
      <c r="AB82" s="29">
        <v>47</v>
      </c>
      <c r="AC82" s="9" t="str">
        <f t="shared" si="14"/>
        <v/>
      </c>
      <c r="AD82" s="22">
        <v>20</v>
      </c>
      <c r="AE82" s="9" t="str">
        <f t="shared" si="15"/>
        <v/>
      </c>
      <c r="AF82" s="22">
        <v>20</v>
      </c>
      <c r="AG82" s="9" t="str">
        <f t="shared" si="16"/>
        <v/>
      </c>
      <c r="AH82" s="22">
        <v>20</v>
      </c>
      <c r="AI82" s="9" t="str">
        <f t="shared" si="17"/>
        <v/>
      </c>
      <c r="AJ82" s="22">
        <v>21</v>
      </c>
      <c r="AK82" s="9" t="str">
        <f t="shared" si="18"/>
        <v/>
      </c>
      <c r="AL82" s="16">
        <f>IF(OR(AND(D82&gt;=31,D82&lt;40),AND(J82&gt;=31,J82&lt;40),AND(P82&gt;=31,P82&lt;40),AND(V82&gt;=31,V82&lt;40),AND(AB82&gt;=31,AB82&lt;40)),IF(AND(OR(COUNTIF(D82:AK82,"=31")&gt;=1,COUNTIF(D82:AK82,"=32")&gt;=1,COUNTIF(D82:AK82,"=33")&gt;=1,COUNTIF(D82:AK82,"=34")&gt;=1,COUNTIF(D82:AK82,"=35")&gt;=1,COUNTIF(D82:AK82,"=36")&gt;=1 ),COUNTIF(D82:AK82,"")=0,COUNTIF(D82:AK82," ")=0,COUNTIF(D82:AK82,"F")=1),CONCATENATE(SUM(EXTRACTNUMBER(D82),EXTRACTNUMBER(F82),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EXTRACTNUMBER(AD82),EXTRACTNUMBER(AF82),EXTRACTNUMBER(AH82),EXTRACTNUMBER(AJ82)),"*"),IF(AND(COUNTIF(D82:AK82,"=34")&gt;=1,COUNTIF(D82:AK82,"=35")&gt;=1,COUNTIF(D82:AK82,"f")=2,COUNTIF(D82:AK82,"")=0,COUNTIF(D82:AK82," ")=0),CONCATENATE(SUM(EXTRACTNUMBER(D82),EXTRACTNUMBER(F82),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EXTRACTNUMBER(AD82),EXTRACTNUMBER(AF82),EXTRACTNUMBER(AH82),EXTRACTNUMBER(AJ82)),"*"),IF(AND(COUNTIF(D82:AK82,"=36")&gt;=2,COUNTIF(D82:AK82,"f")=2,COUNTIF(D82:AK82,"")=0,COUNTIF(D82:AK82," ")=0),CONCATENATE(SUM(EXTRACTNUMBER(D82),EXTRACTNUMBER(F82),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EXTRACTNUMBER(AD82),EXTRACTNUMBER(AF82),EXTRACTNUMBER(AH82),EXTRACTNUMBER(AJ82)),"*"),SUM(EXTRACTNUMBER(D82),EXTRACTNUMBER(F82),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EXTRACTNUMBER(AD82),EXTRACTNUMBER(AF82),EXTRACTNUMBER(AH82),EXTRACTNUMBER(AJ82))))),SUM(EXTRACTNUMBER(D82),EXTRACTNUMBER(F82),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EXTRACTNUMBER(AD82),EXTRACTNUMBER(AF82),EXTRACTNUMBER(AH82),EXTRACTNUMBER(AJ82)))</f>
        <v>511</v>
      </c>
      <c r="AM82" s="72" t="s">
        <v>564</v>
      </c>
      <c r="AN82" s="11">
        <f t="shared" si="0"/>
        <v>996</v>
      </c>
      <c r="AO82" s="11" t="str">
        <f t="shared" si="19"/>
        <v>PASS</v>
      </c>
      <c r="AP82" s="11" t="str">
        <f t="shared" si="1"/>
        <v>P</v>
      </c>
      <c r="AQ82" s="1" t="str">
        <f t="shared" si="20"/>
        <v xml:space="preserve">Nine Hundred NinetySix </v>
      </c>
    </row>
    <row r="83" spans="2:43" ht="15.95" customHeight="1">
      <c r="B83" s="67">
        <v>136256</v>
      </c>
      <c r="C83" s="21" t="s">
        <v>79</v>
      </c>
      <c r="D83" s="24">
        <v>69</v>
      </c>
      <c r="E83" s="9" t="str">
        <f t="shared" si="2"/>
        <v/>
      </c>
      <c r="F83" s="22">
        <v>23</v>
      </c>
      <c r="G83" s="9" t="str">
        <f t="shared" si="3"/>
        <v/>
      </c>
      <c r="H83" s="22">
        <v>44</v>
      </c>
      <c r="I83" s="9" t="str">
        <f t="shared" si="4"/>
        <v/>
      </c>
      <c r="J83" s="29">
        <v>47</v>
      </c>
      <c r="K83" s="9" t="str">
        <f t="shared" si="5"/>
        <v/>
      </c>
      <c r="L83" s="22">
        <v>23</v>
      </c>
      <c r="M83" s="9" t="str">
        <f t="shared" si="6"/>
        <v/>
      </c>
      <c r="N83" s="22">
        <v>22</v>
      </c>
      <c r="O83" s="9" t="str">
        <f t="shared" si="7"/>
        <v/>
      </c>
      <c r="P83" s="29">
        <v>72</v>
      </c>
      <c r="Q83" s="9" t="str">
        <f t="shared" si="8"/>
        <v/>
      </c>
      <c r="R83" s="22">
        <v>23</v>
      </c>
      <c r="S83" s="9" t="str">
        <f t="shared" si="9"/>
        <v/>
      </c>
      <c r="T83" s="22">
        <v>44</v>
      </c>
      <c r="U83" s="9" t="str">
        <f t="shared" si="10"/>
        <v/>
      </c>
      <c r="V83" s="29">
        <v>57</v>
      </c>
      <c r="W83" s="9" t="str">
        <f t="shared" si="11"/>
        <v/>
      </c>
      <c r="X83" s="22">
        <v>23</v>
      </c>
      <c r="Y83" s="9" t="str">
        <f t="shared" si="12"/>
        <v/>
      </c>
      <c r="Z83" s="22">
        <v>21</v>
      </c>
      <c r="AA83" s="9" t="str">
        <f t="shared" si="13"/>
        <v/>
      </c>
      <c r="AB83" s="29">
        <v>57</v>
      </c>
      <c r="AC83" s="9" t="str">
        <f t="shared" si="14"/>
        <v/>
      </c>
      <c r="AD83" s="22">
        <v>23</v>
      </c>
      <c r="AE83" s="9" t="str">
        <f t="shared" si="15"/>
        <v/>
      </c>
      <c r="AF83" s="22">
        <v>21</v>
      </c>
      <c r="AG83" s="9" t="str">
        <f t="shared" si="16"/>
        <v/>
      </c>
      <c r="AH83" s="22">
        <v>23</v>
      </c>
      <c r="AI83" s="9" t="str">
        <f t="shared" si="17"/>
        <v/>
      </c>
      <c r="AJ83" s="22">
        <v>23</v>
      </c>
      <c r="AK83" s="9" t="str">
        <f t="shared" si="18"/>
        <v/>
      </c>
      <c r="AL83" s="16">
        <f>IF(OR(AND(D83&gt;=31,D83&lt;40),AND(J83&gt;=31,J83&lt;40),AND(P83&gt;=31,P83&lt;40),AND(V83&gt;=31,V83&lt;40),AND(AB83&gt;=31,AB83&lt;40)),IF(AND(OR(COUNTIF(D83:AK83,"=31")&gt;=1,COUNTIF(D83:AK83,"=32")&gt;=1,COUNTIF(D83:AK83,"=33")&gt;=1,COUNTIF(D83:AK83,"=34")&gt;=1,COUNTIF(D83:AK83,"=35")&gt;=1,COUNTIF(D83:AK83,"=36")&gt;=1 ),COUNTIF(D83:AK83,"")=0,COUNTIF(D83:AK83," ")=0,COUNTIF(D83:AK83,"F")=1),CONCATENATE(SUM(EXTRACTNUMBER(D83),EXTRACTNUMBER(F83),
EXTRACTNUMBER(H83),EXTRACTNUMBER(J83),
EXTRACTNUMBER(L83),EXTRACTNUMBER(N83),
EXTRACTNUMBER(P83),EXTRACTNUMBER(R83),
EXTRACTNUMBER(T83),EXTRACTNUMBER(V83),
EXTRACTNUMBER(X83),EXTRACTNUMBER(Z83),EXTRACTNUMBER(AB83),
EXTRACTNUMBER(AD83),EXTRACTNUMBER(AF83),EXTRACTNUMBER(AH83),EXTRACTNUMBER(AJ83)),"*"),IF(AND(COUNTIF(D83:AK83,"=34")&gt;=1,COUNTIF(D83:AK83,"=35")&gt;=1,COUNTIF(D83:AK83,"f")=2,COUNTIF(D83:AK83,"")=0,COUNTIF(D83:AK83," ")=0),CONCATENATE(SUM(EXTRACTNUMBER(D83),EXTRACTNUMBER(F83),
EXTRACTNUMBER(H83),EXTRACTNUMBER(J83),
EXTRACTNUMBER(L83),EXTRACTNUMBER(N83),
EXTRACTNUMBER(P83),EXTRACTNUMBER(R83),
EXTRACTNUMBER(T83),EXTRACTNUMBER(V83),
EXTRACTNUMBER(X83),EXTRACTNUMBER(Z83),EXTRACTNUMBER(AB83),
EXTRACTNUMBER(AD83),EXTRACTNUMBER(AF83),EXTRACTNUMBER(AH83),EXTRACTNUMBER(AJ83)),"*"),IF(AND(COUNTIF(D83:AK83,"=36")&gt;=2,COUNTIF(D83:AK83,"f")=2,COUNTIF(D83:AK83,"")=0,COUNTIF(D83:AK83," ")=0),CONCATENATE(SUM(EXTRACTNUMBER(D83),EXTRACTNUMBER(F83),
EXTRACTNUMBER(H83),EXTRACTNUMBER(J83),
EXTRACTNUMBER(L83),EXTRACTNUMBER(N83),
EXTRACTNUMBER(P83),EXTRACTNUMBER(R83),
EXTRACTNUMBER(T83),EXTRACTNUMBER(V83),
EXTRACTNUMBER(X83),EXTRACTNUMBER(Z83),EXTRACTNUMBER(AB83),
EXTRACTNUMBER(AD83),EXTRACTNUMBER(AF83),EXTRACTNUMBER(AH83),EXTRACTNUMBER(AJ83)),"*"),SUM(EXTRACTNUMBER(D83),EXTRACTNUMBER(F83),
EXTRACTNUMBER(H83),EXTRACTNUMBER(J83),
EXTRACTNUMBER(L83),EXTRACTNUMBER(N83),
EXTRACTNUMBER(P83),EXTRACTNUMBER(R83),
EXTRACTNUMBER(T83),EXTRACTNUMBER(V83),
EXTRACTNUMBER(X83),EXTRACTNUMBER(Z83),EXTRACTNUMBER(AB83),
EXTRACTNUMBER(AD83),EXTRACTNUMBER(AF83),EXTRACTNUMBER(AH83),EXTRACTNUMBER(AJ83))))),SUM(EXTRACTNUMBER(D83),EXTRACTNUMBER(F83),
EXTRACTNUMBER(H83),EXTRACTNUMBER(J83),
EXTRACTNUMBER(L83),EXTRACTNUMBER(N83),
EXTRACTNUMBER(P83),EXTRACTNUMBER(R83),
EXTRACTNUMBER(T83),EXTRACTNUMBER(V83),
EXTRACTNUMBER(X83),EXTRACTNUMBER(Z83),EXTRACTNUMBER(AB83),
EXTRACTNUMBER(AD83),EXTRACTNUMBER(AF83),EXTRACTNUMBER(AH83),EXTRACTNUMBER(AJ83)))</f>
        <v>615</v>
      </c>
      <c r="AM83" s="72" t="s">
        <v>228</v>
      </c>
      <c r="AN83" s="11">
        <f t="shared" si="0"/>
        <v>1157</v>
      </c>
      <c r="AO83" s="11" t="str">
        <f t="shared" si="19"/>
        <v>PASS</v>
      </c>
      <c r="AP83" s="11" t="str">
        <f t="shared" si="1"/>
        <v>I</v>
      </c>
      <c r="AQ83" s="1" t="str">
        <f t="shared" si="20"/>
        <v xml:space="preserve">One Thousand One Hundred Fifty Seven </v>
      </c>
    </row>
    <row r="84" spans="2:43" ht="15.95" customHeight="1">
      <c r="B84" s="67">
        <v>136257</v>
      </c>
      <c r="C84" s="21" t="s">
        <v>80</v>
      </c>
      <c r="D84" s="24">
        <v>40</v>
      </c>
      <c r="E84" s="9" t="str">
        <f t="shared" si="2"/>
        <v/>
      </c>
      <c r="F84" s="22">
        <v>20</v>
      </c>
      <c r="G84" s="9" t="str">
        <f t="shared" si="3"/>
        <v/>
      </c>
      <c r="H84" s="22">
        <v>42</v>
      </c>
      <c r="I84" s="9" t="str">
        <f t="shared" si="4"/>
        <v/>
      </c>
      <c r="J84" s="30" t="s">
        <v>314</v>
      </c>
      <c r="K84" s="9" t="str">
        <f t="shared" si="5"/>
        <v/>
      </c>
      <c r="L84" s="22">
        <v>20</v>
      </c>
      <c r="M84" s="9" t="str">
        <f t="shared" si="6"/>
        <v/>
      </c>
      <c r="N84" s="22">
        <v>21</v>
      </c>
      <c r="O84" s="9" t="str">
        <f t="shared" si="7"/>
        <v/>
      </c>
      <c r="P84" s="29">
        <v>53</v>
      </c>
      <c r="Q84" s="9" t="str">
        <f t="shared" si="8"/>
        <v/>
      </c>
      <c r="R84" s="22">
        <v>20</v>
      </c>
      <c r="S84" s="9" t="str">
        <f t="shared" si="9"/>
        <v/>
      </c>
      <c r="T84" s="22">
        <v>42</v>
      </c>
      <c r="U84" s="9" t="str">
        <f t="shared" si="10"/>
        <v/>
      </c>
      <c r="V84" s="29">
        <v>55</v>
      </c>
      <c r="W84" s="9" t="str">
        <f t="shared" si="11"/>
        <v/>
      </c>
      <c r="X84" s="22">
        <v>20</v>
      </c>
      <c r="Y84" s="9" t="str">
        <f t="shared" si="12"/>
        <v/>
      </c>
      <c r="Z84" s="22">
        <v>22</v>
      </c>
      <c r="AA84" s="9" t="str">
        <f t="shared" si="13"/>
        <v/>
      </c>
      <c r="AB84" s="29">
        <v>40</v>
      </c>
      <c r="AC84" s="9" t="str">
        <f t="shared" si="14"/>
        <v/>
      </c>
      <c r="AD84" s="22">
        <v>20</v>
      </c>
      <c r="AE84" s="9" t="str">
        <f t="shared" si="15"/>
        <v/>
      </c>
      <c r="AF84" s="22">
        <v>19</v>
      </c>
      <c r="AG84" s="9" t="str">
        <f t="shared" si="16"/>
        <v/>
      </c>
      <c r="AH84" s="22">
        <v>20</v>
      </c>
      <c r="AI84" s="9" t="str">
        <f t="shared" si="17"/>
        <v/>
      </c>
      <c r="AJ84" s="22">
        <v>21</v>
      </c>
      <c r="AK84" s="9" t="str">
        <f t="shared" si="18"/>
        <v/>
      </c>
      <c r="AL84" s="16">
        <f>IF(OR(AND(D84&gt;=31,D84&lt;40),AND(J84&gt;=31,J84&lt;40),AND(P84&gt;=31,P84&lt;40),AND(V84&gt;=31,V84&lt;40),AND(AB84&gt;=31,AB84&lt;40)),IF(AND(OR(COUNTIF(D84:AK84,"=31")&gt;=1,COUNTIF(D84:AK84,"=32")&gt;=1,COUNTIF(D84:AK84,"=33")&gt;=1,COUNTIF(D84:AK84,"=34")&gt;=1,COUNTIF(D84:AK84,"=35")&gt;=1,COUNTIF(D84:AK84,"=36")&gt;=1 ),COUNTIF(D84:AK84,"")=0,COUNTIF(D84:AK84," ")=0,COUNTIF(D84:AK84,"F")=1),CONCATENATE(SUM(EXTRACTNUMBER(D84),EXTRACTNUMBER(F84),
EXTRACTNUMBER(H84),EXTRACTNUMBER(J84),
EXTRACTNUMBER(L84),EXTRACTNUMBER(N84),
EXTRACTNUMBER(P84),EXTRACTNUMBER(R84),
EXTRACTNUMBER(T84),EXTRACTNUMBER(V84),
EXTRACTNUMBER(X84),EXTRACTNUMBER(Z84),EXTRACTNUMBER(AB84),
EXTRACTNUMBER(AD84),EXTRACTNUMBER(AF84),EXTRACTNUMBER(AH84),EXTRACTNUMBER(AJ84)),"*"),IF(AND(COUNTIF(D84:AK84,"=34")&gt;=1,COUNTIF(D84:AK84,"=35")&gt;=1,COUNTIF(D84:AK84,"f")=2,COUNTIF(D84:AK84,"")=0,COUNTIF(D84:AK84," ")=0),CONCATENATE(SUM(EXTRACTNUMBER(D84),EXTRACTNUMBER(F84),
EXTRACTNUMBER(H84),EXTRACTNUMBER(J84),
EXTRACTNUMBER(L84),EXTRACTNUMBER(N84),
EXTRACTNUMBER(P84),EXTRACTNUMBER(R84),
EXTRACTNUMBER(T84),EXTRACTNUMBER(V84),
EXTRACTNUMBER(X84),EXTRACTNUMBER(Z84),EXTRACTNUMBER(AB84),
EXTRACTNUMBER(AD84),EXTRACTNUMBER(AF84),EXTRACTNUMBER(AH84),EXTRACTNUMBER(AJ84)),"*"),IF(AND(COUNTIF(D84:AK84,"=36")&gt;=2,COUNTIF(D84:AK84,"f")=2,COUNTIF(D84:AK84,"")=0,COUNTIF(D84:AK84," ")=0),CONCATENATE(SUM(EXTRACTNUMBER(D84),EXTRACTNUMBER(F84),
EXTRACTNUMBER(H84),EXTRACTNUMBER(J84),
EXTRACTNUMBER(L84),EXTRACTNUMBER(N84),
EXTRACTNUMBER(P84),EXTRACTNUMBER(R84),
EXTRACTNUMBER(T84),EXTRACTNUMBER(V84),
EXTRACTNUMBER(X84),EXTRACTNUMBER(Z84),EXTRACTNUMBER(AB84),
EXTRACTNUMBER(AD84),EXTRACTNUMBER(AF84),EXTRACTNUMBER(AH84),EXTRACTNUMBER(AJ84)),"*"),SUM(EXTRACTNUMBER(D84),EXTRACTNUMBER(F84),
EXTRACTNUMBER(H84),EXTRACTNUMBER(J84),
EXTRACTNUMBER(L84),EXTRACTNUMBER(N84),
EXTRACTNUMBER(P84),EXTRACTNUMBER(R84),
EXTRACTNUMBER(T84),EXTRACTNUMBER(V84),
EXTRACTNUMBER(X84),EXTRACTNUMBER(Z84),EXTRACTNUMBER(AB84),
EXTRACTNUMBER(AD84),EXTRACTNUMBER(AF84),EXTRACTNUMBER(AH84),EXTRACTNUMBER(AJ84))))),SUM(EXTRACTNUMBER(D84),EXTRACTNUMBER(F84),
EXTRACTNUMBER(H84),EXTRACTNUMBER(J84),
EXTRACTNUMBER(L84),EXTRACTNUMBER(N84),
EXTRACTNUMBER(P84),EXTRACTNUMBER(R84),
EXTRACTNUMBER(T84),EXTRACTNUMBER(V84),
EXTRACTNUMBER(X84),EXTRACTNUMBER(Z84),EXTRACTNUMBER(AB84),
EXTRACTNUMBER(AD84),EXTRACTNUMBER(AF84),EXTRACTNUMBER(AH84),EXTRACTNUMBER(AJ84)))</f>
        <v>510</v>
      </c>
      <c r="AM84" s="72" t="s">
        <v>259</v>
      </c>
      <c r="AN84" s="11">
        <f t="shared" si="0"/>
        <v>1006</v>
      </c>
      <c r="AO84" s="11" t="str">
        <f t="shared" si="19"/>
        <v>PASS</v>
      </c>
      <c r="AP84" s="11" t="str">
        <f t="shared" si="1"/>
        <v>II</v>
      </c>
      <c r="AQ84" s="1" t="str">
        <f t="shared" si="20"/>
        <v xml:space="preserve">One Thousand Six </v>
      </c>
    </row>
    <row r="85" spans="2:43" ht="15.95" customHeight="1">
      <c r="B85" s="67">
        <v>136258</v>
      </c>
      <c r="C85" s="21" t="s">
        <v>81</v>
      </c>
      <c r="D85" s="24">
        <v>74</v>
      </c>
      <c r="E85" s="9" t="str">
        <f t="shared" si="2"/>
        <v/>
      </c>
      <c r="F85" s="22">
        <v>21</v>
      </c>
      <c r="G85" s="9" t="str">
        <f t="shared" si="3"/>
        <v/>
      </c>
      <c r="H85" s="22">
        <v>46</v>
      </c>
      <c r="I85" s="9" t="str">
        <f t="shared" si="4"/>
        <v/>
      </c>
      <c r="J85" s="29">
        <v>50</v>
      </c>
      <c r="K85" s="9" t="str">
        <f t="shared" si="5"/>
        <v/>
      </c>
      <c r="L85" s="22">
        <v>22</v>
      </c>
      <c r="M85" s="9" t="str">
        <f t="shared" si="6"/>
        <v/>
      </c>
      <c r="N85" s="22">
        <v>23</v>
      </c>
      <c r="O85" s="9" t="str">
        <f t="shared" si="7"/>
        <v/>
      </c>
      <c r="P85" s="29">
        <v>58</v>
      </c>
      <c r="Q85" s="9" t="str">
        <f t="shared" si="8"/>
        <v/>
      </c>
      <c r="R85" s="22">
        <v>22</v>
      </c>
      <c r="S85" s="9" t="str">
        <f t="shared" si="9"/>
        <v/>
      </c>
      <c r="T85" s="22">
        <v>46</v>
      </c>
      <c r="U85" s="9" t="str">
        <f t="shared" si="10"/>
        <v/>
      </c>
      <c r="V85" s="29">
        <v>66</v>
      </c>
      <c r="W85" s="9" t="str">
        <f t="shared" si="11"/>
        <v/>
      </c>
      <c r="X85" s="22">
        <v>22</v>
      </c>
      <c r="Y85" s="9" t="str">
        <f t="shared" si="12"/>
        <v/>
      </c>
      <c r="Z85" s="22">
        <v>22</v>
      </c>
      <c r="AA85" s="9" t="str">
        <f t="shared" si="13"/>
        <v/>
      </c>
      <c r="AB85" s="29">
        <v>59</v>
      </c>
      <c r="AC85" s="9" t="str">
        <f t="shared" si="14"/>
        <v/>
      </c>
      <c r="AD85" s="22">
        <v>22</v>
      </c>
      <c r="AE85" s="9" t="str">
        <f t="shared" si="15"/>
        <v/>
      </c>
      <c r="AF85" s="22">
        <v>20</v>
      </c>
      <c r="AG85" s="9" t="str">
        <f t="shared" si="16"/>
        <v/>
      </c>
      <c r="AH85" s="22">
        <v>22</v>
      </c>
      <c r="AI85" s="9" t="str">
        <f t="shared" si="17"/>
        <v/>
      </c>
      <c r="AJ85" s="22">
        <v>20</v>
      </c>
      <c r="AK85" s="9" t="str">
        <f t="shared" si="18"/>
        <v/>
      </c>
      <c r="AL85" s="16">
        <f>IF(OR(AND(D85&gt;=31,D85&lt;40),AND(J85&gt;=31,J85&lt;40),AND(P85&gt;=31,P85&lt;40),AND(V85&gt;=31,V85&lt;40),AND(AB85&gt;=31,AB85&lt;40)),IF(AND(OR(COUNTIF(D85:AK85,"=31")&gt;=1,COUNTIF(D85:AK85,"=32")&gt;=1,COUNTIF(D85:AK85,"=33")&gt;=1,COUNTIF(D85:AK85,"=34")&gt;=1,COUNTIF(D85:AK85,"=35")&gt;=1,COUNTIF(D85:AK85,"=36")&gt;=1 ),COUNTIF(D85:AK85,"")=0,COUNTIF(D85:AK85," ")=0,COUNTIF(D85:AK85,"F")=1),CONCATENATE(SUM(EXTRACTNUMBER(D85),EXTRACTNUMBER(F85),
EXTRACTNUMBER(H85),EXTRACTNUMBER(J85),
EXTRACTNUMBER(L85),EXTRACTNUMBER(N85),
EXTRACTNUMBER(P85),EXTRACTNUMBER(R85),
EXTRACTNUMBER(T85),EXTRACTNUMBER(V85),
EXTRACTNUMBER(X85),EXTRACTNUMBER(Z85),EXTRACTNUMBER(AB85),
EXTRACTNUMBER(AD85),EXTRACTNUMBER(AF85),EXTRACTNUMBER(AH85),EXTRACTNUMBER(AJ85)),"*"),IF(AND(COUNTIF(D85:AK85,"=34")&gt;=1,COUNTIF(D85:AK85,"=35")&gt;=1,COUNTIF(D85:AK85,"f")=2,COUNTIF(D85:AK85,"")=0,COUNTIF(D85:AK85," ")=0),CONCATENATE(SUM(EXTRACTNUMBER(D85),EXTRACTNUMBER(F85),
EXTRACTNUMBER(H85),EXTRACTNUMBER(J85),
EXTRACTNUMBER(L85),EXTRACTNUMBER(N85),
EXTRACTNUMBER(P85),EXTRACTNUMBER(R85),
EXTRACTNUMBER(T85),EXTRACTNUMBER(V85),
EXTRACTNUMBER(X85),EXTRACTNUMBER(Z85),EXTRACTNUMBER(AB85),
EXTRACTNUMBER(AD85),EXTRACTNUMBER(AF85),EXTRACTNUMBER(AH85),EXTRACTNUMBER(AJ85)),"*"),IF(AND(COUNTIF(D85:AK85,"=36")&gt;=2,COUNTIF(D85:AK85,"f")=2,COUNTIF(D85:AK85,"")=0,COUNTIF(D85:AK85," ")=0),CONCATENATE(SUM(EXTRACTNUMBER(D85),EXTRACTNUMBER(F85),
EXTRACTNUMBER(H85),EXTRACTNUMBER(J85),
EXTRACTNUMBER(L85),EXTRACTNUMBER(N85),
EXTRACTNUMBER(P85),EXTRACTNUMBER(R85),
EXTRACTNUMBER(T85),EXTRACTNUMBER(V85),
EXTRACTNUMBER(X85),EXTRACTNUMBER(Z85),EXTRACTNUMBER(AB85),
EXTRACTNUMBER(AD85),EXTRACTNUMBER(AF85),EXTRACTNUMBER(AH85),EXTRACTNUMBER(AJ85)),"*"),SUM(EXTRACTNUMBER(D85),EXTRACTNUMBER(F85),
EXTRACTNUMBER(H85),EXTRACTNUMBER(J85),
EXTRACTNUMBER(L85),EXTRACTNUMBER(N85),
EXTRACTNUMBER(P85),EXTRACTNUMBER(R85),
EXTRACTNUMBER(T85),EXTRACTNUMBER(V85),
EXTRACTNUMBER(X85),EXTRACTNUMBER(Z85),EXTRACTNUMBER(AB85),
EXTRACTNUMBER(AD85),EXTRACTNUMBER(AF85),EXTRACTNUMBER(AH85),EXTRACTNUMBER(AJ85))))),SUM(EXTRACTNUMBER(D85),EXTRACTNUMBER(F85),
EXTRACTNUMBER(H85),EXTRACTNUMBER(J85),
EXTRACTNUMBER(L85),EXTRACTNUMBER(N85),
EXTRACTNUMBER(P85),EXTRACTNUMBER(R85),
EXTRACTNUMBER(T85),EXTRACTNUMBER(V85),
EXTRACTNUMBER(X85),EXTRACTNUMBER(Z85),EXTRACTNUMBER(AB85),
EXTRACTNUMBER(AD85),EXTRACTNUMBER(AF85),EXTRACTNUMBER(AH85),EXTRACTNUMBER(AJ85)))</f>
        <v>615</v>
      </c>
      <c r="AM85" s="72" t="s">
        <v>260</v>
      </c>
      <c r="AN85" s="11">
        <f t="shared" si="0"/>
        <v>1159</v>
      </c>
      <c r="AO85" s="11" t="str">
        <f t="shared" si="19"/>
        <v>PASS</v>
      </c>
      <c r="AP85" s="11" t="str">
        <f t="shared" si="1"/>
        <v>I</v>
      </c>
      <c r="AQ85" s="1" t="str">
        <f t="shared" si="20"/>
        <v xml:space="preserve">One Thousand One Hundred Fifty Nine </v>
      </c>
    </row>
    <row r="86" spans="2:43" ht="15.95" customHeight="1">
      <c r="B86" s="67">
        <v>136259</v>
      </c>
      <c r="C86" s="21" t="s">
        <v>82</v>
      </c>
      <c r="D86" s="24">
        <v>58</v>
      </c>
      <c r="E86" s="9" t="str">
        <f t="shared" si="2"/>
        <v/>
      </c>
      <c r="F86" s="22">
        <v>22</v>
      </c>
      <c r="G86" s="9" t="str">
        <f t="shared" si="3"/>
        <v/>
      </c>
      <c r="H86" s="22">
        <v>44</v>
      </c>
      <c r="I86" s="9" t="str">
        <f t="shared" si="4"/>
        <v/>
      </c>
      <c r="J86" s="29">
        <v>55</v>
      </c>
      <c r="K86" s="9" t="str">
        <f t="shared" si="5"/>
        <v/>
      </c>
      <c r="L86" s="22">
        <v>22</v>
      </c>
      <c r="M86" s="9" t="str">
        <f t="shared" si="6"/>
        <v/>
      </c>
      <c r="N86" s="22">
        <v>22</v>
      </c>
      <c r="O86" s="9" t="str">
        <f t="shared" si="7"/>
        <v/>
      </c>
      <c r="P86" s="29">
        <v>69</v>
      </c>
      <c r="Q86" s="9" t="str">
        <f t="shared" si="8"/>
        <v/>
      </c>
      <c r="R86" s="22">
        <v>22</v>
      </c>
      <c r="S86" s="9" t="str">
        <f t="shared" si="9"/>
        <v/>
      </c>
      <c r="T86" s="22">
        <v>44</v>
      </c>
      <c r="U86" s="9" t="str">
        <f t="shared" si="10"/>
        <v/>
      </c>
      <c r="V86" s="29">
        <v>54</v>
      </c>
      <c r="W86" s="9" t="str">
        <f t="shared" si="11"/>
        <v/>
      </c>
      <c r="X86" s="22">
        <v>22</v>
      </c>
      <c r="Y86" s="9" t="str">
        <f t="shared" si="12"/>
        <v/>
      </c>
      <c r="Z86" s="22">
        <v>22</v>
      </c>
      <c r="AA86" s="9" t="str">
        <f t="shared" si="13"/>
        <v/>
      </c>
      <c r="AB86" s="29">
        <v>52</v>
      </c>
      <c r="AC86" s="9" t="str">
        <f t="shared" si="14"/>
        <v/>
      </c>
      <c r="AD86" s="22">
        <v>22</v>
      </c>
      <c r="AE86" s="9" t="str">
        <f t="shared" si="15"/>
        <v/>
      </c>
      <c r="AF86" s="22">
        <v>21</v>
      </c>
      <c r="AG86" s="9" t="str">
        <f t="shared" si="16"/>
        <v/>
      </c>
      <c r="AH86" s="22">
        <v>21</v>
      </c>
      <c r="AI86" s="9" t="str">
        <f t="shared" si="17"/>
        <v/>
      </c>
      <c r="AJ86" s="22">
        <v>21</v>
      </c>
      <c r="AK86" s="9" t="str">
        <f t="shared" si="18"/>
        <v/>
      </c>
      <c r="AL86" s="16">
        <f>IF(OR(AND(D86&gt;=31,D86&lt;40),AND(J86&gt;=31,J86&lt;40),AND(P86&gt;=31,P86&lt;40),AND(V86&gt;=31,V86&lt;40),AND(AB86&gt;=31,AB86&lt;40)),IF(AND(OR(COUNTIF(D86:AK86,"=31")&gt;=1,COUNTIF(D86:AK86,"=32")&gt;=1,COUNTIF(D86:AK86,"=33")&gt;=1,COUNTIF(D86:AK86,"=34")&gt;=1,COUNTIF(D86:AK86,"=35")&gt;=1,COUNTIF(D86:AK86,"=36")&gt;=1 ),COUNTIF(D86:AK86,"")=0,COUNTIF(D86:AK86," ")=0,COUNTIF(D86:AK86,"F")=1),CONCATENATE(SUM(EXTRACTNUMBER(D86),EXTRACTNUMBER(F86),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EXTRACTNUMBER(AD86),EXTRACTNUMBER(AF86),EXTRACTNUMBER(AH86),EXTRACTNUMBER(AJ86)),"*"),IF(AND(COUNTIF(D86:AK86,"=34")&gt;=1,COUNTIF(D86:AK86,"=35")&gt;=1,COUNTIF(D86:AK86,"f")=2,COUNTIF(D86:AK86,"")=0,COUNTIF(D86:AK86," ")=0),CONCATENATE(SUM(EXTRACTNUMBER(D86),EXTRACTNUMBER(F86),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EXTRACTNUMBER(AD86),EXTRACTNUMBER(AF86),EXTRACTNUMBER(AH86),EXTRACTNUMBER(AJ86)),"*"),IF(AND(COUNTIF(D86:AK86,"=36")&gt;=2,COUNTIF(D86:AK86,"f")=2,COUNTIF(D86:AK86,"")=0,COUNTIF(D86:AK86," ")=0),CONCATENATE(SUM(EXTRACTNUMBER(D86),EXTRACTNUMBER(F86),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EXTRACTNUMBER(AD86),EXTRACTNUMBER(AF86),EXTRACTNUMBER(AH86),EXTRACTNUMBER(AJ86)),"*"),SUM(EXTRACTNUMBER(D86),EXTRACTNUMBER(F86),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EXTRACTNUMBER(AD86),EXTRACTNUMBER(AF86),EXTRACTNUMBER(AH86),EXTRACTNUMBER(AJ86))))),SUM(EXTRACTNUMBER(D86),EXTRACTNUMBER(F86),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EXTRACTNUMBER(AD86),EXTRACTNUMBER(AF86),EXTRACTNUMBER(AH86),EXTRACTNUMBER(AJ86)))</f>
        <v>593</v>
      </c>
      <c r="AM86" s="72" t="s">
        <v>261</v>
      </c>
      <c r="AN86" s="11">
        <f t="shared" si="0"/>
        <v>1105</v>
      </c>
      <c r="AO86" s="11" t="str">
        <f t="shared" si="19"/>
        <v>PASS</v>
      </c>
      <c r="AP86" s="11" t="str">
        <f t="shared" si="1"/>
        <v>I</v>
      </c>
      <c r="AQ86" s="1" t="str">
        <f t="shared" si="20"/>
        <v xml:space="preserve">One Thousand One Hundred Five </v>
      </c>
    </row>
    <row r="87" spans="2:43" ht="15.95" customHeight="1">
      <c r="B87" s="67">
        <v>136260</v>
      </c>
      <c r="C87" s="21" t="s">
        <v>83</v>
      </c>
      <c r="D87" s="24">
        <v>52</v>
      </c>
      <c r="E87" s="9" t="str">
        <f t="shared" si="2"/>
        <v/>
      </c>
      <c r="F87" s="22">
        <v>20</v>
      </c>
      <c r="G87" s="9" t="str">
        <f t="shared" si="3"/>
        <v/>
      </c>
      <c r="H87" s="22">
        <v>42</v>
      </c>
      <c r="I87" s="9" t="str">
        <f t="shared" si="4"/>
        <v/>
      </c>
      <c r="J87" s="29">
        <v>61</v>
      </c>
      <c r="K87" s="9" t="str">
        <f t="shared" si="5"/>
        <v/>
      </c>
      <c r="L87" s="22">
        <v>21</v>
      </c>
      <c r="M87" s="9" t="str">
        <f t="shared" si="6"/>
        <v/>
      </c>
      <c r="N87" s="22">
        <v>21</v>
      </c>
      <c r="O87" s="9" t="str">
        <f t="shared" si="7"/>
        <v/>
      </c>
      <c r="P87" s="29">
        <v>53</v>
      </c>
      <c r="Q87" s="9" t="str">
        <f t="shared" si="8"/>
        <v/>
      </c>
      <c r="R87" s="22">
        <v>21</v>
      </c>
      <c r="S87" s="9" t="str">
        <f t="shared" si="9"/>
        <v/>
      </c>
      <c r="T87" s="22">
        <v>42</v>
      </c>
      <c r="U87" s="9" t="str">
        <f t="shared" si="10"/>
        <v/>
      </c>
      <c r="V87" s="29">
        <v>47</v>
      </c>
      <c r="W87" s="9" t="str">
        <f t="shared" si="11"/>
        <v/>
      </c>
      <c r="X87" s="22">
        <v>21</v>
      </c>
      <c r="Y87" s="9" t="str">
        <f t="shared" si="12"/>
        <v/>
      </c>
      <c r="Z87" s="22">
        <v>21</v>
      </c>
      <c r="AA87" s="9" t="str">
        <f t="shared" si="13"/>
        <v/>
      </c>
      <c r="AB87" s="29">
        <v>46</v>
      </c>
      <c r="AC87" s="9" t="str">
        <f t="shared" si="14"/>
        <v/>
      </c>
      <c r="AD87" s="22">
        <v>21</v>
      </c>
      <c r="AE87" s="9" t="str">
        <f t="shared" si="15"/>
        <v/>
      </c>
      <c r="AF87" s="22">
        <v>20</v>
      </c>
      <c r="AG87" s="9" t="str">
        <f t="shared" si="16"/>
        <v/>
      </c>
      <c r="AH87" s="22">
        <v>21</v>
      </c>
      <c r="AI87" s="9" t="str">
        <f t="shared" si="17"/>
        <v/>
      </c>
      <c r="AJ87" s="22">
        <v>21</v>
      </c>
      <c r="AK87" s="9" t="str">
        <f t="shared" si="18"/>
        <v/>
      </c>
      <c r="AL87" s="16">
        <f>IF(OR(AND(D87&gt;=31,D87&lt;40),AND(J87&gt;=31,J87&lt;40),AND(P87&gt;=31,P87&lt;40),AND(V87&gt;=31,V87&lt;40),AND(AB87&gt;=31,AB87&lt;40)),IF(AND(OR(COUNTIF(D87:AK87,"=31")&gt;=1,COUNTIF(D87:AK87,"=32")&gt;=1,COUNTIF(D87:AK87,"=33")&gt;=1,COUNTIF(D87:AK87,"=34")&gt;=1,COUNTIF(D87:AK87,"=35")&gt;=1,COUNTIF(D87:AK87,"=36")&gt;=1 ),COUNTIF(D87:AK87,"")=0,COUNTIF(D87:AK87," ")=0,COUNTIF(D87:AK87,"F")=1),CONCATENATE(SUM(EXTRACTNUMBER(D87),EXTRACTNUMBER(F87),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EXTRACTNUMBER(AD87),EXTRACTNUMBER(AF87),EXTRACTNUMBER(AH87),EXTRACTNUMBER(AJ87)),"*"),IF(AND(COUNTIF(D87:AK87,"=34")&gt;=1,COUNTIF(D87:AK87,"=35")&gt;=1,COUNTIF(D87:AK87,"f")=2,COUNTIF(D87:AK87,"")=0,COUNTIF(D87:AK87," ")=0),CONCATENATE(SUM(EXTRACTNUMBER(D87),EXTRACTNUMBER(F87),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EXTRACTNUMBER(AD87),EXTRACTNUMBER(AF87),EXTRACTNUMBER(AH87),EXTRACTNUMBER(AJ87)),"*"),IF(AND(COUNTIF(D87:AK87,"=36")&gt;=2,COUNTIF(D87:AK87,"f")=2,COUNTIF(D87:AK87,"")=0,COUNTIF(D87:AK87," ")=0),CONCATENATE(SUM(EXTRACTNUMBER(D87),EXTRACTNUMBER(F87),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EXTRACTNUMBER(AD87),EXTRACTNUMBER(AF87),EXTRACTNUMBER(AH87),EXTRACTNUMBER(AJ87)),"*"),SUM(EXTRACTNUMBER(D87),EXTRACTNUMBER(F87),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EXTRACTNUMBER(AD87),EXTRACTNUMBER(AF87),EXTRACTNUMBER(AH87),EXTRACTNUMBER(AJ87))))),SUM(EXTRACTNUMBER(D87),EXTRACTNUMBER(F87),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EXTRACTNUMBER(AD87),EXTRACTNUMBER(AF87),EXTRACTNUMBER(AH87),EXTRACTNUMBER(AJ87)))</f>
        <v>551</v>
      </c>
      <c r="AM87" s="72" t="s">
        <v>262</v>
      </c>
      <c r="AN87" s="11">
        <f t="shared" si="0"/>
        <v>1040</v>
      </c>
      <c r="AO87" s="11" t="str">
        <f t="shared" si="19"/>
        <v>PASS</v>
      </c>
      <c r="AP87" s="11" t="str">
        <f t="shared" si="1"/>
        <v>I</v>
      </c>
      <c r="AQ87" s="1" t="str">
        <f t="shared" si="20"/>
        <v xml:space="preserve">One Thousand Forty  </v>
      </c>
    </row>
    <row r="88" spans="2:43" ht="15.95" customHeight="1">
      <c r="B88" s="67">
        <v>136261</v>
      </c>
      <c r="C88" s="21" t="s">
        <v>84</v>
      </c>
      <c r="D88" s="24">
        <v>45</v>
      </c>
      <c r="E88" s="9" t="str">
        <f t="shared" si="2"/>
        <v/>
      </c>
      <c r="F88" s="22">
        <v>22</v>
      </c>
      <c r="G88" s="9" t="str">
        <f t="shared" si="3"/>
        <v/>
      </c>
      <c r="H88" s="22">
        <v>44</v>
      </c>
      <c r="I88" s="9" t="str">
        <f t="shared" si="4"/>
        <v/>
      </c>
      <c r="J88" s="29">
        <v>52</v>
      </c>
      <c r="K88" s="9" t="str">
        <f t="shared" si="5"/>
        <v/>
      </c>
      <c r="L88" s="22">
        <v>22</v>
      </c>
      <c r="M88" s="9" t="str">
        <f t="shared" si="6"/>
        <v/>
      </c>
      <c r="N88" s="22">
        <v>22</v>
      </c>
      <c r="O88" s="9" t="str">
        <f t="shared" si="7"/>
        <v/>
      </c>
      <c r="P88" s="29">
        <v>57</v>
      </c>
      <c r="Q88" s="9" t="str">
        <f t="shared" si="8"/>
        <v/>
      </c>
      <c r="R88" s="22">
        <v>22</v>
      </c>
      <c r="S88" s="9" t="str">
        <f t="shared" si="9"/>
        <v/>
      </c>
      <c r="T88" s="22">
        <v>44</v>
      </c>
      <c r="U88" s="9" t="str">
        <f t="shared" si="10"/>
        <v/>
      </c>
      <c r="V88" s="29">
        <v>54</v>
      </c>
      <c r="W88" s="9" t="str">
        <f t="shared" si="11"/>
        <v/>
      </c>
      <c r="X88" s="22">
        <v>22</v>
      </c>
      <c r="Y88" s="9" t="str">
        <f t="shared" si="12"/>
        <v/>
      </c>
      <c r="Z88" s="22">
        <v>21</v>
      </c>
      <c r="AA88" s="9" t="str">
        <f t="shared" si="13"/>
        <v/>
      </c>
      <c r="AB88" s="29">
        <v>43</v>
      </c>
      <c r="AC88" s="9" t="str">
        <f t="shared" si="14"/>
        <v/>
      </c>
      <c r="AD88" s="22">
        <v>22</v>
      </c>
      <c r="AE88" s="9" t="str">
        <f t="shared" si="15"/>
        <v/>
      </c>
      <c r="AF88" s="22">
        <v>20</v>
      </c>
      <c r="AG88" s="9" t="str">
        <f t="shared" si="16"/>
        <v/>
      </c>
      <c r="AH88" s="22">
        <v>22</v>
      </c>
      <c r="AI88" s="9" t="str">
        <f t="shared" si="17"/>
        <v/>
      </c>
      <c r="AJ88" s="22">
        <v>22</v>
      </c>
      <c r="AK88" s="9" t="str">
        <f t="shared" si="18"/>
        <v/>
      </c>
      <c r="AL88" s="16">
        <f>IF(OR(AND(D88&gt;=31,D88&lt;40),AND(J88&gt;=31,J88&lt;40),AND(P88&gt;=31,P88&lt;40),AND(V88&gt;=31,V88&lt;40),AND(AB88&gt;=31,AB88&lt;40)),IF(AND(OR(COUNTIF(D88:AK88,"=31")&gt;=1,COUNTIF(D88:AK88,"=32")&gt;=1,COUNTIF(D88:AK88,"=33")&gt;=1,COUNTIF(D88:AK88,"=34")&gt;=1,COUNTIF(D88:AK88,"=35")&gt;=1,COUNTIF(D88:AK88,"=36")&gt;=1 ),COUNTIF(D88:AK88,"")=0,COUNTIF(D88:AK88," ")=0,COUNTIF(D88:AK88,"F")=1),CONCATENATE(SUM(EXTRACTNUMBER(D88),EXTRACTNUMBER(F88),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EXTRACTNUMBER(AD88),EXTRACTNUMBER(AF88),EXTRACTNUMBER(AH88),EXTRACTNUMBER(AJ88)),"*"),IF(AND(COUNTIF(D88:AK88,"=34")&gt;=1,COUNTIF(D88:AK88,"=35")&gt;=1,COUNTIF(D88:AK88,"f")=2,COUNTIF(D88:AK88,"")=0,COUNTIF(D88:AK88," ")=0),CONCATENATE(SUM(EXTRACTNUMBER(D88),EXTRACTNUMBER(F88),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EXTRACTNUMBER(AD88),EXTRACTNUMBER(AF88),EXTRACTNUMBER(AH88),EXTRACTNUMBER(AJ88)),"*"),IF(AND(COUNTIF(D88:AK88,"=36")&gt;=2,COUNTIF(D88:AK88,"f")=2,COUNTIF(D88:AK88,"")=0,COUNTIF(D88:AK88," ")=0),CONCATENATE(SUM(EXTRACTNUMBER(D88),EXTRACTNUMBER(F88),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EXTRACTNUMBER(AD88),EXTRACTNUMBER(AF88),EXTRACTNUMBER(AH88),EXTRACTNUMBER(AJ88)),"*"),SUM(EXTRACTNUMBER(D88),EXTRACTNUMBER(F88),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EXTRACTNUMBER(AD88),EXTRACTNUMBER(AF88),EXTRACTNUMBER(AH88),EXTRACTNUMBER(AJ88))))),SUM(EXTRACTNUMBER(D88),EXTRACTNUMBER(F88),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EXTRACTNUMBER(AD88),EXTRACTNUMBER(AF88),EXTRACTNUMBER(AH88),EXTRACTNUMBER(AJ88)))</f>
        <v>556</v>
      </c>
      <c r="AM88" s="72" t="s">
        <v>224</v>
      </c>
      <c r="AN88" s="11">
        <f t="shared" si="0"/>
        <v>1054</v>
      </c>
      <c r="AO88" s="11" t="str">
        <f t="shared" si="19"/>
        <v>PASS</v>
      </c>
      <c r="AP88" s="11" t="str">
        <f t="shared" si="1"/>
        <v>I</v>
      </c>
      <c r="AQ88" s="1" t="str">
        <f t="shared" si="20"/>
        <v xml:space="preserve">One Thousand Fifty Four </v>
      </c>
    </row>
    <row r="89" spans="2:43" ht="15.95" customHeight="1">
      <c r="B89" s="67">
        <v>136262</v>
      </c>
      <c r="C89" s="21" t="s">
        <v>85</v>
      </c>
      <c r="D89" s="24">
        <v>53</v>
      </c>
      <c r="E89" s="9" t="str">
        <f t="shared" si="2"/>
        <v/>
      </c>
      <c r="F89" s="22">
        <v>23</v>
      </c>
      <c r="G89" s="9" t="str">
        <f t="shared" si="3"/>
        <v/>
      </c>
      <c r="H89" s="22">
        <v>46</v>
      </c>
      <c r="I89" s="9" t="str">
        <f t="shared" si="4"/>
        <v/>
      </c>
      <c r="J89" s="29">
        <v>62</v>
      </c>
      <c r="K89" s="9" t="str">
        <f t="shared" si="5"/>
        <v/>
      </c>
      <c r="L89" s="22">
        <v>23</v>
      </c>
      <c r="M89" s="9" t="str">
        <f t="shared" si="6"/>
        <v/>
      </c>
      <c r="N89" s="22">
        <v>23</v>
      </c>
      <c r="O89" s="9" t="str">
        <f t="shared" si="7"/>
        <v/>
      </c>
      <c r="P89" s="29">
        <v>65</v>
      </c>
      <c r="Q89" s="9" t="str">
        <f t="shared" si="8"/>
        <v/>
      </c>
      <c r="R89" s="22">
        <v>22</v>
      </c>
      <c r="S89" s="9" t="str">
        <f t="shared" si="9"/>
        <v/>
      </c>
      <c r="T89" s="22">
        <v>46</v>
      </c>
      <c r="U89" s="9" t="str">
        <f t="shared" si="10"/>
        <v/>
      </c>
      <c r="V89" s="29">
        <v>59</v>
      </c>
      <c r="W89" s="9" t="str">
        <f t="shared" si="11"/>
        <v/>
      </c>
      <c r="X89" s="22">
        <v>22</v>
      </c>
      <c r="Y89" s="9" t="str">
        <f t="shared" si="12"/>
        <v/>
      </c>
      <c r="Z89" s="22">
        <v>21</v>
      </c>
      <c r="AA89" s="9" t="str">
        <f t="shared" si="13"/>
        <v/>
      </c>
      <c r="AB89" s="29">
        <v>55</v>
      </c>
      <c r="AC89" s="9" t="str">
        <f t="shared" si="14"/>
        <v/>
      </c>
      <c r="AD89" s="22">
        <v>22</v>
      </c>
      <c r="AE89" s="9" t="str">
        <f t="shared" si="15"/>
        <v/>
      </c>
      <c r="AF89" s="22">
        <v>21</v>
      </c>
      <c r="AG89" s="9" t="str">
        <f t="shared" si="16"/>
        <v/>
      </c>
      <c r="AH89" s="22">
        <v>22</v>
      </c>
      <c r="AI89" s="9" t="str">
        <f t="shared" si="17"/>
        <v/>
      </c>
      <c r="AJ89" s="22">
        <v>21</v>
      </c>
      <c r="AK89" s="9" t="str">
        <f t="shared" si="18"/>
        <v/>
      </c>
      <c r="AL89" s="16">
        <f>IF(OR(AND(D89&gt;=31,D89&lt;40),AND(J89&gt;=31,J89&lt;40),AND(P89&gt;=31,P89&lt;40),AND(V89&gt;=31,V89&lt;40),AND(AB89&gt;=31,AB89&lt;40)),IF(AND(OR(COUNTIF(D89:AK89,"=31")&gt;=1,COUNTIF(D89:AK89,"=32")&gt;=1,COUNTIF(D89:AK89,"=33")&gt;=1,COUNTIF(D89:AK89,"=34")&gt;=1,COUNTIF(D89:AK89,"=35")&gt;=1,COUNTIF(D89:AK89,"=36")&gt;=1 ),COUNTIF(D89:AK89,"")=0,COUNTIF(D89:AK89," ")=0,COUNTIF(D89:AK89,"F")=1),CONCATENATE(SUM(EXTRACTNUMBER(D89),EXTRACTNUMBER(F89),
EXTRACTNUMBER(H89),EXTRACTNUMBER(J89),
EXTRACTNUMBER(L89),EXTRACTNUMBER(N89),
EXTRACTNUMBER(P89),EXTRACTNUMBER(R89),
EXTRACTNUMBER(T89),EXTRACTNUMBER(V89),
EXTRACTNUMBER(X89),EXTRACTNUMBER(Z89),EXTRACTNUMBER(AB89),
EXTRACTNUMBER(AD89),EXTRACTNUMBER(AF89),EXTRACTNUMBER(AH89),EXTRACTNUMBER(AJ89)),"*"),IF(AND(COUNTIF(D89:AK89,"=34")&gt;=1,COUNTIF(D89:AK89,"=35")&gt;=1,COUNTIF(D89:AK89,"f")=2,COUNTIF(D89:AK89,"")=0,COUNTIF(D89:AK89," ")=0),CONCATENATE(SUM(EXTRACTNUMBER(D89),EXTRACTNUMBER(F89),
EXTRACTNUMBER(H89),EXTRACTNUMBER(J89),
EXTRACTNUMBER(L89),EXTRACTNUMBER(N89),
EXTRACTNUMBER(P89),EXTRACTNUMBER(R89),
EXTRACTNUMBER(T89),EXTRACTNUMBER(V89),
EXTRACTNUMBER(X89),EXTRACTNUMBER(Z89),EXTRACTNUMBER(AB89),
EXTRACTNUMBER(AD89),EXTRACTNUMBER(AF89),EXTRACTNUMBER(AH89),EXTRACTNUMBER(AJ89)),"*"),IF(AND(COUNTIF(D89:AK89,"=36")&gt;=2,COUNTIF(D89:AK89,"f")=2,COUNTIF(D89:AK89,"")=0,COUNTIF(D89:AK89," ")=0),CONCATENATE(SUM(EXTRACTNUMBER(D89),EXTRACTNUMBER(F89),
EXTRACTNUMBER(H89),EXTRACTNUMBER(J89),
EXTRACTNUMBER(L89),EXTRACTNUMBER(N89),
EXTRACTNUMBER(P89),EXTRACTNUMBER(R89),
EXTRACTNUMBER(T89),EXTRACTNUMBER(V89),
EXTRACTNUMBER(X89),EXTRACTNUMBER(Z89),EXTRACTNUMBER(AB89),
EXTRACTNUMBER(AD89),EXTRACTNUMBER(AF89),EXTRACTNUMBER(AH89),EXTRACTNUMBER(AJ89)),"*"),SUM(EXTRACTNUMBER(D89),EXTRACTNUMBER(F89),
EXTRACTNUMBER(H89),EXTRACTNUMBER(J89),
EXTRACTNUMBER(L89),EXTRACTNUMBER(N89),
EXTRACTNUMBER(P89),EXTRACTNUMBER(R89),
EXTRACTNUMBER(T89),EXTRACTNUMBER(V89),
EXTRACTNUMBER(X89),EXTRACTNUMBER(Z89),EXTRACTNUMBER(AB89),
EXTRACTNUMBER(AD89),EXTRACTNUMBER(AF89),EXTRACTNUMBER(AH89),EXTRACTNUMBER(AJ89))))),SUM(EXTRACTNUMBER(D89),EXTRACTNUMBER(F89),
EXTRACTNUMBER(H89),EXTRACTNUMBER(J89),
EXTRACTNUMBER(L89),EXTRACTNUMBER(N89),
EXTRACTNUMBER(P89),EXTRACTNUMBER(R89),
EXTRACTNUMBER(T89),EXTRACTNUMBER(V89),
EXTRACTNUMBER(X89),EXTRACTNUMBER(Z89),EXTRACTNUMBER(AB89),
EXTRACTNUMBER(AD89),EXTRACTNUMBER(AF89),EXTRACTNUMBER(AH89),EXTRACTNUMBER(AJ89)))</f>
        <v>606</v>
      </c>
      <c r="AM89" s="72" t="s">
        <v>233</v>
      </c>
      <c r="AN89" s="11">
        <f t="shared" si="0"/>
        <v>1197</v>
      </c>
      <c r="AO89" s="11" t="str">
        <f t="shared" si="19"/>
        <v>PASS</v>
      </c>
      <c r="AP89" s="11" t="str">
        <f t="shared" si="1"/>
        <v>I</v>
      </c>
      <c r="AQ89" s="1" t="str">
        <f t="shared" si="20"/>
        <v xml:space="preserve">One Thousand One Hundred NinetySeven </v>
      </c>
    </row>
    <row r="90" spans="2:43" ht="15.95" customHeight="1">
      <c r="B90" s="67">
        <v>136263</v>
      </c>
      <c r="C90" s="21" t="s">
        <v>86</v>
      </c>
      <c r="D90" s="24">
        <v>41</v>
      </c>
      <c r="E90" s="9" t="str">
        <f t="shared" si="2"/>
        <v/>
      </c>
      <c r="F90" s="22">
        <v>20</v>
      </c>
      <c r="G90" s="9" t="str">
        <f t="shared" si="3"/>
        <v/>
      </c>
      <c r="H90" s="22">
        <v>42</v>
      </c>
      <c r="I90" s="9" t="str">
        <f t="shared" si="4"/>
        <v/>
      </c>
      <c r="J90" s="29">
        <v>43</v>
      </c>
      <c r="K90" s="9" t="str">
        <f t="shared" si="5"/>
        <v/>
      </c>
      <c r="L90" s="22">
        <v>20</v>
      </c>
      <c r="M90" s="9" t="str">
        <f t="shared" si="6"/>
        <v/>
      </c>
      <c r="N90" s="22">
        <v>21</v>
      </c>
      <c r="O90" s="9" t="str">
        <f t="shared" si="7"/>
        <v/>
      </c>
      <c r="P90" s="29">
        <v>67</v>
      </c>
      <c r="Q90" s="9" t="str">
        <f t="shared" si="8"/>
        <v/>
      </c>
      <c r="R90" s="22">
        <v>20</v>
      </c>
      <c r="S90" s="9" t="str">
        <f t="shared" si="9"/>
        <v/>
      </c>
      <c r="T90" s="22">
        <v>42</v>
      </c>
      <c r="U90" s="9" t="str">
        <f t="shared" si="10"/>
        <v/>
      </c>
      <c r="V90" s="29">
        <v>52</v>
      </c>
      <c r="W90" s="9" t="str">
        <f t="shared" si="11"/>
        <v/>
      </c>
      <c r="X90" s="22">
        <v>20</v>
      </c>
      <c r="Y90" s="9" t="str">
        <f t="shared" si="12"/>
        <v/>
      </c>
      <c r="Z90" s="22">
        <v>20</v>
      </c>
      <c r="AA90" s="9" t="str">
        <f t="shared" si="13"/>
        <v/>
      </c>
      <c r="AB90" s="29">
        <v>45</v>
      </c>
      <c r="AC90" s="9" t="str">
        <f t="shared" si="14"/>
        <v/>
      </c>
      <c r="AD90" s="22">
        <v>20</v>
      </c>
      <c r="AE90" s="9" t="str">
        <f t="shared" si="15"/>
        <v/>
      </c>
      <c r="AF90" s="22">
        <v>18</v>
      </c>
      <c r="AG90" s="9" t="str">
        <f t="shared" si="16"/>
        <v/>
      </c>
      <c r="AH90" s="22">
        <v>20</v>
      </c>
      <c r="AI90" s="9" t="str">
        <f t="shared" si="17"/>
        <v/>
      </c>
      <c r="AJ90" s="22">
        <v>21</v>
      </c>
      <c r="AK90" s="9" t="str">
        <f t="shared" si="18"/>
        <v/>
      </c>
      <c r="AL90" s="16">
        <f>IF(OR(AND(D90&gt;=31,D90&lt;40),AND(J90&gt;=31,J90&lt;40),AND(P90&gt;=31,P90&lt;40),AND(V90&gt;=31,V90&lt;40),AND(AB90&gt;=31,AB90&lt;40)),IF(AND(OR(COUNTIF(D90:AK90,"=31")&gt;=1,COUNTIF(D90:AK90,"=32")&gt;=1,COUNTIF(D90:AK90,"=33")&gt;=1,COUNTIF(D90:AK90,"=34")&gt;=1,COUNTIF(D90:AK90,"=35")&gt;=1,COUNTIF(D90:AK90,"=36")&gt;=1 ),COUNTIF(D90:AK90,"")=0,COUNTIF(D90:AK90," ")=0,COUNTIF(D90:AK90,"F")=1),CONCATENATE(SUM(EXTRACTNUMBER(D90),EXTRACTNUMBER(F90),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EXTRACTNUMBER(AD90),EXTRACTNUMBER(AF90),EXTRACTNUMBER(AH90),EXTRACTNUMBER(AJ90)),"*"),IF(AND(COUNTIF(D90:AK90,"=34")&gt;=1,COUNTIF(D90:AK90,"=35")&gt;=1,COUNTIF(D90:AK90,"f")=2,COUNTIF(D90:AK90,"")=0,COUNTIF(D90:AK90," ")=0),CONCATENATE(SUM(EXTRACTNUMBER(D90),EXTRACTNUMBER(F90),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EXTRACTNUMBER(AD90),EXTRACTNUMBER(AF90),EXTRACTNUMBER(AH90),EXTRACTNUMBER(AJ90)),"*"),IF(AND(COUNTIF(D90:AK90,"=36")&gt;=2,COUNTIF(D90:AK90,"f")=2,COUNTIF(D90:AK90,"")=0,COUNTIF(D90:AK90," ")=0),CONCATENATE(SUM(EXTRACTNUMBER(D90),EXTRACTNUMBER(F90),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EXTRACTNUMBER(AD90),EXTRACTNUMBER(AF90),EXTRACTNUMBER(AH90),EXTRACTNUMBER(AJ90)),"*"),SUM(EXTRACTNUMBER(D90),EXTRACTNUMBER(F90),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EXTRACTNUMBER(AD90),EXTRACTNUMBER(AF90),EXTRACTNUMBER(AH90),EXTRACTNUMBER(AJ90))))),SUM(EXTRACTNUMBER(D90),EXTRACTNUMBER(F90),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EXTRACTNUMBER(AD90),EXTRACTNUMBER(AF90),EXTRACTNUMBER(AH90),EXTRACTNUMBER(AJ90)))</f>
        <v>532</v>
      </c>
      <c r="AM90" s="72" t="s">
        <v>263</v>
      </c>
      <c r="AN90" s="11">
        <f t="shared" si="0"/>
        <v>1048</v>
      </c>
      <c r="AO90" s="11" t="str">
        <f t="shared" si="19"/>
        <v>PASS</v>
      </c>
      <c r="AP90" s="11" t="str">
        <f t="shared" si="1"/>
        <v>I</v>
      </c>
      <c r="AQ90" s="1" t="str">
        <f t="shared" si="20"/>
        <v xml:space="preserve">One Thousand Forty Eight </v>
      </c>
    </row>
    <row r="91" spans="2:43" ht="15.95" customHeight="1">
      <c r="B91" s="67">
        <v>136264</v>
      </c>
      <c r="C91" s="21" t="s">
        <v>87</v>
      </c>
      <c r="D91" s="24">
        <v>57</v>
      </c>
      <c r="E91" s="9" t="str">
        <f t="shared" si="2"/>
        <v/>
      </c>
      <c r="F91" s="22">
        <v>23</v>
      </c>
      <c r="G91" s="9" t="str">
        <f t="shared" si="3"/>
        <v/>
      </c>
      <c r="H91" s="22">
        <v>40</v>
      </c>
      <c r="I91" s="9" t="str">
        <f t="shared" si="4"/>
        <v/>
      </c>
      <c r="J91" s="29">
        <v>42</v>
      </c>
      <c r="K91" s="9" t="str">
        <f t="shared" si="5"/>
        <v/>
      </c>
      <c r="L91" s="22">
        <v>23</v>
      </c>
      <c r="M91" s="9" t="str">
        <f t="shared" si="6"/>
        <v/>
      </c>
      <c r="N91" s="22">
        <v>20</v>
      </c>
      <c r="O91" s="9" t="str">
        <f t="shared" si="7"/>
        <v/>
      </c>
      <c r="P91" s="29">
        <v>51</v>
      </c>
      <c r="Q91" s="9" t="str">
        <f t="shared" si="8"/>
        <v/>
      </c>
      <c r="R91" s="22">
        <v>23</v>
      </c>
      <c r="S91" s="9" t="str">
        <f t="shared" si="9"/>
        <v/>
      </c>
      <c r="T91" s="22">
        <v>40</v>
      </c>
      <c r="U91" s="9" t="str">
        <f t="shared" si="10"/>
        <v/>
      </c>
      <c r="V91" s="29">
        <v>53</v>
      </c>
      <c r="W91" s="9" t="str">
        <f t="shared" si="11"/>
        <v/>
      </c>
      <c r="X91" s="22">
        <v>23</v>
      </c>
      <c r="Y91" s="9" t="str">
        <f t="shared" si="12"/>
        <v/>
      </c>
      <c r="Z91" s="22">
        <v>22</v>
      </c>
      <c r="AA91" s="9" t="str">
        <f t="shared" si="13"/>
        <v/>
      </c>
      <c r="AB91" s="29">
        <v>41</v>
      </c>
      <c r="AC91" s="9" t="str">
        <f t="shared" si="14"/>
        <v/>
      </c>
      <c r="AD91" s="22">
        <v>23</v>
      </c>
      <c r="AE91" s="9" t="str">
        <f t="shared" si="15"/>
        <v/>
      </c>
      <c r="AF91" s="22">
        <v>18</v>
      </c>
      <c r="AG91" s="9" t="str">
        <f t="shared" si="16"/>
        <v/>
      </c>
      <c r="AH91" s="22">
        <v>23</v>
      </c>
      <c r="AI91" s="9" t="str">
        <f t="shared" si="17"/>
        <v/>
      </c>
      <c r="AJ91" s="22">
        <v>20</v>
      </c>
      <c r="AK91" s="9" t="str">
        <f t="shared" si="18"/>
        <v/>
      </c>
      <c r="AL91" s="16">
        <f>IF(OR(AND(D91&gt;=31,D91&lt;40),AND(J91&gt;=31,J91&lt;40),AND(P91&gt;=31,P91&lt;40),AND(V91&gt;=31,V91&lt;40),AND(AB91&gt;=31,AB91&lt;40)),IF(AND(OR(COUNTIF(D91:AK91,"=31")&gt;=1,COUNTIF(D91:AK91,"=32")&gt;=1,COUNTIF(D91:AK91,"=33")&gt;=1,COUNTIF(D91:AK91,"=34")&gt;=1,COUNTIF(D91:AK91,"=35")&gt;=1,COUNTIF(D91:AK91,"=36")&gt;=1 ),COUNTIF(D91:AK91,"")=0,COUNTIF(D91:AK91," ")=0,COUNTIF(D91:AK91,"F")=1),CONCATENATE(SUM(EXTRACTNUMBER(D91),EXTRACTNUMBER(F91),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EXTRACTNUMBER(AD91),EXTRACTNUMBER(AF91),EXTRACTNUMBER(AH91),EXTRACTNUMBER(AJ91)),"*"),IF(AND(COUNTIF(D91:AK91,"=34")&gt;=1,COUNTIF(D91:AK91,"=35")&gt;=1,COUNTIF(D91:AK91,"f")=2,COUNTIF(D91:AK91,"")=0,COUNTIF(D91:AK91," ")=0),CONCATENATE(SUM(EXTRACTNUMBER(D91),EXTRACTNUMBER(F91),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EXTRACTNUMBER(AD91),EXTRACTNUMBER(AF91),EXTRACTNUMBER(AH91),EXTRACTNUMBER(AJ91)),"*"),IF(AND(COUNTIF(D91:AK91,"=36")&gt;=2,COUNTIF(D91:AK91,"f")=2,COUNTIF(D91:AK91,"")=0,COUNTIF(D91:AK91," ")=0),CONCATENATE(SUM(EXTRACTNUMBER(D91),EXTRACTNUMBER(F91),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EXTRACTNUMBER(AD91),EXTRACTNUMBER(AF91),EXTRACTNUMBER(AH91),EXTRACTNUMBER(AJ91)),"*"),SUM(EXTRACTNUMBER(D91),EXTRACTNUMBER(F91),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EXTRACTNUMBER(AD91),EXTRACTNUMBER(AF91),EXTRACTNUMBER(AH91),EXTRACTNUMBER(AJ91))))),SUM(EXTRACTNUMBER(D91),EXTRACTNUMBER(F91),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EXTRACTNUMBER(AD91),EXTRACTNUMBER(AF91),EXTRACTNUMBER(AH91),EXTRACTNUMBER(AJ91)))</f>
        <v>542</v>
      </c>
      <c r="AM91" s="72" t="s">
        <v>264</v>
      </c>
      <c r="AN91" s="11">
        <f t="shared" si="0"/>
        <v>1087</v>
      </c>
      <c r="AO91" s="11" t="str">
        <f t="shared" si="19"/>
        <v>PASS</v>
      </c>
      <c r="AP91" s="11" t="str">
        <f t="shared" si="1"/>
        <v>I</v>
      </c>
      <c r="AQ91" s="1" t="str">
        <f t="shared" si="20"/>
        <v xml:space="preserve">One Thousand Eighty Seven </v>
      </c>
    </row>
    <row r="92" spans="2:43" ht="15.95" customHeight="1">
      <c r="B92" s="67">
        <v>136265</v>
      </c>
      <c r="C92" s="21" t="s">
        <v>88</v>
      </c>
      <c r="D92" s="24">
        <v>51</v>
      </c>
      <c r="E92" s="9" t="str">
        <f t="shared" si="2"/>
        <v/>
      </c>
      <c r="F92" s="22">
        <v>22</v>
      </c>
      <c r="G92" s="9" t="str">
        <f t="shared" si="3"/>
        <v/>
      </c>
      <c r="H92" s="22">
        <v>44</v>
      </c>
      <c r="I92" s="9" t="str">
        <f t="shared" si="4"/>
        <v/>
      </c>
      <c r="J92" s="29">
        <v>55</v>
      </c>
      <c r="K92" s="9" t="str">
        <f t="shared" si="5"/>
        <v/>
      </c>
      <c r="L92" s="22">
        <v>23</v>
      </c>
      <c r="M92" s="9" t="str">
        <f t="shared" si="6"/>
        <v/>
      </c>
      <c r="N92" s="22">
        <v>21</v>
      </c>
      <c r="O92" s="9" t="str">
        <f t="shared" si="7"/>
        <v/>
      </c>
      <c r="P92" s="29">
        <v>63</v>
      </c>
      <c r="Q92" s="9" t="str">
        <f t="shared" si="8"/>
        <v/>
      </c>
      <c r="R92" s="22">
        <v>23</v>
      </c>
      <c r="S92" s="9" t="str">
        <f t="shared" si="9"/>
        <v/>
      </c>
      <c r="T92" s="22">
        <v>42</v>
      </c>
      <c r="U92" s="9" t="str">
        <f t="shared" si="10"/>
        <v/>
      </c>
      <c r="V92" s="29">
        <v>65</v>
      </c>
      <c r="W92" s="9" t="str">
        <f t="shared" si="11"/>
        <v/>
      </c>
      <c r="X92" s="22">
        <v>23</v>
      </c>
      <c r="Y92" s="9" t="str">
        <f t="shared" si="12"/>
        <v/>
      </c>
      <c r="Z92" s="22">
        <v>22</v>
      </c>
      <c r="AA92" s="9" t="str">
        <f t="shared" si="13"/>
        <v/>
      </c>
      <c r="AB92" s="29">
        <v>51</v>
      </c>
      <c r="AC92" s="9" t="str">
        <f t="shared" si="14"/>
        <v/>
      </c>
      <c r="AD92" s="22">
        <v>23</v>
      </c>
      <c r="AE92" s="9" t="str">
        <f t="shared" si="15"/>
        <v/>
      </c>
      <c r="AF92" s="22">
        <v>21</v>
      </c>
      <c r="AG92" s="9" t="str">
        <f t="shared" si="16"/>
        <v/>
      </c>
      <c r="AH92" s="22">
        <v>22</v>
      </c>
      <c r="AI92" s="9" t="str">
        <f t="shared" si="17"/>
        <v/>
      </c>
      <c r="AJ92" s="22">
        <v>22</v>
      </c>
      <c r="AK92" s="9" t="str">
        <f t="shared" si="18"/>
        <v/>
      </c>
      <c r="AL92" s="16">
        <f>IF(OR(AND(D92&gt;=31,D92&lt;40),AND(J92&gt;=31,J92&lt;40),AND(P92&gt;=31,P92&lt;40),AND(V92&gt;=31,V92&lt;40),AND(AB92&gt;=31,AB92&lt;40)),IF(AND(OR(COUNTIF(D92:AK92,"=31")&gt;=1,COUNTIF(D92:AK92,"=32")&gt;=1,COUNTIF(D92:AK92,"=33")&gt;=1,COUNTIF(D92:AK92,"=34")&gt;=1,COUNTIF(D92:AK92,"=35")&gt;=1,COUNTIF(D92:AK92,"=36")&gt;=1 ),COUNTIF(D92:AK92,"")=0,COUNTIF(D92:AK92," ")=0,COUNTIF(D92:AK92,"F")=1),CONCATENATE(SUM(EXTRACTNUMBER(D92),EXTRACTNUMBER(F92),
EXTRACTNUMBER(H92),EXTRACTNUMBER(J92),
EXTRACTNUMBER(L92),EXTRACTNUMBER(N92),
EXTRACTNUMBER(P92),EXTRACTNUMBER(R92),
EXTRACTNUMBER(T92),EXTRACTNUMBER(V92),
EXTRACTNUMBER(X92),EXTRACTNUMBER(Z92),EXTRACTNUMBER(AB92),
EXTRACTNUMBER(AD92),EXTRACTNUMBER(AF92),EXTRACTNUMBER(AH92),EXTRACTNUMBER(AJ92)),"*"),IF(AND(COUNTIF(D92:AK92,"=34")&gt;=1,COUNTIF(D92:AK92,"=35")&gt;=1,COUNTIF(D92:AK92,"f")=2,COUNTIF(D92:AK92,"")=0,COUNTIF(D92:AK92," ")=0),CONCATENATE(SUM(EXTRACTNUMBER(D92),EXTRACTNUMBER(F92),
EXTRACTNUMBER(H92),EXTRACTNUMBER(J92),
EXTRACTNUMBER(L92),EXTRACTNUMBER(N92),
EXTRACTNUMBER(P92),EXTRACTNUMBER(R92),
EXTRACTNUMBER(T92),EXTRACTNUMBER(V92),
EXTRACTNUMBER(X92),EXTRACTNUMBER(Z92),EXTRACTNUMBER(AB92),
EXTRACTNUMBER(AD92),EXTRACTNUMBER(AF92),EXTRACTNUMBER(AH92),EXTRACTNUMBER(AJ92)),"*"),IF(AND(COUNTIF(D92:AK92,"=36")&gt;=2,COUNTIF(D92:AK92,"f")=2,COUNTIF(D92:AK92,"")=0,COUNTIF(D92:AK92," ")=0),CONCATENATE(SUM(EXTRACTNUMBER(D92),EXTRACTNUMBER(F92),
EXTRACTNUMBER(H92),EXTRACTNUMBER(J92),
EXTRACTNUMBER(L92),EXTRACTNUMBER(N92),
EXTRACTNUMBER(P92),EXTRACTNUMBER(R92),
EXTRACTNUMBER(T92),EXTRACTNUMBER(V92),
EXTRACTNUMBER(X92),EXTRACTNUMBER(Z92),EXTRACTNUMBER(AB92),
EXTRACTNUMBER(AD92),EXTRACTNUMBER(AF92),EXTRACTNUMBER(AH92),EXTRACTNUMBER(AJ92)),"*"),SUM(EXTRACTNUMBER(D92),EXTRACTNUMBER(F92),
EXTRACTNUMBER(H92),EXTRACTNUMBER(J92),
EXTRACTNUMBER(L92),EXTRACTNUMBER(N92),
EXTRACTNUMBER(P92),EXTRACTNUMBER(R92),
EXTRACTNUMBER(T92),EXTRACTNUMBER(V92),
EXTRACTNUMBER(X92),EXTRACTNUMBER(Z92),EXTRACTNUMBER(AB92),
EXTRACTNUMBER(AD92),EXTRACTNUMBER(AF92),EXTRACTNUMBER(AH92),EXTRACTNUMBER(AJ92))))),SUM(EXTRACTNUMBER(D92),EXTRACTNUMBER(F92),
EXTRACTNUMBER(H92),EXTRACTNUMBER(J92),
EXTRACTNUMBER(L92),EXTRACTNUMBER(N92),
EXTRACTNUMBER(P92),EXTRACTNUMBER(R92),
EXTRACTNUMBER(T92),EXTRACTNUMBER(V92),
EXTRACTNUMBER(X92),EXTRACTNUMBER(Z92),EXTRACTNUMBER(AB92),
EXTRACTNUMBER(AD92),EXTRACTNUMBER(AF92),EXTRACTNUMBER(AH92),EXTRACTNUMBER(AJ92)))</f>
        <v>593</v>
      </c>
      <c r="AM92" s="72" t="s">
        <v>248</v>
      </c>
      <c r="AN92" s="11">
        <f t="shared" ref="AN92:AN155" si="21">IF(IFERROR(FIND("x",AM92),0),SUM(EXTRACTNUMBER(AL92),EXTRACTNUMBER(AM92)),IF(AND(SUM(EXTRACTNUMBER(AL92),EXTRACTNUMBER(AM92))&gt;1009,        SUM(EXTRACTNUMBER(AL92),EXTRACTNUMBER(AM92))&lt;1020),
CONCATENATE(SUM(EXTRACTNUMBER(AL92),EXTRACTNUMBER(AM92)),"@",1020-SUM(EXTRACTNUMBER(AL92),EXTRACTNUMBER(AM92))),
IF(AND(SUM(EXTRACTNUMBER(AL92),EXTRACTNUMBER(AM92))&gt;839,   SUM(EXTRACTNUMBER(AL92),EXTRACTNUMBER(AM92))&lt;850),CONCATENATE(SUM(EXTRACTNUMBER(AL92),EXTRACTNUMBER(AM92)),"@",850-SUM(EXTRACTNUMBER(AL92),EXTRACTNUMBER(AM92))),
IF(AND(SUM(EXTRACTNUMBER(AL92),EXTRACTNUMBER(AM92))&gt;669,        SUM(EXTRACTNUMBER(AL92),EXTRACTNUMBER(AM92))&lt;680),
CONCATENATE(SUM(EXTRACTNUMBER(AL92),EXTRACTNUMBER(AM92)),"@",680-SUM(EXTRACTNUMBER(AL92),EXTRACTNUMBER(AM92))),
SUM(EXTRACTNUMBER(AL92),EXTRACTNUMBER(AM92))))))</f>
        <v>1126</v>
      </c>
      <c r="AO92" s="11" t="str">
        <f t="shared" si="19"/>
        <v>PASS</v>
      </c>
      <c r="AP92" s="11" t="str">
        <f t="shared" ref="AP92:AP155" si="22">IF(AO92="ABSENT","AB",IF(AO92="FAIL","--",
IF(AM92=0,"RS 5",
IF(AND(SUM(EXTRACTNUMBER(AL92),EXTRACTNUMBER(AM92))&gt;=1010,
        NOT(IFERROR(FIND("x",AL92),0)),
        NOT(IFERROR(FIND("x",AM92),0))),"I",
IF(AND(SUM(EXTRACTNUMBER(AL92),EXTRACTNUMBER(AM92))&gt;=850,
      SUM(EXTRACTNUMBER(AL92),EXTRACTNUMBER(AM92))&lt;1010,
      NOT(IFERROR(FIND("x",AL92),0)),
      NOT(IFERROR(FIND("x",AM92),0))),"II",
IF(OR(AND(SUM(EXTRACTNUMBER(AL92),EXTRACTNUMBER(AM92))&lt;850,
SUM(EXTRACTNUMBER(AL92),EXTRACTNUMBER(AM92))&gt;=670),
IFERROR(FIND("x",AL92),0),IFERROR(FIND("x",AM92),0)),"P","--"))))))</f>
        <v>I</v>
      </c>
      <c r="AQ92" s="1" t="str">
        <f t="shared" si="20"/>
        <v xml:space="preserve">One Thousand One Hundred Twenty Six </v>
      </c>
    </row>
    <row r="93" spans="2:43" ht="15.95" customHeight="1">
      <c r="B93" s="67">
        <v>136266</v>
      </c>
      <c r="C93" s="21" t="s">
        <v>89</v>
      </c>
      <c r="D93" s="24">
        <v>58</v>
      </c>
      <c r="E93" s="9" t="str">
        <f t="shared" ref="E93:E156" si="23">IF(IFERROR(FIND("+",D93),0)," ",
IF(D93="AB","",
IF(D93&lt;$D$27,"F",
IF(AND(D93&gt;=$D$27,F93&gt;=$F$27,H93&gt;=$H$27,
J93&gt;=$J$27,L93&gt;=$L$27,
N93&gt;=$N$27,P93&gt;=$P$27,R93&gt;=$R$27,T93&gt;=$T$27,V93&gt;=$V$27,
X93&gt;=$X$27,Z93&gt;=$Z$27,AB93&gt;=$AB$27,AD93&gt;=$AD$27,AF93&gt;=$AF$27,
AH93&gt;=$AH$27,AJ93&gt;=$AJ$27,D93&lt;&gt;"AB",F93&lt;&gt;"AB",H93&lt;&gt;"AB",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F93" s="22">
        <v>21</v>
      </c>
      <c r="G93" s="9" t="str">
        <f t="shared" ref="G93:G156" si="24">IF(IFERROR(FIND("+",F93),0)," ",
IF(F93="AB","",
IF(F93&lt;$F$27,"F",
IF(AND(D93&gt;=$D$27,F93&gt;=$F$27,H93&gt;=$H$27,
J93&gt;=$J$27,L93&gt;=$L$27,
N93&gt;=$N$27,P93&gt;=$P$27,R93&gt;=$R$27,T93&gt;=$T$27,V93&gt;=$V$27,
X93&gt;=$X$27,Z93&gt;=$Z$27,AB93&gt;=$AB$27,AD93&gt;=$AD$27,AF93&gt;=$AF$27,
AH93&gt;=$AH$27,AJ93&gt;=$AJ$27,D93&lt;&gt;"AB",F93&lt;&gt;"AB",H93&lt;&gt;"AB",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H93" s="22">
        <v>44</v>
      </c>
      <c r="I93" s="9" t="str">
        <f t="shared" ref="I93:I156" si="25">IF(IFERROR(FIND("+",H93),0)," ",
IF(H93="AB","",
IF(H93&lt;$H$27,"F",
IF(AND(D93&gt;=$D$27,F93&gt;=$F$27,H93&gt;=$H$27,
J93&gt;=$J$27,L93&gt;=$L$27,
N93&gt;=$N$27,P93&gt;=$P$27,R93&gt;=$R$27,T93&gt;=$T$27,V93&gt;=$V$27,
X93&gt;=$X$27,Z93&gt;=$Z$27,AB93&gt;=$AB$27,AD93&gt;=$AD$27,AF93&gt;=$AF$27,
AH93&gt;=$AH$27,AJ93&gt;=$AJ$27,D93&lt;&gt;"AB",F93&lt;&gt;"AB",H93&lt;&gt;"AB",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J93" s="29">
        <v>52</v>
      </c>
      <c r="K93" s="9" t="str">
        <f t="shared" ref="K93:K156" si="26">IF(IFERROR(FIND("+",J93),0)," ",
IF(J93="AB","",
IF(J93&lt;$J$27,"F",
IF(AND(D93&gt;=$D$27,F93&gt;=$F$27,H93&gt;=$H$27,
J93&gt;=$J$27,L93&gt;=$L$27,
N93&gt;=$N$27,P93&gt;=$P$27,R93&gt;=$R$27,T93&gt;=$T$27,V93&gt;=$V$27,
X93&gt;=$X$27,Z93&gt;=$Z$27,AB93&gt;=$AB$27,AD93&gt;=$AD$27,AF93&gt;=$AF$27,
AH93&gt;=$AH$27,AJ93&gt;=$AJ$27,D93&lt;&gt;"AB",F93&lt;&gt;"AB",H93&lt;&gt;"AB",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L93" s="22">
        <v>21</v>
      </c>
      <c r="M93" s="9" t="str">
        <f t="shared" ref="M93:M156" si="27">IF(IFERROR(FIND("+",L93),0)," ",
IF(L93="AB","",
IF(L93&lt;$L$27,"F",
IF(AND(D93&gt;=$D$27,F93&gt;=$F$27,H93&gt;=$H$27,
J93&gt;=$J$27,L93&gt;=$L$27,
N93&gt;=$N$27,P93&gt;=$P$27,R93&gt;=$R$27,T93&gt;=$T$27,V93&gt;=$V$27,
X93&gt;=$X$27,Z93&gt;=$Z$27,AB93&gt;=$AB$27,AD93&gt;=$AD$27,AF93&gt;=$AF$27,
AH93&gt;=$AH$27,AJ93&gt;=$AJ$27,D93&lt;&gt;"AB",F93&lt;&gt;"AB",H93&lt;&gt;"AB",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N93" s="22">
        <v>22</v>
      </c>
      <c r="O93" s="9" t="str">
        <f t="shared" ref="O93:O156" si="28">IF(IFERROR(FIND("+",N93),0)," ",
IF(N93="AB","",
IF(N93&lt;$N$27,"F",
IF(AND(D93&gt;=$D$27,F93&gt;=$F$27,H93&gt;=$H$27,
J93&gt;=$J$27,L93&gt;=$L$27,
N93&gt;=$N$27,P93&gt;=$P$27,R93&gt;=$R$27,T93&gt;=$T$27,V93&gt;=$V$27,
X93&gt;=$X$27,Z93&gt;=$Z$27,AB93&gt;=$AB$27,AD93&gt;=$AD$27,AF93&gt;=$AF$27,
AH93&gt;=$AH$27,AJ93&gt;=$AJ$27,D93&lt;&gt;"AB",F93&lt;&gt;"AB",H93&lt;&gt;"AB",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P93" s="29">
        <v>51</v>
      </c>
      <c r="Q93" s="9" t="str">
        <f t="shared" ref="Q93:Q156" si="29">IF(IFERROR(FIND("+",P93),0)," ",
IF(P93="AB","",
IF(P93&lt;$P$27,"F",
IF(AND(D93&gt;=$D$27,F93&gt;=$F$27,H93&gt;=$H$27,
J93&gt;=$J$27,L93&gt;=$L$27,
N93&gt;=$N$27,P93&gt;=$P$27,R93&gt;=$R$27,T93&gt;=$T$27,V93&gt;=$V$27,
X93&gt;=$X$27,Z93&gt;=$Z$27,AB93&gt;=$AB$27,AD93&gt;=$AD$27,AF93&gt;=$AF$27,
AH93&gt;=$AH$27,AJ93&gt;=$AJ$27,D93&lt;&gt;"AB",F93&lt;&gt;"AB",H93&lt;&gt;"AB",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R93" s="22">
        <v>21</v>
      </c>
      <c r="S93" s="9" t="str">
        <f t="shared" ref="S93:S156" si="30">IF(IFERROR(FIND("+",R93),0)," ",
IF(R93="AB","",
IF(R93&lt;$R$27,"F",
IF(AND(D93&gt;=$D$27,F93&gt;=$F$27,H93&gt;=$H$27,
J93&gt;=$J$27,L93&gt;=$L$27,
N93&gt;=$N$27,P93&gt;=$P$27,R93&gt;=$R$27,T93&gt;=$T$27,V93&gt;=$V$27,
X93&gt;=$X$27,Z93&gt;=$Z$27,AB93&gt;=$AB$27,AD93&gt;=$AD$27,AF93&gt;=$AF$27,
AH93&gt;=$AH$27,AJ93&gt;=$AJ$27,D93&lt;&gt;"AB",F93&lt;&gt;"AB",H93&lt;&gt;"AB",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T93" s="22">
        <v>44</v>
      </c>
      <c r="U93" s="9" t="str">
        <f t="shared" ref="U93:U156" si="31">IF(IFERROR(FIND("+",T93),0)," ",
IF(T93="AB","",
IF(T93&lt;$T$27,"F",
IF(AND(D93&gt;=$D$27,F93&gt;=$F$27,H93&gt;=$H$27,
J93&gt;=$J$27,L93&gt;=$L$27,
N93&gt;=$N$27,P93&gt;=$P$27,R93&gt;=$R$27,T93&gt;=$T$27,V93&gt;=$V$27,
X93&gt;=$X$27,Z93&gt;=$Z$27,AB93&gt;=$AB$27,AD93&gt;=$AD$27,AF93&gt;=$AF$27,
AH93&gt;=$AH$27,AJ93&gt;=$AJ$27,D93&lt;&gt;"AB",F93&lt;&gt;"AB",H93&lt;&gt;"AB",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V93" s="29">
        <v>62</v>
      </c>
      <c r="W93" s="9" t="str">
        <f t="shared" ref="W93:W156" si="32">IF(IFERROR(FIND("+",V93),0)," ",
IF(V93="AB","",
IF(V93&lt;$V$27,"F",
IF(AND(D93&gt;=$D$27,F93&gt;=$F$27,H93&gt;=$H$27,
J93&gt;=$J$27,L93&gt;=$L$27,
N93&gt;=$N$27,P93&gt;=$P$27,R93&gt;=$R$27,T93&gt;=$T$27,V93&gt;=$V$27,
X93&gt;=$X$27,Z93&gt;=$Z$27,AB93&gt;=$AB$27,AD93&gt;=$AD$27,AF93&gt;=$AF$27,
AH93&gt;=$AH$27,AJ93&gt;=$AJ$27,D93&lt;&gt;"AB",F93&lt;&gt;"AB",H93&lt;&gt;"AB",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X93" s="22">
        <v>21</v>
      </c>
      <c r="Y93" s="9" t="str">
        <f t="shared" ref="Y93:Y156" si="33">IF(IFERROR(FIND("+",X93),0)," ",
IF(X93="AB","",
IF(X93&lt;$X$27,"F",
IF(AND(D93&gt;=$D$27,F93&gt;=$F$27,H93&gt;=$H$27,
J93&gt;=$J$27,L93&gt;=$L$27,
N93&gt;=$N$27,P93&gt;=$P$27,R93&gt;=$R$27,T93&gt;=$T$27,V93&gt;=$V$27,
X93&gt;=$X$27,Z93&gt;=$Z$27,AB93&gt;=$AB$27,AD93&gt;=$AD$27,AF93&gt;=$AF$27,
AH93&gt;=$AH$27,AJ93&gt;=$AJ$27,D93&lt;&gt;"AB",F93&lt;&gt;"AB",H93&lt;&gt;"AB",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Z93" s="22">
        <v>22</v>
      </c>
      <c r="AA93" s="9" t="str">
        <f t="shared" ref="AA93:AA156" si="34">IF(IFERROR(FIND("+",Z93),0)," ",
IF(Z93="AB","",
IF(Z93&lt;$Z$27,"F",
IF(AND(D93&gt;=$D$27,F93&gt;=$F$27,H93&gt;=$H$27,
J93&gt;=$J$27,L93&gt;=$L$27,
N93&gt;=$N$27,P93&gt;=$P$27,R93&gt;=$R$27,T93&gt;=$T$27,V93&gt;=$V$27,
X93&gt;=$X$27,Z93&gt;=$Z$27,AB93&gt;=$AB$27,AD93&gt;=$AD$27,AF93&gt;=$AF$27,
AH93&gt;=$AH$27,AJ93&gt;=$AJ$27,D93&lt;&gt;"AB",F93&lt;&gt;"AB",H93&lt;&gt;"AB",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AB93" s="29">
        <v>55</v>
      </c>
      <c r="AC93" s="9" t="str">
        <f t="shared" ref="AC93:AC156" si="35">IF(IFERROR(FIND("+",AB93),0)," ",
IF(AB93="AB","",
IF(AB93&lt;$AB$27,"F",
IF(AND(D93&gt;=$D$27,F93&gt;=$F$27,H93&gt;=$H$27,
J93&gt;=$J$27,L93&gt;=$L$27,
N93&gt;=$N$27,P93&gt;=$P$27,R93&gt;=$R$27,T93&gt;=$T$27,V93&gt;=$V$27,
X93&gt;=$X$27,Z93&gt;=$Z$27,AB93&gt;=$AB$27,AD93&gt;=$AD$27,AF93&gt;=$AF$27,
AH93&gt;=$AH$27,AJ93&gt;=$AJ$27,D93&lt;&gt;"AB",F93&lt;&gt;"AB",H93&lt;&gt;"AB",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AD93" s="22">
        <v>21</v>
      </c>
      <c r="AE93" s="9" t="str">
        <f t="shared" ref="AE93:AE156" si="36">IF(IFERROR(FIND("+",AD93),0)," ",
IF(AD93="AB","",
IF(AD93&lt;$AD$27,"F",
IF(AND(D93&gt;=$D$27,F93&gt;=$F$27,H93&gt;=$H$27,
J93&gt;=$J$27,L93&gt;=$L$27,
N93&gt;=$N$27,P93&gt;=$P$27,R93&gt;=$R$27,T93&gt;=$T$27,V93&gt;=$V$27,
X93&gt;=$X$27,Z93&gt;=$Z$27,AB93&gt;=$AB$27,AD93&gt;=$AD$27,AF93&gt;=$AF$27,
AH93&gt;=$AH$27,AJ93&gt;=$AJ$27,D93&lt;&gt;"AB",F93&lt;&gt;"AB",H93&lt;&gt;"AB",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AF93" s="22">
        <v>21</v>
      </c>
      <c r="AG93" s="9" t="str">
        <f t="shared" ref="AG93:AG156" si="37">IF(IFERROR(FIND("+",AF93),0)," ",
IF(AF93="AB","",
IF(AF93&lt;$AF$27,"F",
IF(AND(D93&gt;=$D$27,F93&gt;=$F$27,H93&gt;=$H$27,
J93&gt;=$J$27,L93&gt;=$L$27,
N93&gt;=$N$27,P93&gt;=$P$27,R93&gt;=$R$27,T93&gt;=$T$27,V93&gt;=$V$27,
X93&gt;=$X$27,Z93&gt;=$Z$27,AB93&gt;=$AB$27,AD93&gt;=$AD$27,AF93&gt;=$AF$27,
AH93&gt;=$AH$27,AJ93&gt;=$AJ$27,D93&lt;&gt;"AB",F93&lt;&gt;"AB",H93&lt;&gt;"AB",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AH93" s="22">
        <v>21</v>
      </c>
      <c r="AI93" s="9" t="str">
        <f t="shared" ref="AI93:AI156" si="38">IF(IFERROR(FIND("+",AH93),0)," ",
IF(AH93="AB","",
IF(AH93&lt;$AH$27,"F",
IF(AND(D93&gt;=$D$27,F93&gt;=$F$27,H93&gt;=$H$27,
J93&gt;=$J$27,L93&gt;=$L$27,
N93&gt;=$N$27,P93&gt;=$P$27,R93&gt;=$R$27,T93&gt;=$T$27,V93&gt;=$V$27,
X93&gt;=$X$27,Z93&gt;=$Z$27,AB93&gt;=$AB$27,AD93&gt;=$AD$27,AF93&gt;=$AF$27,
AH93&gt;=$AH$27,AJ93&gt;=$AJ$27,D93&lt;&gt;"AB",F93&lt;&gt;"AB",H93&lt;&gt;"AB",
J93&lt;&gt;"AB",L93&lt;&gt;"AB",
N93&lt;&gt;"AB",P93&lt;&gt;"AB",R93&lt;&gt;"AB",T93&lt;&gt;"AB",V93&lt;&gt;"AB",
X93&lt;&gt;"AB",Z93&lt;&gt;"AB",AB93&lt;&gt;"AB",AD93&lt;&gt;"AB",AF93&lt;&gt;"AB",
AH93&lt;&gt;"AB",AJ93&lt;&gt;"AB"),"","E"))))</f>
        <v/>
      </c>
      <c r="AJ93" s="22">
        <v>21</v>
      </c>
      <c r="AK93" s="9" t="str">
        <f t="shared" ref="AK93:AK156" si="39">IF(IFERROR(FIND("+",AJ93),0)," ",
IF(AJ93="AB","",
IF(AJ93&lt;$AJ$27,"F",
IF(AND(D93&gt;=$D$27,F93&gt;=$F$27,H93&gt;=$H$27,
J93&gt;=$J$27,L93&gt;=$L$27,
N93&gt;=$N$27,P93&gt;=$P$27,R93&gt;=$R$27,T93&gt;=$T$27,V93&gt;=$V$27,
X93&gt;=$X$27,Z93&gt;=$Z$27,AB93&gt;=$AB$27,AD93&gt;=$AD$27,AF93&gt;=$AF$27,
AH93&gt;=$AH$27,AJ93&gt;=$AJ$27,D93&lt;&gt;"AB",F93&lt;&gt;"AB",H93&lt;&gt;"AB",
J93&lt;&gt;"AB",L93&lt;&gt;"AB",
N93&lt;&gt;"AB",P93&lt;&gt;"AB",R93&lt;&gt;"AB",T93&lt;&gt;"AB",V93&lt;&gt;"AB",
X93&lt;&gt;"AB",Z93&lt;&gt;"AB",AB93&lt;&gt;"AB",AD93&lt;&gt;"AB",AF93&lt;&gt;"AB",
AH93&lt;&gt;"AB",AI93&lt;&gt;"AB"),"","E"))))</f>
        <v/>
      </c>
      <c r="AL93" s="16">
        <f>IF(OR(AND(D93&gt;=31,D93&lt;40),AND(J93&gt;=31,J93&lt;40),AND(P93&gt;=31,P93&lt;40),AND(V93&gt;=31,V93&lt;40),AND(AB93&gt;=31,AB93&lt;40)),IF(AND(OR(COUNTIF(D93:AK93,"=31")&gt;=1,COUNTIF(D93:AK93,"=32")&gt;=1,COUNTIF(D93:AK93,"=33")&gt;=1,COUNTIF(D93:AK93,"=34")&gt;=1,COUNTIF(D93:AK93,"=35")&gt;=1,COUNTIF(D93:AK93,"=36")&gt;=1 ),COUNTIF(D93:AK93,"")=0,COUNTIF(D93:AK93," ")=0,COUNTIF(D93:AK93,"F")=1),CONCATENATE(SUM(EXTRACTNUMBER(D93),EXTRACTNUMBER(F93),
EXTRACTNUMBER(H93),EXTRACTNUMBER(J93),
EXTRACTNUMBER(L93),EXTRACTNUMBER(N93),
EXTRACTNUMBER(P93),EXTRACTNUMBER(R93),
EXTRACTNUMBER(T93),EXTRACTNUMBER(V93),
EXTRACTNUMBER(X93),EXTRACTNUMBER(Z93),EXTRACTNUMBER(AB93),
EXTRACTNUMBER(AD93),EXTRACTNUMBER(AF93),EXTRACTNUMBER(AH93),EXTRACTNUMBER(AJ93)),"*"),IF(AND(COUNTIF(D93:AK93,"=34")&gt;=1,COUNTIF(D93:AK93,"=35")&gt;=1,COUNTIF(D93:AK93,"f")=2,COUNTIF(D93:AK93,"")=0,COUNTIF(D93:AK93," ")=0),CONCATENATE(SUM(EXTRACTNUMBER(D93),EXTRACTNUMBER(F93),
EXTRACTNUMBER(H93),EXTRACTNUMBER(J93),
EXTRACTNUMBER(L93),EXTRACTNUMBER(N93),
EXTRACTNUMBER(P93),EXTRACTNUMBER(R93),
EXTRACTNUMBER(T93),EXTRACTNUMBER(V93),
EXTRACTNUMBER(X93),EXTRACTNUMBER(Z93),EXTRACTNUMBER(AB93),
EXTRACTNUMBER(AD93),EXTRACTNUMBER(AF93),EXTRACTNUMBER(AH93),EXTRACTNUMBER(AJ93)),"*"),IF(AND(COUNTIF(D93:AK93,"=36")&gt;=2,COUNTIF(D93:AK93,"f")=2,COUNTIF(D93:AK93,"")=0,COUNTIF(D93:AK93," ")=0),CONCATENATE(SUM(EXTRACTNUMBER(D93),EXTRACTNUMBER(F93),
EXTRACTNUMBER(H93),EXTRACTNUMBER(J93),
EXTRACTNUMBER(L93),EXTRACTNUMBER(N93),
EXTRACTNUMBER(P93),EXTRACTNUMBER(R93),
EXTRACTNUMBER(T93),EXTRACTNUMBER(V93),
EXTRACTNUMBER(X93),EXTRACTNUMBER(Z93),EXTRACTNUMBER(AB93),
EXTRACTNUMBER(AD93),EXTRACTNUMBER(AF93),EXTRACTNUMBER(AH93),EXTRACTNUMBER(AJ93)),"*"),SUM(EXTRACTNUMBER(D93),EXTRACTNUMBER(F93),
EXTRACTNUMBER(H93),EXTRACTNUMBER(J93),
EXTRACTNUMBER(L93),EXTRACTNUMBER(N93),
EXTRACTNUMBER(P93),EXTRACTNUMBER(R93),
EXTRACTNUMBER(T93),EXTRACTNUMBER(V93),
EXTRACTNUMBER(X93),EXTRACTNUMBER(Z93),EXTRACTNUMBER(AB93),
EXTRACTNUMBER(AD93),EXTRACTNUMBER(AF93),EXTRACTNUMBER(AH93),EXTRACTNUMBER(AJ93))))),SUM(EXTRACTNUMBER(D93),EXTRACTNUMBER(F93),
EXTRACTNUMBER(H93),EXTRACTNUMBER(J93),
EXTRACTNUMBER(L93),EXTRACTNUMBER(N93),
EXTRACTNUMBER(P93),EXTRACTNUMBER(R93),
EXTRACTNUMBER(T93),EXTRACTNUMBER(V93),
EXTRACTNUMBER(X93),EXTRACTNUMBER(Z93),EXTRACTNUMBER(AB93),
EXTRACTNUMBER(AD93),EXTRACTNUMBER(AF93),EXTRACTNUMBER(AH93),EXTRACTNUMBER(AJ93)))</f>
        <v>578</v>
      </c>
      <c r="AM93" s="72" t="s">
        <v>548</v>
      </c>
      <c r="AN93" s="11">
        <f t="shared" si="21"/>
        <v>1081</v>
      </c>
      <c r="AO93" s="11" t="str">
        <f t="shared" ref="AO93:AO156" si="40">IF(AND(COUNTIF(D93:AK93,"AB")&lt;17-COUNTIF(D93:AK93," "),
COUNTIF(D93:AK93,"AB")&lt;&gt;0),"FAIL",
IF(COUNTIF(D93:AK93,"AB")=17-COUNTIF(D93:AK93," "),"ABSENT",
IF(AND(COUNTIF(D93:AK93,"AB")=0,COUNTIF(D93:AK93,"F")=0),"PASS","FAIL")))</f>
        <v>PASS</v>
      </c>
      <c r="AP93" s="11" t="str">
        <f t="shared" si="22"/>
        <v>I</v>
      </c>
      <c r="AQ93" s="1" t="str">
        <f t="shared" ref="AQ93:AQ156" si="41">spellnumber(AN93)</f>
        <v xml:space="preserve">One Thousand Eighty One </v>
      </c>
    </row>
    <row r="94" spans="2:43" ht="15.95" customHeight="1">
      <c r="B94" s="67">
        <v>136267</v>
      </c>
      <c r="C94" s="21" t="s">
        <v>90</v>
      </c>
      <c r="D94" s="24">
        <v>40</v>
      </c>
      <c r="E94" s="9" t="str">
        <f t="shared" si="23"/>
        <v/>
      </c>
      <c r="F94" s="22">
        <v>22</v>
      </c>
      <c r="G94" s="9" t="str">
        <f t="shared" si="24"/>
        <v/>
      </c>
      <c r="H94" s="22">
        <v>44</v>
      </c>
      <c r="I94" s="9" t="str">
        <f t="shared" si="25"/>
        <v/>
      </c>
      <c r="J94" s="29">
        <v>40</v>
      </c>
      <c r="K94" s="9" t="str">
        <f t="shared" si="26"/>
        <v/>
      </c>
      <c r="L94" s="22">
        <v>22</v>
      </c>
      <c r="M94" s="9" t="str">
        <f t="shared" si="27"/>
        <v/>
      </c>
      <c r="N94" s="22">
        <v>22</v>
      </c>
      <c r="O94" s="9" t="str">
        <f t="shared" si="28"/>
        <v/>
      </c>
      <c r="P94" s="29">
        <v>59</v>
      </c>
      <c r="Q94" s="9" t="str">
        <f t="shared" si="29"/>
        <v/>
      </c>
      <c r="R94" s="22">
        <v>22</v>
      </c>
      <c r="S94" s="9" t="str">
        <f t="shared" si="30"/>
        <v/>
      </c>
      <c r="T94" s="22">
        <v>44</v>
      </c>
      <c r="U94" s="9" t="str">
        <f t="shared" si="31"/>
        <v/>
      </c>
      <c r="V94" s="29">
        <v>62</v>
      </c>
      <c r="W94" s="9" t="str">
        <f t="shared" si="32"/>
        <v/>
      </c>
      <c r="X94" s="22">
        <v>22</v>
      </c>
      <c r="Y94" s="9" t="str">
        <f t="shared" si="33"/>
        <v/>
      </c>
      <c r="Z94" s="22">
        <v>21</v>
      </c>
      <c r="AA94" s="9" t="str">
        <f t="shared" si="34"/>
        <v/>
      </c>
      <c r="AB94" s="29">
        <v>49</v>
      </c>
      <c r="AC94" s="9" t="str">
        <f t="shared" si="35"/>
        <v/>
      </c>
      <c r="AD94" s="22">
        <v>22</v>
      </c>
      <c r="AE94" s="9" t="str">
        <f t="shared" si="36"/>
        <v/>
      </c>
      <c r="AF94" s="22">
        <v>21</v>
      </c>
      <c r="AG94" s="9" t="str">
        <f t="shared" si="37"/>
        <v/>
      </c>
      <c r="AH94" s="22">
        <v>22</v>
      </c>
      <c r="AI94" s="9" t="str">
        <f t="shared" si="38"/>
        <v/>
      </c>
      <c r="AJ94" s="22">
        <v>22</v>
      </c>
      <c r="AK94" s="9" t="str">
        <f t="shared" si="39"/>
        <v/>
      </c>
      <c r="AL94" s="16">
        <f>IF(OR(AND(D94&gt;=31,D94&lt;40),AND(J94&gt;=31,J94&lt;40),AND(P94&gt;=31,P94&lt;40),AND(V94&gt;=31,V94&lt;40),AND(AB94&gt;=31,AB94&lt;40)),IF(AND(OR(COUNTIF(D94:AK94,"=31")&gt;=1,COUNTIF(D94:AK94,"=32")&gt;=1,COUNTIF(D94:AK94,"=33")&gt;=1,COUNTIF(D94:AK94,"=34")&gt;=1,COUNTIF(D94:AK94,"=35")&gt;=1,COUNTIF(D94:AK94,"=36")&gt;=1 ),COUNTIF(D94:AK94,"")=0,COUNTIF(D94:AK94," ")=0,COUNTIF(D94:AK94,"F")=1),CONCATENATE(SUM(EXTRACTNUMBER(D94),EXTRACTNUMBER(F94),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EXTRACTNUMBER(AD94),EXTRACTNUMBER(AF94),EXTRACTNUMBER(AH94),EXTRACTNUMBER(AJ94)),"*"),IF(AND(COUNTIF(D94:AK94,"=34")&gt;=1,COUNTIF(D94:AK94,"=35")&gt;=1,COUNTIF(D94:AK94,"f")=2,COUNTIF(D94:AK94,"")=0,COUNTIF(D94:AK94," ")=0),CONCATENATE(SUM(EXTRACTNUMBER(D94),EXTRACTNUMBER(F94),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EXTRACTNUMBER(AD94),EXTRACTNUMBER(AF94),EXTRACTNUMBER(AH94),EXTRACTNUMBER(AJ94)),"*"),IF(AND(COUNTIF(D94:AK94,"=36")&gt;=2,COUNTIF(D94:AK94,"f")=2,COUNTIF(D94:AK94,"")=0,COUNTIF(D94:AK94," ")=0),CONCATENATE(SUM(EXTRACTNUMBER(D94),EXTRACTNUMBER(F94),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EXTRACTNUMBER(AD94),EXTRACTNUMBER(AF94),EXTRACTNUMBER(AH94),EXTRACTNUMBER(AJ94)),"*"),SUM(EXTRACTNUMBER(D94),EXTRACTNUMBER(F94),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EXTRACTNUMBER(AD94),EXTRACTNUMBER(AF94),EXTRACTNUMBER(AH94),EXTRACTNUMBER(AJ94))))),SUM(EXTRACTNUMBER(D94),EXTRACTNUMBER(F94),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EXTRACTNUMBER(AD94),EXTRACTNUMBER(AF94),EXTRACTNUMBER(AH94),EXTRACTNUMBER(AJ94)))</f>
        <v>556</v>
      </c>
      <c r="AM94" s="72" t="s">
        <v>265</v>
      </c>
      <c r="AN94" s="11">
        <f t="shared" si="21"/>
        <v>1092</v>
      </c>
      <c r="AO94" s="11" t="str">
        <f t="shared" si="40"/>
        <v>PASS</v>
      </c>
      <c r="AP94" s="11" t="str">
        <f t="shared" si="22"/>
        <v>I</v>
      </c>
      <c r="AQ94" s="1" t="str">
        <f t="shared" si="41"/>
        <v xml:space="preserve">One Thousand NinetyTwo </v>
      </c>
    </row>
    <row r="95" spans="2:43" ht="15.95" customHeight="1">
      <c r="B95" s="67">
        <v>136268</v>
      </c>
      <c r="C95" s="21" t="s">
        <v>91</v>
      </c>
      <c r="D95" s="24">
        <v>53</v>
      </c>
      <c r="E95" s="9" t="str">
        <f t="shared" si="23"/>
        <v/>
      </c>
      <c r="F95" s="22">
        <v>23</v>
      </c>
      <c r="G95" s="9" t="str">
        <f t="shared" si="24"/>
        <v/>
      </c>
      <c r="H95" s="22">
        <v>46</v>
      </c>
      <c r="I95" s="9" t="str">
        <f t="shared" si="25"/>
        <v/>
      </c>
      <c r="J95" s="29">
        <v>61</v>
      </c>
      <c r="K95" s="9" t="str">
        <f t="shared" si="26"/>
        <v/>
      </c>
      <c r="L95" s="22">
        <v>23</v>
      </c>
      <c r="M95" s="9" t="str">
        <f t="shared" si="27"/>
        <v/>
      </c>
      <c r="N95" s="22">
        <v>23</v>
      </c>
      <c r="O95" s="9" t="str">
        <f t="shared" si="28"/>
        <v/>
      </c>
      <c r="P95" s="29">
        <v>67</v>
      </c>
      <c r="Q95" s="9" t="str">
        <f t="shared" si="29"/>
        <v/>
      </c>
      <c r="R95" s="22">
        <v>23</v>
      </c>
      <c r="S95" s="9" t="str">
        <f t="shared" si="30"/>
        <v/>
      </c>
      <c r="T95" s="22">
        <v>46</v>
      </c>
      <c r="U95" s="9" t="str">
        <f t="shared" si="31"/>
        <v/>
      </c>
      <c r="V95" s="29">
        <v>70</v>
      </c>
      <c r="W95" s="9" t="str">
        <f t="shared" si="32"/>
        <v/>
      </c>
      <c r="X95" s="22">
        <v>23</v>
      </c>
      <c r="Y95" s="9" t="str">
        <f t="shared" si="33"/>
        <v/>
      </c>
      <c r="Z95" s="22">
        <v>22</v>
      </c>
      <c r="AA95" s="9" t="str">
        <f t="shared" si="34"/>
        <v/>
      </c>
      <c r="AB95" s="29">
        <v>46</v>
      </c>
      <c r="AC95" s="9" t="str">
        <f t="shared" si="35"/>
        <v/>
      </c>
      <c r="AD95" s="22">
        <v>23</v>
      </c>
      <c r="AE95" s="9" t="str">
        <f t="shared" si="36"/>
        <v/>
      </c>
      <c r="AF95" s="22">
        <v>21</v>
      </c>
      <c r="AG95" s="9" t="str">
        <f t="shared" si="37"/>
        <v/>
      </c>
      <c r="AH95" s="22">
        <v>23</v>
      </c>
      <c r="AI95" s="9" t="str">
        <f t="shared" si="38"/>
        <v/>
      </c>
      <c r="AJ95" s="22">
        <v>24</v>
      </c>
      <c r="AK95" s="9" t="str">
        <f t="shared" si="39"/>
        <v/>
      </c>
      <c r="AL95" s="16">
        <f>IF(OR(AND(D95&gt;=31,D95&lt;40),AND(J95&gt;=31,J95&lt;40),AND(P95&gt;=31,P95&lt;40),AND(V95&gt;=31,V95&lt;40),AND(AB95&gt;=31,AB95&lt;40)),IF(AND(OR(COUNTIF(D95:AK95,"=31")&gt;=1,COUNTIF(D95:AK95,"=32")&gt;=1,COUNTIF(D95:AK95,"=33")&gt;=1,COUNTIF(D95:AK95,"=34")&gt;=1,COUNTIF(D95:AK95,"=35")&gt;=1,COUNTIF(D95:AK95,"=36")&gt;=1 ),COUNTIF(D95:AK95,"")=0,COUNTIF(D95:AK95," ")=0,COUNTIF(D95:AK95,"F")=1),CONCATENATE(SUM(EXTRACTNUMBER(D95),EXTRACTNUMBER(F95),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EXTRACTNUMBER(AD95),EXTRACTNUMBER(AF95),EXTRACTNUMBER(AH95),EXTRACTNUMBER(AJ95)),"*"),IF(AND(COUNTIF(D95:AK95,"=34")&gt;=1,COUNTIF(D95:AK95,"=35")&gt;=1,COUNTIF(D95:AK95,"f")=2,COUNTIF(D95:AK95,"")=0,COUNTIF(D95:AK95," ")=0),CONCATENATE(SUM(EXTRACTNUMBER(D95),EXTRACTNUMBER(F95),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EXTRACTNUMBER(AD95),EXTRACTNUMBER(AF95),EXTRACTNUMBER(AH95),EXTRACTNUMBER(AJ95)),"*"),IF(AND(COUNTIF(D95:AK95,"=36")&gt;=2,COUNTIF(D95:AK95,"f")=2,COUNTIF(D95:AK95,"")=0,COUNTIF(D95:AK95," ")=0),CONCATENATE(SUM(EXTRACTNUMBER(D95),EXTRACTNUMBER(F95),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EXTRACTNUMBER(AD95),EXTRACTNUMBER(AF95),EXTRACTNUMBER(AH95),EXTRACTNUMBER(AJ95)),"*"),SUM(EXTRACTNUMBER(D95),EXTRACTNUMBER(F95),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EXTRACTNUMBER(AD95),EXTRACTNUMBER(AF95),EXTRACTNUMBER(AH95),EXTRACTNUMBER(AJ95))))),SUM(EXTRACTNUMBER(D95),EXTRACTNUMBER(F95),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EXTRACTNUMBER(AD95),EXTRACTNUMBER(AF95),EXTRACTNUMBER(AH95),EXTRACTNUMBER(AJ95)))</f>
        <v>617</v>
      </c>
      <c r="AM95" s="72" t="s">
        <v>249</v>
      </c>
      <c r="AN95" s="11">
        <f t="shared" si="21"/>
        <v>1213</v>
      </c>
      <c r="AO95" s="11" t="str">
        <f t="shared" si="40"/>
        <v>PASS</v>
      </c>
      <c r="AP95" s="11" t="str">
        <f t="shared" si="22"/>
        <v>I</v>
      </c>
      <c r="AQ95" s="1" t="str">
        <f t="shared" si="41"/>
        <v xml:space="preserve">One Thousand Two Hundred Thirteen </v>
      </c>
    </row>
    <row r="96" spans="2:43" ht="15.95" customHeight="1">
      <c r="B96" s="67">
        <v>136269</v>
      </c>
      <c r="C96" s="21" t="s">
        <v>92</v>
      </c>
      <c r="D96" s="24">
        <v>46</v>
      </c>
      <c r="E96" s="9" t="str">
        <f t="shared" si="23"/>
        <v/>
      </c>
      <c r="F96" s="22">
        <v>20</v>
      </c>
      <c r="G96" s="9" t="str">
        <f t="shared" si="24"/>
        <v/>
      </c>
      <c r="H96" s="22">
        <v>38</v>
      </c>
      <c r="I96" s="9" t="str">
        <f t="shared" si="25"/>
        <v/>
      </c>
      <c r="J96" s="29">
        <v>48</v>
      </c>
      <c r="K96" s="9" t="str">
        <f t="shared" si="26"/>
        <v/>
      </c>
      <c r="L96" s="22">
        <v>20</v>
      </c>
      <c r="M96" s="9" t="str">
        <f t="shared" si="27"/>
        <v/>
      </c>
      <c r="N96" s="22">
        <v>19</v>
      </c>
      <c r="O96" s="9" t="str">
        <f t="shared" si="28"/>
        <v/>
      </c>
      <c r="P96" s="29">
        <v>57</v>
      </c>
      <c r="Q96" s="9" t="str">
        <f t="shared" si="29"/>
        <v/>
      </c>
      <c r="R96" s="22">
        <v>20</v>
      </c>
      <c r="S96" s="9" t="str">
        <f t="shared" si="30"/>
        <v/>
      </c>
      <c r="T96" s="22">
        <v>38</v>
      </c>
      <c r="U96" s="9" t="str">
        <f t="shared" si="31"/>
        <v/>
      </c>
      <c r="V96" s="29">
        <v>55</v>
      </c>
      <c r="W96" s="9" t="str">
        <f t="shared" si="32"/>
        <v/>
      </c>
      <c r="X96" s="22">
        <v>20</v>
      </c>
      <c r="Y96" s="9" t="str">
        <f t="shared" si="33"/>
        <v/>
      </c>
      <c r="Z96" s="22">
        <v>21</v>
      </c>
      <c r="AA96" s="9" t="str">
        <f t="shared" si="34"/>
        <v/>
      </c>
      <c r="AB96" s="29">
        <v>40</v>
      </c>
      <c r="AC96" s="9" t="str">
        <f t="shared" si="35"/>
        <v/>
      </c>
      <c r="AD96" s="22">
        <v>20</v>
      </c>
      <c r="AE96" s="9" t="str">
        <f t="shared" si="36"/>
        <v/>
      </c>
      <c r="AF96" s="22">
        <v>20</v>
      </c>
      <c r="AG96" s="9" t="str">
        <f t="shared" si="37"/>
        <v/>
      </c>
      <c r="AH96" s="22">
        <v>20</v>
      </c>
      <c r="AI96" s="9" t="str">
        <f t="shared" si="38"/>
        <v/>
      </c>
      <c r="AJ96" s="22">
        <v>20</v>
      </c>
      <c r="AK96" s="9" t="str">
        <f t="shared" si="39"/>
        <v/>
      </c>
      <c r="AL96" s="16">
        <f>IF(OR(AND(D96&gt;=31,D96&lt;40),AND(J96&gt;=31,J96&lt;40),AND(P96&gt;=31,P96&lt;40),AND(V96&gt;=31,V96&lt;40),AND(AB96&gt;=31,AB96&lt;40)),IF(AND(OR(COUNTIF(D96:AK96,"=31")&gt;=1,COUNTIF(D96:AK96,"=32")&gt;=1,COUNTIF(D96:AK96,"=33")&gt;=1,COUNTIF(D96:AK96,"=34")&gt;=1,COUNTIF(D96:AK96,"=35")&gt;=1,COUNTIF(D96:AK96,"=36")&gt;=1 ),COUNTIF(D96:AK96,"")=0,COUNTIF(D96:AK96," ")=0,COUNTIF(D96:AK96,"F")=1),CONCATENATE(SUM(EXTRACTNUMBER(D96),EXTRACTNUMBER(F96),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EXTRACTNUMBER(AD96),EXTRACTNUMBER(AF96),EXTRACTNUMBER(AH96),EXTRACTNUMBER(AJ96)),"*"),IF(AND(COUNTIF(D96:AK96,"=34")&gt;=1,COUNTIF(D96:AK96,"=35")&gt;=1,COUNTIF(D96:AK96,"f")=2,COUNTIF(D96:AK96,"")=0,COUNTIF(D96:AK96," ")=0),CONCATENATE(SUM(EXTRACTNUMBER(D96),EXTRACTNUMBER(F96),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EXTRACTNUMBER(AD96),EXTRACTNUMBER(AF96),EXTRACTNUMBER(AH96),EXTRACTNUMBER(AJ96)),"*"),IF(AND(COUNTIF(D96:AK96,"=36")&gt;=2,COUNTIF(D96:AK96,"f")=2,COUNTIF(D96:AK96,"")=0,COUNTIF(D96:AK96," ")=0),CONCATENATE(SUM(EXTRACTNUMBER(D96),EXTRACTNUMBER(F96),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EXTRACTNUMBER(AD96),EXTRACTNUMBER(AF96),EXTRACTNUMBER(AH96),EXTRACTNUMBER(AJ96)),"*"),SUM(EXTRACTNUMBER(D96),EXTRACTNUMBER(F96),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EXTRACTNUMBER(AD96),EXTRACTNUMBER(AF96),EXTRACTNUMBER(AH96),EXTRACTNUMBER(AJ96))))),SUM(EXTRACTNUMBER(D96),EXTRACTNUMBER(F96),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EXTRACTNUMBER(AD96),EXTRACTNUMBER(AF96),EXTRACTNUMBER(AH96),EXTRACTNUMBER(AJ96)))</f>
        <v>522</v>
      </c>
      <c r="AM96" s="72" t="s">
        <v>546</v>
      </c>
      <c r="AN96" s="11">
        <f t="shared" si="21"/>
        <v>1017</v>
      </c>
      <c r="AO96" s="11" t="str">
        <f t="shared" si="40"/>
        <v>PASS</v>
      </c>
      <c r="AP96" s="11" t="str">
        <f t="shared" si="22"/>
        <v>P</v>
      </c>
      <c r="AQ96" s="1" t="str">
        <f t="shared" si="41"/>
        <v xml:space="preserve">One Thousand Seventeen </v>
      </c>
    </row>
    <row r="97" spans="2:43" ht="15.95" customHeight="1">
      <c r="B97" s="67">
        <v>136270</v>
      </c>
      <c r="C97" s="21" t="s">
        <v>93</v>
      </c>
      <c r="D97" s="24">
        <v>43</v>
      </c>
      <c r="E97" s="9" t="str">
        <f t="shared" si="23"/>
        <v/>
      </c>
      <c r="F97" s="22">
        <v>20</v>
      </c>
      <c r="G97" s="9" t="str">
        <f t="shared" si="24"/>
        <v/>
      </c>
      <c r="H97" s="22">
        <v>38</v>
      </c>
      <c r="I97" s="9" t="str">
        <f t="shared" si="25"/>
        <v/>
      </c>
      <c r="J97" s="29">
        <v>43</v>
      </c>
      <c r="K97" s="9" t="str">
        <f t="shared" si="26"/>
        <v/>
      </c>
      <c r="L97" s="22">
        <v>20</v>
      </c>
      <c r="M97" s="9" t="str">
        <f t="shared" si="27"/>
        <v/>
      </c>
      <c r="N97" s="22">
        <v>19</v>
      </c>
      <c r="O97" s="9" t="str">
        <f t="shared" si="28"/>
        <v/>
      </c>
      <c r="P97" s="29">
        <v>58</v>
      </c>
      <c r="Q97" s="9" t="str">
        <f t="shared" si="29"/>
        <v/>
      </c>
      <c r="R97" s="22">
        <v>20</v>
      </c>
      <c r="S97" s="9" t="str">
        <f t="shared" si="30"/>
        <v/>
      </c>
      <c r="T97" s="22">
        <v>38</v>
      </c>
      <c r="U97" s="9" t="str">
        <f t="shared" si="31"/>
        <v/>
      </c>
      <c r="V97" s="29">
        <v>45</v>
      </c>
      <c r="W97" s="9" t="str">
        <f t="shared" si="32"/>
        <v/>
      </c>
      <c r="X97" s="22">
        <v>20</v>
      </c>
      <c r="Y97" s="9" t="str">
        <f t="shared" si="33"/>
        <v/>
      </c>
      <c r="Z97" s="22">
        <v>21</v>
      </c>
      <c r="AA97" s="9" t="str">
        <f t="shared" si="34"/>
        <v/>
      </c>
      <c r="AB97" s="29">
        <v>45</v>
      </c>
      <c r="AC97" s="9" t="str">
        <f t="shared" si="35"/>
        <v/>
      </c>
      <c r="AD97" s="22">
        <v>20</v>
      </c>
      <c r="AE97" s="9" t="str">
        <f t="shared" si="36"/>
        <v/>
      </c>
      <c r="AF97" s="22">
        <v>20</v>
      </c>
      <c r="AG97" s="9" t="str">
        <f t="shared" si="37"/>
        <v/>
      </c>
      <c r="AH97" s="22">
        <v>22</v>
      </c>
      <c r="AI97" s="9" t="str">
        <f t="shared" si="38"/>
        <v/>
      </c>
      <c r="AJ97" s="22">
        <v>21</v>
      </c>
      <c r="AK97" s="9" t="str">
        <f t="shared" si="39"/>
        <v/>
      </c>
      <c r="AL97" s="16">
        <f>IF(OR(AND(D97&gt;=31,D97&lt;40),AND(J97&gt;=31,J97&lt;40),AND(P97&gt;=31,P97&lt;40),AND(V97&gt;=31,V97&lt;40),AND(AB97&gt;=31,AB97&lt;40)),IF(AND(OR(COUNTIF(D97:AK97,"=31")&gt;=1,COUNTIF(D97:AK97,"=32")&gt;=1,COUNTIF(D97:AK97,"=33")&gt;=1,COUNTIF(D97:AK97,"=34")&gt;=1,COUNTIF(D97:AK97,"=35")&gt;=1,COUNTIF(D97:AK97,"=36")&gt;=1 ),COUNTIF(D97:AK97,"")=0,COUNTIF(D97:AK97," ")=0,COUNTIF(D97:AK97,"F")=1),CONCATENATE(SUM(EXTRACTNUMBER(D97),EXTRACTNUMBER(F97),
EXTRACTNUMBER(H97),EXTRACTNUMBER(J97),
EXTRACTNUMBER(L97),EXTRACTNUMBER(N97),
EXTRACTNUMBER(P97),EXTRACTNUMBER(R97),
EXTRACTNUMBER(T97),EXTRACTNUMBER(V97),
EXTRACTNUMBER(X97),EXTRACTNUMBER(Z97),EXTRACTNUMBER(AB97),
EXTRACTNUMBER(AD97),EXTRACTNUMBER(AF97),EXTRACTNUMBER(AH97),EXTRACTNUMBER(AJ97)),"*"),IF(AND(COUNTIF(D97:AK97,"=34")&gt;=1,COUNTIF(D97:AK97,"=35")&gt;=1,COUNTIF(D97:AK97,"f")=2,COUNTIF(D97:AK97,"")=0,COUNTIF(D97:AK97," ")=0),CONCATENATE(SUM(EXTRACTNUMBER(D97),EXTRACTNUMBER(F97),
EXTRACTNUMBER(H97),EXTRACTNUMBER(J97),
EXTRACTNUMBER(L97),EXTRACTNUMBER(N97),
EXTRACTNUMBER(P97),EXTRACTNUMBER(R97),
EXTRACTNUMBER(T97),EXTRACTNUMBER(V97),
EXTRACTNUMBER(X97),EXTRACTNUMBER(Z97),EXTRACTNUMBER(AB97),
EXTRACTNUMBER(AD97),EXTRACTNUMBER(AF97),EXTRACTNUMBER(AH97),EXTRACTNUMBER(AJ97)),"*"),IF(AND(COUNTIF(D97:AK97,"=36")&gt;=2,COUNTIF(D97:AK97,"f")=2,COUNTIF(D97:AK97,"")=0,COUNTIF(D97:AK97," ")=0),CONCATENATE(SUM(EXTRACTNUMBER(D97),EXTRACTNUMBER(F97),
EXTRACTNUMBER(H97),EXTRACTNUMBER(J97),
EXTRACTNUMBER(L97),EXTRACTNUMBER(N97),
EXTRACTNUMBER(P97),EXTRACTNUMBER(R97),
EXTRACTNUMBER(T97),EXTRACTNUMBER(V97),
EXTRACTNUMBER(X97),EXTRACTNUMBER(Z97),EXTRACTNUMBER(AB97),
EXTRACTNUMBER(AD97),EXTRACTNUMBER(AF97),EXTRACTNUMBER(AH97),EXTRACTNUMBER(AJ97)),"*"),SUM(EXTRACTNUMBER(D97),EXTRACTNUMBER(F97),
EXTRACTNUMBER(H97),EXTRACTNUMBER(J97),
EXTRACTNUMBER(L97),EXTRACTNUMBER(N97),
EXTRACTNUMBER(P97),EXTRACTNUMBER(R97),
EXTRACTNUMBER(T97),EXTRACTNUMBER(V97),
EXTRACTNUMBER(X97),EXTRACTNUMBER(Z97),EXTRACTNUMBER(AB97),
EXTRACTNUMBER(AD97),EXTRACTNUMBER(AF97),EXTRACTNUMBER(AH97),EXTRACTNUMBER(AJ97))))),SUM(EXTRACTNUMBER(D97),EXTRACTNUMBER(F97),
EXTRACTNUMBER(H97),EXTRACTNUMBER(J97),
EXTRACTNUMBER(L97),EXTRACTNUMBER(N97),
EXTRACTNUMBER(P97),EXTRACTNUMBER(R97),
EXTRACTNUMBER(T97),EXTRACTNUMBER(V97),
EXTRACTNUMBER(X97),EXTRACTNUMBER(Z97),EXTRACTNUMBER(AB97),
EXTRACTNUMBER(AD97),EXTRACTNUMBER(AF97),EXTRACTNUMBER(AH97),EXTRACTNUMBER(AJ97)))</f>
        <v>513</v>
      </c>
      <c r="AM97" s="72" t="s">
        <v>266</v>
      </c>
      <c r="AN97" s="11">
        <f t="shared" si="21"/>
        <v>1033</v>
      </c>
      <c r="AO97" s="11" t="str">
        <f t="shared" si="40"/>
        <v>PASS</v>
      </c>
      <c r="AP97" s="11" t="str">
        <f t="shared" si="22"/>
        <v>I</v>
      </c>
      <c r="AQ97" s="1" t="str">
        <f t="shared" si="41"/>
        <v xml:space="preserve">One Thousand Thirty Three </v>
      </c>
    </row>
    <row r="98" spans="2:43" ht="15.95" customHeight="1">
      <c r="B98" s="67">
        <v>136271</v>
      </c>
      <c r="C98" s="21" t="s">
        <v>94</v>
      </c>
      <c r="D98" s="24">
        <v>40</v>
      </c>
      <c r="E98" s="9" t="str">
        <f t="shared" si="23"/>
        <v/>
      </c>
      <c r="F98" s="22">
        <v>22</v>
      </c>
      <c r="G98" s="9" t="str">
        <f t="shared" si="24"/>
        <v/>
      </c>
      <c r="H98" s="22">
        <v>44</v>
      </c>
      <c r="I98" s="9" t="str">
        <f t="shared" si="25"/>
        <v/>
      </c>
      <c r="J98" s="29">
        <v>50</v>
      </c>
      <c r="K98" s="9" t="str">
        <f t="shared" si="26"/>
        <v/>
      </c>
      <c r="L98" s="22">
        <v>22</v>
      </c>
      <c r="M98" s="9" t="str">
        <f t="shared" si="27"/>
        <v/>
      </c>
      <c r="N98" s="22">
        <v>22</v>
      </c>
      <c r="O98" s="9" t="str">
        <f t="shared" si="28"/>
        <v/>
      </c>
      <c r="P98" s="29">
        <v>60</v>
      </c>
      <c r="Q98" s="9" t="str">
        <f t="shared" si="29"/>
        <v/>
      </c>
      <c r="R98" s="22">
        <v>19</v>
      </c>
      <c r="S98" s="9" t="str">
        <f t="shared" si="30"/>
        <v/>
      </c>
      <c r="T98" s="22">
        <v>44</v>
      </c>
      <c r="U98" s="9" t="str">
        <f t="shared" si="31"/>
        <v/>
      </c>
      <c r="V98" s="29">
        <v>58</v>
      </c>
      <c r="W98" s="9" t="str">
        <f t="shared" si="32"/>
        <v/>
      </c>
      <c r="X98" s="22">
        <v>19</v>
      </c>
      <c r="Y98" s="9" t="str">
        <f t="shared" si="33"/>
        <v/>
      </c>
      <c r="Z98" s="22">
        <v>20</v>
      </c>
      <c r="AA98" s="9" t="str">
        <f t="shared" si="34"/>
        <v/>
      </c>
      <c r="AB98" s="29">
        <v>40</v>
      </c>
      <c r="AC98" s="9" t="str">
        <f t="shared" si="35"/>
        <v/>
      </c>
      <c r="AD98" s="22">
        <v>19</v>
      </c>
      <c r="AE98" s="9" t="str">
        <f t="shared" si="36"/>
        <v/>
      </c>
      <c r="AF98" s="22">
        <v>21</v>
      </c>
      <c r="AG98" s="9" t="str">
        <f t="shared" si="37"/>
        <v/>
      </c>
      <c r="AH98" s="22">
        <v>22</v>
      </c>
      <c r="AI98" s="9" t="str">
        <f t="shared" si="38"/>
        <v/>
      </c>
      <c r="AJ98" s="22">
        <v>23</v>
      </c>
      <c r="AK98" s="9" t="str">
        <f t="shared" si="39"/>
        <v/>
      </c>
      <c r="AL98" s="16">
        <f>IF(OR(AND(D98&gt;=31,D98&lt;40),AND(J98&gt;=31,J98&lt;40),AND(P98&gt;=31,P98&lt;40),AND(V98&gt;=31,V98&lt;40),AND(AB98&gt;=31,AB98&lt;40)),IF(AND(OR(COUNTIF(D98:AK98,"=31")&gt;=1,COUNTIF(D98:AK98,"=32")&gt;=1,COUNTIF(D98:AK98,"=33")&gt;=1,COUNTIF(D98:AK98,"=34")&gt;=1,COUNTIF(D98:AK98,"=35")&gt;=1,COUNTIF(D98:AK98,"=36")&gt;=1 ),COUNTIF(D98:AK98,"")=0,COUNTIF(D98:AK98," ")=0,COUNTIF(D98:AK98,"F")=1),CONCATENATE(SUM(EXTRACTNUMBER(D98),EXTRACTNUMBER(F98),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EXTRACTNUMBER(AD98),EXTRACTNUMBER(AF98),EXTRACTNUMBER(AH98),EXTRACTNUMBER(AJ98)),"*"),IF(AND(COUNTIF(D98:AK98,"=34")&gt;=1,COUNTIF(D98:AK98,"=35")&gt;=1,COUNTIF(D98:AK98,"f")=2,COUNTIF(D98:AK98,"")=0,COUNTIF(D98:AK98," ")=0),CONCATENATE(SUM(EXTRACTNUMBER(D98),EXTRACTNUMBER(F98),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EXTRACTNUMBER(AD98),EXTRACTNUMBER(AF98),EXTRACTNUMBER(AH98),EXTRACTNUMBER(AJ98)),"*"),IF(AND(COUNTIF(D98:AK98,"=36")&gt;=2,COUNTIF(D98:AK98,"f")=2,COUNTIF(D98:AK98,"")=0,COUNTIF(D98:AK98," ")=0),CONCATENATE(SUM(EXTRACTNUMBER(D98),EXTRACTNUMBER(F98),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EXTRACTNUMBER(AD98),EXTRACTNUMBER(AF98),EXTRACTNUMBER(AH98),EXTRACTNUMBER(AJ98)),"*"),SUM(EXTRACTNUMBER(D98),EXTRACTNUMBER(F98),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EXTRACTNUMBER(AD98),EXTRACTNUMBER(AF98),EXTRACTNUMBER(AH98),EXTRACTNUMBER(AJ98))))),SUM(EXTRACTNUMBER(D98),EXTRACTNUMBER(F98),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EXTRACTNUMBER(AD98),EXTRACTNUMBER(AF98),EXTRACTNUMBER(AH98),EXTRACTNUMBER(AJ98)))</f>
        <v>545</v>
      </c>
      <c r="AM98" s="72" t="s">
        <v>263</v>
      </c>
      <c r="AN98" s="11">
        <f t="shared" si="21"/>
        <v>1061</v>
      </c>
      <c r="AO98" s="11" t="str">
        <f t="shared" si="40"/>
        <v>PASS</v>
      </c>
      <c r="AP98" s="11" t="str">
        <f t="shared" si="22"/>
        <v>I</v>
      </c>
      <c r="AQ98" s="1" t="str">
        <f t="shared" si="41"/>
        <v xml:space="preserve">One Thousand Sixty One </v>
      </c>
    </row>
    <row r="99" spans="2:43" ht="15.95" customHeight="1">
      <c r="B99" s="67">
        <v>136272</v>
      </c>
      <c r="C99" s="21" t="s">
        <v>95</v>
      </c>
      <c r="D99" s="24">
        <v>48</v>
      </c>
      <c r="E99" s="9" t="str">
        <f t="shared" si="23"/>
        <v/>
      </c>
      <c r="F99" s="22">
        <v>19</v>
      </c>
      <c r="G99" s="9" t="str">
        <f t="shared" si="24"/>
        <v/>
      </c>
      <c r="H99" s="22">
        <v>42</v>
      </c>
      <c r="I99" s="9" t="str">
        <f t="shared" si="25"/>
        <v/>
      </c>
      <c r="J99" s="29">
        <v>40</v>
      </c>
      <c r="K99" s="9" t="str">
        <f t="shared" si="26"/>
        <v/>
      </c>
      <c r="L99" s="22">
        <v>20</v>
      </c>
      <c r="M99" s="9" t="str">
        <f t="shared" si="27"/>
        <v/>
      </c>
      <c r="N99" s="22">
        <v>21</v>
      </c>
      <c r="O99" s="9" t="str">
        <f t="shared" si="28"/>
        <v/>
      </c>
      <c r="P99" s="29">
        <v>54</v>
      </c>
      <c r="Q99" s="9" t="str">
        <f t="shared" si="29"/>
        <v/>
      </c>
      <c r="R99" s="22">
        <v>19</v>
      </c>
      <c r="S99" s="9" t="str">
        <f t="shared" si="30"/>
        <v/>
      </c>
      <c r="T99" s="22">
        <v>42</v>
      </c>
      <c r="U99" s="9" t="str">
        <f t="shared" si="31"/>
        <v/>
      </c>
      <c r="V99" s="29">
        <v>43</v>
      </c>
      <c r="W99" s="9" t="str">
        <f t="shared" si="32"/>
        <v/>
      </c>
      <c r="X99" s="22">
        <v>19</v>
      </c>
      <c r="Y99" s="9" t="str">
        <f t="shared" si="33"/>
        <v/>
      </c>
      <c r="Z99" s="22">
        <v>20</v>
      </c>
      <c r="AA99" s="9" t="str">
        <f t="shared" si="34"/>
        <v/>
      </c>
      <c r="AB99" s="29">
        <v>40</v>
      </c>
      <c r="AC99" s="9" t="str">
        <f t="shared" si="35"/>
        <v/>
      </c>
      <c r="AD99" s="22">
        <v>19</v>
      </c>
      <c r="AE99" s="9" t="str">
        <f t="shared" si="36"/>
        <v/>
      </c>
      <c r="AF99" s="22">
        <v>19</v>
      </c>
      <c r="AG99" s="9" t="str">
        <f t="shared" si="37"/>
        <v/>
      </c>
      <c r="AH99" s="22">
        <v>19</v>
      </c>
      <c r="AI99" s="9" t="str">
        <f t="shared" si="38"/>
        <v/>
      </c>
      <c r="AJ99" s="22">
        <v>21</v>
      </c>
      <c r="AK99" s="9" t="str">
        <f t="shared" si="39"/>
        <v/>
      </c>
      <c r="AL99" s="16">
        <f>IF(OR(AND(D99&gt;=31,D99&lt;40),AND(J99&gt;=31,J99&lt;40),AND(P99&gt;=31,P99&lt;40),AND(V99&gt;=31,V99&lt;40),AND(AB99&gt;=31,AB99&lt;40)),IF(AND(OR(COUNTIF(D99:AK99,"=31")&gt;=1,COUNTIF(D99:AK99,"=32")&gt;=1,COUNTIF(D99:AK99,"=33")&gt;=1,COUNTIF(D99:AK99,"=34")&gt;=1,COUNTIF(D99:AK99,"=35")&gt;=1,COUNTIF(D99:AK99,"=36")&gt;=1 ),COUNTIF(D99:AK99,"")=0,COUNTIF(D99:AK99," ")=0,COUNTIF(D99:AK99,"F")=1),CONCATENATE(SUM(EXTRACTNUMBER(D99),EXTRACTNUMBER(F99),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EXTRACTNUMBER(AD99),EXTRACTNUMBER(AF99),EXTRACTNUMBER(AH99),EXTRACTNUMBER(AJ99)),"*"),IF(AND(COUNTIF(D99:AK99,"=34")&gt;=1,COUNTIF(D99:AK99,"=35")&gt;=1,COUNTIF(D99:AK99,"f")=2,COUNTIF(D99:AK99,"")=0,COUNTIF(D99:AK99," ")=0),CONCATENATE(SUM(EXTRACTNUMBER(D99),EXTRACTNUMBER(F99),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EXTRACTNUMBER(AD99),EXTRACTNUMBER(AF99),EXTRACTNUMBER(AH99),EXTRACTNUMBER(AJ99)),"*"),IF(AND(COUNTIF(D99:AK99,"=36")&gt;=2,COUNTIF(D99:AK99,"f")=2,COUNTIF(D99:AK99,"")=0,COUNTIF(D99:AK99," ")=0),CONCATENATE(SUM(EXTRACTNUMBER(D99),EXTRACTNUMBER(F99),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EXTRACTNUMBER(AD99),EXTRACTNUMBER(AF99),EXTRACTNUMBER(AH99),EXTRACTNUMBER(AJ99)),"*"),SUM(EXTRACTNUMBER(D99),EXTRACTNUMBER(F99),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EXTRACTNUMBER(AD99),EXTRACTNUMBER(AF99),EXTRACTNUMBER(AH99),EXTRACTNUMBER(AJ99))))),SUM(EXTRACTNUMBER(D99),EXTRACTNUMBER(F99),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EXTRACTNUMBER(AD99),EXTRACTNUMBER(AF99),EXTRACTNUMBER(AH99),EXTRACTNUMBER(AJ99)))</f>
        <v>505</v>
      </c>
      <c r="AM99" s="72" t="s">
        <v>267</v>
      </c>
      <c r="AN99" s="11">
        <f t="shared" si="21"/>
        <v>997</v>
      </c>
      <c r="AO99" s="11" t="str">
        <f t="shared" si="40"/>
        <v>PASS</v>
      </c>
      <c r="AP99" s="11" t="str">
        <f t="shared" si="22"/>
        <v>II</v>
      </c>
      <c r="AQ99" s="1" t="str">
        <f t="shared" si="41"/>
        <v xml:space="preserve">Nine Hundred NinetySeven </v>
      </c>
    </row>
    <row r="100" spans="2:43" ht="15.95" customHeight="1">
      <c r="B100" s="67">
        <v>136273</v>
      </c>
      <c r="C100" s="21" t="s">
        <v>96</v>
      </c>
      <c r="D100" s="24">
        <v>51</v>
      </c>
      <c r="E100" s="9" t="str">
        <f t="shared" si="23"/>
        <v/>
      </c>
      <c r="F100" s="22">
        <v>20</v>
      </c>
      <c r="G100" s="9" t="str">
        <f t="shared" si="24"/>
        <v/>
      </c>
      <c r="H100" s="22">
        <v>38</v>
      </c>
      <c r="I100" s="9" t="str">
        <f t="shared" si="25"/>
        <v/>
      </c>
      <c r="J100" s="29">
        <v>56</v>
      </c>
      <c r="K100" s="9" t="str">
        <f t="shared" si="26"/>
        <v/>
      </c>
      <c r="L100" s="22">
        <v>20</v>
      </c>
      <c r="M100" s="9" t="str">
        <f t="shared" si="27"/>
        <v/>
      </c>
      <c r="N100" s="22">
        <v>19</v>
      </c>
      <c r="O100" s="9" t="str">
        <f t="shared" si="28"/>
        <v/>
      </c>
      <c r="P100" s="29">
        <v>65</v>
      </c>
      <c r="Q100" s="9" t="str">
        <f t="shared" si="29"/>
        <v/>
      </c>
      <c r="R100" s="22">
        <v>20</v>
      </c>
      <c r="S100" s="9" t="str">
        <f t="shared" si="30"/>
        <v/>
      </c>
      <c r="T100" s="22">
        <v>38</v>
      </c>
      <c r="U100" s="9" t="str">
        <f t="shared" si="31"/>
        <v/>
      </c>
      <c r="V100" s="29">
        <v>55</v>
      </c>
      <c r="W100" s="9" t="str">
        <f t="shared" si="32"/>
        <v/>
      </c>
      <c r="X100" s="22">
        <v>20</v>
      </c>
      <c r="Y100" s="9" t="str">
        <f t="shared" si="33"/>
        <v/>
      </c>
      <c r="Z100" s="22">
        <v>20</v>
      </c>
      <c r="AA100" s="9" t="str">
        <f t="shared" si="34"/>
        <v/>
      </c>
      <c r="AB100" s="29">
        <v>40</v>
      </c>
      <c r="AC100" s="9" t="str">
        <f t="shared" si="35"/>
        <v/>
      </c>
      <c r="AD100" s="22">
        <v>20</v>
      </c>
      <c r="AE100" s="9" t="str">
        <f t="shared" si="36"/>
        <v/>
      </c>
      <c r="AF100" s="22">
        <v>19</v>
      </c>
      <c r="AG100" s="9" t="str">
        <f t="shared" si="37"/>
        <v/>
      </c>
      <c r="AH100" s="22">
        <v>20</v>
      </c>
      <c r="AI100" s="9" t="str">
        <f t="shared" si="38"/>
        <v/>
      </c>
      <c r="AJ100" s="22">
        <v>21</v>
      </c>
      <c r="AK100" s="9" t="str">
        <f t="shared" si="39"/>
        <v/>
      </c>
      <c r="AL100" s="16">
        <f>IF(OR(AND(D100&gt;=31,D100&lt;40),AND(J100&gt;=31,J100&lt;40),AND(P100&gt;=31,P100&lt;40),AND(V100&gt;=31,V100&lt;40),AND(AB100&gt;=31,AB100&lt;40)),IF(AND(OR(COUNTIF(D100:AK100,"=31")&gt;=1,COUNTIF(D100:AK100,"=32")&gt;=1,COUNTIF(D100:AK100,"=33")&gt;=1,COUNTIF(D100:AK100,"=34")&gt;=1,COUNTIF(D100:AK100,"=35")&gt;=1,COUNTIF(D100:AK100,"=36")&gt;=1 ),COUNTIF(D100:AK100,"")=0,COUNTIF(D100:AK100," ")=0,COUNTIF(D100:AK100,"F")=1),CONCATENATE(SUM(EXTRACTNUMBER(D100),EXTRACTNUMBER(F100),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EXTRACTNUMBER(AD100),EXTRACTNUMBER(AF100),EXTRACTNUMBER(AH100),EXTRACTNUMBER(AJ100)),"*"),IF(AND(COUNTIF(D100:AK100,"=34")&gt;=1,COUNTIF(D100:AK100,"=35")&gt;=1,COUNTIF(D100:AK100,"f")=2,COUNTIF(D100:AK100,"")=0,COUNTIF(D100:AK100," ")=0),CONCATENATE(SUM(EXTRACTNUMBER(D100),EXTRACTNUMBER(F100),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EXTRACTNUMBER(AD100),EXTRACTNUMBER(AF100),EXTRACTNUMBER(AH100),EXTRACTNUMBER(AJ100)),"*"),IF(AND(COUNTIF(D100:AK100,"=36")&gt;=2,COUNTIF(D100:AK100,"f")=2,COUNTIF(D100:AK100,"")=0,COUNTIF(D100:AK100," ")=0),CONCATENATE(SUM(EXTRACTNUMBER(D100),EXTRACTNUMBER(F100),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EXTRACTNUMBER(AD100),EXTRACTNUMBER(AF100),EXTRACTNUMBER(AH100),EXTRACTNUMBER(AJ100)),"*"),SUM(EXTRACTNUMBER(D100),EXTRACTNUMBER(F100),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EXTRACTNUMBER(AD100),EXTRACTNUMBER(AF100),EXTRACTNUMBER(AH100),EXTRACTNUMBER(AJ100))))),SUM(EXTRACTNUMBER(D100),EXTRACTNUMBER(F100),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EXTRACTNUMBER(AD100),EXTRACTNUMBER(AF100),EXTRACTNUMBER(AH100),EXTRACTNUMBER(AJ100)))</f>
        <v>542</v>
      </c>
      <c r="AM100" s="72" t="s">
        <v>268</v>
      </c>
      <c r="AN100" s="11">
        <f t="shared" si="21"/>
        <v>1031</v>
      </c>
      <c r="AO100" s="11" t="str">
        <f t="shared" si="40"/>
        <v>PASS</v>
      </c>
      <c r="AP100" s="11" t="str">
        <f t="shared" si="22"/>
        <v>I</v>
      </c>
      <c r="AQ100" s="1" t="str">
        <f t="shared" si="41"/>
        <v xml:space="preserve">One Thousand Thirty One </v>
      </c>
    </row>
    <row r="101" spans="2:43" ht="15.95" customHeight="1">
      <c r="B101" s="67">
        <v>136274</v>
      </c>
      <c r="C101" s="21" t="s">
        <v>97</v>
      </c>
      <c r="D101" s="24">
        <v>60</v>
      </c>
      <c r="E101" s="9" t="str">
        <f t="shared" si="23"/>
        <v/>
      </c>
      <c r="F101" s="22">
        <v>20</v>
      </c>
      <c r="G101" s="9" t="str">
        <f t="shared" si="24"/>
        <v/>
      </c>
      <c r="H101" s="22">
        <v>42</v>
      </c>
      <c r="I101" s="9" t="str">
        <f t="shared" si="25"/>
        <v/>
      </c>
      <c r="J101" s="29">
        <v>47</v>
      </c>
      <c r="K101" s="9" t="str">
        <f t="shared" si="26"/>
        <v/>
      </c>
      <c r="L101" s="22">
        <v>20</v>
      </c>
      <c r="M101" s="9" t="str">
        <f t="shared" si="27"/>
        <v/>
      </c>
      <c r="N101" s="22">
        <v>21</v>
      </c>
      <c r="O101" s="9" t="str">
        <f t="shared" si="28"/>
        <v/>
      </c>
      <c r="P101" s="29">
        <v>61</v>
      </c>
      <c r="Q101" s="9" t="str">
        <f t="shared" si="29"/>
        <v/>
      </c>
      <c r="R101" s="22">
        <v>20</v>
      </c>
      <c r="S101" s="9" t="str">
        <f t="shared" si="30"/>
        <v/>
      </c>
      <c r="T101" s="22">
        <v>44</v>
      </c>
      <c r="U101" s="9" t="str">
        <f t="shared" si="31"/>
        <v/>
      </c>
      <c r="V101" s="29">
        <v>55</v>
      </c>
      <c r="W101" s="9" t="str">
        <f t="shared" si="32"/>
        <v/>
      </c>
      <c r="X101" s="22">
        <v>20</v>
      </c>
      <c r="Y101" s="9" t="str">
        <f t="shared" si="33"/>
        <v/>
      </c>
      <c r="Z101" s="22">
        <v>20</v>
      </c>
      <c r="AA101" s="9" t="str">
        <f t="shared" si="34"/>
        <v/>
      </c>
      <c r="AB101" s="29">
        <v>45</v>
      </c>
      <c r="AC101" s="9" t="str">
        <f t="shared" si="35"/>
        <v/>
      </c>
      <c r="AD101" s="22">
        <v>20</v>
      </c>
      <c r="AE101" s="9" t="str">
        <f t="shared" si="36"/>
        <v/>
      </c>
      <c r="AF101" s="22">
        <v>19</v>
      </c>
      <c r="AG101" s="9" t="str">
        <f t="shared" si="37"/>
        <v/>
      </c>
      <c r="AH101" s="22">
        <v>21</v>
      </c>
      <c r="AI101" s="9" t="str">
        <f t="shared" si="38"/>
        <v/>
      </c>
      <c r="AJ101" s="22">
        <v>21</v>
      </c>
      <c r="AK101" s="9" t="str">
        <f t="shared" si="39"/>
        <v/>
      </c>
      <c r="AL101" s="16">
        <f>IF(OR(AND(D101&gt;=31,D101&lt;40),AND(J101&gt;=31,J101&lt;40),AND(P101&gt;=31,P101&lt;40),AND(V101&gt;=31,V101&lt;40),AND(AB101&gt;=31,AB101&lt;40)),IF(AND(OR(COUNTIF(D101:AK101,"=31")&gt;=1,COUNTIF(D101:AK101,"=32")&gt;=1,COUNTIF(D101:AK101,"=33")&gt;=1,COUNTIF(D101:AK101,"=34")&gt;=1,COUNTIF(D101:AK101,"=35")&gt;=1,COUNTIF(D101:AK101,"=36")&gt;=1 ),COUNTIF(D101:AK101,"")=0,COUNTIF(D101:AK101," ")=0,COUNTIF(D101:AK101,"F")=1),CONCATENATE(SUM(EXTRACTNUMBER(D101),EXTRACTNUMBER(F101),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EXTRACTNUMBER(AD101),EXTRACTNUMBER(AF101),EXTRACTNUMBER(AH101),EXTRACTNUMBER(AJ101)),"*"),IF(AND(COUNTIF(D101:AK101,"=34")&gt;=1,COUNTIF(D101:AK101,"=35")&gt;=1,COUNTIF(D101:AK101,"f")=2,COUNTIF(D101:AK101,"")=0,COUNTIF(D101:AK101," ")=0),CONCATENATE(SUM(EXTRACTNUMBER(D101),EXTRACTNUMBER(F101),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EXTRACTNUMBER(AD101),EXTRACTNUMBER(AF101),EXTRACTNUMBER(AH101),EXTRACTNUMBER(AJ101)),"*"),IF(AND(COUNTIF(D101:AK101,"=36")&gt;=2,COUNTIF(D101:AK101,"f")=2,COUNTIF(D101:AK101,"")=0,COUNTIF(D101:AK101," ")=0),CONCATENATE(SUM(EXTRACTNUMBER(D101),EXTRACTNUMBER(F101),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EXTRACTNUMBER(AD101),EXTRACTNUMBER(AF101),EXTRACTNUMBER(AH101),EXTRACTNUMBER(AJ101)),"*"),SUM(EXTRACTNUMBER(D101),EXTRACTNUMBER(F101),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EXTRACTNUMBER(AD101),EXTRACTNUMBER(AF101),EXTRACTNUMBER(AH101),EXTRACTNUMBER(AJ101))))),SUM(EXTRACTNUMBER(D101),EXTRACTNUMBER(F101),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EXTRACTNUMBER(AD101),EXTRACTNUMBER(AF101),EXTRACTNUMBER(AH101),EXTRACTNUMBER(AJ101)))</f>
        <v>556</v>
      </c>
      <c r="AM101" s="72" t="s">
        <v>244</v>
      </c>
      <c r="AN101" s="11">
        <f t="shared" si="21"/>
        <v>1114</v>
      </c>
      <c r="AO101" s="11" t="str">
        <f t="shared" si="40"/>
        <v>PASS</v>
      </c>
      <c r="AP101" s="11" t="str">
        <f t="shared" si="22"/>
        <v>I</v>
      </c>
      <c r="AQ101" s="1" t="str">
        <f t="shared" si="41"/>
        <v xml:space="preserve">One Thousand One Hundred Fourteen </v>
      </c>
    </row>
    <row r="102" spans="2:43" ht="15.95" customHeight="1">
      <c r="B102" s="67">
        <v>136275</v>
      </c>
      <c r="C102" s="21" t="s">
        <v>98</v>
      </c>
      <c r="D102" s="24">
        <v>40</v>
      </c>
      <c r="E102" s="9" t="str">
        <f t="shared" si="23"/>
        <v/>
      </c>
      <c r="F102" s="22">
        <v>19</v>
      </c>
      <c r="G102" s="9" t="str">
        <f t="shared" si="24"/>
        <v/>
      </c>
      <c r="H102" s="22">
        <v>38</v>
      </c>
      <c r="I102" s="9" t="str">
        <f t="shared" si="25"/>
        <v/>
      </c>
      <c r="J102" s="29">
        <v>47</v>
      </c>
      <c r="K102" s="9" t="str">
        <f t="shared" si="26"/>
        <v/>
      </c>
      <c r="L102" s="22">
        <v>20</v>
      </c>
      <c r="M102" s="9" t="str">
        <f t="shared" si="27"/>
        <v/>
      </c>
      <c r="N102" s="22">
        <v>19</v>
      </c>
      <c r="O102" s="9" t="str">
        <f t="shared" si="28"/>
        <v/>
      </c>
      <c r="P102" s="29">
        <v>69</v>
      </c>
      <c r="Q102" s="9" t="str">
        <f t="shared" si="29"/>
        <v/>
      </c>
      <c r="R102" s="22">
        <v>22</v>
      </c>
      <c r="S102" s="9" t="str">
        <f t="shared" si="30"/>
        <v/>
      </c>
      <c r="T102" s="22">
        <v>38</v>
      </c>
      <c r="U102" s="9" t="str">
        <f t="shared" si="31"/>
        <v/>
      </c>
      <c r="V102" s="29">
        <v>66</v>
      </c>
      <c r="W102" s="9" t="str">
        <f t="shared" si="32"/>
        <v/>
      </c>
      <c r="X102" s="22">
        <v>22</v>
      </c>
      <c r="Y102" s="9" t="str">
        <f t="shared" si="33"/>
        <v/>
      </c>
      <c r="Z102" s="22">
        <v>22</v>
      </c>
      <c r="AA102" s="9" t="str">
        <f t="shared" si="34"/>
        <v/>
      </c>
      <c r="AB102" s="29">
        <v>53</v>
      </c>
      <c r="AC102" s="9" t="str">
        <f t="shared" si="35"/>
        <v/>
      </c>
      <c r="AD102" s="22">
        <v>22</v>
      </c>
      <c r="AE102" s="9" t="str">
        <f t="shared" si="36"/>
        <v/>
      </c>
      <c r="AF102" s="22">
        <v>18</v>
      </c>
      <c r="AG102" s="9" t="str">
        <f t="shared" si="37"/>
        <v/>
      </c>
      <c r="AH102" s="22">
        <v>22</v>
      </c>
      <c r="AI102" s="9" t="str">
        <f t="shared" si="38"/>
        <v/>
      </c>
      <c r="AJ102" s="22">
        <v>24</v>
      </c>
      <c r="AK102" s="9" t="str">
        <f t="shared" si="39"/>
        <v/>
      </c>
      <c r="AL102" s="16">
        <f>IF(OR(AND(D102&gt;=31,D102&lt;40),AND(J102&gt;=31,J102&lt;40),AND(P102&gt;=31,P102&lt;40),AND(V102&gt;=31,V102&lt;40),AND(AB102&gt;=31,AB102&lt;40)),IF(AND(OR(COUNTIF(D102:AK102,"=31")&gt;=1,COUNTIF(D102:AK102,"=32")&gt;=1,COUNTIF(D102:AK102,"=33")&gt;=1,COUNTIF(D102:AK102,"=34")&gt;=1,COUNTIF(D102:AK102,"=35")&gt;=1,COUNTIF(D102:AK102,"=36")&gt;=1 ),COUNTIF(D102:AK102,"")=0,COUNTIF(D102:AK102," ")=0,COUNTIF(D102:AK102,"F")=1),CONCATENATE(SUM(EXTRACTNUMBER(D102),EXTRACTNUMBER(F102),
EXTRACTNUMBER(H102),EXTRACTNUMBER(J102),
EXTRACTNUMBER(L102),EXTRACTNUMBER(N102),
EXTRACTNUMBER(P102),EXTRACTNUMBER(R102),
EXTRACTNUMBER(T102),EXTRACTNUMBER(V102),
EXTRACTNUMBER(X102),EXTRACTNUMBER(Z102),EXTRACTNUMBER(AB102),
EXTRACTNUMBER(AD102),EXTRACTNUMBER(AF102),EXTRACTNUMBER(AH102),EXTRACTNUMBER(AJ102)),"*"),IF(AND(COUNTIF(D102:AK102,"=34")&gt;=1,COUNTIF(D102:AK102,"=35")&gt;=1,COUNTIF(D102:AK102,"f")=2,COUNTIF(D102:AK102,"")=0,COUNTIF(D102:AK102," ")=0),CONCATENATE(SUM(EXTRACTNUMBER(D102),EXTRACTNUMBER(F102),
EXTRACTNUMBER(H102),EXTRACTNUMBER(J102),
EXTRACTNUMBER(L102),EXTRACTNUMBER(N102),
EXTRACTNUMBER(P102),EXTRACTNUMBER(R102),
EXTRACTNUMBER(T102),EXTRACTNUMBER(V102),
EXTRACTNUMBER(X102),EXTRACTNUMBER(Z102),EXTRACTNUMBER(AB102),
EXTRACTNUMBER(AD102),EXTRACTNUMBER(AF102),EXTRACTNUMBER(AH102),EXTRACTNUMBER(AJ102)),"*"),IF(AND(COUNTIF(D102:AK102,"=36")&gt;=2,COUNTIF(D102:AK102,"f")=2,COUNTIF(D102:AK102,"")=0,COUNTIF(D102:AK102," ")=0),CONCATENATE(SUM(EXTRACTNUMBER(D102),EXTRACTNUMBER(F102),
EXTRACTNUMBER(H102),EXTRACTNUMBER(J102),
EXTRACTNUMBER(L102),EXTRACTNUMBER(N102),
EXTRACTNUMBER(P102),EXTRACTNUMBER(R102),
EXTRACTNUMBER(T102),EXTRACTNUMBER(V102),
EXTRACTNUMBER(X102),EXTRACTNUMBER(Z102),EXTRACTNUMBER(AB102),
EXTRACTNUMBER(AD102),EXTRACTNUMBER(AF102),EXTRACTNUMBER(AH102),EXTRACTNUMBER(AJ102)),"*"),SUM(EXTRACTNUMBER(D102),EXTRACTNUMBER(F102),
EXTRACTNUMBER(H102),EXTRACTNUMBER(J102),
EXTRACTNUMBER(L102),EXTRACTNUMBER(N102),
EXTRACTNUMBER(P102),EXTRACTNUMBER(R102),
EXTRACTNUMBER(T102),EXTRACTNUMBER(V102),
EXTRACTNUMBER(X102),EXTRACTNUMBER(Z102),EXTRACTNUMBER(AB102),
EXTRACTNUMBER(AD102),EXTRACTNUMBER(AF102),EXTRACTNUMBER(AH102),EXTRACTNUMBER(AJ102))))),SUM(EXTRACTNUMBER(D102),EXTRACTNUMBER(F102),
EXTRACTNUMBER(H102),EXTRACTNUMBER(J102),
EXTRACTNUMBER(L102),EXTRACTNUMBER(N102),
EXTRACTNUMBER(P102),EXTRACTNUMBER(R102),
EXTRACTNUMBER(T102),EXTRACTNUMBER(V102),
EXTRACTNUMBER(X102),EXTRACTNUMBER(Z102),EXTRACTNUMBER(AB102),
EXTRACTNUMBER(AD102),EXTRACTNUMBER(AF102),EXTRACTNUMBER(AH102),EXTRACTNUMBER(AJ102)))</f>
        <v>561</v>
      </c>
      <c r="AM102" s="72" t="s">
        <v>269</v>
      </c>
      <c r="AN102" s="11">
        <f t="shared" si="21"/>
        <v>1091</v>
      </c>
      <c r="AO102" s="11" t="str">
        <f t="shared" si="40"/>
        <v>PASS</v>
      </c>
      <c r="AP102" s="11" t="str">
        <f t="shared" si="22"/>
        <v>I</v>
      </c>
      <c r="AQ102" s="1" t="str">
        <f t="shared" si="41"/>
        <v xml:space="preserve">One Thousand NinetyOne </v>
      </c>
    </row>
    <row r="103" spans="2:43" ht="15.95" customHeight="1">
      <c r="B103" s="67">
        <v>136276</v>
      </c>
      <c r="C103" s="21" t="s">
        <v>99</v>
      </c>
      <c r="D103" s="24">
        <v>61</v>
      </c>
      <c r="E103" s="9" t="str">
        <f t="shared" si="23"/>
        <v/>
      </c>
      <c r="F103" s="22">
        <v>21</v>
      </c>
      <c r="G103" s="9" t="str">
        <f t="shared" si="24"/>
        <v/>
      </c>
      <c r="H103" s="22">
        <v>46</v>
      </c>
      <c r="I103" s="9" t="str">
        <f t="shared" si="25"/>
        <v/>
      </c>
      <c r="J103" s="29">
        <v>59</v>
      </c>
      <c r="K103" s="9" t="str">
        <f t="shared" si="26"/>
        <v/>
      </c>
      <c r="L103" s="22">
        <v>21</v>
      </c>
      <c r="M103" s="9" t="str">
        <f t="shared" si="27"/>
        <v/>
      </c>
      <c r="N103" s="22">
        <v>23</v>
      </c>
      <c r="O103" s="9" t="str">
        <f t="shared" si="28"/>
        <v/>
      </c>
      <c r="P103" s="29">
        <v>59</v>
      </c>
      <c r="Q103" s="9" t="str">
        <f t="shared" si="29"/>
        <v/>
      </c>
      <c r="R103" s="22">
        <v>21</v>
      </c>
      <c r="S103" s="9" t="str">
        <f t="shared" si="30"/>
        <v/>
      </c>
      <c r="T103" s="22">
        <v>44</v>
      </c>
      <c r="U103" s="9" t="str">
        <f t="shared" si="31"/>
        <v/>
      </c>
      <c r="V103" s="29">
        <v>54</v>
      </c>
      <c r="W103" s="9" t="str">
        <f t="shared" si="32"/>
        <v/>
      </c>
      <c r="X103" s="22">
        <v>21</v>
      </c>
      <c r="Y103" s="9" t="str">
        <f t="shared" si="33"/>
        <v/>
      </c>
      <c r="Z103" s="22">
        <v>21</v>
      </c>
      <c r="AA103" s="9" t="str">
        <f t="shared" si="34"/>
        <v/>
      </c>
      <c r="AB103" s="29">
        <v>51</v>
      </c>
      <c r="AC103" s="9" t="str">
        <f t="shared" si="35"/>
        <v/>
      </c>
      <c r="AD103" s="22">
        <v>21</v>
      </c>
      <c r="AE103" s="9" t="str">
        <f t="shared" si="36"/>
        <v/>
      </c>
      <c r="AF103" s="22">
        <v>23</v>
      </c>
      <c r="AG103" s="9" t="str">
        <f t="shared" si="37"/>
        <v/>
      </c>
      <c r="AH103" s="22">
        <v>21</v>
      </c>
      <c r="AI103" s="9" t="str">
        <f t="shared" si="38"/>
        <v/>
      </c>
      <c r="AJ103" s="22">
        <v>21</v>
      </c>
      <c r="AK103" s="9" t="str">
        <f t="shared" si="39"/>
        <v/>
      </c>
      <c r="AL103" s="16">
        <f>IF(OR(AND(D103&gt;=31,D103&lt;40),AND(J103&gt;=31,J103&lt;40),AND(P103&gt;=31,P103&lt;40),AND(V103&gt;=31,V103&lt;40),AND(AB103&gt;=31,AB103&lt;40)),IF(AND(OR(COUNTIF(D103:AK103,"=31")&gt;=1,COUNTIF(D103:AK103,"=32")&gt;=1,COUNTIF(D103:AK103,"=33")&gt;=1,COUNTIF(D103:AK103,"=34")&gt;=1,COUNTIF(D103:AK103,"=35")&gt;=1,COUNTIF(D103:AK103,"=36")&gt;=1 ),COUNTIF(D103:AK103,"")=0,COUNTIF(D103:AK103," ")=0,COUNTIF(D103:AK103,"F")=1),CONCATENATE(SUM(EXTRACTNUMBER(D103),EXTRACTNUMBER(F103),
EXTRACTNUMBER(H103),EXTRACTNUMBER(J103),
EXTRACTNUMBER(L103),EXTRACTNUMBER(N103),
EXTRACTNUMBER(P103),EXTRACTNUMBER(R103),
EXTRACTNUMBER(T103),EXTRACTNUMBER(V103),
EXTRACTNUMBER(X103),EXTRACTNUMBER(Z103),EXTRACTNUMBER(AB103),
EXTRACTNUMBER(AD103),EXTRACTNUMBER(AF103),EXTRACTNUMBER(AH103),EXTRACTNUMBER(AJ103)),"*"),IF(AND(COUNTIF(D103:AK103,"=34")&gt;=1,COUNTIF(D103:AK103,"=35")&gt;=1,COUNTIF(D103:AK103,"f")=2,COUNTIF(D103:AK103,"")=0,COUNTIF(D103:AK103," ")=0),CONCATENATE(SUM(EXTRACTNUMBER(D103),EXTRACTNUMBER(F103),
EXTRACTNUMBER(H103),EXTRACTNUMBER(J103),
EXTRACTNUMBER(L103),EXTRACTNUMBER(N103),
EXTRACTNUMBER(P103),EXTRACTNUMBER(R103),
EXTRACTNUMBER(T103),EXTRACTNUMBER(V103),
EXTRACTNUMBER(X103),EXTRACTNUMBER(Z103),EXTRACTNUMBER(AB103),
EXTRACTNUMBER(AD103),EXTRACTNUMBER(AF103),EXTRACTNUMBER(AH103),EXTRACTNUMBER(AJ103)),"*"),IF(AND(COUNTIF(D103:AK103,"=36")&gt;=2,COUNTIF(D103:AK103,"f")=2,COUNTIF(D103:AK103,"")=0,COUNTIF(D103:AK103," ")=0),CONCATENATE(SUM(EXTRACTNUMBER(D103),EXTRACTNUMBER(F103),
EXTRACTNUMBER(H103),EXTRACTNUMBER(J103),
EXTRACTNUMBER(L103),EXTRACTNUMBER(N103),
EXTRACTNUMBER(P103),EXTRACTNUMBER(R103),
EXTRACTNUMBER(T103),EXTRACTNUMBER(V103),
EXTRACTNUMBER(X103),EXTRACTNUMBER(Z103),EXTRACTNUMBER(AB103),
EXTRACTNUMBER(AD103),EXTRACTNUMBER(AF103),EXTRACTNUMBER(AH103),EXTRACTNUMBER(AJ103)),"*"),SUM(EXTRACTNUMBER(D103),EXTRACTNUMBER(F103),
EXTRACTNUMBER(H103),EXTRACTNUMBER(J103),
EXTRACTNUMBER(L103),EXTRACTNUMBER(N103),
EXTRACTNUMBER(P103),EXTRACTNUMBER(R103),
EXTRACTNUMBER(T103),EXTRACTNUMBER(V103),
EXTRACTNUMBER(X103),EXTRACTNUMBER(Z103),EXTRACTNUMBER(AB103),
EXTRACTNUMBER(AD103),EXTRACTNUMBER(AF103),EXTRACTNUMBER(AH103),EXTRACTNUMBER(AJ103))))),SUM(EXTRACTNUMBER(D103),EXTRACTNUMBER(F103),
EXTRACTNUMBER(H103),EXTRACTNUMBER(J103),
EXTRACTNUMBER(L103),EXTRACTNUMBER(N103),
EXTRACTNUMBER(P103),EXTRACTNUMBER(R103),
EXTRACTNUMBER(T103),EXTRACTNUMBER(V103),
EXTRACTNUMBER(X103),EXTRACTNUMBER(Z103),EXTRACTNUMBER(AB103),
EXTRACTNUMBER(AD103),EXTRACTNUMBER(AF103),EXTRACTNUMBER(AH103),EXTRACTNUMBER(AJ103)))</f>
        <v>588</v>
      </c>
      <c r="AM103" s="72" t="s">
        <v>270</v>
      </c>
      <c r="AN103" s="11">
        <f t="shared" si="21"/>
        <v>1127</v>
      </c>
      <c r="AO103" s="11" t="str">
        <f t="shared" si="40"/>
        <v>PASS</v>
      </c>
      <c r="AP103" s="11" t="str">
        <f t="shared" si="22"/>
        <v>I</v>
      </c>
      <c r="AQ103" s="1" t="str">
        <f t="shared" si="41"/>
        <v xml:space="preserve">One Thousand One Hundred Twenty Seven </v>
      </c>
    </row>
    <row r="104" spans="2:43" ht="15.95" customHeight="1">
      <c r="B104" s="67">
        <v>136277</v>
      </c>
      <c r="C104" s="21" t="s">
        <v>100</v>
      </c>
      <c r="D104" s="24">
        <v>46</v>
      </c>
      <c r="E104" s="9" t="str">
        <f t="shared" si="23"/>
        <v/>
      </c>
      <c r="F104" s="22">
        <v>22</v>
      </c>
      <c r="G104" s="9" t="str">
        <f t="shared" si="24"/>
        <v/>
      </c>
      <c r="H104" s="22">
        <v>46</v>
      </c>
      <c r="I104" s="9" t="str">
        <f t="shared" si="25"/>
        <v/>
      </c>
      <c r="J104" s="29">
        <v>54</v>
      </c>
      <c r="K104" s="9" t="str">
        <f t="shared" si="26"/>
        <v/>
      </c>
      <c r="L104" s="22">
        <v>22</v>
      </c>
      <c r="M104" s="9" t="str">
        <f t="shared" si="27"/>
        <v/>
      </c>
      <c r="N104" s="22">
        <v>23</v>
      </c>
      <c r="O104" s="9" t="str">
        <f t="shared" si="28"/>
        <v/>
      </c>
      <c r="P104" s="29">
        <v>60</v>
      </c>
      <c r="Q104" s="9" t="str">
        <f t="shared" si="29"/>
        <v/>
      </c>
      <c r="R104" s="22">
        <v>22</v>
      </c>
      <c r="S104" s="9" t="str">
        <f t="shared" si="30"/>
        <v/>
      </c>
      <c r="T104" s="22">
        <v>44</v>
      </c>
      <c r="U104" s="9" t="str">
        <f t="shared" si="31"/>
        <v/>
      </c>
      <c r="V104" s="29">
        <v>55</v>
      </c>
      <c r="W104" s="9" t="str">
        <f t="shared" si="32"/>
        <v/>
      </c>
      <c r="X104" s="22">
        <v>22</v>
      </c>
      <c r="Y104" s="9" t="str">
        <f t="shared" si="33"/>
        <v/>
      </c>
      <c r="Z104" s="22">
        <v>22</v>
      </c>
      <c r="AA104" s="9" t="str">
        <f t="shared" si="34"/>
        <v/>
      </c>
      <c r="AB104" s="29">
        <v>43</v>
      </c>
      <c r="AC104" s="9" t="str">
        <f t="shared" si="35"/>
        <v/>
      </c>
      <c r="AD104" s="22">
        <v>22</v>
      </c>
      <c r="AE104" s="9" t="str">
        <f t="shared" si="36"/>
        <v/>
      </c>
      <c r="AF104" s="22">
        <v>22</v>
      </c>
      <c r="AG104" s="9" t="str">
        <f t="shared" si="37"/>
        <v/>
      </c>
      <c r="AH104" s="22">
        <v>22</v>
      </c>
      <c r="AI104" s="9" t="str">
        <f t="shared" si="38"/>
        <v/>
      </c>
      <c r="AJ104" s="22">
        <v>22</v>
      </c>
      <c r="AK104" s="9" t="str">
        <f t="shared" si="39"/>
        <v/>
      </c>
      <c r="AL104" s="16">
        <f>IF(OR(AND(D104&gt;=31,D104&lt;40),AND(J104&gt;=31,J104&lt;40),AND(P104&gt;=31,P104&lt;40),AND(V104&gt;=31,V104&lt;40),AND(AB104&gt;=31,AB104&lt;40)),IF(AND(OR(COUNTIF(D104:AK104,"=31")&gt;=1,COUNTIF(D104:AK104,"=32")&gt;=1,COUNTIF(D104:AK104,"=33")&gt;=1,COUNTIF(D104:AK104,"=34")&gt;=1,COUNTIF(D104:AK104,"=35")&gt;=1,COUNTIF(D104:AK104,"=36")&gt;=1 ),COUNTIF(D104:AK104,"")=0,COUNTIF(D104:AK104," ")=0,COUNTIF(D104:AK104,"F")=1),CONCATENATE(SUM(EXTRACTNUMBER(D104),EXTRACTNUMBER(F104),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EXTRACTNUMBER(AD104),EXTRACTNUMBER(AF104),EXTRACTNUMBER(AH104),EXTRACTNUMBER(AJ104)),"*"),IF(AND(COUNTIF(D104:AK104,"=34")&gt;=1,COUNTIF(D104:AK104,"=35")&gt;=1,COUNTIF(D104:AK104,"f")=2,COUNTIF(D104:AK104,"")=0,COUNTIF(D104:AK104," ")=0),CONCATENATE(SUM(EXTRACTNUMBER(D104),EXTRACTNUMBER(F104),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EXTRACTNUMBER(AD104),EXTRACTNUMBER(AF104),EXTRACTNUMBER(AH104),EXTRACTNUMBER(AJ104)),"*"),IF(AND(COUNTIF(D104:AK104,"=36")&gt;=2,COUNTIF(D104:AK104,"f")=2,COUNTIF(D104:AK104,"")=0,COUNTIF(D104:AK104," ")=0),CONCATENATE(SUM(EXTRACTNUMBER(D104),EXTRACTNUMBER(F104),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EXTRACTNUMBER(AD104),EXTRACTNUMBER(AF104),EXTRACTNUMBER(AH104),EXTRACTNUMBER(AJ104)),"*"),SUM(EXTRACTNUMBER(D104),EXTRACTNUMBER(F104),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EXTRACTNUMBER(AD104),EXTRACTNUMBER(AF104),EXTRACTNUMBER(AH104),EXTRACTNUMBER(AJ104))))),SUM(EXTRACTNUMBER(D104),EXTRACTNUMBER(F104),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EXTRACTNUMBER(AD104),EXTRACTNUMBER(AF104),EXTRACTNUMBER(AH104),EXTRACTNUMBER(AJ104)))</f>
        <v>569</v>
      </c>
      <c r="AM104" s="72" t="s">
        <v>242</v>
      </c>
      <c r="AN104" s="11">
        <f t="shared" si="21"/>
        <v>1103</v>
      </c>
      <c r="AO104" s="11" t="str">
        <f t="shared" si="40"/>
        <v>PASS</v>
      </c>
      <c r="AP104" s="11" t="str">
        <f t="shared" si="22"/>
        <v>I</v>
      </c>
      <c r="AQ104" s="1" t="str">
        <f t="shared" si="41"/>
        <v xml:space="preserve">One Thousand One Hundred Three </v>
      </c>
    </row>
    <row r="105" spans="2:43" ht="15.95" customHeight="1">
      <c r="B105" s="67">
        <v>136278</v>
      </c>
      <c r="C105" s="21" t="s">
        <v>101</v>
      </c>
      <c r="D105" s="24">
        <v>42</v>
      </c>
      <c r="E105" s="9" t="str">
        <f t="shared" si="23"/>
        <v/>
      </c>
      <c r="F105" s="22">
        <v>21</v>
      </c>
      <c r="G105" s="9" t="str">
        <f t="shared" si="24"/>
        <v/>
      </c>
      <c r="H105" s="22">
        <v>44</v>
      </c>
      <c r="I105" s="9" t="str">
        <f t="shared" si="25"/>
        <v/>
      </c>
      <c r="J105" s="29">
        <v>40</v>
      </c>
      <c r="K105" s="9" t="str">
        <f t="shared" si="26"/>
        <v/>
      </c>
      <c r="L105" s="22">
        <v>23</v>
      </c>
      <c r="M105" s="9" t="str">
        <f t="shared" si="27"/>
        <v/>
      </c>
      <c r="N105" s="22">
        <v>22</v>
      </c>
      <c r="O105" s="9" t="str">
        <f t="shared" si="28"/>
        <v/>
      </c>
      <c r="P105" s="29">
        <v>68</v>
      </c>
      <c r="Q105" s="9" t="str">
        <f t="shared" si="29"/>
        <v/>
      </c>
      <c r="R105" s="22">
        <v>22</v>
      </c>
      <c r="S105" s="9" t="str">
        <f t="shared" si="30"/>
        <v/>
      </c>
      <c r="T105" s="22">
        <v>46</v>
      </c>
      <c r="U105" s="9" t="str">
        <f t="shared" si="31"/>
        <v/>
      </c>
      <c r="V105" s="29">
        <v>52</v>
      </c>
      <c r="W105" s="9" t="str">
        <f t="shared" si="32"/>
        <v/>
      </c>
      <c r="X105" s="22">
        <v>22</v>
      </c>
      <c r="Y105" s="9" t="str">
        <f t="shared" si="33"/>
        <v/>
      </c>
      <c r="Z105" s="22">
        <v>21</v>
      </c>
      <c r="AA105" s="9" t="str">
        <f t="shared" si="34"/>
        <v/>
      </c>
      <c r="AB105" s="29">
        <v>45</v>
      </c>
      <c r="AC105" s="9" t="str">
        <f t="shared" si="35"/>
        <v/>
      </c>
      <c r="AD105" s="22">
        <v>22</v>
      </c>
      <c r="AE105" s="9" t="str">
        <f t="shared" si="36"/>
        <v/>
      </c>
      <c r="AF105" s="22">
        <v>21</v>
      </c>
      <c r="AG105" s="9" t="str">
        <f t="shared" si="37"/>
        <v/>
      </c>
      <c r="AH105" s="22">
        <v>23</v>
      </c>
      <c r="AI105" s="9" t="str">
        <f t="shared" si="38"/>
        <v/>
      </c>
      <c r="AJ105" s="22">
        <v>20</v>
      </c>
      <c r="AK105" s="9" t="str">
        <f t="shared" si="39"/>
        <v/>
      </c>
      <c r="AL105" s="16">
        <f>IF(OR(AND(D105&gt;=31,D105&lt;40),AND(J105&gt;=31,J105&lt;40),AND(P105&gt;=31,P105&lt;40),AND(V105&gt;=31,V105&lt;40),AND(AB105&gt;=31,AB105&lt;40)),IF(AND(OR(COUNTIF(D105:AK105,"=31")&gt;=1,COUNTIF(D105:AK105,"=32")&gt;=1,COUNTIF(D105:AK105,"=33")&gt;=1,COUNTIF(D105:AK105,"=34")&gt;=1,COUNTIF(D105:AK105,"=35")&gt;=1,COUNTIF(D105:AK105,"=36")&gt;=1 ),COUNTIF(D105:AK105,"")=0,COUNTIF(D105:AK105," ")=0,COUNTIF(D105:AK105,"F")=1),CONCATENATE(SUM(EXTRACTNUMBER(D105),EXTRACTNUMBER(F105),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EXTRACTNUMBER(AD105),EXTRACTNUMBER(AF105),EXTRACTNUMBER(AH105),EXTRACTNUMBER(AJ105)),"*"),IF(AND(COUNTIF(D105:AK105,"=34")&gt;=1,COUNTIF(D105:AK105,"=35")&gt;=1,COUNTIF(D105:AK105,"f")=2,COUNTIF(D105:AK105,"")=0,COUNTIF(D105:AK105," ")=0),CONCATENATE(SUM(EXTRACTNUMBER(D105),EXTRACTNUMBER(F105),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EXTRACTNUMBER(AD105),EXTRACTNUMBER(AF105),EXTRACTNUMBER(AH105),EXTRACTNUMBER(AJ105)),"*"),IF(AND(COUNTIF(D105:AK105,"=36")&gt;=2,COUNTIF(D105:AK105,"f")=2,COUNTIF(D105:AK105,"")=0,COUNTIF(D105:AK105," ")=0),CONCATENATE(SUM(EXTRACTNUMBER(D105),EXTRACTNUMBER(F105),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EXTRACTNUMBER(AD105),EXTRACTNUMBER(AF105),EXTRACTNUMBER(AH105),EXTRACTNUMBER(AJ105)),"*"),SUM(EXTRACTNUMBER(D105),EXTRACTNUMBER(F105),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EXTRACTNUMBER(AD105),EXTRACTNUMBER(AF105),EXTRACTNUMBER(AH105),EXTRACTNUMBER(AJ105))))),SUM(EXTRACTNUMBER(D105),EXTRACTNUMBER(F105),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EXTRACTNUMBER(AD105),EXTRACTNUMBER(AF105),EXTRACTNUMBER(AH105),EXTRACTNUMBER(AJ105)))</f>
        <v>554</v>
      </c>
      <c r="AM105" s="72" t="s">
        <v>271</v>
      </c>
      <c r="AN105" s="11">
        <f t="shared" si="21"/>
        <v>1070</v>
      </c>
      <c r="AO105" s="11" t="str">
        <f t="shared" si="40"/>
        <v>PASS</v>
      </c>
      <c r="AP105" s="11" t="str">
        <f t="shared" si="22"/>
        <v>I</v>
      </c>
      <c r="AQ105" s="1" t="str">
        <f t="shared" si="41"/>
        <v xml:space="preserve">One Thousand Seventy  </v>
      </c>
    </row>
    <row r="106" spans="2:43" ht="15.95" customHeight="1">
      <c r="B106" s="67">
        <v>136279</v>
      </c>
      <c r="C106" s="21" t="s">
        <v>102</v>
      </c>
      <c r="D106" s="24">
        <v>46</v>
      </c>
      <c r="E106" s="9" t="str">
        <f t="shared" si="23"/>
        <v>E</v>
      </c>
      <c r="F106" s="22">
        <v>19</v>
      </c>
      <c r="G106" s="9" t="str">
        <f t="shared" si="24"/>
        <v>E</v>
      </c>
      <c r="H106" s="22">
        <v>38</v>
      </c>
      <c r="I106" s="9" t="str">
        <f t="shared" si="25"/>
        <v>E</v>
      </c>
      <c r="J106" s="29">
        <v>29</v>
      </c>
      <c r="K106" s="9" t="str">
        <f t="shared" si="26"/>
        <v>F</v>
      </c>
      <c r="L106" s="22">
        <v>20</v>
      </c>
      <c r="M106" s="9" t="str">
        <f t="shared" si="27"/>
        <v>E</v>
      </c>
      <c r="N106" s="22">
        <v>19</v>
      </c>
      <c r="O106" s="9" t="str">
        <f t="shared" si="28"/>
        <v>E</v>
      </c>
      <c r="P106" s="29">
        <v>47</v>
      </c>
      <c r="Q106" s="9" t="str">
        <f t="shared" si="29"/>
        <v>E</v>
      </c>
      <c r="R106" s="22">
        <v>21</v>
      </c>
      <c r="S106" s="9" t="str">
        <f t="shared" si="30"/>
        <v>E</v>
      </c>
      <c r="T106" s="22">
        <v>38</v>
      </c>
      <c r="U106" s="9" t="str">
        <f t="shared" si="31"/>
        <v>E</v>
      </c>
      <c r="V106" s="29">
        <v>22</v>
      </c>
      <c r="W106" s="9" t="str">
        <f t="shared" si="32"/>
        <v>F</v>
      </c>
      <c r="X106" s="22">
        <v>22</v>
      </c>
      <c r="Y106" s="9" t="str">
        <f t="shared" si="33"/>
        <v>E</v>
      </c>
      <c r="Z106" s="22">
        <v>21</v>
      </c>
      <c r="AA106" s="9" t="str">
        <f t="shared" si="34"/>
        <v>E</v>
      </c>
      <c r="AB106" s="29">
        <v>41</v>
      </c>
      <c r="AC106" s="9" t="str">
        <f t="shared" si="35"/>
        <v>E</v>
      </c>
      <c r="AD106" s="22">
        <v>21</v>
      </c>
      <c r="AE106" s="9" t="str">
        <f t="shared" si="36"/>
        <v>E</v>
      </c>
      <c r="AF106" s="22">
        <v>21</v>
      </c>
      <c r="AG106" s="9" t="str">
        <f t="shared" si="37"/>
        <v>E</v>
      </c>
      <c r="AH106" s="22">
        <v>22</v>
      </c>
      <c r="AI106" s="9" t="str">
        <f t="shared" si="38"/>
        <v>E</v>
      </c>
      <c r="AJ106" s="22">
        <v>21</v>
      </c>
      <c r="AK106" s="9" t="str">
        <f t="shared" si="39"/>
        <v>E</v>
      </c>
      <c r="AL106" s="16">
        <f>IF(OR(AND(D106&gt;=31,D106&lt;40),AND(J106&gt;=31,J106&lt;40),AND(P106&gt;=31,P106&lt;40),AND(V106&gt;=31,V106&lt;40),AND(AB106&gt;=31,AB106&lt;40)),IF(AND(OR(COUNTIF(D106:AK106,"=31")&gt;=1,COUNTIF(D106:AK106,"=32")&gt;=1,COUNTIF(D106:AK106,"=33")&gt;=1,COUNTIF(D106:AK106,"=34")&gt;=1,COUNTIF(D106:AK106,"=35")&gt;=1,COUNTIF(D106:AK106,"=36")&gt;=1 ),COUNTIF(D106:AK106,"")=0,COUNTIF(D106:AK106," ")=0,COUNTIF(D106:AK106,"F")=1),CONCATENATE(SUM(EXTRACTNUMBER(D106),EXTRACTNUMBER(F106),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EXTRACTNUMBER(AD106),EXTRACTNUMBER(AF106),EXTRACTNUMBER(AH106),EXTRACTNUMBER(AJ106)),"*"),IF(AND(COUNTIF(D106:AK106,"=34")&gt;=1,COUNTIF(D106:AK106,"=35")&gt;=1,COUNTIF(D106:AK106,"f")=2,COUNTIF(D106:AK106,"")=0,COUNTIF(D106:AK106," ")=0),CONCATENATE(SUM(EXTRACTNUMBER(D106),EXTRACTNUMBER(F106),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EXTRACTNUMBER(AD106),EXTRACTNUMBER(AF106),EXTRACTNUMBER(AH106),EXTRACTNUMBER(AJ106)),"*"),IF(AND(COUNTIF(D106:AK106,"=36")&gt;=2,COUNTIF(D106:AK106,"f")=2,COUNTIF(D106:AK106,"")=0,COUNTIF(D106:AK106," ")=0),CONCATENATE(SUM(EXTRACTNUMBER(D106),EXTRACTNUMBER(F106),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EXTRACTNUMBER(AD106),EXTRACTNUMBER(AF106),EXTRACTNUMBER(AH106),EXTRACTNUMBER(AJ106)),"*"),SUM(EXTRACTNUMBER(D106),EXTRACTNUMBER(F106),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EXTRACTNUMBER(AD106),EXTRACTNUMBER(AF106),EXTRACTNUMBER(AH106),EXTRACTNUMBER(AJ106))))),SUM(EXTRACTNUMBER(D106),EXTRACTNUMBER(F106),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EXTRACTNUMBER(AD106),EXTRACTNUMBER(AF106),EXTRACTNUMBER(AH106),EXTRACTNUMBER(AJ106)))</f>
        <v>468</v>
      </c>
      <c r="AM106" s="72" t="s">
        <v>272</v>
      </c>
      <c r="AN106" s="11">
        <f t="shared" si="21"/>
        <v>949</v>
      </c>
      <c r="AO106" s="11" t="str">
        <f t="shared" si="40"/>
        <v>FAIL</v>
      </c>
      <c r="AP106" s="11" t="str">
        <f t="shared" si="22"/>
        <v>--</v>
      </c>
      <c r="AQ106" s="1" t="str">
        <f t="shared" si="41"/>
        <v xml:space="preserve">Nine Hundred Forty Nine </v>
      </c>
    </row>
    <row r="107" spans="2:43" ht="15.95" customHeight="1">
      <c r="B107" s="67">
        <v>136280</v>
      </c>
      <c r="C107" s="21" t="s">
        <v>103</v>
      </c>
      <c r="D107" s="24">
        <v>53</v>
      </c>
      <c r="E107" s="9" t="str">
        <f t="shared" si="23"/>
        <v/>
      </c>
      <c r="F107" s="22">
        <v>23</v>
      </c>
      <c r="G107" s="9" t="str">
        <f t="shared" si="24"/>
        <v/>
      </c>
      <c r="H107" s="22">
        <v>38</v>
      </c>
      <c r="I107" s="9" t="str">
        <f t="shared" si="25"/>
        <v/>
      </c>
      <c r="J107" s="29">
        <v>63</v>
      </c>
      <c r="K107" s="9" t="str">
        <f t="shared" si="26"/>
        <v/>
      </c>
      <c r="L107" s="22">
        <v>23</v>
      </c>
      <c r="M107" s="9" t="str">
        <f t="shared" si="27"/>
        <v/>
      </c>
      <c r="N107" s="22">
        <v>19</v>
      </c>
      <c r="O107" s="9" t="str">
        <f t="shared" si="28"/>
        <v/>
      </c>
      <c r="P107" s="29">
        <v>67</v>
      </c>
      <c r="Q107" s="9" t="str">
        <f t="shared" si="29"/>
        <v/>
      </c>
      <c r="R107" s="22">
        <v>23</v>
      </c>
      <c r="S107" s="9" t="str">
        <f t="shared" si="30"/>
        <v/>
      </c>
      <c r="T107" s="22">
        <v>38</v>
      </c>
      <c r="U107" s="9" t="str">
        <f t="shared" si="31"/>
        <v/>
      </c>
      <c r="V107" s="29">
        <v>66</v>
      </c>
      <c r="W107" s="9" t="str">
        <f t="shared" si="32"/>
        <v/>
      </c>
      <c r="X107" s="22">
        <v>23</v>
      </c>
      <c r="Y107" s="9" t="str">
        <f t="shared" si="33"/>
        <v/>
      </c>
      <c r="Z107" s="22">
        <v>22</v>
      </c>
      <c r="AA107" s="9" t="str">
        <f t="shared" si="34"/>
        <v/>
      </c>
      <c r="AB107" s="29">
        <v>55</v>
      </c>
      <c r="AC107" s="9" t="str">
        <f t="shared" si="35"/>
        <v/>
      </c>
      <c r="AD107" s="22">
        <v>23</v>
      </c>
      <c r="AE107" s="9" t="str">
        <f t="shared" si="36"/>
        <v/>
      </c>
      <c r="AF107" s="22">
        <v>18</v>
      </c>
      <c r="AG107" s="9" t="str">
        <f t="shared" si="37"/>
        <v/>
      </c>
      <c r="AH107" s="22">
        <v>23</v>
      </c>
      <c r="AI107" s="9" t="str">
        <f t="shared" si="38"/>
        <v/>
      </c>
      <c r="AJ107" s="22">
        <v>23</v>
      </c>
      <c r="AK107" s="9" t="str">
        <f t="shared" si="39"/>
        <v/>
      </c>
      <c r="AL107" s="16">
        <f>IF(OR(AND(D107&gt;=31,D107&lt;40),AND(J107&gt;=31,J107&lt;40),AND(P107&gt;=31,P107&lt;40),AND(V107&gt;=31,V107&lt;40),AND(AB107&gt;=31,AB107&lt;40)),IF(AND(OR(COUNTIF(D107:AK107,"=31")&gt;=1,COUNTIF(D107:AK107,"=32")&gt;=1,COUNTIF(D107:AK107,"=33")&gt;=1,COUNTIF(D107:AK107,"=34")&gt;=1,COUNTIF(D107:AK107,"=35")&gt;=1,COUNTIF(D107:AK107,"=36")&gt;=1 ),COUNTIF(D107:AK107,"")=0,COUNTIF(D107:AK107," ")=0,COUNTIF(D107:AK107,"F")=1),CONCATENATE(SUM(EXTRACTNUMBER(D107),EXTRACTNUMBER(F107),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EXTRACTNUMBER(AD107),EXTRACTNUMBER(AF107),EXTRACTNUMBER(AH107),EXTRACTNUMBER(AJ107)),"*"),IF(AND(COUNTIF(D107:AK107,"=34")&gt;=1,COUNTIF(D107:AK107,"=35")&gt;=1,COUNTIF(D107:AK107,"f")=2,COUNTIF(D107:AK107,"")=0,COUNTIF(D107:AK107," ")=0),CONCATENATE(SUM(EXTRACTNUMBER(D107),EXTRACTNUMBER(F107),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EXTRACTNUMBER(AD107),EXTRACTNUMBER(AF107),EXTRACTNUMBER(AH107),EXTRACTNUMBER(AJ107)),"*"),IF(AND(COUNTIF(D107:AK107,"=36")&gt;=2,COUNTIF(D107:AK107,"f")=2,COUNTIF(D107:AK107,"")=0,COUNTIF(D107:AK107," ")=0),CONCATENATE(SUM(EXTRACTNUMBER(D107),EXTRACTNUMBER(F107),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EXTRACTNUMBER(AD107),EXTRACTNUMBER(AF107),EXTRACTNUMBER(AH107),EXTRACTNUMBER(AJ107)),"*"),SUM(EXTRACTNUMBER(D107),EXTRACTNUMBER(F107),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EXTRACTNUMBER(AD107),EXTRACTNUMBER(AF107),EXTRACTNUMBER(AH107),EXTRACTNUMBER(AJ107))))),SUM(EXTRACTNUMBER(D107),EXTRACTNUMBER(F107),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EXTRACTNUMBER(AD107),EXTRACTNUMBER(AF107),EXTRACTNUMBER(AH107),EXTRACTNUMBER(AJ107)))</f>
        <v>600</v>
      </c>
      <c r="AM107" s="72" t="s">
        <v>273</v>
      </c>
      <c r="AN107" s="11">
        <f t="shared" si="21"/>
        <v>1198</v>
      </c>
      <c r="AO107" s="11" t="str">
        <f t="shared" si="40"/>
        <v>PASS</v>
      </c>
      <c r="AP107" s="11" t="str">
        <f t="shared" si="22"/>
        <v>I</v>
      </c>
      <c r="AQ107" s="1" t="str">
        <f t="shared" si="41"/>
        <v xml:space="preserve">One Thousand One Hundred NinetyEight </v>
      </c>
    </row>
    <row r="108" spans="2:43" ht="15.95" customHeight="1">
      <c r="B108" s="67">
        <v>136281</v>
      </c>
      <c r="C108" s="21" t="s">
        <v>104</v>
      </c>
      <c r="D108" s="24">
        <v>41</v>
      </c>
      <c r="E108" s="9" t="str">
        <f t="shared" si="23"/>
        <v/>
      </c>
      <c r="F108" s="22">
        <v>19</v>
      </c>
      <c r="G108" s="9" t="str">
        <f t="shared" si="24"/>
        <v/>
      </c>
      <c r="H108" s="22">
        <v>38</v>
      </c>
      <c r="I108" s="9" t="str">
        <f t="shared" si="25"/>
        <v/>
      </c>
      <c r="J108" s="29">
        <v>46</v>
      </c>
      <c r="K108" s="9" t="str">
        <f t="shared" si="26"/>
        <v/>
      </c>
      <c r="L108" s="22">
        <v>20</v>
      </c>
      <c r="M108" s="9" t="str">
        <f t="shared" si="27"/>
        <v/>
      </c>
      <c r="N108" s="22">
        <v>19</v>
      </c>
      <c r="O108" s="9" t="str">
        <f t="shared" si="28"/>
        <v/>
      </c>
      <c r="P108" s="29">
        <v>64</v>
      </c>
      <c r="Q108" s="9" t="str">
        <f t="shared" si="29"/>
        <v/>
      </c>
      <c r="R108" s="22">
        <v>21</v>
      </c>
      <c r="S108" s="9" t="str">
        <f t="shared" si="30"/>
        <v/>
      </c>
      <c r="T108" s="22">
        <v>38</v>
      </c>
      <c r="U108" s="9" t="str">
        <f t="shared" si="31"/>
        <v/>
      </c>
      <c r="V108" s="29">
        <v>61</v>
      </c>
      <c r="W108" s="9" t="str">
        <f t="shared" si="32"/>
        <v/>
      </c>
      <c r="X108" s="22">
        <v>21</v>
      </c>
      <c r="Y108" s="9" t="str">
        <f t="shared" si="33"/>
        <v/>
      </c>
      <c r="Z108" s="22">
        <v>21</v>
      </c>
      <c r="AA108" s="9" t="str">
        <f t="shared" si="34"/>
        <v/>
      </c>
      <c r="AB108" s="29">
        <v>43</v>
      </c>
      <c r="AC108" s="9" t="str">
        <f t="shared" si="35"/>
        <v/>
      </c>
      <c r="AD108" s="22">
        <v>21</v>
      </c>
      <c r="AE108" s="9" t="str">
        <f t="shared" si="36"/>
        <v/>
      </c>
      <c r="AF108" s="22">
        <v>22</v>
      </c>
      <c r="AG108" s="9" t="str">
        <f t="shared" si="37"/>
        <v/>
      </c>
      <c r="AH108" s="22">
        <v>21</v>
      </c>
      <c r="AI108" s="9" t="str">
        <f t="shared" si="38"/>
        <v/>
      </c>
      <c r="AJ108" s="22">
        <v>21</v>
      </c>
      <c r="AK108" s="9" t="str">
        <f t="shared" si="39"/>
        <v/>
      </c>
      <c r="AL108" s="16">
        <f>IF(OR(AND(D108&gt;=31,D108&lt;40),AND(J108&gt;=31,J108&lt;40),AND(P108&gt;=31,P108&lt;40),AND(V108&gt;=31,V108&lt;40),AND(AB108&gt;=31,AB108&lt;40)),IF(AND(OR(COUNTIF(D108:AK108,"=31")&gt;=1,COUNTIF(D108:AK108,"=32")&gt;=1,COUNTIF(D108:AK108,"=33")&gt;=1,COUNTIF(D108:AK108,"=34")&gt;=1,COUNTIF(D108:AK108,"=35")&gt;=1,COUNTIF(D108:AK108,"=36")&gt;=1 ),COUNTIF(D108:AK108,"")=0,COUNTIF(D108:AK108," ")=0,COUNTIF(D108:AK108,"F")=1),CONCATENATE(SUM(EXTRACTNUMBER(D108),EXTRACTNUMBER(F108),
EXTRACTNUMBER(H108),EXTRACTNUMBER(J108),
EXTRACTNUMBER(L108),EXTRACTNUMBER(N108),
EXTRACTNUMBER(P108),EXTRACTNUMBER(R108),
EXTRACTNUMBER(T108),EXTRACTNUMBER(V108),
EXTRACTNUMBER(X108),EXTRACTNUMBER(Z108),EXTRACTNUMBER(AB108),
EXTRACTNUMBER(AD108),EXTRACTNUMBER(AF108),EXTRACTNUMBER(AH108),EXTRACTNUMBER(AJ108)),"*"),IF(AND(COUNTIF(D108:AK108,"=34")&gt;=1,COUNTIF(D108:AK108,"=35")&gt;=1,COUNTIF(D108:AK108,"f")=2,COUNTIF(D108:AK108,"")=0,COUNTIF(D108:AK108," ")=0),CONCATENATE(SUM(EXTRACTNUMBER(D108),EXTRACTNUMBER(F108),
EXTRACTNUMBER(H108),EXTRACTNUMBER(J108),
EXTRACTNUMBER(L108),EXTRACTNUMBER(N108),
EXTRACTNUMBER(P108),EXTRACTNUMBER(R108),
EXTRACTNUMBER(T108),EXTRACTNUMBER(V108),
EXTRACTNUMBER(X108),EXTRACTNUMBER(Z108),EXTRACTNUMBER(AB108),
EXTRACTNUMBER(AD108),EXTRACTNUMBER(AF108),EXTRACTNUMBER(AH108),EXTRACTNUMBER(AJ108)),"*"),IF(AND(COUNTIF(D108:AK108,"=36")&gt;=2,COUNTIF(D108:AK108,"f")=2,COUNTIF(D108:AK108,"")=0,COUNTIF(D108:AK108," ")=0),CONCATENATE(SUM(EXTRACTNUMBER(D108),EXTRACTNUMBER(F108),
EXTRACTNUMBER(H108),EXTRACTNUMBER(J108),
EXTRACTNUMBER(L108),EXTRACTNUMBER(N108),
EXTRACTNUMBER(P108),EXTRACTNUMBER(R108),
EXTRACTNUMBER(T108),EXTRACTNUMBER(V108),
EXTRACTNUMBER(X108),EXTRACTNUMBER(Z108),EXTRACTNUMBER(AB108),
EXTRACTNUMBER(AD108),EXTRACTNUMBER(AF108),EXTRACTNUMBER(AH108),EXTRACTNUMBER(AJ108)),"*"),SUM(EXTRACTNUMBER(D108),EXTRACTNUMBER(F108),
EXTRACTNUMBER(H108),EXTRACTNUMBER(J108),
EXTRACTNUMBER(L108),EXTRACTNUMBER(N108),
EXTRACTNUMBER(P108),EXTRACTNUMBER(R108),
EXTRACTNUMBER(T108),EXTRACTNUMBER(V108),
EXTRACTNUMBER(X108),EXTRACTNUMBER(Z108),EXTRACTNUMBER(AB108),
EXTRACTNUMBER(AD108),EXTRACTNUMBER(AF108),EXTRACTNUMBER(AH108),EXTRACTNUMBER(AJ108))))),SUM(EXTRACTNUMBER(D108),EXTRACTNUMBER(F108),
EXTRACTNUMBER(H108),EXTRACTNUMBER(J108),
EXTRACTNUMBER(L108),EXTRACTNUMBER(N108),
EXTRACTNUMBER(P108),EXTRACTNUMBER(R108),
EXTRACTNUMBER(T108),EXTRACTNUMBER(V108),
EXTRACTNUMBER(X108),EXTRACTNUMBER(Z108),EXTRACTNUMBER(AB108),
EXTRACTNUMBER(AD108),EXTRACTNUMBER(AF108),EXTRACTNUMBER(AH108),EXTRACTNUMBER(AJ108)))</f>
        <v>537</v>
      </c>
      <c r="AM108" s="72" t="s">
        <v>274</v>
      </c>
      <c r="AN108" s="11">
        <f t="shared" si="21"/>
        <v>1041</v>
      </c>
      <c r="AO108" s="11" t="str">
        <f t="shared" si="40"/>
        <v>PASS</v>
      </c>
      <c r="AP108" s="11" t="str">
        <f t="shared" si="22"/>
        <v>I</v>
      </c>
      <c r="AQ108" s="1" t="str">
        <f t="shared" si="41"/>
        <v xml:space="preserve">One Thousand Forty One </v>
      </c>
    </row>
    <row r="109" spans="2:43" ht="15.95" customHeight="1">
      <c r="B109" s="67">
        <v>136282</v>
      </c>
      <c r="C109" s="21" t="s">
        <v>105</v>
      </c>
      <c r="D109" s="24">
        <v>52</v>
      </c>
      <c r="E109" s="9" t="str">
        <f t="shared" si="23"/>
        <v/>
      </c>
      <c r="F109" s="22">
        <v>21</v>
      </c>
      <c r="G109" s="9" t="str">
        <f t="shared" si="24"/>
        <v/>
      </c>
      <c r="H109" s="22">
        <v>46</v>
      </c>
      <c r="I109" s="9" t="str">
        <f t="shared" si="25"/>
        <v/>
      </c>
      <c r="J109" s="29">
        <v>48</v>
      </c>
      <c r="K109" s="9" t="str">
        <f t="shared" si="26"/>
        <v/>
      </c>
      <c r="L109" s="22">
        <v>21</v>
      </c>
      <c r="M109" s="9" t="str">
        <f t="shared" si="27"/>
        <v/>
      </c>
      <c r="N109" s="22">
        <v>23</v>
      </c>
      <c r="O109" s="9" t="str">
        <f t="shared" si="28"/>
        <v/>
      </c>
      <c r="P109" s="29">
        <v>56</v>
      </c>
      <c r="Q109" s="9" t="str">
        <f t="shared" si="29"/>
        <v/>
      </c>
      <c r="R109" s="22">
        <v>21</v>
      </c>
      <c r="S109" s="9" t="str">
        <f t="shared" si="30"/>
        <v/>
      </c>
      <c r="T109" s="22">
        <v>42</v>
      </c>
      <c r="U109" s="9" t="str">
        <f t="shared" si="31"/>
        <v/>
      </c>
      <c r="V109" s="29">
        <v>57</v>
      </c>
      <c r="W109" s="9" t="str">
        <f t="shared" si="32"/>
        <v/>
      </c>
      <c r="X109" s="22">
        <v>21</v>
      </c>
      <c r="Y109" s="9" t="str">
        <f t="shared" si="33"/>
        <v/>
      </c>
      <c r="Z109" s="22">
        <v>21</v>
      </c>
      <c r="AA109" s="9" t="str">
        <f t="shared" si="34"/>
        <v/>
      </c>
      <c r="AB109" s="29">
        <v>40</v>
      </c>
      <c r="AC109" s="9" t="str">
        <f t="shared" si="35"/>
        <v/>
      </c>
      <c r="AD109" s="22">
        <v>21</v>
      </c>
      <c r="AE109" s="9" t="str">
        <f t="shared" si="36"/>
        <v/>
      </c>
      <c r="AF109" s="22">
        <v>21</v>
      </c>
      <c r="AG109" s="9" t="str">
        <f t="shared" si="37"/>
        <v/>
      </c>
      <c r="AH109" s="22">
        <v>21</v>
      </c>
      <c r="AI109" s="9" t="str">
        <f t="shared" si="38"/>
        <v/>
      </c>
      <c r="AJ109" s="22">
        <v>22</v>
      </c>
      <c r="AK109" s="9" t="str">
        <f t="shared" si="39"/>
        <v/>
      </c>
      <c r="AL109" s="16">
        <f>IF(OR(AND(D109&gt;=31,D109&lt;40),AND(J109&gt;=31,J109&lt;40),AND(P109&gt;=31,P109&lt;40),AND(V109&gt;=31,V109&lt;40),AND(AB109&gt;=31,AB109&lt;40)),IF(AND(OR(COUNTIF(D109:AK109,"=31")&gt;=1,COUNTIF(D109:AK109,"=32")&gt;=1,COUNTIF(D109:AK109,"=33")&gt;=1,COUNTIF(D109:AK109,"=34")&gt;=1,COUNTIF(D109:AK109,"=35")&gt;=1,COUNTIF(D109:AK109,"=36")&gt;=1 ),COUNTIF(D109:AK109,"")=0,COUNTIF(D109:AK109," ")=0,COUNTIF(D109:AK109,"F")=1),CONCATENATE(SUM(EXTRACTNUMBER(D109),EXTRACTNUMBER(F109),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EXTRACTNUMBER(AD109),EXTRACTNUMBER(AF109),EXTRACTNUMBER(AH109),EXTRACTNUMBER(AJ109)),"*"),IF(AND(COUNTIF(D109:AK109,"=34")&gt;=1,COUNTIF(D109:AK109,"=35")&gt;=1,COUNTIF(D109:AK109,"f")=2,COUNTIF(D109:AK109,"")=0,COUNTIF(D109:AK109," ")=0),CONCATENATE(SUM(EXTRACTNUMBER(D109),EXTRACTNUMBER(F109),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EXTRACTNUMBER(AD109),EXTRACTNUMBER(AF109),EXTRACTNUMBER(AH109),EXTRACTNUMBER(AJ109)),"*"),IF(AND(COUNTIF(D109:AK109,"=36")&gt;=2,COUNTIF(D109:AK109,"f")=2,COUNTIF(D109:AK109,"")=0,COUNTIF(D109:AK109," ")=0),CONCATENATE(SUM(EXTRACTNUMBER(D109),EXTRACTNUMBER(F109),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EXTRACTNUMBER(AD109),EXTRACTNUMBER(AF109),EXTRACTNUMBER(AH109),EXTRACTNUMBER(AJ109)),"*"),SUM(EXTRACTNUMBER(D109),EXTRACTNUMBER(F109),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EXTRACTNUMBER(AD109),EXTRACTNUMBER(AF109),EXTRACTNUMBER(AH109),EXTRACTNUMBER(AJ109))))),SUM(EXTRACTNUMBER(D109),EXTRACTNUMBER(F109),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EXTRACTNUMBER(AD109),EXTRACTNUMBER(AF109),EXTRACTNUMBER(AH109),EXTRACTNUMBER(AJ109)))</f>
        <v>554</v>
      </c>
      <c r="AM109" s="72" t="s">
        <v>565</v>
      </c>
      <c r="AN109" s="11">
        <f t="shared" si="21"/>
        <v>1062</v>
      </c>
      <c r="AO109" s="11" t="str">
        <f t="shared" si="40"/>
        <v>PASS</v>
      </c>
      <c r="AP109" s="11" t="str">
        <f t="shared" si="22"/>
        <v>P</v>
      </c>
      <c r="AQ109" s="1" t="str">
        <f t="shared" si="41"/>
        <v xml:space="preserve">One Thousand Sixty Two </v>
      </c>
    </row>
    <row r="110" spans="2:43" ht="15.95" customHeight="1">
      <c r="B110" s="67">
        <v>136283</v>
      </c>
      <c r="C110" s="21" t="s">
        <v>106</v>
      </c>
      <c r="D110" s="24">
        <v>52</v>
      </c>
      <c r="E110" s="9" t="str">
        <f t="shared" si="23"/>
        <v/>
      </c>
      <c r="F110" s="22">
        <v>23</v>
      </c>
      <c r="G110" s="9" t="str">
        <f t="shared" si="24"/>
        <v/>
      </c>
      <c r="H110" s="22">
        <v>46</v>
      </c>
      <c r="I110" s="9" t="str">
        <f t="shared" si="25"/>
        <v/>
      </c>
      <c r="J110" s="29">
        <v>56</v>
      </c>
      <c r="K110" s="9" t="str">
        <f t="shared" si="26"/>
        <v/>
      </c>
      <c r="L110" s="22">
        <v>23</v>
      </c>
      <c r="M110" s="9" t="str">
        <f t="shared" si="27"/>
        <v/>
      </c>
      <c r="N110" s="22">
        <v>23</v>
      </c>
      <c r="O110" s="9" t="str">
        <f t="shared" si="28"/>
        <v/>
      </c>
      <c r="P110" s="29">
        <v>61</v>
      </c>
      <c r="Q110" s="9" t="str">
        <f t="shared" si="29"/>
        <v/>
      </c>
      <c r="R110" s="22">
        <v>23</v>
      </c>
      <c r="S110" s="9" t="str">
        <f t="shared" si="30"/>
        <v/>
      </c>
      <c r="T110" s="22">
        <v>46</v>
      </c>
      <c r="U110" s="9" t="str">
        <f t="shared" si="31"/>
        <v/>
      </c>
      <c r="V110" s="29">
        <v>52</v>
      </c>
      <c r="W110" s="9" t="str">
        <f t="shared" si="32"/>
        <v/>
      </c>
      <c r="X110" s="22">
        <v>23</v>
      </c>
      <c r="Y110" s="9" t="str">
        <f t="shared" si="33"/>
        <v/>
      </c>
      <c r="Z110" s="22">
        <v>22</v>
      </c>
      <c r="AA110" s="9" t="str">
        <f t="shared" si="34"/>
        <v/>
      </c>
      <c r="AB110" s="29">
        <v>53</v>
      </c>
      <c r="AC110" s="9" t="str">
        <f t="shared" si="35"/>
        <v/>
      </c>
      <c r="AD110" s="22">
        <v>23</v>
      </c>
      <c r="AE110" s="9" t="str">
        <f t="shared" si="36"/>
        <v/>
      </c>
      <c r="AF110" s="22">
        <v>21</v>
      </c>
      <c r="AG110" s="9" t="str">
        <f t="shared" si="37"/>
        <v/>
      </c>
      <c r="AH110" s="22">
        <v>23</v>
      </c>
      <c r="AI110" s="9" t="str">
        <f t="shared" si="38"/>
        <v/>
      </c>
      <c r="AJ110" s="22">
        <v>22</v>
      </c>
      <c r="AK110" s="9" t="str">
        <f t="shared" si="39"/>
        <v/>
      </c>
      <c r="AL110" s="16">
        <f>IF(OR(AND(D110&gt;=31,D110&lt;40),AND(J110&gt;=31,J110&lt;40),AND(P110&gt;=31,P110&lt;40),AND(V110&gt;=31,V110&lt;40),AND(AB110&gt;=31,AB110&lt;40)),IF(AND(OR(COUNTIF(D110:AK110,"=31")&gt;=1,COUNTIF(D110:AK110,"=32")&gt;=1,COUNTIF(D110:AK110,"=33")&gt;=1,COUNTIF(D110:AK110,"=34")&gt;=1,COUNTIF(D110:AK110,"=35")&gt;=1,COUNTIF(D110:AK110,"=36")&gt;=1 ),COUNTIF(D110:AK110,"")=0,COUNTIF(D110:AK110," ")=0,COUNTIF(D110:AK110,"F")=1),CONCATENATE(SUM(EXTRACTNUMBER(D110),EXTRACTNUMBER(F110),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EXTRACTNUMBER(AD110),EXTRACTNUMBER(AF110),EXTRACTNUMBER(AH110),EXTRACTNUMBER(AJ110)),"*"),IF(AND(COUNTIF(D110:AK110,"=34")&gt;=1,COUNTIF(D110:AK110,"=35")&gt;=1,COUNTIF(D110:AK110,"f")=2,COUNTIF(D110:AK110,"")=0,COUNTIF(D110:AK110," ")=0),CONCATENATE(SUM(EXTRACTNUMBER(D110),EXTRACTNUMBER(F110),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EXTRACTNUMBER(AD110),EXTRACTNUMBER(AF110),EXTRACTNUMBER(AH110),EXTRACTNUMBER(AJ110)),"*"),IF(AND(COUNTIF(D110:AK110,"=36")&gt;=2,COUNTIF(D110:AK110,"f")=2,COUNTIF(D110:AK110,"")=0,COUNTIF(D110:AK110," ")=0),CONCATENATE(SUM(EXTRACTNUMBER(D110),EXTRACTNUMBER(F110),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EXTRACTNUMBER(AD110),EXTRACTNUMBER(AF110),EXTRACTNUMBER(AH110),EXTRACTNUMBER(AJ110)),"*"),SUM(EXTRACTNUMBER(D110),EXTRACTNUMBER(F110),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EXTRACTNUMBER(AD110),EXTRACTNUMBER(AF110),EXTRACTNUMBER(AH110),EXTRACTNUMBER(AJ110))))),SUM(EXTRACTNUMBER(D110),EXTRACTNUMBER(F110),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EXTRACTNUMBER(AD110),EXTRACTNUMBER(AF110),EXTRACTNUMBER(AH110),EXTRACTNUMBER(AJ110)))</f>
        <v>592</v>
      </c>
      <c r="AM110" s="72" t="s">
        <v>236</v>
      </c>
      <c r="AN110" s="11">
        <f t="shared" si="21"/>
        <v>1105</v>
      </c>
      <c r="AO110" s="11" t="str">
        <f t="shared" si="40"/>
        <v>PASS</v>
      </c>
      <c r="AP110" s="11" t="str">
        <f t="shared" si="22"/>
        <v>I</v>
      </c>
      <c r="AQ110" s="1" t="str">
        <f t="shared" si="41"/>
        <v xml:space="preserve">One Thousand One Hundred Five </v>
      </c>
    </row>
    <row r="111" spans="2:43" ht="15.95" customHeight="1">
      <c r="B111" s="67">
        <v>136284</v>
      </c>
      <c r="C111" s="21" t="s">
        <v>107</v>
      </c>
      <c r="D111" s="24">
        <v>41</v>
      </c>
      <c r="E111" s="9" t="str">
        <f t="shared" si="23"/>
        <v/>
      </c>
      <c r="F111" s="22">
        <v>22</v>
      </c>
      <c r="G111" s="9" t="str">
        <f t="shared" si="24"/>
        <v/>
      </c>
      <c r="H111" s="22">
        <v>42</v>
      </c>
      <c r="I111" s="9" t="str">
        <f t="shared" si="25"/>
        <v/>
      </c>
      <c r="J111" s="29">
        <v>70</v>
      </c>
      <c r="K111" s="9" t="str">
        <f t="shared" si="26"/>
        <v/>
      </c>
      <c r="L111" s="22">
        <v>21</v>
      </c>
      <c r="M111" s="9" t="str">
        <f t="shared" si="27"/>
        <v/>
      </c>
      <c r="N111" s="22">
        <v>21</v>
      </c>
      <c r="O111" s="9" t="str">
        <f t="shared" si="28"/>
        <v/>
      </c>
      <c r="P111" s="29">
        <v>66</v>
      </c>
      <c r="Q111" s="9" t="str">
        <f t="shared" si="29"/>
        <v/>
      </c>
      <c r="R111" s="22">
        <v>23</v>
      </c>
      <c r="S111" s="9" t="str">
        <f t="shared" si="30"/>
        <v/>
      </c>
      <c r="T111" s="22">
        <v>42</v>
      </c>
      <c r="U111" s="9" t="str">
        <f t="shared" si="31"/>
        <v/>
      </c>
      <c r="V111" s="29">
        <v>58</v>
      </c>
      <c r="W111" s="9" t="str">
        <f t="shared" si="32"/>
        <v/>
      </c>
      <c r="X111" s="22">
        <v>23</v>
      </c>
      <c r="Y111" s="9" t="str">
        <f t="shared" si="33"/>
        <v/>
      </c>
      <c r="Z111" s="22">
        <v>22</v>
      </c>
      <c r="AA111" s="9" t="str">
        <f t="shared" si="34"/>
        <v/>
      </c>
      <c r="AB111" s="29">
        <v>55</v>
      </c>
      <c r="AC111" s="9" t="str">
        <f t="shared" si="35"/>
        <v/>
      </c>
      <c r="AD111" s="22">
        <v>23</v>
      </c>
      <c r="AE111" s="9" t="str">
        <f t="shared" si="36"/>
        <v/>
      </c>
      <c r="AF111" s="22">
        <v>22</v>
      </c>
      <c r="AG111" s="9" t="str">
        <f t="shared" si="37"/>
        <v/>
      </c>
      <c r="AH111" s="22">
        <v>23</v>
      </c>
      <c r="AI111" s="9" t="str">
        <f t="shared" si="38"/>
        <v/>
      </c>
      <c r="AJ111" s="22">
        <v>23</v>
      </c>
      <c r="AK111" s="9" t="str">
        <f t="shared" si="39"/>
        <v/>
      </c>
      <c r="AL111" s="16">
        <f>IF(OR(AND(D111&gt;=31,D111&lt;40),AND(J111&gt;=31,J111&lt;40),AND(P111&gt;=31,P111&lt;40),AND(V111&gt;=31,V111&lt;40),AND(AB111&gt;=31,AB111&lt;40)),IF(AND(OR(COUNTIF(D111:AK111,"=31")&gt;=1,COUNTIF(D111:AK111,"=32")&gt;=1,COUNTIF(D111:AK111,"=33")&gt;=1,COUNTIF(D111:AK111,"=34")&gt;=1,COUNTIF(D111:AK111,"=35")&gt;=1,COUNTIF(D111:AK111,"=36")&gt;=1 ),COUNTIF(D111:AK111,"")=0,COUNTIF(D111:AK111," ")=0,COUNTIF(D111:AK111,"F")=1),CONCATENATE(SUM(EXTRACTNUMBER(D111),EXTRACTNUMBER(F111),
EXTRACTNUMBER(H111),EXTRACTNUMBER(J111),
EXTRACTNUMBER(L111),EXTRACTNUMBER(N111),
EXTRACTNUMBER(P111),EXTRACTNUMBER(R111),
EXTRACTNUMBER(T111),EXTRACTNUMBER(V111),
EXTRACTNUMBER(X111),EXTRACTNUMBER(Z111),EXTRACTNUMBER(AB111),
EXTRACTNUMBER(AD111),EXTRACTNUMBER(AF111),EXTRACTNUMBER(AH111),EXTRACTNUMBER(AJ111)),"*"),IF(AND(COUNTIF(D111:AK111,"=34")&gt;=1,COUNTIF(D111:AK111,"=35")&gt;=1,COUNTIF(D111:AK111,"f")=2,COUNTIF(D111:AK111,"")=0,COUNTIF(D111:AK111," ")=0),CONCATENATE(SUM(EXTRACTNUMBER(D111),EXTRACTNUMBER(F111),
EXTRACTNUMBER(H111),EXTRACTNUMBER(J111),
EXTRACTNUMBER(L111),EXTRACTNUMBER(N111),
EXTRACTNUMBER(P111),EXTRACTNUMBER(R111),
EXTRACTNUMBER(T111),EXTRACTNUMBER(V111),
EXTRACTNUMBER(X111),EXTRACTNUMBER(Z111),EXTRACTNUMBER(AB111),
EXTRACTNUMBER(AD111),EXTRACTNUMBER(AF111),EXTRACTNUMBER(AH111),EXTRACTNUMBER(AJ111)),"*"),IF(AND(COUNTIF(D111:AK111,"=36")&gt;=2,COUNTIF(D111:AK111,"f")=2,COUNTIF(D111:AK111,"")=0,COUNTIF(D111:AK111," ")=0),CONCATENATE(SUM(EXTRACTNUMBER(D111),EXTRACTNUMBER(F111),
EXTRACTNUMBER(H111),EXTRACTNUMBER(J111),
EXTRACTNUMBER(L111),EXTRACTNUMBER(N111),
EXTRACTNUMBER(P111),EXTRACTNUMBER(R111),
EXTRACTNUMBER(T111),EXTRACTNUMBER(V111),
EXTRACTNUMBER(X111),EXTRACTNUMBER(Z111),EXTRACTNUMBER(AB111),
EXTRACTNUMBER(AD111),EXTRACTNUMBER(AF111),EXTRACTNUMBER(AH111),EXTRACTNUMBER(AJ111)),"*"),SUM(EXTRACTNUMBER(D111),EXTRACTNUMBER(F111),
EXTRACTNUMBER(H111),EXTRACTNUMBER(J111),
EXTRACTNUMBER(L111),EXTRACTNUMBER(N111),
EXTRACTNUMBER(P111),EXTRACTNUMBER(R111),
EXTRACTNUMBER(T111),EXTRACTNUMBER(V111),
EXTRACTNUMBER(X111),EXTRACTNUMBER(Z111),EXTRACTNUMBER(AB111),
EXTRACTNUMBER(AD111),EXTRACTNUMBER(AF111),EXTRACTNUMBER(AH111),EXTRACTNUMBER(AJ111))))),SUM(EXTRACTNUMBER(D111),EXTRACTNUMBER(F111),
EXTRACTNUMBER(H111),EXTRACTNUMBER(J111),
EXTRACTNUMBER(L111),EXTRACTNUMBER(N111),
EXTRACTNUMBER(P111),EXTRACTNUMBER(R111),
EXTRACTNUMBER(T111),EXTRACTNUMBER(V111),
EXTRACTNUMBER(X111),EXTRACTNUMBER(Z111),EXTRACTNUMBER(AB111),
EXTRACTNUMBER(AD111),EXTRACTNUMBER(AF111),EXTRACTNUMBER(AH111),EXTRACTNUMBER(AJ111)))</f>
        <v>597</v>
      </c>
      <c r="AM111" s="72" t="s">
        <v>275</v>
      </c>
      <c r="AN111" s="11">
        <f t="shared" si="21"/>
        <v>1140</v>
      </c>
      <c r="AO111" s="11" t="str">
        <f t="shared" si="40"/>
        <v>PASS</v>
      </c>
      <c r="AP111" s="11" t="str">
        <f t="shared" si="22"/>
        <v>I</v>
      </c>
      <c r="AQ111" s="1" t="str">
        <f t="shared" si="41"/>
        <v xml:space="preserve">One Thousand One Hundred Forty  </v>
      </c>
    </row>
    <row r="112" spans="2:43" ht="15.95" customHeight="1">
      <c r="B112" s="67">
        <v>136285</v>
      </c>
      <c r="C112" s="21" t="s">
        <v>108</v>
      </c>
      <c r="D112" s="24">
        <v>63</v>
      </c>
      <c r="E112" s="9" t="str">
        <f t="shared" si="23"/>
        <v/>
      </c>
      <c r="F112" s="22">
        <v>23</v>
      </c>
      <c r="G112" s="9" t="str">
        <f t="shared" si="24"/>
        <v/>
      </c>
      <c r="H112" s="22">
        <v>44</v>
      </c>
      <c r="I112" s="9" t="str">
        <f t="shared" si="25"/>
        <v/>
      </c>
      <c r="J112" s="29">
        <v>58</v>
      </c>
      <c r="K112" s="9" t="str">
        <f t="shared" si="26"/>
        <v/>
      </c>
      <c r="L112" s="22">
        <v>23</v>
      </c>
      <c r="M112" s="9" t="str">
        <f t="shared" si="27"/>
        <v/>
      </c>
      <c r="N112" s="22">
        <v>22</v>
      </c>
      <c r="O112" s="9" t="str">
        <f t="shared" si="28"/>
        <v/>
      </c>
      <c r="P112" s="29">
        <v>65</v>
      </c>
      <c r="Q112" s="9" t="str">
        <f t="shared" si="29"/>
        <v/>
      </c>
      <c r="R112" s="22">
        <v>23</v>
      </c>
      <c r="S112" s="9" t="str">
        <f t="shared" si="30"/>
        <v/>
      </c>
      <c r="T112" s="22">
        <v>44</v>
      </c>
      <c r="U112" s="9" t="str">
        <f t="shared" si="31"/>
        <v/>
      </c>
      <c r="V112" s="29">
        <v>56</v>
      </c>
      <c r="W112" s="9" t="str">
        <f t="shared" si="32"/>
        <v/>
      </c>
      <c r="X112" s="22">
        <v>21</v>
      </c>
      <c r="Y112" s="9" t="str">
        <f t="shared" si="33"/>
        <v/>
      </c>
      <c r="Z112" s="22">
        <v>21</v>
      </c>
      <c r="AA112" s="9" t="str">
        <f t="shared" si="34"/>
        <v/>
      </c>
      <c r="AB112" s="29">
        <v>54</v>
      </c>
      <c r="AC112" s="9" t="str">
        <f t="shared" si="35"/>
        <v/>
      </c>
      <c r="AD112" s="22">
        <v>23</v>
      </c>
      <c r="AE112" s="9" t="str">
        <f t="shared" si="36"/>
        <v/>
      </c>
      <c r="AF112" s="22">
        <v>21</v>
      </c>
      <c r="AG112" s="9" t="str">
        <f t="shared" si="37"/>
        <v/>
      </c>
      <c r="AH112" s="22">
        <v>21</v>
      </c>
      <c r="AI112" s="9" t="str">
        <f t="shared" si="38"/>
        <v/>
      </c>
      <c r="AJ112" s="22">
        <v>24</v>
      </c>
      <c r="AK112" s="9" t="str">
        <f t="shared" si="39"/>
        <v/>
      </c>
      <c r="AL112" s="16">
        <f>IF(OR(AND(D112&gt;=31,D112&lt;40),AND(J112&gt;=31,J112&lt;40),AND(P112&gt;=31,P112&lt;40),AND(V112&gt;=31,V112&lt;40),AND(AB112&gt;=31,AB112&lt;40)),IF(AND(OR(COUNTIF(D112:AK112,"=31")&gt;=1,COUNTIF(D112:AK112,"=32")&gt;=1,COUNTIF(D112:AK112,"=33")&gt;=1,COUNTIF(D112:AK112,"=34")&gt;=1,COUNTIF(D112:AK112,"=35")&gt;=1,COUNTIF(D112:AK112,"=36")&gt;=1 ),COUNTIF(D112:AK112,"")=0,COUNTIF(D112:AK112," ")=0,COUNTIF(D112:AK112,"F")=1),CONCATENATE(SUM(EXTRACTNUMBER(D112),EXTRACTNUMBER(F112),
EXTRACTNUMBER(H112),EXTRACTNUMBER(J112),
EXTRACTNUMBER(L112),EXTRACTNUMBER(N112),
EXTRACTNUMBER(P112),EXTRACTNUMBER(R112),
EXTRACTNUMBER(T112),EXTRACTNUMBER(V112),
EXTRACTNUMBER(X112),EXTRACTNUMBER(Z112),EXTRACTNUMBER(AB112),
EXTRACTNUMBER(AD112),EXTRACTNUMBER(AF112),EXTRACTNUMBER(AH112),EXTRACTNUMBER(AJ112)),"*"),IF(AND(COUNTIF(D112:AK112,"=34")&gt;=1,COUNTIF(D112:AK112,"=35")&gt;=1,COUNTIF(D112:AK112,"f")=2,COUNTIF(D112:AK112,"")=0,COUNTIF(D112:AK112," ")=0),CONCATENATE(SUM(EXTRACTNUMBER(D112),EXTRACTNUMBER(F112),
EXTRACTNUMBER(H112),EXTRACTNUMBER(J112),
EXTRACTNUMBER(L112),EXTRACTNUMBER(N112),
EXTRACTNUMBER(P112),EXTRACTNUMBER(R112),
EXTRACTNUMBER(T112),EXTRACTNUMBER(V112),
EXTRACTNUMBER(X112),EXTRACTNUMBER(Z112),EXTRACTNUMBER(AB112),
EXTRACTNUMBER(AD112),EXTRACTNUMBER(AF112),EXTRACTNUMBER(AH112),EXTRACTNUMBER(AJ112)),"*"),IF(AND(COUNTIF(D112:AK112,"=36")&gt;=2,COUNTIF(D112:AK112,"f")=2,COUNTIF(D112:AK112,"")=0,COUNTIF(D112:AK112," ")=0),CONCATENATE(SUM(EXTRACTNUMBER(D112),EXTRACTNUMBER(F112),
EXTRACTNUMBER(H112),EXTRACTNUMBER(J112),
EXTRACTNUMBER(L112),EXTRACTNUMBER(N112),
EXTRACTNUMBER(P112),EXTRACTNUMBER(R112),
EXTRACTNUMBER(T112),EXTRACTNUMBER(V112),
EXTRACTNUMBER(X112),EXTRACTNUMBER(Z112),EXTRACTNUMBER(AB112),
EXTRACTNUMBER(AD112),EXTRACTNUMBER(AF112),EXTRACTNUMBER(AH112),EXTRACTNUMBER(AJ112)),"*"),SUM(EXTRACTNUMBER(D112),EXTRACTNUMBER(F112),
EXTRACTNUMBER(H112),EXTRACTNUMBER(J112),
EXTRACTNUMBER(L112),EXTRACTNUMBER(N112),
EXTRACTNUMBER(P112),EXTRACTNUMBER(R112),
EXTRACTNUMBER(T112),EXTRACTNUMBER(V112),
EXTRACTNUMBER(X112),EXTRACTNUMBER(Z112),EXTRACTNUMBER(AB112),
EXTRACTNUMBER(AD112),EXTRACTNUMBER(AF112),EXTRACTNUMBER(AH112),EXTRACTNUMBER(AJ112))))),SUM(EXTRACTNUMBER(D112),EXTRACTNUMBER(F112),
EXTRACTNUMBER(H112),EXTRACTNUMBER(J112),
EXTRACTNUMBER(L112),EXTRACTNUMBER(N112),
EXTRACTNUMBER(P112),EXTRACTNUMBER(R112),
EXTRACTNUMBER(T112),EXTRACTNUMBER(V112),
EXTRACTNUMBER(X112),EXTRACTNUMBER(Z112),EXTRACTNUMBER(AB112),
EXTRACTNUMBER(AD112),EXTRACTNUMBER(AF112),EXTRACTNUMBER(AH112),EXTRACTNUMBER(AJ112)))</f>
        <v>606</v>
      </c>
      <c r="AM112" s="72" t="s">
        <v>276</v>
      </c>
      <c r="AN112" s="11">
        <f t="shared" si="21"/>
        <v>1206</v>
      </c>
      <c r="AO112" s="11" t="str">
        <f t="shared" si="40"/>
        <v>PASS</v>
      </c>
      <c r="AP112" s="11" t="str">
        <f t="shared" si="22"/>
        <v>I</v>
      </c>
      <c r="AQ112" s="1" t="str">
        <f t="shared" si="41"/>
        <v xml:space="preserve">One Thousand Two Hundred Six </v>
      </c>
    </row>
    <row r="113" spans="2:43" ht="15.95" customHeight="1">
      <c r="B113" s="67">
        <v>136286</v>
      </c>
      <c r="C113" s="21" t="s">
        <v>109</v>
      </c>
      <c r="D113" s="24">
        <v>47</v>
      </c>
      <c r="E113" s="9" t="str">
        <f t="shared" si="23"/>
        <v/>
      </c>
      <c r="F113" s="22">
        <v>20</v>
      </c>
      <c r="G113" s="9" t="str">
        <f t="shared" si="24"/>
        <v/>
      </c>
      <c r="H113" s="22">
        <v>42</v>
      </c>
      <c r="I113" s="9" t="str">
        <f t="shared" si="25"/>
        <v/>
      </c>
      <c r="J113" s="29">
        <v>57</v>
      </c>
      <c r="K113" s="9" t="str">
        <f t="shared" si="26"/>
        <v/>
      </c>
      <c r="L113" s="22">
        <v>20</v>
      </c>
      <c r="M113" s="9" t="str">
        <f t="shared" si="27"/>
        <v/>
      </c>
      <c r="N113" s="22">
        <v>21</v>
      </c>
      <c r="O113" s="9" t="str">
        <f t="shared" si="28"/>
        <v/>
      </c>
      <c r="P113" s="29">
        <v>68</v>
      </c>
      <c r="Q113" s="9" t="str">
        <f t="shared" si="29"/>
        <v/>
      </c>
      <c r="R113" s="22">
        <v>21</v>
      </c>
      <c r="S113" s="9" t="str">
        <f t="shared" si="30"/>
        <v/>
      </c>
      <c r="T113" s="22">
        <v>42</v>
      </c>
      <c r="U113" s="9" t="str">
        <f t="shared" si="31"/>
        <v/>
      </c>
      <c r="V113" s="29">
        <v>56</v>
      </c>
      <c r="W113" s="9" t="str">
        <f t="shared" si="32"/>
        <v/>
      </c>
      <c r="X113" s="22">
        <v>21</v>
      </c>
      <c r="Y113" s="9" t="str">
        <f t="shared" si="33"/>
        <v/>
      </c>
      <c r="Z113" s="22">
        <v>21</v>
      </c>
      <c r="AA113" s="9" t="str">
        <f t="shared" si="34"/>
        <v/>
      </c>
      <c r="AB113" s="29">
        <v>59</v>
      </c>
      <c r="AC113" s="9" t="str">
        <f t="shared" si="35"/>
        <v/>
      </c>
      <c r="AD113" s="22">
        <v>21</v>
      </c>
      <c r="AE113" s="9" t="str">
        <f t="shared" si="36"/>
        <v/>
      </c>
      <c r="AF113" s="22">
        <v>20</v>
      </c>
      <c r="AG113" s="9" t="str">
        <f t="shared" si="37"/>
        <v/>
      </c>
      <c r="AH113" s="22">
        <v>21</v>
      </c>
      <c r="AI113" s="9" t="str">
        <f t="shared" si="38"/>
        <v/>
      </c>
      <c r="AJ113" s="22">
        <v>22</v>
      </c>
      <c r="AK113" s="9" t="str">
        <f t="shared" si="39"/>
        <v/>
      </c>
      <c r="AL113" s="16">
        <f>IF(OR(AND(D113&gt;=31,D113&lt;40),AND(J113&gt;=31,J113&lt;40),AND(P113&gt;=31,P113&lt;40),AND(V113&gt;=31,V113&lt;40),AND(AB113&gt;=31,AB113&lt;40)),IF(AND(OR(COUNTIF(D113:AK113,"=31")&gt;=1,COUNTIF(D113:AK113,"=32")&gt;=1,COUNTIF(D113:AK113,"=33")&gt;=1,COUNTIF(D113:AK113,"=34")&gt;=1,COUNTIF(D113:AK113,"=35")&gt;=1,COUNTIF(D113:AK113,"=36")&gt;=1 ),COUNTIF(D113:AK113,"")=0,COUNTIF(D113:AK113," ")=0,COUNTIF(D113:AK113,"F")=1),CONCATENATE(SUM(EXTRACTNUMBER(D113),EXTRACTNUMBER(F113),
EXTRACTNUMBER(H113),EXTRACTNUMBER(J113),
EXTRACTNUMBER(L113),EXTRACTNUMBER(N113),
EXTRACTNUMBER(P113),EXTRACTNUMBER(R113),
EXTRACTNUMBER(T113),EXTRACTNUMBER(V113),
EXTRACTNUMBER(X113),EXTRACTNUMBER(Z113),EXTRACTNUMBER(AB113),
EXTRACTNUMBER(AD113),EXTRACTNUMBER(AF113),EXTRACTNUMBER(AH113),EXTRACTNUMBER(AJ113)),"*"),IF(AND(COUNTIF(D113:AK113,"=34")&gt;=1,COUNTIF(D113:AK113,"=35")&gt;=1,COUNTIF(D113:AK113,"f")=2,COUNTIF(D113:AK113,"")=0,COUNTIF(D113:AK113," ")=0),CONCATENATE(SUM(EXTRACTNUMBER(D113),EXTRACTNUMBER(F113),
EXTRACTNUMBER(H113),EXTRACTNUMBER(J113),
EXTRACTNUMBER(L113),EXTRACTNUMBER(N113),
EXTRACTNUMBER(P113),EXTRACTNUMBER(R113),
EXTRACTNUMBER(T113),EXTRACTNUMBER(V113),
EXTRACTNUMBER(X113),EXTRACTNUMBER(Z113),EXTRACTNUMBER(AB113),
EXTRACTNUMBER(AD113),EXTRACTNUMBER(AF113),EXTRACTNUMBER(AH113),EXTRACTNUMBER(AJ113)),"*"),IF(AND(COUNTIF(D113:AK113,"=36")&gt;=2,COUNTIF(D113:AK113,"f")=2,COUNTIF(D113:AK113,"")=0,COUNTIF(D113:AK113," ")=0),CONCATENATE(SUM(EXTRACTNUMBER(D113),EXTRACTNUMBER(F113),
EXTRACTNUMBER(H113),EXTRACTNUMBER(J113),
EXTRACTNUMBER(L113),EXTRACTNUMBER(N113),
EXTRACTNUMBER(P113),EXTRACTNUMBER(R113),
EXTRACTNUMBER(T113),EXTRACTNUMBER(V113),
EXTRACTNUMBER(X113),EXTRACTNUMBER(Z113),EXTRACTNUMBER(AB113),
EXTRACTNUMBER(AD113),EXTRACTNUMBER(AF113),EXTRACTNUMBER(AH113),EXTRACTNUMBER(AJ113)),"*"),SUM(EXTRACTNUMBER(D113),EXTRACTNUMBER(F113),
EXTRACTNUMBER(H113),EXTRACTNUMBER(J113),
EXTRACTNUMBER(L113),EXTRACTNUMBER(N113),
EXTRACTNUMBER(P113),EXTRACTNUMBER(R113),
EXTRACTNUMBER(T113),EXTRACTNUMBER(V113),
EXTRACTNUMBER(X113),EXTRACTNUMBER(Z113),EXTRACTNUMBER(AB113),
EXTRACTNUMBER(AD113),EXTRACTNUMBER(AF113),EXTRACTNUMBER(AH113),EXTRACTNUMBER(AJ113))))),SUM(EXTRACTNUMBER(D113),EXTRACTNUMBER(F113),
EXTRACTNUMBER(H113),EXTRACTNUMBER(J113),
EXTRACTNUMBER(L113),EXTRACTNUMBER(N113),
EXTRACTNUMBER(P113),EXTRACTNUMBER(R113),
EXTRACTNUMBER(T113),EXTRACTNUMBER(V113),
EXTRACTNUMBER(X113),EXTRACTNUMBER(Z113),EXTRACTNUMBER(AB113),
EXTRACTNUMBER(AD113),EXTRACTNUMBER(AF113),EXTRACTNUMBER(AH113),EXTRACTNUMBER(AJ113)))</f>
        <v>579</v>
      </c>
      <c r="AM113" s="72" t="s">
        <v>277</v>
      </c>
      <c r="AN113" s="11">
        <f t="shared" si="21"/>
        <v>1096</v>
      </c>
      <c r="AO113" s="11" t="str">
        <f t="shared" si="40"/>
        <v>PASS</v>
      </c>
      <c r="AP113" s="11" t="str">
        <f t="shared" si="22"/>
        <v>I</v>
      </c>
      <c r="AQ113" s="1" t="str">
        <f t="shared" si="41"/>
        <v xml:space="preserve">One Thousand NinetySix </v>
      </c>
    </row>
    <row r="114" spans="2:43" ht="15.95" customHeight="1">
      <c r="B114" s="67">
        <v>136287</v>
      </c>
      <c r="C114" s="21" t="s">
        <v>110</v>
      </c>
      <c r="D114" s="24">
        <v>62</v>
      </c>
      <c r="E114" s="9" t="str">
        <f t="shared" si="23"/>
        <v/>
      </c>
      <c r="F114" s="22">
        <v>23</v>
      </c>
      <c r="G114" s="9" t="str">
        <f t="shared" si="24"/>
        <v/>
      </c>
      <c r="H114" s="22">
        <v>46</v>
      </c>
      <c r="I114" s="9" t="str">
        <f t="shared" si="25"/>
        <v/>
      </c>
      <c r="J114" s="29">
        <v>52</v>
      </c>
      <c r="K114" s="9" t="str">
        <f t="shared" si="26"/>
        <v/>
      </c>
      <c r="L114" s="22">
        <v>23</v>
      </c>
      <c r="M114" s="9" t="str">
        <f t="shared" si="27"/>
        <v/>
      </c>
      <c r="N114" s="22">
        <v>23</v>
      </c>
      <c r="O114" s="9" t="str">
        <f t="shared" si="28"/>
        <v/>
      </c>
      <c r="P114" s="29">
        <v>64</v>
      </c>
      <c r="Q114" s="9" t="str">
        <f t="shared" si="29"/>
        <v/>
      </c>
      <c r="R114" s="22">
        <v>23</v>
      </c>
      <c r="S114" s="9" t="str">
        <f t="shared" si="30"/>
        <v/>
      </c>
      <c r="T114" s="22">
        <v>46</v>
      </c>
      <c r="U114" s="9" t="str">
        <f t="shared" si="31"/>
        <v/>
      </c>
      <c r="V114" s="29">
        <v>48</v>
      </c>
      <c r="W114" s="9" t="str">
        <f t="shared" si="32"/>
        <v/>
      </c>
      <c r="X114" s="22">
        <v>23</v>
      </c>
      <c r="Y114" s="9" t="str">
        <f t="shared" si="33"/>
        <v/>
      </c>
      <c r="Z114" s="22">
        <v>22</v>
      </c>
      <c r="AA114" s="9" t="str">
        <f t="shared" si="34"/>
        <v/>
      </c>
      <c r="AB114" s="29">
        <v>50</v>
      </c>
      <c r="AC114" s="9" t="str">
        <f t="shared" si="35"/>
        <v/>
      </c>
      <c r="AD114" s="22">
        <v>23</v>
      </c>
      <c r="AE114" s="9" t="str">
        <f t="shared" si="36"/>
        <v/>
      </c>
      <c r="AF114" s="22">
        <v>22</v>
      </c>
      <c r="AG114" s="9" t="str">
        <f t="shared" si="37"/>
        <v/>
      </c>
      <c r="AH114" s="22">
        <v>23</v>
      </c>
      <c r="AI114" s="9" t="str">
        <f t="shared" si="38"/>
        <v/>
      </c>
      <c r="AJ114" s="22">
        <v>23</v>
      </c>
      <c r="AK114" s="9" t="str">
        <f t="shared" si="39"/>
        <v/>
      </c>
      <c r="AL114" s="16">
        <f>IF(OR(AND(D114&gt;=31,D114&lt;40),AND(J114&gt;=31,J114&lt;40),AND(P114&gt;=31,P114&lt;40),AND(V114&gt;=31,V114&lt;40),AND(AB114&gt;=31,AB114&lt;40)),IF(AND(OR(COUNTIF(D114:AK114,"=31")&gt;=1,COUNTIF(D114:AK114,"=32")&gt;=1,COUNTIF(D114:AK114,"=33")&gt;=1,COUNTIF(D114:AK114,"=34")&gt;=1,COUNTIF(D114:AK114,"=35")&gt;=1,COUNTIF(D114:AK114,"=36")&gt;=1 ),COUNTIF(D114:AK114,"")=0,COUNTIF(D114:AK114," ")=0,COUNTIF(D114:AK114,"F")=1),CONCATENATE(SUM(EXTRACTNUMBER(D114),EXTRACTNUMBER(F114),
EXTRACTNUMBER(H114),EXTRACTNUMBER(J114),
EXTRACTNUMBER(L114),EXTRACTNUMBER(N114),
EXTRACTNUMBER(P114),EXTRACTNUMBER(R114),
EXTRACTNUMBER(T114),EXTRACTNUMBER(V114),
EXTRACTNUMBER(X114),EXTRACTNUMBER(Z114),EXTRACTNUMBER(AB114),
EXTRACTNUMBER(AD114),EXTRACTNUMBER(AF114),EXTRACTNUMBER(AH114),EXTRACTNUMBER(AJ114)),"*"),IF(AND(COUNTIF(D114:AK114,"=34")&gt;=1,COUNTIF(D114:AK114,"=35")&gt;=1,COUNTIF(D114:AK114,"f")=2,COUNTIF(D114:AK114,"")=0,COUNTIF(D114:AK114," ")=0),CONCATENATE(SUM(EXTRACTNUMBER(D114),EXTRACTNUMBER(F114),
EXTRACTNUMBER(H114),EXTRACTNUMBER(J114),
EXTRACTNUMBER(L114),EXTRACTNUMBER(N114),
EXTRACTNUMBER(P114),EXTRACTNUMBER(R114),
EXTRACTNUMBER(T114),EXTRACTNUMBER(V114),
EXTRACTNUMBER(X114),EXTRACTNUMBER(Z114),EXTRACTNUMBER(AB114),
EXTRACTNUMBER(AD114),EXTRACTNUMBER(AF114),EXTRACTNUMBER(AH114),EXTRACTNUMBER(AJ114)),"*"),IF(AND(COUNTIF(D114:AK114,"=36")&gt;=2,COUNTIF(D114:AK114,"f")=2,COUNTIF(D114:AK114,"")=0,COUNTIF(D114:AK114," ")=0),CONCATENATE(SUM(EXTRACTNUMBER(D114),EXTRACTNUMBER(F114),
EXTRACTNUMBER(H114),EXTRACTNUMBER(J114),
EXTRACTNUMBER(L114),EXTRACTNUMBER(N114),
EXTRACTNUMBER(P114),EXTRACTNUMBER(R114),
EXTRACTNUMBER(T114),EXTRACTNUMBER(V114),
EXTRACTNUMBER(X114),EXTRACTNUMBER(Z114),EXTRACTNUMBER(AB114),
EXTRACTNUMBER(AD114),EXTRACTNUMBER(AF114),EXTRACTNUMBER(AH114),EXTRACTNUMBER(AJ114)),"*"),SUM(EXTRACTNUMBER(D114),EXTRACTNUMBER(F114),
EXTRACTNUMBER(H114),EXTRACTNUMBER(J114),
EXTRACTNUMBER(L114),EXTRACTNUMBER(N114),
EXTRACTNUMBER(P114),EXTRACTNUMBER(R114),
EXTRACTNUMBER(T114),EXTRACTNUMBER(V114),
EXTRACTNUMBER(X114),EXTRACTNUMBER(Z114),EXTRACTNUMBER(AB114),
EXTRACTNUMBER(AD114),EXTRACTNUMBER(AF114),EXTRACTNUMBER(AH114),EXTRACTNUMBER(AJ114))))),SUM(EXTRACTNUMBER(D114),EXTRACTNUMBER(F114),
EXTRACTNUMBER(H114),EXTRACTNUMBER(J114),
EXTRACTNUMBER(L114),EXTRACTNUMBER(N114),
EXTRACTNUMBER(P114),EXTRACTNUMBER(R114),
EXTRACTNUMBER(T114),EXTRACTNUMBER(V114),
EXTRACTNUMBER(X114),EXTRACTNUMBER(Z114),EXTRACTNUMBER(AB114),
EXTRACTNUMBER(AD114),EXTRACTNUMBER(AF114),EXTRACTNUMBER(AH114),EXTRACTNUMBER(AJ114)))</f>
        <v>596</v>
      </c>
      <c r="AM114" s="72" t="s">
        <v>278</v>
      </c>
      <c r="AN114" s="11">
        <f t="shared" si="21"/>
        <v>1172</v>
      </c>
      <c r="AO114" s="11" t="str">
        <f t="shared" si="40"/>
        <v>PASS</v>
      </c>
      <c r="AP114" s="11" t="str">
        <f t="shared" si="22"/>
        <v>I</v>
      </c>
      <c r="AQ114" s="1" t="str">
        <f t="shared" si="41"/>
        <v xml:space="preserve">One Thousand One Hundred Seventy Two </v>
      </c>
    </row>
    <row r="115" spans="2:43" ht="15.95" customHeight="1">
      <c r="B115" s="67">
        <v>136288</v>
      </c>
      <c r="C115" s="21" t="s">
        <v>111</v>
      </c>
      <c r="D115" s="24">
        <v>40</v>
      </c>
      <c r="E115" s="9" t="str">
        <f t="shared" si="23"/>
        <v/>
      </c>
      <c r="F115" s="22">
        <v>22</v>
      </c>
      <c r="G115" s="9" t="str">
        <f t="shared" si="24"/>
        <v/>
      </c>
      <c r="H115" s="22">
        <v>44</v>
      </c>
      <c r="I115" s="9" t="str">
        <f t="shared" si="25"/>
        <v/>
      </c>
      <c r="J115" s="29">
        <v>57</v>
      </c>
      <c r="K115" s="9" t="str">
        <f t="shared" si="26"/>
        <v/>
      </c>
      <c r="L115" s="22">
        <v>23</v>
      </c>
      <c r="M115" s="9" t="str">
        <f t="shared" si="27"/>
        <v/>
      </c>
      <c r="N115" s="22">
        <v>22</v>
      </c>
      <c r="O115" s="9" t="str">
        <f t="shared" si="28"/>
        <v/>
      </c>
      <c r="P115" s="29">
        <v>65</v>
      </c>
      <c r="Q115" s="9" t="str">
        <f t="shared" si="29"/>
        <v/>
      </c>
      <c r="R115" s="22">
        <v>23</v>
      </c>
      <c r="S115" s="9" t="str">
        <f t="shared" si="30"/>
        <v/>
      </c>
      <c r="T115" s="22">
        <v>44</v>
      </c>
      <c r="U115" s="9" t="str">
        <f t="shared" si="31"/>
        <v/>
      </c>
      <c r="V115" s="29">
        <v>61</v>
      </c>
      <c r="W115" s="9" t="str">
        <f t="shared" si="32"/>
        <v/>
      </c>
      <c r="X115" s="22">
        <v>23</v>
      </c>
      <c r="Y115" s="9" t="str">
        <f t="shared" si="33"/>
        <v/>
      </c>
      <c r="Z115" s="22">
        <v>22</v>
      </c>
      <c r="AA115" s="9" t="str">
        <f t="shared" si="34"/>
        <v/>
      </c>
      <c r="AB115" s="29">
        <v>57</v>
      </c>
      <c r="AC115" s="9" t="str">
        <f t="shared" si="35"/>
        <v/>
      </c>
      <c r="AD115" s="22">
        <v>23</v>
      </c>
      <c r="AE115" s="9" t="str">
        <f t="shared" si="36"/>
        <v/>
      </c>
      <c r="AF115" s="22">
        <v>22</v>
      </c>
      <c r="AG115" s="9" t="str">
        <f t="shared" si="37"/>
        <v/>
      </c>
      <c r="AH115" s="22">
        <v>23</v>
      </c>
      <c r="AI115" s="9" t="str">
        <f t="shared" si="38"/>
        <v/>
      </c>
      <c r="AJ115" s="22">
        <v>23</v>
      </c>
      <c r="AK115" s="9" t="str">
        <f t="shared" si="39"/>
        <v/>
      </c>
      <c r="AL115" s="16">
        <f>IF(OR(AND(D115&gt;=31,D115&lt;40),AND(J115&gt;=31,J115&lt;40),AND(P115&gt;=31,P115&lt;40),AND(V115&gt;=31,V115&lt;40),AND(AB115&gt;=31,AB115&lt;40)),IF(AND(OR(COUNTIF(D115:AK115,"=31")&gt;=1,COUNTIF(D115:AK115,"=32")&gt;=1,COUNTIF(D115:AK115,"=33")&gt;=1,COUNTIF(D115:AK115,"=34")&gt;=1,COUNTIF(D115:AK115,"=35")&gt;=1,COUNTIF(D115:AK115,"=36")&gt;=1 ),COUNTIF(D115:AK115,"")=0,COUNTIF(D115:AK115," ")=0,COUNTIF(D115:AK115,"F")=1),CONCATENATE(SUM(EXTRACTNUMBER(D115),EXTRACTNUMBER(F115),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EXTRACTNUMBER(AD115),EXTRACTNUMBER(AF115),EXTRACTNUMBER(AH115),EXTRACTNUMBER(AJ115)),"*"),IF(AND(COUNTIF(D115:AK115,"=34")&gt;=1,COUNTIF(D115:AK115,"=35")&gt;=1,COUNTIF(D115:AK115,"f")=2,COUNTIF(D115:AK115,"")=0,COUNTIF(D115:AK115," ")=0),CONCATENATE(SUM(EXTRACTNUMBER(D115),EXTRACTNUMBER(F115),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EXTRACTNUMBER(AD115),EXTRACTNUMBER(AF115),EXTRACTNUMBER(AH115),EXTRACTNUMBER(AJ115)),"*"),IF(AND(COUNTIF(D115:AK115,"=36")&gt;=2,COUNTIF(D115:AK115,"f")=2,COUNTIF(D115:AK115,"")=0,COUNTIF(D115:AK115," ")=0),CONCATENATE(SUM(EXTRACTNUMBER(D115),EXTRACTNUMBER(F115),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EXTRACTNUMBER(AD115),EXTRACTNUMBER(AF115),EXTRACTNUMBER(AH115),EXTRACTNUMBER(AJ115)),"*"),SUM(EXTRACTNUMBER(D115),EXTRACTNUMBER(F115),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EXTRACTNUMBER(AD115),EXTRACTNUMBER(AF115),EXTRACTNUMBER(AH115),EXTRACTNUMBER(AJ115))))),SUM(EXTRACTNUMBER(D115),EXTRACTNUMBER(F115),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EXTRACTNUMBER(AD115),EXTRACTNUMBER(AF115),EXTRACTNUMBER(AH115),EXTRACTNUMBER(AJ115)))</f>
        <v>594</v>
      </c>
      <c r="AM115" s="72" t="s">
        <v>246</v>
      </c>
      <c r="AN115" s="11">
        <f t="shared" si="21"/>
        <v>1131</v>
      </c>
      <c r="AO115" s="11" t="str">
        <f t="shared" si="40"/>
        <v>PASS</v>
      </c>
      <c r="AP115" s="11" t="str">
        <f t="shared" si="22"/>
        <v>I</v>
      </c>
      <c r="AQ115" s="1" t="str">
        <f t="shared" si="41"/>
        <v xml:space="preserve">One Thousand One Hundred Thirty One </v>
      </c>
    </row>
    <row r="116" spans="2:43" ht="15.95" customHeight="1">
      <c r="B116" s="67">
        <v>136289</v>
      </c>
      <c r="C116" s="21" t="s">
        <v>112</v>
      </c>
      <c r="D116" s="24">
        <v>40</v>
      </c>
      <c r="E116" s="9" t="str">
        <f t="shared" si="23"/>
        <v/>
      </c>
      <c r="F116" s="22">
        <v>23</v>
      </c>
      <c r="G116" s="9" t="str">
        <f t="shared" si="24"/>
        <v/>
      </c>
      <c r="H116" s="22">
        <v>42</v>
      </c>
      <c r="I116" s="9" t="str">
        <f t="shared" si="25"/>
        <v/>
      </c>
      <c r="J116" s="29">
        <v>53</v>
      </c>
      <c r="K116" s="9" t="str">
        <f t="shared" si="26"/>
        <v/>
      </c>
      <c r="L116" s="22">
        <v>23</v>
      </c>
      <c r="M116" s="9" t="str">
        <f t="shared" si="27"/>
        <v/>
      </c>
      <c r="N116" s="22">
        <v>21</v>
      </c>
      <c r="O116" s="9" t="str">
        <f t="shared" si="28"/>
        <v/>
      </c>
      <c r="P116" s="29">
        <v>67</v>
      </c>
      <c r="Q116" s="9" t="str">
        <f t="shared" si="29"/>
        <v/>
      </c>
      <c r="R116" s="22">
        <v>23</v>
      </c>
      <c r="S116" s="9" t="str">
        <f t="shared" si="30"/>
        <v/>
      </c>
      <c r="T116" s="22">
        <v>42</v>
      </c>
      <c r="U116" s="9" t="str">
        <f t="shared" si="31"/>
        <v/>
      </c>
      <c r="V116" s="29">
        <v>47</v>
      </c>
      <c r="W116" s="9" t="str">
        <f t="shared" si="32"/>
        <v/>
      </c>
      <c r="X116" s="22">
        <v>23</v>
      </c>
      <c r="Y116" s="9" t="str">
        <f t="shared" si="33"/>
        <v/>
      </c>
      <c r="Z116" s="22">
        <v>23</v>
      </c>
      <c r="AA116" s="9" t="str">
        <f t="shared" si="34"/>
        <v/>
      </c>
      <c r="AB116" s="29">
        <v>59</v>
      </c>
      <c r="AC116" s="9" t="str">
        <f t="shared" si="35"/>
        <v/>
      </c>
      <c r="AD116" s="22">
        <v>23</v>
      </c>
      <c r="AE116" s="9" t="str">
        <f t="shared" si="36"/>
        <v/>
      </c>
      <c r="AF116" s="22">
        <v>20</v>
      </c>
      <c r="AG116" s="9" t="str">
        <f t="shared" si="37"/>
        <v/>
      </c>
      <c r="AH116" s="22">
        <v>23</v>
      </c>
      <c r="AI116" s="9" t="str">
        <f t="shared" si="38"/>
        <v/>
      </c>
      <c r="AJ116" s="22">
        <v>22</v>
      </c>
      <c r="AK116" s="9" t="str">
        <f t="shared" si="39"/>
        <v/>
      </c>
      <c r="AL116" s="16">
        <f>IF(OR(AND(D116&gt;=31,D116&lt;40),AND(J116&gt;=31,J116&lt;40),AND(P116&gt;=31,P116&lt;40),AND(V116&gt;=31,V116&lt;40),AND(AB116&gt;=31,AB116&lt;40)),IF(AND(OR(COUNTIF(D116:AK116,"=31")&gt;=1,COUNTIF(D116:AK116,"=32")&gt;=1,COUNTIF(D116:AK116,"=33")&gt;=1,COUNTIF(D116:AK116,"=34")&gt;=1,COUNTIF(D116:AK116,"=35")&gt;=1,COUNTIF(D116:AK116,"=36")&gt;=1 ),COUNTIF(D116:AK116,"")=0,COUNTIF(D116:AK116," ")=0,COUNTIF(D116:AK116,"F")=1),CONCATENATE(SUM(EXTRACTNUMBER(D116),EXTRACTNUMBER(F116),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EXTRACTNUMBER(AD116),EXTRACTNUMBER(AF116),EXTRACTNUMBER(AH116),EXTRACTNUMBER(AJ116)),"*"),IF(AND(COUNTIF(D116:AK116,"=34")&gt;=1,COUNTIF(D116:AK116,"=35")&gt;=1,COUNTIF(D116:AK116,"f")=2,COUNTIF(D116:AK116,"")=0,COUNTIF(D116:AK116," ")=0),CONCATENATE(SUM(EXTRACTNUMBER(D116),EXTRACTNUMBER(F116),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EXTRACTNUMBER(AD116),EXTRACTNUMBER(AF116),EXTRACTNUMBER(AH116),EXTRACTNUMBER(AJ116)),"*"),IF(AND(COUNTIF(D116:AK116,"=36")&gt;=2,COUNTIF(D116:AK116,"f")=2,COUNTIF(D116:AK116,"")=0,COUNTIF(D116:AK116," ")=0),CONCATENATE(SUM(EXTRACTNUMBER(D116),EXTRACTNUMBER(F116),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EXTRACTNUMBER(AD116),EXTRACTNUMBER(AF116),EXTRACTNUMBER(AH116),EXTRACTNUMBER(AJ116)),"*"),SUM(EXTRACTNUMBER(D116),EXTRACTNUMBER(F116),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EXTRACTNUMBER(AD116),EXTRACTNUMBER(AF116),EXTRACTNUMBER(AH116),EXTRACTNUMBER(AJ116))))),SUM(EXTRACTNUMBER(D116),EXTRACTNUMBER(F116),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EXTRACTNUMBER(AD116),EXTRACTNUMBER(AF116),EXTRACTNUMBER(AH116),EXTRACTNUMBER(AJ116)))</f>
        <v>574</v>
      </c>
      <c r="AM116" s="72" t="s">
        <v>279</v>
      </c>
      <c r="AN116" s="11">
        <f t="shared" si="21"/>
        <v>1128</v>
      </c>
      <c r="AO116" s="11" t="str">
        <f t="shared" si="40"/>
        <v>PASS</v>
      </c>
      <c r="AP116" s="11" t="str">
        <f t="shared" si="22"/>
        <v>I</v>
      </c>
      <c r="AQ116" s="1" t="str">
        <f t="shared" si="41"/>
        <v xml:space="preserve">One Thousand One Hundred Twenty Eight </v>
      </c>
    </row>
    <row r="117" spans="2:43" ht="15.95" customHeight="1">
      <c r="B117" s="67">
        <v>136290</v>
      </c>
      <c r="C117" s="21" t="s">
        <v>113</v>
      </c>
      <c r="D117" s="24">
        <v>40</v>
      </c>
      <c r="E117" s="9" t="str">
        <f t="shared" si="23"/>
        <v/>
      </c>
      <c r="F117" s="22">
        <v>23</v>
      </c>
      <c r="G117" s="9" t="str">
        <f t="shared" si="24"/>
        <v/>
      </c>
      <c r="H117" s="22">
        <v>46</v>
      </c>
      <c r="I117" s="9" t="str">
        <f t="shared" si="25"/>
        <v/>
      </c>
      <c r="J117" s="29">
        <v>61</v>
      </c>
      <c r="K117" s="9" t="str">
        <f t="shared" si="26"/>
        <v/>
      </c>
      <c r="L117" s="22">
        <v>23</v>
      </c>
      <c r="M117" s="9" t="str">
        <f t="shared" si="27"/>
        <v/>
      </c>
      <c r="N117" s="22">
        <v>23</v>
      </c>
      <c r="O117" s="9" t="str">
        <f t="shared" si="28"/>
        <v/>
      </c>
      <c r="P117" s="29">
        <v>50</v>
      </c>
      <c r="Q117" s="9" t="str">
        <f t="shared" si="29"/>
        <v/>
      </c>
      <c r="R117" s="22">
        <v>23</v>
      </c>
      <c r="S117" s="9" t="str">
        <f t="shared" si="30"/>
        <v/>
      </c>
      <c r="T117" s="22">
        <v>44</v>
      </c>
      <c r="U117" s="9" t="str">
        <f t="shared" si="31"/>
        <v/>
      </c>
      <c r="V117" s="29">
        <v>60</v>
      </c>
      <c r="W117" s="9" t="str">
        <f t="shared" si="32"/>
        <v/>
      </c>
      <c r="X117" s="22">
        <v>23</v>
      </c>
      <c r="Y117" s="9" t="str">
        <f t="shared" si="33"/>
        <v/>
      </c>
      <c r="Z117" s="22">
        <v>22</v>
      </c>
      <c r="AA117" s="9" t="str">
        <f t="shared" si="34"/>
        <v/>
      </c>
      <c r="AB117" s="29">
        <v>41</v>
      </c>
      <c r="AC117" s="9" t="str">
        <f t="shared" si="35"/>
        <v/>
      </c>
      <c r="AD117" s="22">
        <v>23</v>
      </c>
      <c r="AE117" s="9" t="str">
        <f t="shared" si="36"/>
        <v/>
      </c>
      <c r="AF117" s="22">
        <v>22</v>
      </c>
      <c r="AG117" s="9" t="str">
        <f t="shared" si="37"/>
        <v/>
      </c>
      <c r="AH117" s="22">
        <v>22</v>
      </c>
      <c r="AI117" s="9" t="str">
        <f t="shared" si="38"/>
        <v/>
      </c>
      <c r="AJ117" s="22">
        <v>22</v>
      </c>
      <c r="AK117" s="9" t="str">
        <f t="shared" si="39"/>
        <v/>
      </c>
      <c r="AL117" s="16">
        <f>IF(OR(AND(D117&gt;=31,D117&lt;40),AND(J117&gt;=31,J117&lt;40),AND(P117&gt;=31,P117&lt;40),AND(V117&gt;=31,V117&lt;40),AND(AB117&gt;=31,AB117&lt;40)),IF(AND(OR(COUNTIF(D117:AK117,"=31")&gt;=1,COUNTIF(D117:AK117,"=32")&gt;=1,COUNTIF(D117:AK117,"=33")&gt;=1,COUNTIF(D117:AK117,"=34")&gt;=1,COUNTIF(D117:AK117,"=35")&gt;=1,COUNTIF(D117:AK117,"=36")&gt;=1 ),COUNTIF(D117:AK117,"")=0,COUNTIF(D117:AK117," ")=0,COUNTIF(D117:AK117,"F")=1),CONCATENATE(SUM(EXTRACTNUMBER(D117),EXTRACTNUMBER(F117),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EXTRACTNUMBER(AD117),EXTRACTNUMBER(AF117),EXTRACTNUMBER(AH117),EXTRACTNUMBER(AJ117)),"*"),IF(AND(COUNTIF(D117:AK117,"=34")&gt;=1,COUNTIF(D117:AK117,"=35")&gt;=1,COUNTIF(D117:AK117,"f")=2,COUNTIF(D117:AK117,"")=0,COUNTIF(D117:AK117," ")=0),CONCATENATE(SUM(EXTRACTNUMBER(D117),EXTRACTNUMBER(F117),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EXTRACTNUMBER(AD117),EXTRACTNUMBER(AF117),EXTRACTNUMBER(AH117),EXTRACTNUMBER(AJ117)),"*"),IF(AND(COUNTIF(D117:AK117,"=36")&gt;=2,COUNTIF(D117:AK117,"f")=2,COUNTIF(D117:AK117,"")=0,COUNTIF(D117:AK117," ")=0),CONCATENATE(SUM(EXTRACTNUMBER(D117),EXTRACTNUMBER(F117),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EXTRACTNUMBER(AD117),EXTRACTNUMBER(AF117),EXTRACTNUMBER(AH117),EXTRACTNUMBER(AJ117)),"*"),SUM(EXTRACTNUMBER(D117),EXTRACTNUMBER(F117),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EXTRACTNUMBER(AD117),EXTRACTNUMBER(AF117),EXTRACTNUMBER(AH117),EXTRACTNUMBER(AJ117))))),SUM(EXTRACTNUMBER(D117),EXTRACTNUMBER(F117),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EXTRACTNUMBER(AD117),EXTRACTNUMBER(AF117),EXTRACTNUMBER(AH117),EXTRACTNUMBER(AJ117)))</f>
        <v>568</v>
      </c>
      <c r="AM117" s="72" t="s">
        <v>280</v>
      </c>
      <c r="AN117" s="11">
        <v>1063</v>
      </c>
      <c r="AO117" s="11" t="str">
        <f t="shared" si="40"/>
        <v>PASS</v>
      </c>
      <c r="AP117" s="11" t="s">
        <v>371</v>
      </c>
      <c r="AQ117" s="1" t="str">
        <f t="shared" si="41"/>
        <v xml:space="preserve">One Thousand Sixty Three </v>
      </c>
    </row>
    <row r="118" spans="2:43" ht="15.95" customHeight="1">
      <c r="B118" s="67">
        <v>136291</v>
      </c>
      <c r="C118" s="21" t="s">
        <v>114</v>
      </c>
      <c r="D118" s="24">
        <v>42</v>
      </c>
      <c r="E118" s="9" t="str">
        <f t="shared" si="23"/>
        <v/>
      </c>
      <c r="F118" s="22">
        <v>22</v>
      </c>
      <c r="G118" s="9" t="str">
        <f t="shared" si="24"/>
        <v/>
      </c>
      <c r="H118" s="22">
        <v>42</v>
      </c>
      <c r="I118" s="9" t="str">
        <f t="shared" si="25"/>
        <v/>
      </c>
      <c r="J118" s="29">
        <v>56</v>
      </c>
      <c r="K118" s="9" t="str">
        <f t="shared" si="26"/>
        <v/>
      </c>
      <c r="L118" s="22">
        <v>22</v>
      </c>
      <c r="M118" s="9" t="str">
        <f t="shared" si="27"/>
        <v/>
      </c>
      <c r="N118" s="22">
        <v>21</v>
      </c>
      <c r="O118" s="9" t="str">
        <f t="shared" si="28"/>
        <v/>
      </c>
      <c r="P118" s="29">
        <v>65</v>
      </c>
      <c r="Q118" s="9" t="str">
        <f t="shared" si="29"/>
        <v/>
      </c>
      <c r="R118" s="22">
        <v>22</v>
      </c>
      <c r="S118" s="9" t="str">
        <f t="shared" si="30"/>
        <v/>
      </c>
      <c r="T118" s="22">
        <v>44</v>
      </c>
      <c r="U118" s="9" t="str">
        <f t="shared" si="31"/>
        <v/>
      </c>
      <c r="V118" s="29">
        <v>65</v>
      </c>
      <c r="W118" s="9" t="str">
        <f t="shared" si="32"/>
        <v/>
      </c>
      <c r="X118" s="22">
        <v>22</v>
      </c>
      <c r="Y118" s="9" t="str">
        <f t="shared" si="33"/>
        <v/>
      </c>
      <c r="Z118" s="22">
        <v>21</v>
      </c>
      <c r="AA118" s="9" t="str">
        <f t="shared" si="34"/>
        <v/>
      </c>
      <c r="AB118" s="29">
        <v>56</v>
      </c>
      <c r="AC118" s="9" t="str">
        <f t="shared" si="35"/>
        <v/>
      </c>
      <c r="AD118" s="22">
        <v>22</v>
      </c>
      <c r="AE118" s="9" t="str">
        <f t="shared" si="36"/>
        <v/>
      </c>
      <c r="AF118" s="22">
        <v>20</v>
      </c>
      <c r="AG118" s="9" t="str">
        <f t="shared" si="37"/>
        <v/>
      </c>
      <c r="AH118" s="22">
        <v>22</v>
      </c>
      <c r="AI118" s="9" t="str">
        <f t="shared" si="38"/>
        <v/>
      </c>
      <c r="AJ118" s="22">
        <v>22</v>
      </c>
      <c r="AK118" s="9" t="str">
        <f t="shared" si="39"/>
        <v/>
      </c>
      <c r="AL118" s="16">
        <f>IF(OR(AND(D118&gt;=31,D118&lt;40),AND(J118&gt;=31,J118&lt;40),AND(P118&gt;=31,P118&lt;40),AND(V118&gt;=31,V118&lt;40),AND(AB118&gt;=31,AB118&lt;40)),IF(AND(OR(COUNTIF(D118:AK118,"=31")&gt;=1,COUNTIF(D118:AK118,"=32")&gt;=1,COUNTIF(D118:AK118,"=33")&gt;=1,COUNTIF(D118:AK118,"=34")&gt;=1,COUNTIF(D118:AK118,"=35")&gt;=1,COUNTIF(D118:AK118,"=36")&gt;=1 ),COUNTIF(D118:AK118,"")=0,COUNTIF(D118:AK118," ")=0,COUNTIF(D118:AK118,"F")=1),CONCATENATE(SUM(EXTRACTNUMBER(D118),EXTRACTNUMBER(F118),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EXTRACTNUMBER(AD118),EXTRACTNUMBER(AF118),EXTRACTNUMBER(AH118),EXTRACTNUMBER(AJ118)),"*"),IF(AND(COUNTIF(D118:AK118,"=34")&gt;=1,COUNTIF(D118:AK118,"=35")&gt;=1,COUNTIF(D118:AK118,"f")=2,COUNTIF(D118:AK118,"")=0,COUNTIF(D118:AK118," ")=0),CONCATENATE(SUM(EXTRACTNUMBER(D118),EXTRACTNUMBER(F118),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EXTRACTNUMBER(AD118),EXTRACTNUMBER(AF118),EXTRACTNUMBER(AH118),EXTRACTNUMBER(AJ118)),"*"),IF(AND(COUNTIF(D118:AK118,"=36")&gt;=2,COUNTIF(D118:AK118,"f")=2,COUNTIF(D118:AK118,"")=0,COUNTIF(D118:AK118," ")=0),CONCATENATE(SUM(EXTRACTNUMBER(D118),EXTRACTNUMBER(F118),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EXTRACTNUMBER(AD118),EXTRACTNUMBER(AF118),EXTRACTNUMBER(AH118),EXTRACTNUMBER(AJ118)),"*"),SUM(EXTRACTNUMBER(D118),EXTRACTNUMBER(F118),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EXTRACTNUMBER(AD118),EXTRACTNUMBER(AF118),EXTRACTNUMBER(AH118),EXTRACTNUMBER(AJ118))))),SUM(EXTRACTNUMBER(D118),EXTRACTNUMBER(F118),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EXTRACTNUMBER(AD118),EXTRACTNUMBER(AF118),EXTRACTNUMBER(AH118),EXTRACTNUMBER(AJ118)))</f>
        <v>586</v>
      </c>
      <c r="AM118" s="72" t="s">
        <v>281</v>
      </c>
      <c r="AN118" s="11">
        <f t="shared" si="21"/>
        <v>1107</v>
      </c>
      <c r="AO118" s="11" t="str">
        <f t="shared" si="40"/>
        <v>PASS</v>
      </c>
      <c r="AP118" s="11" t="str">
        <f t="shared" si="22"/>
        <v>I</v>
      </c>
      <c r="AQ118" s="1" t="str">
        <f t="shared" si="41"/>
        <v xml:space="preserve">One Thousand One Hundred Seven </v>
      </c>
    </row>
    <row r="119" spans="2:43" ht="15.95" customHeight="1">
      <c r="B119" s="67">
        <v>136292</v>
      </c>
      <c r="C119" s="21" t="s">
        <v>115</v>
      </c>
      <c r="D119" s="24">
        <v>70</v>
      </c>
      <c r="E119" s="9" t="str">
        <f t="shared" si="23"/>
        <v/>
      </c>
      <c r="F119" s="22">
        <v>22</v>
      </c>
      <c r="G119" s="9" t="str">
        <f t="shared" si="24"/>
        <v/>
      </c>
      <c r="H119" s="22">
        <v>42</v>
      </c>
      <c r="I119" s="9" t="str">
        <f t="shared" si="25"/>
        <v/>
      </c>
      <c r="J119" s="29">
        <v>65</v>
      </c>
      <c r="K119" s="9" t="str">
        <f t="shared" si="26"/>
        <v/>
      </c>
      <c r="L119" s="22">
        <v>22</v>
      </c>
      <c r="M119" s="9" t="str">
        <f t="shared" si="27"/>
        <v/>
      </c>
      <c r="N119" s="22">
        <v>21</v>
      </c>
      <c r="O119" s="9" t="str">
        <f t="shared" si="28"/>
        <v/>
      </c>
      <c r="P119" s="29">
        <v>73</v>
      </c>
      <c r="Q119" s="9" t="str">
        <f t="shared" si="29"/>
        <v/>
      </c>
      <c r="R119" s="22">
        <v>22</v>
      </c>
      <c r="S119" s="9" t="str">
        <f t="shared" si="30"/>
        <v/>
      </c>
      <c r="T119" s="22">
        <v>42</v>
      </c>
      <c r="U119" s="9" t="str">
        <f t="shared" si="31"/>
        <v/>
      </c>
      <c r="V119" s="29">
        <v>75</v>
      </c>
      <c r="W119" s="9" t="str">
        <f t="shared" si="32"/>
        <v/>
      </c>
      <c r="X119" s="22">
        <v>22</v>
      </c>
      <c r="Y119" s="9" t="str">
        <f t="shared" si="33"/>
        <v/>
      </c>
      <c r="Z119" s="22">
        <v>21</v>
      </c>
      <c r="AA119" s="9" t="str">
        <f t="shared" si="34"/>
        <v/>
      </c>
      <c r="AB119" s="29">
        <v>69</v>
      </c>
      <c r="AC119" s="9" t="str">
        <f t="shared" si="35"/>
        <v/>
      </c>
      <c r="AD119" s="22">
        <v>22</v>
      </c>
      <c r="AE119" s="9" t="str">
        <f t="shared" si="36"/>
        <v/>
      </c>
      <c r="AF119" s="22">
        <v>20</v>
      </c>
      <c r="AG119" s="9" t="str">
        <f t="shared" si="37"/>
        <v/>
      </c>
      <c r="AH119" s="22">
        <v>22</v>
      </c>
      <c r="AI119" s="9" t="str">
        <f t="shared" si="38"/>
        <v/>
      </c>
      <c r="AJ119" s="22">
        <v>23</v>
      </c>
      <c r="AK119" s="9" t="str">
        <f t="shared" si="39"/>
        <v/>
      </c>
      <c r="AL119" s="16">
        <f>IF(OR(AND(D119&gt;=31,D119&lt;40),AND(J119&gt;=31,J119&lt;40),AND(P119&gt;=31,P119&lt;40),AND(V119&gt;=31,V119&lt;40),AND(AB119&gt;=31,AB119&lt;40)),IF(AND(OR(COUNTIF(D119:AK119,"=31")&gt;=1,COUNTIF(D119:AK119,"=32")&gt;=1,COUNTIF(D119:AK119,"=33")&gt;=1,COUNTIF(D119:AK119,"=34")&gt;=1,COUNTIF(D119:AK119,"=35")&gt;=1,COUNTIF(D119:AK119,"=36")&gt;=1 ),COUNTIF(D119:AK119,"")=0,COUNTIF(D119:AK119," ")=0,COUNTIF(D119:AK119,"F")=1),CONCATENATE(SUM(EXTRACTNUMBER(D119),EXTRACTNUMBER(F119),
EXTRACTNUMBER(H119),EXTRACTNUMBER(J119),
EXTRACTNUMBER(L119),EXTRACTNUMBER(N119),
EXTRACTNUMBER(P119),EXTRACTNUMBER(R119),
EXTRACTNUMBER(T119),EXTRACTNUMBER(V119),
EXTRACTNUMBER(X119),EXTRACTNUMBER(Z119),EXTRACTNUMBER(AB119),
EXTRACTNUMBER(AD119),EXTRACTNUMBER(AF119),EXTRACTNUMBER(AH119),EXTRACTNUMBER(AJ119)),"*"),IF(AND(COUNTIF(D119:AK119,"=34")&gt;=1,COUNTIF(D119:AK119,"=35")&gt;=1,COUNTIF(D119:AK119,"f")=2,COUNTIF(D119:AK119,"")=0,COUNTIF(D119:AK119," ")=0),CONCATENATE(SUM(EXTRACTNUMBER(D119),EXTRACTNUMBER(F119),
EXTRACTNUMBER(H119),EXTRACTNUMBER(J119),
EXTRACTNUMBER(L119),EXTRACTNUMBER(N119),
EXTRACTNUMBER(P119),EXTRACTNUMBER(R119),
EXTRACTNUMBER(T119),EXTRACTNUMBER(V119),
EXTRACTNUMBER(X119),EXTRACTNUMBER(Z119),EXTRACTNUMBER(AB119),
EXTRACTNUMBER(AD119),EXTRACTNUMBER(AF119),EXTRACTNUMBER(AH119),EXTRACTNUMBER(AJ119)),"*"),IF(AND(COUNTIF(D119:AK119,"=36")&gt;=2,COUNTIF(D119:AK119,"f")=2,COUNTIF(D119:AK119,"")=0,COUNTIF(D119:AK119," ")=0),CONCATENATE(SUM(EXTRACTNUMBER(D119),EXTRACTNUMBER(F119),
EXTRACTNUMBER(H119),EXTRACTNUMBER(J119),
EXTRACTNUMBER(L119),EXTRACTNUMBER(N119),
EXTRACTNUMBER(P119),EXTRACTNUMBER(R119),
EXTRACTNUMBER(T119),EXTRACTNUMBER(V119),
EXTRACTNUMBER(X119),EXTRACTNUMBER(Z119),EXTRACTNUMBER(AB119),
EXTRACTNUMBER(AD119),EXTRACTNUMBER(AF119),EXTRACTNUMBER(AH119),EXTRACTNUMBER(AJ119)),"*"),SUM(EXTRACTNUMBER(D119),EXTRACTNUMBER(F119),
EXTRACTNUMBER(H119),EXTRACTNUMBER(J119),
EXTRACTNUMBER(L119),EXTRACTNUMBER(N119),
EXTRACTNUMBER(P119),EXTRACTNUMBER(R119),
EXTRACTNUMBER(T119),EXTRACTNUMBER(V119),
EXTRACTNUMBER(X119),EXTRACTNUMBER(Z119),EXTRACTNUMBER(AB119),
EXTRACTNUMBER(AD119),EXTRACTNUMBER(AF119),EXTRACTNUMBER(AH119),EXTRACTNUMBER(AJ119))))),SUM(EXTRACTNUMBER(D119),EXTRACTNUMBER(F119),
EXTRACTNUMBER(H119),EXTRACTNUMBER(J119),
EXTRACTNUMBER(L119),EXTRACTNUMBER(N119),
EXTRACTNUMBER(P119),EXTRACTNUMBER(R119),
EXTRACTNUMBER(T119),EXTRACTNUMBER(V119),
EXTRACTNUMBER(X119),EXTRACTNUMBER(Z119),EXTRACTNUMBER(AB119),
EXTRACTNUMBER(AD119),EXTRACTNUMBER(AF119),EXTRACTNUMBER(AH119),EXTRACTNUMBER(AJ119)))</f>
        <v>653</v>
      </c>
      <c r="AM119" s="72" t="s">
        <v>282</v>
      </c>
      <c r="AN119" s="11">
        <f t="shared" si="21"/>
        <v>1228</v>
      </c>
      <c r="AO119" s="11" t="str">
        <f t="shared" si="40"/>
        <v>PASS</v>
      </c>
      <c r="AP119" s="11" t="str">
        <f t="shared" si="22"/>
        <v>I</v>
      </c>
      <c r="AQ119" s="1" t="str">
        <f t="shared" si="41"/>
        <v xml:space="preserve">One Thousand Two Hundred Twenty Eight </v>
      </c>
    </row>
    <row r="120" spans="2:43" ht="15.95" customHeight="1">
      <c r="B120" s="67" t="s">
        <v>560</v>
      </c>
      <c r="C120" s="21" t="s">
        <v>116</v>
      </c>
      <c r="D120" s="24">
        <v>47</v>
      </c>
      <c r="E120" s="9" t="str">
        <f t="shared" si="23"/>
        <v/>
      </c>
      <c r="F120" s="22">
        <v>19</v>
      </c>
      <c r="G120" s="9" t="str">
        <f t="shared" si="24"/>
        <v/>
      </c>
      <c r="H120" s="22">
        <v>42</v>
      </c>
      <c r="I120" s="9" t="str">
        <f t="shared" si="25"/>
        <v/>
      </c>
      <c r="J120" s="29">
        <v>51</v>
      </c>
      <c r="K120" s="9" t="str">
        <f t="shared" si="26"/>
        <v/>
      </c>
      <c r="L120" s="22">
        <v>20</v>
      </c>
      <c r="M120" s="9" t="str">
        <f t="shared" si="27"/>
        <v/>
      </c>
      <c r="N120" s="22">
        <v>21</v>
      </c>
      <c r="O120" s="9" t="str">
        <f t="shared" si="28"/>
        <v/>
      </c>
      <c r="P120" s="29">
        <v>51</v>
      </c>
      <c r="Q120" s="9" t="str">
        <f t="shared" si="29"/>
        <v/>
      </c>
      <c r="R120" s="22">
        <v>20</v>
      </c>
      <c r="S120" s="9" t="str">
        <f t="shared" si="30"/>
        <v/>
      </c>
      <c r="T120" s="22">
        <v>46</v>
      </c>
      <c r="U120" s="9" t="str">
        <f t="shared" si="31"/>
        <v/>
      </c>
      <c r="V120" s="29">
        <v>56</v>
      </c>
      <c r="W120" s="9" t="str">
        <f t="shared" si="32"/>
        <v/>
      </c>
      <c r="X120" s="22">
        <v>20</v>
      </c>
      <c r="Y120" s="9" t="str">
        <f t="shared" si="33"/>
        <v/>
      </c>
      <c r="Z120" s="22">
        <v>20</v>
      </c>
      <c r="AA120" s="9" t="str">
        <f t="shared" si="34"/>
        <v/>
      </c>
      <c r="AB120" s="29">
        <v>47</v>
      </c>
      <c r="AC120" s="9" t="str">
        <f t="shared" si="35"/>
        <v/>
      </c>
      <c r="AD120" s="22">
        <v>20</v>
      </c>
      <c r="AE120" s="9" t="str">
        <f t="shared" si="36"/>
        <v/>
      </c>
      <c r="AF120" s="22">
        <v>21</v>
      </c>
      <c r="AG120" s="9" t="str">
        <f t="shared" si="37"/>
        <v/>
      </c>
      <c r="AH120" s="22">
        <v>20</v>
      </c>
      <c r="AI120" s="9" t="str">
        <f t="shared" si="38"/>
        <v/>
      </c>
      <c r="AJ120" s="22">
        <v>20</v>
      </c>
      <c r="AK120" s="9" t="str">
        <f t="shared" si="39"/>
        <v/>
      </c>
      <c r="AL120" s="16">
        <f>IF(OR(AND(D120&gt;=31,D120&lt;40),AND(J120&gt;=31,J120&lt;40),AND(P120&gt;=31,P120&lt;40),AND(V120&gt;=31,V120&lt;40),AND(AB120&gt;=31,AB120&lt;40)),IF(AND(OR(COUNTIF(D120:AK120,"=31")&gt;=1,COUNTIF(D120:AK120,"=32")&gt;=1,COUNTIF(D120:AK120,"=33")&gt;=1,COUNTIF(D120:AK120,"=34")&gt;=1,COUNTIF(D120:AK120,"=35")&gt;=1,COUNTIF(D120:AK120,"=36")&gt;=1 ),COUNTIF(D120:AK120,"")=0,COUNTIF(D120:AK120," ")=0,COUNTIF(D120:AK120,"F")=1),CONCATENATE(SUM(EXTRACTNUMBER(D120),EXTRACTNUMBER(F120),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EXTRACTNUMBER(AD120),EXTRACTNUMBER(AF120),EXTRACTNUMBER(AH120),EXTRACTNUMBER(AJ120)),"*"),IF(AND(COUNTIF(D120:AK120,"=34")&gt;=1,COUNTIF(D120:AK120,"=35")&gt;=1,COUNTIF(D120:AK120,"f")=2,COUNTIF(D120:AK120,"")=0,COUNTIF(D120:AK120," ")=0),CONCATENATE(SUM(EXTRACTNUMBER(D120),EXTRACTNUMBER(F120),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EXTRACTNUMBER(AD120),EXTRACTNUMBER(AF120),EXTRACTNUMBER(AH120),EXTRACTNUMBER(AJ120)),"*"),IF(AND(COUNTIF(D120:AK120,"=36")&gt;=2,COUNTIF(D120:AK120,"f")=2,COUNTIF(D120:AK120,"")=0,COUNTIF(D120:AK120," ")=0),CONCATENATE(SUM(EXTRACTNUMBER(D120),EXTRACTNUMBER(F120),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EXTRACTNUMBER(AD120),EXTRACTNUMBER(AF120),EXTRACTNUMBER(AH120),EXTRACTNUMBER(AJ120)),"*"),SUM(EXTRACTNUMBER(D120),EXTRACTNUMBER(F120),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EXTRACTNUMBER(AD120),EXTRACTNUMBER(AF120),EXTRACTNUMBER(AH120),EXTRACTNUMBER(AJ120))))),SUM(EXTRACTNUMBER(D120),EXTRACTNUMBER(F120),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EXTRACTNUMBER(AD120),EXTRACTNUMBER(AF120),EXTRACTNUMBER(AH120),EXTRACTNUMBER(AJ120)))</f>
        <v>541</v>
      </c>
      <c r="AM120" s="72" t="s">
        <v>561</v>
      </c>
      <c r="AN120" s="11">
        <f t="shared" si="21"/>
        <v>1060</v>
      </c>
      <c r="AO120" s="11" t="str">
        <f t="shared" si="40"/>
        <v>PASS</v>
      </c>
      <c r="AP120" s="11" t="str">
        <f t="shared" si="22"/>
        <v>P</v>
      </c>
      <c r="AQ120" s="1" t="str">
        <f t="shared" si="41"/>
        <v xml:space="preserve">One Thousand Sixty  </v>
      </c>
    </row>
    <row r="121" spans="2:43" ht="15.95" customHeight="1">
      <c r="B121" s="67">
        <v>136294</v>
      </c>
      <c r="C121" s="21" t="s">
        <v>117</v>
      </c>
      <c r="D121" s="24">
        <v>54</v>
      </c>
      <c r="E121" s="9" t="str">
        <f t="shared" si="23"/>
        <v/>
      </c>
      <c r="F121" s="22">
        <v>20</v>
      </c>
      <c r="G121" s="9" t="str">
        <f t="shared" si="24"/>
        <v/>
      </c>
      <c r="H121" s="22">
        <v>46</v>
      </c>
      <c r="I121" s="9" t="str">
        <f t="shared" si="25"/>
        <v/>
      </c>
      <c r="J121" s="29">
        <v>47</v>
      </c>
      <c r="K121" s="9" t="str">
        <f t="shared" si="26"/>
        <v/>
      </c>
      <c r="L121" s="22">
        <v>20</v>
      </c>
      <c r="M121" s="9" t="str">
        <f t="shared" si="27"/>
        <v/>
      </c>
      <c r="N121" s="22">
        <v>23</v>
      </c>
      <c r="O121" s="9" t="str">
        <f t="shared" si="28"/>
        <v/>
      </c>
      <c r="P121" s="29">
        <v>59</v>
      </c>
      <c r="Q121" s="9" t="str">
        <f t="shared" si="29"/>
        <v/>
      </c>
      <c r="R121" s="22">
        <v>20</v>
      </c>
      <c r="S121" s="9" t="str">
        <f t="shared" si="30"/>
        <v/>
      </c>
      <c r="T121" s="22">
        <v>44</v>
      </c>
      <c r="U121" s="9" t="str">
        <f t="shared" si="31"/>
        <v/>
      </c>
      <c r="V121" s="29">
        <v>47</v>
      </c>
      <c r="W121" s="9" t="str">
        <f t="shared" si="32"/>
        <v/>
      </c>
      <c r="X121" s="22">
        <v>20</v>
      </c>
      <c r="Y121" s="9" t="str">
        <f t="shared" si="33"/>
        <v/>
      </c>
      <c r="Z121" s="22">
        <v>20</v>
      </c>
      <c r="AA121" s="9" t="str">
        <f t="shared" si="34"/>
        <v/>
      </c>
      <c r="AB121" s="29">
        <v>40</v>
      </c>
      <c r="AC121" s="9" t="str">
        <f t="shared" si="35"/>
        <v/>
      </c>
      <c r="AD121" s="22">
        <v>20</v>
      </c>
      <c r="AE121" s="9" t="str">
        <f t="shared" si="36"/>
        <v/>
      </c>
      <c r="AF121" s="22">
        <v>22</v>
      </c>
      <c r="AG121" s="9" t="str">
        <f t="shared" si="37"/>
        <v/>
      </c>
      <c r="AH121" s="22">
        <v>20</v>
      </c>
      <c r="AI121" s="9" t="str">
        <f t="shared" si="38"/>
        <v/>
      </c>
      <c r="AJ121" s="22">
        <v>22</v>
      </c>
      <c r="AK121" s="9" t="str">
        <f t="shared" si="39"/>
        <v/>
      </c>
      <c r="AL121" s="16">
        <f>IF(OR(AND(D121&gt;=31,D121&lt;40),AND(J121&gt;=31,J121&lt;40),AND(P121&gt;=31,P121&lt;40),AND(V121&gt;=31,V121&lt;40),AND(AB121&gt;=31,AB121&lt;40)),IF(AND(OR(COUNTIF(D121:AK121,"=31")&gt;=1,COUNTIF(D121:AK121,"=32")&gt;=1,COUNTIF(D121:AK121,"=33")&gt;=1,COUNTIF(D121:AK121,"=34")&gt;=1,COUNTIF(D121:AK121,"=35")&gt;=1,COUNTIF(D121:AK121,"=36")&gt;=1 ),COUNTIF(D121:AK121,"")=0,COUNTIF(D121:AK121," ")=0,COUNTIF(D121:AK121,"F")=1),CONCATENATE(SUM(EXTRACTNUMBER(D121),EXTRACTNUMBER(F121),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EXTRACTNUMBER(AD121),EXTRACTNUMBER(AF121),EXTRACTNUMBER(AH121),EXTRACTNUMBER(AJ121)),"*"),IF(AND(COUNTIF(D121:AK121,"=34")&gt;=1,COUNTIF(D121:AK121,"=35")&gt;=1,COUNTIF(D121:AK121,"f")=2,COUNTIF(D121:AK121,"")=0,COUNTIF(D121:AK121," ")=0),CONCATENATE(SUM(EXTRACTNUMBER(D121),EXTRACTNUMBER(F121),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EXTRACTNUMBER(AD121),EXTRACTNUMBER(AF121),EXTRACTNUMBER(AH121),EXTRACTNUMBER(AJ121)),"*"),IF(AND(COUNTIF(D121:AK121,"=36")&gt;=2,COUNTIF(D121:AK121,"f")=2,COUNTIF(D121:AK121,"")=0,COUNTIF(D121:AK121," ")=0),CONCATENATE(SUM(EXTRACTNUMBER(D121),EXTRACTNUMBER(F121),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EXTRACTNUMBER(AD121),EXTRACTNUMBER(AF121),EXTRACTNUMBER(AH121),EXTRACTNUMBER(AJ121)),"*"),SUM(EXTRACTNUMBER(D121),EXTRACTNUMBER(F121),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EXTRACTNUMBER(AD121),EXTRACTNUMBER(AF121),EXTRACTNUMBER(AH121),EXTRACTNUMBER(AJ121))))),SUM(EXTRACTNUMBER(D121),EXTRACTNUMBER(F121),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EXTRACTNUMBER(AD121),EXTRACTNUMBER(AF121),EXTRACTNUMBER(AH121),EXTRACTNUMBER(AJ121)))</f>
        <v>544</v>
      </c>
      <c r="AM121" s="72" t="s">
        <v>535</v>
      </c>
      <c r="AN121" s="11">
        <f t="shared" si="21"/>
        <v>544</v>
      </c>
      <c r="AO121" s="11" t="str">
        <f t="shared" si="40"/>
        <v>PASS</v>
      </c>
      <c r="AP121" s="11" t="str">
        <f t="shared" si="22"/>
        <v>--</v>
      </c>
      <c r="AQ121" s="1" t="str">
        <f t="shared" si="41"/>
        <v xml:space="preserve">Five Hundred Forty Four </v>
      </c>
    </row>
    <row r="122" spans="2:43" ht="15.95" customHeight="1">
      <c r="B122" s="67">
        <v>136295</v>
      </c>
      <c r="C122" s="21" t="s">
        <v>118</v>
      </c>
      <c r="D122" s="24">
        <v>40</v>
      </c>
      <c r="E122" s="9" t="str">
        <f t="shared" si="23"/>
        <v/>
      </c>
      <c r="F122" s="22">
        <v>21</v>
      </c>
      <c r="G122" s="9" t="str">
        <f t="shared" si="24"/>
        <v/>
      </c>
      <c r="H122" s="22">
        <v>44</v>
      </c>
      <c r="I122" s="9" t="str">
        <f t="shared" si="25"/>
        <v/>
      </c>
      <c r="J122" s="29">
        <v>40</v>
      </c>
      <c r="K122" s="9" t="str">
        <f t="shared" si="26"/>
        <v/>
      </c>
      <c r="L122" s="22">
        <v>22</v>
      </c>
      <c r="M122" s="9" t="str">
        <f t="shared" si="27"/>
        <v/>
      </c>
      <c r="N122" s="22">
        <v>22</v>
      </c>
      <c r="O122" s="9" t="str">
        <f t="shared" si="28"/>
        <v/>
      </c>
      <c r="P122" s="29">
        <v>62</v>
      </c>
      <c r="Q122" s="9" t="str">
        <f t="shared" si="29"/>
        <v/>
      </c>
      <c r="R122" s="22">
        <v>22</v>
      </c>
      <c r="S122" s="9" t="str">
        <f t="shared" si="30"/>
        <v/>
      </c>
      <c r="T122" s="22">
        <v>44</v>
      </c>
      <c r="U122" s="9" t="str">
        <f t="shared" si="31"/>
        <v/>
      </c>
      <c r="V122" s="29">
        <v>53</v>
      </c>
      <c r="W122" s="9" t="str">
        <f t="shared" si="32"/>
        <v/>
      </c>
      <c r="X122" s="22">
        <v>22</v>
      </c>
      <c r="Y122" s="9" t="str">
        <f t="shared" si="33"/>
        <v/>
      </c>
      <c r="Z122" s="22">
        <v>21</v>
      </c>
      <c r="AA122" s="9" t="str">
        <f t="shared" si="34"/>
        <v/>
      </c>
      <c r="AB122" s="29">
        <v>45</v>
      </c>
      <c r="AC122" s="9" t="str">
        <f t="shared" si="35"/>
        <v/>
      </c>
      <c r="AD122" s="22">
        <v>22</v>
      </c>
      <c r="AE122" s="9" t="str">
        <f t="shared" si="36"/>
        <v/>
      </c>
      <c r="AF122" s="22">
        <v>20</v>
      </c>
      <c r="AG122" s="9" t="str">
        <f t="shared" si="37"/>
        <v/>
      </c>
      <c r="AH122" s="22">
        <v>22</v>
      </c>
      <c r="AI122" s="9" t="str">
        <f t="shared" si="38"/>
        <v/>
      </c>
      <c r="AJ122" s="22">
        <v>22</v>
      </c>
      <c r="AK122" s="9" t="str">
        <f t="shared" si="39"/>
        <v/>
      </c>
      <c r="AL122" s="16">
        <f>IF(OR(AND(D122&gt;=31,D122&lt;40),AND(J122&gt;=31,J122&lt;40),AND(P122&gt;=31,P122&lt;40),AND(V122&gt;=31,V122&lt;40),AND(AB122&gt;=31,AB122&lt;40)),IF(AND(OR(COUNTIF(D122:AK122,"=31")&gt;=1,COUNTIF(D122:AK122,"=32")&gt;=1,COUNTIF(D122:AK122,"=33")&gt;=1,COUNTIF(D122:AK122,"=34")&gt;=1,COUNTIF(D122:AK122,"=35")&gt;=1,COUNTIF(D122:AK122,"=36")&gt;=1 ),COUNTIF(D122:AK122,"")=0,COUNTIF(D122:AK122," ")=0,COUNTIF(D122:AK122,"F")=1),CONCATENATE(SUM(EXTRACTNUMBER(D122),EXTRACTNUMBER(F122),
EXTRACTNUMBER(H122),EXTRACTNUMBER(J122),
EXTRACTNUMBER(L122),EXTRACTNUMBER(N122),
EXTRACTNUMBER(P122),EXTRACTNUMBER(R122),
EXTRACTNUMBER(T122),EXTRACTNUMBER(V122),
EXTRACTNUMBER(X122),EXTRACTNUMBER(Z122),EXTRACTNUMBER(AB122),
EXTRACTNUMBER(AD122),EXTRACTNUMBER(AF122),EXTRACTNUMBER(AH122),EXTRACTNUMBER(AJ122)),"*"),IF(AND(COUNTIF(D122:AK122,"=34")&gt;=1,COUNTIF(D122:AK122,"=35")&gt;=1,COUNTIF(D122:AK122,"f")=2,COUNTIF(D122:AK122,"")=0,COUNTIF(D122:AK122," ")=0),CONCATENATE(SUM(EXTRACTNUMBER(D122),EXTRACTNUMBER(F122),
EXTRACTNUMBER(H122),EXTRACTNUMBER(J122),
EXTRACTNUMBER(L122),EXTRACTNUMBER(N122),
EXTRACTNUMBER(P122),EXTRACTNUMBER(R122),
EXTRACTNUMBER(T122),EXTRACTNUMBER(V122),
EXTRACTNUMBER(X122),EXTRACTNUMBER(Z122),EXTRACTNUMBER(AB122),
EXTRACTNUMBER(AD122),EXTRACTNUMBER(AF122),EXTRACTNUMBER(AH122),EXTRACTNUMBER(AJ122)),"*"),IF(AND(COUNTIF(D122:AK122,"=36")&gt;=2,COUNTIF(D122:AK122,"f")=2,COUNTIF(D122:AK122,"")=0,COUNTIF(D122:AK122," ")=0),CONCATENATE(SUM(EXTRACTNUMBER(D122),EXTRACTNUMBER(F122),
EXTRACTNUMBER(H122),EXTRACTNUMBER(J122),
EXTRACTNUMBER(L122),EXTRACTNUMBER(N122),
EXTRACTNUMBER(P122),EXTRACTNUMBER(R122),
EXTRACTNUMBER(T122),EXTRACTNUMBER(V122),
EXTRACTNUMBER(X122),EXTRACTNUMBER(Z122),EXTRACTNUMBER(AB122),
EXTRACTNUMBER(AD122),EXTRACTNUMBER(AF122),EXTRACTNUMBER(AH122),EXTRACTNUMBER(AJ122)),"*"),SUM(EXTRACTNUMBER(D122),EXTRACTNUMBER(F122),
EXTRACTNUMBER(H122),EXTRACTNUMBER(J122),
EXTRACTNUMBER(L122),EXTRACTNUMBER(N122),
EXTRACTNUMBER(P122),EXTRACTNUMBER(R122),
EXTRACTNUMBER(T122),EXTRACTNUMBER(V122),
EXTRACTNUMBER(X122),EXTRACTNUMBER(Z122),EXTRACTNUMBER(AB122),
EXTRACTNUMBER(AD122),EXTRACTNUMBER(AF122),EXTRACTNUMBER(AH122),EXTRACTNUMBER(AJ122))))),SUM(EXTRACTNUMBER(D122),EXTRACTNUMBER(F122),
EXTRACTNUMBER(H122),EXTRACTNUMBER(J122),
EXTRACTNUMBER(L122),EXTRACTNUMBER(N122),
EXTRACTNUMBER(P122),EXTRACTNUMBER(R122),
EXTRACTNUMBER(T122),EXTRACTNUMBER(V122),
EXTRACTNUMBER(X122),EXTRACTNUMBER(Z122),EXTRACTNUMBER(AB122),
EXTRACTNUMBER(AD122),EXTRACTNUMBER(AF122),EXTRACTNUMBER(AH122),EXTRACTNUMBER(AJ122)))</f>
        <v>544</v>
      </c>
      <c r="AM122" s="72" t="s">
        <v>283</v>
      </c>
      <c r="AN122" s="11">
        <f t="shared" si="21"/>
        <v>1045</v>
      </c>
      <c r="AO122" s="11" t="str">
        <f t="shared" si="40"/>
        <v>PASS</v>
      </c>
      <c r="AP122" s="11" t="str">
        <f t="shared" si="22"/>
        <v>I</v>
      </c>
      <c r="AQ122" s="1" t="str">
        <f t="shared" si="41"/>
        <v xml:space="preserve">One Thousand Forty Five </v>
      </c>
    </row>
    <row r="123" spans="2:43" ht="15.95" customHeight="1">
      <c r="B123" s="67">
        <v>136296</v>
      </c>
      <c r="C123" s="21" t="s">
        <v>119</v>
      </c>
      <c r="D123" s="24">
        <v>44</v>
      </c>
      <c r="E123" s="9" t="str">
        <f t="shared" si="23"/>
        <v/>
      </c>
      <c r="F123" s="22">
        <v>21</v>
      </c>
      <c r="G123" s="9" t="str">
        <f t="shared" si="24"/>
        <v/>
      </c>
      <c r="H123" s="22">
        <v>46</v>
      </c>
      <c r="I123" s="9" t="str">
        <f t="shared" si="25"/>
        <v/>
      </c>
      <c r="J123" s="29">
        <v>40</v>
      </c>
      <c r="K123" s="9" t="str">
        <f t="shared" si="26"/>
        <v/>
      </c>
      <c r="L123" s="22">
        <v>20</v>
      </c>
      <c r="M123" s="9" t="str">
        <f t="shared" si="27"/>
        <v/>
      </c>
      <c r="N123" s="22">
        <v>23</v>
      </c>
      <c r="O123" s="9" t="str">
        <f t="shared" si="28"/>
        <v/>
      </c>
      <c r="P123" s="29">
        <v>52</v>
      </c>
      <c r="Q123" s="9" t="str">
        <f t="shared" si="29"/>
        <v/>
      </c>
      <c r="R123" s="22">
        <v>21</v>
      </c>
      <c r="S123" s="9" t="str">
        <f t="shared" si="30"/>
        <v/>
      </c>
      <c r="T123" s="22">
        <v>46</v>
      </c>
      <c r="U123" s="9" t="str">
        <f t="shared" si="31"/>
        <v/>
      </c>
      <c r="V123" s="29">
        <v>47</v>
      </c>
      <c r="W123" s="9" t="str">
        <f t="shared" si="32"/>
        <v/>
      </c>
      <c r="X123" s="22">
        <v>21</v>
      </c>
      <c r="Y123" s="9" t="str">
        <f t="shared" si="33"/>
        <v/>
      </c>
      <c r="Z123" s="22">
        <v>21</v>
      </c>
      <c r="AA123" s="9" t="str">
        <f t="shared" si="34"/>
        <v/>
      </c>
      <c r="AB123" s="29">
        <v>44</v>
      </c>
      <c r="AC123" s="9" t="str">
        <f t="shared" si="35"/>
        <v/>
      </c>
      <c r="AD123" s="22">
        <v>21</v>
      </c>
      <c r="AE123" s="9" t="str">
        <f t="shared" si="36"/>
        <v/>
      </c>
      <c r="AF123" s="22">
        <v>21</v>
      </c>
      <c r="AG123" s="9" t="str">
        <f t="shared" si="37"/>
        <v/>
      </c>
      <c r="AH123" s="22">
        <v>21</v>
      </c>
      <c r="AI123" s="9" t="str">
        <f t="shared" si="38"/>
        <v/>
      </c>
      <c r="AJ123" s="22">
        <v>21</v>
      </c>
      <c r="AK123" s="9" t="str">
        <f t="shared" si="39"/>
        <v/>
      </c>
      <c r="AL123" s="16">
        <f>IF(OR(AND(D123&gt;=31,D123&lt;40),AND(J123&gt;=31,J123&lt;40),AND(P123&gt;=31,P123&lt;40),AND(V123&gt;=31,V123&lt;40),AND(AB123&gt;=31,AB123&lt;40)),IF(AND(OR(COUNTIF(D123:AK123,"=31")&gt;=1,COUNTIF(D123:AK123,"=32")&gt;=1,COUNTIF(D123:AK123,"=33")&gt;=1,COUNTIF(D123:AK123,"=34")&gt;=1,COUNTIF(D123:AK123,"=35")&gt;=1,COUNTIF(D123:AK123,"=36")&gt;=1 ),COUNTIF(D123:AK123,"")=0,COUNTIF(D123:AK123," ")=0,COUNTIF(D123:AK123,"F")=1),CONCATENATE(SUM(EXTRACTNUMBER(D123),EXTRACTNUMBER(F123),
EXTRACTNUMBER(H123),EXTRACTNUMBER(J123),
EXTRACTNUMBER(L123),EXTRACTNUMBER(N123),
EXTRACTNUMBER(P123),EXTRACTNUMBER(R123),
EXTRACTNUMBER(T123),EXTRACTNUMBER(V123),
EXTRACTNUMBER(X123),EXTRACTNUMBER(Z123),EXTRACTNUMBER(AB123),
EXTRACTNUMBER(AD123),EXTRACTNUMBER(AF123),EXTRACTNUMBER(AH123),EXTRACTNUMBER(AJ123)),"*"),IF(AND(COUNTIF(D123:AK123,"=34")&gt;=1,COUNTIF(D123:AK123,"=35")&gt;=1,COUNTIF(D123:AK123,"f")=2,COUNTIF(D123:AK123,"")=0,COUNTIF(D123:AK123," ")=0),CONCATENATE(SUM(EXTRACTNUMBER(D123),EXTRACTNUMBER(F123),
EXTRACTNUMBER(H123),EXTRACTNUMBER(J123),
EXTRACTNUMBER(L123),EXTRACTNUMBER(N123),
EXTRACTNUMBER(P123),EXTRACTNUMBER(R123),
EXTRACTNUMBER(T123),EXTRACTNUMBER(V123),
EXTRACTNUMBER(X123),EXTRACTNUMBER(Z123),EXTRACTNUMBER(AB123),
EXTRACTNUMBER(AD123),EXTRACTNUMBER(AF123),EXTRACTNUMBER(AH123),EXTRACTNUMBER(AJ123)),"*"),IF(AND(COUNTIF(D123:AK123,"=36")&gt;=2,COUNTIF(D123:AK123,"f")=2,COUNTIF(D123:AK123,"")=0,COUNTIF(D123:AK123," ")=0),CONCATENATE(SUM(EXTRACTNUMBER(D123),EXTRACTNUMBER(F123),
EXTRACTNUMBER(H123),EXTRACTNUMBER(J123),
EXTRACTNUMBER(L123),EXTRACTNUMBER(N123),
EXTRACTNUMBER(P123),EXTRACTNUMBER(R123),
EXTRACTNUMBER(T123),EXTRACTNUMBER(V123),
EXTRACTNUMBER(X123),EXTRACTNUMBER(Z123),EXTRACTNUMBER(AB123),
EXTRACTNUMBER(AD123),EXTRACTNUMBER(AF123),EXTRACTNUMBER(AH123),EXTRACTNUMBER(AJ123)),"*"),SUM(EXTRACTNUMBER(D123),EXTRACTNUMBER(F123),
EXTRACTNUMBER(H123),EXTRACTNUMBER(J123),
EXTRACTNUMBER(L123),EXTRACTNUMBER(N123),
EXTRACTNUMBER(P123),EXTRACTNUMBER(R123),
EXTRACTNUMBER(T123),EXTRACTNUMBER(V123),
EXTRACTNUMBER(X123),EXTRACTNUMBER(Z123),EXTRACTNUMBER(AB123),
EXTRACTNUMBER(AD123),EXTRACTNUMBER(AF123),EXTRACTNUMBER(AH123),EXTRACTNUMBER(AJ123))))),SUM(EXTRACTNUMBER(D123),EXTRACTNUMBER(F123),
EXTRACTNUMBER(H123),EXTRACTNUMBER(J123),
EXTRACTNUMBER(L123),EXTRACTNUMBER(N123),
EXTRACTNUMBER(P123),EXTRACTNUMBER(R123),
EXTRACTNUMBER(T123),EXTRACTNUMBER(V123),
EXTRACTNUMBER(X123),EXTRACTNUMBER(Z123),EXTRACTNUMBER(AB123),
EXTRACTNUMBER(AD123),EXTRACTNUMBER(AF123),EXTRACTNUMBER(AH123),EXTRACTNUMBER(AJ123)))</f>
        <v>530</v>
      </c>
      <c r="AM123" s="72" t="s">
        <v>554</v>
      </c>
      <c r="AN123" s="11">
        <f t="shared" si="21"/>
        <v>1017</v>
      </c>
      <c r="AO123" s="11" t="str">
        <f t="shared" si="40"/>
        <v>PASS</v>
      </c>
      <c r="AP123" s="11" t="str">
        <f t="shared" si="22"/>
        <v>P</v>
      </c>
      <c r="AQ123" s="1" t="str">
        <f t="shared" si="41"/>
        <v xml:space="preserve">One Thousand Seventeen </v>
      </c>
    </row>
    <row r="124" spans="2:43" ht="15.95" customHeight="1">
      <c r="B124" s="67">
        <v>136297</v>
      </c>
      <c r="C124" s="21" t="s">
        <v>120</v>
      </c>
      <c r="D124" s="24">
        <v>52</v>
      </c>
      <c r="E124" s="9" t="str">
        <f t="shared" si="23"/>
        <v/>
      </c>
      <c r="F124" s="22">
        <v>22</v>
      </c>
      <c r="G124" s="9" t="str">
        <f t="shared" si="24"/>
        <v/>
      </c>
      <c r="H124" s="22">
        <v>42</v>
      </c>
      <c r="I124" s="9" t="str">
        <f t="shared" si="25"/>
        <v/>
      </c>
      <c r="J124" s="29">
        <v>66</v>
      </c>
      <c r="K124" s="9" t="str">
        <f t="shared" si="26"/>
        <v/>
      </c>
      <c r="L124" s="22">
        <v>22</v>
      </c>
      <c r="M124" s="9" t="str">
        <f t="shared" si="27"/>
        <v/>
      </c>
      <c r="N124" s="22">
        <v>21</v>
      </c>
      <c r="O124" s="9" t="str">
        <f t="shared" si="28"/>
        <v/>
      </c>
      <c r="P124" s="29">
        <v>60</v>
      </c>
      <c r="Q124" s="9" t="str">
        <f t="shared" si="29"/>
        <v/>
      </c>
      <c r="R124" s="22">
        <v>22</v>
      </c>
      <c r="S124" s="9" t="str">
        <f t="shared" si="30"/>
        <v/>
      </c>
      <c r="T124" s="22">
        <v>42</v>
      </c>
      <c r="U124" s="9" t="str">
        <f t="shared" si="31"/>
        <v/>
      </c>
      <c r="V124" s="29">
        <v>64</v>
      </c>
      <c r="W124" s="9" t="str">
        <f t="shared" si="32"/>
        <v/>
      </c>
      <c r="X124" s="22">
        <v>22</v>
      </c>
      <c r="Y124" s="9" t="str">
        <f t="shared" si="33"/>
        <v/>
      </c>
      <c r="Z124" s="22">
        <v>21</v>
      </c>
      <c r="AA124" s="9" t="str">
        <f t="shared" si="34"/>
        <v/>
      </c>
      <c r="AB124" s="29">
        <v>53</v>
      </c>
      <c r="AC124" s="9" t="str">
        <f t="shared" si="35"/>
        <v/>
      </c>
      <c r="AD124" s="22">
        <v>22</v>
      </c>
      <c r="AE124" s="9" t="str">
        <f t="shared" si="36"/>
        <v/>
      </c>
      <c r="AF124" s="22">
        <v>19</v>
      </c>
      <c r="AG124" s="9" t="str">
        <f t="shared" si="37"/>
        <v/>
      </c>
      <c r="AH124" s="22">
        <v>22</v>
      </c>
      <c r="AI124" s="9" t="str">
        <f t="shared" si="38"/>
        <v/>
      </c>
      <c r="AJ124" s="22">
        <v>20</v>
      </c>
      <c r="AK124" s="9" t="str">
        <f t="shared" si="39"/>
        <v/>
      </c>
      <c r="AL124" s="16">
        <f>IF(OR(AND(D124&gt;=31,D124&lt;40),AND(J124&gt;=31,J124&lt;40),AND(P124&gt;=31,P124&lt;40),AND(V124&gt;=31,V124&lt;40),AND(AB124&gt;=31,AB124&lt;40)),IF(AND(OR(COUNTIF(D124:AK124,"=31")&gt;=1,COUNTIF(D124:AK124,"=32")&gt;=1,COUNTIF(D124:AK124,"=33")&gt;=1,COUNTIF(D124:AK124,"=34")&gt;=1,COUNTIF(D124:AK124,"=35")&gt;=1,COUNTIF(D124:AK124,"=36")&gt;=1 ),COUNTIF(D124:AK124,"")=0,COUNTIF(D124:AK124," ")=0,COUNTIF(D124:AK124,"F")=1),CONCATENATE(SUM(EXTRACTNUMBER(D124),EXTRACTNUMBER(F124),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EXTRACTNUMBER(AD124),EXTRACTNUMBER(AF124),EXTRACTNUMBER(AH124),EXTRACTNUMBER(AJ124)),"*"),IF(AND(COUNTIF(D124:AK124,"=34")&gt;=1,COUNTIF(D124:AK124,"=35")&gt;=1,COUNTIF(D124:AK124,"f")=2,COUNTIF(D124:AK124,"")=0,COUNTIF(D124:AK124," ")=0),CONCATENATE(SUM(EXTRACTNUMBER(D124),EXTRACTNUMBER(F124),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EXTRACTNUMBER(AD124),EXTRACTNUMBER(AF124),EXTRACTNUMBER(AH124),EXTRACTNUMBER(AJ124)),"*"),IF(AND(COUNTIF(D124:AK124,"=36")&gt;=2,COUNTIF(D124:AK124,"f")=2,COUNTIF(D124:AK124,"")=0,COUNTIF(D124:AK124," ")=0),CONCATENATE(SUM(EXTRACTNUMBER(D124),EXTRACTNUMBER(F124),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EXTRACTNUMBER(AD124),EXTRACTNUMBER(AF124),EXTRACTNUMBER(AH124),EXTRACTNUMBER(AJ124)),"*"),SUM(EXTRACTNUMBER(D124),EXTRACTNUMBER(F124),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EXTRACTNUMBER(AD124),EXTRACTNUMBER(AF124),EXTRACTNUMBER(AH124),EXTRACTNUMBER(AJ124))))),SUM(EXTRACTNUMBER(D124),EXTRACTNUMBER(F124),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EXTRACTNUMBER(AD124),EXTRACTNUMBER(AF124),EXTRACTNUMBER(AH124),EXTRACTNUMBER(AJ124)))</f>
        <v>592</v>
      </c>
      <c r="AM124" s="72" t="s">
        <v>277</v>
      </c>
      <c r="AN124" s="11">
        <f t="shared" si="21"/>
        <v>1109</v>
      </c>
      <c r="AO124" s="11" t="str">
        <f t="shared" si="40"/>
        <v>PASS</v>
      </c>
      <c r="AP124" s="11" t="str">
        <f t="shared" si="22"/>
        <v>I</v>
      </c>
      <c r="AQ124" s="1" t="str">
        <f t="shared" si="41"/>
        <v xml:space="preserve">One Thousand One Hundred Nine </v>
      </c>
    </row>
    <row r="125" spans="2:43" ht="15.95" customHeight="1">
      <c r="B125" s="67">
        <v>136298</v>
      </c>
      <c r="C125" s="21" t="s">
        <v>121</v>
      </c>
      <c r="D125" s="24">
        <v>41</v>
      </c>
      <c r="E125" s="9" t="str">
        <f t="shared" si="23"/>
        <v/>
      </c>
      <c r="F125" s="22">
        <v>21</v>
      </c>
      <c r="G125" s="9" t="str">
        <f t="shared" si="24"/>
        <v/>
      </c>
      <c r="H125" s="22">
        <v>44</v>
      </c>
      <c r="I125" s="9" t="str">
        <f t="shared" si="25"/>
        <v/>
      </c>
      <c r="J125" s="29">
        <v>40</v>
      </c>
      <c r="K125" s="9" t="str">
        <f t="shared" si="26"/>
        <v/>
      </c>
      <c r="L125" s="22">
        <v>20</v>
      </c>
      <c r="M125" s="9" t="str">
        <f t="shared" si="27"/>
        <v/>
      </c>
      <c r="N125" s="22">
        <v>22</v>
      </c>
      <c r="O125" s="9" t="str">
        <f t="shared" si="28"/>
        <v/>
      </c>
      <c r="P125" s="29">
        <v>59</v>
      </c>
      <c r="Q125" s="9" t="str">
        <f t="shared" si="29"/>
        <v/>
      </c>
      <c r="R125" s="22">
        <v>20</v>
      </c>
      <c r="S125" s="9" t="str">
        <f t="shared" si="30"/>
        <v/>
      </c>
      <c r="T125" s="22">
        <v>44</v>
      </c>
      <c r="U125" s="9" t="str">
        <f t="shared" si="31"/>
        <v/>
      </c>
      <c r="V125" s="29">
        <v>40</v>
      </c>
      <c r="W125" s="9" t="str">
        <f t="shared" si="32"/>
        <v/>
      </c>
      <c r="X125" s="22">
        <v>20</v>
      </c>
      <c r="Y125" s="9" t="str">
        <f t="shared" si="33"/>
        <v/>
      </c>
      <c r="Z125" s="22">
        <v>21</v>
      </c>
      <c r="AA125" s="9" t="str">
        <f t="shared" si="34"/>
        <v/>
      </c>
      <c r="AB125" s="29">
        <v>40</v>
      </c>
      <c r="AC125" s="9" t="str">
        <f t="shared" si="35"/>
        <v/>
      </c>
      <c r="AD125" s="22">
        <v>20</v>
      </c>
      <c r="AE125" s="9" t="str">
        <f t="shared" si="36"/>
        <v/>
      </c>
      <c r="AF125" s="22">
        <v>21</v>
      </c>
      <c r="AG125" s="9" t="str">
        <f t="shared" si="37"/>
        <v/>
      </c>
      <c r="AH125" s="22">
        <v>20</v>
      </c>
      <c r="AI125" s="9" t="str">
        <f t="shared" si="38"/>
        <v/>
      </c>
      <c r="AJ125" s="22">
        <v>20</v>
      </c>
      <c r="AK125" s="9" t="str">
        <f t="shared" si="39"/>
        <v/>
      </c>
      <c r="AL125" s="16">
        <f>IF(OR(AND(D125&gt;=31,D125&lt;40),AND(J125&gt;=31,J125&lt;40),AND(P125&gt;=31,P125&lt;40),AND(V125&gt;=31,V125&lt;40),AND(AB125&gt;=31,AB125&lt;40)),IF(AND(OR(COUNTIF(D125:AK125,"=31")&gt;=1,COUNTIF(D125:AK125,"=32")&gt;=1,COUNTIF(D125:AK125,"=33")&gt;=1,COUNTIF(D125:AK125,"=34")&gt;=1,COUNTIF(D125:AK125,"=35")&gt;=1,COUNTIF(D125:AK125,"=36")&gt;=1 ),COUNTIF(D125:AK125,"")=0,COUNTIF(D125:AK125," ")=0,COUNTIF(D125:AK125,"F")=1),CONCATENATE(SUM(EXTRACTNUMBER(D125),EXTRACTNUMBER(F125),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EXTRACTNUMBER(AD125),EXTRACTNUMBER(AF125),EXTRACTNUMBER(AH125),EXTRACTNUMBER(AJ125)),"*"),IF(AND(COUNTIF(D125:AK125,"=34")&gt;=1,COUNTIF(D125:AK125,"=35")&gt;=1,COUNTIF(D125:AK125,"f")=2,COUNTIF(D125:AK125,"")=0,COUNTIF(D125:AK125," ")=0),CONCATENATE(SUM(EXTRACTNUMBER(D125),EXTRACTNUMBER(F125),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EXTRACTNUMBER(AD125),EXTRACTNUMBER(AF125),EXTRACTNUMBER(AH125),EXTRACTNUMBER(AJ125)),"*"),IF(AND(COUNTIF(D125:AK125,"=36")&gt;=2,COUNTIF(D125:AK125,"f")=2,COUNTIF(D125:AK125,"")=0,COUNTIF(D125:AK125," ")=0),CONCATENATE(SUM(EXTRACTNUMBER(D125),EXTRACTNUMBER(F125),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EXTRACTNUMBER(AD125),EXTRACTNUMBER(AF125),EXTRACTNUMBER(AH125),EXTRACTNUMBER(AJ125)),"*"),SUM(EXTRACTNUMBER(D125),EXTRACTNUMBER(F125),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EXTRACTNUMBER(AD125),EXTRACTNUMBER(AF125),EXTRACTNUMBER(AH125),EXTRACTNUMBER(AJ125))))),SUM(EXTRACTNUMBER(D125),EXTRACTNUMBER(F125),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EXTRACTNUMBER(AD125),EXTRACTNUMBER(AF125),EXTRACTNUMBER(AH125),EXTRACTNUMBER(AJ125)))</f>
        <v>513</v>
      </c>
      <c r="AM125" s="72" t="s">
        <v>539</v>
      </c>
      <c r="AN125" s="11">
        <f t="shared" si="21"/>
        <v>1007</v>
      </c>
      <c r="AO125" s="11" t="str">
        <f t="shared" si="40"/>
        <v>PASS</v>
      </c>
      <c r="AP125" s="11" t="str">
        <f t="shared" si="22"/>
        <v>P</v>
      </c>
      <c r="AQ125" s="1" t="str">
        <f t="shared" si="41"/>
        <v xml:space="preserve">One Thousand Seven </v>
      </c>
    </row>
    <row r="126" spans="2:43" ht="15.95" customHeight="1">
      <c r="B126" s="67">
        <v>136299</v>
      </c>
      <c r="C126" s="21" t="s">
        <v>122</v>
      </c>
      <c r="D126" s="24">
        <v>60</v>
      </c>
      <c r="E126" s="9" t="str">
        <f t="shared" si="23"/>
        <v/>
      </c>
      <c r="F126" s="22">
        <v>20</v>
      </c>
      <c r="G126" s="9" t="str">
        <f t="shared" si="24"/>
        <v/>
      </c>
      <c r="H126" s="22">
        <v>38</v>
      </c>
      <c r="I126" s="9" t="str">
        <f t="shared" si="25"/>
        <v/>
      </c>
      <c r="J126" s="29">
        <v>41</v>
      </c>
      <c r="K126" s="9" t="str">
        <f t="shared" si="26"/>
        <v/>
      </c>
      <c r="L126" s="22">
        <v>20</v>
      </c>
      <c r="M126" s="9" t="str">
        <f t="shared" si="27"/>
        <v/>
      </c>
      <c r="N126" s="22">
        <v>19</v>
      </c>
      <c r="O126" s="9" t="str">
        <f t="shared" si="28"/>
        <v/>
      </c>
      <c r="P126" s="29">
        <v>58</v>
      </c>
      <c r="Q126" s="9" t="str">
        <f t="shared" si="29"/>
        <v/>
      </c>
      <c r="R126" s="22">
        <v>20</v>
      </c>
      <c r="S126" s="9" t="str">
        <f t="shared" si="30"/>
        <v/>
      </c>
      <c r="T126" s="22">
        <v>38</v>
      </c>
      <c r="U126" s="9" t="str">
        <f t="shared" si="31"/>
        <v/>
      </c>
      <c r="V126" s="29">
        <v>47</v>
      </c>
      <c r="W126" s="9" t="str">
        <f t="shared" si="32"/>
        <v/>
      </c>
      <c r="X126" s="22">
        <v>20</v>
      </c>
      <c r="Y126" s="9" t="str">
        <f t="shared" si="33"/>
        <v/>
      </c>
      <c r="Z126" s="22">
        <v>20</v>
      </c>
      <c r="AA126" s="9" t="str">
        <f t="shared" si="34"/>
        <v/>
      </c>
      <c r="AB126" s="29">
        <v>47</v>
      </c>
      <c r="AC126" s="9" t="str">
        <f t="shared" si="35"/>
        <v/>
      </c>
      <c r="AD126" s="22">
        <v>20</v>
      </c>
      <c r="AE126" s="9" t="str">
        <f t="shared" si="36"/>
        <v/>
      </c>
      <c r="AF126" s="22">
        <v>21</v>
      </c>
      <c r="AG126" s="9" t="str">
        <f t="shared" si="37"/>
        <v/>
      </c>
      <c r="AH126" s="22">
        <v>22</v>
      </c>
      <c r="AI126" s="9" t="str">
        <f t="shared" si="38"/>
        <v/>
      </c>
      <c r="AJ126" s="22">
        <v>22</v>
      </c>
      <c r="AK126" s="9" t="str">
        <f t="shared" si="39"/>
        <v/>
      </c>
      <c r="AL126" s="16">
        <f>IF(OR(AND(D126&gt;=31,D126&lt;40),AND(J126&gt;=31,J126&lt;40),AND(P126&gt;=31,P126&lt;40),AND(V126&gt;=31,V126&lt;40),AND(AB126&gt;=31,AB126&lt;40)),IF(AND(OR(COUNTIF(D126:AK126,"=31")&gt;=1,COUNTIF(D126:AK126,"=32")&gt;=1,COUNTIF(D126:AK126,"=33")&gt;=1,COUNTIF(D126:AK126,"=34")&gt;=1,COUNTIF(D126:AK126,"=35")&gt;=1,COUNTIF(D126:AK126,"=36")&gt;=1 ),COUNTIF(D126:AK126,"")=0,COUNTIF(D126:AK126," ")=0,COUNTIF(D126:AK126,"F")=1),CONCATENATE(SUM(EXTRACTNUMBER(D126),EXTRACTNUMBER(F126),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EXTRACTNUMBER(AD126),EXTRACTNUMBER(AF126),EXTRACTNUMBER(AH126),EXTRACTNUMBER(AJ126)),"*"),IF(AND(COUNTIF(D126:AK126,"=34")&gt;=1,COUNTIF(D126:AK126,"=35")&gt;=1,COUNTIF(D126:AK126,"f")=2,COUNTIF(D126:AK126,"")=0,COUNTIF(D126:AK126," ")=0),CONCATENATE(SUM(EXTRACTNUMBER(D126),EXTRACTNUMBER(F126),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EXTRACTNUMBER(AD126),EXTRACTNUMBER(AF126),EXTRACTNUMBER(AH126),EXTRACTNUMBER(AJ126)),"*"),IF(AND(COUNTIF(D126:AK126,"=36")&gt;=2,COUNTIF(D126:AK126,"f")=2,COUNTIF(D126:AK126,"")=0,COUNTIF(D126:AK126," ")=0),CONCATENATE(SUM(EXTRACTNUMBER(D126),EXTRACTNUMBER(F126),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EXTRACTNUMBER(AD126),EXTRACTNUMBER(AF126),EXTRACTNUMBER(AH126),EXTRACTNUMBER(AJ126)),"*"),SUM(EXTRACTNUMBER(D126),EXTRACTNUMBER(F126),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EXTRACTNUMBER(AD126),EXTRACTNUMBER(AF126),EXTRACTNUMBER(AH126),EXTRACTNUMBER(AJ126))))),SUM(EXTRACTNUMBER(D126),EXTRACTNUMBER(F126),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EXTRACTNUMBER(AD126),EXTRACTNUMBER(AF126),EXTRACTNUMBER(AH126),EXTRACTNUMBER(AJ126)))</f>
        <v>533</v>
      </c>
      <c r="AM126" s="72" t="s">
        <v>562</v>
      </c>
      <c r="AN126" s="11">
        <f t="shared" si="21"/>
        <v>1043</v>
      </c>
      <c r="AO126" s="11" t="str">
        <f t="shared" si="40"/>
        <v>PASS</v>
      </c>
      <c r="AP126" s="11" t="str">
        <f t="shared" si="22"/>
        <v>P</v>
      </c>
      <c r="AQ126" s="1" t="str">
        <f t="shared" si="41"/>
        <v xml:space="preserve">One Thousand Forty Three </v>
      </c>
    </row>
    <row r="127" spans="2:43" ht="15.95" customHeight="1">
      <c r="B127" s="67">
        <v>136300</v>
      </c>
      <c r="C127" s="21" t="s">
        <v>123</v>
      </c>
      <c r="D127" s="24">
        <v>62</v>
      </c>
      <c r="E127" s="9" t="str">
        <f t="shared" si="23"/>
        <v/>
      </c>
      <c r="F127" s="22">
        <v>20</v>
      </c>
      <c r="G127" s="9" t="str">
        <f t="shared" si="24"/>
        <v/>
      </c>
      <c r="H127" s="22">
        <v>44</v>
      </c>
      <c r="I127" s="9" t="str">
        <f t="shared" si="25"/>
        <v/>
      </c>
      <c r="J127" s="29">
        <v>60</v>
      </c>
      <c r="K127" s="9" t="str">
        <f t="shared" si="26"/>
        <v/>
      </c>
      <c r="L127" s="22">
        <v>20</v>
      </c>
      <c r="M127" s="9" t="str">
        <f t="shared" si="27"/>
        <v/>
      </c>
      <c r="N127" s="22">
        <v>22</v>
      </c>
      <c r="O127" s="9" t="str">
        <f t="shared" si="28"/>
        <v/>
      </c>
      <c r="P127" s="29">
        <v>66</v>
      </c>
      <c r="Q127" s="9" t="str">
        <f t="shared" si="29"/>
        <v/>
      </c>
      <c r="R127" s="22">
        <v>20</v>
      </c>
      <c r="S127" s="9" t="str">
        <f t="shared" si="30"/>
        <v/>
      </c>
      <c r="T127" s="22">
        <v>44</v>
      </c>
      <c r="U127" s="9" t="str">
        <f t="shared" si="31"/>
        <v/>
      </c>
      <c r="V127" s="29">
        <v>62</v>
      </c>
      <c r="W127" s="9" t="str">
        <f t="shared" si="32"/>
        <v/>
      </c>
      <c r="X127" s="22">
        <v>20</v>
      </c>
      <c r="Y127" s="9" t="str">
        <f t="shared" si="33"/>
        <v/>
      </c>
      <c r="Z127" s="22">
        <v>20</v>
      </c>
      <c r="AA127" s="9" t="str">
        <f t="shared" si="34"/>
        <v/>
      </c>
      <c r="AB127" s="29">
        <v>57</v>
      </c>
      <c r="AC127" s="9" t="str">
        <f t="shared" si="35"/>
        <v/>
      </c>
      <c r="AD127" s="22">
        <v>20</v>
      </c>
      <c r="AE127" s="9" t="str">
        <f t="shared" si="36"/>
        <v/>
      </c>
      <c r="AF127" s="22">
        <v>20</v>
      </c>
      <c r="AG127" s="9" t="str">
        <f t="shared" si="37"/>
        <v/>
      </c>
      <c r="AH127" s="22">
        <v>20</v>
      </c>
      <c r="AI127" s="9" t="str">
        <f t="shared" si="38"/>
        <v/>
      </c>
      <c r="AJ127" s="22">
        <v>20</v>
      </c>
      <c r="AK127" s="9" t="str">
        <f t="shared" si="39"/>
        <v/>
      </c>
      <c r="AL127" s="16">
        <f>IF(OR(AND(D127&gt;=31,D127&lt;40),AND(J127&gt;=31,J127&lt;40),AND(P127&gt;=31,P127&lt;40),AND(V127&gt;=31,V127&lt;40),AND(AB127&gt;=31,AB127&lt;40)),IF(AND(OR(COUNTIF(D127:AK127,"=31")&gt;=1,COUNTIF(D127:AK127,"=32")&gt;=1,COUNTIF(D127:AK127,"=33")&gt;=1,COUNTIF(D127:AK127,"=34")&gt;=1,COUNTIF(D127:AK127,"=35")&gt;=1,COUNTIF(D127:AK127,"=36")&gt;=1 ),COUNTIF(D127:AK127,"")=0,COUNTIF(D127:AK127," ")=0,COUNTIF(D127:AK127,"F")=1),CONCATENATE(SUM(EXTRACTNUMBER(D127),EXTRACTNUMBER(F127),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EXTRACTNUMBER(AD127),EXTRACTNUMBER(AF127),EXTRACTNUMBER(AH127),EXTRACTNUMBER(AJ127)),"*"),IF(AND(COUNTIF(D127:AK127,"=34")&gt;=1,COUNTIF(D127:AK127,"=35")&gt;=1,COUNTIF(D127:AK127,"f")=2,COUNTIF(D127:AK127,"")=0,COUNTIF(D127:AK127," ")=0),CONCATENATE(SUM(EXTRACTNUMBER(D127),EXTRACTNUMBER(F127),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EXTRACTNUMBER(AD127),EXTRACTNUMBER(AF127),EXTRACTNUMBER(AH127),EXTRACTNUMBER(AJ127)),"*"),IF(AND(COUNTIF(D127:AK127,"=36")&gt;=2,COUNTIF(D127:AK127,"f")=2,COUNTIF(D127:AK127,"")=0,COUNTIF(D127:AK127," ")=0),CONCATENATE(SUM(EXTRACTNUMBER(D127),EXTRACTNUMBER(F127),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EXTRACTNUMBER(AD127),EXTRACTNUMBER(AF127),EXTRACTNUMBER(AH127),EXTRACTNUMBER(AJ127)),"*"),SUM(EXTRACTNUMBER(D127),EXTRACTNUMBER(F127),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EXTRACTNUMBER(AD127),EXTRACTNUMBER(AF127),EXTRACTNUMBER(AH127),EXTRACTNUMBER(AJ127))))),SUM(EXTRACTNUMBER(D127),EXTRACTNUMBER(F127),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EXTRACTNUMBER(AD127),EXTRACTNUMBER(AF127),EXTRACTNUMBER(AH127),EXTRACTNUMBER(AJ127)))</f>
        <v>597</v>
      </c>
      <c r="AM127" s="72" t="s">
        <v>279</v>
      </c>
      <c r="AN127" s="11">
        <f t="shared" si="21"/>
        <v>1151</v>
      </c>
      <c r="AO127" s="11" t="str">
        <f t="shared" si="40"/>
        <v>PASS</v>
      </c>
      <c r="AP127" s="11" t="str">
        <f t="shared" si="22"/>
        <v>I</v>
      </c>
      <c r="AQ127" s="1" t="str">
        <f t="shared" si="41"/>
        <v xml:space="preserve">One Thousand One Hundred Fifty One </v>
      </c>
    </row>
    <row r="128" spans="2:43" ht="15.95" customHeight="1">
      <c r="B128" s="67">
        <v>136301</v>
      </c>
      <c r="C128" s="21" t="s">
        <v>124</v>
      </c>
      <c r="D128" s="24">
        <v>40</v>
      </c>
      <c r="E128" s="9" t="str">
        <f t="shared" si="23"/>
        <v/>
      </c>
      <c r="F128" s="22">
        <v>20</v>
      </c>
      <c r="G128" s="9" t="str">
        <f t="shared" si="24"/>
        <v/>
      </c>
      <c r="H128" s="22">
        <v>44</v>
      </c>
      <c r="I128" s="9" t="str">
        <f t="shared" si="25"/>
        <v/>
      </c>
      <c r="J128" s="29">
        <v>49</v>
      </c>
      <c r="K128" s="9" t="str">
        <f t="shared" si="26"/>
        <v/>
      </c>
      <c r="L128" s="22">
        <v>21</v>
      </c>
      <c r="M128" s="9" t="str">
        <f t="shared" si="27"/>
        <v/>
      </c>
      <c r="N128" s="22">
        <v>22</v>
      </c>
      <c r="O128" s="9" t="str">
        <f t="shared" si="28"/>
        <v/>
      </c>
      <c r="P128" s="29">
        <v>51</v>
      </c>
      <c r="Q128" s="9" t="str">
        <f t="shared" si="29"/>
        <v/>
      </c>
      <c r="R128" s="22">
        <v>21</v>
      </c>
      <c r="S128" s="9" t="str">
        <f t="shared" si="30"/>
        <v/>
      </c>
      <c r="T128" s="22">
        <v>44</v>
      </c>
      <c r="U128" s="9" t="str">
        <f t="shared" si="31"/>
        <v/>
      </c>
      <c r="V128" s="29">
        <v>70</v>
      </c>
      <c r="W128" s="9" t="str">
        <f t="shared" si="32"/>
        <v/>
      </c>
      <c r="X128" s="22">
        <v>21</v>
      </c>
      <c r="Y128" s="9" t="str">
        <f t="shared" si="33"/>
        <v/>
      </c>
      <c r="Z128" s="22">
        <v>21</v>
      </c>
      <c r="AA128" s="9" t="str">
        <f t="shared" si="34"/>
        <v/>
      </c>
      <c r="AB128" s="29">
        <v>45</v>
      </c>
      <c r="AC128" s="9" t="str">
        <f t="shared" si="35"/>
        <v/>
      </c>
      <c r="AD128" s="22">
        <v>21</v>
      </c>
      <c r="AE128" s="9" t="str">
        <f t="shared" si="36"/>
        <v/>
      </c>
      <c r="AF128" s="22">
        <v>20</v>
      </c>
      <c r="AG128" s="9" t="str">
        <f t="shared" si="37"/>
        <v/>
      </c>
      <c r="AH128" s="22">
        <v>21</v>
      </c>
      <c r="AI128" s="9" t="str">
        <f t="shared" si="38"/>
        <v/>
      </c>
      <c r="AJ128" s="22">
        <v>21</v>
      </c>
      <c r="AK128" s="9" t="str">
        <f t="shared" si="39"/>
        <v/>
      </c>
      <c r="AL128" s="16">
        <f>IF(OR(AND(D128&gt;=31,D128&lt;40),AND(J128&gt;=31,J128&lt;40),AND(P128&gt;=31,P128&lt;40),AND(V128&gt;=31,V128&lt;40),AND(AB128&gt;=31,AB128&lt;40)),IF(AND(OR(COUNTIF(D128:AK128,"=31")&gt;=1,COUNTIF(D128:AK128,"=32")&gt;=1,COUNTIF(D128:AK128,"=33")&gt;=1,COUNTIF(D128:AK128,"=34")&gt;=1,COUNTIF(D128:AK128,"=35")&gt;=1,COUNTIF(D128:AK128,"=36")&gt;=1 ),COUNTIF(D128:AK128,"")=0,COUNTIF(D128:AK128," ")=0,COUNTIF(D128:AK128,"F")=1),CONCATENATE(SUM(EXTRACTNUMBER(D128),EXTRACTNUMBER(F128),
EXTRACTNUMBER(H128),EXTRACTNUMBER(J128),
EXTRACTNUMBER(L128),EXTRACTNUMBER(N128),
EXTRACTNUMBER(P128),EXTRACTNUMBER(R128),
EXTRACTNUMBER(T128),EXTRACTNUMBER(V128),
EXTRACTNUMBER(X128),EXTRACTNUMBER(Z128),EXTRACTNUMBER(AB128),
EXTRACTNUMBER(AD128),EXTRACTNUMBER(AF128),EXTRACTNUMBER(AH128),EXTRACTNUMBER(AJ128)),"*"),IF(AND(COUNTIF(D128:AK128,"=34")&gt;=1,COUNTIF(D128:AK128,"=35")&gt;=1,COUNTIF(D128:AK128,"f")=2,COUNTIF(D128:AK128,"")=0,COUNTIF(D128:AK128," ")=0),CONCATENATE(SUM(EXTRACTNUMBER(D128),EXTRACTNUMBER(F128),
EXTRACTNUMBER(H128),EXTRACTNUMBER(J128),
EXTRACTNUMBER(L128),EXTRACTNUMBER(N128),
EXTRACTNUMBER(P128),EXTRACTNUMBER(R128),
EXTRACTNUMBER(T128),EXTRACTNUMBER(V128),
EXTRACTNUMBER(X128),EXTRACTNUMBER(Z128),EXTRACTNUMBER(AB128),
EXTRACTNUMBER(AD128),EXTRACTNUMBER(AF128),EXTRACTNUMBER(AH128),EXTRACTNUMBER(AJ128)),"*"),IF(AND(COUNTIF(D128:AK128,"=36")&gt;=2,COUNTIF(D128:AK128,"f")=2,COUNTIF(D128:AK128,"")=0,COUNTIF(D128:AK128," ")=0),CONCATENATE(SUM(EXTRACTNUMBER(D128),EXTRACTNUMBER(F128),
EXTRACTNUMBER(H128),EXTRACTNUMBER(J128),
EXTRACTNUMBER(L128),EXTRACTNUMBER(N128),
EXTRACTNUMBER(P128),EXTRACTNUMBER(R128),
EXTRACTNUMBER(T128),EXTRACTNUMBER(V128),
EXTRACTNUMBER(X128),EXTRACTNUMBER(Z128),EXTRACTNUMBER(AB128),
EXTRACTNUMBER(AD128),EXTRACTNUMBER(AF128),EXTRACTNUMBER(AH128),EXTRACTNUMBER(AJ128)),"*"),SUM(EXTRACTNUMBER(D128),EXTRACTNUMBER(F128),
EXTRACTNUMBER(H128),EXTRACTNUMBER(J128),
EXTRACTNUMBER(L128),EXTRACTNUMBER(N128),
EXTRACTNUMBER(P128),EXTRACTNUMBER(R128),
EXTRACTNUMBER(T128),EXTRACTNUMBER(V128),
EXTRACTNUMBER(X128),EXTRACTNUMBER(Z128),EXTRACTNUMBER(AB128),
EXTRACTNUMBER(AD128),EXTRACTNUMBER(AF128),EXTRACTNUMBER(AH128),EXTRACTNUMBER(AJ128))))),SUM(EXTRACTNUMBER(D128),EXTRACTNUMBER(F128),
EXTRACTNUMBER(H128),EXTRACTNUMBER(J128),
EXTRACTNUMBER(L128),EXTRACTNUMBER(N128),
EXTRACTNUMBER(P128),EXTRACTNUMBER(R128),
EXTRACTNUMBER(T128),EXTRACTNUMBER(V128),
EXTRACTNUMBER(X128),EXTRACTNUMBER(Z128),EXTRACTNUMBER(AB128),
EXTRACTNUMBER(AD128),EXTRACTNUMBER(AF128),EXTRACTNUMBER(AH128),EXTRACTNUMBER(AJ128)))</f>
        <v>552</v>
      </c>
      <c r="AM128" s="72" t="s">
        <v>284</v>
      </c>
      <c r="AN128" s="11">
        <f t="shared" si="21"/>
        <v>1021</v>
      </c>
      <c r="AO128" s="11" t="str">
        <f t="shared" si="40"/>
        <v>PASS</v>
      </c>
      <c r="AP128" s="11" t="str">
        <f t="shared" si="22"/>
        <v>I</v>
      </c>
      <c r="AQ128" s="1" t="str">
        <f t="shared" si="41"/>
        <v xml:space="preserve">One Thousand Twenty One </v>
      </c>
    </row>
    <row r="129" spans="2:43" ht="15.95" customHeight="1">
      <c r="B129" s="67">
        <v>136302</v>
      </c>
      <c r="C129" s="21" t="s">
        <v>125</v>
      </c>
      <c r="D129" s="24">
        <v>54</v>
      </c>
      <c r="E129" s="9" t="str">
        <f t="shared" si="23"/>
        <v/>
      </c>
      <c r="F129" s="22">
        <v>19</v>
      </c>
      <c r="G129" s="9" t="str">
        <f t="shared" si="24"/>
        <v/>
      </c>
      <c r="H129" s="22">
        <v>38</v>
      </c>
      <c r="I129" s="9" t="str">
        <f t="shared" si="25"/>
        <v/>
      </c>
      <c r="J129" s="29">
        <v>49</v>
      </c>
      <c r="K129" s="9" t="str">
        <f t="shared" si="26"/>
        <v/>
      </c>
      <c r="L129" s="22">
        <v>20</v>
      </c>
      <c r="M129" s="9" t="str">
        <f t="shared" si="27"/>
        <v/>
      </c>
      <c r="N129" s="22">
        <v>19</v>
      </c>
      <c r="O129" s="9" t="str">
        <f t="shared" si="28"/>
        <v/>
      </c>
      <c r="P129" s="29">
        <v>66</v>
      </c>
      <c r="Q129" s="9" t="str">
        <f t="shared" si="29"/>
        <v/>
      </c>
      <c r="R129" s="22">
        <v>19</v>
      </c>
      <c r="S129" s="9" t="str">
        <f t="shared" si="30"/>
        <v/>
      </c>
      <c r="T129" s="22">
        <v>38</v>
      </c>
      <c r="U129" s="9" t="str">
        <f t="shared" si="31"/>
        <v/>
      </c>
      <c r="V129" s="29">
        <v>56</v>
      </c>
      <c r="W129" s="9" t="str">
        <f t="shared" si="32"/>
        <v/>
      </c>
      <c r="X129" s="22">
        <v>19</v>
      </c>
      <c r="Y129" s="9" t="str">
        <f t="shared" si="33"/>
        <v/>
      </c>
      <c r="Z129" s="22">
        <v>20</v>
      </c>
      <c r="AA129" s="9" t="str">
        <f t="shared" si="34"/>
        <v/>
      </c>
      <c r="AB129" s="29">
        <v>56</v>
      </c>
      <c r="AC129" s="9" t="str">
        <f t="shared" si="35"/>
        <v/>
      </c>
      <c r="AD129" s="22">
        <v>19</v>
      </c>
      <c r="AE129" s="9" t="str">
        <f t="shared" si="36"/>
        <v/>
      </c>
      <c r="AF129" s="22">
        <v>21</v>
      </c>
      <c r="AG129" s="9" t="str">
        <f t="shared" si="37"/>
        <v/>
      </c>
      <c r="AH129" s="22">
        <v>19</v>
      </c>
      <c r="AI129" s="9" t="str">
        <f t="shared" si="38"/>
        <v/>
      </c>
      <c r="AJ129" s="22">
        <v>19</v>
      </c>
      <c r="AK129" s="9" t="str">
        <f t="shared" si="39"/>
        <v/>
      </c>
      <c r="AL129" s="16">
        <f>IF(OR(AND(D129&gt;=31,D129&lt;40),AND(J129&gt;=31,J129&lt;40),AND(P129&gt;=31,P129&lt;40),AND(V129&gt;=31,V129&lt;40),AND(AB129&gt;=31,AB129&lt;40)),IF(AND(OR(COUNTIF(D129:AK129,"=31")&gt;=1,COUNTIF(D129:AK129,"=32")&gt;=1,COUNTIF(D129:AK129,"=33")&gt;=1,COUNTIF(D129:AK129,"=34")&gt;=1,COUNTIF(D129:AK129,"=35")&gt;=1,COUNTIF(D129:AK129,"=36")&gt;=1 ),COUNTIF(D129:AK129,"")=0,COUNTIF(D129:AK129," ")=0,COUNTIF(D129:AK129,"F")=1),CONCATENATE(SUM(EXTRACTNUMBER(D129),EXTRACTNUMBER(F129),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EXTRACTNUMBER(AD129),EXTRACTNUMBER(AF129),EXTRACTNUMBER(AH129),EXTRACTNUMBER(AJ129)),"*"),IF(AND(COUNTIF(D129:AK129,"=34")&gt;=1,COUNTIF(D129:AK129,"=35")&gt;=1,COUNTIF(D129:AK129,"f")=2,COUNTIF(D129:AK129,"")=0,COUNTIF(D129:AK129," ")=0),CONCATENATE(SUM(EXTRACTNUMBER(D129),EXTRACTNUMBER(F129),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EXTRACTNUMBER(AD129),EXTRACTNUMBER(AF129),EXTRACTNUMBER(AH129),EXTRACTNUMBER(AJ129)),"*"),IF(AND(COUNTIF(D129:AK129,"=36")&gt;=2,COUNTIF(D129:AK129,"f")=2,COUNTIF(D129:AK129,"")=0,COUNTIF(D129:AK129," ")=0),CONCATENATE(SUM(EXTRACTNUMBER(D129),EXTRACTNUMBER(F129),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EXTRACTNUMBER(AD129),EXTRACTNUMBER(AF129),EXTRACTNUMBER(AH129),EXTRACTNUMBER(AJ129)),"*"),SUM(EXTRACTNUMBER(D129),EXTRACTNUMBER(F129),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EXTRACTNUMBER(AD129),EXTRACTNUMBER(AF129),EXTRACTNUMBER(AH129),EXTRACTNUMBER(AJ129))))),SUM(EXTRACTNUMBER(D129),EXTRACTNUMBER(F129),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EXTRACTNUMBER(AD129),EXTRACTNUMBER(AF129),EXTRACTNUMBER(AH129),EXTRACTNUMBER(AJ129)))</f>
        <v>551</v>
      </c>
      <c r="AM129" s="72" t="s">
        <v>268</v>
      </c>
      <c r="AN129" s="11">
        <f t="shared" si="21"/>
        <v>1040</v>
      </c>
      <c r="AO129" s="11" t="str">
        <f t="shared" si="40"/>
        <v>PASS</v>
      </c>
      <c r="AP129" s="11" t="str">
        <f t="shared" si="22"/>
        <v>I</v>
      </c>
      <c r="AQ129" s="1" t="str">
        <f t="shared" si="41"/>
        <v xml:space="preserve">One Thousand Forty  </v>
      </c>
    </row>
    <row r="130" spans="2:43" ht="15.95" customHeight="1">
      <c r="B130" s="67">
        <v>136303</v>
      </c>
      <c r="C130" s="21" t="s">
        <v>126</v>
      </c>
      <c r="D130" s="24">
        <v>43</v>
      </c>
      <c r="E130" s="9" t="str">
        <f t="shared" si="23"/>
        <v/>
      </c>
      <c r="F130" s="22">
        <v>22</v>
      </c>
      <c r="G130" s="9" t="str">
        <f t="shared" si="24"/>
        <v/>
      </c>
      <c r="H130" s="22">
        <v>46</v>
      </c>
      <c r="I130" s="9" t="str">
        <f t="shared" si="25"/>
        <v/>
      </c>
      <c r="J130" s="29">
        <v>62</v>
      </c>
      <c r="K130" s="9" t="str">
        <f t="shared" si="26"/>
        <v/>
      </c>
      <c r="L130" s="22">
        <v>23</v>
      </c>
      <c r="M130" s="9" t="str">
        <f t="shared" si="27"/>
        <v/>
      </c>
      <c r="N130" s="22">
        <v>23</v>
      </c>
      <c r="O130" s="9" t="str">
        <f t="shared" si="28"/>
        <v/>
      </c>
      <c r="P130" s="29">
        <v>74</v>
      </c>
      <c r="Q130" s="9" t="str">
        <f t="shared" si="29"/>
        <v/>
      </c>
      <c r="R130" s="22">
        <v>23</v>
      </c>
      <c r="S130" s="9" t="str">
        <f t="shared" si="30"/>
        <v/>
      </c>
      <c r="T130" s="22">
        <v>46</v>
      </c>
      <c r="U130" s="9" t="str">
        <f t="shared" si="31"/>
        <v/>
      </c>
      <c r="V130" s="29">
        <v>64</v>
      </c>
      <c r="W130" s="9" t="str">
        <f t="shared" si="32"/>
        <v/>
      </c>
      <c r="X130" s="22">
        <v>23</v>
      </c>
      <c r="Y130" s="9" t="str">
        <f t="shared" si="33"/>
        <v/>
      </c>
      <c r="Z130" s="22">
        <v>22</v>
      </c>
      <c r="AA130" s="9" t="str">
        <f t="shared" si="34"/>
        <v/>
      </c>
      <c r="AB130" s="29">
        <v>65</v>
      </c>
      <c r="AC130" s="9" t="str">
        <f t="shared" si="35"/>
        <v/>
      </c>
      <c r="AD130" s="22">
        <v>23</v>
      </c>
      <c r="AE130" s="9" t="str">
        <f t="shared" si="36"/>
        <v/>
      </c>
      <c r="AF130" s="22">
        <v>22</v>
      </c>
      <c r="AG130" s="9" t="str">
        <f t="shared" si="37"/>
        <v/>
      </c>
      <c r="AH130" s="22">
        <v>22</v>
      </c>
      <c r="AI130" s="9" t="str">
        <f t="shared" si="38"/>
        <v/>
      </c>
      <c r="AJ130" s="22">
        <v>22</v>
      </c>
      <c r="AK130" s="9" t="str">
        <f t="shared" si="39"/>
        <v/>
      </c>
      <c r="AL130" s="16">
        <f>IF(OR(AND(D130&gt;=31,D130&lt;40),AND(J130&gt;=31,J130&lt;40),AND(P130&gt;=31,P130&lt;40),AND(V130&gt;=31,V130&lt;40),AND(AB130&gt;=31,AB130&lt;40)),IF(AND(OR(COUNTIF(D130:AK130,"=31")&gt;=1,COUNTIF(D130:AK130,"=32")&gt;=1,COUNTIF(D130:AK130,"=33")&gt;=1,COUNTIF(D130:AK130,"=34")&gt;=1,COUNTIF(D130:AK130,"=35")&gt;=1,COUNTIF(D130:AK130,"=36")&gt;=1 ),COUNTIF(D130:AK130,"")=0,COUNTIF(D130:AK130," ")=0,COUNTIF(D130:AK130,"F")=1),CONCATENATE(SUM(EXTRACTNUMBER(D130),EXTRACTNUMBER(F130),
EXTRACTNUMBER(H130),EXTRACTNUMBER(J130),
EXTRACTNUMBER(L130),EXTRACTNUMBER(N130),
EXTRACTNUMBER(P130),EXTRACTNUMBER(R130),
EXTRACTNUMBER(T130),EXTRACTNUMBER(V130),
EXTRACTNUMBER(X130),EXTRACTNUMBER(Z130),EXTRACTNUMBER(AB130),
EXTRACTNUMBER(AD130),EXTRACTNUMBER(AF130),EXTRACTNUMBER(AH130),EXTRACTNUMBER(AJ130)),"*"),IF(AND(COUNTIF(D130:AK130,"=34")&gt;=1,COUNTIF(D130:AK130,"=35")&gt;=1,COUNTIF(D130:AK130,"f")=2,COUNTIF(D130:AK130,"")=0,COUNTIF(D130:AK130," ")=0),CONCATENATE(SUM(EXTRACTNUMBER(D130),EXTRACTNUMBER(F130),
EXTRACTNUMBER(H130),EXTRACTNUMBER(J130),
EXTRACTNUMBER(L130),EXTRACTNUMBER(N130),
EXTRACTNUMBER(P130),EXTRACTNUMBER(R130),
EXTRACTNUMBER(T130),EXTRACTNUMBER(V130),
EXTRACTNUMBER(X130),EXTRACTNUMBER(Z130),EXTRACTNUMBER(AB130),
EXTRACTNUMBER(AD130),EXTRACTNUMBER(AF130),EXTRACTNUMBER(AH130),EXTRACTNUMBER(AJ130)),"*"),IF(AND(COUNTIF(D130:AK130,"=36")&gt;=2,COUNTIF(D130:AK130,"f")=2,COUNTIF(D130:AK130,"")=0,COUNTIF(D130:AK130," ")=0),CONCATENATE(SUM(EXTRACTNUMBER(D130),EXTRACTNUMBER(F130),
EXTRACTNUMBER(H130),EXTRACTNUMBER(J130),
EXTRACTNUMBER(L130),EXTRACTNUMBER(N130),
EXTRACTNUMBER(P130),EXTRACTNUMBER(R130),
EXTRACTNUMBER(T130),EXTRACTNUMBER(V130),
EXTRACTNUMBER(X130),EXTRACTNUMBER(Z130),EXTRACTNUMBER(AB130),
EXTRACTNUMBER(AD130),EXTRACTNUMBER(AF130),EXTRACTNUMBER(AH130),EXTRACTNUMBER(AJ130)),"*"),SUM(EXTRACTNUMBER(D130),EXTRACTNUMBER(F130),
EXTRACTNUMBER(H130),EXTRACTNUMBER(J130),
EXTRACTNUMBER(L130),EXTRACTNUMBER(N130),
EXTRACTNUMBER(P130),EXTRACTNUMBER(R130),
EXTRACTNUMBER(T130),EXTRACTNUMBER(V130),
EXTRACTNUMBER(X130),EXTRACTNUMBER(Z130),EXTRACTNUMBER(AB130),
EXTRACTNUMBER(AD130),EXTRACTNUMBER(AF130),EXTRACTNUMBER(AH130),EXTRACTNUMBER(AJ130))))),SUM(EXTRACTNUMBER(D130),EXTRACTNUMBER(F130),
EXTRACTNUMBER(H130),EXTRACTNUMBER(J130),
EXTRACTNUMBER(L130),EXTRACTNUMBER(N130),
EXTRACTNUMBER(P130),EXTRACTNUMBER(R130),
EXTRACTNUMBER(T130),EXTRACTNUMBER(V130),
EXTRACTNUMBER(X130),EXTRACTNUMBER(Z130),EXTRACTNUMBER(AB130),
EXTRACTNUMBER(AD130),EXTRACTNUMBER(AF130),EXTRACTNUMBER(AH130),EXTRACTNUMBER(AJ130)))</f>
        <v>625</v>
      </c>
      <c r="AM130" s="72" t="s">
        <v>285</v>
      </c>
      <c r="AN130" s="11">
        <f t="shared" si="21"/>
        <v>1154</v>
      </c>
      <c r="AO130" s="11" t="str">
        <f t="shared" si="40"/>
        <v>PASS</v>
      </c>
      <c r="AP130" s="11" t="str">
        <f t="shared" si="22"/>
        <v>I</v>
      </c>
      <c r="AQ130" s="1" t="str">
        <f t="shared" si="41"/>
        <v xml:space="preserve">One Thousand One Hundred Fifty Four </v>
      </c>
    </row>
    <row r="131" spans="2:43" ht="15.95" customHeight="1">
      <c r="B131" s="67">
        <v>136304</v>
      </c>
      <c r="C131" s="21" t="s">
        <v>127</v>
      </c>
      <c r="D131" s="24">
        <v>62</v>
      </c>
      <c r="E131" s="9" t="str">
        <f t="shared" si="23"/>
        <v/>
      </c>
      <c r="F131" s="22">
        <v>22</v>
      </c>
      <c r="G131" s="9" t="str">
        <f t="shared" si="24"/>
        <v/>
      </c>
      <c r="H131" s="22">
        <v>46</v>
      </c>
      <c r="I131" s="9" t="str">
        <f t="shared" si="25"/>
        <v/>
      </c>
      <c r="J131" s="29">
        <v>57</v>
      </c>
      <c r="K131" s="9" t="str">
        <f t="shared" si="26"/>
        <v/>
      </c>
      <c r="L131" s="22">
        <v>23</v>
      </c>
      <c r="M131" s="9" t="str">
        <f t="shared" si="27"/>
        <v/>
      </c>
      <c r="N131" s="22">
        <v>23</v>
      </c>
      <c r="O131" s="9" t="str">
        <f t="shared" si="28"/>
        <v/>
      </c>
      <c r="P131" s="29">
        <v>63</v>
      </c>
      <c r="Q131" s="9" t="str">
        <f t="shared" si="29"/>
        <v/>
      </c>
      <c r="R131" s="22">
        <v>23</v>
      </c>
      <c r="S131" s="9" t="str">
        <f t="shared" si="30"/>
        <v/>
      </c>
      <c r="T131" s="22">
        <v>44</v>
      </c>
      <c r="U131" s="9" t="str">
        <f t="shared" si="31"/>
        <v/>
      </c>
      <c r="V131" s="29">
        <v>59</v>
      </c>
      <c r="W131" s="9" t="str">
        <f t="shared" si="32"/>
        <v/>
      </c>
      <c r="X131" s="22">
        <v>23</v>
      </c>
      <c r="Y131" s="9" t="str">
        <f t="shared" si="33"/>
        <v/>
      </c>
      <c r="Z131" s="22">
        <v>22</v>
      </c>
      <c r="AA131" s="9" t="str">
        <f t="shared" si="34"/>
        <v/>
      </c>
      <c r="AB131" s="29">
        <v>60</v>
      </c>
      <c r="AC131" s="9" t="str">
        <f t="shared" si="35"/>
        <v/>
      </c>
      <c r="AD131" s="22">
        <v>23</v>
      </c>
      <c r="AE131" s="9" t="str">
        <f t="shared" si="36"/>
        <v/>
      </c>
      <c r="AF131" s="22">
        <v>22</v>
      </c>
      <c r="AG131" s="9" t="str">
        <f t="shared" si="37"/>
        <v/>
      </c>
      <c r="AH131" s="22">
        <v>23</v>
      </c>
      <c r="AI131" s="9" t="str">
        <f t="shared" si="38"/>
        <v/>
      </c>
      <c r="AJ131" s="22">
        <v>23</v>
      </c>
      <c r="AK131" s="9" t="str">
        <f t="shared" si="39"/>
        <v/>
      </c>
      <c r="AL131" s="16">
        <f>IF(OR(AND(D131&gt;=31,D131&lt;40),AND(J131&gt;=31,J131&lt;40),AND(P131&gt;=31,P131&lt;40),AND(V131&gt;=31,V131&lt;40),AND(AB131&gt;=31,AB131&lt;40)),IF(AND(OR(COUNTIF(D131:AK131,"=31")&gt;=1,COUNTIF(D131:AK131,"=32")&gt;=1,COUNTIF(D131:AK131,"=33")&gt;=1,COUNTIF(D131:AK131,"=34")&gt;=1,COUNTIF(D131:AK131,"=35")&gt;=1,COUNTIF(D131:AK131,"=36")&gt;=1 ),COUNTIF(D131:AK131,"")=0,COUNTIF(D131:AK131," ")=0,COUNTIF(D131:AK131,"F")=1),CONCATENATE(SUM(EXTRACTNUMBER(D131),EXTRACTNUMBER(F131),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EXTRACTNUMBER(AD131),EXTRACTNUMBER(AF131),EXTRACTNUMBER(AH131),EXTRACTNUMBER(AJ131)),"*"),IF(AND(COUNTIF(D131:AK131,"=34")&gt;=1,COUNTIF(D131:AK131,"=35")&gt;=1,COUNTIF(D131:AK131,"f")=2,COUNTIF(D131:AK131,"")=0,COUNTIF(D131:AK131," ")=0),CONCATENATE(SUM(EXTRACTNUMBER(D131),EXTRACTNUMBER(F131),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EXTRACTNUMBER(AD131),EXTRACTNUMBER(AF131),EXTRACTNUMBER(AH131),EXTRACTNUMBER(AJ131)),"*"),IF(AND(COUNTIF(D131:AK131,"=36")&gt;=2,COUNTIF(D131:AK131,"f")=2,COUNTIF(D131:AK131,"")=0,COUNTIF(D131:AK131," ")=0),CONCATENATE(SUM(EXTRACTNUMBER(D131),EXTRACTNUMBER(F131),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EXTRACTNUMBER(AD131),EXTRACTNUMBER(AF131),EXTRACTNUMBER(AH131),EXTRACTNUMBER(AJ131)),"*"),SUM(EXTRACTNUMBER(D131),EXTRACTNUMBER(F131),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EXTRACTNUMBER(AD131),EXTRACTNUMBER(AF131),EXTRACTNUMBER(AH131),EXTRACTNUMBER(AJ131))))),SUM(EXTRACTNUMBER(D131),EXTRACTNUMBER(F131),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EXTRACTNUMBER(AD131),EXTRACTNUMBER(AF131),EXTRACTNUMBER(AH131),EXTRACTNUMBER(AJ131)))</f>
        <v>618</v>
      </c>
      <c r="AM131" s="72" t="s">
        <v>286</v>
      </c>
      <c r="AN131" s="11">
        <f t="shared" si="21"/>
        <v>1182</v>
      </c>
      <c r="AO131" s="11" t="str">
        <f t="shared" si="40"/>
        <v>PASS</v>
      </c>
      <c r="AP131" s="11" t="str">
        <f t="shared" si="22"/>
        <v>I</v>
      </c>
      <c r="AQ131" s="1" t="str">
        <f t="shared" si="41"/>
        <v xml:space="preserve">One Thousand One Hundred Eighty Two </v>
      </c>
    </row>
    <row r="132" spans="2:43" ht="15.95" customHeight="1">
      <c r="B132" s="67">
        <v>136305</v>
      </c>
      <c r="C132" s="21" t="s">
        <v>128</v>
      </c>
      <c r="D132" s="24">
        <v>46</v>
      </c>
      <c r="E132" s="9" t="str">
        <f t="shared" si="23"/>
        <v/>
      </c>
      <c r="F132" s="22">
        <v>20</v>
      </c>
      <c r="G132" s="9" t="str">
        <f t="shared" si="24"/>
        <v/>
      </c>
      <c r="H132" s="22">
        <v>46</v>
      </c>
      <c r="I132" s="9" t="str">
        <f t="shared" si="25"/>
        <v/>
      </c>
      <c r="J132" s="29">
        <v>52</v>
      </c>
      <c r="K132" s="9" t="str">
        <f t="shared" si="26"/>
        <v/>
      </c>
      <c r="L132" s="22">
        <v>20</v>
      </c>
      <c r="M132" s="9" t="str">
        <f t="shared" si="27"/>
        <v/>
      </c>
      <c r="N132" s="22">
        <v>23</v>
      </c>
      <c r="O132" s="9" t="str">
        <f t="shared" si="28"/>
        <v/>
      </c>
      <c r="P132" s="29">
        <v>67</v>
      </c>
      <c r="Q132" s="9" t="str">
        <f t="shared" si="29"/>
        <v/>
      </c>
      <c r="R132" s="22">
        <v>20</v>
      </c>
      <c r="S132" s="9" t="str">
        <f t="shared" si="30"/>
        <v/>
      </c>
      <c r="T132" s="22">
        <v>44</v>
      </c>
      <c r="U132" s="9" t="str">
        <f t="shared" si="31"/>
        <v/>
      </c>
      <c r="V132" s="29">
        <v>55</v>
      </c>
      <c r="W132" s="9" t="str">
        <f t="shared" si="32"/>
        <v/>
      </c>
      <c r="X132" s="22">
        <v>20</v>
      </c>
      <c r="Y132" s="9" t="str">
        <f t="shared" si="33"/>
        <v/>
      </c>
      <c r="Z132" s="22">
        <v>21</v>
      </c>
      <c r="AA132" s="9" t="str">
        <f t="shared" si="34"/>
        <v/>
      </c>
      <c r="AB132" s="29">
        <v>52</v>
      </c>
      <c r="AC132" s="9" t="str">
        <f t="shared" si="35"/>
        <v/>
      </c>
      <c r="AD132" s="22">
        <v>20</v>
      </c>
      <c r="AE132" s="9" t="str">
        <f t="shared" si="36"/>
        <v/>
      </c>
      <c r="AF132" s="22">
        <v>21</v>
      </c>
      <c r="AG132" s="9" t="str">
        <f t="shared" si="37"/>
        <v/>
      </c>
      <c r="AH132" s="22">
        <v>20</v>
      </c>
      <c r="AI132" s="9" t="str">
        <f t="shared" si="38"/>
        <v/>
      </c>
      <c r="AJ132" s="22">
        <v>20</v>
      </c>
      <c r="AK132" s="9" t="str">
        <f t="shared" si="39"/>
        <v/>
      </c>
      <c r="AL132" s="16">
        <f>IF(OR(AND(D132&gt;=31,D132&lt;40),AND(J132&gt;=31,J132&lt;40),AND(P132&gt;=31,P132&lt;40),AND(V132&gt;=31,V132&lt;40),AND(AB132&gt;=31,AB132&lt;40)),IF(AND(OR(COUNTIF(D132:AK132,"=31")&gt;=1,COUNTIF(D132:AK132,"=32")&gt;=1,COUNTIF(D132:AK132,"=33")&gt;=1,COUNTIF(D132:AK132,"=34")&gt;=1,COUNTIF(D132:AK132,"=35")&gt;=1,COUNTIF(D132:AK132,"=36")&gt;=1 ),COUNTIF(D132:AK132,"")=0,COUNTIF(D132:AK132," ")=0,COUNTIF(D132:AK132,"F")=1),CONCATENATE(SUM(EXTRACTNUMBER(D132),EXTRACTNUMBER(F132),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EXTRACTNUMBER(AD132),EXTRACTNUMBER(AF132),EXTRACTNUMBER(AH132),EXTRACTNUMBER(AJ132)),"*"),IF(AND(COUNTIF(D132:AK132,"=34")&gt;=1,COUNTIF(D132:AK132,"=35")&gt;=1,COUNTIF(D132:AK132,"f")=2,COUNTIF(D132:AK132,"")=0,COUNTIF(D132:AK132," ")=0),CONCATENATE(SUM(EXTRACTNUMBER(D132),EXTRACTNUMBER(F132),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EXTRACTNUMBER(AD132),EXTRACTNUMBER(AF132),EXTRACTNUMBER(AH132),EXTRACTNUMBER(AJ132)),"*"),IF(AND(COUNTIF(D132:AK132,"=36")&gt;=2,COUNTIF(D132:AK132,"f")=2,COUNTIF(D132:AK132,"")=0,COUNTIF(D132:AK132," ")=0),CONCATENATE(SUM(EXTRACTNUMBER(D132),EXTRACTNUMBER(F132),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EXTRACTNUMBER(AD132),EXTRACTNUMBER(AF132),EXTRACTNUMBER(AH132),EXTRACTNUMBER(AJ132)),"*"),SUM(EXTRACTNUMBER(D132),EXTRACTNUMBER(F132),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EXTRACTNUMBER(AD132),EXTRACTNUMBER(AF132),EXTRACTNUMBER(AH132),EXTRACTNUMBER(AJ132))))),SUM(EXTRACTNUMBER(D132),EXTRACTNUMBER(F132),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EXTRACTNUMBER(AD132),EXTRACTNUMBER(AF132),EXTRACTNUMBER(AH132),EXTRACTNUMBER(AJ132)))</f>
        <v>567</v>
      </c>
      <c r="AM132" s="72" t="s">
        <v>267</v>
      </c>
      <c r="AN132" s="11">
        <f t="shared" si="21"/>
        <v>1059</v>
      </c>
      <c r="AO132" s="11" t="str">
        <f t="shared" si="40"/>
        <v>PASS</v>
      </c>
      <c r="AP132" s="11" t="str">
        <f t="shared" si="22"/>
        <v>I</v>
      </c>
      <c r="AQ132" s="1" t="str">
        <f t="shared" si="41"/>
        <v xml:space="preserve">One Thousand Fifty Nine </v>
      </c>
    </row>
    <row r="133" spans="2:43" ht="15.95" customHeight="1">
      <c r="B133" s="67">
        <v>136306</v>
      </c>
      <c r="C133" s="21" t="s">
        <v>129</v>
      </c>
      <c r="D133" s="24">
        <v>47</v>
      </c>
      <c r="E133" s="9" t="str">
        <f t="shared" si="23"/>
        <v/>
      </c>
      <c r="F133" s="22">
        <v>20</v>
      </c>
      <c r="G133" s="9" t="str">
        <f t="shared" si="24"/>
        <v/>
      </c>
      <c r="H133" s="22">
        <v>42</v>
      </c>
      <c r="I133" s="9" t="str">
        <f t="shared" si="25"/>
        <v/>
      </c>
      <c r="J133" s="29">
        <v>42</v>
      </c>
      <c r="K133" s="9" t="str">
        <f t="shared" si="26"/>
        <v/>
      </c>
      <c r="L133" s="22">
        <v>20</v>
      </c>
      <c r="M133" s="9" t="str">
        <f t="shared" si="27"/>
        <v/>
      </c>
      <c r="N133" s="22">
        <v>21</v>
      </c>
      <c r="O133" s="9" t="str">
        <f t="shared" si="28"/>
        <v/>
      </c>
      <c r="P133" s="29">
        <v>61</v>
      </c>
      <c r="Q133" s="9" t="str">
        <f t="shared" si="29"/>
        <v/>
      </c>
      <c r="R133" s="22">
        <v>20</v>
      </c>
      <c r="S133" s="9" t="str">
        <f t="shared" si="30"/>
        <v/>
      </c>
      <c r="T133" s="22">
        <v>44</v>
      </c>
      <c r="U133" s="9" t="str">
        <f t="shared" si="31"/>
        <v/>
      </c>
      <c r="V133" s="29">
        <v>48</v>
      </c>
      <c r="W133" s="9" t="str">
        <f t="shared" si="32"/>
        <v/>
      </c>
      <c r="X133" s="22">
        <v>20</v>
      </c>
      <c r="Y133" s="9" t="str">
        <f t="shared" si="33"/>
        <v/>
      </c>
      <c r="Z133" s="22">
        <v>21</v>
      </c>
      <c r="AA133" s="9" t="str">
        <f t="shared" si="34"/>
        <v/>
      </c>
      <c r="AB133" s="29">
        <v>56</v>
      </c>
      <c r="AC133" s="9" t="str">
        <f t="shared" si="35"/>
        <v/>
      </c>
      <c r="AD133" s="22">
        <v>20</v>
      </c>
      <c r="AE133" s="9" t="str">
        <f t="shared" si="36"/>
        <v/>
      </c>
      <c r="AF133" s="22">
        <v>19</v>
      </c>
      <c r="AG133" s="9" t="str">
        <f t="shared" si="37"/>
        <v/>
      </c>
      <c r="AH133" s="22">
        <v>20</v>
      </c>
      <c r="AI133" s="9" t="str">
        <f t="shared" si="38"/>
        <v/>
      </c>
      <c r="AJ133" s="22">
        <v>21</v>
      </c>
      <c r="AK133" s="9" t="str">
        <f t="shared" si="39"/>
        <v/>
      </c>
      <c r="AL133" s="16">
        <f>IF(OR(AND(D133&gt;=31,D133&lt;40),AND(J133&gt;=31,J133&lt;40),AND(P133&gt;=31,P133&lt;40),AND(V133&gt;=31,V133&lt;40),AND(AB133&gt;=31,AB133&lt;40)),IF(AND(OR(COUNTIF(D133:AK133,"=31")&gt;=1,COUNTIF(D133:AK133,"=32")&gt;=1,COUNTIF(D133:AK133,"=33")&gt;=1,COUNTIF(D133:AK133,"=34")&gt;=1,COUNTIF(D133:AK133,"=35")&gt;=1,COUNTIF(D133:AK133,"=36")&gt;=1 ),COUNTIF(D133:AK133,"")=0,COUNTIF(D133:AK133," ")=0,COUNTIF(D133:AK133,"F")=1),CONCATENATE(SUM(EXTRACTNUMBER(D133),EXTRACTNUMBER(F133),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EXTRACTNUMBER(AD133),EXTRACTNUMBER(AF133),EXTRACTNUMBER(AH133),EXTRACTNUMBER(AJ133)),"*"),IF(AND(COUNTIF(D133:AK133,"=34")&gt;=1,COUNTIF(D133:AK133,"=35")&gt;=1,COUNTIF(D133:AK133,"f")=2,COUNTIF(D133:AK133,"")=0,COUNTIF(D133:AK133," ")=0),CONCATENATE(SUM(EXTRACTNUMBER(D133),EXTRACTNUMBER(F133),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EXTRACTNUMBER(AD133),EXTRACTNUMBER(AF133),EXTRACTNUMBER(AH133),EXTRACTNUMBER(AJ133)),"*"),IF(AND(COUNTIF(D133:AK133,"=36")&gt;=2,COUNTIF(D133:AK133,"f")=2,COUNTIF(D133:AK133,"")=0,COUNTIF(D133:AK133," ")=0),CONCATENATE(SUM(EXTRACTNUMBER(D133),EXTRACTNUMBER(F133),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EXTRACTNUMBER(AD133),EXTRACTNUMBER(AF133),EXTRACTNUMBER(AH133),EXTRACTNUMBER(AJ133)),"*"),SUM(EXTRACTNUMBER(D133),EXTRACTNUMBER(F133),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EXTRACTNUMBER(AD133),EXTRACTNUMBER(AF133),EXTRACTNUMBER(AH133),EXTRACTNUMBER(AJ133))))),SUM(EXTRACTNUMBER(D133),EXTRACTNUMBER(F133),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EXTRACTNUMBER(AD133),EXTRACTNUMBER(AF133),EXTRACTNUMBER(AH133),EXTRACTNUMBER(AJ133)))</f>
        <v>542</v>
      </c>
      <c r="AM133" s="72" t="s">
        <v>287</v>
      </c>
      <c r="AN133" s="11">
        <f t="shared" si="21"/>
        <v>1061</v>
      </c>
      <c r="AO133" s="11" t="str">
        <f t="shared" si="40"/>
        <v>PASS</v>
      </c>
      <c r="AP133" s="11" t="str">
        <f t="shared" si="22"/>
        <v>I</v>
      </c>
      <c r="AQ133" s="1" t="str">
        <f t="shared" si="41"/>
        <v xml:space="preserve">One Thousand Sixty One </v>
      </c>
    </row>
    <row r="134" spans="2:43" ht="15.95" customHeight="1">
      <c r="B134" s="67">
        <v>136307</v>
      </c>
      <c r="C134" s="21" t="s">
        <v>130</v>
      </c>
      <c r="D134" s="24">
        <v>59</v>
      </c>
      <c r="E134" s="9" t="str">
        <f t="shared" si="23"/>
        <v/>
      </c>
      <c r="F134" s="22">
        <v>19</v>
      </c>
      <c r="G134" s="9" t="str">
        <f t="shared" si="24"/>
        <v/>
      </c>
      <c r="H134" s="22">
        <v>38</v>
      </c>
      <c r="I134" s="9" t="str">
        <f t="shared" si="25"/>
        <v/>
      </c>
      <c r="J134" s="29">
        <v>57</v>
      </c>
      <c r="K134" s="9" t="str">
        <f t="shared" si="26"/>
        <v/>
      </c>
      <c r="L134" s="22">
        <v>22</v>
      </c>
      <c r="M134" s="9" t="str">
        <f t="shared" si="27"/>
        <v/>
      </c>
      <c r="N134" s="22">
        <v>19</v>
      </c>
      <c r="O134" s="9" t="str">
        <f t="shared" si="28"/>
        <v/>
      </c>
      <c r="P134" s="29">
        <v>60</v>
      </c>
      <c r="Q134" s="9" t="str">
        <f t="shared" si="29"/>
        <v/>
      </c>
      <c r="R134" s="22">
        <v>21</v>
      </c>
      <c r="S134" s="9" t="str">
        <f t="shared" si="30"/>
        <v/>
      </c>
      <c r="T134" s="22">
        <v>42</v>
      </c>
      <c r="U134" s="9" t="str">
        <f t="shared" si="31"/>
        <v/>
      </c>
      <c r="V134" s="29">
        <v>52</v>
      </c>
      <c r="W134" s="9" t="str">
        <f t="shared" si="32"/>
        <v/>
      </c>
      <c r="X134" s="22">
        <v>21</v>
      </c>
      <c r="Y134" s="9" t="str">
        <f t="shared" si="33"/>
        <v/>
      </c>
      <c r="Z134" s="22">
        <v>20</v>
      </c>
      <c r="AA134" s="9" t="str">
        <f t="shared" si="34"/>
        <v/>
      </c>
      <c r="AB134" s="29">
        <v>51</v>
      </c>
      <c r="AC134" s="9" t="str">
        <f t="shared" si="35"/>
        <v/>
      </c>
      <c r="AD134" s="22">
        <v>21</v>
      </c>
      <c r="AE134" s="9" t="str">
        <f t="shared" si="36"/>
        <v/>
      </c>
      <c r="AF134" s="22">
        <v>21</v>
      </c>
      <c r="AG134" s="9" t="str">
        <f t="shared" si="37"/>
        <v/>
      </c>
      <c r="AH134" s="22">
        <v>22</v>
      </c>
      <c r="AI134" s="9" t="str">
        <f t="shared" si="38"/>
        <v/>
      </c>
      <c r="AJ134" s="22">
        <v>22</v>
      </c>
      <c r="AK134" s="9" t="str">
        <f t="shared" si="39"/>
        <v/>
      </c>
      <c r="AL134" s="16">
        <f>IF(OR(AND(D134&gt;=31,D134&lt;40),AND(J134&gt;=31,J134&lt;40),AND(P134&gt;=31,P134&lt;40),AND(V134&gt;=31,V134&lt;40),AND(AB134&gt;=31,AB134&lt;40)),IF(AND(OR(COUNTIF(D134:AK134,"=31")&gt;=1,COUNTIF(D134:AK134,"=32")&gt;=1,COUNTIF(D134:AK134,"=33")&gt;=1,COUNTIF(D134:AK134,"=34")&gt;=1,COUNTIF(D134:AK134,"=35")&gt;=1,COUNTIF(D134:AK134,"=36")&gt;=1 ),COUNTIF(D134:AK134,"")=0,COUNTIF(D134:AK134," ")=0,COUNTIF(D134:AK134,"F")=1),CONCATENATE(SUM(EXTRACTNUMBER(D134),EXTRACTNUMBER(F134),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EXTRACTNUMBER(AD134),EXTRACTNUMBER(AF134),EXTRACTNUMBER(AH134),EXTRACTNUMBER(AJ134)),"*"),IF(AND(COUNTIF(D134:AK134,"=34")&gt;=1,COUNTIF(D134:AK134,"=35")&gt;=1,COUNTIF(D134:AK134,"f")=2,COUNTIF(D134:AK134,"")=0,COUNTIF(D134:AK134," ")=0),CONCATENATE(SUM(EXTRACTNUMBER(D134),EXTRACTNUMBER(F134),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EXTRACTNUMBER(AD134),EXTRACTNUMBER(AF134),EXTRACTNUMBER(AH134),EXTRACTNUMBER(AJ134)),"*"),IF(AND(COUNTIF(D134:AK134,"=36")&gt;=2,COUNTIF(D134:AK134,"f")=2,COUNTIF(D134:AK134,"")=0,COUNTIF(D134:AK134," ")=0),CONCATENATE(SUM(EXTRACTNUMBER(D134),EXTRACTNUMBER(F134),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EXTRACTNUMBER(AD134),EXTRACTNUMBER(AF134),EXTRACTNUMBER(AH134),EXTRACTNUMBER(AJ134)),"*"),SUM(EXTRACTNUMBER(D134),EXTRACTNUMBER(F134),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EXTRACTNUMBER(AD134),EXTRACTNUMBER(AF134),EXTRACTNUMBER(AH134),EXTRACTNUMBER(AJ134))))),SUM(EXTRACTNUMBER(D134),EXTRACTNUMBER(F134),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EXTRACTNUMBER(AD134),EXTRACTNUMBER(AF134),EXTRACTNUMBER(AH134),EXTRACTNUMBER(AJ134)))</f>
        <v>567</v>
      </c>
      <c r="AM134" s="72" t="s">
        <v>232</v>
      </c>
      <c r="AN134" s="11">
        <f t="shared" si="21"/>
        <v>1085</v>
      </c>
      <c r="AO134" s="11" t="str">
        <f t="shared" si="40"/>
        <v>PASS</v>
      </c>
      <c r="AP134" s="11" t="str">
        <f t="shared" si="22"/>
        <v>I</v>
      </c>
      <c r="AQ134" s="1" t="str">
        <f t="shared" si="41"/>
        <v xml:space="preserve">One Thousand Eighty Five </v>
      </c>
    </row>
    <row r="135" spans="2:43" ht="15.95" customHeight="1">
      <c r="B135" s="67">
        <v>136308</v>
      </c>
      <c r="C135" s="21" t="s">
        <v>131</v>
      </c>
      <c r="D135" s="24">
        <v>52</v>
      </c>
      <c r="E135" s="9" t="str">
        <f t="shared" si="23"/>
        <v/>
      </c>
      <c r="F135" s="22">
        <v>19</v>
      </c>
      <c r="G135" s="9" t="str">
        <f t="shared" si="24"/>
        <v/>
      </c>
      <c r="H135" s="22">
        <v>38</v>
      </c>
      <c r="I135" s="9" t="str">
        <f t="shared" si="25"/>
        <v/>
      </c>
      <c r="J135" s="29">
        <v>40</v>
      </c>
      <c r="K135" s="9" t="str">
        <f t="shared" si="26"/>
        <v/>
      </c>
      <c r="L135" s="22">
        <v>21</v>
      </c>
      <c r="M135" s="9" t="str">
        <f t="shared" si="27"/>
        <v/>
      </c>
      <c r="N135" s="22">
        <v>19</v>
      </c>
      <c r="O135" s="9" t="str">
        <f t="shared" si="28"/>
        <v/>
      </c>
      <c r="P135" s="29">
        <v>57</v>
      </c>
      <c r="Q135" s="9" t="str">
        <f t="shared" si="29"/>
        <v/>
      </c>
      <c r="R135" s="22">
        <v>21</v>
      </c>
      <c r="S135" s="9" t="str">
        <f t="shared" si="30"/>
        <v/>
      </c>
      <c r="T135" s="22">
        <v>38</v>
      </c>
      <c r="U135" s="9" t="str">
        <f t="shared" si="31"/>
        <v/>
      </c>
      <c r="V135" s="29">
        <v>58</v>
      </c>
      <c r="W135" s="9" t="str">
        <f t="shared" si="32"/>
        <v/>
      </c>
      <c r="X135" s="22">
        <v>20</v>
      </c>
      <c r="Y135" s="9" t="str">
        <f t="shared" si="33"/>
        <v/>
      </c>
      <c r="Z135" s="22">
        <v>21</v>
      </c>
      <c r="AA135" s="9" t="str">
        <f t="shared" si="34"/>
        <v/>
      </c>
      <c r="AB135" s="29">
        <v>53</v>
      </c>
      <c r="AC135" s="9" t="str">
        <f t="shared" si="35"/>
        <v/>
      </c>
      <c r="AD135" s="22">
        <v>21</v>
      </c>
      <c r="AE135" s="9" t="str">
        <f t="shared" si="36"/>
        <v/>
      </c>
      <c r="AF135" s="22">
        <v>21</v>
      </c>
      <c r="AG135" s="9" t="str">
        <f t="shared" si="37"/>
        <v/>
      </c>
      <c r="AH135" s="22">
        <v>22</v>
      </c>
      <c r="AI135" s="9" t="str">
        <f t="shared" si="38"/>
        <v/>
      </c>
      <c r="AJ135" s="22">
        <v>22</v>
      </c>
      <c r="AK135" s="9" t="str">
        <f t="shared" si="39"/>
        <v/>
      </c>
      <c r="AL135" s="16">
        <f>IF(OR(AND(D135&gt;=31,D135&lt;40),AND(J135&gt;=31,J135&lt;40),AND(P135&gt;=31,P135&lt;40),AND(V135&gt;=31,V135&lt;40),AND(AB135&gt;=31,AB135&lt;40)),IF(AND(OR(COUNTIF(D135:AK135,"=31")&gt;=1,COUNTIF(D135:AK135,"=32")&gt;=1,COUNTIF(D135:AK135,"=33")&gt;=1,COUNTIF(D135:AK135,"=34")&gt;=1,COUNTIF(D135:AK135,"=35")&gt;=1,COUNTIF(D135:AK135,"=36")&gt;=1 ),COUNTIF(D135:AK135,"")=0,COUNTIF(D135:AK135," ")=0,COUNTIF(D135:AK135,"F")=1),CONCATENATE(SUM(EXTRACTNUMBER(D135),EXTRACTNUMBER(F135),
EXTRACTNUMBER(H135),EXTRACTNUMBER(J135),
EXTRACTNUMBER(L135),EXTRACTNUMBER(N135),
EXTRACTNUMBER(P135),EXTRACTNUMBER(R135),
EXTRACTNUMBER(T135),EXTRACTNUMBER(V135),
EXTRACTNUMBER(X135),EXTRACTNUMBER(Z135),EXTRACTNUMBER(AB135),
EXTRACTNUMBER(AD135),EXTRACTNUMBER(AF135),EXTRACTNUMBER(AH135),EXTRACTNUMBER(AJ135)),"*"),IF(AND(COUNTIF(D135:AK135,"=34")&gt;=1,COUNTIF(D135:AK135,"=35")&gt;=1,COUNTIF(D135:AK135,"f")=2,COUNTIF(D135:AK135,"")=0,COUNTIF(D135:AK135," ")=0),CONCATENATE(SUM(EXTRACTNUMBER(D135),EXTRACTNUMBER(F135),
EXTRACTNUMBER(H135),EXTRACTNUMBER(J135),
EXTRACTNUMBER(L135),EXTRACTNUMBER(N135),
EXTRACTNUMBER(P135),EXTRACTNUMBER(R135),
EXTRACTNUMBER(T135),EXTRACTNUMBER(V135),
EXTRACTNUMBER(X135),EXTRACTNUMBER(Z135),EXTRACTNUMBER(AB135),
EXTRACTNUMBER(AD135),EXTRACTNUMBER(AF135),EXTRACTNUMBER(AH135),EXTRACTNUMBER(AJ135)),"*"),IF(AND(COUNTIF(D135:AK135,"=36")&gt;=2,COUNTIF(D135:AK135,"f")=2,COUNTIF(D135:AK135,"")=0,COUNTIF(D135:AK135," ")=0),CONCATENATE(SUM(EXTRACTNUMBER(D135),EXTRACTNUMBER(F135),
EXTRACTNUMBER(H135),EXTRACTNUMBER(J135),
EXTRACTNUMBER(L135),EXTRACTNUMBER(N135),
EXTRACTNUMBER(P135),EXTRACTNUMBER(R135),
EXTRACTNUMBER(T135),EXTRACTNUMBER(V135),
EXTRACTNUMBER(X135),EXTRACTNUMBER(Z135),EXTRACTNUMBER(AB135),
EXTRACTNUMBER(AD135),EXTRACTNUMBER(AF135),EXTRACTNUMBER(AH135),EXTRACTNUMBER(AJ135)),"*"),SUM(EXTRACTNUMBER(D135),EXTRACTNUMBER(F135),
EXTRACTNUMBER(H135),EXTRACTNUMBER(J135),
EXTRACTNUMBER(L135),EXTRACTNUMBER(N135),
EXTRACTNUMBER(P135),EXTRACTNUMBER(R135),
EXTRACTNUMBER(T135),EXTRACTNUMBER(V135),
EXTRACTNUMBER(X135),EXTRACTNUMBER(Z135),EXTRACTNUMBER(AB135),
EXTRACTNUMBER(AD135),EXTRACTNUMBER(AF135),EXTRACTNUMBER(AH135),EXTRACTNUMBER(AJ135))))),SUM(EXTRACTNUMBER(D135),EXTRACTNUMBER(F135),
EXTRACTNUMBER(H135),EXTRACTNUMBER(J135),
EXTRACTNUMBER(L135),EXTRACTNUMBER(N135),
EXTRACTNUMBER(P135),EXTRACTNUMBER(R135),
EXTRACTNUMBER(T135),EXTRACTNUMBER(V135),
EXTRACTNUMBER(X135),EXTRACTNUMBER(Z135),EXTRACTNUMBER(AB135),
EXTRACTNUMBER(AD135),EXTRACTNUMBER(AF135),EXTRACTNUMBER(AH135),EXTRACTNUMBER(AJ135)))</f>
        <v>543</v>
      </c>
      <c r="AM135" s="72" t="s">
        <v>553</v>
      </c>
      <c r="AN135" s="11">
        <f t="shared" si="21"/>
        <v>1048</v>
      </c>
      <c r="AO135" s="11" t="str">
        <f t="shared" si="40"/>
        <v>PASS</v>
      </c>
      <c r="AP135" s="11" t="str">
        <f t="shared" si="22"/>
        <v>P</v>
      </c>
      <c r="AQ135" s="1" t="str">
        <f t="shared" si="41"/>
        <v xml:space="preserve">One Thousand Forty Eight </v>
      </c>
    </row>
    <row r="136" spans="2:43" ht="15.95" customHeight="1">
      <c r="B136" s="67">
        <v>136309</v>
      </c>
      <c r="C136" s="21" t="s">
        <v>132</v>
      </c>
      <c r="D136" s="24">
        <v>71</v>
      </c>
      <c r="E136" s="9" t="str">
        <f t="shared" si="23"/>
        <v/>
      </c>
      <c r="F136" s="22">
        <v>22</v>
      </c>
      <c r="G136" s="9" t="str">
        <f t="shared" si="24"/>
        <v/>
      </c>
      <c r="H136" s="22">
        <v>44</v>
      </c>
      <c r="I136" s="9" t="str">
        <f t="shared" si="25"/>
        <v/>
      </c>
      <c r="J136" s="29">
        <v>69</v>
      </c>
      <c r="K136" s="9" t="str">
        <f t="shared" si="26"/>
        <v/>
      </c>
      <c r="L136" s="22">
        <v>22</v>
      </c>
      <c r="M136" s="9" t="str">
        <f t="shared" si="27"/>
        <v/>
      </c>
      <c r="N136" s="22">
        <v>22</v>
      </c>
      <c r="O136" s="9" t="str">
        <f t="shared" si="28"/>
        <v/>
      </c>
      <c r="P136" s="29">
        <v>68</v>
      </c>
      <c r="Q136" s="9" t="str">
        <f t="shared" si="29"/>
        <v/>
      </c>
      <c r="R136" s="22">
        <v>22</v>
      </c>
      <c r="S136" s="9" t="str">
        <f t="shared" si="30"/>
        <v/>
      </c>
      <c r="T136" s="22">
        <v>38</v>
      </c>
      <c r="U136" s="9" t="str">
        <f t="shared" si="31"/>
        <v/>
      </c>
      <c r="V136" s="29">
        <v>61</v>
      </c>
      <c r="W136" s="9" t="str">
        <f t="shared" si="32"/>
        <v/>
      </c>
      <c r="X136" s="22">
        <v>22</v>
      </c>
      <c r="Y136" s="9" t="str">
        <f t="shared" si="33"/>
        <v/>
      </c>
      <c r="Z136" s="22">
        <v>21</v>
      </c>
      <c r="AA136" s="9" t="str">
        <f t="shared" si="34"/>
        <v/>
      </c>
      <c r="AB136" s="29">
        <v>59</v>
      </c>
      <c r="AC136" s="9" t="str">
        <f t="shared" si="35"/>
        <v/>
      </c>
      <c r="AD136" s="22">
        <v>22</v>
      </c>
      <c r="AE136" s="9" t="str">
        <f t="shared" si="36"/>
        <v/>
      </c>
      <c r="AF136" s="22">
        <v>20</v>
      </c>
      <c r="AG136" s="9" t="str">
        <f t="shared" si="37"/>
        <v/>
      </c>
      <c r="AH136" s="22">
        <v>22</v>
      </c>
      <c r="AI136" s="9" t="str">
        <f t="shared" si="38"/>
        <v/>
      </c>
      <c r="AJ136" s="22">
        <v>20</v>
      </c>
      <c r="AK136" s="9" t="str">
        <f t="shared" si="39"/>
        <v/>
      </c>
      <c r="AL136" s="16">
        <f>IF(OR(AND(D136&gt;=31,D136&lt;40),AND(J136&gt;=31,J136&lt;40),AND(P136&gt;=31,P136&lt;40),AND(V136&gt;=31,V136&lt;40),AND(AB136&gt;=31,AB136&lt;40)),IF(AND(OR(COUNTIF(D136:AK136,"=31")&gt;=1,COUNTIF(D136:AK136,"=32")&gt;=1,COUNTIF(D136:AK136,"=33")&gt;=1,COUNTIF(D136:AK136,"=34")&gt;=1,COUNTIF(D136:AK136,"=35")&gt;=1,COUNTIF(D136:AK136,"=36")&gt;=1 ),COUNTIF(D136:AK136,"")=0,COUNTIF(D136:AK136," ")=0,COUNTIF(D136:AK136,"F")=1),CONCATENATE(SUM(EXTRACTNUMBER(D136),EXTRACTNUMBER(F136),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EXTRACTNUMBER(AD136),EXTRACTNUMBER(AF136),EXTRACTNUMBER(AH136),EXTRACTNUMBER(AJ136)),"*"),IF(AND(COUNTIF(D136:AK136,"=34")&gt;=1,COUNTIF(D136:AK136,"=35")&gt;=1,COUNTIF(D136:AK136,"f")=2,COUNTIF(D136:AK136,"")=0,COUNTIF(D136:AK136," ")=0),CONCATENATE(SUM(EXTRACTNUMBER(D136),EXTRACTNUMBER(F136),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EXTRACTNUMBER(AD136),EXTRACTNUMBER(AF136),EXTRACTNUMBER(AH136),EXTRACTNUMBER(AJ136)),"*"),IF(AND(COUNTIF(D136:AK136,"=36")&gt;=2,COUNTIF(D136:AK136,"f")=2,COUNTIF(D136:AK136,"")=0,COUNTIF(D136:AK136," ")=0),CONCATENATE(SUM(EXTRACTNUMBER(D136),EXTRACTNUMBER(F136),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EXTRACTNUMBER(AD136),EXTRACTNUMBER(AF136),EXTRACTNUMBER(AH136),EXTRACTNUMBER(AJ136)),"*"),SUM(EXTRACTNUMBER(D136),EXTRACTNUMBER(F136),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EXTRACTNUMBER(AD136),EXTRACTNUMBER(AF136),EXTRACTNUMBER(AH136),EXTRACTNUMBER(AJ136))))),SUM(EXTRACTNUMBER(D136),EXTRACTNUMBER(F136),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EXTRACTNUMBER(AD136),EXTRACTNUMBER(AF136),EXTRACTNUMBER(AH136),EXTRACTNUMBER(AJ136)))</f>
        <v>625</v>
      </c>
      <c r="AM136" s="72" t="s">
        <v>227</v>
      </c>
      <c r="AN136" s="11">
        <f t="shared" si="21"/>
        <v>1228</v>
      </c>
      <c r="AO136" s="11" t="str">
        <f t="shared" si="40"/>
        <v>PASS</v>
      </c>
      <c r="AP136" s="11" t="str">
        <f t="shared" si="22"/>
        <v>I</v>
      </c>
      <c r="AQ136" s="1" t="str">
        <f t="shared" si="41"/>
        <v xml:space="preserve">One Thousand Two Hundred Twenty Eight </v>
      </c>
    </row>
    <row r="137" spans="2:43" ht="15.95" customHeight="1">
      <c r="B137" s="67">
        <v>136310</v>
      </c>
      <c r="C137" s="21" t="s">
        <v>133</v>
      </c>
      <c r="D137" s="24">
        <v>73</v>
      </c>
      <c r="E137" s="9" t="str">
        <f t="shared" si="23"/>
        <v/>
      </c>
      <c r="F137" s="22">
        <v>22</v>
      </c>
      <c r="G137" s="9" t="str">
        <f t="shared" si="24"/>
        <v/>
      </c>
      <c r="H137" s="22">
        <v>44</v>
      </c>
      <c r="I137" s="9" t="str">
        <f t="shared" si="25"/>
        <v/>
      </c>
      <c r="J137" s="29">
        <v>71</v>
      </c>
      <c r="K137" s="9" t="str">
        <f t="shared" si="26"/>
        <v/>
      </c>
      <c r="L137" s="22">
        <v>23</v>
      </c>
      <c r="M137" s="9" t="str">
        <f t="shared" si="27"/>
        <v/>
      </c>
      <c r="N137" s="22">
        <v>22</v>
      </c>
      <c r="O137" s="9" t="str">
        <f t="shared" si="28"/>
        <v/>
      </c>
      <c r="P137" s="29">
        <v>68</v>
      </c>
      <c r="Q137" s="9" t="str">
        <f t="shared" si="29"/>
        <v/>
      </c>
      <c r="R137" s="22">
        <v>20</v>
      </c>
      <c r="S137" s="9" t="str">
        <f t="shared" si="30"/>
        <v/>
      </c>
      <c r="T137" s="22">
        <v>44</v>
      </c>
      <c r="U137" s="9" t="str">
        <f t="shared" si="31"/>
        <v/>
      </c>
      <c r="V137" s="29">
        <v>68</v>
      </c>
      <c r="W137" s="9" t="str">
        <f t="shared" si="32"/>
        <v/>
      </c>
      <c r="X137" s="22">
        <v>20</v>
      </c>
      <c r="Y137" s="9" t="str">
        <f t="shared" si="33"/>
        <v/>
      </c>
      <c r="Z137" s="22">
        <v>20</v>
      </c>
      <c r="AA137" s="9" t="str">
        <f t="shared" si="34"/>
        <v/>
      </c>
      <c r="AB137" s="29">
        <v>61</v>
      </c>
      <c r="AC137" s="9" t="str">
        <f t="shared" si="35"/>
        <v/>
      </c>
      <c r="AD137" s="22">
        <v>20</v>
      </c>
      <c r="AE137" s="9" t="str">
        <f t="shared" si="36"/>
        <v/>
      </c>
      <c r="AF137" s="22">
        <v>20</v>
      </c>
      <c r="AG137" s="9" t="str">
        <f t="shared" si="37"/>
        <v/>
      </c>
      <c r="AH137" s="22">
        <v>20</v>
      </c>
      <c r="AI137" s="9" t="str">
        <f t="shared" si="38"/>
        <v/>
      </c>
      <c r="AJ137" s="22">
        <v>23</v>
      </c>
      <c r="AK137" s="9" t="str">
        <f t="shared" si="39"/>
        <v/>
      </c>
      <c r="AL137" s="16">
        <f>IF(OR(AND(D137&gt;=31,D137&lt;40),AND(J137&gt;=31,J137&lt;40),AND(P137&gt;=31,P137&lt;40),AND(V137&gt;=31,V137&lt;40),AND(AB137&gt;=31,AB137&lt;40)),IF(AND(OR(COUNTIF(D137:AK137,"=31")&gt;=1,COUNTIF(D137:AK137,"=32")&gt;=1,COUNTIF(D137:AK137,"=33")&gt;=1,COUNTIF(D137:AK137,"=34")&gt;=1,COUNTIF(D137:AK137,"=35")&gt;=1,COUNTIF(D137:AK137,"=36")&gt;=1 ),COUNTIF(D137:AK137,"")=0,COUNTIF(D137:AK137," ")=0,COUNTIF(D137:AK137,"F")=1),CONCATENATE(SUM(EXTRACTNUMBER(D137),EXTRACTNUMBER(F137),
EXTRACTNUMBER(H137),EXTRACTNUMBER(J137),
EXTRACTNUMBER(L137),EXTRACTNUMBER(N137),
EXTRACTNUMBER(P137),EXTRACTNUMBER(R137),
EXTRACTNUMBER(T137),EXTRACTNUMBER(V137),
EXTRACTNUMBER(X137),EXTRACTNUMBER(Z137),EXTRACTNUMBER(AB137),
EXTRACTNUMBER(AD137),EXTRACTNUMBER(AF137),EXTRACTNUMBER(AH137),EXTRACTNUMBER(AJ137)),"*"),IF(AND(COUNTIF(D137:AK137,"=34")&gt;=1,COUNTIF(D137:AK137,"=35")&gt;=1,COUNTIF(D137:AK137,"f")=2,COUNTIF(D137:AK137,"")=0,COUNTIF(D137:AK137," ")=0),CONCATENATE(SUM(EXTRACTNUMBER(D137),EXTRACTNUMBER(F137),
EXTRACTNUMBER(H137),EXTRACTNUMBER(J137),
EXTRACTNUMBER(L137),EXTRACTNUMBER(N137),
EXTRACTNUMBER(P137),EXTRACTNUMBER(R137),
EXTRACTNUMBER(T137),EXTRACTNUMBER(V137),
EXTRACTNUMBER(X137),EXTRACTNUMBER(Z137),EXTRACTNUMBER(AB137),
EXTRACTNUMBER(AD137),EXTRACTNUMBER(AF137),EXTRACTNUMBER(AH137),EXTRACTNUMBER(AJ137)),"*"),IF(AND(COUNTIF(D137:AK137,"=36")&gt;=2,COUNTIF(D137:AK137,"f")=2,COUNTIF(D137:AK137,"")=0,COUNTIF(D137:AK137," ")=0),CONCATENATE(SUM(EXTRACTNUMBER(D137),EXTRACTNUMBER(F137),
EXTRACTNUMBER(H137),EXTRACTNUMBER(J137),
EXTRACTNUMBER(L137),EXTRACTNUMBER(N137),
EXTRACTNUMBER(P137),EXTRACTNUMBER(R137),
EXTRACTNUMBER(T137),EXTRACTNUMBER(V137),
EXTRACTNUMBER(X137),EXTRACTNUMBER(Z137),EXTRACTNUMBER(AB137),
EXTRACTNUMBER(AD137),EXTRACTNUMBER(AF137),EXTRACTNUMBER(AH137),EXTRACTNUMBER(AJ137)),"*"),SUM(EXTRACTNUMBER(D137),EXTRACTNUMBER(F137),
EXTRACTNUMBER(H137),EXTRACTNUMBER(J137),
EXTRACTNUMBER(L137),EXTRACTNUMBER(N137),
EXTRACTNUMBER(P137),EXTRACTNUMBER(R137),
EXTRACTNUMBER(T137),EXTRACTNUMBER(V137),
EXTRACTNUMBER(X137),EXTRACTNUMBER(Z137),EXTRACTNUMBER(AB137),
EXTRACTNUMBER(AD137),EXTRACTNUMBER(AF137),EXTRACTNUMBER(AH137),EXTRACTNUMBER(AJ137))))),SUM(EXTRACTNUMBER(D137),EXTRACTNUMBER(F137),
EXTRACTNUMBER(H137),EXTRACTNUMBER(J137),
EXTRACTNUMBER(L137),EXTRACTNUMBER(N137),
EXTRACTNUMBER(P137),EXTRACTNUMBER(R137),
EXTRACTNUMBER(T137),EXTRACTNUMBER(V137),
EXTRACTNUMBER(X137),EXTRACTNUMBER(Z137),EXTRACTNUMBER(AB137),
EXTRACTNUMBER(AD137),EXTRACTNUMBER(AF137),EXTRACTNUMBER(AH137),EXTRACTNUMBER(AJ137)))</f>
        <v>639</v>
      </c>
      <c r="AM137" s="72" t="s">
        <v>288</v>
      </c>
      <c r="AN137" s="11">
        <f t="shared" si="21"/>
        <v>1265</v>
      </c>
      <c r="AO137" s="11" t="str">
        <f t="shared" si="40"/>
        <v>PASS</v>
      </c>
      <c r="AP137" s="11" t="str">
        <f t="shared" si="22"/>
        <v>I</v>
      </c>
      <c r="AQ137" s="1" t="str">
        <f t="shared" si="41"/>
        <v xml:space="preserve">One Thousand Two Hundred Sixty Five </v>
      </c>
    </row>
    <row r="138" spans="2:43" ht="15.95" customHeight="1">
      <c r="B138" s="67">
        <v>136311</v>
      </c>
      <c r="C138" s="21" t="s">
        <v>134</v>
      </c>
      <c r="D138" s="24">
        <v>57</v>
      </c>
      <c r="E138" s="9" t="str">
        <f t="shared" si="23"/>
        <v/>
      </c>
      <c r="F138" s="22">
        <v>22</v>
      </c>
      <c r="G138" s="9" t="str">
        <f t="shared" si="24"/>
        <v/>
      </c>
      <c r="H138" s="22">
        <v>42</v>
      </c>
      <c r="I138" s="9" t="str">
        <f t="shared" si="25"/>
        <v/>
      </c>
      <c r="J138" s="29">
        <v>63</v>
      </c>
      <c r="K138" s="9" t="str">
        <f t="shared" si="26"/>
        <v/>
      </c>
      <c r="L138" s="22">
        <v>22</v>
      </c>
      <c r="M138" s="9" t="str">
        <f t="shared" si="27"/>
        <v/>
      </c>
      <c r="N138" s="22">
        <v>21</v>
      </c>
      <c r="O138" s="9" t="str">
        <f t="shared" si="28"/>
        <v/>
      </c>
      <c r="P138" s="29">
        <v>65</v>
      </c>
      <c r="Q138" s="9" t="str">
        <f t="shared" si="29"/>
        <v/>
      </c>
      <c r="R138" s="22">
        <v>20</v>
      </c>
      <c r="S138" s="9" t="str">
        <f t="shared" si="30"/>
        <v/>
      </c>
      <c r="T138" s="22">
        <v>42</v>
      </c>
      <c r="U138" s="9" t="str">
        <f t="shared" si="31"/>
        <v/>
      </c>
      <c r="V138" s="29">
        <v>63</v>
      </c>
      <c r="W138" s="9" t="str">
        <f t="shared" si="32"/>
        <v/>
      </c>
      <c r="X138" s="22">
        <v>22</v>
      </c>
      <c r="Y138" s="9" t="str">
        <f t="shared" si="33"/>
        <v/>
      </c>
      <c r="Z138" s="22">
        <v>21</v>
      </c>
      <c r="AA138" s="9" t="str">
        <f t="shared" si="34"/>
        <v/>
      </c>
      <c r="AB138" s="29">
        <v>60</v>
      </c>
      <c r="AC138" s="9" t="str">
        <f t="shared" si="35"/>
        <v/>
      </c>
      <c r="AD138" s="22">
        <v>22</v>
      </c>
      <c r="AE138" s="9" t="str">
        <f t="shared" si="36"/>
        <v/>
      </c>
      <c r="AF138" s="22">
        <v>20</v>
      </c>
      <c r="AG138" s="9" t="str">
        <f t="shared" si="37"/>
        <v/>
      </c>
      <c r="AH138" s="22">
        <v>22</v>
      </c>
      <c r="AI138" s="9" t="str">
        <f t="shared" si="38"/>
        <v/>
      </c>
      <c r="AJ138" s="22">
        <v>23</v>
      </c>
      <c r="AK138" s="9" t="str">
        <f t="shared" si="39"/>
        <v/>
      </c>
      <c r="AL138" s="16">
        <f>IF(OR(AND(D138&gt;=31,D138&lt;40),AND(J138&gt;=31,J138&lt;40),AND(P138&gt;=31,P138&lt;40),AND(V138&gt;=31,V138&lt;40),AND(AB138&gt;=31,AB138&lt;40)),IF(AND(OR(COUNTIF(D138:AK138,"=31")&gt;=1,COUNTIF(D138:AK138,"=32")&gt;=1,COUNTIF(D138:AK138,"=33")&gt;=1,COUNTIF(D138:AK138,"=34")&gt;=1,COUNTIF(D138:AK138,"=35")&gt;=1,COUNTIF(D138:AK138,"=36")&gt;=1 ),COUNTIF(D138:AK138,"")=0,COUNTIF(D138:AK138," ")=0,COUNTIF(D138:AK138,"F")=1),CONCATENATE(SUM(EXTRACTNUMBER(D138),EXTRACTNUMBER(F138),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EXTRACTNUMBER(AD138),EXTRACTNUMBER(AF138),EXTRACTNUMBER(AH138),EXTRACTNUMBER(AJ138)),"*"),IF(AND(COUNTIF(D138:AK138,"=34")&gt;=1,COUNTIF(D138:AK138,"=35")&gt;=1,COUNTIF(D138:AK138,"f")=2,COUNTIF(D138:AK138,"")=0,COUNTIF(D138:AK138," ")=0),CONCATENATE(SUM(EXTRACTNUMBER(D138),EXTRACTNUMBER(F138),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EXTRACTNUMBER(AD138),EXTRACTNUMBER(AF138),EXTRACTNUMBER(AH138),EXTRACTNUMBER(AJ138)),"*"),IF(AND(COUNTIF(D138:AK138,"=36")&gt;=2,COUNTIF(D138:AK138,"f")=2,COUNTIF(D138:AK138,"")=0,COUNTIF(D138:AK138," ")=0),CONCATENATE(SUM(EXTRACTNUMBER(D138),EXTRACTNUMBER(F138),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EXTRACTNUMBER(AD138),EXTRACTNUMBER(AF138),EXTRACTNUMBER(AH138),EXTRACTNUMBER(AJ138)),"*"),SUM(EXTRACTNUMBER(D138),EXTRACTNUMBER(F138),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EXTRACTNUMBER(AD138),EXTRACTNUMBER(AF138),EXTRACTNUMBER(AH138),EXTRACTNUMBER(AJ138))))),SUM(EXTRACTNUMBER(D138),EXTRACTNUMBER(F138),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EXTRACTNUMBER(AD138),EXTRACTNUMBER(AF138),EXTRACTNUMBER(AH138),EXTRACTNUMBER(AJ138)))</f>
        <v>607</v>
      </c>
      <c r="AM138" s="72" t="s">
        <v>289</v>
      </c>
      <c r="AN138" s="11">
        <f t="shared" si="21"/>
        <v>1188</v>
      </c>
      <c r="AO138" s="11" t="str">
        <f t="shared" si="40"/>
        <v>PASS</v>
      </c>
      <c r="AP138" s="11" t="str">
        <f t="shared" si="22"/>
        <v>I</v>
      </c>
      <c r="AQ138" s="1" t="str">
        <f t="shared" si="41"/>
        <v xml:space="preserve">One Thousand One Hundred Eighty Eight </v>
      </c>
    </row>
    <row r="139" spans="2:43" ht="15.95" customHeight="1">
      <c r="B139" s="67">
        <v>136312</v>
      </c>
      <c r="C139" s="21" t="s">
        <v>135</v>
      </c>
      <c r="D139" s="24">
        <v>52</v>
      </c>
      <c r="E139" s="9" t="str">
        <f t="shared" si="23"/>
        <v/>
      </c>
      <c r="F139" s="22">
        <v>21</v>
      </c>
      <c r="G139" s="9" t="str">
        <f t="shared" si="24"/>
        <v/>
      </c>
      <c r="H139" s="22">
        <v>44</v>
      </c>
      <c r="I139" s="9" t="str">
        <f t="shared" si="25"/>
        <v/>
      </c>
      <c r="J139" s="29">
        <v>59</v>
      </c>
      <c r="K139" s="9" t="str">
        <f t="shared" si="26"/>
        <v/>
      </c>
      <c r="L139" s="22">
        <v>21</v>
      </c>
      <c r="M139" s="9" t="str">
        <f t="shared" si="27"/>
        <v/>
      </c>
      <c r="N139" s="22">
        <v>22</v>
      </c>
      <c r="O139" s="9" t="str">
        <f t="shared" si="28"/>
        <v/>
      </c>
      <c r="P139" s="29">
        <v>64</v>
      </c>
      <c r="Q139" s="9" t="str">
        <f t="shared" si="29"/>
        <v/>
      </c>
      <c r="R139" s="22">
        <v>21</v>
      </c>
      <c r="S139" s="9" t="str">
        <f t="shared" si="30"/>
        <v/>
      </c>
      <c r="T139" s="22">
        <v>42</v>
      </c>
      <c r="U139" s="9" t="str">
        <f t="shared" si="31"/>
        <v/>
      </c>
      <c r="V139" s="29">
        <v>51</v>
      </c>
      <c r="W139" s="9" t="str">
        <f t="shared" si="32"/>
        <v/>
      </c>
      <c r="X139" s="22">
        <v>21</v>
      </c>
      <c r="Y139" s="9" t="str">
        <f t="shared" si="33"/>
        <v/>
      </c>
      <c r="Z139" s="22">
        <v>22</v>
      </c>
      <c r="AA139" s="9" t="str">
        <f t="shared" si="34"/>
        <v/>
      </c>
      <c r="AB139" s="29">
        <v>52</v>
      </c>
      <c r="AC139" s="9" t="str">
        <f t="shared" si="35"/>
        <v/>
      </c>
      <c r="AD139" s="22">
        <v>21</v>
      </c>
      <c r="AE139" s="9" t="str">
        <f t="shared" si="36"/>
        <v/>
      </c>
      <c r="AF139" s="22">
        <v>21</v>
      </c>
      <c r="AG139" s="9" t="str">
        <f t="shared" si="37"/>
        <v/>
      </c>
      <c r="AH139" s="22">
        <v>21</v>
      </c>
      <c r="AI139" s="9" t="str">
        <f t="shared" si="38"/>
        <v/>
      </c>
      <c r="AJ139" s="22">
        <v>22</v>
      </c>
      <c r="AK139" s="9" t="str">
        <f t="shared" si="39"/>
        <v/>
      </c>
      <c r="AL139" s="16">
        <f>IF(OR(AND(D139&gt;=31,D139&lt;40),AND(J139&gt;=31,J139&lt;40),AND(P139&gt;=31,P139&lt;40),AND(V139&gt;=31,V139&lt;40),AND(AB139&gt;=31,AB139&lt;40)),IF(AND(OR(COUNTIF(D139:AK139,"=31")&gt;=1,COUNTIF(D139:AK139,"=32")&gt;=1,COUNTIF(D139:AK139,"=33")&gt;=1,COUNTIF(D139:AK139,"=34")&gt;=1,COUNTIF(D139:AK139,"=35")&gt;=1,COUNTIF(D139:AK139,"=36")&gt;=1 ),COUNTIF(D139:AK139,"")=0,COUNTIF(D139:AK139," ")=0,COUNTIF(D139:AK139,"F")=1),CONCATENATE(SUM(EXTRACTNUMBER(D139),EXTRACTNUMBER(F139),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EXTRACTNUMBER(AD139),EXTRACTNUMBER(AF139),EXTRACTNUMBER(AH139),EXTRACTNUMBER(AJ139)),"*"),IF(AND(COUNTIF(D139:AK139,"=34")&gt;=1,COUNTIF(D139:AK139,"=35")&gt;=1,COUNTIF(D139:AK139,"f")=2,COUNTIF(D139:AK139,"")=0,COUNTIF(D139:AK139," ")=0),CONCATENATE(SUM(EXTRACTNUMBER(D139),EXTRACTNUMBER(F139),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EXTRACTNUMBER(AD139),EXTRACTNUMBER(AF139),EXTRACTNUMBER(AH139),EXTRACTNUMBER(AJ139)),"*"),IF(AND(COUNTIF(D139:AK139,"=36")&gt;=2,COUNTIF(D139:AK139,"f")=2,COUNTIF(D139:AK139,"")=0,COUNTIF(D139:AK139," ")=0),CONCATENATE(SUM(EXTRACTNUMBER(D139),EXTRACTNUMBER(F139),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EXTRACTNUMBER(AD139),EXTRACTNUMBER(AF139),EXTRACTNUMBER(AH139),EXTRACTNUMBER(AJ139)),"*"),SUM(EXTRACTNUMBER(D139),EXTRACTNUMBER(F139),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EXTRACTNUMBER(AD139),EXTRACTNUMBER(AF139),EXTRACTNUMBER(AH139),EXTRACTNUMBER(AJ139))))),SUM(EXTRACTNUMBER(D139),EXTRACTNUMBER(F139),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EXTRACTNUMBER(AD139),EXTRACTNUMBER(AF139),EXTRACTNUMBER(AH139),EXTRACTNUMBER(AJ139)))</f>
        <v>577</v>
      </c>
      <c r="AM139" s="72" t="s">
        <v>290</v>
      </c>
      <c r="AN139" s="11">
        <f t="shared" si="21"/>
        <v>1099</v>
      </c>
      <c r="AO139" s="11" t="str">
        <f t="shared" si="40"/>
        <v>PASS</v>
      </c>
      <c r="AP139" s="11" t="str">
        <f t="shared" si="22"/>
        <v>I</v>
      </c>
      <c r="AQ139" s="1" t="str">
        <f t="shared" si="41"/>
        <v xml:space="preserve">One Thousand NinetyNine </v>
      </c>
    </row>
    <row r="140" spans="2:43" ht="15.95" customHeight="1">
      <c r="B140" s="67">
        <v>136313</v>
      </c>
      <c r="C140" s="21" t="s">
        <v>136</v>
      </c>
      <c r="D140" s="24">
        <v>65</v>
      </c>
      <c r="E140" s="9" t="str">
        <f t="shared" si="23"/>
        <v/>
      </c>
      <c r="F140" s="22">
        <v>23</v>
      </c>
      <c r="G140" s="9" t="str">
        <f t="shared" si="24"/>
        <v/>
      </c>
      <c r="H140" s="22">
        <v>46</v>
      </c>
      <c r="I140" s="9" t="str">
        <f t="shared" si="25"/>
        <v/>
      </c>
      <c r="J140" s="29">
        <v>54</v>
      </c>
      <c r="K140" s="9" t="str">
        <f t="shared" si="26"/>
        <v/>
      </c>
      <c r="L140" s="22">
        <v>23</v>
      </c>
      <c r="M140" s="9" t="str">
        <f t="shared" si="27"/>
        <v/>
      </c>
      <c r="N140" s="22">
        <v>23</v>
      </c>
      <c r="O140" s="9" t="str">
        <f t="shared" si="28"/>
        <v/>
      </c>
      <c r="P140" s="29">
        <v>64</v>
      </c>
      <c r="Q140" s="9" t="str">
        <f t="shared" si="29"/>
        <v/>
      </c>
      <c r="R140" s="22">
        <v>23</v>
      </c>
      <c r="S140" s="9" t="str">
        <f t="shared" si="30"/>
        <v/>
      </c>
      <c r="T140" s="22">
        <v>44</v>
      </c>
      <c r="U140" s="9" t="str">
        <f t="shared" si="31"/>
        <v/>
      </c>
      <c r="V140" s="29">
        <v>64</v>
      </c>
      <c r="W140" s="9" t="str">
        <f t="shared" si="32"/>
        <v/>
      </c>
      <c r="X140" s="22">
        <v>23</v>
      </c>
      <c r="Y140" s="9" t="str">
        <f t="shared" si="33"/>
        <v/>
      </c>
      <c r="Z140" s="22">
        <v>22</v>
      </c>
      <c r="AA140" s="9" t="str">
        <f t="shared" si="34"/>
        <v/>
      </c>
      <c r="AB140" s="29">
        <v>54</v>
      </c>
      <c r="AC140" s="9" t="str">
        <f t="shared" si="35"/>
        <v/>
      </c>
      <c r="AD140" s="22">
        <v>23</v>
      </c>
      <c r="AE140" s="9" t="str">
        <f t="shared" si="36"/>
        <v/>
      </c>
      <c r="AF140" s="22">
        <v>22</v>
      </c>
      <c r="AG140" s="9" t="str">
        <f t="shared" si="37"/>
        <v/>
      </c>
      <c r="AH140" s="22">
        <v>23</v>
      </c>
      <c r="AI140" s="9" t="str">
        <f t="shared" si="38"/>
        <v/>
      </c>
      <c r="AJ140" s="22">
        <v>23</v>
      </c>
      <c r="AK140" s="9" t="str">
        <f t="shared" si="39"/>
        <v/>
      </c>
      <c r="AL140" s="16">
        <f>IF(OR(AND(D140&gt;=31,D140&lt;40),AND(J140&gt;=31,J140&lt;40),AND(P140&gt;=31,P140&lt;40),AND(V140&gt;=31,V140&lt;40),AND(AB140&gt;=31,AB140&lt;40)),IF(AND(OR(COUNTIF(D140:AK140,"=31")&gt;=1,COUNTIF(D140:AK140,"=32")&gt;=1,COUNTIF(D140:AK140,"=33")&gt;=1,COUNTIF(D140:AK140,"=34")&gt;=1,COUNTIF(D140:AK140,"=35")&gt;=1,COUNTIF(D140:AK140,"=36")&gt;=1 ),COUNTIF(D140:AK140,"")=0,COUNTIF(D140:AK140," ")=0,COUNTIF(D140:AK140,"F")=1),CONCATENATE(SUM(EXTRACTNUMBER(D140),EXTRACTNUMBER(F140),
EXTRACTNUMBER(H140),EXTRACTNUMBER(J140),
EXTRACTNUMBER(L140),EXTRACTNUMBER(N140),
EXTRACTNUMBER(P140),EXTRACTNUMBER(R140),
EXTRACTNUMBER(T140),EXTRACTNUMBER(V140),
EXTRACTNUMBER(X140),EXTRACTNUMBER(Z140),EXTRACTNUMBER(AB140),
EXTRACTNUMBER(AD140),EXTRACTNUMBER(AF140),EXTRACTNUMBER(AH140),EXTRACTNUMBER(AJ140)),"*"),IF(AND(COUNTIF(D140:AK140,"=34")&gt;=1,COUNTIF(D140:AK140,"=35")&gt;=1,COUNTIF(D140:AK140,"f")=2,COUNTIF(D140:AK140,"")=0,COUNTIF(D140:AK140," ")=0),CONCATENATE(SUM(EXTRACTNUMBER(D140),EXTRACTNUMBER(F140),
EXTRACTNUMBER(H140),EXTRACTNUMBER(J140),
EXTRACTNUMBER(L140),EXTRACTNUMBER(N140),
EXTRACTNUMBER(P140),EXTRACTNUMBER(R140),
EXTRACTNUMBER(T140),EXTRACTNUMBER(V140),
EXTRACTNUMBER(X140),EXTRACTNUMBER(Z140),EXTRACTNUMBER(AB140),
EXTRACTNUMBER(AD140),EXTRACTNUMBER(AF140),EXTRACTNUMBER(AH140),EXTRACTNUMBER(AJ140)),"*"),IF(AND(COUNTIF(D140:AK140,"=36")&gt;=2,COUNTIF(D140:AK140,"f")=2,COUNTIF(D140:AK140,"")=0,COUNTIF(D140:AK140," ")=0),CONCATENATE(SUM(EXTRACTNUMBER(D140),EXTRACTNUMBER(F140),
EXTRACTNUMBER(H140),EXTRACTNUMBER(J140),
EXTRACTNUMBER(L140),EXTRACTNUMBER(N140),
EXTRACTNUMBER(P140),EXTRACTNUMBER(R140),
EXTRACTNUMBER(T140),EXTRACTNUMBER(V140),
EXTRACTNUMBER(X140),EXTRACTNUMBER(Z140),EXTRACTNUMBER(AB140),
EXTRACTNUMBER(AD140),EXTRACTNUMBER(AF140),EXTRACTNUMBER(AH140),EXTRACTNUMBER(AJ140)),"*"),SUM(EXTRACTNUMBER(D140),EXTRACTNUMBER(F140),
EXTRACTNUMBER(H140),EXTRACTNUMBER(J140),
EXTRACTNUMBER(L140),EXTRACTNUMBER(N140),
EXTRACTNUMBER(P140),EXTRACTNUMBER(R140),
EXTRACTNUMBER(T140),EXTRACTNUMBER(V140),
EXTRACTNUMBER(X140),EXTRACTNUMBER(Z140),EXTRACTNUMBER(AB140),
EXTRACTNUMBER(AD140),EXTRACTNUMBER(AF140),EXTRACTNUMBER(AH140),EXTRACTNUMBER(AJ140))))),SUM(EXTRACTNUMBER(D140),EXTRACTNUMBER(F140),
EXTRACTNUMBER(H140),EXTRACTNUMBER(J140),
EXTRACTNUMBER(L140),EXTRACTNUMBER(N140),
EXTRACTNUMBER(P140),EXTRACTNUMBER(R140),
EXTRACTNUMBER(T140),EXTRACTNUMBER(V140),
EXTRACTNUMBER(X140),EXTRACTNUMBER(Z140),EXTRACTNUMBER(AB140),
EXTRACTNUMBER(AD140),EXTRACTNUMBER(AF140),EXTRACTNUMBER(AH140),EXTRACTNUMBER(AJ140)))</f>
        <v>619</v>
      </c>
      <c r="AM140" s="72" t="s">
        <v>291</v>
      </c>
      <c r="AN140" s="11">
        <f t="shared" si="21"/>
        <v>1174</v>
      </c>
      <c r="AO140" s="11" t="str">
        <f t="shared" si="40"/>
        <v>PASS</v>
      </c>
      <c r="AP140" s="11" t="str">
        <f t="shared" si="22"/>
        <v>I</v>
      </c>
      <c r="AQ140" s="1" t="str">
        <f t="shared" si="41"/>
        <v xml:space="preserve">One Thousand One Hundred Seventy Four </v>
      </c>
    </row>
    <row r="141" spans="2:43" ht="15.95" customHeight="1">
      <c r="B141" s="67">
        <v>136314</v>
      </c>
      <c r="C141" s="21" t="s">
        <v>137</v>
      </c>
      <c r="D141" s="24">
        <v>55</v>
      </c>
      <c r="E141" s="9" t="str">
        <f t="shared" si="23"/>
        <v/>
      </c>
      <c r="F141" s="22">
        <v>20</v>
      </c>
      <c r="G141" s="9" t="str">
        <f t="shared" si="24"/>
        <v/>
      </c>
      <c r="H141" s="22">
        <v>44</v>
      </c>
      <c r="I141" s="9" t="str">
        <f t="shared" si="25"/>
        <v/>
      </c>
      <c r="J141" s="29">
        <v>52</v>
      </c>
      <c r="K141" s="9" t="str">
        <f t="shared" si="26"/>
        <v/>
      </c>
      <c r="L141" s="22">
        <v>20</v>
      </c>
      <c r="M141" s="9" t="str">
        <f t="shared" si="27"/>
        <v/>
      </c>
      <c r="N141" s="22">
        <v>22</v>
      </c>
      <c r="O141" s="9" t="str">
        <f t="shared" si="28"/>
        <v/>
      </c>
      <c r="P141" s="29">
        <v>62</v>
      </c>
      <c r="Q141" s="9" t="str">
        <f t="shared" si="29"/>
        <v/>
      </c>
      <c r="R141" s="22">
        <v>20</v>
      </c>
      <c r="S141" s="9" t="str">
        <f t="shared" si="30"/>
        <v/>
      </c>
      <c r="T141" s="22">
        <v>42</v>
      </c>
      <c r="U141" s="9" t="str">
        <f t="shared" si="31"/>
        <v/>
      </c>
      <c r="V141" s="29">
        <v>58</v>
      </c>
      <c r="W141" s="9" t="str">
        <f t="shared" si="32"/>
        <v/>
      </c>
      <c r="X141" s="22">
        <v>20</v>
      </c>
      <c r="Y141" s="9" t="str">
        <f t="shared" si="33"/>
        <v/>
      </c>
      <c r="Z141" s="22">
        <v>21</v>
      </c>
      <c r="AA141" s="9" t="str">
        <f t="shared" si="34"/>
        <v/>
      </c>
      <c r="AB141" s="29">
        <v>53</v>
      </c>
      <c r="AC141" s="9" t="str">
        <f t="shared" si="35"/>
        <v/>
      </c>
      <c r="AD141" s="22">
        <v>20</v>
      </c>
      <c r="AE141" s="9" t="str">
        <f t="shared" si="36"/>
        <v/>
      </c>
      <c r="AF141" s="22">
        <v>21</v>
      </c>
      <c r="AG141" s="9" t="str">
        <f t="shared" si="37"/>
        <v/>
      </c>
      <c r="AH141" s="22">
        <v>20</v>
      </c>
      <c r="AI141" s="9" t="str">
        <f t="shared" si="38"/>
        <v/>
      </c>
      <c r="AJ141" s="22">
        <v>22</v>
      </c>
      <c r="AK141" s="9" t="str">
        <f t="shared" si="39"/>
        <v/>
      </c>
      <c r="AL141" s="16">
        <f>IF(OR(AND(D141&gt;=31,D141&lt;40),AND(J141&gt;=31,J141&lt;40),AND(P141&gt;=31,P141&lt;40),AND(V141&gt;=31,V141&lt;40),AND(AB141&gt;=31,AB141&lt;40)),IF(AND(OR(COUNTIF(D141:AK141,"=31")&gt;=1,COUNTIF(D141:AK141,"=32")&gt;=1,COUNTIF(D141:AK141,"=33")&gt;=1,COUNTIF(D141:AK141,"=34")&gt;=1,COUNTIF(D141:AK141,"=35")&gt;=1,COUNTIF(D141:AK141,"=36")&gt;=1 ),COUNTIF(D141:AK141,"")=0,COUNTIF(D141:AK141," ")=0,COUNTIF(D141:AK141,"F")=1),CONCATENATE(SUM(EXTRACTNUMBER(D141),EXTRACTNUMBER(F141),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EXTRACTNUMBER(AD141),EXTRACTNUMBER(AF141),EXTRACTNUMBER(AH141),EXTRACTNUMBER(AJ141)),"*"),IF(AND(COUNTIF(D141:AK141,"=34")&gt;=1,COUNTIF(D141:AK141,"=35")&gt;=1,COUNTIF(D141:AK141,"f")=2,COUNTIF(D141:AK141,"")=0,COUNTIF(D141:AK141," ")=0),CONCATENATE(SUM(EXTRACTNUMBER(D141),EXTRACTNUMBER(F141),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EXTRACTNUMBER(AD141),EXTRACTNUMBER(AF141),EXTRACTNUMBER(AH141),EXTRACTNUMBER(AJ141)),"*"),IF(AND(COUNTIF(D141:AK141,"=36")&gt;=2,COUNTIF(D141:AK141,"f")=2,COUNTIF(D141:AK141,"")=0,COUNTIF(D141:AK141," ")=0),CONCATENATE(SUM(EXTRACTNUMBER(D141),EXTRACTNUMBER(F141),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EXTRACTNUMBER(AD141),EXTRACTNUMBER(AF141),EXTRACTNUMBER(AH141),EXTRACTNUMBER(AJ141)),"*"),SUM(EXTRACTNUMBER(D141),EXTRACTNUMBER(F141),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EXTRACTNUMBER(AD141),EXTRACTNUMBER(AF141),EXTRACTNUMBER(AH141),EXTRACTNUMBER(AJ141))))),SUM(EXTRACTNUMBER(D141),EXTRACTNUMBER(F141),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EXTRACTNUMBER(AD141),EXTRACTNUMBER(AF141),EXTRACTNUMBER(AH141),EXTRACTNUMBER(AJ141)))</f>
        <v>572</v>
      </c>
      <c r="AM141" s="72" t="s">
        <v>292</v>
      </c>
      <c r="AN141" s="11">
        <f t="shared" si="21"/>
        <v>1132</v>
      </c>
      <c r="AO141" s="11" t="str">
        <f t="shared" si="40"/>
        <v>PASS</v>
      </c>
      <c r="AP141" s="11" t="str">
        <f t="shared" si="22"/>
        <v>I</v>
      </c>
      <c r="AQ141" s="1" t="str">
        <f t="shared" si="41"/>
        <v xml:space="preserve">One Thousand One Hundred Thirty Two </v>
      </c>
    </row>
    <row r="142" spans="2:43" ht="15.95" customHeight="1">
      <c r="B142" s="67">
        <v>136315</v>
      </c>
      <c r="C142" s="21" t="s">
        <v>138</v>
      </c>
      <c r="D142" s="24">
        <v>62</v>
      </c>
      <c r="E142" s="9" t="str">
        <f t="shared" si="23"/>
        <v/>
      </c>
      <c r="F142" s="22">
        <v>20</v>
      </c>
      <c r="G142" s="9" t="str">
        <f t="shared" si="24"/>
        <v/>
      </c>
      <c r="H142" s="22">
        <v>44</v>
      </c>
      <c r="I142" s="9" t="str">
        <f t="shared" si="25"/>
        <v/>
      </c>
      <c r="J142" s="29">
        <v>47</v>
      </c>
      <c r="K142" s="9" t="str">
        <f t="shared" si="26"/>
        <v/>
      </c>
      <c r="L142" s="22">
        <v>20</v>
      </c>
      <c r="M142" s="9" t="str">
        <f t="shared" si="27"/>
        <v/>
      </c>
      <c r="N142" s="22">
        <v>22</v>
      </c>
      <c r="O142" s="9" t="str">
        <f t="shared" si="28"/>
        <v/>
      </c>
      <c r="P142" s="29">
        <v>64</v>
      </c>
      <c r="Q142" s="9" t="str">
        <f t="shared" si="29"/>
        <v/>
      </c>
      <c r="R142" s="22">
        <v>20</v>
      </c>
      <c r="S142" s="9" t="str">
        <f t="shared" si="30"/>
        <v/>
      </c>
      <c r="T142" s="22">
        <v>42</v>
      </c>
      <c r="U142" s="9" t="str">
        <f t="shared" si="31"/>
        <v/>
      </c>
      <c r="V142" s="29">
        <v>59</v>
      </c>
      <c r="W142" s="9" t="str">
        <f t="shared" si="32"/>
        <v/>
      </c>
      <c r="X142" s="22">
        <v>20</v>
      </c>
      <c r="Y142" s="9" t="str">
        <f t="shared" si="33"/>
        <v/>
      </c>
      <c r="Z142" s="22">
        <v>21</v>
      </c>
      <c r="AA142" s="9" t="str">
        <f t="shared" si="34"/>
        <v/>
      </c>
      <c r="AB142" s="29">
        <v>49</v>
      </c>
      <c r="AC142" s="9" t="str">
        <f t="shared" si="35"/>
        <v/>
      </c>
      <c r="AD142" s="22">
        <v>20</v>
      </c>
      <c r="AE142" s="9" t="str">
        <f t="shared" si="36"/>
        <v/>
      </c>
      <c r="AF142" s="22">
        <v>21</v>
      </c>
      <c r="AG142" s="9" t="str">
        <f t="shared" si="37"/>
        <v/>
      </c>
      <c r="AH142" s="22">
        <v>20</v>
      </c>
      <c r="AI142" s="9" t="str">
        <f t="shared" si="38"/>
        <v/>
      </c>
      <c r="AJ142" s="22">
        <v>20</v>
      </c>
      <c r="AK142" s="9" t="str">
        <f t="shared" si="39"/>
        <v/>
      </c>
      <c r="AL142" s="16">
        <f>IF(OR(AND(D142&gt;=31,D142&lt;40),AND(J142&gt;=31,J142&lt;40),AND(P142&gt;=31,P142&lt;40),AND(V142&gt;=31,V142&lt;40),AND(AB142&gt;=31,AB142&lt;40)),IF(AND(OR(COUNTIF(D142:AK142,"=31")&gt;=1,COUNTIF(D142:AK142,"=32")&gt;=1,COUNTIF(D142:AK142,"=33")&gt;=1,COUNTIF(D142:AK142,"=34")&gt;=1,COUNTIF(D142:AK142,"=35")&gt;=1,COUNTIF(D142:AK142,"=36")&gt;=1 ),COUNTIF(D142:AK142,"")=0,COUNTIF(D142:AK142," ")=0,COUNTIF(D142:AK142,"F")=1),CONCATENATE(SUM(EXTRACTNUMBER(D142),EXTRACTNUMBER(F142),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EXTRACTNUMBER(AD142),EXTRACTNUMBER(AF142),EXTRACTNUMBER(AH142),EXTRACTNUMBER(AJ142)),"*"),IF(AND(COUNTIF(D142:AK142,"=34")&gt;=1,COUNTIF(D142:AK142,"=35")&gt;=1,COUNTIF(D142:AK142,"f")=2,COUNTIF(D142:AK142,"")=0,COUNTIF(D142:AK142," ")=0),CONCATENATE(SUM(EXTRACTNUMBER(D142),EXTRACTNUMBER(F142),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EXTRACTNUMBER(AD142),EXTRACTNUMBER(AF142),EXTRACTNUMBER(AH142),EXTRACTNUMBER(AJ142)),"*"),IF(AND(COUNTIF(D142:AK142,"=36")&gt;=2,COUNTIF(D142:AK142,"f")=2,COUNTIF(D142:AK142,"")=0,COUNTIF(D142:AK142," ")=0),CONCATENATE(SUM(EXTRACTNUMBER(D142),EXTRACTNUMBER(F142),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EXTRACTNUMBER(AD142),EXTRACTNUMBER(AF142),EXTRACTNUMBER(AH142),EXTRACTNUMBER(AJ142)),"*"),SUM(EXTRACTNUMBER(D142),EXTRACTNUMBER(F142),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EXTRACTNUMBER(AD142),EXTRACTNUMBER(AF142),EXTRACTNUMBER(AH142),EXTRACTNUMBER(AJ142))))),SUM(EXTRACTNUMBER(D142),EXTRACTNUMBER(F142),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EXTRACTNUMBER(AD142),EXTRACTNUMBER(AF142),EXTRACTNUMBER(AH142),EXTRACTNUMBER(AJ142)))</f>
        <v>571</v>
      </c>
      <c r="AM142" s="72" t="s">
        <v>289</v>
      </c>
      <c r="AN142" s="11">
        <f t="shared" si="21"/>
        <v>1152</v>
      </c>
      <c r="AO142" s="11" t="str">
        <f t="shared" si="40"/>
        <v>PASS</v>
      </c>
      <c r="AP142" s="11" t="str">
        <f t="shared" si="22"/>
        <v>I</v>
      </c>
      <c r="AQ142" s="1" t="str">
        <f t="shared" si="41"/>
        <v xml:space="preserve">One Thousand One Hundred Fifty Two </v>
      </c>
    </row>
    <row r="143" spans="2:43" ht="15.95" customHeight="1">
      <c r="B143" s="67">
        <v>136316</v>
      </c>
      <c r="C143" s="21" t="s">
        <v>139</v>
      </c>
      <c r="D143" s="24">
        <v>56</v>
      </c>
      <c r="E143" s="9" t="str">
        <f t="shared" si="23"/>
        <v/>
      </c>
      <c r="F143" s="22">
        <v>20</v>
      </c>
      <c r="G143" s="9" t="str">
        <f t="shared" si="24"/>
        <v/>
      </c>
      <c r="H143" s="22">
        <v>40</v>
      </c>
      <c r="I143" s="9" t="str">
        <f t="shared" si="25"/>
        <v/>
      </c>
      <c r="J143" s="29">
        <v>49</v>
      </c>
      <c r="K143" s="9" t="str">
        <f t="shared" si="26"/>
        <v/>
      </c>
      <c r="L143" s="22">
        <v>21</v>
      </c>
      <c r="M143" s="9" t="str">
        <f t="shared" si="27"/>
        <v/>
      </c>
      <c r="N143" s="22">
        <v>20</v>
      </c>
      <c r="O143" s="9" t="str">
        <f t="shared" si="28"/>
        <v/>
      </c>
      <c r="P143" s="29">
        <v>61</v>
      </c>
      <c r="Q143" s="9" t="str">
        <f t="shared" si="29"/>
        <v/>
      </c>
      <c r="R143" s="22">
        <v>21</v>
      </c>
      <c r="S143" s="9" t="str">
        <f t="shared" si="30"/>
        <v/>
      </c>
      <c r="T143" s="22">
        <v>40</v>
      </c>
      <c r="U143" s="9" t="str">
        <f t="shared" si="31"/>
        <v/>
      </c>
      <c r="V143" s="29">
        <v>68</v>
      </c>
      <c r="W143" s="9" t="str">
        <f t="shared" si="32"/>
        <v/>
      </c>
      <c r="X143" s="22">
        <v>21</v>
      </c>
      <c r="Y143" s="9" t="str">
        <f t="shared" si="33"/>
        <v/>
      </c>
      <c r="Z143" s="22">
        <v>22</v>
      </c>
      <c r="AA143" s="9" t="str">
        <f t="shared" si="34"/>
        <v/>
      </c>
      <c r="AB143" s="29">
        <v>52</v>
      </c>
      <c r="AC143" s="9" t="str">
        <f t="shared" si="35"/>
        <v/>
      </c>
      <c r="AD143" s="22">
        <v>21</v>
      </c>
      <c r="AE143" s="9" t="str">
        <f t="shared" si="36"/>
        <v/>
      </c>
      <c r="AF143" s="22">
        <v>22</v>
      </c>
      <c r="AG143" s="9" t="str">
        <f t="shared" si="37"/>
        <v/>
      </c>
      <c r="AH143" s="22">
        <v>21</v>
      </c>
      <c r="AI143" s="9" t="str">
        <f t="shared" si="38"/>
        <v/>
      </c>
      <c r="AJ143" s="22">
        <v>21</v>
      </c>
      <c r="AK143" s="9" t="str">
        <f t="shared" si="39"/>
        <v/>
      </c>
      <c r="AL143" s="16">
        <f>IF(OR(AND(D143&gt;=31,D143&lt;40),AND(J143&gt;=31,J143&lt;40),AND(P143&gt;=31,P143&lt;40),AND(V143&gt;=31,V143&lt;40),AND(AB143&gt;=31,AB143&lt;40)),IF(AND(OR(COUNTIF(D143:AK143,"=31")&gt;=1,COUNTIF(D143:AK143,"=32")&gt;=1,COUNTIF(D143:AK143,"=33")&gt;=1,COUNTIF(D143:AK143,"=34")&gt;=1,COUNTIF(D143:AK143,"=35")&gt;=1,COUNTIF(D143:AK143,"=36")&gt;=1 ),COUNTIF(D143:AK143,"")=0,COUNTIF(D143:AK143," ")=0,COUNTIF(D143:AK143,"F")=1),CONCATENATE(SUM(EXTRACTNUMBER(D143),EXTRACTNUMBER(F143),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EXTRACTNUMBER(AD143),EXTRACTNUMBER(AF143),EXTRACTNUMBER(AH143),EXTRACTNUMBER(AJ143)),"*"),IF(AND(COUNTIF(D143:AK143,"=34")&gt;=1,COUNTIF(D143:AK143,"=35")&gt;=1,COUNTIF(D143:AK143,"f")=2,COUNTIF(D143:AK143,"")=0,COUNTIF(D143:AK143," ")=0),CONCATENATE(SUM(EXTRACTNUMBER(D143),EXTRACTNUMBER(F143),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EXTRACTNUMBER(AD143),EXTRACTNUMBER(AF143),EXTRACTNUMBER(AH143),EXTRACTNUMBER(AJ143)),"*"),IF(AND(COUNTIF(D143:AK143,"=36")&gt;=2,COUNTIF(D143:AK143,"f")=2,COUNTIF(D143:AK143,"")=0,COUNTIF(D143:AK143," ")=0),CONCATENATE(SUM(EXTRACTNUMBER(D143),EXTRACTNUMBER(F143),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EXTRACTNUMBER(AD143),EXTRACTNUMBER(AF143),EXTRACTNUMBER(AH143),EXTRACTNUMBER(AJ143)),"*"),SUM(EXTRACTNUMBER(D143),EXTRACTNUMBER(F143),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EXTRACTNUMBER(AD143),EXTRACTNUMBER(AF143),EXTRACTNUMBER(AH143),EXTRACTNUMBER(AJ143))))),SUM(EXTRACTNUMBER(D143),EXTRACTNUMBER(F143),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EXTRACTNUMBER(AD143),EXTRACTNUMBER(AF143),EXTRACTNUMBER(AH143),EXTRACTNUMBER(AJ143)))</f>
        <v>576</v>
      </c>
      <c r="AM143" s="72" t="s">
        <v>275</v>
      </c>
      <c r="AN143" s="11">
        <f t="shared" si="21"/>
        <v>1119</v>
      </c>
      <c r="AO143" s="11" t="str">
        <f t="shared" si="40"/>
        <v>PASS</v>
      </c>
      <c r="AP143" s="11" t="str">
        <f t="shared" si="22"/>
        <v>I</v>
      </c>
      <c r="AQ143" s="1" t="str">
        <f t="shared" si="41"/>
        <v xml:space="preserve">One Thousand One Hundred Nineteen </v>
      </c>
    </row>
    <row r="144" spans="2:43" ht="15.95" customHeight="1">
      <c r="B144" s="67">
        <v>136317</v>
      </c>
      <c r="C144" s="21" t="s">
        <v>140</v>
      </c>
      <c r="D144" s="24">
        <v>73</v>
      </c>
      <c r="E144" s="9" t="str">
        <f t="shared" si="23"/>
        <v/>
      </c>
      <c r="F144" s="22">
        <v>23</v>
      </c>
      <c r="G144" s="9" t="str">
        <f t="shared" si="24"/>
        <v/>
      </c>
      <c r="H144" s="22">
        <v>44</v>
      </c>
      <c r="I144" s="9" t="str">
        <f t="shared" si="25"/>
        <v/>
      </c>
      <c r="J144" s="29">
        <v>70</v>
      </c>
      <c r="K144" s="9" t="str">
        <f t="shared" si="26"/>
        <v/>
      </c>
      <c r="L144" s="22">
        <v>23</v>
      </c>
      <c r="M144" s="9" t="str">
        <f t="shared" si="27"/>
        <v/>
      </c>
      <c r="N144" s="22">
        <v>22</v>
      </c>
      <c r="O144" s="9" t="str">
        <f t="shared" si="28"/>
        <v/>
      </c>
      <c r="P144" s="29">
        <v>76</v>
      </c>
      <c r="Q144" s="9" t="str">
        <f t="shared" si="29"/>
        <v/>
      </c>
      <c r="R144" s="22">
        <v>23</v>
      </c>
      <c r="S144" s="9" t="str">
        <f t="shared" si="30"/>
        <v/>
      </c>
      <c r="T144" s="22">
        <v>44</v>
      </c>
      <c r="U144" s="9" t="str">
        <f t="shared" si="31"/>
        <v/>
      </c>
      <c r="V144" s="29">
        <v>78</v>
      </c>
      <c r="W144" s="9" t="str">
        <f t="shared" si="32"/>
        <v/>
      </c>
      <c r="X144" s="22">
        <v>23</v>
      </c>
      <c r="Y144" s="9" t="str">
        <f t="shared" si="33"/>
        <v/>
      </c>
      <c r="Z144" s="22">
        <v>22</v>
      </c>
      <c r="AA144" s="9" t="str">
        <f t="shared" si="34"/>
        <v/>
      </c>
      <c r="AB144" s="29">
        <v>66</v>
      </c>
      <c r="AC144" s="9" t="str">
        <f t="shared" si="35"/>
        <v/>
      </c>
      <c r="AD144" s="22">
        <v>23</v>
      </c>
      <c r="AE144" s="9" t="str">
        <f t="shared" si="36"/>
        <v/>
      </c>
      <c r="AF144" s="22">
        <v>21</v>
      </c>
      <c r="AG144" s="9" t="str">
        <f t="shared" si="37"/>
        <v/>
      </c>
      <c r="AH144" s="22">
        <v>22</v>
      </c>
      <c r="AI144" s="9" t="str">
        <f t="shared" si="38"/>
        <v/>
      </c>
      <c r="AJ144" s="22">
        <v>22</v>
      </c>
      <c r="AK144" s="9" t="str">
        <f t="shared" si="39"/>
        <v/>
      </c>
      <c r="AL144" s="16">
        <f>IF(OR(AND(D144&gt;=31,D144&lt;40),AND(J144&gt;=31,J144&lt;40),AND(P144&gt;=31,P144&lt;40),AND(V144&gt;=31,V144&lt;40),AND(AB144&gt;=31,AB144&lt;40)),IF(AND(OR(COUNTIF(D144:AK144,"=31")&gt;=1,COUNTIF(D144:AK144,"=32")&gt;=1,COUNTIF(D144:AK144,"=33")&gt;=1,COUNTIF(D144:AK144,"=34")&gt;=1,COUNTIF(D144:AK144,"=35")&gt;=1,COUNTIF(D144:AK144,"=36")&gt;=1 ),COUNTIF(D144:AK144,"")=0,COUNTIF(D144:AK144," ")=0,COUNTIF(D144:AK144,"F")=1),CONCATENATE(SUM(EXTRACTNUMBER(D144),EXTRACTNUMBER(F144),
EXTRACTNUMBER(H144),EXTRACTNUMBER(J144),
EXTRACTNUMBER(L144),EXTRACTNUMBER(N144),
EXTRACTNUMBER(P144),EXTRACTNUMBER(R144),
EXTRACTNUMBER(T144),EXTRACTNUMBER(V144),
EXTRACTNUMBER(X144),EXTRACTNUMBER(Z144),EXTRACTNUMBER(AB144),
EXTRACTNUMBER(AD144),EXTRACTNUMBER(AF144),EXTRACTNUMBER(AH144),EXTRACTNUMBER(AJ144)),"*"),IF(AND(COUNTIF(D144:AK144,"=34")&gt;=1,COUNTIF(D144:AK144,"=35")&gt;=1,COUNTIF(D144:AK144,"f")=2,COUNTIF(D144:AK144,"")=0,COUNTIF(D144:AK144," ")=0),CONCATENATE(SUM(EXTRACTNUMBER(D144),EXTRACTNUMBER(F144),
EXTRACTNUMBER(H144),EXTRACTNUMBER(J144),
EXTRACTNUMBER(L144),EXTRACTNUMBER(N144),
EXTRACTNUMBER(P144),EXTRACTNUMBER(R144),
EXTRACTNUMBER(T144),EXTRACTNUMBER(V144),
EXTRACTNUMBER(X144),EXTRACTNUMBER(Z144),EXTRACTNUMBER(AB144),
EXTRACTNUMBER(AD144),EXTRACTNUMBER(AF144),EXTRACTNUMBER(AH144),EXTRACTNUMBER(AJ144)),"*"),IF(AND(COUNTIF(D144:AK144,"=36")&gt;=2,COUNTIF(D144:AK144,"f")=2,COUNTIF(D144:AK144,"")=0,COUNTIF(D144:AK144," ")=0),CONCATENATE(SUM(EXTRACTNUMBER(D144),EXTRACTNUMBER(F144),
EXTRACTNUMBER(H144),EXTRACTNUMBER(J144),
EXTRACTNUMBER(L144),EXTRACTNUMBER(N144),
EXTRACTNUMBER(P144),EXTRACTNUMBER(R144),
EXTRACTNUMBER(T144),EXTRACTNUMBER(V144),
EXTRACTNUMBER(X144),EXTRACTNUMBER(Z144),EXTRACTNUMBER(AB144),
EXTRACTNUMBER(AD144),EXTRACTNUMBER(AF144),EXTRACTNUMBER(AH144),EXTRACTNUMBER(AJ144)),"*"),SUM(EXTRACTNUMBER(D144),EXTRACTNUMBER(F144),
EXTRACTNUMBER(H144),EXTRACTNUMBER(J144),
EXTRACTNUMBER(L144),EXTRACTNUMBER(N144),
EXTRACTNUMBER(P144),EXTRACTNUMBER(R144),
EXTRACTNUMBER(T144),EXTRACTNUMBER(V144),
EXTRACTNUMBER(X144),EXTRACTNUMBER(Z144),EXTRACTNUMBER(AB144),
EXTRACTNUMBER(AD144),EXTRACTNUMBER(AF144),EXTRACTNUMBER(AH144),EXTRACTNUMBER(AJ144))))),SUM(EXTRACTNUMBER(D144),EXTRACTNUMBER(F144),
EXTRACTNUMBER(H144),EXTRACTNUMBER(J144),
EXTRACTNUMBER(L144),EXTRACTNUMBER(N144),
EXTRACTNUMBER(P144),EXTRACTNUMBER(R144),
EXTRACTNUMBER(T144),EXTRACTNUMBER(V144),
EXTRACTNUMBER(X144),EXTRACTNUMBER(Z144),EXTRACTNUMBER(AB144),
EXTRACTNUMBER(AD144),EXTRACTNUMBER(AF144),EXTRACTNUMBER(AH144),EXTRACTNUMBER(AJ144)))</f>
        <v>675</v>
      </c>
      <c r="AM144" s="72" t="s">
        <v>293</v>
      </c>
      <c r="AN144" s="11">
        <f t="shared" si="21"/>
        <v>1261</v>
      </c>
      <c r="AO144" s="11" t="str">
        <f t="shared" si="40"/>
        <v>PASS</v>
      </c>
      <c r="AP144" s="11" t="str">
        <f t="shared" si="22"/>
        <v>I</v>
      </c>
      <c r="AQ144" s="1" t="str">
        <f t="shared" si="41"/>
        <v xml:space="preserve">One Thousand Two Hundred Sixty One </v>
      </c>
    </row>
    <row r="145" spans="2:43" ht="15.95" customHeight="1">
      <c r="B145" s="67">
        <v>136318</v>
      </c>
      <c r="C145" s="21" t="s">
        <v>141</v>
      </c>
      <c r="D145" s="24">
        <v>58</v>
      </c>
      <c r="E145" s="9" t="str">
        <f t="shared" si="23"/>
        <v/>
      </c>
      <c r="F145" s="22">
        <v>21</v>
      </c>
      <c r="G145" s="9" t="str">
        <f t="shared" si="24"/>
        <v/>
      </c>
      <c r="H145" s="22">
        <v>42</v>
      </c>
      <c r="I145" s="9" t="str">
        <f t="shared" si="25"/>
        <v/>
      </c>
      <c r="J145" s="29">
        <v>47</v>
      </c>
      <c r="K145" s="9" t="str">
        <f t="shared" si="26"/>
        <v/>
      </c>
      <c r="L145" s="22">
        <v>20</v>
      </c>
      <c r="M145" s="9" t="str">
        <f t="shared" si="27"/>
        <v/>
      </c>
      <c r="N145" s="22">
        <v>21</v>
      </c>
      <c r="O145" s="9" t="str">
        <f t="shared" si="28"/>
        <v/>
      </c>
      <c r="P145" s="29">
        <v>74</v>
      </c>
      <c r="Q145" s="9" t="str">
        <f t="shared" si="29"/>
        <v/>
      </c>
      <c r="R145" s="22">
        <v>23</v>
      </c>
      <c r="S145" s="9" t="str">
        <f t="shared" si="30"/>
        <v/>
      </c>
      <c r="T145" s="22">
        <v>42</v>
      </c>
      <c r="U145" s="9" t="str">
        <f t="shared" si="31"/>
        <v/>
      </c>
      <c r="V145" s="29">
        <v>65</v>
      </c>
      <c r="W145" s="9" t="str">
        <f t="shared" si="32"/>
        <v/>
      </c>
      <c r="X145" s="22">
        <v>23</v>
      </c>
      <c r="Y145" s="9" t="str">
        <f t="shared" si="33"/>
        <v/>
      </c>
      <c r="Z145" s="22">
        <v>22</v>
      </c>
      <c r="AA145" s="9" t="str">
        <f t="shared" si="34"/>
        <v/>
      </c>
      <c r="AB145" s="29">
        <v>54</v>
      </c>
      <c r="AC145" s="9" t="str">
        <f t="shared" si="35"/>
        <v/>
      </c>
      <c r="AD145" s="22">
        <v>23</v>
      </c>
      <c r="AE145" s="9" t="str">
        <f t="shared" si="36"/>
        <v/>
      </c>
      <c r="AF145" s="22">
        <v>20</v>
      </c>
      <c r="AG145" s="9" t="str">
        <f t="shared" si="37"/>
        <v/>
      </c>
      <c r="AH145" s="22">
        <v>23</v>
      </c>
      <c r="AI145" s="9" t="str">
        <f t="shared" si="38"/>
        <v/>
      </c>
      <c r="AJ145" s="22">
        <v>23</v>
      </c>
      <c r="AK145" s="9" t="str">
        <f t="shared" si="39"/>
        <v/>
      </c>
      <c r="AL145" s="16">
        <f>IF(OR(AND(D145&gt;=31,D145&lt;40),AND(J145&gt;=31,J145&lt;40),AND(P145&gt;=31,P145&lt;40),AND(V145&gt;=31,V145&lt;40),AND(AB145&gt;=31,AB145&lt;40)),IF(AND(OR(COUNTIF(D145:AK145,"=31")&gt;=1,COUNTIF(D145:AK145,"=32")&gt;=1,COUNTIF(D145:AK145,"=33")&gt;=1,COUNTIF(D145:AK145,"=34")&gt;=1,COUNTIF(D145:AK145,"=35")&gt;=1,COUNTIF(D145:AK145,"=36")&gt;=1 ),COUNTIF(D145:AK145,"")=0,COUNTIF(D145:AK145," ")=0,COUNTIF(D145:AK145,"F")=1),CONCATENATE(SUM(EXTRACTNUMBER(D145),EXTRACTNUMBER(F145),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EXTRACTNUMBER(AD145),EXTRACTNUMBER(AF145),EXTRACTNUMBER(AH145),EXTRACTNUMBER(AJ145)),"*"),IF(AND(COUNTIF(D145:AK145,"=34")&gt;=1,COUNTIF(D145:AK145,"=35")&gt;=1,COUNTIF(D145:AK145,"f")=2,COUNTIF(D145:AK145,"")=0,COUNTIF(D145:AK145," ")=0),CONCATENATE(SUM(EXTRACTNUMBER(D145),EXTRACTNUMBER(F145),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EXTRACTNUMBER(AD145),EXTRACTNUMBER(AF145),EXTRACTNUMBER(AH145),EXTRACTNUMBER(AJ145)),"*"),IF(AND(COUNTIF(D145:AK145,"=36")&gt;=2,COUNTIF(D145:AK145,"f")=2,COUNTIF(D145:AK145,"")=0,COUNTIF(D145:AK145," ")=0),CONCATENATE(SUM(EXTRACTNUMBER(D145),EXTRACTNUMBER(F145),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EXTRACTNUMBER(AD145),EXTRACTNUMBER(AF145),EXTRACTNUMBER(AH145),EXTRACTNUMBER(AJ145)),"*"),SUM(EXTRACTNUMBER(D145),EXTRACTNUMBER(F145),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EXTRACTNUMBER(AD145),EXTRACTNUMBER(AF145),EXTRACTNUMBER(AH145),EXTRACTNUMBER(AJ145))))),SUM(EXTRACTNUMBER(D145),EXTRACTNUMBER(F145),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EXTRACTNUMBER(AD145),EXTRACTNUMBER(AF145),EXTRACTNUMBER(AH145),EXTRACTNUMBER(AJ145)))</f>
        <v>601</v>
      </c>
      <c r="AM145" s="72" t="s">
        <v>294</v>
      </c>
      <c r="AN145" s="11">
        <f t="shared" si="21"/>
        <v>1166</v>
      </c>
      <c r="AO145" s="11" t="str">
        <f t="shared" si="40"/>
        <v>PASS</v>
      </c>
      <c r="AP145" s="11" t="str">
        <f t="shared" si="22"/>
        <v>I</v>
      </c>
      <c r="AQ145" s="1" t="str">
        <f t="shared" si="41"/>
        <v xml:space="preserve">One Thousand One Hundred Sixty Six </v>
      </c>
    </row>
    <row r="146" spans="2:43" ht="15.95" customHeight="1">
      <c r="B146" s="67">
        <v>136319</v>
      </c>
      <c r="C146" s="21" t="s">
        <v>142</v>
      </c>
      <c r="D146" s="24">
        <v>70</v>
      </c>
      <c r="E146" s="9" t="str">
        <f t="shared" si="23"/>
        <v/>
      </c>
      <c r="F146" s="22">
        <v>21</v>
      </c>
      <c r="G146" s="9" t="str">
        <f t="shared" si="24"/>
        <v/>
      </c>
      <c r="H146" s="22">
        <v>44</v>
      </c>
      <c r="I146" s="9" t="str">
        <f t="shared" si="25"/>
        <v/>
      </c>
      <c r="J146" s="29">
        <v>68</v>
      </c>
      <c r="K146" s="9" t="str">
        <f t="shared" si="26"/>
        <v/>
      </c>
      <c r="L146" s="22">
        <v>22</v>
      </c>
      <c r="M146" s="9" t="str">
        <f t="shared" si="27"/>
        <v/>
      </c>
      <c r="N146" s="22">
        <v>22</v>
      </c>
      <c r="O146" s="9" t="str">
        <f t="shared" si="28"/>
        <v/>
      </c>
      <c r="P146" s="29">
        <v>66</v>
      </c>
      <c r="Q146" s="9" t="str">
        <f t="shared" si="29"/>
        <v/>
      </c>
      <c r="R146" s="22">
        <v>22</v>
      </c>
      <c r="S146" s="9" t="str">
        <f t="shared" si="30"/>
        <v/>
      </c>
      <c r="T146" s="22">
        <v>42</v>
      </c>
      <c r="U146" s="9" t="str">
        <f t="shared" si="31"/>
        <v/>
      </c>
      <c r="V146" s="29">
        <v>57</v>
      </c>
      <c r="W146" s="9" t="str">
        <f t="shared" si="32"/>
        <v/>
      </c>
      <c r="X146" s="22">
        <v>22</v>
      </c>
      <c r="Y146" s="9" t="str">
        <f t="shared" si="33"/>
        <v/>
      </c>
      <c r="Z146" s="22">
        <v>22</v>
      </c>
      <c r="AA146" s="9" t="str">
        <f t="shared" si="34"/>
        <v/>
      </c>
      <c r="AB146" s="29">
        <v>51</v>
      </c>
      <c r="AC146" s="9" t="str">
        <f t="shared" si="35"/>
        <v/>
      </c>
      <c r="AD146" s="22">
        <v>22</v>
      </c>
      <c r="AE146" s="9" t="str">
        <f t="shared" si="36"/>
        <v/>
      </c>
      <c r="AF146" s="22">
        <v>22</v>
      </c>
      <c r="AG146" s="9" t="str">
        <f t="shared" si="37"/>
        <v/>
      </c>
      <c r="AH146" s="22">
        <v>23</v>
      </c>
      <c r="AI146" s="9" t="str">
        <f t="shared" si="38"/>
        <v/>
      </c>
      <c r="AJ146" s="22">
        <v>24</v>
      </c>
      <c r="AK146" s="9" t="str">
        <f t="shared" si="39"/>
        <v/>
      </c>
      <c r="AL146" s="16">
        <f>IF(OR(AND(D146&gt;=31,D146&lt;40),AND(J146&gt;=31,J146&lt;40),AND(P146&gt;=31,P146&lt;40),AND(V146&gt;=31,V146&lt;40),AND(AB146&gt;=31,AB146&lt;40)),IF(AND(OR(COUNTIF(D146:AK146,"=31")&gt;=1,COUNTIF(D146:AK146,"=32")&gt;=1,COUNTIF(D146:AK146,"=33")&gt;=1,COUNTIF(D146:AK146,"=34")&gt;=1,COUNTIF(D146:AK146,"=35")&gt;=1,COUNTIF(D146:AK146,"=36")&gt;=1 ),COUNTIF(D146:AK146,"")=0,COUNTIF(D146:AK146," ")=0,COUNTIF(D146:AK146,"F")=1),CONCATENATE(SUM(EXTRACTNUMBER(D146),EXTRACTNUMBER(F146),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EXTRACTNUMBER(AD146),EXTRACTNUMBER(AF146),EXTRACTNUMBER(AH146),EXTRACTNUMBER(AJ146)),"*"),IF(AND(COUNTIF(D146:AK146,"=34")&gt;=1,COUNTIF(D146:AK146,"=35")&gt;=1,COUNTIF(D146:AK146,"f")=2,COUNTIF(D146:AK146,"")=0,COUNTIF(D146:AK146," ")=0),CONCATENATE(SUM(EXTRACTNUMBER(D146),EXTRACTNUMBER(F146),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EXTRACTNUMBER(AD146),EXTRACTNUMBER(AF146),EXTRACTNUMBER(AH146),EXTRACTNUMBER(AJ146)),"*"),IF(AND(COUNTIF(D146:AK146,"=36")&gt;=2,COUNTIF(D146:AK146,"f")=2,COUNTIF(D146:AK146,"")=0,COUNTIF(D146:AK146," ")=0),CONCATENATE(SUM(EXTRACTNUMBER(D146),EXTRACTNUMBER(F146),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EXTRACTNUMBER(AD146),EXTRACTNUMBER(AF146),EXTRACTNUMBER(AH146),EXTRACTNUMBER(AJ146)),"*"),SUM(EXTRACTNUMBER(D146),EXTRACTNUMBER(F146),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EXTRACTNUMBER(AD146),EXTRACTNUMBER(AF146),EXTRACTNUMBER(AH146),EXTRACTNUMBER(AJ146))))),SUM(EXTRACTNUMBER(D146),EXTRACTNUMBER(F146),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EXTRACTNUMBER(AD146),EXTRACTNUMBER(AF146),EXTRACTNUMBER(AH146),EXTRACTNUMBER(AJ146)))</f>
        <v>620</v>
      </c>
      <c r="AM146" s="72" t="s">
        <v>282</v>
      </c>
      <c r="AN146" s="11">
        <f t="shared" si="21"/>
        <v>1195</v>
      </c>
      <c r="AO146" s="11" t="str">
        <f t="shared" si="40"/>
        <v>PASS</v>
      </c>
      <c r="AP146" s="11" t="str">
        <f t="shared" si="22"/>
        <v>I</v>
      </c>
      <c r="AQ146" s="1" t="str">
        <f t="shared" si="41"/>
        <v xml:space="preserve">One Thousand One Hundred NinetyFive </v>
      </c>
    </row>
    <row r="147" spans="2:43" ht="15.95" customHeight="1">
      <c r="B147" s="67">
        <v>136320</v>
      </c>
      <c r="C147" s="21" t="s">
        <v>143</v>
      </c>
      <c r="D147" s="24">
        <v>62</v>
      </c>
      <c r="E147" s="9" t="str">
        <f t="shared" si="23"/>
        <v/>
      </c>
      <c r="F147" s="22">
        <v>20</v>
      </c>
      <c r="G147" s="9" t="str">
        <f t="shared" si="24"/>
        <v/>
      </c>
      <c r="H147" s="22">
        <v>38</v>
      </c>
      <c r="I147" s="9" t="str">
        <f t="shared" si="25"/>
        <v/>
      </c>
      <c r="J147" s="29">
        <v>47</v>
      </c>
      <c r="K147" s="9" t="str">
        <f t="shared" si="26"/>
        <v/>
      </c>
      <c r="L147" s="22">
        <v>21</v>
      </c>
      <c r="M147" s="9" t="str">
        <f t="shared" si="27"/>
        <v/>
      </c>
      <c r="N147" s="22">
        <v>20</v>
      </c>
      <c r="O147" s="9" t="str">
        <f t="shared" si="28"/>
        <v/>
      </c>
      <c r="P147" s="29">
        <v>66</v>
      </c>
      <c r="Q147" s="9" t="str">
        <f t="shared" si="29"/>
        <v/>
      </c>
      <c r="R147" s="22">
        <v>20</v>
      </c>
      <c r="S147" s="9" t="str">
        <f t="shared" si="30"/>
        <v/>
      </c>
      <c r="T147" s="22">
        <v>38</v>
      </c>
      <c r="U147" s="9" t="str">
        <f t="shared" si="31"/>
        <v/>
      </c>
      <c r="V147" s="29">
        <v>52</v>
      </c>
      <c r="W147" s="9" t="str">
        <f t="shared" si="32"/>
        <v/>
      </c>
      <c r="X147" s="22">
        <v>20</v>
      </c>
      <c r="Y147" s="9" t="str">
        <f t="shared" si="33"/>
        <v/>
      </c>
      <c r="Z147" s="22">
        <v>21</v>
      </c>
      <c r="AA147" s="9" t="str">
        <f t="shared" si="34"/>
        <v/>
      </c>
      <c r="AB147" s="29">
        <v>54</v>
      </c>
      <c r="AC147" s="9" t="str">
        <f t="shared" si="35"/>
        <v/>
      </c>
      <c r="AD147" s="22">
        <v>20</v>
      </c>
      <c r="AE147" s="9" t="str">
        <f t="shared" si="36"/>
        <v/>
      </c>
      <c r="AF147" s="22">
        <v>23</v>
      </c>
      <c r="AG147" s="9" t="str">
        <f t="shared" si="37"/>
        <v/>
      </c>
      <c r="AH147" s="22">
        <v>20</v>
      </c>
      <c r="AI147" s="9" t="str">
        <f t="shared" si="38"/>
        <v/>
      </c>
      <c r="AJ147" s="22">
        <v>23</v>
      </c>
      <c r="AK147" s="9" t="str">
        <f t="shared" si="39"/>
        <v/>
      </c>
      <c r="AL147" s="16">
        <f>IF(OR(AND(D147&gt;=31,D147&lt;40),AND(J147&gt;=31,J147&lt;40),AND(P147&gt;=31,P147&lt;40),AND(V147&gt;=31,V147&lt;40),AND(AB147&gt;=31,AB147&lt;40)),IF(AND(OR(COUNTIF(D147:AK147,"=31")&gt;=1,COUNTIF(D147:AK147,"=32")&gt;=1,COUNTIF(D147:AK147,"=33")&gt;=1,COUNTIF(D147:AK147,"=34")&gt;=1,COUNTIF(D147:AK147,"=35")&gt;=1,COUNTIF(D147:AK147,"=36")&gt;=1 ),COUNTIF(D147:AK147,"")=0,COUNTIF(D147:AK147," ")=0,COUNTIF(D147:AK147,"F")=1),CONCATENATE(SUM(EXTRACTNUMBER(D147),EXTRACTNUMBER(F147),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EXTRACTNUMBER(AD147),EXTRACTNUMBER(AF147),EXTRACTNUMBER(AH147),EXTRACTNUMBER(AJ147)),"*"),IF(AND(COUNTIF(D147:AK147,"=34")&gt;=1,COUNTIF(D147:AK147,"=35")&gt;=1,COUNTIF(D147:AK147,"f")=2,COUNTIF(D147:AK147,"")=0,COUNTIF(D147:AK147," ")=0),CONCATENATE(SUM(EXTRACTNUMBER(D147),EXTRACTNUMBER(F147),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EXTRACTNUMBER(AD147),EXTRACTNUMBER(AF147),EXTRACTNUMBER(AH147),EXTRACTNUMBER(AJ147)),"*"),IF(AND(COUNTIF(D147:AK147,"=36")&gt;=2,COUNTIF(D147:AK147,"f")=2,COUNTIF(D147:AK147,"")=0,COUNTIF(D147:AK147," ")=0),CONCATENATE(SUM(EXTRACTNUMBER(D147),EXTRACTNUMBER(F147),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EXTRACTNUMBER(AD147),EXTRACTNUMBER(AF147),EXTRACTNUMBER(AH147),EXTRACTNUMBER(AJ147)),"*"),SUM(EXTRACTNUMBER(D147),EXTRACTNUMBER(F147),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EXTRACTNUMBER(AD147),EXTRACTNUMBER(AF147),EXTRACTNUMBER(AH147),EXTRACTNUMBER(AJ147))))),SUM(EXTRACTNUMBER(D147),EXTRACTNUMBER(F147),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EXTRACTNUMBER(AD147),EXTRACTNUMBER(AF147),EXTRACTNUMBER(AH147),EXTRACTNUMBER(AJ147)))</f>
        <v>565</v>
      </c>
      <c r="AM147" s="72" t="s">
        <v>263</v>
      </c>
      <c r="AN147" s="11">
        <f t="shared" si="21"/>
        <v>1081</v>
      </c>
      <c r="AO147" s="11" t="str">
        <f t="shared" si="40"/>
        <v>PASS</v>
      </c>
      <c r="AP147" s="11" t="str">
        <f t="shared" si="22"/>
        <v>I</v>
      </c>
      <c r="AQ147" s="1" t="str">
        <f t="shared" si="41"/>
        <v xml:space="preserve">One Thousand Eighty One </v>
      </c>
    </row>
    <row r="148" spans="2:43" ht="15.95" customHeight="1">
      <c r="B148" s="67">
        <v>136321</v>
      </c>
      <c r="C148" s="21" t="s">
        <v>144</v>
      </c>
      <c r="D148" s="24">
        <v>45</v>
      </c>
      <c r="E148" s="9" t="str">
        <f t="shared" si="23"/>
        <v/>
      </c>
      <c r="F148" s="22">
        <v>20</v>
      </c>
      <c r="G148" s="9" t="str">
        <f t="shared" si="24"/>
        <v/>
      </c>
      <c r="H148" s="22">
        <v>40</v>
      </c>
      <c r="I148" s="9" t="str">
        <f t="shared" si="25"/>
        <v/>
      </c>
      <c r="J148" s="29" t="s">
        <v>315</v>
      </c>
      <c r="K148" s="9" t="str">
        <f t="shared" si="26"/>
        <v/>
      </c>
      <c r="L148" s="22">
        <v>22</v>
      </c>
      <c r="M148" s="9" t="str">
        <f t="shared" si="27"/>
        <v/>
      </c>
      <c r="N148" s="22">
        <v>20</v>
      </c>
      <c r="O148" s="9" t="str">
        <f t="shared" si="28"/>
        <v/>
      </c>
      <c r="P148" s="29">
        <v>62</v>
      </c>
      <c r="Q148" s="9" t="str">
        <f t="shared" si="29"/>
        <v/>
      </c>
      <c r="R148" s="22">
        <v>21</v>
      </c>
      <c r="S148" s="9" t="str">
        <f t="shared" si="30"/>
        <v/>
      </c>
      <c r="T148" s="22">
        <v>38</v>
      </c>
      <c r="U148" s="9" t="str">
        <f t="shared" si="31"/>
        <v/>
      </c>
      <c r="V148" s="29">
        <v>40</v>
      </c>
      <c r="W148" s="9" t="str">
        <f t="shared" si="32"/>
        <v/>
      </c>
      <c r="X148" s="22">
        <v>21</v>
      </c>
      <c r="Y148" s="9" t="str">
        <f t="shared" si="33"/>
        <v/>
      </c>
      <c r="Z148" s="22">
        <v>21</v>
      </c>
      <c r="AA148" s="9" t="str">
        <f t="shared" si="34"/>
        <v/>
      </c>
      <c r="AB148" s="29">
        <v>43</v>
      </c>
      <c r="AC148" s="9" t="str">
        <f t="shared" si="35"/>
        <v/>
      </c>
      <c r="AD148" s="22">
        <v>21</v>
      </c>
      <c r="AE148" s="9" t="str">
        <f t="shared" si="36"/>
        <v/>
      </c>
      <c r="AF148" s="22">
        <v>19</v>
      </c>
      <c r="AG148" s="9" t="str">
        <f t="shared" si="37"/>
        <v/>
      </c>
      <c r="AH148" s="22">
        <v>21</v>
      </c>
      <c r="AI148" s="9" t="str">
        <f t="shared" si="38"/>
        <v/>
      </c>
      <c r="AJ148" s="22">
        <v>22</v>
      </c>
      <c r="AK148" s="9" t="str">
        <f t="shared" si="39"/>
        <v/>
      </c>
      <c r="AL148" s="16" t="s">
        <v>319</v>
      </c>
      <c r="AM148" s="72" t="s">
        <v>261</v>
      </c>
      <c r="AN148" s="11">
        <f t="shared" si="21"/>
        <v>1021</v>
      </c>
      <c r="AO148" s="11" t="str">
        <f t="shared" si="40"/>
        <v>PASS</v>
      </c>
      <c r="AP148" s="11" t="str">
        <f t="shared" si="22"/>
        <v>I</v>
      </c>
      <c r="AQ148" s="1" t="str">
        <f t="shared" si="41"/>
        <v xml:space="preserve">One Thousand Twenty One </v>
      </c>
    </row>
    <row r="149" spans="2:43" ht="15.95" customHeight="1">
      <c r="B149" s="67">
        <v>136322</v>
      </c>
      <c r="C149" s="21" t="s">
        <v>145</v>
      </c>
      <c r="D149" s="24">
        <v>51</v>
      </c>
      <c r="E149" s="9" t="str">
        <f t="shared" si="23"/>
        <v/>
      </c>
      <c r="F149" s="22">
        <v>20</v>
      </c>
      <c r="G149" s="9" t="str">
        <f t="shared" si="24"/>
        <v/>
      </c>
      <c r="H149" s="22">
        <v>40</v>
      </c>
      <c r="I149" s="9" t="str">
        <f t="shared" si="25"/>
        <v/>
      </c>
      <c r="J149" s="29">
        <v>40</v>
      </c>
      <c r="K149" s="9" t="str">
        <f t="shared" si="26"/>
        <v/>
      </c>
      <c r="L149" s="22">
        <v>22</v>
      </c>
      <c r="M149" s="9" t="str">
        <f t="shared" si="27"/>
        <v/>
      </c>
      <c r="N149" s="22">
        <v>20</v>
      </c>
      <c r="O149" s="9" t="str">
        <f t="shared" si="28"/>
        <v/>
      </c>
      <c r="P149" s="29">
        <v>67</v>
      </c>
      <c r="Q149" s="9" t="str">
        <f t="shared" si="29"/>
        <v/>
      </c>
      <c r="R149" s="22">
        <v>22</v>
      </c>
      <c r="S149" s="9" t="str">
        <f t="shared" si="30"/>
        <v/>
      </c>
      <c r="T149" s="22">
        <v>40</v>
      </c>
      <c r="U149" s="9" t="str">
        <f t="shared" si="31"/>
        <v/>
      </c>
      <c r="V149" s="29">
        <v>44</v>
      </c>
      <c r="W149" s="9" t="str">
        <f t="shared" si="32"/>
        <v/>
      </c>
      <c r="X149" s="22">
        <v>22</v>
      </c>
      <c r="Y149" s="9" t="str">
        <f t="shared" si="33"/>
        <v/>
      </c>
      <c r="Z149" s="22">
        <v>21</v>
      </c>
      <c r="AA149" s="9" t="str">
        <f t="shared" si="34"/>
        <v/>
      </c>
      <c r="AB149" s="29">
        <v>49</v>
      </c>
      <c r="AC149" s="9" t="str">
        <f t="shared" si="35"/>
        <v/>
      </c>
      <c r="AD149" s="22">
        <v>22</v>
      </c>
      <c r="AE149" s="9" t="str">
        <f t="shared" si="36"/>
        <v/>
      </c>
      <c r="AF149" s="22">
        <v>21</v>
      </c>
      <c r="AG149" s="9" t="str">
        <f t="shared" si="37"/>
        <v/>
      </c>
      <c r="AH149" s="22">
        <v>21</v>
      </c>
      <c r="AI149" s="9" t="str">
        <f t="shared" si="38"/>
        <v/>
      </c>
      <c r="AJ149" s="22">
        <v>22</v>
      </c>
      <c r="AK149" s="9" t="str">
        <f t="shared" si="39"/>
        <v/>
      </c>
      <c r="AL149" s="16">
        <f>IF(OR(AND(D149&gt;=31,D149&lt;40),AND(J149&gt;=31,J149&lt;40),AND(P149&gt;=31,P149&lt;40),AND(V149&gt;=31,V149&lt;40),AND(AB149&gt;=31,AB149&lt;40)),IF(AND(OR(COUNTIF(D149:AK149,"=31")&gt;=1,COUNTIF(D149:AK149,"=32")&gt;=1,COUNTIF(D149:AK149,"=33")&gt;=1,COUNTIF(D149:AK149,"=34")&gt;=1,COUNTIF(D149:AK149,"=35")&gt;=1,COUNTIF(D149:AK149,"=36")&gt;=1 ),COUNTIF(D149:AK149,"")=0,COUNTIF(D149:AK149," ")=0,COUNTIF(D149:AK149,"F")=1),CONCATENATE(SUM(EXTRACTNUMBER(D149),EXTRACTNUMBER(F149),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EXTRACTNUMBER(AD149),EXTRACTNUMBER(AF149),EXTRACTNUMBER(AH149),EXTRACTNUMBER(AJ149)),"*"),IF(AND(COUNTIF(D149:AK149,"=34")&gt;=1,COUNTIF(D149:AK149,"=35")&gt;=1,COUNTIF(D149:AK149,"f")=2,COUNTIF(D149:AK149,"")=0,COUNTIF(D149:AK149," ")=0),CONCATENATE(SUM(EXTRACTNUMBER(D149),EXTRACTNUMBER(F149),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EXTRACTNUMBER(AD149),EXTRACTNUMBER(AF149),EXTRACTNUMBER(AH149),EXTRACTNUMBER(AJ149)),"*"),IF(AND(COUNTIF(D149:AK149,"=36")&gt;=2,COUNTIF(D149:AK149,"f")=2,COUNTIF(D149:AK149,"")=0,COUNTIF(D149:AK149," ")=0),CONCATENATE(SUM(EXTRACTNUMBER(D149),EXTRACTNUMBER(F149),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EXTRACTNUMBER(AD149),EXTRACTNUMBER(AF149),EXTRACTNUMBER(AH149),EXTRACTNUMBER(AJ149)),"*"),SUM(EXTRACTNUMBER(D149),EXTRACTNUMBER(F149),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EXTRACTNUMBER(AD149),EXTRACTNUMBER(AF149),EXTRACTNUMBER(AH149),EXTRACTNUMBER(AJ149))))),SUM(EXTRACTNUMBER(D149),EXTRACTNUMBER(F149),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EXTRACTNUMBER(AD149),EXTRACTNUMBER(AF149),EXTRACTNUMBER(AH149),EXTRACTNUMBER(AJ149)))</f>
        <v>544</v>
      </c>
      <c r="AM149" s="72" t="s">
        <v>295</v>
      </c>
      <c r="AN149" s="11">
        <f t="shared" si="21"/>
        <v>1069</v>
      </c>
      <c r="AO149" s="11" t="str">
        <f t="shared" si="40"/>
        <v>PASS</v>
      </c>
      <c r="AP149" s="11" t="str">
        <f t="shared" si="22"/>
        <v>I</v>
      </c>
      <c r="AQ149" s="1" t="str">
        <f t="shared" si="41"/>
        <v xml:space="preserve">One Thousand Sixty Nine </v>
      </c>
    </row>
    <row r="150" spans="2:43" ht="15.95" customHeight="1">
      <c r="B150" s="67">
        <v>136323</v>
      </c>
      <c r="C150" s="21" t="s">
        <v>146</v>
      </c>
      <c r="D150" s="24">
        <v>57</v>
      </c>
      <c r="E150" s="9" t="str">
        <f t="shared" si="23"/>
        <v/>
      </c>
      <c r="F150" s="22">
        <v>23</v>
      </c>
      <c r="G150" s="9" t="str">
        <f t="shared" si="24"/>
        <v/>
      </c>
      <c r="H150" s="22">
        <v>44</v>
      </c>
      <c r="I150" s="9" t="str">
        <f t="shared" si="25"/>
        <v/>
      </c>
      <c r="J150" s="29">
        <v>45</v>
      </c>
      <c r="K150" s="9" t="str">
        <f t="shared" si="26"/>
        <v/>
      </c>
      <c r="L150" s="22">
        <v>23</v>
      </c>
      <c r="M150" s="9" t="str">
        <f t="shared" si="27"/>
        <v/>
      </c>
      <c r="N150" s="22">
        <v>22</v>
      </c>
      <c r="O150" s="9" t="str">
        <f t="shared" si="28"/>
        <v/>
      </c>
      <c r="P150" s="29">
        <v>67</v>
      </c>
      <c r="Q150" s="9" t="str">
        <f t="shared" si="29"/>
        <v/>
      </c>
      <c r="R150" s="22">
        <v>23</v>
      </c>
      <c r="S150" s="9" t="str">
        <f t="shared" si="30"/>
        <v/>
      </c>
      <c r="T150" s="22">
        <v>42</v>
      </c>
      <c r="U150" s="9" t="str">
        <f t="shared" si="31"/>
        <v/>
      </c>
      <c r="V150" s="29">
        <v>51</v>
      </c>
      <c r="W150" s="9" t="str">
        <f t="shared" si="32"/>
        <v/>
      </c>
      <c r="X150" s="22">
        <v>23</v>
      </c>
      <c r="Y150" s="9" t="str">
        <f t="shared" si="33"/>
        <v/>
      </c>
      <c r="Z150" s="22">
        <v>22</v>
      </c>
      <c r="AA150" s="9" t="str">
        <f t="shared" si="34"/>
        <v/>
      </c>
      <c r="AB150" s="29">
        <v>44</v>
      </c>
      <c r="AC150" s="9" t="str">
        <f t="shared" si="35"/>
        <v/>
      </c>
      <c r="AD150" s="22">
        <v>23</v>
      </c>
      <c r="AE150" s="9" t="str">
        <f t="shared" si="36"/>
        <v/>
      </c>
      <c r="AF150" s="22">
        <v>22</v>
      </c>
      <c r="AG150" s="9" t="str">
        <f t="shared" si="37"/>
        <v/>
      </c>
      <c r="AH150" s="22">
        <v>23</v>
      </c>
      <c r="AI150" s="9" t="str">
        <f t="shared" si="38"/>
        <v/>
      </c>
      <c r="AJ150" s="22">
        <v>23</v>
      </c>
      <c r="AK150" s="9" t="str">
        <f t="shared" si="39"/>
        <v/>
      </c>
      <c r="AL150" s="16">
        <f>IF(OR(AND(D150&gt;=31,D150&lt;40),AND(J150&gt;=31,J150&lt;40),AND(P150&gt;=31,P150&lt;40),AND(V150&gt;=31,V150&lt;40),AND(AB150&gt;=31,AB150&lt;40)),IF(AND(OR(COUNTIF(D150:AK150,"=31")&gt;=1,COUNTIF(D150:AK150,"=32")&gt;=1,COUNTIF(D150:AK150,"=33")&gt;=1,COUNTIF(D150:AK150,"=34")&gt;=1,COUNTIF(D150:AK150,"=35")&gt;=1,COUNTIF(D150:AK150,"=36")&gt;=1 ),COUNTIF(D150:AK150,"")=0,COUNTIF(D150:AK150," ")=0,COUNTIF(D150:AK150,"F")=1),CONCATENATE(SUM(EXTRACTNUMBER(D150),EXTRACTNUMBER(F150),
EXTRACTNUMBER(H150),EXTRACTNUMBER(J150),
EXTRACTNUMBER(L150),EXTRACTNUMBER(N150),
EXTRACTNUMBER(P150),EXTRACTNUMBER(R150),
EXTRACTNUMBER(T150),EXTRACTNUMBER(V150),
EXTRACTNUMBER(X150),EXTRACTNUMBER(Z150),EXTRACTNUMBER(AB150),
EXTRACTNUMBER(AD150),EXTRACTNUMBER(AF150),EXTRACTNUMBER(AH150),EXTRACTNUMBER(AJ150)),"*"),IF(AND(COUNTIF(D150:AK150,"=34")&gt;=1,COUNTIF(D150:AK150,"=35")&gt;=1,COUNTIF(D150:AK150,"f")=2,COUNTIF(D150:AK150,"")=0,COUNTIF(D150:AK150," ")=0),CONCATENATE(SUM(EXTRACTNUMBER(D150),EXTRACTNUMBER(F150),
EXTRACTNUMBER(H150),EXTRACTNUMBER(J150),
EXTRACTNUMBER(L150),EXTRACTNUMBER(N150),
EXTRACTNUMBER(P150),EXTRACTNUMBER(R150),
EXTRACTNUMBER(T150),EXTRACTNUMBER(V150),
EXTRACTNUMBER(X150),EXTRACTNUMBER(Z150),EXTRACTNUMBER(AB150),
EXTRACTNUMBER(AD150),EXTRACTNUMBER(AF150),EXTRACTNUMBER(AH150),EXTRACTNUMBER(AJ150)),"*"),IF(AND(COUNTIF(D150:AK150,"=36")&gt;=2,COUNTIF(D150:AK150,"f")=2,COUNTIF(D150:AK150,"")=0,COUNTIF(D150:AK150," ")=0),CONCATENATE(SUM(EXTRACTNUMBER(D150),EXTRACTNUMBER(F150),
EXTRACTNUMBER(H150),EXTRACTNUMBER(J150),
EXTRACTNUMBER(L150),EXTRACTNUMBER(N150),
EXTRACTNUMBER(P150),EXTRACTNUMBER(R150),
EXTRACTNUMBER(T150),EXTRACTNUMBER(V150),
EXTRACTNUMBER(X150),EXTRACTNUMBER(Z150),EXTRACTNUMBER(AB150),
EXTRACTNUMBER(AD150),EXTRACTNUMBER(AF150),EXTRACTNUMBER(AH150),EXTRACTNUMBER(AJ150)),"*"),SUM(EXTRACTNUMBER(D150),EXTRACTNUMBER(F150),
EXTRACTNUMBER(H150),EXTRACTNUMBER(J150),
EXTRACTNUMBER(L150),EXTRACTNUMBER(N150),
EXTRACTNUMBER(P150),EXTRACTNUMBER(R150),
EXTRACTNUMBER(T150),EXTRACTNUMBER(V150),
EXTRACTNUMBER(X150),EXTRACTNUMBER(Z150),EXTRACTNUMBER(AB150),
EXTRACTNUMBER(AD150),EXTRACTNUMBER(AF150),EXTRACTNUMBER(AH150),EXTRACTNUMBER(AJ150))))),SUM(EXTRACTNUMBER(D150),EXTRACTNUMBER(F150),
EXTRACTNUMBER(H150),EXTRACTNUMBER(J150),
EXTRACTNUMBER(L150),EXTRACTNUMBER(N150),
EXTRACTNUMBER(P150),EXTRACTNUMBER(R150),
EXTRACTNUMBER(T150),EXTRACTNUMBER(V150),
EXTRACTNUMBER(X150),EXTRACTNUMBER(Z150),EXTRACTNUMBER(AB150),
EXTRACTNUMBER(AD150),EXTRACTNUMBER(AF150),EXTRACTNUMBER(AH150),EXTRACTNUMBER(AJ150)))</f>
        <v>577</v>
      </c>
      <c r="AM150" s="72" t="s">
        <v>244</v>
      </c>
      <c r="AN150" s="11" t="s">
        <v>320</v>
      </c>
      <c r="AO150" s="11" t="str">
        <f t="shared" si="40"/>
        <v>PASS</v>
      </c>
      <c r="AP150" s="11" t="str">
        <f t="shared" si="22"/>
        <v>I</v>
      </c>
      <c r="AQ150" s="1" t="s">
        <v>496</v>
      </c>
    </row>
    <row r="151" spans="2:43" ht="15.95" customHeight="1">
      <c r="B151" s="67">
        <v>136324</v>
      </c>
      <c r="C151" s="21" t="s">
        <v>147</v>
      </c>
      <c r="D151" s="24">
        <v>40</v>
      </c>
      <c r="E151" s="9" t="str">
        <f t="shared" si="23"/>
        <v/>
      </c>
      <c r="F151" s="22">
        <v>22</v>
      </c>
      <c r="G151" s="9" t="str">
        <f t="shared" si="24"/>
        <v/>
      </c>
      <c r="H151" s="22">
        <v>44</v>
      </c>
      <c r="I151" s="9" t="str">
        <f t="shared" si="25"/>
        <v/>
      </c>
      <c r="J151" s="29">
        <v>45</v>
      </c>
      <c r="K151" s="9" t="str">
        <f t="shared" si="26"/>
        <v/>
      </c>
      <c r="L151" s="22">
        <v>22</v>
      </c>
      <c r="M151" s="9" t="str">
        <f t="shared" si="27"/>
        <v/>
      </c>
      <c r="N151" s="22">
        <v>22</v>
      </c>
      <c r="O151" s="9" t="str">
        <f t="shared" si="28"/>
        <v/>
      </c>
      <c r="P151" s="29">
        <v>68</v>
      </c>
      <c r="Q151" s="9" t="str">
        <f t="shared" si="29"/>
        <v/>
      </c>
      <c r="R151" s="22">
        <v>22</v>
      </c>
      <c r="S151" s="9" t="str">
        <f t="shared" si="30"/>
        <v/>
      </c>
      <c r="T151" s="22">
        <v>44</v>
      </c>
      <c r="U151" s="9" t="str">
        <f t="shared" si="31"/>
        <v/>
      </c>
      <c r="V151" s="29">
        <v>54</v>
      </c>
      <c r="W151" s="9" t="str">
        <f t="shared" si="32"/>
        <v/>
      </c>
      <c r="X151" s="22">
        <v>22</v>
      </c>
      <c r="Y151" s="9" t="str">
        <f t="shared" si="33"/>
        <v/>
      </c>
      <c r="Z151" s="22">
        <v>22</v>
      </c>
      <c r="AA151" s="9" t="str">
        <f t="shared" si="34"/>
        <v/>
      </c>
      <c r="AB151" s="29">
        <v>47</v>
      </c>
      <c r="AC151" s="9" t="str">
        <f t="shared" si="35"/>
        <v/>
      </c>
      <c r="AD151" s="22">
        <v>22</v>
      </c>
      <c r="AE151" s="9" t="str">
        <f t="shared" si="36"/>
        <v/>
      </c>
      <c r="AF151" s="22">
        <v>20</v>
      </c>
      <c r="AG151" s="9" t="str">
        <f t="shared" si="37"/>
        <v/>
      </c>
      <c r="AH151" s="22">
        <v>22</v>
      </c>
      <c r="AI151" s="9" t="str">
        <f t="shared" si="38"/>
        <v/>
      </c>
      <c r="AJ151" s="22">
        <v>22</v>
      </c>
      <c r="AK151" s="9" t="str">
        <f t="shared" si="39"/>
        <v/>
      </c>
      <c r="AL151" s="16">
        <f>IF(OR(AND(D151&gt;=31,D151&lt;40),AND(J151&gt;=31,J151&lt;40),AND(P151&gt;=31,P151&lt;40),AND(V151&gt;=31,V151&lt;40),AND(AB151&gt;=31,AB151&lt;40)),IF(AND(OR(COUNTIF(D151:AK151,"=31")&gt;=1,COUNTIF(D151:AK151,"=32")&gt;=1,COUNTIF(D151:AK151,"=33")&gt;=1,COUNTIF(D151:AK151,"=34")&gt;=1,COUNTIF(D151:AK151,"=35")&gt;=1,COUNTIF(D151:AK151,"=36")&gt;=1 ),COUNTIF(D151:AK151,"")=0,COUNTIF(D151:AK151," ")=0,COUNTIF(D151:AK151,"F")=1),CONCATENATE(SUM(EXTRACTNUMBER(D151),EXTRACTNUMBER(F151),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EXTRACTNUMBER(AD151),EXTRACTNUMBER(AF151),EXTRACTNUMBER(AH151),EXTRACTNUMBER(AJ151)),"*"),IF(AND(COUNTIF(D151:AK151,"=34")&gt;=1,COUNTIF(D151:AK151,"=35")&gt;=1,COUNTIF(D151:AK151,"f")=2,COUNTIF(D151:AK151,"")=0,COUNTIF(D151:AK151," ")=0),CONCATENATE(SUM(EXTRACTNUMBER(D151),EXTRACTNUMBER(F151),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EXTRACTNUMBER(AD151),EXTRACTNUMBER(AF151),EXTRACTNUMBER(AH151),EXTRACTNUMBER(AJ151)),"*"),IF(AND(COUNTIF(D151:AK151,"=36")&gt;=2,COUNTIF(D151:AK151,"f")=2,COUNTIF(D151:AK151,"")=0,COUNTIF(D151:AK151," ")=0),CONCATENATE(SUM(EXTRACTNUMBER(D151),EXTRACTNUMBER(F151),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EXTRACTNUMBER(AD151),EXTRACTNUMBER(AF151),EXTRACTNUMBER(AH151),EXTRACTNUMBER(AJ151)),"*"),SUM(EXTRACTNUMBER(D151),EXTRACTNUMBER(F151),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EXTRACTNUMBER(AD151),EXTRACTNUMBER(AF151),EXTRACTNUMBER(AH151),EXTRACTNUMBER(AJ151))))),SUM(EXTRACTNUMBER(D151),EXTRACTNUMBER(F151),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EXTRACTNUMBER(AD151),EXTRACTNUMBER(AF151),EXTRACTNUMBER(AH151),EXTRACTNUMBER(AJ151)))</f>
        <v>560</v>
      </c>
      <c r="AM151" s="72" t="s">
        <v>296</v>
      </c>
      <c r="AN151" s="11">
        <f t="shared" si="21"/>
        <v>1035</v>
      </c>
      <c r="AO151" s="11" t="str">
        <f t="shared" si="40"/>
        <v>PASS</v>
      </c>
      <c r="AP151" s="11" t="str">
        <f t="shared" si="22"/>
        <v>I</v>
      </c>
      <c r="AQ151" s="1" t="str">
        <f t="shared" si="41"/>
        <v xml:space="preserve">One Thousand Thirty Five </v>
      </c>
    </row>
    <row r="152" spans="2:43" ht="15.95" customHeight="1">
      <c r="B152" s="67">
        <v>136325</v>
      </c>
      <c r="C152" s="21" t="s">
        <v>148</v>
      </c>
      <c r="D152" s="24">
        <v>63</v>
      </c>
      <c r="E152" s="9" t="str">
        <f t="shared" si="23"/>
        <v/>
      </c>
      <c r="F152" s="22">
        <v>20</v>
      </c>
      <c r="G152" s="9" t="str">
        <f t="shared" si="24"/>
        <v/>
      </c>
      <c r="H152" s="22">
        <v>42</v>
      </c>
      <c r="I152" s="9" t="str">
        <f t="shared" si="25"/>
        <v/>
      </c>
      <c r="J152" s="29">
        <v>60</v>
      </c>
      <c r="K152" s="9" t="str">
        <f t="shared" si="26"/>
        <v/>
      </c>
      <c r="L152" s="22">
        <v>20</v>
      </c>
      <c r="M152" s="9" t="str">
        <f t="shared" si="27"/>
        <v/>
      </c>
      <c r="N152" s="22">
        <v>21</v>
      </c>
      <c r="O152" s="9" t="str">
        <f t="shared" si="28"/>
        <v/>
      </c>
      <c r="P152" s="29">
        <v>73</v>
      </c>
      <c r="Q152" s="9" t="str">
        <f t="shared" si="29"/>
        <v/>
      </c>
      <c r="R152" s="22">
        <v>20</v>
      </c>
      <c r="S152" s="9" t="str">
        <f t="shared" si="30"/>
        <v/>
      </c>
      <c r="T152" s="22">
        <v>42</v>
      </c>
      <c r="U152" s="9" t="str">
        <f t="shared" si="31"/>
        <v/>
      </c>
      <c r="V152" s="29">
        <v>63</v>
      </c>
      <c r="W152" s="9" t="str">
        <f t="shared" si="32"/>
        <v/>
      </c>
      <c r="X152" s="22">
        <v>20</v>
      </c>
      <c r="Y152" s="9" t="str">
        <f t="shared" si="33"/>
        <v/>
      </c>
      <c r="Z152" s="22">
        <v>21</v>
      </c>
      <c r="AA152" s="9" t="str">
        <f t="shared" si="34"/>
        <v/>
      </c>
      <c r="AB152" s="29">
        <v>67</v>
      </c>
      <c r="AC152" s="9" t="str">
        <f t="shared" si="35"/>
        <v/>
      </c>
      <c r="AD152" s="22">
        <v>20</v>
      </c>
      <c r="AE152" s="9" t="str">
        <f t="shared" si="36"/>
        <v/>
      </c>
      <c r="AF152" s="22">
        <v>19</v>
      </c>
      <c r="AG152" s="9" t="str">
        <f t="shared" si="37"/>
        <v/>
      </c>
      <c r="AH152" s="22">
        <v>20</v>
      </c>
      <c r="AI152" s="9" t="str">
        <f t="shared" si="38"/>
        <v/>
      </c>
      <c r="AJ152" s="22">
        <v>20</v>
      </c>
      <c r="AK152" s="9" t="str">
        <f t="shared" si="39"/>
        <v/>
      </c>
      <c r="AL152" s="16">
        <f>IF(OR(AND(D152&gt;=31,D152&lt;40),AND(J152&gt;=31,J152&lt;40),AND(P152&gt;=31,P152&lt;40),AND(V152&gt;=31,V152&lt;40),AND(AB152&gt;=31,AB152&lt;40)),IF(AND(OR(COUNTIF(D152:AK152,"=31")&gt;=1,COUNTIF(D152:AK152,"=32")&gt;=1,COUNTIF(D152:AK152,"=33")&gt;=1,COUNTIF(D152:AK152,"=34")&gt;=1,COUNTIF(D152:AK152,"=35")&gt;=1,COUNTIF(D152:AK152,"=36")&gt;=1 ),COUNTIF(D152:AK152,"")=0,COUNTIF(D152:AK152," ")=0,COUNTIF(D152:AK152,"F")=1),CONCATENATE(SUM(EXTRACTNUMBER(D152),EXTRACTNUMBER(F152),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EXTRACTNUMBER(AD152),EXTRACTNUMBER(AF152),EXTRACTNUMBER(AH152),EXTRACTNUMBER(AJ152)),"*"),IF(AND(COUNTIF(D152:AK152,"=34")&gt;=1,COUNTIF(D152:AK152,"=35")&gt;=1,COUNTIF(D152:AK152,"f")=2,COUNTIF(D152:AK152,"")=0,COUNTIF(D152:AK152," ")=0),CONCATENATE(SUM(EXTRACTNUMBER(D152),EXTRACTNUMBER(F152),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EXTRACTNUMBER(AD152),EXTRACTNUMBER(AF152),EXTRACTNUMBER(AH152),EXTRACTNUMBER(AJ152)),"*"),IF(AND(COUNTIF(D152:AK152,"=36")&gt;=2,COUNTIF(D152:AK152,"f")=2,COUNTIF(D152:AK152,"")=0,COUNTIF(D152:AK152," ")=0),CONCATENATE(SUM(EXTRACTNUMBER(D152),EXTRACTNUMBER(F152),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EXTRACTNUMBER(AD152),EXTRACTNUMBER(AF152),EXTRACTNUMBER(AH152),EXTRACTNUMBER(AJ152)),"*"),SUM(EXTRACTNUMBER(D152),EXTRACTNUMBER(F152),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EXTRACTNUMBER(AD152),EXTRACTNUMBER(AF152),EXTRACTNUMBER(AH152),EXTRACTNUMBER(AJ152))))),SUM(EXTRACTNUMBER(D152),EXTRACTNUMBER(F152),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EXTRACTNUMBER(AD152),EXTRACTNUMBER(AF152),EXTRACTNUMBER(AH152),EXTRACTNUMBER(AJ152)))</f>
        <v>611</v>
      </c>
      <c r="AM152" s="72" t="s">
        <v>293</v>
      </c>
      <c r="AN152" s="11">
        <f t="shared" si="21"/>
        <v>1197</v>
      </c>
      <c r="AO152" s="11" t="str">
        <f t="shared" si="40"/>
        <v>PASS</v>
      </c>
      <c r="AP152" s="11" t="str">
        <f t="shared" si="22"/>
        <v>I</v>
      </c>
      <c r="AQ152" s="1" t="str">
        <f t="shared" si="41"/>
        <v xml:space="preserve">One Thousand One Hundred NinetySeven </v>
      </c>
    </row>
    <row r="153" spans="2:43" ht="15.95" customHeight="1">
      <c r="B153" s="67">
        <v>136326</v>
      </c>
      <c r="C153" s="21" t="s">
        <v>149</v>
      </c>
      <c r="D153" s="24">
        <v>43</v>
      </c>
      <c r="E153" s="9" t="str">
        <f t="shared" si="23"/>
        <v/>
      </c>
      <c r="F153" s="22">
        <v>22</v>
      </c>
      <c r="G153" s="9" t="str">
        <f t="shared" si="24"/>
        <v/>
      </c>
      <c r="H153" s="22">
        <v>42</v>
      </c>
      <c r="I153" s="9" t="str">
        <f t="shared" si="25"/>
        <v/>
      </c>
      <c r="J153" s="29">
        <v>44</v>
      </c>
      <c r="K153" s="9" t="str">
        <f t="shared" si="26"/>
        <v/>
      </c>
      <c r="L153" s="22">
        <v>20</v>
      </c>
      <c r="M153" s="9" t="str">
        <f t="shared" si="27"/>
        <v/>
      </c>
      <c r="N153" s="22">
        <v>21</v>
      </c>
      <c r="O153" s="9" t="str">
        <f t="shared" si="28"/>
        <v/>
      </c>
      <c r="P153" s="29">
        <v>49</v>
      </c>
      <c r="Q153" s="9" t="str">
        <f t="shared" si="29"/>
        <v/>
      </c>
      <c r="R153" s="22">
        <v>22</v>
      </c>
      <c r="S153" s="9" t="str">
        <f t="shared" si="30"/>
        <v/>
      </c>
      <c r="T153" s="22">
        <v>42</v>
      </c>
      <c r="U153" s="9" t="str">
        <f t="shared" si="31"/>
        <v/>
      </c>
      <c r="V153" s="29">
        <v>52</v>
      </c>
      <c r="W153" s="9" t="str">
        <f t="shared" si="32"/>
        <v/>
      </c>
      <c r="X153" s="22">
        <v>22</v>
      </c>
      <c r="Y153" s="9" t="str">
        <f t="shared" si="33"/>
        <v/>
      </c>
      <c r="Z153" s="22">
        <v>21</v>
      </c>
      <c r="AA153" s="9" t="str">
        <f t="shared" si="34"/>
        <v/>
      </c>
      <c r="AB153" s="29">
        <v>40</v>
      </c>
      <c r="AC153" s="9" t="str">
        <f t="shared" si="35"/>
        <v/>
      </c>
      <c r="AD153" s="22">
        <v>22</v>
      </c>
      <c r="AE153" s="9" t="str">
        <f t="shared" si="36"/>
        <v/>
      </c>
      <c r="AF153" s="22">
        <v>23</v>
      </c>
      <c r="AG153" s="9" t="str">
        <f t="shared" si="37"/>
        <v/>
      </c>
      <c r="AH153" s="22">
        <v>22</v>
      </c>
      <c r="AI153" s="9" t="str">
        <f t="shared" si="38"/>
        <v/>
      </c>
      <c r="AJ153" s="22">
        <v>22</v>
      </c>
      <c r="AK153" s="9" t="str">
        <f t="shared" si="39"/>
        <v/>
      </c>
      <c r="AL153" s="16">
        <f>IF(OR(AND(D153&gt;=31,D153&lt;40),AND(J153&gt;=31,J153&lt;40),AND(P153&gt;=31,P153&lt;40),AND(V153&gt;=31,V153&lt;40),AND(AB153&gt;=31,AB153&lt;40)),IF(AND(OR(COUNTIF(D153:AK153,"=31")&gt;=1,COUNTIF(D153:AK153,"=32")&gt;=1,COUNTIF(D153:AK153,"=33")&gt;=1,COUNTIF(D153:AK153,"=34")&gt;=1,COUNTIF(D153:AK153,"=35")&gt;=1,COUNTIF(D153:AK153,"=36")&gt;=1 ),COUNTIF(D153:AK153,"")=0,COUNTIF(D153:AK153," ")=0,COUNTIF(D153:AK153,"F")=1),CONCATENATE(SUM(EXTRACTNUMBER(D153),EXTRACTNUMBER(F153),
EXTRACTNUMBER(H153),EXTRACTNUMBER(J153),
EXTRACTNUMBER(L153),EXTRACTNUMBER(N153),
EXTRACTNUMBER(P153),EXTRACTNUMBER(R153),
EXTRACTNUMBER(T153),EXTRACTNUMBER(V153),
EXTRACTNUMBER(X153),EXTRACTNUMBER(Z153),EXTRACTNUMBER(AB153),
EXTRACTNUMBER(AD153),EXTRACTNUMBER(AF153),EXTRACTNUMBER(AH153),EXTRACTNUMBER(AJ153)),"*"),IF(AND(COUNTIF(D153:AK153,"=34")&gt;=1,COUNTIF(D153:AK153,"=35")&gt;=1,COUNTIF(D153:AK153,"f")=2,COUNTIF(D153:AK153,"")=0,COUNTIF(D153:AK153," ")=0),CONCATENATE(SUM(EXTRACTNUMBER(D153),EXTRACTNUMBER(F153),
EXTRACTNUMBER(H153),EXTRACTNUMBER(J153),
EXTRACTNUMBER(L153),EXTRACTNUMBER(N153),
EXTRACTNUMBER(P153),EXTRACTNUMBER(R153),
EXTRACTNUMBER(T153),EXTRACTNUMBER(V153),
EXTRACTNUMBER(X153),EXTRACTNUMBER(Z153),EXTRACTNUMBER(AB153),
EXTRACTNUMBER(AD153),EXTRACTNUMBER(AF153),EXTRACTNUMBER(AH153),EXTRACTNUMBER(AJ153)),"*"),IF(AND(COUNTIF(D153:AK153,"=36")&gt;=2,COUNTIF(D153:AK153,"f")=2,COUNTIF(D153:AK153,"")=0,COUNTIF(D153:AK153," ")=0),CONCATENATE(SUM(EXTRACTNUMBER(D153),EXTRACTNUMBER(F153),
EXTRACTNUMBER(H153),EXTRACTNUMBER(J153),
EXTRACTNUMBER(L153),EXTRACTNUMBER(N153),
EXTRACTNUMBER(P153),EXTRACTNUMBER(R153),
EXTRACTNUMBER(T153),EXTRACTNUMBER(V153),
EXTRACTNUMBER(X153),EXTRACTNUMBER(Z153),EXTRACTNUMBER(AB153),
EXTRACTNUMBER(AD153),EXTRACTNUMBER(AF153),EXTRACTNUMBER(AH153),EXTRACTNUMBER(AJ153)),"*"),SUM(EXTRACTNUMBER(D153),EXTRACTNUMBER(F153),
EXTRACTNUMBER(H153),EXTRACTNUMBER(J153),
EXTRACTNUMBER(L153),EXTRACTNUMBER(N153),
EXTRACTNUMBER(P153),EXTRACTNUMBER(R153),
EXTRACTNUMBER(T153),EXTRACTNUMBER(V153),
EXTRACTNUMBER(X153),EXTRACTNUMBER(Z153),EXTRACTNUMBER(AB153),
EXTRACTNUMBER(AD153),EXTRACTNUMBER(AF153),EXTRACTNUMBER(AH153),EXTRACTNUMBER(AJ153))))),SUM(EXTRACTNUMBER(D153),EXTRACTNUMBER(F153),
EXTRACTNUMBER(H153),EXTRACTNUMBER(J153),
EXTRACTNUMBER(L153),EXTRACTNUMBER(N153),
EXTRACTNUMBER(P153),EXTRACTNUMBER(R153),
EXTRACTNUMBER(T153),EXTRACTNUMBER(V153),
EXTRACTNUMBER(X153),EXTRACTNUMBER(Z153),EXTRACTNUMBER(AB153),
EXTRACTNUMBER(AD153),EXTRACTNUMBER(AF153),EXTRACTNUMBER(AH153),EXTRACTNUMBER(AJ153)))</f>
        <v>529</v>
      </c>
      <c r="AM153" s="72" t="s">
        <v>267</v>
      </c>
      <c r="AN153" s="11">
        <f t="shared" si="21"/>
        <v>1021</v>
      </c>
      <c r="AO153" s="11" t="str">
        <f t="shared" si="40"/>
        <v>PASS</v>
      </c>
      <c r="AP153" s="11" t="str">
        <f t="shared" si="22"/>
        <v>I</v>
      </c>
      <c r="AQ153" s="1" t="str">
        <f t="shared" si="41"/>
        <v xml:space="preserve">One Thousand Twenty One </v>
      </c>
    </row>
    <row r="154" spans="2:43" ht="15.95" customHeight="1">
      <c r="B154" s="67">
        <v>136327</v>
      </c>
      <c r="C154" s="21" t="s">
        <v>150</v>
      </c>
      <c r="D154" s="24">
        <v>56</v>
      </c>
      <c r="E154" s="9" t="str">
        <f t="shared" si="23"/>
        <v/>
      </c>
      <c r="F154" s="22">
        <v>20</v>
      </c>
      <c r="G154" s="9" t="str">
        <f t="shared" si="24"/>
        <v/>
      </c>
      <c r="H154" s="22">
        <v>42</v>
      </c>
      <c r="I154" s="9" t="str">
        <f t="shared" si="25"/>
        <v/>
      </c>
      <c r="J154" s="29">
        <v>48</v>
      </c>
      <c r="K154" s="9" t="str">
        <f t="shared" si="26"/>
        <v/>
      </c>
      <c r="L154" s="22">
        <v>20</v>
      </c>
      <c r="M154" s="9" t="str">
        <f t="shared" si="27"/>
        <v/>
      </c>
      <c r="N154" s="22">
        <v>21</v>
      </c>
      <c r="O154" s="9" t="str">
        <f t="shared" si="28"/>
        <v/>
      </c>
      <c r="P154" s="29">
        <v>54</v>
      </c>
      <c r="Q154" s="9" t="str">
        <f t="shared" si="29"/>
        <v/>
      </c>
      <c r="R154" s="22">
        <v>21</v>
      </c>
      <c r="S154" s="9" t="str">
        <f t="shared" si="30"/>
        <v/>
      </c>
      <c r="T154" s="22">
        <v>40</v>
      </c>
      <c r="U154" s="9" t="str">
        <f t="shared" si="31"/>
        <v/>
      </c>
      <c r="V154" s="29">
        <v>61</v>
      </c>
      <c r="W154" s="9" t="str">
        <f t="shared" si="32"/>
        <v/>
      </c>
      <c r="X154" s="22">
        <v>21</v>
      </c>
      <c r="Y154" s="9" t="str">
        <f t="shared" si="33"/>
        <v/>
      </c>
      <c r="Z154" s="22">
        <v>21</v>
      </c>
      <c r="AA154" s="9" t="str">
        <f t="shared" si="34"/>
        <v/>
      </c>
      <c r="AB154" s="29">
        <v>47</v>
      </c>
      <c r="AC154" s="9" t="str">
        <f t="shared" si="35"/>
        <v/>
      </c>
      <c r="AD154" s="22">
        <v>21</v>
      </c>
      <c r="AE154" s="9" t="str">
        <f t="shared" si="36"/>
        <v/>
      </c>
      <c r="AF154" s="22">
        <v>22</v>
      </c>
      <c r="AG154" s="9" t="str">
        <f t="shared" si="37"/>
        <v/>
      </c>
      <c r="AH154" s="22">
        <v>21</v>
      </c>
      <c r="AI154" s="9" t="str">
        <f t="shared" si="38"/>
        <v/>
      </c>
      <c r="AJ154" s="22">
        <v>21</v>
      </c>
      <c r="AK154" s="9" t="str">
        <f t="shared" si="39"/>
        <v/>
      </c>
      <c r="AL154" s="16">
        <f>IF(OR(AND(D154&gt;=31,D154&lt;40),AND(J154&gt;=31,J154&lt;40),AND(P154&gt;=31,P154&lt;40),AND(V154&gt;=31,V154&lt;40),AND(AB154&gt;=31,AB154&lt;40)),IF(AND(OR(COUNTIF(D154:AK154,"=31")&gt;=1,COUNTIF(D154:AK154,"=32")&gt;=1,COUNTIF(D154:AK154,"=33")&gt;=1,COUNTIF(D154:AK154,"=34")&gt;=1,COUNTIF(D154:AK154,"=35")&gt;=1,COUNTIF(D154:AK154,"=36")&gt;=1 ),COUNTIF(D154:AK154,"")=0,COUNTIF(D154:AK154," ")=0,COUNTIF(D154:AK154,"F")=1),CONCATENATE(SUM(EXTRACTNUMBER(D154),EXTRACTNUMBER(F154),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EXTRACTNUMBER(AD154),EXTRACTNUMBER(AF154),EXTRACTNUMBER(AH154),EXTRACTNUMBER(AJ154)),"*"),IF(AND(COUNTIF(D154:AK154,"=34")&gt;=1,COUNTIF(D154:AK154,"=35")&gt;=1,COUNTIF(D154:AK154,"f")=2,COUNTIF(D154:AK154,"")=0,COUNTIF(D154:AK154," ")=0),CONCATENATE(SUM(EXTRACTNUMBER(D154),EXTRACTNUMBER(F154),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EXTRACTNUMBER(AD154),EXTRACTNUMBER(AF154),EXTRACTNUMBER(AH154),EXTRACTNUMBER(AJ154)),"*"),IF(AND(COUNTIF(D154:AK154,"=36")&gt;=2,COUNTIF(D154:AK154,"f")=2,COUNTIF(D154:AK154,"")=0,COUNTIF(D154:AK154," ")=0),CONCATENATE(SUM(EXTRACTNUMBER(D154),EXTRACTNUMBER(F154),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EXTRACTNUMBER(AD154),EXTRACTNUMBER(AF154),EXTRACTNUMBER(AH154),EXTRACTNUMBER(AJ154)),"*"),SUM(EXTRACTNUMBER(D154),EXTRACTNUMBER(F154),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EXTRACTNUMBER(AD154),EXTRACTNUMBER(AF154),EXTRACTNUMBER(AH154),EXTRACTNUMBER(AJ154))))),SUM(EXTRACTNUMBER(D154),EXTRACTNUMBER(F154),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EXTRACTNUMBER(AD154),EXTRACTNUMBER(AF154),EXTRACTNUMBER(AH154),EXTRACTNUMBER(AJ154)))</f>
        <v>557</v>
      </c>
      <c r="AM154" s="72" t="s">
        <v>297</v>
      </c>
      <c r="AN154" s="11">
        <f t="shared" si="21"/>
        <v>1042</v>
      </c>
      <c r="AO154" s="11" t="str">
        <f t="shared" si="40"/>
        <v>PASS</v>
      </c>
      <c r="AP154" s="11" t="str">
        <f t="shared" si="22"/>
        <v>I</v>
      </c>
      <c r="AQ154" s="1" t="str">
        <f t="shared" si="41"/>
        <v xml:space="preserve">One Thousand Forty Two </v>
      </c>
    </row>
    <row r="155" spans="2:43" ht="15.95" customHeight="1">
      <c r="B155" s="67">
        <v>136328</v>
      </c>
      <c r="C155" s="21" t="s">
        <v>151</v>
      </c>
      <c r="D155" s="24">
        <v>40</v>
      </c>
      <c r="E155" s="9" t="str">
        <f t="shared" si="23"/>
        <v/>
      </c>
      <c r="F155" s="22">
        <v>22</v>
      </c>
      <c r="G155" s="9" t="str">
        <f t="shared" si="24"/>
        <v/>
      </c>
      <c r="H155" s="22">
        <v>44</v>
      </c>
      <c r="I155" s="9" t="str">
        <f t="shared" si="25"/>
        <v/>
      </c>
      <c r="J155" s="29">
        <v>40</v>
      </c>
      <c r="K155" s="9" t="str">
        <f t="shared" si="26"/>
        <v/>
      </c>
      <c r="L155" s="22">
        <v>22</v>
      </c>
      <c r="M155" s="9" t="str">
        <f t="shared" si="27"/>
        <v/>
      </c>
      <c r="N155" s="22">
        <v>22</v>
      </c>
      <c r="O155" s="9" t="str">
        <f t="shared" si="28"/>
        <v/>
      </c>
      <c r="P155" s="29">
        <v>61</v>
      </c>
      <c r="Q155" s="9" t="str">
        <f t="shared" si="29"/>
        <v/>
      </c>
      <c r="R155" s="22">
        <v>22</v>
      </c>
      <c r="S155" s="9" t="str">
        <f t="shared" si="30"/>
        <v/>
      </c>
      <c r="T155" s="22">
        <v>40</v>
      </c>
      <c r="U155" s="9" t="str">
        <f t="shared" si="31"/>
        <v/>
      </c>
      <c r="V155" s="29">
        <v>58</v>
      </c>
      <c r="W155" s="9" t="str">
        <f t="shared" si="32"/>
        <v/>
      </c>
      <c r="X155" s="22">
        <v>22</v>
      </c>
      <c r="Y155" s="9" t="str">
        <f t="shared" si="33"/>
        <v/>
      </c>
      <c r="Z155" s="22">
        <v>21</v>
      </c>
      <c r="AA155" s="9" t="str">
        <f t="shared" si="34"/>
        <v/>
      </c>
      <c r="AB155" s="29">
        <v>40</v>
      </c>
      <c r="AC155" s="9" t="str">
        <f t="shared" si="35"/>
        <v/>
      </c>
      <c r="AD155" s="22">
        <v>22</v>
      </c>
      <c r="AE155" s="9" t="str">
        <f t="shared" si="36"/>
        <v/>
      </c>
      <c r="AF155" s="22">
        <v>22</v>
      </c>
      <c r="AG155" s="9" t="str">
        <f t="shared" si="37"/>
        <v/>
      </c>
      <c r="AH155" s="22">
        <v>22</v>
      </c>
      <c r="AI155" s="9" t="str">
        <f t="shared" si="38"/>
        <v/>
      </c>
      <c r="AJ155" s="22">
        <v>21</v>
      </c>
      <c r="AK155" s="9" t="str">
        <f t="shared" si="39"/>
        <v/>
      </c>
      <c r="AL155" s="16">
        <f>IF(OR(AND(D155&gt;=31,D155&lt;40),AND(J155&gt;=31,J155&lt;40),AND(P155&gt;=31,P155&lt;40),AND(V155&gt;=31,V155&lt;40),AND(AB155&gt;=31,AB155&lt;40)),IF(AND(OR(COUNTIF(D155:AK155,"=31")&gt;=1,COUNTIF(D155:AK155,"=32")&gt;=1,COUNTIF(D155:AK155,"=33")&gt;=1,COUNTIF(D155:AK155,"=34")&gt;=1,COUNTIF(D155:AK155,"=35")&gt;=1,COUNTIF(D155:AK155,"=36")&gt;=1 ),COUNTIF(D155:AK155,"")=0,COUNTIF(D155:AK155," ")=0,COUNTIF(D155:AK155,"F")=1),CONCATENATE(SUM(EXTRACTNUMBER(D155),EXTRACTNUMBER(F155),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EXTRACTNUMBER(AD155),EXTRACTNUMBER(AF155),EXTRACTNUMBER(AH155),EXTRACTNUMBER(AJ155)),"*"),IF(AND(COUNTIF(D155:AK155,"=34")&gt;=1,COUNTIF(D155:AK155,"=35")&gt;=1,COUNTIF(D155:AK155,"f")=2,COUNTIF(D155:AK155,"")=0,COUNTIF(D155:AK155," ")=0),CONCATENATE(SUM(EXTRACTNUMBER(D155),EXTRACTNUMBER(F155),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EXTRACTNUMBER(AD155),EXTRACTNUMBER(AF155),EXTRACTNUMBER(AH155),EXTRACTNUMBER(AJ155)),"*"),IF(AND(COUNTIF(D155:AK155,"=36")&gt;=2,COUNTIF(D155:AK155,"f")=2,COUNTIF(D155:AK155,"")=0,COUNTIF(D155:AK155," ")=0),CONCATENATE(SUM(EXTRACTNUMBER(D155),EXTRACTNUMBER(F155),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EXTRACTNUMBER(AD155),EXTRACTNUMBER(AF155),EXTRACTNUMBER(AH155),EXTRACTNUMBER(AJ155)),"*"),SUM(EXTRACTNUMBER(D155),EXTRACTNUMBER(F155),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EXTRACTNUMBER(AD155),EXTRACTNUMBER(AF155),EXTRACTNUMBER(AH155),EXTRACTNUMBER(AJ155))))),SUM(EXTRACTNUMBER(D155),EXTRACTNUMBER(F155),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EXTRACTNUMBER(AD155),EXTRACTNUMBER(AF155),EXTRACTNUMBER(AH155),EXTRACTNUMBER(AJ155)))</f>
        <v>541</v>
      </c>
      <c r="AM155" s="72" t="s">
        <v>283</v>
      </c>
      <c r="AN155" s="11">
        <f t="shared" si="21"/>
        <v>1042</v>
      </c>
      <c r="AO155" s="11" t="str">
        <f t="shared" si="40"/>
        <v>PASS</v>
      </c>
      <c r="AP155" s="11" t="str">
        <f t="shared" si="22"/>
        <v>I</v>
      </c>
      <c r="AQ155" s="1" t="str">
        <f t="shared" si="41"/>
        <v xml:space="preserve">One Thousand Forty Two </v>
      </c>
    </row>
    <row r="156" spans="2:43" ht="15.95" customHeight="1">
      <c r="B156" s="67">
        <v>136329</v>
      </c>
      <c r="C156" s="21" t="s">
        <v>152</v>
      </c>
      <c r="D156" s="24">
        <v>44</v>
      </c>
      <c r="E156" s="9" t="str">
        <f t="shared" si="23"/>
        <v/>
      </c>
      <c r="F156" s="22">
        <v>21</v>
      </c>
      <c r="G156" s="9" t="str">
        <f t="shared" si="24"/>
        <v/>
      </c>
      <c r="H156" s="22">
        <v>44</v>
      </c>
      <c r="I156" s="9" t="str">
        <f t="shared" si="25"/>
        <v/>
      </c>
      <c r="J156" s="29">
        <v>57</v>
      </c>
      <c r="K156" s="9" t="str">
        <f t="shared" si="26"/>
        <v/>
      </c>
      <c r="L156" s="22">
        <v>21</v>
      </c>
      <c r="M156" s="9" t="str">
        <f t="shared" si="27"/>
        <v/>
      </c>
      <c r="N156" s="22">
        <v>22</v>
      </c>
      <c r="O156" s="9" t="str">
        <f t="shared" si="28"/>
        <v/>
      </c>
      <c r="P156" s="29">
        <v>65</v>
      </c>
      <c r="Q156" s="9" t="str">
        <f t="shared" si="29"/>
        <v/>
      </c>
      <c r="R156" s="22">
        <v>21</v>
      </c>
      <c r="S156" s="9" t="str">
        <f t="shared" si="30"/>
        <v/>
      </c>
      <c r="T156" s="22">
        <v>42</v>
      </c>
      <c r="U156" s="9" t="str">
        <f t="shared" si="31"/>
        <v/>
      </c>
      <c r="V156" s="29">
        <v>75</v>
      </c>
      <c r="W156" s="9" t="str">
        <f t="shared" si="32"/>
        <v/>
      </c>
      <c r="X156" s="22">
        <v>21</v>
      </c>
      <c r="Y156" s="9" t="str">
        <f t="shared" si="33"/>
        <v/>
      </c>
      <c r="Z156" s="22">
        <v>21</v>
      </c>
      <c r="AA156" s="9" t="str">
        <f t="shared" si="34"/>
        <v/>
      </c>
      <c r="AB156" s="29">
        <v>64</v>
      </c>
      <c r="AC156" s="9" t="str">
        <f t="shared" si="35"/>
        <v/>
      </c>
      <c r="AD156" s="22">
        <v>21</v>
      </c>
      <c r="AE156" s="9" t="str">
        <f t="shared" si="36"/>
        <v/>
      </c>
      <c r="AF156" s="22">
        <v>20</v>
      </c>
      <c r="AG156" s="9" t="str">
        <f t="shared" si="37"/>
        <v/>
      </c>
      <c r="AH156" s="22">
        <v>21</v>
      </c>
      <c r="AI156" s="9" t="str">
        <f t="shared" si="38"/>
        <v/>
      </c>
      <c r="AJ156" s="22">
        <v>21</v>
      </c>
      <c r="AK156" s="9" t="str">
        <f t="shared" si="39"/>
        <v/>
      </c>
      <c r="AL156" s="16">
        <f>IF(OR(AND(D156&gt;=31,D156&lt;40),AND(J156&gt;=31,J156&lt;40),AND(P156&gt;=31,P156&lt;40),AND(V156&gt;=31,V156&lt;40),AND(AB156&gt;=31,AB156&lt;40)),IF(AND(OR(COUNTIF(D156:AK156,"=31")&gt;=1,COUNTIF(D156:AK156,"=32")&gt;=1,COUNTIF(D156:AK156,"=33")&gt;=1,COUNTIF(D156:AK156,"=34")&gt;=1,COUNTIF(D156:AK156,"=35")&gt;=1,COUNTIF(D156:AK156,"=36")&gt;=1 ),COUNTIF(D156:AK156,"")=0,COUNTIF(D156:AK156," ")=0,COUNTIF(D156:AK156,"F")=1),CONCATENATE(SUM(EXTRACTNUMBER(D156),EXTRACTNUMBER(F156),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EXTRACTNUMBER(AD156),EXTRACTNUMBER(AF156),EXTRACTNUMBER(AH156),EXTRACTNUMBER(AJ156)),"*"),IF(AND(COUNTIF(D156:AK156,"=34")&gt;=1,COUNTIF(D156:AK156,"=35")&gt;=1,COUNTIF(D156:AK156,"f")=2,COUNTIF(D156:AK156,"")=0,COUNTIF(D156:AK156," ")=0),CONCATENATE(SUM(EXTRACTNUMBER(D156),EXTRACTNUMBER(F156),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EXTRACTNUMBER(AD156),EXTRACTNUMBER(AF156),EXTRACTNUMBER(AH156),EXTRACTNUMBER(AJ156)),"*"),IF(AND(COUNTIF(D156:AK156,"=36")&gt;=2,COUNTIF(D156:AK156,"f")=2,COUNTIF(D156:AK156,"")=0,COUNTIF(D156:AK156," ")=0),CONCATENATE(SUM(EXTRACTNUMBER(D156),EXTRACTNUMBER(F156),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EXTRACTNUMBER(AD156),EXTRACTNUMBER(AF156),EXTRACTNUMBER(AH156),EXTRACTNUMBER(AJ156)),"*"),SUM(EXTRACTNUMBER(D156),EXTRACTNUMBER(F156),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EXTRACTNUMBER(AD156),EXTRACTNUMBER(AF156),EXTRACTNUMBER(AH156),EXTRACTNUMBER(AJ156))))),SUM(EXTRACTNUMBER(D156),EXTRACTNUMBER(F156),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EXTRACTNUMBER(AD156),EXTRACTNUMBER(AF156),EXTRACTNUMBER(AH156),EXTRACTNUMBER(AJ156)))</f>
        <v>601</v>
      </c>
      <c r="AM156" s="72" t="s">
        <v>282</v>
      </c>
      <c r="AN156" s="11">
        <f t="shared" ref="AN156:AN197" si="42">IF(IFERROR(FIND("x",AM156),0),SUM(EXTRACTNUMBER(AL156),EXTRACTNUMBER(AM156)),IF(AND(SUM(EXTRACTNUMBER(AL156),EXTRACTNUMBER(AM156))&gt;1009,        SUM(EXTRACTNUMBER(AL156),EXTRACTNUMBER(AM156))&lt;1020),
CONCATENATE(SUM(EXTRACTNUMBER(AL156),EXTRACTNUMBER(AM156)),"@",1020-SUM(EXTRACTNUMBER(AL156),EXTRACTNUMBER(AM156))),
IF(AND(SUM(EXTRACTNUMBER(AL156),EXTRACTNUMBER(AM156))&gt;839,   SUM(EXTRACTNUMBER(AL156),EXTRACTNUMBER(AM156))&lt;850),CONCATENATE(SUM(EXTRACTNUMBER(AL156),EXTRACTNUMBER(AM156)),"@",850-SUM(EXTRACTNUMBER(AL156),EXTRACTNUMBER(AM156))),
IF(AND(SUM(EXTRACTNUMBER(AL156),EXTRACTNUMBER(AM156))&gt;669,        SUM(EXTRACTNUMBER(AL156),EXTRACTNUMBER(AM156))&lt;680),
CONCATENATE(SUM(EXTRACTNUMBER(AL156),EXTRACTNUMBER(AM156)),"@",680-SUM(EXTRACTNUMBER(AL156),EXTRACTNUMBER(AM156))),
SUM(EXTRACTNUMBER(AL156),EXTRACTNUMBER(AM156))))))</f>
        <v>1176</v>
      </c>
      <c r="AO156" s="11" t="str">
        <f t="shared" si="40"/>
        <v>PASS</v>
      </c>
      <c r="AP156" s="11" t="str">
        <f t="shared" ref="AP156:AP197" si="43">IF(AO156="ABSENT","AB",IF(AO156="FAIL","--",
IF(AM156=0,"RS 5",
IF(AND(SUM(EXTRACTNUMBER(AL156),EXTRACTNUMBER(AM156))&gt;=1010,
        NOT(IFERROR(FIND("x",AL156),0)),
        NOT(IFERROR(FIND("x",AM156),0))),"I",
IF(AND(SUM(EXTRACTNUMBER(AL156),EXTRACTNUMBER(AM156))&gt;=850,
      SUM(EXTRACTNUMBER(AL156),EXTRACTNUMBER(AM156))&lt;1010,
      NOT(IFERROR(FIND("x",AL156),0)),
      NOT(IFERROR(FIND("x",AM156),0))),"II",
IF(OR(AND(SUM(EXTRACTNUMBER(AL156),EXTRACTNUMBER(AM156))&lt;850,
SUM(EXTRACTNUMBER(AL156),EXTRACTNUMBER(AM156))&gt;=670),
IFERROR(FIND("x",AL156),0),IFERROR(FIND("x",AM156),0)),"P","--"))))))</f>
        <v>I</v>
      </c>
      <c r="AQ156" s="1" t="str">
        <f t="shared" si="41"/>
        <v xml:space="preserve">One Thousand One Hundred Seventy Six </v>
      </c>
    </row>
    <row r="157" spans="2:43" ht="15.95" customHeight="1">
      <c r="B157" s="67">
        <v>136330</v>
      </c>
      <c r="C157" s="21" t="s">
        <v>153</v>
      </c>
      <c r="D157" s="24">
        <v>62</v>
      </c>
      <c r="E157" s="9" t="str">
        <f t="shared" ref="E157:E197" si="44">IF(IFERROR(FIND("+",D157),0)," ",
IF(D157="AB","",
IF(D157&lt;$D$27,"F",
IF(AND(D157&gt;=$D$27,F157&gt;=$F$27,H157&gt;=$H$27,
J157&gt;=$J$27,L157&gt;=$L$27,
N157&gt;=$N$27,P157&gt;=$P$27,R157&gt;=$R$27,T157&gt;=$T$27,V157&gt;=$V$27,
X157&gt;=$X$27,Z157&gt;=$Z$27,AB157&gt;=$AB$27,AD157&gt;=$AD$27,AF157&gt;=$AF$27,
AH157&gt;=$AH$27,AJ157&gt;=$AJ$27,D157&lt;&gt;"AB",F157&lt;&gt;"AB",H157&lt;&gt;"AB",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F157" s="22">
        <v>20</v>
      </c>
      <c r="G157" s="9" t="str">
        <f t="shared" ref="G157:G197" si="45">IF(IFERROR(FIND("+",F157),0)," ",
IF(F157="AB","",
IF(F157&lt;$F$27,"F",
IF(AND(D157&gt;=$D$27,F157&gt;=$F$27,H157&gt;=$H$27,
J157&gt;=$J$27,L157&gt;=$L$27,
N157&gt;=$N$27,P157&gt;=$P$27,R157&gt;=$R$27,T157&gt;=$T$27,V157&gt;=$V$27,
X157&gt;=$X$27,Z157&gt;=$Z$27,AB157&gt;=$AB$27,AD157&gt;=$AD$27,AF157&gt;=$AF$27,
AH157&gt;=$AH$27,AJ157&gt;=$AJ$27,D157&lt;&gt;"AB",F157&lt;&gt;"AB",H157&lt;&gt;"AB",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H157" s="22">
        <v>40</v>
      </c>
      <c r="I157" s="9" t="str">
        <f t="shared" ref="I157:I197" si="46">IF(IFERROR(FIND("+",H157),0)," ",
IF(H157="AB","",
IF(H157&lt;$H$27,"F",
IF(AND(D157&gt;=$D$27,F157&gt;=$F$27,H157&gt;=$H$27,
J157&gt;=$J$27,L157&gt;=$L$27,
N157&gt;=$N$27,P157&gt;=$P$27,R157&gt;=$R$27,T157&gt;=$T$27,V157&gt;=$V$27,
X157&gt;=$X$27,Z157&gt;=$Z$27,AB157&gt;=$AB$27,AD157&gt;=$AD$27,AF157&gt;=$AF$27,
AH157&gt;=$AH$27,AJ157&gt;=$AJ$27,D157&lt;&gt;"AB",F157&lt;&gt;"AB",H157&lt;&gt;"AB",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J157" s="29">
        <v>43</v>
      </c>
      <c r="K157" s="9" t="str">
        <f t="shared" ref="K157:K197" si="47">IF(IFERROR(FIND("+",J157),0)," ",
IF(J157="AB","",
IF(J157&lt;$J$27,"F",
IF(AND(D157&gt;=$D$27,F157&gt;=$F$27,H157&gt;=$H$27,
J157&gt;=$J$27,L157&gt;=$L$27,
N157&gt;=$N$27,P157&gt;=$P$27,R157&gt;=$R$27,T157&gt;=$T$27,V157&gt;=$V$27,
X157&gt;=$X$27,Z157&gt;=$Z$27,AB157&gt;=$AB$27,AD157&gt;=$AD$27,AF157&gt;=$AF$27,
AH157&gt;=$AH$27,AJ157&gt;=$AJ$27,D157&lt;&gt;"AB",F157&lt;&gt;"AB",H157&lt;&gt;"AB",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L157" s="22">
        <v>22</v>
      </c>
      <c r="M157" s="9" t="str">
        <f t="shared" ref="M157:M197" si="48">IF(IFERROR(FIND("+",L157),0)," ",
IF(L157="AB","",
IF(L157&lt;$L$27,"F",
IF(AND(D157&gt;=$D$27,F157&gt;=$F$27,H157&gt;=$H$27,
J157&gt;=$J$27,L157&gt;=$L$27,
N157&gt;=$N$27,P157&gt;=$P$27,R157&gt;=$R$27,T157&gt;=$T$27,V157&gt;=$V$27,
X157&gt;=$X$27,Z157&gt;=$Z$27,AB157&gt;=$AB$27,AD157&gt;=$AD$27,AF157&gt;=$AF$27,
AH157&gt;=$AH$27,AJ157&gt;=$AJ$27,D157&lt;&gt;"AB",F157&lt;&gt;"AB",H157&lt;&gt;"AB",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N157" s="22">
        <v>20</v>
      </c>
      <c r="O157" s="9" t="str">
        <f t="shared" ref="O157:O197" si="49">IF(IFERROR(FIND("+",N157),0)," ",
IF(N157="AB","",
IF(N157&lt;$N$27,"F",
IF(AND(D157&gt;=$D$27,F157&gt;=$F$27,H157&gt;=$H$27,
J157&gt;=$J$27,L157&gt;=$L$27,
N157&gt;=$N$27,P157&gt;=$P$27,R157&gt;=$R$27,T157&gt;=$T$27,V157&gt;=$V$27,
X157&gt;=$X$27,Z157&gt;=$Z$27,AB157&gt;=$AB$27,AD157&gt;=$AD$27,AF157&gt;=$AF$27,
AH157&gt;=$AH$27,AJ157&gt;=$AJ$27,D157&lt;&gt;"AB",F157&lt;&gt;"AB",H157&lt;&gt;"AB",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P157" s="29">
        <v>66</v>
      </c>
      <c r="Q157" s="9" t="str">
        <f t="shared" ref="Q157:Q197" si="50">IF(IFERROR(FIND("+",P157),0)," ",
IF(P157="AB","",
IF(P157&lt;$P$27,"F",
IF(AND(D157&gt;=$D$27,F157&gt;=$F$27,H157&gt;=$H$27,
J157&gt;=$J$27,L157&gt;=$L$27,
N157&gt;=$N$27,P157&gt;=$P$27,R157&gt;=$R$27,T157&gt;=$T$27,V157&gt;=$V$27,
X157&gt;=$X$27,Z157&gt;=$Z$27,AB157&gt;=$AB$27,AD157&gt;=$AD$27,AF157&gt;=$AF$27,
AH157&gt;=$AH$27,AJ157&gt;=$AJ$27,D157&lt;&gt;"AB",F157&lt;&gt;"AB",H157&lt;&gt;"AB",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R157" s="22">
        <v>21</v>
      </c>
      <c r="S157" s="9" t="str">
        <f t="shared" ref="S157:S197" si="51">IF(IFERROR(FIND("+",R157),0)," ",
IF(R157="AB","",
IF(R157&lt;$R$27,"F",
IF(AND(D157&gt;=$D$27,F157&gt;=$F$27,H157&gt;=$H$27,
J157&gt;=$J$27,L157&gt;=$L$27,
N157&gt;=$N$27,P157&gt;=$P$27,R157&gt;=$R$27,T157&gt;=$T$27,V157&gt;=$V$27,
X157&gt;=$X$27,Z157&gt;=$Z$27,AB157&gt;=$AB$27,AD157&gt;=$AD$27,AF157&gt;=$AF$27,
AH157&gt;=$AH$27,AJ157&gt;=$AJ$27,D157&lt;&gt;"AB",F157&lt;&gt;"AB",H157&lt;&gt;"AB",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T157" s="22">
        <v>42</v>
      </c>
      <c r="U157" s="9" t="str">
        <f t="shared" ref="U157:U197" si="52">IF(IFERROR(FIND("+",T157),0)," ",
IF(T157="AB","",
IF(T157&lt;$T$27,"F",
IF(AND(D157&gt;=$D$27,F157&gt;=$F$27,H157&gt;=$H$27,
J157&gt;=$J$27,L157&gt;=$L$27,
N157&gt;=$N$27,P157&gt;=$P$27,R157&gt;=$R$27,T157&gt;=$T$27,V157&gt;=$V$27,
X157&gt;=$X$27,Z157&gt;=$Z$27,AB157&gt;=$AB$27,AD157&gt;=$AD$27,AF157&gt;=$AF$27,
AH157&gt;=$AH$27,AJ157&gt;=$AJ$27,D157&lt;&gt;"AB",F157&lt;&gt;"AB",H157&lt;&gt;"AB",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V157" s="29">
        <v>52</v>
      </c>
      <c r="W157" s="9" t="str">
        <f t="shared" ref="W157:W197" si="53">IF(IFERROR(FIND("+",V157),0)," ",
IF(V157="AB","",
IF(V157&lt;$V$27,"F",
IF(AND(D157&gt;=$D$27,F157&gt;=$F$27,H157&gt;=$H$27,
J157&gt;=$J$27,L157&gt;=$L$27,
N157&gt;=$N$27,P157&gt;=$P$27,R157&gt;=$R$27,T157&gt;=$T$27,V157&gt;=$V$27,
X157&gt;=$X$27,Z157&gt;=$Z$27,AB157&gt;=$AB$27,AD157&gt;=$AD$27,AF157&gt;=$AF$27,
AH157&gt;=$AH$27,AJ157&gt;=$AJ$27,D157&lt;&gt;"AB",F157&lt;&gt;"AB",H157&lt;&gt;"AB",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X157" s="22">
        <v>21</v>
      </c>
      <c r="Y157" s="9" t="str">
        <f t="shared" ref="Y157:Y197" si="54">IF(IFERROR(FIND("+",X157),0)," ",
IF(X157="AB","",
IF(X157&lt;$X$27,"F",
IF(AND(D157&gt;=$D$27,F157&gt;=$F$27,H157&gt;=$H$27,
J157&gt;=$J$27,L157&gt;=$L$27,
N157&gt;=$N$27,P157&gt;=$P$27,R157&gt;=$R$27,T157&gt;=$T$27,V157&gt;=$V$27,
X157&gt;=$X$27,Z157&gt;=$Z$27,AB157&gt;=$AB$27,AD157&gt;=$AD$27,AF157&gt;=$AF$27,
AH157&gt;=$AH$27,AJ157&gt;=$AJ$27,D157&lt;&gt;"AB",F157&lt;&gt;"AB",H157&lt;&gt;"AB",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Z157" s="22">
        <v>22</v>
      </c>
      <c r="AA157" s="9" t="str">
        <f t="shared" ref="AA157:AA197" si="55">IF(IFERROR(FIND("+",Z157),0)," ",
IF(Z157="AB","",
IF(Z157&lt;$Z$27,"F",
IF(AND(D157&gt;=$D$27,F157&gt;=$F$27,H157&gt;=$H$27,
J157&gt;=$J$27,L157&gt;=$L$27,
N157&gt;=$N$27,P157&gt;=$P$27,R157&gt;=$R$27,T157&gt;=$T$27,V157&gt;=$V$27,
X157&gt;=$X$27,Z157&gt;=$Z$27,AB157&gt;=$AB$27,AD157&gt;=$AD$27,AF157&gt;=$AF$27,
AH157&gt;=$AH$27,AJ157&gt;=$AJ$27,D157&lt;&gt;"AB",F157&lt;&gt;"AB",H157&lt;&gt;"AB",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AB157" s="29">
        <v>54</v>
      </c>
      <c r="AC157" s="9" t="str">
        <f t="shared" ref="AC157:AC197" si="56">IF(IFERROR(FIND("+",AB157),0)," ",
IF(AB157="AB","",
IF(AB157&lt;$AB$27,"F",
IF(AND(D157&gt;=$D$27,F157&gt;=$F$27,H157&gt;=$H$27,
J157&gt;=$J$27,L157&gt;=$L$27,
N157&gt;=$N$27,P157&gt;=$P$27,R157&gt;=$R$27,T157&gt;=$T$27,V157&gt;=$V$27,
X157&gt;=$X$27,Z157&gt;=$Z$27,AB157&gt;=$AB$27,AD157&gt;=$AD$27,AF157&gt;=$AF$27,
AH157&gt;=$AH$27,AJ157&gt;=$AJ$27,D157&lt;&gt;"AB",F157&lt;&gt;"AB",H157&lt;&gt;"AB",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AD157" s="22">
        <v>21</v>
      </c>
      <c r="AE157" s="9" t="str">
        <f t="shared" ref="AE157:AE197" si="57">IF(IFERROR(FIND("+",AD157),0)," ",
IF(AD157="AB","",
IF(AD157&lt;$AD$27,"F",
IF(AND(D157&gt;=$D$27,F157&gt;=$F$27,H157&gt;=$H$27,
J157&gt;=$J$27,L157&gt;=$L$27,
N157&gt;=$N$27,P157&gt;=$P$27,R157&gt;=$R$27,T157&gt;=$T$27,V157&gt;=$V$27,
X157&gt;=$X$27,Z157&gt;=$Z$27,AB157&gt;=$AB$27,AD157&gt;=$AD$27,AF157&gt;=$AF$27,
AH157&gt;=$AH$27,AJ157&gt;=$AJ$27,D157&lt;&gt;"AB",F157&lt;&gt;"AB",H157&lt;&gt;"AB",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AF157" s="22">
        <v>22</v>
      </c>
      <c r="AG157" s="9" t="str">
        <f t="shared" ref="AG157:AG197" si="58">IF(IFERROR(FIND("+",AF157),0)," ",
IF(AF157="AB","",
IF(AF157&lt;$AF$27,"F",
IF(AND(D157&gt;=$D$27,F157&gt;=$F$27,H157&gt;=$H$27,
J157&gt;=$J$27,L157&gt;=$L$27,
N157&gt;=$N$27,P157&gt;=$P$27,R157&gt;=$R$27,T157&gt;=$T$27,V157&gt;=$V$27,
X157&gt;=$X$27,Z157&gt;=$Z$27,AB157&gt;=$AB$27,AD157&gt;=$AD$27,AF157&gt;=$AF$27,
AH157&gt;=$AH$27,AJ157&gt;=$AJ$27,D157&lt;&gt;"AB",F157&lt;&gt;"AB",H157&lt;&gt;"AB",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AH157" s="22">
        <v>21</v>
      </c>
      <c r="AI157" s="9" t="str">
        <f t="shared" ref="AI157:AI197" si="59">IF(IFERROR(FIND("+",AH157),0)," ",
IF(AH157="AB","",
IF(AH157&lt;$AH$27,"F",
IF(AND(D157&gt;=$D$27,F157&gt;=$F$27,H157&gt;=$H$27,
J157&gt;=$J$27,L157&gt;=$L$27,
N157&gt;=$N$27,P157&gt;=$P$27,R157&gt;=$R$27,T157&gt;=$T$27,V157&gt;=$V$27,
X157&gt;=$X$27,Z157&gt;=$Z$27,AB157&gt;=$AB$27,AD157&gt;=$AD$27,AF157&gt;=$AF$27,
AH157&gt;=$AH$27,AJ157&gt;=$AJ$27,D157&lt;&gt;"AB",F157&lt;&gt;"AB",H157&lt;&gt;"AB",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AH157&lt;&gt;"AB",AJ157&lt;&gt;"AB"),"","E"))))</f>
        <v/>
      </c>
      <c r="AJ157" s="22">
        <v>22</v>
      </c>
      <c r="AK157" s="9" t="str">
        <f t="shared" ref="AK157:AK197" si="60">IF(IFERROR(FIND("+",AJ157),0)," ",
IF(AJ157="AB","",
IF(AJ157&lt;$AJ$27,"F",
IF(AND(D157&gt;=$D$27,F157&gt;=$F$27,H157&gt;=$H$27,
J157&gt;=$J$27,L157&gt;=$L$27,
N157&gt;=$N$27,P157&gt;=$P$27,R157&gt;=$R$27,T157&gt;=$T$27,V157&gt;=$V$27,
X157&gt;=$X$27,Z157&gt;=$Z$27,AB157&gt;=$AB$27,AD157&gt;=$AD$27,AF157&gt;=$AF$27,
AH157&gt;=$AH$27,AJ157&gt;=$AJ$27,D157&lt;&gt;"AB",F157&lt;&gt;"AB",H157&lt;&gt;"AB",
J157&lt;&gt;"AB",L157&lt;&gt;"AB",
N157&lt;&gt;"AB",P157&lt;&gt;"AB",R157&lt;&gt;"AB",T157&lt;&gt;"AB",V157&lt;&gt;"AB",
X157&lt;&gt;"AB",Z157&lt;&gt;"AB",AB157&lt;&gt;"AB",AD157&lt;&gt;"AB",AF157&lt;&gt;"AB",
AH157&lt;&gt;"AB",AI157&lt;&gt;"AB"),"","E"))))</f>
        <v/>
      </c>
      <c r="AL157" s="16">
        <f>IF(OR(AND(D157&gt;=31,D157&lt;40),AND(J157&gt;=31,J157&lt;40),AND(P157&gt;=31,P157&lt;40),AND(V157&gt;=31,V157&lt;40),AND(AB157&gt;=31,AB157&lt;40)),IF(AND(OR(COUNTIF(D157:AK157,"=31")&gt;=1,COUNTIF(D157:AK157,"=32")&gt;=1,COUNTIF(D157:AK157,"=33")&gt;=1,COUNTIF(D157:AK157,"=34")&gt;=1,COUNTIF(D157:AK157,"=35")&gt;=1,COUNTIF(D157:AK157,"=36")&gt;=1 ),COUNTIF(D157:AK157,"")=0,COUNTIF(D157:AK157," ")=0,COUNTIF(D157:AK157,"F")=1),CONCATENATE(SUM(EXTRACTNUMBER(D157),EXTRACTNUMBER(F157),
EXTRACTNUMBER(H157),EXTRACTNUMBER(J157),
EXTRACTNUMBER(L157),EXTRACTNUMBER(N157),
EXTRACTNUMBER(P157),EXTRACTNUMBER(R157),
EXTRACTNUMBER(T157),EXTRACTNUMBER(V157),
EXTRACTNUMBER(X157),EXTRACTNUMBER(Z157),EXTRACTNUMBER(AB157),
EXTRACTNUMBER(AD157),EXTRACTNUMBER(AF157),EXTRACTNUMBER(AH157),EXTRACTNUMBER(AJ157)),"*"),IF(AND(COUNTIF(D157:AK157,"=34")&gt;=1,COUNTIF(D157:AK157,"=35")&gt;=1,COUNTIF(D157:AK157,"f")=2,COUNTIF(D157:AK157,"")=0,COUNTIF(D157:AK157," ")=0),CONCATENATE(SUM(EXTRACTNUMBER(D157),EXTRACTNUMBER(F157),
EXTRACTNUMBER(H157),EXTRACTNUMBER(J157),
EXTRACTNUMBER(L157),EXTRACTNUMBER(N157),
EXTRACTNUMBER(P157),EXTRACTNUMBER(R157),
EXTRACTNUMBER(T157),EXTRACTNUMBER(V157),
EXTRACTNUMBER(X157),EXTRACTNUMBER(Z157),EXTRACTNUMBER(AB157),
EXTRACTNUMBER(AD157),EXTRACTNUMBER(AF157),EXTRACTNUMBER(AH157),EXTRACTNUMBER(AJ157)),"*"),IF(AND(COUNTIF(D157:AK157,"=36")&gt;=2,COUNTIF(D157:AK157,"f")=2,COUNTIF(D157:AK157,"")=0,COUNTIF(D157:AK157," ")=0),CONCATENATE(SUM(EXTRACTNUMBER(D157),EXTRACTNUMBER(F157),
EXTRACTNUMBER(H157),EXTRACTNUMBER(J157),
EXTRACTNUMBER(L157),EXTRACTNUMBER(N157),
EXTRACTNUMBER(P157),EXTRACTNUMBER(R157),
EXTRACTNUMBER(T157),EXTRACTNUMBER(V157),
EXTRACTNUMBER(X157),EXTRACTNUMBER(Z157),EXTRACTNUMBER(AB157),
EXTRACTNUMBER(AD157),EXTRACTNUMBER(AF157),EXTRACTNUMBER(AH157),EXTRACTNUMBER(AJ157)),"*"),SUM(EXTRACTNUMBER(D157),EXTRACTNUMBER(F157),
EXTRACTNUMBER(H157),EXTRACTNUMBER(J157),
EXTRACTNUMBER(L157),EXTRACTNUMBER(N157),
EXTRACTNUMBER(P157),EXTRACTNUMBER(R157),
EXTRACTNUMBER(T157),EXTRACTNUMBER(V157),
EXTRACTNUMBER(X157),EXTRACTNUMBER(Z157),EXTRACTNUMBER(AB157),
EXTRACTNUMBER(AD157),EXTRACTNUMBER(AF157),EXTRACTNUMBER(AH157),EXTRACTNUMBER(AJ157))))),SUM(EXTRACTNUMBER(D157),EXTRACTNUMBER(F157),
EXTRACTNUMBER(H157),EXTRACTNUMBER(J157),
EXTRACTNUMBER(L157),EXTRACTNUMBER(N157),
EXTRACTNUMBER(P157),EXTRACTNUMBER(R157),
EXTRACTNUMBER(T157),EXTRACTNUMBER(V157),
EXTRACTNUMBER(X157),EXTRACTNUMBER(Z157),EXTRACTNUMBER(AB157),
EXTRACTNUMBER(AD157),EXTRACTNUMBER(AF157),EXTRACTNUMBER(AH157),EXTRACTNUMBER(AJ157)))</f>
        <v>571</v>
      </c>
      <c r="AM157" s="72" t="s">
        <v>223</v>
      </c>
      <c r="AN157" s="11">
        <f t="shared" si="42"/>
        <v>1128</v>
      </c>
      <c r="AO157" s="11" t="str">
        <f t="shared" ref="AO157:AO197" si="61">IF(AND(COUNTIF(D157:AK157,"AB")&lt;17-COUNTIF(D157:AK157," "),
COUNTIF(D157:AK157,"AB")&lt;&gt;0),"FAIL",
IF(COUNTIF(D157:AK157,"AB")=17-COUNTIF(D157:AK157," "),"ABSENT",
IF(AND(COUNTIF(D157:AK157,"AB")=0,COUNTIF(D157:AK157,"F")=0),"PASS","FAIL")))</f>
        <v>PASS</v>
      </c>
      <c r="AP157" s="11" t="str">
        <f t="shared" si="43"/>
        <v>I</v>
      </c>
      <c r="AQ157" s="1" t="str">
        <f t="shared" ref="AQ157:AQ197" si="62">spellnumber(AN157)</f>
        <v xml:space="preserve">One Thousand One Hundred Twenty Eight </v>
      </c>
    </row>
    <row r="158" spans="2:43" ht="15.95" customHeight="1">
      <c r="B158" s="67">
        <v>136331</v>
      </c>
      <c r="C158" s="21" t="s">
        <v>154</v>
      </c>
      <c r="D158" s="24">
        <v>62</v>
      </c>
      <c r="E158" s="9" t="str">
        <f t="shared" si="44"/>
        <v/>
      </c>
      <c r="F158" s="22">
        <v>22</v>
      </c>
      <c r="G158" s="9" t="str">
        <f t="shared" si="45"/>
        <v/>
      </c>
      <c r="H158" s="22">
        <v>44</v>
      </c>
      <c r="I158" s="9" t="str">
        <f t="shared" si="46"/>
        <v/>
      </c>
      <c r="J158" s="29">
        <v>52</v>
      </c>
      <c r="K158" s="9" t="str">
        <f t="shared" si="47"/>
        <v/>
      </c>
      <c r="L158" s="22">
        <v>22</v>
      </c>
      <c r="M158" s="9" t="str">
        <f t="shared" si="48"/>
        <v/>
      </c>
      <c r="N158" s="22">
        <v>22</v>
      </c>
      <c r="O158" s="9" t="str">
        <f t="shared" si="49"/>
        <v/>
      </c>
      <c r="P158" s="29">
        <v>60</v>
      </c>
      <c r="Q158" s="9" t="str">
        <f t="shared" si="50"/>
        <v/>
      </c>
      <c r="R158" s="22">
        <v>23</v>
      </c>
      <c r="S158" s="9" t="str">
        <f t="shared" si="51"/>
        <v/>
      </c>
      <c r="T158" s="22">
        <v>40</v>
      </c>
      <c r="U158" s="9" t="str">
        <f t="shared" si="52"/>
        <v/>
      </c>
      <c r="V158" s="29">
        <v>55</v>
      </c>
      <c r="W158" s="9" t="str">
        <f t="shared" si="53"/>
        <v/>
      </c>
      <c r="X158" s="22">
        <v>23</v>
      </c>
      <c r="Y158" s="9" t="str">
        <f t="shared" si="54"/>
        <v/>
      </c>
      <c r="Z158" s="22">
        <v>22</v>
      </c>
      <c r="AA158" s="9" t="str">
        <f t="shared" si="55"/>
        <v/>
      </c>
      <c r="AB158" s="29">
        <v>49</v>
      </c>
      <c r="AC158" s="9" t="str">
        <f t="shared" si="56"/>
        <v/>
      </c>
      <c r="AD158" s="22">
        <v>23</v>
      </c>
      <c r="AE158" s="9" t="str">
        <f t="shared" si="57"/>
        <v/>
      </c>
      <c r="AF158" s="22">
        <v>23</v>
      </c>
      <c r="AG158" s="9" t="str">
        <f t="shared" si="58"/>
        <v/>
      </c>
      <c r="AH158" s="22">
        <v>22</v>
      </c>
      <c r="AI158" s="9" t="str">
        <f t="shared" si="59"/>
        <v/>
      </c>
      <c r="AJ158" s="22">
        <v>22</v>
      </c>
      <c r="AK158" s="9" t="str">
        <f t="shared" si="60"/>
        <v/>
      </c>
      <c r="AL158" s="16">
        <f>IF(OR(AND(D158&gt;=31,D158&lt;40),AND(J158&gt;=31,J158&lt;40),AND(P158&gt;=31,P158&lt;40),AND(V158&gt;=31,V158&lt;40),AND(AB158&gt;=31,AB158&lt;40)),IF(AND(OR(COUNTIF(D158:AK158,"=31")&gt;=1,COUNTIF(D158:AK158,"=32")&gt;=1,COUNTIF(D158:AK158,"=33")&gt;=1,COUNTIF(D158:AK158,"=34")&gt;=1,COUNTIF(D158:AK158,"=35")&gt;=1,COUNTIF(D158:AK158,"=36")&gt;=1 ),COUNTIF(D158:AK158,"")=0,COUNTIF(D158:AK158," ")=0,COUNTIF(D158:AK158,"F")=1),CONCATENATE(SUM(EXTRACTNUMBER(D158),EXTRACTNUMBER(F158),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EXTRACTNUMBER(AD158),EXTRACTNUMBER(AF158),EXTRACTNUMBER(AH158),EXTRACTNUMBER(AJ158)),"*"),IF(AND(COUNTIF(D158:AK158,"=34")&gt;=1,COUNTIF(D158:AK158,"=35")&gt;=1,COUNTIF(D158:AK158,"f")=2,COUNTIF(D158:AK158,"")=0,COUNTIF(D158:AK158," ")=0),CONCATENATE(SUM(EXTRACTNUMBER(D158),EXTRACTNUMBER(F158),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EXTRACTNUMBER(AD158),EXTRACTNUMBER(AF158),EXTRACTNUMBER(AH158),EXTRACTNUMBER(AJ158)),"*"),IF(AND(COUNTIF(D158:AK158,"=36")&gt;=2,COUNTIF(D158:AK158,"f")=2,COUNTIF(D158:AK158,"")=0,COUNTIF(D158:AK158," ")=0),CONCATENATE(SUM(EXTRACTNUMBER(D158),EXTRACTNUMBER(F158),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EXTRACTNUMBER(AD158),EXTRACTNUMBER(AF158),EXTRACTNUMBER(AH158),EXTRACTNUMBER(AJ158)),"*"),SUM(EXTRACTNUMBER(D158),EXTRACTNUMBER(F158),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EXTRACTNUMBER(AD158),EXTRACTNUMBER(AF158),EXTRACTNUMBER(AH158),EXTRACTNUMBER(AJ158))))),SUM(EXTRACTNUMBER(D158),EXTRACTNUMBER(F158),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EXTRACTNUMBER(AD158),EXTRACTNUMBER(AF158),EXTRACTNUMBER(AH158),EXTRACTNUMBER(AJ158)))</f>
        <v>586</v>
      </c>
      <c r="AM158" s="72" t="s">
        <v>298</v>
      </c>
      <c r="AN158" s="11">
        <f t="shared" si="42"/>
        <v>1133</v>
      </c>
      <c r="AO158" s="11" t="str">
        <f t="shared" si="61"/>
        <v>PASS</v>
      </c>
      <c r="AP158" s="11" t="str">
        <f t="shared" si="43"/>
        <v>I</v>
      </c>
      <c r="AQ158" s="1" t="str">
        <f t="shared" si="62"/>
        <v xml:space="preserve">One Thousand One Hundred Thirty Three </v>
      </c>
    </row>
    <row r="159" spans="2:43" ht="15.95" customHeight="1">
      <c r="B159" s="67">
        <v>136332</v>
      </c>
      <c r="C159" s="21" t="s">
        <v>155</v>
      </c>
      <c r="D159" s="24">
        <v>57</v>
      </c>
      <c r="E159" s="9" t="str">
        <f t="shared" si="44"/>
        <v/>
      </c>
      <c r="F159" s="22">
        <v>22</v>
      </c>
      <c r="G159" s="9" t="str">
        <f t="shared" si="45"/>
        <v/>
      </c>
      <c r="H159" s="22">
        <v>44</v>
      </c>
      <c r="I159" s="9" t="str">
        <f t="shared" si="46"/>
        <v/>
      </c>
      <c r="J159" s="29">
        <v>61</v>
      </c>
      <c r="K159" s="9" t="str">
        <f t="shared" si="47"/>
        <v/>
      </c>
      <c r="L159" s="22">
        <v>22</v>
      </c>
      <c r="M159" s="9" t="str">
        <f t="shared" si="48"/>
        <v/>
      </c>
      <c r="N159" s="22">
        <v>22</v>
      </c>
      <c r="O159" s="9" t="str">
        <f t="shared" si="49"/>
        <v/>
      </c>
      <c r="P159" s="29">
        <v>64</v>
      </c>
      <c r="Q159" s="9" t="str">
        <f t="shared" si="50"/>
        <v/>
      </c>
      <c r="R159" s="22">
        <v>21</v>
      </c>
      <c r="S159" s="9" t="str">
        <f t="shared" si="51"/>
        <v/>
      </c>
      <c r="T159" s="22">
        <v>38</v>
      </c>
      <c r="U159" s="9" t="str">
        <f t="shared" si="52"/>
        <v/>
      </c>
      <c r="V159" s="29">
        <v>59</v>
      </c>
      <c r="W159" s="9" t="str">
        <f t="shared" si="53"/>
        <v/>
      </c>
      <c r="X159" s="22">
        <v>21</v>
      </c>
      <c r="Y159" s="9" t="str">
        <f t="shared" si="54"/>
        <v/>
      </c>
      <c r="Z159" s="22">
        <v>21</v>
      </c>
      <c r="AA159" s="9" t="str">
        <f t="shared" si="55"/>
        <v/>
      </c>
      <c r="AB159" s="29">
        <v>54</v>
      </c>
      <c r="AC159" s="9" t="str">
        <f t="shared" si="56"/>
        <v/>
      </c>
      <c r="AD159" s="22">
        <v>21</v>
      </c>
      <c r="AE159" s="9" t="str">
        <f t="shared" si="57"/>
        <v/>
      </c>
      <c r="AF159" s="22">
        <v>21</v>
      </c>
      <c r="AG159" s="9" t="str">
        <f t="shared" si="58"/>
        <v/>
      </c>
      <c r="AH159" s="22">
        <v>21</v>
      </c>
      <c r="AI159" s="9" t="str">
        <f t="shared" si="59"/>
        <v/>
      </c>
      <c r="AJ159" s="22">
        <v>21</v>
      </c>
      <c r="AK159" s="9" t="str">
        <f t="shared" si="60"/>
        <v/>
      </c>
      <c r="AL159" s="16">
        <f>IF(OR(AND(D159&gt;=31,D159&lt;40),AND(J159&gt;=31,J159&lt;40),AND(P159&gt;=31,P159&lt;40),AND(V159&gt;=31,V159&lt;40),AND(AB159&gt;=31,AB159&lt;40)),IF(AND(OR(COUNTIF(D159:AK159,"=31")&gt;=1,COUNTIF(D159:AK159,"=32")&gt;=1,COUNTIF(D159:AK159,"=33")&gt;=1,COUNTIF(D159:AK159,"=34")&gt;=1,COUNTIF(D159:AK159,"=35")&gt;=1,COUNTIF(D159:AK159,"=36")&gt;=1 ),COUNTIF(D159:AK159,"")=0,COUNTIF(D159:AK159," ")=0,COUNTIF(D159:AK159,"F")=1),CONCATENATE(SUM(EXTRACTNUMBER(D159),EXTRACTNUMBER(F159),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EXTRACTNUMBER(AD159),EXTRACTNUMBER(AF159),EXTRACTNUMBER(AH159),EXTRACTNUMBER(AJ159)),"*"),IF(AND(COUNTIF(D159:AK159,"=34")&gt;=1,COUNTIF(D159:AK159,"=35")&gt;=1,COUNTIF(D159:AK159,"f")=2,COUNTIF(D159:AK159,"")=0,COUNTIF(D159:AK159," ")=0),CONCATENATE(SUM(EXTRACTNUMBER(D159),EXTRACTNUMBER(F159),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EXTRACTNUMBER(AD159),EXTRACTNUMBER(AF159),EXTRACTNUMBER(AH159),EXTRACTNUMBER(AJ159)),"*"),IF(AND(COUNTIF(D159:AK159,"=36")&gt;=2,COUNTIF(D159:AK159,"f")=2,COUNTIF(D159:AK159,"")=0,COUNTIF(D159:AK159," ")=0),CONCATENATE(SUM(EXTRACTNUMBER(D159),EXTRACTNUMBER(F159),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EXTRACTNUMBER(AD159),EXTRACTNUMBER(AF159),EXTRACTNUMBER(AH159),EXTRACTNUMBER(AJ159)),"*"),SUM(EXTRACTNUMBER(D159),EXTRACTNUMBER(F159),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EXTRACTNUMBER(AD159),EXTRACTNUMBER(AF159),EXTRACTNUMBER(AH159),EXTRACTNUMBER(AJ159))))),SUM(EXTRACTNUMBER(D159),EXTRACTNUMBER(F159),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EXTRACTNUMBER(AD159),EXTRACTNUMBER(AF159),EXTRACTNUMBER(AH159),EXTRACTNUMBER(AJ159)))</f>
        <v>590</v>
      </c>
      <c r="AM159" s="72" t="s">
        <v>264</v>
      </c>
      <c r="AN159" s="11">
        <f t="shared" si="42"/>
        <v>1135</v>
      </c>
      <c r="AO159" s="11" t="str">
        <f t="shared" si="61"/>
        <v>PASS</v>
      </c>
      <c r="AP159" s="11" t="str">
        <f t="shared" si="43"/>
        <v>I</v>
      </c>
      <c r="AQ159" s="1" t="str">
        <f t="shared" si="62"/>
        <v xml:space="preserve">One Thousand One Hundred Thirty Five </v>
      </c>
    </row>
    <row r="160" spans="2:43" ht="15.95" customHeight="1">
      <c r="B160" s="67" t="s">
        <v>571</v>
      </c>
      <c r="C160" s="21" t="s">
        <v>156</v>
      </c>
      <c r="D160" s="24">
        <v>49</v>
      </c>
      <c r="E160" s="9" t="str">
        <f t="shared" si="44"/>
        <v/>
      </c>
      <c r="F160" s="22">
        <v>20</v>
      </c>
      <c r="G160" s="9" t="str">
        <f t="shared" si="45"/>
        <v/>
      </c>
      <c r="H160" s="22">
        <v>44</v>
      </c>
      <c r="I160" s="9" t="str">
        <f t="shared" si="46"/>
        <v/>
      </c>
      <c r="J160" s="29">
        <v>40</v>
      </c>
      <c r="K160" s="9" t="str">
        <f t="shared" si="47"/>
        <v/>
      </c>
      <c r="L160" s="22">
        <v>20</v>
      </c>
      <c r="M160" s="9" t="str">
        <f t="shared" si="48"/>
        <v/>
      </c>
      <c r="N160" s="22">
        <v>22</v>
      </c>
      <c r="O160" s="9" t="str">
        <f t="shared" si="49"/>
        <v/>
      </c>
      <c r="P160" s="29">
        <v>55</v>
      </c>
      <c r="Q160" s="9" t="str">
        <f t="shared" si="50"/>
        <v/>
      </c>
      <c r="R160" s="22">
        <v>20</v>
      </c>
      <c r="S160" s="9" t="str">
        <f t="shared" si="51"/>
        <v/>
      </c>
      <c r="T160" s="22">
        <v>44</v>
      </c>
      <c r="U160" s="9" t="str">
        <f t="shared" si="52"/>
        <v/>
      </c>
      <c r="V160" s="29">
        <v>49</v>
      </c>
      <c r="W160" s="9" t="str">
        <f t="shared" si="53"/>
        <v/>
      </c>
      <c r="X160" s="22">
        <v>20</v>
      </c>
      <c r="Y160" s="9" t="str">
        <f t="shared" si="54"/>
        <v/>
      </c>
      <c r="Z160" s="22">
        <v>21</v>
      </c>
      <c r="AA160" s="9" t="str">
        <f t="shared" si="55"/>
        <v/>
      </c>
      <c r="AB160" s="29">
        <v>46</v>
      </c>
      <c r="AC160" s="9" t="str">
        <f t="shared" si="56"/>
        <v/>
      </c>
      <c r="AD160" s="22">
        <v>20</v>
      </c>
      <c r="AE160" s="9" t="str">
        <f t="shared" si="57"/>
        <v/>
      </c>
      <c r="AF160" s="22">
        <v>20</v>
      </c>
      <c r="AG160" s="9" t="str">
        <f t="shared" si="58"/>
        <v/>
      </c>
      <c r="AH160" s="22">
        <v>20</v>
      </c>
      <c r="AI160" s="9" t="str">
        <f t="shared" si="59"/>
        <v/>
      </c>
      <c r="AJ160" s="22">
        <v>21</v>
      </c>
      <c r="AK160" s="9" t="str">
        <f t="shared" si="60"/>
        <v/>
      </c>
      <c r="AL160" s="16">
        <f>IF(OR(AND(D160&gt;=31,D160&lt;40),AND(J160&gt;=31,J160&lt;40),AND(P160&gt;=31,P160&lt;40),AND(V160&gt;=31,V160&lt;40),AND(AB160&gt;=31,AB160&lt;40)),IF(AND(OR(COUNTIF(D160:AK160,"=31")&gt;=1,COUNTIF(D160:AK160,"=32")&gt;=1,COUNTIF(D160:AK160,"=33")&gt;=1,COUNTIF(D160:AK160,"=34")&gt;=1,COUNTIF(D160:AK160,"=35")&gt;=1,COUNTIF(D160:AK160,"=36")&gt;=1 ),COUNTIF(D160:AK160,"")=0,COUNTIF(D160:AK160," ")=0,COUNTIF(D160:AK160,"F")=1),CONCATENATE(SUM(EXTRACTNUMBER(D160),EXTRACTNUMBER(F160),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EXTRACTNUMBER(AD160),EXTRACTNUMBER(AF160),EXTRACTNUMBER(AH160),EXTRACTNUMBER(AJ160)),"*"),IF(AND(COUNTIF(D160:AK160,"=34")&gt;=1,COUNTIF(D160:AK160,"=35")&gt;=1,COUNTIF(D160:AK160,"f")=2,COUNTIF(D160:AK160,"")=0,COUNTIF(D160:AK160," ")=0),CONCATENATE(SUM(EXTRACTNUMBER(D160),EXTRACTNUMBER(F160),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EXTRACTNUMBER(AD160),EXTRACTNUMBER(AF160),EXTRACTNUMBER(AH160),EXTRACTNUMBER(AJ160)),"*"),IF(AND(COUNTIF(D160:AK160,"=36")&gt;=2,COUNTIF(D160:AK160,"f")=2,COUNTIF(D160:AK160,"")=0,COUNTIF(D160:AK160," ")=0),CONCATENATE(SUM(EXTRACTNUMBER(D160),EXTRACTNUMBER(F160),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EXTRACTNUMBER(AD160),EXTRACTNUMBER(AF160),EXTRACTNUMBER(AH160),EXTRACTNUMBER(AJ160)),"*"),SUM(EXTRACTNUMBER(D160),EXTRACTNUMBER(F160),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EXTRACTNUMBER(AD160),EXTRACTNUMBER(AF160),EXTRACTNUMBER(AH160),EXTRACTNUMBER(AJ160))))),SUM(EXTRACTNUMBER(D160),EXTRACTNUMBER(F160),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EXTRACTNUMBER(AD160),EXTRACTNUMBER(AF160),EXTRACTNUMBER(AH160),EXTRACTNUMBER(AJ160)))</f>
        <v>531</v>
      </c>
      <c r="AM160" s="72" t="s">
        <v>570</v>
      </c>
      <c r="AN160" s="11">
        <f t="shared" si="42"/>
        <v>999</v>
      </c>
      <c r="AO160" s="11" t="str">
        <f t="shared" si="61"/>
        <v>PASS</v>
      </c>
      <c r="AP160" s="11" t="str">
        <f t="shared" si="43"/>
        <v>P</v>
      </c>
      <c r="AQ160" s="1" t="str">
        <f t="shared" si="62"/>
        <v xml:space="preserve">Nine Hundred NinetyNine </v>
      </c>
    </row>
    <row r="161" spans="2:43" ht="15.95" customHeight="1">
      <c r="B161" s="67">
        <v>136334</v>
      </c>
      <c r="C161" s="21" t="s">
        <v>157</v>
      </c>
      <c r="D161" s="24">
        <v>46</v>
      </c>
      <c r="E161" s="9" t="str">
        <f t="shared" si="44"/>
        <v/>
      </c>
      <c r="F161" s="22">
        <v>23</v>
      </c>
      <c r="G161" s="9" t="str">
        <f t="shared" si="45"/>
        <v/>
      </c>
      <c r="H161" s="22">
        <v>38</v>
      </c>
      <c r="I161" s="9" t="str">
        <f t="shared" si="46"/>
        <v/>
      </c>
      <c r="J161" s="29">
        <v>46</v>
      </c>
      <c r="K161" s="9" t="str">
        <f t="shared" si="47"/>
        <v/>
      </c>
      <c r="L161" s="22">
        <v>23</v>
      </c>
      <c r="M161" s="9" t="str">
        <f t="shared" si="48"/>
        <v/>
      </c>
      <c r="N161" s="22">
        <v>19</v>
      </c>
      <c r="O161" s="9" t="str">
        <f t="shared" si="49"/>
        <v/>
      </c>
      <c r="P161" s="29">
        <v>65</v>
      </c>
      <c r="Q161" s="9" t="str">
        <f t="shared" si="50"/>
        <v/>
      </c>
      <c r="R161" s="22">
        <v>23</v>
      </c>
      <c r="S161" s="9" t="str">
        <f t="shared" si="51"/>
        <v/>
      </c>
      <c r="T161" s="22">
        <v>44</v>
      </c>
      <c r="U161" s="9" t="str">
        <f t="shared" si="52"/>
        <v/>
      </c>
      <c r="V161" s="29">
        <v>43</v>
      </c>
      <c r="W161" s="9" t="str">
        <f t="shared" si="53"/>
        <v/>
      </c>
      <c r="X161" s="22">
        <v>23</v>
      </c>
      <c r="Y161" s="9" t="str">
        <f t="shared" si="54"/>
        <v/>
      </c>
      <c r="Z161" s="22">
        <v>22</v>
      </c>
      <c r="AA161" s="9" t="str">
        <f t="shared" si="55"/>
        <v/>
      </c>
      <c r="AB161" s="29">
        <v>40</v>
      </c>
      <c r="AC161" s="9" t="str">
        <f t="shared" si="56"/>
        <v/>
      </c>
      <c r="AD161" s="22">
        <v>23</v>
      </c>
      <c r="AE161" s="9" t="str">
        <f t="shared" si="57"/>
        <v/>
      </c>
      <c r="AF161" s="22">
        <v>23</v>
      </c>
      <c r="AG161" s="9" t="str">
        <f t="shared" si="58"/>
        <v/>
      </c>
      <c r="AH161" s="22">
        <v>23</v>
      </c>
      <c r="AI161" s="9" t="str">
        <f t="shared" si="59"/>
        <v/>
      </c>
      <c r="AJ161" s="22">
        <v>23</v>
      </c>
      <c r="AK161" s="9" t="str">
        <f t="shared" si="60"/>
        <v/>
      </c>
      <c r="AL161" s="16">
        <f>IF(OR(AND(D161&gt;=31,D161&lt;40),AND(J161&gt;=31,J161&lt;40),AND(P161&gt;=31,P161&lt;40),AND(V161&gt;=31,V161&lt;40),AND(AB161&gt;=31,AB161&lt;40)),IF(AND(OR(COUNTIF(D161:AK161,"=31")&gt;=1,COUNTIF(D161:AK161,"=32")&gt;=1,COUNTIF(D161:AK161,"=33")&gt;=1,COUNTIF(D161:AK161,"=34")&gt;=1,COUNTIF(D161:AK161,"=35")&gt;=1,COUNTIF(D161:AK161,"=36")&gt;=1 ),COUNTIF(D161:AK161,"")=0,COUNTIF(D161:AK161," ")=0,COUNTIF(D161:AK161,"F")=1),CONCATENATE(SUM(EXTRACTNUMBER(D161),EXTRACTNUMBER(F161),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EXTRACTNUMBER(AD161),EXTRACTNUMBER(AF161),EXTRACTNUMBER(AH161),EXTRACTNUMBER(AJ161)),"*"),IF(AND(COUNTIF(D161:AK161,"=34")&gt;=1,COUNTIF(D161:AK161,"=35")&gt;=1,COUNTIF(D161:AK161,"f")=2,COUNTIF(D161:AK161,"")=0,COUNTIF(D161:AK161," ")=0),CONCATENATE(SUM(EXTRACTNUMBER(D161),EXTRACTNUMBER(F161),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EXTRACTNUMBER(AD161),EXTRACTNUMBER(AF161),EXTRACTNUMBER(AH161),EXTRACTNUMBER(AJ161)),"*"),IF(AND(COUNTIF(D161:AK161,"=36")&gt;=2,COUNTIF(D161:AK161,"f")=2,COUNTIF(D161:AK161,"")=0,COUNTIF(D161:AK161," ")=0),CONCATENATE(SUM(EXTRACTNUMBER(D161),EXTRACTNUMBER(F161),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EXTRACTNUMBER(AD161),EXTRACTNUMBER(AF161),EXTRACTNUMBER(AH161),EXTRACTNUMBER(AJ161)),"*"),SUM(EXTRACTNUMBER(D161),EXTRACTNUMBER(F161),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EXTRACTNUMBER(AD161),EXTRACTNUMBER(AF161),EXTRACTNUMBER(AH161),EXTRACTNUMBER(AJ161))))),SUM(EXTRACTNUMBER(D161),EXTRACTNUMBER(F161),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EXTRACTNUMBER(AD161),EXTRACTNUMBER(AF161),EXTRACTNUMBER(AH161),EXTRACTNUMBER(AJ161)))</f>
        <v>547</v>
      </c>
      <c r="AM161" s="72" t="s">
        <v>299</v>
      </c>
      <c r="AN161" s="11">
        <f t="shared" si="42"/>
        <v>1075</v>
      </c>
      <c r="AO161" s="11" t="str">
        <f t="shared" si="61"/>
        <v>PASS</v>
      </c>
      <c r="AP161" s="11" t="str">
        <f t="shared" si="43"/>
        <v>I</v>
      </c>
      <c r="AQ161" s="1" t="str">
        <f t="shared" si="62"/>
        <v xml:space="preserve">One Thousand Seventy Five </v>
      </c>
    </row>
    <row r="162" spans="2:43" ht="15.95" customHeight="1">
      <c r="B162" s="67">
        <v>136335</v>
      </c>
      <c r="C162" s="21" t="s">
        <v>158</v>
      </c>
      <c r="D162" s="24">
        <v>68</v>
      </c>
      <c r="E162" s="9" t="str">
        <f t="shared" si="44"/>
        <v/>
      </c>
      <c r="F162" s="22">
        <v>23</v>
      </c>
      <c r="G162" s="9" t="str">
        <f t="shared" si="45"/>
        <v/>
      </c>
      <c r="H162" s="22">
        <v>44</v>
      </c>
      <c r="I162" s="9" t="str">
        <f t="shared" si="46"/>
        <v/>
      </c>
      <c r="J162" s="29">
        <v>65</v>
      </c>
      <c r="K162" s="9" t="str">
        <f t="shared" si="47"/>
        <v/>
      </c>
      <c r="L162" s="22">
        <v>22</v>
      </c>
      <c r="M162" s="9" t="str">
        <f t="shared" si="48"/>
        <v/>
      </c>
      <c r="N162" s="22">
        <v>22</v>
      </c>
      <c r="O162" s="9" t="str">
        <f t="shared" si="49"/>
        <v/>
      </c>
      <c r="P162" s="29">
        <v>56</v>
      </c>
      <c r="Q162" s="9" t="str">
        <f t="shared" si="50"/>
        <v/>
      </c>
      <c r="R162" s="22">
        <v>20</v>
      </c>
      <c r="S162" s="9" t="str">
        <f t="shared" si="51"/>
        <v/>
      </c>
      <c r="T162" s="22">
        <v>38</v>
      </c>
      <c r="U162" s="9" t="str">
        <f t="shared" si="52"/>
        <v/>
      </c>
      <c r="V162" s="29">
        <v>71</v>
      </c>
      <c r="W162" s="9" t="str">
        <f t="shared" si="53"/>
        <v/>
      </c>
      <c r="X162" s="22">
        <v>20</v>
      </c>
      <c r="Y162" s="9" t="str">
        <f t="shared" si="54"/>
        <v/>
      </c>
      <c r="Z162" s="22">
        <v>21</v>
      </c>
      <c r="AA162" s="9" t="str">
        <f t="shared" si="55"/>
        <v/>
      </c>
      <c r="AB162" s="29">
        <v>54</v>
      </c>
      <c r="AC162" s="9" t="str">
        <f t="shared" si="56"/>
        <v/>
      </c>
      <c r="AD162" s="22">
        <v>20</v>
      </c>
      <c r="AE162" s="9" t="str">
        <f t="shared" si="57"/>
        <v/>
      </c>
      <c r="AF162" s="22">
        <v>21</v>
      </c>
      <c r="AG162" s="9" t="str">
        <f t="shared" si="58"/>
        <v/>
      </c>
      <c r="AH162" s="22">
        <v>20</v>
      </c>
      <c r="AI162" s="9" t="str">
        <f t="shared" si="59"/>
        <v/>
      </c>
      <c r="AJ162" s="22">
        <v>23</v>
      </c>
      <c r="AK162" s="9" t="str">
        <f t="shared" si="60"/>
        <v/>
      </c>
      <c r="AL162" s="16">
        <f>IF(OR(AND(D162&gt;=31,D162&lt;40),AND(J162&gt;=31,J162&lt;40),AND(P162&gt;=31,P162&lt;40),AND(V162&gt;=31,V162&lt;40),AND(AB162&gt;=31,AB162&lt;40)),IF(AND(OR(COUNTIF(D162:AK162,"=31")&gt;=1,COUNTIF(D162:AK162,"=32")&gt;=1,COUNTIF(D162:AK162,"=33")&gt;=1,COUNTIF(D162:AK162,"=34")&gt;=1,COUNTIF(D162:AK162,"=35")&gt;=1,COUNTIF(D162:AK162,"=36")&gt;=1 ),COUNTIF(D162:AK162,"")=0,COUNTIF(D162:AK162," ")=0,COUNTIF(D162:AK162,"F")=1),CONCATENATE(SUM(EXTRACTNUMBER(D162),EXTRACTNUMBER(F162),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EXTRACTNUMBER(AD162),EXTRACTNUMBER(AF162),EXTRACTNUMBER(AH162),EXTRACTNUMBER(AJ162)),"*"),IF(AND(COUNTIF(D162:AK162,"=34")&gt;=1,COUNTIF(D162:AK162,"=35")&gt;=1,COUNTIF(D162:AK162,"f")=2,COUNTIF(D162:AK162,"")=0,COUNTIF(D162:AK162," ")=0),CONCATENATE(SUM(EXTRACTNUMBER(D162),EXTRACTNUMBER(F162),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EXTRACTNUMBER(AD162),EXTRACTNUMBER(AF162),EXTRACTNUMBER(AH162),EXTRACTNUMBER(AJ162)),"*"),IF(AND(COUNTIF(D162:AK162,"=36")&gt;=2,COUNTIF(D162:AK162,"f")=2,COUNTIF(D162:AK162,"")=0,COUNTIF(D162:AK162," ")=0),CONCATENATE(SUM(EXTRACTNUMBER(D162),EXTRACTNUMBER(F162),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EXTRACTNUMBER(AD162),EXTRACTNUMBER(AF162),EXTRACTNUMBER(AH162),EXTRACTNUMBER(AJ162)),"*"),SUM(EXTRACTNUMBER(D162),EXTRACTNUMBER(F162),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EXTRACTNUMBER(AD162),EXTRACTNUMBER(AF162),EXTRACTNUMBER(AH162),EXTRACTNUMBER(AJ162))))),SUM(EXTRACTNUMBER(D162),EXTRACTNUMBER(F162),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EXTRACTNUMBER(AD162),EXTRACTNUMBER(AF162),EXTRACTNUMBER(AH162),EXTRACTNUMBER(AJ162)))</f>
        <v>608</v>
      </c>
      <c r="AM162" s="72" t="s">
        <v>276</v>
      </c>
      <c r="AN162" s="11">
        <f t="shared" si="42"/>
        <v>1208</v>
      </c>
      <c r="AO162" s="11" t="str">
        <f t="shared" si="61"/>
        <v>PASS</v>
      </c>
      <c r="AP162" s="11" t="str">
        <f t="shared" si="43"/>
        <v>I</v>
      </c>
      <c r="AQ162" s="1" t="str">
        <f t="shared" si="62"/>
        <v xml:space="preserve">One Thousand Two Hundred Eight </v>
      </c>
    </row>
    <row r="163" spans="2:43" ht="15.95" customHeight="1">
      <c r="B163" s="67">
        <v>136336</v>
      </c>
      <c r="C163" s="21" t="s">
        <v>159</v>
      </c>
      <c r="D163" s="24">
        <v>46</v>
      </c>
      <c r="E163" s="9" t="str">
        <f t="shared" si="44"/>
        <v/>
      </c>
      <c r="F163" s="22">
        <v>23</v>
      </c>
      <c r="G163" s="9" t="str">
        <f t="shared" si="45"/>
        <v/>
      </c>
      <c r="H163" s="22">
        <v>44</v>
      </c>
      <c r="I163" s="9" t="str">
        <f t="shared" si="46"/>
        <v/>
      </c>
      <c r="J163" s="29" t="s">
        <v>312</v>
      </c>
      <c r="K163" s="9" t="str">
        <f t="shared" si="47"/>
        <v/>
      </c>
      <c r="L163" s="22">
        <v>23</v>
      </c>
      <c r="M163" s="9" t="str">
        <f t="shared" si="48"/>
        <v/>
      </c>
      <c r="N163" s="22">
        <v>22</v>
      </c>
      <c r="O163" s="9" t="str">
        <f t="shared" si="49"/>
        <v/>
      </c>
      <c r="P163" s="29">
        <v>55</v>
      </c>
      <c r="Q163" s="9" t="str">
        <f t="shared" si="50"/>
        <v/>
      </c>
      <c r="R163" s="22">
        <v>23</v>
      </c>
      <c r="S163" s="9" t="str">
        <f t="shared" si="51"/>
        <v/>
      </c>
      <c r="T163" s="22">
        <v>44</v>
      </c>
      <c r="U163" s="9" t="str">
        <f t="shared" si="52"/>
        <v/>
      </c>
      <c r="V163" s="29">
        <v>42</v>
      </c>
      <c r="W163" s="9" t="str">
        <f t="shared" si="53"/>
        <v/>
      </c>
      <c r="X163" s="22">
        <v>23</v>
      </c>
      <c r="Y163" s="9" t="str">
        <f t="shared" si="54"/>
        <v/>
      </c>
      <c r="Z163" s="22">
        <v>22</v>
      </c>
      <c r="AA163" s="9" t="str">
        <f t="shared" si="55"/>
        <v/>
      </c>
      <c r="AB163" s="29">
        <v>49</v>
      </c>
      <c r="AC163" s="9" t="str">
        <f t="shared" si="56"/>
        <v/>
      </c>
      <c r="AD163" s="22">
        <v>23</v>
      </c>
      <c r="AE163" s="9" t="str">
        <f t="shared" si="57"/>
        <v/>
      </c>
      <c r="AF163" s="22">
        <v>20</v>
      </c>
      <c r="AG163" s="9" t="str">
        <f t="shared" si="58"/>
        <v/>
      </c>
      <c r="AH163" s="22">
        <v>23</v>
      </c>
      <c r="AI163" s="9" t="str">
        <f t="shared" si="59"/>
        <v/>
      </c>
      <c r="AJ163" s="22">
        <v>22</v>
      </c>
      <c r="AK163" s="9" t="str">
        <f t="shared" si="60"/>
        <v/>
      </c>
      <c r="AL163" s="86" t="s">
        <v>318</v>
      </c>
      <c r="AM163" s="72" t="s">
        <v>281</v>
      </c>
      <c r="AN163" s="86">
        <v>1059</v>
      </c>
      <c r="AO163" s="11" t="str">
        <f t="shared" si="61"/>
        <v>PASS</v>
      </c>
      <c r="AP163" s="11" t="s">
        <v>371</v>
      </c>
      <c r="AQ163" s="1" t="str">
        <f t="shared" si="62"/>
        <v xml:space="preserve">One Thousand Fifty Nine </v>
      </c>
    </row>
    <row r="164" spans="2:43" ht="15.95" customHeight="1">
      <c r="B164" s="67">
        <v>136337</v>
      </c>
      <c r="C164" s="21" t="s">
        <v>160</v>
      </c>
      <c r="D164" s="24">
        <v>54</v>
      </c>
      <c r="E164" s="9" t="str">
        <f t="shared" si="44"/>
        <v/>
      </c>
      <c r="F164" s="22">
        <v>20</v>
      </c>
      <c r="G164" s="9" t="str">
        <f t="shared" si="45"/>
        <v/>
      </c>
      <c r="H164" s="22">
        <v>38</v>
      </c>
      <c r="I164" s="9" t="str">
        <f t="shared" si="46"/>
        <v/>
      </c>
      <c r="J164" s="29">
        <v>48</v>
      </c>
      <c r="K164" s="9" t="str">
        <f t="shared" si="47"/>
        <v/>
      </c>
      <c r="L164" s="22">
        <v>20</v>
      </c>
      <c r="M164" s="9" t="str">
        <f t="shared" si="48"/>
        <v/>
      </c>
      <c r="N164" s="22">
        <v>20</v>
      </c>
      <c r="O164" s="9" t="str">
        <f t="shared" si="49"/>
        <v/>
      </c>
      <c r="P164" s="29">
        <v>60</v>
      </c>
      <c r="Q164" s="9" t="str">
        <f t="shared" si="50"/>
        <v/>
      </c>
      <c r="R164" s="22">
        <v>20</v>
      </c>
      <c r="S164" s="9" t="str">
        <f t="shared" si="51"/>
        <v/>
      </c>
      <c r="T164" s="22">
        <v>42</v>
      </c>
      <c r="U164" s="9" t="str">
        <f t="shared" si="52"/>
        <v/>
      </c>
      <c r="V164" s="29">
        <v>58</v>
      </c>
      <c r="W164" s="9" t="str">
        <f t="shared" si="53"/>
        <v/>
      </c>
      <c r="X164" s="22">
        <v>20</v>
      </c>
      <c r="Y164" s="9" t="str">
        <f t="shared" si="54"/>
        <v/>
      </c>
      <c r="Z164" s="22">
        <v>21</v>
      </c>
      <c r="AA164" s="9" t="str">
        <f t="shared" si="55"/>
        <v/>
      </c>
      <c r="AB164" s="29">
        <v>57</v>
      </c>
      <c r="AC164" s="9" t="str">
        <f t="shared" si="56"/>
        <v/>
      </c>
      <c r="AD164" s="22">
        <v>20</v>
      </c>
      <c r="AE164" s="9" t="str">
        <f t="shared" si="57"/>
        <v/>
      </c>
      <c r="AF164" s="22">
        <v>22</v>
      </c>
      <c r="AG164" s="9" t="str">
        <f t="shared" si="58"/>
        <v/>
      </c>
      <c r="AH164" s="22">
        <v>23</v>
      </c>
      <c r="AI164" s="9" t="str">
        <f t="shared" si="59"/>
        <v/>
      </c>
      <c r="AJ164" s="22">
        <v>21</v>
      </c>
      <c r="AK164" s="9" t="str">
        <f t="shared" si="60"/>
        <v/>
      </c>
      <c r="AL164" s="16">
        <f>IF(OR(AND(D164&gt;=31,D164&lt;40),AND(J164&gt;=31,J164&lt;40),AND(P164&gt;=31,P164&lt;40),AND(V164&gt;=31,V164&lt;40),AND(AB164&gt;=31,AB164&lt;40)),IF(AND(OR(COUNTIF(D164:AK164,"=31")&gt;=1,COUNTIF(D164:AK164,"=32")&gt;=1,COUNTIF(D164:AK164,"=33")&gt;=1,COUNTIF(D164:AK164,"=34")&gt;=1,COUNTIF(D164:AK164,"=35")&gt;=1,COUNTIF(D164:AK164,"=36")&gt;=1 ),COUNTIF(D164:AK164,"")=0,COUNTIF(D164:AK164," ")=0,COUNTIF(D164:AK164,"F")=1),CONCATENATE(SUM(EXTRACTNUMBER(D164),EXTRACTNUMBER(F164),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EXTRACTNUMBER(AD164),EXTRACTNUMBER(AF164),EXTRACTNUMBER(AH164),EXTRACTNUMBER(AJ164)),"*"),IF(AND(COUNTIF(D164:AK164,"=34")&gt;=1,COUNTIF(D164:AK164,"=35")&gt;=1,COUNTIF(D164:AK164,"f")=2,COUNTIF(D164:AK164,"")=0,COUNTIF(D164:AK164," ")=0),CONCATENATE(SUM(EXTRACTNUMBER(D164),EXTRACTNUMBER(F164),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EXTRACTNUMBER(AD164),EXTRACTNUMBER(AF164),EXTRACTNUMBER(AH164),EXTRACTNUMBER(AJ164)),"*"),IF(AND(COUNTIF(D164:AK164,"=36")&gt;=2,COUNTIF(D164:AK164,"f")=2,COUNTIF(D164:AK164,"")=0,COUNTIF(D164:AK164," ")=0),CONCATENATE(SUM(EXTRACTNUMBER(D164),EXTRACTNUMBER(F164),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EXTRACTNUMBER(AD164),EXTRACTNUMBER(AF164),EXTRACTNUMBER(AH164),EXTRACTNUMBER(AJ164)),"*"),SUM(EXTRACTNUMBER(D164),EXTRACTNUMBER(F164),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EXTRACTNUMBER(AD164),EXTRACTNUMBER(AF164),EXTRACTNUMBER(AH164),EXTRACTNUMBER(AJ164))))),SUM(EXTRACTNUMBER(D164),EXTRACTNUMBER(F164),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EXTRACTNUMBER(AD164),EXTRACTNUMBER(AF164),EXTRACTNUMBER(AH164),EXTRACTNUMBER(AJ164)))</f>
        <v>564</v>
      </c>
      <c r="AM164" s="72" t="s">
        <v>300</v>
      </c>
      <c r="AN164" s="11">
        <f t="shared" si="42"/>
        <v>1066</v>
      </c>
      <c r="AO164" s="11" t="str">
        <f t="shared" si="61"/>
        <v>PASS</v>
      </c>
      <c r="AP164" s="11" t="str">
        <f t="shared" si="43"/>
        <v>I</v>
      </c>
      <c r="AQ164" s="1" t="str">
        <f t="shared" si="62"/>
        <v xml:space="preserve">One Thousand Sixty Six </v>
      </c>
    </row>
    <row r="165" spans="2:43" ht="15.95" customHeight="1">
      <c r="B165" s="67">
        <v>136338</v>
      </c>
      <c r="C165" s="21" t="s">
        <v>161</v>
      </c>
      <c r="D165" s="24">
        <v>56</v>
      </c>
      <c r="E165" s="9" t="str">
        <f t="shared" si="44"/>
        <v/>
      </c>
      <c r="F165" s="22">
        <v>21</v>
      </c>
      <c r="G165" s="9" t="str">
        <f t="shared" si="45"/>
        <v/>
      </c>
      <c r="H165" s="22">
        <v>42</v>
      </c>
      <c r="I165" s="9" t="str">
        <f t="shared" si="46"/>
        <v/>
      </c>
      <c r="J165" s="29">
        <v>69</v>
      </c>
      <c r="K165" s="9" t="str">
        <f t="shared" si="47"/>
        <v/>
      </c>
      <c r="L165" s="22">
        <v>21</v>
      </c>
      <c r="M165" s="9" t="str">
        <f t="shared" si="48"/>
        <v/>
      </c>
      <c r="N165" s="22">
        <v>21</v>
      </c>
      <c r="O165" s="9" t="str">
        <f t="shared" si="49"/>
        <v/>
      </c>
      <c r="P165" s="29">
        <v>63</v>
      </c>
      <c r="Q165" s="9" t="str">
        <f t="shared" si="50"/>
        <v/>
      </c>
      <c r="R165" s="22">
        <v>21</v>
      </c>
      <c r="S165" s="9" t="str">
        <f t="shared" si="51"/>
        <v/>
      </c>
      <c r="T165" s="22">
        <v>38</v>
      </c>
      <c r="U165" s="9" t="str">
        <f t="shared" si="52"/>
        <v/>
      </c>
      <c r="V165" s="29">
        <v>62</v>
      </c>
      <c r="W165" s="9" t="str">
        <f t="shared" si="53"/>
        <v/>
      </c>
      <c r="X165" s="22">
        <v>21</v>
      </c>
      <c r="Y165" s="9" t="str">
        <f t="shared" si="54"/>
        <v/>
      </c>
      <c r="Z165" s="22">
        <v>22</v>
      </c>
      <c r="AA165" s="9" t="str">
        <f t="shared" si="55"/>
        <v/>
      </c>
      <c r="AB165" s="29">
        <v>51</v>
      </c>
      <c r="AC165" s="9" t="str">
        <f t="shared" si="56"/>
        <v/>
      </c>
      <c r="AD165" s="22">
        <v>21</v>
      </c>
      <c r="AE165" s="9" t="str">
        <f t="shared" si="57"/>
        <v/>
      </c>
      <c r="AF165" s="22">
        <v>21</v>
      </c>
      <c r="AG165" s="9" t="str">
        <f t="shared" si="58"/>
        <v/>
      </c>
      <c r="AH165" s="22">
        <v>22</v>
      </c>
      <c r="AI165" s="9" t="str">
        <f t="shared" si="59"/>
        <v/>
      </c>
      <c r="AJ165" s="22">
        <v>22</v>
      </c>
      <c r="AK165" s="9" t="str">
        <f t="shared" si="60"/>
        <v/>
      </c>
      <c r="AL165" s="16">
        <f>IF(OR(AND(D165&gt;=31,D165&lt;40),AND(J165&gt;=31,J165&lt;40),AND(P165&gt;=31,P165&lt;40),AND(V165&gt;=31,V165&lt;40),AND(AB165&gt;=31,AB165&lt;40)),IF(AND(OR(COUNTIF(D165:AK165,"=31")&gt;=1,COUNTIF(D165:AK165,"=32")&gt;=1,COUNTIF(D165:AK165,"=33")&gt;=1,COUNTIF(D165:AK165,"=34")&gt;=1,COUNTIF(D165:AK165,"=35")&gt;=1,COUNTIF(D165:AK165,"=36")&gt;=1 ),COUNTIF(D165:AK165,"")=0,COUNTIF(D165:AK165," ")=0,COUNTIF(D165:AK165,"F")=1),CONCATENATE(SUM(EXTRACTNUMBER(D165),EXTRACTNUMBER(F165),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EXTRACTNUMBER(AD165),EXTRACTNUMBER(AF165),EXTRACTNUMBER(AH165),EXTRACTNUMBER(AJ165)),"*"),IF(AND(COUNTIF(D165:AK165,"=34")&gt;=1,COUNTIF(D165:AK165,"=35")&gt;=1,COUNTIF(D165:AK165,"f")=2,COUNTIF(D165:AK165,"")=0,COUNTIF(D165:AK165," ")=0),CONCATENATE(SUM(EXTRACTNUMBER(D165),EXTRACTNUMBER(F165),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EXTRACTNUMBER(AD165),EXTRACTNUMBER(AF165),EXTRACTNUMBER(AH165),EXTRACTNUMBER(AJ165)),"*"),IF(AND(COUNTIF(D165:AK165,"=36")&gt;=2,COUNTIF(D165:AK165,"f")=2,COUNTIF(D165:AK165,"")=0,COUNTIF(D165:AK165," ")=0),CONCATENATE(SUM(EXTRACTNUMBER(D165),EXTRACTNUMBER(F165),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EXTRACTNUMBER(AD165),EXTRACTNUMBER(AF165),EXTRACTNUMBER(AH165),EXTRACTNUMBER(AJ165)),"*"),SUM(EXTRACTNUMBER(D165),EXTRACTNUMBER(F165),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EXTRACTNUMBER(AD165),EXTRACTNUMBER(AF165),EXTRACTNUMBER(AH165),EXTRACTNUMBER(AJ165))))),SUM(EXTRACTNUMBER(D165),EXTRACTNUMBER(F165),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EXTRACTNUMBER(AD165),EXTRACTNUMBER(AF165),EXTRACTNUMBER(AH165),EXTRACTNUMBER(AJ165)))</f>
        <v>594</v>
      </c>
      <c r="AM165" s="72" t="s">
        <v>301</v>
      </c>
      <c r="AN165" s="11">
        <f t="shared" si="42"/>
        <v>1153</v>
      </c>
      <c r="AO165" s="11" t="str">
        <f t="shared" si="61"/>
        <v>PASS</v>
      </c>
      <c r="AP165" s="11" t="str">
        <f t="shared" si="43"/>
        <v>I</v>
      </c>
      <c r="AQ165" s="1" t="str">
        <f t="shared" si="62"/>
        <v xml:space="preserve">One Thousand One Hundred Fifty Three </v>
      </c>
    </row>
    <row r="166" spans="2:43" ht="15.95" customHeight="1">
      <c r="B166" s="67">
        <v>136339</v>
      </c>
      <c r="C166" s="21" t="s">
        <v>162</v>
      </c>
      <c r="D166" s="24">
        <v>61</v>
      </c>
      <c r="E166" s="9" t="str">
        <f t="shared" si="44"/>
        <v/>
      </c>
      <c r="F166" s="22">
        <v>22</v>
      </c>
      <c r="G166" s="9" t="str">
        <f t="shared" si="45"/>
        <v/>
      </c>
      <c r="H166" s="22">
        <v>44</v>
      </c>
      <c r="I166" s="9" t="str">
        <f t="shared" si="46"/>
        <v/>
      </c>
      <c r="J166" s="29">
        <v>62</v>
      </c>
      <c r="K166" s="9" t="str">
        <f t="shared" si="47"/>
        <v/>
      </c>
      <c r="L166" s="22">
        <v>22</v>
      </c>
      <c r="M166" s="9" t="str">
        <f t="shared" si="48"/>
        <v/>
      </c>
      <c r="N166" s="22">
        <v>22</v>
      </c>
      <c r="O166" s="9" t="str">
        <f t="shared" si="49"/>
        <v/>
      </c>
      <c r="P166" s="29">
        <v>67</v>
      </c>
      <c r="Q166" s="9" t="str">
        <f t="shared" si="50"/>
        <v/>
      </c>
      <c r="R166" s="22">
        <v>22</v>
      </c>
      <c r="S166" s="9" t="str">
        <f t="shared" si="51"/>
        <v/>
      </c>
      <c r="T166" s="22">
        <v>38</v>
      </c>
      <c r="U166" s="9" t="str">
        <f t="shared" si="52"/>
        <v/>
      </c>
      <c r="V166" s="29">
        <v>68</v>
      </c>
      <c r="W166" s="9" t="str">
        <f t="shared" si="53"/>
        <v/>
      </c>
      <c r="X166" s="22">
        <v>22</v>
      </c>
      <c r="Y166" s="9" t="str">
        <f t="shared" si="54"/>
        <v/>
      </c>
      <c r="Z166" s="22">
        <v>22</v>
      </c>
      <c r="AA166" s="9" t="str">
        <f t="shared" si="55"/>
        <v/>
      </c>
      <c r="AB166" s="29">
        <v>59</v>
      </c>
      <c r="AC166" s="9" t="str">
        <f t="shared" si="56"/>
        <v/>
      </c>
      <c r="AD166" s="22">
        <v>22</v>
      </c>
      <c r="AE166" s="9" t="str">
        <f t="shared" si="57"/>
        <v/>
      </c>
      <c r="AF166" s="22">
        <v>21</v>
      </c>
      <c r="AG166" s="9" t="str">
        <f t="shared" si="58"/>
        <v/>
      </c>
      <c r="AH166" s="22">
        <v>22</v>
      </c>
      <c r="AI166" s="9" t="str">
        <f t="shared" si="59"/>
        <v/>
      </c>
      <c r="AJ166" s="22">
        <v>20</v>
      </c>
      <c r="AK166" s="9" t="str">
        <f t="shared" si="60"/>
        <v/>
      </c>
      <c r="AL166" s="16">
        <f>IF(OR(AND(D166&gt;=31,D166&lt;40),AND(J166&gt;=31,J166&lt;40),AND(P166&gt;=31,P166&lt;40),AND(V166&gt;=31,V166&lt;40),AND(AB166&gt;=31,AB166&lt;40)),IF(AND(OR(COUNTIF(D166:AK166,"=31")&gt;=1,COUNTIF(D166:AK166,"=32")&gt;=1,COUNTIF(D166:AK166,"=33")&gt;=1,COUNTIF(D166:AK166,"=34")&gt;=1,COUNTIF(D166:AK166,"=35")&gt;=1,COUNTIF(D166:AK166,"=36")&gt;=1 ),COUNTIF(D166:AK166,"")=0,COUNTIF(D166:AK166," ")=0,COUNTIF(D166:AK166,"F")=1),CONCATENATE(SUM(EXTRACTNUMBER(D166),EXTRACTNUMBER(F166),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EXTRACTNUMBER(AD166),EXTRACTNUMBER(AF166),EXTRACTNUMBER(AH166),EXTRACTNUMBER(AJ166)),"*"),IF(AND(COUNTIF(D166:AK166,"=34")&gt;=1,COUNTIF(D166:AK166,"=35")&gt;=1,COUNTIF(D166:AK166,"f")=2,COUNTIF(D166:AK166,"")=0,COUNTIF(D166:AK166," ")=0),CONCATENATE(SUM(EXTRACTNUMBER(D166),EXTRACTNUMBER(F166),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EXTRACTNUMBER(AD166),EXTRACTNUMBER(AF166),EXTRACTNUMBER(AH166),EXTRACTNUMBER(AJ166)),"*"),IF(AND(COUNTIF(D166:AK166,"=36")&gt;=2,COUNTIF(D166:AK166,"f")=2,COUNTIF(D166:AK166,"")=0,COUNTIF(D166:AK166," ")=0),CONCATENATE(SUM(EXTRACTNUMBER(D166),EXTRACTNUMBER(F166),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EXTRACTNUMBER(AD166),EXTRACTNUMBER(AF166),EXTRACTNUMBER(AH166),EXTRACTNUMBER(AJ166)),"*"),SUM(EXTRACTNUMBER(D166),EXTRACTNUMBER(F166),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EXTRACTNUMBER(AD166),EXTRACTNUMBER(AF166),EXTRACTNUMBER(AH166),EXTRACTNUMBER(AJ166))))),SUM(EXTRACTNUMBER(D166),EXTRACTNUMBER(F166),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EXTRACTNUMBER(AD166),EXTRACTNUMBER(AF166),EXTRACTNUMBER(AH166),EXTRACTNUMBER(AJ166)))</f>
        <v>616</v>
      </c>
      <c r="AM166" s="72" t="s">
        <v>302</v>
      </c>
      <c r="AN166" s="11">
        <f t="shared" si="42"/>
        <v>1215</v>
      </c>
      <c r="AO166" s="11" t="str">
        <f t="shared" si="61"/>
        <v>PASS</v>
      </c>
      <c r="AP166" s="11" t="str">
        <f t="shared" si="43"/>
        <v>I</v>
      </c>
      <c r="AQ166" s="1" t="str">
        <f t="shared" si="62"/>
        <v xml:space="preserve">One Thousand Two Hundred Fifteen </v>
      </c>
    </row>
    <row r="167" spans="2:43" ht="15.95" customHeight="1">
      <c r="B167" s="67">
        <v>136340</v>
      </c>
      <c r="C167" s="21" t="s">
        <v>163</v>
      </c>
      <c r="D167" s="24">
        <v>40</v>
      </c>
      <c r="E167" s="9" t="str">
        <f t="shared" si="44"/>
        <v/>
      </c>
      <c r="F167" s="22">
        <v>22</v>
      </c>
      <c r="G167" s="9" t="str">
        <f t="shared" si="45"/>
        <v/>
      </c>
      <c r="H167" s="22">
        <v>42</v>
      </c>
      <c r="I167" s="9" t="str">
        <f t="shared" si="46"/>
        <v/>
      </c>
      <c r="J167" s="29">
        <v>50</v>
      </c>
      <c r="K167" s="9" t="str">
        <f t="shared" si="47"/>
        <v/>
      </c>
      <c r="L167" s="22">
        <v>22</v>
      </c>
      <c r="M167" s="9" t="str">
        <f t="shared" si="48"/>
        <v/>
      </c>
      <c r="N167" s="22">
        <v>21</v>
      </c>
      <c r="O167" s="9" t="str">
        <f t="shared" si="49"/>
        <v/>
      </c>
      <c r="P167" s="29">
        <v>51</v>
      </c>
      <c r="Q167" s="9" t="str">
        <f t="shared" si="50"/>
        <v/>
      </c>
      <c r="R167" s="22">
        <v>22</v>
      </c>
      <c r="S167" s="9" t="str">
        <f t="shared" si="51"/>
        <v/>
      </c>
      <c r="T167" s="22">
        <v>42</v>
      </c>
      <c r="U167" s="9" t="str">
        <f t="shared" si="52"/>
        <v/>
      </c>
      <c r="V167" s="29">
        <v>42</v>
      </c>
      <c r="W167" s="9" t="str">
        <f t="shared" si="53"/>
        <v/>
      </c>
      <c r="X167" s="22">
        <v>22</v>
      </c>
      <c r="Y167" s="9" t="str">
        <f t="shared" si="54"/>
        <v/>
      </c>
      <c r="Z167" s="22">
        <v>22</v>
      </c>
      <c r="AA167" s="9" t="str">
        <f t="shared" si="55"/>
        <v/>
      </c>
      <c r="AB167" s="29">
        <v>40</v>
      </c>
      <c r="AC167" s="9" t="str">
        <f t="shared" si="56"/>
        <v/>
      </c>
      <c r="AD167" s="22">
        <v>22</v>
      </c>
      <c r="AE167" s="9" t="str">
        <f t="shared" si="57"/>
        <v/>
      </c>
      <c r="AF167" s="22">
        <v>21</v>
      </c>
      <c r="AG167" s="9" t="str">
        <f t="shared" si="58"/>
        <v/>
      </c>
      <c r="AH167" s="22">
        <v>22</v>
      </c>
      <c r="AI167" s="9" t="str">
        <f t="shared" si="59"/>
        <v/>
      </c>
      <c r="AJ167" s="22">
        <v>23</v>
      </c>
      <c r="AK167" s="9" t="str">
        <f t="shared" si="60"/>
        <v/>
      </c>
      <c r="AL167" s="16">
        <f>IF(OR(AND(D167&gt;=31,D167&lt;40),AND(J167&gt;=31,J167&lt;40),AND(P167&gt;=31,P167&lt;40),AND(V167&gt;=31,V167&lt;40),AND(AB167&gt;=31,AB167&lt;40)),IF(AND(OR(COUNTIF(D167:AK167,"=31")&gt;=1,COUNTIF(D167:AK167,"=32")&gt;=1,COUNTIF(D167:AK167,"=33")&gt;=1,COUNTIF(D167:AK167,"=34")&gt;=1,COUNTIF(D167:AK167,"=35")&gt;=1,COUNTIF(D167:AK167,"=36")&gt;=1 ),COUNTIF(D167:AK167,"")=0,COUNTIF(D167:AK167," ")=0,COUNTIF(D167:AK167,"F")=1),CONCATENATE(SUM(EXTRACTNUMBER(D167),EXTRACTNUMBER(F167),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EXTRACTNUMBER(AD167),EXTRACTNUMBER(AF167),EXTRACTNUMBER(AH167),EXTRACTNUMBER(AJ167)),"*"),IF(AND(COUNTIF(D167:AK167,"=34")&gt;=1,COUNTIF(D167:AK167,"=35")&gt;=1,COUNTIF(D167:AK167,"f")=2,COUNTIF(D167:AK167,"")=0,COUNTIF(D167:AK167," ")=0),CONCATENATE(SUM(EXTRACTNUMBER(D167),EXTRACTNUMBER(F167),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EXTRACTNUMBER(AD167),EXTRACTNUMBER(AF167),EXTRACTNUMBER(AH167),EXTRACTNUMBER(AJ167)),"*"),IF(AND(COUNTIF(D167:AK167,"=36")&gt;=2,COUNTIF(D167:AK167,"f")=2,COUNTIF(D167:AK167,"")=0,COUNTIF(D167:AK167," ")=0),CONCATENATE(SUM(EXTRACTNUMBER(D167),EXTRACTNUMBER(F167),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EXTRACTNUMBER(AD167),EXTRACTNUMBER(AF167),EXTRACTNUMBER(AH167),EXTRACTNUMBER(AJ167)),"*"),SUM(EXTRACTNUMBER(D167),EXTRACTNUMBER(F167),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EXTRACTNUMBER(AD167),EXTRACTNUMBER(AF167),EXTRACTNUMBER(AH167),EXTRACTNUMBER(AJ167))))),SUM(EXTRACTNUMBER(D167),EXTRACTNUMBER(F167),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EXTRACTNUMBER(AD167),EXTRACTNUMBER(AF167),EXTRACTNUMBER(AH167),EXTRACTNUMBER(AJ167)))</f>
        <v>526</v>
      </c>
      <c r="AM167" s="72" t="s">
        <v>225</v>
      </c>
      <c r="AN167" s="11">
        <v>1016</v>
      </c>
      <c r="AO167" s="11" t="str">
        <f t="shared" si="61"/>
        <v>PASS</v>
      </c>
      <c r="AP167" s="11" t="str">
        <f t="shared" si="43"/>
        <v>I</v>
      </c>
      <c r="AQ167" s="1" t="str">
        <f t="shared" si="62"/>
        <v xml:space="preserve">One Thousand Sixteen </v>
      </c>
    </row>
    <row r="168" spans="2:43" ht="15.95" customHeight="1">
      <c r="B168" s="67">
        <v>136341</v>
      </c>
      <c r="C168" s="21" t="s">
        <v>164</v>
      </c>
      <c r="D168" s="24">
        <v>59</v>
      </c>
      <c r="E168" s="9" t="str">
        <f t="shared" si="44"/>
        <v/>
      </c>
      <c r="F168" s="22">
        <v>23</v>
      </c>
      <c r="G168" s="9" t="str">
        <f t="shared" si="45"/>
        <v/>
      </c>
      <c r="H168" s="22">
        <v>46</v>
      </c>
      <c r="I168" s="9" t="str">
        <f t="shared" si="46"/>
        <v/>
      </c>
      <c r="J168" s="29">
        <v>53</v>
      </c>
      <c r="K168" s="9" t="str">
        <f t="shared" si="47"/>
        <v/>
      </c>
      <c r="L168" s="22">
        <v>23</v>
      </c>
      <c r="M168" s="9" t="str">
        <f t="shared" si="48"/>
        <v/>
      </c>
      <c r="N168" s="22">
        <v>23</v>
      </c>
      <c r="O168" s="9" t="str">
        <f t="shared" si="49"/>
        <v/>
      </c>
      <c r="P168" s="29">
        <v>74</v>
      </c>
      <c r="Q168" s="9" t="str">
        <f t="shared" si="50"/>
        <v/>
      </c>
      <c r="R168" s="22">
        <v>23</v>
      </c>
      <c r="S168" s="9" t="str">
        <f t="shared" si="51"/>
        <v/>
      </c>
      <c r="T168" s="22">
        <v>44</v>
      </c>
      <c r="U168" s="9" t="str">
        <f t="shared" si="52"/>
        <v/>
      </c>
      <c r="V168" s="29">
        <v>69</v>
      </c>
      <c r="W168" s="9" t="str">
        <f t="shared" si="53"/>
        <v/>
      </c>
      <c r="X168" s="22">
        <v>23</v>
      </c>
      <c r="Y168" s="9" t="str">
        <f t="shared" si="54"/>
        <v/>
      </c>
      <c r="Z168" s="22">
        <v>23</v>
      </c>
      <c r="AA168" s="9" t="str">
        <f t="shared" si="55"/>
        <v/>
      </c>
      <c r="AB168" s="29">
        <v>65</v>
      </c>
      <c r="AC168" s="9" t="str">
        <f t="shared" si="56"/>
        <v/>
      </c>
      <c r="AD168" s="22">
        <v>23</v>
      </c>
      <c r="AE168" s="9" t="str">
        <f t="shared" si="57"/>
        <v/>
      </c>
      <c r="AF168" s="22">
        <v>23</v>
      </c>
      <c r="AG168" s="9" t="str">
        <f t="shared" si="58"/>
        <v/>
      </c>
      <c r="AH168" s="22">
        <v>22</v>
      </c>
      <c r="AI168" s="9" t="str">
        <f t="shared" si="59"/>
        <v/>
      </c>
      <c r="AJ168" s="22">
        <v>22</v>
      </c>
      <c r="AK168" s="9" t="str">
        <f t="shared" si="60"/>
        <v/>
      </c>
      <c r="AL168" s="16">
        <f>IF(OR(AND(D168&gt;=31,D168&lt;40),AND(J168&gt;=31,J168&lt;40),AND(P168&gt;=31,P168&lt;40),AND(V168&gt;=31,V168&lt;40),AND(AB168&gt;=31,AB168&lt;40)),IF(AND(OR(COUNTIF(D168:AK168,"=31")&gt;=1,COUNTIF(D168:AK168,"=32")&gt;=1,COUNTIF(D168:AK168,"=33")&gt;=1,COUNTIF(D168:AK168,"=34")&gt;=1,COUNTIF(D168:AK168,"=35")&gt;=1,COUNTIF(D168:AK168,"=36")&gt;=1 ),COUNTIF(D168:AK168,"")=0,COUNTIF(D168:AK168," ")=0,COUNTIF(D168:AK168,"F")=1),CONCATENATE(SUM(EXTRACTNUMBER(D168),EXTRACTNUMBER(F168),
EXTRACTNUMBER(H168),EXTRACTNUMBER(J168),
EXTRACTNUMBER(L168),EXTRACTNUMBER(N168),
EXTRACTNUMBER(P168),EXTRACTNUMBER(R168),
EXTRACTNUMBER(T168),EXTRACTNUMBER(V168),
EXTRACTNUMBER(X168),EXTRACTNUMBER(Z168),EXTRACTNUMBER(AB168),
EXTRACTNUMBER(AD168),EXTRACTNUMBER(AF168),EXTRACTNUMBER(AH168),EXTRACTNUMBER(AJ168)),"*"),IF(AND(COUNTIF(D168:AK168,"=34")&gt;=1,COUNTIF(D168:AK168,"=35")&gt;=1,COUNTIF(D168:AK168,"f")=2,COUNTIF(D168:AK168,"")=0,COUNTIF(D168:AK168," ")=0),CONCATENATE(SUM(EXTRACTNUMBER(D168),EXTRACTNUMBER(F168),
EXTRACTNUMBER(H168),EXTRACTNUMBER(J168),
EXTRACTNUMBER(L168),EXTRACTNUMBER(N168),
EXTRACTNUMBER(P168),EXTRACTNUMBER(R168),
EXTRACTNUMBER(T168),EXTRACTNUMBER(V168),
EXTRACTNUMBER(X168),EXTRACTNUMBER(Z168),EXTRACTNUMBER(AB168),
EXTRACTNUMBER(AD168),EXTRACTNUMBER(AF168),EXTRACTNUMBER(AH168),EXTRACTNUMBER(AJ168)),"*"),IF(AND(COUNTIF(D168:AK168,"=36")&gt;=2,COUNTIF(D168:AK168,"f")=2,COUNTIF(D168:AK168,"")=0,COUNTIF(D168:AK168," ")=0),CONCATENATE(SUM(EXTRACTNUMBER(D168),EXTRACTNUMBER(F168),
EXTRACTNUMBER(H168),EXTRACTNUMBER(J168),
EXTRACTNUMBER(L168),EXTRACTNUMBER(N168),
EXTRACTNUMBER(P168),EXTRACTNUMBER(R168),
EXTRACTNUMBER(T168),EXTRACTNUMBER(V168),
EXTRACTNUMBER(X168),EXTRACTNUMBER(Z168),EXTRACTNUMBER(AB168),
EXTRACTNUMBER(AD168),EXTRACTNUMBER(AF168),EXTRACTNUMBER(AH168),EXTRACTNUMBER(AJ168)),"*"),SUM(EXTRACTNUMBER(D168),EXTRACTNUMBER(F168),
EXTRACTNUMBER(H168),EXTRACTNUMBER(J168),
EXTRACTNUMBER(L168),EXTRACTNUMBER(N168),
EXTRACTNUMBER(P168),EXTRACTNUMBER(R168),
EXTRACTNUMBER(T168),EXTRACTNUMBER(V168),
EXTRACTNUMBER(X168),EXTRACTNUMBER(Z168),EXTRACTNUMBER(AB168),
EXTRACTNUMBER(AD168),EXTRACTNUMBER(AF168),EXTRACTNUMBER(AH168),EXTRACTNUMBER(AJ168))))),SUM(EXTRACTNUMBER(D168),EXTRACTNUMBER(F168),
EXTRACTNUMBER(H168),EXTRACTNUMBER(J168),
EXTRACTNUMBER(L168),EXTRACTNUMBER(N168),
EXTRACTNUMBER(P168),EXTRACTNUMBER(R168),
EXTRACTNUMBER(T168),EXTRACTNUMBER(V168),
EXTRACTNUMBER(X168),EXTRACTNUMBER(Z168),EXTRACTNUMBER(AB168),
EXTRACTNUMBER(AD168),EXTRACTNUMBER(AF168),EXTRACTNUMBER(AH168),EXTRACTNUMBER(AJ168)))</f>
        <v>638</v>
      </c>
      <c r="AM168" s="72" t="s">
        <v>247</v>
      </c>
      <c r="AN168" s="11">
        <f t="shared" si="42"/>
        <v>1153</v>
      </c>
      <c r="AO168" s="11" t="str">
        <f t="shared" si="61"/>
        <v>PASS</v>
      </c>
      <c r="AP168" s="11" t="str">
        <f t="shared" si="43"/>
        <v>I</v>
      </c>
      <c r="AQ168" s="1" t="str">
        <f t="shared" si="62"/>
        <v xml:space="preserve">One Thousand One Hundred Fifty Three </v>
      </c>
    </row>
    <row r="169" spans="2:43" ht="15.95" customHeight="1">
      <c r="B169" s="67">
        <v>136342</v>
      </c>
      <c r="C169" s="21" t="s">
        <v>165</v>
      </c>
      <c r="D169" s="24">
        <v>59</v>
      </c>
      <c r="E169" s="9" t="str">
        <f t="shared" si="44"/>
        <v/>
      </c>
      <c r="F169" s="22">
        <v>23</v>
      </c>
      <c r="G169" s="9" t="str">
        <f t="shared" si="45"/>
        <v/>
      </c>
      <c r="H169" s="22">
        <v>44</v>
      </c>
      <c r="I169" s="9" t="str">
        <f t="shared" si="46"/>
        <v/>
      </c>
      <c r="J169" s="29">
        <v>62</v>
      </c>
      <c r="K169" s="9" t="str">
        <f t="shared" si="47"/>
        <v/>
      </c>
      <c r="L169" s="22">
        <v>23</v>
      </c>
      <c r="M169" s="9" t="str">
        <f t="shared" si="48"/>
        <v/>
      </c>
      <c r="N169" s="22">
        <v>22</v>
      </c>
      <c r="O169" s="9" t="str">
        <f t="shared" si="49"/>
        <v/>
      </c>
      <c r="P169" s="29">
        <v>57</v>
      </c>
      <c r="Q169" s="9" t="str">
        <f t="shared" si="50"/>
        <v/>
      </c>
      <c r="R169" s="22">
        <v>23</v>
      </c>
      <c r="S169" s="9" t="str">
        <f t="shared" si="51"/>
        <v/>
      </c>
      <c r="T169" s="22">
        <v>42</v>
      </c>
      <c r="U169" s="9" t="str">
        <f t="shared" si="52"/>
        <v/>
      </c>
      <c r="V169" s="29">
        <v>57</v>
      </c>
      <c r="W169" s="9" t="str">
        <f t="shared" si="53"/>
        <v/>
      </c>
      <c r="X169" s="22">
        <v>23</v>
      </c>
      <c r="Y169" s="9" t="str">
        <f t="shared" si="54"/>
        <v/>
      </c>
      <c r="Z169" s="22">
        <v>23</v>
      </c>
      <c r="AA169" s="9" t="str">
        <f t="shared" si="55"/>
        <v/>
      </c>
      <c r="AB169" s="29">
        <v>57</v>
      </c>
      <c r="AC169" s="9" t="str">
        <f t="shared" si="56"/>
        <v/>
      </c>
      <c r="AD169" s="22">
        <v>23</v>
      </c>
      <c r="AE169" s="9" t="str">
        <f t="shared" si="57"/>
        <v/>
      </c>
      <c r="AF169" s="22">
        <v>21</v>
      </c>
      <c r="AG169" s="9" t="str">
        <f t="shared" si="58"/>
        <v/>
      </c>
      <c r="AH169" s="22">
        <v>23</v>
      </c>
      <c r="AI169" s="9" t="str">
        <f t="shared" si="59"/>
        <v/>
      </c>
      <c r="AJ169" s="22">
        <v>23</v>
      </c>
      <c r="AK169" s="9" t="str">
        <f t="shared" si="60"/>
        <v/>
      </c>
      <c r="AL169" s="16">
        <f>IF(OR(AND(D169&gt;=31,D169&lt;40),AND(J169&gt;=31,J169&lt;40),AND(P169&gt;=31,P169&lt;40),AND(V169&gt;=31,V169&lt;40),AND(AB169&gt;=31,AB169&lt;40)),IF(AND(OR(COUNTIF(D169:AK169,"=31")&gt;=1,COUNTIF(D169:AK169,"=32")&gt;=1,COUNTIF(D169:AK169,"=33")&gt;=1,COUNTIF(D169:AK169,"=34")&gt;=1,COUNTIF(D169:AK169,"=35")&gt;=1,COUNTIF(D169:AK169,"=36")&gt;=1 ),COUNTIF(D169:AK169,"")=0,COUNTIF(D169:AK169," ")=0,COUNTIF(D169:AK169,"F")=1),CONCATENATE(SUM(EXTRACTNUMBER(D169),EXTRACTNUMBER(F169),
EXTRACTNUMBER(H169),EXTRACTNUMBER(J169),
EXTRACTNUMBER(L169),EXTRACTNUMBER(N169),
EXTRACTNUMBER(P169),EXTRACTNUMBER(R169),
EXTRACTNUMBER(T169),EXTRACTNUMBER(V169),
EXTRACTNUMBER(X169),EXTRACTNUMBER(Z169),EXTRACTNUMBER(AB169),
EXTRACTNUMBER(AD169),EXTRACTNUMBER(AF169),EXTRACTNUMBER(AH169),EXTRACTNUMBER(AJ169)),"*"),IF(AND(COUNTIF(D169:AK169,"=34")&gt;=1,COUNTIF(D169:AK169,"=35")&gt;=1,COUNTIF(D169:AK169,"f")=2,COUNTIF(D169:AK169,"")=0,COUNTIF(D169:AK169," ")=0),CONCATENATE(SUM(EXTRACTNUMBER(D169),EXTRACTNUMBER(F169),
EXTRACTNUMBER(H169),EXTRACTNUMBER(J169),
EXTRACTNUMBER(L169),EXTRACTNUMBER(N169),
EXTRACTNUMBER(P169),EXTRACTNUMBER(R169),
EXTRACTNUMBER(T169),EXTRACTNUMBER(V169),
EXTRACTNUMBER(X169),EXTRACTNUMBER(Z169),EXTRACTNUMBER(AB169),
EXTRACTNUMBER(AD169),EXTRACTNUMBER(AF169),EXTRACTNUMBER(AH169),EXTRACTNUMBER(AJ169)),"*"),IF(AND(COUNTIF(D169:AK169,"=36")&gt;=2,COUNTIF(D169:AK169,"f")=2,COUNTIF(D169:AK169,"")=0,COUNTIF(D169:AK169," ")=0),CONCATENATE(SUM(EXTRACTNUMBER(D169),EXTRACTNUMBER(F169),
EXTRACTNUMBER(H169),EXTRACTNUMBER(J169),
EXTRACTNUMBER(L169),EXTRACTNUMBER(N169),
EXTRACTNUMBER(P169),EXTRACTNUMBER(R169),
EXTRACTNUMBER(T169),EXTRACTNUMBER(V169),
EXTRACTNUMBER(X169),EXTRACTNUMBER(Z169),EXTRACTNUMBER(AB169),
EXTRACTNUMBER(AD169),EXTRACTNUMBER(AF169),EXTRACTNUMBER(AH169),EXTRACTNUMBER(AJ169)),"*"),SUM(EXTRACTNUMBER(D169),EXTRACTNUMBER(F169),
EXTRACTNUMBER(H169),EXTRACTNUMBER(J169),
EXTRACTNUMBER(L169),EXTRACTNUMBER(N169),
EXTRACTNUMBER(P169),EXTRACTNUMBER(R169),
EXTRACTNUMBER(T169),EXTRACTNUMBER(V169),
EXTRACTNUMBER(X169),EXTRACTNUMBER(Z169),EXTRACTNUMBER(AB169),
EXTRACTNUMBER(AD169),EXTRACTNUMBER(AF169),EXTRACTNUMBER(AH169),EXTRACTNUMBER(AJ169))))),SUM(EXTRACTNUMBER(D169),EXTRACTNUMBER(F169),
EXTRACTNUMBER(H169),EXTRACTNUMBER(J169),
EXTRACTNUMBER(L169),EXTRACTNUMBER(N169),
EXTRACTNUMBER(P169),EXTRACTNUMBER(R169),
EXTRACTNUMBER(T169),EXTRACTNUMBER(V169),
EXTRACTNUMBER(X169),EXTRACTNUMBER(Z169),EXTRACTNUMBER(AB169),
EXTRACTNUMBER(AD169),EXTRACTNUMBER(AF169),EXTRACTNUMBER(AH169),EXTRACTNUMBER(AJ169)))</f>
        <v>605</v>
      </c>
      <c r="AM169" s="72" t="s">
        <v>303</v>
      </c>
      <c r="AN169" s="11">
        <f t="shared" si="42"/>
        <v>1174</v>
      </c>
      <c r="AO169" s="11" t="str">
        <f t="shared" si="61"/>
        <v>PASS</v>
      </c>
      <c r="AP169" s="11" t="str">
        <f t="shared" si="43"/>
        <v>I</v>
      </c>
      <c r="AQ169" s="1" t="str">
        <f t="shared" si="62"/>
        <v xml:space="preserve">One Thousand One Hundred Seventy Four </v>
      </c>
    </row>
    <row r="170" spans="2:43" ht="15.95" customHeight="1">
      <c r="B170" s="67">
        <v>136343</v>
      </c>
      <c r="C170" s="21" t="s">
        <v>166</v>
      </c>
      <c r="D170" s="24">
        <v>60</v>
      </c>
      <c r="E170" s="9" t="str">
        <f t="shared" si="44"/>
        <v/>
      </c>
      <c r="F170" s="22">
        <v>22</v>
      </c>
      <c r="G170" s="9" t="str">
        <f t="shared" si="45"/>
        <v/>
      </c>
      <c r="H170" s="22">
        <v>44</v>
      </c>
      <c r="I170" s="9" t="str">
        <f t="shared" si="46"/>
        <v/>
      </c>
      <c r="J170" s="29">
        <v>44</v>
      </c>
      <c r="K170" s="9" t="str">
        <f t="shared" si="47"/>
        <v/>
      </c>
      <c r="L170" s="22">
        <v>22</v>
      </c>
      <c r="M170" s="9" t="str">
        <f t="shared" si="48"/>
        <v/>
      </c>
      <c r="N170" s="22">
        <v>22</v>
      </c>
      <c r="O170" s="9" t="str">
        <f t="shared" si="49"/>
        <v/>
      </c>
      <c r="P170" s="29">
        <v>69</v>
      </c>
      <c r="Q170" s="9" t="str">
        <f t="shared" si="50"/>
        <v/>
      </c>
      <c r="R170" s="22">
        <v>22</v>
      </c>
      <c r="S170" s="9" t="str">
        <f t="shared" si="51"/>
        <v/>
      </c>
      <c r="T170" s="22">
        <v>44</v>
      </c>
      <c r="U170" s="9" t="str">
        <f t="shared" si="52"/>
        <v/>
      </c>
      <c r="V170" s="29">
        <v>56</v>
      </c>
      <c r="W170" s="9" t="str">
        <f t="shared" si="53"/>
        <v/>
      </c>
      <c r="X170" s="22">
        <v>22</v>
      </c>
      <c r="Y170" s="9" t="str">
        <f t="shared" si="54"/>
        <v/>
      </c>
      <c r="Z170" s="22">
        <v>21</v>
      </c>
      <c r="AA170" s="9" t="str">
        <f t="shared" si="55"/>
        <v/>
      </c>
      <c r="AB170" s="29">
        <v>55</v>
      </c>
      <c r="AC170" s="9" t="str">
        <f t="shared" si="56"/>
        <v/>
      </c>
      <c r="AD170" s="22">
        <v>22</v>
      </c>
      <c r="AE170" s="9" t="str">
        <f t="shared" si="57"/>
        <v/>
      </c>
      <c r="AF170" s="22">
        <v>22</v>
      </c>
      <c r="AG170" s="9" t="str">
        <f t="shared" si="58"/>
        <v/>
      </c>
      <c r="AH170" s="22">
        <v>22</v>
      </c>
      <c r="AI170" s="9" t="str">
        <f t="shared" si="59"/>
        <v/>
      </c>
      <c r="AJ170" s="22">
        <v>20</v>
      </c>
      <c r="AK170" s="9" t="str">
        <f t="shared" si="60"/>
        <v/>
      </c>
      <c r="AL170" s="16">
        <f>IF(OR(AND(D170&gt;=31,D170&lt;40),AND(J170&gt;=31,J170&lt;40),AND(P170&gt;=31,P170&lt;40),AND(V170&gt;=31,V170&lt;40),AND(AB170&gt;=31,AB170&lt;40)),IF(AND(OR(COUNTIF(D170:AK170,"=31")&gt;=1,COUNTIF(D170:AK170,"=32")&gt;=1,COUNTIF(D170:AK170,"=33")&gt;=1,COUNTIF(D170:AK170,"=34")&gt;=1,COUNTIF(D170:AK170,"=35")&gt;=1,COUNTIF(D170:AK170,"=36")&gt;=1 ),COUNTIF(D170:AK170,"")=0,COUNTIF(D170:AK170," ")=0,COUNTIF(D170:AK170,"F")=1),CONCATENATE(SUM(EXTRACTNUMBER(D170),EXTRACTNUMBER(F170),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EXTRACTNUMBER(AD170),EXTRACTNUMBER(AF170),EXTRACTNUMBER(AH170),EXTRACTNUMBER(AJ170)),"*"),IF(AND(COUNTIF(D170:AK170,"=34")&gt;=1,COUNTIF(D170:AK170,"=35")&gt;=1,COUNTIF(D170:AK170,"f")=2,COUNTIF(D170:AK170,"")=0,COUNTIF(D170:AK170," ")=0),CONCATENATE(SUM(EXTRACTNUMBER(D170),EXTRACTNUMBER(F170),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EXTRACTNUMBER(AD170),EXTRACTNUMBER(AF170),EXTRACTNUMBER(AH170),EXTRACTNUMBER(AJ170)),"*"),IF(AND(COUNTIF(D170:AK170,"=36")&gt;=2,COUNTIF(D170:AK170,"f")=2,COUNTIF(D170:AK170,"")=0,COUNTIF(D170:AK170," ")=0),CONCATENATE(SUM(EXTRACTNUMBER(D170),EXTRACTNUMBER(F170),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EXTRACTNUMBER(AD170),EXTRACTNUMBER(AF170),EXTRACTNUMBER(AH170),EXTRACTNUMBER(AJ170)),"*"),SUM(EXTRACTNUMBER(D170),EXTRACTNUMBER(F170),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EXTRACTNUMBER(AD170),EXTRACTNUMBER(AF170),EXTRACTNUMBER(AH170),EXTRACTNUMBER(AJ170))))),SUM(EXTRACTNUMBER(D170),EXTRACTNUMBER(F170),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EXTRACTNUMBER(AD170),EXTRACTNUMBER(AF170),EXTRACTNUMBER(AH170),EXTRACTNUMBER(AJ170)))</f>
        <v>589</v>
      </c>
      <c r="AM170" s="72" t="s">
        <v>535</v>
      </c>
      <c r="AN170" s="11">
        <f t="shared" si="42"/>
        <v>589</v>
      </c>
      <c r="AO170" s="11" t="str">
        <f t="shared" si="61"/>
        <v>PASS</v>
      </c>
      <c r="AP170" s="11" t="str">
        <f t="shared" si="43"/>
        <v>--</v>
      </c>
      <c r="AQ170" s="1" t="str">
        <f t="shared" si="62"/>
        <v xml:space="preserve">Five Hundred Eighty Nine </v>
      </c>
    </row>
    <row r="171" spans="2:43" ht="15.95" customHeight="1">
      <c r="B171" s="67">
        <v>136344</v>
      </c>
      <c r="C171" s="21" t="s">
        <v>167</v>
      </c>
      <c r="D171" s="24">
        <v>58</v>
      </c>
      <c r="E171" s="9" t="str">
        <f t="shared" si="44"/>
        <v/>
      </c>
      <c r="F171" s="22">
        <v>23</v>
      </c>
      <c r="G171" s="9" t="str">
        <f t="shared" si="45"/>
        <v/>
      </c>
      <c r="H171" s="22">
        <v>40</v>
      </c>
      <c r="I171" s="9" t="str">
        <f t="shared" si="46"/>
        <v/>
      </c>
      <c r="J171" s="29">
        <v>49</v>
      </c>
      <c r="K171" s="9" t="str">
        <f t="shared" si="47"/>
        <v/>
      </c>
      <c r="L171" s="22">
        <v>23</v>
      </c>
      <c r="M171" s="9" t="str">
        <f t="shared" si="48"/>
        <v/>
      </c>
      <c r="N171" s="22">
        <v>20</v>
      </c>
      <c r="O171" s="9" t="str">
        <f t="shared" si="49"/>
        <v/>
      </c>
      <c r="P171" s="29">
        <v>66</v>
      </c>
      <c r="Q171" s="9" t="str">
        <f t="shared" si="50"/>
        <v/>
      </c>
      <c r="R171" s="22">
        <v>23</v>
      </c>
      <c r="S171" s="9" t="str">
        <f t="shared" si="51"/>
        <v/>
      </c>
      <c r="T171" s="22">
        <v>40</v>
      </c>
      <c r="U171" s="9" t="str">
        <f t="shared" si="52"/>
        <v/>
      </c>
      <c r="V171" s="29">
        <v>60</v>
      </c>
      <c r="W171" s="9" t="str">
        <f t="shared" si="53"/>
        <v/>
      </c>
      <c r="X171" s="22">
        <v>22</v>
      </c>
      <c r="Y171" s="9" t="str">
        <f t="shared" si="54"/>
        <v/>
      </c>
      <c r="Z171" s="22">
        <v>21</v>
      </c>
      <c r="AA171" s="9" t="str">
        <f t="shared" si="55"/>
        <v/>
      </c>
      <c r="AB171" s="29">
        <v>54</v>
      </c>
      <c r="AC171" s="9" t="str">
        <f t="shared" si="56"/>
        <v/>
      </c>
      <c r="AD171" s="22">
        <v>23</v>
      </c>
      <c r="AE171" s="9" t="str">
        <f t="shared" si="57"/>
        <v/>
      </c>
      <c r="AF171" s="22">
        <v>19</v>
      </c>
      <c r="AG171" s="9" t="str">
        <f t="shared" si="58"/>
        <v/>
      </c>
      <c r="AH171" s="22">
        <v>23</v>
      </c>
      <c r="AI171" s="9" t="str">
        <f t="shared" si="59"/>
        <v/>
      </c>
      <c r="AJ171" s="22">
        <v>24</v>
      </c>
      <c r="AK171" s="9" t="str">
        <f t="shared" si="60"/>
        <v/>
      </c>
      <c r="AL171" s="16">
        <f>IF(OR(AND(D171&gt;=31,D171&lt;40),AND(J171&gt;=31,J171&lt;40),AND(P171&gt;=31,P171&lt;40),AND(V171&gt;=31,V171&lt;40),AND(AB171&gt;=31,AB171&lt;40)),IF(AND(OR(COUNTIF(D171:AK171,"=31")&gt;=1,COUNTIF(D171:AK171,"=32")&gt;=1,COUNTIF(D171:AK171,"=33")&gt;=1,COUNTIF(D171:AK171,"=34")&gt;=1,COUNTIF(D171:AK171,"=35")&gt;=1,COUNTIF(D171:AK171,"=36")&gt;=1 ),COUNTIF(D171:AK171,"")=0,COUNTIF(D171:AK171," ")=0,COUNTIF(D171:AK171,"F")=1),CONCATENATE(SUM(EXTRACTNUMBER(D171),EXTRACTNUMBER(F171),
EXTRACTNUMBER(H171),EXTRACTNUMBER(J171),
EXTRACTNUMBER(L171),EXTRACTNUMBER(N171),
EXTRACTNUMBER(P171),EXTRACTNUMBER(R171),
EXTRACTNUMBER(T171),EXTRACTNUMBER(V171),
EXTRACTNUMBER(X171),EXTRACTNUMBER(Z171),EXTRACTNUMBER(AB171),
EXTRACTNUMBER(AD171),EXTRACTNUMBER(AF171),EXTRACTNUMBER(AH171),EXTRACTNUMBER(AJ171)),"*"),IF(AND(COUNTIF(D171:AK171,"=34")&gt;=1,COUNTIF(D171:AK171,"=35")&gt;=1,COUNTIF(D171:AK171,"f")=2,COUNTIF(D171:AK171,"")=0,COUNTIF(D171:AK171," ")=0),CONCATENATE(SUM(EXTRACTNUMBER(D171),EXTRACTNUMBER(F171),
EXTRACTNUMBER(H171),EXTRACTNUMBER(J171),
EXTRACTNUMBER(L171),EXTRACTNUMBER(N171),
EXTRACTNUMBER(P171),EXTRACTNUMBER(R171),
EXTRACTNUMBER(T171),EXTRACTNUMBER(V171),
EXTRACTNUMBER(X171),EXTRACTNUMBER(Z171),EXTRACTNUMBER(AB171),
EXTRACTNUMBER(AD171),EXTRACTNUMBER(AF171),EXTRACTNUMBER(AH171),EXTRACTNUMBER(AJ171)),"*"),IF(AND(COUNTIF(D171:AK171,"=36")&gt;=2,COUNTIF(D171:AK171,"f")=2,COUNTIF(D171:AK171,"")=0,COUNTIF(D171:AK171," ")=0),CONCATENATE(SUM(EXTRACTNUMBER(D171),EXTRACTNUMBER(F171),
EXTRACTNUMBER(H171),EXTRACTNUMBER(J171),
EXTRACTNUMBER(L171),EXTRACTNUMBER(N171),
EXTRACTNUMBER(P171),EXTRACTNUMBER(R171),
EXTRACTNUMBER(T171),EXTRACTNUMBER(V171),
EXTRACTNUMBER(X171),EXTRACTNUMBER(Z171),EXTRACTNUMBER(AB171),
EXTRACTNUMBER(AD171),EXTRACTNUMBER(AF171),EXTRACTNUMBER(AH171),EXTRACTNUMBER(AJ171)),"*"),SUM(EXTRACTNUMBER(D171),EXTRACTNUMBER(F171),
EXTRACTNUMBER(H171),EXTRACTNUMBER(J171),
EXTRACTNUMBER(L171),EXTRACTNUMBER(N171),
EXTRACTNUMBER(P171),EXTRACTNUMBER(R171),
EXTRACTNUMBER(T171),EXTRACTNUMBER(V171),
EXTRACTNUMBER(X171),EXTRACTNUMBER(Z171),EXTRACTNUMBER(AB171),
EXTRACTNUMBER(AD171),EXTRACTNUMBER(AF171),EXTRACTNUMBER(AH171),EXTRACTNUMBER(AJ171))))),SUM(EXTRACTNUMBER(D171),EXTRACTNUMBER(F171),
EXTRACTNUMBER(H171),EXTRACTNUMBER(J171),
EXTRACTNUMBER(L171),EXTRACTNUMBER(N171),
EXTRACTNUMBER(P171),EXTRACTNUMBER(R171),
EXTRACTNUMBER(T171),EXTRACTNUMBER(V171),
EXTRACTNUMBER(X171),EXTRACTNUMBER(Z171),EXTRACTNUMBER(AB171),
EXTRACTNUMBER(AD171),EXTRACTNUMBER(AF171),EXTRACTNUMBER(AH171),EXTRACTNUMBER(AJ171)))</f>
        <v>588</v>
      </c>
      <c r="AM171" s="72" t="s">
        <v>242</v>
      </c>
      <c r="AN171" s="11">
        <f t="shared" si="42"/>
        <v>1122</v>
      </c>
      <c r="AO171" s="11" t="str">
        <f t="shared" si="61"/>
        <v>PASS</v>
      </c>
      <c r="AP171" s="11" t="str">
        <f t="shared" si="43"/>
        <v>I</v>
      </c>
      <c r="AQ171" s="1" t="str">
        <f t="shared" si="62"/>
        <v xml:space="preserve">One Thousand One Hundred Twenty Two </v>
      </c>
    </row>
    <row r="172" spans="2:43" ht="15.95" customHeight="1">
      <c r="B172" s="67">
        <v>136345</v>
      </c>
      <c r="C172" s="21" t="s">
        <v>168</v>
      </c>
      <c r="D172" s="24">
        <v>46</v>
      </c>
      <c r="E172" s="9" t="str">
        <f t="shared" si="44"/>
        <v/>
      </c>
      <c r="F172" s="22">
        <v>20</v>
      </c>
      <c r="G172" s="9" t="str">
        <f t="shared" si="45"/>
        <v/>
      </c>
      <c r="H172" s="22">
        <v>44</v>
      </c>
      <c r="I172" s="9" t="str">
        <f t="shared" si="46"/>
        <v/>
      </c>
      <c r="J172" s="29">
        <v>54</v>
      </c>
      <c r="K172" s="9" t="str">
        <f t="shared" si="47"/>
        <v/>
      </c>
      <c r="L172" s="22">
        <v>20</v>
      </c>
      <c r="M172" s="9" t="str">
        <f t="shared" si="48"/>
        <v/>
      </c>
      <c r="N172" s="22">
        <v>22</v>
      </c>
      <c r="O172" s="9" t="str">
        <f t="shared" si="49"/>
        <v/>
      </c>
      <c r="P172" s="29">
        <v>66</v>
      </c>
      <c r="Q172" s="9" t="str">
        <f t="shared" si="50"/>
        <v/>
      </c>
      <c r="R172" s="22">
        <v>20</v>
      </c>
      <c r="S172" s="9" t="str">
        <f t="shared" si="51"/>
        <v/>
      </c>
      <c r="T172" s="22">
        <v>40</v>
      </c>
      <c r="U172" s="9" t="str">
        <f t="shared" si="52"/>
        <v/>
      </c>
      <c r="V172" s="29">
        <v>56</v>
      </c>
      <c r="W172" s="9" t="str">
        <f t="shared" si="53"/>
        <v/>
      </c>
      <c r="X172" s="22">
        <v>20</v>
      </c>
      <c r="Y172" s="9" t="str">
        <f t="shared" si="54"/>
        <v/>
      </c>
      <c r="Z172" s="22">
        <v>21</v>
      </c>
      <c r="AA172" s="9" t="str">
        <f t="shared" si="55"/>
        <v/>
      </c>
      <c r="AB172" s="29">
        <v>53</v>
      </c>
      <c r="AC172" s="9" t="str">
        <f t="shared" si="56"/>
        <v/>
      </c>
      <c r="AD172" s="22">
        <v>20</v>
      </c>
      <c r="AE172" s="9" t="str">
        <f t="shared" si="57"/>
        <v/>
      </c>
      <c r="AF172" s="22">
        <v>22</v>
      </c>
      <c r="AG172" s="9" t="str">
        <f t="shared" si="58"/>
        <v/>
      </c>
      <c r="AH172" s="22">
        <v>22</v>
      </c>
      <c r="AI172" s="9" t="str">
        <f t="shared" si="59"/>
        <v/>
      </c>
      <c r="AJ172" s="22">
        <v>23</v>
      </c>
      <c r="AK172" s="9" t="str">
        <f t="shared" si="60"/>
        <v/>
      </c>
      <c r="AL172" s="16">
        <f>IF(OR(AND(D172&gt;=31,D172&lt;40),AND(J172&gt;=31,J172&lt;40),AND(P172&gt;=31,P172&lt;40),AND(V172&gt;=31,V172&lt;40),AND(AB172&gt;=31,AB172&lt;40)),IF(AND(OR(COUNTIF(D172:AK172,"=31")&gt;=1,COUNTIF(D172:AK172,"=32")&gt;=1,COUNTIF(D172:AK172,"=33")&gt;=1,COUNTIF(D172:AK172,"=34")&gt;=1,COUNTIF(D172:AK172,"=35")&gt;=1,COUNTIF(D172:AK172,"=36")&gt;=1 ),COUNTIF(D172:AK172,"")=0,COUNTIF(D172:AK172," ")=0,COUNTIF(D172:AK172,"F")=1),CONCATENATE(SUM(EXTRACTNUMBER(D172),EXTRACTNUMBER(F172),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EXTRACTNUMBER(AD172),EXTRACTNUMBER(AF172),EXTRACTNUMBER(AH172),EXTRACTNUMBER(AJ172)),"*"),IF(AND(COUNTIF(D172:AK172,"=34")&gt;=1,COUNTIF(D172:AK172,"=35")&gt;=1,COUNTIF(D172:AK172,"f")=2,COUNTIF(D172:AK172,"")=0,COUNTIF(D172:AK172," ")=0),CONCATENATE(SUM(EXTRACTNUMBER(D172),EXTRACTNUMBER(F172),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EXTRACTNUMBER(AD172),EXTRACTNUMBER(AF172),EXTRACTNUMBER(AH172),EXTRACTNUMBER(AJ172)),"*"),IF(AND(COUNTIF(D172:AK172,"=36")&gt;=2,COUNTIF(D172:AK172,"f")=2,COUNTIF(D172:AK172,"")=0,COUNTIF(D172:AK172," ")=0),CONCATENATE(SUM(EXTRACTNUMBER(D172),EXTRACTNUMBER(F172),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EXTRACTNUMBER(AD172),EXTRACTNUMBER(AF172),EXTRACTNUMBER(AH172),EXTRACTNUMBER(AJ172)),"*"),SUM(EXTRACTNUMBER(D172),EXTRACTNUMBER(F172),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EXTRACTNUMBER(AD172),EXTRACTNUMBER(AF172),EXTRACTNUMBER(AH172),EXTRACTNUMBER(AJ172))))),SUM(EXTRACTNUMBER(D172),EXTRACTNUMBER(F172),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EXTRACTNUMBER(AD172),EXTRACTNUMBER(AF172),EXTRACTNUMBER(AH172),EXTRACTNUMBER(AJ172)))</f>
        <v>569</v>
      </c>
      <c r="AM172" s="72" t="s">
        <v>304</v>
      </c>
      <c r="AN172" s="11">
        <f t="shared" si="42"/>
        <v>1092</v>
      </c>
      <c r="AO172" s="11" t="str">
        <f t="shared" si="61"/>
        <v>PASS</v>
      </c>
      <c r="AP172" s="11" t="str">
        <f t="shared" si="43"/>
        <v>I</v>
      </c>
      <c r="AQ172" s="1" t="str">
        <f t="shared" si="62"/>
        <v xml:space="preserve">One Thousand NinetyTwo </v>
      </c>
    </row>
    <row r="173" spans="2:43" ht="15.95" customHeight="1">
      <c r="B173" s="67">
        <v>136346</v>
      </c>
      <c r="C173" s="21" t="s">
        <v>169</v>
      </c>
      <c r="D173" s="24">
        <v>40</v>
      </c>
      <c r="E173" s="9" t="str">
        <f t="shared" si="44"/>
        <v/>
      </c>
      <c r="F173" s="22">
        <v>20</v>
      </c>
      <c r="G173" s="9" t="str">
        <f t="shared" si="45"/>
        <v/>
      </c>
      <c r="H173" s="22">
        <v>46</v>
      </c>
      <c r="I173" s="9" t="str">
        <f t="shared" si="46"/>
        <v/>
      </c>
      <c r="J173" s="29">
        <v>53</v>
      </c>
      <c r="K173" s="9" t="str">
        <f t="shared" si="47"/>
        <v/>
      </c>
      <c r="L173" s="22">
        <v>21</v>
      </c>
      <c r="M173" s="9" t="str">
        <f t="shared" si="48"/>
        <v/>
      </c>
      <c r="N173" s="22">
        <v>23</v>
      </c>
      <c r="O173" s="9" t="str">
        <f t="shared" si="49"/>
        <v/>
      </c>
      <c r="P173" s="29">
        <v>77</v>
      </c>
      <c r="Q173" s="9" t="str">
        <f t="shared" si="50"/>
        <v/>
      </c>
      <c r="R173" s="22">
        <v>21</v>
      </c>
      <c r="S173" s="9" t="str">
        <f t="shared" si="51"/>
        <v/>
      </c>
      <c r="T173" s="22">
        <v>46</v>
      </c>
      <c r="U173" s="9" t="str">
        <f t="shared" si="52"/>
        <v/>
      </c>
      <c r="V173" s="29">
        <v>61</v>
      </c>
      <c r="W173" s="9" t="str">
        <f t="shared" si="53"/>
        <v/>
      </c>
      <c r="X173" s="22">
        <v>21</v>
      </c>
      <c r="Y173" s="9" t="str">
        <f t="shared" si="54"/>
        <v/>
      </c>
      <c r="Z173" s="22">
        <v>21</v>
      </c>
      <c r="AA173" s="9" t="str">
        <f t="shared" si="55"/>
        <v/>
      </c>
      <c r="AB173" s="29">
        <v>54</v>
      </c>
      <c r="AC173" s="9" t="str">
        <f t="shared" si="56"/>
        <v/>
      </c>
      <c r="AD173" s="22">
        <v>21</v>
      </c>
      <c r="AE173" s="9" t="str">
        <f t="shared" si="57"/>
        <v/>
      </c>
      <c r="AF173" s="22">
        <v>21</v>
      </c>
      <c r="AG173" s="9" t="str">
        <f t="shared" si="58"/>
        <v/>
      </c>
      <c r="AH173" s="22">
        <v>21</v>
      </c>
      <c r="AI173" s="9" t="str">
        <f t="shared" si="59"/>
        <v/>
      </c>
      <c r="AJ173" s="22">
        <v>21</v>
      </c>
      <c r="AK173" s="9" t="str">
        <f t="shared" si="60"/>
        <v/>
      </c>
      <c r="AL173" s="16">
        <f>IF(OR(AND(D173&gt;=31,D173&lt;40),AND(J173&gt;=31,J173&lt;40),AND(P173&gt;=31,P173&lt;40),AND(V173&gt;=31,V173&lt;40),AND(AB173&gt;=31,AB173&lt;40)),IF(AND(OR(COUNTIF(D173:AK173,"=31")&gt;=1,COUNTIF(D173:AK173,"=32")&gt;=1,COUNTIF(D173:AK173,"=33")&gt;=1,COUNTIF(D173:AK173,"=34")&gt;=1,COUNTIF(D173:AK173,"=35")&gt;=1,COUNTIF(D173:AK173,"=36")&gt;=1 ),COUNTIF(D173:AK173,"")=0,COUNTIF(D173:AK173," ")=0,COUNTIF(D173:AK173,"F")=1),CONCATENATE(SUM(EXTRACTNUMBER(D173),EXTRACTNUMBER(F173),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EXTRACTNUMBER(AD173),EXTRACTNUMBER(AF173),EXTRACTNUMBER(AH173),EXTRACTNUMBER(AJ173)),"*"),IF(AND(COUNTIF(D173:AK173,"=34")&gt;=1,COUNTIF(D173:AK173,"=35")&gt;=1,COUNTIF(D173:AK173,"f")=2,COUNTIF(D173:AK173,"")=0,COUNTIF(D173:AK173," ")=0),CONCATENATE(SUM(EXTRACTNUMBER(D173),EXTRACTNUMBER(F173),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EXTRACTNUMBER(AD173),EXTRACTNUMBER(AF173),EXTRACTNUMBER(AH173),EXTRACTNUMBER(AJ173)),"*"),IF(AND(COUNTIF(D173:AK173,"=36")&gt;=2,COUNTIF(D173:AK173,"f")=2,COUNTIF(D173:AK173,"")=0,COUNTIF(D173:AK173," ")=0),CONCATENATE(SUM(EXTRACTNUMBER(D173),EXTRACTNUMBER(F173),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EXTRACTNUMBER(AD173),EXTRACTNUMBER(AF173),EXTRACTNUMBER(AH173),EXTRACTNUMBER(AJ173)),"*"),SUM(EXTRACTNUMBER(D173),EXTRACTNUMBER(F173),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EXTRACTNUMBER(AD173),EXTRACTNUMBER(AF173),EXTRACTNUMBER(AH173),EXTRACTNUMBER(AJ173))))),SUM(EXTRACTNUMBER(D173),EXTRACTNUMBER(F173),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EXTRACTNUMBER(AD173),EXTRACTNUMBER(AF173),EXTRACTNUMBER(AH173),EXTRACTNUMBER(AJ173)))</f>
        <v>588</v>
      </c>
      <c r="AM173" s="72" t="s">
        <v>305</v>
      </c>
      <c r="AN173" s="11">
        <f t="shared" si="42"/>
        <v>1141</v>
      </c>
      <c r="AO173" s="11" t="str">
        <f t="shared" si="61"/>
        <v>PASS</v>
      </c>
      <c r="AP173" s="11" t="str">
        <f t="shared" si="43"/>
        <v>I</v>
      </c>
      <c r="AQ173" s="1" t="str">
        <f t="shared" si="62"/>
        <v xml:space="preserve">One Thousand One Hundred Forty One </v>
      </c>
    </row>
    <row r="174" spans="2:43" ht="15.95" customHeight="1">
      <c r="B174" s="67">
        <v>136347</v>
      </c>
      <c r="C174" s="21" t="s">
        <v>170</v>
      </c>
      <c r="D174" s="24">
        <v>44</v>
      </c>
      <c r="E174" s="9" t="str">
        <f t="shared" si="44"/>
        <v/>
      </c>
      <c r="F174" s="22">
        <v>22</v>
      </c>
      <c r="G174" s="9" t="str">
        <f t="shared" si="45"/>
        <v/>
      </c>
      <c r="H174" s="22">
        <v>42</v>
      </c>
      <c r="I174" s="9" t="str">
        <f t="shared" si="46"/>
        <v/>
      </c>
      <c r="J174" s="29">
        <v>49</v>
      </c>
      <c r="K174" s="9" t="str">
        <f t="shared" si="47"/>
        <v/>
      </c>
      <c r="L174" s="22">
        <v>20</v>
      </c>
      <c r="M174" s="9" t="str">
        <f t="shared" si="48"/>
        <v/>
      </c>
      <c r="N174" s="22">
        <v>21</v>
      </c>
      <c r="O174" s="9" t="str">
        <f t="shared" si="49"/>
        <v/>
      </c>
      <c r="P174" s="29">
        <v>62</v>
      </c>
      <c r="Q174" s="9" t="str">
        <f t="shared" si="50"/>
        <v/>
      </c>
      <c r="R174" s="22">
        <v>22</v>
      </c>
      <c r="S174" s="9" t="str">
        <f t="shared" si="51"/>
        <v/>
      </c>
      <c r="T174" s="22">
        <v>42</v>
      </c>
      <c r="U174" s="9" t="str">
        <f t="shared" si="52"/>
        <v/>
      </c>
      <c r="V174" s="29">
        <v>65</v>
      </c>
      <c r="W174" s="9" t="str">
        <f t="shared" si="53"/>
        <v/>
      </c>
      <c r="X174" s="22">
        <v>22</v>
      </c>
      <c r="Y174" s="9" t="str">
        <f t="shared" si="54"/>
        <v/>
      </c>
      <c r="Z174" s="22">
        <v>22</v>
      </c>
      <c r="AA174" s="9" t="str">
        <f t="shared" si="55"/>
        <v/>
      </c>
      <c r="AB174" s="29">
        <v>43</v>
      </c>
      <c r="AC174" s="9" t="str">
        <f t="shared" si="56"/>
        <v/>
      </c>
      <c r="AD174" s="22">
        <v>22</v>
      </c>
      <c r="AE174" s="9" t="str">
        <f t="shared" si="57"/>
        <v/>
      </c>
      <c r="AF174" s="22">
        <v>21</v>
      </c>
      <c r="AG174" s="9" t="str">
        <f t="shared" si="58"/>
        <v/>
      </c>
      <c r="AH174" s="22">
        <v>22</v>
      </c>
      <c r="AI174" s="9" t="str">
        <f t="shared" si="59"/>
        <v/>
      </c>
      <c r="AJ174" s="22">
        <v>22</v>
      </c>
      <c r="AK174" s="9" t="str">
        <f t="shared" si="60"/>
        <v/>
      </c>
      <c r="AL174" s="16">
        <f>IF(OR(AND(D174&gt;=31,D174&lt;40),AND(J174&gt;=31,J174&lt;40),AND(P174&gt;=31,P174&lt;40),AND(V174&gt;=31,V174&lt;40),AND(AB174&gt;=31,AB174&lt;40)),IF(AND(OR(COUNTIF(D174:AK174,"=31")&gt;=1,COUNTIF(D174:AK174,"=32")&gt;=1,COUNTIF(D174:AK174,"=33")&gt;=1,COUNTIF(D174:AK174,"=34")&gt;=1,COUNTIF(D174:AK174,"=35")&gt;=1,COUNTIF(D174:AK174,"=36")&gt;=1 ),COUNTIF(D174:AK174,"")=0,COUNTIF(D174:AK174," ")=0,COUNTIF(D174:AK174,"F")=1),CONCATENATE(SUM(EXTRACTNUMBER(D174),EXTRACTNUMBER(F174),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EXTRACTNUMBER(AD174),EXTRACTNUMBER(AF174),EXTRACTNUMBER(AH174),EXTRACTNUMBER(AJ174)),"*"),IF(AND(COUNTIF(D174:AK174,"=34")&gt;=1,COUNTIF(D174:AK174,"=35")&gt;=1,COUNTIF(D174:AK174,"f")=2,COUNTIF(D174:AK174,"")=0,COUNTIF(D174:AK174," ")=0),CONCATENATE(SUM(EXTRACTNUMBER(D174),EXTRACTNUMBER(F174),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EXTRACTNUMBER(AD174),EXTRACTNUMBER(AF174),EXTRACTNUMBER(AH174),EXTRACTNUMBER(AJ174)),"*"),IF(AND(COUNTIF(D174:AK174,"=36")&gt;=2,COUNTIF(D174:AK174,"f")=2,COUNTIF(D174:AK174,"")=0,COUNTIF(D174:AK174," ")=0),CONCATENATE(SUM(EXTRACTNUMBER(D174),EXTRACTNUMBER(F174),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EXTRACTNUMBER(AD174),EXTRACTNUMBER(AF174),EXTRACTNUMBER(AH174),EXTRACTNUMBER(AJ174)),"*"),SUM(EXTRACTNUMBER(D174),EXTRACTNUMBER(F174),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EXTRACTNUMBER(AD174),EXTRACTNUMBER(AF174),EXTRACTNUMBER(AH174),EXTRACTNUMBER(AJ174))))),SUM(EXTRACTNUMBER(D174),EXTRACTNUMBER(F174),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EXTRACTNUMBER(AD174),EXTRACTNUMBER(AF174),EXTRACTNUMBER(AH174),EXTRACTNUMBER(AJ174)))</f>
        <v>563</v>
      </c>
      <c r="AM174" s="72" t="s">
        <v>292</v>
      </c>
      <c r="AN174" s="11">
        <f t="shared" si="42"/>
        <v>1123</v>
      </c>
      <c r="AO174" s="11" t="str">
        <f t="shared" si="61"/>
        <v>PASS</v>
      </c>
      <c r="AP174" s="11" t="str">
        <f t="shared" si="43"/>
        <v>I</v>
      </c>
      <c r="AQ174" s="1" t="str">
        <f t="shared" si="62"/>
        <v xml:space="preserve">One Thousand One Hundred Twenty Three </v>
      </c>
    </row>
    <row r="175" spans="2:43" ht="15.95" customHeight="1">
      <c r="B175" s="67">
        <v>136348</v>
      </c>
      <c r="C175" s="21" t="s">
        <v>171</v>
      </c>
      <c r="D175" s="24">
        <v>40</v>
      </c>
      <c r="E175" s="9" t="str">
        <f t="shared" si="44"/>
        <v/>
      </c>
      <c r="F175" s="22">
        <v>21</v>
      </c>
      <c r="G175" s="9" t="str">
        <f t="shared" si="45"/>
        <v/>
      </c>
      <c r="H175" s="22">
        <v>46</v>
      </c>
      <c r="I175" s="9" t="str">
        <f t="shared" si="46"/>
        <v/>
      </c>
      <c r="J175" s="29">
        <v>47</v>
      </c>
      <c r="K175" s="9" t="str">
        <f t="shared" si="47"/>
        <v/>
      </c>
      <c r="L175" s="22">
        <v>22</v>
      </c>
      <c r="M175" s="9" t="str">
        <f t="shared" si="48"/>
        <v/>
      </c>
      <c r="N175" s="22">
        <v>23</v>
      </c>
      <c r="O175" s="9" t="str">
        <f t="shared" si="49"/>
        <v/>
      </c>
      <c r="P175" s="29">
        <v>63</v>
      </c>
      <c r="Q175" s="9" t="str">
        <f t="shared" si="50"/>
        <v/>
      </c>
      <c r="R175" s="22">
        <v>22</v>
      </c>
      <c r="S175" s="9" t="str">
        <f t="shared" si="51"/>
        <v/>
      </c>
      <c r="T175" s="22">
        <v>46</v>
      </c>
      <c r="U175" s="9" t="str">
        <f t="shared" si="52"/>
        <v/>
      </c>
      <c r="V175" s="29">
        <v>52</v>
      </c>
      <c r="W175" s="9" t="str">
        <f t="shared" si="53"/>
        <v/>
      </c>
      <c r="X175" s="22">
        <v>22</v>
      </c>
      <c r="Y175" s="9" t="str">
        <f t="shared" si="54"/>
        <v/>
      </c>
      <c r="Z175" s="22">
        <v>22</v>
      </c>
      <c r="AA175" s="9" t="str">
        <f t="shared" si="55"/>
        <v/>
      </c>
      <c r="AB175" s="29">
        <v>51</v>
      </c>
      <c r="AC175" s="9" t="str">
        <f t="shared" si="56"/>
        <v/>
      </c>
      <c r="AD175" s="22">
        <v>22</v>
      </c>
      <c r="AE175" s="9" t="str">
        <f t="shared" si="57"/>
        <v/>
      </c>
      <c r="AF175" s="22">
        <v>22</v>
      </c>
      <c r="AG175" s="9" t="str">
        <f t="shared" si="58"/>
        <v/>
      </c>
      <c r="AH175" s="22">
        <v>22</v>
      </c>
      <c r="AI175" s="9" t="str">
        <f t="shared" si="59"/>
        <v/>
      </c>
      <c r="AJ175" s="22">
        <v>22</v>
      </c>
      <c r="AK175" s="9" t="str">
        <f t="shared" si="60"/>
        <v/>
      </c>
      <c r="AL175" s="16">
        <f>IF(OR(AND(D175&gt;=31,D175&lt;40),AND(J175&gt;=31,J175&lt;40),AND(P175&gt;=31,P175&lt;40),AND(V175&gt;=31,V175&lt;40),AND(AB175&gt;=31,AB175&lt;40)),IF(AND(OR(COUNTIF(D175:AK175,"=31")&gt;=1,COUNTIF(D175:AK175,"=32")&gt;=1,COUNTIF(D175:AK175,"=33")&gt;=1,COUNTIF(D175:AK175,"=34")&gt;=1,COUNTIF(D175:AK175,"=35")&gt;=1,COUNTIF(D175:AK175,"=36")&gt;=1 ),COUNTIF(D175:AK175,"")=0,COUNTIF(D175:AK175," ")=0,COUNTIF(D175:AK175,"F")=1),CONCATENATE(SUM(EXTRACTNUMBER(D175),EXTRACTNUMBER(F175),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EXTRACTNUMBER(AD175),EXTRACTNUMBER(AF175),EXTRACTNUMBER(AH175),EXTRACTNUMBER(AJ175)),"*"),IF(AND(COUNTIF(D175:AK175,"=34")&gt;=1,COUNTIF(D175:AK175,"=35")&gt;=1,COUNTIF(D175:AK175,"f")=2,COUNTIF(D175:AK175,"")=0,COUNTIF(D175:AK175," ")=0),CONCATENATE(SUM(EXTRACTNUMBER(D175),EXTRACTNUMBER(F175),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EXTRACTNUMBER(AD175),EXTRACTNUMBER(AF175),EXTRACTNUMBER(AH175),EXTRACTNUMBER(AJ175)),"*"),IF(AND(COUNTIF(D175:AK175,"=36")&gt;=2,COUNTIF(D175:AK175,"f")=2,COUNTIF(D175:AK175,"")=0,COUNTIF(D175:AK175," ")=0),CONCATENATE(SUM(EXTRACTNUMBER(D175),EXTRACTNUMBER(F175),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EXTRACTNUMBER(AD175),EXTRACTNUMBER(AF175),EXTRACTNUMBER(AH175),EXTRACTNUMBER(AJ175)),"*"),SUM(EXTRACTNUMBER(D175),EXTRACTNUMBER(F175),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EXTRACTNUMBER(AD175),EXTRACTNUMBER(AF175),EXTRACTNUMBER(AH175),EXTRACTNUMBER(AJ175))))),SUM(EXTRACTNUMBER(D175),EXTRACTNUMBER(F175),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EXTRACTNUMBER(AD175),EXTRACTNUMBER(AF175),EXTRACTNUMBER(AH175),EXTRACTNUMBER(AJ175)))</f>
        <v>565</v>
      </c>
      <c r="AM175" s="72" t="s">
        <v>306</v>
      </c>
      <c r="AN175" s="11">
        <f t="shared" si="42"/>
        <v>1075</v>
      </c>
      <c r="AO175" s="11" t="str">
        <f t="shared" si="61"/>
        <v>PASS</v>
      </c>
      <c r="AP175" s="11" t="str">
        <f t="shared" si="43"/>
        <v>I</v>
      </c>
      <c r="AQ175" s="1" t="str">
        <f t="shared" si="62"/>
        <v xml:space="preserve">One Thousand Seventy Five </v>
      </c>
    </row>
    <row r="176" spans="2:43" ht="15.95" customHeight="1">
      <c r="B176" s="67">
        <v>136349</v>
      </c>
      <c r="C176" s="21" t="s">
        <v>172</v>
      </c>
      <c r="D176" s="24">
        <v>56</v>
      </c>
      <c r="E176" s="9" t="str">
        <f t="shared" si="44"/>
        <v/>
      </c>
      <c r="F176" s="22">
        <v>19</v>
      </c>
      <c r="G176" s="9" t="str">
        <f t="shared" si="45"/>
        <v/>
      </c>
      <c r="H176" s="22">
        <v>38</v>
      </c>
      <c r="I176" s="9" t="str">
        <f t="shared" si="46"/>
        <v/>
      </c>
      <c r="J176" s="29">
        <v>44</v>
      </c>
      <c r="K176" s="9" t="str">
        <f t="shared" si="47"/>
        <v/>
      </c>
      <c r="L176" s="22">
        <v>20</v>
      </c>
      <c r="M176" s="9" t="str">
        <f t="shared" si="48"/>
        <v/>
      </c>
      <c r="N176" s="22">
        <v>19</v>
      </c>
      <c r="O176" s="9" t="str">
        <f t="shared" si="49"/>
        <v/>
      </c>
      <c r="P176" s="29">
        <v>66</v>
      </c>
      <c r="Q176" s="9" t="str">
        <f t="shared" si="50"/>
        <v/>
      </c>
      <c r="R176" s="22">
        <v>19</v>
      </c>
      <c r="S176" s="9" t="str">
        <f t="shared" si="51"/>
        <v/>
      </c>
      <c r="T176" s="22">
        <v>38</v>
      </c>
      <c r="U176" s="9" t="str">
        <f t="shared" si="52"/>
        <v/>
      </c>
      <c r="V176" s="29">
        <v>54</v>
      </c>
      <c r="W176" s="9" t="str">
        <f t="shared" si="53"/>
        <v/>
      </c>
      <c r="X176" s="22">
        <v>19</v>
      </c>
      <c r="Y176" s="9" t="str">
        <f t="shared" si="54"/>
        <v/>
      </c>
      <c r="Z176" s="22">
        <v>19</v>
      </c>
      <c r="AA176" s="9" t="str">
        <f t="shared" si="55"/>
        <v/>
      </c>
      <c r="AB176" s="29">
        <v>52</v>
      </c>
      <c r="AC176" s="9" t="str">
        <f t="shared" si="56"/>
        <v/>
      </c>
      <c r="AD176" s="22">
        <v>19</v>
      </c>
      <c r="AE176" s="9" t="str">
        <f t="shared" si="57"/>
        <v/>
      </c>
      <c r="AF176" s="22">
        <v>20</v>
      </c>
      <c r="AG176" s="9" t="str">
        <f t="shared" si="58"/>
        <v/>
      </c>
      <c r="AH176" s="22">
        <v>22</v>
      </c>
      <c r="AI176" s="9" t="str">
        <f t="shared" si="59"/>
        <v/>
      </c>
      <c r="AJ176" s="22">
        <v>22</v>
      </c>
      <c r="AK176" s="9" t="str">
        <f t="shared" si="60"/>
        <v/>
      </c>
      <c r="AL176" s="16">
        <f>IF(OR(AND(D176&gt;=31,D176&lt;40),AND(J176&gt;=31,J176&lt;40),AND(P176&gt;=31,P176&lt;40),AND(V176&gt;=31,V176&lt;40),AND(AB176&gt;=31,AB176&lt;40)),IF(AND(OR(COUNTIF(D176:AK176,"=31")&gt;=1,COUNTIF(D176:AK176,"=32")&gt;=1,COUNTIF(D176:AK176,"=33")&gt;=1,COUNTIF(D176:AK176,"=34")&gt;=1,COUNTIF(D176:AK176,"=35")&gt;=1,COUNTIF(D176:AK176,"=36")&gt;=1 ),COUNTIF(D176:AK176,"")=0,COUNTIF(D176:AK176," ")=0,COUNTIF(D176:AK176,"F")=1),CONCATENATE(SUM(EXTRACTNUMBER(D176),EXTRACTNUMBER(F176),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EXTRACTNUMBER(AD176),EXTRACTNUMBER(AF176),EXTRACTNUMBER(AH176),EXTRACTNUMBER(AJ176)),"*"),IF(AND(COUNTIF(D176:AK176,"=34")&gt;=1,COUNTIF(D176:AK176,"=35")&gt;=1,COUNTIF(D176:AK176,"f")=2,COUNTIF(D176:AK176,"")=0,COUNTIF(D176:AK176," ")=0),CONCATENATE(SUM(EXTRACTNUMBER(D176),EXTRACTNUMBER(F176),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EXTRACTNUMBER(AD176),EXTRACTNUMBER(AF176),EXTRACTNUMBER(AH176),EXTRACTNUMBER(AJ176)),"*"),IF(AND(COUNTIF(D176:AK176,"=36")&gt;=2,COUNTIF(D176:AK176,"f")=2,COUNTIF(D176:AK176,"")=0,COUNTIF(D176:AK176," ")=0),CONCATENATE(SUM(EXTRACTNUMBER(D176),EXTRACTNUMBER(F176),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EXTRACTNUMBER(AD176),EXTRACTNUMBER(AF176),EXTRACTNUMBER(AH176),EXTRACTNUMBER(AJ176)),"*"),SUM(EXTRACTNUMBER(D176),EXTRACTNUMBER(F176),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EXTRACTNUMBER(AD176),EXTRACTNUMBER(AF176),EXTRACTNUMBER(AH176),EXTRACTNUMBER(AJ176))))),SUM(EXTRACTNUMBER(D176),EXTRACTNUMBER(F176),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EXTRACTNUMBER(AD176),EXTRACTNUMBER(AF176),EXTRACTNUMBER(AH176),EXTRACTNUMBER(AJ176)))</f>
        <v>546</v>
      </c>
      <c r="AM176" s="72" t="s">
        <v>307</v>
      </c>
      <c r="AN176" s="11">
        <v>1057</v>
      </c>
      <c r="AO176" s="11" t="str">
        <f t="shared" si="61"/>
        <v>PASS</v>
      </c>
      <c r="AP176" s="11" t="str">
        <f t="shared" si="43"/>
        <v>I</v>
      </c>
      <c r="AQ176" s="1" t="str">
        <f t="shared" si="62"/>
        <v xml:space="preserve">One Thousand Fifty Seven </v>
      </c>
    </row>
    <row r="177" spans="2:43" ht="15.95" customHeight="1">
      <c r="B177" s="67">
        <v>136350</v>
      </c>
      <c r="C177" s="21" t="s">
        <v>173</v>
      </c>
      <c r="D177" s="24">
        <v>76</v>
      </c>
      <c r="E177" s="9" t="str">
        <f t="shared" si="44"/>
        <v/>
      </c>
      <c r="F177" s="22">
        <v>22</v>
      </c>
      <c r="G177" s="9" t="str">
        <f t="shared" si="45"/>
        <v/>
      </c>
      <c r="H177" s="22">
        <v>44</v>
      </c>
      <c r="I177" s="9" t="str">
        <f t="shared" si="46"/>
        <v/>
      </c>
      <c r="J177" s="29">
        <v>63</v>
      </c>
      <c r="K177" s="9" t="str">
        <f t="shared" si="47"/>
        <v/>
      </c>
      <c r="L177" s="22">
        <v>23</v>
      </c>
      <c r="M177" s="9" t="str">
        <f t="shared" si="48"/>
        <v/>
      </c>
      <c r="N177" s="22">
        <v>22</v>
      </c>
      <c r="O177" s="9" t="str">
        <f t="shared" si="49"/>
        <v/>
      </c>
      <c r="P177" s="29">
        <v>73</v>
      </c>
      <c r="Q177" s="9" t="str">
        <f t="shared" si="50"/>
        <v/>
      </c>
      <c r="R177" s="22">
        <v>23</v>
      </c>
      <c r="S177" s="9" t="str">
        <f t="shared" si="51"/>
        <v/>
      </c>
      <c r="T177" s="22">
        <v>44</v>
      </c>
      <c r="U177" s="9" t="str">
        <f t="shared" si="52"/>
        <v/>
      </c>
      <c r="V177" s="29">
        <v>63</v>
      </c>
      <c r="W177" s="9" t="str">
        <f t="shared" si="53"/>
        <v/>
      </c>
      <c r="X177" s="22">
        <v>23</v>
      </c>
      <c r="Y177" s="9" t="str">
        <f t="shared" si="54"/>
        <v/>
      </c>
      <c r="Z177" s="22">
        <v>22</v>
      </c>
      <c r="AA177" s="9" t="str">
        <f t="shared" si="55"/>
        <v/>
      </c>
      <c r="AB177" s="29">
        <v>53</v>
      </c>
      <c r="AC177" s="9" t="str">
        <f t="shared" si="56"/>
        <v/>
      </c>
      <c r="AD177" s="22">
        <v>23</v>
      </c>
      <c r="AE177" s="9" t="str">
        <f t="shared" si="57"/>
        <v/>
      </c>
      <c r="AF177" s="22">
        <v>22</v>
      </c>
      <c r="AG177" s="9" t="str">
        <f t="shared" si="58"/>
        <v/>
      </c>
      <c r="AH177" s="22">
        <v>23</v>
      </c>
      <c r="AI177" s="9" t="str">
        <f t="shared" si="59"/>
        <v/>
      </c>
      <c r="AJ177" s="22">
        <v>21</v>
      </c>
      <c r="AK177" s="9" t="str">
        <f t="shared" si="60"/>
        <v/>
      </c>
      <c r="AL177" s="16">
        <f>IF(OR(AND(D177&gt;=31,D177&lt;40),AND(J177&gt;=31,J177&lt;40),AND(P177&gt;=31,P177&lt;40),AND(V177&gt;=31,V177&lt;40),AND(AB177&gt;=31,AB177&lt;40)),IF(AND(OR(COUNTIF(D177:AK177,"=31")&gt;=1,COUNTIF(D177:AK177,"=32")&gt;=1,COUNTIF(D177:AK177,"=33")&gt;=1,COUNTIF(D177:AK177,"=34")&gt;=1,COUNTIF(D177:AK177,"=35")&gt;=1,COUNTIF(D177:AK177,"=36")&gt;=1 ),COUNTIF(D177:AK177,"")=0,COUNTIF(D177:AK177," ")=0,COUNTIF(D177:AK177,"F")=1),CONCATENATE(SUM(EXTRACTNUMBER(D177),EXTRACTNUMBER(F177),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EXTRACTNUMBER(AD177),EXTRACTNUMBER(AF177),EXTRACTNUMBER(AH177),EXTRACTNUMBER(AJ177)),"*"),IF(AND(COUNTIF(D177:AK177,"=34")&gt;=1,COUNTIF(D177:AK177,"=35")&gt;=1,COUNTIF(D177:AK177,"f")=2,COUNTIF(D177:AK177,"")=0,COUNTIF(D177:AK177," ")=0),CONCATENATE(SUM(EXTRACTNUMBER(D177),EXTRACTNUMBER(F177),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EXTRACTNUMBER(AD177),EXTRACTNUMBER(AF177),EXTRACTNUMBER(AH177),EXTRACTNUMBER(AJ177)),"*"),IF(AND(COUNTIF(D177:AK177,"=36")&gt;=2,COUNTIF(D177:AK177,"f")=2,COUNTIF(D177:AK177,"")=0,COUNTIF(D177:AK177," ")=0),CONCATENATE(SUM(EXTRACTNUMBER(D177),EXTRACTNUMBER(F177),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EXTRACTNUMBER(AD177),EXTRACTNUMBER(AF177),EXTRACTNUMBER(AH177),EXTRACTNUMBER(AJ177)),"*"),SUM(EXTRACTNUMBER(D177),EXTRACTNUMBER(F177),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EXTRACTNUMBER(AD177),EXTRACTNUMBER(AF177),EXTRACTNUMBER(AH177),EXTRACTNUMBER(AJ177))))),SUM(EXTRACTNUMBER(D177),EXTRACTNUMBER(F177),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EXTRACTNUMBER(AD177),EXTRACTNUMBER(AF177),EXTRACTNUMBER(AH177),EXTRACTNUMBER(AJ177)))</f>
        <v>640</v>
      </c>
      <c r="AM177" s="72" t="s">
        <v>308</v>
      </c>
      <c r="AN177" s="11">
        <f t="shared" si="42"/>
        <v>1245</v>
      </c>
      <c r="AO177" s="11" t="str">
        <f t="shared" si="61"/>
        <v>PASS</v>
      </c>
      <c r="AP177" s="11" t="str">
        <f t="shared" si="43"/>
        <v>I</v>
      </c>
      <c r="AQ177" s="1" t="str">
        <f t="shared" si="62"/>
        <v xml:space="preserve">One Thousand Two Hundred Forty Five </v>
      </c>
    </row>
    <row r="178" spans="2:43" ht="15.95" customHeight="1">
      <c r="B178" s="67">
        <v>136351</v>
      </c>
      <c r="C178" s="21" t="s">
        <v>174</v>
      </c>
      <c r="D178" s="24">
        <v>40</v>
      </c>
      <c r="E178" s="9" t="str">
        <f t="shared" si="44"/>
        <v/>
      </c>
      <c r="F178" s="22">
        <v>19</v>
      </c>
      <c r="G178" s="9" t="str">
        <f t="shared" si="45"/>
        <v/>
      </c>
      <c r="H178" s="22">
        <v>38</v>
      </c>
      <c r="I178" s="9" t="str">
        <f t="shared" si="46"/>
        <v/>
      </c>
      <c r="J178" s="29">
        <v>40</v>
      </c>
      <c r="K178" s="9" t="str">
        <f t="shared" si="47"/>
        <v/>
      </c>
      <c r="L178" s="22">
        <v>20</v>
      </c>
      <c r="M178" s="9" t="str">
        <f t="shared" si="48"/>
        <v/>
      </c>
      <c r="N178" s="22">
        <v>19</v>
      </c>
      <c r="O178" s="9" t="str">
        <f t="shared" si="49"/>
        <v/>
      </c>
      <c r="P178" s="29">
        <v>56</v>
      </c>
      <c r="Q178" s="9" t="str">
        <f t="shared" si="50"/>
        <v/>
      </c>
      <c r="R178" s="22">
        <v>20</v>
      </c>
      <c r="S178" s="9" t="str">
        <f t="shared" si="51"/>
        <v/>
      </c>
      <c r="T178" s="22">
        <v>38</v>
      </c>
      <c r="U178" s="9" t="str">
        <f t="shared" si="52"/>
        <v/>
      </c>
      <c r="V178" s="29">
        <v>46</v>
      </c>
      <c r="W178" s="9" t="str">
        <f t="shared" si="53"/>
        <v/>
      </c>
      <c r="X178" s="22">
        <v>20</v>
      </c>
      <c r="Y178" s="9" t="str">
        <f t="shared" si="54"/>
        <v/>
      </c>
      <c r="Z178" s="22">
        <v>20</v>
      </c>
      <c r="AA178" s="9" t="str">
        <f t="shared" si="55"/>
        <v/>
      </c>
      <c r="AB178" s="29">
        <v>48</v>
      </c>
      <c r="AC178" s="9" t="str">
        <f t="shared" si="56"/>
        <v/>
      </c>
      <c r="AD178" s="22">
        <v>20</v>
      </c>
      <c r="AE178" s="9" t="str">
        <f t="shared" si="57"/>
        <v/>
      </c>
      <c r="AF178" s="22">
        <v>18</v>
      </c>
      <c r="AG178" s="9" t="str">
        <f t="shared" si="58"/>
        <v/>
      </c>
      <c r="AH178" s="22">
        <v>20</v>
      </c>
      <c r="AI178" s="9" t="str">
        <f t="shared" si="59"/>
        <v/>
      </c>
      <c r="AJ178" s="22">
        <v>21</v>
      </c>
      <c r="AK178" s="9" t="str">
        <f t="shared" si="60"/>
        <v/>
      </c>
      <c r="AL178" s="16">
        <f>IF(OR(AND(D178&gt;=31,D178&lt;40),AND(J178&gt;=31,J178&lt;40),AND(P178&gt;=31,P178&lt;40),AND(V178&gt;=31,V178&lt;40),AND(AB178&gt;=31,AB178&lt;40)),IF(AND(OR(COUNTIF(D178:AK178,"=31")&gt;=1,COUNTIF(D178:AK178,"=32")&gt;=1,COUNTIF(D178:AK178,"=33")&gt;=1,COUNTIF(D178:AK178,"=34")&gt;=1,COUNTIF(D178:AK178,"=35")&gt;=1,COUNTIF(D178:AK178,"=36")&gt;=1 ),COUNTIF(D178:AK178,"")=0,COUNTIF(D178:AK178," ")=0,COUNTIF(D178:AK178,"F")=1),CONCATENATE(SUM(EXTRACTNUMBER(D178),EXTRACTNUMBER(F178),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EXTRACTNUMBER(AD178),EXTRACTNUMBER(AF178),EXTRACTNUMBER(AH178),EXTRACTNUMBER(AJ178)),"*"),IF(AND(COUNTIF(D178:AK178,"=34")&gt;=1,COUNTIF(D178:AK178,"=35")&gt;=1,COUNTIF(D178:AK178,"f")=2,COUNTIF(D178:AK178,"")=0,COUNTIF(D178:AK178," ")=0),CONCATENATE(SUM(EXTRACTNUMBER(D178),EXTRACTNUMBER(F178),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EXTRACTNUMBER(AD178),EXTRACTNUMBER(AF178),EXTRACTNUMBER(AH178),EXTRACTNUMBER(AJ178)),"*"),IF(AND(COUNTIF(D178:AK178,"=36")&gt;=2,COUNTIF(D178:AK178,"f")=2,COUNTIF(D178:AK178,"")=0,COUNTIF(D178:AK178," ")=0),CONCATENATE(SUM(EXTRACTNUMBER(D178),EXTRACTNUMBER(F178),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EXTRACTNUMBER(AD178),EXTRACTNUMBER(AF178),EXTRACTNUMBER(AH178),EXTRACTNUMBER(AJ178)),"*"),SUM(EXTRACTNUMBER(D178),EXTRACTNUMBER(F178),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EXTRACTNUMBER(AD178),EXTRACTNUMBER(AF178),EXTRACTNUMBER(AH178),EXTRACTNUMBER(AJ178))))),SUM(EXTRACTNUMBER(D178),EXTRACTNUMBER(F178),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EXTRACTNUMBER(AD178),EXTRACTNUMBER(AF178),EXTRACTNUMBER(AH178),EXTRACTNUMBER(AJ178)))</f>
        <v>503</v>
      </c>
      <c r="AM178" s="72" t="s">
        <v>563</v>
      </c>
      <c r="AN178" s="11">
        <f t="shared" si="42"/>
        <v>971</v>
      </c>
      <c r="AO178" s="11" t="str">
        <f t="shared" si="61"/>
        <v>PASS</v>
      </c>
      <c r="AP178" s="11" t="str">
        <f t="shared" si="43"/>
        <v>II</v>
      </c>
      <c r="AQ178" s="1" t="str">
        <f t="shared" si="62"/>
        <v xml:space="preserve">Nine Hundred Seventy One </v>
      </c>
    </row>
    <row r="179" spans="2:43" ht="15.95" customHeight="1">
      <c r="B179" s="67">
        <v>136352</v>
      </c>
      <c r="C179" s="21" t="s">
        <v>175</v>
      </c>
      <c r="D179" s="24">
        <v>68</v>
      </c>
      <c r="E179" s="9" t="str">
        <f t="shared" si="44"/>
        <v/>
      </c>
      <c r="F179" s="22">
        <v>21</v>
      </c>
      <c r="G179" s="9" t="str">
        <f t="shared" si="45"/>
        <v/>
      </c>
      <c r="H179" s="22">
        <v>46</v>
      </c>
      <c r="I179" s="9" t="str">
        <f t="shared" si="46"/>
        <v/>
      </c>
      <c r="J179" s="29">
        <v>53</v>
      </c>
      <c r="K179" s="9" t="str">
        <f t="shared" si="47"/>
        <v/>
      </c>
      <c r="L179" s="22">
        <v>21</v>
      </c>
      <c r="M179" s="9" t="str">
        <f t="shared" si="48"/>
        <v/>
      </c>
      <c r="N179" s="22">
        <v>23</v>
      </c>
      <c r="O179" s="9" t="str">
        <f t="shared" si="49"/>
        <v/>
      </c>
      <c r="P179" s="29">
        <v>59</v>
      </c>
      <c r="Q179" s="9" t="str">
        <f t="shared" si="50"/>
        <v/>
      </c>
      <c r="R179" s="22">
        <v>21</v>
      </c>
      <c r="S179" s="9" t="str">
        <f t="shared" si="51"/>
        <v/>
      </c>
      <c r="T179" s="22">
        <v>44</v>
      </c>
      <c r="U179" s="9" t="str">
        <f t="shared" si="52"/>
        <v/>
      </c>
      <c r="V179" s="29">
        <v>60</v>
      </c>
      <c r="W179" s="9" t="str">
        <f t="shared" si="53"/>
        <v/>
      </c>
      <c r="X179" s="22">
        <v>21</v>
      </c>
      <c r="Y179" s="9" t="str">
        <f t="shared" si="54"/>
        <v/>
      </c>
      <c r="Z179" s="22">
        <v>21</v>
      </c>
      <c r="AA179" s="9" t="str">
        <f t="shared" si="55"/>
        <v/>
      </c>
      <c r="AB179" s="29">
        <v>55</v>
      </c>
      <c r="AC179" s="9" t="str">
        <f t="shared" si="56"/>
        <v/>
      </c>
      <c r="AD179" s="22">
        <v>21</v>
      </c>
      <c r="AE179" s="9" t="str">
        <f t="shared" si="57"/>
        <v/>
      </c>
      <c r="AF179" s="22">
        <v>21</v>
      </c>
      <c r="AG179" s="9" t="str">
        <f t="shared" si="58"/>
        <v/>
      </c>
      <c r="AH179" s="22">
        <v>21</v>
      </c>
      <c r="AI179" s="9" t="str">
        <f t="shared" si="59"/>
        <v/>
      </c>
      <c r="AJ179" s="22">
        <v>21</v>
      </c>
      <c r="AK179" s="9" t="str">
        <f t="shared" si="60"/>
        <v/>
      </c>
      <c r="AL179" s="16">
        <f>IF(OR(AND(D179&gt;=31,D179&lt;40),AND(J179&gt;=31,J179&lt;40),AND(P179&gt;=31,P179&lt;40),AND(V179&gt;=31,V179&lt;40),AND(AB179&gt;=31,AB179&lt;40)),IF(AND(OR(COUNTIF(D179:AK179,"=31")&gt;=1,COUNTIF(D179:AK179,"=32")&gt;=1,COUNTIF(D179:AK179,"=33")&gt;=1,COUNTIF(D179:AK179,"=34")&gt;=1,COUNTIF(D179:AK179,"=35")&gt;=1,COUNTIF(D179:AK179,"=36")&gt;=1 ),COUNTIF(D179:AK179,"")=0,COUNTIF(D179:AK179," ")=0,COUNTIF(D179:AK179,"F")=1),CONCATENATE(SUM(EXTRACTNUMBER(D179),EXTRACTNUMBER(F179),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EXTRACTNUMBER(AD179),EXTRACTNUMBER(AF179),EXTRACTNUMBER(AH179),EXTRACTNUMBER(AJ179)),"*"),IF(AND(COUNTIF(D179:AK179,"=34")&gt;=1,COUNTIF(D179:AK179,"=35")&gt;=1,COUNTIF(D179:AK179,"f")=2,COUNTIF(D179:AK179,"")=0,COUNTIF(D179:AK179," ")=0),CONCATENATE(SUM(EXTRACTNUMBER(D179),EXTRACTNUMBER(F179),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EXTRACTNUMBER(AD179),EXTRACTNUMBER(AF179),EXTRACTNUMBER(AH179),EXTRACTNUMBER(AJ179)),"*"),IF(AND(COUNTIF(D179:AK179,"=36")&gt;=2,COUNTIF(D179:AK179,"f")=2,COUNTIF(D179:AK179,"")=0,COUNTIF(D179:AK179," ")=0),CONCATENATE(SUM(EXTRACTNUMBER(D179),EXTRACTNUMBER(F179),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EXTRACTNUMBER(AD179),EXTRACTNUMBER(AF179),EXTRACTNUMBER(AH179),EXTRACTNUMBER(AJ179)),"*"),SUM(EXTRACTNUMBER(D179),EXTRACTNUMBER(F179),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EXTRACTNUMBER(AD179),EXTRACTNUMBER(AF179),EXTRACTNUMBER(AH179),EXTRACTNUMBER(AJ179))))),SUM(EXTRACTNUMBER(D179),EXTRACTNUMBER(F179),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EXTRACTNUMBER(AD179),EXTRACTNUMBER(AF179),EXTRACTNUMBER(AH179),EXTRACTNUMBER(AJ179)))</f>
        <v>597</v>
      </c>
      <c r="AM179" s="72" t="s">
        <v>236</v>
      </c>
      <c r="AN179" s="11">
        <f t="shared" si="42"/>
        <v>1110</v>
      </c>
      <c r="AO179" s="11" t="str">
        <f t="shared" si="61"/>
        <v>PASS</v>
      </c>
      <c r="AP179" s="11" t="str">
        <f t="shared" si="43"/>
        <v>I</v>
      </c>
      <c r="AQ179" s="1" t="str">
        <f t="shared" si="62"/>
        <v xml:space="preserve">One Thousand One Hundred Ten </v>
      </c>
    </row>
    <row r="180" spans="2:43" ht="15.95" customHeight="1">
      <c r="B180" s="67">
        <v>136353</v>
      </c>
      <c r="C180" s="21" t="s">
        <v>176</v>
      </c>
      <c r="D180" s="24">
        <v>61</v>
      </c>
      <c r="E180" s="9" t="str">
        <f t="shared" si="44"/>
        <v/>
      </c>
      <c r="F180" s="22">
        <v>21</v>
      </c>
      <c r="G180" s="9" t="str">
        <f t="shared" si="45"/>
        <v/>
      </c>
      <c r="H180" s="22">
        <v>44</v>
      </c>
      <c r="I180" s="9" t="str">
        <f t="shared" si="46"/>
        <v/>
      </c>
      <c r="J180" s="29">
        <v>68</v>
      </c>
      <c r="K180" s="9" t="str">
        <f t="shared" si="47"/>
        <v/>
      </c>
      <c r="L180" s="22">
        <v>21</v>
      </c>
      <c r="M180" s="9" t="str">
        <f t="shared" si="48"/>
        <v/>
      </c>
      <c r="N180" s="22">
        <v>22</v>
      </c>
      <c r="O180" s="9" t="str">
        <f t="shared" si="49"/>
        <v/>
      </c>
      <c r="P180" s="29">
        <v>65</v>
      </c>
      <c r="Q180" s="9" t="str">
        <f t="shared" si="50"/>
        <v/>
      </c>
      <c r="R180" s="22">
        <v>21</v>
      </c>
      <c r="S180" s="9" t="str">
        <f t="shared" si="51"/>
        <v/>
      </c>
      <c r="T180" s="22">
        <v>44</v>
      </c>
      <c r="U180" s="9" t="str">
        <f t="shared" si="52"/>
        <v/>
      </c>
      <c r="V180" s="29">
        <v>65</v>
      </c>
      <c r="W180" s="9" t="str">
        <f t="shared" si="53"/>
        <v/>
      </c>
      <c r="X180" s="22">
        <v>21</v>
      </c>
      <c r="Y180" s="9" t="str">
        <f t="shared" si="54"/>
        <v/>
      </c>
      <c r="Z180" s="22">
        <v>21</v>
      </c>
      <c r="AA180" s="9" t="str">
        <f t="shared" si="55"/>
        <v/>
      </c>
      <c r="AB180" s="29">
        <v>48</v>
      </c>
      <c r="AC180" s="9" t="str">
        <f t="shared" si="56"/>
        <v/>
      </c>
      <c r="AD180" s="22">
        <v>21</v>
      </c>
      <c r="AE180" s="9" t="str">
        <f t="shared" si="57"/>
        <v/>
      </c>
      <c r="AF180" s="22">
        <v>21</v>
      </c>
      <c r="AG180" s="9" t="str">
        <f t="shared" si="58"/>
        <v/>
      </c>
      <c r="AH180" s="22">
        <v>21</v>
      </c>
      <c r="AI180" s="9" t="str">
        <f t="shared" si="59"/>
        <v/>
      </c>
      <c r="AJ180" s="22">
        <v>22</v>
      </c>
      <c r="AK180" s="9" t="str">
        <f t="shared" si="60"/>
        <v/>
      </c>
      <c r="AL180" s="16">
        <f>IF(OR(AND(D180&gt;=31,D180&lt;40),AND(J180&gt;=31,J180&lt;40),AND(P180&gt;=31,P180&lt;40),AND(V180&gt;=31,V180&lt;40),AND(AB180&gt;=31,AB180&lt;40)),IF(AND(OR(COUNTIF(D180:AK180,"=31")&gt;=1,COUNTIF(D180:AK180,"=32")&gt;=1,COUNTIF(D180:AK180,"=33")&gt;=1,COUNTIF(D180:AK180,"=34")&gt;=1,COUNTIF(D180:AK180,"=35")&gt;=1,COUNTIF(D180:AK180,"=36")&gt;=1 ),COUNTIF(D180:AK180,"")=0,COUNTIF(D180:AK180," ")=0,COUNTIF(D180:AK180,"F")=1),CONCATENATE(SUM(EXTRACTNUMBER(D180),EXTRACTNUMBER(F180),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EXTRACTNUMBER(AD180),EXTRACTNUMBER(AF180),EXTRACTNUMBER(AH180),EXTRACTNUMBER(AJ180)),"*"),IF(AND(COUNTIF(D180:AK180,"=34")&gt;=1,COUNTIF(D180:AK180,"=35")&gt;=1,COUNTIF(D180:AK180,"f")=2,COUNTIF(D180:AK180,"")=0,COUNTIF(D180:AK180," ")=0),CONCATENATE(SUM(EXTRACTNUMBER(D180),EXTRACTNUMBER(F180),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EXTRACTNUMBER(AD180),EXTRACTNUMBER(AF180),EXTRACTNUMBER(AH180),EXTRACTNUMBER(AJ180)),"*"),IF(AND(COUNTIF(D180:AK180,"=36")&gt;=2,COUNTIF(D180:AK180,"f")=2,COUNTIF(D180:AK180,"")=0,COUNTIF(D180:AK180," ")=0),CONCATENATE(SUM(EXTRACTNUMBER(D180),EXTRACTNUMBER(F180),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EXTRACTNUMBER(AD180),EXTRACTNUMBER(AF180),EXTRACTNUMBER(AH180),EXTRACTNUMBER(AJ180)),"*"),SUM(EXTRACTNUMBER(D180),EXTRACTNUMBER(F180),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EXTRACTNUMBER(AD180),EXTRACTNUMBER(AF180),EXTRACTNUMBER(AH180),EXTRACTNUMBER(AJ180))))),SUM(EXTRACTNUMBER(D180),EXTRACTNUMBER(F180),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EXTRACTNUMBER(AD180),EXTRACTNUMBER(AF180),EXTRACTNUMBER(AH180),EXTRACTNUMBER(AJ180)))</f>
        <v>607</v>
      </c>
      <c r="AM180" s="72" t="s">
        <v>299</v>
      </c>
      <c r="AN180" s="11">
        <f t="shared" si="42"/>
        <v>1135</v>
      </c>
      <c r="AO180" s="11" t="str">
        <f t="shared" si="61"/>
        <v>PASS</v>
      </c>
      <c r="AP180" s="11" t="str">
        <f t="shared" si="43"/>
        <v>I</v>
      </c>
      <c r="AQ180" s="1" t="str">
        <f t="shared" si="62"/>
        <v xml:space="preserve">One Thousand One Hundred Thirty Five </v>
      </c>
    </row>
    <row r="181" spans="2:43" ht="15.95" customHeight="1">
      <c r="B181" s="67">
        <v>136354</v>
      </c>
      <c r="C181" s="21" t="s">
        <v>177</v>
      </c>
      <c r="D181" s="24">
        <v>43</v>
      </c>
      <c r="E181" s="9" t="str">
        <f t="shared" si="44"/>
        <v/>
      </c>
      <c r="F181" s="22">
        <v>22</v>
      </c>
      <c r="G181" s="9" t="str">
        <f t="shared" si="45"/>
        <v/>
      </c>
      <c r="H181" s="22">
        <v>42</v>
      </c>
      <c r="I181" s="9" t="str">
        <f t="shared" si="46"/>
        <v/>
      </c>
      <c r="J181" s="29">
        <v>44</v>
      </c>
      <c r="K181" s="9" t="str">
        <f t="shared" si="47"/>
        <v/>
      </c>
      <c r="L181" s="22">
        <v>21</v>
      </c>
      <c r="M181" s="9" t="str">
        <f t="shared" si="48"/>
        <v/>
      </c>
      <c r="N181" s="22">
        <v>21</v>
      </c>
      <c r="O181" s="9" t="str">
        <f t="shared" si="49"/>
        <v/>
      </c>
      <c r="P181" s="29">
        <v>68</v>
      </c>
      <c r="Q181" s="9" t="str">
        <f t="shared" si="50"/>
        <v/>
      </c>
      <c r="R181" s="22">
        <v>23</v>
      </c>
      <c r="S181" s="9" t="str">
        <f t="shared" si="51"/>
        <v/>
      </c>
      <c r="T181" s="22">
        <v>42</v>
      </c>
      <c r="U181" s="9" t="str">
        <f t="shared" si="52"/>
        <v/>
      </c>
      <c r="V181" s="29">
        <v>60</v>
      </c>
      <c r="W181" s="9" t="str">
        <f t="shared" si="53"/>
        <v/>
      </c>
      <c r="X181" s="22">
        <v>23</v>
      </c>
      <c r="Y181" s="9" t="str">
        <f t="shared" si="54"/>
        <v/>
      </c>
      <c r="Z181" s="22">
        <v>22</v>
      </c>
      <c r="AA181" s="9" t="str">
        <f t="shared" si="55"/>
        <v/>
      </c>
      <c r="AB181" s="29">
        <v>52</v>
      </c>
      <c r="AC181" s="9" t="str">
        <f t="shared" si="56"/>
        <v/>
      </c>
      <c r="AD181" s="22">
        <v>23</v>
      </c>
      <c r="AE181" s="9" t="str">
        <f t="shared" si="57"/>
        <v/>
      </c>
      <c r="AF181" s="22">
        <v>20</v>
      </c>
      <c r="AG181" s="9" t="str">
        <f t="shared" si="58"/>
        <v/>
      </c>
      <c r="AH181" s="22">
        <v>23</v>
      </c>
      <c r="AI181" s="9" t="str">
        <f t="shared" si="59"/>
        <v/>
      </c>
      <c r="AJ181" s="22">
        <v>22</v>
      </c>
      <c r="AK181" s="9" t="str">
        <f t="shared" si="60"/>
        <v/>
      </c>
      <c r="AL181" s="16">
        <f>IF(OR(AND(D181&gt;=31,D181&lt;40),AND(J181&gt;=31,J181&lt;40),AND(P181&gt;=31,P181&lt;40),AND(V181&gt;=31,V181&lt;40),AND(AB181&gt;=31,AB181&lt;40)),IF(AND(OR(COUNTIF(D181:AK181,"=31")&gt;=1,COUNTIF(D181:AK181,"=32")&gt;=1,COUNTIF(D181:AK181,"=33")&gt;=1,COUNTIF(D181:AK181,"=34")&gt;=1,COUNTIF(D181:AK181,"=35")&gt;=1,COUNTIF(D181:AK181,"=36")&gt;=1 ),COUNTIF(D181:AK181,"")=0,COUNTIF(D181:AK181," ")=0,COUNTIF(D181:AK181,"F")=1),CONCATENATE(SUM(EXTRACTNUMBER(D181),EXTRACTNUMBER(F181),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EXTRACTNUMBER(AD181),EXTRACTNUMBER(AF181),EXTRACTNUMBER(AH181),EXTRACTNUMBER(AJ181)),"*"),IF(AND(COUNTIF(D181:AK181,"=34")&gt;=1,COUNTIF(D181:AK181,"=35")&gt;=1,COUNTIF(D181:AK181,"f")=2,COUNTIF(D181:AK181,"")=0,COUNTIF(D181:AK181," ")=0),CONCATENATE(SUM(EXTRACTNUMBER(D181),EXTRACTNUMBER(F181),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EXTRACTNUMBER(AD181),EXTRACTNUMBER(AF181),EXTRACTNUMBER(AH181),EXTRACTNUMBER(AJ181)),"*"),IF(AND(COUNTIF(D181:AK181,"=36")&gt;=2,COUNTIF(D181:AK181,"f")=2,COUNTIF(D181:AK181,"")=0,COUNTIF(D181:AK181," ")=0),CONCATENATE(SUM(EXTRACTNUMBER(D181),EXTRACTNUMBER(F181),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EXTRACTNUMBER(AD181),EXTRACTNUMBER(AF181),EXTRACTNUMBER(AH181),EXTRACTNUMBER(AJ181)),"*"),SUM(EXTRACTNUMBER(D181),EXTRACTNUMBER(F181),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EXTRACTNUMBER(AD181),EXTRACTNUMBER(AF181),EXTRACTNUMBER(AH181),EXTRACTNUMBER(AJ181))))),SUM(EXTRACTNUMBER(D181),EXTRACTNUMBER(F181),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EXTRACTNUMBER(AD181),EXTRACTNUMBER(AF181),EXTRACTNUMBER(AH181),EXTRACTNUMBER(AJ181)))</f>
        <v>571</v>
      </c>
      <c r="AM181" s="72" t="s">
        <v>309</v>
      </c>
      <c r="AN181" s="11">
        <f t="shared" si="42"/>
        <v>1102</v>
      </c>
      <c r="AO181" s="11" t="str">
        <f t="shared" si="61"/>
        <v>PASS</v>
      </c>
      <c r="AP181" s="11" t="str">
        <f t="shared" si="43"/>
        <v>I</v>
      </c>
      <c r="AQ181" s="1" t="str">
        <f t="shared" si="62"/>
        <v xml:space="preserve">One Thousand One Hundred Two </v>
      </c>
    </row>
    <row r="182" spans="2:43" ht="15.95" customHeight="1">
      <c r="B182" s="67">
        <v>136355</v>
      </c>
      <c r="C182" s="21" t="s">
        <v>178</v>
      </c>
      <c r="D182" s="24">
        <v>40</v>
      </c>
      <c r="E182" s="9" t="str">
        <f t="shared" si="44"/>
        <v>E</v>
      </c>
      <c r="F182" s="22">
        <v>23</v>
      </c>
      <c r="G182" s="9" t="str">
        <f t="shared" si="45"/>
        <v>E</v>
      </c>
      <c r="H182" s="22">
        <v>42</v>
      </c>
      <c r="I182" s="9" t="str">
        <f t="shared" si="46"/>
        <v>E</v>
      </c>
      <c r="J182" s="29">
        <v>29</v>
      </c>
      <c r="K182" s="9" t="str">
        <f t="shared" si="47"/>
        <v>F</v>
      </c>
      <c r="L182" s="22">
        <v>23</v>
      </c>
      <c r="M182" s="9" t="str">
        <f t="shared" si="48"/>
        <v>E</v>
      </c>
      <c r="N182" s="22">
        <v>21</v>
      </c>
      <c r="O182" s="9" t="str">
        <f t="shared" si="49"/>
        <v>E</v>
      </c>
      <c r="P182" s="29">
        <v>60</v>
      </c>
      <c r="Q182" s="9" t="str">
        <f t="shared" si="50"/>
        <v>E</v>
      </c>
      <c r="R182" s="22">
        <v>23</v>
      </c>
      <c r="S182" s="9" t="str">
        <f t="shared" si="51"/>
        <v>E</v>
      </c>
      <c r="T182" s="22">
        <v>42</v>
      </c>
      <c r="U182" s="9" t="str">
        <f t="shared" si="52"/>
        <v>E</v>
      </c>
      <c r="V182" s="29">
        <v>43</v>
      </c>
      <c r="W182" s="9" t="str">
        <f t="shared" si="53"/>
        <v>E</v>
      </c>
      <c r="X182" s="22">
        <v>23</v>
      </c>
      <c r="Y182" s="9" t="str">
        <f t="shared" si="54"/>
        <v>E</v>
      </c>
      <c r="Z182" s="22">
        <v>22</v>
      </c>
      <c r="AA182" s="9" t="str">
        <f t="shared" si="55"/>
        <v>E</v>
      </c>
      <c r="AB182" s="29">
        <v>48</v>
      </c>
      <c r="AC182" s="9" t="str">
        <f t="shared" si="56"/>
        <v>E</v>
      </c>
      <c r="AD182" s="22">
        <v>23</v>
      </c>
      <c r="AE182" s="9" t="str">
        <f t="shared" si="57"/>
        <v>E</v>
      </c>
      <c r="AF182" s="22">
        <v>21</v>
      </c>
      <c r="AG182" s="9" t="str">
        <f t="shared" si="58"/>
        <v>E</v>
      </c>
      <c r="AH182" s="22">
        <v>23</v>
      </c>
      <c r="AI182" s="9" t="str">
        <f t="shared" si="59"/>
        <v>E</v>
      </c>
      <c r="AJ182" s="22">
        <v>23</v>
      </c>
      <c r="AK182" s="9" t="str">
        <f t="shared" si="60"/>
        <v>E</v>
      </c>
      <c r="AL182" s="16">
        <f>IF(OR(AND(D182&gt;=31,D182&lt;40),AND(J182&gt;=31,J182&lt;40),AND(P182&gt;=31,P182&lt;40),AND(V182&gt;=31,V182&lt;40),AND(AB182&gt;=31,AB182&lt;40)),IF(AND(OR(COUNTIF(D182:AK182,"=31")&gt;=1,COUNTIF(D182:AK182,"=32")&gt;=1,COUNTIF(D182:AK182,"=33")&gt;=1,COUNTIF(D182:AK182,"=34")&gt;=1,COUNTIF(D182:AK182,"=35")&gt;=1,COUNTIF(D182:AK182,"=36")&gt;=1 ),COUNTIF(D182:AK182,"")=0,COUNTIF(D182:AK182," ")=0,COUNTIF(D182:AK182,"F")=1),CONCATENATE(SUM(EXTRACTNUMBER(D182),EXTRACTNUMBER(F182),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EXTRACTNUMBER(AD182),EXTRACTNUMBER(AF182),EXTRACTNUMBER(AH182),EXTRACTNUMBER(AJ182)),"*"),IF(AND(COUNTIF(D182:AK182,"=34")&gt;=1,COUNTIF(D182:AK182,"=35")&gt;=1,COUNTIF(D182:AK182,"f")=2,COUNTIF(D182:AK182,"")=0,COUNTIF(D182:AK182," ")=0),CONCATENATE(SUM(EXTRACTNUMBER(D182),EXTRACTNUMBER(F182),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EXTRACTNUMBER(AD182),EXTRACTNUMBER(AF182),EXTRACTNUMBER(AH182),EXTRACTNUMBER(AJ182)),"*"),IF(AND(COUNTIF(D182:AK182,"=36")&gt;=2,COUNTIF(D182:AK182,"f")=2,COUNTIF(D182:AK182,"")=0,COUNTIF(D182:AK182," ")=0),CONCATENATE(SUM(EXTRACTNUMBER(D182),EXTRACTNUMBER(F182),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EXTRACTNUMBER(AD182),EXTRACTNUMBER(AF182),EXTRACTNUMBER(AH182),EXTRACTNUMBER(AJ182)),"*"),SUM(EXTRACTNUMBER(D182),EXTRACTNUMBER(F182),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EXTRACTNUMBER(AD182),EXTRACTNUMBER(AF182),EXTRACTNUMBER(AH182),EXTRACTNUMBER(AJ182))))),SUM(EXTRACTNUMBER(D182),EXTRACTNUMBER(F182),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EXTRACTNUMBER(AD182),EXTRACTNUMBER(AF182),EXTRACTNUMBER(AH182),EXTRACTNUMBER(AJ182)))</f>
        <v>529</v>
      </c>
      <c r="AM182" s="72" t="s">
        <v>274</v>
      </c>
      <c r="AN182" s="11">
        <f t="shared" si="42"/>
        <v>1033</v>
      </c>
      <c r="AO182" s="11" t="str">
        <f t="shared" si="61"/>
        <v>FAIL</v>
      </c>
      <c r="AP182" s="11" t="str">
        <f t="shared" si="43"/>
        <v>--</v>
      </c>
      <c r="AQ182" s="1" t="str">
        <f t="shared" si="62"/>
        <v xml:space="preserve">One Thousand Thirty Three </v>
      </c>
    </row>
    <row r="183" spans="2:43" ht="15.95" customHeight="1">
      <c r="B183" s="67">
        <v>136356</v>
      </c>
      <c r="C183" s="21" t="s">
        <v>179</v>
      </c>
      <c r="D183" s="24">
        <v>56</v>
      </c>
      <c r="E183" s="9" t="str">
        <f t="shared" si="44"/>
        <v/>
      </c>
      <c r="F183" s="22">
        <v>19</v>
      </c>
      <c r="G183" s="9" t="str">
        <f t="shared" si="45"/>
        <v/>
      </c>
      <c r="H183" s="22">
        <v>40</v>
      </c>
      <c r="I183" s="9" t="str">
        <f t="shared" si="46"/>
        <v/>
      </c>
      <c r="J183" s="29">
        <v>52</v>
      </c>
      <c r="K183" s="9" t="str">
        <f t="shared" si="47"/>
        <v/>
      </c>
      <c r="L183" s="22">
        <v>20</v>
      </c>
      <c r="M183" s="9" t="str">
        <f t="shared" si="48"/>
        <v/>
      </c>
      <c r="N183" s="22">
        <v>20</v>
      </c>
      <c r="O183" s="9" t="str">
        <f t="shared" si="49"/>
        <v/>
      </c>
      <c r="P183" s="29">
        <v>64</v>
      </c>
      <c r="Q183" s="9" t="str">
        <f t="shared" si="50"/>
        <v/>
      </c>
      <c r="R183" s="22">
        <v>21</v>
      </c>
      <c r="S183" s="9" t="str">
        <f t="shared" si="51"/>
        <v/>
      </c>
      <c r="T183" s="22">
        <v>40</v>
      </c>
      <c r="U183" s="9" t="str">
        <f t="shared" si="52"/>
        <v/>
      </c>
      <c r="V183" s="29">
        <v>63</v>
      </c>
      <c r="W183" s="9" t="str">
        <f t="shared" si="53"/>
        <v/>
      </c>
      <c r="X183" s="22">
        <v>21</v>
      </c>
      <c r="Y183" s="9" t="str">
        <f t="shared" si="54"/>
        <v/>
      </c>
      <c r="Z183" s="22">
        <v>21</v>
      </c>
      <c r="AA183" s="9" t="str">
        <f t="shared" si="55"/>
        <v/>
      </c>
      <c r="AB183" s="29">
        <v>52</v>
      </c>
      <c r="AC183" s="9" t="str">
        <f t="shared" si="56"/>
        <v/>
      </c>
      <c r="AD183" s="22">
        <v>21</v>
      </c>
      <c r="AE183" s="9" t="str">
        <f t="shared" si="57"/>
        <v/>
      </c>
      <c r="AF183" s="22">
        <v>20</v>
      </c>
      <c r="AG183" s="9" t="str">
        <f t="shared" si="58"/>
        <v/>
      </c>
      <c r="AH183" s="22">
        <v>21</v>
      </c>
      <c r="AI183" s="9" t="str">
        <f t="shared" si="59"/>
        <v/>
      </c>
      <c r="AJ183" s="22">
        <v>21</v>
      </c>
      <c r="AK183" s="9" t="str">
        <f t="shared" si="60"/>
        <v/>
      </c>
      <c r="AL183" s="16">
        <f>IF(OR(AND(D183&gt;=31,D183&lt;40),AND(J183&gt;=31,J183&lt;40),AND(P183&gt;=31,P183&lt;40),AND(V183&gt;=31,V183&lt;40),AND(AB183&gt;=31,AB183&lt;40)),IF(AND(OR(COUNTIF(D183:AK183,"=31")&gt;=1,COUNTIF(D183:AK183,"=32")&gt;=1,COUNTIF(D183:AK183,"=33")&gt;=1,COUNTIF(D183:AK183,"=34")&gt;=1,COUNTIF(D183:AK183,"=35")&gt;=1,COUNTIF(D183:AK183,"=36")&gt;=1 ),COUNTIF(D183:AK183,"")=0,COUNTIF(D183:AK183," ")=0,COUNTIF(D183:AK183,"F")=1),CONCATENATE(SUM(EXTRACTNUMBER(D183),EXTRACTNUMBER(F183),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EXTRACTNUMBER(AD183),EXTRACTNUMBER(AF183),EXTRACTNUMBER(AH183),EXTRACTNUMBER(AJ183)),"*"),IF(AND(COUNTIF(D183:AK183,"=34")&gt;=1,COUNTIF(D183:AK183,"=35")&gt;=1,COUNTIF(D183:AK183,"f")=2,COUNTIF(D183:AK183,"")=0,COUNTIF(D183:AK183," ")=0),CONCATENATE(SUM(EXTRACTNUMBER(D183),EXTRACTNUMBER(F183),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EXTRACTNUMBER(AD183),EXTRACTNUMBER(AF183),EXTRACTNUMBER(AH183),EXTRACTNUMBER(AJ183)),"*"),IF(AND(COUNTIF(D183:AK183,"=36")&gt;=2,COUNTIF(D183:AK183,"f")=2,COUNTIF(D183:AK183,"")=0,COUNTIF(D183:AK183," ")=0),CONCATENATE(SUM(EXTRACTNUMBER(D183),EXTRACTNUMBER(F183),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EXTRACTNUMBER(AD183),EXTRACTNUMBER(AF183),EXTRACTNUMBER(AH183),EXTRACTNUMBER(AJ183)),"*"),SUM(EXTRACTNUMBER(D183),EXTRACTNUMBER(F183),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EXTRACTNUMBER(AD183),EXTRACTNUMBER(AF183),EXTRACTNUMBER(AH183),EXTRACTNUMBER(AJ183))))),SUM(EXTRACTNUMBER(D183),EXTRACTNUMBER(F183),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EXTRACTNUMBER(AD183),EXTRACTNUMBER(AF183),EXTRACTNUMBER(AH183),EXTRACTNUMBER(AJ183)))</f>
        <v>572</v>
      </c>
      <c r="AM183" s="72" t="s">
        <v>261</v>
      </c>
      <c r="AN183" s="11">
        <v>1054</v>
      </c>
      <c r="AO183" s="11" t="str">
        <f t="shared" si="61"/>
        <v>PASS</v>
      </c>
      <c r="AP183" s="11" t="str">
        <f t="shared" si="43"/>
        <v>I</v>
      </c>
      <c r="AQ183" s="1" t="str">
        <f t="shared" si="62"/>
        <v xml:space="preserve">One Thousand Fifty Four </v>
      </c>
    </row>
    <row r="184" spans="2:43" ht="15.95" customHeight="1">
      <c r="B184" s="67">
        <v>136357</v>
      </c>
      <c r="C184" s="21" t="s">
        <v>180</v>
      </c>
      <c r="D184" s="24">
        <v>63</v>
      </c>
      <c r="E184" s="9" t="str">
        <f t="shared" si="44"/>
        <v/>
      </c>
      <c r="F184" s="22">
        <v>21</v>
      </c>
      <c r="G184" s="9" t="str">
        <f t="shared" si="45"/>
        <v/>
      </c>
      <c r="H184" s="22">
        <v>44</v>
      </c>
      <c r="I184" s="9" t="str">
        <f t="shared" si="46"/>
        <v/>
      </c>
      <c r="J184" s="29">
        <v>64</v>
      </c>
      <c r="K184" s="9" t="str">
        <f t="shared" si="47"/>
        <v/>
      </c>
      <c r="L184" s="22">
        <v>21</v>
      </c>
      <c r="M184" s="9" t="str">
        <f t="shared" si="48"/>
        <v/>
      </c>
      <c r="N184" s="22">
        <v>22</v>
      </c>
      <c r="O184" s="9" t="str">
        <f t="shared" si="49"/>
        <v/>
      </c>
      <c r="P184" s="29">
        <v>71</v>
      </c>
      <c r="Q184" s="9" t="str">
        <f t="shared" si="50"/>
        <v/>
      </c>
      <c r="R184" s="22">
        <v>21</v>
      </c>
      <c r="S184" s="9" t="str">
        <f t="shared" si="51"/>
        <v/>
      </c>
      <c r="T184" s="22">
        <v>42</v>
      </c>
      <c r="U184" s="9" t="str">
        <f t="shared" si="52"/>
        <v/>
      </c>
      <c r="V184" s="29">
        <v>71</v>
      </c>
      <c r="W184" s="9" t="str">
        <f t="shared" si="53"/>
        <v/>
      </c>
      <c r="X184" s="22">
        <v>21</v>
      </c>
      <c r="Y184" s="9" t="str">
        <f t="shared" si="54"/>
        <v/>
      </c>
      <c r="Z184" s="22">
        <v>21</v>
      </c>
      <c r="AA184" s="9" t="str">
        <f t="shared" si="55"/>
        <v/>
      </c>
      <c r="AB184" s="29">
        <v>56</v>
      </c>
      <c r="AC184" s="9" t="str">
        <f t="shared" si="56"/>
        <v/>
      </c>
      <c r="AD184" s="22">
        <v>21</v>
      </c>
      <c r="AE184" s="9" t="str">
        <f t="shared" si="57"/>
        <v/>
      </c>
      <c r="AF184" s="22">
        <v>23</v>
      </c>
      <c r="AG184" s="9" t="str">
        <f t="shared" si="58"/>
        <v/>
      </c>
      <c r="AH184" s="22">
        <v>21</v>
      </c>
      <c r="AI184" s="9" t="str">
        <f t="shared" si="59"/>
        <v/>
      </c>
      <c r="AJ184" s="22">
        <v>21</v>
      </c>
      <c r="AK184" s="9" t="str">
        <f t="shared" si="60"/>
        <v/>
      </c>
      <c r="AL184" s="16">
        <f>IF(OR(AND(D184&gt;=31,D184&lt;40),AND(J184&gt;=31,J184&lt;40),AND(P184&gt;=31,P184&lt;40),AND(V184&gt;=31,V184&lt;40),AND(AB184&gt;=31,AB184&lt;40)),IF(AND(OR(COUNTIF(D184:AK184,"=31")&gt;=1,COUNTIF(D184:AK184,"=32")&gt;=1,COUNTIF(D184:AK184,"=33")&gt;=1,COUNTIF(D184:AK184,"=34")&gt;=1,COUNTIF(D184:AK184,"=35")&gt;=1,COUNTIF(D184:AK184,"=36")&gt;=1 ),COUNTIF(D184:AK184,"")=0,COUNTIF(D184:AK184," ")=0,COUNTIF(D184:AK184,"F")=1),CONCATENATE(SUM(EXTRACTNUMBER(D184),EXTRACTNUMBER(F184),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EXTRACTNUMBER(AD184),EXTRACTNUMBER(AF184),EXTRACTNUMBER(AH184),EXTRACTNUMBER(AJ184)),"*"),IF(AND(COUNTIF(D184:AK184,"=34")&gt;=1,COUNTIF(D184:AK184,"=35")&gt;=1,COUNTIF(D184:AK184,"f")=2,COUNTIF(D184:AK184,"")=0,COUNTIF(D184:AK184," ")=0),CONCATENATE(SUM(EXTRACTNUMBER(D184),EXTRACTNUMBER(F184),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EXTRACTNUMBER(AD184),EXTRACTNUMBER(AF184),EXTRACTNUMBER(AH184),EXTRACTNUMBER(AJ184)),"*"),IF(AND(COUNTIF(D184:AK184,"=36")&gt;=2,COUNTIF(D184:AK184,"f")=2,COUNTIF(D184:AK184,"")=0,COUNTIF(D184:AK184," ")=0),CONCATENATE(SUM(EXTRACTNUMBER(D184),EXTRACTNUMBER(F184),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EXTRACTNUMBER(AD184),EXTRACTNUMBER(AF184),EXTRACTNUMBER(AH184),EXTRACTNUMBER(AJ184)),"*"),SUM(EXTRACTNUMBER(D184),EXTRACTNUMBER(F184),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EXTRACTNUMBER(AD184),EXTRACTNUMBER(AF184),EXTRACTNUMBER(AH184),EXTRACTNUMBER(AJ184))))),SUM(EXTRACTNUMBER(D184),EXTRACTNUMBER(F184),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EXTRACTNUMBER(AD184),EXTRACTNUMBER(AF184),EXTRACTNUMBER(AH184),EXTRACTNUMBER(AJ184)))</f>
        <v>624</v>
      </c>
      <c r="AM184" s="72" t="s">
        <v>254</v>
      </c>
      <c r="AN184" s="11">
        <f>IF(IFERROR(FIND("x",AM184),0),SUM(EXTRACTNUMBER(AL184),EXTRACTNUMBER(AM184)),IF(AND(SUM(EXTRACTNUMBER(AL184),EXTRACTNUMBER(AM184))&gt;1009,        SUM(EXTRACTNUMBER(AL184),EXTRACTNUMBER(AM184))&lt;1020),
CONCATENATE(SUM(EXTRACTNUMBER(AL184),EXTRACTNUMBER(AM184)),"@",1020-SUM(EXTRACTNUMBER(AL184),EXTRACTNUMBER(AM184))),
IF(AND(SUM(EXTRACTNUMBER(AL184),EXTRACTNUMBER(AM184))&gt;839,   SUM(EXTRACTNUMBER(AL184),EXTRACTNUMBER(AM184))&lt;850),CONCATENATE(SUM(EXTRACTNUMBER(AL184),EXTRACTNUMBER(AM184)),"@",850-SUM(EXTRACTNUMBER(AL184),EXTRACTNUMBER(AM184))),
IF(AND(SUM(EXTRACTNUMBER(AL184),EXTRACTNUMBER(AM184))&gt;669,        SUM(EXTRACTNUMBER(AL184),EXTRACTNUMBER(AM184))&lt;680),
CONCATENATE(SUM(EXTRACTNUMBER(AL184),EXTRACTNUMBER(AM184)),"@",680-SUM(EXTRACTNUMBER(AL184),EXTRACTNUMBER(AM184))),
SUM(EXTRACTNUMBER(AL184),EXTRACTNUMBER(AM184))))))</f>
        <v>1216</v>
      </c>
      <c r="AO184" s="11" t="str">
        <f t="shared" si="61"/>
        <v>PASS</v>
      </c>
      <c r="AP184" s="11" t="str">
        <f t="shared" si="43"/>
        <v>I</v>
      </c>
      <c r="AQ184" s="1" t="str">
        <f t="shared" si="62"/>
        <v xml:space="preserve">One Thousand Two Hundred Sixteen </v>
      </c>
    </row>
    <row r="185" spans="2:43" ht="15.95" customHeight="1">
      <c r="B185" s="67">
        <v>136358</v>
      </c>
      <c r="C185" s="21" t="s">
        <v>181</v>
      </c>
      <c r="D185" s="24">
        <v>57</v>
      </c>
      <c r="E185" s="9" t="str">
        <f t="shared" si="44"/>
        <v/>
      </c>
      <c r="F185" s="22">
        <v>23</v>
      </c>
      <c r="G185" s="9" t="str">
        <f t="shared" si="45"/>
        <v/>
      </c>
      <c r="H185" s="22">
        <v>44</v>
      </c>
      <c r="I185" s="9" t="str">
        <f t="shared" si="46"/>
        <v/>
      </c>
      <c r="J185" s="29">
        <v>40</v>
      </c>
      <c r="K185" s="9" t="str">
        <f t="shared" si="47"/>
        <v/>
      </c>
      <c r="L185" s="22">
        <v>23</v>
      </c>
      <c r="M185" s="9" t="str">
        <f t="shared" si="48"/>
        <v/>
      </c>
      <c r="N185" s="22">
        <v>22</v>
      </c>
      <c r="O185" s="9" t="str">
        <f t="shared" si="49"/>
        <v/>
      </c>
      <c r="P185" s="29">
        <v>64</v>
      </c>
      <c r="Q185" s="9" t="str">
        <f t="shared" si="50"/>
        <v/>
      </c>
      <c r="R185" s="22">
        <v>23</v>
      </c>
      <c r="S185" s="9" t="str">
        <f t="shared" si="51"/>
        <v/>
      </c>
      <c r="T185" s="22">
        <v>42</v>
      </c>
      <c r="U185" s="9" t="str">
        <f t="shared" si="52"/>
        <v/>
      </c>
      <c r="V185" s="29">
        <v>40</v>
      </c>
      <c r="W185" s="9" t="str">
        <f t="shared" si="53"/>
        <v/>
      </c>
      <c r="X185" s="22">
        <v>23</v>
      </c>
      <c r="Y185" s="9" t="str">
        <f t="shared" si="54"/>
        <v/>
      </c>
      <c r="Z185" s="22">
        <v>22</v>
      </c>
      <c r="AA185" s="9" t="str">
        <f t="shared" si="55"/>
        <v/>
      </c>
      <c r="AB185" s="29">
        <v>40</v>
      </c>
      <c r="AC185" s="9" t="str">
        <f t="shared" si="56"/>
        <v/>
      </c>
      <c r="AD185" s="22">
        <v>23</v>
      </c>
      <c r="AE185" s="9" t="str">
        <f t="shared" si="57"/>
        <v/>
      </c>
      <c r="AF185" s="22">
        <v>21</v>
      </c>
      <c r="AG185" s="9" t="str">
        <f t="shared" si="58"/>
        <v/>
      </c>
      <c r="AH185" s="22">
        <v>23</v>
      </c>
      <c r="AI185" s="9" t="str">
        <f t="shared" si="59"/>
        <v/>
      </c>
      <c r="AJ185" s="22">
        <v>21</v>
      </c>
      <c r="AK185" s="9" t="str">
        <f t="shared" si="60"/>
        <v/>
      </c>
      <c r="AL185" s="16">
        <f>IF(OR(AND(D185&gt;=31,D185&lt;40),AND(J185&gt;=31,J185&lt;40),AND(P185&gt;=31,P185&lt;40),AND(V185&gt;=31,V185&lt;40),AND(AB185&gt;=31,AB185&lt;40)),IF(AND(OR(COUNTIF(D185:AK185,"=31")&gt;=1,COUNTIF(D185:AK185,"=32")&gt;=1,COUNTIF(D185:AK185,"=33")&gt;=1,COUNTIF(D185:AK185,"=34")&gt;=1,COUNTIF(D185:AK185,"=35")&gt;=1,COUNTIF(D185:AK185,"=36")&gt;=1 ),COUNTIF(D185:AK185,"")=0,COUNTIF(D185:AK185," ")=0,COUNTIF(D185:AK185,"F")=1),CONCATENATE(SUM(EXTRACTNUMBER(D185),EXTRACTNUMBER(F185),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EXTRACTNUMBER(AD185),EXTRACTNUMBER(AF185),EXTRACTNUMBER(AH185),EXTRACTNUMBER(AJ185)),"*"),IF(AND(COUNTIF(D185:AK185,"=34")&gt;=1,COUNTIF(D185:AK185,"=35")&gt;=1,COUNTIF(D185:AK185,"f")=2,COUNTIF(D185:AK185,"")=0,COUNTIF(D185:AK185," ")=0),CONCATENATE(SUM(EXTRACTNUMBER(D185),EXTRACTNUMBER(F185),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EXTRACTNUMBER(AD185),EXTRACTNUMBER(AF185),EXTRACTNUMBER(AH185),EXTRACTNUMBER(AJ185)),"*"),IF(AND(COUNTIF(D185:AK185,"=36")&gt;=2,COUNTIF(D185:AK185,"f")=2,COUNTIF(D185:AK185,"")=0,COUNTIF(D185:AK185," ")=0),CONCATENATE(SUM(EXTRACTNUMBER(D185),EXTRACTNUMBER(F185),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EXTRACTNUMBER(AD185),EXTRACTNUMBER(AF185),EXTRACTNUMBER(AH185),EXTRACTNUMBER(AJ185)),"*"),SUM(EXTRACTNUMBER(D185),EXTRACTNUMBER(F185),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EXTRACTNUMBER(AD185),EXTRACTNUMBER(AF185),EXTRACTNUMBER(AH185),EXTRACTNUMBER(AJ185))))),SUM(EXTRACTNUMBER(D185),EXTRACTNUMBER(F185),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EXTRACTNUMBER(AD185),EXTRACTNUMBER(AF185),EXTRACTNUMBER(AH185),EXTRACTNUMBER(AJ185)))</f>
        <v>551</v>
      </c>
      <c r="AM185" s="72" t="s">
        <v>281</v>
      </c>
      <c r="AN185" s="11">
        <f t="shared" si="42"/>
        <v>1072</v>
      </c>
      <c r="AO185" s="11" t="str">
        <f t="shared" si="61"/>
        <v>PASS</v>
      </c>
      <c r="AP185" s="11" t="str">
        <f t="shared" si="43"/>
        <v>I</v>
      </c>
      <c r="AQ185" s="1" t="str">
        <f t="shared" si="62"/>
        <v xml:space="preserve">One Thousand Seventy Two </v>
      </c>
    </row>
    <row r="186" spans="2:43" ht="15.95" customHeight="1">
      <c r="B186" s="67">
        <v>136359</v>
      </c>
      <c r="C186" s="21" t="s">
        <v>182</v>
      </c>
      <c r="D186" s="24">
        <v>40</v>
      </c>
      <c r="E186" s="9" t="str">
        <f t="shared" si="44"/>
        <v>E</v>
      </c>
      <c r="F186" s="22">
        <v>20</v>
      </c>
      <c r="G186" s="9" t="str">
        <f t="shared" si="45"/>
        <v>E</v>
      </c>
      <c r="H186" s="22">
        <v>38</v>
      </c>
      <c r="I186" s="9" t="str">
        <f t="shared" si="46"/>
        <v>E</v>
      </c>
      <c r="J186" s="29">
        <v>40</v>
      </c>
      <c r="K186" s="9" t="str">
        <f t="shared" si="47"/>
        <v>E</v>
      </c>
      <c r="L186" s="22">
        <v>22</v>
      </c>
      <c r="M186" s="9" t="str">
        <f t="shared" si="48"/>
        <v>E</v>
      </c>
      <c r="N186" s="22">
        <v>20</v>
      </c>
      <c r="O186" s="9" t="str">
        <f t="shared" si="49"/>
        <v>E</v>
      </c>
      <c r="P186" s="29">
        <v>24</v>
      </c>
      <c r="Q186" s="9" t="str">
        <f t="shared" si="50"/>
        <v>F</v>
      </c>
      <c r="R186" s="22">
        <v>20</v>
      </c>
      <c r="S186" s="9" t="str">
        <f t="shared" si="51"/>
        <v>E</v>
      </c>
      <c r="T186" s="22">
        <v>44</v>
      </c>
      <c r="U186" s="9" t="str">
        <f t="shared" si="52"/>
        <v>E</v>
      </c>
      <c r="V186" s="29">
        <v>40</v>
      </c>
      <c r="W186" s="9" t="str">
        <f t="shared" si="53"/>
        <v>E</v>
      </c>
      <c r="X186" s="22">
        <v>20</v>
      </c>
      <c r="Y186" s="9" t="str">
        <f t="shared" si="54"/>
        <v>E</v>
      </c>
      <c r="Z186" s="22">
        <v>20</v>
      </c>
      <c r="AA186" s="9" t="str">
        <f t="shared" si="55"/>
        <v>E</v>
      </c>
      <c r="AB186" s="29">
        <v>40</v>
      </c>
      <c r="AC186" s="9" t="str">
        <f t="shared" si="56"/>
        <v>E</v>
      </c>
      <c r="AD186" s="22">
        <v>20</v>
      </c>
      <c r="AE186" s="9" t="str">
        <f t="shared" si="57"/>
        <v>E</v>
      </c>
      <c r="AF186" s="22">
        <v>21</v>
      </c>
      <c r="AG186" s="9" t="str">
        <f t="shared" si="58"/>
        <v>E</v>
      </c>
      <c r="AH186" s="22">
        <v>23</v>
      </c>
      <c r="AI186" s="9" t="str">
        <f t="shared" si="59"/>
        <v>E</v>
      </c>
      <c r="AJ186" s="22">
        <v>22</v>
      </c>
      <c r="AK186" s="9" t="str">
        <f t="shared" si="60"/>
        <v>E</v>
      </c>
      <c r="AL186" s="16">
        <f>IF(OR(AND(D186&gt;=31,D186&lt;40),AND(J186&gt;=31,J186&lt;40),AND(P186&gt;=31,P186&lt;40),AND(V186&gt;=31,V186&lt;40),AND(AB186&gt;=31,AB186&lt;40)),IF(AND(OR(COUNTIF(D186:AK186,"=31")&gt;=1,COUNTIF(D186:AK186,"=32")&gt;=1,COUNTIF(D186:AK186,"=33")&gt;=1,COUNTIF(D186:AK186,"=34")&gt;=1,COUNTIF(D186:AK186,"=35")&gt;=1,COUNTIF(D186:AK186,"=36")&gt;=1 ),COUNTIF(D186:AK186,"")=0,COUNTIF(D186:AK186," ")=0,COUNTIF(D186:AK186,"F")=1),CONCATENATE(SUM(EXTRACTNUMBER(D186),EXTRACTNUMBER(F186),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EXTRACTNUMBER(AD186),EXTRACTNUMBER(AF186),EXTRACTNUMBER(AH186),EXTRACTNUMBER(AJ186)),"*"),IF(AND(COUNTIF(D186:AK186,"=34")&gt;=1,COUNTIF(D186:AK186,"=35")&gt;=1,COUNTIF(D186:AK186,"f")=2,COUNTIF(D186:AK186,"")=0,COUNTIF(D186:AK186," ")=0),CONCATENATE(SUM(EXTRACTNUMBER(D186),EXTRACTNUMBER(F186),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EXTRACTNUMBER(AD186),EXTRACTNUMBER(AF186),EXTRACTNUMBER(AH186),EXTRACTNUMBER(AJ186)),"*"),IF(AND(COUNTIF(D186:AK186,"=36")&gt;=2,COUNTIF(D186:AK186,"f")=2,COUNTIF(D186:AK186,"")=0,COUNTIF(D186:AK186," ")=0),CONCATENATE(SUM(EXTRACTNUMBER(D186),EXTRACTNUMBER(F186),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EXTRACTNUMBER(AD186),EXTRACTNUMBER(AF186),EXTRACTNUMBER(AH186),EXTRACTNUMBER(AJ186)),"*"),SUM(EXTRACTNUMBER(D186),EXTRACTNUMBER(F186),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EXTRACTNUMBER(AD186),EXTRACTNUMBER(AF186),EXTRACTNUMBER(AH186),EXTRACTNUMBER(AJ186))))),SUM(EXTRACTNUMBER(D186),EXTRACTNUMBER(F186),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EXTRACTNUMBER(AD186),EXTRACTNUMBER(AF186),EXTRACTNUMBER(AH186),EXTRACTNUMBER(AJ186)))</f>
        <v>474</v>
      </c>
      <c r="AM186" s="72" t="s">
        <v>555</v>
      </c>
      <c r="AN186" s="11">
        <f t="shared" si="42"/>
        <v>928</v>
      </c>
      <c r="AO186" s="11" t="str">
        <f t="shared" si="61"/>
        <v>FAIL</v>
      </c>
      <c r="AP186" s="11" t="str">
        <f t="shared" si="43"/>
        <v>--</v>
      </c>
      <c r="AQ186" s="1" t="str">
        <f t="shared" si="62"/>
        <v xml:space="preserve">Nine Hundred Twenty Eight </v>
      </c>
    </row>
    <row r="187" spans="2:43" ht="15.95" customHeight="1">
      <c r="B187" s="67">
        <v>136360</v>
      </c>
      <c r="C187" s="21" t="s">
        <v>183</v>
      </c>
      <c r="D187" s="24">
        <v>40</v>
      </c>
      <c r="E187" s="9" t="str">
        <f t="shared" si="44"/>
        <v/>
      </c>
      <c r="F187" s="22">
        <v>20</v>
      </c>
      <c r="G187" s="9" t="str">
        <f t="shared" si="45"/>
        <v/>
      </c>
      <c r="H187" s="22">
        <v>40</v>
      </c>
      <c r="I187" s="9" t="str">
        <f t="shared" si="46"/>
        <v/>
      </c>
      <c r="J187" s="29">
        <v>40</v>
      </c>
      <c r="K187" s="9" t="str">
        <f t="shared" si="47"/>
        <v/>
      </c>
      <c r="L187" s="22">
        <v>20</v>
      </c>
      <c r="M187" s="9" t="str">
        <f t="shared" si="48"/>
        <v/>
      </c>
      <c r="N187" s="22">
        <v>20</v>
      </c>
      <c r="O187" s="9" t="str">
        <f t="shared" si="49"/>
        <v/>
      </c>
      <c r="P187" s="29">
        <v>53</v>
      </c>
      <c r="Q187" s="9" t="str">
        <f t="shared" si="50"/>
        <v/>
      </c>
      <c r="R187" s="22">
        <v>20</v>
      </c>
      <c r="S187" s="9" t="str">
        <f t="shared" si="51"/>
        <v/>
      </c>
      <c r="T187" s="22">
        <v>38</v>
      </c>
      <c r="U187" s="9" t="str">
        <f t="shared" si="52"/>
        <v/>
      </c>
      <c r="V187" s="29">
        <v>51</v>
      </c>
      <c r="W187" s="9" t="str">
        <f t="shared" si="53"/>
        <v/>
      </c>
      <c r="X187" s="22">
        <v>20</v>
      </c>
      <c r="Y187" s="9" t="str">
        <f t="shared" si="54"/>
        <v/>
      </c>
      <c r="Z187" s="22">
        <v>21</v>
      </c>
      <c r="AA187" s="9" t="str">
        <f t="shared" si="55"/>
        <v/>
      </c>
      <c r="AB187" s="29">
        <v>46</v>
      </c>
      <c r="AC187" s="9" t="str">
        <f t="shared" si="56"/>
        <v/>
      </c>
      <c r="AD187" s="22">
        <v>19</v>
      </c>
      <c r="AE187" s="9" t="str">
        <f t="shared" si="57"/>
        <v/>
      </c>
      <c r="AF187" s="22">
        <v>18</v>
      </c>
      <c r="AG187" s="9" t="str">
        <f t="shared" si="58"/>
        <v/>
      </c>
      <c r="AH187" s="22">
        <v>21</v>
      </c>
      <c r="AI187" s="9" t="str">
        <f t="shared" si="59"/>
        <v/>
      </c>
      <c r="AJ187" s="22">
        <v>22</v>
      </c>
      <c r="AK187" s="9" t="str">
        <f t="shared" si="60"/>
        <v/>
      </c>
      <c r="AL187" s="16">
        <f>IF(OR(AND(D187&gt;=31,D187&lt;40),AND(J187&gt;=31,J187&lt;40),AND(P187&gt;=31,P187&lt;40),AND(V187&gt;=31,V187&lt;40),AND(AB187&gt;=31,AB187&lt;40)),IF(AND(OR(COUNTIF(D187:AK187,"=31")&gt;=1,COUNTIF(D187:AK187,"=32")&gt;=1,COUNTIF(D187:AK187,"=33")&gt;=1,COUNTIF(D187:AK187,"=34")&gt;=1,COUNTIF(D187:AK187,"=35")&gt;=1,COUNTIF(D187:AK187,"=36")&gt;=1 ),COUNTIF(D187:AK187,"")=0,COUNTIF(D187:AK187," ")=0,COUNTIF(D187:AK187,"F")=1),CONCATENATE(SUM(EXTRACTNUMBER(D187),EXTRACTNUMBER(F187),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EXTRACTNUMBER(AD187),EXTRACTNUMBER(AF187),EXTRACTNUMBER(AH187),EXTRACTNUMBER(AJ187)),"*"),IF(AND(COUNTIF(D187:AK187,"=34")&gt;=1,COUNTIF(D187:AK187,"=35")&gt;=1,COUNTIF(D187:AK187,"f")=2,COUNTIF(D187:AK187,"")=0,COUNTIF(D187:AK187," ")=0),CONCATENATE(SUM(EXTRACTNUMBER(D187),EXTRACTNUMBER(F187),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EXTRACTNUMBER(AD187),EXTRACTNUMBER(AF187),EXTRACTNUMBER(AH187),EXTRACTNUMBER(AJ187)),"*"),IF(AND(COUNTIF(D187:AK187,"=36")&gt;=2,COUNTIF(D187:AK187,"f")=2,COUNTIF(D187:AK187,"")=0,COUNTIF(D187:AK187," ")=0),CONCATENATE(SUM(EXTRACTNUMBER(D187),EXTRACTNUMBER(F187),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EXTRACTNUMBER(AD187),EXTRACTNUMBER(AF187),EXTRACTNUMBER(AH187),EXTRACTNUMBER(AJ187)),"*"),SUM(EXTRACTNUMBER(D187),EXTRACTNUMBER(F187),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EXTRACTNUMBER(AD187),EXTRACTNUMBER(AF187),EXTRACTNUMBER(AH187),EXTRACTNUMBER(AJ187))))),SUM(EXTRACTNUMBER(D187),EXTRACTNUMBER(F187),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EXTRACTNUMBER(AD187),EXTRACTNUMBER(AF187),EXTRACTNUMBER(AH187),EXTRACTNUMBER(AJ187)))</f>
        <v>509</v>
      </c>
      <c r="AM187" s="72" t="s">
        <v>573</v>
      </c>
      <c r="AN187" s="11">
        <f t="shared" si="42"/>
        <v>991</v>
      </c>
      <c r="AO187" s="11" t="str">
        <f t="shared" si="61"/>
        <v>PASS</v>
      </c>
      <c r="AP187" s="11" t="str">
        <f t="shared" si="43"/>
        <v>P</v>
      </c>
      <c r="AQ187" s="1" t="str">
        <f t="shared" si="62"/>
        <v xml:space="preserve">Nine Hundred NinetyOne </v>
      </c>
    </row>
    <row r="188" spans="2:43" ht="15.95" customHeight="1">
      <c r="B188" s="68">
        <v>136361</v>
      </c>
      <c r="C188" s="18" t="s">
        <v>184</v>
      </c>
      <c r="D188" s="24">
        <v>19</v>
      </c>
      <c r="E188" s="9" t="str">
        <f t="shared" si="44"/>
        <v>F</v>
      </c>
      <c r="F188" s="22" t="s">
        <v>195</v>
      </c>
      <c r="G188" s="9" t="str">
        <f t="shared" si="45"/>
        <v xml:space="preserve"> </v>
      </c>
      <c r="H188" s="22" t="s">
        <v>196</v>
      </c>
      <c r="I188" s="9" t="str">
        <f t="shared" si="46"/>
        <v xml:space="preserve"> </v>
      </c>
      <c r="J188" s="31" t="s">
        <v>311</v>
      </c>
      <c r="K188" s="9" t="str">
        <f t="shared" si="47"/>
        <v/>
      </c>
      <c r="L188" s="22" t="s">
        <v>197</v>
      </c>
      <c r="M188" s="9" t="str">
        <f t="shared" si="48"/>
        <v xml:space="preserve"> </v>
      </c>
      <c r="N188" s="22" t="s">
        <v>198</v>
      </c>
      <c r="O188" s="9" t="str">
        <f t="shared" si="49"/>
        <v xml:space="preserve"> </v>
      </c>
      <c r="P188" s="29">
        <v>30</v>
      </c>
      <c r="Q188" s="9" t="str">
        <f t="shared" si="50"/>
        <v>F</v>
      </c>
      <c r="R188" s="22" t="s">
        <v>199</v>
      </c>
      <c r="S188" s="9" t="str">
        <f t="shared" si="51"/>
        <v xml:space="preserve"> </v>
      </c>
      <c r="T188" s="22" t="s">
        <v>200</v>
      </c>
      <c r="U188" s="9" t="str">
        <f t="shared" si="52"/>
        <v xml:space="preserve"> </v>
      </c>
      <c r="V188" s="29">
        <v>12</v>
      </c>
      <c r="W188" s="9" t="str">
        <f t="shared" si="53"/>
        <v>F</v>
      </c>
      <c r="X188" s="22" t="s">
        <v>201</v>
      </c>
      <c r="Y188" s="9" t="str">
        <f t="shared" si="54"/>
        <v xml:space="preserve"> </v>
      </c>
      <c r="Z188" s="22" t="s">
        <v>201</v>
      </c>
      <c r="AA188" s="9" t="str">
        <f t="shared" si="55"/>
        <v xml:space="preserve"> </v>
      </c>
      <c r="AB188" s="29">
        <v>28</v>
      </c>
      <c r="AC188" s="9" t="str">
        <f t="shared" si="56"/>
        <v>F</v>
      </c>
      <c r="AD188" s="22" t="s">
        <v>199</v>
      </c>
      <c r="AE188" s="9" t="str">
        <f t="shared" si="57"/>
        <v xml:space="preserve"> </v>
      </c>
      <c r="AF188" s="22" t="s">
        <v>199</v>
      </c>
      <c r="AG188" s="9" t="str">
        <f t="shared" si="58"/>
        <v xml:space="preserve"> </v>
      </c>
      <c r="AH188" s="22" t="s">
        <v>199</v>
      </c>
      <c r="AI188" s="9" t="str">
        <f t="shared" si="59"/>
        <v xml:space="preserve"> </v>
      </c>
      <c r="AJ188" s="22" t="s">
        <v>199</v>
      </c>
      <c r="AK188" s="9" t="str">
        <f t="shared" si="60"/>
        <v xml:space="preserve"> </v>
      </c>
      <c r="AL188" s="16">
        <f>IF(OR(AND(D188&gt;=31,D188&lt;40),AND(J188&gt;=31,J188&lt;40),AND(P188&gt;=31,P188&lt;40),AND(V188&gt;=31,V188&lt;40),AND(AB188&gt;=31,AB188&lt;40)),IF(AND(OR(COUNTIF(D188:AK188,"=31")&gt;=1,COUNTIF(D188:AK188,"=32")&gt;=1,COUNTIF(D188:AK188,"=33")&gt;=1,COUNTIF(D188:AK188,"=34")&gt;=1,COUNTIF(D188:AK188,"=35")&gt;=1,COUNTIF(D188:AK188,"=36")&gt;=1 ),COUNTIF(D188:AK188,"")=0,COUNTIF(D188:AK188," ")=0,COUNTIF(D188:AK188,"F")=1),CONCATENATE(SUM(EXTRACTNUMBER(D188),EXTRACTNUMBER(F188),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EXTRACTNUMBER(AD188),EXTRACTNUMBER(AF188),EXTRACTNUMBER(AH188),EXTRACTNUMBER(AJ188)),"*"),IF(AND(COUNTIF(D188:AK188,"=34")&gt;=1,COUNTIF(D188:AK188,"=35")&gt;=1,COUNTIF(D188:AK188,"f")=2,COUNTIF(D188:AK188,"")=0,COUNTIF(D188:AK188," ")=0),CONCATENATE(SUM(EXTRACTNUMBER(D188),EXTRACTNUMBER(F188),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EXTRACTNUMBER(AD188),EXTRACTNUMBER(AF188),EXTRACTNUMBER(AH188),EXTRACTNUMBER(AJ188)),"*"),IF(AND(COUNTIF(D188:AK188,"=36")&gt;=2,COUNTIF(D188:AK188,"f")=2,COUNTIF(D188:AK188,"")=0,COUNTIF(D188:AK188," ")=0),CONCATENATE(SUM(EXTRACTNUMBER(D188),EXTRACTNUMBER(F188),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EXTRACTNUMBER(AD188),EXTRACTNUMBER(AF188),EXTRACTNUMBER(AH188),EXTRACTNUMBER(AJ188)),"*"),SUM(EXTRACTNUMBER(D188),EXTRACTNUMBER(F188),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EXTRACTNUMBER(AD188),EXTRACTNUMBER(AF188),EXTRACTNUMBER(AH188),EXTRACTNUMBER(AJ188))))),SUM(EXTRACTNUMBER(D188),EXTRACTNUMBER(F188),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EXTRACTNUMBER(AD188),EXTRACTNUMBER(AF188),EXTRACTNUMBER(AH188),EXTRACTNUMBER(AJ188)))</f>
        <v>366</v>
      </c>
      <c r="AM188" s="72" t="s">
        <v>535</v>
      </c>
      <c r="AN188" s="11">
        <f t="shared" si="42"/>
        <v>366</v>
      </c>
      <c r="AO188" s="11" t="str">
        <f t="shared" si="61"/>
        <v>FAIL</v>
      </c>
      <c r="AP188" s="11" t="str">
        <f t="shared" si="43"/>
        <v>--</v>
      </c>
      <c r="AQ188" s="1" t="str">
        <f t="shared" si="62"/>
        <v xml:space="preserve">Three Hundred Sixty Six </v>
      </c>
    </row>
    <row r="189" spans="2:43" ht="15.95" customHeight="1">
      <c r="B189" s="69">
        <v>136362</v>
      </c>
      <c r="C189" s="18" t="s">
        <v>185</v>
      </c>
      <c r="D189" s="24" t="s">
        <v>202</v>
      </c>
      <c r="E189" s="9" t="str">
        <f t="shared" si="44"/>
        <v xml:space="preserve"> </v>
      </c>
      <c r="F189" s="22" t="s">
        <v>203</v>
      </c>
      <c r="G189" s="9" t="str">
        <f t="shared" si="45"/>
        <v xml:space="preserve"> </v>
      </c>
      <c r="H189" s="22" t="s">
        <v>204</v>
      </c>
      <c r="I189" s="9" t="str">
        <f t="shared" si="46"/>
        <v xml:space="preserve"> </v>
      </c>
      <c r="J189" s="29">
        <v>40</v>
      </c>
      <c r="K189" s="9" t="str">
        <f t="shared" si="47"/>
        <v/>
      </c>
      <c r="L189" s="22" t="s">
        <v>197</v>
      </c>
      <c r="M189" s="9" t="str">
        <f t="shared" si="48"/>
        <v xml:space="preserve"> </v>
      </c>
      <c r="N189" s="22" t="s">
        <v>195</v>
      </c>
      <c r="O189" s="9" t="str">
        <f t="shared" si="49"/>
        <v xml:space="preserve"> </v>
      </c>
      <c r="P189" s="29" t="s">
        <v>205</v>
      </c>
      <c r="Q189" s="9" t="str">
        <f t="shared" si="50"/>
        <v xml:space="preserve"> </v>
      </c>
      <c r="R189" s="22" t="s">
        <v>201</v>
      </c>
      <c r="S189" s="9" t="str">
        <f t="shared" si="51"/>
        <v xml:space="preserve"> </v>
      </c>
      <c r="T189" s="22" t="s">
        <v>206</v>
      </c>
      <c r="U189" s="9" t="str">
        <f t="shared" si="52"/>
        <v xml:space="preserve"> </v>
      </c>
      <c r="V189" s="29" t="s">
        <v>202</v>
      </c>
      <c r="W189" s="9" t="str">
        <f t="shared" si="53"/>
        <v xml:space="preserve"> </v>
      </c>
      <c r="X189" s="22" t="s">
        <v>197</v>
      </c>
      <c r="Y189" s="9" t="str">
        <f t="shared" si="54"/>
        <v xml:space="preserve"> </v>
      </c>
      <c r="Z189" s="22" t="s">
        <v>199</v>
      </c>
      <c r="AA189" s="9" t="str">
        <f t="shared" si="55"/>
        <v xml:space="preserve"> </v>
      </c>
      <c r="AB189" s="29" t="s">
        <v>207</v>
      </c>
      <c r="AC189" s="9" t="str">
        <f t="shared" si="56"/>
        <v xml:space="preserve"> </v>
      </c>
      <c r="AD189" s="22" t="s">
        <v>201</v>
      </c>
      <c r="AE189" s="9" t="str">
        <f t="shared" si="57"/>
        <v xml:space="preserve"> </v>
      </c>
      <c r="AF189" s="22" t="s">
        <v>199</v>
      </c>
      <c r="AG189" s="9" t="str">
        <f t="shared" si="58"/>
        <v xml:space="preserve"> </v>
      </c>
      <c r="AH189" s="22" t="s">
        <v>195</v>
      </c>
      <c r="AI189" s="9" t="str">
        <f t="shared" si="59"/>
        <v xml:space="preserve"> </v>
      </c>
      <c r="AJ189" s="22" t="s">
        <v>199</v>
      </c>
      <c r="AK189" s="9" t="str">
        <f t="shared" si="60"/>
        <v xml:space="preserve"> </v>
      </c>
      <c r="AL189" s="16">
        <f>IF(OR(AND(D189&gt;=31,D189&lt;40),AND(J189&gt;=31,J189&lt;40),AND(P189&gt;=31,P189&lt;40),AND(V189&gt;=31,V189&lt;40),AND(AB189&gt;=31,AB189&lt;40)),IF(AND(OR(COUNTIF(D189:AK189,"=31")&gt;=1,COUNTIF(D189:AK189,"=32")&gt;=1,COUNTIF(D189:AK189,"=33")&gt;=1,COUNTIF(D189:AK189,"=34")&gt;=1,COUNTIF(D189:AK189,"=35")&gt;=1,COUNTIF(D189:AK189,"=36")&gt;=1 ),COUNTIF(D189:AK189,"")=0,COUNTIF(D189:AK189," ")=0,COUNTIF(D189:AK189,"F")=1),CONCATENATE(SUM(EXTRACTNUMBER(D189),EXTRACTNUMBER(F189),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EXTRACTNUMBER(AD189),EXTRACTNUMBER(AF189),EXTRACTNUMBER(AH189),EXTRACTNUMBER(AJ189)),"*"),IF(AND(COUNTIF(D189:AK189,"=34")&gt;=1,COUNTIF(D189:AK189,"=35")&gt;=1,COUNTIF(D189:AK189,"f")=2,COUNTIF(D189:AK189,"")=0,COUNTIF(D189:AK189," ")=0),CONCATENATE(SUM(EXTRACTNUMBER(D189),EXTRACTNUMBER(F189),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EXTRACTNUMBER(AD189),EXTRACTNUMBER(AF189),EXTRACTNUMBER(AH189),EXTRACTNUMBER(AJ189)),"*"),IF(AND(COUNTIF(D189:AK189,"=36")&gt;=2,COUNTIF(D189:AK189,"f")=2,COUNTIF(D189:AK189,"")=0,COUNTIF(D189:AK189," ")=0),CONCATENATE(SUM(EXTRACTNUMBER(D189),EXTRACTNUMBER(F189),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EXTRACTNUMBER(AD189),EXTRACTNUMBER(AF189),EXTRACTNUMBER(AH189),EXTRACTNUMBER(AJ189)),"*"),SUM(EXTRACTNUMBER(D189),EXTRACTNUMBER(F189),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EXTRACTNUMBER(AD189),EXTRACTNUMBER(AF189),EXTRACTNUMBER(AH189),EXTRACTNUMBER(AJ189))))),SUM(EXTRACTNUMBER(D189),EXTRACTNUMBER(F189),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EXTRACTNUMBER(AD189),EXTRACTNUMBER(AF189),EXTRACTNUMBER(AH189),EXTRACTNUMBER(AJ189)))</f>
        <v>480</v>
      </c>
      <c r="AM189" s="72" t="s">
        <v>554</v>
      </c>
      <c r="AN189" s="11">
        <f t="shared" si="42"/>
        <v>967</v>
      </c>
      <c r="AO189" s="11" t="str">
        <f t="shared" si="61"/>
        <v>PASS</v>
      </c>
      <c r="AP189" s="11" t="str">
        <f t="shared" si="43"/>
        <v>P</v>
      </c>
      <c r="AQ189" s="1" t="str">
        <f t="shared" si="62"/>
        <v xml:space="preserve">Nine Hundred Sixty Seven </v>
      </c>
    </row>
    <row r="190" spans="2:43" ht="15.95" customHeight="1">
      <c r="B190" s="69">
        <v>136363</v>
      </c>
      <c r="C190" s="18" t="s">
        <v>186</v>
      </c>
      <c r="D190" s="24">
        <v>48</v>
      </c>
      <c r="E190" s="9" t="str">
        <f t="shared" si="44"/>
        <v/>
      </c>
      <c r="F190" s="22" t="s">
        <v>201</v>
      </c>
      <c r="G190" s="9" t="str">
        <f t="shared" si="45"/>
        <v xml:space="preserve"> </v>
      </c>
      <c r="H190" s="22" t="s">
        <v>200</v>
      </c>
      <c r="I190" s="9" t="str">
        <f t="shared" si="46"/>
        <v xml:space="preserve"> </v>
      </c>
      <c r="J190" s="29">
        <v>42</v>
      </c>
      <c r="K190" s="9" t="str">
        <f t="shared" si="47"/>
        <v/>
      </c>
      <c r="L190" s="22" t="s">
        <v>201</v>
      </c>
      <c r="M190" s="9" t="str">
        <f t="shared" si="48"/>
        <v xml:space="preserve"> </v>
      </c>
      <c r="N190" s="22" t="s">
        <v>201</v>
      </c>
      <c r="O190" s="9" t="str">
        <f t="shared" si="49"/>
        <v xml:space="preserve"> </v>
      </c>
      <c r="P190" s="29" t="s">
        <v>208</v>
      </c>
      <c r="Q190" s="9" t="str">
        <f t="shared" si="50"/>
        <v xml:space="preserve"> </v>
      </c>
      <c r="R190" s="22" t="s">
        <v>195</v>
      </c>
      <c r="S190" s="9" t="str">
        <f t="shared" si="51"/>
        <v xml:space="preserve"> </v>
      </c>
      <c r="T190" s="22" t="s">
        <v>209</v>
      </c>
      <c r="U190" s="9" t="str">
        <f t="shared" si="52"/>
        <v xml:space="preserve"> </v>
      </c>
      <c r="V190" s="29" t="s">
        <v>210</v>
      </c>
      <c r="W190" s="9" t="str">
        <f t="shared" si="53"/>
        <v xml:space="preserve"> </v>
      </c>
      <c r="X190" s="22" t="s">
        <v>201</v>
      </c>
      <c r="Y190" s="9" t="str">
        <f t="shared" si="54"/>
        <v xml:space="preserve"> </v>
      </c>
      <c r="Z190" s="22" t="s">
        <v>195</v>
      </c>
      <c r="AA190" s="9" t="str">
        <f t="shared" si="55"/>
        <v xml:space="preserve"> </v>
      </c>
      <c r="AB190" s="29" t="s">
        <v>211</v>
      </c>
      <c r="AC190" s="9" t="str">
        <f t="shared" si="56"/>
        <v xml:space="preserve"> </v>
      </c>
      <c r="AD190" s="22" t="s">
        <v>199</v>
      </c>
      <c r="AE190" s="9" t="str">
        <f t="shared" si="57"/>
        <v xml:space="preserve"> </v>
      </c>
      <c r="AF190" s="22" t="s">
        <v>195</v>
      </c>
      <c r="AG190" s="9" t="str">
        <f t="shared" si="58"/>
        <v xml:space="preserve"> </v>
      </c>
      <c r="AH190" s="22" t="s">
        <v>197</v>
      </c>
      <c r="AI190" s="9" t="str">
        <f t="shared" si="59"/>
        <v xml:space="preserve"> </v>
      </c>
      <c r="AJ190" s="22" t="s">
        <v>199</v>
      </c>
      <c r="AK190" s="9" t="str">
        <f t="shared" si="60"/>
        <v xml:space="preserve"> </v>
      </c>
      <c r="AL190" s="16">
        <f>IF(OR(AND(D190&gt;=31,D190&lt;40),AND(J190&gt;=31,J190&lt;40),AND(P190&gt;=31,P190&lt;40),AND(V190&gt;=31,V190&lt;40),AND(AB190&gt;=31,AB190&lt;40)),IF(AND(OR(COUNTIF(D190:AK190,"=31")&gt;=1,COUNTIF(D190:AK190,"=32")&gt;=1,COUNTIF(D190:AK190,"=33")&gt;=1,COUNTIF(D190:AK190,"=34")&gt;=1,COUNTIF(D190:AK190,"=35")&gt;=1,COUNTIF(D190:AK190,"=36")&gt;=1 ),COUNTIF(D190:AK190,"")=0,COUNTIF(D190:AK190," ")=0,COUNTIF(D190:AK190,"F")=1),CONCATENATE(SUM(EXTRACTNUMBER(D190),EXTRACTNUMBER(F190),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EXTRACTNUMBER(AD190),EXTRACTNUMBER(AF190),EXTRACTNUMBER(AH190),EXTRACTNUMBER(AJ190)),"*"),IF(AND(COUNTIF(D190:AK190,"=34")&gt;=1,COUNTIF(D190:AK190,"=35")&gt;=1,COUNTIF(D190:AK190,"f")=2,COUNTIF(D190:AK190,"")=0,COUNTIF(D190:AK190," ")=0),CONCATENATE(SUM(EXTRACTNUMBER(D190),EXTRACTNUMBER(F190),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EXTRACTNUMBER(AD190),EXTRACTNUMBER(AF190),EXTRACTNUMBER(AH190),EXTRACTNUMBER(AJ190)),"*"),IF(AND(COUNTIF(D190:AK190,"=36")&gt;=2,COUNTIF(D190:AK190,"f")=2,COUNTIF(D190:AK190,"")=0,COUNTIF(D190:AK190," ")=0),CONCATENATE(SUM(EXTRACTNUMBER(D190),EXTRACTNUMBER(F190),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EXTRACTNUMBER(AD190),EXTRACTNUMBER(AF190),EXTRACTNUMBER(AH190),EXTRACTNUMBER(AJ190)),"*"),SUM(EXTRACTNUMBER(D190),EXTRACTNUMBER(F190),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EXTRACTNUMBER(AD190),EXTRACTNUMBER(AF190),EXTRACTNUMBER(AH190),EXTRACTNUMBER(AJ190))))),SUM(EXTRACTNUMBER(D190),EXTRACTNUMBER(F190),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EXTRACTNUMBER(AD190),EXTRACTNUMBER(AF190),EXTRACTNUMBER(AH190),EXTRACTNUMBER(AJ190)))</f>
        <v>517</v>
      </c>
      <c r="AM190" s="72" t="s">
        <v>553</v>
      </c>
      <c r="AN190" s="11">
        <f t="shared" si="42"/>
        <v>1022</v>
      </c>
      <c r="AO190" s="11" t="str">
        <f t="shared" si="61"/>
        <v>PASS</v>
      </c>
      <c r="AP190" s="11" t="str">
        <f t="shared" si="43"/>
        <v>P</v>
      </c>
      <c r="AQ190" s="1" t="str">
        <f t="shared" si="62"/>
        <v xml:space="preserve">One Thousand Twenty Two </v>
      </c>
    </row>
    <row r="191" spans="2:43" ht="15.95" customHeight="1">
      <c r="B191" s="69">
        <v>136364</v>
      </c>
      <c r="C191" s="20" t="s">
        <v>187</v>
      </c>
      <c r="D191" s="25" t="s">
        <v>311</v>
      </c>
      <c r="E191" s="9" t="str">
        <f t="shared" si="44"/>
        <v/>
      </c>
      <c r="F191" s="22" t="s">
        <v>197</v>
      </c>
      <c r="G191" s="9" t="str">
        <f t="shared" si="45"/>
        <v xml:space="preserve"> </v>
      </c>
      <c r="H191" s="22" t="s">
        <v>212</v>
      </c>
      <c r="I191" s="9" t="str">
        <f t="shared" si="46"/>
        <v xml:space="preserve"> </v>
      </c>
      <c r="J191" s="31" t="s">
        <v>311</v>
      </c>
      <c r="K191" s="9" t="str">
        <f t="shared" si="47"/>
        <v/>
      </c>
      <c r="L191" s="22" t="s">
        <v>213</v>
      </c>
      <c r="M191" s="9" t="str">
        <f t="shared" si="48"/>
        <v xml:space="preserve"> </v>
      </c>
      <c r="N191" s="22" t="s">
        <v>213</v>
      </c>
      <c r="O191" s="9" t="str">
        <f t="shared" si="49"/>
        <v xml:space="preserve"> </v>
      </c>
      <c r="P191" s="31" t="s">
        <v>311</v>
      </c>
      <c r="Q191" s="9" t="str">
        <f t="shared" si="50"/>
        <v/>
      </c>
      <c r="R191" s="22" t="s">
        <v>214</v>
      </c>
      <c r="S191" s="9" t="str">
        <f t="shared" si="51"/>
        <v xml:space="preserve"> </v>
      </c>
      <c r="T191" s="22" t="s">
        <v>209</v>
      </c>
      <c r="U191" s="9" t="str">
        <f t="shared" si="52"/>
        <v xml:space="preserve"> </v>
      </c>
      <c r="V191" s="31" t="s">
        <v>311</v>
      </c>
      <c r="W191" s="9" t="str">
        <f t="shared" si="53"/>
        <v/>
      </c>
      <c r="X191" s="22" t="s">
        <v>197</v>
      </c>
      <c r="Y191" s="9" t="str">
        <f t="shared" si="54"/>
        <v xml:space="preserve"> </v>
      </c>
      <c r="Z191" s="22" t="s">
        <v>201</v>
      </c>
      <c r="AA191" s="9" t="str">
        <f t="shared" si="55"/>
        <v xml:space="preserve"> </v>
      </c>
      <c r="AB191" s="31" t="s">
        <v>311</v>
      </c>
      <c r="AC191" s="9" t="str">
        <f t="shared" si="56"/>
        <v/>
      </c>
      <c r="AD191" s="22" t="s">
        <v>201</v>
      </c>
      <c r="AE191" s="9" t="str">
        <f t="shared" si="57"/>
        <v xml:space="preserve"> </v>
      </c>
      <c r="AF191" s="22" t="s">
        <v>215</v>
      </c>
      <c r="AG191" s="9" t="str">
        <f t="shared" si="58"/>
        <v xml:space="preserve"> </v>
      </c>
      <c r="AH191" s="22" t="s">
        <v>197</v>
      </c>
      <c r="AI191" s="9" t="str">
        <f t="shared" si="59"/>
        <v xml:space="preserve"> </v>
      </c>
      <c r="AJ191" s="22" t="s">
        <v>197</v>
      </c>
      <c r="AK191" s="9" t="str">
        <f t="shared" si="60"/>
        <v xml:space="preserve"> </v>
      </c>
      <c r="AL191" s="16">
        <f>IF(OR(AND(D191&gt;=31,D191&lt;40),AND(J191&gt;=31,J191&lt;40),AND(P191&gt;=31,P191&lt;40),AND(V191&gt;=31,V191&lt;40),AND(AB191&gt;=31,AB191&lt;40)),IF(AND(OR(COUNTIF(D191:AK191,"=31")&gt;=1,COUNTIF(D191:AK191,"=32")&gt;=1,COUNTIF(D191:AK191,"=33")&gt;=1,COUNTIF(D191:AK191,"=34")&gt;=1,COUNTIF(D191:AK191,"=35")&gt;=1,COUNTIF(D191:AK191,"=36")&gt;=1 ),COUNTIF(D191:AK191,"")=0,COUNTIF(D191:AK191," ")=0,COUNTIF(D191:AK191,"F")=1),CONCATENATE(SUM(EXTRACTNUMBER(D191),EXTRACTNUMBER(F191),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EXTRACTNUMBER(AD191),EXTRACTNUMBER(AF191),EXTRACTNUMBER(AH191),EXTRACTNUMBER(AJ191)),"*"),IF(AND(COUNTIF(D191:AK191,"=34")&gt;=1,COUNTIF(D191:AK191,"=35")&gt;=1,COUNTIF(D191:AK191,"f")=2,COUNTIF(D191:AK191,"")=0,COUNTIF(D191:AK191," ")=0),CONCATENATE(SUM(EXTRACTNUMBER(D191),EXTRACTNUMBER(F191),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EXTRACTNUMBER(AD191),EXTRACTNUMBER(AF191),EXTRACTNUMBER(AH191),EXTRACTNUMBER(AJ191)),"*"),IF(AND(COUNTIF(D191:AK191,"=36")&gt;=2,COUNTIF(D191:AK191,"f")=2,COUNTIF(D191:AK191,"")=0,COUNTIF(D191:AK191," ")=0),CONCATENATE(SUM(EXTRACTNUMBER(D191),EXTRACTNUMBER(F191),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EXTRACTNUMBER(AD191),EXTRACTNUMBER(AF191),EXTRACTNUMBER(AH191),EXTRACTNUMBER(AJ191)),"*"),SUM(EXTRACTNUMBER(D191),EXTRACTNUMBER(F191),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EXTRACTNUMBER(AD191),EXTRACTNUMBER(AF191),EXTRACTNUMBER(AH191),EXTRACTNUMBER(AJ191))))),SUM(EXTRACTNUMBER(D191),EXTRACTNUMBER(F191),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EXTRACTNUMBER(AD191),EXTRACTNUMBER(AF191),EXTRACTNUMBER(AH191),EXTRACTNUMBER(AJ191)))</f>
        <v>253</v>
      </c>
      <c r="AM191" s="72" t="s">
        <v>535</v>
      </c>
      <c r="AN191" s="11">
        <f t="shared" si="42"/>
        <v>253</v>
      </c>
      <c r="AO191" s="11" t="str">
        <f t="shared" si="61"/>
        <v>ABSENT</v>
      </c>
      <c r="AP191" s="11" t="str">
        <f t="shared" si="43"/>
        <v>AB</v>
      </c>
      <c r="AQ191" s="1" t="str">
        <f t="shared" si="62"/>
        <v xml:space="preserve">Two Hundred Fifty Three </v>
      </c>
    </row>
    <row r="192" spans="2:43" ht="15.95" customHeight="1">
      <c r="B192" s="69">
        <v>136365</v>
      </c>
      <c r="C192" s="18" t="s">
        <v>188</v>
      </c>
      <c r="D192" s="24" t="s">
        <v>212</v>
      </c>
      <c r="E192" s="9" t="str">
        <f t="shared" si="44"/>
        <v xml:space="preserve"> </v>
      </c>
      <c r="F192" s="22" t="s">
        <v>201</v>
      </c>
      <c r="G192" s="9" t="str">
        <f t="shared" si="45"/>
        <v xml:space="preserve"> </v>
      </c>
      <c r="H192" s="22" t="s">
        <v>196</v>
      </c>
      <c r="I192" s="9" t="str">
        <f t="shared" si="46"/>
        <v xml:space="preserve"> </v>
      </c>
      <c r="J192" s="29">
        <v>40</v>
      </c>
      <c r="K192" s="9" t="str">
        <f t="shared" si="47"/>
        <v/>
      </c>
      <c r="L192" s="22" t="s">
        <v>197</v>
      </c>
      <c r="M192" s="9" t="str">
        <f t="shared" si="48"/>
        <v xml:space="preserve"> </v>
      </c>
      <c r="N192" s="22" t="s">
        <v>198</v>
      </c>
      <c r="O192" s="9" t="str">
        <f t="shared" si="49"/>
        <v xml:space="preserve"> </v>
      </c>
      <c r="P192" s="29" t="s">
        <v>216</v>
      </c>
      <c r="Q192" s="9" t="str">
        <f t="shared" si="50"/>
        <v xml:space="preserve"> </v>
      </c>
      <c r="R192" s="22" t="s">
        <v>201</v>
      </c>
      <c r="S192" s="9" t="str">
        <f t="shared" si="51"/>
        <v xml:space="preserve"> </v>
      </c>
      <c r="T192" s="22" t="s">
        <v>209</v>
      </c>
      <c r="U192" s="9" t="str">
        <f t="shared" si="52"/>
        <v xml:space="preserve"> </v>
      </c>
      <c r="V192" s="29">
        <v>41</v>
      </c>
      <c r="W192" s="9" t="str">
        <f t="shared" si="53"/>
        <v/>
      </c>
      <c r="X192" s="22" t="s">
        <v>201</v>
      </c>
      <c r="Y192" s="9" t="str">
        <f t="shared" si="54"/>
        <v xml:space="preserve"> </v>
      </c>
      <c r="Z192" s="22" t="s">
        <v>199</v>
      </c>
      <c r="AA192" s="9" t="str">
        <f t="shared" si="55"/>
        <v xml:space="preserve"> </v>
      </c>
      <c r="AB192" s="29" t="s">
        <v>202</v>
      </c>
      <c r="AC192" s="9" t="str">
        <f t="shared" si="56"/>
        <v xml:space="preserve"> </v>
      </c>
      <c r="AD192" s="22" t="s">
        <v>201</v>
      </c>
      <c r="AE192" s="9" t="str">
        <f t="shared" si="57"/>
        <v xml:space="preserve"> </v>
      </c>
      <c r="AF192" s="22" t="s">
        <v>197</v>
      </c>
      <c r="AG192" s="9" t="str">
        <f t="shared" si="58"/>
        <v xml:space="preserve"> </v>
      </c>
      <c r="AH192" s="22" t="s">
        <v>195</v>
      </c>
      <c r="AI192" s="9" t="str">
        <f t="shared" si="59"/>
        <v xml:space="preserve"> </v>
      </c>
      <c r="AJ192" s="22" t="s">
        <v>199</v>
      </c>
      <c r="AK192" s="9" t="str">
        <f t="shared" si="60"/>
        <v xml:space="preserve"> </v>
      </c>
      <c r="AL192" s="16">
        <f>IF(OR(AND(D192&gt;=31,D192&lt;40),AND(J192&gt;=31,J192&lt;40),AND(P192&gt;=31,P192&lt;40),AND(V192&gt;=31,V192&lt;40),AND(AB192&gt;=31,AB192&lt;40)),IF(AND(OR(COUNTIF(D192:AK192,"=31")&gt;=1,COUNTIF(D192:AK192,"=32")&gt;=1,COUNTIF(D192:AK192,"=33")&gt;=1,COUNTIF(D192:AK192,"=34")&gt;=1,COUNTIF(D192:AK192,"=35")&gt;=1,COUNTIF(D192:AK192,"=36")&gt;=1 ),COUNTIF(D192:AK192,"")=0,COUNTIF(D192:AK192," ")=0,COUNTIF(D192:AK192,"F")=1),CONCATENATE(SUM(EXTRACTNUMBER(D192),EXTRACTNUMBER(F192),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EXTRACTNUMBER(AD192),EXTRACTNUMBER(AF192),EXTRACTNUMBER(AH192),EXTRACTNUMBER(AJ192)),"*"),IF(AND(COUNTIF(D192:AK192,"=34")&gt;=1,COUNTIF(D192:AK192,"=35")&gt;=1,COUNTIF(D192:AK192,"f")=2,COUNTIF(D192:AK192,"")=0,COUNTIF(D192:AK192," ")=0),CONCATENATE(SUM(EXTRACTNUMBER(D192),EXTRACTNUMBER(F192),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EXTRACTNUMBER(AD192),EXTRACTNUMBER(AF192),EXTRACTNUMBER(AH192),EXTRACTNUMBER(AJ192)),"*"),IF(AND(COUNTIF(D192:AK192,"=36")&gt;=2,COUNTIF(D192:AK192,"f")=2,COUNTIF(D192:AK192,"")=0,COUNTIF(D192:AK192," ")=0),CONCATENATE(SUM(EXTRACTNUMBER(D192),EXTRACTNUMBER(F192),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EXTRACTNUMBER(AD192),EXTRACTNUMBER(AF192),EXTRACTNUMBER(AH192),EXTRACTNUMBER(AJ192)),"*"),SUM(EXTRACTNUMBER(D192),EXTRACTNUMBER(F192),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EXTRACTNUMBER(AD192),EXTRACTNUMBER(AF192),EXTRACTNUMBER(AH192),EXTRACTNUMBER(AJ192))))),SUM(EXTRACTNUMBER(D192),EXTRACTNUMBER(F192),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EXTRACTNUMBER(AD192),EXTRACTNUMBER(AF192),EXTRACTNUMBER(AH192),EXTRACTNUMBER(AJ192)))</f>
        <v>496</v>
      </c>
      <c r="AM192" s="72" t="s">
        <v>539</v>
      </c>
      <c r="AN192" s="11">
        <f t="shared" si="42"/>
        <v>990</v>
      </c>
      <c r="AO192" s="11" t="str">
        <f t="shared" si="61"/>
        <v>PASS</v>
      </c>
      <c r="AP192" s="11" t="str">
        <f t="shared" si="43"/>
        <v>P</v>
      </c>
      <c r="AQ192" s="1" t="str">
        <f t="shared" si="62"/>
        <v xml:space="preserve">Nine Hundred Ninety </v>
      </c>
    </row>
    <row r="193" spans="2:43" ht="15.95" customHeight="1">
      <c r="B193" s="69">
        <v>136366</v>
      </c>
      <c r="C193" s="18" t="s">
        <v>189</v>
      </c>
      <c r="D193" s="24">
        <v>52</v>
      </c>
      <c r="E193" s="9" t="str">
        <f t="shared" si="44"/>
        <v>E</v>
      </c>
      <c r="F193" s="22" t="s">
        <v>201</v>
      </c>
      <c r="G193" s="9" t="str">
        <f t="shared" si="45"/>
        <v xml:space="preserve"> </v>
      </c>
      <c r="H193" s="22" t="s">
        <v>202</v>
      </c>
      <c r="I193" s="9" t="str">
        <f t="shared" si="46"/>
        <v xml:space="preserve"> </v>
      </c>
      <c r="J193" s="29">
        <v>40</v>
      </c>
      <c r="K193" s="9" t="str">
        <f t="shared" si="47"/>
        <v>E</v>
      </c>
      <c r="L193" s="22" t="s">
        <v>201</v>
      </c>
      <c r="M193" s="9" t="str">
        <f t="shared" si="48"/>
        <v xml:space="preserve"> </v>
      </c>
      <c r="N193" s="22" t="s">
        <v>198</v>
      </c>
      <c r="O193" s="9" t="str">
        <f t="shared" si="49"/>
        <v xml:space="preserve"> </v>
      </c>
      <c r="P193" s="29">
        <v>32</v>
      </c>
      <c r="Q193" s="9" t="str">
        <f t="shared" si="50"/>
        <v>F</v>
      </c>
      <c r="R193" s="22" t="s">
        <v>201</v>
      </c>
      <c r="S193" s="9" t="str">
        <f t="shared" si="51"/>
        <v xml:space="preserve"> </v>
      </c>
      <c r="T193" s="22" t="s">
        <v>202</v>
      </c>
      <c r="U193" s="9" t="str">
        <f t="shared" si="52"/>
        <v xml:space="preserve"> </v>
      </c>
      <c r="V193" s="29">
        <v>44</v>
      </c>
      <c r="W193" s="9" t="str">
        <f t="shared" si="53"/>
        <v>E</v>
      </c>
      <c r="X193" s="22" t="s">
        <v>201</v>
      </c>
      <c r="Y193" s="9" t="str">
        <f t="shared" si="54"/>
        <v xml:space="preserve"> </v>
      </c>
      <c r="Z193" s="22" t="s">
        <v>195</v>
      </c>
      <c r="AA193" s="9" t="str">
        <f t="shared" si="55"/>
        <v xml:space="preserve"> </v>
      </c>
      <c r="AB193" s="29" t="s">
        <v>196</v>
      </c>
      <c r="AC193" s="9" t="str">
        <f t="shared" si="56"/>
        <v xml:space="preserve"> </v>
      </c>
      <c r="AD193" s="22" t="s">
        <v>217</v>
      </c>
      <c r="AE193" s="9" t="str">
        <f t="shared" si="57"/>
        <v xml:space="preserve"> </v>
      </c>
      <c r="AF193" s="22" t="s">
        <v>199</v>
      </c>
      <c r="AG193" s="9" t="str">
        <f t="shared" si="58"/>
        <v xml:space="preserve"> </v>
      </c>
      <c r="AH193" s="22" t="s">
        <v>195</v>
      </c>
      <c r="AI193" s="9" t="str">
        <f t="shared" si="59"/>
        <v xml:space="preserve"> </v>
      </c>
      <c r="AJ193" s="22" t="s">
        <v>199</v>
      </c>
      <c r="AK193" s="9" t="str">
        <f t="shared" si="60"/>
        <v xml:space="preserve"> </v>
      </c>
      <c r="AL193" s="16">
        <f>IF(OR(AND(D193&gt;=31,D193&lt;40),AND(J193&gt;=31,J193&lt;40),AND(P193&gt;=31,P193&lt;40),AND(V193&gt;=31,V193&lt;40),AND(AB193&gt;=31,AB193&lt;40)),IF(AND(OR(COUNTIF(D193:AK193,"=31")&gt;=1,COUNTIF(D193:AK193,"=32")&gt;=1,COUNTIF(D193:AK193,"=33")&gt;=1,COUNTIF(D193:AK193,"=34")&gt;=1,COUNTIF(D193:AK193,"=35")&gt;=1,COUNTIF(D193:AK193,"=36")&gt;=1 ),COUNTIF(D193:AK193,"")=0,COUNTIF(D193:AK193," ")=0,COUNTIF(D193:AK193,"F")=1),CONCATENATE(SUM(EXTRACTNUMBER(D193),EXTRACTNUMBER(F193),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EXTRACTNUMBER(AD193),EXTRACTNUMBER(AF193),EXTRACTNUMBER(AH193),EXTRACTNUMBER(AJ193)),"*"),IF(AND(COUNTIF(D193:AK193,"=34")&gt;=1,COUNTIF(D193:AK193,"=35")&gt;=1,COUNTIF(D193:AK193,"f")=2,COUNTIF(D193:AK193,"")=0,COUNTIF(D193:AK193," ")=0),CONCATENATE(SUM(EXTRACTNUMBER(D193),EXTRACTNUMBER(F193),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EXTRACTNUMBER(AD193),EXTRACTNUMBER(AF193),EXTRACTNUMBER(AH193),EXTRACTNUMBER(AJ193)),"*"),IF(AND(COUNTIF(D193:AK193,"=36")&gt;=2,COUNTIF(D193:AK193,"f")=2,COUNTIF(D193:AK193,"")=0,COUNTIF(D193:AK193," ")=0),CONCATENATE(SUM(EXTRACTNUMBER(D193),EXTRACTNUMBER(F193),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EXTRACTNUMBER(AD193),EXTRACTNUMBER(AF193),EXTRACTNUMBER(AH193),EXTRACTNUMBER(AJ193)),"*"),SUM(EXTRACTNUMBER(D193),EXTRACTNUMBER(F193),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EXTRACTNUMBER(AD193),EXTRACTNUMBER(AF193),EXTRACTNUMBER(AH193),EXTRACTNUMBER(AJ193))))),SUM(EXTRACTNUMBER(D193),EXTRACTNUMBER(F193),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EXTRACTNUMBER(AD193),EXTRACTNUMBER(AF193),EXTRACTNUMBER(AH193),EXTRACTNUMBER(AJ193)))</f>
        <v>480</v>
      </c>
      <c r="AM193" s="72" t="s">
        <v>535</v>
      </c>
      <c r="AN193" s="11">
        <f t="shared" si="42"/>
        <v>480</v>
      </c>
      <c r="AO193" s="11" t="str">
        <f t="shared" si="61"/>
        <v>FAIL</v>
      </c>
      <c r="AP193" s="11" t="str">
        <f t="shared" si="43"/>
        <v>--</v>
      </c>
      <c r="AQ193" s="1" t="str">
        <f t="shared" si="62"/>
        <v xml:space="preserve">Four Hundred Eighty  </v>
      </c>
    </row>
    <row r="194" spans="2:43" ht="15.95" customHeight="1">
      <c r="B194" s="69">
        <v>136367</v>
      </c>
      <c r="C194" s="18" t="s">
        <v>190</v>
      </c>
      <c r="D194" s="24" t="s">
        <v>205</v>
      </c>
      <c r="E194" s="9" t="str">
        <f t="shared" si="44"/>
        <v xml:space="preserve"> </v>
      </c>
      <c r="F194" s="22" t="s">
        <v>203</v>
      </c>
      <c r="G194" s="9" t="str">
        <f t="shared" si="45"/>
        <v xml:space="preserve"> </v>
      </c>
      <c r="H194" s="22" t="s">
        <v>200</v>
      </c>
      <c r="I194" s="9" t="str">
        <f t="shared" si="46"/>
        <v xml:space="preserve"> </v>
      </c>
      <c r="J194" s="29">
        <v>35</v>
      </c>
      <c r="K194" s="9" t="str">
        <f t="shared" si="47"/>
        <v>F</v>
      </c>
      <c r="L194" s="22" t="s">
        <v>217</v>
      </c>
      <c r="M194" s="9" t="str">
        <f t="shared" si="48"/>
        <v xml:space="preserve"> </v>
      </c>
      <c r="N194" s="22" t="s">
        <v>197</v>
      </c>
      <c r="O194" s="9" t="str">
        <f t="shared" si="49"/>
        <v xml:space="preserve"> </v>
      </c>
      <c r="P194" s="29" t="s">
        <v>202</v>
      </c>
      <c r="Q194" s="9" t="str">
        <f t="shared" si="50"/>
        <v xml:space="preserve"> </v>
      </c>
      <c r="R194" s="22" t="s">
        <v>203</v>
      </c>
      <c r="S194" s="9" t="str">
        <f t="shared" si="51"/>
        <v xml:space="preserve"> </v>
      </c>
      <c r="T194" s="22" t="s">
        <v>209</v>
      </c>
      <c r="U194" s="9" t="str">
        <f t="shared" si="52"/>
        <v xml:space="preserve"> </v>
      </c>
      <c r="V194" s="29" t="s">
        <v>212</v>
      </c>
      <c r="W194" s="9" t="str">
        <f t="shared" si="53"/>
        <v xml:space="preserve"> </v>
      </c>
      <c r="X194" s="22" t="s">
        <v>203</v>
      </c>
      <c r="Y194" s="9" t="str">
        <f t="shared" si="54"/>
        <v xml:space="preserve"> </v>
      </c>
      <c r="Z194" s="22" t="s">
        <v>197</v>
      </c>
      <c r="AA194" s="9" t="str">
        <f t="shared" si="55"/>
        <v xml:space="preserve"> </v>
      </c>
      <c r="AB194" s="29" t="s">
        <v>218</v>
      </c>
      <c r="AC194" s="9" t="str">
        <f t="shared" si="56"/>
        <v xml:space="preserve"> </v>
      </c>
      <c r="AD194" s="22" t="s">
        <v>203</v>
      </c>
      <c r="AE194" s="9" t="str">
        <f t="shared" si="57"/>
        <v xml:space="preserve"> </v>
      </c>
      <c r="AF194" s="22" t="s">
        <v>197</v>
      </c>
      <c r="AG194" s="9" t="str">
        <f t="shared" si="58"/>
        <v xml:space="preserve"> </v>
      </c>
      <c r="AH194" s="22" t="s">
        <v>217</v>
      </c>
      <c r="AI194" s="9" t="str">
        <f t="shared" si="59"/>
        <v xml:space="preserve"> </v>
      </c>
      <c r="AJ194" s="22" t="s">
        <v>203</v>
      </c>
      <c r="AK194" s="9" t="str">
        <f t="shared" si="60"/>
        <v xml:space="preserve"> </v>
      </c>
      <c r="AL194" s="16">
        <f>IF(OR(AND(D194&gt;=31,D194&lt;40),AND(J194&gt;=31,J194&lt;40),AND(P194&gt;=31,P194&lt;40),AND(V194&gt;=31,V194&lt;40),AND(AB194&gt;=31,AB194&lt;40)),IF(AND(OR(COUNTIF(D194:AK194,"=31")&gt;=1,COUNTIF(D194:AK194,"=32")&gt;=1,COUNTIF(D194:AK194,"=33")&gt;=1,COUNTIF(D194:AK194,"=34")&gt;=1,COUNTIF(D194:AK194,"=35")&gt;=1,COUNTIF(D194:AK194,"=36")&gt;=1 ),COUNTIF(D194:AK194,"")=0,COUNTIF(D194:AK194," ")=0,COUNTIF(D194:AK194,"F")=1),CONCATENATE(SUM(EXTRACTNUMBER(D194),EXTRACTNUMBER(F194),
EXTRACTNUMBER(H194),EXTRACTNUMBER(J194),
EXTRACTNUMBER(L194),EXTRACTNUMBER(N194),
EXTRACTNUMBER(P194),EXTRACTNUMBER(R194),
EXTRACTNUMBER(T194),EXTRACTNUMBER(V194),
EXTRACTNUMBER(X194),EXTRACTNUMBER(Z194),EXTRACTNUMBER(AB194),
EXTRACTNUMBER(AD194),EXTRACTNUMBER(AF194),EXTRACTNUMBER(AH194),EXTRACTNUMBER(AJ194)),"*"),IF(AND(COUNTIF(D194:AK194,"=34")&gt;=1,COUNTIF(D194:AK194,"=35")&gt;=1,COUNTIF(D194:AK194,"f")=2,COUNTIF(D194:AK194,"")=0,COUNTIF(D194:AK194," ")=0),CONCATENATE(SUM(EXTRACTNUMBER(D194),EXTRACTNUMBER(F194),
EXTRACTNUMBER(H194),EXTRACTNUMBER(J194),
EXTRACTNUMBER(L194),EXTRACTNUMBER(N194),
EXTRACTNUMBER(P194),EXTRACTNUMBER(R194),
EXTRACTNUMBER(T194),EXTRACTNUMBER(V194),
EXTRACTNUMBER(X194),EXTRACTNUMBER(Z194),EXTRACTNUMBER(AB194),
EXTRACTNUMBER(AD194),EXTRACTNUMBER(AF194),EXTRACTNUMBER(AH194),EXTRACTNUMBER(AJ194)),"*"),IF(AND(COUNTIF(D194:AK194,"=36")&gt;=2,COUNTIF(D194:AK194,"f")=2,COUNTIF(D194:AK194,"")=0,COUNTIF(D194:AK194," ")=0),CONCATENATE(SUM(EXTRACTNUMBER(D194),EXTRACTNUMBER(F194),
EXTRACTNUMBER(H194),EXTRACTNUMBER(J194),
EXTRACTNUMBER(L194),EXTRACTNUMBER(N194),
EXTRACTNUMBER(P194),EXTRACTNUMBER(R194),
EXTRACTNUMBER(T194),EXTRACTNUMBER(V194),
EXTRACTNUMBER(X194),EXTRACTNUMBER(Z194),EXTRACTNUMBER(AB194),
EXTRACTNUMBER(AD194),EXTRACTNUMBER(AF194),EXTRACTNUMBER(AH194),EXTRACTNUMBER(AJ194)),"*"),SUM(EXTRACTNUMBER(D194),EXTRACTNUMBER(F194),
EXTRACTNUMBER(H194),EXTRACTNUMBER(J194),
EXTRACTNUMBER(L194),EXTRACTNUMBER(N194),
EXTRACTNUMBER(P194),EXTRACTNUMBER(R194),
EXTRACTNUMBER(T194),EXTRACTNUMBER(V194),
EXTRACTNUMBER(X194),EXTRACTNUMBER(Z194),EXTRACTNUMBER(AB194),
EXTRACTNUMBER(AD194),EXTRACTNUMBER(AF194),EXTRACTNUMBER(AH194),EXTRACTNUMBER(AJ194))))),SUM(EXTRACTNUMBER(D194),EXTRACTNUMBER(F194),
EXTRACTNUMBER(H194),EXTRACTNUMBER(J194),
EXTRACTNUMBER(L194),EXTRACTNUMBER(N194),
EXTRACTNUMBER(P194),EXTRACTNUMBER(R194),
EXTRACTNUMBER(T194),EXTRACTNUMBER(V194),
EXTRACTNUMBER(X194),EXTRACTNUMBER(Z194),EXTRACTNUMBER(AB194),
EXTRACTNUMBER(AD194),EXTRACTNUMBER(AF194),EXTRACTNUMBER(AH194),EXTRACTNUMBER(AJ194)))</f>
        <v>505</v>
      </c>
      <c r="AM194" s="72" t="s">
        <v>535</v>
      </c>
      <c r="AN194" s="11">
        <f t="shared" si="42"/>
        <v>505</v>
      </c>
      <c r="AO194" s="11" t="str">
        <f t="shared" si="61"/>
        <v>FAIL</v>
      </c>
      <c r="AP194" s="11" t="str">
        <f t="shared" si="43"/>
        <v>--</v>
      </c>
      <c r="AQ194" s="1" t="str">
        <f t="shared" si="62"/>
        <v xml:space="preserve">Five Hundred Five </v>
      </c>
    </row>
    <row r="195" spans="2:43" ht="15.95" customHeight="1">
      <c r="B195" s="69">
        <v>136368</v>
      </c>
      <c r="C195" s="18" t="s">
        <v>191</v>
      </c>
      <c r="D195" s="24">
        <v>40</v>
      </c>
      <c r="E195" s="9" t="str">
        <f t="shared" si="44"/>
        <v/>
      </c>
      <c r="F195" s="22" t="s">
        <v>201</v>
      </c>
      <c r="G195" s="9" t="str">
        <f t="shared" si="45"/>
        <v xml:space="preserve"> </v>
      </c>
      <c r="H195" s="22" t="s">
        <v>219</v>
      </c>
      <c r="I195" s="9" t="str">
        <f t="shared" si="46"/>
        <v xml:space="preserve"> </v>
      </c>
      <c r="J195" s="29" t="s">
        <v>202</v>
      </c>
      <c r="K195" s="9" t="str">
        <f t="shared" si="47"/>
        <v xml:space="preserve"> </v>
      </c>
      <c r="L195" s="22" t="s">
        <v>201</v>
      </c>
      <c r="M195" s="9" t="str">
        <f t="shared" si="48"/>
        <v xml:space="preserve"> </v>
      </c>
      <c r="N195" s="22" t="s">
        <v>198</v>
      </c>
      <c r="O195" s="9" t="str">
        <f t="shared" si="49"/>
        <v xml:space="preserve"> </v>
      </c>
      <c r="P195" s="29" t="s">
        <v>220</v>
      </c>
      <c r="Q195" s="9" t="str">
        <f t="shared" si="50"/>
        <v xml:space="preserve"> </v>
      </c>
      <c r="R195" s="22" t="s">
        <v>201</v>
      </c>
      <c r="S195" s="9" t="str">
        <f t="shared" si="51"/>
        <v xml:space="preserve"> </v>
      </c>
      <c r="T195" s="22" t="s">
        <v>209</v>
      </c>
      <c r="U195" s="9" t="str">
        <f t="shared" si="52"/>
        <v xml:space="preserve"> </v>
      </c>
      <c r="V195" s="29" t="s">
        <v>221</v>
      </c>
      <c r="W195" s="9" t="str">
        <f t="shared" si="53"/>
        <v xml:space="preserve"> </v>
      </c>
      <c r="X195" s="22" t="s">
        <v>201</v>
      </c>
      <c r="Y195" s="9" t="str">
        <f t="shared" si="54"/>
        <v xml:space="preserve"> </v>
      </c>
      <c r="Z195" s="22" t="s">
        <v>201</v>
      </c>
      <c r="AA195" s="9" t="str">
        <f t="shared" si="55"/>
        <v xml:space="preserve"> </v>
      </c>
      <c r="AB195" s="29" t="s">
        <v>222</v>
      </c>
      <c r="AC195" s="9" t="str">
        <f t="shared" si="56"/>
        <v xml:space="preserve"> </v>
      </c>
      <c r="AD195" s="22" t="s">
        <v>201</v>
      </c>
      <c r="AE195" s="9" t="str">
        <f t="shared" si="57"/>
        <v xml:space="preserve"> </v>
      </c>
      <c r="AF195" s="22" t="s">
        <v>197</v>
      </c>
      <c r="AG195" s="9" t="str">
        <f t="shared" si="58"/>
        <v xml:space="preserve"> </v>
      </c>
      <c r="AH195" s="22" t="s">
        <v>195</v>
      </c>
      <c r="AI195" s="9" t="str">
        <f t="shared" si="59"/>
        <v xml:space="preserve"> </v>
      </c>
      <c r="AJ195" s="22" t="s">
        <v>199</v>
      </c>
      <c r="AK195" s="9" t="str">
        <f t="shared" si="60"/>
        <v xml:space="preserve"> </v>
      </c>
      <c r="AL195" s="16">
        <f>IF(OR(AND(D195&gt;=31,D195&lt;40),AND(J195&gt;=31,J195&lt;40),AND(P195&gt;=31,P195&lt;40),AND(V195&gt;=31,V195&lt;40),AND(AB195&gt;=31,AB195&lt;40)),IF(AND(OR(COUNTIF(D195:AK195,"=31")&gt;=1,COUNTIF(D195:AK195,"=32")&gt;=1,COUNTIF(D195:AK195,"=33")&gt;=1,COUNTIF(D195:AK195,"=34")&gt;=1,COUNTIF(D195:AK195,"=35")&gt;=1,COUNTIF(D195:AK195,"=36")&gt;=1 ),COUNTIF(D195:AK195,"")=0,COUNTIF(D195:AK195," ")=0,COUNTIF(D195:AK195,"F")=1),CONCATENATE(SUM(EXTRACTNUMBER(D195),EXTRACTNUMBER(F195),
EXTRACTNUMBER(H195),EXTRACTNUMBER(J195),
EXTRACTNUMBER(L195),EXTRACTNUMBER(N195),
EXTRACTNUMBER(P195),EXTRACTNUMBER(R195),
EXTRACTNUMBER(T195),EXTRACTNUMBER(V195),
EXTRACTNUMBER(X195),EXTRACTNUMBER(Z195),EXTRACTNUMBER(AB195),
EXTRACTNUMBER(AD195),EXTRACTNUMBER(AF195),EXTRACTNUMBER(AH195),EXTRACTNUMBER(AJ195)),"*"),IF(AND(COUNTIF(D195:AK195,"=34")&gt;=1,COUNTIF(D195:AK195,"=35")&gt;=1,COUNTIF(D195:AK195,"f")=2,COUNTIF(D195:AK195,"")=0,COUNTIF(D195:AK195," ")=0),CONCATENATE(SUM(EXTRACTNUMBER(D195),EXTRACTNUMBER(F195),
EXTRACTNUMBER(H195),EXTRACTNUMBER(J195),
EXTRACTNUMBER(L195),EXTRACTNUMBER(N195),
EXTRACTNUMBER(P195),EXTRACTNUMBER(R195),
EXTRACTNUMBER(T195),EXTRACTNUMBER(V195),
EXTRACTNUMBER(X195),EXTRACTNUMBER(Z195),EXTRACTNUMBER(AB195),
EXTRACTNUMBER(AD195),EXTRACTNUMBER(AF195),EXTRACTNUMBER(AH195),EXTRACTNUMBER(AJ195)),"*"),IF(AND(COUNTIF(D195:AK195,"=36")&gt;=2,COUNTIF(D195:AK195,"f")=2,COUNTIF(D195:AK195,"")=0,COUNTIF(D195:AK195," ")=0),CONCATENATE(SUM(EXTRACTNUMBER(D195),EXTRACTNUMBER(F195),
EXTRACTNUMBER(H195),EXTRACTNUMBER(J195),
EXTRACTNUMBER(L195),EXTRACTNUMBER(N195),
EXTRACTNUMBER(P195),EXTRACTNUMBER(R195),
EXTRACTNUMBER(T195),EXTRACTNUMBER(V195),
EXTRACTNUMBER(X195),EXTRACTNUMBER(Z195),EXTRACTNUMBER(AB195),
EXTRACTNUMBER(AD195),EXTRACTNUMBER(AF195),EXTRACTNUMBER(AH195),EXTRACTNUMBER(AJ195)),"*"),SUM(EXTRACTNUMBER(D195),EXTRACTNUMBER(F195),
EXTRACTNUMBER(H195),EXTRACTNUMBER(J195),
EXTRACTNUMBER(L195),EXTRACTNUMBER(N195),
EXTRACTNUMBER(P195),EXTRACTNUMBER(R195),
EXTRACTNUMBER(T195),EXTRACTNUMBER(V195),
EXTRACTNUMBER(X195),EXTRACTNUMBER(Z195),EXTRACTNUMBER(AB195),
EXTRACTNUMBER(AD195),EXTRACTNUMBER(AF195),EXTRACTNUMBER(AH195),EXTRACTNUMBER(AJ195))))),SUM(EXTRACTNUMBER(D195),EXTRACTNUMBER(F195),
EXTRACTNUMBER(H195),EXTRACTNUMBER(J195),
EXTRACTNUMBER(L195),EXTRACTNUMBER(N195),
EXTRACTNUMBER(P195),EXTRACTNUMBER(R195),
EXTRACTNUMBER(T195),EXTRACTNUMBER(V195),
EXTRACTNUMBER(X195),EXTRACTNUMBER(Z195),EXTRACTNUMBER(AB195),
EXTRACTNUMBER(AD195),EXTRACTNUMBER(AF195),EXTRACTNUMBER(AH195),EXTRACTNUMBER(AJ195)))</f>
        <v>489</v>
      </c>
      <c r="AM195" s="72" t="s">
        <v>550</v>
      </c>
      <c r="AN195" s="11">
        <f t="shared" si="42"/>
        <v>966</v>
      </c>
      <c r="AO195" s="11" t="str">
        <f t="shared" si="61"/>
        <v>PASS</v>
      </c>
      <c r="AP195" s="11" t="str">
        <f t="shared" si="43"/>
        <v>P</v>
      </c>
      <c r="AQ195" s="1" t="str">
        <f t="shared" si="62"/>
        <v xml:space="preserve">Nine Hundred Sixty Six </v>
      </c>
    </row>
    <row r="196" spans="2:43" ht="15.95" customHeight="1">
      <c r="B196" s="69">
        <v>136369</v>
      </c>
      <c r="C196" s="18" t="s">
        <v>192</v>
      </c>
      <c r="D196" s="24">
        <v>45</v>
      </c>
      <c r="E196" s="9" t="str">
        <f t="shared" si="44"/>
        <v/>
      </c>
      <c r="F196" s="22" t="s">
        <v>217</v>
      </c>
      <c r="G196" s="9" t="str">
        <f t="shared" si="45"/>
        <v xml:space="preserve"> </v>
      </c>
      <c r="H196" s="22" t="s">
        <v>212</v>
      </c>
      <c r="I196" s="9" t="str">
        <f t="shared" si="46"/>
        <v xml:space="preserve"> </v>
      </c>
      <c r="J196" s="29">
        <v>43</v>
      </c>
      <c r="K196" s="9" t="str">
        <f t="shared" si="47"/>
        <v/>
      </c>
      <c r="L196" s="22" t="s">
        <v>217</v>
      </c>
      <c r="M196" s="9" t="str">
        <f t="shared" si="48"/>
        <v xml:space="preserve"> </v>
      </c>
      <c r="N196" s="22" t="s">
        <v>197</v>
      </c>
      <c r="O196" s="9" t="str">
        <f t="shared" si="49"/>
        <v xml:space="preserve"> </v>
      </c>
      <c r="P196" s="29">
        <v>42</v>
      </c>
      <c r="Q196" s="9" t="str">
        <f t="shared" si="50"/>
        <v/>
      </c>
      <c r="R196" s="22" t="s">
        <v>197</v>
      </c>
      <c r="S196" s="9" t="str">
        <f t="shared" si="51"/>
        <v xml:space="preserve"> </v>
      </c>
      <c r="T196" s="22" t="s">
        <v>209</v>
      </c>
      <c r="U196" s="9" t="str">
        <f t="shared" si="52"/>
        <v xml:space="preserve"> </v>
      </c>
      <c r="V196" s="29">
        <v>40</v>
      </c>
      <c r="W196" s="9" t="str">
        <f t="shared" si="53"/>
        <v/>
      </c>
      <c r="X196" s="22" t="s">
        <v>199</v>
      </c>
      <c r="Y196" s="9" t="str">
        <f t="shared" si="54"/>
        <v xml:space="preserve"> </v>
      </c>
      <c r="Z196" s="22" t="s">
        <v>217</v>
      </c>
      <c r="AA196" s="9" t="str">
        <f t="shared" si="55"/>
        <v xml:space="preserve"> </v>
      </c>
      <c r="AB196" s="29">
        <v>40</v>
      </c>
      <c r="AC196" s="9" t="str">
        <f t="shared" si="56"/>
        <v/>
      </c>
      <c r="AD196" s="22" t="s">
        <v>199</v>
      </c>
      <c r="AE196" s="9" t="str">
        <f t="shared" si="57"/>
        <v xml:space="preserve"> </v>
      </c>
      <c r="AF196" s="22" t="s">
        <v>197</v>
      </c>
      <c r="AG196" s="9" t="str">
        <f t="shared" si="58"/>
        <v xml:space="preserve"> </v>
      </c>
      <c r="AH196" s="22" t="s">
        <v>197</v>
      </c>
      <c r="AI196" s="9" t="str">
        <f t="shared" si="59"/>
        <v xml:space="preserve"> </v>
      </c>
      <c r="AJ196" s="22" t="s">
        <v>199</v>
      </c>
      <c r="AK196" s="9" t="str">
        <f t="shared" si="60"/>
        <v xml:space="preserve"> </v>
      </c>
      <c r="AL196" s="16">
        <f>IF(OR(AND(D196&gt;=31,D196&lt;40),AND(J196&gt;=31,J196&lt;40),AND(P196&gt;=31,P196&lt;40),AND(V196&gt;=31,V196&lt;40),AND(AB196&gt;=31,AB196&lt;40)),IF(AND(OR(COUNTIF(D196:AK196,"=31")&gt;=1,COUNTIF(D196:AK196,"=32")&gt;=1,COUNTIF(D196:AK196,"=33")&gt;=1,COUNTIF(D196:AK196,"=34")&gt;=1,COUNTIF(D196:AK196,"=35")&gt;=1,COUNTIF(D196:AK196,"=36")&gt;=1 ),COUNTIF(D196:AK196,"")=0,COUNTIF(D196:AK196," ")=0,COUNTIF(D196:AK196,"F")=1),CONCATENATE(SUM(EXTRACTNUMBER(D196),EXTRACTNUMBER(F196),
EXTRACTNUMBER(H196),EXTRACTNUMBER(J196),
EXTRACTNUMBER(L196),EXTRACTNUMBER(N196),
EXTRACTNUMBER(P196),EXTRACTNUMBER(R196),
EXTRACTNUMBER(T196),EXTRACTNUMBER(V196),
EXTRACTNUMBER(X196),EXTRACTNUMBER(Z196),EXTRACTNUMBER(AB196),
EXTRACTNUMBER(AD196),EXTRACTNUMBER(AF196),EXTRACTNUMBER(AH196),EXTRACTNUMBER(AJ196)),"*"),IF(AND(COUNTIF(D196:AK196,"=34")&gt;=1,COUNTIF(D196:AK196,"=35")&gt;=1,COUNTIF(D196:AK196,"f")=2,COUNTIF(D196:AK196,"")=0,COUNTIF(D196:AK196," ")=0),CONCATENATE(SUM(EXTRACTNUMBER(D196),EXTRACTNUMBER(F196),
EXTRACTNUMBER(H196),EXTRACTNUMBER(J196),
EXTRACTNUMBER(L196),EXTRACTNUMBER(N196),
EXTRACTNUMBER(P196),EXTRACTNUMBER(R196),
EXTRACTNUMBER(T196),EXTRACTNUMBER(V196),
EXTRACTNUMBER(X196),EXTRACTNUMBER(Z196),EXTRACTNUMBER(AB196),
EXTRACTNUMBER(AD196),EXTRACTNUMBER(AF196),EXTRACTNUMBER(AH196),EXTRACTNUMBER(AJ196)),"*"),IF(AND(COUNTIF(D196:AK196,"=36")&gt;=2,COUNTIF(D196:AK196,"f")=2,COUNTIF(D196:AK196,"")=0,COUNTIF(D196:AK196," ")=0),CONCATENATE(SUM(EXTRACTNUMBER(D196),EXTRACTNUMBER(F196),
EXTRACTNUMBER(H196),EXTRACTNUMBER(J196),
EXTRACTNUMBER(L196),EXTRACTNUMBER(N196),
EXTRACTNUMBER(P196),EXTRACTNUMBER(R196),
EXTRACTNUMBER(T196),EXTRACTNUMBER(V196),
EXTRACTNUMBER(X196),EXTRACTNUMBER(Z196),EXTRACTNUMBER(AB196),
EXTRACTNUMBER(AD196),EXTRACTNUMBER(AF196),EXTRACTNUMBER(AH196),EXTRACTNUMBER(AJ196)),"*"),SUM(EXTRACTNUMBER(D196),EXTRACTNUMBER(F196),
EXTRACTNUMBER(H196),EXTRACTNUMBER(J196),
EXTRACTNUMBER(L196),EXTRACTNUMBER(N196),
EXTRACTNUMBER(P196),EXTRACTNUMBER(R196),
EXTRACTNUMBER(T196),EXTRACTNUMBER(V196),
EXTRACTNUMBER(X196),EXTRACTNUMBER(Z196),EXTRACTNUMBER(AB196),
EXTRACTNUMBER(AD196),EXTRACTNUMBER(AF196),EXTRACTNUMBER(AH196),EXTRACTNUMBER(AJ196))))),SUM(EXTRACTNUMBER(D196),EXTRACTNUMBER(F196),
EXTRACTNUMBER(H196),EXTRACTNUMBER(J196),
EXTRACTNUMBER(L196),EXTRACTNUMBER(N196),
EXTRACTNUMBER(P196),EXTRACTNUMBER(R196),
EXTRACTNUMBER(T196),EXTRACTNUMBER(V196),
EXTRACTNUMBER(X196),EXTRACTNUMBER(Z196),EXTRACTNUMBER(AB196),
EXTRACTNUMBER(AD196),EXTRACTNUMBER(AF196),EXTRACTNUMBER(AH196),EXTRACTNUMBER(AJ196)))</f>
        <v>499</v>
      </c>
      <c r="AM196" s="72" t="s">
        <v>310</v>
      </c>
      <c r="AN196" s="11">
        <f t="shared" si="42"/>
        <v>989</v>
      </c>
      <c r="AO196" s="11" t="str">
        <f t="shared" si="61"/>
        <v>PASS</v>
      </c>
      <c r="AP196" s="11" t="str">
        <f t="shared" si="43"/>
        <v>P</v>
      </c>
      <c r="AQ196" s="1" t="str">
        <f t="shared" si="62"/>
        <v xml:space="preserve">Nine Hundred Eighty Nine </v>
      </c>
    </row>
    <row r="197" spans="2:43" ht="15.95" customHeight="1">
      <c r="B197" s="70" t="s">
        <v>193</v>
      </c>
      <c r="C197" s="18" t="s">
        <v>194</v>
      </c>
      <c r="D197" s="24">
        <v>10</v>
      </c>
      <c r="E197" s="9" t="str">
        <f t="shared" si="44"/>
        <v>F</v>
      </c>
      <c r="F197" s="22">
        <v>21</v>
      </c>
      <c r="G197" s="9" t="str">
        <f t="shared" si="45"/>
        <v>E</v>
      </c>
      <c r="H197" s="22">
        <v>35</v>
      </c>
      <c r="I197" s="9" t="str">
        <f t="shared" si="46"/>
        <v>E</v>
      </c>
      <c r="J197" s="29">
        <v>49</v>
      </c>
      <c r="K197" s="9" t="str">
        <f t="shared" si="47"/>
        <v>E</v>
      </c>
      <c r="L197" s="22">
        <v>22</v>
      </c>
      <c r="M197" s="9" t="str">
        <f t="shared" si="48"/>
        <v>E</v>
      </c>
      <c r="N197" s="22">
        <v>16</v>
      </c>
      <c r="O197" s="9" t="str">
        <f t="shared" si="49"/>
        <v>E</v>
      </c>
      <c r="P197" s="29">
        <v>69</v>
      </c>
      <c r="Q197" s="9" t="str">
        <f t="shared" si="50"/>
        <v>E</v>
      </c>
      <c r="R197" s="22">
        <v>22</v>
      </c>
      <c r="S197" s="9" t="str">
        <f t="shared" si="51"/>
        <v>E</v>
      </c>
      <c r="T197" s="22">
        <v>35</v>
      </c>
      <c r="U197" s="9" t="str">
        <f t="shared" si="52"/>
        <v>E</v>
      </c>
      <c r="V197" s="29">
        <v>40</v>
      </c>
      <c r="W197" s="9" t="str">
        <f t="shared" si="53"/>
        <v>E</v>
      </c>
      <c r="X197" s="22">
        <v>22</v>
      </c>
      <c r="Y197" s="9" t="str">
        <f t="shared" si="54"/>
        <v>E</v>
      </c>
      <c r="Z197" s="22">
        <v>22</v>
      </c>
      <c r="AA197" s="9" t="str">
        <f t="shared" si="55"/>
        <v>E</v>
      </c>
      <c r="AB197" s="29">
        <v>41</v>
      </c>
      <c r="AC197" s="9" t="str">
        <f t="shared" si="56"/>
        <v>E</v>
      </c>
      <c r="AD197" s="22">
        <v>22</v>
      </c>
      <c r="AE197" s="9" t="str">
        <f t="shared" si="57"/>
        <v>E</v>
      </c>
      <c r="AF197" s="22">
        <v>20</v>
      </c>
      <c r="AG197" s="9" t="str">
        <f t="shared" si="58"/>
        <v>E</v>
      </c>
      <c r="AH197" s="22">
        <v>22</v>
      </c>
      <c r="AI197" s="9" t="str">
        <f t="shared" si="59"/>
        <v>E</v>
      </c>
      <c r="AJ197" s="22">
        <v>23</v>
      </c>
      <c r="AK197" s="9" t="str">
        <f t="shared" si="60"/>
        <v>E</v>
      </c>
      <c r="AL197" s="16">
        <f>IF(OR(AND(D197&gt;=31,D197&lt;40),AND(J197&gt;=31,J197&lt;40),AND(P197&gt;=31,P197&lt;40),AND(V197&gt;=31,V197&lt;40),AND(AB197&gt;=31,AB197&lt;40)),IF(AND(OR(COUNTIF(D197:AK197,"=31")&gt;=1,COUNTIF(D197:AK197,"=32")&gt;=1,COUNTIF(D197:AK197,"=33")&gt;=1,COUNTIF(D197:AK197,"=34")&gt;=1,COUNTIF(D197:AK197,"=35")&gt;=1,COUNTIF(D197:AK197,"=36")&gt;=1 ),COUNTIF(D197:AK197,"")=0,COUNTIF(D197:AK197," ")=0,COUNTIF(D197:AK197,"F")=1),CONCATENATE(SUM(EXTRACTNUMBER(D197),EXTRACTNUMBER(F197),
EXTRACTNUMBER(H197),EXTRACTNUMBER(J197),
EXTRACTNUMBER(L197),EXTRACTNUMBER(N197),
EXTRACTNUMBER(P197),EXTRACTNUMBER(R197),
EXTRACTNUMBER(T197),EXTRACTNUMBER(V197),
EXTRACTNUMBER(X197),EXTRACTNUMBER(Z197),EXTRACTNUMBER(AB197),
EXTRACTNUMBER(AD197),EXTRACTNUMBER(AF197),EXTRACTNUMBER(AH197),EXTRACTNUMBER(AJ197)),"*"),IF(AND(COUNTIF(D197:AK197,"=34")&gt;=1,COUNTIF(D197:AK197,"=35")&gt;=1,COUNTIF(D197:AK197,"f")=2,COUNTIF(D197:AK197,"")=0,COUNTIF(D197:AK197," ")=0),CONCATENATE(SUM(EXTRACTNUMBER(D197),EXTRACTNUMBER(F197),
EXTRACTNUMBER(H197),EXTRACTNUMBER(J197),
EXTRACTNUMBER(L197),EXTRACTNUMBER(N197),
EXTRACTNUMBER(P197),EXTRACTNUMBER(R197),
EXTRACTNUMBER(T197),EXTRACTNUMBER(V197),
EXTRACTNUMBER(X197),EXTRACTNUMBER(Z197),EXTRACTNUMBER(AB197),
EXTRACTNUMBER(AD197),EXTRACTNUMBER(AF197),EXTRACTNUMBER(AH197),EXTRACTNUMBER(AJ197)),"*"),IF(AND(COUNTIF(D197:AK197,"=36")&gt;=2,COUNTIF(D197:AK197,"f")=2,COUNTIF(D197:AK197,"")=0,COUNTIF(D197:AK197," ")=0),CONCATENATE(SUM(EXTRACTNUMBER(D197),EXTRACTNUMBER(F197),
EXTRACTNUMBER(H197),EXTRACTNUMBER(J197),
EXTRACTNUMBER(L197),EXTRACTNUMBER(N197),
EXTRACTNUMBER(P197),EXTRACTNUMBER(R197),
EXTRACTNUMBER(T197),EXTRACTNUMBER(V197),
EXTRACTNUMBER(X197),EXTRACTNUMBER(Z197),EXTRACTNUMBER(AB197),
EXTRACTNUMBER(AD197),EXTRACTNUMBER(AF197),EXTRACTNUMBER(AH197),EXTRACTNUMBER(AJ197)),"*"),SUM(EXTRACTNUMBER(D197),EXTRACTNUMBER(F197),
EXTRACTNUMBER(H197),EXTRACTNUMBER(J197),
EXTRACTNUMBER(L197),EXTRACTNUMBER(N197),
EXTRACTNUMBER(P197),EXTRACTNUMBER(R197),
EXTRACTNUMBER(T197),EXTRACTNUMBER(V197),
EXTRACTNUMBER(X197),EXTRACTNUMBER(Z197),EXTRACTNUMBER(AB197),
EXTRACTNUMBER(AD197),EXTRACTNUMBER(AF197),EXTRACTNUMBER(AH197),EXTRACTNUMBER(AJ197))))),SUM(EXTRACTNUMBER(D197),EXTRACTNUMBER(F197),
EXTRACTNUMBER(H197),EXTRACTNUMBER(J197),
EXTRACTNUMBER(L197),EXTRACTNUMBER(N197),
EXTRACTNUMBER(P197),EXTRACTNUMBER(R197),
EXTRACTNUMBER(T197),EXTRACTNUMBER(V197),
EXTRACTNUMBER(X197),EXTRACTNUMBER(Z197),EXTRACTNUMBER(AB197),
EXTRACTNUMBER(AD197),EXTRACTNUMBER(AF197),EXTRACTNUMBER(AH197),EXTRACTNUMBER(AJ197)))</f>
        <v>491</v>
      </c>
      <c r="AM197" s="72" t="s">
        <v>535</v>
      </c>
      <c r="AN197" s="11">
        <f t="shared" si="42"/>
        <v>491</v>
      </c>
      <c r="AO197" s="11" t="str">
        <f t="shared" si="61"/>
        <v>FAIL</v>
      </c>
      <c r="AP197" s="11" t="str">
        <f t="shared" si="43"/>
        <v>--</v>
      </c>
      <c r="AQ197" s="1" t="str">
        <f t="shared" si="62"/>
        <v xml:space="preserve">Four Hundred NinetyOne </v>
      </c>
    </row>
    <row r="198" spans="2:43">
      <c r="B198" s="71"/>
      <c r="C198" s="19"/>
      <c r="D198" s="26"/>
      <c r="E198" s="7"/>
      <c r="F198" s="26"/>
      <c r="G198" s="7"/>
      <c r="H198" s="26"/>
      <c r="I198" s="7"/>
      <c r="J198" s="26"/>
      <c r="K198" s="7"/>
      <c r="L198" s="26"/>
      <c r="M198" s="7"/>
      <c r="N198" s="26"/>
      <c r="O198" s="7"/>
      <c r="P198" s="26"/>
      <c r="Q198" s="10"/>
      <c r="R198" s="26"/>
      <c r="S198" s="7"/>
      <c r="T198" s="26"/>
      <c r="U198" s="7"/>
      <c r="V198" s="26"/>
      <c r="W198" s="7"/>
      <c r="X198" s="26"/>
      <c r="Y198" s="7"/>
      <c r="Z198" s="26"/>
      <c r="AA198" s="7"/>
      <c r="AB198" s="26"/>
      <c r="AC198" s="7"/>
      <c r="AD198" s="26"/>
      <c r="AE198" s="7"/>
      <c r="AF198" s="26"/>
      <c r="AG198" s="7"/>
      <c r="AH198" s="26"/>
      <c r="AI198" s="7"/>
      <c r="AJ198" s="26"/>
      <c r="AK198" s="7"/>
      <c r="AL198" s="14"/>
      <c r="AM198" s="14"/>
      <c r="AN198" s="7"/>
      <c r="AO198" s="7"/>
      <c r="AP198" s="7"/>
    </row>
    <row r="199" spans="2:43" ht="17.25">
      <c r="B199" s="71"/>
      <c r="C199" s="8"/>
      <c r="D199" s="27"/>
      <c r="E199" s="8"/>
      <c r="F199" s="27"/>
      <c r="G199" s="8"/>
      <c r="H199" s="27"/>
      <c r="I199" s="8"/>
      <c r="J199" s="27"/>
      <c r="K199" s="8"/>
      <c r="L199" s="27"/>
      <c r="M199" s="8"/>
      <c r="N199" s="27"/>
      <c r="O199" s="8"/>
      <c r="P199" s="27"/>
      <c r="Q199" s="8"/>
      <c r="R199" s="27"/>
      <c r="S199" s="8"/>
      <c r="T199" s="27"/>
      <c r="U199" s="8"/>
      <c r="V199" s="27"/>
      <c r="W199" s="8"/>
      <c r="X199" s="27"/>
      <c r="Y199" s="8"/>
      <c r="Z199" s="27"/>
      <c r="AA199" s="8"/>
      <c r="AB199" s="27"/>
      <c r="AC199" s="8"/>
      <c r="AD199" s="27"/>
      <c r="AE199" s="8"/>
      <c r="AF199" s="27"/>
      <c r="AG199" s="8"/>
      <c r="AH199" s="27"/>
      <c r="AI199" s="8"/>
      <c r="AJ199" s="27"/>
      <c r="AK199" s="8"/>
      <c r="AL199" s="34" t="s">
        <v>330</v>
      </c>
      <c r="AM199"/>
      <c r="AN199" s="35"/>
      <c r="AO199" s="36"/>
      <c r="AP199" s="37">
        <f>COUNTIF(AO28:AO197,"PASS")+COUNTIF(AO28:AO197,"FAIL")</f>
        <v>169</v>
      </c>
      <c r="AQ199" s="38">
        <f>COUNTIF(AS155:AS196,"FAIL")</f>
        <v>0</v>
      </c>
    </row>
    <row r="200" spans="2:43" ht="17.25">
      <c r="B200" s="71"/>
      <c r="C200" s="8"/>
      <c r="D200" s="27"/>
      <c r="E200" s="8"/>
      <c r="F200" s="27"/>
      <c r="G200" s="8"/>
      <c r="H200" s="27"/>
      <c r="I200" s="8"/>
      <c r="J200" s="27"/>
      <c r="K200" s="8"/>
      <c r="L200" s="27"/>
      <c r="M200" s="8"/>
      <c r="N200" s="27"/>
      <c r="O200" s="8"/>
      <c r="P200" s="27"/>
      <c r="Q200" s="8"/>
      <c r="R200" s="27"/>
      <c r="S200" s="8"/>
      <c r="T200" s="27"/>
      <c r="U200" s="8"/>
      <c r="V200" s="27"/>
      <c r="W200" s="8"/>
      <c r="X200" s="27"/>
      <c r="Y200" s="8"/>
      <c r="Z200" s="27"/>
      <c r="AA200" s="8"/>
      <c r="AB200" s="27"/>
      <c r="AC200" s="8"/>
      <c r="AD200" s="27"/>
      <c r="AE200" s="8"/>
      <c r="AF200" s="27"/>
      <c r="AG200" s="8"/>
      <c r="AH200" s="27"/>
      <c r="AI200" s="8"/>
      <c r="AJ200" s="27"/>
      <c r="AK200" s="8"/>
      <c r="AL200" s="34" t="s">
        <v>331</v>
      </c>
      <c r="AM200"/>
      <c r="AN200" s="35"/>
      <c r="AO200" s="36"/>
      <c r="AP200" s="37">
        <f>COUNTIF(AP28:AP197,"I")+COUNTIF(AP28:AP197,"II")+COUNTIF(AP28:AP197,"P")</f>
        <v>148</v>
      </c>
      <c r="AQ200"/>
    </row>
    <row r="201" spans="2:43" ht="17.25">
      <c r="B201" s="71"/>
      <c r="C201" s="8"/>
      <c r="D201" s="27"/>
      <c r="E201" s="8"/>
      <c r="F201" s="27"/>
      <c r="G201" s="8"/>
      <c r="H201" s="27"/>
      <c r="I201" s="8"/>
      <c r="J201" s="27"/>
      <c r="K201" s="8"/>
      <c r="L201" s="27"/>
      <c r="M201" s="8"/>
      <c r="N201" s="27"/>
      <c r="O201" s="8"/>
      <c r="P201" s="27"/>
      <c r="Q201" s="8"/>
      <c r="R201" s="27"/>
      <c r="S201" s="8"/>
      <c r="T201" s="27"/>
      <c r="U201" s="8"/>
      <c r="V201" s="27"/>
      <c r="W201" s="8"/>
      <c r="X201" s="27"/>
      <c r="Y201" s="8"/>
      <c r="Z201" s="27"/>
      <c r="AA201" s="8"/>
      <c r="AB201" s="27"/>
      <c r="AC201" s="8"/>
      <c r="AD201" s="27"/>
      <c r="AE201" s="8"/>
      <c r="AF201" s="27"/>
      <c r="AG201" s="8"/>
      <c r="AH201" s="27"/>
      <c r="AI201" s="8"/>
      <c r="AJ201" s="27"/>
      <c r="AK201" s="8"/>
      <c r="AL201" s="34" t="s">
        <v>332</v>
      </c>
      <c r="AM201"/>
      <c r="AN201" s="35"/>
      <c r="AO201" s="36"/>
      <c r="AP201" s="39">
        <f>AP200/AP199</f>
        <v>0.87573964497041423</v>
      </c>
      <c r="AQ201"/>
    </row>
    <row r="202" spans="2:43">
      <c r="B202" s="71"/>
      <c r="C202" s="8"/>
      <c r="D202" s="27"/>
      <c r="E202" s="8"/>
      <c r="F202" s="27"/>
      <c r="G202" s="8"/>
      <c r="H202" s="27"/>
      <c r="I202" s="8"/>
      <c r="J202" s="27"/>
      <c r="K202" s="8"/>
      <c r="L202" s="27"/>
      <c r="M202" s="8"/>
      <c r="N202" s="27"/>
      <c r="O202" s="8"/>
      <c r="P202" s="27"/>
      <c r="Q202" s="8"/>
      <c r="R202" s="27"/>
      <c r="S202" s="8"/>
      <c r="T202" s="27"/>
      <c r="U202" s="8"/>
      <c r="V202" s="27"/>
      <c r="W202" s="8"/>
      <c r="X202" s="27"/>
      <c r="Y202" s="8"/>
      <c r="Z202" s="27"/>
      <c r="AA202" s="8"/>
      <c r="AB202" s="27"/>
      <c r="AC202" s="8"/>
      <c r="AD202" s="27"/>
      <c r="AE202" s="8"/>
      <c r="AF202" s="27"/>
      <c r="AG202" s="8"/>
      <c r="AH202" s="27"/>
      <c r="AI202" s="8"/>
      <c r="AJ202" s="27"/>
      <c r="AK202" s="8"/>
      <c r="AL202" s="15"/>
      <c r="AM202" s="15"/>
      <c r="AN202" s="8"/>
      <c r="AO202" s="8"/>
    </row>
    <row r="203" spans="2:43">
      <c r="B203" s="71"/>
      <c r="C203" s="8"/>
      <c r="D203" s="27"/>
      <c r="E203" s="8"/>
      <c r="F203" s="27"/>
      <c r="G203" s="8"/>
      <c r="H203" s="27"/>
      <c r="I203" s="8"/>
      <c r="J203" s="27"/>
      <c r="K203" s="8"/>
      <c r="L203" s="27"/>
      <c r="M203" s="8"/>
      <c r="N203" s="27"/>
      <c r="O203" s="8"/>
      <c r="P203" s="27"/>
      <c r="Q203" s="8"/>
      <c r="R203" s="27"/>
      <c r="S203" s="8"/>
      <c r="T203" s="27"/>
      <c r="U203" s="8"/>
      <c r="V203" s="27"/>
      <c r="W203" s="8"/>
      <c r="X203" s="27"/>
      <c r="Y203" s="8"/>
      <c r="Z203" s="27"/>
      <c r="AA203" s="8"/>
      <c r="AB203" s="27"/>
      <c r="AC203" s="8"/>
      <c r="AD203" s="27"/>
      <c r="AE203" s="8"/>
      <c r="AF203" s="27"/>
      <c r="AG203" s="8"/>
      <c r="AH203" s="27"/>
      <c r="AI203" s="8"/>
      <c r="AJ203" s="27"/>
      <c r="AK203" s="8"/>
      <c r="AL203" s="15"/>
      <c r="AM203" s="15"/>
      <c r="AN203" s="8"/>
      <c r="AO203" s="8"/>
      <c r="AP203" s="8"/>
    </row>
    <row r="204" spans="2:43">
      <c r="B204" s="71"/>
      <c r="C204" s="8"/>
      <c r="D204" s="27"/>
      <c r="E204" s="8"/>
      <c r="F204" s="27"/>
      <c r="G204" s="8"/>
      <c r="H204" s="27"/>
      <c r="I204" s="8"/>
      <c r="J204" s="27"/>
      <c r="K204" s="8"/>
      <c r="L204" s="27"/>
      <c r="M204" s="8"/>
      <c r="N204" s="27"/>
      <c r="O204" s="8"/>
      <c r="P204" s="27"/>
      <c r="Q204" s="8"/>
      <c r="R204" s="27"/>
      <c r="S204" s="8"/>
      <c r="T204" s="27"/>
      <c r="U204" s="8"/>
      <c r="V204" s="27"/>
      <c r="W204" s="8"/>
      <c r="X204" s="27"/>
      <c r="Y204" s="8"/>
      <c r="Z204" s="27"/>
      <c r="AA204" s="8"/>
      <c r="AB204" s="27"/>
      <c r="AC204" s="8"/>
      <c r="AD204" s="27"/>
      <c r="AE204" s="8"/>
      <c r="AF204" s="27"/>
      <c r="AG204" s="8"/>
      <c r="AH204" s="27"/>
      <c r="AI204" s="8"/>
      <c r="AJ204" s="27"/>
      <c r="AK204" s="8"/>
      <c r="AL204" s="15"/>
      <c r="AM204" s="15"/>
      <c r="AN204" s="8"/>
      <c r="AO204" s="8"/>
      <c r="AP204" s="8"/>
    </row>
    <row r="205" spans="2:43">
      <c r="B205" s="71"/>
      <c r="C205" s="8"/>
      <c r="D205" s="27"/>
      <c r="E205" s="8"/>
      <c r="F205" s="27"/>
      <c r="G205" s="8"/>
      <c r="H205" s="27"/>
      <c r="I205" s="8"/>
      <c r="J205" s="27"/>
      <c r="K205" s="8"/>
      <c r="L205" s="27"/>
      <c r="M205" s="8"/>
      <c r="N205" s="27"/>
      <c r="O205" s="8"/>
      <c r="P205" s="27"/>
      <c r="Q205" s="8"/>
      <c r="R205" s="27"/>
      <c r="S205" s="8"/>
      <c r="T205" s="27"/>
      <c r="U205" s="8"/>
      <c r="V205" s="27"/>
      <c r="W205" s="8"/>
      <c r="X205" s="27"/>
      <c r="Y205" s="8"/>
      <c r="Z205" s="27"/>
      <c r="AA205" s="8"/>
      <c r="AB205" s="27"/>
      <c r="AC205" s="8"/>
      <c r="AD205" s="27"/>
      <c r="AE205" s="8"/>
      <c r="AF205" s="27"/>
      <c r="AG205" s="8"/>
      <c r="AH205" s="27"/>
      <c r="AI205" s="8"/>
      <c r="AJ205" s="27"/>
      <c r="AK205" s="8"/>
      <c r="AL205" s="15"/>
      <c r="AM205" s="15"/>
      <c r="AN205" s="8"/>
      <c r="AO205" s="8"/>
      <c r="AP205" s="8"/>
    </row>
    <row r="206" spans="2:43">
      <c r="B206" s="71"/>
      <c r="C206" s="8"/>
      <c r="D206" s="27"/>
      <c r="E206" s="8"/>
      <c r="F206" s="27"/>
      <c r="G206" s="8"/>
      <c r="H206" s="27"/>
      <c r="I206" s="8"/>
      <c r="J206" s="27"/>
      <c r="K206" s="8"/>
      <c r="L206" s="27"/>
      <c r="M206" s="8"/>
      <c r="N206" s="27"/>
      <c r="O206" s="8"/>
      <c r="P206" s="27"/>
      <c r="Q206" s="8"/>
      <c r="R206" s="27"/>
      <c r="S206" s="8"/>
      <c r="T206" s="27"/>
      <c r="U206" s="8"/>
      <c r="V206" s="27"/>
      <c r="W206" s="8"/>
      <c r="X206" s="27"/>
      <c r="Y206" s="8"/>
      <c r="Z206" s="27"/>
      <c r="AA206" s="8"/>
      <c r="AB206" s="27"/>
      <c r="AC206" s="8"/>
      <c r="AD206" s="27"/>
      <c r="AE206" s="8"/>
      <c r="AF206" s="27"/>
      <c r="AG206" s="8"/>
      <c r="AH206" s="27"/>
      <c r="AI206" s="8"/>
      <c r="AJ206" s="27"/>
      <c r="AK206" s="8"/>
      <c r="AL206" s="15"/>
      <c r="AM206" s="15"/>
      <c r="AN206" s="8"/>
      <c r="AO206" s="8"/>
      <c r="AP206" s="8"/>
    </row>
    <row r="207" spans="2:43">
      <c r="B207" s="71"/>
      <c r="C207" s="8"/>
      <c r="D207" s="27"/>
      <c r="E207" s="8"/>
      <c r="F207" s="27"/>
      <c r="G207" s="8"/>
      <c r="H207" s="27"/>
      <c r="I207" s="8"/>
      <c r="J207" s="27"/>
      <c r="K207" s="8"/>
      <c r="L207" s="27"/>
      <c r="M207" s="8"/>
      <c r="N207" s="27"/>
      <c r="O207" s="8"/>
      <c r="P207" s="27"/>
      <c r="Q207" s="8"/>
      <c r="R207" s="27"/>
      <c r="S207" s="8"/>
      <c r="T207" s="27"/>
      <c r="U207" s="8"/>
      <c r="V207" s="27"/>
      <c r="W207" s="8"/>
      <c r="X207" s="27"/>
      <c r="Y207" s="8"/>
      <c r="Z207" s="27"/>
      <c r="AA207" s="8"/>
      <c r="AB207" s="27"/>
      <c r="AC207" s="8"/>
      <c r="AD207" s="27"/>
      <c r="AE207" s="8"/>
      <c r="AF207" s="27"/>
      <c r="AG207" s="8"/>
      <c r="AH207" s="27"/>
      <c r="AI207" s="8"/>
      <c r="AJ207" s="27"/>
      <c r="AK207" s="8"/>
      <c r="AL207" s="15"/>
      <c r="AM207" s="15"/>
      <c r="AN207" s="8"/>
      <c r="AO207" s="8"/>
      <c r="AP207" s="8"/>
    </row>
    <row r="208" spans="2:43">
      <c r="B208" s="71"/>
      <c r="C208" s="8"/>
      <c r="D208" s="27"/>
      <c r="E208" s="8"/>
      <c r="F208" s="27"/>
      <c r="G208" s="8"/>
      <c r="H208" s="27"/>
      <c r="I208" s="8"/>
      <c r="J208" s="27"/>
      <c r="K208" s="8"/>
      <c r="L208" s="27"/>
      <c r="M208" s="8"/>
      <c r="N208" s="27"/>
      <c r="O208" s="8"/>
      <c r="P208" s="27"/>
      <c r="Q208" s="8"/>
      <c r="R208" s="27"/>
      <c r="S208" s="8"/>
      <c r="T208" s="27"/>
      <c r="U208" s="8"/>
      <c r="V208" s="27"/>
      <c r="W208" s="8"/>
      <c r="X208" s="27"/>
      <c r="Y208" s="8"/>
      <c r="Z208" s="27"/>
      <c r="AA208" s="8"/>
      <c r="AB208" s="27"/>
      <c r="AC208" s="8"/>
      <c r="AD208" s="27"/>
      <c r="AE208" s="8"/>
      <c r="AF208" s="27"/>
      <c r="AG208" s="8"/>
      <c r="AH208" s="27"/>
      <c r="AI208" s="8"/>
      <c r="AJ208" s="27"/>
      <c r="AK208" s="8"/>
      <c r="AL208" s="15"/>
      <c r="AM208" s="15"/>
      <c r="AN208" s="8"/>
      <c r="AO208" s="8"/>
      <c r="AP208" s="8"/>
    </row>
    <row r="209" spans="2:42">
      <c r="B209" s="71"/>
      <c r="C209" s="8"/>
      <c r="D209" s="27"/>
      <c r="E209" s="8"/>
      <c r="F209" s="27"/>
      <c r="G209" s="8"/>
      <c r="H209" s="27"/>
      <c r="I209" s="8"/>
      <c r="J209" s="27"/>
      <c r="K209" s="8"/>
      <c r="L209" s="27"/>
      <c r="M209" s="8"/>
      <c r="N209" s="27"/>
      <c r="O209" s="8"/>
      <c r="P209" s="27"/>
      <c r="Q209" s="8"/>
      <c r="R209" s="27"/>
      <c r="S209" s="8"/>
      <c r="T209" s="27"/>
      <c r="U209" s="8"/>
      <c r="V209" s="27"/>
      <c r="W209" s="8"/>
      <c r="X209" s="27"/>
      <c r="Y209" s="8"/>
      <c r="Z209" s="27"/>
      <c r="AA209" s="8"/>
      <c r="AB209" s="27"/>
      <c r="AC209" s="8"/>
      <c r="AD209" s="27"/>
      <c r="AE209" s="8"/>
      <c r="AF209" s="27"/>
      <c r="AG209" s="8"/>
      <c r="AH209" s="27"/>
      <c r="AI209" s="8"/>
      <c r="AJ209" s="27"/>
      <c r="AK209" s="8"/>
      <c r="AL209" s="15"/>
      <c r="AM209" s="15"/>
      <c r="AN209" s="8"/>
      <c r="AO209" s="8"/>
      <c r="AP209" s="8"/>
    </row>
    <row r="210" spans="2:42">
      <c r="B210" s="71"/>
      <c r="C210" s="8"/>
      <c r="D210" s="27"/>
      <c r="E210" s="8"/>
      <c r="F210" s="27"/>
      <c r="G210" s="8"/>
      <c r="H210" s="27"/>
      <c r="I210" s="8"/>
      <c r="J210" s="27"/>
      <c r="K210" s="8"/>
      <c r="L210" s="27"/>
      <c r="M210" s="8"/>
      <c r="N210" s="27"/>
      <c r="O210" s="8"/>
      <c r="P210" s="27"/>
      <c r="Q210" s="8"/>
      <c r="R210" s="27"/>
      <c r="S210" s="8"/>
      <c r="T210" s="27"/>
      <c r="U210" s="8"/>
      <c r="V210" s="27"/>
      <c r="W210" s="8"/>
      <c r="X210" s="27"/>
      <c r="Y210" s="8"/>
      <c r="Z210" s="27"/>
      <c r="AA210" s="8"/>
      <c r="AB210" s="27"/>
      <c r="AC210" s="8"/>
      <c r="AD210" s="27"/>
      <c r="AE210" s="8"/>
      <c r="AF210" s="27"/>
      <c r="AG210" s="8"/>
      <c r="AH210" s="27"/>
      <c r="AI210" s="8"/>
      <c r="AJ210" s="27"/>
      <c r="AK210" s="8"/>
      <c r="AL210" s="15"/>
      <c r="AM210" s="15"/>
      <c r="AN210" s="8"/>
      <c r="AO210" s="8"/>
      <c r="AP210" s="8"/>
    </row>
    <row r="211" spans="2:42">
      <c r="B211" s="71"/>
      <c r="C211" s="8"/>
      <c r="D211" s="27"/>
      <c r="E211" s="8"/>
      <c r="F211" s="27"/>
      <c r="G211" s="8"/>
      <c r="H211" s="27"/>
      <c r="I211" s="8"/>
      <c r="J211" s="27"/>
      <c r="K211" s="8"/>
      <c r="L211" s="27"/>
      <c r="M211" s="8"/>
      <c r="N211" s="27"/>
      <c r="O211" s="8"/>
      <c r="P211" s="27"/>
      <c r="Q211" s="8"/>
      <c r="R211" s="27"/>
      <c r="S211" s="8"/>
      <c r="T211" s="27"/>
      <c r="U211" s="8"/>
      <c r="V211" s="27"/>
      <c r="W211" s="8"/>
      <c r="X211" s="27"/>
      <c r="Y211" s="8"/>
      <c r="Z211" s="27"/>
      <c r="AA211" s="8"/>
      <c r="AB211" s="27"/>
      <c r="AC211" s="8"/>
      <c r="AD211" s="27"/>
      <c r="AE211" s="8"/>
      <c r="AF211" s="27"/>
      <c r="AG211" s="8"/>
      <c r="AH211" s="27"/>
      <c r="AI211" s="8"/>
      <c r="AJ211" s="27"/>
      <c r="AK211" s="8"/>
      <c r="AL211" s="15"/>
      <c r="AM211" s="15"/>
      <c r="AN211" s="8"/>
      <c r="AO211" s="8"/>
      <c r="AP211" s="8"/>
    </row>
    <row r="212" spans="2:42">
      <c r="B212" s="71"/>
      <c r="C212" s="8"/>
      <c r="D212" s="27"/>
      <c r="E212" s="8"/>
      <c r="F212" s="27"/>
      <c r="G212" s="8"/>
      <c r="H212" s="27"/>
      <c r="I212" s="8"/>
      <c r="J212" s="27"/>
      <c r="K212" s="8"/>
      <c r="L212" s="27"/>
      <c r="M212" s="8"/>
      <c r="N212" s="27"/>
      <c r="O212" s="8"/>
      <c r="P212" s="27"/>
      <c r="Q212" s="8"/>
      <c r="R212" s="27"/>
      <c r="S212" s="8"/>
      <c r="T212" s="27"/>
      <c r="U212" s="8"/>
      <c r="V212" s="27"/>
      <c r="W212" s="8"/>
      <c r="X212" s="27"/>
      <c r="Y212" s="8"/>
      <c r="Z212" s="27"/>
      <c r="AA212" s="8"/>
      <c r="AB212" s="27"/>
      <c r="AC212" s="8"/>
      <c r="AD212" s="27"/>
      <c r="AE212" s="8"/>
      <c r="AF212" s="27"/>
      <c r="AG212" s="8"/>
      <c r="AH212" s="27"/>
      <c r="AI212" s="8"/>
      <c r="AJ212" s="27"/>
      <c r="AK212" s="8"/>
      <c r="AL212" s="15"/>
      <c r="AM212" s="15"/>
      <c r="AN212" s="8"/>
      <c r="AO212" s="8"/>
      <c r="AP212" s="8"/>
    </row>
    <row r="213" spans="2:42">
      <c r="B213" s="71"/>
      <c r="C213" s="8"/>
      <c r="D213" s="27"/>
      <c r="E213" s="8"/>
      <c r="F213" s="27"/>
      <c r="G213" s="8"/>
      <c r="H213" s="27"/>
      <c r="I213" s="8"/>
      <c r="J213" s="27"/>
      <c r="K213" s="8"/>
      <c r="L213" s="27"/>
      <c r="M213" s="8"/>
      <c r="N213" s="27"/>
      <c r="O213" s="8"/>
      <c r="P213" s="27"/>
      <c r="Q213" s="8"/>
      <c r="R213" s="27"/>
      <c r="S213" s="8"/>
      <c r="T213" s="27"/>
      <c r="U213" s="8"/>
      <c r="V213" s="27"/>
      <c r="W213" s="8"/>
      <c r="X213" s="27"/>
      <c r="Y213" s="8"/>
      <c r="Z213" s="27"/>
      <c r="AA213" s="8"/>
      <c r="AB213" s="27"/>
      <c r="AC213" s="8"/>
      <c r="AD213" s="27"/>
      <c r="AE213" s="8"/>
      <c r="AF213" s="27"/>
      <c r="AG213" s="8"/>
      <c r="AH213" s="27"/>
      <c r="AI213" s="8"/>
      <c r="AJ213" s="27"/>
      <c r="AK213" s="8"/>
      <c r="AL213" s="15"/>
      <c r="AM213" s="15"/>
      <c r="AN213" s="8"/>
      <c r="AO213" s="8"/>
      <c r="AP213" s="8"/>
    </row>
    <row r="214" spans="2:42">
      <c r="B214" s="71"/>
      <c r="C214" s="8"/>
      <c r="D214" s="27"/>
      <c r="E214" s="8"/>
      <c r="F214" s="27"/>
      <c r="G214" s="8"/>
      <c r="H214" s="27"/>
      <c r="I214" s="8"/>
      <c r="J214" s="27"/>
      <c r="K214" s="8"/>
      <c r="L214" s="27"/>
      <c r="M214" s="8"/>
      <c r="N214" s="27"/>
      <c r="O214" s="8"/>
      <c r="P214" s="27"/>
      <c r="Q214" s="8"/>
      <c r="R214" s="27"/>
      <c r="S214" s="8"/>
      <c r="T214" s="27"/>
      <c r="U214" s="8"/>
      <c r="V214" s="27"/>
      <c r="W214" s="8"/>
      <c r="X214" s="27"/>
      <c r="Y214" s="8"/>
      <c r="Z214" s="27"/>
      <c r="AA214" s="8"/>
      <c r="AB214" s="27"/>
      <c r="AC214" s="8"/>
      <c r="AD214" s="27"/>
      <c r="AE214" s="8"/>
      <c r="AF214" s="27"/>
      <c r="AG214" s="8"/>
      <c r="AH214" s="27"/>
      <c r="AI214" s="8"/>
      <c r="AJ214" s="27"/>
      <c r="AK214" s="8"/>
      <c r="AL214" s="15"/>
      <c r="AM214" s="15"/>
      <c r="AN214" s="8"/>
      <c r="AO214" s="8"/>
      <c r="AP214" s="8"/>
    </row>
    <row r="215" spans="2:42">
      <c r="B215" s="71"/>
      <c r="C215" s="8"/>
      <c r="D215" s="27"/>
      <c r="E215" s="8"/>
      <c r="F215" s="27"/>
      <c r="G215" s="8"/>
      <c r="H215" s="27"/>
      <c r="I215" s="8"/>
      <c r="J215" s="27"/>
      <c r="K215" s="8"/>
      <c r="L215" s="27"/>
      <c r="M215" s="8"/>
      <c r="N215" s="27"/>
      <c r="O215" s="8"/>
      <c r="P215" s="27"/>
      <c r="Q215" s="8"/>
      <c r="R215" s="27"/>
      <c r="S215" s="8"/>
      <c r="T215" s="27"/>
      <c r="U215" s="8"/>
      <c r="V215" s="27"/>
      <c r="W215" s="8"/>
      <c r="X215" s="27"/>
      <c r="Y215" s="8"/>
      <c r="Z215" s="27"/>
      <c r="AA215" s="8"/>
      <c r="AB215" s="27"/>
      <c r="AC215" s="8"/>
      <c r="AD215" s="27"/>
      <c r="AE215" s="8"/>
      <c r="AF215" s="27"/>
      <c r="AG215" s="8"/>
      <c r="AH215" s="27"/>
      <c r="AI215" s="8"/>
      <c r="AJ215" s="27"/>
      <c r="AK215" s="8"/>
      <c r="AL215" s="15"/>
      <c r="AM215" s="15"/>
      <c r="AN215" s="8"/>
      <c r="AO215" s="8"/>
      <c r="AP215" s="8"/>
    </row>
    <row r="216" spans="2:42">
      <c r="B216" s="71"/>
      <c r="C216" s="8"/>
      <c r="D216" s="27"/>
      <c r="E216" s="8"/>
      <c r="F216" s="27"/>
      <c r="G216" s="8"/>
      <c r="H216" s="27"/>
      <c r="I216" s="8"/>
      <c r="J216" s="27"/>
      <c r="K216" s="8"/>
      <c r="L216" s="27"/>
      <c r="M216" s="8"/>
      <c r="N216" s="27"/>
      <c r="O216" s="8"/>
      <c r="P216" s="27"/>
      <c r="Q216" s="8"/>
      <c r="R216" s="27"/>
      <c r="S216" s="8"/>
      <c r="T216" s="27"/>
      <c r="U216" s="8"/>
      <c r="V216" s="27"/>
      <c r="W216" s="8"/>
      <c r="X216" s="27"/>
      <c r="Y216" s="8"/>
      <c r="Z216" s="27"/>
      <c r="AA216" s="8"/>
      <c r="AB216" s="27"/>
      <c r="AC216" s="8"/>
      <c r="AD216" s="27"/>
      <c r="AE216" s="8"/>
      <c r="AF216" s="27"/>
      <c r="AG216" s="8"/>
      <c r="AH216" s="27"/>
      <c r="AI216" s="8"/>
      <c r="AJ216" s="27"/>
      <c r="AK216" s="8"/>
      <c r="AL216" s="15"/>
      <c r="AM216" s="15"/>
      <c r="AN216" s="8"/>
      <c r="AO216" s="8"/>
      <c r="AP216" s="8"/>
    </row>
    <row r="217" spans="2:42">
      <c r="B217" s="71"/>
      <c r="C217" s="8"/>
      <c r="D217" s="27"/>
      <c r="E217" s="8"/>
      <c r="F217" s="27"/>
      <c r="G217" s="8"/>
      <c r="H217" s="27"/>
      <c r="I217" s="8"/>
      <c r="J217" s="27"/>
      <c r="K217" s="8"/>
      <c r="L217" s="27"/>
      <c r="M217" s="8"/>
      <c r="N217" s="27"/>
      <c r="O217" s="8"/>
      <c r="P217" s="27"/>
      <c r="Q217" s="8"/>
      <c r="R217" s="27"/>
      <c r="S217" s="8"/>
      <c r="T217" s="27"/>
      <c r="U217" s="8"/>
      <c r="V217" s="27"/>
      <c r="W217" s="8"/>
      <c r="X217" s="27"/>
      <c r="Y217" s="8"/>
      <c r="Z217" s="27"/>
      <c r="AA217" s="8"/>
      <c r="AB217" s="27"/>
      <c r="AC217" s="8"/>
      <c r="AD217" s="27"/>
      <c r="AE217" s="8"/>
      <c r="AF217" s="27"/>
      <c r="AG217" s="8"/>
      <c r="AH217" s="27"/>
      <c r="AI217" s="8"/>
      <c r="AJ217" s="27"/>
      <c r="AK217" s="8"/>
      <c r="AL217" s="15"/>
      <c r="AM217" s="15"/>
      <c r="AN217" s="8"/>
      <c r="AO217" s="8"/>
      <c r="AP217" s="8"/>
    </row>
    <row r="218" spans="2:42">
      <c r="B218" s="71"/>
      <c r="C218" s="8"/>
      <c r="D218" s="27"/>
      <c r="E218" s="8"/>
      <c r="F218" s="27"/>
      <c r="G218" s="8"/>
      <c r="H218" s="27"/>
      <c r="I218" s="8"/>
      <c r="J218" s="27"/>
      <c r="K218" s="8"/>
      <c r="L218" s="27"/>
      <c r="M218" s="8"/>
      <c r="N218" s="27"/>
      <c r="O218" s="8"/>
      <c r="P218" s="27"/>
      <c r="Q218" s="8"/>
      <c r="R218" s="27"/>
      <c r="S218" s="8"/>
      <c r="T218" s="27"/>
      <c r="U218" s="8"/>
      <c r="V218" s="27"/>
      <c r="W218" s="8"/>
      <c r="X218" s="27"/>
      <c r="Y218" s="8"/>
      <c r="Z218" s="27"/>
      <c r="AA218" s="8"/>
      <c r="AB218" s="27"/>
      <c r="AC218" s="8"/>
      <c r="AD218" s="27"/>
      <c r="AE218" s="8"/>
      <c r="AF218" s="27"/>
      <c r="AG218" s="8"/>
      <c r="AH218" s="27"/>
      <c r="AI218" s="8"/>
      <c r="AJ218" s="27"/>
      <c r="AK218" s="8"/>
      <c r="AL218" s="15"/>
      <c r="AM218" s="15"/>
      <c r="AN218" s="8"/>
      <c r="AO218" s="8"/>
      <c r="AP218" s="8"/>
    </row>
    <row r="219" spans="2:42">
      <c r="B219" s="71"/>
      <c r="C219" s="8"/>
      <c r="D219" s="27"/>
      <c r="E219" s="8"/>
      <c r="F219" s="27"/>
      <c r="G219" s="8"/>
      <c r="H219" s="27"/>
      <c r="I219" s="8"/>
      <c r="J219" s="27"/>
      <c r="K219" s="8"/>
      <c r="L219" s="27"/>
      <c r="M219" s="8"/>
      <c r="N219" s="27"/>
      <c r="O219" s="8"/>
      <c r="P219" s="27"/>
      <c r="Q219" s="8"/>
      <c r="R219" s="27"/>
      <c r="S219" s="8"/>
      <c r="T219" s="27"/>
      <c r="U219" s="8"/>
      <c r="V219" s="27"/>
      <c r="W219" s="8"/>
      <c r="X219" s="27"/>
      <c r="Y219" s="8"/>
      <c r="Z219" s="27"/>
      <c r="AA219" s="8"/>
      <c r="AB219" s="27"/>
      <c r="AC219" s="8"/>
      <c r="AD219" s="27"/>
      <c r="AE219" s="8"/>
      <c r="AF219" s="27"/>
      <c r="AG219" s="8"/>
      <c r="AH219" s="27"/>
      <c r="AI219" s="8"/>
      <c r="AJ219" s="27"/>
      <c r="AK219" s="8"/>
      <c r="AL219" s="15"/>
      <c r="AM219" s="15"/>
      <c r="AN219" s="8"/>
      <c r="AO219" s="8"/>
      <c r="AP219" s="8"/>
    </row>
    <row r="220" spans="2:42">
      <c r="B220" s="71"/>
      <c r="C220" s="8"/>
      <c r="D220" s="27"/>
      <c r="E220" s="8"/>
      <c r="F220" s="27"/>
      <c r="G220" s="8"/>
      <c r="H220" s="27"/>
      <c r="I220" s="8"/>
      <c r="J220" s="27"/>
      <c r="K220" s="8"/>
      <c r="L220" s="27"/>
      <c r="M220" s="8"/>
      <c r="N220" s="27"/>
      <c r="O220" s="8"/>
      <c r="P220" s="27"/>
      <c r="Q220" s="8"/>
      <c r="R220" s="27"/>
      <c r="S220" s="8"/>
      <c r="T220" s="27"/>
      <c r="U220" s="8"/>
      <c r="V220" s="27"/>
      <c r="W220" s="8"/>
      <c r="X220" s="27"/>
      <c r="Y220" s="8"/>
      <c r="Z220" s="27"/>
      <c r="AA220" s="8"/>
      <c r="AB220" s="27"/>
      <c r="AC220" s="8"/>
      <c r="AD220" s="27"/>
      <c r="AE220" s="8"/>
      <c r="AF220" s="27"/>
      <c r="AG220" s="8"/>
      <c r="AH220" s="27"/>
      <c r="AI220" s="8"/>
      <c r="AJ220" s="27"/>
      <c r="AK220" s="8"/>
      <c r="AL220" s="15"/>
      <c r="AM220" s="15"/>
      <c r="AN220" s="8"/>
      <c r="AO220" s="8"/>
      <c r="AP220" s="8"/>
    </row>
    <row r="221" spans="2:42">
      <c r="B221" s="71"/>
      <c r="C221" s="8"/>
      <c r="D221" s="27"/>
      <c r="E221" s="8"/>
      <c r="F221" s="27"/>
      <c r="G221" s="8"/>
      <c r="H221" s="27"/>
      <c r="I221" s="8"/>
      <c r="J221" s="27"/>
      <c r="K221" s="8"/>
      <c r="L221" s="27"/>
      <c r="M221" s="8"/>
      <c r="N221" s="27"/>
      <c r="O221" s="8"/>
      <c r="P221" s="27"/>
      <c r="Q221" s="8"/>
      <c r="R221" s="27"/>
      <c r="S221" s="8"/>
      <c r="T221" s="27"/>
      <c r="U221" s="8"/>
      <c r="V221" s="27"/>
      <c r="W221" s="8"/>
      <c r="X221" s="27"/>
      <c r="Y221" s="8"/>
      <c r="Z221" s="27"/>
      <c r="AA221" s="8"/>
      <c r="AB221" s="27"/>
      <c r="AC221" s="8"/>
      <c r="AD221" s="27"/>
      <c r="AE221" s="8"/>
      <c r="AF221" s="27"/>
      <c r="AG221" s="8"/>
      <c r="AH221" s="27"/>
      <c r="AI221" s="8"/>
      <c r="AJ221" s="27"/>
      <c r="AK221" s="8"/>
      <c r="AL221" s="15"/>
      <c r="AM221" s="15"/>
      <c r="AN221" s="8"/>
      <c r="AO221" s="8"/>
      <c r="AP221" s="8"/>
    </row>
    <row r="222" spans="2:42">
      <c r="B222" s="71"/>
      <c r="C222" s="8"/>
      <c r="D222" s="27"/>
      <c r="E222" s="8"/>
      <c r="F222" s="27"/>
      <c r="G222" s="8"/>
      <c r="H222" s="27"/>
      <c r="I222" s="8"/>
      <c r="J222" s="27"/>
      <c r="K222" s="8"/>
      <c r="L222" s="27"/>
      <c r="M222" s="8"/>
      <c r="N222" s="27"/>
      <c r="O222" s="8"/>
      <c r="P222" s="27"/>
      <c r="Q222" s="8"/>
      <c r="R222" s="27"/>
      <c r="S222" s="8"/>
      <c r="T222" s="27"/>
      <c r="U222" s="8"/>
      <c r="V222" s="27"/>
      <c r="W222" s="8"/>
      <c r="X222" s="27"/>
      <c r="Y222" s="8"/>
      <c r="Z222" s="27"/>
      <c r="AA222" s="8"/>
      <c r="AB222" s="27"/>
      <c r="AC222" s="8"/>
      <c r="AD222" s="27"/>
      <c r="AE222" s="8"/>
      <c r="AF222" s="27"/>
      <c r="AG222" s="8"/>
      <c r="AH222" s="27"/>
      <c r="AI222" s="8"/>
      <c r="AJ222" s="27"/>
      <c r="AK222" s="8"/>
      <c r="AL222" s="15"/>
      <c r="AM222" s="15"/>
      <c r="AN222" s="8"/>
      <c r="AO222" s="8"/>
      <c r="AP222" s="8"/>
    </row>
    <row r="223" spans="2:42">
      <c r="B223" s="71"/>
      <c r="C223" s="8"/>
      <c r="D223" s="27"/>
      <c r="E223" s="8"/>
      <c r="F223" s="27"/>
      <c r="G223" s="8"/>
      <c r="H223" s="27"/>
      <c r="I223" s="8"/>
      <c r="J223" s="27"/>
      <c r="K223" s="8"/>
      <c r="L223" s="27"/>
      <c r="M223" s="8"/>
      <c r="N223" s="27"/>
      <c r="O223" s="8"/>
      <c r="P223" s="27"/>
      <c r="Q223" s="8"/>
      <c r="R223" s="27"/>
      <c r="S223" s="8"/>
      <c r="T223" s="27"/>
      <c r="U223" s="8"/>
      <c r="V223" s="27"/>
      <c r="W223" s="8"/>
      <c r="X223" s="27"/>
      <c r="Y223" s="8"/>
      <c r="Z223" s="27"/>
      <c r="AA223" s="8"/>
      <c r="AB223" s="27"/>
      <c r="AC223" s="8"/>
      <c r="AD223" s="27"/>
      <c r="AE223" s="8"/>
      <c r="AF223" s="27"/>
      <c r="AG223" s="8"/>
      <c r="AH223" s="27"/>
      <c r="AI223" s="8"/>
      <c r="AJ223" s="27"/>
      <c r="AK223" s="8"/>
      <c r="AL223" s="15"/>
      <c r="AM223" s="15"/>
      <c r="AN223" s="8"/>
      <c r="AO223" s="8"/>
      <c r="AP223" s="8"/>
    </row>
    <row r="224" spans="2:42">
      <c r="B224" s="71"/>
      <c r="C224" s="8"/>
      <c r="D224" s="27"/>
      <c r="E224" s="8"/>
      <c r="F224" s="27"/>
      <c r="G224" s="8"/>
      <c r="H224" s="27"/>
      <c r="I224" s="8"/>
      <c r="J224" s="27"/>
      <c r="K224" s="8"/>
      <c r="L224" s="27"/>
      <c r="M224" s="8"/>
      <c r="N224" s="27"/>
      <c r="O224" s="8"/>
      <c r="P224" s="27"/>
      <c r="Q224" s="8"/>
      <c r="R224" s="27"/>
      <c r="S224" s="8"/>
      <c r="T224" s="27"/>
      <c r="U224" s="8"/>
      <c r="V224" s="27"/>
      <c r="W224" s="8"/>
      <c r="X224" s="27"/>
      <c r="Y224" s="8"/>
      <c r="Z224" s="27"/>
      <c r="AA224" s="8"/>
      <c r="AB224" s="27"/>
      <c r="AC224" s="8"/>
      <c r="AD224" s="27"/>
      <c r="AE224" s="8"/>
      <c r="AF224" s="27"/>
      <c r="AG224" s="8"/>
      <c r="AH224" s="27"/>
      <c r="AI224" s="8"/>
      <c r="AJ224" s="27"/>
      <c r="AK224" s="8"/>
      <c r="AL224" s="15"/>
      <c r="AM224" s="15"/>
      <c r="AN224" s="8"/>
      <c r="AO224" s="8"/>
      <c r="AP224" s="8"/>
    </row>
    <row r="225" spans="2:42">
      <c r="B225" s="71"/>
      <c r="C225" s="8"/>
      <c r="D225" s="27"/>
      <c r="E225" s="8"/>
      <c r="F225" s="27"/>
      <c r="G225" s="8"/>
      <c r="H225" s="27"/>
      <c r="I225" s="8"/>
      <c r="J225" s="27"/>
      <c r="K225" s="8"/>
      <c r="L225" s="27"/>
      <c r="M225" s="8"/>
      <c r="N225" s="27"/>
      <c r="O225" s="8"/>
      <c r="P225" s="27"/>
      <c r="Q225" s="8"/>
      <c r="R225" s="27"/>
      <c r="S225" s="8"/>
      <c r="T225" s="27"/>
      <c r="U225" s="8"/>
      <c r="V225" s="27"/>
      <c r="W225" s="8"/>
      <c r="X225" s="27"/>
      <c r="Y225" s="8"/>
      <c r="Z225" s="27"/>
      <c r="AA225" s="8"/>
      <c r="AB225" s="27"/>
      <c r="AC225" s="8"/>
      <c r="AD225" s="27"/>
      <c r="AE225" s="8"/>
      <c r="AF225" s="27"/>
      <c r="AG225" s="8"/>
      <c r="AH225" s="27"/>
      <c r="AI225" s="8"/>
      <c r="AJ225" s="27"/>
      <c r="AK225" s="8"/>
      <c r="AL225" s="15"/>
      <c r="AM225" s="15"/>
      <c r="AN225" s="8"/>
      <c r="AO225" s="8"/>
      <c r="AP225" s="8"/>
    </row>
    <row r="226" spans="2:42">
      <c r="B226" s="71"/>
      <c r="C226" s="8"/>
      <c r="D226" s="27"/>
      <c r="E226" s="8"/>
      <c r="F226" s="27"/>
      <c r="G226" s="8"/>
      <c r="H226" s="27"/>
      <c r="I226" s="8"/>
      <c r="J226" s="27"/>
      <c r="K226" s="8"/>
      <c r="L226" s="27"/>
      <c r="M226" s="8"/>
      <c r="N226" s="27"/>
      <c r="O226" s="8"/>
      <c r="P226" s="27"/>
      <c r="Q226" s="8"/>
      <c r="R226" s="27"/>
      <c r="S226" s="8"/>
      <c r="T226" s="27"/>
      <c r="U226" s="8"/>
      <c r="V226" s="27"/>
      <c r="W226" s="8"/>
      <c r="X226" s="27"/>
      <c r="Y226" s="8"/>
      <c r="Z226" s="27"/>
      <c r="AA226" s="8"/>
      <c r="AB226" s="27"/>
      <c r="AC226" s="8"/>
      <c r="AD226" s="27"/>
      <c r="AE226" s="8"/>
      <c r="AF226" s="27"/>
      <c r="AG226" s="8"/>
      <c r="AH226" s="27"/>
      <c r="AI226" s="8"/>
      <c r="AJ226" s="27"/>
      <c r="AK226" s="8"/>
      <c r="AL226" s="15"/>
      <c r="AM226" s="15"/>
      <c r="AN226" s="8"/>
      <c r="AO226" s="8"/>
      <c r="AP226" s="8"/>
    </row>
    <row r="227" spans="2:42">
      <c r="B227" s="71"/>
      <c r="C227" s="8"/>
      <c r="D227" s="27"/>
      <c r="E227" s="8"/>
      <c r="F227" s="27"/>
      <c r="G227" s="8"/>
      <c r="H227" s="27"/>
      <c r="I227" s="8"/>
      <c r="J227" s="27"/>
      <c r="K227" s="8"/>
      <c r="L227" s="27"/>
      <c r="M227" s="8"/>
      <c r="N227" s="27"/>
      <c r="O227" s="8"/>
      <c r="P227" s="27"/>
      <c r="Q227" s="8"/>
      <c r="R227" s="27"/>
      <c r="S227" s="8"/>
      <c r="T227" s="27"/>
      <c r="U227" s="8"/>
      <c r="V227" s="27"/>
      <c r="W227" s="8"/>
      <c r="X227" s="27"/>
      <c r="Y227" s="8"/>
      <c r="Z227" s="27"/>
      <c r="AA227" s="8"/>
      <c r="AB227" s="27"/>
      <c r="AC227" s="8"/>
      <c r="AD227" s="27"/>
      <c r="AE227" s="8"/>
      <c r="AF227" s="27"/>
      <c r="AG227" s="8"/>
      <c r="AH227" s="27"/>
      <c r="AI227" s="8"/>
      <c r="AJ227" s="27"/>
      <c r="AK227" s="8"/>
      <c r="AL227" s="15"/>
      <c r="AM227" s="15"/>
      <c r="AN227" s="8"/>
      <c r="AO227" s="8"/>
      <c r="AP227" s="8"/>
    </row>
    <row r="228" spans="2:42">
      <c r="B228" s="71"/>
      <c r="C228" s="8"/>
      <c r="D228" s="27"/>
      <c r="E228" s="8"/>
      <c r="F228" s="27"/>
      <c r="G228" s="8"/>
      <c r="H228" s="27"/>
      <c r="I228" s="8"/>
      <c r="J228" s="27"/>
      <c r="K228" s="8"/>
      <c r="L228" s="27"/>
      <c r="M228" s="8"/>
      <c r="N228" s="27"/>
      <c r="O228" s="8"/>
      <c r="P228" s="27"/>
      <c r="Q228" s="8"/>
      <c r="R228" s="27"/>
      <c r="S228" s="8"/>
      <c r="T228" s="27"/>
      <c r="U228" s="8"/>
      <c r="V228" s="27"/>
      <c r="W228" s="8"/>
      <c r="X228" s="27"/>
      <c r="Y228" s="8"/>
      <c r="Z228" s="27"/>
      <c r="AA228" s="8"/>
      <c r="AB228" s="27"/>
      <c r="AC228" s="8"/>
      <c r="AD228" s="27"/>
      <c r="AE228" s="8"/>
      <c r="AF228" s="27"/>
      <c r="AG228" s="8"/>
      <c r="AH228" s="27"/>
      <c r="AI228" s="8"/>
      <c r="AJ228" s="27"/>
      <c r="AK228" s="8"/>
      <c r="AL228" s="15"/>
      <c r="AM228" s="15"/>
      <c r="AN228" s="8"/>
      <c r="AO228" s="8"/>
      <c r="AP228" s="8"/>
    </row>
    <row r="229" spans="2:42">
      <c r="B229" s="71"/>
      <c r="C229" s="8"/>
      <c r="D229" s="27"/>
      <c r="E229" s="8"/>
      <c r="F229" s="27"/>
      <c r="G229" s="8"/>
      <c r="H229" s="27"/>
      <c r="I229" s="8"/>
      <c r="J229" s="27"/>
      <c r="K229" s="8"/>
      <c r="L229" s="27"/>
      <c r="M229" s="8"/>
      <c r="N229" s="27"/>
      <c r="O229" s="8"/>
      <c r="P229" s="27"/>
      <c r="Q229" s="8"/>
      <c r="R229" s="27"/>
      <c r="S229" s="8"/>
      <c r="T229" s="27"/>
      <c r="U229" s="8"/>
      <c r="V229" s="27"/>
      <c r="W229" s="8"/>
      <c r="X229" s="27"/>
      <c r="Y229" s="8"/>
      <c r="Z229" s="27"/>
      <c r="AA229" s="8"/>
      <c r="AB229" s="27"/>
      <c r="AC229" s="8"/>
      <c r="AD229" s="27"/>
      <c r="AE229" s="8"/>
      <c r="AF229" s="27"/>
      <c r="AG229" s="8"/>
      <c r="AH229" s="27"/>
      <c r="AI229" s="8"/>
      <c r="AJ229" s="27"/>
      <c r="AK229" s="8"/>
      <c r="AL229" s="15"/>
      <c r="AM229" s="15"/>
      <c r="AN229" s="8"/>
      <c r="AO229" s="8"/>
      <c r="AP229" s="8"/>
    </row>
    <row r="230" spans="2:42">
      <c r="B230" s="71"/>
      <c r="C230" s="8"/>
      <c r="D230" s="27"/>
      <c r="E230" s="8"/>
      <c r="F230" s="27"/>
      <c r="G230" s="8"/>
      <c r="H230" s="27"/>
      <c r="I230" s="8"/>
      <c r="J230" s="27"/>
      <c r="K230" s="8"/>
      <c r="L230" s="27"/>
      <c r="M230" s="8"/>
      <c r="N230" s="27"/>
      <c r="O230" s="8"/>
      <c r="P230" s="27"/>
      <c r="Q230" s="8"/>
      <c r="R230" s="27"/>
      <c r="S230" s="8"/>
      <c r="T230" s="27"/>
      <c r="U230" s="8"/>
      <c r="V230" s="27"/>
      <c r="W230" s="8"/>
      <c r="X230" s="27"/>
      <c r="Y230" s="8"/>
      <c r="Z230" s="27"/>
      <c r="AA230" s="8"/>
      <c r="AB230" s="27"/>
      <c r="AC230" s="8"/>
      <c r="AD230" s="27"/>
      <c r="AE230" s="8"/>
      <c r="AF230" s="27"/>
      <c r="AG230" s="8"/>
      <c r="AH230" s="27"/>
      <c r="AI230" s="8"/>
      <c r="AJ230" s="27"/>
      <c r="AK230" s="8"/>
      <c r="AL230" s="15"/>
      <c r="AM230" s="15"/>
      <c r="AN230" s="8"/>
      <c r="AO230" s="8"/>
      <c r="AP230" s="8"/>
    </row>
    <row r="231" spans="2:42">
      <c r="B231" s="71"/>
      <c r="C231" s="8"/>
      <c r="D231" s="27"/>
      <c r="E231" s="8"/>
      <c r="F231" s="27"/>
      <c r="G231" s="8"/>
      <c r="H231" s="27"/>
      <c r="I231" s="8"/>
      <c r="J231" s="27"/>
      <c r="K231" s="8"/>
      <c r="L231" s="27"/>
      <c r="M231" s="8"/>
      <c r="N231" s="27"/>
      <c r="O231" s="8"/>
      <c r="P231" s="27"/>
      <c r="Q231" s="8"/>
      <c r="R231" s="27"/>
      <c r="S231" s="8"/>
      <c r="T231" s="27"/>
      <c r="U231" s="8"/>
      <c r="V231" s="27"/>
      <c r="W231" s="8"/>
      <c r="X231" s="27"/>
      <c r="Y231" s="8"/>
      <c r="Z231" s="27"/>
      <c r="AA231" s="8"/>
      <c r="AB231" s="27"/>
      <c r="AC231" s="8"/>
      <c r="AD231" s="27"/>
      <c r="AE231" s="8"/>
      <c r="AF231" s="27"/>
      <c r="AG231" s="8"/>
      <c r="AH231" s="27"/>
      <c r="AI231" s="8"/>
      <c r="AJ231" s="27"/>
      <c r="AK231" s="8"/>
      <c r="AL231" s="15"/>
      <c r="AM231" s="15"/>
      <c r="AN231" s="8"/>
      <c r="AO231" s="8"/>
      <c r="AP231" s="8"/>
    </row>
    <row r="232" spans="2:42">
      <c r="B232" s="71"/>
      <c r="C232" s="8"/>
      <c r="D232" s="27"/>
      <c r="E232" s="8"/>
      <c r="F232" s="27"/>
      <c r="G232" s="8"/>
      <c r="H232" s="27"/>
      <c r="I232" s="8"/>
      <c r="J232" s="27"/>
      <c r="K232" s="8"/>
      <c r="L232" s="27"/>
      <c r="M232" s="8"/>
      <c r="N232" s="27"/>
      <c r="O232" s="8"/>
      <c r="P232" s="27"/>
      <c r="Q232" s="8"/>
      <c r="R232" s="27"/>
      <c r="S232" s="8"/>
      <c r="T232" s="27"/>
      <c r="U232" s="8"/>
      <c r="V232" s="27"/>
      <c r="W232" s="8"/>
      <c r="X232" s="27"/>
      <c r="Y232" s="8"/>
      <c r="Z232" s="27"/>
      <c r="AA232" s="8"/>
      <c r="AB232" s="27"/>
      <c r="AC232" s="8"/>
      <c r="AD232" s="27"/>
      <c r="AE232" s="8"/>
      <c r="AF232" s="27"/>
      <c r="AG232" s="8"/>
      <c r="AH232" s="27"/>
      <c r="AI232" s="8"/>
      <c r="AJ232" s="27"/>
      <c r="AK232" s="8"/>
      <c r="AL232" s="15"/>
      <c r="AM232" s="15"/>
      <c r="AN232" s="8"/>
      <c r="AO232" s="8"/>
      <c r="AP232" s="8"/>
    </row>
    <row r="233" spans="2:42">
      <c r="B233" s="71"/>
      <c r="C233" s="8"/>
      <c r="D233" s="27"/>
      <c r="E233" s="8"/>
      <c r="F233" s="27"/>
      <c r="G233" s="8"/>
      <c r="H233" s="27"/>
      <c r="I233" s="8"/>
      <c r="J233" s="27"/>
      <c r="K233" s="8"/>
      <c r="L233" s="27"/>
      <c r="M233" s="8"/>
      <c r="N233" s="27"/>
      <c r="O233" s="8"/>
      <c r="P233" s="27"/>
      <c r="Q233" s="8"/>
      <c r="R233" s="27"/>
      <c r="S233" s="8"/>
      <c r="T233" s="27"/>
      <c r="U233" s="8"/>
      <c r="V233" s="27"/>
      <c r="W233" s="8"/>
      <c r="X233" s="27"/>
      <c r="Y233" s="8"/>
      <c r="Z233" s="27"/>
      <c r="AA233" s="8"/>
      <c r="AB233" s="27"/>
      <c r="AC233" s="8"/>
      <c r="AD233" s="27"/>
      <c r="AE233" s="8"/>
      <c r="AF233" s="27"/>
      <c r="AG233" s="8"/>
      <c r="AH233" s="27"/>
      <c r="AI233" s="8"/>
      <c r="AJ233" s="27"/>
      <c r="AK233" s="8"/>
      <c r="AL233" s="15"/>
      <c r="AM233" s="15"/>
      <c r="AN233" s="8"/>
      <c r="AO233" s="8"/>
      <c r="AP233" s="8"/>
    </row>
    <row r="234" spans="2:42">
      <c r="B234" s="71"/>
      <c r="C234" s="8"/>
      <c r="D234" s="27"/>
      <c r="E234" s="8"/>
      <c r="F234" s="27"/>
      <c r="G234" s="8"/>
      <c r="H234" s="27"/>
      <c r="I234" s="8"/>
      <c r="J234" s="27"/>
      <c r="K234" s="8"/>
      <c r="L234" s="27"/>
      <c r="M234" s="8"/>
      <c r="N234" s="27"/>
      <c r="O234" s="8"/>
      <c r="P234" s="27"/>
      <c r="Q234" s="8"/>
      <c r="R234" s="27"/>
      <c r="S234" s="8"/>
      <c r="T234" s="27"/>
      <c r="U234" s="8"/>
      <c r="V234" s="27"/>
      <c r="W234" s="8"/>
      <c r="X234" s="27"/>
      <c r="Y234" s="8"/>
      <c r="Z234" s="27"/>
      <c r="AA234" s="8"/>
      <c r="AB234" s="27"/>
      <c r="AC234" s="8"/>
      <c r="AD234" s="27"/>
      <c r="AE234" s="8"/>
      <c r="AF234" s="27"/>
      <c r="AG234" s="8"/>
      <c r="AH234" s="27"/>
      <c r="AI234" s="8"/>
      <c r="AJ234" s="27"/>
      <c r="AK234" s="8"/>
      <c r="AL234" s="15"/>
      <c r="AM234" s="15"/>
      <c r="AN234" s="8"/>
      <c r="AO234" s="8"/>
      <c r="AP234" s="8"/>
    </row>
    <row r="235" spans="2:42">
      <c r="B235" s="71"/>
      <c r="C235" s="8"/>
      <c r="D235" s="27"/>
      <c r="E235" s="8"/>
      <c r="F235" s="27"/>
      <c r="G235" s="8"/>
      <c r="H235" s="27"/>
      <c r="I235" s="8"/>
      <c r="J235" s="27"/>
      <c r="K235" s="8"/>
      <c r="L235" s="27"/>
      <c r="M235" s="8"/>
      <c r="N235" s="27"/>
      <c r="O235" s="8"/>
      <c r="P235" s="27"/>
      <c r="Q235" s="8"/>
      <c r="R235" s="27"/>
      <c r="S235" s="8"/>
      <c r="T235" s="27"/>
      <c r="U235" s="8"/>
      <c r="V235" s="27"/>
      <c r="W235" s="8"/>
      <c r="X235" s="27"/>
      <c r="Y235" s="8"/>
      <c r="Z235" s="27"/>
      <c r="AA235" s="8"/>
      <c r="AB235" s="27"/>
      <c r="AC235" s="8"/>
      <c r="AD235" s="27"/>
      <c r="AE235" s="8"/>
      <c r="AF235" s="27"/>
      <c r="AG235" s="8"/>
      <c r="AH235" s="27"/>
      <c r="AI235" s="8"/>
      <c r="AJ235" s="27"/>
      <c r="AK235" s="8"/>
      <c r="AL235" s="15"/>
      <c r="AM235" s="15"/>
      <c r="AN235" s="8"/>
      <c r="AO235" s="8"/>
      <c r="AP235" s="8"/>
    </row>
    <row r="236" spans="2:42">
      <c r="B236" s="71"/>
      <c r="C236" s="8"/>
      <c r="D236" s="27"/>
      <c r="E236" s="8"/>
      <c r="F236" s="27"/>
      <c r="G236" s="8"/>
      <c r="H236" s="27"/>
      <c r="I236" s="8"/>
      <c r="J236" s="27"/>
      <c r="K236" s="8"/>
      <c r="L236" s="27"/>
      <c r="M236" s="8"/>
      <c r="N236" s="27"/>
      <c r="O236" s="8"/>
      <c r="P236" s="27"/>
      <c r="Q236" s="8"/>
      <c r="R236" s="27"/>
      <c r="S236" s="8"/>
      <c r="T236" s="27"/>
      <c r="U236" s="8"/>
      <c r="V236" s="27"/>
      <c r="W236" s="8"/>
      <c r="X236" s="27"/>
      <c r="Y236" s="8"/>
      <c r="Z236" s="27"/>
      <c r="AA236" s="8"/>
      <c r="AB236" s="27"/>
      <c r="AC236" s="8"/>
      <c r="AD236" s="27"/>
      <c r="AE236" s="8"/>
      <c r="AF236" s="27"/>
      <c r="AG236" s="8"/>
      <c r="AH236" s="27"/>
      <c r="AI236" s="8"/>
      <c r="AJ236" s="27"/>
      <c r="AK236" s="8"/>
      <c r="AL236" s="15"/>
      <c r="AM236" s="15"/>
      <c r="AN236" s="8"/>
      <c r="AO236" s="8"/>
      <c r="AP236" s="8"/>
    </row>
    <row r="237" spans="2:42">
      <c r="B237" s="71"/>
      <c r="C237" s="8"/>
      <c r="D237" s="27"/>
      <c r="E237" s="8"/>
      <c r="F237" s="27"/>
      <c r="G237" s="8"/>
      <c r="H237" s="27"/>
      <c r="I237" s="8"/>
      <c r="J237" s="27"/>
      <c r="K237" s="8"/>
      <c r="L237" s="27"/>
      <c r="M237" s="8"/>
      <c r="N237" s="27"/>
      <c r="O237" s="8"/>
      <c r="P237" s="27"/>
      <c r="Q237" s="8"/>
      <c r="R237" s="27"/>
      <c r="S237" s="8"/>
      <c r="T237" s="27"/>
      <c r="U237" s="8"/>
      <c r="V237" s="27"/>
      <c r="W237" s="8"/>
      <c r="X237" s="27"/>
      <c r="Y237" s="8"/>
      <c r="Z237" s="27"/>
      <c r="AA237" s="8"/>
      <c r="AB237" s="27"/>
      <c r="AC237" s="8"/>
      <c r="AD237" s="27"/>
      <c r="AE237" s="8"/>
      <c r="AF237" s="27"/>
      <c r="AG237" s="8"/>
      <c r="AH237" s="27"/>
      <c r="AI237" s="8"/>
      <c r="AJ237" s="27"/>
      <c r="AK237" s="8"/>
      <c r="AL237" s="15"/>
      <c r="AM237" s="15"/>
      <c r="AN237" s="8"/>
      <c r="AO237" s="8"/>
      <c r="AP237" s="8"/>
    </row>
    <row r="238" spans="2:42">
      <c r="B238" s="71"/>
      <c r="C238" s="8"/>
      <c r="D238" s="27"/>
      <c r="E238" s="8"/>
      <c r="F238" s="27"/>
      <c r="G238" s="8"/>
      <c r="H238" s="27"/>
      <c r="I238" s="8"/>
      <c r="J238" s="27"/>
      <c r="K238" s="8"/>
      <c r="L238" s="27"/>
      <c r="M238" s="8"/>
      <c r="N238" s="27"/>
      <c r="O238" s="8"/>
      <c r="P238" s="27"/>
      <c r="Q238" s="8"/>
      <c r="R238" s="27"/>
      <c r="S238" s="8"/>
      <c r="T238" s="27"/>
      <c r="U238" s="8"/>
      <c r="V238" s="27"/>
      <c r="W238" s="8"/>
      <c r="X238" s="27"/>
      <c r="Y238" s="8"/>
      <c r="Z238" s="27"/>
      <c r="AA238" s="8"/>
      <c r="AB238" s="27"/>
      <c r="AC238" s="8"/>
      <c r="AD238" s="27"/>
      <c r="AE238" s="8"/>
      <c r="AF238" s="27"/>
      <c r="AG238" s="8"/>
      <c r="AH238" s="27"/>
      <c r="AI238" s="8"/>
      <c r="AJ238" s="27"/>
      <c r="AK238" s="8"/>
      <c r="AL238" s="15"/>
      <c r="AM238" s="15"/>
      <c r="AN238" s="8"/>
      <c r="AO238" s="8"/>
      <c r="AP238" s="8"/>
    </row>
    <row r="239" spans="2:42">
      <c r="B239" s="71"/>
      <c r="C239" s="8"/>
      <c r="D239" s="27"/>
      <c r="E239" s="8"/>
      <c r="F239" s="27"/>
      <c r="G239" s="8"/>
      <c r="H239" s="27"/>
      <c r="I239" s="8"/>
      <c r="J239" s="27"/>
      <c r="K239" s="8"/>
      <c r="L239" s="27"/>
      <c r="M239" s="8"/>
      <c r="N239" s="27"/>
      <c r="O239" s="8"/>
      <c r="P239" s="27"/>
      <c r="Q239" s="8"/>
      <c r="R239" s="27"/>
      <c r="S239" s="8"/>
      <c r="T239" s="27"/>
      <c r="U239" s="8"/>
      <c r="V239" s="27"/>
      <c r="W239" s="8"/>
      <c r="X239" s="27"/>
      <c r="Y239" s="8"/>
      <c r="Z239" s="27"/>
      <c r="AA239" s="8"/>
      <c r="AB239" s="27"/>
      <c r="AC239" s="8"/>
      <c r="AD239" s="27"/>
      <c r="AE239" s="8"/>
      <c r="AF239" s="27"/>
      <c r="AG239" s="8"/>
      <c r="AH239" s="27"/>
      <c r="AI239" s="8"/>
      <c r="AJ239" s="27"/>
      <c r="AK239" s="8"/>
      <c r="AL239" s="15"/>
      <c r="AM239" s="15"/>
      <c r="AN239" s="8"/>
      <c r="AO239" s="8"/>
      <c r="AP239" s="8"/>
    </row>
    <row r="240" spans="2:42">
      <c r="B240" s="71"/>
      <c r="C240" s="8"/>
      <c r="D240" s="27"/>
      <c r="E240" s="8"/>
      <c r="F240" s="27"/>
      <c r="G240" s="8"/>
      <c r="H240" s="27"/>
      <c r="I240" s="8"/>
      <c r="J240" s="27"/>
      <c r="K240" s="8"/>
      <c r="L240" s="27"/>
      <c r="M240" s="8"/>
      <c r="N240" s="27"/>
      <c r="O240" s="8"/>
      <c r="P240" s="27"/>
      <c r="Q240" s="8"/>
      <c r="R240" s="27"/>
      <c r="S240" s="8"/>
      <c r="T240" s="27"/>
      <c r="U240" s="8"/>
      <c r="V240" s="27"/>
      <c r="W240" s="8"/>
      <c r="X240" s="27"/>
      <c r="Y240" s="8"/>
      <c r="Z240" s="27"/>
      <c r="AA240" s="8"/>
      <c r="AB240" s="27"/>
      <c r="AC240" s="8"/>
      <c r="AD240" s="27"/>
      <c r="AE240" s="8"/>
      <c r="AF240" s="27"/>
      <c r="AG240" s="8"/>
      <c r="AH240" s="27"/>
      <c r="AI240" s="8"/>
      <c r="AJ240" s="27"/>
      <c r="AK240" s="8"/>
      <c r="AL240" s="15"/>
      <c r="AM240" s="15"/>
      <c r="AN240" s="8"/>
      <c r="AO240" s="8"/>
      <c r="AP240" s="8"/>
    </row>
    <row r="241" spans="2:42">
      <c r="B241" s="71"/>
      <c r="C241" s="8"/>
      <c r="D241" s="27"/>
      <c r="E241" s="8"/>
      <c r="F241" s="27"/>
      <c r="G241" s="8"/>
      <c r="H241" s="27"/>
      <c r="I241" s="8"/>
      <c r="J241" s="27"/>
      <c r="K241" s="8"/>
      <c r="L241" s="27"/>
      <c r="M241" s="8"/>
      <c r="N241" s="27"/>
      <c r="O241" s="8"/>
      <c r="P241" s="27"/>
      <c r="Q241" s="8"/>
      <c r="R241" s="27"/>
      <c r="S241" s="8"/>
      <c r="T241" s="27"/>
      <c r="U241" s="8"/>
      <c r="V241" s="27"/>
      <c r="W241" s="8"/>
      <c r="X241" s="27"/>
      <c r="Y241" s="8"/>
      <c r="Z241" s="27"/>
      <c r="AA241" s="8"/>
      <c r="AB241" s="27"/>
      <c r="AC241" s="8"/>
      <c r="AD241" s="27"/>
      <c r="AE241" s="8"/>
      <c r="AF241" s="27"/>
      <c r="AG241" s="8"/>
      <c r="AH241" s="27"/>
      <c r="AI241" s="8"/>
      <c r="AJ241" s="27"/>
      <c r="AK241" s="8"/>
      <c r="AL241" s="15"/>
      <c r="AM241" s="15"/>
      <c r="AN241" s="8"/>
      <c r="AO241" s="8"/>
      <c r="AP241" s="8"/>
    </row>
    <row r="242" spans="2:42">
      <c r="B242" s="71"/>
      <c r="C242" s="8"/>
      <c r="D242" s="27"/>
      <c r="E242" s="8"/>
      <c r="F242" s="27"/>
      <c r="G242" s="8"/>
      <c r="H242" s="27"/>
      <c r="I242" s="8"/>
      <c r="J242" s="27"/>
      <c r="K242" s="8"/>
      <c r="L242" s="27"/>
      <c r="M242" s="8"/>
      <c r="N242" s="27"/>
      <c r="O242" s="8"/>
      <c r="P242" s="27"/>
      <c r="Q242" s="8"/>
      <c r="R242" s="27"/>
      <c r="S242" s="8"/>
      <c r="T242" s="27"/>
      <c r="U242" s="8"/>
      <c r="V242" s="27"/>
      <c r="W242" s="8"/>
      <c r="X242" s="27"/>
      <c r="Y242" s="8"/>
      <c r="Z242" s="27"/>
      <c r="AA242" s="8"/>
      <c r="AB242" s="27"/>
      <c r="AC242" s="8"/>
      <c r="AD242" s="27"/>
      <c r="AE242" s="8"/>
      <c r="AF242" s="27"/>
      <c r="AG242" s="8"/>
      <c r="AH242" s="27"/>
      <c r="AI242" s="8"/>
      <c r="AJ242" s="27"/>
      <c r="AK242" s="8"/>
      <c r="AL242" s="15"/>
      <c r="AM242" s="15"/>
      <c r="AN242" s="8"/>
      <c r="AO242" s="8"/>
      <c r="AP242" s="8"/>
    </row>
    <row r="243" spans="2:42">
      <c r="B243" s="71"/>
      <c r="C243" s="8"/>
      <c r="D243" s="27"/>
      <c r="E243" s="8"/>
      <c r="F243" s="27"/>
      <c r="G243" s="8"/>
      <c r="H243" s="27"/>
      <c r="I243" s="8"/>
      <c r="J243" s="27"/>
      <c r="K243" s="8"/>
      <c r="L243" s="27"/>
      <c r="M243" s="8"/>
      <c r="N243" s="27"/>
      <c r="O243" s="8"/>
      <c r="P243" s="27"/>
      <c r="Q243" s="8"/>
      <c r="R243" s="27"/>
      <c r="S243" s="8"/>
      <c r="T243" s="27"/>
      <c r="U243" s="8"/>
      <c r="V243" s="27"/>
      <c r="W243" s="8"/>
      <c r="X243" s="27"/>
      <c r="Y243" s="8"/>
      <c r="Z243" s="27"/>
      <c r="AA243" s="8"/>
      <c r="AB243" s="27"/>
      <c r="AC243" s="8"/>
      <c r="AD243" s="27"/>
      <c r="AE243" s="8"/>
      <c r="AF243" s="27"/>
      <c r="AG243" s="8"/>
      <c r="AH243" s="27"/>
      <c r="AI243" s="8"/>
      <c r="AJ243" s="27"/>
      <c r="AK243" s="8"/>
      <c r="AL243" s="15"/>
      <c r="AM243" s="15"/>
      <c r="AN243" s="8"/>
      <c r="AO243" s="8"/>
      <c r="AP243" s="8"/>
    </row>
    <row r="244" spans="2:42">
      <c r="B244" s="71"/>
      <c r="C244" s="8"/>
      <c r="D244" s="27"/>
      <c r="E244" s="8"/>
      <c r="F244" s="27"/>
      <c r="G244" s="8"/>
      <c r="H244" s="27"/>
      <c r="I244" s="8"/>
      <c r="J244" s="27"/>
      <c r="K244" s="8"/>
      <c r="L244" s="27"/>
      <c r="M244" s="8"/>
      <c r="N244" s="27"/>
      <c r="O244" s="8"/>
      <c r="P244" s="27"/>
      <c r="Q244" s="8"/>
      <c r="R244" s="27"/>
      <c r="S244" s="8"/>
      <c r="T244" s="27"/>
      <c r="U244" s="8"/>
      <c r="V244" s="27"/>
      <c r="W244" s="8"/>
      <c r="X244" s="27"/>
      <c r="Y244" s="8"/>
      <c r="Z244" s="27"/>
      <c r="AA244" s="8"/>
      <c r="AB244" s="27"/>
      <c r="AC244" s="8"/>
      <c r="AD244" s="27"/>
      <c r="AE244" s="8"/>
      <c r="AF244" s="27"/>
      <c r="AG244" s="8"/>
      <c r="AH244" s="27"/>
      <c r="AI244" s="8"/>
      <c r="AJ244" s="27"/>
      <c r="AK244" s="8"/>
      <c r="AL244" s="15"/>
      <c r="AM244" s="15"/>
      <c r="AN244" s="8"/>
      <c r="AO244" s="8"/>
      <c r="AP244" s="8"/>
    </row>
    <row r="245" spans="2:42">
      <c r="B245" s="71"/>
      <c r="C245" s="8"/>
      <c r="D245" s="27"/>
      <c r="E245" s="8"/>
      <c r="F245" s="27"/>
      <c r="G245" s="8"/>
      <c r="H245" s="27"/>
      <c r="I245" s="8"/>
      <c r="J245" s="27"/>
      <c r="K245" s="8"/>
      <c r="L245" s="27"/>
      <c r="M245" s="8"/>
      <c r="N245" s="27"/>
      <c r="O245" s="8"/>
      <c r="P245" s="27"/>
      <c r="Q245" s="8"/>
      <c r="R245" s="27"/>
      <c r="S245" s="8"/>
      <c r="T245" s="27"/>
      <c r="U245" s="8"/>
      <c r="V245" s="27"/>
      <c r="W245" s="8"/>
      <c r="X245" s="27"/>
      <c r="Y245" s="8"/>
      <c r="Z245" s="27"/>
      <c r="AA245" s="8"/>
      <c r="AB245" s="27"/>
      <c r="AC245" s="8"/>
      <c r="AD245" s="27"/>
      <c r="AE245" s="8"/>
      <c r="AF245" s="27"/>
      <c r="AG245" s="8"/>
      <c r="AH245" s="27"/>
      <c r="AI245" s="8"/>
      <c r="AJ245" s="27"/>
      <c r="AK245" s="8"/>
      <c r="AL245" s="15"/>
      <c r="AM245" s="15"/>
      <c r="AN245" s="8"/>
      <c r="AO245" s="8"/>
      <c r="AP245" s="8"/>
    </row>
    <row r="246" spans="2:42">
      <c r="B246" s="71"/>
      <c r="C246" s="8"/>
      <c r="D246" s="27"/>
      <c r="E246" s="8"/>
      <c r="F246" s="27"/>
      <c r="G246" s="8"/>
      <c r="H246" s="27"/>
      <c r="I246" s="8"/>
      <c r="J246" s="27"/>
      <c r="K246" s="8"/>
      <c r="L246" s="27"/>
      <c r="M246" s="8"/>
      <c r="N246" s="27"/>
      <c r="O246" s="8"/>
      <c r="P246" s="27"/>
      <c r="Q246" s="8"/>
      <c r="R246" s="27"/>
      <c r="S246" s="8"/>
      <c r="T246" s="27"/>
      <c r="U246" s="8"/>
      <c r="V246" s="27"/>
      <c r="W246" s="8"/>
      <c r="X246" s="27"/>
      <c r="Y246" s="8"/>
      <c r="Z246" s="27"/>
      <c r="AA246" s="8"/>
      <c r="AB246" s="27"/>
      <c r="AC246" s="8"/>
      <c r="AD246" s="27"/>
      <c r="AE246" s="8"/>
      <c r="AF246" s="27"/>
      <c r="AG246" s="8"/>
      <c r="AH246" s="27"/>
      <c r="AI246" s="8"/>
      <c r="AJ246" s="27"/>
      <c r="AK246" s="8"/>
      <c r="AL246" s="15"/>
      <c r="AM246" s="15"/>
      <c r="AN246" s="8"/>
      <c r="AO246" s="8"/>
      <c r="AP246" s="8"/>
    </row>
    <row r="247" spans="2:42">
      <c r="B247" s="71"/>
      <c r="C247" s="8"/>
      <c r="D247" s="27"/>
      <c r="E247" s="8"/>
      <c r="F247" s="27"/>
      <c r="G247" s="8"/>
      <c r="H247" s="27"/>
      <c r="I247" s="8"/>
      <c r="J247" s="27"/>
      <c r="K247" s="8"/>
      <c r="L247" s="27"/>
      <c r="M247" s="8"/>
      <c r="N247" s="27"/>
      <c r="O247" s="8"/>
      <c r="P247" s="27"/>
      <c r="Q247" s="8"/>
      <c r="R247" s="27"/>
      <c r="S247" s="8"/>
      <c r="T247" s="27"/>
      <c r="U247" s="8"/>
      <c r="V247" s="27"/>
      <c r="W247" s="8"/>
      <c r="X247" s="27"/>
      <c r="Y247" s="8"/>
      <c r="Z247" s="27"/>
      <c r="AA247" s="8"/>
      <c r="AB247" s="27"/>
      <c r="AC247" s="8"/>
      <c r="AD247" s="27"/>
      <c r="AE247" s="8"/>
      <c r="AF247" s="27"/>
      <c r="AG247" s="8"/>
      <c r="AH247" s="27"/>
      <c r="AI247" s="8"/>
      <c r="AJ247" s="27"/>
      <c r="AK247" s="8"/>
      <c r="AL247" s="15"/>
      <c r="AM247" s="15"/>
      <c r="AN247" s="8"/>
      <c r="AO247" s="8"/>
      <c r="AP247" s="8"/>
    </row>
    <row r="248" spans="2:42">
      <c r="B248" s="71"/>
      <c r="C248" s="8"/>
      <c r="D248" s="27"/>
      <c r="E248" s="8"/>
      <c r="F248" s="27"/>
      <c r="G248" s="8"/>
      <c r="H248" s="27"/>
      <c r="I248" s="8"/>
      <c r="J248" s="27"/>
      <c r="K248" s="8"/>
      <c r="L248" s="27"/>
      <c r="M248" s="8"/>
      <c r="N248" s="27"/>
      <c r="O248" s="8"/>
      <c r="P248" s="27"/>
      <c r="Q248" s="8"/>
      <c r="R248" s="27"/>
      <c r="S248" s="8"/>
      <c r="T248" s="27"/>
      <c r="U248" s="8"/>
      <c r="V248" s="27"/>
      <c r="W248" s="8"/>
      <c r="X248" s="27"/>
      <c r="Y248" s="8"/>
      <c r="Z248" s="27"/>
      <c r="AA248" s="8"/>
      <c r="AB248" s="27"/>
      <c r="AC248" s="8"/>
      <c r="AD248" s="27"/>
      <c r="AE248" s="8"/>
      <c r="AF248" s="27"/>
      <c r="AG248" s="8"/>
      <c r="AH248" s="27"/>
      <c r="AI248" s="8"/>
      <c r="AJ248" s="27"/>
      <c r="AK248" s="8"/>
      <c r="AL248" s="15"/>
      <c r="AM248" s="15"/>
      <c r="AN248" s="8"/>
      <c r="AO248" s="8"/>
      <c r="AP248" s="8"/>
    </row>
    <row r="249" spans="2:42">
      <c r="B249" s="71"/>
      <c r="C249" s="8"/>
      <c r="D249" s="27"/>
      <c r="E249" s="8"/>
      <c r="F249" s="27"/>
      <c r="G249" s="8"/>
      <c r="H249" s="27"/>
      <c r="I249" s="8"/>
      <c r="J249" s="27"/>
      <c r="K249" s="8"/>
      <c r="L249" s="27"/>
      <c r="M249" s="8"/>
      <c r="N249" s="27"/>
      <c r="O249" s="8"/>
      <c r="P249" s="27"/>
      <c r="Q249" s="8"/>
      <c r="R249" s="27"/>
      <c r="S249" s="8"/>
      <c r="T249" s="27"/>
      <c r="U249" s="8"/>
      <c r="V249" s="27"/>
      <c r="W249" s="8"/>
      <c r="X249" s="27"/>
      <c r="Y249" s="8"/>
      <c r="Z249" s="27"/>
      <c r="AA249" s="8"/>
      <c r="AB249" s="27"/>
      <c r="AC249" s="8"/>
      <c r="AD249" s="27"/>
      <c r="AE249" s="8"/>
      <c r="AF249" s="27"/>
      <c r="AG249" s="8"/>
      <c r="AH249" s="27"/>
      <c r="AI249" s="8"/>
      <c r="AJ249" s="27"/>
      <c r="AK249" s="8"/>
      <c r="AL249" s="15"/>
      <c r="AM249" s="15"/>
      <c r="AN249" s="8"/>
      <c r="AO249" s="8"/>
      <c r="AP249" s="8"/>
    </row>
    <row r="250" spans="2:42">
      <c r="B250" s="71"/>
      <c r="C250" s="8"/>
      <c r="D250" s="27"/>
      <c r="E250" s="8"/>
      <c r="F250" s="27"/>
      <c r="G250" s="8"/>
      <c r="H250" s="27"/>
      <c r="I250" s="8"/>
      <c r="J250" s="27"/>
      <c r="K250" s="8"/>
      <c r="L250" s="27"/>
      <c r="M250" s="8"/>
      <c r="N250" s="27"/>
      <c r="O250" s="8"/>
      <c r="P250" s="27"/>
      <c r="Q250" s="8"/>
      <c r="R250" s="27"/>
      <c r="S250" s="8"/>
      <c r="T250" s="27"/>
      <c r="U250" s="8"/>
      <c r="V250" s="27"/>
      <c r="W250" s="8"/>
      <c r="X250" s="27"/>
      <c r="Y250" s="8"/>
      <c r="Z250" s="27"/>
      <c r="AA250" s="8"/>
      <c r="AB250" s="27"/>
      <c r="AC250" s="8"/>
      <c r="AD250" s="27"/>
      <c r="AE250" s="8"/>
      <c r="AF250" s="27"/>
      <c r="AG250" s="8"/>
      <c r="AH250" s="27"/>
      <c r="AI250" s="8"/>
      <c r="AJ250" s="27"/>
      <c r="AK250" s="8"/>
      <c r="AL250" s="15"/>
      <c r="AM250" s="15"/>
      <c r="AN250" s="8"/>
      <c r="AO250" s="8"/>
      <c r="AP250" s="8"/>
    </row>
    <row r="251" spans="2:42">
      <c r="B251" s="71"/>
      <c r="C251" s="8"/>
      <c r="D251" s="27"/>
      <c r="E251" s="8"/>
      <c r="F251" s="27"/>
      <c r="G251" s="8"/>
      <c r="H251" s="27"/>
      <c r="I251" s="8"/>
      <c r="J251" s="27"/>
      <c r="K251" s="8"/>
      <c r="L251" s="27"/>
      <c r="M251" s="8"/>
      <c r="N251" s="27"/>
      <c r="O251" s="8"/>
      <c r="P251" s="27"/>
      <c r="Q251" s="8"/>
      <c r="R251" s="27"/>
      <c r="S251" s="8"/>
      <c r="T251" s="27"/>
      <c r="U251" s="8"/>
      <c r="V251" s="27"/>
      <c r="W251" s="8"/>
      <c r="X251" s="27"/>
      <c r="Y251" s="8"/>
      <c r="Z251" s="27"/>
      <c r="AA251" s="8"/>
      <c r="AB251" s="27"/>
      <c r="AC251" s="8"/>
      <c r="AD251" s="27"/>
      <c r="AE251" s="8"/>
      <c r="AF251" s="27"/>
      <c r="AG251" s="8"/>
      <c r="AH251" s="27"/>
      <c r="AI251" s="8"/>
      <c r="AJ251" s="27"/>
      <c r="AK251" s="8"/>
      <c r="AL251" s="15"/>
      <c r="AM251" s="15"/>
      <c r="AN251" s="8"/>
      <c r="AO251" s="8"/>
      <c r="AP251" s="8"/>
    </row>
    <row r="252" spans="2:42">
      <c r="B252" s="71"/>
      <c r="C252" s="8"/>
      <c r="D252" s="27"/>
      <c r="E252" s="8"/>
      <c r="F252" s="27"/>
      <c r="G252" s="8"/>
      <c r="H252" s="27"/>
      <c r="I252" s="8"/>
      <c r="J252" s="27"/>
      <c r="K252" s="8"/>
      <c r="L252" s="27"/>
      <c r="M252" s="8"/>
      <c r="N252" s="27"/>
      <c r="O252" s="8"/>
      <c r="P252" s="27"/>
      <c r="Q252" s="8"/>
      <c r="R252" s="27"/>
      <c r="S252" s="8"/>
      <c r="T252" s="27"/>
      <c r="U252" s="8"/>
      <c r="V252" s="27"/>
      <c r="W252" s="8"/>
      <c r="X252" s="27"/>
      <c r="Y252" s="8"/>
      <c r="Z252" s="27"/>
      <c r="AA252" s="8"/>
      <c r="AB252" s="27"/>
      <c r="AC252" s="8"/>
      <c r="AD252" s="27"/>
      <c r="AE252" s="8"/>
      <c r="AF252" s="27"/>
      <c r="AG252" s="8"/>
      <c r="AH252" s="27"/>
      <c r="AI252" s="8"/>
      <c r="AJ252" s="27"/>
      <c r="AK252" s="8"/>
      <c r="AL252" s="15"/>
      <c r="AM252" s="15"/>
      <c r="AN252" s="8"/>
      <c r="AO252" s="8"/>
      <c r="AP252" s="8"/>
    </row>
    <row r="253" spans="2:42">
      <c r="B253" s="71"/>
      <c r="C253" s="8"/>
      <c r="D253" s="27"/>
      <c r="E253" s="8"/>
      <c r="F253" s="27"/>
      <c r="G253" s="8"/>
      <c r="H253" s="27"/>
      <c r="I253" s="8"/>
      <c r="J253" s="27"/>
      <c r="K253" s="8"/>
      <c r="L253" s="27"/>
      <c r="M253" s="8"/>
      <c r="N253" s="27"/>
      <c r="O253" s="8"/>
      <c r="P253" s="27"/>
      <c r="Q253" s="8"/>
      <c r="R253" s="27"/>
      <c r="S253" s="8"/>
      <c r="T253" s="27"/>
      <c r="U253" s="8"/>
      <c r="V253" s="27"/>
      <c r="W253" s="8"/>
      <c r="X253" s="27"/>
      <c r="Y253" s="8"/>
      <c r="Z253" s="27"/>
      <c r="AA253" s="8"/>
      <c r="AB253" s="27"/>
      <c r="AC253" s="8"/>
      <c r="AD253" s="27"/>
      <c r="AE253" s="8"/>
      <c r="AF253" s="27"/>
      <c r="AG253" s="8"/>
      <c r="AH253" s="27"/>
      <c r="AI253" s="8"/>
      <c r="AJ253" s="27"/>
      <c r="AK253" s="8"/>
      <c r="AL253" s="15"/>
      <c r="AM253" s="15"/>
      <c r="AN253" s="8"/>
      <c r="AO253" s="8"/>
      <c r="AP253" s="8"/>
    </row>
    <row r="254" spans="2:42">
      <c r="B254" s="71"/>
      <c r="C254" s="8"/>
      <c r="D254" s="27"/>
      <c r="E254" s="8"/>
      <c r="F254" s="27"/>
      <c r="G254" s="8"/>
      <c r="H254" s="27"/>
      <c r="I254" s="8"/>
      <c r="J254" s="27"/>
      <c r="K254" s="8"/>
      <c r="L254" s="27"/>
      <c r="M254" s="8"/>
      <c r="N254" s="27"/>
      <c r="O254" s="8"/>
      <c r="P254" s="27"/>
      <c r="Q254" s="8"/>
      <c r="R254" s="27"/>
      <c r="S254" s="8"/>
      <c r="T254" s="27"/>
      <c r="U254" s="8"/>
      <c r="V254" s="27"/>
      <c r="W254" s="8"/>
      <c r="X254" s="27"/>
      <c r="Y254" s="8"/>
      <c r="Z254" s="27"/>
      <c r="AA254" s="8"/>
      <c r="AB254" s="27"/>
      <c r="AC254" s="8"/>
      <c r="AD254" s="27"/>
      <c r="AE254" s="8"/>
      <c r="AF254" s="27"/>
      <c r="AG254" s="8"/>
      <c r="AH254" s="27"/>
      <c r="AI254" s="8"/>
      <c r="AJ254" s="27"/>
      <c r="AK254" s="8"/>
      <c r="AL254" s="15"/>
      <c r="AM254" s="15"/>
      <c r="AN254" s="8"/>
      <c r="AO254" s="8"/>
      <c r="AP254" s="8"/>
    </row>
    <row r="255" spans="2:42">
      <c r="B255" s="71"/>
      <c r="C255" s="8"/>
      <c r="D255" s="27"/>
      <c r="E255" s="8"/>
      <c r="F255" s="27"/>
      <c r="G255" s="8"/>
      <c r="H255" s="27"/>
      <c r="I255" s="8"/>
      <c r="J255" s="27"/>
      <c r="K255" s="8"/>
      <c r="L255" s="27"/>
      <c r="M255" s="8"/>
      <c r="N255" s="27"/>
      <c r="O255" s="8"/>
      <c r="P255" s="27"/>
      <c r="Q255" s="8"/>
      <c r="R255" s="27"/>
      <c r="S255" s="8"/>
      <c r="T255" s="27"/>
      <c r="U255" s="8"/>
      <c r="V255" s="27"/>
      <c r="W255" s="8"/>
      <c r="X255" s="27"/>
      <c r="Y255" s="8"/>
      <c r="Z255" s="27"/>
      <c r="AA255" s="8"/>
      <c r="AB255" s="27"/>
      <c r="AC255" s="8"/>
      <c r="AD255" s="27"/>
      <c r="AE255" s="8"/>
      <c r="AF255" s="27"/>
      <c r="AG255" s="8"/>
      <c r="AH255" s="27"/>
      <c r="AI255" s="8"/>
      <c r="AJ255" s="27"/>
      <c r="AK255" s="8"/>
      <c r="AL255" s="15"/>
      <c r="AM255" s="15"/>
      <c r="AN255" s="8"/>
      <c r="AO255" s="8"/>
      <c r="AP255" s="8"/>
    </row>
    <row r="256" spans="2:42">
      <c r="B256" s="71"/>
      <c r="C256" s="8"/>
      <c r="D256" s="27"/>
      <c r="E256" s="8"/>
      <c r="F256" s="27"/>
      <c r="G256" s="8"/>
      <c r="H256" s="27"/>
      <c r="I256" s="8"/>
      <c r="J256" s="27"/>
      <c r="K256" s="8"/>
      <c r="L256" s="27"/>
      <c r="M256" s="8"/>
      <c r="N256" s="27"/>
      <c r="O256" s="8"/>
      <c r="P256" s="27"/>
      <c r="Q256" s="8"/>
      <c r="R256" s="27"/>
      <c r="S256" s="8"/>
      <c r="T256" s="27"/>
      <c r="U256" s="8"/>
      <c r="V256" s="27"/>
      <c r="W256" s="8"/>
      <c r="X256" s="27"/>
      <c r="Y256" s="8"/>
      <c r="Z256" s="27"/>
      <c r="AA256" s="8"/>
      <c r="AB256" s="27"/>
      <c r="AC256" s="8"/>
      <c r="AD256" s="27"/>
      <c r="AE256" s="8"/>
      <c r="AF256" s="27"/>
      <c r="AG256" s="8"/>
      <c r="AH256" s="27"/>
      <c r="AI256" s="8"/>
      <c r="AJ256" s="27"/>
      <c r="AK256" s="8"/>
      <c r="AL256" s="15"/>
      <c r="AM256" s="15"/>
      <c r="AN256" s="8"/>
      <c r="AO256" s="8"/>
      <c r="AP256" s="8"/>
    </row>
    <row r="257" spans="2:42">
      <c r="B257" s="71"/>
      <c r="C257" s="8"/>
      <c r="D257" s="27"/>
      <c r="E257" s="8"/>
      <c r="F257" s="27"/>
      <c r="G257" s="8"/>
      <c r="H257" s="27"/>
      <c r="I257" s="8"/>
      <c r="J257" s="27"/>
      <c r="K257" s="8"/>
      <c r="L257" s="27"/>
      <c r="M257" s="8"/>
      <c r="N257" s="27"/>
      <c r="O257" s="8"/>
      <c r="P257" s="27"/>
      <c r="Q257" s="8"/>
      <c r="R257" s="27"/>
      <c r="S257" s="8"/>
      <c r="T257" s="27"/>
      <c r="U257" s="8"/>
      <c r="V257" s="27"/>
      <c r="W257" s="8"/>
      <c r="X257" s="27"/>
      <c r="Y257" s="8"/>
      <c r="Z257" s="27"/>
      <c r="AA257" s="8"/>
      <c r="AB257" s="27"/>
      <c r="AC257" s="8"/>
      <c r="AD257" s="27"/>
      <c r="AE257" s="8"/>
      <c r="AF257" s="27"/>
      <c r="AG257" s="8"/>
      <c r="AH257" s="27"/>
      <c r="AI257" s="8"/>
      <c r="AJ257" s="27"/>
      <c r="AK257" s="8"/>
      <c r="AL257" s="15"/>
      <c r="AM257" s="15"/>
      <c r="AN257" s="8"/>
      <c r="AO257" s="8"/>
      <c r="AP257" s="8"/>
    </row>
    <row r="258" spans="2:42">
      <c r="B258" s="71"/>
      <c r="C258" s="8"/>
      <c r="D258" s="27"/>
      <c r="E258" s="8"/>
      <c r="F258" s="27"/>
      <c r="G258" s="8"/>
      <c r="H258" s="27"/>
      <c r="I258" s="8"/>
      <c r="J258" s="27"/>
      <c r="K258" s="8"/>
      <c r="L258" s="27"/>
      <c r="M258" s="8"/>
      <c r="N258" s="27"/>
      <c r="O258" s="8"/>
      <c r="P258" s="27"/>
      <c r="Q258" s="8"/>
      <c r="R258" s="27"/>
      <c r="S258" s="8"/>
      <c r="T258" s="27"/>
      <c r="U258" s="8"/>
      <c r="V258" s="27"/>
      <c r="W258" s="8"/>
      <c r="X258" s="27"/>
      <c r="Y258" s="8"/>
      <c r="Z258" s="27"/>
      <c r="AA258" s="8"/>
      <c r="AB258" s="27"/>
      <c r="AC258" s="8"/>
      <c r="AD258" s="27"/>
      <c r="AE258" s="8"/>
      <c r="AF258" s="27"/>
      <c r="AG258" s="8"/>
      <c r="AH258" s="27"/>
      <c r="AI258" s="8"/>
      <c r="AJ258" s="27"/>
      <c r="AK258" s="8"/>
      <c r="AL258" s="15"/>
      <c r="AM258" s="15"/>
      <c r="AN258" s="8"/>
      <c r="AO258" s="8"/>
      <c r="AP258" s="8"/>
    </row>
    <row r="259" spans="2:42">
      <c r="B259" s="71"/>
      <c r="C259" s="8"/>
      <c r="D259" s="27"/>
      <c r="E259" s="8"/>
      <c r="F259" s="27"/>
      <c r="G259" s="8"/>
      <c r="H259" s="27"/>
      <c r="I259" s="8"/>
      <c r="J259" s="27"/>
      <c r="K259" s="8"/>
      <c r="L259" s="27"/>
      <c r="M259" s="8"/>
      <c r="N259" s="27"/>
      <c r="O259" s="8"/>
      <c r="P259" s="27"/>
      <c r="Q259" s="8"/>
      <c r="R259" s="27"/>
      <c r="S259" s="8"/>
      <c r="T259" s="27"/>
      <c r="U259" s="8"/>
      <c r="V259" s="27"/>
      <c r="W259" s="8"/>
      <c r="X259" s="27"/>
      <c r="Y259" s="8"/>
      <c r="Z259" s="27"/>
      <c r="AA259" s="8"/>
      <c r="AB259" s="27"/>
      <c r="AC259" s="8"/>
      <c r="AD259" s="27"/>
      <c r="AE259" s="8"/>
      <c r="AF259" s="27"/>
      <c r="AG259" s="8"/>
      <c r="AH259" s="27"/>
      <c r="AI259" s="8"/>
      <c r="AJ259" s="27"/>
      <c r="AK259" s="8"/>
      <c r="AL259" s="15"/>
      <c r="AM259" s="15"/>
      <c r="AN259" s="8"/>
      <c r="AO259" s="8"/>
      <c r="AP259" s="8"/>
    </row>
    <row r="260" spans="2:42">
      <c r="B260" s="71"/>
      <c r="C260" s="8"/>
      <c r="D260" s="27"/>
      <c r="E260" s="8"/>
      <c r="F260" s="27"/>
      <c r="G260" s="8"/>
      <c r="H260" s="27"/>
      <c r="I260" s="8"/>
      <c r="J260" s="27"/>
      <c r="K260" s="8"/>
      <c r="L260" s="27"/>
      <c r="M260" s="8"/>
      <c r="N260" s="27"/>
      <c r="O260" s="8"/>
      <c r="P260" s="27"/>
      <c r="Q260" s="8"/>
      <c r="R260" s="27"/>
      <c r="S260" s="8"/>
      <c r="T260" s="27"/>
      <c r="U260" s="8"/>
      <c r="V260" s="27"/>
      <c r="W260" s="8"/>
      <c r="X260" s="27"/>
      <c r="Y260" s="8"/>
      <c r="Z260" s="27"/>
      <c r="AA260" s="8"/>
      <c r="AB260" s="27"/>
      <c r="AC260" s="8"/>
      <c r="AD260" s="27"/>
      <c r="AE260" s="8"/>
      <c r="AF260" s="27"/>
      <c r="AG260" s="8"/>
      <c r="AH260" s="27"/>
      <c r="AI260" s="8"/>
      <c r="AJ260" s="27"/>
      <c r="AK260" s="8"/>
      <c r="AL260" s="15"/>
      <c r="AM260" s="15"/>
      <c r="AN260" s="8"/>
      <c r="AO260" s="8"/>
      <c r="AP260" s="8"/>
    </row>
    <row r="261" spans="2:42">
      <c r="B261" s="71"/>
      <c r="C261" s="8"/>
      <c r="D261" s="27"/>
      <c r="E261" s="8"/>
      <c r="F261" s="27"/>
      <c r="G261" s="8"/>
      <c r="H261" s="27"/>
      <c r="I261" s="8"/>
      <c r="J261" s="27"/>
      <c r="K261" s="8"/>
      <c r="L261" s="27"/>
      <c r="M261" s="8"/>
      <c r="N261" s="27"/>
      <c r="O261" s="8"/>
      <c r="P261" s="27"/>
      <c r="Q261" s="8"/>
      <c r="R261" s="27"/>
      <c r="S261" s="8"/>
      <c r="T261" s="27"/>
      <c r="U261" s="8"/>
      <c r="V261" s="27"/>
      <c r="W261" s="8"/>
      <c r="X261" s="27"/>
      <c r="Y261" s="8"/>
      <c r="Z261" s="27"/>
      <c r="AA261" s="8"/>
      <c r="AB261" s="27"/>
      <c r="AC261" s="8"/>
      <c r="AD261" s="27"/>
      <c r="AE261" s="8"/>
      <c r="AF261" s="27"/>
      <c r="AG261" s="8"/>
      <c r="AH261" s="27"/>
      <c r="AI261" s="8"/>
      <c r="AJ261" s="27"/>
      <c r="AK261" s="8"/>
      <c r="AL261" s="15"/>
      <c r="AM261" s="15"/>
      <c r="AN261" s="8"/>
      <c r="AO261" s="8"/>
      <c r="AP261" s="8"/>
    </row>
    <row r="262" spans="2:42">
      <c r="B262" s="71"/>
      <c r="C262" s="8"/>
      <c r="D262" s="27"/>
      <c r="E262" s="8"/>
      <c r="F262" s="27"/>
      <c r="G262" s="8"/>
      <c r="H262" s="27"/>
      <c r="I262" s="8"/>
      <c r="J262" s="27"/>
      <c r="K262" s="8"/>
      <c r="L262" s="27"/>
      <c r="M262" s="8"/>
      <c r="N262" s="27"/>
      <c r="O262" s="8"/>
      <c r="P262" s="27"/>
      <c r="Q262" s="8"/>
      <c r="R262" s="27"/>
      <c r="S262" s="8"/>
      <c r="T262" s="27"/>
      <c r="U262" s="8"/>
      <c r="V262" s="27"/>
      <c r="W262" s="8"/>
      <c r="X262" s="27"/>
      <c r="Y262" s="8"/>
      <c r="Z262" s="27"/>
      <c r="AA262" s="8"/>
      <c r="AB262" s="27"/>
      <c r="AC262" s="8"/>
      <c r="AD262" s="27"/>
      <c r="AE262" s="8"/>
      <c r="AF262" s="27"/>
      <c r="AG262" s="8"/>
      <c r="AH262" s="27"/>
      <c r="AI262" s="8"/>
      <c r="AJ262" s="27"/>
      <c r="AK262" s="8"/>
      <c r="AL262" s="15"/>
      <c r="AM262" s="15"/>
      <c r="AN262" s="8"/>
      <c r="AO262" s="8"/>
      <c r="AP262" s="8"/>
    </row>
    <row r="263" spans="2:42">
      <c r="B263" s="71"/>
      <c r="C263" s="8"/>
      <c r="D263" s="27"/>
      <c r="E263" s="8"/>
      <c r="F263" s="27"/>
      <c r="G263" s="8"/>
      <c r="H263" s="27"/>
      <c r="I263" s="8"/>
      <c r="J263" s="27"/>
      <c r="K263" s="8"/>
      <c r="L263" s="27"/>
      <c r="M263" s="8"/>
      <c r="N263" s="27"/>
      <c r="O263" s="8"/>
      <c r="P263" s="27"/>
      <c r="Q263" s="8"/>
      <c r="R263" s="27"/>
      <c r="S263" s="8"/>
      <c r="T263" s="27"/>
      <c r="U263" s="8"/>
      <c r="V263" s="27"/>
      <c r="W263" s="8"/>
      <c r="X263" s="27"/>
      <c r="Y263" s="8"/>
      <c r="Z263" s="27"/>
      <c r="AA263" s="8"/>
      <c r="AB263" s="27"/>
      <c r="AC263" s="8"/>
      <c r="AD263" s="27"/>
      <c r="AE263" s="8"/>
      <c r="AF263" s="27"/>
      <c r="AG263" s="8"/>
      <c r="AH263" s="27"/>
      <c r="AI263" s="8"/>
      <c r="AJ263" s="27"/>
      <c r="AK263" s="8"/>
      <c r="AL263" s="15"/>
      <c r="AM263" s="15"/>
      <c r="AN263" s="8"/>
      <c r="AO263" s="8"/>
      <c r="AP263" s="8"/>
    </row>
    <row r="264" spans="2:42">
      <c r="B264" s="71"/>
      <c r="C264" s="8"/>
      <c r="D264" s="27"/>
      <c r="E264" s="8"/>
      <c r="F264" s="27"/>
      <c r="G264" s="8"/>
      <c r="H264" s="27"/>
      <c r="I264" s="8"/>
      <c r="J264" s="27"/>
      <c r="K264" s="8"/>
      <c r="L264" s="27"/>
      <c r="M264" s="8"/>
      <c r="N264" s="27"/>
      <c r="O264" s="8"/>
      <c r="P264" s="27"/>
      <c r="Q264" s="8"/>
      <c r="R264" s="27"/>
      <c r="S264" s="8"/>
      <c r="T264" s="27"/>
      <c r="U264" s="8"/>
      <c r="V264" s="27"/>
      <c r="W264" s="8"/>
      <c r="X264" s="27"/>
      <c r="Y264" s="8"/>
      <c r="Z264" s="27"/>
      <c r="AA264" s="8"/>
      <c r="AB264" s="27"/>
      <c r="AC264" s="8"/>
      <c r="AD264" s="27"/>
      <c r="AE264" s="8"/>
      <c r="AF264" s="27"/>
      <c r="AG264" s="8"/>
      <c r="AH264" s="27"/>
      <c r="AI264" s="8"/>
      <c r="AJ264" s="27"/>
      <c r="AK264" s="8"/>
      <c r="AL264" s="15"/>
      <c r="AM264" s="15"/>
      <c r="AN264" s="8"/>
      <c r="AO264" s="8"/>
      <c r="AP264" s="8"/>
    </row>
    <row r="265" spans="2:42">
      <c r="B265" s="71"/>
      <c r="C265" s="8"/>
      <c r="D265" s="27"/>
      <c r="E265" s="8"/>
      <c r="F265" s="27"/>
      <c r="G265" s="8"/>
      <c r="H265" s="27"/>
      <c r="I265" s="8"/>
      <c r="J265" s="27"/>
      <c r="K265" s="8"/>
      <c r="L265" s="27"/>
      <c r="M265" s="8"/>
      <c r="N265" s="27"/>
      <c r="O265" s="8"/>
      <c r="P265" s="27"/>
      <c r="Q265" s="8"/>
      <c r="R265" s="27"/>
      <c r="S265" s="8"/>
      <c r="T265" s="27"/>
      <c r="U265" s="8"/>
      <c r="V265" s="27"/>
      <c r="W265" s="8"/>
      <c r="X265" s="27"/>
      <c r="Y265" s="8"/>
      <c r="Z265" s="27"/>
      <c r="AA265" s="8"/>
      <c r="AB265" s="27"/>
      <c r="AC265" s="8"/>
      <c r="AD265" s="27"/>
      <c r="AE265" s="8"/>
      <c r="AF265" s="27"/>
      <c r="AG265" s="8"/>
      <c r="AH265" s="27"/>
      <c r="AI265" s="8"/>
      <c r="AJ265" s="27"/>
      <c r="AK265" s="8"/>
      <c r="AL265" s="15"/>
      <c r="AM265" s="15"/>
      <c r="AN265" s="8"/>
      <c r="AO265" s="8"/>
      <c r="AP265" s="8"/>
    </row>
    <row r="266" spans="2:42">
      <c r="B266" s="71"/>
      <c r="C266" s="8"/>
      <c r="D266" s="27"/>
      <c r="E266" s="8"/>
      <c r="F266" s="27"/>
      <c r="G266" s="8"/>
      <c r="H266" s="27"/>
      <c r="I266" s="8"/>
      <c r="J266" s="27"/>
      <c r="K266" s="8"/>
      <c r="L266" s="27"/>
      <c r="M266" s="8"/>
      <c r="N266" s="27"/>
      <c r="O266" s="8"/>
      <c r="P266" s="27"/>
      <c r="Q266" s="8"/>
      <c r="R266" s="27"/>
      <c r="S266" s="8"/>
      <c r="T266" s="27"/>
      <c r="U266" s="8"/>
      <c r="V266" s="27"/>
      <c r="W266" s="8"/>
      <c r="X266" s="27"/>
      <c r="Y266" s="8"/>
      <c r="Z266" s="27"/>
      <c r="AA266" s="8"/>
      <c r="AB266" s="27"/>
      <c r="AC266" s="8"/>
      <c r="AD266" s="27"/>
      <c r="AE266" s="8"/>
      <c r="AF266" s="27"/>
      <c r="AG266" s="8"/>
      <c r="AH266" s="27"/>
      <c r="AI266" s="8"/>
      <c r="AJ266" s="27"/>
      <c r="AK266" s="8"/>
      <c r="AL266" s="15"/>
      <c r="AM266" s="15"/>
      <c r="AN266" s="8"/>
      <c r="AO266" s="8"/>
      <c r="AP266" s="8"/>
    </row>
    <row r="267" spans="2:42">
      <c r="B267" s="71"/>
      <c r="C267" s="8"/>
      <c r="D267" s="27"/>
      <c r="E267" s="8"/>
      <c r="F267" s="27"/>
      <c r="G267" s="8"/>
      <c r="H267" s="27"/>
      <c r="I267" s="8"/>
      <c r="J267" s="27"/>
      <c r="K267" s="8"/>
      <c r="L267" s="27"/>
      <c r="M267" s="8"/>
      <c r="N267" s="27"/>
      <c r="O267" s="8"/>
      <c r="P267" s="27"/>
      <c r="Q267" s="8"/>
      <c r="R267" s="27"/>
      <c r="S267" s="8"/>
      <c r="T267" s="27"/>
      <c r="U267" s="8"/>
      <c r="V267" s="27"/>
      <c r="W267" s="8"/>
      <c r="X267" s="27"/>
      <c r="Y267" s="8"/>
      <c r="Z267" s="27"/>
      <c r="AA267" s="8"/>
      <c r="AB267" s="27"/>
      <c r="AC267" s="8"/>
      <c r="AD267" s="27"/>
      <c r="AE267" s="8"/>
      <c r="AF267" s="27"/>
      <c r="AG267" s="8"/>
      <c r="AH267" s="27"/>
      <c r="AI267" s="8"/>
      <c r="AJ267" s="27"/>
      <c r="AK267" s="8"/>
      <c r="AL267" s="15"/>
      <c r="AM267" s="15"/>
      <c r="AN267" s="8"/>
      <c r="AO267" s="8"/>
      <c r="AP267" s="8"/>
    </row>
    <row r="268" spans="2:42">
      <c r="B268" s="71"/>
      <c r="C268" s="8"/>
      <c r="D268" s="27"/>
      <c r="E268" s="8"/>
      <c r="F268" s="27"/>
      <c r="G268" s="8"/>
      <c r="H268" s="27"/>
      <c r="I268" s="8"/>
      <c r="J268" s="27"/>
      <c r="K268" s="8"/>
      <c r="L268" s="27"/>
      <c r="M268" s="8"/>
      <c r="N268" s="27"/>
      <c r="O268" s="8"/>
      <c r="P268" s="27"/>
      <c r="Q268" s="8"/>
      <c r="R268" s="27"/>
      <c r="S268" s="8"/>
      <c r="T268" s="27"/>
      <c r="U268" s="8"/>
      <c r="V268" s="27"/>
      <c r="W268" s="8"/>
      <c r="X268" s="27"/>
      <c r="Y268" s="8"/>
      <c r="Z268" s="27"/>
      <c r="AA268" s="8"/>
      <c r="AB268" s="27"/>
      <c r="AC268" s="8"/>
      <c r="AD268" s="27"/>
      <c r="AE268" s="8"/>
      <c r="AF268" s="27"/>
      <c r="AG268" s="8"/>
      <c r="AH268" s="27"/>
      <c r="AI268" s="8"/>
      <c r="AJ268" s="27"/>
      <c r="AK268" s="8"/>
      <c r="AL268" s="15"/>
      <c r="AM268" s="15"/>
      <c r="AN268" s="8"/>
      <c r="AO268" s="8"/>
      <c r="AP268" s="8"/>
    </row>
    <row r="269" spans="2:42">
      <c r="B269" s="71"/>
      <c r="C269" s="8"/>
      <c r="D269" s="27"/>
      <c r="E269" s="8"/>
      <c r="F269" s="27"/>
      <c r="G269" s="8"/>
      <c r="H269" s="27"/>
      <c r="I269" s="8"/>
      <c r="J269" s="27"/>
      <c r="K269" s="8"/>
      <c r="L269" s="27"/>
      <c r="M269" s="8"/>
      <c r="N269" s="27"/>
      <c r="O269" s="8"/>
      <c r="P269" s="27"/>
      <c r="Q269" s="8"/>
      <c r="R269" s="27"/>
      <c r="S269" s="8"/>
      <c r="T269" s="27"/>
      <c r="U269" s="8"/>
      <c r="V269" s="27"/>
      <c r="W269" s="8"/>
      <c r="X269" s="27"/>
      <c r="Y269" s="8"/>
      <c r="Z269" s="27"/>
      <c r="AA269" s="8"/>
      <c r="AB269" s="27"/>
      <c r="AC269" s="8"/>
      <c r="AD269" s="27"/>
      <c r="AE269" s="8"/>
      <c r="AF269" s="27"/>
      <c r="AG269" s="8"/>
      <c r="AH269" s="27"/>
      <c r="AI269" s="8"/>
      <c r="AJ269" s="27"/>
      <c r="AK269" s="8"/>
      <c r="AL269" s="15"/>
      <c r="AM269" s="15"/>
      <c r="AN269" s="8"/>
      <c r="AO269" s="8"/>
      <c r="AP269" s="8"/>
    </row>
    <row r="270" spans="2:42">
      <c r="B270" s="71"/>
      <c r="C270" s="8"/>
      <c r="D270" s="27"/>
      <c r="E270" s="8"/>
      <c r="F270" s="27"/>
      <c r="G270" s="8"/>
      <c r="H270" s="27"/>
      <c r="I270" s="8"/>
      <c r="J270" s="27"/>
      <c r="K270" s="8"/>
      <c r="L270" s="27"/>
      <c r="M270" s="8"/>
      <c r="N270" s="27"/>
      <c r="O270" s="8"/>
      <c r="P270" s="27"/>
      <c r="Q270" s="8"/>
      <c r="R270" s="27"/>
      <c r="S270" s="8"/>
      <c r="T270" s="27"/>
      <c r="U270" s="8"/>
      <c r="V270" s="27"/>
      <c r="W270" s="8"/>
      <c r="X270" s="27"/>
      <c r="Y270" s="8"/>
      <c r="Z270" s="27"/>
      <c r="AA270" s="8"/>
      <c r="AB270" s="27"/>
      <c r="AC270" s="8"/>
      <c r="AD270" s="27"/>
      <c r="AE270" s="8"/>
      <c r="AF270" s="27"/>
      <c r="AG270" s="8"/>
      <c r="AH270" s="27"/>
      <c r="AI270" s="8"/>
      <c r="AJ270" s="27"/>
      <c r="AK270" s="8"/>
      <c r="AL270" s="15"/>
      <c r="AM270" s="15"/>
      <c r="AN270" s="8"/>
      <c r="AO270" s="8"/>
      <c r="AP270" s="8"/>
    </row>
    <row r="271" spans="2:42">
      <c r="B271" s="71"/>
      <c r="C271" s="8"/>
      <c r="D271" s="27"/>
      <c r="E271" s="8"/>
      <c r="F271" s="27"/>
      <c r="G271" s="8"/>
      <c r="H271" s="27"/>
      <c r="I271" s="8"/>
      <c r="J271" s="27"/>
      <c r="K271" s="8"/>
      <c r="L271" s="27"/>
      <c r="M271" s="8"/>
      <c r="N271" s="27"/>
      <c r="O271" s="8"/>
      <c r="P271" s="27"/>
      <c r="Q271" s="8"/>
      <c r="R271" s="27"/>
      <c r="S271" s="8"/>
      <c r="T271" s="27"/>
      <c r="U271" s="8"/>
      <c r="V271" s="27"/>
      <c r="W271" s="8"/>
      <c r="X271" s="27"/>
      <c r="Y271" s="8"/>
      <c r="Z271" s="27"/>
      <c r="AA271" s="8"/>
      <c r="AB271" s="27"/>
      <c r="AC271" s="8"/>
      <c r="AD271" s="27"/>
      <c r="AE271" s="8"/>
      <c r="AF271" s="27"/>
      <c r="AG271" s="8"/>
      <c r="AH271" s="27"/>
      <c r="AI271" s="8"/>
      <c r="AJ271" s="27"/>
      <c r="AK271" s="8"/>
      <c r="AL271" s="15"/>
      <c r="AM271" s="15"/>
      <c r="AN271" s="8"/>
      <c r="AO271" s="8"/>
      <c r="AP271" s="8"/>
    </row>
    <row r="272" spans="2:42">
      <c r="B272" s="71"/>
      <c r="C272" s="8"/>
      <c r="D272" s="27"/>
      <c r="E272" s="8"/>
      <c r="F272" s="27"/>
      <c r="G272" s="8"/>
      <c r="H272" s="27"/>
      <c r="I272" s="8"/>
      <c r="J272" s="27"/>
      <c r="K272" s="8"/>
      <c r="L272" s="27"/>
      <c r="M272" s="8"/>
      <c r="N272" s="27"/>
      <c r="O272" s="8"/>
      <c r="P272" s="27"/>
      <c r="Q272" s="8"/>
      <c r="R272" s="27"/>
      <c r="S272" s="8"/>
      <c r="T272" s="27"/>
      <c r="U272" s="8"/>
      <c r="V272" s="27"/>
      <c r="W272" s="8"/>
      <c r="X272" s="27"/>
      <c r="Y272" s="8"/>
      <c r="Z272" s="27"/>
      <c r="AA272" s="8"/>
      <c r="AB272" s="27"/>
      <c r="AC272" s="8"/>
      <c r="AD272" s="27"/>
      <c r="AE272" s="8"/>
      <c r="AF272" s="27"/>
      <c r="AG272" s="8"/>
      <c r="AH272" s="27"/>
      <c r="AI272" s="8"/>
      <c r="AJ272" s="27"/>
      <c r="AK272" s="8"/>
      <c r="AL272" s="15"/>
      <c r="AM272" s="15"/>
      <c r="AN272" s="8"/>
      <c r="AO272" s="8"/>
      <c r="AP272" s="8"/>
    </row>
    <row r="273" spans="2:42">
      <c r="B273" s="71"/>
      <c r="C273" s="8"/>
      <c r="D273" s="27"/>
      <c r="E273" s="8"/>
      <c r="F273" s="27"/>
      <c r="G273" s="8"/>
      <c r="H273" s="27"/>
      <c r="I273" s="8"/>
      <c r="J273" s="27"/>
      <c r="K273" s="8"/>
      <c r="L273" s="27"/>
      <c r="M273" s="8"/>
      <c r="N273" s="27"/>
      <c r="O273" s="8"/>
      <c r="P273" s="27"/>
      <c r="Q273" s="8"/>
      <c r="R273" s="27"/>
      <c r="S273" s="8"/>
      <c r="T273" s="27"/>
      <c r="U273" s="8"/>
      <c r="V273" s="27"/>
      <c r="W273" s="8"/>
      <c r="X273" s="27"/>
      <c r="Y273" s="8"/>
      <c r="Z273" s="27"/>
      <c r="AA273" s="8"/>
      <c r="AB273" s="27"/>
      <c r="AC273" s="8"/>
      <c r="AD273" s="27"/>
      <c r="AE273" s="8"/>
      <c r="AF273" s="27"/>
      <c r="AG273" s="8"/>
      <c r="AH273" s="27"/>
      <c r="AI273" s="8"/>
      <c r="AJ273" s="27"/>
      <c r="AK273" s="8"/>
      <c r="AL273" s="15"/>
      <c r="AM273" s="15"/>
      <c r="AN273" s="8"/>
      <c r="AO273" s="8"/>
      <c r="AP273" s="8"/>
    </row>
    <row r="274" spans="2:42">
      <c r="B274" s="71"/>
      <c r="C274" s="8"/>
      <c r="D274" s="27"/>
      <c r="E274" s="8"/>
      <c r="F274" s="27"/>
      <c r="G274" s="8"/>
      <c r="H274" s="27"/>
      <c r="I274" s="8"/>
      <c r="J274" s="27"/>
      <c r="K274" s="8"/>
      <c r="L274" s="27"/>
      <c r="M274" s="8"/>
      <c r="N274" s="27"/>
      <c r="O274" s="8"/>
      <c r="P274" s="27"/>
      <c r="Q274" s="8"/>
      <c r="R274" s="27"/>
      <c r="S274" s="8"/>
      <c r="T274" s="27"/>
      <c r="U274" s="8"/>
      <c r="V274" s="27"/>
      <c r="W274" s="8"/>
      <c r="X274" s="27"/>
      <c r="Y274" s="8"/>
      <c r="Z274" s="27"/>
      <c r="AA274" s="8"/>
      <c r="AB274" s="27"/>
      <c r="AC274" s="8"/>
      <c r="AD274" s="27"/>
      <c r="AE274" s="8"/>
      <c r="AF274" s="27"/>
      <c r="AG274" s="8"/>
      <c r="AH274" s="27"/>
      <c r="AI274" s="8"/>
      <c r="AJ274" s="27"/>
      <c r="AK274" s="8"/>
      <c r="AL274" s="15"/>
      <c r="AM274" s="15"/>
      <c r="AN274" s="8"/>
      <c r="AO274" s="8"/>
      <c r="AP274" s="8"/>
    </row>
    <row r="275" spans="2:42">
      <c r="B275" s="71"/>
      <c r="C275" s="8"/>
      <c r="D275" s="27"/>
      <c r="E275" s="8"/>
      <c r="F275" s="27"/>
      <c r="G275" s="8"/>
      <c r="H275" s="27"/>
      <c r="I275" s="8"/>
      <c r="J275" s="27"/>
      <c r="K275" s="8"/>
      <c r="L275" s="27"/>
      <c r="M275" s="8"/>
      <c r="N275" s="27"/>
      <c r="O275" s="8"/>
      <c r="P275" s="27"/>
      <c r="Q275" s="8"/>
      <c r="R275" s="27"/>
      <c r="S275" s="8"/>
      <c r="T275" s="27"/>
      <c r="U275" s="8"/>
      <c r="V275" s="27"/>
      <c r="W275" s="8"/>
      <c r="X275" s="27"/>
      <c r="Y275" s="8"/>
      <c r="Z275" s="27"/>
      <c r="AA275" s="8"/>
      <c r="AB275" s="27"/>
      <c r="AC275" s="8"/>
      <c r="AD275" s="27"/>
      <c r="AE275" s="8"/>
      <c r="AF275" s="27"/>
      <c r="AG275" s="8"/>
      <c r="AH275" s="27"/>
      <c r="AI275" s="8"/>
      <c r="AJ275" s="27"/>
      <c r="AK275" s="8"/>
      <c r="AL275" s="15"/>
      <c r="AM275" s="15"/>
      <c r="AN275" s="8"/>
      <c r="AO275" s="8"/>
      <c r="AP275" s="8"/>
    </row>
    <row r="276" spans="2:42">
      <c r="B276" s="71"/>
      <c r="C276" s="8"/>
      <c r="D276" s="27"/>
      <c r="E276" s="8"/>
      <c r="F276" s="27"/>
      <c r="G276" s="8"/>
      <c r="H276" s="27"/>
      <c r="I276" s="8"/>
      <c r="J276" s="27"/>
      <c r="K276" s="8"/>
      <c r="L276" s="27"/>
      <c r="M276" s="8"/>
      <c r="N276" s="27"/>
      <c r="O276" s="8"/>
      <c r="P276" s="27"/>
      <c r="Q276" s="8"/>
      <c r="R276" s="27"/>
      <c r="S276" s="8"/>
      <c r="T276" s="27"/>
      <c r="U276" s="8"/>
      <c r="V276" s="27"/>
      <c r="W276" s="8"/>
      <c r="X276" s="27"/>
      <c r="Y276" s="8"/>
      <c r="Z276" s="27"/>
      <c r="AA276" s="8"/>
      <c r="AB276" s="27"/>
      <c r="AC276" s="8"/>
      <c r="AD276" s="27"/>
      <c r="AE276" s="8"/>
      <c r="AF276" s="27"/>
      <c r="AG276" s="8"/>
      <c r="AH276" s="27"/>
      <c r="AI276" s="8"/>
      <c r="AJ276" s="27"/>
      <c r="AK276" s="8"/>
      <c r="AL276" s="15"/>
      <c r="AM276" s="15"/>
      <c r="AN276" s="8"/>
      <c r="AO276" s="8"/>
      <c r="AP276" s="8"/>
    </row>
    <row r="277" spans="2:42">
      <c r="B277" s="71"/>
      <c r="C277" s="8"/>
      <c r="D277" s="27"/>
      <c r="E277" s="8"/>
      <c r="F277" s="27"/>
      <c r="G277" s="8"/>
      <c r="H277" s="27"/>
      <c r="I277" s="8"/>
      <c r="J277" s="27"/>
      <c r="K277" s="8"/>
      <c r="L277" s="27"/>
      <c r="M277" s="8"/>
      <c r="N277" s="27"/>
      <c r="O277" s="8"/>
      <c r="P277" s="27"/>
      <c r="Q277" s="8"/>
      <c r="R277" s="27"/>
      <c r="S277" s="8"/>
      <c r="T277" s="27"/>
      <c r="U277" s="8"/>
      <c r="V277" s="27"/>
      <c r="W277" s="8"/>
      <c r="X277" s="27"/>
      <c r="Y277" s="8"/>
      <c r="Z277" s="27"/>
      <c r="AA277" s="8"/>
      <c r="AB277" s="27"/>
      <c r="AC277" s="8"/>
      <c r="AD277" s="27"/>
      <c r="AE277" s="8"/>
      <c r="AF277" s="27"/>
      <c r="AG277" s="8"/>
      <c r="AH277" s="27"/>
      <c r="AI277" s="8"/>
      <c r="AJ277" s="27"/>
      <c r="AK277" s="8"/>
      <c r="AL277" s="15"/>
      <c r="AM277" s="15"/>
      <c r="AN277" s="8"/>
      <c r="AO277" s="8"/>
      <c r="AP277" s="8"/>
    </row>
    <row r="278" spans="2:42">
      <c r="B278" s="71"/>
      <c r="C278" s="8"/>
      <c r="D278" s="27"/>
      <c r="E278" s="8"/>
      <c r="F278" s="27"/>
      <c r="G278" s="8"/>
      <c r="H278" s="27"/>
      <c r="I278" s="8"/>
      <c r="J278" s="27"/>
      <c r="K278" s="8"/>
      <c r="L278" s="27"/>
      <c r="M278" s="8"/>
      <c r="N278" s="27"/>
      <c r="O278" s="8"/>
      <c r="P278" s="27"/>
      <c r="Q278" s="8"/>
      <c r="R278" s="27"/>
      <c r="S278" s="8"/>
      <c r="T278" s="27"/>
      <c r="U278" s="8"/>
      <c r="V278" s="27"/>
      <c r="W278" s="8"/>
      <c r="X278" s="27"/>
      <c r="Y278" s="8"/>
      <c r="Z278" s="27"/>
      <c r="AA278" s="8"/>
      <c r="AB278" s="27"/>
      <c r="AC278" s="8"/>
      <c r="AD278" s="27"/>
      <c r="AE278" s="8"/>
      <c r="AF278" s="27"/>
      <c r="AG278" s="8"/>
      <c r="AH278" s="27"/>
      <c r="AI278" s="8"/>
      <c r="AJ278" s="27"/>
      <c r="AK278" s="8"/>
      <c r="AL278" s="15"/>
      <c r="AM278" s="15"/>
      <c r="AN278" s="8"/>
      <c r="AO278" s="8"/>
      <c r="AP278" s="8"/>
    </row>
    <row r="279" spans="2:42">
      <c r="B279" s="71"/>
      <c r="C279" s="8"/>
      <c r="D279" s="27"/>
      <c r="E279" s="8"/>
      <c r="F279" s="27"/>
      <c r="G279" s="8"/>
      <c r="H279" s="27"/>
      <c r="I279" s="8"/>
      <c r="J279" s="27"/>
      <c r="K279" s="8"/>
      <c r="L279" s="27"/>
      <c r="M279" s="8"/>
      <c r="N279" s="27"/>
      <c r="O279" s="8"/>
      <c r="P279" s="27"/>
      <c r="Q279" s="8"/>
      <c r="R279" s="27"/>
      <c r="S279" s="8"/>
      <c r="T279" s="27"/>
      <c r="U279" s="8"/>
      <c r="V279" s="27"/>
      <c r="W279" s="8"/>
      <c r="X279" s="27"/>
      <c r="Y279" s="8"/>
      <c r="Z279" s="27"/>
      <c r="AA279" s="8"/>
      <c r="AB279" s="27"/>
      <c r="AC279" s="8"/>
      <c r="AD279" s="27"/>
      <c r="AE279" s="8"/>
      <c r="AF279" s="27"/>
      <c r="AG279" s="8"/>
      <c r="AH279" s="27"/>
      <c r="AI279" s="8"/>
      <c r="AJ279" s="27"/>
      <c r="AK279" s="8"/>
      <c r="AL279" s="15"/>
      <c r="AM279" s="15"/>
      <c r="AN279" s="8"/>
      <c r="AO279" s="8"/>
      <c r="AP279" s="8"/>
    </row>
    <row r="280" spans="2:42">
      <c r="B280" s="71"/>
      <c r="C280" s="8"/>
      <c r="D280" s="27"/>
      <c r="E280" s="8"/>
      <c r="F280" s="27"/>
      <c r="G280" s="8"/>
      <c r="H280" s="27"/>
      <c r="I280" s="8"/>
      <c r="J280" s="27"/>
      <c r="K280" s="8"/>
      <c r="L280" s="27"/>
      <c r="M280" s="8"/>
      <c r="N280" s="27"/>
      <c r="O280" s="8"/>
      <c r="P280" s="27"/>
      <c r="Q280" s="8"/>
      <c r="R280" s="27"/>
      <c r="S280" s="8"/>
      <c r="T280" s="27"/>
      <c r="U280" s="8"/>
      <c r="V280" s="27"/>
      <c r="W280" s="8"/>
      <c r="X280" s="27"/>
      <c r="Y280" s="8"/>
      <c r="Z280" s="27"/>
      <c r="AA280" s="8"/>
      <c r="AB280" s="27"/>
      <c r="AC280" s="8"/>
      <c r="AD280" s="27"/>
      <c r="AE280" s="8"/>
      <c r="AF280" s="27"/>
      <c r="AG280" s="8"/>
      <c r="AH280" s="27"/>
      <c r="AI280" s="8"/>
      <c r="AJ280" s="27"/>
      <c r="AK280" s="8"/>
      <c r="AL280" s="15"/>
      <c r="AM280" s="15"/>
      <c r="AN280" s="8"/>
      <c r="AO280" s="8"/>
      <c r="AP280" s="8"/>
    </row>
    <row r="281" spans="2:42">
      <c r="B281" s="71"/>
      <c r="C281" s="8"/>
      <c r="D281" s="27"/>
      <c r="E281" s="8"/>
      <c r="F281" s="27"/>
      <c r="G281" s="8"/>
      <c r="H281" s="27"/>
      <c r="I281" s="8"/>
      <c r="J281" s="27"/>
      <c r="K281" s="8"/>
      <c r="L281" s="27"/>
      <c r="M281" s="8"/>
      <c r="N281" s="27"/>
      <c r="O281" s="8"/>
      <c r="P281" s="27"/>
      <c r="Q281" s="8"/>
      <c r="R281" s="27"/>
      <c r="S281" s="8"/>
      <c r="T281" s="27"/>
      <c r="U281" s="8"/>
      <c r="V281" s="27"/>
      <c r="W281" s="8"/>
      <c r="X281" s="27"/>
      <c r="Y281" s="8"/>
      <c r="Z281" s="27"/>
      <c r="AA281" s="8"/>
      <c r="AB281" s="27"/>
      <c r="AC281" s="8"/>
      <c r="AD281" s="27"/>
      <c r="AE281" s="8"/>
      <c r="AF281" s="27"/>
      <c r="AG281" s="8"/>
      <c r="AH281" s="27"/>
      <c r="AI281" s="8"/>
      <c r="AJ281" s="27"/>
      <c r="AK281" s="8"/>
      <c r="AL281" s="15"/>
      <c r="AM281" s="15"/>
      <c r="AN281" s="8"/>
      <c r="AO281" s="8"/>
      <c r="AP281" s="8"/>
    </row>
    <row r="282" spans="2:42">
      <c r="B282" s="71"/>
      <c r="C282" s="8"/>
      <c r="D282" s="27"/>
      <c r="E282" s="8"/>
      <c r="F282" s="27"/>
      <c r="G282" s="8"/>
      <c r="H282" s="27"/>
      <c r="I282" s="8"/>
      <c r="J282" s="27"/>
      <c r="K282" s="8"/>
      <c r="L282" s="27"/>
      <c r="M282" s="8"/>
      <c r="N282" s="27"/>
      <c r="O282" s="8"/>
      <c r="P282" s="27"/>
      <c r="Q282" s="8"/>
      <c r="R282" s="27"/>
      <c r="S282" s="8"/>
      <c r="T282" s="27"/>
      <c r="U282" s="8"/>
      <c r="V282" s="27"/>
      <c r="W282" s="8"/>
      <c r="X282" s="27"/>
      <c r="Y282" s="8"/>
      <c r="Z282" s="27"/>
      <c r="AA282" s="8"/>
      <c r="AB282" s="27"/>
      <c r="AC282" s="8"/>
      <c r="AD282" s="27"/>
      <c r="AE282" s="8"/>
      <c r="AF282" s="27"/>
      <c r="AG282" s="8"/>
      <c r="AH282" s="27"/>
      <c r="AI282" s="8"/>
      <c r="AJ282" s="27"/>
      <c r="AK282" s="8"/>
      <c r="AL282" s="15"/>
      <c r="AM282" s="15"/>
      <c r="AN282" s="8"/>
      <c r="AO282" s="8"/>
      <c r="AP282" s="8"/>
    </row>
    <row r="283" spans="2:42">
      <c r="B283" s="71"/>
      <c r="C283" s="8"/>
      <c r="D283" s="27"/>
      <c r="E283" s="8"/>
      <c r="F283" s="27"/>
      <c r="G283" s="8"/>
      <c r="H283" s="27"/>
      <c r="I283" s="8"/>
      <c r="J283" s="27"/>
      <c r="K283" s="8"/>
      <c r="L283" s="27"/>
      <c r="M283" s="8"/>
      <c r="N283" s="27"/>
      <c r="O283" s="8"/>
      <c r="P283" s="27"/>
      <c r="Q283" s="8"/>
      <c r="R283" s="27"/>
      <c r="S283" s="8"/>
      <c r="T283" s="27"/>
      <c r="U283" s="8"/>
      <c r="V283" s="27"/>
      <c r="W283" s="8"/>
      <c r="X283" s="27"/>
      <c r="Y283" s="8"/>
      <c r="Z283" s="27"/>
      <c r="AA283" s="8"/>
      <c r="AB283" s="27"/>
      <c r="AC283" s="8"/>
      <c r="AD283" s="27"/>
      <c r="AE283" s="8"/>
      <c r="AF283" s="27"/>
      <c r="AG283" s="8"/>
      <c r="AH283" s="27"/>
      <c r="AI283" s="8"/>
      <c r="AJ283" s="27"/>
      <c r="AK283" s="8"/>
      <c r="AL283" s="15"/>
      <c r="AM283" s="15"/>
      <c r="AN283" s="8"/>
      <c r="AO283" s="8"/>
      <c r="AP283" s="8"/>
    </row>
    <row r="284" spans="2:42">
      <c r="B284" s="71"/>
      <c r="C284" s="8"/>
      <c r="D284" s="27"/>
      <c r="E284" s="8"/>
      <c r="F284" s="27"/>
      <c r="G284" s="8"/>
      <c r="H284" s="27"/>
      <c r="I284" s="8"/>
      <c r="J284" s="27"/>
      <c r="K284" s="8"/>
      <c r="L284" s="27"/>
      <c r="M284" s="8"/>
      <c r="N284" s="27"/>
      <c r="O284" s="8"/>
      <c r="P284" s="27"/>
      <c r="Q284" s="8"/>
      <c r="R284" s="27"/>
      <c r="S284" s="8"/>
      <c r="T284" s="27"/>
      <c r="U284" s="8"/>
      <c r="V284" s="27"/>
      <c r="W284" s="8"/>
      <c r="X284" s="27"/>
      <c r="Y284" s="8"/>
      <c r="Z284" s="27"/>
      <c r="AA284" s="8"/>
      <c r="AB284" s="27"/>
      <c r="AC284" s="8"/>
      <c r="AD284" s="27"/>
      <c r="AE284" s="8"/>
      <c r="AF284" s="27"/>
      <c r="AG284" s="8"/>
      <c r="AH284" s="27"/>
      <c r="AI284" s="8"/>
      <c r="AJ284" s="27"/>
      <c r="AK284" s="8"/>
      <c r="AL284" s="15"/>
      <c r="AM284" s="15"/>
      <c r="AN284" s="8"/>
      <c r="AO284" s="8"/>
      <c r="AP284" s="8"/>
    </row>
    <row r="285" spans="2:42">
      <c r="B285" s="71"/>
      <c r="C285" s="8"/>
      <c r="D285" s="27"/>
      <c r="E285" s="8"/>
      <c r="F285" s="27"/>
      <c r="G285" s="8"/>
      <c r="H285" s="27"/>
      <c r="I285" s="8"/>
      <c r="J285" s="27"/>
      <c r="K285" s="8"/>
      <c r="L285" s="27"/>
      <c r="M285" s="8"/>
      <c r="N285" s="27"/>
      <c r="O285" s="8"/>
      <c r="P285" s="27"/>
      <c r="Q285" s="8"/>
      <c r="R285" s="27"/>
      <c r="S285" s="8"/>
      <c r="T285" s="27"/>
      <c r="U285" s="8"/>
      <c r="V285" s="27"/>
      <c r="W285" s="8"/>
      <c r="X285" s="27"/>
      <c r="Y285" s="8"/>
      <c r="Z285" s="27"/>
      <c r="AA285" s="8"/>
      <c r="AB285" s="27"/>
      <c r="AC285" s="8"/>
      <c r="AD285" s="27"/>
      <c r="AE285" s="8"/>
      <c r="AF285" s="27"/>
      <c r="AG285" s="8"/>
      <c r="AH285" s="27"/>
      <c r="AI285" s="8"/>
      <c r="AJ285" s="27"/>
      <c r="AK285" s="8"/>
      <c r="AL285" s="15"/>
      <c r="AM285" s="15"/>
      <c r="AN285" s="8"/>
      <c r="AO285" s="8"/>
      <c r="AP285" s="8"/>
    </row>
    <row r="286" spans="2:42">
      <c r="B286" s="71"/>
      <c r="C286" s="8"/>
      <c r="D286" s="27"/>
      <c r="E286" s="8"/>
      <c r="F286" s="27"/>
      <c r="G286" s="8"/>
      <c r="H286" s="27"/>
      <c r="I286" s="8"/>
      <c r="J286" s="27"/>
      <c r="K286" s="8"/>
      <c r="L286" s="27"/>
      <c r="M286" s="8"/>
      <c r="N286" s="27"/>
      <c r="O286" s="8"/>
      <c r="P286" s="27"/>
      <c r="Q286" s="8"/>
      <c r="R286" s="27"/>
      <c r="S286" s="8"/>
      <c r="T286" s="27"/>
      <c r="U286" s="8"/>
      <c r="V286" s="27"/>
      <c r="W286" s="8"/>
      <c r="X286" s="27"/>
      <c r="Y286" s="8"/>
      <c r="Z286" s="27"/>
      <c r="AA286" s="8"/>
      <c r="AB286" s="27"/>
      <c r="AC286" s="8"/>
      <c r="AD286" s="27"/>
      <c r="AE286" s="8"/>
      <c r="AF286" s="27"/>
      <c r="AG286" s="8"/>
      <c r="AH286" s="27"/>
      <c r="AI286" s="8"/>
      <c r="AJ286" s="27"/>
      <c r="AK286" s="8"/>
      <c r="AL286" s="15"/>
      <c r="AM286" s="15"/>
      <c r="AN286" s="8"/>
      <c r="AO286" s="8"/>
      <c r="AP286" s="8"/>
    </row>
    <row r="287" spans="2:42">
      <c r="B287" s="71"/>
      <c r="C287" s="8"/>
      <c r="D287" s="27"/>
      <c r="E287" s="8"/>
      <c r="F287" s="27"/>
      <c r="G287" s="8"/>
      <c r="H287" s="27"/>
      <c r="I287" s="8"/>
      <c r="J287" s="27"/>
      <c r="K287" s="8"/>
      <c r="L287" s="27"/>
      <c r="M287" s="8"/>
      <c r="N287" s="27"/>
      <c r="O287" s="8"/>
      <c r="P287" s="27"/>
      <c r="Q287" s="8"/>
      <c r="R287" s="27"/>
      <c r="S287" s="8"/>
      <c r="T287" s="27"/>
      <c r="U287" s="8"/>
      <c r="V287" s="27"/>
      <c r="W287" s="8"/>
      <c r="X287" s="27"/>
      <c r="Y287" s="8"/>
      <c r="Z287" s="27"/>
      <c r="AA287" s="8"/>
      <c r="AB287" s="27"/>
      <c r="AC287" s="8"/>
      <c r="AD287" s="27"/>
      <c r="AE287" s="8"/>
      <c r="AF287" s="27"/>
      <c r="AG287" s="8"/>
      <c r="AH287" s="27"/>
      <c r="AI287" s="8"/>
      <c r="AJ287" s="27"/>
      <c r="AK287" s="8"/>
      <c r="AL287" s="15"/>
      <c r="AM287" s="15"/>
      <c r="AN287" s="8"/>
      <c r="AO287" s="8"/>
      <c r="AP287" s="8"/>
    </row>
    <row r="288" spans="2:42">
      <c r="B288" s="71"/>
      <c r="C288" s="8"/>
      <c r="D288" s="27"/>
      <c r="E288" s="8"/>
      <c r="F288" s="27"/>
      <c r="G288" s="8"/>
      <c r="H288" s="27"/>
      <c r="I288" s="8"/>
      <c r="J288" s="27"/>
      <c r="K288" s="8"/>
      <c r="L288" s="27"/>
      <c r="M288" s="8"/>
      <c r="N288" s="27"/>
      <c r="O288" s="8"/>
      <c r="P288" s="27"/>
      <c r="Q288" s="8"/>
      <c r="R288" s="27"/>
      <c r="S288" s="8"/>
      <c r="T288" s="27"/>
      <c r="U288" s="8"/>
      <c r="V288" s="27"/>
      <c r="W288" s="8"/>
      <c r="X288" s="27"/>
      <c r="Y288" s="8"/>
      <c r="Z288" s="27"/>
      <c r="AA288" s="8"/>
      <c r="AB288" s="27"/>
      <c r="AC288" s="8"/>
      <c r="AD288" s="27"/>
      <c r="AE288" s="8"/>
      <c r="AF288" s="27"/>
      <c r="AG288" s="8"/>
      <c r="AH288" s="27"/>
      <c r="AI288" s="8"/>
      <c r="AJ288" s="27"/>
      <c r="AK288" s="8"/>
      <c r="AL288" s="15"/>
      <c r="AM288" s="15"/>
      <c r="AN288" s="8"/>
      <c r="AO288" s="8"/>
      <c r="AP288" s="8"/>
    </row>
    <row r="289" spans="2:42">
      <c r="B289" s="71"/>
      <c r="C289" s="8"/>
      <c r="D289" s="27"/>
      <c r="E289" s="8"/>
      <c r="F289" s="27"/>
      <c r="G289" s="8"/>
      <c r="H289" s="27"/>
      <c r="I289" s="8"/>
      <c r="J289" s="27"/>
      <c r="K289" s="8"/>
      <c r="L289" s="27"/>
      <c r="M289" s="8"/>
      <c r="N289" s="27"/>
      <c r="O289" s="8"/>
      <c r="P289" s="27"/>
      <c r="Q289" s="8"/>
      <c r="R289" s="27"/>
      <c r="S289" s="8"/>
      <c r="T289" s="27"/>
      <c r="U289" s="8"/>
      <c r="V289" s="27"/>
      <c r="W289" s="8"/>
      <c r="X289" s="27"/>
      <c r="Y289" s="8"/>
      <c r="Z289" s="27"/>
      <c r="AA289" s="8"/>
      <c r="AB289" s="27"/>
      <c r="AC289" s="8"/>
      <c r="AD289" s="27"/>
      <c r="AE289" s="8"/>
      <c r="AF289" s="27"/>
      <c r="AG289" s="8"/>
      <c r="AH289" s="27"/>
      <c r="AI289" s="8"/>
      <c r="AJ289" s="27"/>
      <c r="AK289" s="8"/>
      <c r="AL289" s="15"/>
      <c r="AM289" s="15"/>
      <c r="AN289" s="8"/>
      <c r="AO289" s="8"/>
      <c r="AP289" s="8"/>
    </row>
    <row r="290" spans="2:42">
      <c r="B290" s="71"/>
      <c r="C290" s="8"/>
      <c r="D290" s="27"/>
      <c r="E290" s="8"/>
      <c r="F290" s="27"/>
      <c r="G290" s="8"/>
      <c r="H290" s="27"/>
      <c r="I290" s="8"/>
      <c r="J290" s="27"/>
      <c r="K290" s="8"/>
      <c r="L290" s="27"/>
      <c r="M290" s="8"/>
      <c r="N290" s="27"/>
      <c r="O290" s="8"/>
      <c r="P290" s="27"/>
      <c r="Q290" s="8"/>
      <c r="R290" s="27"/>
      <c r="S290" s="8"/>
      <c r="T290" s="27"/>
      <c r="U290" s="8"/>
      <c r="V290" s="27"/>
      <c r="W290" s="8"/>
      <c r="X290" s="27"/>
      <c r="Y290" s="8"/>
      <c r="Z290" s="27"/>
      <c r="AA290" s="8"/>
      <c r="AB290" s="27"/>
      <c r="AC290" s="8"/>
      <c r="AD290" s="27"/>
      <c r="AE290" s="8"/>
      <c r="AF290" s="27"/>
      <c r="AG290" s="8"/>
      <c r="AH290" s="27"/>
      <c r="AI290" s="8"/>
      <c r="AJ290" s="27"/>
      <c r="AK290" s="8"/>
      <c r="AL290" s="15"/>
      <c r="AM290" s="15"/>
      <c r="AN290" s="8"/>
      <c r="AO290" s="8"/>
      <c r="AP290" s="8"/>
    </row>
    <row r="291" spans="2:42">
      <c r="B291" s="71"/>
      <c r="C291" s="8"/>
      <c r="D291" s="27"/>
      <c r="E291" s="8"/>
      <c r="F291" s="27"/>
      <c r="G291" s="8"/>
      <c r="H291" s="27"/>
      <c r="I291" s="8"/>
      <c r="J291" s="27"/>
      <c r="K291" s="8"/>
      <c r="L291" s="27"/>
      <c r="M291" s="8"/>
      <c r="N291" s="27"/>
      <c r="O291" s="8"/>
      <c r="P291" s="27"/>
      <c r="Q291" s="8"/>
      <c r="R291" s="27"/>
      <c r="S291" s="8"/>
      <c r="T291" s="27"/>
      <c r="U291" s="8"/>
      <c r="V291" s="27"/>
      <c r="W291" s="8"/>
      <c r="X291" s="27"/>
      <c r="Y291" s="8"/>
      <c r="Z291" s="27"/>
      <c r="AA291" s="8"/>
      <c r="AB291" s="27"/>
      <c r="AC291" s="8"/>
      <c r="AD291" s="27"/>
      <c r="AE291" s="8"/>
      <c r="AF291" s="27"/>
      <c r="AG291" s="8"/>
      <c r="AH291" s="27"/>
      <c r="AI291" s="8"/>
      <c r="AJ291" s="27"/>
      <c r="AK291" s="8"/>
      <c r="AL291" s="15"/>
      <c r="AM291" s="15"/>
      <c r="AN291" s="8"/>
      <c r="AO291" s="8"/>
      <c r="AP291" s="8"/>
    </row>
    <row r="292" spans="2:42">
      <c r="B292" s="71"/>
      <c r="C292" s="8"/>
      <c r="D292" s="27"/>
      <c r="E292" s="8"/>
      <c r="F292" s="27"/>
      <c r="G292" s="8"/>
      <c r="H292" s="27"/>
      <c r="I292" s="8"/>
      <c r="J292" s="27"/>
      <c r="K292" s="8"/>
      <c r="L292" s="27"/>
      <c r="M292" s="8"/>
      <c r="N292" s="27"/>
      <c r="O292" s="8"/>
      <c r="P292" s="27"/>
      <c r="Q292" s="8"/>
      <c r="R292" s="27"/>
      <c r="S292" s="8"/>
      <c r="T292" s="27"/>
      <c r="U292" s="8"/>
      <c r="V292" s="27"/>
      <c r="W292" s="8"/>
      <c r="X292" s="27"/>
      <c r="Y292" s="8"/>
      <c r="Z292" s="27"/>
      <c r="AA292" s="8"/>
      <c r="AB292" s="27"/>
      <c r="AC292" s="8"/>
      <c r="AD292" s="27"/>
      <c r="AE292" s="8"/>
      <c r="AF292" s="27"/>
      <c r="AG292" s="8"/>
      <c r="AH292" s="27"/>
      <c r="AI292" s="8"/>
      <c r="AJ292" s="27"/>
      <c r="AK292" s="8"/>
      <c r="AL292" s="15"/>
      <c r="AM292" s="15"/>
      <c r="AN292" s="8"/>
      <c r="AO292" s="8"/>
      <c r="AP292" s="8"/>
    </row>
    <row r="293" spans="2:42">
      <c r="B293" s="71"/>
      <c r="C293" s="8"/>
      <c r="D293" s="27"/>
      <c r="E293" s="8"/>
      <c r="F293" s="27"/>
      <c r="G293" s="8"/>
      <c r="H293" s="27"/>
      <c r="I293" s="8"/>
      <c r="J293" s="27"/>
      <c r="K293" s="8"/>
      <c r="L293" s="27"/>
      <c r="M293" s="8"/>
      <c r="N293" s="27"/>
      <c r="O293" s="8"/>
      <c r="P293" s="27"/>
      <c r="Q293" s="8"/>
      <c r="R293" s="27"/>
      <c r="S293" s="8"/>
      <c r="T293" s="27"/>
      <c r="U293" s="8"/>
      <c r="V293" s="27"/>
      <c r="W293" s="8"/>
      <c r="X293" s="27"/>
      <c r="Y293" s="8"/>
      <c r="Z293" s="27"/>
      <c r="AA293" s="8"/>
      <c r="AB293" s="27"/>
      <c r="AC293" s="8"/>
      <c r="AD293" s="27"/>
      <c r="AE293" s="8"/>
      <c r="AF293" s="27"/>
      <c r="AG293" s="8"/>
      <c r="AH293" s="27"/>
      <c r="AI293" s="8"/>
      <c r="AJ293" s="27"/>
      <c r="AK293" s="8"/>
      <c r="AL293" s="15"/>
      <c r="AM293" s="15"/>
      <c r="AN293" s="8"/>
      <c r="AO293" s="8"/>
      <c r="AP293" s="8"/>
    </row>
    <row r="294" spans="2:42">
      <c r="B294" s="71"/>
      <c r="C294" s="8"/>
      <c r="D294" s="27"/>
      <c r="E294" s="8"/>
      <c r="F294" s="27"/>
      <c r="G294" s="8"/>
      <c r="H294" s="27"/>
      <c r="I294" s="8"/>
      <c r="J294" s="27"/>
      <c r="K294" s="8"/>
      <c r="L294" s="27"/>
      <c r="M294" s="8"/>
      <c r="N294" s="27"/>
      <c r="O294" s="8"/>
      <c r="P294" s="27"/>
      <c r="Q294" s="8"/>
      <c r="R294" s="27"/>
      <c r="S294" s="8"/>
      <c r="T294" s="27"/>
      <c r="U294" s="8"/>
      <c r="V294" s="27"/>
      <c r="W294" s="8"/>
      <c r="X294" s="27"/>
      <c r="Y294" s="8"/>
      <c r="Z294" s="27"/>
      <c r="AA294" s="8"/>
      <c r="AB294" s="27"/>
      <c r="AC294" s="8"/>
      <c r="AD294" s="27"/>
      <c r="AE294" s="8"/>
      <c r="AF294" s="27"/>
      <c r="AG294" s="8"/>
      <c r="AH294" s="27"/>
      <c r="AI294" s="8"/>
      <c r="AJ294" s="27"/>
      <c r="AK294" s="8"/>
      <c r="AL294" s="15"/>
      <c r="AM294" s="15"/>
      <c r="AN294" s="8"/>
      <c r="AO294" s="8"/>
      <c r="AP294" s="8"/>
    </row>
    <row r="295" spans="2:42">
      <c r="B295" s="71"/>
      <c r="C295" s="8"/>
      <c r="D295" s="27"/>
      <c r="E295" s="8"/>
      <c r="F295" s="27"/>
      <c r="G295" s="8"/>
      <c r="H295" s="27"/>
      <c r="I295" s="8"/>
      <c r="J295" s="27"/>
      <c r="K295" s="8"/>
      <c r="L295" s="27"/>
      <c r="M295" s="8"/>
      <c r="N295" s="27"/>
      <c r="O295" s="8"/>
      <c r="P295" s="27"/>
      <c r="Q295" s="8"/>
      <c r="R295" s="27"/>
      <c r="S295" s="8"/>
      <c r="T295" s="27"/>
      <c r="U295" s="8"/>
      <c r="V295" s="27"/>
      <c r="W295" s="8"/>
      <c r="X295" s="27"/>
      <c r="Y295" s="8"/>
      <c r="Z295" s="27"/>
      <c r="AA295" s="8"/>
      <c r="AB295" s="27"/>
      <c r="AC295" s="8"/>
      <c r="AD295" s="27"/>
      <c r="AE295" s="8"/>
      <c r="AF295" s="27"/>
      <c r="AG295" s="8"/>
      <c r="AH295" s="27"/>
      <c r="AI295" s="8"/>
      <c r="AJ295" s="27"/>
      <c r="AK295" s="8"/>
      <c r="AL295" s="15"/>
      <c r="AM295" s="15"/>
      <c r="AN295" s="8"/>
      <c r="AO295" s="8"/>
      <c r="AP295" s="8"/>
    </row>
    <row r="296" spans="2:42">
      <c r="B296" s="71"/>
      <c r="C296" s="8"/>
      <c r="D296" s="27"/>
      <c r="E296" s="8"/>
      <c r="F296" s="27"/>
      <c r="G296" s="8"/>
      <c r="H296" s="27"/>
      <c r="I296" s="8"/>
      <c r="J296" s="27"/>
      <c r="K296" s="8"/>
      <c r="L296" s="27"/>
      <c r="M296" s="8"/>
      <c r="N296" s="27"/>
      <c r="O296" s="8"/>
      <c r="P296" s="27"/>
      <c r="Q296" s="8"/>
      <c r="R296" s="27"/>
      <c r="S296" s="8"/>
      <c r="T296" s="27"/>
      <c r="U296" s="8"/>
      <c r="V296" s="27"/>
      <c r="W296" s="8"/>
      <c r="X296" s="27"/>
      <c r="Y296" s="8"/>
      <c r="Z296" s="27"/>
      <c r="AA296" s="8"/>
      <c r="AB296" s="27"/>
      <c r="AC296" s="8"/>
      <c r="AD296" s="27"/>
      <c r="AE296" s="8"/>
      <c r="AF296" s="27"/>
      <c r="AG296" s="8"/>
      <c r="AH296" s="27"/>
      <c r="AI296" s="8"/>
      <c r="AJ296" s="27"/>
      <c r="AK296" s="8"/>
      <c r="AL296" s="15"/>
      <c r="AM296" s="15"/>
      <c r="AN296" s="8"/>
      <c r="AO296" s="8"/>
      <c r="AP296" s="8"/>
    </row>
    <row r="297" spans="2:42">
      <c r="B297" s="71"/>
      <c r="C297" s="8"/>
      <c r="D297" s="27"/>
      <c r="E297" s="8"/>
      <c r="F297" s="27"/>
      <c r="G297" s="8"/>
      <c r="H297" s="27"/>
      <c r="I297" s="8"/>
      <c r="J297" s="27"/>
      <c r="K297" s="8"/>
      <c r="L297" s="27"/>
      <c r="M297" s="8"/>
      <c r="N297" s="27"/>
      <c r="O297" s="8"/>
      <c r="P297" s="27"/>
      <c r="Q297" s="8"/>
      <c r="R297" s="27"/>
      <c r="S297" s="8"/>
      <c r="T297" s="27"/>
      <c r="U297" s="8"/>
      <c r="V297" s="27"/>
      <c r="W297" s="8"/>
      <c r="X297" s="27"/>
      <c r="Y297" s="8"/>
      <c r="Z297" s="27"/>
      <c r="AA297" s="8"/>
      <c r="AB297" s="27"/>
      <c r="AC297" s="8"/>
      <c r="AD297" s="27"/>
      <c r="AE297" s="8"/>
      <c r="AF297" s="27"/>
      <c r="AG297" s="8"/>
      <c r="AH297" s="27"/>
      <c r="AI297" s="8"/>
      <c r="AJ297" s="27"/>
      <c r="AK297" s="8"/>
      <c r="AL297" s="15"/>
      <c r="AM297" s="15"/>
      <c r="AN297" s="8"/>
      <c r="AO297" s="8"/>
      <c r="AP297" s="8"/>
    </row>
    <row r="298" spans="2:42">
      <c r="B298" s="71"/>
      <c r="C298" s="8"/>
      <c r="D298" s="27"/>
      <c r="E298" s="8"/>
      <c r="F298" s="27"/>
      <c r="G298" s="8"/>
      <c r="H298" s="27"/>
      <c r="I298" s="8"/>
      <c r="J298" s="27"/>
      <c r="K298" s="8"/>
      <c r="L298" s="27"/>
      <c r="M298" s="8"/>
      <c r="N298" s="27"/>
      <c r="O298" s="8"/>
      <c r="P298" s="27"/>
      <c r="Q298" s="8"/>
      <c r="R298" s="27"/>
      <c r="S298" s="8"/>
      <c r="T298" s="27"/>
      <c r="U298" s="8"/>
      <c r="V298" s="27"/>
      <c r="W298" s="8"/>
      <c r="X298" s="27"/>
      <c r="Y298" s="8"/>
      <c r="Z298" s="27"/>
      <c r="AA298" s="8"/>
      <c r="AB298" s="27"/>
      <c r="AC298" s="8"/>
      <c r="AD298" s="27"/>
      <c r="AE298" s="8"/>
      <c r="AF298" s="27"/>
      <c r="AG298" s="8"/>
      <c r="AH298" s="27"/>
      <c r="AI298" s="8"/>
      <c r="AJ298" s="27"/>
      <c r="AK298" s="8"/>
      <c r="AL298" s="15"/>
      <c r="AM298" s="15"/>
      <c r="AN298" s="8"/>
      <c r="AO298" s="8"/>
      <c r="AP298" s="8"/>
    </row>
    <row r="299" spans="2:42">
      <c r="B299" s="71"/>
      <c r="C299" s="8"/>
      <c r="D299" s="27"/>
      <c r="E299" s="8"/>
      <c r="F299" s="27"/>
      <c r="G299" s="8"/>
      <c r="H299" s="27"/>
      <c r="I299" s="8"/>
      <c r="J299" s="27"/>
      <c r="K299" s="8"/>
      <c r="L299" s="27"/>
      <c r="M299" s="8"/>
      <c r="N299" s="27"/>
      <c r="O299" s="8"/>
      <c r="P299" s="27"/>
      <c r="Q299" s="8"/>
      <c r="R299" s="27"/>
      <c r="S299" s="8"/>
      <c r="T299" s="27"/>
      <c r="U299" s="8"/>
      <c r="V299" s="27"/>
      <c r="W299" s="8"/>
      <c r="X299" s="27"/>
      <c r="Y299" s="8"/>
      <c r="Z299" s="27"/>
      <c r="AA299" s="8"/>
      <c r="AB299" s="27"/>
      <c r="AC299" s="8"/>
      <c r="AD299" s="27"/>
      <c r="AE299" s="8"/>
      <c r="AF299" s="27"/>
      <c r="AG299" s="8"/>
      <c r="AH299" s="27"/>
      <c r="AI299" s="8"/>
      <c r="AJ299" s="27"/>
      <c r="AK299" s="8"/>
      <c r="AL299" s="15"/>
      <c r="AM299" s="15"/>
      <c r="AN299" s="8"/>
      <c r="AO299" s="8"/>
      <c r="AP299" s="8"/>
    </row>
    <row r="300" spans="2:42">
      <c r="B300" s="71"/>
      <c r="C300" s="8"/>
      <c r="D300" s="27"/>
      <c r="E300" s="8"/>
      <c r="F300" s="27"/>
      <c r="G300" s="8"/>
      <c r="H300" s="27"/>
      <c r="I300" s="8"/>
      <c r="J300" s="27"/>
      <c r="K300" s="8"/>
      <c r="L300" s="27"/>
      <c r="M300" s="8"/>
      <c r="N300" s="27"/>
      <c r="O300" s="8"/>
      <c r="P300" s="27"/>
      <c r="Q300" s="8"/>
      <c r="R300" s="27"/>
      <c r="S300" s="8"/>
      <c r="T300" s="27"/>
      <c r="U300" s="8"/>
      <c r="V300" s="27"/>
      <c r="W300" s="8"/>
      <c r="X300" s="27"/>
      <c r="Y300" s="8"/>
      <c r="Z300" s="27"/>
      <c r="AA300" s="8"/>
      <c r="AB300" s="27"/>
      <c r="AC300" s="8"/>
      <c r="AD300" s="27"/>
      <c r="AE300" s="8"/>
      <c r="AF300" s="27"/>
      <c r="AG300" s="8"/>
      <c r="AH300" s="27"/>
      <c r="AI300" s="8"/>
      <c r="AJ300" s="27"/>
      <c r="AK300" s="8"/>
      <c r="AL300" s="15"/>
      <c r="AM300" s="15"/>
      <c r="AN300" s="8"/>
      <c r="AO300" s="8"/>
      <c r="AP300" s="8"/>
    </row>
    <row r="301" spans="2:42">
      <c r="B301" s="71"/>
      <c r="C301" s="8"/>
      <c r="D301" s="27"/>
      <c r="E301" s="8"/>
      <c r="F301" s="27"/>
      <c r="G301" s="8"/>
      <c r="H301" s="27"/>
      <c r="I301" s="8"/>
      <c r="J301" s="27"/>
      <c r="K301" s="8"/>
      <c r="L301" s="27"/>
      <c r="M301" s="8"/>
      <c r="N301" s="27"/>
      <c r="O301" s="8"/>
      <c r="P301" s="27"/>
      <c r="Q301" s="8"/>
      <c r="R301" s="27"/>
      <c r="S301" s="8"/>
      <c r="T301" s="27"/>
      <c r="U301" s="8"/>
      <c r="V301" s="27"/>
      <c r="W301" s="8"/>
      <c r="X301" s="27"/>
      <c r="Y301" s="8"/>
      <c r="Z301" s="27"/>
      <c r="AA301" s="8"/>
      <c r="AB301" s="27"/>
      <c r="AC301" s="8"/>
      <c r="AD301" s="27"/>
      <c r="AE301" s="8"/>
      <c r="AF301" s="27"/>
      <c r="AG301" s="8"/>
      <c r="AH301" s="27"/>
      <c r="AI301" s="8"/>
      <c r="AJ301" s="27"/>
      <c r="AK301" s="8"/>
      <c r="AL301" s="15"/>
      <c r="AM301" s="15"/>
      <c r="AN301" s="8"/>
      <c r="AO301" s="8"/>
      <c r="AP301" s="8"/>
    </row>
    <row r="302" spans="2:42">
      <c r="B302" s="71"/>
      <c r="C302" s="8"/>
      <c r="D302" s="27"/>
      <c r="E302" s="8"/>
      <c r="F302" s="27"/>
      <c r="G302" s="8"/>
      <c r="H302" s="27"/>
      <c r="I302" s="8"/>
      <c r="J302" s="27"/>
      <c r="K302" s="8"/>
      <c r="L302" s="27"/>
      <c r="M302" s="8"/>
      <c r="N302" s="27"/>
      <c r="O302" s="8"/>
      <c r="P302" s="27"/>
      <c r="Q302" s="8"/>
      <c r="R302" s="27"/>
      <c r="S302" s="8"/>
      <c r="T302" s="27"/>
      <c r="U302" s="8"/>
      <c r="V302" s="27"/>
      <c r="W302" s="8"/>
      <c r="X302" s="27"/>
      <c r="Y302" s="8"/>
      <c r="Z302" s="27"/>
      <c r="AA302" s="8"/>
      <c r="AB302" s="27"/>
      <c r="AC302" s="8"/>
      <c r="AD302" s="27"/>
      <c r="AE302" s="8"/>
      <c r="AF302" s="27"/>
      <c r="AG302" s="8"/>
      <c r="AH302" s="27"/>
      <c r="AI302" s="8"/>
      <c r="AJ302" s="27"/>
      <c r="AK302" s="8"/>
      <c r="AL302" s="15"/>
      <c r="AM302" s="15"/>
      <c r="AN302" s="8"/>
      <c r="AO302" s="8"/>
      <c r="AP302" s="8"/>
    </row>
    <row r="303" spans="2:42">
      <c r="B303" s="71"/>
      <c r="C303" s="8"/>
      <c r="D303" s="27"/>
      <c r="E303" s="8"/>
      <c r="F303" s="27"/>
      <c r="G303" s="8"/>
      <c r="H303" s="27"/>
      <c r="I303" s="8"/>
      <c r="J303" s="27"/>
      <c r="K303" s="8"/>
      <c r="L303" s="27"/>
      <c r="M303" s="8"/>
      <c r="N303" s="27"/>
      <c r="O303" s="8"/>
      <c r="P303" s="27"/>
      <c r="Q303" s="8"/>
      <c r="R303" s="27"/>
      <c r="S303" s="8"/>
      <c r="T303" s="27"/>
      <c r="U303" s="8"/>
      <c r="V303" s="27"/>
      <c r="W303" s="8"/>
      <c r="X303" s="27"/>
      <c r="Y303" s="8"/>
      <c r="Z303" s="27"/>
      <c r="AA303" s="8"/>
      <c r="AB303" s="27"/>
      <c r="AC303" s="8"/>
      <c r="AD303" s="27"/>
      <c r="AE303" s="8"/>
      <c r="AF303" s="27"/>
      <c r="AG303" s="8"/>
      <c r="AH303" s="27"/>
      <c r="AI303" s="8"/>
      <c r="AJ303" s="27"/>
      <c r="AK303" s="8"/>
      <c r="AL303" s="15"/>
      <c r="AM303" s="15"/>
      <c r="AN303" s="8"/>
      <c r="AO303" s="8"/>
      <c r="AP303" s="8"/>
    </row>
    <row r="304" spans="2:42">
      <c r="B304" s="71"/>
      <c r="C304" s="8"/>
      <c r="D304" s="27"/>
      <c r="E304" s="8"/>
      <c r="F304" s="27"/>
      <c r="G304" s="8"/>
      <c r="H304" s="27"/>
      <c r="I304" s="8"/>
      <c r="J304" s="27"/>
      <c r="K304" s="8"/>
      <c r="L304" s="27"/>
      <c r="M304" s="8"/>
      <c r="N304" s="27"/>
      <c r="O304" s="8"/>
      <c r="P304" s="27"/>
      <c r="Q304" s="8"/>
      <c r="R304" s="27"/>
      <c r="S304" s="8"/>
      <c r="T304" s="27"/>
      <c r="U304" s="8"/>
      <c r="V304" s="27"/>
      <c r="W304" s="8"/>
      <c r="X304" s="27"/>
      <c r="Y304" s="8"/>
      <c r="Z304" s="27"/>
      <c r="AA304" s="8"/>
      <c r="AB304" s="27"/>
      <c r="AC304" s="8"/>
      <c r="AD304" s="27"/>
      <c r="AE304" s="8"/>
      <c r="AF304" s="27"/>
      <c r="AG304" s="8"/>
      <c r="AH304" s="27"/>
      <c r="AI304" s="8"/>
      <c r="AJ304" s="27"/>
      <c r="AK304" s="8"/>
      <c r="AL304" s="15"/>
      <c r="AM304" s="15"/>
      <c r="AN304" s="8"/>
      <c r="AO304" s="8"/>
      <c r="AP304" s="8"/>
    </row>
    <row r="305" spans="2:42">
      <c r="B305" s="71"/>
      <c r="C305" s="8"/>
      <c r="D305" s="27"/>
      <c r="E305" s="8"/>
      <c r="F305" s="27"/>
      <c r="G305" s="8"/>
      <c r="H305" s="27"/>
      <c r="I305" s="8"/>
      <c r="J305" s="27"/>
      <c r="K305" s="8"/>
      <c r="L305" s="27"/>
      <c r="M305" s="8"/>
      <c r="N305" s="27"/>
      <c r="O305" s="8"/>
      <c r="P305" s="27"/>
      <c r="Q305" s="8"/>
      <c r="R305" s="27"/>
      <c r="S305" s="8"/>
      <c r="T305" s="27"/>
      <c r="U305" s="8"/>
      <c r="V305" s="27"/>
      <c r="W305" s="8"/>
      <c r="X305" s="27"/>
      <c r="Y305" s="8"/>
      <c r="Z305" s="27"/>
      <c r="AA305" s="8"/>
      <c r="AB305" s="27"/>
      <c r="AC305" s="8"/>
      <c r="AD305" s="27"/>
      <c r="AE305" s="8"/>
      <c r="AF305" s="27"/>
      <c r="AG305" s="8"/>
      <c r="AH305" s="27"/>
      <c r="AI305" s="8"/>
      <c r="AJ305" s="27"/>
      <c r="AK305" s="8"/>
      <c r="AL305" s="15"/>
      <c r="AM305" s="15"/>
      <c r="AN305" s="8"/>
      <c r="AO305" s="8"/>
      <c r="AP305" s="8"/>
    </row>
    <row r="306" spans="2:42">
      <c r="B306" s="71"/>
      <c r="C306" s="8"/>
      <c r="D306" s="27"/>
      <c r="E306" s="8"/>
      <c r="F306" s="27"/>
      <c r="G306" s="8"/>
      <c r="H306" s="27"/>
      <c r="I306" s="8"/>
      <c r="J306" s="27"/>
      <c r="K306" s="8"/>
      <c r="L306" s="27"/>
      <c r="M306" s="8"/>
      <c r="N306" s="27"/>
      <c r="O306" s="8"/>
      <c r="P306" s="27"/>
      <c r="Q306" s="8"/>
      <c r="R306" s="27"/>
      <c r="S306" s="8"/>
      <c r="T306" s="27"/>
      <c r="U306" s="8"/>
      <c r="V306" s="27"/>
      <c r="W306" s="8"/>
      <c r="X306" s="27"/>
      <c r="Y306" s="8"/>
      <c r="Z306" s="27"/>
      <c r="AA306" s="8"/>
      <c r="AB306" s="27"/>
      <c r="AC306" s="8"/>
      <c r="AD306" s="27"/>
      <c r="AE306" s="8"/>
      <c r="AF306" s="27"/>
      <c r="AG306" s="8"/>
      <c r="AH306" s="27"/>
      <c r="AI306" s="8"/>
      <c r="AJ306" s="27"/>
      <c r="AK306" s="8"/>
      <c r="AL306" s="15"/>
      <c r="AM306" s="15"/>
      <c r="AN306" s="8"/>
      <c r="AO306" s="8"/>
      <c r="AP306" s="8"/>
    </row>
    <row r="307" spans="2:42">
      <c r="B307" s="71"/>
      <c r="C307" s="8"/>
      <c r="D307" s="27"/>
      <c r="E307" s="8"/>
      <c r="F307" s="27"/>
      <c r="G307" s="8"/>
      <c r="H307" s="27"/>
      <c r="I307" s="8"/>
      <c r="J307" s="27"/>
      <c r="K307" s="8"/>
      <c r="L307" s="27"/>
      <c r="M307" s="8"/>
      <c r="N307" s="27"/>
      <c r="O307" s="8"/>
      <c r="P307" s="27"/>
      <c r="Q307" s="8"/>
      <c r="R307" s="27"/>
      <c r="S307" s="8"/>
      <c r="T307" s="27"/>
      <c r="U307" s="8"/>
      <c r="V307" s="27"/>
      <c r="W307" s="8"/>
      <c r="X307" s="27"/>
      <c r="Y307" s="8"/>
      <c r="Z307" s="27"/>
      <c r="AA307" s="8"/>
      <c r="AB307" s="27"/>
      <c r="AC307" s="8"/>
      <c r="AD307" s="27"/>
      <c r="AE307" s="8"/>
      <c r="AF307" s="27"/>
      <c r="AG307" s="8"/>
      <c r="AH307" s="27"/>
      <c r="AI307" s="8"/>
      <c r="AJ307" s="27"/>
      <c r="AK307" s="8"/>
      <c r="AL307" s="15"/>
      <c r="AM307" s="15"/>
      <c r="AN307" s="8"/>
      <c r="AO307" s="8"/>
      <c r="AP307" s="8"/>
    </row>
    <row r="308" spans="2:42">
      <c r="B308" s="71"/>
      <c r="C308" s="8"/>
      <c r="D308" s="27"/>
      <c r="E308" s="8"/>
      <c r="F308" s="27"/>
      <c r="G308" s="8"/>
      <c r="H308" s="27"/>
      <c r="I308" s="8"/>
      <c r="J308" s="27"/>
      <c r="K308" s="8"/>
      <c r="L308" s="27"/>
      <c r="M308" s="8"/>
      <c r="N308" s="27"/>
      <c r="O308" s="8"/>
      <c r="P308" s="27"/>
      <c r="Q308" s="8"/>
      <c r="R308" s="27"/>
      <c r="S308" s="8"/>
      <c r="T308" s="27"/>
      <c r="U308" s="8"/>
      <c r="V308" s="27"/>
      <c r="W308" s="8"/>
      <c r="X308" s="27"/>
      <c r="Y308" s="8"/>
      <c r="Z308" s="27"/>
      <c r="AA308" s="8"/>
      <c r="AB308" s="27"/>
      <c r="AC308" s="8"/>
      <c r="AD308" s="27"/>
      <c r="AE308" s="8"/>
      <c r="AF308" s="27"/>
      <c r="AG308" s="8"/>
      <c r="AH308" s="27"/>
      <c r="AI308" s="8"/>
      <c r="AJ308" s="27"/>
      <c r="AK308" s="8"/>
      <c r="AL308" s="15"/>
      <c r="AM308" s="15"/>
      <c r="AN308" s="8"/>
      <c r="AO308" s="8"/>
      <c r="AP308" s="8"/>
    </row>
    <row r="309" spans="2:42">
      <c r="B309" s="71"/>
      <c r="C309" s="8"/>
      <c r="D309" s="27"/>
      <c r="E309" s="8"/>
      <c r="F309" s="27"/>
      <c r="G309" s="8"/>
      <c r="H309" s="27"/>
      <c r="I309" s="8"/>
      <c r="J309" s="27"/>
      <c r="K309" s="8"/>
      <c r="L309" s="27"/>
      <c r="M309" s="8"/>
      <c r="N309" s="27"/>
      <c r="O309" s="8"/>
      <c r="P309" s="27"/>
      <c r="Q309" s="8"/>
      <c r="R309" s="27"/>
      <c r="S309" s="8"/>
      <c r="T309" s="27"/>
      <c r="U309" s="8"/>
      <c r="V309" s="27"/>
      <c r="W309" s="8"/>
      <c r="X309" s="27"/>
      <c r="Y309" s="8"/>
      <c r="Z309" s="27"/>
      <c r="AA309" s="8"/>
      <c r="AB309" s="27"/>
      <c r="AC309" s="8"/>
      <c r="AD309" s="27"/>
      <c r="AE309" s="8"/>
      <c r="AF309" s="27"/>
      <c r="AG309" s="8"/>
      <c r="AH309" s="27"/>
      <c r="AI309" s="8"/>
      <c r="AJ309" s="27"/>
      <c r="AK309" s="8"/>
      <c r="AL309" s="15"/>
      <c r="AM309" s="15"/>
      <c r="AN309" s="8"/>
      <c r="AO309" s="8"/>
      <c r="AP309" s="8"/>
    </row>
    <row r="310" spans="2:42">
      <c r="B310" s="71"/>
      <c r="C310" s="8"/>
      <c r="D310" s="27"/>
      <c r="E310" s="8"/>
      <c r="F310" s="27"/>
      <c r="G310" s="8"/>
      <c r="H310" s="27"/>
      <c r="I310" s="8"/>
      <c r="J310" s="27"/>
      <c r="K310" s="8"/>
      <c r="L310" s="27"/>
      <c r="M310" s="8"/>
      <c r="N310" s="27"/>
      <c r="O310" s="8"/>
      <c r="P310" s="27"/>
      <c r="Q310" s="8"/>
      <c r="R310" s="27"/>
      <c r="S310" s="8"/>
      <c r="T310" s="27"/>
      <c r="U310" s="8"/>
      <c r="V310" s="27"/>
      <c r="W310" s="8"/>
      <c r="X310" s="27"/>
      <c r="Y310" s="8"/>
      <c r="Z310" s="27"/>
      <c r="AA310" s="8"/>
      <c r="AB310" s="27"/>
      <c r="AC310" s="8"/>
      <c r="AD310" s="27"/>
      <c r="AE310" s="8"/>
      <c r="AF310" s="27"/>
      <c r="AG310" s="8"/>
      <c r="AH310" s="27"/>
      <c r="AI310" s="8"/>
      <c r="AJ310" s="27"/>
      <c r="AK310" s="8"/>
      <c r="AL310" s="15"/>
      <c r="AM310" s="15"/>
      <c r="AN310" s="8"/>
      <c r="AO310" s="8"/>
      <c r="AP310" s="8"/>
    </row>
    <row r="311" spans="2:42">
      <c r="B311" s="71"/>
      <c r="C311" s="8"/>
      <c r="D311" s="27"/>
      <c r="E311" s="8"/>
      <c r="F311" s="27"/>
      <c r="G311" s="8"/>
      <c r="H311" s="27"/>
      <c r="I311" s="8"/>
      <c r="J311" s="27"/>
      <c r="K311" s="8"/>
      <c r="L311" s="27"/>
      <c r="M311" s="8"/>
      <c r="N311" s="27"/>
      <c r="O311" s="8"/>
      <c r="P311" s="27"/>
      <c r="Q311" s="8"/>
      <c r="R311" s="27"/>
      <c r="S311" s="8"/>
      <c r="T311" s="27"/>
      <c r="U311" s="8"/>
      <c r="V311" s="27"/>
      <c r="W311" s="8"/>
      <c r="X311" s="27"/>
      <c r="Y311" s="8"/>
      <c r="Z311" s="27"/>
      <c r="AA311" s="8"/>
      <c r="AB311" s="27"/>
      <c r="AC311" s="8"/>
      <c r="AD311" s="27"/>
      <c r="AE311" s="8"/>
      <c r="AF311" s="27"/>
      <c r="AG311" s="8"/>
      <c r="AH311" s="27"/>
      <c r="AI311" s="8"/>
      <c r="AJ311" s="27"/>
      <c r="AK311" s="8"/>
      <c r="AL311" s="15"/>
      <c r="AM311" s="15"/>
      <c r="AN311" s="8"/>
      <c r="AO311" s="8"/>
      <c r="AP311" s="8"/>
    </row>
    <row r="312" spans="2:42">
      <c r="B312" s="71"/>
      <c r="C312" s="8"/>
      <c r="D312" s="27"/>
      <c r="E312" s="8"/>
      <c r="F312" s="27"/>
      <c r="G312" s="8"/>
      <c r="H312" s="27"/>
      <c r="I312" s="8"/>
      <c r="J312" s="27"/>
      <c r="K312" s="8"/>
      <c r="L312" s="27"/>
      <c r="M312" s="8"/>
      <c r="N312" s="27"/>
      <c r="O312" s="8"/>
      <c r="P312" s="27"/>
      <c r="Q312" s="8"/>
      <c r="R312" s="27"/>
      <c r="S312" s="8"/>
      <c r="T312" s="27"/>
      <c r="U312" s="8"/>
      <c r="V312" s="27"/>
      <c r="W312" s="8"/>
      <c r="X312" s="27"/>
      <c r="Y312" s="8"/>
      <c r="Z312" s="27"/>
      <c r="AA312" s="8"/>
      <c r="AB312" s="27"/>
      <c r="AC312" s="8"/>
      <c r="AD312" s="27"/>
      <c r="AE312" s="8"/>
      <c r="AF312" s="27"/>
      <c r="AG312" s="8"/>
      <c r="AH312" s="27"/>
      <c r="AI312" s="8"/>
      <c r="AJ312" s="27"/>
      <c r="AK312" s="8"/>
      <c r="AL312" s="15"/>
      <c r="AM312" s="15"/>
      <c r="AN312" s="8"/>
      <c r="AO312" s="8"/>
      <c r="AP312" s="8"/>
    </row>
  </sheetData>
  <mergeCells count="65">
    <mergeCell ref="C24:C25"/>
    <mergeCell ref="B24:B27"/>
    <mergeCell ref="D24:I24"/>
    <mergeCell ref="J24:O24"/>
    <mergeCell ref="P24:U24"/>
    <mergeCell ref="D26:E26"/>
    <mergeCell ref="F26:G26"/>
    <mergeCell ref="H26:I26"/>
    <mergeCell ref="J26:K26"/>
    <mergeCell ref="N27:O27"/>
    <mergeCell ref="P27:Q27"/>
    <mergeCell ref="D27:E27"/>
    <mergeCell ref="F27:G27"/>
    <mergeCell ref="H27:I27"/>
    <mergeCell ref="J27:K27"/>
    <mergeCell ref="L27:M27"/>
    <mergeCell ref="V24:AA24"/>
    <mergeCell ref="D25:E25"/>
    <mergeCell ref="F25:G25"/>
    <mergeCell ref="H25:I25"/>
    <mergeCell ref="J25:K25"/>
    <mergeCell ref="L25:M25"/>
    <mergeCell ref="N25:O25"/>
    <mergeCell ref="T25:U25"/>
    <mergeCell ref="P25:Q25"/>
    <mergeCell ref="R25:S25"/>
    <mergeCell ref="X26:Y26"/>
    <mergeCell ref="Z26:AA26"/>
    <mergeCell ref="V25:W25"/>
    <mergeCell ref="X25:Y25"/>
    <mergeCell ref="Z25:AA25"/>
    <mergeCell ref="P26:Q26"/>
    <mergeCell ref="R26:S26"/>
    <mergeCell ref="L26:M26"/>
    <mergeCell ref="T26:U26"/>
    <mergeCell ref="V26:W26"/>
    <mergeCell ref="N26:O26"/>
    <mergeCell ref="AD27:AE27"/>
    <mergeCell ref="X27:Y27"/>
    <mergeCell ref="Z27:AA27"/>
    <mergeCell ref="R27:S27"/>
    <mergeCell ref="T27:U27"/>
    <mergeCell ref="V27:W27"/>
    <mergeCell ref="AB27:AC27"/>
    <mergeCell ref="AF27:AG27"/>
    <mergeCell ref="AH25:AI25"/>
    <mergeCell ref="AF26:AG26"/>
    <mergeCell ref="AJ25:AK25"/>
    <mergeCell ref="AF25:AG25"/>
    <mergeCell ref="AB24:AG24"/>
    <mergeCell ref="AH26:AI26"/>
    <mergeCell ref="AJ26:AK26"/>
    <mergeCell ref="AB26:AC26"/>
    <mergeCell ref="AD26:AE26"/>
    <mergeCell ref="AB25:AC25"/>
    <mergeCell ref="AD25:AE25"/>
    <mergeCell ref="AN25:AN27"/>
    <mergeCell ref="AO24:AO27"/>
    <mergeCell ref="AP24:AP27"/>
    <mergeCell ref="AJ22:AM22"/>
    <mergeCell ref="AH24:AK24"/>
    <mergeCell ref="AL25:AL27"/>
    <mergeCell ref="AM25:AM27"/>
    <mergeCell ref="AH27:AI27"/>
    <mergeCell ref="AJ27:AK27"/>
  </mergeCells>
  <conditionalFormatting sqref="K28:K197 Q28:Q198 W28:W197 AC28:AC197 E28:E197 G28:G197 M28:M197 O28:O197 S28:S197 Y28:Y197 AA28:AA197 AE28:AE197 AG28:AG197 AI28:AI197 AK28:AK197 I28:I197 U28:U197 AM199:AM201 AO199:AO201">
    <cfRule type="cellIs" dxfId="237" priority="53" operator="equal">
      <formula>"F"</formula>
    </cfRule>
  </conditionalFormatting>
  <conditionalFormatting sqref="AN28:AP197 AQ199:AQ201">
    <cfRule type="cellIs" dxfId="236" priority="51" operator="equal">
      <formula>"FAIL"</formula>
    </cfRule>
  </conditionalFormatting>
  <conditionalFormatting sqref="D7:D1048576 D1:D5 J1:J1048576 P1:P1048576 V1:V1048576 AB1:AB1048576">
    <cfRule type="cellIs" dxfId="235" priority="25" operator="equal">
      <formula>"AB"</formula>
    </cfRule>
    <cfRule type="cellIs" dxfId="234" priority="26" operator="lessThan">
      <formula>40</formula>
    </cfRule>
  </conditionalFormatting>
  <conditionalFormatting sqref="F1:F1048576 L1:L1048576 N1:N1048576 R1:R1048576 X1:X1048576 Z1:Z1048576 AD1:AD1048576 AF1:AF1048576 AH1:AH1048576 AJ1:AJ1048576">
    <cfRule type="cellIs" dxfId="233" priority="23" operator="equal">
      <formula>"AB"</formula>
    </cfRule>
    <cfRule type="cellIs" dxfId="232" priority="24" operator="lessThan">
      <formula>10</formula>
    </cfRule>
  </conditionalFormatting>
  <conditionalFormatting sqref="H1:H1048576 T1:T1048576">
    <cfRule type="cellIs" dxfId="231" priority="21" operator="equal">
      <formula>"AB"</formula>
    </cfRule>
    <cfRule type="cellIs" dxfId="230" priority="22" operator="lessThan">
      <formula>20</formula>
    </cfRule>
  </conditionalFormatting>
  <conditionalFormatting sqref="D7:D14 D4">
    <cfRule type="cellIs" dxfId="229" priority="20" operator="lessThan">
      <formula>40</formula>
    </cfRule>
  </conditionalFormatting>
  <conditionalFormatting sqref="D7:D14 D4 AL199:AL201 AN199:AN201">
    <cfRule type="cellIs" dxfId="228" priority="19" operator="equal">
      <formula>"AB"</formula>
    </cfRule>
  </conditionalFormatting>
  <conditionalFormatting sqref="AL199:AL201">
    <cfRule type="cellIs" dxfId="227" priority="16" operator="lessThan">
      <formula>10</formula>
    </cfRule>
  </conditionalFormatting>
  <conditionalFormatting sqref="AN199:AN201">
    <cfRule type="cellIs" dxfId="226" priority="15" operator="lessThan">
      <formula>20</formula>
    </cfRule>
  </conditionalFormatting>
  <conditionalFormatting sqref="AM199:AM201">
    <cfRule type="containsText" dxfId="225" priority="13" operator="containsText" text="FAIL">
      <formula>NOT(ISERROR(SEARCH("FAIL",AM199)))</formula>
    </cfRule>
  </conditionalFormatting>
  <conditionalFormatting sqref="J7:J14">
    <cfRule type="cellIs" dxfId="224" priority="12" operator="lessThan">
      <formula>40</formula>
    </cfRule>
  </conditionalFormatting>
  <conditionalFormatting sqref="J7:J14">
    <cfRule type="cellIs" dxfId="223" priority="11" operator="equal">
      <formula>"AB"</formula>
    </cfRule>
  </conditionalFormatting>
  <conditionalFormatting sqref="P7:P14">
    <cfRule type="cellIs" dxfId="222" priority="10" operator="lessThan">
      <formula>40</formula>
    </cfRule>
  </conditionalFormatting>
  <conditionalFormatting sqref="P7:P14">
    <cfRule type="cellIs" dxfId="221" priority="9" operator="equal">
      <formula>"AB"</formula>
    </cfRule>
  </conditionalFormatting>
  <conditionalFormatting sqref="V7:V14">
    <cfRule type="cellIs" dxfId="220" priority="8" operator="lessThan">
      <formula>40</formula>
    </cfRule>
  </conditionalFormatting>
  <conditionalFormatting sqref="V7:V14">
    <cfRule type="cellIs" dxfId="219" priority="7" operator="equal">
      <formula>"AB"</formula>
    </cfRule>
  </conditionalFormatting>
  <conditionalFormatting sqref="AB7:AB14">
    <cfRule type="cellIs" dxfId="218" priority="6" operator="lessThan">
      <formula>40</formula>
    </cfRule>
  </conditionalFormatting>
  <conditionalFormatting sqref="AB7:AB14">
    <cfRule type="cellIs" dxfId="217" priority="5" operator="equal">
      <formula>"AB"</formula>
    </cfRule>
  </conditionalFormatting>
  <conditionalFormatting sqref="AH7:AH14">
    <cfRule type="cellIs" dxfId="216" priority="3" operator="equal">
      <formula>"AB"</formula>
    </cfRule>
    <cfRule type="cellIs" dxfId="215" priority="4" operator="lessThan">
      <formula>40</formula>
    </cfRule>
  </conditionalFormatting>
  <conditionalFormatting sqref="AH7:AH14">
    <cfRule type="cellIs" dxfId="214" priority="2" operator="lessThan">
      <formula>40</formula>
    </cfRule>
  </conditionalFormatting>
  <conditionalFormatting sqref="AH7:AH14">
    <cfRule type="cellIs" dxfId="213" priority="1" operator="equal">
      <formula>"AB"</formula>
    </cfRule>
  </conditionalFormatting>
  <hyperlinks>
    <hyperlink ref="J84" r:id="rId1"/>
  </hyperlinks>
  <pageMargins left="0.70866141732283472" right="0.70866141732283472" top="1.8503937007874016" bottom="2.7165354330708662" header="0.31496062992125984" footer="0.31496062992125984"/>
  <pageSetup paperSize="8" orientation="landscape" r:id="rId2"/>
  <headerFooter>
    <oddHeader>&amp;C&amp;"-,Bold"&amp;16University of Mumbai
Atharva college of Engineering Malad(W),Mumbai -400095
               Statement of Marks for T.Y.B.E Semester-VI  May/June 2013 Examination         Branch :- Computer Engineering</oddHeader>
    <oddFooter>&amp;L      &amp;G</oddFooter>
  </headerFooter>
  <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19"/>
  <sheetViews>
    <sheetView topLeftCell="A10" workbookViewId="0">
      <selection activeCell="E7" sqref="E7:H12"/>
    </sheetView>
  </sheetViews>
  <sheetFormatPr defaultRowHeight="15"/>
  <cols>
    <col min="2" max="2" width="19.85546875" customWidth="1"/>
    <col min="3" max="3" width="15.28515625" customWidth="1"/>
    <col min="4" max="4" width="16.5703125" customWidth="1"/>
    <col min="5" max="5" width="8.5703125" customWidth="1"/>
  </cols>
  <sheetData>
    <row r="1" spans="1:10" ht="15.75">
      <c r="A1" s="40" t="s">
        <v>333</v>
      </c>
      <c r="B1" s="40"/>
      <c r="C1" s="40"/>
      <c r="D1" s="40"/>
      <c r="E1" s="40"/>
      <c r="F1" s="40"/>
      <c r="G1" s="40"/>
      <c r="H1" s="40"/>
      <c r="I1" s="40"/>
      <c r="J1" s="40"/>
    </row>
    <row r="2" spans="1:10" ht="15.75">
      <c r="A2" s="40" t="s">
        <v>334</v>
      </c>
      <c r="B2" s="40"/>
      <c r="C2" s="40"/>
      <c r="D2" s="40"/>
      <c r="E2" s="40"/>
      <c r="F2" s="40"/>
      <c r="G2" s="40"/>
      <c r="H2" s="40"/>
      <c r="I2" s="40"/>
      <c r="J2" s="40"/>
    </row>
    <row r="3" spans="1:10" ht="15.75">
      <c r="A3" s="40"/>
      <c r="B3" s="40"/>
      <c r="C3" s="40"/>
      <c r="D3" s="40"/>
      <c r="E3" s="40"/>
      <c r="F3" s="40"/>
      <c r="G3" s="40"/>
      <c r="H3" s="40"/>
      <c r="I3" s="40"/>
      <c r="J3" s="40"/>
    </row>
    <row r="4" spans="1:10" ht="15.75">
      <c r="A4" s="40" t="s">
        <v>335</v>
      </c>
      <c r="B4" s="40"/>
      <c r="C4" s="40"/>
      <c r="D4" s="40"/>
      <c r="E4" s="40"/>
      <c r="F4" s="40"/>
      <c r="G4" s="40"/>
      <c r="H4" s="40"/>
      <c r="I4" s="40"/>
      <c r="J4" s="40"/>
    </row>
    <row r="5" spans="1:10">
      <c r="A5" s="41"/>
      <c r="B5" s="41"/>
      <c r="C5" s="41"/>
      <c r="D5" s="41"/>
      <c r="E5" s="41"/>
      <c r="F5" s="41"/>
      <c r="G5" s="41"/>
      <c r="H5" s="41"/>
      <c r="I5" s="41"/>
      <c r="J5" s="41"/>
    </row>
    <row r="6" spans="1:10" ht="72">
      <c r="A6" s="42" t="s">
        <v>336</v>
      </c>
      <c r="B6" s="42" t="s">
        <v>337</v>
      </c>
      <c r="C6" s="42" t="s">
        <v>338</v>
      </c>
      <c r="D6" s="42" t="s">
        <v>339</v>
      </c>
      <c r="E6" s="42" t="s">
        <v>340</v>
      </c>
      <c r="F6" s="42" t="s">
        <v>341</v>
      </c>
      <c r="G6" s="42" t="s">
        <v>342</v>
      </c>
      <c r="H6" s="42" t="s">
        <v>343</v>
      </c>
      <c r="I6" s="42" t="s">
        <v>344</v>
      </c>
      <c r="J6" s="42" t="s">
        <v>345</v>
      </c>
    </row>
    <row r="7" spans="1:10" ht="34.5" customHeight="1">
      <c r="A7" s="43">
        <v>1</v>
      </c>
      <c r="B7" s="44" t="s">
        <v>346</v>
      </c>
      <c r="C7" s="45" t="s">
        <v>347</v>
      </c>
      <c r="D7" s="46" t="s">
        <v>348</v>
      </c>
      <c r="E7" s="47">
        <f>Guzet!D7</f>
        <v>166</v>
      </c>
      <c r="F7" s="47">
        <v>156</v>
      </c>
      <c r="G7" s="48">
        <f>F7/E7</f>
        <v>0.93975903614457834</v>
      </c>
      <c r="H7" s="47">
        <v>114</v>
      </c>
      <c r="I7" s="47">
        <f>F7-H7</f>
        <v>42</v>
      </c>
      <c r="J7" s="49" t="s">
        <v>349</v>
      </c>
    </row>
    <row r="8" spans="1:10" ht="34.5" customHeight="1">
      <c r="A8" s="43">
        <v>2</v>
      </c>
      <c r="B8" s="44" t="s">
        <v>350</v>
      </c>
      <c r="C8" s="46" t="s">
        <v>351</v>
      </c>
      <c r="D8" s="46" t="s">
        <v>352</v>
      </c>
      <c r="E8" s="47">
        <f>Guzet!J7</f>
        <v>166</v>
      </c>
      <c r="F8" s="47">
        <v>156</v>
      </c>
      <c r="G8" s="48">
        <v>0.34285714285714286</v>
      </c>
      <c r="H8" s="47">
        <v>122</v>
      </c>
      <c r="I8" s="47">
        <f t="shared" ref="I8:I12" si="0">F8-H8</f>
        <v>34</v>
      </c>
      <c r="J8" s="49" t="s">
        <v>349</v>
      </c>
    </row>
    <row r="9" spans="1:10" ht="34.5" customHeight="1">
      <c r="A9" s="43">
        <v>3</v>
      </c>
      <c r="B9" s="44" t="s">
        <v>353</v>
      </c>
      <c r="C9" s="46" t="s">
        <v>354</v>
      </c>
      <c r="D9" s="46" t="s">
        <v>355</v>
      </c>
      <c r="E9" s="47">
        <v>164</v>
      </c>
      <c r="F9" s="47">
        <v>160</v>
      </c>
      <c r="G9" s="48">
        <v>0.66666666666666663</v>
      </c>
      <c r="H9" s="47">
        <v>60</v>
      </c>
      <c r="I9" s="47">
        <f t="shared" si="0"/>
        <v>100</v>
      </c>
      <c r="J9" s="49" t="s">
        <v>349</v>
      </c>
    </row>
    <row r="10" spans="1:10" ht="34.5" customHeight="1">
      <c r="A10" s="43">
        <v>4</v>
      </c>
      <c r="B10" s="44" t="s">
        <v>356</v>
      </c>
      <c r="C10" s="46" t="s">
        <v>357</v>
      </c>
      <c r="D10" s="46" t="s">
        <v>358</v>
      </c>
      <c r="E10" s="47">
        <v>165</v>
      </c>
      <c r="F10" s="47">
        <v>158</v>
      </c>
      <c r="G10" s="48">
        <v>0.5</v>
      </c>
      <c r="H10" s="47">
        <v>101</v>
      </c>
      <c r="I10" s="47">
        <f t="shared" si="0"/>
        <v>57</v>
      </c>
      <c r="J10" s="49" t="s">
        <v>349</v>
      </c>
    </row>
    <row r="11" spans="1:10" ht="34.5" customHeight="1">
      <c r="A11" s="43">
        <v>5</v>
      </c>
      <c r="B11" s="44" t="s">
        <v>359</v>
      </c>
      <c r="C11" s="46" t="s">
        <v>360</v>
      </c>
      <c r="D11" s="46" t="s">
        <v>361</v>
      </c>
      <c r="E11" s="47">
        <v>163</v>
      </c>
      <c r="F11" s="47">
        <v>158</v>
      </c>
      <c r="G11" s="48">
        <v>0.5</v>
      </c>
      <c r="H11" s="47">
        <v>136</v>
      </c>
      <c r="I11" s="47">
        <f t="shared" si="0"/>
        <v>22</v>
      </c>
      <c r="J11" s="49" t="s">
        <v>349</v>
      </c>
    </row>
    <row r="12" spans="1:10" ht="34.5" customHeight="1">
      <c r="A12" s="43">
        <v>6</v>
      </c>
      <c r="B12" s="50" t="s">
        <v>362</v>
      </c>
      <c r="C12" s="46" t="s">
        <v>357</v>
      </c>
      <c r="D12" s="46" t="s">
        <v>363</v>
      </c>
      <c r="E12" s="47">
        <v>161</v>
      </c>
      <c r="F12" s="47">
        <v>161</v>
      </c>
      <c r="G12" s="48">
        <v>0.80487804878048785</v>
      </c>
      <c r="H12" s="47">
        <v>161</v>
      </c>
      <c r="I12" s="47">
        <f t="shared" si="0"/>
        <v>0</v>
      </c>
      <c r="J12" s="49" t="s">
        <v>349</v>
      </c>
    </row>
    <row r="14" spans="1:10" ht="15.75">
      <c r="B14" s="51" t="s">
        <v>364</v>
      </c>
      <c r="C14" s="52">
        <v>115</v>
      </c>
    </row>
    <row r="15" spans="1:10" ht="15.75">
      <c r="B15" s="51" t="s">
        <v>365</v>
      </c>
      <c r="C15" s="52">
        <v>65</v>
      </c>
    </row>
    <row r="16" spans="1:10" ht="15.75">
      <c r="B16" s="51" t="s">
        <v>366</v>
      </c>
      <c r="C16" s="53">
        <v>0.56521739130434778</v>
      </c>
    </row>
    <row r="17" spans="2:7" ht="15.75">
      <c r="B17" s="40" t="s">
        <v>367</v>
      </c>
      <c r="C17" s="40" t="s">
        <v>368</v>
      </c>
      <c r="E17" s="41"/>
    </row>
    <row r="18" spans="2:7" ht="15.75">
      <c r="B18" s="51" t="s">
        <v>369</v>
      </c>
      <c r="C18" s="54">
        <v>41466</v>
      </c>
    </row>
    <row r="19" spans="2:7">
      <c r="G19" t="s">
        <v>370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P176"/>
  <sheetViews>
    <sheetView tabSelected="1" topLeftCell="C1" workbookViewId="0">
      <pane ySplit="1" topLeftCell="A149" activePane="bottomLeft" state="frozen"/>
      <selection pane="bottomLeft" activeCell="AQ160" sqref="AQ160"/>
    </sheetView>
  </sheetViews>
  <sheetFormatPr defaultRowHeight="15"/>
  <cols>
    <col min="1" max="1" width="12.85546875" style="73" customWidth="1"/>
    <col min="2" max="2" width="40.85546875" style="55" customWidth="1"/>
    <col min="3" max="3" width="3.85546875" style="73" customWidth="1"/>
    <col min="4" max="4" width="2.7109375" style="55" customWidth="1"/>
    <col min="5" max="5" width="3.85546875" style="73" customWidth="1"/>
    <col min="6" max="6" width="3.42578125" style="55" customWidth="1"/>
    <col min="7" max="7" width="3.85546875" style="73" customWidth="1"/>
    <col min="8" max="8" width="2.140625" style="55" customWidth="1"/>
    <col min="9" max="9" width="5.42578125" style="73" customWidth="1"/>
    <col min="10" max="10" width="2.42578125" style="55" customWidth="1"/>
    <col min="11" max="11" width="3.85546875" style="73" customWidth="1"/>
    <col min="12" max="12" width="3.140625" style="55" customWidth="1"/>
    <col min="13" max="13" width="3.85546875" style="73" customWidth="1"/>
    <col min="14" max="14" width="3" style="55" customWidth="1"/>
    <col min="15" max="15" width="3.85546875" style="73" customWidth="1"/>
    <col min="16" max="16" width="2.85546875" style="55" customWidth="1"/>
    <col min="17" max="17" width="3.85546875" style="73" customWidth="1"/>
    <col min="18" max="18" width="2.7109375" style="55" customWidth="1"/>
    <col min="19" max="19" width="3.85546875" style="73" customWidth="1"/>
    <col min="20" max="20" width="2.42578125" style="55" customWidth="1"/>
    <col min="21" max="21" width="3.85546875" style="73" customWidth="1"/>
    <col min="22" max="22" width="3.85546875" style="55" customWidth="1"/>
    <col min="23" max="23" width="3.85546875" style="73" customWidth="1"/>
    <col min="24" max="24" width="3.85546875" style="55" customWidth="1"/>
    <col min="25" max="25" width="3.85546875" style="73" customWidth="1"/>
    <col min="26" max="26" width="3.85546875" style="55" customWidth="1"/>
    <col min="27" max="27" width="3.85546875" style="73" customWidth="1"/>
    <col min="28" max="28" width="3.85546875" style="55" customWidth="1"/>
    <col min="29" max="29" width="3.85546875" style="73" customWidth="1"/>
    <col min="30" max="30" width="3.85546875" style="55" customWidth="1"/>
    <col min="31" max="31" width="3.85546875" style="73" customWidth="1"/>
    <col min="32" max="32" width="3.85546875" style="55" customWidth="1"/>
    <col min="33" max="33" width="3.85546875" style="73" customWidth="1"/>
    <col min="34" max="34" width="3.85546875" style="55" customWidth="1"/>
    <col min="35" max="35" width="3.85546875" style="73" customWidth="1"/>
    <col min="36" max="36" width="3.85546875" style="55" customWidth="1"/>
    <col min="37" max="39" width="9.140625" style="73"/>
    <col min="40" max="40" width="9.140625" style="55"/>
    <col min="41" max="41" width="9.140625" style="73"/>
    <col min="42" max="16384" width="9.140625" style="55"/>
  </cols>
  <sheetData>
    <row r="1" spans="1:42">
      <c r="A1" s="73" t="s">
        <v>372</v>
      </c>
      <c r="B1" s="55" t="s">
        <v>373</v>
      </c>
      <c r="C1" s="73" t="s">
        <v>374</v>
      </c>
      <c r="E1" s="73" t="s">
        <v>375</v>
      </c>
      <c r="G1" s="73" t="s">
        <v>376</v>
      </c>
      <c r="I1" s="73" t="s">
        <v>377</v>
      </c>
      <c r="K1" s="73" t="s">
        <v>378</v>
      </c>
      <c r="M1" s="73" t="s">
        <v>379</v>
      </c>
      <c r="O1" s="73" t="s">
        <v>380</v>
      </c>
      <c r="Q1" s="73" t="s">
        <v>381</v>
      </c>
      <c r="S1" s="73" t="s">
        <v>382</v>
      </c>
      <c r="U1" s="73" t="s">
        <v>383</v>
      </c>
      <c r="W1" s="73" t="s">
        <v>384</v>
      </c>
      <c r="Y1" s="73" t="s">
        <v>385</v>
      </c>
      <c r="AA1" s="73" t="s">
        <v>386</v>
      </c>
      <c r="AC1" s="73" t="s">
        <v>387</v>
      </c>
      <c r="AE1" s="73" t="s">
        <v>388</v>
      </c>
      <c r="AG1" s="73" t="s">
        <v>389</v>
      </c>
      <c r="AI1" s="73" t="s">
        <v>390</v>
      </c>
      <c r="AK1" s="73" t="s">
        <v>391</v>
      </c>
      <c r="AL1" s="73" t="s">
        <v>392</v>
      </c>
      <c r="AM1" s="73" t="s">
        <v>9</v>
      </c>
      <c r="AN1" s="55" t="s">
        <v>10</v>
      </c>
      <c r="AO1" s="73" t="s">
        <v>11</v>
      </c>
      <c r="AP1" s="55" t="s">
        <v>393</v>
      </c>
    </row>
    <row r="2" spans="1:42" ht="15.95" customHeight="1">
      <c r="A2" s="74">
        <v>136201</v>
      </c>
      <c r="B2" s="56" t="s">
        <v>24</v>
      </c>
      <c r="C2" s="77">
        <v>50</v>
      </c>
      <c r="D2" s="78" t="s">
        <v>394</v>
      </c>
      <c r="E2" s="79">
        <v>19</v>
      </c>
      <c r="F2" s="78" t="s">
        <v>394</v>
      </c>
      <c r="G2" s="79">
        <v>42</v>
      </c>
      <c r="H2" s="78" t="s">
        <v>394</v>
      </c>
      <c r="I2" s="79">
        <v>40</v>
      </c>
      <c r="J2" s="78" t="s">
        <v>394</v>
      </c>
      <c r="K2" s="79">
        <v>20</v>
      </c>
      <c r="L2" s="78" t="s">
        <v>394</v>
      </c>
      <c r="M2" s="79">
        <v>21</v>
      </c>
      <c r="N2" s="78" t="s">
        <v>394</v>
      </c>
      <c r="O2" s="79">
        <v>64</v>
      </c>
      <c r="P2" s="78" t="s">
        <v>394</v>
      </c>
      <c r="Q2" s="79">
        <v>20</v>
      </c>
      <c r="R2" s="78" t="s">
        <v>394</v>
      </c>
      <c r="S2" s="79">
        <v>42</v>
      </c>
      <c r="T2" s="78" t="s">
        <v>394</v>
      </c>
      <c r="U2" s="79">
        <v>59</v>
      </c>
      <c r="V2" s="78" t="s">
        <v>394</v>
      </c>
      <c r="W2" s="79">
        <v>20</v>
      </c>
      <c r="X2" s="78" t="s">
        <v>394</v>
      </c>
      <c r="Y2" s="79">
        <v>21</v>
      </c>
      <c r="Z2" s="78" t="s">
        <v>394</v>
      </c>
      <c r="AA2" s="79">
        <v>60</v>
      </c>
      <c r="AB2" s="78" t="s">
        <v>394</v>
      </c>
      <c r="AC2" s="79">
        <v>20</v>
      </c>
      <c r="AD2" s="78" t="s">
        <v>394</v>
      </c>
      <c r="AE2" s="79">
        <v>19</v>
      </c>
      <c r="AF2" s="78" t="s">
        <v>394</v>
      </c>
      <c r="AG2" s="79">
        <v>22</v>
      </c>
      <c r="AH2" s="78" t="s">
        <v>394</v>
      </c>
      <c r="AI2" s="79">
        <v>20</v>
      </c>
      <c r="AJ2" s="78" t="s">
        <v>394</v>
      </c>
      <c r="AK2" s="80">
        <v>559</v>
      </c>
      <c r="AL2" s="81" t="s">
        <v>223</v>
      </c>
      <c r="AM2" s="80">
        <v>1116</v>
      </c>
      <c r="AN2" s="57" t="s">
        <v>395</v>
      </c>
      <c r="AO2" s="93" t="s">
        <v>371</v>
      </c>
      <c r="AP2" s="58" t="s">
        <v>396</v>
      </c>
    </row>
    <row r="3" spans="1:42" ht="15.95" customHeight="1">
      <c r="A3" s="74">
        <v>136202</v>
      </c>
      <c r="B3" s="56" t="s">
        <v>25</v>
      </c>
      <c r="C3" s="77" t="s">
        <v>536</v>
      </c>
      <c r="D3" s="78" t="s">
        <v>397</v>
      </c>
      <c r="E3" s="79">
        <v>23</v>
      </c>
      <c r="F3" s="78" t="s">
        <v>398</v>
      </c>
      <c r="G3" s="79">
        <v>38</v>
      </c>
      <c r="H3" s="78" t="s">
        <v>398</v>
      </c>
      <c r="I3" s="79" t="s">
        <v>537</v>
      </c>
      <c r="J3" s="78" t="s">
        <v>397</v>
      </c>
      <c r="K3" s="79">
        <v>23</v>
      </c>
      <c r="L3" s="78" t="s">
        <v>398</v>
      </c>
      <c r="M3" s="79">
        <v>20</v>
      </c>
      <c r="N3" s="78" t="s">
        <v>398</v>
      </c>
      <c r="O3" s="79">
        <v>44</v>
      </c>
      <c r="P3" s="78" t="s">
        <v>398</v>
      </c>
      <c r="Q3" s="79">
        <v>23</v>
      </c>
      <c r="R3" s="78" t="s">
        <v>398</v>
      </c>
      <c r="S3" s="79">
        <v>38</v>
      </c>
      <c r="T3" s="78" t="s">
        <v>398</v>
      </c>
      <c r="U3" s="79">
        <v>40</v>
      </c>
      <c r="V3" s="78" t="s">
        <v>398</v>
      </c>
      <c r="W3" s="79">
        <v>23</v>
      </c>
      <c r="X3" s="78" t="s">
        <v>398</v>
      </c>
      <c r="Y3" s="79">
        <v>23</v>
      </c>
      <c r="Z3" s="78" t="s">
        <v>398</v>
      </c>
      <c r="AA3" s="79" t="s">
        <v>538</v>
      </c>
      <c r="AB3" s="78" t="s">
        <v>397</v>
      </c>
      <c r="AC3" s="79">
        <v>23</v>
      </c>
      <c r="AD3" s="78" t="s">
        <v>398</v>
      </c>
      <c r="AE3" s="79">
        <v>18</v>
      </c>
      <c r="AF3" s="78" t="s">
        <v>398</v>
      </c>
      <c r="AG3" s="79">
        <v>23</v>
      </c>
      <c r="AH3" s="78" t="s">
        <v>398</v>
      </c>
      <c r="AI3" s="79">
        <v>23</v>
      </c>
      <c r="AJ3" s="78" t="s">
        <v>398</v>
      </c>
      <c r="AK3" s="80">
        <v>393</v>
      </c>
      <c r="AL3" s="81" t="s">
        <v>535</v>
      </c>
      <c r="AM3" s="80">
        <v>393</v>
      </c>
      <c r="AN3" s="57" t="s">
        <v>399</v>
      </c>
      <c r="AO3" s="93" t="s">
        <v>400</v>
      </c>
      <c r="AP3" s="58" t="s">
        <v>401</v>
      </c>
    </row>
    <row r="4" spans="1:42" ht="15.95" customHeight="1">
      <c r="A4" s="67">
        <v>136203</v>
      </c>
      <c r="B4" s="21" t="s">
        <v>26</v>
      </c>
      <c r="C4" s="24">
        <v>48</v>
      </c>
      <c r="D4" s="9"/>
      <c r="E4" s="22">
        <v>19</v>
      </c>
      <c r="F4" s="9"/>
      <c r="G4" s="22">
        <v>44</v>
      </c>
      <c r="H4" s="9"/>
      <c r="I4" s="29">
        <v>40</v>
      </c>
      <c r="J4" s="9"/>
      <c r="K4" s="22">
        <v>21</v>
      </c>
      <c r="L4" s="9"/>
      <c r="M4" s="22">
        <v>22</v>
      </c>
      <c r="N4" s="9"/>
      <c r="O4" s="29">
        <v>48</v>
      </c>
      <c r="P4" s="9"/>
      <c r="Q4" s="22">
        <v>19</v>
      </c>
      <c r="R4" s="9"/>
      <c r="S4" s="22">
        <v>44</v>
      </c>
      <c r="T4" s="9"/>
      <c r="U4" s="29">
        <v>49</v>
      </c>
      <c r="V4" s="9"/>
      <c r="W4" s="22">
        <v>20</v>
      </c>
      <c r="X4" s="9"/>
      <c r="Y4" s="22">
        <v>21</v>
      </c>
      <c r="Z4" s="9"/>
      <c r="AA4" s="29">
        <v>53</v>
      </c>
      <c r="AB4" s="9"/>
      <c r="AC4" s="22">
        <v>19</v>
      </c>
      <c r="AD4" s="9"/>
      <c r="AE4" s="22">
        <v>20</v>
      </c>
      <c r="AF4" s="9"/>
      <c r="AG4" s="22">
        <v>20</v>
      </c>
      <c r="AH4" s="9"/>
      <c r="AI4" s="22">
        <v>22</v>
      </c>
      <c r="AJ4" s="9"/>
      <c r="AK4" s="16">
        <f>IF(OR(AND(C4&gt;=31,C4&lt;40),AND(I4&gt;=31,I4&lt;40),AND(O4&gt;=31,O4&lt;40),AND(U4&gt;=31,U4&lt;40),AND(AA4&gt;=31,AA4&lt;40)),IF(AND(OR(COUNTIF(C4:AJ4,"=31")&gt;=1,COUNTIF(C4:AJ4,"=32")&gt;=1,COUNTIF(C4:AJ4,"=33")&gt;=1,COUNTIF(C4:AJ4,"=34")&gt;=1,COUNTIF(C4:AJ4,"=35")&gt;=1,COUNTIF(C4:AJ4,"=36")&gt;=1 ),COUNTIF(C4:AJ4,"")=0,COUNTIF(C4:AJ4," ")=0,COUNTIF(C4:AJ4,"F")=1),CONCATENATE(SUM(EXTRACTNUMBER(C4),EXTRACTNUMBER(E4),
EXTRACTNUMBER(G4),EXTRACTNUMBER(I4),
EXTRACTNUMBER(K4),EXTRACTNUMBER(M4),
EXTRACTNUMBER(O4),EXTRACTNUMBER(Q4),
EXTRACTNUMBER(S4),EXTRACTNUMBER(U4),
EXTRACTNUMBER(W4),EXTRACTNUMBER(Y4),EXTRACTNUMBER(AA4),
EXTRACTNUMBER(AC4),EXTRACTNUMBER(AE4),EXTRACTNUMBER(AG4),EXTRACTNUMBER(AI4)),"*"),IF(AND(COUNTIF(C4:AJ4,"=34")&gt;=1,COUNTIF(C4:AJ4,"=35")&gt;=1,COUNTIF(C4:AJ4,"f")=2,COUNTIF(C4:AJ4,"")=0,COUNTIF(C4:AJ4," ")=0),CONCATENATE(SUM(EXTRACTNUMBER(C4),EXTRACTNUMBER(E4),
EXTRACTNUMBER(G4),EXTRACTNUMBER(I4),
EXTRACTNUMBER(K4),EXTRACTNUMBER(M4),
EXTRACTNUMBER(O4),EXTRACTNUMBER(Q4),
EXTRACTNUMBER(S4),EXTRACTNUMBER(U4),
EXTRACTNUMBER(W4),EXTRACTNUMBER(Y4),EXTRACTNUMBER(AA4),
EXTRACTNUMBER(AC4),EXTRACTNUMBER(AE4),EXTRACTNUMBER(AG4),EXTRACTNUMBER(AI4)),"*"),IF(AND(COUNTIF(C4:AJ4,"=36")&gt;=2,COUNTIF(C4:AJ4,"f")=2,COUNTIF(C4:AJ4,"")=0,COUNTIF(C4:AJ4," ")=0),CONCATENATE(SUM(EXTRACTNUMBER(C4),EXTRACTNUMBER(E4),
EXTRACTNUMBER(G4),EXTRACTNUMBER(I4),
EXTRACTNUMBER(K4),EXTRACTNUMBER(M4),
EXTRACTNUMBER(O4),EXTRACTNUMBER(Q4),
EXTRACTNUMBER(S4),EXTRACTNUMBER(U4),
EXTRACTNUMBER(W4),EXTRACTNUMBER(Y4),EXTRACTNUMBER(AA4),
EXTRACTNUMBER(AC4),EXTRACTNUMBER(AE4),EXTRACTNUMBER(AG4),EXTRACTNUMBER(AI4)),"*"),SUM(EXTRACTNUMBER(C4),EXTRACTNUMBER(E4),
EXTRACTNUMBER(G4),EXTRACTNUMBER(I4),
EXTRACTNUMBER(K4),EXTRACTNUMBER(M4),
EXTRACTNUMBER(O4),EXTRACTNUMBER(Q4),
EXTRACTNUMBER(S4),EXTRACTNUMBER(U4),
EXTRACTNUMBER(W4),EXTRACTNUMBER(Y4),EXTRACTNUMBER(AA4),
EXTRACTNUMBER(AC4),EXTRACTNUMBER(AE4),EXTRACTNUMBER(AG4),EXTRACTNUMBER(AI4))))),SUM(EXTRACTNUMBER(C4),EXTRACTNUMBER(E4),
EXTRACTNUMBER(G4),EXTRACTNUMBER(I4),
EXTRACTNUMBER(K4),EXTRACTNUMBER(M4),
EXTRACTNUMBER(O4),EXTRACTNUMBER(Q4),
EXTRACTNUMBER(S4),EXTRACTNUMBER(U4),
EXTRACTNUMBER(W4),EXTRACTNUMBER(Y4),EXTRACTNUMBER(AA4),
EXTRACTNUMBER(AC4),EXTRACTNUMBER(AE4),EXTRACTNUMBER(AG4),EXTRACTNUMBER(AI4)))</f>
        <v>529</v>
      </c>
      <c r="AL4" s="72" t="s">
        <v>224</v>
      </c>
      <c r="AM4" s="11">
        <f t="shared" ref="AM4" si="0">IF(IFERROR(FIND("x",AL4),0),SUM(EXTRACTNUMBER(AK4),EXTRACTNUMBER(AL4)),IF(AND(SUM(EXTRACTNUMBER(AK4),EXTRACTNUMBER(AL4))&gt;1009,        SUM(EXTRACTNUMBER(AK4),EXTRACTNUMBER(AL4))&lt;1020),
CONCATENATE(SUM(EXTRACTNUMBER(AK4),EXTRACTNUMBER(AL4)),"@",1020-SUM(EXTRACTNUMBER(AK4),EXTRACTNUMBER(AL4))),
IF(AND(SUM(EXTRACTNUMBER(AK4),EXTRACTNUMBER(AL4))&gt;839,   SUM(EXTRACTNUMBER(AK4),EXTRACTNUMBER(AL4))&lt;850),CONCATENATE(SUM(EXTRACTNUMBER(AK4),EXTRACTNUMBER(AL4)),"@",850-SUM(EXTRACTNUMBER(AK4),EXTRACTNUMBER(AL4))),
IF(AND(SUM(EXTRACTNUMBER(AK4),EXTRACTNUMBER(AL4))&gt;669,        SUM(EXTRACTNUMBER(AK4),EXTRACTNUMBER(AL4))&lt;680),
CONCATENATE(SUM(EXTRACTNUMBER(AK4),EXTRACTNUMBER(AL4)),"@",680-SUM(EXTRACTNUMBER(AK4),EXTRACTNUMBER(AL4))),
SUM(EXTRACTNUMBER(AK4),EXTRACTNUMBER(AL4))))))</f>
        <v>1027</v>
      </c>
      <c r="AN4" s="11" t="str">
        <f t="shared" ref="AN4" si="1">IF(AND(COUNTIF(C4:AJ4,"AB")&lt;17-COUNTIF(C4:AJ4," "),
COUNTIF(C4:AJ4,"AB")&lt;&gt;0),"FAIL",
IF(COUNTIF(C4:AJ4,"AB")=17-COUNTIF(C4:AJ4," "),"ABSENT",
IF(AND(COUNTIF(C4:AJ4,"AB")=0,COUNTIF(C4:AJ4,"F")=0),"PASS","FAIL")))</f>
        <v>PASS</v>
      </c>
      <c r="AO4" s="11" t="str">
        <f t="shared" ref="AO4" si="2">IF(AN4="ABSENT","AB",IF(AN4="FAIL","--",
IF(AL4=0,"RS 5",
IF(AND(SUM(EXTRACTNUMBER(AK4),EXTRACTNUMBER(AL4))&gt;=1010,
        NOT(IFERROR(FIND("x",AK4),0)),
        NOT(IFERROR(FIND("x",AL4),0))),"I",
IF(AND(SUM(EXTRACTNUMBER(AK4),EXTRACTNUMBER(AL4))&gt;=850,
      SUM(EXTRACTNUMBER(AK4),EXTRACTNUMBER(AL4))&lt;1010,
      NOT(IFERROR(FIND("x",AK4),0)),
      NOT(IFERROR(FIND("x",AL4),0))),"II",
IF(OR(AND(SUM(EXTRACTNUMBER(AK4),EXTRACTNUMBER(AL4))&lt;850,
SUM(EXTRACTNUMBER(AK4),EXTRACTNUMBER(AL4))&gt;=670),
IFERROR(FIND("x",AK4),0),IFERROR(FIND("x",AL4),0)),"P","--"))))))</f>
        <v>I</v>
      </c>
      <c r="AP4" s="1" t="str">
        <f t="shared" ref="AP4" si="3">spellnumber(AM4)</f>
        <v xml:space="preserve">One Thousand Twenty Seven </v>
      </c>
    </row>
    <row r="5" spans="1:42" ht="15.95" customHeight="1">
      <c r="A5" s="74">
        <v>136204</v>
      </c>
      <c r="B5" s="56" t="s">
        <v>27</v>
      </c>
      <c r="C5" s="77">
        <v>40</v>
      </c>
      <c r="D5" s="78" t="s">
        <v>394</v>
      </c>
      <c r="E5" s="79">
        <v>23</v>
      </c>
      <c r="F5" s="78" t="s">
        <v>394</v>
      </c>
      <c r="G5" s="79">
        <v>44</v>
      </c>
      <c r="H5" s="78" t="s">
        <v>394</v>
      </c>
      <c r="I5" s="79">
        <v>40</v>
      </c>
      <c r="J5" s="78" t="s">
        <v>394</v>
      </c>
      <c r="K5" s="79">
        <v>22</v>
      </c>
      <c r="L5" s="78" t="s">
        <v>394</v>
      </c>
      <c r="M5" s="79">
        <v>22</v>
      </c>
      <c r="N5" s="78" t="s">
        <v>394</v>
      </c>
      <c r="O5" s="79">
        <v>66</v>
      </c>
      <c r="P5" s="78" t="s">
        <v>394</v>
      </c>
      <c r="Q5" s="79">
        <v>22</v>
      </c>
      <c r="R5" s="78" t="s">
        <v>394</v>
      </c>
      <c r="S5" s="79">
        <v>44</v>
      </c>
      <c r="T5" s="78" t="s">
        <v>394</v>
      </c>
      <c r="U5" s="79">
        <v>46</v>
      </c>
      <c r="V5" s="78" t="s">
        <v>394</v>
      </c>
      <c r="W5" s="79">
        <v>22</v>
      </c>
      <c r="X5" s="78" t="s">
        <v>394</v>
      </c>
      <c r="Y5" s="79">
        <v>22</v>
      </c>
      <c r="Z5" s="78" t="s">
        <v>394</v>
      </c>
      <c r="AA5" s="79">
        <v>58</v>
      </c>
      <c r="AB5" s="78" t="s">
        <v>394</v>
      </c>
      <c r="AC5" s="79">
        <v>22</v>
      </c>
      <c r="AD5" s="78" t="s">
        <v>394</v>
      </c>
      <c r="AE5" s="79">
        <v>21</v>
      </c>
      <c r="AF5" s="78" t="s">
        <v>394</v>
      </c>
      <c r="AG5" s="79">
        <v>21</v>
      </c>
      <c r="AH5" s="78" t="s">
        <v>394</v>
      </c>
      <c r="AI5" s="79">
        <v>22</v>
      </c>
      <c r="AJ5" s="78" t="s">
        <v>394</v>
      </c>
      <c r="AK5" s="80">
        <v>557</v>
      </c>
      <c r="AL5" s="81" t="s">
        <v>225</v>
      </c>
      <c r="AM5" s="80">
        <v>1047</v>
      </c>
      <c r="AN5" s="57" t="s">
        <v>395</v>
      </c>
      <c r="AO5" s="93" t="s">
        <v>371</v>
      </c>
      <c r="AP5" s="58" t="s">
        <v>403</v>
      </c>
    </row>
    <row r="6" spans="1:42" ht="15.95" customHeight="1">
      <c r="A6" s="74">
        <v>136205</v>
      </c>
      <c r="B6" s="56" t="s">
        <v>28</v>
      </c>
      <c r="C6" s="77">
        <v>72</v>
      </c>
      <c r="D6" s="78" t="s">
        <v>394</v>
      </c>
      <c r="E6" s="79">
        <v>23</v>
      </c>
      <c r="F6" s="78" t="s">
        <v>394</v>
      </c>
      <c r="G6" s="79">
        <v>46</v>
      </c>
      <c r="H6" s="78" t="s">
        <v>394</v>
      </c>
      <c r="I6" s="79">
        <v>82</v>
      </c>
      <c r="J6" s="78" t="s">
        <v>394</v>
      </c>
      <c r="K6" s="79">
        <v>23</v>
      </c>
      <c r="L6" s="78" t="s">
        <v>394</v>
      </c>
      <c r="M6" s="79">
        <v>22</v>
      </c>
      <c r="N6" s="78" t="s">
        <v>394</v>
      </c>
      <c r="O6" s="79">
        <v>74</v>
      </c>
      <c r="P6" s="78" t="s">
        <v>394</v>
      </c>
      <c r="Q6" s="79">
        <v>23</v>
      </c>
      <c r="R6" s="78" t="s">
        <v>394</v>
      </c>
      <c r="S6" s="79">
        <v>46</v>
      </c>
      <c r="T6" s="78" t="s">
        <v>394</v>
      </c>
      <c r="U6" s="79">
        <v>82</v>
      </c>
      <c r="V6" s="78" t="s">
        <v>394</v>
      </c>
      <c r="W6" s="79">
        <v>23</v>
      </c>
      <c r="X6" s="78" t="s">
        <v>394</v>
      </c>
      <c r="Y6" s="79">
        <v>23</v>
      </c>
      <c r="Z6" s="78" t="s">
        <v>394</v>
      </c>
      <c r="AA6" s="79">
        <v>78</v>
      </c>
      <c r="AB6" s="78" t="s">
        <v>394</v>
      </c>
      <c r="AC6" s="79">
        <v>23</v>
      </c>
      <c r="AD6" s="78" t="s">
        <v>394</v>
      </c>
      <c r="AE6" s="79">
        <v>23</v>
      </c>
      <c r="AF6" s="78" t="s">
        <v>394</v>
      </c>
      <c r="AG6" s="79">
        <v>23</v>
      </c>
      <c r="AH6" s="78" t="s">
        <v>394</v>
      </c>
      <c r="AI6" s="79">
        <v>23</v>
      </c>
      <c r="AJ6" s="78" t="s">
        <v>394</v>
      </c>
      <c r="AK6" s="80">
        <v>709</v>
      </c>
      <c r="AL6" s="81" t="s">
        <v>238</v>
      </c>
      <c r="AM6" s="80">
        <v>1368</v>
      </c>
      <c r="AN6" s="57" t="s">
        <v>395</v>
      </c>
      <c r="AO6" s="93" t="s">
        <v>371</v>
      </c>
      <c r="AP6" s="58" t="s">
        <v>404</v>
      </c>
    </row>
    <row r="7" spans="1:42" ht="15.95" customHeight="1">
      <c r="A7" s="74">
        <v>136206</v>
      </c>
      <c r="B7" s="56" t="s">
        <v>29</v>
      </c>
      <c r="C7" s="77">
        <v>52</v>
      </c>
      <c r="D7" s="78" t="s">
        <v>394</v>
      </c>
      <c r="E7" s="79">
        <v>20</v>
      </c>
      <c r="F7" s="78" t="s">
        <v>394</v>
      </c>
      <c r="G7" s="79">
        <v>42</v>
      </c>
      <c r="H7" s="78" t="s">
        <v>394</v>
      </c>
      <c r="I7" s="79">
        <v>60</v>
      </c>
      <c r="J7" s="78" t="s">
        <v>394</v>
      </c>
      <c r="K7" s="79">
        <v>22</v>
      </c>
      <c r="L7" s="78" t="s">
        <v>394</v>
      </c>
      <c r="M7" s="79">
        <v>21</v>
      </c>
      <c r="N7" s="78" t="s">
        <v>394</v>
      </c>
      <c r="O7" s="79">
        <v>70</v>
      </c>
      <c r="P7" s="78" t="s">
        <v>394</v>
      </c>
      <c r="Q7" s="79">
        <v>23</v>
      </c>
      <c r="R7" s="78" t="s">
        <v>394</v>
      </c>
      <c r="S7" s="79">
        <v>42</v>
      </c>
      <c r="T7" s="78" t="s">
        <v>394</v>
      </c>
      <c r="U7" s="79">
        <v>71</v>
      </c>
      <c r="V7" s="78" t="s">
        <v>394</v>
      </c>
      <c r="W7" s="79">
        <v>23</v>
      </c>
      <c r="X7" s="78" t="s">
        <v>394</v>
      </c>
      <c r="Y7" s="79">
        <v>22</v>
      </c>
      <c r="Z7" s="78" t="s">
        <v>394</v>
      </c>
      <c r="AA7" s="79">
        <v>76</v>
      </c>
      <c r="AB7" s="78" t="s">
        <v>394</v>
      </c>
      <c r="AC7" s="79">
        <v>23</v>
      </c>
      <c r="AD7" s="78" t="s">
        <v>394</v>
      </c>
      <c r="AE7" s="79">
        <v>23</v>
      </c>
      <c r="AF7" s="78" t="s">
        <v>394</v>
      </c>
      <c r="AG7" s="79">
        <v>23</v>
      </c>
      <c r="AH7" s="78" t="s">
        <v>394</v>
      </c>
      <c r="AI7" s="79">
        <v>22</v>
      </c>
      <c r="AJ7" s="78" t="s">
        <v>394</v>
      </c>
      <c r="AK7" s="80">
        <v>635</v>
      </c>
      <c r="AL7" s="81" t="s">
        <v>226</v>
      </c>
      <c r="AM7" s="80">
        <v>1214</v>
      </c>
      <c r="AN7" s="57" t="s">
        <v>395</v>
      </c>
      <c r="AO7" s="93" t="s">
        <v>371</v>
      </c>
      <c r="AP7" s="58" t="s">
        <v>405</v>
      </c>
    </row>
    <row r="8" spans="1:42" ht="15.95" customHeight="1">
      <c r="A8" s="74">
        <v>136207</v>
      </c>
      <c r="B8" s="56" t="s">
        <v>30</v>
      </c>
      <c r="C8" s="77">
        <v>69</v>
      </c>
      <c r="D8" s="78" t="s">
        <v>394</v>
      </c>
      <c r="E8" s="79">
        <v>23</v>
      </c>
      <c r="F8" s="78" t="s">
        <v>394</v>
      </c>
      <c r="G8" s="79">
        <v>46</v>
      </c>
      <c r="H8" s="78" t="s">
        <v>394</v>
      </c>
      <c r="I8" s="79">
        <v>48</v>
      </c>
      <c r="J8" s="78" t="s">
        <v>394</v>
      </c>
      <c r="K8" s="79">
        <v>23</v>
      </c>
      <c r="L8" s="78" t="s">
        <v>394</v>
      </c>
      <c r="M8" s="79">
        <v>22</v>
      </c>
      <c r="N8" s="78" t="s">
        <v>394</v>
      </c>
      <c r="O8" s="79">
        <v>67</v>
      </c>
      <c r="P8" s="78" t="s">
        <v>394</v>
      </c>
      <c r="Q8" s="79">
        <v>23</v>
      </c>
      <c r="R8" s="78" t="s">
        <v>394</v>
      </c>
      <c r="S8" s="79">
        <v>46</v>
      </c>
      <c r="T8" s="78" t="s">
        <v>394</v>
      </c>
      <c r="U8" s="79">
        <v>67</v>
      </c>
      <c r="V8" s="78" t="s">
        <v>394</v>
      </c>
      <c r="W8" s="79">
        <v>23</v>
      </c>
      <c r="X8" s="78" t="s">
        <v>394</v>
      </c>
      <c r="Y8" s="79">
        <v>21</v>
      </c>
      <c r="Z8" s="78" t="s">
        <v>394</v>
      </c>
      <c r="AA8" s="79">
        <v>68</v>
      </c>
      <c r="AB8" s="78" t="s">
        <v>394</v>
      </c>
      <c r="AC8" s="79">
        <v>23</v>
      </c>
      <c r="AD8" s="78" t="s">
        <v>394</v>
      </c>
      <c r="AE8" s="79">
        <v>22</v>
      </c>
      <c r="AF8" s="78" t="s">
        <v>394</v>
      </c>
      <c r="AG8" s="79">
        <v>23</v>
      </c>
      <c r="AH8" s="78" t="s">
        <v>394</v>
      </c>
      <c r="AI8" s="79">
        <v>23</v>
      </c>
      <c r="AJ8" s="78" t="s">
        <v>394</v>
      </c>
      <c r="AK8" s="80">
        <v>637</v>
      </c>
      <c r="AL8" s="81" t="s">
        <v>227</v>
      </c>
      <c r="AM8" s="80">
        <v>1240</v>
      </c>
      <c r="AN8" s="57" t="s">
        <v>395</v>
      </c>
      <c r="AO8" s="93" t="s">
        <v>371</v>
      </c>
      <c r="AP8" s="58" t="s">
        <v>406</v>
      </c>
    </row>
    <row r="9" spans="1:42" ht="15.95" customHeight="1">
      <c r="A9" s="74">
        <v>136208</v>
      </c>
      <c r="B9" s="56" t="s">
        <v>31</v>
      </c>
      <c r="C9" s="77">
        <v>40</v>
      </c>
      <c r="D9" s="78" t="s">
        <v>394</v>
      </c>
      <c r="E9" s="79">
        <v>19</v>
      </c>
      <c r="F9" s="78" t="s">
        <v>394</v>
      </c>
      <c r="G9" s="79">
        <v>44</v>
      </c>
      <c r="H9" s="78" t="s">
        <v>394</v>
      </c>
      <c r="I9" s="79">
        <v>40</v>
      </c>
      <c r="J9" s="78" t="s">
        <v>394</v>
      </c>
      <c r="K9" s="79">
        <v>19</v>
      </c>
      <c r="L9" s="78" t="s">
        <v>394</v>
      </c>
      <c r="M9" s="79">
        <v>22</v>
      </c>
      <c r="N9" s="78" t="s">
        <v>394</v>
      </c>
      <c r="O9" s="79">
        <v>66</v>
      </c>
      <c r="P9" s="78" t="s">
        <v>394</v>
      </c>
      <c r="Q9" s="79">
        <v>19</v>
      </c>
      <c r="R9" s="78" t="s">
        <v>394</v>
      </c>
      <c r="S9" s="79">
        <v>42</v>
      </c>
      <c r="T9" s="78" t="s">
        <v>394</v>
      </c>
      <c r="U9" s="79">
        <v>51</v>
      </c>
      <c r="V9" s="78" t="s">
        <v>394</v>
      </c>
      <c r="W9" s="79">
        <v>20</v>
      </c>
      <c r="X9" s="78" t="s">
        <v>394</v>
      </c>
      <c r="Y9" s="79">
        <v>21</v>
      </c>
      <c r="Z9" s="78" t="s">
        <v>394</v>
      </c>
      <c r="AA9" s="79">
        <v>47</v>
      </c>
      <c r="AB9" s="78" t="s">
        <v>394</v>
      </c>
      <c r="AC9" s="79">
        <v>19</v>
      </c>
      <c r="AD9" s="78" t="s">
        <v>394</v>
      </c>
      <c r="AE9" s="79">
        <v>20</v>
      </c>
      <c r="AF9" s="78" t="s">
        <v>394</v>
      </c>
      <c r="AG9" s="79">
        <v>20</v>
      </c>
      <c r="AH9" s="78" t="s">
        <v>394</v>
      </c>
      <c r="AI9" s="79">
        <v>21</v>
      </c>
      <c r="AJ9" s="78" t="s">
        <v>394</v>
      </c>
      <c r="AK9" s="80">
        <v>530</v>
      </c>
      <c r="AL9" s="81" t="s">
        <v>535</v>
      </c>
      <c r="AM9" s="80">
        <v>530</v>
      </c>
      <c r="AN9" s="57" t="s">
        <v>395</v>
      </c>
      <c r="AO9" s="93" t="s">
        <v>407</v>
      </c>
      <c r="AP9" s="58" t="s">
        <v>408</v>
      </c>
    </row>
    <row r="10" spans="1:42" ht="15.95" customHeight="1">
      <c r="A10" s="74">
        <v>136209</v>
      </c>
      <c r="B10" s="56" t="s">
        <v>32</v>
      </c>
      <c r="C10" s="77">
        <v>70</v>
      </c>
      <c r="D10" s="78" t="s">
        <v>394</v>
      </c>
      <c r="E10" s="79">
        <v>22</v>
      </c>
      <c r="F10" s="78" t="s">
        <v>394</v>
      </c>
      <c r="G10" s="79">
        <v>44</v>
      </c>
      <c r="H10" s="78" t="s">
        <v>394</v>
      </c>
      <c r="I10" s="79">
        <v>61</v>
      </c>
      <c r="J10" s="78" t="s">
        <v>394</v>
      </c>
      <c r="K10" s="79">
        <v>22</v>
      </c>
      <c r="L10" s="78" t="s">
        <v>394</v>
      </c>
      <c r="M10" s="79">
        <v>22</v>
      </c>
      <c r="N10" s="78" t="s">
        <v>394</v>
      </c>
      <c r="O10" s="79">
        <v>72</v>
      </c>
      <c r="P10" s="78" t="s">
        <v>394</v>
      </c>
      <c r="Q10" s="79">
        <v>22</v>
      </c>
      <c r="R10" s="78" t="s">
        <v>394</v>
      </c>
      <c r="S10" s="79">
        <v>42</v>
      </c>
      <c r="T10" s="78" t="s">
        <v>394</v>
      </c>
      <c r="U10" s="79">
        <v>70</v>
      </c>
      <c r="V10" s="78" t="s">
        <v>394</v>
      </c>
      <c r="W10" s="79">
        <v>22</v>
      </c>
      <c r="X10" s="78" t="s">
        <v>394</v>
      </c>
      <c r="Y10" s="79">
        <v>22</v>
      </c>
      <c r="Z10" s="78" t="s">
        <v>394</v>
      </c>
      <c r="AA10" s="79">
        <v>67</v>
      </c>
      <c r="AB10" s="78" t="s">
        <v>394</v>
      </c>
      <c r="AC10" s="79">
        <v>22</v>
      </c>
      <c r="AD10" s="78" t="s">
        <v>394</v>
      </c>
      <c r="AE10" s="79">
        <v>21</v>
      </c>
      <c r="AF10" s="78" t="s">
        <v>394</v>
      </c>
      <c r="AG10" s="79">
        <v>22</v>
      </c>
      <c r="AH10" s="78" t="s">
        <v>394</v>
      </c>
      <c r="AI10" s="79">
        <v>22</v>
      </c>
      <c r="AJ10" s="78" t="s">
        <v>394</v>
      </c>
      <c r="AK10" s="80">
        <v>645</v>
      </c>
      <c r="AL10" s="81" t="s">
        <v>228</v>
      </c>
      <c r="AM10" s="80">
        <v>1187</v>
      </c>
      <c r="AN10" s="57" t="s">
        <v>395</v>
      </c>
      <c r="AO10" s="93" t="s">
        <v>371</v>
      </c>
      <c r="AP10" s="58" t="s">
        <v>409</v>
      </c>
    </row>
    <row r="11" spans="1:42" ht="15.95" customHeight="1">
      <c r="A11" s="74">
        <v>136210</v>
      </c>
      <c r="B11" s="56" t="s">
        <v>33</v>
      </c>
      <c r="C11" s="77">
        <v>42</v>
      </c>
      <c r="D11" s="78" t="s">
        <v>394</v>
      </c>
      <c r="E11" s="79">
        <v>20</v>
      </c>
      <c r="F11" s="78" t="s">
        <v>394</v>
      </c>
      <c r="G11" s="79">
        <v>42</v>
      </c>
      <c r="H11" s="78" t="s">
        <v>394</v>
      </c>
      <c r="I11" s="79">
        <v>46</v>
      </c>
      <c r="J11" s="78" t="s">
        <v>394</v>
      </c>
      <c r="K11" s="79">
        <v>20</v>
      </c>
      <c r="L11" s="78" t="s">
        <v>394</v>
      </c>
      <c r="M11" s="79">
        <v>21</v>
      </c>
      <c r="N11" s="78" t="s">
        <v>394</v>
      </c>
      <c r="O11" s="79">
        <v>58</v>
      </c>
      <c r="P11" s="78" t="s">
        <v>394</v>
      </c>
      <c r="Q11" s="79">
        <v>22</v>
      </c>
      <c r="R11" s="78" t="s">
        <v>394</v>
      </c>
      <c r="S11" s="79">
        <v>38</v>
      </c>
      <c r="T11" s="78" t="s">
        <v>394</v>
      </c>
      <c r="U11" s="79">
        <v>49</v>
      </c>
      <c r="V11" s="78" t="s">
        <v>394</v>
      </c>
      <c r="W11" s="79">
        <v>22</v>
      </c>
      <c r="X11" s="78" t="s">
        <v>394</v>
      </c>
      <c r="Y11" s="79">
        <v>22</v>
      </c>
      <c r="Z11" s="78" t="s">
        <v>394</v>
      </c>
      <c r="AA11" s="79">
        <v>50</v>
      </c>
      <c r="AB11" s="78" t="s">
        <v>394</v>
      </c>
      <c r="AC11" s="79">
        <v>22</v>
      </c>
      <c r="AD11" s="78" t="s">
        <v>394</v>
      </c>
      <c r="AE11" s="79">
        <v>22</v>
      </c>
      <c r="AF11" s="78" t="s">
        <v>394</v>
      </c>
      <c r="AG11" s="79">
        <v>21</v>
      </c>
      <c r="AH11" s="78" t="s">
        <v>394</v>
      </c>
      <c r="AI11" s="79">
        <v>22</v>
      </c>
      <c r="AJ11" s="78" t="s">
        <v>394</v>
      </c>
      <c r="AK11" s="80">
        <v>539</v>
      </c>
      <c r="AL11" s="81" t="s">
        <v>229</v>
      </c>
      <c r="AM11" s="80">
        <v>1027</v>
      </c>
      <c r="AN11" s="57" t="s">
        <v>395</v>
      </c>
      <c r="AO11" s="93" t="s">
        <v>371</v>
      </c>
      <c r="AP11" s="58" t="s">
        <v>410</v>
      </c>
    </row>
    <row r="12" spans="1:42" ht="15.95" customHeight="1">
      <c r="A12" s="74">
        <v>136211</v>
      </c>
      <c r="B12" s="56" t="s">
        <v>34</v>
      </c>
      <c r="C12" s="77">
        <v>60</v>
      </c>
      <c r="D12" s="78" t="s">
        <v>394</v>
      </c>
      <c r="E12" s="79">
        <v>23</v>
      </c>
      <c r="F12" s="78" t="s">
        <v>394</v>
      </c>
      <c r="G12" s="79">
        <v>44</v>
      </c>
      <c r="H12" s="78" t="s">
        <v>394</v>
      </c>
      <c r="I12" s="79">
        <v>61</v>
      </c>
      <c r="J12" s="78" t="s">
        <v>394</v>
      </c>
      <c r="K12" s="79">
        <v>23</v>
      </c>
      <c r="L12" s="78" t="s">
        <v>394</v>
      </c>
      <c r="M12" s="79">
        <v>21</v>
      </c>
      <c r="N12" s="78" t="s">
        <v>394</v>
      </c>
      <c r="O12" s="79">
        <v>69</v>
      </c>
      <c r="P12" s="78" t="s">
        <v>394</v>
      </c>
      <c r="Q12" s="79">
        <v>23</v>
      </c>
      <c r="R12" s="78" t="s">
        <v>394</v>
      </c>
      <c r="S12" s="79">
        <v>44</v>
      </c>
      <c r="T12" s="78" t="s">
        <v>394</v>
      </c>
      <c r="U12" s="79">
        <v>60</v>
      </c>
      <c r="V12" s="78" t="s">
        <v>394</v>
      </c>
      <c r="W12" s="79">
        <v>23</v>
      </c>
      <c r="X12" s="78" t="s">
        <v>394</v>
      </c>
      <c r="Y12" s="79">
        <v>23</v>
      </c>
      <c r="Z12" s="78" t="s">
        <v>394</v>
      </c>
      <c r="AA12" s="79">
        <v>62</v>
      </c>
      <c r="AB12" s="78" t="s">
        <v>394</v>
      </c>
      <c r="AC12" s="79">
        <v>23</v>
      </c>
      <c r="AD12" s="78" t="s">
        <v>394</v>
      </c>
      <c r="AE12" s="79">
        <v>21</v>
      </c>
      <c r="AF12" s="78" t="s">
        <v>394</v>
      </c>
      <c r="AG12" s="79">
        <v>23</v>
      </c>
      <c r="AH12" s="78" t="s">
        <v>394</v>
      </c>
      <c r="AI12" s="79">
        <v>23</v>
      </c>
      <c r="AJ12" s="78" t="s">
        <v>394</v>
      </c>
      <c r="AK12" s="80">
        <v>626</v>
      </c>
      <c r="AL12" s="81" t="s">
        <v>230</v>
      </c>
      <c r="AM12" s="80">
        <v>1176</v>
      </c>
      <c r="AN12" s="57" t="s">
        <v>395</v>
      </c>
      <c r="AO12" s="93" t="s">
        <v>371</v>
      </c>
      <c r="AP12" s="58" t="s">
        <v>411</v>
      </c>
    </row>
    <row r="13" spans="1:42" ht="15.95" customHeight="1">
      <c r="A13" s="74">
        <v>136212</v>
      </c>
      <c r="B13" s="56" t="s">
        <v>35</v>
      </c>
      <c r="C13" s="77">
        <v>51</v>
      </c>
      <c r="D13" s="78" t="s">
        <v>394</v>
      </c>
      <c r="E13" s="79">
        <v>23</v>
      </c>
      <c r="F13" s="78" t="s">
        <v>394</v>
      </c>
      <c r="G13" s="79">
        <v>44</v>
      </c>
      <c r="H13" s="78" t="s">
        <v>394</v>
      </c>
      <c r="I13" s="79">
        <v>45</v>
      </c>
      <c r="J13" s="78" t="s">
        <v>394</v>
      </c>
      <c r="K13" s="79">
        <v>22</v>
      </c>
      <c r="L13" s="78" t="s">
        <v>394</v>
      </c>
      <c r="M13" s="79">
        <v>21</v>
      </c>
      <c r="N13" s="78" t="s">
        <v>394</v>
      </c>
      <c r="O13" s="79">
        <v>67</v>
      </c>
      <c r="P13" s="78" t="s">
        <v>394</v>
      </c>
      <c r="Q13" s="79">
        <v>22</v>
      </c>
      <c r="R13" s="78" t="s">
        <v>394</v>
      </c>
      <c r="S13" s="79">
        <v>42</v>
      </c>
      <c r="T13" s="78" t="s">
        <v>394</v>
      </c>
      <c r="U13" s="79">
        <v>66</v>
      </c>
      <c r="V13" s="78" t="s">
        <v>394</v>
      </c>
      <c r="W13" s="79">
        <v>22</v>
      </c>
      <c r="X13" s="78" t="s">
        <v>394</v>
      </c>
      <c r="Y13" s="79">
        <v>22</v>
      </c>
      <c r="Z13" s="78" t="s">
        <v>394</v>
      </c>
      <c r="AA13" s="79">
        <v>65</v>
      </c>
      <c r="AB13" s="78" t="s">
        <v>394</v>
      </c>
      <c r="AC13" s="79">
        <v>22</v>
      </c>
      <c r="AD13" s="78" t="s">
        <v>394</v>
      </c>
      <c r="AE13" s="79">
        <v>21</v>
      </c>
      <c r="AF13" s="78" t="s">
        <v>394</v>
      </c>
      <c r="AG13" s="79">
        <v>21</v>
      </c>
      <c r="AH13" s="78" t="s">
        <v>394</v>
      </c>
      <c r="AI13" s="79">
        <v>22</v>
      </c>
      <c r="AJ13" s="78" t="s">
        <v>394</v>
      </c>
      <c r="AK13" s="80">
        <v>598</v>
      </c>
      <c r="AL13" s="81" t="s">
        <v>231</v>
      </c>
      <c r="AM13" s="80">
        <v>1092</v>
      </c>
      <c r="AN13" s="57" t="s">
        <v>395</v>
      </c>
      <c r="AO13" s="93" t="s">
        <v>371</v>
      </c>
      <c r="AP13" s="58" t="s">
        <v>412</v>
      </c>
    </row>
    <row r="14" spans="1:42" ht="15.95" customHeight="1">
      <c r="A14" s="74">
        <v>136213</v>
      </c>
      <c r="B14" s="56" t="s">
        <v>36</v>
      </c>
      <c r="C14" s="77">
        <v>40</v>
      </c>
      <c r="D14" s="78" t="s">
        <v>394</v>
      </c>
      <c r="E14" s="79">
        <v>20</v>
      </c>
      <c r="F14" s="78" t="s">
        <v>394</v>
      </c>
      <c r="G14" s="79">
        <v>42</v>
      </c>
      <c r="H14" s="78" t="s">
        <v>394</v>
      </c>
      <c r="I14" s="79">
        <v>41</v>
      </c>
      <c r="J14" s="78" t="s">
        <v>394</v>
      </c>
      <c r="K14" s="79">
        <v>20</v>
      </c>
      <c r="L14" s="78" t="s">
        <v>394</v>
      </c>
      <c r="M14" s="79">
        <v>21</v>
      </c>
      <c r="N14" s="78" t="s">
        <v>394</v>
      </c>
      <c r="O14" s="79">
        <v>60</v>
      </c>
      <c r="P14" s="78" t="s">
        <v>394</v>
      </c>
      <c r="Q14" s="79">
        <v>22</v>
      </c>
      <c r="R14" s="78" t="s">
        <v>394</v>
      </c>
      <c r="S14" s="79">
        <v>38</v>
      </c>
      <c r="T14" s="78" t="s">
        <v>394</v>
      </c>
      <c r="U14" s="79">
        <v>53</v>
      </c>
      <c r="V14" s="78" t="s">
        <v>394</v>
      </c>
      <c r="W14" s="79">
        <v>22</v>
      </c>
      <c r="X14" s="78" t="s">
        <v>394</v>
      </c>
      <c r="Y14" s="79">
        <v>22</v>
      </c>
      <c r="Z14" s="78" t="s">
        <v>394</v>
      </c>
      <c r="AA14" s="79">
        <v>49</v>
      </c>
      <c r="AB14" s="78" t="s">
        <v>394</v>
      </c>
      <c r="AC14" s="79">
        <v>22</v>
      </c>
      <c r="AD14" s="78" t="s">
        <v>394</v>
      </c>
      <c r="AE14" s="79">
        <v>19</v>
      </c>
      <c r="AF14" s="78" t="s">
        <v>394</v>
      </c>
      <c r="AG14" s="79">
        <v>22</v>
      </c>
      <c r="AH14" s="78" t="s">
        <v>394</v>
      </c>
      <c r="AI14" s="79">
        <v>23</v>
      </c>
      <c r="AJ14" s="78" t="s">
        <v>394</v>
      </c>
      <c r="AK14" s="80">
        <v>536</v>
      </c>
      <c r="AL14" s="81" t="s">
        <v>232</v>
      </c>
      <c r="AM14" s="80">
        <v>1054</v>
      </c>
      <c r="AN14" s="57" t="s">
        <v>395</v>
      </c>
      <c r="AO14" s="93" t="s">
        <v>371</v>
      </c>
      <c r="AP14" s="58" t="s">
        <v>413</v>
      </c>
    </row>
    <row r="15" spans="1:42" ht="15.95" customHeight="1">
      <c r="A15" s="74">
        <v>136214</v>
      </c>
      <c r="B15" s="56" t="s">
        <v>37</v>
      </c>
      <c r="C15" s="77">
        <v>40</v>
      </c>
      <c r="D15" s="78" t="s">
        <v>398</v>
      </c>
      <c r="E15" s="79">
        <v>23</v>
      </c>
      <c r="F15" s="78" t="s">
        <v>398</v>
      </c>
      <c r="G15" s="79">
        <v>44</v>
      </c>
      <c r="H15" s="78" t="s">
        <v>398</v>
      </c>
      <c r="I15" s="79">
        <v>25</v>
      </c>
      <c r="J15" s="78" t="s">
        <v>397</v>
      </c>
      <c r="K15" s="79">
        <v>23</v>
      </c>
      <c r="L15" s="78" t="s">
        <v>398</v>
      </c>
      <c r="M15" s="79">
        <v>22</v>
      </c>
      <c r="N15" s="78" t="s">
        <v>398</v>
      </c>
      <c r="O15" s="79">
        <v>50</v>
      </c>
      <c r="P15" s="78" t="s">
        <v>398</v>
      </c>
      <c r="Q15" s="79">
        <v>23</v>
      </c>
      <c r="R15" s="78" t="s">
        <v>398</v>
      </c>
      <c r="S15" s="79">
        <v>42</v>
      </c>
      <c r="T15" s="78" t="s">
        <v>398</v>
      </c>
      <c r="U15" s="79">
        <v>40</v>
      </c>
      <c r="V15" s="78" t="s">
        <v>398</v>
      </c>
      <c r="W15" s="79">
        <v>23</v>
      </c>
      <c r="X15" s="78" t="s">
        <v>398</v>
      </c>
      <c r="Y15" s="79">
        <v>22</v>
      </c>
      <c r="Z15" s="78" t="s">
        <v>398</v>
      </c>
      <c r="AA15" s="79">
        <v>34</v>
      </c>
      <c r="AB15" s="78" t="s">
        <v>397</v>
      </c>
      <c r="AC15" s="79">
        <v>23</v>
      </c>
      <c r="AD15" s="78" t="s">
        <v>398</v>
      </c>
      <c r="AE15" s="79">
        <v>22</v>
      </c>
      <c r="AF15" s="78" t="s">
        <v>398</v>
      </c>
      <c r="AG15" s="79">
        <v>23</v>
      </c>
      <c r="AH15" s="78" t="s">
        <v>398</v>
      </c>
      <c r="AI15" s="79">
        <v>23</v>
      </c>
      <c r="AJ15" s="78" t="s">
        <v>398</v>
      </c>
      <c r="AK15" s="80">
        <v>502</v>
      </c>
      <c r="AL15" s="81" t="s">
        <v>535</v>
      </c>
      <c r="AM15" s="80">
        <v>502</v>
      </c>
      <c r="AN15" s="57" t="s">
        <v>399</v>
      </c>
      <c r="AO15" s="93" t="s">
        <v>400</v>
      </c>
      <c r="AP15" s="58" t="s">
        <v>414</v>
      </c>
    </row>
    <row r="16" spans="1:42" ht="15.95" customHeight="1">
      <c r="A16" s="74">
        <v>136215</v>
      </c>
      <c r="B16" s="56" t="s">
        <v>38</v>
      </c>
      <c r="C16" s="77">
        <v>52</v>
      </c>
      <c r="D16" s="78" t="s">
        <v>394</v>
      </c>
      <c r="E16" s="79">
        <v>22</v>
      </c>
      <c r="F16" s="78" t="s">
        <v>394</v>
      </c>
      <c r="G16" s="79">
        <v>44</v>
      </c>
      <c r="H16" s="78" t="s">
        <v>394</v>
      </c>
      <c r="I16" s="79">
        <v>61</v>
      </c>
      <c r="J16" s="78" t="s">
        <v>394</v>
      </c>
      <c r="K16" s="79">
        <v>23</v>
      </c>
      <c r="L16" s="78" t="s">
        <v>394</v>
      </c>
      <c r="M16" s="79">
        <v>22</v>
      </c>
      <c r="N16" s="78" t="s">
        <v>394</v>
      </c>
      <c r="O16" s="79">
        <v>64</v>
      </c>
      <c r="P16" s="78" t="s">
        <v>394</v>
      </c>
      <c r="Q16" s="79">
        <v>23</v>
      </c>
      <c r="R16" s="78" t="s">
        <v>394</v>
      </c>
      <c r="S16" s="79">
        <v>42</v>
      </c>
      <c r="T16" s="78" t="s">
        <v>394</v>
      </c>
      <c r="U16" s="79">
        <v>59</v>
      </c>
      <c r="V16" s="78" t="s">
        <v>394</v>
      </c>
      <c r="W16" s="79">
        <v>23</v>
      </c>
      <c r="X16" s="78" t="s">
        <v>394</v>
      </c>
      <c r="Y16" s="79">
        <v>21</v>
      </c>
      <c r="Z16" s="78" t="s">
        <v>394</v>
      </c>
      <c r="AA16" s="79">
        <v>71</v>
      </c>
      <c r="AB16" s="78" t="s">
        <v>394</v>
      </c>
      <c r="AC16" s="79">
        <v>23</v>
      </c>
      <c r="AD16" s="78" t="s">
        <v>394</v>
      </c>
      <c r="AE16" s="79">
        <v>23</v>
      </c>
      <c r="AF16" s="78" t="s">
        <v>394</v>
      </c>
      <c r="AG16" s="79">
        <v>23</v>
      </c>
      <c r="AH16" s="78" t="s">
        <v>394</v>
      </c>
      <c r="AI16" s="79">
        <v>23</v>
      </c>
      <c r="AJ16" s="78" t="s">
        <v>394</v>
      </c>
      <c r="AK16" s="80">
        <v>619</v>
      </c>
      <c r="AL16" s="81" t="s">
        <v>233</v>
      </c>
      <c r="AM16" s="80">
        <v>1210</v>
      </c>
      <c r="AN16" s="57" t="s">
        <v>395</v>
      </c>
      <c r="AO16" s="93" t="s">
        <v>371</v>
      </c>
      <c r="AP16" s="58" t="s">
        <v>415</v>
      </c>
    </row>
    <row r="17" spans="1:42" ht="15.95" customHeight="1">
      <c r="A17" s="74">
        <v>136216</v>
      </c>
      <c r="B17" s="56" t="s">
        <v>39</v>
      </c>
      <c r="C17" s="77">
        <v>45</v>
      </c>
      <c r="D17" s="78" t="s">
        <v>394</v>
      </c>
      <c r="E17" s="79">
        <v>23</v>
      </c>
      <c r="F17" s="78" t="s">
        <v>394</v>
      </c>
      <c r="G17" s="79">
        <v>46</v>
      </c>
      <c r="H17" s="78" t="s">
        <v>394</v>
      </c>
      <c r="I17" s="79">
        <v>43</v>
      </c>
      <c r="J17" s="78" t="s">
        <v>394</v>
      </c>
      <c r="K17" s="79">
        <v>23</v>
      </c>
      <c r="L17" s="78" t="s">
        <v>394</v>
      </c>
      <c r="M17" s="79">
        <v>23</v>
      </c>
      <c r="N17" s="78" t="s">
        <v>394</v>
      </c>
      <c r="O17" s="79">
        <v>47</v>
      </c>
      <c r="P17" s="78" t="s">
        <v>394</v>
      </c>
      <c r="Q17" s="79">
        <v>23</v>
      </c>
      <c r="R17" s="78" t="s">
        <v>394</v>
      </c>
      <c r="S17" s="79">
        <v>44</v>
      </c>
      <c r="T17" s="78" t="s">
        <v>394</v>
      </c>
      <c r="U17" s="79">
        <v>41</v>
      </c>
      <c r="V17" s="78" t="s">
        <v>394</v>
      </c>
      <c r="W17" s="79">
        <v>23</v>
      </c>
      <c r="X17" s="78" t="s">
        <v>394</v>
      </c>
      <c r="Y17" s="79">
        <v>23</v>
      </c>
      <c r="Z17" s="78" t="s">
        <v>394</v>
      </c>
      <c r="AA17" s="79">
        <v>56</v>
      </c>
      <c r="AB17" s="78" t="s">
        <v>394</v>
      </c>
      <c r="AC17" s="79">
        <v>23</v>
      </c>
      <c r="AD17" s="78" t="s">
        <v>394</v>
      </c>
      <c r="AE17" s="79">
        <v>22</v>
      </c>
      <c r="AF17" s="78" t="s">
        <v>394</v>
      </c>
      <c r="AG17" s="79">
        <v>23</v>
      </c>
      <c r="AH17" s="78" t="s">
        <v>394</v>
      </c>
      <c r="AI17" s="79">
        <v>23</v>
      </c>
      <c r="AJ17" s="78" t="s">
        <v>394</v>
      </c>
      <c r="AK17" s="80">
        <v>551</v>
      </c>
      <c r="AL17" s="81" t="s">
        <v>234</v>
      </c>
      <c r="AM17" s="80">
        <v>1038</v>
      </c>
      <c r="AN17" s="57" t="s">
        <v>395</v>
      </c>
      <c r="AO17" s="93" t="s">
        <v>371</v>
      </c>
      <c r="AP17" s="58" t="s">
        <v>416</v>
      </c>
    </row>
    <row r="18" spans="1:42" ht="15.95" customHeight="1">
      <c r="A18" s="67">
        <v>136217</v>
      </c>
      <c r="B18" s="21" t="s">
        <v>40</v>
      </c>
      <c r="C18" s="24">
        <v>40</v>
      </c>
      <c r="D18" s="9" t="s">
        <v>398</v>
      </c>
      <c r="E18" s="22">
        <v>23</v>
      </c>
      <c r="F18" s="9" t="s">
        <v>398</v>
      </c>
      <c r="G18" s="22">
        <v>46</v>
      </c>
      <c r="H18" s="9" t="s">
        <v>398</v>
      </c>
      <c r="I18" s="29">
        <v>21</v>
      </c>
      <c r="J18" s="9" t="str">
        <f t="shared" ref="J18" si="4">IF(IFERROR(FIND("+",I18),0)," ",
IF(I18="AB","",
IF(I18&lt;$J$27,"F",
IF(AND(C18&gt;=$D$27,E18&gt;=$F$27,G18&gt;=$H$27,
I18&gt;=$J$27,K18&gt;=$L$27,
M18&gt;=$N$27,O18&gt;=$P$27,Q18&gt;=$R$27,S18&gt;=$T$27,U18&gt;=$V$27,
W18&gt;=$X$27,Y18&gt;=$Z$27,AA18&gt;=$AB$27,AC18&gt;=$AD$27,AE18&gt;=$AF$27,
AG18&gt;=$AH$27,AI18&gt;=$AJ$27,C18&lt;&gt;"AB",E18&lt;&gt;"AB",G18&lt;&gt;"AB",
I18&lt;&gt;"AB",K18&lt;&gt;"AB",
M18&lt;&gt;"AB",O18&lt;&gt;"AB",Q18&lt;&gt;"AB",S18&lt;&gt;"AB",U18&lt;&gt;"AB",
W18&lt;&gt;"AB",Y18&lt;&gt;"AB",AA18&lt;&gt;"AB",AC18&lt;&gt;"AB",AE18&lt;&gt;"AB",
AG18&lt;&gt;"AB",AH18&lt;&gt;"AB"),"","E"))))</f>
        <v>F</v>
      </c>
      <c r="K18" s="22">
        <v>23</v>
      </c>
      <c r="L18" s="9" t="s">
        <v>398</v>
      </c>
      <c r="M18" s="22">
        <v>22</v>
      </c>
      <c r="N18" s="9" t="s">
        <v>398</v>
      </c>
      <c r="O18" s="29">
        <v>7</v>
      </c>
      <c r="P18" s="9" t="str">
        <f t="shared" ref="P18" si="5">IF(IFERROR(FIND("+",O18),0)," ",
IF(O18="AB","",
IF(O18&lt;$P$27,"F",
IF(AND(C18&gt;=$D$27,E18&gt;=$F$27,G18&gt;=$H$27,
I18&gt;=$J$27,K18&gt;=$L$27,
M18&gt;=$N$27,O18&gt;=$P$27,Q18&gt;=$R$27,S18&gt;=$T$27,U18&gt;=$V$27,
W18&gt;=$X$27,Y18&gt;=$Z$27,AA18&gt;=$AB$27,AC18&gt;=$AD$27,AE18&gt;=$AF$27,
AG18&gt;=$AH$27,AI18&gt;=$AJ$27,C18&lt;&gt;"AB",E18&lt;&gt;"AB",G18&lt;&gt;"AB",
I18&lt;&gt;"AB",K18&lt;&gt;"AB",
M18&lt;&gt;"AB",O18&lt;&gt;"AB",Q18&lt;&gt;"AB",S18&lt;&gt;"AB",U18&lt;&gt;"AB",
W18&lt;&gt;"AB",Y18&lt;&gt;"AB",AA18&lt;&gt;"AB",AC18&lt;&gt;"AB",AE18&lt;&gt;"AB",
AG18&lt;&gt;"AB",AH18&lt;&gt;"AB"),"","E"))))</f>
        <v>F</v>
      </c>
      <c r="Q18" s="22">
        <v>23</v>
      </c>
      <c r="R18" s="9" t="s">
        <v>398</v>
      </c>
      <c r="S18" s="22">
        <v>44</v>
      </c>
      <c r="T18" s="9" t="s">
        <v>398</v>
      </c>
      <c r="U18" s="29">
        <v>0</v>
      </c>
      <c r="V18" s="9" t="str">
        <f t="shared" ref="V18" si="6">IF(IFERROR(FIND("+",U18),0)," ",
IF(U18="AB","",
IF(U18&lt;$V$27,"F",
IF(AND(C18&gt;=$D$27,E18&gt;=$F$27,G18&gt;=$H$27,
I18&gt;=$J$27,K18&gt;=$L$27,
M18&gt;=$N$27,O18&gt;=$P$27,Q18&gt;=$R$27,S18&gt;=$T$27,U18&gt;=$V$27,
W18&gt;=$X$27,Y18&gt;=$Z$27,AA18&gt;=$AB$27,AC18&gt;=$AD$27,AE18&gt;=$AF$27,
AG18&gt;=$AH$27,AI18&gt;=$AJ$27,C18&lt;&gt;"AB",E18&lt;&gt;"AB",G18&lt;&gt;"AB",
I18&lt;&gt;"AB",K18&lt;&gt;"AB",
M18&lt;&gt;"AB",O18&lt;&gt;"AB",Q18&lt;&gt;"AB",S18&lt;&gt;"AB",U18&lt;&gt;"AB",
W18&lt;&gt;"AB",Y18&lt;&gt;"AB",AA18&lt;&gt;"AB",AC18&lt;&gt;"AB",AE18&lt;&gt;"AB",
AG18&lt;&gt;"AB",AH18&lt;&gt;"AB"),"","E"))))</f>
        <v>F</v>
      </c>
      <c r="W18" s="22">
        <v>23</v>
      </c>
      <c r="X18" s="9" t="s">
        <v>398</v>
      </c>
      <c r="Y18" s="22">
        <v>23</v>
      </c>
      <c r="Z18" s="9" t="s">
        <v>398</v>
      </c>
      <c r="AA18" s="29">
        <v>40</v>
      </c>
      <c r="AB18" s="9" t="s">
        <v>398</v>
      </c>
      <c r="AC18" s="22">
        <v>23</v>
      </c>
      <c r="AD18" s="9" t="s">
        <v>398</v>
      </c>
      <c r="AE18" s="22">
        <v>21</v>
      </c>
      <c r="AF18" s="9" t="s">
        <v>398</v>
      </c>
      <c r="AG18" s="22">
        <v>23</v>
      </c>
      <c r="AH18" s="9" t="s">
        <v>398</v>
      </c>
      <c r="AI18" s="22">
        <v>23</v>
      </c>
      <c r="AJ18" s="9" t="s">
        <v>398</v>
      </c>
      <c r="AK18" s="16">
        <f>IF(OR(AND(C18&gt;=31,C18&lt;40),AND(I18&gt;=31,I18&lt;40),AND(O18&gt;=31,O18&lt;40),AND(U18&gt;=31,U18&lt;40),AND(AA18&gt;=31,AA18&lt;40)),IF(AND(OR(COUNTIF(C18:AJ18,"=31")&gt;=1,COUNTIF(C18:AJ18,"=32")&gt;=1,COUNTIF(C18:AJ18,"=33")&gt;=1,COUNTIF(C18:AJ18,"=34")&gt;=1,COUNTIF(C18:AJ18,"=35")&gt;=1,COUNTIF(C18:AJ18,"=36")&gt;=1 ),COUNTIF(C18:AJ18,"")=0,COUNTIF(C18:AJ18," ")=0,COUNTIF(C18:AJ18,"F")=1),CONCATENATE(SUM(EXTRACTNUMBER(C18),EXTRACTNUMBER(E18),
EXTRACTNUMBER(G18),EXTRACTNUMBER(I18),
EXTRACTNUMBER(K18),EXTRACTNUMBER(M18),
EXTRACTNUMBER(O18),EXTRACTNUMBER(Q18),
EXTRACTNUMBER(S18),EXTRACTNUMBER(U18),
EXTRACTNUMBER(W18),EXTRACTNUMBER(Y18),EXTRACTNUMBER(AA18),
EXTRACTNUMBER(AC18),EXTRACTNUMBER(AE18),EXTRACTNUMBER(AG18),EXTRACTNUMBER(AI18)),"*"),IF(AND(COUNTIF(C18:AJ18,"=34")&gt;=1,COUNTIF(C18:AJ18,"=35")&gt;=1,COUNTIF(C18:AJ18,"f")=2,COUNTIF(C18:AJ18,"")=0,COUNTIF(C18:AJ18," ")=0),CONCATENATE(SUM(EXTRACTNUMBER(C18),EXTRACTNUMBER(E18),
EXTRACTNUMBER(G18),EXTRACTNUMBER(I18),
EXTRACTNUMBER(K18),EXTRACTNUMBER(M18),
EXTRACTNUMBER(O18),EXTRACTNUMBER(Q18),
EXTRACTNUMBER(S18),EXTRACTNUMBER(U18),
EXTRACTNUMBER(W18),EXTRACTNUMBER(Y18),EXTRACTNUMBER(AA18),
EXTRACTNUMBER(AC18),EXTRACTNUMBER(AE18),EXTRACTNUMBER(AG18),EXTRACTNUMBER(AI18)),"*"),IF(AND(COUNTIF(C18:AJ18,"=36")&gt;=2,COUNTIF(C18:AJ18,"f")=2,COUNTIF(C18:AJ18,"")=0,COUNTIF(C18:AJ18," ")=0),CONCATENATE(SUM(EXTRACTNUMBER(C18),EXTRACTNUMBER(E18),
EXTRACTNUMBER(G18),EXTRACTNUMBER(I18),
EXTRACTNUMBER(K18),EXTRACTNUMBER(M18),
EXTRACTNUMBER(O18),EXTRACTNUMBER(Q18),
EXTRACTNUMBER(S18),EXTRACTNUMBER(U18),
EXTRACTNUMBER(W18),EXTRACTNUMBER(Y18),EXTRACTNUMBER(AA18),
EXTRACTNUMBER(AC18),EXTRACTNUMBER(AE18),EXTRACTNUMBER(AG18),EXTRACTNUMBER(AI18)),"*"),SUM(EXTRACTNUMBER(C18),EXTRACTNUMBER(E18),
EXTRACTNUMBER(G18),EXTRACTNUMBER(I18),
EXTRACTNUMBER(K18),EXTRACTNUMBER(M18),
EXTRACTNUMBER(O18),EXTRACTNUMBER(Q18),
EXTRACTNUMBER(S18),EXTRACTNUMBER(U18),
EXTRACTNUMBER(W18),EXTRACTNUMBER(Y18),EXTRACTNUMBER(AA18),
EXTRACTNUMBER(AC18),EXTRACTNUMBER(AE18),EXTRACTNUMBER(AG18),EXTRACTNUMBER(AI18))))),SUM(EXTRACTNUMBER(C18),EXTRACTNUMBER(E18),
EXTRACTNUMBER(G18),EXTRACTNUMBER(I18),
EXTRACTNUMBER(K18),EXTRACTNUMBER(M18),
EXTRACTNUMBER(O18),EXTRACTNUMBER(Q18),
EXTRACTNUMBER(S18),EXTRACTNUMBER(U18),
EXTRACTNUMBER(W18),EXTRACTNUMBER(Y18),EXTRACTNUMBER(AA18),
EXTRACTNUMBER(AC18),EXTRACTNUMBER(AE18),EXTRACTNUMBER(AG18),EXTRACTNUMBER(AI18)))</f>
        <v>425</v>
      </c>
      <c r="AL18" s="72" t="s">
        <v>535</v>
      </c>
      <c r="AM18" s="11">
        <f t="shared" ref="AM18" si="7">IF(IFERROR(FIND("x",AL18),0),SUM(EXTRACTNUMBER(AK18),EXTRACTNUMBER(AL18)),IF(AND(SUM(EXTRACTNUMBER(AK18),EXTRACTNUMBER(AL18))&gt;1009,        SUM(EXTRACTNUMBER(AK18),EXTRACTNUMBER(AL18))&lt;1020),
CONCATENATE(SUM(EXTRACTNUMBER(AK18),EXTRACTNUMBER(AL18)),"@",1020-SUM(EXTRACTNUMBER(AK18),EXTRACTNUMBER(AL18))),
IF(AND(SUM(EXTRACTNUMBER(AK18),EXTRACTNUMBER(AL18))&gt;839,   SUM(EXTRACTNUMBER(AK18),EXTRACTNUMBER(AL18))&lt;850),CONCATENATE(SUM(EXTRACTNUMBER(AK18),EXTRACTNUMBER(AL18)),"@",850-SUM(EXTRACTNUMBER(AK18),EXTRACTNUMBER(AL18))),
IF(AND(SUM(EXTRACTNUMBER(AK18),EXTRACTNUMBER(AL18))&gt;669,        SUM(EXTRACTNUMBER(AK18),EXTRACTNUMBER(AL18))&lt;680),
CONCATENATE(SUM(EXTRACTNUMBER(AK18),EXTRACTNUMBER(AL18)),"@",680-SUM(EXTRACTNUMBER(AK18),EXTRACTNUMBER(AL18))),
SUM(EXTRACTNUMBER(AK18),EXTRACTNUMBER(AL18))))))</f>
        <v>425</v>
      </c>
      <c r="AN18" s="11" t="str">
        <f t="shared" ref="AN18" si="8">IF(AND(COUNTIF(C18:AJ18,"AB")&lt;17-COUNTIF(C18:AJ18," "),
COUNTIF(C18:AJ18,"AB")&lt;&gt;0),"FAIL",
IF(COUNTIF(C18:AJ18,"AB")=17-COUNTIF(C18:AJ18," "),"ABSENT",
IF(AND(COUNTIF(C18:AJ18,"AB")=0,COUNTIF(C18:AJ18,"F")=0),"PASS","FAIL")))</f>
        <v>FAIL</v>
      </c>
      <c r="AO18" s="11" t="str">
        <f t="shared" ref="AO18" si="9">IF(AN18="ABSENT","AB",IF(AN18="FAIL","--",
IF(AL18=0,"RS 5",
IF(AND(SUM(EXTRACTNUMBER(AK18),EXTRACTNUMBER(AL18))&gt;=1010,
        NOT(IFERROR(FIND("x",AK18),0)),
        NOT(IFERROR(FIND("x",AL18),0))),"I",
IF(AND(SUM(EXTRACTNUMBER(AK18),EXTRACTNUMBER(AL18))&gt;=850,
      SUM(EXTRACTNUMBER(AK18),EXTRACTNUMBER(AL18))&lt;1010,
      NOT(IFERROR(FIND("x",AK18),0)),
      NOT(IFERROR(FIND("x",AL18),0))),"II",
IF(OR(AND(SUM(EXTRACTNUMBER(AK18),EXTRACTNUMBER(AL18))&lt;850,
SUM(EXTRACTNUMBER(AK18),EXTRACTNUMBER(AL18))&gt;=670),
IFERROR(FIND("x",AK18),0),IFERROR(FIND("x",AL18),0)),"P","--"))))))</f>
        <v>--</v>
      </c>
      <c r="AP18" s="1" t="str">
        <f t="shared" ref="AP18" si="10">spellnumber(AM18)</f>
        <v xml:space="preserve">Four Hundred Twenty Five </v>
      </c>
    </row>
    <row r="19" spans="1:42" ht="15.95" customHeight="1">
      <c r="A19" s="74">
        <v>136218</v>
      </c>
      <c r="B19" s="56" t="s">
        <v>41</v>
      </c>
      <c r="C19" s="77">
        <v>50</v>
      </c>
      <c r="D19" s="78" t="s">
        <v>394</v>
      </c>
      <c r="E19" s="79">
        <v>20</v>
      </c>
      <c r="F19" s="78" t="s">
        <v>394</v>
      </c>
      <c r="G19" s="79">
        <v>44</v>
      </c>
      <c r="H19" s="78" t="s">
        <v>394</v>
      </c>
      <c r="I19" s="79">
        <v>62</v>
      </c>
      <c r="J19" s="78" t="s">
        <v>394</v>
      </c>
      <c r="K19" s="79">
        <v>20</v>
      </c>
      <c r="L19" s="78" t="s">
        <v>394</v>
      </c>
      <c r="M19" s="79">
        <v>22</v>
      </c>
      <c r="N19" s="78" t="s">
        <v>394</v>
      </c>
      <c r="O19" s="79">
        <v>66</v>
      </c>
      <c r="P19" s="78" t="s">
        <v>394</v>
      </c>
      <c r="Q19" s="79">
        <v>20</v>
      </c>
      <c r="R19" s="78" t="s">
        <v>394</v>
      </c>
      <c r="S19" s="79">
        <v>46</v>
      </c>
      <c r="T19" s="78" t="s">
        <v>394</v>
      </c>
      <c r="U19" s="79">
        <v>57</v>
      </c>
      <c r="V19" s="78" t="s">
        <v>394</v>
      </c>
      <c r="W19" s="79">
        <v>20</v>
      </c>
      <c r="X19" s="78" t="s">
        <v>394</v>
      </c>
      <c r="Y19" s="79">
        <v>21</v>
      </c>
      <c r="Z19" s="78" t="s">
        <v>394</v>
      </c>
      <c r="AA19" s="79">
        <v>58</v>
      </c>
      <c r="AB19" s="78" t="s">
        <v>394</v>
      </c>
      <c r="AC19" s="79">
        <v>20</v>
      </c>
      <c r="AD19" s="78" t="s">
        <v>394</v>
      </c>
      <c r="AE19" s="79">
        <v>20</v>
      </c>
      <c r="AF19" s="78" t="s">
        <v>394</v>
      </c>
      <c r="AG19" s="79">
        <v>20</v>
      </c>
      <c r="AH19" s="78" t="s">
        <v>394</v>
      </c>
      <c r="AI19" s="79">
        <v>21</v>
      </c>
      <c r="AJ19" s="78" t="s">
        <v>394</v>
      </c>
      <c r="AK19" s="80">
        <v>587</v>
      </c>
      <c r="AL19" s="81" t="s">
        <v>223</v>
      </c>
      <c r="AM19" s="80">
        <v>1144</v>
      </c>
      <c r="AN19" s="57" t="s">
        <v>395</v>
      </c>
      <c r="AO19" s="93" t="s">
        <v>371</v>
      </c>
      <c r="AP19" s="58" t="s">
        <v>417</v>
      </c>
    </row>
    <row r="20" spans="1:42" ht="15.95" customHeight="1">
      <c r="A20" s="74">
        <v>136219</v>
      </c>
      <c r="B20" s="56" t="s">
        <v>42</v>
      </c>
      <c r="C20" s="77">
        <v>64</v>
      </c>
      <c r="D20" s="78" t="s">
        <v>394</v>
      </c>
      <c r="E20" s="79">
        <v>21</v>
      </c>
      <c r="F20" s="78" t="s">
        <v>394</v>
      </c>
      <c r="G20" s="79">
        <v>46</v>
      </c>
      <c r="H20" s="78" t="s">
        <v>394</v>
      </c>
      <c r="I20" s="79">
        <v>40</v>
      </c>
      <c r="J20" s="78" t="s">
        <v>394</v>
      </c>
      <c r="K20" s="79">
        <v>22</v>
      </c>
      <c r="L20" s="78" t="s">
        <v>394</v>
      </c>
      <c r="M20" s="79">
        <v>23</v>
      </c>
      <c r="N20" s="78" t="s">
        <v>394</v>
      </c>
      <c r="O20" s="79">
        <v>64</v>
      </c>
      <c r="P20" s="78" t="s">
        <v>394</v>
      </c>
      <c r="Q20" s="79">
        <v>19</v>
      </c>
      <c r="R20" s="78" t="s">
        <v>394</v>
      </c>
      <c r="S20" s="79">
        <v>44</v>
      </c>
      <c r="T20" s="78" t="s">
        <v>394</v>
      </c>
      <c r="U20" s="79">
        <v>65</v>
      </c>
      <c r="V20" s="78" t="s">
        <v>394</v>
      </c>
      <c r="W20" s="79">
        <v>20</v>
      </c>
      <c r="X20" s="78" t="s">
        <v>394</v>
      </c>
      <c r="Y20" s="79">
        <v>21</v>
      </c>
      <c r="Z20" s="78" t="s">
        <v>394</v>
      </c>
      <c r="AA20" s="79">
        <v>69</v>
      </c>
      <c r="AB20" s="78" t="s">
        <v>394</v>
      </c>
      <c r="AC20" s="79">
        <v>19</v>
      </c>
      <c r="AD20" s="78" t="s">
        <v>394</v>
      </c>
      <c r="AE20" s="79">
        <v>21</v>
      </c>
      <c r="AF20" s="78" t="s">
        <v>394</v>
      </c>
      <c r="AG20" s="79">
        <v>20</v>
      </c>
      <c r="AH20" s="78" t="s">
        <v>394</v>
      </c>
      <c r="AI20" s="79">
        <v>23</v>
      </c>
      <c r="AJ20" s="78" t="s">
        <v>394</v>
      </c>
      <c r="AK20" s="80">
        <v>601</v>
      </c>
      <c r="AL20" s="81" t="s">
        <v>235</v>
      </c>
      <c r="AM20" s="80">
        <v>1171</v>
      </c>
      <c r="AN20" s="57" t="s">
        <v>395</v>
      </c>
      <c r="AO20" s="93" t="s">
        <v>371</v>
      </c>
      <c r="AP20" s="58" t="s">
        <v>418</v>
      </c>
    </row>
    <row r="21" spans="1:42" ht="15.95" customHeight="1">
      <c r="A21" s="74">
        <v>136220</v>
      </c>
      <c r="B21" s="56" t="s">
        <v>43</v>
      </c>
      <c r="C21" s="77">
        <v>40</v>
      </c>
      <c r="D21" s="78" t="s">
        <v>394</v>
      </c>
      <c r="E21" s="79">
        <v>23</v>
      </c>
      <c r="F21" s="78" t="s">
        <v>394</v>
      </c>
      <c r="G21" s="79">
        <v>44</v>
      </c>
      <c r="H21" s="78" t="s">
        <v>394</v>
      </c>
      <c r="I21" s="79">
        <v>49</v>
      </c>
      <c r="J21" s="78" t="s">
        <v>394</v>
      </c>
      <c r="K21" s="79">
        <v>23</v>
      </c>
      <c r="L21" s="78" t="s">
        <v>394</v>
      </c>
      <c r="M21" s="79">
        <v>22</v>
      </c>
      <c r="N21" s="78" t="s">
        <v>394</v>
      </c>
      <c r="O21" s="79">
        <v>52</v>
      </c>
      <c r="P21" s="78" t="s">
        <v>394</v>
      </c>
      <c r="Q21" s="79">
        <v>23</v>
      </c>
      <c r="R21" s="78" t="s">
        <v>394</v>
      </c>
      <c r="S21" s="79">
        <v>42</v>
      </c>
      <c r="T21" s="78" t="s">
        <v>394</v>
      </c>
      <c r="U21" s="79">
        <v>52</v>
      </c>
      <c r="V21" s="78" t="s">
        <v>394</v>
      </c>
      <c r="W21" s="79">
        <v>23</v>
      </c>
      <c r="X21" s="78" t="s">
        <v>394</v>
      </c>
      <c r="Y21" s="79">
        <v>22</v>
      </c>
      <c r="Z21" s="78" t="s">
        <v>394</v>
      </c>
      <c r="AA21" s="79">
        <v>40</v>
      </c>
      <c r="AB21" s="78" t="s">
        <v>394</v>
      </c>
      <c r="AC21" s="79">
        <v>23</v>
      </c>
      <c r="AD21" s="78" t="s">
        <v>394</v>
      </c>
      <c r="AE21" s="79">
        <v>20</v>
      </c>
      <c r="AF21" s="78" t="s">
        <v>394</v>
      </c>
      <c r="AG21" s="79">
        <v>23</v>
      </c>
      <c r="AH21" s="78" t="s">
        <v>394</v>
      </c>
      <c r="AI21" s="79">
        <v>23</v>
      </c>
      <c r="AJ21" s="78" t="s">
        <v>394</v>
      </c>
      <c r="AK21" s="80">
        <v>544</v>
      </c>
      <c r="AL21" s="81" t="s">
        <v>552</v>
      </c>
      <c r="AM21" s="80">
        <v>1045</v>
      </c>
      <c r="AN21" s="57" t="s">
        <v>395</v>
      </c>
      <c r="AO21" s="93" t="s">
        <v>516</v>
      </c>
      <c r="AP21" s="58" t="s">
        <v>474</v>
      </c>
    </row>
    <row r="22" spans="1:42" ht="15.95" customHeight="1">
      <c r="A22" s="74">
        <v>136221</v>
      </c>
      <c r="B22" s="56" t="s">
        <v>44</v>
      </c>
      <c r="C22" s="77">
        <v>40</v>
      </c>
      <c r="D22" s="78" t="s">
        <v>398</v>
      </c>
      <c r="E22" s="79">
        <v>23</v>
      </c>
      <c r="F22" s="78" t="s">
        <v>398</v>
      </c>
      <c r="G22" s="79">
        <v>42</v>
      </c>
      <c r="H22" s="78" t="s">
        <v>398</v>
      </c>
      <c r="I22" s="79">
        <v>25</v>
      </c>
      <c r="J22" s="78" t="s">
        <v>397</v>
      </c>
      <c r="K22" s="79">
        <v>23</v>
      </c>
      <c r="L22" s="78" t="s">
        <v>398</v>
      </c>
      <c r="M22" s="79">
        <v>21</v>
      </c>
      <c r="N22" s="78" t="s">
        <v>398</v>
      </c>
      <c r="O22" s="79">
        <v>41</v>
      </c>
      <c r="P22" s="78" t="s">
        <v>398</v>
      </c>
      <c r="Q22" s="79">
        <v>23</v>
      </c>
      <c r="R22" s="78" t="s">
        <v>398</v>
      </c>
      <c r="S22" s="79">
        <v>42</v>
      </c>
      <c r="T22" s="78" t="s">
        <v>398</v>
      </c>
      <c r="U22" s="79">
        <v>49</v>
      </c>
      <c r="V22" s="78" t="s">
        <v>398</v>
      </c>
      <c r="W22" s="79">
        <v>23</v>
      </c>
      <c r="X22" s="78" t="s">
        <v>398</v>
      </c>
      <c r="Y22" s="79">
        <v>22</v>
      </c>
      <c r="Z22" s="78" t="s">
        <v>398</v>
      </c>
      <c r="AA22" s="79">
        <v>41</v>
      </c>
      <c r="AB22" s="78" t="s">
        <v>398</v>
      </c>
      <c r="AC22" s="79">
        <v>23</v>
      </c>
      <c r="AD22" s="78" t="s">
        <v>398</v>
      </c>
      <c r="AE22" s="79">
        <v>21</v>
      </c>
      <c r="AF22" s="78" t="s">
        <v>398</v>
      </c>
      <c r="AG22" s="79">
        <v>23</v>
      </c>
      <c r="AH22" s="78" t="s">
        <v>398</v>
      </c>
      <c r="AI22" s="79">
        <v>24</v>
      </c>
      <c r="AJ22" s="78" t="s">
        <v>398</v>
      </c>
      <c r="AK22" s="80">
        <v>506</v>
      </c>
      <c r="AL22" s="81" t="s">
        <v>236</v>
      </c>
      <c r="AM22" s="80">
        <v>1019</v>
      </c>
      <c r="AN22" s="57" t="s">
        <v>399</v>
      </c>
      <c r="AO22" s="93" t="s">
        <v>400</v>
      </c>
      <c r="AP22" s="58" t="s">
        <v>420</v>
      </c>
    </row>
    <row r="23" spans="1:42" ht="15.95" customHeight="1">
      <c r="A23" s="74">
        <v>136222</v>
      </c>
      <c r="B23" s="56" t="s">
        <v>45</v>
      </c>
      <c r="C23" s="77">
        <v>40</v>
      </c>
      <c r="D23" s="78" t="s">
        <v>394</v>
      </c>
      <c r="E23" s="79">
        <v>23</v>
      </c>
      <c r="F23" s="78" t="s">
        <v>394</v>
      </c>
      <c r="G23" s="79">
        <v>42</v>
      </c>
      <c r="H23" s="78" t="s">
        <v>394</v>
      </c>
      <c r="I23" s="79">
        <v>41</v>
      </c>
      <c r="J23" s="78" t="s">
        <v>394</v>
      </c>
      <c r="K23" s="79">
        <v>23</v>
      </c>
      <c r="L23" s="78" t="s">
        <v>394</v>
      </c>
      <c r="M23" s="79">
        <v>21</v>
      </c>
      <c r="N23" s="78" t="s">
        <v>394</v>
      </c>
      <c r="O23" s="79">
        <v>41</v>
      </c>
      <c r="P23" s="78" t="s">
        <v>394</v>
      </c>
      <c r="Q23" s="79">
        <v>23</v>
      </c>
      <c r="R23" s="78" t="s">
        <v>394</v>
      </c>
      <c r="S23" s="79">
        <v>44</v>
      </c>
      <c r="T23" s="78" t="s">
        <v>394</v>
      </c>
      <c r="U23" s="79">
        <v>45</v>
      </c>
      <c r="V23" s="78" t="s">
        <v>394</v>
      </c>
      <c r="W23" s="79">
        <v>23</v>
      </c>
      <c r="X23" s="78" t="s">
        <v>394</v>
      </c>
      <c r="Y23" s="79">
        <v>22</v>
      </c>
      <c r="Z23" s="78" t="s">
        <v>394</v>
      </c>
      <c r="AA23" s="79">
        <v>40</v>
      </c>
      <c r="AB23" s="78" t="s">
        <v>394</v>
      </c>
      <c r="AC23" s="79">
        <v>23</v>
      </c>
      <c r="AD23" s="78" t="s">
        <v>394</v>
      </c>
      <c r="AE23" s="79">
        <v>19</v>
      </c>
      <c r="AF23" s="78" t="s">
        <v>394</v>
      </c>
      <c r="AG23" s="79">
        <v>23</v>
      </c>
      <c r="AH23" s="78" t="s">
        <v>394</v>
      </c>
      <c r="AI23" s="79">
        <v>23</v>
      </c>
      <c r="AJ23" s="78" t="s">
        <v>394</v>
      </c>
      <c r="AK23" s="80">
        <v>516</v>
      </c>
      <c r="AL23" s="81" t="s">
        <v>237</v>
      </c>
      <c r="AM23" s="80">
        <v>996</v>
      </c>
      <c r="AN23" s="57" t="s">
        <v>395</v>
      </c>
      <c r="AO23" s="93" t="s">
        <v>316</v>
      </c>
      <c r="AP23" s="58" t="s">
        <v>421</v>
      </c>
    </row>
    <row r="24" spans="1:42" ht="15.95" customHeight="1">
      <c r="A24" s="74">
        <v>136223</v>
      </c>
      <c r="B24" s="56" t="s">
        <v>46</v>
      </c>
      <c r="C24" s="77">
        <v>12</v>
      </c>
      <c r="D24" s="78" t="s">
        <v>397</v>
      </c>
      <c r="E24" s="79">
        <v>19</v>
      </c>
      <c r="F24" s="78" t="s">
        <v>398</v>
      </c>
      <c r="G24" s="79">
        <v>38</v>
      </c>
      <c r="H24" s="78" t="s">
        <v>398</v>
      </c>
      <c r="I24" s="79">
        <v>18</v>
      </c>
      <c r="J24" s="78" t="s">
        <v>397</v>
      </c>
      <c r="K24" s="79">
        <v>19</v>
      </c>
      <c r="L24" s="78" t="s">
        <v>398</v>
      </c>
      <c r="M24" s="79">
        <v>20</v>
      </c>
      <c r="N24" s="78" t="s">
        <v>398</v>
      </c>
      <c r="O24" s="79">
        <v>40</v>
      </c>
      <c r="P24" s="78" t="s">
        <v>398</v>
      </c>
      <c r="Q24" s="79">
        <v>19</v>
      </c>
      <c r="R24" s="78" t="s">
        <v>398</v>
      </c>
      <c r="S24" s="79">
        <v>38</v>
      </c>
      <c r="T24" s="78" t="s">
        <v>398</v>
      </c>
      <c r="U24" s="79" t="s">
        <v>537</v>
      </c>
      <c r="V24" s="78" t="s">
        <v>397</v>
      </c>
      <c r="W24" s="79">
        <v>20</v>
      </c>
      <c r="X24" s="78" t="s">
        <v>398</v>
      </c>
      <c r="Y24" s="79">
        <v>21</v>
      </c>
      <c r="Z24" s="78" t="s">
        <v>398</v>
      </c>
      <c r="AA24" s="79">
        <v>42</v>
      </c>
      <c r="AB24" s="78" t="s">
        <v>398</v>
      </c>
      <c r="AC24" s="79">
        <v>19</v>
      </c>
      <c r="AD24" s="78" t="s">
        <v>398</v>
      </c>
      <c r="AE24" s="79">
        <v>20</v>
      </c>
      <c r="AF24" s="78" t="s">
        <v>398</v>
      </c>
      <c r="AG24" s="79">
        <v>20</v>
      </c>
      <c r="AH24" s="78" t="s">
        <v>398</v>
      </c>
      <c r="AI24" s="79">
        <v>21</v>
      </c>
      <c r="AJ24" s="78" t="s">
        <v>398</v>
      </c>
      <c r="AK24" s="80">
        <v>392</v>
      </c>
      <c r="AL24" s="81" t="s">
        <v>535</v>
      </c>
      <c r="AM24" s="80">
        <v>392</v>
      </c>
      <c r="AN24" s="57" t="s">
        <v>399</v>
      </c>
      <c r="AO24" s="93" t="s">
        <v>400</v>
      </c>
      <c r="AP24" s="58" t="s">
        <v>422</v>
      </c>
    </row>
    <row r="25" spans="1:42" ht="15.95" customHeight="1">
      <c r="A25" s="74">
        <v>136224</v>
      </c>
      <c r="B25" s="56" t="s">
        <v>47</v>
      </c>
      <c r="C25" s="77">
        <v>65</v>
      </c>
      <c r="D25" s="78" t="s">
        <v>394</v>
      </c>
      <c r="E25" s="79">
        <v>23</v>
      </c>
      <c r="F25" s="78" t="s">
        <v>394</v>
      </c>
      <c r="G25" s="79">
        <v>44</v>
      </c>
      <c r="H25" s="78" t="s">
        <v>394</v>
      </c>
      <c r="I25" s="79">
        <v>44</v>
      </c>
      <c r="J25" s="78" t="s">
        <v>394</v>
      </c>
      <c r="K25" s="79">
        <v>23</v>
      </c>
      <c r="L25" s="78" t="s">
        <v>394</v>
      </c>
      <c r="M25" s="79">
        <v>21</v>
      </c>
      <c r="N25" s="78" t="s">
        <v>394</v>
      </c>
      <c r="O25" s="79">
        <v>65</v>
      </c>
      <c r="P25" s="78" t="s">
        <v>394</v>
      </c>
      <c r="Q25" s="79">
        <v>23</v>
      </c>
      <c r="R25" s="78" t="s">
        <v>394</v>
      </c>
      <c r="S25" s="79">
        <v>44</v>
      </c>
      <c r="T25" s="78" t="s">
        <v>394</v>
      </c>
      <c r="U25" s="79">
        <v>56</v>
      </c>
      <c r="V25" s="78" t="s">
        <v>394</v>
      </c>
      <c r="W25" s="79">
        <v>23</v>
      </c>
      <c r="X25" s="78" t="s">
        <v>394</v>
      </c>
      <c r="Y25" s="79">
        <v>22</v>
      </c>
      <c r="Z25" s="78" t="s">
        <v>394</v>
      </c>
      <c r="AA25" s="79">
        <v>50</v>
      </c>
      <c r="AB25" s="78" t="s">
        <v>394</v>
      </c>
      <c r="AC25" s="79">
        <v>23</v>
      </c>
      <c r="AD25" s="78" t="s">
        <v>394</v>
      </c>
      <c r="AE25" s="79">
        <v>21</v>
      </c>
      <c r="AF25" s="78" t="s">
        <v>394</v>
      </c>
      <c r="AG25" s="79">
        <v>23</v>
      </c>
      <c r="AH25" s="78" t="s">
        <v>394</v>
      </c>
      <c r="AI25" s="79">
        <v>21</v>
      </c>
      <c r="AJ25" s="78" t="s">
        <v>394</v>
      </c>
      <c r="AK25" s="80">
        <v>591</v>
      </c>
      <c r="AL25" s="81" t="s">
        <v>239</v>
      </c>
      <c r="AM25" s="80">
        <v>1176</v>
      </c>
      <c r="AN25" s="57" t="s">
        <v>395</v>
      </c>
      <c r="AO25" s="93" t="s">
        <v>371</v>
      </c>
      <c r="AP25" s="58" t="s">
        <v>411</v>
      </c>
    </row>
    <row r="26" spans="1:42" ht="15.95" customHeight="1">
      <c r="A26" s="74">
        <v>136225</v>
      </c>
      <c r="B26" s="56" t="s">
        <v>48</v>
      </c>
      <c r="C26" s="77">
        <v>54</v>
      </c>
      <c r="D26" s="78" t="s">
        <v>394</v>
      </c>
      <c r="E26" s="79">
        <v>22</v>
      </c>
      <c r="F26" s="78" t="s">
        <v>394</v>
      </c>
      <c r="G26" s="79">
        <v>42</v>
      </c>
      <c r="H26" s="78" t="s">
        <v>394</v>
      </c>
      <c r="I26" s="79">
        <v>48</v>
      </c>
      <c r="J26" s="78" t="s">
        <v>394</v>
      </c>
      <c r="K26" s="79">
        <v>23</v>
      </c>
      <c r="L26" s="78" t="s">
        <v>394</v>
      </c>
      <c r="M26" s="79">
        <v>21</v>
      </c>
      <c r="N26" s="78" t="s">
        <v>394</v>
      </c>
      <c r="O26" s="79">
        <v>64</v>
      </c>
      <c r="P26" s="78" t="s">
        <v>394</v>
      </c>
      <c r="Q26" s="79">
        <v>23</v>
      </c>
      <c r="R26" s="78" t="s">
        <v>394</v>
      </c>
      <c r="S26" s="79">
        <v>44</v>
      </c>
      <c r="T26" s="78" t="s">
        <v>394</v>
      </c>
      <c r="U26" s="79">
        <v>61</v>
      </c>
      <c r="V26" s="78" t="s">
        <v>394</v>
      </c>
      <c r="W26" s="79">
        <v>23</v>
      </c>
      <c r="X26" s="78" t="s">
        <v>394</v>
      </c>
      <c r="Y26" s="79">
        <v>22</v>
      </c>
      <c r="Z26" s="78" t="s">
        <v>394</v>
      </c>
      <c r="AA26" s="79">
        <v>63</v>
      </c>
      <c r="AB26" s="78" t="s">
        <v>394</v>
      </c>
      <c r="AC26" s="79">
        <v>23</v>
      </c>
      <c r="AD26" s="78" t="s">
        <v>394</v>
      </c>
      <c r="AE26" s="79">
        <v>19</v>
      </c>
      <c r="AF26" s="78" t="s">
        <v>394</v>
      </c>
      <c r="AG26" s="79">
        <v>23</v>
      </c>
      <c r="AH26" s="78" t="s">
        <v>394</v>
      </c>
      <c r="AI26" s="79">
        <v>21</v>
      </c>
      <c r="AJ26" s="78" t="s">
        <v>394</v>
      </c>
      <c r="AK26" s="80">
        <v>596</v>
      </c>
      <c r="AL26" s="81" t="s">
        <v>240</v>
      </c>
      <c r="AM26" s="80">
        <v>1122</v>
      </c>
      <c r="AN26" s="57" t="s">
        <v>395</v>
      </c>
      <c r="AO26" s="93" t="s">
        <v>371</v>
      </c>
      <c r="AP26" s="58" t="s">
        <v>423</v>
      </c>
    </row>
    <row r="27" spans="1:42" ht="15.95" customHeight="1">
      <c r="A27" s="74">
        <v>136226</v>
      </c>
      <c r="B27" s="56" t="s">
        <v>49</v>
      </c>
      <c r="C27" s="77">
        <v>66</v>
      </c>
      <c r="D27" s="78" t="s">
        <v>394</v>
      </c>
      <c r="E27" s="79">
        <v>23</v>
      </c>
      <c r="F27" s="78" t="s">
        <v>394</v>
      </c>
      <c r="G27" s="79">
        <v>44</v>
      </c>
      <c r="H27" s="78" t="s">
        <v>394</v>
      </c>
      <c r="I27" s="79">
        <v>61</v>
      </c>
      <c r="J27" s="78" t="s">
        <v>394</v>
      </c>
      <c r="K27" s="79">
        <v>23</v>
      </c>
      <c r="L27" s="78" t="s">
        <v>394</v>
      </c>
      <c r="M27" s="79">
        <v>22</v>
      </c>
      <c r="N27" s="78" t="s">
        <v>394</v>
      </c>
      <c r="O27" s="79">
        <v>70</v>
      </c>
      <c r="P27" s="78" t="s">
        <v>394</v>
      </c>
      <c r="Q27" s="79">
        <v>23</v>
      </c>
      <c r="R27" s="78" t="s">
        <v>394</v>
      </c>
      <c r="S27" s="79">
        <v>46</v>
      </c>
      <c r="T27" s="78" t="s">
        <v>394</v>
      </c>
      <c r="U27" s="79">
        <v>74</v>
      </c>
      <c r="V27" s="78" t="s">
        <v>394</v>
      </c>
      <c r="W27" s="79">
        <v>23</v>
      </c>
      <c r="X27" s="78" t="s">
        <v>394</v>
      </c>
      <c r="Y27" s="79">
        <v>21</v>
      </c>
      <c r="Z27" s="78" t="s">
        <v>394</v>
      </c>
      <c r="AA27" s="79">
        <v>74</v>
      </c>
      <c r="AB27" s="78" t="s">
        <v>394</v>
      </c>
      <c r="AC27" s="79">
        <v>23</v>
      </c>
      <c r="AD27" s="78" t="s">
        <v>394</v>
      </c>
      <c r="AE27" s="79">
        <v>21</v>
      </c>
      <c r="AF27" s="78" t="s">
        <v>394</v>
      </c>
      <c r="AG27" s="79">
        <v>23</v>
      </c>
      <c r="AH27" s="78" t="s">
        <v>394</v>
      </c>
      <c r="AI27" s="79">
        <v>23</v>
      </c>
      <c r="AJ27" s="78" t="s">
        <v>394</v>
      </c>
      <c r="AK27" s="80">
        <v>660</v>
      </c>
      <c r="AL27" s="81" t="s">
        <v>241</v>
      </c>
      <c r="AM27" s="80">
        <v>1283</v>
      </c>
      <c r="AN27" s="57" t="s">
        <v>395</v>
      </c>
      <c r="AO27" s="93" t="s">
        <v>371</v>
      </c>
      <c r="AP27" s="58" t="s">
        <v>424</v>
      </c>
    </row>
    <row r="28" spans="1:42" ht="15.95" customHeight="1">
      <c r="A28" s="74">
        <v>136227</v>
      </c>
      <c r="B28" s="56" t="s">
        <v>50</v>
      </c>
      <c r="C28" s="77">
        <v>10</v>
      </c>
      <c r="D28" s="78" t="s">
        <v>397</v>
      </c>
      <c r="E28" s="79">
        <v>19</v>
      </c>
      <c r="F28" s="78" t="s">
        <v>398</v>
      </c>
      <c r="G28" s="79">
        <v>46</v>
      </c>
      <c r="H28" s="78" t="s">
        <v>398</v>
      </c>
      <c r="I28" s="79">
        <v>47</v>
      </c>
      <c r="J28" s="78" t="s">
        <v>398</v>
      </c>
      <c r="K28" s="79">
        <v>21</v>
      </c>
      <c r="L28" s="78" t="s">
        <v>398</v>
      </c>
      <c r="M28" s="79">
        <v>23</v>
      </c>
      <c r="N28" s="78" t="s">
        <v>398</v>
      </c>
      <c r="O28" s="79">
        <v>53</v>
      </c>
      <c r="P28" s="78" t="s">
        <v>398</v>
      </c>
      <c r="Q28" s="79">
        <v>19</v>
      </c>
      <c r="R28" s="78" t="s">
        <v>398</v>
      </c>
      <c r="S28" s="79">
        <v>46</v>
      </c>
      <c r="T28" s="78" t="s">
        <v>398</v>
      </c>
      <c r="U28" s="79">
        <v>47</v>
      </c>
      <c r="V28" s="78" t="s">
        <v>398</v>
      </c>
      <c r="W28" s="79">
        <v>20</v>
      </c>
      <c r="X28" s="78" t="s">
        <v>398</v>
      </c>
      <c r="Y28" s="79">
        <v>21</v>
      </c>
      <c r="Z28" s="78" t="s">
        <v>398</v>
      </c>
      <c r="AA28" s="79">
        <v>40</v>
      </c>
      <c r="AB28" s="78" t="s">
        <v>398</v>
      </c>
      <c r="AC28" s="79">
        <v>19</v>
      </c>
      <c r="AD28" s="78" t="s">
        <v>398</v>
      </c>
      <c r="AE28" s="79">
        <v>22</v>
      </c>
      <c r="AF28" s="78" t="s">
        <v>398</v>
      </c>
      <c r="AG28" s="79">
        <v>20</v>
      </c>
      <c r="AH28" s="78" t="s">
        <v>398</v>
      </c>
      <c r="AI28" s="79">
        <v>20</v>
      </c>
      <c r="AJ28" s="78" t="s">
        <v>398</v>
      </c>
      <c r="AK28" s="80">
        <v>493</v>
      </c>
      <c r="AL28" s="81" t="s">
        <v>232</v>
      </c>
      <c r="AM28" s="80">
        <v>1011</v>
      </c>
      <c r="AN28" s="57" t="s">
        <v>399</v>
      </c>
      <c r="AO28" s="93" t="s">
        <v>400</v>
      </c>
      <c r="AP28" s="58" t="s">
        <v>425</v>
      </c>
    </row>
    <row r="29" spans="1:42" ht="15.95" customHeight="1">
      <c r="A29" s="74">
        <v>136228</v>
      </c>
      <c r="B29" s="56" t="s">
        <v>51</v>
      </c>
      <c r="C29" s="77">
        <v>57</v>
      </c>
      <c r="D29" s="78" t="s">
        <v>394</v>
      </c>
      <c r="E29" s="79">
        <v>20</v>
      </c>
      <c r="F29" s="78" t="s">
        <v>394</v>
      </c>
      <c r="G29" s="79">
        <v>46</v>
      </c>
      <c r="H29" s="78" t="s">
        <v>394</v>
      </c>
      <c r="I29" s="79">
        <v>40</v>
      </c>
      <c r="J29" s="78" t="s">
        <v>394</v>
      </c>
      <c r="K29" s="79">
        <v>20</v>
      </c>
      <c r="L29" s="78" t="s">
        <v>394</v>
      </c>
      <c r="M29" s="79">
        <v>23</v>
      </c>
      <c r="N29" s="78" t="s">
        <v>394</v>
      </c>
      <c r="O29" s="79">
        <v>55</v>
      </c>
      <c r="P29" s="78" t="s">
        <v>394</v>
      </c>
      <c r="Q29" s="79">
        <v>20</v>
      </c>
      <c r="R29" s="78" t="s">
        <v>394</v>
      </c>
      <c r="S29" s="79">
        <v>44</v>
      </c>
      <c r="T29" s="78" t="s">
        <v>394</v>
      </c>
      <c r="U29" s="79">
        <v>52</v>
      </c>
      <c r="V29" s="78" t="s">
        <v>394</v>
      </c>
      <c r="W29" s="79">
        <v>20</v>
      </c>
      <c r="X29" s="78" t="s">
        <v>394</v>
      </c>
      <c r="Y29" s="79">
        <v>21</v>
      </c>
      <c r="Z29" s="78" t="s">
        <v>394</v>
      </c>
      <c r="AA29" s="79">
        <v>46</v>
      </c>
      <c r="AB29" s="78" t="s">
        <v>394</v>
      </c>
      <c r="AC29" s="79">
        <v>20</v>
      </c>
      <c r="AD29" s="78" t="s">
        <v>394</v>
      </c>
      <c r="AE29" s="79">
        <v>21</v>
      </c>
      <c r="AF29" s="78" t="s">
        <v>394</v>
      </c>
      <c r="AG29" s="79">
        <v>20</v>
      </c>
      <c r="AH29" s="78" t="s">
        <v>394</v>
      </c>
      <c r="AI29" s="79">
        <v>20</v>
      </c>
      <c r="AJ29" s="78" t="s">
        <v>394</v>
      </c>
      <c r="AK29" s="80">
        <v>545</v>
      </c>
      <c r="AL29" s="81" t="s">
        <v>242</v>
      </c>
      <c r="AM29" s="80">
        <v>1079</v>
      </c>
      <c r="AN29" s="57" t="s">
        <v>395</v>
      </c>
      <c r="AO29" s="93" t="s">
        <v>371</v>
      </c>
      <c r="AP29" s="58" t="s">
        <v>426</v>
      </c>
    </row>
    <row r="30" spans="1:42" ht="15.95" customHeight="1">
      <c r="A30" s="74">
        <v>136229</v>
      </c>
      <c r="B30" s="56" t="s">
        <v>52</v>
      </c>
      <c r="C30" s="77">
        <v>40</v>
      </c>
      <c r="D30" s="78" t="s">
        <v>398</v>
      </c>
      <c r="E30" s="79">
        <v>23</v>
      </c>
      <c r="F30" s="78" t="s">
        <v>398</v>
      </c>
      <c r="G30" s="79">
        <v>44</v>
      </c>
      <c r="H30" s="78" t="s">
        <v>398</v>
      </c>
      <c r="I30" s="79">
        <v>25</v>
      </c>
      <c r="J30" s="78" t="s">
        <v>397</v>
      </c>
      <c r="K30" s="79">
        <v>23</v>
      </c>
      <c r="L30" s="78" t="s">
        <v>398</v>
      </c>
      <c r="M30" s="79">
        <v>22</v>
      </c>
      <c r="N30" s="78" t="s">
        <v>398</v>
      </c>
      <c r="O30" s="79">
        <v>46</v>
      </c>
      <c r="P30" s="78" t="s">
        <v>398</v>
      </c>
      <c r="Q30" s="79">
        <v>23</v>
      </c>
      <c r="R30" s="78" t="s">
        <v>398</v>
      </c>
      <c r="S30" s="79">
        <v>42</v>
      </c>
      <c r="T30" s="78" t="s">
        <v>398</v>
      </c>
      <c r="U30" s="79">
        <v>29</v>
      </c>
      <c r="V30" s="78" t="s">
        <v>397</v>
      </c>
      <c r="W30" s="79">
        <v>23</v>
      </c>
      <c r="X30" s="78" t="s">
        <v>398</v>
      </c>
      <c r="Y30" s="79">
        <v>22</v>
      </c>
      <c r="Z30" s="78" t="s">
        <v>398</v>
      </c>
      <c r="AA30" s="79">
        <v>51</v>
      </c>
      <c r="AB30" s="78" t="s">
        <v>398</v>
      </c>
      <c r="AC30" s="79">
        <v>23</v>
      </c>
      <c r="AD30" s="78" t="s">
        <v>398</v>
      </c>
      <c r="AE30" s="79">
        <v>22</v>
      </c>
      <c r="AF30" s="78" t="s">
        <v>398</v>
      </c>
      <c r="AG30" s="79">
        <v>23</v>
      </c>
      <c r="AH30" s="78" t="s">
        <v>398</v>
      </c>
      <c r="AI30" s="79">
        <v>23</v>
      </c>
      <c r="AJ30" s="78" t="s">
        <v>398</v>
      </c>
      <c r="AK30" s="80">
        <v>504</v>
      </c>
      <c r="AL30" s="81" t="s">
        <v>535</v>
      </c>
      <c r="AM30" s="80">
        <v>504</v>
      </c>
      <c r="AN30" s="57" t="s">
        <v>399</v>
      </c>
      <c r="AO30" s="93" t="s">
        <v>400</v>
      </c>
      <c r="AP30" s="58" t="s">
        <v>427</v>
      </c>
    </row>
    <row r="31" spans="1:42" ht="15.95" customHeight="1">
      <c r="A31" s="74">
        <v>136230</v>
      </c>
      <c r="B31" s="56" t="s">
        <v>53</v>
      </c>
      <c r="C31" s="77">
        <v>62</v>
      </c>
      <c r="D31" s="78" t="s">
        <v>394</v>
      </c>
      <c r="E31" s="79">
        <v>23</v>
      </c>
      <c r="F31" s="78" t="s">
        <v>394</v>
      </c>
      <c r="G31" s="79">
        <v>44</v>
      </c>
      <c r="H31" s="78" t="s">
        <v>394</v>
      </c>
      <c r="I31" s="79">
        <v>78</v>
      </c>
      <c r="J31" s="78" t="s">
        <v>394</v>
      </c>
      <c r="K31" s="79">
        <v>23</v>
      </c>
      <c r="L31" s="78" t="s">
        <v>394</v>
      </c>
      <c r="M31" s="79">
        <v>22</v>
      </c>
      <c r="N31" s="78" t="s">
        <v>394</v>
      </c>
      <c r="O31" s="79">
        <v>74</v>
      </c>
      <c r="P31" s="78" t="s">
        <v>394</v>
      </c>
      <c r="Q31" s="79">
        <v>23</v>
      </c>
      <c r="R31" s="78" t="s">
        <v>394</v>
      </c>
      <c r="S31" s="79">
        <v>44</v>
      </c>
      <c r="T31" s="78" t="s">
        <v>394</v>
      </c>
      <c r="U31" s="79">
        <v>69</v>
      </c>
      <c r="V31" s="78" t="s">
        <v>394</v>
      </c>
      <c r="W31" s="79">
        <v>23</v>
      </c>
      <c r="X31" s="78" t="s">
        <v>394</v>
      </c>
      <c r="Y31" s="79">
        <v>22</v>
      </c>
      <c r="Z31" s="78" t="s">
        <v>394</v>
      </c>
      <c r="AA31" s="79">
        <v>66</v>
      </c>
      <c r="AB31" s="78" t="s">
        <v>394</v>
      </c>
      <c r="AC31" s="79">
        <v>23</v>
      </c>
      <c r="AD31" s="78" t="s">
        <v>394</v>
      </c>
      <c r="AE31" s="79">
        <v>20</v>
      </c>
      <c r="AF31" s="78" t="s">
        <v>394</v>
      </c>
      <c r="AG31" s="79">
        <v>23</v>
      </c>
      <c r="AH31" s="78" t="s">
        <v>394</v>
      </c>
      <c r="AI31" s="79">
        <v>23</v>
      </c>
      <c r="AJ31" s="78" t="s">
        <v>394</v>
      </c>
      <c r="AK31" s="80">
        <v>662</v>
      </c>
      <c r="AL31" s="81" t="s">
        <v>243</v>
      </c>
      <c r="AM31" s="80">
        <v>1301</v>
      </c>
      <c r="AN31" s="57" t="s">
        <v>395</v>
      </c>
      <c r="AO31" s="93" t="s">
        <v>371</v>
      </c>
      <c r="AP31" s="58" t="s">
        <v>428</v>
      </c>
    </row>
    <row r="32" spans="1:42" ht="15.95" customHeight="1">
      <c r="A32" s="74">
        <v>136231</v>
      </c>
      <c r="B32" s="56" t="s">
        <v>54</v>
      </c>
      <c r="C32" s="77">
        <v>52</v>
      </c>
      <c r="D32" s="78" t="s">
        <v>394</v>
      </c>
      <c r="E32" s="79">
        <v>22</v>
      </c>
      <c r="F32" s="78" t="s">
        <v>394</v>
      </c>
      <c r="G32" s="79">
        <v>44</v>
      </c>
      <c r="H32" s="78" t="s">
        <v>394</v>
      </c>
      <c r="I32" s="79">
        <v>49</v>
      </c>
      <c r="J32" s="78" t="s">
        <v>394</v>
      </c>
      <c r="K32" s="79">
        <v>22</v>
      </c>
      <c r="L32" s="78" t="s">
        <v>394</v>
      </c>
      <c r="M32" s="79">
        <v>22</v>
      </c>
      <c r="N32" s="78" t="s">
        <v>394</v>
      </c>
      <c r="O32" s="79">
        <v>59</v>
      </c>
      <c r="P32" s="78" t="s">
        <v>394</v>
      </c>
      <c r="Q32" s="79">
        <v>22</v>
      </c>
      <c r="R32" s="78" t="s">
        <v>394</v>
      </c>
      <c r="S32" s="79">
        <v>44</v>
      </c>
      <c r="T32" s="78" t="s">
        <v>394</v>
      </c>
      <c r="U32" s="79">
        <v>68</v>
      </c>
      <c r="V32" s="78" t="s">
        <v>394</v>
      </c>
      <c r="W32" s="79">
        <v>22</v>
      </c>
      <c r="X32" s="78" t="s">
        <v>394</v>
      </c>
      <c r="Y32" s="79">
        <v>21</v>
      </c>
      <c r="Z32" s="78" t="s">
        <v>394</v>
      </c>
      <c r="AA32" s="79">
        <v>56</v>
      </c>
      <c r="AB32" s="78" t="s">
        <v>394</v>
      </c>
      <c r="AC32" s="79">
        <v>22</v>
      </c>
      <c r="AD32" s="78" t="s">
        <v>394</v>
      </c>
      <c r="AE32" s="79">
        <v>20</v>
      </c>
      <c r="AF32" s="78" t="s">
        <v>394</v>
      </c>
      <c r="AG32" s="79">
        <v>23</v>
      </c>
      <c r="AH32" s="78" t="s">
        <v>394</v>
      </c>
      <c r="AI32" s="79">
        <v>23</v>
      </c>
      <c r="AJ32" s="78" t="s">
        <v>394</v>
      </c>
      <c r="AK32" s="80">
        <v>591</v>
      </c>
      <c r="AL32" s="81" t="s">
        <v>223</v>
      </c>
      <c r="AM32" s="80">
        <v>1148</v>
      </c>
      <c r="AN32" s="57" t="s">
        <v>395</v>
      </c>
      <c r="AO32" s="93" t="s">
        <v>371</v>
      </c>
      <c r="AP32" s="58" t="s">
        <v>429</v>
      </c>
    </row>
    <row r="33" spans="1:42" ht="15.95" customHeight="1">
      <c r="A33" s="74">
        <v>136232</v>
      </c>
      <c r="B33" s="56" t="s">
        <v>55</v>
      </c>
      <c r="C33" s="77">
        <v>40</v>
      </c>
      <c r="D33" s="78" t="s">
        <v>398</v>
      </c>
      <c r="E33" s="79">
        <v>23</v>
      </c>
      <c r="F33" s="78" t="s">
        <v>398</v>
      </c>
      <c r="G33" s="79">
        <v>42</v>
      </c>
      <c r="H33" s="78" t="s">
        <v>398</v>
      </c>
      <c r="I33" s="79">
        <v>40</v>
      </c>
      <c r="J33" s="78" t="s">
        <v>398</v>
      </c>
      <c r="K33" s="79">
        <v>23</v>
      </c>
      <c r="L33" s="78" t="s">
        <v>398</v>
      </c>
      <c r="M33" s="79">
        <v>21</v>
      </c>
      <c r="N33" s="78" t="s">
        <v>398</v>
      </c>
      <c r="O33" s="79">
        <v>41</v>
      </c>
      <c r="P33" s="78" t="s">
        <v>398</v>
      </c>
      <c r="Q33" s="79">
        <v>23</v>
      </c>
      <c r="R33" s="78" t="s">
        <v>398</v>
      </c>
      <c r="S33" s="79">
        <v>42</v>
      </c>
      <c r="T33" s="78" t="s">
        <v>398</v>
      </c>
      <c r="U33" s="79">
        <v>51</v>
      </c>
      <c r="V33" s="78" t="s">
        <v>398</v>
      </c>
      <c r="W33" s="79">
        <v>23</v>
      </c>
      <c r="X33" s="78" t="s">
        <v>398</v>
      </c>
      <c r="Y33" s="79">
        <v>22</v>
      </c>
      <c r="Z33" s="78" t="s">
        <v>398</v>
      </c>
      <c r="AA33" s="79">
        <v>27</v>
      </c>
      <c r="AB33" s="78" t="s">
        <v>397</v>
      </c>
      <c r="AC33" s="79">
        <v>23</v>
      </c>
      <c r="AD33" s="78" t="s">
        <v>398</v>
      </c>
      <c r="AE33" s="79">
        <v>19</v>
      </c>
      <c r="AF33" s="78" t="s">
        <v>398</v>
      </c>
      <c r="AG33" s="79">
        <v>23</v>
      </c>
      <c r="AH33" s="78" t="s">
        <v>398</v>
      </c>
      <c r="AI33" s="79">
        <v>23</v>
      </c>
      <c r="AJ33" s="78" t="s">
        <v>398</v>
      </c>
      <c r="AK33" s="80">
        <v>506</v>
      </c>
      <c r="AL33" s="81" t="s">
        <v>535</v>
      </c>
      <c r="AM33" s="80">
        <v>506</v>
      </c>
      <c r="AN33" s="57" t="s">
        <v>399</v>
      </c>
      <c r="AO33" s="93" t="s">
        <v>400</v>
      </c>
      <c r="AP33" s="58" t="s">
        <v>430</v>
      </c>
    </row>
    <row r="34" spans="1:42" ht="15.95" customHeight="1">
      <c r="A34" s="74">
        <v>136233</v>
      </c>
      <c r="B34" s="56" t="s">
        <v>56</v>
      </c>
      <c r="C34" s="77">
        <v>56</v>
      </c>
      <c r="D34" s="78" t="s">
        <v>394</v>
      </c>
      <c r="E34" s="79">
        <v>19</v>
      </c>
      <c r="F34" s="78" t="s">
        <v>394</v>
      </c>
      <c r="G34" s="79">
        <v>44</v>
      </c>
      <c r="H34" s="78" t="s">
        <v>394</v>
      </c>
      <c r="I34" s="79">
        <v>54</v>
      </c>
      <c r="J34" s="78" t="s">
        <v>394</v>
      </c>
      <c r="K34" s="79">
        <v>20</v>
      </c>
      <c r="L34" s="78" t="s">
        <v>394</v>
      </c>
      <c r="M34" s="79">
        <v>22</v>
      </c>
      <c r="N34" s="78" t="s">
        <v>394</v>
      </c>
      <c r="O34" s="79">
        <v>71</v>
      </c>
      <c r="P34" s="78" t="s">
        <v>394</v>
      </c>
      <c r="Q34" s="79">
        <v>19</v>
      </c>
      <c r="R34" s="78" t="s">
        <v>394</v>
      </c>
      <c r="S34" s="79">
        <v>44</v>
      </c>
      <c r="T34" s="78" t="s">
        <v>394</v>
      </c>
      <c r="U34" s="79">
        <v>61</v>
      </c>
      <c r="V34" s="78" t="s">
        <v>394</v>
      </c>
      <c r="W34" s="79">
        <v>19</v>
      </c>
      <c r="X34" s="78" t="s">
        <v>394</v>
      </c>
      <c r="Y34" s="79">
        <v>20</v>
      </c>
      <c r="Z34" s="78" t="s">
        <v>394</v>
      </c>
      <c r="AA34" s="79">
        <v>62</v>
      </c>
      <c r="AB34" s="78" t="s">
        <v>394</v>
      </c>
      <c r="AC34" s="79">
        <v>19</v>
      </c>
      <c r="AD34" s="78" t="s">
        <v>394</v>
      </c>
      <c r="AE34" s="79">
        <v>21</v>
      </c>
      <c r="AF34" s="78" t="s">
        <v>394</v>
      </c>
      <c r="AG34" s="79">
        <v>19</v>
      </c>
      <c r="AH34" s="78" t="s">
        <v>394</v>
      </c>
      <c r="AI34" s="79">
        <v>20</v>
      </c>
      <c r="AJ34" s="78" t="s">
        <v>394</v>
      </c>
      <c r="AK34" s="80">
        <v>590</v>
      </c>
      <c r="AL34" s="81" t="s">
        <v>244</v>
      </c>
      <c r="AM34" s="80">
        <v>1148</v>
      </c>
      <c r="AN34" s="57" t="s">
        <v>395</v>
      </c>
      <c r="AO34" s="93" t="s">
        <v>371</v>
      </c>
      <c r="AP34" s="58" t="s">
        <v>429</v>
      </c>
    </row>
    <row r="35" spans="1:42" ht="15.95" customHeight="1">
      <c r="A35" s="74">
        <v>136234</v>
      </c>
      <c r="B35" s="56" t="s">
        <v>57</v>
      </c>
      <c r="C35" s="77">
        <v>67</v>
      </c>
      <c r="D35" s="78" t="s">
        <v>394</v>
      </c>
      <c r="E35" s="79">
        <v>23</v>
      </c>
      <c r="F35" s="78" t="s">
        <v>394</v>
      </c>
      <c r="G35" s="79">
        <v>44</v>
      </c>
      <c r="H35" s="78" t="s">
        <v>394</v>
      </c>
      <c r="I35" s="79">
        <v>62</v>
      </c>
      <c r="J35" s="78" t="s">
        <v>394</v>
      </c>
      <c r="K35" s="79">
        <v>23</v>
      </c>
      <c r="L35" s="78" t="s">
        <v>394</v>
      </c>
      <c r="M35" s="79">
        <v>22</v>
      </c>
      <c r="N35" s="78" t="s">
        <v>394</v>
      </c>
      <c r="O35" s="79">
        <v>75</v>
      </c>
      <c r="P35" s="78" t="s">
        <v>394</v>
      </c>
      <c r="Q35" s="79">
        <v>23</v>
      </c>
      <c r="R35" s="78" t="s">
        <v>394</v>
      </c>
      <c r="S35" s="79">
        <v>42</v>
      </c>
      <c r="T35" s="78" t="s">
        <v>394</v>
      </c>
      <c r="U35" s="79">
        <v>71</v>
      </c>
      <c r="V35" s="78" t="s">
        <v>394</v>
      </c>
      <c r="W35" s="79">
        <v>23</v>
      </c>
      <c r="X35" s="78" t="s">
        <v>394</v>
      </c>
      <c r="Y35" s="79">
        <v>22</v>
      </c>
      <c r="Z35" s="78" t="s">
        <v>394</v>
      </c>
      <c r="AA35" s="79">
        <v>70</v>
      </c>
      <c r="AB35" s="78" t="s">
        <v>394</v>
      </c>
      <c r="AC35" s="79">
        <v>23</v>
      </c>
      <c r="AD35" s="78" t="s">
        <v>394</v>
      </c>
      <c r="AE35" s="79">
        <v>20</v>
      </c>
      <c r="AF35" s="78" t="s">
        <v>394</v>
      </c>
      <c r="AG35" s="79">
        <v>23</v>
      </c>
      <c r="AH35" s="78" t="s">
        <v>394</v>
      </c>
      <c r="AI35" s="79">
        <v>23</v>
      </c>
      <c r="AJ35" s="78" t="s">
        <v>394</v>
      </c>
      <c r="AK35" s="80">
        <v>656</v>
      </c>
      <c r="AL35" s="81" t="s">
        <v>245</v>
      </c>
      <c r="AM35" s="80">
        <v>1286</v>
      </c>
      <c r="AN35" s="57" t="s">
        <v>395</v>
      </c>
      <c r="AO35" s="93" t="s">
        <v>371</v>
      </c>
      <c r="AP35" s="58" t="s">
        <v>431</v>
      </c>
    </row>
    <row r="36" spans="1:42" ht="15.95" customHeight="1">
      <c r="A36" s="74">
        <v>136235</v>
      </c>
      <c r="B36" s="56" t="s">
        <v>58</v>
      </c>
      <c r="C36" s="77">
        <v>60</v>
      </c>
      <c r="D36" s="78" t="s">
        <v>394</v>
      </c>
      <c r="E36" s="79">
        <v>21</v>
      </c>
      <c r="F36" s="78" t="s">
        <v>394</v>
      </c>
      <c r="G36" s="79">
        <v>44</v>
      </c>
      <c r="H36" s="78" t="s">
        <v>394</v>
      </c>
      <c r="I36" s="79">
        <v>52</v>
      </c>
      <c r="J36" s="78" t="s">
        <v>394</v>
      </c>
      <c r="K36" s="79">
        <v>22</v>
      </c>
      <c r="L36" s="78" t="s">
        <v>394</v>
      </c>
      <c r="M36" s="79">
        <v>22</v>
      </c>
      <c r="N36" s="78" t="s">
        <v>394</v>
      </c>
      <c r="O36" s="79">
        <v>63</v>
      </c>
      <c r="P36" s="78" t="s">
        <v>394</v>
      </c>
      <c r="Q36" s="79">
        <v>22</v>
      </c>
      <c r="R36" s="78" t="s">
        <v>394</v>
      </c>
      <c r="S36" s="79">
        <v>42</v>
      </c>
      <c r="T36" s="78" t="s">
        <v>394</v>
      </c>
      <c r="U36" s="79">
        <v>61</v>
      </c>
      <c r="V36" s="78" t="s">
        <v>394</v>
      </c>
      <c r="W36" s="79">
        <v>22</v>
      </c>
      <c r="X36" s="78" t="s">
        <v>394</v>
      </c>
      <c r="Y36" s="79">
        <v>21</v>
      </c>
      <c r="Z36" s="78" t="s">
        <v>394</v>
      </c>
      <c r="AA36" s="79">
        <v>48</v>
      </c>
      <c r="AB36" s="78" t="s">
        <v>394</v>
      </c>
      <c r="AC36" s="79">
        <v>22</v>
      </c>
      <c r="AD36" s="78" t="s">
        <v>394</v>
      </c>
      <c r="AE36" s="79">
        <v>20</v>
      </c>
      <c r="AF36" s="78" t="s">
        <v>394</v>
      </c>
      <c r="AG36" s="79">
        <v>22</v>
      </c>
      <c r="AH36" s="78" t="s">
        <v>394</v>
      </c>
      <c r="AI36" s="79">
        <v>23</v>
      </c>
      <c r="AJ36" s="78" t="s">
        <v>394</v>
      </c>
      <c r="AK36" s="80">
        <v>587</v>
      </c>
      <c r="AL36" s="81" t="s">
        <v>246</v>
      </c>
      <c r="AM36" s="80">
        <v>1124</v>
      </c>
      <c r="AN36" s="57" t="s">
        <v>395</v>
      </c>
      <c r="AO36" s="93" t="s">
        <v>371</v>
      </c>
      <c r="AP36" s="58" t="s">
        <v>432</v>
      </c>
    </row>
    <row r="37" spans="1:42" ht="15.95" customHeight="1">
      <c r="A37" s="74">
        <v>136236</v>
      </c>
      <c r="B37" s="56" t="s">
        <v>59</v>
      </c>
      <c r="C37" s="77">
        <v>50</v>
      </c>
      <c r="D37" s="78" t="s">
        <v>394</v>
      </c>
      <c r="E37" s="79">
        <v>19</v>
      </c>
      <c r="F37" s="78" t="s">
        <v>394</v>
      </c>
      <c r="G37" s="79">
        <v>44</v>
      </c>
      <c r="H37" s="78" t="s">
        <v>394</v>
      </c>
      <c r="I37" s="79">
        <v>40</v>
      </c>
      <c r="J37" s="78" t="s">
        <v>394</v>
      </c>
      <c r="K37" s="79">
        <v>20</v>
      </c>
      <c r="L37" s="78" t="s">
        <v>394</v>
      </c>
      <c r="M37" s="79">
        <v>22</v>
      </c>
      <c r="N37" s="78" t="s">
        <v>394</v>
      </c>
      <c r="O37" s="79">
        <v>66</v>
      </c>
      <c r="P37" s="78" t="s">
        <v>394</v>
      </c>
      <c r="Q37" s="79">
        <v>19</v>
      </c>
      <c r="R37" s="78" t="s">
        <v>394</v>
      </c>
      <c r="S37" s="79">
        <v>44</v>
      </c>
      <c r="T37" s="78" t="s">
        <v>394</v>
      </c>
      <c r="U37" s="79">
        <v>58</v>
      </c>
      <c r="V37" s="78" t="s">
        <v>394</v>
      </c>
      <c r="W37" s="79">
        <v>19</v>
      </c>
      <c r="X37" s="78" t="s">
        <v>394</v>
      </c>
      <c r="Y37" s="79">
        <v>20</v>
      </c>
      <c r="Z37" s="78" t="s">
        <v>394</v>
      </c>
      <c r="AA37" s="79">
        <v>48</v>
      </c>
      <c r="AB37" s="78" t="s">
        <v>394</v>
      </c>
      <c r="AC37" s="79">
        <v>19</v>
      </c>
      <c r="AD37" s="78" t="s">
        <v>394</v>
      </c>
      <c r="AE37" s="79">
        <v>20</v>
      </c>
      <c r="AF37" s="78" t="s">
        <v>394</v>
      </c>
      <c r="AG37" s="79">
        <v>19</v>
      </c>
      <c r="AH37" s="78" t="s">
        <v>394</v>
      </c>
      <c r="AI37" s="79">
        <v>20</v>
      </c>
      <c r="AJ37" s="78" t="s">
        <v>394</v>
      </c>
      <c r="AK37" s="80">
        <v>547</v>
      </c>
      <c r="AL37" s="81" t="s">
        <v>247</v>
      </c>
      <c r="AM37" s="80">
        <v>1062</v>
      </c>
      <c r="AN37" s="57" t="s">
        <v>395</v>
      </c>
      <c r="AO37" s="93" t="s">
        <v>371</v>
      </c>
      <c r="AP37" s="58" t="s">
        <v>433</v>
      </c>
    </row>
    <row r="38" spans="1:42" ht="15.95" customHeight="1">
      <c r="A38" s="74">
        <v>136237</v>
      </c>
      <c r="B38" s="56" t="s">
        <v>60</v>
      </c>
      <c r="C38" s="77">
        <v>42</v>
      </c>
      <c r="D38" s="78" t="s">
        <v>394</v>
      </c>
      <c r="E38" s="79">
        <v>20</v>
      </c>
      <c r="F38" s="78" t="s">
        <v>394</v>
      </c>
      <c r="G38" s="79">
        <v>44</v>
      </c>
      <c r="H38" s="78" t="s">
        <v>394</v>
      </c>
      <c r="I38" s="79">
        <v>50</v>
      </c>
      <c r="J38" s="78" t="s">
        <v>394</v>
      </c>
      <c r="K38" s="79">
        <v>21</v>
      </c>
      <c r="L38" s="78" t="s">
        <v>394</v>
      </c>
      <c r="M38" s="79">
        <v>22</v>
      </c>
      <c r="N38" s="78" t="s">
        <v>394</v>
      </c>
      <c r="O38" s="79">
        <v>68</v>
      </c>
      <c r="P38" s="78" t="s">
        <v>394</v>
      </c>
      <c r="Q38" s="79">
        <v>21</v>
      </c>
      <c r="R38" s="78" t="s">
        <v>394</v>
      </c>
      <c r="S38" s="79">
        <v>44</v>
      </c>
      <c r="T38" s="78" t="s">
        <v>394</v>
      </c>
      <c r="U38" s="79">
        <v>53</v>
      </c>
      <c r="V38" s="78" t="s">
        <v>394</v>
      </c>
      <c r="W38" s="79">
        <v>21</v>
      </c>
      <c r="X38" s="78" t="s">
        <v>394</v>
      </c>
      <c r="Y38" s="79">
        <v>22</v>
      </c>
      <c r="Z38" s="78" t="s">
        <v>394</v>
      </c>
      <c r="AA38" s="79">
        <v>52</v>
      </c>
      <c r="AB38" s="78" t="s">
        <v>394</v>
      </c>
      <c r="AC38" s="79">
        <v>21</v>
      </c>
      <c r="AD38" s="78" t="s">
        <v>394</v>
      </c>
      <c r="AE38" s="79">
        <v>21</v>
      </c>
      <c r="AF38" s="78" t="s">
        <v>394</v>
      </c>
      <c r="AG38" s="79">
        <v>21</v>
      </c>
      <c r="AH38" s="78" t="s">
        <v>394</v>
      </c>
      <c r="AI38" s="79">
        <v>20</v>
      </c>
      <c r="AJ38" s="78" t="s">
        <v>394</v>
      </c>
      <c r="AK38" s="80">
        <v>563</v>
      </c>
      <c r="AL38" s="81" t="s">
        <v>248</v>
      </c>
      <c r="AM38" s="80">
        <v>1096</v>
      </c>
      <c r="AN38" s="57" t="s">
        <v>395</v>
      </c>
      <c r="AO38" s="93" t="s">
        <v>371</v>
      </c>
      <c r="AP38" s="58" t="s">
        <v>434</v>
      </c>
    </row>
    <row r="39" spans="1:42" ht="15.95" customHeight="1">
      <c r="A39" s="74">
        <v>136238</v>
      </c>
      <c r="B39" s="56" t="s">
        <v>61</v>
      </c>
      <c r="C39" s="77">
        <v>72</v>
      </c>
      <c r="D39" s="78" t="s">
        <v>394</v>
      </c>
      <c r="E39" s="79">
        <v>24</v>
      </c>
      <c r="F39" s="78" t="s">
        <v>394</v>
      </c>
      <c r="G39" s="79">
        <v>46</v>
      </c>
      <c r="H39" s="78" t="s">
        <v>394</v>
      </c>
      <c r="I39" s="79">
        <v>61</v>
      </c>
      <c r="J39" s="78" t="s">
        <v>394</v>
      </c>
      <c r="K39" s="79">
        <v>23</v>
      </c>
      <c r="L39" s="78" t="s">
        <v>394</v>
      </c>
      <c r="M39" s="79">
        <v>23</v>
      </c>
      <c r="N39" s="78" t="s">
        <v>394</v>
      </c>
      <c r="O39" s="79">
        <v>64</v>
      </c>
      <c r="P39" s="78" t="s">
        <v>394</v>
      </c>
      <c r="Q39" s="79">
        <v>23</v>
      </c>
      <c r="R39" s="78" t="s">
        <v>394</v>
      </c>
      <c r="S39" s="79">
        <v>46</v>
      </c>
      <c r="T39" s="78" t="s">
        <v>394</v>
      </c>
      <c r="U39" s="79">
        <v>65</v>
      </c>
      <c r="V39" s="78" t="s">
        <v>394</v>
      </c>
      <c r="W39" s="79">
        <v>23</v>
      </c>
      <c r="X39" s="78" t="s">
        <v>394</v>
      </c>
      <c r="Y39" s="79">
        <v>22</v>
      </c>
      <c r="Z39" s="78" t="s">
        <v>394</v>
      </c>
      <c r="AA39" s="79">
        <v>61</v>
      </c>
      <c r="AB39" s="78" t="s">
        <v>394</v>
      </c>
      <c r="AC39" s="79">
        <v>23</v>
      </c>
      <c r="AD39" s="78" t="s">
        <v>394</v>
      </c>
      <c r="AE39" s="79">
        <v>23</v>
      </c>
      <c r="AF39" s="78" t="s">
        <v>394</v>
      </c>
      <c r="AG39" s="79">
        <v>23</v>
      </c>
      <c r="AH39" s="78" t="s">
        <v>394</v>
      </c>
      <c r="AI39" s="79">
        <v>22</v>
      </c>
      <c r="AJ39" s="78" t="s">
        <v>394</v>
      </c>
      <c r="AK39" s="80">
        <v>644</v>
      </c>
      <c r="AL39" s="81" t="s">
        <v>249</v>
      </c>
      <c r="AM39" s="80">
        <v>1240</v>
      </c>
      <c r="AN39" s="57" t="s">
        <v>395</v>
      </c>
      <c r="AO39" s="93" t="s">
        <v>371</v>
      </c>
      <c r="AP39" s="58" t="s">
        <v>406</v>
      </c>
    </row>
    <row r="40" spans="1:42" ht="15.95" customHeight="1">
      <c r="A40" s="74">
        <v>136239</v>
      </c>
      <c r="B40" s="56" t="s">
        <v>62</v>
      </c>
      <c r="C40" s="77">
        <v>56</v>
      </c>
      <c r="D40" s="78" t="s">
        <v>394</v>
      </c>
      <c r="E40" s="79">
        <v>19</v>
      </c>
      <c r="F40" s="78" t="s">
        <v>394</v>
      </c>
      <c r="G40" s="79">
        <v>42</v>
      </c>
      <c r="H40" s="78" t="s">
        <v>394</v>
      </c>
      <c r="I40" s="79">
        <v>40</v>
      </c>
      <c r="J40" s="78" t="s">
        <v>394</v>
      </c>
      <c r="K40" s="79">
        <v>20</v>
      </c>
      <c r="L40" s="78" t="s">
        <v>394</v>
      </c>
      <c r="M40" s="79">
        <v>21</v>
      </c>
      <c r="N40" s="78" t="s">
        <v>394</v>
      </c>
      <c r="O40" s="79">
        <v>67</v>
      </c>
      <c r="P40" s="78" t="s">
        <v>394</v>
      </c>
      <c r="Q40" s="79">
        <v>21</v>
      </c>
      <c r="R40" s="78" t="s">
        <v>394</v>
      </c>
      <c r="S40" s="79">
        <v>42</v>
      </c>
      <c r="T40" s="78" t="s">
        <v>394</v>
      </c>
      <c r="U40" s="79">
        <v>41</v>
      </c>
      <c r="V40" s="78" t="s">
        <v>394</v>
      </c>
      <c r="W40" s="79">
        <v>21</v>
      </c>
      <c r="X40" s="78" t="s">
        <v>394</v>
      </c>
      <c r="Y40" s="79">
        <v>21</v>
      </c>
      <c r="Z40" s="78" t="s">
        <v>394</v>
      </c>
      <c r="AA40" s="79">
        <v>49</v>
      </c>
      <c r="AB40" s="78" t="s">
        <v>394</v>
      </c>
      <c r="AC40" s="79">
        <v>21</v>
      </c>
      <c r="AD40" s="78" t="s">
        <v>394</v>
      </c>
      <c r="AE40" s="79">
        <v>22</v>
      </c>
      <c r="AF40" s="78" t="s">
        <v>394</v>
      </c>
      <c r="AG40" s="79">
        <v>21</v>
      </c>
      <c r="AH40" s="78" t="s">
        <v>394</v>
      </c>
      <c r="AI40" s="79">
        <v>24</v>
      </c>
      <c r="AJ40" s="78" t="s">
        <v>394</v>
      </c>
      <c r="AK40" s="80">
        <v>548</v>
      </c>
      <c r="AL40" s="81" t="s">
        <v>250</v>
      </c>
      <c r="AM40" s="80">
        <v>1099</v>
      </c>
      <c r="AN40" s="57" t="s">
        <v>395</v>
      </c>
      <c r="AO40" s="93" t="s">
        <v>371</v>
      </c>
      <c r="AP40" s="58" t="s">
        <v>435</v>
      </c>
    </row>
    <row r="41" spans="1:42" ht="15.95" customHeight="1">
      <c r="A41" s="74">
        <v>136240</v>
      </c>
      <c r="B41" s="56" t="s">
        <v>63</v>
      </c>
      <c r="C41" s="77">
        <v>47</v>
      </c>
      <c r="D41" s="78" t="s">
        <v>394</v>
      </c>
      <c r="E41" s="79">
        <v>23</v>
      </c>
      <c r="F41" s="78" t="s">
        <v>394</v>
      </c>
      <c r="G41" s="79">
        <v>42</v>
      </c>
      <c r="H41" s="78" t="s">
        <v>394</v>
      </c>
      <c r="I41" s="79" t="s">
        <v>313</v>
      </c>
      <c r="J41" s="78" t="s">
        <v>394</v>
      </c>
      <c r="K41" s="79">
        <v>23</v>
      </c>
      <c r="L41" s="78" t="s">
        <v>394</v>
      </c>
      <c r="M41" s="79">
        <v>21</v>
      </c>
      <c r="N41" s="78" t="s">
        <v>394</v>
      </c>
      <c r="O41" s="79">
        <v>56</v>
      </c>
      <c r="P41" s="78" t="s">
        <v>394</v>
      </c>
      <c r="Q41" s="79">
        <v>23</v>
      </c>
      <c r="R41" s="78" t="s">
        <v>394</v>
      </c>
      <c r="S41" s="79">
        <v>42</v>
      </c>
      <c r="T41" s="78" t="s">
        <v>394</v>
      </c>
      <c r="U41" s="79">
        <v>43</v>
      </c>
      <c r="V41" s="78" t="s">
        <v>394</v>
      </c>
      <c r="W41" s="79">
        <v>23</v>
      </c>
      <c r="X41" s="78" t="s">
        <v>394</v>
      </c>
      <c r="Y41" s="79">
        <v>22</v>
      </c>
      <c r="Z41" s="78" t="s">
        <v>394</v>
      </c>
      <c r="AA41" s="79">
        <v>42</v>
      </c>
      <c r="AB41" s="78" t="s">
        <v>394</v>
      </c>
      <c r="AC41" s="79">
        <v>23</v>
      </c>
      <c r="AD41" s="78" t="s">
        <v>394</v>
      </c>
      <c r="AE41" s="79">
        <v>19</v>
      </c>
      <c r="AF41" s="78" t="s">
        <v>394</v>
      </c>
      <c r="AG41" s="79">
        <v>23</v>
      </c>
      <c r="AH41" s="78" t="s">
        <v>394</v>
      </c>
      <c r="AI41" s="79">
        <v>24</v>
      </c>
      <c r="AJ41" s="78" t="s">
        <v>394</v>
      </c>
      <c r="AK41" s="80" t="s">
        <v>317</v>
      </c>
      <c r="AL41" s="81" t="s">
        <v>549</v>
      </c>
      <c r="AM41" s="80">
        <v>1085</v>
      </c>
      <c r="AN41" s="57" t="s">
        <v>395</v>
      </c>
      <c r="AO41" s="93" t="s">
        <v>516</v>
      </c>
      <c r="AP41" s="58" t="s">
        <v>482</v>
      </c>
    </row>
    <row r="42" spans="1:42" ht="15.95" customHeight="1">
      <c r="A42" s="74">
        <v>136241</v>
      </c>
      <c r="B42" s="56" t="s">
        <v>64</v>
      </c>
      <c r="C42" s="77">
        <v>68</v>
      </c>
      <c r="D42" s="78" t="s">
        <v>394</v>
      </c>
      <c r="E42" s="79">
        <v>23</v>
      </c>
      <c r="F42" s="78" t="s">
        <v>394</v>
      </c>
      <c r="G42" s="79">
        <v>44</v>
      </c>
      <c r="H42" s="78" t="s">
        <v>394</v>
      </c>
      <c r="I42" s="79">
        <v>47</v>
      </c>
      <c r="J42" s="78" t="s">
        <v>394</v>
      </c>
      <c r="K42" s="79">
        <v>23</v>
      </c>
      <c r="L42" s="78" t="s">
        <v>394</v>
      </c>
      <c r="M42" s="79">
        <v>22</v>
      </c>
      <c r="N42" s="78" t="s">
        <v>394</v>
      </c>
      <c r="O42" s="79">
        <v>68</v>
      </c>
      <c r="P42" s="78" t="s">
        <v>394</v>
      </c>
      <c r="Q42" s="79">
        <v>23</v>
      </c>
      <c r="R42" s="78" t="s">
        <v>394</v>
      </c>
      <c r="S42" s="79">
        <v>44</v>
      </c>
      <c r="T42" s="78" t="s">
        <v>394</v>
      </c>
      <c r="U42" s="79">
        <v>66</v>
      </c>
      <c r="V42" s="78" t="s">
        <v>394</v>
      </c>
      <c r="W42" s="79">
        <v>23</v>
      </c>
      <c r="X42" s="78" t="s">
        <v>394</v>
      </c>
      <c r="Y42" s="79">
        <v>23</v>
      </c>
      <c r="Z42" s="78" t="s">
        <v>394</v>
      </c>
      <c r="AA42" s="79">
        <v>57</v>
      </c>
      <c r="AB42" s="78" t="s">
        <v>394</v>
      </c>
      <c r="AC42" s="79">
        <v>23</v>
      </c>
      <c r="AD42" s="78" t="s">
        <v>394</v>
      </c>
      <c r="AE42" s="79">
        <v>20</v>
      </c>
      <c r="AF42" s="78" t="s">
        <v>394</v>
      </c>
      <c r="AG42" s="79">
        <v>22</v>
      </c>
      <c r="AH42" s="78" t="s">
        <v>394</v>
      </c>
      <c r="AI42" s="79">
        <v>22</v>
      </c>
      <c r="AJ42" s="78" t="s">
        <v>394</v>
      </c>
      <c r="AK42" s="80">
        <v>618</v>
      </c>
      <c r="AL42" s="81" t="s">
        <v>226</v>
      </c>
      <c r="AM42" s="80">
        <v>1197</v>
      </c>
      <c r="AN42" s="57" t="s">
        <v>395</v>
      </c>
      <c r="AO42" s="93" t="s">
        <v>371</v>
      </c>
      <c r="AP42" s="58" t="s">
        <v>436</v>
      </c>
    </row>
    <row r="43" spans="1:42" ht="15.95" customHeight="1">
      <c r="A43" s="74">
        <v>136242</v>
      </c>
      <c r="B43" s="56" t="s">
        <v>65</v>
      </c>
      <c r="C43" s="77">
        <v>75</v>
      </c>
      <c r="D43" s="78" t="s">
        <v>394</v>
      </c>
      <c r="E43" s="79">
        <v>24</v>
      </c>
      <c r="F43" s="78" t="s">
        <v>394</v>
      </c>
      <c r="G43" s="79">
        <v>44</v>
      </c>
      <c r="H43" s="78" t="s">
        <v>394</v>
      </c>
      <c r="I43" s="79">
        <v>43</v>
      </c>
      <c r="J43" s="78" t="s">
        <v>394</v>
      </c>
      <c r="K43" s="79">
        <v>20</v>
      </c>
      <c r="L43" s="78" t="s">
        <v>394</v>
      </c>
      <c r="M43" s="79">
        <v>22</v>
      </c>
      <c r="N43" s="78" t="s">
        <v>394</v>
      </c>
      <c r="O43" s="79">
        <v>63</v>
      </c>
      <c r="P43" s="78" t="s">
        <v>394</v>
      </c>
      <c r="Q43" s="79">
        <v>23</v>
      </c>
      <c r="R43" s="78" t="s">
        <v>394</v>
      </c>
      <c r="S43" s="79">
        <v>44</v>
      </c>
      <c r="T43" s="78" t="s">
        <v>394</v>
      </c>
      <c r="U43" s="79">
        <v>69</v>
      </c>
      <c r="V43" s="78" t="s">
        <v>394</v>
      </c>
      <c r="W43" s="79">
        <v>23</v>
      </c>
      <c r="X43" s="78" t="s">
        <v>394</v>
      </c>
      <c r="Y43" s="79">
        <v>23</v>
      </c>
      <c r="Z43" s="78" t="s">
        <v>394</v>
      </c>
      <c r="AA43" s="79">
        <v>59</v>
      </c>
      <c r="AB43" s="78" t="s">
        <v>394</v>
      </c>
      <c r="AC43" s="79">
        <v>23</v>
      </c>
      <c r="AD43" s="78" t="s">
        <v>394</v>
      </c>
      <c r="AE43" s="79">
        <v>23</v>
      </c>
      <c r="AF43" s="78" t="s">
        <v>394</v>
      </c>
      <c r="AG43" s="79">
        <v>23</v>
      </c>
      <c r="AH43" s="78" t="s">
        <v>394</v>
      </c>
      <c r="AI43" s="79">
        <v>23</v>
      </c>
      <c r="AJ43" s="78" t="s">
        <v>394</v>
      </c>
      <c r="AK43" s="80">
        <v>624</v>
      </c>
      <c r="AL43" s="81" t="s">
        <v>251</v>
      </c>
      <c r="AM43" s="80">
        <v>1237</v>
      </c>
      <c r="AN43" s="57" t="s">
        <v>395</v>
      </c>
      <c r="AO43" s="93" t="s">
        <v>371</v>
      </c>
      <c r="AP43" s="58" t="s">
        <v>437</v>
      </c>
    </row>
    <row r="44" spans="1:42" ht="15.95" customHeight="1">
      <c r="A44" s="74">
        <v>136243</v>
      </c>
      <c r="B44" s="56" t="s">
        <v>66</v>
      </c>
      <c r="C44" s="77">
        <v>49</v>
      </c>
      <c r="D44" s="78" t="s">
        <v>394</v>
      </c>
      <c r="E44" s="79">
        <v>19</v>
      </c>
      <c r="F44" s="78" t="s">
        <v>394</v>
      </c>
      <c r="G44" s="79">
        <v>38</v>
      </c>
      <c r="H44" s="78" t="s">
        <v>394</v>
      </c>
      <c r="I44" s="79">
        <v>40</v>
      </c>
      <c r="J44" s="78" t="s">
        <v>394</v>
      </c>
      <c r="K44" s="79">
        <v>20</v>
      </c>
      <c r="L44" s="78" t="s">
        <v>394</v>
      </c>
      <c r="M44" s="79">
        <v>19</v>
      </c>
      <c r="N44" s="78" t="s">
        <v>394</v>
      </c>
      <c r="O44" s="79">
        <v>64</v>
      </c>
      <c r="P44" s="78" t="s">
        <v>394</v>
      </c>
      <c r="Q44" s="79">
        <v>19</v>
      </c>
      <c r="R44" s="78" t="s">
        <v>394</v>
      </c>
      <c r="S44" s="79">
        <v>38</v>
      </c>
      <c r="T44" s="78" t="s">
        <v>394</v>
      </c>
      <c r="U44" s="79">
        <v>65</v>
      </c>
      <c r="V44" s="78" t="s">
        <v>394</v>
      </c>
      <c r="W44" s="79">
        <v>19</v>
      </c>
      <c r="X44" s="78" t="s">
        <v>394</v>
      </c>
      <c r="Y44" s="79">
        <v>20</v>
      </c>
      <c r="Z44" s="78" t="s">
        <v>394</v>
      </c>
      <c r="AA44" s="79">
        <v>48</v>
      </c>
      <c r="AB44" s="78" t="s">
        <v>394</v>
      </c>
      <c r="AC44" s="79">
        <v>19</v>
      </c>
      <c r="AD44" s="78" t="s">
        <v>394</v>
      </c>
      <c r="AE44" s="79">
        <v>20</v>
      </c>
      <c r="AF44" s="78" t="s">
        <v>394</v>
      </c>
      <c r="AG44" s="79">
        <v>19</v>
      </c>
      <c r="AH44" s="78" t="s">
        <v>394</v>
      </c>
      <c r="AI44" s="79">
        <v>19</v>
      </c>
      <c r="AJ44" s="78" t="s">
        <v>394</v>
      </c>
      <c r="AK44" s="80">
        <v>535</v>
      </c>
      <c r="AL44" s="81" t="s">
        <v>535</v>
      </c>
      <c r="AM44" s="80">
        <v>535</v>
      </c>
      <c r="AN44" s="57" t="s">
        <v>395</v>
      </c>
      <c r="AO44" s="93" t="s">
        <v>407</v>
      </c>
      <c r="AP44" s="58" t="s">
        <v>438</v>
      </c>
    </row>
    <row r="45" spans="1:42" ht="15.95" customHeight="1">
      <c r="A45" s="74">
        <v>136244</v>
      </c>
      <c r="B45" s="56" t="s">
        <v>67</v>
      </c>
      <c r="C45" s="77">
        <v>40</v>
      </c>
      <c r="D45" s="78" t="s">
        <v>394</v>
      </c>
      <c r="E45" s="79">
        <v>20</v>
      </c>
      <c r="F45" s="78" t="s">
        <v>394</v>
      </c>
      <c r="G45" s="79">
        <v>42</v>
      </c>
      <c r="H45" s="78" t="s">
        <v>394</v>
      </c>
      <c r="I45" s="79">
        <v>40</v>
      </c>
      <c r="J45" s="78" t="s">
        <v>394</v>
      </c>
      <c r="K45" s="79">
        <v>20</v>
      </c>
      <c r="L45" s="78" t="s">
        <v>394</v>
      </c>
      <c r="M45" s="79">
        <v>21</v>
      </c>
      <c r="N45" s="78" t="s">
        <v>394</v>
      </c>
      <c r="O45" s="79">
        <v>40</v>
      </c>
      <c r="P45" s="78" t="s">
        <v>394</v>
      </c>
      <c r="Q45" s="79">
        <v>20</v>
      </c>
      <c r="R45" s="78" t="s">
        <v>394</v>
      </c>
      <c r="S45" s="79">
        <v>42</v>
      </c>
      <c r="T45" s="78" t="s">
        <v>394</v>
      </c>
      <c r="U45" s="79">
        <v>40</v>
      </c>
      <c r="V45" s="78" t="s">
        <v>394</v>
      </c>
      <c r="W45" s="79">
        <v>20</v>
      </c>
      <c r="X45" s="78" t="s">
        <v>394</v>
      </c>
      <c r="Y45" s="79">
        <v>21</v>
      </c>
      <c r="Z45" s="78" t="s">
        <v>394</v>
      </c>
      <c r="AA45" s="79">
        <v>40</v>
      </c>
      <c r="AB45" s="78" t="s">
        <v>394</v>
      </c>
      <c r="AC45" s="79">
        <v>20</v>
      </c>
      <c r="AD45" s="78" t="s">
        <v>394</v>
      </c>
      <c r="AE45" s="79">
        <v>20</v>
      </c>
      <c r="AF45" s="78" t="s">
        <v>394</v>
      </c>
      <c r="AG45" s="79">
        <v>22</v>
      </c>
      <c r="AH45" s="78" t="s">
        <v>394</v>
      </c>
      <c r="AI45" s="79">
        <v>22</v>
      </c>
      <c r="AJ45" s="78" t="s">
        <v>394</v>
      </c>
      <c r="AK45" s="80">
        <v>490</v>
      </c>
      <c r="AL45" s="81" t="s">
        <v>252</v>
      </c>
      <c r="AM45" s="80">
        <v>956</v>
      </c>
      <c r="AN45" s="57" t="s">
        <v>395</v>
      </c>
      <c r="AO45" s="93" t="s">
        <v>316</v>
      </c>
      <c r="AP45" s="58" t="s">
        <v>439</v>
      </c>
    </row>
    <row r="46" spans="1:42" ht="15.95" customHeight="1">
      <c r="A46" s="74">
        <v>136245</v>
      </c>
      <c r="B46" s="56" t="s">
        <v>68</v>
      </c>
      <c r="C46" s="77">
        <v>70</v>
      </c>
      <c r="D46" s="78" t="s">
        <v>394</v>
      </c>
      <c r="E46" s="79">
        <v>19</v>
      </c>
      <c r="F46" s="78" t="s">
        <v>394</v>
      </c>
      <c r="G46" s="79">
        <v>44</v>
      </c>
      <c r="H46" s="78" t="s">
        <v>394</v>
      </c>
      <c r="I46" s="79">
        <v>64</v>
      </c>
      <c r="J46" s="78" t="s">
        <v>394</v>
      </c>
      <c r="K46" s="79">
        <v>22</v>
      </c>
      <c r="L46" s="78" t="s">
        <v>394</v>
      </c>
      <c r="M46" s="79">
        <v>22</v>
      </c>
      <c r="N46" s="78" t="s">
        <v>394</v>
      </c>
      <c r="O46" s="79">
        <v>76</v>
      </c>
      <c r="P46" s="78" t="s">
        <v>394</v>
      </c>
      <c r="Q46" s="79">
        <v>19</v>
      </c>
      <c r="R46" s="78" t="s">
        <v>394</v>
      </c>
      <c r="S46" s="79">
        <v>44</v>
      </c>
      <c r="T46" s="78" t="s">
        <v>394</v>
      </c>
      <c r="U46" s="79">
        <v>72</v>
      </c>
      <c r="V46" s="78" t="s">
        <v>394</v>
      </c>
      <c r="W46" s="79">
        <v>19</v>
      </c>
      <c r="X46" s="78" t="s">
        <v>394</v>
      </c>
      <c r="Y46" s="79">
        <v>20</v>
      </c>
      <c r="Z46" s="78" t="s">
        <v>394</v>
      </c>
      <c r="AA46" s="79">
        <v>54</v>
      </c>
      <c r="AB46" s="78" t="s">
        <v>394</v>
      </c>
      <c r="AC46" s="79">
        <v>19</v>
      </c>
      <c r="AD46" s="78" t="s">
        <v>394</v>
      </c>
      <c r="AE46" s="79">
        <v>21</v>
      </c>
      <c r="AF46" s="78" t="s">
        <v>394</v>
      </c>
      <c r="AG46" s="79">
        <v>19</v>
      </c>
      <c r="AH46" s="78" t="s">
        <v>394</v>
      </c>
      <c r="AI46" s="79">
        <v>22</v>
      </c>
      <c r="AJ46" s="78" t="s">
        <v>394</v>
      </c>
      <c r="AK46" s="80">
        <v>626</v>
      </c>
      <c r="AL46" s="81" t="s">
        <v>253</v>
      </c>
      <c r="AM46" s="80">
        <v>1267</v>
      </c>
      <c r="AN46" s="57" t="s">
        <v>395</v>
      </c>
      <c r="AO46" s="93" t="s">
        <v>371</v>
      </c>
      <c r="AP46" s="58" t="s">
        <v>440</v>
      </c>
    </row>
    <row r="47" spans="1:42" ht="15.95" customHeight="1">
      <c r="A47" s="74">
        <v>136246</v>
      </c>
      <c r="B47" s="56" t="s">
        <v>69</v>
      </c>
      <c r="C47" s="77">
        <v>62</v>
      </c>
      <c r="D47" s="78" t="s">
        <v>394</v>
      </c>
      <c r="E47" s="79">
        <v>23</v>
      </c>
      <c r="F47" s="78" t="s">
        <v>394</v>
      </c>
      <c r="G47" s="79">
        <v>46</v>
      </c>
      <c r="H47" s="78" t="s">
        <v>394</v>
      </c>
      <c r="I47" s="79">
        <v>48</v>
      </c>
      <c r="J47" s="78" t="s">
        <v>394</v>
      </c>
      <c r="K47" s="79">
        <v>23</v>
      </c>
      <c r="L47" s="78" t="s">
        <v>394</v>
      </c>
      <c r="M47" s="79">
        <v>23</v>
      </c>
      <c r="N47" s="78" t="s">
        <v>394</v>
      </c>
      <c r="O47" s="79">
        <v>61</v>
      </c>
      <c r="P47" s="78" t="s">
        <v>394</v>
      </c>
      <c r="Q47" s="79">
        <v>23</v>
      </c>
      <c r="R47" s="78" t="s">
        <v>394</v>
      </c>
      <c r="S47" s="79">
        <v>44</v>
      </c>
      <c r="T47" s="78" t="s">
        <v>394</v>
      </c>
      <c r="U47" s="79">
        <v>62</v>
      </c>
      <c r="V47" s="78" t="s">
        <v>394</v>
      </c>
      <c r="W47" s="79">
        <v>23</v>
      </c>
      <c r="X47" s="78" t="s">
        <v>394</v>
      </c>
      <c r="Y47" s="79">
        <v>22</v>
      </c>
      <c r="Z47" s="78" t="s">
        <v>394</v>
      </c>
      <c r="AA47" s="79">
        <v>51</v>
      </c>
      <c r="AB47" s="78" t="s">
        <v>394</v>
      </c>
      <c r="AC47" s="79">
        <v>23</v>
      </c>
      <c r="AD47" s="78" t="s">
        <v>394</v>
      </c>
      <c r="AE47" s="79">
        <v>23</v>
      </c>
      <c r="AF47" s="78" t="s">
        <v>394</v>
      </c>
      <c r="AG47" s="79">
        <v>23</v>
      </c>
      <c r="AH47" s="78" t="s">
        <v>394</v>
      </c>
      <c r="AI47" s="79">
        <v>23</v>
      </c>
      <c r="AJ47" s="78" t="s">
        <v>394</v>
      </c>
      <c r="AK47" s="80">
        <v>603</v>
      </c>
      <c r="AL47" s="81" t="s">
        <v>239</v>
      </c>
      <c r="AM47" s="80">
        <v>1188</v>
      </c>
      <c r="AN47" s="57" t="s">
        <v>395</v>
      </c>
      <c r="AO47" s="93" t="s">
        <v>371</v>
      </c>
      <c r="AP47" s="58" t="s">
        <v>441</v>
      </c>
    </row>
    <row r="48" spans="1:42" ht="15.95" customHeight="1">
      <c r="A48" s="74">
        <v>136247</v>
      </c>
      <c r="B48" s="56" t="s">
        <v>70</v>
      </c>
      <c r="C48" s="77">
        <v>62</v>
      </c>
      <c r="D48" s="78" t="s">
        <v>394</v>
      </c>
      <c r="E48" s="79">
        <v>23</v>
      </c>
      <c r="F48" s="78" t="s">
        <v>394</v>
      </c>
      <c r="G48" s="79">
        <v>46</v>
      </c>
      <c r="H48" s="78" t="s">
        <v>394</v>
      </c>
      <c r="I48" s="79">
        <v>61</v>
      </c>
      <c r="J48" s="78" t="s">
        <v>394</v>
      </c>
      <c r="K48" s="79">
        <v>23</v>
      </c>
      <c r="L48" s="78" t="s">
        <v>394</v>
      </c>
      <c r="M48" s="79">
        <v>23</v>
      </c>
      <c r="N48" s="78" t="s">
        <v>394</v>
      </c>
      <c r="O48" s="79">
        <v>68</v>
      </c>
      <c r="P48" s="78" t="s">
        <v>394</v>
      </c>
      <c r="Q48" s="79">
        <v>23</v>
      </c>
      <c r="R48" s="78" t="s">
        <v>394</v>
      </c>
      <c r="S48" s="79">
        <v>46</v>
      </c>
      <c r="T48" s="78" t="s">
        <v>394</v>
      </c>
      <c r="U48" s="79">
        <v>64</v>
      </c>
      <c r="V48" s="78" t="s">
        <v>394</v>
      </c>
      <c r="W48" s="79">
        <v>23</v>
      </c>
      <c r="X48" s="78" t="s">
        <v>394</v>
      </c>
      <c r="Y48" s="79">
        <v>22</v>
      </c>
      <c r="Z48" s="78" t="s">
        <v>394</v>
      </c>
      <c r="AA48" s="79">
        <v>49</v>
      </c>
      <c r="AB48" s="78" t="s">
        <v>394</v>
      </c>
      <c r="AC48" s="79">
        <v>23</v>
      </c>
      <c r="AD48" s="78" t="s">
        <v>394</v>
      </c>
      <c r="AE48" s="79">
        <v>23</v>
      </c>
      <c r="AF48" s="78" t="s">
        <v>394</v>
      </c>
      <c r="AG48" s="79">
        <v>23</v>
      </c>
      <c r="AH48" s="78" t="s">
        <v>394</v>
      </c>
      <c r="AI48" s="79">
        <v>23</v>
      </c>
      <c r="AJ48" s="78" t="s">
        <v>394</v>
      </c>
      <c r="AK48" s="80">
        <v>625</v>
      </c>
      <c r="AL48" s="81" t="s">
        <v>254</v>
      </c>
      <c r="AM48" s="80">
        <v>1217</v>
      </c>
      <c r="AN48" s="57" t="s">
        <v>395</v>
      </c>
      <c r="AO48" s="93" t="s">
        <v>371</v>
      </c>
      <c r="AP48" s="58" t="s">
        <v>442</v>
      </c>
    </row>
    <row r="49" spans="1:42" ht="15.95" customHeight="1">
      <c r="A49" s="74">
        <v>136248</v>
      </c>
      <c r="B49" s="56" t="s">
        <v>71</v>
      </c>
      <c r="C49" s="77">
        <v>71</v>
      </c>
      <c r="D49" s="78" t="s">
        <v>394</v>
      </c>
      <c r="E49" s="79">
        <v>20</v>
      </c>
      <c r="F49" s="78" t="s">
        <v>394</v>
      </c>
      <c r="G49" s="79">
        <v>42</v>
      </c>
      <c r="H49" s="78" t="s">
        <v>394</v>
      </c>
      <c r="I49" s="79">
        <v>51</v>
      </c>
      <c r="J49" s="78" t="s">
        <v>394</v>
      </c>
      <c r="K49" s="79">
        <v>22</v>
      </c>
      <c r="L49" s="78" t="s">
        <v>394</v>
      </c>
      <c r="M49" s="79">
        <v>21</v>
      </c>
      <c r="N49" s="78" t="s">
        <v>394</v>
      </c>
      <c r="O49" s="79">
        <v>61</v>
      </c>
      <c r="P49" s="78" t="s">
        <v>394</v>
      </c>
      <c r="Q49" s="79">
        <v>21</v>
      </c>
      <c r="R49" s="78" t="s">
        <v>394</v>
      </c>
      <c r="S49" s="79">
        <v>42</v>
      </c>
      <c r="T49" s="78" t="s">
        <v>394</v>
      </c>
      <c r="U49" s="79">
        <v>55</v>
      </c>
      <c r="V49" s="78" t="s">
        <v>394</v>
      </c>
      <c r="W49" s="79">
        <v>20</v>
      </c>
      <c r="X49" s="78" t="s">
        <v>394</v>
      </c>
      <c r="Y49" s="79">
        <v>21</v>
      </c>
      <c r="Z49" s="78" t="s">
        <v>394</v>
      </c>
      <c r="AA49" s="79">
        <v>59</v>
      </c>
      <c r="AB49" s="78" t="s">
        <v>394</v>
      </c>
      <c r="AC49" s="79">
        <v>21</v>
      </c>
      <c r="AD49" s="78" t="s">
        <v>394</v>
      </c>
      <c r="AE49" s="79">
        <v>22</v>
      </c>
      <c r="AF49" s="78" t="s">
        <v>394</v>
      </c>
      <c r="AG49" s="79">
        <v>23</v>
      </c>
      <c r="AH49" s="78" t="s">
        <v>394</v>
      </c>
      <c r="AI49" s="79">
        <v>21</v>
      </c>
      <c r="AJ49" s="78" t="s">
        <v>394</v>
      </c>
      <c r="AK49" s="80">
        <v>593</v>
      </c>
      <c r="AL49" s="81" t="s">
        <v>250</v>
      </c>
      <c r="AM49" s="80">
        <v>1144</v>
      </c>
      <c r="AN49" s="57" t="s">
        <v>395</v>
      </c>
      <c r="AO49" s="93" t="s">
        <v>371</v>
      </c>
      <c r="AP49" s="58" t="s">
        <v>417</v>
      </c>
    </row>
    <row r="50" spans="1:42" ht="15.95" customHeight="1">
      <c r="A50" s="74">
        <v>136249</v>
      </c>
      <c r="B50" s="56" t="s">
        <v>72</v>
      </c>
      <c r="C50" s="77">
        <v>66</v>
      </c>
      <c r="D50" s="78" t="s">
        <v>394</v>
      </c>
      <c r="E50" s="79">
        <v>23</v>
      </c>
      <c r="F50" s="78" t="s">
        <v>394</v>
      </c>
      <c r="G50" s="79">
        <v>44</v>
      </c>
      <c r="H50" s="78" t="s">
        <v>394</v>
      </c>
      <c r="I50" s="79">
        <v>64</v>
      </c>
      <c r="J50" s="78" t="s">
        <v>394</v>
      </c>
      <c r="K50" s="79">
        <v>23</v>
      </c>
      <c r="L50" s="78" t="s">
        <v>394</v>
      </c>
      <c r="M50" s="79">
        <v>22</v>
      </c>
      <c r="N50" s="78" t="s">
        <v>394</v>
      </c>
      <c r="O50" s="79">
        <v>68</v>
      </c>
      <c r="P50" s="78" t="s">
        <v>394</v>
      </c>
      <c r="Q50" s="79">
        <v>23</v>
      </c>
      <c r="R50" s="78" t="s">
        <v>394</v>
      </c>
      <c r="S50" s="79">
        <v>44</v>
      </c>
      <c r="T50" s="78" t="s">
        <v>394</v>
      </c>
      <c r="U50" s="79">
        <v>64</v>
      </c>
      <c r="V50" s="78" t="s">
        <v>394</v>
      </c>
      <c r="W50" s="79">
        <v>23</v>
      </c>
      <c r="X50" s="78" t="s">
        <v>394</v>
      </c>
      <c r="Y50" s="79">
        <v>22</v>
      </c>
      <c r="Z50" s="78" t="s">
        <v>394</v>
      </c>
      <c r="AA50" s="79">
        <v>53</v>
      </c>
      <c r="AB50" s="78" t="s">
        <v>394</v>
      </c>
      <c r="AC50" s="79">
        <v>23</v>
      </c>
      <c r="AD50" s="78" t="s">
        <v>394</v>
      </c>
      <c r="AE50" s="79">
        <v>20</v>
      </c>
      <c r="AF50" s="78" t="s">
        <v>394</v>
      </c>
      <c r="AG50" s="79">
        <v>23</v>
      </c>
      <c r="AH50" s="78" t="s">
        <v>394</v>
      </c>
      <c r="AI50" s="79">
        <v>23</v>
      </c>
      <c r="AJ50" s="78" t="s">
        <v>394</v>
      </c>
      <c r="AK50" s="80">
        <v>628</v>
      </c>
      <c r="AL50" s="81" t="s">
        <v>255</v>
      </c>
      <c r="AM50" s="80">
        <v>1199</v>
      </c>
      <c r="AN50" s="57" t="s">
        <v>395</v>
      </c>
      <c r="AO50" s="93" t="s">
        <v>371</v>
      </c>
      <c r="AP50" s="58" t="s">
        <v>443</v>
      </c>
    </row>
    <row r="51" spans="1:42" ht="15.95" customHeight="1">
      <c r="A51" s="74">
        <v>136250</v>
      </c>
      <c r="B51" s="56" t="s">
        <v>73</v>
      </c>
      <c r="C51" s="77">
        <v>40</v>
      </c>
      <c r="D51" s="78" t="s">
        <v>394</v>
      </c>
      <c r="E51" s="79">
        <v>20</v>
      </c>
      <c r="F51" s="78" t="s">
        <v>394</v>
      </c>
      <c r="G51" s="79">
        <v>40</v>
      </c>
      <c r="H51" s="78" t="s">
        <v>394</v>
      </c>
      <c r="I51" s="79">
        <v>48</v>
      </c>
      <c r="J51" s="78" t="s">
        <v>394</v>
      </c>
      <c r="K51" s="79">
        <v>20</v>
      </c>
      <c r="L51" s="78" t="s">
        <v>394</v>
      </c>
      <c r="M51" s="79">
        <v>20</v>
      </c>
      <c r="N51" s="78" t="s">
        <v>394</v>
      </c>
      <c r="O51" s="79">
        <v>60</v>
      </c>
      <c r="P51" s="78" t="s">
        <v>394</v>
      </c>
      <c r="Q51" s="79">
        <v>20</v>
      </c>
      <c r="R51" s="78" t="s">
        <v>394</v>
      </c>
      <c r="S51" s="79">
        <v>40</v>
      </c>
      <c r="T51" s="78" t="s">
        <v>394</v>
      </c>
      <c r="U51" s="79">
        <v>51</v>
      </c>
      <c r="V51" s="78" t="s">
        <v>394</v>
      </c>
      <c r="W51" s="79">
        <v>20</v>
      </c>
      <c r="X51" s="78" t="s">
        <v>394</v>
      </c>
      <c r="Y51" s="79">
        <v>21</v>
      </c>
      <c r="Z51" s="78" t="s">
        <v>394</v>
      </c>
      <c r="AA51" s="79">
        <v>40</v>
      </c>
      <c r="AB51" s="78" t="s">
        <v>394</v>
      </c>
      <c r="AC51" s="79">
        <v>20</v>
      </c>
      <c r="AD51" s="78" t="s">
        <v>394</v>
      </c>
      <c r="AE51" s="79">
        <v>18</v>
      </c>
      <c r="AF51" s="78" t="s">
        <v>394</v>
      </c>
      <c r="AG51" s="79">
        <v>20</v>
      </c>
      <c r="AH51" s="78" t="s">
        <v>394</v>
      </c>
      <c r="AI51" s="79">
        <v>20</v>
      </c>
      <c r="AJ51" s="78" t="s">
        <v>394</v>
      </c>
      <c r="AK51" s="80">
        <v>518</v>
      </c>
      <c r="AL51" s="81" t="s">
        <v>256</v>
      </c>
      <c r="AM51" s="80" t="s">
        <v>444</v>
      </c>
      <c r="AN51" s="57" t="s">
        <v>395</v>
      </c>
      <c r="AO51" s="93" t="s">
        <v>371</v>
      </c>
      <c r="AP51" s="58" t="s">
        <v>540</v>
      </c>
    </row>
    <row r="52" spans="1:42" ht="15.95" customHeight="1">
      <c r="A52" s="74">
        <v>136251</v>
      </c>
      <c r="B52" s="56" t="s">
        <v>74</v>
      </c>
      <c r="C52" s="77">
        <v>68</v>
      </c>
      <c r="D52" s="78" t="s">
        <v>394</v>
      </c>
      <c r="E52" s="79">
        <v>20</v>
      </c>
      <c r="F52" s="78" t="s">
        <v>394</v>
      </c>
      <c r="G52" s="79">
        <v>38</v>
      </c>
      <c r="H52" s="78" t="s">
        <v>394</v>
      </c>
      <c r="I52" s="79">
        <v>58</v>
      </c>
      <c r="J52" s="78" t="s">
        <v>394</v>
      </c>
      <c r="K52" s="79">
        <v>20</v>
      </c>
      <c r="L52" s="78" t="s">
        <v>394</v>
      </c>
      <c r="M52" s="79">
        <v>19</v>
      </c>
      <c r="N52" s="78" t="s">
        <v>394</v>
      </c>
      <c r="O52" s="79">
        <v>69</v>
      </c>
      <c r="P52" s="78" t="s">
        <v>394</v>
      </c>
      <c r="Q52" s="79">
        <v>21</v>
      </c>
      <c r="R52" s="78" t="s">
        <v>394</v>
      </c>
      <c r="S52" s="79">
        <v>38</v>
      </c>
      <c r="T52" s="78" t="s">
        <v>394</v>
      </c>
      <c r="U52" s="79">
        <v>65</v>
      </c>
      <c r="V52" s="78" t="s">
        <v>394</v>
      </c>
      <c r="W52" s="79">
        <v>21</v>
      </c>
      <c r="X52" s="78" t="s">
        <v>394</v>
      </c>
      <c r="Y52" s="79">
        <v>21</v>
      </c>
      <c r="Z52" s="78" t="s">
        <v>394</v>
      </c>
      <c r="AA52" s="79">
        <v>62</v>
      </c>
      <c r="AB52" s="78" t="s">
        <v>394</v>
      </c>
      <c r="AC52" s="79">
        <v>21</v>
      </c>
      <c r="AD52" s="78" t="s">
        <v>394</v>
      </c>
      <c r="AE52" s="79">
        <v>18</v>
      </c>
      <c r="AF52" s="78" t="s">
        <v>394</v>
      </c>
      <c r="AG52" s="79">
        <v>22</v>
      </c>
      <c r="AH52" s="78" t="s">
        <v>394</v>
      </c>
      <c r="AI52" s="79">
        <v>22</v>
      </c>
      <c r="AJ52" s="78" t="s">
        <v>394</v>
      </c>
      <c r="AK52" s="80">
        <v>603</v>
      </c>
      <c r="AL52" s="81" t="s">
        <v>257</v>
      </c>
      <c r="AM52" s="80">
        <v>1149</v>
      </c>
      <c r="AN52" s="57" t="s">
        <v>395</v>
      </c>
      <c r="AO52" s="93" t="s">
        <v>371</v>
      </c>
      <c r="AP52" s="58" t="s">
        <v>445</v>
      </c>
    </row>
    <row r="53" spans="1:42" ht="15.95" customHeight="1">
      <c r="A53" s="74">
        <v>136252</v>
      </c>
      <c r="B53" s="56" t="s">
        <v>75</v>
      </c>
      <c r="C53" s="77">
        <v>40</v>
      </c>
      <c r="D53" s="78" t="s">
        <v>398</v>
      </c>
      <c r="E53" s="79">
        <v>21</v>
      </c>
      <c r="F53" s="78" t="s">
        <v>398</v>
      </c>
      <c r="G53" s="79">
        <v>42</v>
      </c>
      <c r="H53" s="78" t="s">
        <v>398</v>
      </c>
      <c r="I53" s="79">
        <v>41</v>
      </c>
      <c r="J53" s="78" t="s">
        <v>398</v>
      </c>
      <c r="K53" s="79">
        <v>21</v>
      </c>
      <c r="L53" s="78" t="s">
        <v>398</v>
      </c>
      <c r="M53" s="79">
        <v>21</v>
      </c>
      <c r="N53" s="78" t="s">
        <v>398</v>
      </c>
      <c r="O53" s="79">
        <v>48</v>
      </c>
      <c r="P53" s="78" t="s">
        <v>398</v>
      </c>
      <c r="Q53" s="79">
        <v>21</v>
      </c>
      <c r="R53" s="78" t="s">
        <v>398</v>
      </c>
      <c r="S53" s="79">
        <v>42</v>
      </c>
      <c r="T53" s="78" t="s">
        <v>398</v>
      </c>
      <c r="U53" s="79">
        <v>49</v>
      </c>
      <c r="V53" s="78" t="s">
        <v>398</v>
      </c>
      <c r="W53" s="79">
        <v>21</v>
      </c>
      <c r="X53" s="78" t="s">
        <v>398</v>
      </c>
      <c r="Y53" s="79">
        <v>21</v>
      </c>
      <c r="Z53" s="78" t="s">
        <v>398</v>
      </c>
      <c r="AA53" s="79">
        <v>23</v>
      </c>
      <c r="AB53" s="78" t="s">
        <v>397</v>
      </c>
      <c r="AC53" s="79">
        <v>21</v>
      </c>
      <c r="AD53" s="78" t="s">
        <v>398</v>
      </c>
      <c r="AE53" s="79">
        <v>20</v>
      </c>
      <c r="AF53" s="78" t="s">
        <v>398</v>
      </c>
      <c r="AG53" s="79">
        <v>21</v>
      </c>
      <c r="AH53" s="78" t="s">
        <v>398</v>
      </c>
      <c r="AI53" s="79">
        <v>21</v>
      </c>
      <c r="AJ53" s="78" t="s">
        <v>398</v>
      </c>
      <c r="AK53" s="80">
        <v>494</v>
      </c>
      <c r="AL53" s="81" t="s">
        <v>258</v>
      </c>
      <c r="AM53" s="80">
        <v>955</v>
      </c>
      <c r="AN53" s="57" t="s">
        <v>399</v>
      </c>
      <c r="AO53" s="93" t="s">
        <v>400</v>
      </c>
      <c r="AP53" s="58" t="s">
        <v>446</v>
      </c>
    </row>
    <row r="54" spans="1:42" ht="15.95" customHeight="1">
      <c r="A54" s="74">
        <v>136253</v>
      </c>
      <c r="B54" s="56" t="s">
        <v>76</v>
      </c>
      <c r="C54" s="77">
        <v>63</v>
      </c>
      <c r="D54" s="78" t="s">
        <v>394</v>
      </c>
      <c r="E54" s="79">
        <v>20</v>
      </c>
      <c r="F54" s="78" t="s">
        <v>394</v>
      </c>
      <c r="G54" s="79">
        <v>42</v>
      </c>
      <c r="H54" s="78" t="s">
        <v>394</v>
      </c>
      <c r="I54" s="79">
        <v>40</v>
      </c>
      <c r="J54" s="78" t="s">
        <v>394</v>
      </c>
      <c r="K54" s="79">
        <v>20</v>
      </c>
      <c r="L54" s="78" t="s">
        <v>394</v>
      </c>
      <c r="M54" s="79">
        <v>21</v>
      </c>
      <c r="N54" s="78" t="s">
        <v>394</v>
      </c>
      <c r="O54" s="79">
        <v>62</v>
      </c>
      <c r="P54" s="78" t="s">
        <v>394</v>
      </c>
      <c r="Q54" s="79">
        <v>20</v>
      </c>
      <c r="R54" s="78" t="s">
        <v>394</v>
      </c>
      <c r="S54" s="79">
        <v>42</v>
      </c>
      <c r="T54" s="78" t="s">
        <v>394</v>
      </c>
      <c r="U54" s="79">
        <v>40</v>
      </c>
      <c r="V54" s="78" t="s">
        <v>394</v>
      </c>
      <c r="W54" s="79">
        <v>20</v>
      </c>
      <c r="X54" s="78" t="s">
        <v>394</v>
      </c>
      <c r="Y54" s="79">
        <v>21</v>
      </c>
      <c r="Z54" s="78" t="s">
        <v>394</v>
      </c>
      <c r="AA54" s="79">
        <v>46</v>
      </c>
      <c r="AB54" s="78" t="s">
        <v>394</v>
      </c>
      <c r="AC54" s="79">
        <v>20</v>
      </c>
      <c r="AD54" s="78" t="s">
        <v>394</v>
      </c>
      <c r="AE54" s="79">
        <v>21</v>
      </c>
      <c r="AF54" s="78" t="s">
        <v>394</v>
      </c>
      <c r="AG54" s="79">
        <v>20</v>
      </c>
      <c r="AH54" s="78" t="s">
        <v>394</v>
      </c>
      <c r="AI54" s="79">
        <v>20</v>
      </c>
      <c r="AJ54" s="78" t="s">
        <v>394</v>
      </c>
      <c r="AK54" s="80">
        <v>538</v>
      </c>
      <c r="AL54" s="81" t="s">
        <v>535</v>
      </c>
      <c r="AM54" s="80">
        <v>538</v>
      </c>
      <c r="AN54" s="57" t="s">
        <v>395</v>
      </c>
      <c r="AO54" s="93" t="s">
        <v>407</v>
      </c>
      <c r="AP54" s="58" t="s">
        <v>447</v>
      </c>
    </row>
    <row r="55" spans="1:42" ht="15.95" customHeight="1">
      <c r="A55" s="74">
        <v>136254</v>
      </c>
      <c r="B55" s="56" t="s">
        <v>77</v>
      </c>
      <c r="C55" s="77">
        <v>53</v>
      </c>
      <c r="D55" s="78" t="s">
        <v>394</v>
      </c>
      <c r="E55" s="79">
        <v>20</v>
      </c>
      <c r="F55" s="78" t="s">
        <v>394</v>
      </c>
      <c r="G55" s="79">
        <v>38</v>
      </c>
      <c r="H55" s="78" t="s">
        <v>394</v>
      </c>
      <c r="I55" s="79">
        <v>40</v>
      </c>
      <c r="J55" s="78" t="s">
        <v>394</v>
      </c>
      <c r="K55" s="79">
        <v>20</v>
      </c>
      <c r="L55" s="78" t="s">
        <v>394</v>
      </c>
      <c r="M55" s="79">
        <v>19</v>
      </c>
      <c r="N55" s="78" t="s">
        <v>394</v>
      </c>
      <c r="O55" s="79">
        <v>56</v>
      </c>
      <c r="P55" s="78" t="s">
        <v>394</v>
      </c>
      <c r="Q55" s="79">
        <v>20</v>
      </c>
      <c r="R55" s="78" t="s">
        <v>394</v>
      </c>
      <c r="S55" s="79">
        <v>38</v>
      </c>
      <c r="T55" s="78" t="s">
        <v>394</v>
      </c>
      <c r="U55" s="79">
        <v>55</v>
      </c>
      <c r="V55" s="78" t="s">
        <v>394</v>
      </c>
      <c r="W55" s="79">
        <v>20</v>
      </c>
      <c r="X55" s="78" t="s">
        <v>394</v>
      </c>
      <c r="Y55" s="79">
        <v>21</v>
      </c>
      <c r="Z55" s="78" t="s">
        <v>394</v>
      </c>
      <c r="AA55" s="79">
        <v>40</v>
      </c>
      <c r="AB55" s="78" t="s">
        <v>394</v>
      </c>
      <c r="AC55" s="79">
        <v>20</v>
      </c>
      <c r="AD55" s="78" t="s">
        <v>394</v>
      </c>
      <c r="AE55" s="79">
        <v>19</v>
      </c>
      <c r="AF55" s="78" t="s">
        <v>394</v>
      </c>
      <c r="AG55" s="79">
        <v>20</v>
      </c>
      <c r="AH55" s="78" t="s">
        <v>394</v>
      </c>
      <c r="AI55" s="79">
        <v>20</v>
      </c>
      <c r="AJ55" s="78" t="s">
        <v>394</v>
      </c>
      <c r="AK55" s="80">
        <v>519</v>
      </c>
      <c r="AL55" s="81" t="s">
        <v>231</v>
      </c>
      <c r="AM55" s="80" t="s">
        <v>448</v>
      </c>
      <c r="AN55" s="57" t="s">
        <v>395</v>
      </c>
      <c r="AO55" s="93" t="s">
        <v>371</v>
      </c>
      <c r="AP55" s="58" t="s">
        <v>541</v>
      </c>
    </row>
    <row r="56" spans="1:42" ht="15.95" customHeight="1">
      <c r="A56" s="67">
        <v>136255</v>
      </c>
      <c r="B56" s="21" t="s">
        <v>78</v>
      </c>
      <c r="C56" s="24">
        <v>46</v>
      </c>
      <c r="D56" s="9"/>
      <c r="E56" s="22">
        <v>19</v>
      </c>
      <c r="F56" s="9"/>
      <c r="G56" s="22">
        <v>42</v>
      </c>
      <c r="H56" s="9"/>
      <c r="I56" s="29">
        <v>40</v>
      </c>
      <c r="J56" s="9"/>
      <c r="K56" s="22">
        <v>20</v>
      </c>
      <c r="L56" s="9"/>
      <c r="M56" s="22">
        <v>20</v>
      </c>
      <c r="N56" s="9"/>
      <c r="O56" s="29">
        <v>51</v>
      </c>
      <c r="P56" s="9"/>
      <c r="Q56" s="22">
        <v>20</v>
      </c>
      <c r="R56" s="9"/>
      <c r="S56" s="22">
        <v>42</v>
      </c>
      <c r="T56" s="9"/>
      <c r="U56" s="29">
        <v>41</v>
      </c>
      <c r="V56" s="9"/>
      <c r="W56" s="22">
        <v>20</v>
      </c>
      <c r="X56" s="9"/>
      <c r="Y56" s="22">
        <v>22</v>
      </c>
      <c r="Z56" s="9"/>
      <c r="AA56" s="29">
        <v>47</v>
      </c>
      <c r="AB56" s="9"/>
      <c r="AC56" s="22">
        <v>20</v>
      </c>
      <c r="AD56" s="9"/>
      <c r="AE56" s="22">
        <v>20</v>
      </c>
      <c r="AF56" s="9"/>
      <c r="AG56" s="22">
        <v>20</v>
      </c>
      <c r="AH56" s="9"/>
      <c r="AI56" s="22">
        <v>21</v>
      </c>
      <c r="AJ56" s="9"/>
      <c r="AK56" s="16">
        <f>IF(OR(AND(C56&gt;=31,C56&lt;40),AND(I56&gt;=31,I56&lt;40),AND(O56&gt;=31,O56&lt;40),AND(U56&gt;=31,U56&lt;40),AND(AA56&gt;=31,AA56&lt;40)),IF(AND(OR(COUNTIF(C56:AJ56,"=31")&gt;=1,COUNTIF(C56:AJ56,"=32")&gt;=1,COUNTIF(C56:AJ56,"=33")&gt;=1,COUNTIF(C56:AJ56,"=34")&gt;=1,COUNTIF(C56:AJ56,"=35")&gt;=1,COUNTIF(C56:AJ56,"=36")&gt;=1 ),COUNTIF(C56:AJ56,"")=0,COUNTIF(C56:AJ56," ")=0,COUNTIF(C56:AJ56,"F")=1),CONCATENATE(SUM(EXTRACTNUMBER(C56),EXTRACTNUMBER(E56),
EXTRACTNUMBER(G56),EXTRACTNUMBER(I56),
EXTRACTNUMBER(K56),EXTRACTNUMBER(M56),
EXTRACTNUMBER(O56),EXTRACTNUMBER(Q56),
EXTRACTNUMBER(S56),EXTRACTNUMBER(U56),
EXTRACTNUMBER(W56),EXTRACTNUMBER(Y56),EXTRACTNUMBER(AA56),
EXTRACTNUMBER(AC56),EXTRACTNUMBER(AE56),EXTRACTNUMBER(AG56),EXTRACTNUMBER(AI56)),"*"),IF(AND(COUNTIF(C56:AJ56,"=34")&gt;=1,COUNTIF(C56:AJ56,"=35")&gt;=1,COUNTIF(C56:AJ56,"f")=2,COUNTIF(C56:AJ56,"")=0,COUNTIF(C56:AJ56," ")=0),CONCATENATE(SUM(EXTRACTNUMBER(C56),EXTRACTNUMBER(E56),
EXTRACTNUMBER(G56),EXTRACTNUMBER(I56),
EXTRACTNUMBER(K56),EXTRACTNUMBER(M56),
EXTRACTNUMBER(O56),EXTRACTNUMBER(Q56),
EXTRACTNUMBER(S56),EXTRACTNUMBER(U56),
EXTRACTNUMBER(W56),EXTRACTNUMBER(Y56),EXTRACTNUMBER(AA56),
EXTRACTNUMBER(AC56),EXTRACTNUMBER(AE56),EXTRACTNUMBER(AG56),EXTRACTNUMBER(AI56)),"*"),IF(AND(COUNTIF(C56:AJ56,"=36")&gt;=2,COUNTIF(C56:AJ56,"f")=2,COUNTIF(C56:AJ56,"")=0,COUNTIF(C56:AJ56," ")=0),CONCATENATE(SUM(EXTRACTNUMBER(C56),EXTRACTNUMBER(E56),
EXTRACTNUMBER(G56),EXTRACTNUMBER(I56),
EXTRACTNUMBER(K56),EXTRACTNUMBER(M56),
EXTRACTNUMBER(O56),EXTRACTNUMBER(Q56),
EXTRACTNUMBER(S56),EXTRACTNUMBER(U56),
EXTRACTNUMBER(W56),EXTRACTNUMBER(Y56),EXTRACTNUMBER(AA56),
EXTRACTNUMBER(AC56),EXTRACTNUMBER(AE56),EXTRACTNUMBER(AG56),EXTRACTNUMBER(AI56)),"*"),SUM(EXTRACTNUMBER(C56),EXTRACTNUMBER(E56),
EXTRACTNUMBER(G56),EXTRACTNUMBER(I56),
EXTRACTNUMBER(K56),EXTRACTNUMBER(M56),
EXTRACTNUMBER(O56),EXTRACTNUMBER(Q56),
EXTRACTNUMBER(S56),EXTRACTNUMBER(U56),
EXTRACTNUMBER(W56),EXTRACTNUMBER(Y56),EXTRACTNUMBER(AA56),
EXTRACTNUMBER(AC56),EXTRACTNUMBER(AE56),EXTRACTNUMBER(AG56),EXTRACTNUMBER(AI56))))),SUM(EXTRACTNUMBER(C56),EXTRACTNUMBER(E56),
EXTRACTNUMBER(G56),EXTRACTNUMBER(I56),
EXTRACTNUMBER(K56),EXTRACTNUMBER(M56),
EXTRACTNUMBER(O56),EXTRACTNUMBER(Q56),
EXTRACTNUMBER(S56),EXTRACTNUMBER(U56),
EXTRACTNUMBER(W56),EXTRACTNUMBER(Y56),EXTRACTNUMBER(AA56),
EXTRACTNUMBER(AC56),EXTRACTNUMBER(AE56),EXTRACTNUMBER(AG56),EXTRACTNUMBER(AI56)))</f>
        <v>511</v>
      </c>
      <c r="AL56" s="72" t="s">
        <v>564</v>
      </c>
      <c r="AM56" s="11">
        <f t="shared" ref="AM56" si="11">IF(IFERROR(FIND("x",AL56),0),SUM(EXTRACTNUMBER(AK56),EXTRACTNUMBER(AL56)),IF(AND(SUM(EXTRACTNUMBER(AK56),EXTRACTNUMBER(AL56))&gt;1009,        SUM(EXTRACTNUMBER(AK56),EXTRACTNUMBER(AL56))&lt;1020),
CONCATENATE(SUM(EXTRACTNUMBER(AK56),EXTRACTNUMBER(AL56)),"@",1020-SUM(EXTRACTNUMBER(AK56),EXTRACTNUMBER(AL56))),
IF(AND(SUM(EXTRACTNUMBER(AK56),EXTRACTNUMBER(AL56))&gt;839,   SUM(EXTRACTNUMBER(AK56),EXTRACTNUMBER(AL56))&lt;850),CONCATENATE(SUM(EXTRACTNUMBER(AK56),EXTRACTNUMBER(AL56)),"@",850-SUM(EXTRACTNUMBER(AK56),EXTRACTNUMBER(AL56))),
IF(AND(SUM(EXTRACTNUMBER(AK56),EXTRACTNUMBER(AL56))&gt;669,        SUM(EXTRACTNUMBER(AK56),EXTRACTNUMBER(AL56))&lt;680),
CONCATENATE(SUM(EXTRACTNUMBER(AK56),EXTRACTNUMBER(AL56)),"@",680-SUM(EXTRACTNUMBER(AK56),EXTRACTNUMBER(AL56))),
SUM(EXTRACTNUMBER(AK56),EXTRACTNUMBER(AL56))))))</f>
        <v>996</v>
      </c>
      <c r="AN56" s="11" t="str">
        <f t="shared" ref="AN56" si="12">IF(AND(COUNTIF(C56:AJ56,"AB")&lt;17-COUNTIF(C56:AJ56," "),
COUNTIF(C56:AJ56,"AB")&lt;&gt;0),"FAIL",
IF(COUNTIF(C56:AJ56,"AB")=17-COUNTIF(C56:AJ56," "),"ABSENT",
IF(AND(COUNTIF(C56:AJ56,"AB")=0,COUNTIF(C56:AJ56,"F")=0),"PASS","FAIL")))</f>
        <v>PASS</v>
      </c>
      <c r="AO56" s="11" t="str">
        <f t="shared" ref="AO56" si="13">IF(AN56="ABSENT","AB",IF(AN56="FAIL","--",
IF(AL56=0,"RS 5",
IF(AND(SUM(EXTRACTNUMBER(AK56),EXTRACTNUMBER(AL56))&gt;=1010,
        NOT(IFERROR(FIND("x",AK56),0)),
        NOT(IFERROR(FIND("x",AL56),0))),"I",
IF(AND(SUM(EXTRACTNUMBER(AK56),EXTRACTNUMBER(AL56))&gt;=850,
      SUM(EXTRACTNUMBER(AK56),EXTRACTNUMBER(AL56))&lt;1010,
      NOT(IFERROR(FIND("x",AK56),0)),
      NOT(IFERROR(FIND("x",AL56),0))),"II",
IF(OR(AND(SUM(EXTRACTNUMBER(AK56),EXTRACTNUMBER(AL56))&lt;850,
SUM(EXTRACTNUMBER(AK56),EXTRACTNUMBER(AL56))&gt;=670),
IFERROR(FIND("x",AK56),0),IFERROR(FIND("x",AL56),0)),"P","--"))))))</f>
        <v>P</v>
      </c>
      <c r="AP56" s="1" t="str">
        <f t="shared" ref="AP56" si="14">spellnumber(AM56)</f>
        <v xml:space="preserve">Nine Hundred NinetySix </v>
      </c>
    </row>
    <row r="57" spans="1:42" ht="15.95" customHeight="1">
      <c r="A57" s="74">
        <v>136256</v>
      </c>
      <c r="B57" s="56" t="s">
        <v>79</v>
      </c>
      <c r="C57" s="77">
        <v>69</v>
      </c>
      <c r="D57" s="78" t="s">
        <v>394</v>
      </c>
      <c r="E57" s="79">
        <v>23</v>
      </c>
      <c r="F57" s="78" t="s">
        <v>394</v>
      </c>
      <c r="G57" s="79">
        <v>44</v>
      </c>
      <c r="H57" s="78" t="s">
        <v>394</v>
      </c>
      <c r="I57" s="79">
        <v>47</v>
      </c>
      <c r="J57" s="78" t="s">
        <v>394</v>
      </c>
      <c r="K57" s="79">
        <v>23</v>
      </c>
      <c r="L57" s="78" t="s">
        <v>394</v>
      </c>
      <c r="M57" s="79">
        <v>22</v>
      </c>
      <c r="N57" s="78" t="s">
        <v>394</v>
      </c>
      <c r="O57" s="79">
        <v>72</v>
      </c>
      <c r="P57" s="78" t="s">
        <v>394</v>
      </c>
      <c r="Q57" s="79">
        <v>23</v>
      </c>
      <c r="R57" s="78" t="s">
        <v>394</v>
      </c>
      <c r="S57" s="79">
        <v>44</v>
      </c>
      <c r="T57" s="78" t="s">
        <v>394</v>
      </c>
      <c r="U57" s="79">
        <v>57</v>
      </c>
      <c r="V57" s="78" t="s">
        <v>394</v>
      </c>
      <c r="W57" s="79">
        <v>23</v>
      </c>
      <c r="X57" s="78" t="s">
        <v>394</v>
      </c>
      <c r="Y57" s="79">
        <v>21</v>
      </c>
      <c r="Z57" s="78" t="s">
        <v>394</v>
      </c>
      <c r="AA57" s="79">
        <v>57</v>
      </c>
      <c r="AB57" s="78" t="s">
        <v>394</v>
      </c>
      <c r="AC57" s="79">
        <v>23</v>
      </c>
      <c r="AD57" s="78" t="s">
        <v>394</v>
      </c>
      <c r="AE57" s="79">
        <v>21</v>
      </c>
      <c r="AF57" s="78" t="s">
        <v>394</v>
      </c>
      <c r="AG57" s="79">
        <v>23</v>
      </c>
      <c r="AH57" s="78" t="s">
        <v>394</v>
      </c>
      <c r="AI57" s="79">
        <v>23</v>
      </c>
      <c r="AJ57" s="78" t="s">
        <v>394</v>
      </c>
      <c r="AK57" s="80">
        <v>615</v>
      </c>
      <c r="AL57" s="81" t="s">
        <v>228</v>
      </c>
      <c r="AM57" s="80">
        <v>1157</v>
      </c>
      <c r="AN57" s="57" t="s">
        <v>395</v>
      </c>
      <c r="AO57" s="93" t="s">
        <v>371</v>
      </c>
      <c r="AP57" s="58" t="s">
        <v>449</v>
      </c>
    </row>
    <row r="58" spans="1:42" ht="15.95" customHeight="1">
      <c r="A58" s="74">
        <v>136257</v>
      </c>
      <c r="B58" s="56" t="s">
        <v>80</v>
      </c>
      <c r="C58" s="77">
        <v>40</v>
      </c>
      <c r="D58" s="78" t="s">
        <v>394</v>
      </c>
      <c r="E58" s="79">
        <v>20</v>
      </c>
      <c r="F58" s="78" t="s">
        <v>394</v>
      </c>
      <c r="G58" s="79">
        <v>42</v>
      </c>
      <c r="H58" s="78" t="s">
        <v>394</v>
      </c>
      <c r="I58" s="96" t="s">
        <v>314</v>
      </c>
      <c r="J58" s="78" t="s">
        <v>394</v>
      </c>
      <c r="K58" s="79">
        <v>20</v>
      </c>
      <c r="L58" s="78" t="s">
        <v>394</v>
      </c>
      <c r="M58" s="79">
        <v>21</v>
      </c>
      <c r="N58" s="78" t="s">
        <v>394</v>
      </c>
      <c r="O58" s="79">
        <v>53</v>
      </c>
      <c r="P58" s="78" t="s">
        <v>394</v>
      </c>
      <c r="Q58" s="79">
        <v>20</v>
      </c>
      <c r="R58" s="78" t="s">
        <v>394</v>
      </c>
      <c r="S58" s="79">
        <v>42</v>
      </c>
      <c r="T58" s="78" t="s">
        <v>394</v>
      </c>
      <c r="U58" s="79">
        <v>55</v>
      </c>
      <c r="V58" s="78" t="s">
        <v>394</v>
      </c>
      <c r="W58" s="79">
        <v>20</v>
      </c>
      <c r="X58" s="78" t="s">
        <v>394</v>
      </c>
      <c r="Y58" s="79">
        <v>22</v>
      </c>
      <c r="Z58" s="78" t="s">
        <v>394</v>
      </c>
      <c r="AA58" s="79">
        <v>40</v>
      </c>
      <c r="AB58" s="78" t="s">
        <v>394</v>
      </c>
      <c r="AC58" s="79">
        <v>20</v>
      </c>
      <c r="AD58" s="78" t="s">
        <v>394</v>
      </c>
      <c r="AE58" s="79">
        <v>19</v>
      </c>
      <c r="AF58" s="78" t="s">
        <v>394</v>
      </c>
      <c r="AG58" s="79">
        <v>20</v>
      </c>
      <c r="AH58" s="78" t="s">
        <v>394</v>
      </c>
      <c r="AI58" s="79">
        <v>21</v>
      </c>
      <c r="AJ58" s="78" t="s">
        <v>394</v>
      </c>
      <c r="AK58" s="80" t="s">
        <v>566</v>
      </c>
      <c r="AL58" s="81" t="s">
        <v>259</v>
      </c>
      <c r="AM58" s="80">
        <v>1006</v>
      </c>
      <c r="AN58" s="57" t="s">
        <v>395</v>
      </c>
      <c r="AO58" s="93" t="s">
        <v>316</v>
      </c>
      <c r="AP58" s="58" t="s">
        <v>402</v>
      </c>
    </row>
    <row r="59" spans="1:42" ht="15.95" customHeight="1">
      <c r="A59" s="74">
        <v>136258</v>
      </c>
      <c r="B59" s="56" t="s">
        <v>81</v>
      </c>
      <c r="C59" s="77">
        <v>74</v>
      </c>
      <c r="D59" s="78" t="s">
        <v>394</v>
      </c>
      <c r="E59" s="79">
        <v>21</v>
      </c>
      <c r="F59" s="78" t="s">
        <v>394</v>
      </c>
      <c r="G59" s="79">
        <v>46</v>
      </c>
      <c r="H59" s="78" t="s">
        <v>394</v>
      </c>
      <c r="I59" s="79">
        <v>50</v>
      </c>
      <c r="J59" s="78" t="s">
        <v>394</v>
      </c>
      <c r="K59" s="79">
        <v>22</v>
      </c>
      <c r="L59" s="78" t="s">
        <v>394</v>
      </c>
      <c r="M59" s="79">
        <v>23</v>
      </c>
      <c r="N59" s="78" t="s">
        <v>394</v>
      </c>
      <c r="O59" s="79">
        <v>58</v>
      </c>
      <c r="P59" s="78" t="s">
        <v>394</v>
      </c>
      <c r="Q59" s="79">
        <v>22</v>
      </c>
      <c r="R59" s="78" t="s">
        <v>394</v>
      </c>
      <c r="S59" s="79">
        <v>46</v>
      </c>
      <c r="T59" s="78" t="s">
        <v>394</v>
      </c>
      <c r="U59" s="79">
        <v>66</v>
      </c>
      <c r="V59" s="78" t="s">
        <v>394</v>
      </c>
      <c r="W59" s="79">
        <v>22</v>
      </c>
      <c r="X59" s="78" t="s">
        <v>394</v>
      </c>
      <c r="Y59" s="79">
        <v>22</v>
      </c>
      <c r="Z59" s="78" t="s">
        <v>394</v>
      </c>
      <c r="AA59" s="79">
        <v>59</v>
      </c>
      <c r="AB59" s="78" t="s">
        <v>394</v>
      </c>
      <c r="AC59" s="79">
        <v>22</v>
      </c>
      <c r="AD59" s="78" t="s">
        <v>394</v>
      </c>
      <c r="AE59" s="79">
        <v>20</v>
      </c>
      <c r="AF59" s="78" t="s">
        <v>394</v>
      </c>
      <c r="AG59" s="79">
        <v>22</v>
      </c>
      <c r="AH59" s="78" t="s">
        <v>394</v>
      </c>
      <c r="AI59" s="79">
        <v>20</v>
      </c>
      <c r="AJ59" s="78" t="s">
        <v>394</v>
      </c>
      <c r="AK59" s="80">
        <v>615</v>
      </c>
      <c r="AL59" s="81" t="s">
        <v>260</v>
      </c>
      <c r="AM59" s="80">
        <v>1159</v>
      </c>
      <c r="AN59" s="57" t="s">
        <v>395</v>
      </c>
      <c r="AO59" s="93" t="s">
        <v>371</v>
      </c>
      <c r="AP59" s="58" t="s">
        <v>450</v>
      </c>
    </row>
    <row r="60" spans="1:42" ht="15.95" customHeight="1">
      <c r="A60" s="74">
        <v>136259</v>
      </c>
      <c r="B60" s="56" t="s">
        <v>82</v>
      </c>
      <c r="C60" s="77">
        <v>58</v>
      </c>
      <c r="D60" s="78" t="s">
        <v>394</v>
      </c>
      <c r="E60" s="79">
        <v>22</v>
      </c>
      <c r="F60" s="78" t="s">
        <v>394</v>
      </c>
      <c r="G60" s="79">
        <v>44</v>
      </c>
      <c r="H60" s="78" t="s">
        <v>394</v>
      </c>
      <c r="I60" s="79">
        <v>55</v>
      </c>
      <c r="J60" s="78" t="s">
        <v>394</v>
      </c>
      <c r="K60" s="79">
        <v>22</v>
      </c>
      <c r="L60" s="78" t="s">
        <v>394</v>
      </c>
      <c r="M60" s="79">
        <v>22</v>
      </c>
      <c r="N60" s="78" t="s">
        <v>394</v>
      </c>
      <c r="O60" s="79">
        <v>69</v>
      </c>
      <c r="P60" s="78" t="s">
        <v>394</v>
      </c>
      <c r="Q60" s="79">
        <v>22</v>
      </c>
      <c r="R60" s="78" t="s">
        <v>394</v>
      </c>
      <c r="S60" s="79">
        <v>44</v>
      </c>
      <c r="T60" s="78" t="s">
        <v>394</v>
      </c>
      <c r="U60" s="79">
        <v>54</v>
      </c>
      <c r="V60" s="78" t="s">
        <v>394</v>
      </c>
      <c r="W60" s="79">
        <v>22</v>
      </c>
      <c r="X60" s="78" t="s">
        <v>394</v>
      </c>
      <c r="Y60" s="79">
        <v>22</v>
      </c>
      <c r="Z60" s="78" t="s">
        <v>394</v>
      </c>
      <c r="AA60" s="79">
        <v>52</v>
      </c>
      <c r="AB60" s="78" t="s">
        <v>394</v>
      </c>
      <c r="AC60" s="79">
        <v>22</v>
      </c>
      <c r="AD60" s="78" t="s">
        <v>394</v>
      </c>
      <c r="AE60" s="79">
        <v>21</v>
      </c>
      <c r="AF60" s="78" t="s">
        <v>394</v>
      </c>
      <c r="AG60" s="79">
        <v>21</v>
      </c>
      <c r="AH60" s="78" t="s">
        <v>394</v>
      </c>
      <c r="AI60" s="79">
        <v>21</v>
      </c>
      <c r="AJ60" s="78" t="s">
        <v>394</v>
      </c>
      <c r="AK60" s="80">
        <v>593</v>
      </c>
      <c r="AL60" s="81" t="s">
        <v>261</v>
      </c>
      <c r="AM60" s="80">
        <v>1105</v>
      </c>
      <c r="AN60" s="57" t="s">
        <v>395</v>
      </c>
      <c r="AO60" s="93" t="s">
        <v>371</v>
      </c>
      <c r="AP60" s="58" t="s">
        <v>451</v>
      </c>
    </row>
    <row r="61" spans="1:42" ht="15.95" customHeight="1">
      <c r="A61" s="74">
        <v>136260</v>
      </c>
      <c r="B61" s="56" t="s">
        <v>83</v>
      </c>
      <c r="C61" s="77">
        <v>52</v>
      </c>
      <c r="D61" s="78" t="s">
        <v>394</v>
      </c>
      <c r="E61" s="79">
        <v>20</v>
      </c>
      <c r="F61" s="78" t="s">
        <v>394</v>
      </c>
      <c r="G61" s="79">
        <v>42</v>
      </c>
      <c r="H61" s="78" t="s">
        <v>394</v>
      </c>
      <c r="I61" s="79">
        <v>61</v>
      </c>
      <c r="J61" s="78" t="s">
        <v>394</v>
      </c>
      <c r="K61" s="79">
        <v>21</v>
      </c>
      <c r="L61" s="78" t="s">
        <v>394</v>
      </c>
      <c r="M61" s="79">
        <v>21</v>
      </c>
      <c r="N61" s="78" t="s">
        <v>394</v>
      </c>
      <c r="O61" s="79">
        <v>53</v>
      </c>
      <c r="P61" s="78" t="s">
        <v>394</v>
      </c>
      <c r="Q61" s="79">
        <v>21</v>
      </c>
      <c r="R61" s="78" t="s">
        <v>394</v>
      </c>
      <c r="S61" s="79">
        <v>42</v>
      </c>
      <c r="T61" s="78" t="s">
        <v>394</v>
      </c>
      <c r="U61" s="79">
        <v>47</v>
      </c>
      <c r="V61" s="78" t="s">
        <v>394</v>
      </c>
      <c r="W61" s="79">
        <v>21</v>
      </c>
      <c r="X61" s="78" t="s">
        <v>394</v>
      </c>
      <c r="Y61" s="79">
        <v>21</v>
      </c>
      <c r="Z61" s="78" t="s">
        <v>394</v>
      </c>
      <c r="AA61" s="79">
        <v>46</v>
      </c>
      <c r="AB61" s="78" t="s">
        <v>394</v>
      </c>
      <c r="AC61" s="79">
        <v>21</v>
      </c>
      <c r="AD61" s="78" t="s">
        <v>394</v>
      </c>
      <c r="AE61" s="79">
        <v>20</v>
      </c>
      <c r="AF61" s="78" t="s">
        <v>394</v>
      </c>
      <c r="AG61" s="79">
        <v>21</v>
      </c>
      <c r="AH61" s="78" t="s">
        <v>394</v>
      </c>
      <c r="AI61" s="79">
        <v>21</v>
      </c>
      <c r="AJ61" s="78" t="s">
        <v>394</v>
      </c>
      <c r="AK61" s="80">
        <v>551</v>
      </c>
      <c r="AL61" s="81" t="s">
        <v>262</v>
      </c>
      <c r="AM61" s="80">
        <v>1040</v>
      </c>
      <c r="AN61" s="57" t="s">
        <v>395</v>
      </c>
      <c r="AO61" s="93" t="s">
        <v>371</v>
      </c>
      <c r="AP61" s="58" t="s">
        <v>452</v>
      </c>
    </row>
    <row r="62" spans="1:42" ht="15.95" customHeight="1">
      <c r="A62" s="74">
        <v>136261</v>
      </c>
      <c r="B62" s="56" t="s">
        <v>84</v>
      </c>
      <c r="C62" s="77">
        <v>45</v>
      </c>
      <c r="D62" s="78" t="s">
        <v>394</v>
      </c>
      <c r="E62" s="79">
        <v>22</v>
      </c>
      <c r="F62" s="78" t="s">
        <v>394</v>
      </c>
      <c r="G62" s="79">
        <v>44</v>
      </c>
      <c r="H62" s="78" t="s">
        <v>394</v>
      </c>
      <c r="I62" s="79">
        <v>52</v>
      </c>
      <c r="J62" s="78" t="s">
        <v>394</v>
      </c>
      <c r="K62" s="79">
        <v>22</v>
      </c>
      <c r="L62" s="78" t="s">
        <v>394</v>
      </c>
      <c r="M62" s="79">
        <v>22</v>
      </c>
      <c r="N62" s="78" t="s">
        <v>394</v>
      </c>
      <c r="O62" s="79">
        <v>57</v>
      </c>
      <c r="P62" s="78" t="s">
        <v>394</v>
      </c>
      <c r="Q62" s="79">
        <v>22</v>
      </c>
      <c r="R62" s="78" t="s">
        <v>394</v>
      </c>
      <c r="S62" s="79">
        <v>44</v>
      </c>
      <c r="T62" s="78" t="s">
        <v>394</v>
      </c>
      <c r="U62" s="79">
        <v>54</v>
      </c>
      <c r="V62" s="78" t="s">
        <v>394</v>
      </c>
      <c r="W62" s="79">
        <v>22</v>
      </c>
      <c r="X62" s="78" t="s">
        <v>394</v>
      </c>
      <c r="Y62" s="79">
        <v>21</v>
      </c>
      <c r="Z62" s="78" t="s">
        <v>394</v>
      </c>
      <c r="AA62" s="79">
        <v>43</v>
      </c>
      <c r="AB62" s="78" t="s">
        <v>394</v>
      </c>
      <c r="AC62" s="79">
        <v>22</v>
      </c>
      <c r="AD62" s="78" t="s">
        <v>394</v>
      </c>
      <c r="AE62" s="79">
        <v>20</v>
      </c>
      <c r="AF62" s="78" t="s">
        <v>394</v>
      </c>
      <c r="AG62" s="79">
        <v>22</v>
      </c>
      <c r="AH62" s="78" t="s">
        <v>394</v>
      </c>
      <c r="AI62" s="79">
        <v>22</v>
      </c>
      <c r="AJ62" s="78" t="s">
        <v>394</v>
      </c>
      <c r="AK62" s="80">
        <v>556</v>
      </c>
      <c r="AL62" s="81" t="s">
        <v>224</v>
      </c>
      <c r="AM62" s="80">
        <v>1054</v>
      </c>
      <c r="AN62" s="57" t="s">
        <v>395</v>
      </c>
      <c r="AO62" s="93" t="s">
        <v>371</v>
      </c>
      <c r="AP62" s="58" t="s">
        <v>413</v>
      </c>
    </row>
    <row r="63" spans="1:42" ht="15.95" customHeight="1">
      <c r="A63" s="74">
        <v>136262</v>
      </c>
      <c r="B63" s="56" t="s">
        <v>85</v>
      </c>
      <c r="C63" s="77">
        <v>53</v>
      </c>
      <c r="D63" s="78" t="s">
        <v>394</v>
      </c>
      <c r="E63" s="79">
        <v>23</v>
      </c>
      <c r="F63" s="78" t="s">
        <v>394</v>
      </c>
      <c r="G63" s="79">
        <v>46</v>
      </c>
      <c r="H63" s="78" t="s">
        <v>394</v>
      </c>
      <c r="I63" s="79">
        <v>62</v>
      </c>
      <c r="J63" s="78" t="s">
        <v>394</v>
      </c>
      <c r="K63" s="79">
        <v>23</v>
      </c>
      <c r="L63" s="78" t="s">
        <v>394</v>
      </c>
      <c r="M63" s="79">
        <v>23</v>
      </c>
      <c r="N63" s="78" t="s">
        <v>394</v>
      </c>
      <c r="O63" s="79">
        <v>65</v>
      </c>
      <c r="P63" s="78" t="s">
        <v>394</v>
      </c>
      <c r="Q63" s="79">
        <v>22</v>
      </c>
      <c r="R63" s="78" t="s">
        <v>394</v>
      </c>
      <c r="S63" s="79">
        <v>46</v>
      </c>
      <c r="T63" s="78" t="s">
        <v>394</v>
      </c>
      <c r="U63" s="79">
        <v>59</v>
      </c>
      <c r="V63" s="78" t="s">
        <v>394</v>
      </c>
      <c r="W63" s="79">
        <v>22</v>
      </c>
      <c r="X63" s="78" t="s">
        <v>394</v>
      </c>
      <c r="Y63" s="79">
        <v>21</v>
      </c>
      <c r="Z63" s="78" t="s">
        <v>394</v>
      </c>
      <c r="AA63" s="79">
        <v>55</v>
      </c>
      <c r="AB63" s="78" t="s">
        <v>394</v>
      </c>
      <c r="AC63" s="79">
        <v>22</v>
      </c>
      <c r="AD63" s="78" t="s">
        <v>394</v>
      </c>
      <c r="AE63" s="79">
        <v>21</v>
      </c>
      <c r="AF63" s="78" t="s">
        <v>394</v>
      </c>
      <c r="AG63" s="79">
        <v>22</v>
      </c>
      <c r="AH63" s="78" t="s">
        <v>394</v>
      </c>
      <c r="AI63" s="79">
        <v>21</v>
      </c>
      <c r="AJ63" s="78" t="s">
        <v>394</v>
      </c>
      <c r="AK63" s="80">
        <v>606</v>
      </c>
      <c r="AL63" s="81" t="s">
        <v>233</v>
      </c>
      <c r="AM63" s="80">
        <v>1197</v>
      </c>
      <c r="AN63" s="57" t="s">
        <v>395</v>
      </c>
      <c r="AO63" s="93" t="s">
        <v>371</v>
      </c>
      <c r="AP63" s="58" t="s">
        <v>436</v>
      </c>
    </row>
    <row r="64" spans="1:42" ht="15.95" customHeight="1">
      <c r="A64" s="74">
        <v>136263</v>
      </c>
      <c r="B64" s="56" t="s">
        <v>86</v>
      </c>
      <c r="C64" s="77">
        <v>41</v>
      </c>
      <c r="D64" s="78" t="s">
        <v>394</v>
      </c>
      <c r="E64" s="79">
        <v>20</v>
      </c>
      <c r="F64" s="78" t="s">
        <v>394</v>
      </c>
      <c r="G64" s="79">
        <v>42</v>
      </c>
      <c r="H64" s="78" t="s">
        <v>394</v>
      </c>
      <c r="I64" s="79">
        <v>43</v>
      </c>
      <c r="J64" s="78" t="s">
        <v>394</v>
      </c>
      <c r="K64" s="79">
        <v>20</v>
      </c>
      <c r="L64" s="78" t="s">
        <v>394</v>
      </c>
      <c r="M64" s="79">
        <v>21</v>
      </c>
      <c r="N64" s="78" t="s">
        <v>394</v>
      </c>
      <c r="O64" s="79">
        <v>67</v>
      </c>
      <c r="P64" s="78" t="s">
        <v>394</v>
      </c>
      <c r="Q64" s="79">
        <v>20</v>
      </c>
      <c r="R64" s="78" t="s">
        <v>394</v>
      </c>
      <c r="S64" s="79">
        <v>42</v>
      </c>
      <c r="T64" s="78" t="s">
        <v>394</v>
      </c>
      <c r="U64" s="79">
        <v>52</v>
      </c>
      <c r="V64" s="78" t="s">
        <v>394</v>
      </c>
      <c r="W64" s="79">
        <v>20</v>
      </c>
      <c r="X64" s="78" t="s">
        <v>394</v>
      </c>
      <c r="Y64" s="79">
        <v>20</v>
      </c>
      <c r="Z64" s="78" t="s">
        <v>394</v>
      </c>
      <c r="AA64" s="79">
        <v>45</v>
      </c>
      <c r="AB64" s="78" t="s">
        <v>394</v>
      </c>
      <c r="AC64" s="79">
        <v>20</v>
      </c>
      <c r="AD64" s="78" t="s">
        <v>394</v>
      </c>
      <c r="AE64" s="79">
        <v>18</v>
      </c>
      <c r="AF64" s="78" t="s">
        <v>394</v>
      </c>
      <c r="AG64" s="79">
        <v>20</v>
      </c>
      <c r="AH64" s="78" t="s">
        <v>394</v>
      </c>
      <c r="AI64" s="79">
        <v>21</v>
      </c>
      <c r="AJ64" s="78" t="s">
        <v>394</v>
      </c>
      <c r="AK64" s="80">
        <v>532</v>
      </c>
      <c r="AL64" s="81" t="s">
        <v>263</v>
      </c>
      <c r="AM64" s="80">
        <v>1048</v>
      </c>
      <c r="AN64" s="57" t="s">
        <v>395</v>
      </c>
      <c r="AO64" s="93" t="s">
        <v>371</v>
      </c>
      <c r="AP64" s="58" t="s">
        <v>453</v>
      </c>
    </row>
    <row r="65" spans="1:42" ht="15.95" customHeight="1">
      <c r="A65" s="74">
        <v>136264</v>
      </c>
      <c r="B65" s="56" t="s">
        <v>87</v>
      </c>
      <c r="C65" s="77">
        <v>57</v>
      </c>
      <c r="D65" s="78" t="s">
        <v>394</v>
      </c>
      <c r="E65" s="79">
        <v>23</v>
      </c>
      <c r="F65" s="78" t="s">
        <v>394</v>
      </c>
      <c r="G65" s="79">
        <v>40</v>
      </c>
      <c r="H65" s="78" t="s">
        <v>394</v>
      </c>
      <c r="I65" s="79">
        <v>42</v>
      </c>
      <c r="J65" s="78" t="s">
        <v>394</v>
      </c>
      <c r="K65" s="79">
        <v>23</v>
      </c>
      <c r="L65" s="78" t="s">
        <v>394</v>
      </c>
      <c r="M65" s="79">
        <v>20</v>
      </c>
      <c r="N65" s="78" t="s">
        <v>394</v>
      </c>
      <c r="O65" s="79">
        <v>51</v>
      </c>
      <c r="P65" s="78" t="s">
        <v>394</v>
      </c>
      <c r="Q65" s="79">
        <v>23</v>
      </c>
      <c r="R65" s="78" t="s">
        <v>394</v>
      </c>
      <c r="S65" s="79">
        <v>40</v>
      </c>
      <c r="T65" s="78" t="s">
        <v>394</v>
      </c>
      <c r="U65" s="79">
        <v>53</v>
      </c>
      <c r="V65" s="78" t="s">
        <v>394</v>
      </c>
      <c r="W65" s="79">
        <v>23</v>
      </c>
      <c r="X65" s="78" t="s">
        <v>394</v>
      </c>
      <c r="Y65" s="79">
        <v>22</v>
      </c>
      <c r="Z65" s="78" t="s">
        <v>394</v>
      </c>
      <c r="AA65" s="79">
        <v>41</v>
      </c>
      <c r="AB65" s="78" t="s">
        <v>394</v>
      </c>
      <c r="AC65" s="79">
        <v>23</v>
      </c>
      <c r="AD65" s="78" t="s">
        <v>394</v>
      </c>
      <c r="AE65" s="79">
        <v>18</v>
      </c>
      <c r="AF65" s="78" t="s">
        <v>394</v>
      </c>
      <c r="AG65" s="79">
        <v>23</v>
      </c>
      <c r="AH65" s="78" t="s">
        <v>394</v>
      </c>
      <c r="AI65" s="79">
        <v>20</v>
      </c>
      <c r="AJ65" s="78" t="s">
        <v>394</v>
      </c>
      <c r="AK65" s="80">
        <v>542</v>
      </c>
      <c r="AL65" s="81" t="s">
        <v>264</v>
      </c>
      <c r="AM65" s="80">
        <v>1087</v>
      </c>
      <c r="AN65" s="57" t="s">
        <v>395</v>
      </c>
      <c r="AO65" s="93" t="s">
        <v>371</v>
      </c>
      <c r="AP65" s="58" t="s">
        <v>454</v>
      </c>
    </row>
    <row r="66" spans="1:42" ht="15.95" customHeight="1">
      <c r="A66" s="74">
        <v>136265</v>
      </c>
      <c r="B66" s="56" t="s">
        <v>88</v>
      </c>
      <c r="C66" s="77">
        <v>51</v>
      </c>
      <c r="D66" s="78" t="s">
        <v>394</v>
      </c>
      <c r="E66" s="79">
        <v>22</v>
      </c>
      <c r="F66" s="78" t="s">
        <v>394</v>
      </c>
      <c r="G66" s="79">
        <v>44</v>
      </c>
      <c r="H66" s="78" t="s">
        <v>394</v>
      </c>
      <c r="I66" s="79">
        <v>55</v>
      </c>
      <c r="J66" s="78" t="s">
        <v>394</v>
      </c>
      <c r="K66" s="79">
        <v>23</v>
      </c>
      <c r="L66" s="78" t="s">
        <v>394</v>
      </c>
      <c r="M66" s="79">
        <v>21</v>
      </c>
      <c r="N66" s="78" t="s">
        <v>394</v>
      </c>
      <c r="O66" s="79">
        <v>63</v>
      </c>
      <c r="P66" s="78" t="s">
        <v>394</v>
      </c>
      <c r="Q66" s="79">
        <v>23</v>
      </c>
      <c r="R66" s="78" t="s">
        <v>394</v>
      </c>
      <c r="S66" s="79">
        <v>42</v>
      </c>
      <c r="T66" s="78" t="s">
        <v>394</v>
      </c>
      <c r="U66" s="79">
        <v>65</v>
      </c>
      <c r="V66" s="78" t="s">
        <v>394</v>
      </c>
      <c r="W66" s="79">
        <v>23</v>
      </c>
      <c r="X66" s="78" t="s">
        <v>394</v>
      </c>
      <c r="Y66" s="79">
        <v>22</v>
      </c>
      <c r="Z66" s="78" t="s">
        <v>394</v>
      </c>
      <c r="AA66" s="79">
        <v>51</v>
      </c>
      <c r="AB66" s="78" t="s">
        <v>394</v>
      </c>
      <c r="AC66" s="79">
        <v>23</v>
      </c>
      <c r="AD66" s="78" t="s">
        <v>394</v>
      </c>
      <c r="AE66" s="79">
        <v>21</v>
      </c>
      <c r="AF66" s="78" t="s">
        <v>394</v>
      </c>
      <c r="AG66" s="79">
        <v>22</v>
      </c>
      <c r="AH66" s="78" t="s">
        <v>394</v>
      </c>
      <c r="AI66" s="79">
        <v>22</v>
      </c>
      <c r="AJ66" s="78" t="s">
        <v>394</v>
      </c>
      <c r="AK66" s="80">
        <v>593</v>
      </c>
      <c r="AL66" s="81" t="s">
        <v>248</v>
      </c>
      <c r="AM66" s="80">
        <v>1126</v>
      </c>
      <c r="AN66" s="57" t="s">
        <v>395</v>
      </c>
      <c r="AO66" s="93" t="s">
        <v>371</v>
      </c>
      <c r="AP66" s="58" t="s">
        <v>455</v>
      </c>
    </row>
    <row r="67" spans="1:42" ht="15.95" customHeight="1">
      <c r="A67" s="74">
        <v>136266</v>
      </c>
      <c r="B67" s="56" t="s">
        <v>89</v>
      </c>
      <c r="C67" s="77">
        <v>58</v>
      </c>
      <c r="D67" s="78" t="s">
        <v>394</v>
      </c>
      <c r="E67" s="79">
        <v>21</v>
      </c>
      <c r="F67" s="78" t="s">
        <v>394</v>
      </c>
      <c r="G67" s="79">
        <v>44</v>
      </c>
      <c r="H67" s="78" t="s">
        <v>394</v>
      </c>
      <c r="I67" s="79">
        <v>52</v>
      </c>
      <c r="J67" s="78" t="s">
        <v>394</v>
      </c>
      <c r="K67" s="79">
        <v>21</v>
      </c>
      <c r="L67" s="78" t="s">
        <v>394</v>
      </c>
      <c r="M67" s="79">
        <v>22</v>
      </c>
      <c r="N67" s="78" t="s">
        <v>394</v>
      </c>
      <c r="O67" s="79">
        <v>51</v>
      </c>
      <c r="P67" s="78" t="s">
        <v>394</v>
      </c>
      <c r="Q67" s="79">
        <v>21</v>
      </c>
      <c r="R67" s="78" t="s">
        <v>394</v>
      </c>
      <c r="S67" s="79">
        <v>44</v>
      </c>
      <c r="T67" s="78" t="s">
        <v>394</v>
      </c>
      <c r="U67" s="79">
        <v>62</v>
      </c>
      <c r="V67" s="78" t="s">
        <v>394</v>
      </c>
      <c r="W67" s="79">
        <v>21</v>
      </c>
      <c r="X67" s="78" t="s">
        <v>394</v>
      </c>
      <c r="Y67" s="79">
        <v>22</v>
      </c>
      <c r="Z67" s="78" t="s">
        <v>394</v>
      </c>
      <c r="AA67" s="79">
        <v>55</v>
      </c>
      <c r="AB67" s="78" t="s">
        <v>394</v>
      </c>
      <c r="AC67" s="79">
        <v>21</v>
      </c>
      <c r="AD67" s="78" t="s">
        <v>394</v>
      </c>
      <c r="AE67" s="79">
        <v>21</v>
      </c>
      <c r="AF67" s="78" t="s">
        <v>394</v>
      </c>
      <c r="AG67" s="79">
        <v>21</v>
      </c>
      <c r="AH67" s="78" t="s">
        <v>394</v>
      </c>
      <c r="AI67" s="79">
        <v>21</v>
      </c>
      <c r="AJ67" s="78" t="s">
        <v>394</v>
      </c>
      <c r="AK67" s="80">
        <v>578</v>
      </c>
      <c r="AL67" s="81" t="s">
        <v>548</v>
      </c>
      <c r="AM67" s="80">
        <v>1081</v>
      </c>
      <c r="AN67" s="57" t="s">
        <v>395</v>
      </c>
      <c r="AO67" s="93" t="s">
        <v>371</v>
      </c>
      <c r="AP67" s="58" t="s">
        <v>491</v>
      </c>
    </row>
    <row r="68" spans="1:42" ht="15.95" customHeight="1">
      <c r="A68" s="74">
        <v>136267</v>
      </c>
      <c r="B68" s="56" t="s">
        <v>90</v>
      </c>
      <c r="C68" s="77">
        <v>40</v>
      </c>
      <c r="D68" s="78" t="s">
        <v>394</v>
      </c>
      <c r="E68" s="79">
        <v>22</v>
      </c>
      <c r="F68" s="78" t="s">
        <v>394</v>
      </c>
      <c r="G68" s="79">
        <v>44</v>
      </c>
      <c r="H68" s="78" t="s">
        <v>394</v>
      </c>
      <c r="I68" s="79">
        <v>40</v>
      </c>
      <c r="J68" s="78" t="s">
        <v>394</v>
      </c>
      <c r="K68" s="79">
        <v>22</v>
      </c>
      <c r="L68" s="78" t="s">
        <v>394</v>
      </c>
      <c r="M68" s="79">
        <v>22</v>
      </c>
      <c r="N68" s="78" t="s">
        <v>394</v>
      </c>
      <c r="O68" s="79">
        <v>59</v>
      </c>
      <c r="P68" s="78" t="s">
        <v>394</v>
      </c>
      <c r="Q68" s="79">
        <v>22</v>
      </c>
      <c r="R68" s="78" t="s">
        <v>394</v>
      </c>
      <c r="S68" s="79">
        <v>44</v>
      </c>
      <c r="T68" s="78" t="s">
        <v>394</v>
      </c>
      <c r="U68" s="79">
        <v>62</v>
      </c>
      <c r="V68" s="78" t="s">
        <v>394</v>
      </c>
      <c r="W68" s="79">
        <v>22</v>
      </c>
      <c r="X68" s="78" t="s">
        <v>394</v>
      </c>
      <c r="Y68" s="79">
        <v>21</v>
      </c>
      <c r="Z68" s="78" t="s">
        <v>394</v>
      </c>
      <c r="AA68" s="79">
        <v>49</v>
      </c>
      <c r="AB68" s="78" t="s">
        <v>394</v>
      </c>
      <c r="AC68" s="79">
        <v>22</v>
      </c>
      <c r="AD68" s="78" t="s">
        <v>394</v>
      </c>
      <c r="AE68" s="79">
        <v>21</v>
      </c>
      <c r="AF68" s="78" t="s">
        <v>394</v>
      </c>
      <c r="AG68" s="79">
        <v>22</v>
      </c>
      <c r="AH68" s="78" t="s">
        <v>394</v>
      </c>
      <c r="AI68" s="79">
        <v>22</v>
      </c>
      <c r="AJ68" s="78" t="s">
        <v>394</v>
      </c>
      <c r="AK68" s="80">
        <v>556</v>
      </c>
      <c r="AL68" s="81" t="s">
        <v>265</v>
      </c>
      <c r="AM68" s="80">
        <v>1092</v>
      </c>
      <c r="AN68" s="57" t="s">
        <v>395</v>
      </c>
      <c r="AO68" s="93" t="s">
        <v>371</v>
      </c>
      <c r="AP68" s="58" t="s">
        <v>412</v>
      </c>
    </row>
    <row r="69" spans="1:42" ht="15.95" customHeight="1">
      <c r="A69" s="74">
        <v>136268</v>
      </c>
      <c r="B69" s="56" t="s">
        <v>91</v>
      </c>
      <c r="C69" s="77">
        <v>53</v>
      </c>
      <c r="D69" s="78" t="s">
        <v>394</v>
      </c>
      <c r="E69" s="79">
        <v>23</v>
      </c>
      <c r="F69" s="78" t="s">
        <v>394</v>
      </c>
      <c r="G69" s="79">
        <v>46</v>
      </c>
      <c r="H69" s="78" t="s">
        <v>394</v>
      </c>
      <c r="I69" s="79">
        <v>61</v>
      </c>
      <c r="J69" s="78" t="s">
        <v>394</v>
      </c>
      <c r="K69" s="79">
        <v>23</v>
      </c>
      <c r="L69" s="78" t="s">
        <v>394</v>
      </c>
      <c r="M69" s="79">
        <v>23</v>
      </c>
      <c r="N69" s="78" t="s">
        <v>394</v>
      </c>
      <c r="O69" s="79">
        <v>67</v>
      </c>
      <c r="P69" s="78" t="s">
        <v>394</v>
      </c>
      <c r="Q69" s="79">
        <v>23</v>
      </c>
      <c r="R69" s="78" t="s">
        <v>394</v>
      </c>
      <c r="S69" s="79">
        <v>46</v>
      </c>
      <c r="T69" s="78" t="s">
        <v>394</v>
      </c>
      <c r="U69" s="79">
        <v>70</v>
      </c>
      <c r="V69" s="78" t="s">
        <v>394</v>
      </c>
      <c r="W69" s="79">
        <v>23</v>
      </c>
      <c r="X69" s="78" t="s">
        <v>394</v>
      </c>
      <c r="Y69" s="79">
        <v>22</v>
      </c>
      <c r="Z69" s="78" t="s">
        <v>394</v>
      </c>
      <c r="AA69" s="79">
        <v>46</v>
      </c>
      <c r="AB69" s="78" t="s">
        <v>394</v>
      </c>
      <c r="AC69" s="79">
        <v>23</v>
      </c>
      <c r="AD69" s="78" t="s">
        <v>394</v>
      </c>
      <c r="AE69" s="79">
        <v>21</v>
      </c>
      <c r="AF69" s="78" t="s">
        <v>394</v>
      </c>
      <c r="AG69" s="79">
        <v>23</v>
      </c>
      <c r="AH69" s="78" t="s">
        <v>394</v>
      </c>
      <c r="AI69" s="79">
        <v>24</v>
      </c>
      <c r="AJ69" s="78" t="s">
        <v>394</v>
      </c>
      <c r="AK69" s="80">
        <v>617</v>
      </c>
      <c r="AL69" s="81" t="s">
        <v>249</v>
      </c>
      <c r="AM69" s="80">
        <v>1213</v>
      </c>
      <c r="AN69" s="57" t="s">
        <v>395</v>
      </c>
      <c r="AO69" s="93" t="s">
        <v>371</v>
      </c>
      <c r="AP69" s="58" t="s">
        <v>456</v>
      </c>
    </row>
    <row r="70" spans="1:42" ht="15.95" customHeight="1">
      <c r="A70" s="74">
        <v>136269</v>
      </c>
      <c r="B70" s="56" t="s">
        <v>92</v>
      </c>
      <c r="C70" s="77">
        <v>46</v>
      </c>
      <c r="D70" s="78" t="s">
        <v>394</v>
      </c>
      <c r="E70" s="79">
        <v>20</v>
      </c>
      <c r="F70" s="78" t="s">
        <v>394</v>
      </c>
      <c r="G70" s="79">
        <v>38</v>
      </c>
      <c r="H70" s="78" t="s">
        <v>394</v>
      </c>
      <c r="I70" s="79">
        <v>48</v>
      </c>
      <c r="J70" s="78" t="s">
        <v>394</v>
      </c>
      <c r="K70" s="79">
        <v>20</v>
      </c>
      <c r="L70" s="78" t="s">
        <v>394</v>
      </c>
      <c r="M70" s="79">
        <v>19</v>
      </c>
      <c r="N70" s="78" t="s">
        <v>394</v>
      </c>
      <c r="O70" s="79">
        <v>57</v>
      </c>
      <c r="P70" s="78" t="s">
        <v>394</v>
      </c>
      <c r="Q70" s="79">
        <v>20</v>
      </c>
      <c r="R70" s="78" t="s">
        <v>394</v>
      </c>
      <c r="S70" s="79">
        <v>38</v>
      </c>
      <c r="T70" s="78" t="s">
        <v>394</v>
      </c>
      <c r="U70" s="79">
        <v>55</v>
      </c>
      <c r="V70" s="78" t="s">
        <v>394</v>
      </c>
      <c r="W70" s="79">
        <v>20</v>
      </c>
      <c r="X70" s="78" t="s">
        <v>394</v>
      </c>
      <c r="Y70" s="79">
        <v>21</v>
      </c>
      <c r="Z70" s="78" t="s">
        <v>394</v>
      </c>
      <c r="AA70" s="79">
        <v>40</v>
      </c>
      <c r="AB70" s="78" t="s">
        <v>394</v>
      </c>
      <c r="AC70" s="79">
        <v>20</v>
      </c>
      <c r="AD70" s="78" t="s">
        <v>394</v>
      </c>
      <c r="AE70" s="79">
        <v>20</v>
      </c>
      <c r="AF70" s="78" t="s">
        <v>394</v>
      </c>
      <c r="AG70" s="79">
        <v>20</v>
      </c>
      <c r="AH70" s="78" t="s">
        <v>394</v>
      </c>
      <c r="AI70" s="79">
        <v>20</v>
      </c>
      <c r="AJ70" s="78" t="s">
        <v>394</v>
      </c>
      <c r="AK70" s="80">
        <v>522</v>
      </c>
      <c r="AL70" s="81" t="s">
        <v>546</v>
      </c>
      <c r="AM70" s="80">
        <v>1017</v>
      </c>
      <c r="AN70" s="57" t="s">
        <v>395</v>
      </c>
      <c r="AO70" s="93" t="s">
        <v>516</v>
      </c>
      <c r="AP70" s="58" t="s">
        <v>547</v>
      </c>
    </row>
    <row r="71" spans="1:42" ht="15.95" customHeight="1">
      <c r="A71" s="74">
        <v>136270</v>
      </c>
      <c r="B71" s="56" t="s">
        <v>93</v>
      </c>
      <c r="C71" s="77">
        <v>43</v>
      </c>
      <c r="D71" s="78" t="s">
        <v>394</v>
      </c>
      <c r="E71" s="79">
        <v>20</v>
      </c>
      <c r="F71" s="78" t="s">
        <v>394</v>
      </c>
      <c r="G71" s="79">
        <v>38</v>
      </c>
      <c r="H71" s="78" t="s">
        <v>394</v>
      </c>
      <c r="I71" s="79">
        <v>43</v>
      </c>
      <c r="J71" s="78" t="s">
        <v>394</v>
      </c>
      <c r="K71" s="79">
        <v>20</v>
      </c>
      <c r="L71" s="78" t="s">
        <v>394</v>
      </c>
      <c r="M71" s="79">
        <v>19</v>
      </c>
      <c r="N71" s="78" t="s">
        <v>394</v>
      </c>
      <c r="O71" s="79">
        <v>58</v>
      </c>
      <c r="P71" s="78" t="s">
        <v>394</v>
      </c>
      <c r="Q71" s="79">
        <v>20</v>
      </c>
      <c r="R71" s="78" t="s">
        <v>394</v>
      </c>
      <c r="S71" s="79">
        <v>38</v>
      </c>
      <c r="T71" s="78" t="s">
        <v>394</v>
      </c>
      <c r="U71" s="79">
        <v>45</v>
      </c>
      <c r="V71" s="78" t="s">
        <v>394</v>
      </c>
      <c r="W71" s="79">
        <v>20</v>
      </c>
      <c r="X71" s="78" t="s">
        <v>394</v>
      </c>
      <c r="Y71" s="79">
        <v>21</v>
      </c>
      <c r="Z71" s="78" t="s">
        <v>394</v>
      </c>
      <c r="AA71" s="79">
        <v>45</v>
      </c>
      <c r="AB71" s="78" t="s">
        <v>394</v>
      </c>
      <c r="AC71" s="79">
        <v>20</v>
      </c>
      <c r="AD71" s="78" t="s">
        <v>394</v>
      </c>
      <c r="AE71" s="79">
        <v>20</v>
      </c>
      <c r="AF71" s="78" t="s">
        <v>394</v>
      </c>
      <c r="AG71" s="79">
        <v>22</v>
      </c>
      <c r="AH71" s="78" t="s">
        <v>394</v>
      </c>
      <c r="AI71" s="79">
        <v>21</v>
      </c>
      <c r="AJ71" s="78" t="s">
        <v>394</v>
      </c>
      <c r="AK71" s="80">
        <v>513</v>
      </c>
      <c r="AL71" s="81" t="s">
        <v>266</v>
      </c>
      <c r="AM71" s="80">
        <v>1033</v>
      </c>
      <c r="AN71" s="57" t="s">
        <v>395</v>
      </c>
      <c r="AO71" s="93" t="s">
        <v>371</v>
      </c>
      <c r="AP71" s="58" t="s">
        <v>457</v>
      </c>
    </row>
    <row r="72" spans="1:42" ht="15.95" customHeight="1">
      <c r="A72" s="74">
        <v>136271</v>
      </c>
      <c r="B72" s="56" t="s">
        <v>94</v>
      </c>
      <c r="C72" s="77">
        <v>40</v>
      </c>
      <c r="D72" s="78" t="s">
        <v>394</v>
      </c>
      <c r="E72" s="79">
        <v>22</v>
      </c>
      <c r="F72" s="78" t="s">
        <v>394</v>
      </c>
      <c r="G72" s="79">
        <v>44</v>
      </c>
      <c r="H72" s="78" t="s">
        <v>394</v>
      </c>
      <c r="I72" s="79">
        <v>50</v>
      </c>
      <c r="J72" s="78" t="s">
        <v>394</v>
      </c>
      <c r="K72" s="79">
        <v>22</v>
      </c>
      <c r="L72" s="78" t="s">
        <v>394</v>
      </c>
      <c r="M72" s="79">
        <v>22</v>
      </c>
      <c r="N72" s="78" t="s">
        <v>394</v>
      </c>
      <c r="O72" s="79">
        <v>60</v>
      </c>
      <c r="P72" s="78" t="s">
        <v>394</v>
      </c>
      <c r="Q72" s="79">
        <v>19</v>
      </c>
      <c r="R72" s="78" t="s">
        <v>394</v>
      </c>
      <c r="S72" s="79">
        <v>44</v>
      </c>
      <c r="T72" s="78" t="s">
        <v>394</v>
      </c>
      <c r="U72" s="79">
        <v>58</v>
      </c>
      <c r="V72" s="78" t="s">
        <v>394</v>
      </c>
      <c r="W72" s="79">
        <v>19</v>
      </c>
      <c r="X72" s="78" t="s">
        <v>394</v>
      </c>
      <c r="Y72" s="79">
        <v>20</v>
      </c>
      <c r="Z72" s="78" t="s">
        <v>394</v>
      </c>
      <c r="AA72" s="79">
        <v>40</v>
      </c>
      <c r="AB72" s="78" t="s">
        <v>394</v>
      </c>
      <c r="AC72" s="79">
        <v>19</v>
      </c>
      <c r="AD72" s="78" t="s">
        <v>394</v>
      </c>
      <c r="AE72" s="79">
        <v>21</v>
      </c>
      <c r="AF72" s="78" t="s">
        <v>394</v>
      </c>
      <c r="AG72" s="79">
        <v>22</v>
      </c>
      <c r="AH72" s="78" t="s">
        <v>394</v>
      </c>
      <c r="AI72" s="79">
        <v>23</v>
      </c>
      <c r="AJ72" s="78" t="s">
        <v>394</v>
      </c>
      <c r="AK72" s="80">
        <v>545</v>
      </c>
      <c r="AL72" s="81" t="s">
        <v>263</v>
      </c>
      <c r="AM72" s="80">
        <v>1061</v>
      </c>
      <c r="AN72" s="57" t="s">
        <v>395</v>
      </c>
      <c r="AO72" s="93" t="s">
        <v>371</v>
      </c>
      <c r="AP72" s="58" t="s">
        <v>458</v>
      </c>
    </row>
    <row r="73" spans="1:42" ht="15.95" customHeight="1">
      <c r="A73" s="67">
        <v>136272</v>
      </c>
      <c r="B73" s="21" t="s">
        <v>95</v>
      </c>
      <c r="C73" s="24">
        <v>48</v>
      </c>
      <c r="D73" s="9"/>
      <c r="E73" s="22">
        <v>19</v>
      </c>
      <c r="F73" s="9"/>
      <c r="G73" s="22">
        <v>42</v>
      </c>
      <c r="H73" s="9"/>
      <c r="I73" s="29">
        <v>40</v>
      </c>
      <c r="J73" s="9"/>
      <c r="K73" s="22">
        <v>20</v>
      </c>
      <c r="L73" s="9"/>
      <c r="M73" s="22">
        <v>21</v>
      </c>
      <c r="N73" s="9"/>
      <c r="O73" s="29">
        <v>54</v>
      </c>
      <c r="P73" s="9"/>
      <c r="Q73" s="22">
        <v>19</v>
      </c>
      <c r="R73" s="9"/>
      <c r="S73" s="22">
        <v>42</v>
      </c>
      <c r="T73" s="9"/>
      <c r="U73" s="29">
        <v>43</v>
      </c>
      <c r="V73" s="9"/>
      <c r="W73" s="22">
        <v>19</v>
      </c>
      <c r="X73" s="9"/>
      <c r="Y73" s="22">
        <v>20</v>
      </c>
      <c r="Z73" s="9"/>
      <c r="AA73" s="29">
        <v>40</v>
      </c>
      <c r="AB73" s="9"/>
      <c r="AC73" s="22">
        <v>19</v>
      </c>
      <c r="AD73" s="9"/>
      <c r="AE73" s="22">
        <v>19</v>
      </c>
      <c r="AF73" s="9"/>
      <c r="AG73" s="22">
        <v>19</v>
      </c>
      <c r="AH73" s="9"/>
      <c r="AI73" s="22">
        <v>21</v>
      </c>
      <c r="AJ73" s="9"/>
      <c r="AK73" s="16">
        <f>IF(OR(AND(C73&gt;=31,C73&lt;40),AND(I73&gt;=31,I73&lt;40),AND(O73&gt;=31,O73&lt;40),AND(U73&gt;=31,U73&lt;40),AND(AA73&gt;=31,AA73&lt;40)),IF(AND(OR(COUNTIF(C73:AJ73,"=31")&gt;=1,COUNTIF(C73:AJ73,"=32")&gt;=1,COUNTIF(C73:AJ73,"=33")&gt;=1,COUNTIF(C73:AJ73,"=34")&gt;=1,COUNTIF(C73:AJ73,"=35")&gt;=1,COUNTIF(C73:AJ73,"=36")&gt;=1 ),COUNTIF(C73:AJ73,"")=0,COUNTIF(C73:AJ73," ")=0,COUNTIF(C73:AJ73,"F")=1),CONCATENATE(SUM(EXTRACTNUMBER(C73),EXTRACTNUMBER(E73),
EXTRACTNUMBER(G73),EXTRACTNUMBER(I73),
EXTRACTNUMBER(K73),EXTRACTNUMBER(M73),
EXTRACTNUMBER(O73),EXTRACTNUMBER(Q73),
EXTRACTNUMBER(S73),EXTRACTNUMBER(U73),
EXTRACTNUMBER(W73),EXTRACTNUMBER(Y73),EXTRACTNUMBER(AA73),
EXTRACTNUMBER(AC73),EXTRACTNUMBER(AE73),EXTRACTNUMBER(AG73),EXTRACTNUMBER(AI73)),"*"),IF(AND(COUNTIF(C73:AJ73,"=34")&gt;=1,COUNTIF(C73:AJ73,"=35")&gt;=1,COUNTIF(C73:AJ73,"f")=2,COUNTIF(C73:AJ73,"")=0,COUNTIF(C73:AJ73," ")=0),CONCATENATE(SUM(EXTRACTNUMBER(C73),EXTRACTNUMBER(E73),
EXTRACTNUMBER(G73),EXTRACTNUMBER(I73),
EXTRACTNUMBER(K73),EXTRACTNUMBER(M73),
EXTRACTNUMBER(O73),EXTRACTNUMBER(Q73),
EXTRACTNUMBER(S73),EXTRACTNUMBER(U73),
EXTRACTNUMBER(W73),EXTRACTNUMBER(Y73),EXTRACTNUMBER(AA73),
EXTRACTNUMBER(AC73),EXTRACTNUMBER(AE73),EXTRACTNUMBER(AG73),EXTRACTNUMBER(AI73)),"*"),IF(AND(COUNTIF(C73:AJ73,"=36")&gt;=2,COUNTIF(C73:AJ73,"f")=2,COUNTIF(C73:AJ73,"")=0,COUNTIF(C73:AJ73," ")=0),CONCATENATE(SUM(EXTRACTNUMBER(C73),EXTRACTNUMBER(E73),
EXTRACTNUMBER(G73),EXTRACTNUMBER(I73),
EXTRACTNUMBER(K73),EXTRACTNUMBER(M73),
EXTRACTNUMBER(O73),EXTRACTNUMBER(Q73),
EXTRACTNUMBER(S73),EXTRACTNUMBER(U73),
EXTRACTNUMBER(W73),EXTRACTNUMBER(Y73),EXTRACTNUMBER(AA73),
EXTRACTNUMBER(AC73),EXTRACTNUMBER(AE73),EXTRACTNUMBER(AG73),EXTRACTNUMBER(AI73)),"*"),SUM(EXTRACTNUMBER(C73),EXTRACTNUMBER(E73),
EXTRACTNUMBER(G73),EXTRACTNUMBER(I73),
EXTRACTNUMBER(K73),EXTRACTNUMBER(M73),
EXTRACTNUMBER(O73),EXTRACTNUMBER(Q73),
EXTRACTNUMBER(S73),EXTRACTNUMBER(U73),
EXTRACTNUMBER(W73),EXTRACTNUMBER(Y73),EXTRACTNUMBER(AA73),
EXTRACTNUMBER(AC73),EXTRACTNUMBER(AE73),EXTRACTNUMBER(AG73),EXTRACTNUMBER(AI73))))),SUM(EXTRACTNUMBER(C73),EXTRACTNUMBER(E73),
EXTRACTNUMBER(G73),EXTRACTNUMBER(I73),
EXTRACTNUMBER(K73),EXTRACTNUMBER(M73),
EXTRACTNUMBER(O73),EXTRACTNUMBER(Q73),
EXTRACTNUMBER(S73),EXTRACTNUMBER(U73),
EXTRACTNUMBER(W73),EXTRACTNUMBER(Y73),EXTRACTNUMBER(AA73),
EXTRACTNUMBER(AC73),EXTRACTNUMBER(AE73),EXTRACTNUMBER(AG73),EXTRACTNUMBER(AI73)))</f>
        <v>505</v>
      </c>
      <c r="AL73" s="72" t="s">
        <v>267</v>
      </c>
      <c r="AM73" s="11">
        <f t="shared" ref="AM73" si="15">IF(IFERROR(FIND("x",AL73),0),SUM(EXTRACTNUMBER(AK73),EXTRACTNUMBER(AL73)),IF(AND(SUM(EXTRACTNUMBER(AK73),EXTRACTNUMBER(AL73))&gt;1009,        SUM(EXTRACTNUMBER(AK73),EXTRACTNUMBER(AL73))&lt;1020),
CONCATENATE(SUM(EXTRACTNUMBER(AK73),EXTRACTNUMBER(AL73)),"@",1020-SUM(EXTRACTNUMBER(AK73),EXTRACTNUMBER(AL73))),
IF(AND(SUM(EXTRACTNUMBER(AK73),EXTRACTNUMBER(AL73))&gt;839,   SUM(EXTRACTNUMBER(AK73),EXTRACTNUMBER(AL73))&lt;850),CONCATENATE(SUM(EXTRACTNUMBER(AK73),EXTRACTNUMBER(AL73)),"@",850-SUM(EXTRACTNUMBER(AK73),EXTRACTNUMBER(AL73))),
IF(AND(SUM(EXTRACTNUMBER(AK73),EXTRACTNUMBER(AL73))&gt;669,        SUM(EXTRACTNUMBER(AK73),EXTRACTNUMBER(AL73))&lt;680),
CONCATENATE(SUM(EXTRACTNUMBER(AK73),EXTRACTNUMBER(AL73)),"@",680-SUM(EXTRACTNUMBER(AK73),EXTRACTNUMBER(AL73))),
SUM(EXTRACTNUMBER(AK73),EXTRACTNUMBER(AL73))))))</f>
        <v>997</v>
      </c>
      <c r="AN73" s="11" t="str">
        <f t="shared" ref="AN73" si="16">IF(AND(COUNTIF(C73:AJ73,"AB")&lt;17-COUNTIF(C73:AJ73," "),
COUNTIF(C73:AJ73,"AB")&lt;&gt;0),"FAIL",
IF(COUNTIF(C73:AJ73,"AB")=17-COUNTIF(C73:AJ73," "),"ABSENT",
IF(AND(COUNTIF(C73:AJ73,"AB")=0,COUNTIF(C73:AJ73,"F")=0),"PASS","FAIL")))</f>
        <v>PASS</v>
      </c>
      <c r="AO73" s="11" t="str">
        <f t="shared" ref="AO73" si="17">IF(AN73="ABSENT","AB",IF(AN73="FAIL","--",
IF(AL73=0,"RS 5",
IF(AND(SUM(EXTRACTNUMBER(AK73),EXTRACTNUMBER(AL73))&gt;=1010,
        NOT(IFERROR(FIND("x",AK73),0)),
        NOT(IFERROR(FIND("x",AL73),0))),"I",
IF(AND(SUM(EXTRACTNUMBER(AK73),EXTRACTNUMBER(AL73))&gt;=850,
      SUM(EXTRACTNUMBER(AK73),EXTRACTNUMBER(AL73))&lt;1010,
      NOT(IFERROR(FIND("x",AK73),0)),
      NOT(IFERROR(FIND("x",AL73),0))),"II",
IF(OR(AND(SUM(EXTRACTNUMBER(AK73),EXTRACTNUMBER(AL73))&lt;850,
SUM(EXTRACTNUMBER(AK73),EXTRACTNUMBER(AL73))&gt;=670),
IFERROR(FIND("x",AK73),0),IFERROR(FIND("x",AL73),0)),"P","--"))))))</f>
        <v>II</v>
      </c>
      <c r="AP73" s="1" t="str">
        <f t="shared" ref="AP73" si="18">spellnumber(AM73)</f>
        <v xml:space="preserve">Nine Hundred NinetySeven </v>
      </c>
    </row>
    <row r="74" spans="1:42" ht="15.95" customHeight="1">
      <c r="A74" s="74">
        <v>136273</v>
      </c>
      <c r="B74" s="56" t="s">
        <v>96</v>
      </c>
      <c r="C74" s="77">
        <v>51</v>
      </c>
      <c r="D74" s="78" t="s">
        <v>394</v>
      </c>
      <c r="E74" s="79">
        <v>20</v>
      </c>
      <c r="F74" s="78" t="s">
        <v>394</v>
      </c>
      <c r="G74" s="79">
        <v>38</v>
      </c>
      <c r="H74" s="78" t="s">
        <v>394</v>
      </c>
      <c r="I74" s="79">
        <v>56</v>
      </c>
      <c r="J74" s="78" t="s">
        <v>394</v>
      </c>
      <c r="K74" s="79">
        <v>20</v>
      </c>
      <c r="L74" s="78" t="s">
        <v>394</v>
      </c>
      <c r="M74" s="79">
        <v>19</v>
      </c>
      <c r="N74" s="78" t="s">
        <v>394</v>
      </c>
      <c r="O74" s="79">
        <v>65</v>
      </c>
      <c r="P74" s="78" t="s">
        <v>394</v>
      </c>
      <c r="Q74" s="79">
        <v>20</v>
      </c>
      <c r="R74" s="78" t="s">
        <v>394</v>
      </c>
      <c r="S74" s="79">
        <v>38</v>
      </c>
      <c r="T74" s="78" t="s">
        <v>394</v>
      </c>
      <c r="U74" s="79">
        <v>55</v>
      </c>
      <c r="V74" s="78" t="s">
        <v>394</v>
      </c>
      <c r="W74" s="79">
        <v>20</v>
      </c>
      <c r="X74" s="78" t="s">
        <v>394</v>
      </c>
      <c r="Y74" s="79">
        <v>20</v>
      </c>
      <c r="Z74" s="78" t="s">
        <v>394</v>
      </c>
      <c r="AA74" s="79">
        <v>40</v>
      </c>
      <c r="AB74" s="78" t="s">
        <v>394</v>
      </c>
      <c r="AC74" s="79">
        <v>20</v>
      </c>
      <c r="AD74" s="78" t="s">
        <v>394</v>
      </c>
      <c r="AE74" s="79">
        <v>19</v>
      </c>
      <c r="AF74" s="78" t="s">
        <v>394</v>
      </c>
      <c r="AG74" s="79">
        <v>20</v>
      </c>
      <c r="AH74" s="78" t="s">
        <v>394</v>
      </c>
      <c r="AI74" s="79">
        <v>21</v>
      </c>
      <c r="AJ74" s="78" t="s">
        <v>394</v>
      </c>
      <c r="AK74" s="80">
        <v>542</v>
      </c>
      <c r="AL74" s="81" t="s">
        <v>268</v>
      </c>
      <c r="AM74" s="80">
        <v>1031</v>
      </c>
      <c r="AN74" s="57" t="s">
        <v>395</v>
      </c>
      <c r="AO74" s="93" t="s">
        <v>371</v>
      </c>
      <c r="AP74" s="58" t="s">
        <v>459</v>
      </c>
    </row>
    <row r="75" spans="1:42" ht="15.95" customHeight="1">
      <c r="A75" s="74">
        <v>136274</v>
      </c>
      <c r="B75" s="56" t="s">
        <v>97</v>
      </c>
      <c r="C75" s="77">
        <v>60</v>
      </c>
      <c r="D75" s="78" t="s">
        <v>394</v>
      </c>
      <c r="E75" s="79">
        <v>20</v>
      </c>
      <c r="F75" s="78" t="s">
        <v>394</v>
      </c>
      <c r="G75" s="79">
        <v>42</v>
      </c>
      <c r="H75" s="78" t="s">
        <v>394</v>
      </c>
      <c r="I75" s="79">
        <v>47</v>
      </c>
      <c r="J75" s="78" t="s">
        <v>394</v>
      </c>
      <c r="K75" s="79">
        <v>20</v>
      </c>
      <c r="L75" s="78" t="s">
        <v>394</v>
      </c>
      <c r="M75" s="79">
        <v>21</v>
      </c>
      <c r="N75" s="78" t="s">
        <v>394</v>
      </c>
      <c r="O75" s="79">
        <v>61</v>
      </c>
      <c r="P75" s="78" t="s">
        <v>394</v>
      </c>
      <c r="Q75" s="79">
        <v>20</v>
      </c>
      <c r="R75" s="78" t="s">
        <v>394</v>
      </c>
      <c r="S75" s="79">
        <v>44</v>
      </c>
      <c r="T75" s="78" t="s">
        <v>394</v>
      </c>
      <c r="U75" s="79">
        <v>55</v>
      </c>
      <c r="V75" s="78" t="s">
        <v>394</v>
      </c>
      <c r="W75" s="79">
        <v>20</v>
      </c>
      <c r="X75" s="78" t="s">
        <v>394</v>
      </c>
      <c r="Y75" s="79">
        <v>20</v>
      </c>
      <c r="Z75" s="78" t="s">
        <v>394</v>
      </c>
      <c r="AA75" s="79">
        <v>45</v>
      </c>
      <c r="AB75" s="78" t="s">
        <v>394</v>
      </c>
      <c r="AC75" s="79">
        <v>20</v>
      </c>
      <c r="AD75" s="78" t="s">
        <v>394</v>
      </c>
      <c r="AE75" s="79">
        <v>19</v>
      </c>
      <c r="AF75" s="78" t="s">
        <v>394</v>
      </c>
      <c r="AG75" s="79">
        <v>21</v>
      </c>
      <c r="AH75" s="78" t="s">
        <v>394</v>
      </c>
      <c r="AI75" s="79">
        <v>21</v>
      </c>
      <c r="AJ75" s="78" t="s">
        <v>394</v>
      </c>
      <c r="AK75" s="80">
        <v>556</v>
      </c>
      <c r="AL75" s="81" t="s">
        <v>244</v>
      </c>
      <c r="AM75" s="80">
        <v>1114</v>
      </c>
      <c r="AN75" s="57" t="s">
        <v>395</v>
      </c>
      <c r="AO75" s="93" t="s">
        <v>371</v>
      </c>
      <c r="AP75" s="58" t="s">
        <v>460</v>
      </c>
    </row>
    <row r="76" spans="1:42" ht="15.95" customHeight="1">
      <c r="A76" s="74">
        <v>136275</v>
      </c>
      <c r="B76" s="56" t="s">
        <v>98</v>
      </c>
      <c r="C76" s="77">
        <v>40</v>
      </c>
      <c r="D76" s="78" t="s">
        <v>394</v>
      </c>
      <c r="E76" s="79">
        <v>19</v>
      </c>
      <c r="F76" s="78" t="s">
        <v>394</v>
      </c>
      <c r="G76" s="79">
        <v>38</v>
      </c>
      <c r="H76" s="78" t="s">
        <v>394</v>
      </c>
      <c r="I76" s="79">
        <v>47</v>
      </c>
      <c r="J76" s="78" t="s">
        <v>394</v>
      </c>
      <c r="K76" s="79">
        <v>20</v>
      </c>
      <c r="L76" s="78" t="s">
        <v>394</v>
      </c>
      <c r="M76" s="79">
        <v>19</v>
      </c>
      <c r="N76" s="78" t="s">
        <v>394</v>
      </c>
      <c r="O76" s="79">
        <v>69</v>
      </c>
      <c r="P76" s="78" t="s">
        <v>394</v>
      </c>
      <c r="Q76" s="79">
        <v>22</v>
      </c>
      <c r="R76" s="78" t="s">
        <v>394</v>
      </c>
      <c r="S76" s="79">
        <v>38</v>
      </c>
      <c r="T76" s="78" t="s">
        <v>394</v>
      </c>
      <c r="U76" s="79">
        <v>66</v>
      </c>
      <c r="V76" s="78" t="s">
        <v>394</v>
      </c>
      <c r="W76" s="79">
        <v>22</v>
      </c>
      <c r="X76" s="78" t="s">
        <v>394</v>
      </c>
      <c r="Y76" s="79">
        <v>22</v>
      </c>
      <c r="Z76" s="78" t="s">
        <v>394</v>
      </c>
      <c r="AA76" s="79">
        <v>53</v>
      </c>
      <c r="AB76" s="78" t="s">
        <v>394</v>
      </c>
      <c r="AC76" s="79">
        <v>22</v>
      </c>
      <c r="AD76" s="78" t="s">
        <v>394</v>
      </c>
      <c r="AE76" s="79">
        <v>18</v>
      </c>
      <c r="AF76" s="78" t="s">
        <v>394</v>
      </c>
      <c r="AG76" s="79">
        <v>22</v>
      </c>
      <c r="AH76" s="78" t="s">
        <v>394</v>
      </c>
      <c r="AI76" s="79">
        <v>24</v>
      </c>
      <c r="AJ76" s="78" t="s">
        <v>394</v>
      </c>
      <c r="AK76" s="80">
        <v>561</v>
      </c>
      <c r="AL76" s="81" t="s">
        <v>269</v>
      </c>
      <c r="AM76" s="80">
        <v>1091</v>
      </c>
      <c r="AN76" s="57" t="s">
        <v>395</v>
      </c>
      <c r="AO76" s="93" t="s">
        <v>371</v>
      </c>
      <c r="AP76" s="58" t="s">
        <v>461</v>
      </c>
    </row>
    <row r="77" spans="1:42" ht="15.95" customHeight="1">
      <c r="A77" s="74">
        <v>136276</v>
      </c>
      <c r="B77" s="56" t="s">
        <v>99</v>
      </c>
      <c r="C77" s="77">
        <v>61</v>
      </c>
      <c r="D77" s="78" t="s">
        <v>394</v>
      </c>
      <c r="E77" s="79">
        <v>21</v>
      </c>
      <c r="F77" s="78" t="s">
        <v>394</v>
      </c>
      <c r="G77" s="79">
        <v>46</v>
      </c>
      <c r="H77" s="78" t="s">
        <v>394</v>
      </c>
      <c r="I77" s="79">
        <v>59</v>
      </c>
      <c r="J77" s="78" t="s">
        <v>394</v>
      </c>
      <c r="K77" s="79">
        <v>21</v>
      </c>
      <c r="L77" s="78" t="s">
        <v>394</v>
      </c>
      <c r="M77" s="79">
        <v>23</v>
      </c>
      <c r="N77" s="78" t="s">
        <v>394</v>
      </c>
      <c r="O77" s="79">
        <v>59</v>
      </c>
      <c r="P77" s="78" t="s">
        <v>394</v>
      </c>
      <c r="Q77" s="79">
        <v>21</v>
      </c>
      <c r="R77" s="78" t="s">
        <v>394</v>
      </c>
      <c r="S77" s="79">
        <v>44</v>
      </c>
      <c r="T77" s="78" t="s">
        <v>394</v>
      </c>
      <c r="U77" s="79">
        <v>54</v>
      </c>
      <c r="V77" s="78" t="s">
        <v>394</v>
      </c>
      <c r="W77" s="79">
        <v>21</v>
      </c>
      <c r="X77" s="78" t="s">
        <v>394</v>
      </c>
      <c r="Y77" s="79">
        <v>21</v>
      </c>
      <c r="Z77" s="78" t="s">
        <v>394</v>
      </c>
      <c r="AA77" s="79">
        <v>51</v>
      </c>
      <c r="AB77" s="78" t="s">
        <v>394</v>
      </c>
      <c r="AC77" s="79">
        <v>21</v>
      </c>
      <c r="AD77" s="78" t="s">
        <v>394</v>
      </c>
      <c r="AE77" s="79">
        <v>23</v>
      </c>
      <c r="AF77" s="78" t="s">
        <v>394</v>
      </c>
      <c r="AG77" s="79">
        <v>21</v>
      </c>
      <c r="AH77" s="78" t="s">
        <v>394</v>
      </c>
      <c r="AI77" s="79">
        <v>21</v>
      </c>
      <c r="AJ77" s="78" t="s">
        <v>394</v>
      </c>
      <c r="AK77" s="80">
        <v>588</v>
      </c>
      <c r="AL77" s="81" t="s">
        <v>270</v>
      </c>
      <c r="AM77" s="80">
        <v>1127</v>
      </c>
      <c r="AN77" s="57" t="s">
        <v>395</v>
      </c>
      <c r="AO77" s="93" t="s">
        <v>371</v>
      </c>
      <c r="AP77" s="58" t="s">
        <v>462</v>
      </c>
    </row>
    <row r="78" spans="1:42" ht="15.95" customHeight="1">
      <c r="A78" s="74">
        <v>136277</v>
      </c>
      <c r="B78" s="56" t="s">
        <v>100</v>
      </c>
      <c r="C78" s="77">
        <v>46</v>
      </c>
      <c r="D78" s="78" t="s">
        <v>394</v>
      </c>
      <c r="E78" s="79">
        <v>22</v>
      </c>
      <c r="F78" s="78" t="s">
        <v>394</v>
      </c>
      <c r="G78" s="79">
        <v>46</v>
      </c>
      <c r="H78" s="78" t="s">
        <v>394</v>
      </c>
      <c r="I78" s="79">
        <v>54</v>
      </c>
      <c r="J78" s="78" t="s">
        <v>394</v>
      </c>
      <c r="K78" s="79">
        <v>22</v>
      </c>
      <c r="L78" s="78" t="s">
        <v>394</v>
      </c>
      <c r="M78" s="79">
        <v>23</v>
      </c>
      <c r="N78" s="78" t="s">
        <v>394</v>
      </c>
      <c r="O78" s="79">
        <v>60</v>
      </c>
      <c r="P78" s="78" t="s">
        <v>394</v>
      </c>
      <c r="Q78" s="79">
        <v>22</v>
      </c>
      <c r="R78" s="78" t="s">
        <v>394</v>
      </c>
      <c r="S78" s="79">
        <v>44</v>
      </c>
      <c r="T78" s="78" t="s">
        <v>394</v>
      </c>
      <c r="U78" s="79">
        <v>55</v>
      </c>
      <c r="V78" s="78" t="s">
        <v>394</v>
      </c>
      <c r="W78" s="79">
        <v>22</v>
      </c>
      <c r="X78" s="78" t="s">
        <v>394</v>
      </c>
      <c r="Y78" s="79">
        <v>22</v>
      </c>
      <c r="Z78" s="78" t="s">
        <v>394</v>
      </c>
      <c r="AA78" s="79">
        <v>43</v>
      </c>
      <c r="AB78" s="78" t="s">
        <v>394</v>
      </c>
      <c r="AC78" s="79">
        <v>22</v>
      </c>
      <c r="AD78" s="78" t="s">
        <v>394</v>
      </c>
      <c r="AE78" s="79">
        <v>22</v>
      </c>
      <c r="AF78" s="78" t="s">
        <v>394</v>
      </c>
      <c r="AG78" s="79">
        <v>22</v>
      </c>
      <c r="AH78" s="78" t="s">
        <v>394</v>
      </c>
      <c r="AI78" s="79">
        <v>22</v>
      </c>
      <c r="AJ78" s="78" t="s">
        <v>394</v>
      </c>
      <c r="AK78" s="80">
        <v>569</v>
      </c>
      <c r="AL78" s="81" t="s">
        <v>242</v>
      </c>
      <c r="AM78" s="80">
        <v>1103</v>
      </c>
      <c r="AN78" s="57" t="s">
        <v>395</v>
      </c>
      <c r="AO78" s="93" t="s">
        <v>371</v>
      </c>
      <c r="AP78" s="58" t="s">
        <v>463</v>
      </c>
    </row>
    <row r="79" spans="1:42" ht="15.95" customHeight="1">
      <c r="A79" s="74">
        <v>136278</v>
      </c>
      <c r="B79" s="56" t="s">
        <v>101</v>
      </c>
      <c r="C79" s="77">
        <v>42</v>
      </c>
      <c r="D79" s="78" t="s">
        <v>394</v>
      </c>
      <c r="E79" s="79">
        <v>21</v>
      </c>
      <c r="F79" s="78" t="s">
        <v>394</v>
      </c>
      <c r="G79" s="79">
        <v>44</v>
      </c>
      <c r="H79" s="78" t="s">
        <v>394</v>
      </c>
      <c r="I79" s="79">
        <v>40</v>
      </c>
      <c r="J79" s="78" t="s">
        <v>394</v>
      </c>
      <c r="K79" s="79">
        <v>23</v>
      </c>
      <c r="L79" s="78" t="s">
        <v>394</v>
      </c>
      <c r="M79" s="79">
        <v>22</v>
      </c>
      <c r="N79" s="78" t="s">
        <v>394</v>
      </c>
      <c r="O79" s="79">
        <v>68</v>
      </c>
      <c r="P79" s="78" t="s">
        <v>394</v>
      </c>
      <c r="Q79" s="79">
        <v>22</v>
      </c>
      <c r="R79" s="78" t="s">
        <v>394</v>
      </c>
      <c r="S79" s="79">
        <v>46</v>
      </c>
      <c r="T79" s="78" t="s">
        <v>394</v>
      </c>
      <c r="U79" s="79">
        <v>52</v>
      </c>
      <c r="V79" s="78" t="s">
        <v>394</v>
      </c>
      <c r="W79" s="79">
        <v>22</v>
      </c>
      <c r="X79" s="78" t="s">
        <v>394</v>
      </c>
      <c r="Y79" s="79">
        <v>21</v>
      </c>
      <c r="Z79" s="78" t="s">
        <v>394</v>
      </c>
      <c r="AA79" s="79">
        <v>45</v>
      </c>
      <c r="AB79" s="78" t="s">
        <v>394</v>
      </c>
      <c r="AC79" s="79">
        <v>22</v>
      </c>
      <c r="AD79" s="78" t="s">
        <v>394</v>
      </c>
      <c r="AE79" s="79">
        <v>21</v>
      </c>
      <c r="AF79" s="78" t="s">
        <v>394</v>
      </c>
      <c r="AG79" s="79">
        <v>23</v>
      </c>
      <c r="AH79" s="78" t="s">
        <v>394</v>
      </c>
      <c r="AI79" s="79">
        <v>20</v>
      </c>
      <c r="AJ79" s="78" t="s">
        <v>394</v>
      </c>
      <c r="AK79" s="80">
        <v>554</v>
      </c>
      <c r="AL79" s="81" t="s">
        <v>271</v>
      </c>
      <c r="AM79" s="80">
        <v>1070</v>
      </c>
      <c r="AN79" s="57" t="s">
        <v>395</v>
      </c>
      <c r="AO79" s="93" t="s">
        <v>371</v>
      </c>
      <c r="AP79" s="58" t="s">
        <v>464</v>
      </c>
    </row>
    <row r="80" spans="1:42" ht="15.95" customHeight="1">
      <c r="A80" s="74">
        <v>136279</v>
      </c>
      <c r="B80" s="56" t="s">
        <v>102</v>
      </c>
      <c r="C80" s="77">
        <v>46</v>
      </c>
      <c r="D80" s="78" t="s">
        <v>398</v>
      </c>
      <c r="E80" s="79">
        <v>19</v>
      </c>
      <c r="F80" s="78" t="s">
        <v>398</v>
      </c>
      <c r="G80" s="79">
        <v>38</v>
      </c>
      <c r="H80" s="78" t="s">
        <v>398</v>
      </c>
      <c r="I80" s="79">
        <v>29</v>
      </c>
      <c r="J80" s="78" t="s">
        <v>397</v>
      </c>
      <c r="K80" s="79">
        <v>20</v>
      </c>
      <c r="L80" s="78" t="s">
        <v>398</v>
      </c>
      <c r="M80" s="79">
        <v>19</v>
      </c>
      <c r="N80" s="78" t="s">
        <v>398</v>
      </c>
      <c r="O80" s="79">
        <v>47</v>
      </c>
      <c r="P80" s="78" t="s">
        <v>398</v>
      </c>
      <c r="Q80" s="79">
        <v>21</v>
      </c>
      <c r="R80" s="78" t="s">
        <v>398</v>
      </c>
      <c r="S80" s="79">
        <v>38</v>
      </c>
      <c r="T80" s="78" t="s">
        <v>398</v>
      </c>
      <c r="U80" s="79">
        <v>22</v>
      </c>
      <c r="V80" s="78" t="s">
        <v>397</v>
      </c>
      <c r="W80" s="79">
        <v>22</v>
      </c>
      <c r="X80" s="78" t="s">
        <v>398</v>
      </c>
      <c r="Y80" s="79">
        <v>21</v>
      </c>
      <c r="Z80" s="78" t="s">
        <v>398</v>
      </c>
      <c r="AA80" s="79">
        <v>41</v>
      </c>
      <c r="AB80" s="78" t="s">
        <v>398</v>
      </c>
      <c r="AC80" s="79">
        <v>21</v>
      </c>
      <c r="AD80" s="78" t="s">
        <v>398</v>
      </c>
      <c r="AE80" s="79">
        <v>21</v>
      </c>
      <c r="AF80" s="78" t="s">
        <v>398</v>
      </c>
      <c r="AG80" s="79">
        <v>22</v>
      </c>
      <c r="AH80" s="78" t="s">
        <v>398</v>
      </c>
      <c r="AI80" s="79">
        <v>21</v>
      </c>
      <c r="AJ80" s="78" t="s">
        <v>398</v>
      </c>
      <c r="AK80" s="80">
        <v>468</v>
      </c>
      <c r="AL80" s="81" t="s">
        <v>272</v>
      </c>
      <c r="AM80" s="80">
        <v>949</v>
      </c>
      <c r="AN80" s="57" t="s">
        <v>399</v>
      </c>
      <c r="AO80" s="93" t="s">
        <v>400</v>
      </c>
      <c r="AP80" s="58" t="s">
        <v>465</v>
      </c>
    </row>
    <row r="81" spans="1:42" ht="15.95" customHeight="1">
      <c r="A81" s="74">
        <v>136280</v>
      </c>
      <c r="B81" s="56" t="s">
        <v>103</v>
      </c>
      <c r="C81" s="77">
        <v>53</v>
      </c>
      <c r="D81" s="78" t="s">
        <v>394</v>
      </c>
      <c r="E81" s="79">
        <v>23</v>
      </c>
      <c r="F81" s="78" t="s">
        <v>394</v>
      </c>
      <c r="G81" s="79">
        <v>38</v>
      </c>
      <c r="H81" s="78" t="s">
        <v>394</v>
      </c>
      <c r="I81" s="79">
        <v>63</v>
      </c>
      <c r="J81" s="78" t="s">
        <v>394</v>
      </c>
      <c r="K81" s="79">
        <v>23</v>
      </c>
      <c r="L81" s="78" t="s">
        <v>394</v>
      </c>
      <c r="M81" s="79">
        <v>19</v>
      </c>
      <c r="N81" s="78" t="s">
        <v>394</v>
      </c>
      <c r="O81" s="79">
        <v>67</v>
      </c>
      <c r="P81" s="78" t="s">
        <v>394</v>
      </c>
      <c r="Q81" s="79">
        <v>23</v>
      </c>
      <c r="R81" s="78" t="s">
        <v>394</v>
      </c>
      <c r="S81" s="79">
        <v>38</v>
      </c>
      <c r="T81" s="78" t="s">
        <v>394</v>
      </c>
      <c r="U81" s="79">
        <v>66</v>
      </c>
      <c r="V81" s="78" t="s">
        <v>394</v>
      </c>
      <c r="W81" s="79">
        <v>23</v>
      </c>
      <c r="X81" s="78" t="s">
        <v>394</v>
      </c>
      <c r="Y81" s="79">
        <v>22</v>
      </c>
      <c r="Z81" s="78" t="s">
        <v>394</v>
      </c>
      <c r="AA81" s="79">
        <v>55</v>
      </c>
      <c r="AB81" s="78" t="s">
        <v>394</v>
      </c>
      <c r="AC81" s="79">
        <v>23</v>
      </c>
      <c r="AD81" s="78" t="s">
        <v>394</v>
      </c>
      <c r="AE81" s="79">
        <v>18</v>
      </c>
      <c r="AF81" s="78" t="s">
        <v>394</v>
      </c>
      <c r="AG81" s="79">
        <v>23</v>
      </c>
      <c r="AH81" s="78" t="s">
        <v>394</v>
      </c>
      <c r="AI81" s="79">
        <v>23</v>
      </c>
      <c r="AJ81" s="78" t="s">
        <v>394</v>
      </c>
      <c r="AK81" s="80">
        <v>600</v>
      </c>
      <c r="AL81" s="81" t="s">
        <v>273</v>
      </c>
      <c r="AM81" s="80">
        <v>1198</v>
      </c>
      <c r="AN81" s="57" t="s">
        <v>395</v>
      </c>
      <c r="AO81" s="93" t="s">
        <v>371</v>
      </c>
      <c r="AP81" s="58" t="s">
        <v>466</v>
      </c>
    </row>
    <row r="82" spans="1:42" ht="15.95" customHeight="1">
      <c r="A82" s="74">
        <v>136281</v>
      </c>
      <c r="B82" s="56" t="s">
        <v>104</v>
      </c>
      <c r="C82" s="77">
        <v>41</v>
      </c>
      <c r="D82" s="78" t="s">
        <v>394</v>
      </c>
      <c r="E82" s="79">
        <v>19</v>
      </c>
      <c r="F82" s="78" t="s">
        <v>394</v>
      </c>
      <c r="G82" s="79">
        <v>38</v>
      </c>
      <c r="H82" s="78" t="s">
        <v>394</v>
      </c>
      <c r="I82" s="79">
        <v>46</v>
      </c>
      <c r="J82" s="78" t="s">
        <v>394</v>
      </c>
      <c r="K82" s="79">
        <v>20</v>
      </c>
      <c r="L82" s="78" t="s">
        <v>394</v>
      </c>
      <c r="M82" s="79">
        <v>19</v>
      </c>
      <c r="N82" s="78" t="s">
        <v>394</v>
      </c>
      <c r="O82" s="79">
        <v>64</v>
      </c>
      <c r="P82" s="78" t="s">
        <v>394</v>
      </c>
      <c r="Q82" s="79">
        <v>21</v>
      </c>
      <c r="R82" s="78" t="s">
        <v>394</v>
      </c>
      <c r="S82" s="79">
        <v>38</v>
      </c>
      <c r="T82" s="78" t="s">
        <v>394</v>
      </c>
      <c r="U82" s="79">
        <v>61</v>
      </c>
      <c r="V82" s="78" t="s">
        <v>394</v>
      </c>
      <c r="W82" s="79">
        <v>21</v>
      </c>
      <c r="X82" s="78" t="s">
        <v>394</v>
      </c>
      <c r="Y82" s="79">
        <v>21</v>
      </c>
      <c r="Z82" s="78" t="s">
        <v>394</v>
      </c>
      <c r="AA82" s="79">
        <v>43</v>
      </c>
      <c r="AB82" s="78" t="s">
        <v>394</v>
      </c>
      <c r="AC82" s="79">
        <v>21</v>
      </c>
      <c r="AD82" s="78" t="s">
        <v>394</v>
      </c>
      <c r="AE82" s="79">
        <v>22</v>
      </c>
      <c r="AF82" s="78" t="s">
        <v>394</v>
      </c>
      <c r="AG82" s="79">
        <v>21</v>
      </c>
      <c r="AH82" s="78" t="s">
        <v>394</v>
      </c>
      <c r="AI82" s="79">
        <v>21</v>
      </c>
      <c r="AJ82" s="78" t="s">
        <v>394</v>
      </c>
      <c r="AK82" s="80">
        <v>537</v>
      </c>
      <c r="AL82" s="81" t="s">
        <v>274</v>
      </c>
      <c r="AM82" s="80">
        <v>1041</v>
      </c>
      <c r="AN82" s="57" t="s">
        <v>395</v>
      </c>
      <c r="AO82" s="93" t="s">
        <v>371</v>
      </c>
      <c r="AP82" s="58" t="s">
        <v>467</v>
      </c>
    </row>
    <row r="83" spans="1:42" ht="15.95" customHeight="1">
      <c r="A83" s="67">
        <v>136282</v>
      </c>
      <c r="B83" s="21" t="s">
        <v>105</v>
      </c>
      <c r="C83" s="24">
        <v>52</v>
      </c>
      <c r="D83" s="9"/>
      <c r="E83" s="22">
        <v>21</v>
      </c>
      <c r="F83" s="9"/>
      <c r="G83" s="22">
        <v>46</v>
      </c>
      <c r="H83" s="9"/>
      <c r="I83" s="29">
        <v>48</v>
      </c>
      <c r="J83" s="9"/>
      <c r="K83" s="22">
        <v>21</v>
      </c>
      <c r="L83" s="9"/>
      <c r="M83" s="22">
        <v>23</v>
      </c>
      <c r="N83" s="9"/>
      <c r="O83" s="29">
        <v>56</v>
      </c>
      <c r="P83" s="9"/>
      <c r="Q83" s="22">
        <v>21</v>
      </c>
      <c r="R83" s="9"/>
      <c r="S83" s="22">
        <v>42</v>
      </c>
      <c r="T83" s="9"/>
      <c r="U83" s="29">
        <v>57</v>
      </c>
      <c r="V83" s="9"/>
      <c r="W83" s="22">
        <v>21</v>
      </c>
      <c r="X83" s="9"/>
      <c r="Y83" s="22">
        <v>21</v>
      </c>
      <c r="Z83" s="9"/>
      <c r="AA83" s="29">
        <v>40</v>
      </c>
      <c r="AB83" s="9"/>
      <c r="AC83" s="22">
        <v>21</v>
      </c>
      <c r="AD83" s="9"/>
      <c r="AE83" s="22">
        <v>21</v>
      </c>
      <c r="AF83" s="9"/>
      <c r="AG83" s="22">
        <v>21</v>
      </c>
      <c r="AH83" s="9"/>
      <c r="AI83" s="22">
        <v>22</v>
      </c>
      <c r="AJ83" s="9"/>
      <c r="AK83" s="16">
        <f>IF(OR(AND(C83&gt;=31,C83&lt;40),AND(I83&gt;=31,I83&lt;40),AND(O83&gt;=31,O83&lt;40),AND(U83&gt;=31,U83&lt;40),AND(AA83&gt;=31,AA83&lt;40)),IF(AND(OR(COUNTIF(C83:AJ83,"=31")&gt;=1,COUNTIF(C83:AJ83,"=32")&gt;=1,COUNTIF(C83:AJ83,"=33")&gt;=1,COUNTIF(C83:AJ83,"=34")&gt;=1,COUNTIF(C83:AJ83,"=35")&gt;=1,COUNTIF(C83:AJ83,"=36")&gt;=1 ),COUNTIF(C83:AJ83,"")=0,COUNTIF(C83:AJ83," ")=0,COUNTIF(C83:AJ83,"F")=1),CONCATENATE(SUM(EXTRACTNUMBER(C83),EXTRACTNUMBER(E83),
EXTRACTNUMBER(G83),EXTRACTNUMBER(I83),
EXTRACTNUMBER(K83),EXTRACTNUMBER(M83),
EXTRACTNUMBER(O83),EXTRACTNUMBER(Q83),
EXTRACTNUMBER(S83),EXTRACTNUMBER(U83),
EXTRACTNUMBER(W83),EXTRACTNUMBER(Y83),EXTRACTNUMBER(AA83),
EXTRACTNUMBER(AC83),EXTRACTNUMBER(AE83),EXTRACTNUMBER(AG83),EXTRACTNUMBER(AI83)),"*"),IF(AND(COUNTIF(C83:AJ83,"=34")&gt;=1,COUNTIF(C83:AJ83,"=35")&gt;=1,COUNTIF(C83:AJ83,"f")=2,COUNTIF(C83:AJ83,"")=0,COUNTIF(C83:AJ83," ")=0),CONCATENATE(SUM(EXTRACTNUMBER(C83),EXTRACTNUMBER(E83),
EXTRACTNUMBER(G83),EXTRACTNUMBER(I83),
EXTRACTNUMBER(K83),EXTRACTNUMBER(M83),
EXTRACTNUMBER(O83),EXTRACTNUMBER(Q83),
EXTRACTNUMBER(S83),EXTRACTNUMBER(U83),
EXTRACTNUMBER(W83),EXTRACTNUMBER(Y83),EXTRACTNUMBER(AA83),
EXTRACTNUMBER(AC83),EXTRACTNUMBER(AE83),EXTRACTNUMBER(AG83),EXTRACTNUMBER(AI83)),"*"),IF(AND(COUNTIF(C83:AJ83,"=36")&gt;=2,COUNTIF(C83:AJ83,"f")=2,COUNTIF(C83:AJ83,"")=0,COUNTIF(C83:AJ83," ")=0),CONCATENATE(SUM(EXTRACTNUMBER(C83),EXTRACTNUMBER(E83),
EXTRACTNUMBER(G83),EXTRACTNUMBER(I83),
EXTRACTNUMBER(K83),EXTRACTNUMBER(M83),
EXTRACTNUMBER(O83),EXTRACTNUMBER(Q83),
EXTRACTNUMBER(S83),EXTRACTNUMBER(U83),
EXTRACTNUMBER(W83),EXTRACTNUMBER(Y83),EXTRACTNUMBER(AA83),
EXTRACTNUMBER(AC83),EXTRACTNUMBER(AE83),EXTRACTNUMBER(AG83),EXTRACTNUMBER(AI83)),"*"),SUM(EXTRACTNUMBER(C83),EXTRACTNUMBER(E83),
EXTRACTNUMBER(G83),EXTRACTNUMBER(I83),
EXTRACTNUMBER(K83),EXTRACTNUMBER(M83),
EXTRACTNUMBER(O83),EXTRACTNUMBER(Q83),
EXTRACTNUMBER(S83),EXTRACTNUMBER(U83),
EXTRACTNUMBER(W83),EXTRACTNUMBER(Y83),EXTRACTNUMBER(AA83),
EXTRACTNUMBER(AC83),EXTRACTNUMBER(AE83),EXTRACTNUMBER(AG83),EXTRACTNUMBER(AI83))))),SUM(EXTRACTNUMBER(C83),EXTRACTNUMBER(E83),
EXTRACTNUMBER(G83),EXTRACTNUMBER(I83),
EXTRACTNUMBER(K83),EXTRACTNUMBER(M83),
EXTRACTNUMBER(O83),EXTRACTNUMBER(Q83),
EXTRACTNUMBER(S83),EXTRACTNUMBER(U83),
EXTRACTNUMBER(W83),EXTRACTNUMBER(Y83),EXTRACTNUMBER(AA83),
EXTRACTNUMBER(AC83),EXTRACTNUMBER(AE83),EXTRACTNUMBER(AG83),EXTRACTNUMBER(AI83)))</f>
        <v>554</v>
      </c>
      <c r="AL83" s="72" t="s">
        <v>565</v>
      </c>
      <c r="AM83" s="11">
        <f t="shared" ref="AM83" si="19">IF(IFERROR(FIND("x",AL83),0),SUM(EXTRACTNUMBER(AK83),EXTRACTNUMBER(AL83)),IF(AND(SUM(EXTRACTNUMBER(AK83),EXTRACTNUMBER(AL83))&gt;1009,        SUM(EXTRACTNUMBER(AK83),EXTRACTNUMBER(AL83))&lt;1020),
CONCATENATE(SUM(EXTRACTNUMBER(AK83),EXTRACTNUMBER(AL83)),"@",1020-SUM(EXTRACTNUMBER(AK83),EXTRACTNUMBER(AL83))),
IF(AND(SUM(EXTRACTNUMBER(AK83),EXTRACTNUMBER(AL83))&gt;839,   SUM(EXTRACTNUMBER(AK83),EXTRACTNUMBER(AL83))&lt;850),CONCATENATE(SUM(EXTRACTNUMBER(AK83),EXTRACTNUMBER(AL83)),"@",850-SUM(EXTRACTNUMBER(AK83),EXTRACTNUMBER(AL83))),
IF(AND(SUM(EXTRACTNUMBER(AK83),EXTRACTNUMBER(AL83))&gt;669,        SUM(EXTRACTNUMBER(AK83),EXTRACTNUMBER(AL83))&lt;680),
CONCATENATE(SUM(EXTRACTNUMBER(AK83),EXTRACTNUMBER(AL83)),"@",680-SUM(EXTRACTNUMBER(AK83),EXTRACTNUMBER(AL83))),
SUM(EXTRACTNUMBER(AK83),EXTRACTNUMBER(AL83))))))</f>
        <v>1062</v>
      </c>
      <c r="AN83" s="11" t="str">
        <f t="shared" ref="AN83" si="20">IF(AND(COUNTIF(C83:AJ83,"AB")&lt;17-COUNTIF(C83:AJ83," "),
COUNTIF(C83:AJ83,"AB")&lt;&gt;0),"FAIL",
IF(COUNTIF(C83:AJ83,"AB")=17-COUNTIF(C83:AJ83," "),"ABSENT",
IF(AND(COUNTIF(C83:AJ83,"AB")=0,COUNTIF(C83:AJ83,"F")=0),"PASS","FAIL")))</f>
        <v>PASS</v>
      </c>
      <c r="AO83" s="11" t="str">
        <f t="shared" ref="AO83" si="21">IF(AN83="ABSENT","AB",IF(AN83="FAIL","--",
IF(AL83=0,"RS 5",
IF(AND(SUM(EXTRACTNUMBER(AK83),EXTRACTNUMBER(AL83))&gt;=1010,
        NOT(IFERROR(FIND("x",AK83),0)),
        NOT(IFERROR(FIND("x",AL83),0))),"I",
IF(AND(SUM(EXTRACTNUMBER(AK83),EXTRACTNUMBER(AL83))&gt;=850,
      SUM(EXTRACTNUMBER(AK83),EXTRACTNUMBER(AL83))&lt;1010,
      NOT(IFERROR(FIND("x",AK83),0)),
      NOT(IFERROR(FIND("x",AL83),0))),"II",
IF(OR(AND(SUM(EXTRACTNUMBER(AK83),EXTRACTNUMBER(AL83))&lt;850,
SUM(EXTRACTNUMBER(AK83),EXTRACTNUMBER(AL83))&gt;=670),
IFERROR(FIND("x",AK83),0),IFERROR(FIND("x",AL83),0)),"P","--"))))))</f>
        <v>P</v>
      </c>
      <c r="AP83" s="1" t="str">
        <f t="shared" ref="AP83" si="22">spellnumber(AM83)</f>
        <v xml:space="preserve">One Thousand Sixty Two </v>
      </c>
    </row>
    <row r="84" spans="1:42" ht="15.95" customHeight="1">
      <c r="A84" s="67">
        <v>136283</v>
      </c>
      <c r="B84" s="21" t="s">
        <v>106</v>
      </c>
      <c r="C84" s="24">
        <v>52</v>
      </c>
      <c r="D84" s="9"/>
      <c r="E84" s="22">
        <v>23</v>
      </c>
      <c r="F84" s="9"/>
      <c r="G84" s="22">
        <v>46</v>
      </c>
      <c r="H84" s="9"/>
      <c r="I84" s="29">
        <v>56</v>
      </c>
      <c r="J84" s="9"/>
      <c r="K84" s="22">
        <v>23</v>
      </c>
      <c r="L84" s="9"/>
      <c r="M84" s="22">
        <v>23</v>
      </c>
      <c r="N84" s="9"/>
      <c r="O84" s="29">
        <v>61</v>
      </c>
      <c r="P84" s="9"/>
      <c r="Q84" s="22">
        <v>23</v>
      </c>
      <c r="R84" s="9"/>
      <c r="S84" s="22">
        <v>46</v>
      </c>
      <c r="T84" s="9"/>
      <c r="U84" s="29">
        <v>52</v>
      </c>
      <c r="V84" s="9"/>
      <c r="W84" s="22">
        <v>23</v>
      </c>
      <c r="X84" s="9"/>
      <c r="Y84" s="22">
        <v>22</v>
      </c>
      <c r="Z84" s="9"/>
      <c r="AA84" s="29">
        <v>53</v>
      </c>
      <c r="AB84" s="9"/>
      <c r="AC84" s="22">
        <v>23</v>
      </c>
      <c r="AD84" s="9"/>
      <c r="AE84" s="22">
        <v>21</v>
      </c>
      <c r="AF84" s="9"/>
      <c r="AG84" s="22">
        <v>23</v>
      </c>
      <c r="AH84" s="9"/>
      <c r="AI84" s="22">
        <v>22</v>
      </c>
      <c r="AJ84" s="9"/>
      <c r="AK84" s="16">
        <f>IF(OR(AND(C84&gt;=31,C84&lt;40),AND(I84&gt;=31,I84&lt;40),AND(O84&gt;=31,O84&lt;40),AND(U84&gt;=31,U84&lt;40),AND(AA84&gt;=31,AA84&lt;40)),IF(AND(OR(COUNTIF(C84:AJ84,"=31")&gt;=1,COUNTIF(C84:AJ84,"=32")&gt;=1,COUNTIF(C84:AJ84,"=33")&gt;=1,COUNTIF(C84:AJ84,"=34")&gt;=1,COUNTIF(C84:AJ84,"=35")&gt;=1,COUNTIF(C84:AJ84,"=36")&gt;=1 ),COUNTIF(C84:AJ84,"")=0,COUNTIF(C84:AJ84," ")=0,COUNTIF(C84:AJ84,"F")=1),CONCATENATE(SUM(EXTRACTNUMBER(C84),EXTRACTNUMBER(E84),
EXTRACTNUMBER(G84),EXTRACTNUMBER(I84),
EXTRACTNUMBER(K84),EXTRACTNUMBER(M84),
EXTRACTNUMBER(O84),EXTRACTNUMBER(Q84),
EXTRACTNUMBER(S84),EXTRACTNUMBER(U84),
EXTRACTNUMBER(W84),EXTRACTNUMBER(Y84),EXTRACTNUMBER(AA84),
EXTRACTNUMBER(AC84),EXTRACTNUMBER(AE84),EXTRACTNUMBER(AG84),EXTRACTNUMBER(AI84)),"*"),IF(AND(COUNTIF(C84:AJ84,"=34")&gt;=1,COUNTIF(C84:AJ84,"=35")&gt;=1,COUNTIF(C84:AJ84,"f")=2,COUNTIF(C84:AJ84,"")=0,COUNTIF(C84:AJ84," ")=0),CONCATENATE(SUM(EXTRACTNUMBER(C84),EXTRACTNUMBER(E84),
EXTRACTNUMBER(G84),EXTRACTNUMBER(I84),
EXTRACTNUMBER(K84),EXTRACTNUMBER(M84),
EXTRACTNUMBER(O84),EXTRACTNUMBER(Q84),
EXTRACTNUMBER(S84),EXTRACTNUMBER(U84),
EXTRACTNUMBER(W84),EXTRACTNUMBER(Y84),EXTRACTNUMBER(AA84),
EXTRACTNUMBER(AC84),EXTRACTNUMBER(AE84),EXTRACTNUMBER(AG84),EXTRACTNUMBER(AI84)),"*"),IF(AND(COUNTIF(C84:AJ84,"=36")&gt;=2,COUNTIF(C84:AJ84,"f")=2,COUNTIF(C84:AJ84,"")=0,COUNTIF(C84:AJ84," ")=0),CONCATENATE(SUM(EXTRACTNUMBER(C84),EXTRACTNUMBER(E84),
EXTRACTNUMBER(G84),EXTRACTNUMBER(I84),
EXTRACTNUMBER(K84),EXTRACTNUMBER(M84),
EXTRACTNUMBER(O84),EXTRACTNUMBER(Q84),
EXTRACTNUMBER(S84),EXTRACTNUMBER(U84),
EXTRACTNUMBER(W84),EXTRACTNUMBER(Y84),EXTRACTNUMBER(AA84),
EXTRACTNUMBER(AC84),EXTRACTNUMBER(AE84),EXTRACTNUMBER(AG84),EXTRACTNUMBER(AI84)),"*"),SUM(EXTRACTNUMBER(C84),EXTRACTNUMBER(E84),
EXTRACTNUMBER(G84),EXTRACTNUMBER(I84),
EXTRACTNUMBER(K84),EXTRACTNUMBER(M84),
EXTRACTNUMBER(O84),EXTRACTNUMBER(Q84),
EXTRACTNUMBER(S84),EXTRACTNUMBER(U84),
EXTRACTNUMBER(W84),EXTRACTNUMBER(Y84),EXTRACTNUMBER(AA84),
EXTRACTNUMBER(AC84),EXTRACTNUMBER(AE84),EXTRACTNUMBER(AG84),EXTRACTNUMBER(AI84))))),SUM(EXTRACTNUMBER(C84),EXTRACTNUMBER(E84),
EXTRACTNUMBER(G84),EXTRACTNUMBER(I84),
EXTRACTNUMBER(K84),EXTRACTNUMBER(M84),
EXTRACTNUMBER(O84),EXTRACTNUMBER(Q84),
EXTRACTNUMBER(S84),EXTRACTNUMBER(U84),
EXTRACTNUMBER(W84),EXTRACTNUMBER(Y84),EXTRACTNUMBER(AA84),
EXTRACTNUMBER(AC84),EXTRACTNUMBER(AE84),EXTRACTNUMBER(AG84),EXTRACTNUMBER(AI84)))</f>
        <v>592</v>
      </c>
      <c r="AL84" s="72" t="s">
        <v>236</v>
      </c>
      <c r="AM84" s="11">
        <f t="shared" ref="AM84" si="23">IF(IFERROR(FIND("x",AL84),0),SUM(EXTRACTNUMBER(AK84),EXTRACTNUMBER(AL84)),IF(AND(SUM(EXTRACTNUMBER(AK84),EXTRACTNUMBER(AL84))&gt;1009,        SUM(EXTRACTNUMBER(AK84),EXTRACTNUMBER(AL84))&lt;1020),
CONCATENATE(SUM(EXTRACTNUMBER(AK84),EXTRACTNUMBER(AL84)),"@",1020-SUM(EXTRACTNUMBER(AK84),EXTRACTNUMBER(AL84))),
IF(AND(SUM(EXTRACTNUMBER(AK84),EXTRACTNUMBER(AL84))&gt;839,   SUM(EXTRACTNUMBER(AK84),EXTRACTNUMBER(AL84))&lt;850),CONCATENATE(SUM(EXTRACTNUMBER(AK84),EXTRACTNUMBER(AL84)),"@",850-SUM(EXTRACTNUMBER(AK84),EXTRACTNUMBER(AL84))),
IF(AND(SUM(EXTRACTNUMBER(AK84),EXTRACTNUMBER(AL84))&gt;669,        SUM(EXTRACTNUMBER(AK84),EXTRACTNUMBER(AL84))&lt;680),
CONCATENATE(SUM(EXTRACTNUMBER(AK84),EXTRACTNUMBER(AL84)),"@",680-SUM(EXTRACTNUMBER(AK84),EXTRACTNUMBER(AL84))),
SUM(EXTRACTNUMBER(AK84),EXTRACTNUMBER(AL84))))))</f>
        <v>1105</v>
      </c>
      <c r="AN84" s="11" t="str">
        <f t="shared" ref="AN84" si="24">IF(AND(COUNTIF(C84:AJ84,"AB")&lt;17-COUNTIF(C84:AJ84," "),
COUNTIF(C84:AJ84,"AB")&lt;&gt;0),"FAIL",
IF(COUNTIF(C84:AJ84,"AB")=17-COUNTIF(C84:AJ84," "),"ABSENT",
IF(AND(COUNTIF(C84:AJ84,"AB")=0,COUNTIF(C84:AJ84,"F")=0),"PASS","FAIL")))</f>
        <v>PASS</v>
      </c>
      <c r="AO84" s="11" t="str">
        <f t="shared" ref="AO84" si="25">IF(AN84="ABSENT","AB",IF(AN84="FAIL","--",
IF(AL84=0,"RS 5",
IF(AND(SUM(EXTRACTNUMBER(AK84),EXTRACTNUMBER(AL84))&gt;=1010,
        NOT(IFERROR(FIND("x",AK84),0)),
        NOT(IFERROR(FIND("x",AL84),0))),"I",
IF(AND(SUM(EXTRACTNUMBER(AK84),EXTRACTNUMBER(AL84))&gt;=850,
      SUM(EXTRACTNUMBER(AK84),EXTRACTNUMBER(AL84))&lt;1010,
      NOT(IFERROR(FIND("x",AK84),0)),
      NOT(IFERROR(FIND("x",AL84),0))),"II",
IF(OR(AND(SUM(EXTRACTNUMBER(AK84),EXTRACTNUMBER(AL84))&lt;850,
SUM(EXTRACTNUMBER(AK84),EXTRACTNUMBER(AL84))&gt;=670),
IFERROR(FIND("x",AK84),0),IFERROR(FIND("x",AL84),0)),"P","--"))))))</f>
        <v>I</v>
      </c>
      <c r="AP84" s="1" t="str">
        <f t="shared" ref="AP84" si="26">spellnumber(AM84)</f>
        <v xml:space="preserve">One Thousand One Hundred Five </v>
      </c>
    </row>
    <row r="85" spans="1:42" ht="15.95" customHeight="1">
      <c r="A85" s="74">
        <v>136284</v>
      </c>
      <c r="B85" s="56" t="s">
        <v>107</v>
      </c>
      <c r="C85" s="77">
        <v>41</v>
      </c>
      <c r="D85" s="78" t="s">
        <v>394</v>
      </c>
      <c r="E85" s="79">
        <v>22</v>
      </c>
      <c r="F85" s="78" t="s">
        <v>394</v>
      </c>
      <c r="G85" s="79">
        <v>42</v>
      </c>
      <c r="H85" s="78" t="s">
        <v>394</v>
      </c>
      <c r="I85" s="79">
        <v>70</v>
      </c>
      <c r="J85" s="78" t="s">
        <v>394</v>
      </c>
      <c r="K85" s="79">
        <v>21</v>
      </c>
      <c r="L85" s="78" t="s">
        <v>394</v>
      </c>
      <c r="M85" s="79">
        <v>21</v>
      </c>
      <c r="N85" s="78" t="s">
        <v>394</v>
      </c>
      <c r="O85" s="79">
        <v>66</v>
      </c>
      <c r="P85" s="78" t="s">
        <v>394</v>
      </c>
      <c r="Q85" s="79">
        <v>23</v>
      </c>
      <c r="R85" s="78" t="s">
        <v>394</v>
      </c>
      <c r="S85" s="79">
        <v>42</v>
      </c>
      <c r="T85" s="78" t="s">
        <v>394</v>
      </c>
      <c r="U85" s="79">
        <v>58</v>
      </c>
      <c r="V85" s="78" t="s">
        <v>394</v>
      </c>
      <c r="W85" s="79">
        <v>23</v>
      </c>
      <c r="X85" s="78" t="s">
        <v>394</v>
      </c>
      <c r="Y85" s="79">
        <v>22</v>
      </c>
      <c r="Z85" s="78" t="s">
        <v>394</v>
      </c>
      <c r="AA85" s="79">
        <v>55</v>
      </c>
      <c r="AB85" s="78" t="s">
        <v>394</v>
      </c>
      <c r="AC85" s="79">
        <v>23</v>
      </c>
      <c r="AD85" s="78" t="s">
        <v>394</v>
      </c>
      <c r="AE85" s="79">
        <v>22</v>
      </c>
      <c r="AF85" s="78" t="s">
        <v>394</v>
      </c>
      <c r="AG85" s="79">
        <v>23</v>
      </c>
      <c r="AH85" s="78" t="s">
        <v>394</v>
      </c>
      <c r="AI85" s="79">
        <v>23</v>
      </c>
      <c r="AJ85" s="78" t="s">
        <v>394</v>
      </c>
      <c r="AK85" s="80">
        <v>597</v>
      </c>
      <c r="AL85" s="81" t="s">
        <v>275</v>
      </c>
      <c r="AM85" s="80">
        <v>1140</v>
      </c>
      <c r="AN85" s="57" t="s">
        <v>395</v>
      </c>
      <c r="AO85" s="93" t="s">
        <v>371</v>
      </c>
      <c r="AP85" s="58" t="s">
        <v>468</v>
      </c>
    </row>
    <row r="86" spans="1:42" ht="15.95" customHeight="1">
      <c r="A86" s="74">
        <v>136285</v>
      </c>
      <c r="B86" s="56" t="s">
        <v>108</v>
      </c>
      <c r="C86" s="77">
        <v>63</v>
      </c>
      <c r="D86" s="78" t="s">
        <v>394</v>
      </c>
      <c r="E86" s="79">
        <v>23</v>
      </c>
      <c r="F86" s="78" t="s">
        <v>394</v>
      </c>
      <c r="G86" s="79">
        <v>44</v>
      </c>
      <c r="H86" s="78" t="s">
        <v>394</v>
      </c>
      <c r="I86" s="79">
        <v>58</v>
      </c>
      <c r="J86" s="78" t="s">
        <v>394</v>
      </c>
      <c r="K86" s="79">
        <v>23</v>
      </c>
      <c r="L86" s="78" t="s">
        <v>394</v>
      </c>
      <c r="M86" s="79">
        <v>22</v>
      </c>
      <c r="N86" s="78" t="s">
        <v>394</v>
      </c>
      <c r="O86" s="79">
        <v>65</v>
      </c>
      <c r="P86" s="78" t="s">
        <v>394</v>
      </c>
      <c r="Q86" s="79">
        <v>23</v>
      </c>
      <c r="R86" s="78" t="s">
        <v>394</v>
      </c>
      <c r="S86" s="79">
        <v>44</v>
      </c>
      <c r="T86" s="78" t="s">
        <v>394</v>
      </c>
      <c r="U86" s="79">
        <v>56</v>
      </c>
      <c r="V86" s="78" t="s">
        <v>394</v>
      </c>
      <c r="W86" s="79">
        <v>21</v>
      </c>
      <c r="X86" s="78" t="s">
        <v>394</v>
      </c>
      <c r="Y86" s="79">
        <v>21</v>
      </c>
      <c r="Z86" s="78" t="s">
        <v>394</v>
      </c>
      <c r="AA86" s="79">
        <v>54</v>
      </c>
      <c r="AB86" s="78" t="s">
        <v>394</v>
      </c>
      <c r="AC86" s="79">
        <v>23</v>
      </c>
      <c r="AD86" s="78" t="s">
        <v>394</v>
      </c>
      <c r="AE86" s="79">
        <v>21</v>
      </c>
      <c r="AF86" s="78" t="s">
        <v>394</v>
      </c>
      <c r="AG86" s="79">
        <v>21</v>
      </c>
      <c r="AH86" s="78" t="s">
        <v>394</v>
      </c>
      <c r="AI86" s="79">
        <v>24</v>
      </c>
      <c r="AJ86" s="78" t="s">
        <v>394</v>
      </c>
      <c r="AK86" s="80">
        <v>606</v>
      </c>
      <c r="AL86" s="81" t="s">
        <v>276</v>
      </c>
      <c r="AM86" s="80">
        <v>1206</v>
      </c>
      <c r="AN86" s="57" t="s">
        <v>395</v>
      </c>
      <c r="AO86" s="93" t="s">
        <v>371</v>
      </c>
      <c r="AP86" s="58" t="s">
        <v>469</v>
      </c>
    </row>
    <row r="87" spans="1:42" ht="15.95" customHeight="1">
      <c r="A87" s="74">
        <v>136286</v>
      </c>
      <c r="B87" s="56" t="s">
        <v>109</v>
      </c>
      <c r="C87" s="77">
        <v>47</v>
      </c>
      <c r="D87" s="78" t="s">
        <v>394</v>
      </c>
      <c r="E87" s="79">
        <v>20</v>
      </c>
      <c r="F87" s="78" t="s">
        <v>394</v>
      </c>
      <c r="G87" s="79">
        <v>42</v>
      </c>
      <c r="H87" s="78" t="s">
        <v>394</v>
      </c>
      <c r="I87" s="79">
        <v>57</v>
      </c>
      <c r="J87" s="78" t="s">
        <v>394</v>
      </c>
      <c r="K87" s="79">
        <v>20</v>
      </c>
      <c r="L87" s="78" t="s">
        <v>394</v>
      </c>
      <c r="M87" s="79">
        <v>21</v>
      </c>
      <c r="N87" s="78" t="s">
        <v>394</v>
      </c>
      <c r="O87" s="79">
        <v>68</v>
      </c>
      <c r="P87" s="78" t="s">
        <v>394</v>
      </c>
      <c r="Q87" s="79">
        <v>21</v>
      </c>
      <c r="R87" s="78" t="s">
        <v>394</v>
      </c>
      <c r="S87" s="79">
        <v>42</v>
      </c>
      <c r="T87" s="78" t="s">
        <v>394</v>
      </c>
      <c r="U87" s="79">
        <v>56</v>
      </c>
      <c r="V87" s="78" t="s">
        <v>394</v>
      </c>
      <c r="W87" s="79">
        <v>21</v>
      </c>
      <c r="X87" s="78" t="s">
        <v>394</v>
      </c>
      <c r="Y87" s="79">
        <v>21</v>
      </c>
      <c r="Z87" s="78" t="s">
        <v>394</v>
      </c>
      <c r="AA87" s="79">
        <v>59</v>
      </c>
      <c r="AB87" s="78" t="s">
        <v>394</v>
      </c>
      <c r="AC87" s="79">
        <v>21</v>
      </c>
      <c r="AD87" s="78" t="s">
        <v>394</v>
      </c>
      <c r="AE87" s="79">
        <v>20</v>
      </c>
      <c r="AF87" s="78" t="s">
        <v>394</v>
      </c>
      <c r="AG87" s="79">
        <v>21</v>
      </c>
      <c r="AH87" s="78" t="s">
        <v>394</v>
      </c>
      <c r="AI87" s="79">
        <v>22</v>
      </c>
      <c r="AJ87" s="78" t="s">
        <v>394</v>
      </c>
      <c r="AK87" s="80">
        <v>579</v>
      </c>
      <c r="AL87" s="81" t="s">
        <v>277</v>
      </c>
      <c r="AM87" s="80">
        <v>1096</v>
      </c>
      <c r="AN87" s="57" t="s">
        <v>395</v>
      </c>
      <c r="AO87" s="93" t="s">
        <v>371</v>
      </c>
      <c r="AP87" s="58" t="s">
        <v>434</v>
      </c>
    </row>
    <row r="88" spans="1:42" ht="15.95" customHeight="1">
      <c r="A88" s="74">
        <v>136287</v>
      </c>
      <c r="B88" s="56" t="s">
        <v>110</v>
      </c>
      <c r="C88" s="77">
        <v>62</v>
      </c>
      <c r="D88" s="78" t="s">
        <v>394</v>
      </c>
      <c r="E88" s="79">
        <v>23</v>
      </c>
      <c r="F88" s="78" t="s">
        <v>394</v>
      </c>
      <c r="G88" s="79">
        <v>46</v>
      </c>
      <c r="H88" s="78" t="s">
        <v>394</v>
      </c>
      <c r="I88" s="79">
        <v>52</v>
      </c>
      <c r="J88" s="78" t="s">
        <v>394</v>
      </c>
      <c r="K88" s="79">
        <v>23</v>
      </c>
      <c r="L88" s="78" t="s">
        <v>394</v>
      </c>
      <c r="M88" s="79">
        <v>23</v>
      </c>
      <c r="N88" s="78" t="s">
        <v>394</v>
      </c>
      <c r="O88" s="79">
        <v>64</v>
      </c>
      <c r="P88" s="78" t="s">
        <v>394</v>
      </c>
      <c r="Q88" s="79">
        <v>23</v>
      </c>
      <c r="R88" s="78" t="s">
        <v>394</v>
      </c>
      <c r="S88" s="79">
        <v>46</v>
      </c>
      <c r="T88" s="78" t="s">
        <v>394</v>
      </c>
      <c r="U88" s="79">
        <v>48</v>
      </c>
      <c r="V88" s="78" t="s">
        <v>394</v>
      </c>
      <c r="W88" s="79">
        <v>23</v>
      </c>
      <c r="X88" s="78" t="s">
        <v>394</v>
      </c>
      <c r="Y88" s="79">
        <v>22</v>
      </c>
      <c r="Z88" s="78" t="s">
        <v>394</v>
      </c>
      <c r="AA88" s="79">
        <v>50</v>
      </c>
      <c r="AB88" s="78" t="s">
        <v>394</v>
      </c>
      <c r="AC88" s="79">
        <v>23</v>
      </c>
      <c r="AD88" s="78" t="s">
        <v>394</v>
      </c>
      <c r="AE88" s="79">
        <v>22</v>
      </c>
      <c r="AF88" s="78" t="s">
        <v>394</v>
      </c>
      <c r="AG88" s="79">
        <v>23</v>
      </c>
      <c r="AH88" s="78" t="s">
        <v>394</v>
      </c>
      <c r="AI88" s="79">
        <v>23</v>
      </c>
      <c r="AJ88" s="78" t="s">
        <v>394</v>
      </c>
      <c r="AK88" s="80">
        <v>596</v>
      </c>
      <c r="AL88" s="81" t="s">
        <v>278</v>
      </c>
      <c r="AM88" s="80">
        <v>1172</v>
      </c>
      <c r="AN88" s="57" t="s">
        <v>395</v>
      </c>
      <c r="AO88" s="93" t="s">
        <v>371</v>
      </c>
      <c r="AP88" s="58" t="s">
        <v>470</v>
      </c>
    </row>
    <row r="89" spans="1:42" ht="15.95" customHeight="1">
      <c r="A89" s="74">
        <v>136288</v>
      </c>
      <c r="B89" s="56" t="s">
        <v>111</v>
      </c>
      <c r="C89" s="77">
        <v>40</v>
      </c>
      <c r="D89" s="78" t="s">
        <v>394</v>
      </c>
      <c r="E89" s="79">
        <v>22</v>
      </c>
      <c r="F89" s="78" t="s">
        <v>394</v>
      </c>
      <c r="G89" s="79">
        <v>44</v>
      </c>
      <c r="H89" s="78" t="s">
        <v>394</v>
      </c>
      <c r="I89" s="79">
        <v>57</v>
      </c>
      <c r="J89" s="78" t="s">
        <v>394</v>
      </c>
      <c r="K89" s="79">
        <v>23</v>
      </c>
      <c r="L89" s="78" t="s">
        <v>394</v>
      </c>
      <c r="M89" s="79">
        <v>22</v>
      </c>
      <c r="N89" s="78" t="s">
        <v>394</v>
      </c>
      <c r="O89" s="79">
        <v>65</v>
      </c>
      <c r="P89" s="78" t="s">
        <v>394</v>
      </c>
      <c r="Q89" s="79">
        <v>23</v>
      </c>
      <c r="R89" s="78" t="s">
        <v>394</v>
      </c>
      <c r="S89" s="79">
        <v>44</v>
      </c>
      <c r="T89" s="78" t="s">
        <v>394</v>
      </c>
      <c r="U89" s="79">
        <v>61</v>
      </c>
      <c r="V89" s="78" t="s">
        <v>394</v>
      </c>
      <c r="W89" s="79">
        <v>23</v>
      </c>
      <c r="X89" s="78" t="s">
        <v>394</v>
      </c>
      <c r="Y89" s="79">
        <v>22</v>
      </c>
      <c r="Z89" s="78" t="s">
        <v>394</v>
      </c>
      <c r="AA89" s="79">
        <v>57</v>
      </c>
      <c r="AB89" s="78" t="s">
        <v>394</v>
      </c>
      <c r="AC89" s="79">
        <v>23</v>
      </c>
      <c r="AD89" s="78" t="s">
        <v>394</v>
      </c>
      <c r="AE89" s="79">
        <v>22</v>
      </c>
      <c r="AF89" s="78" t="s">
        <v>394</v>
      </c>
      <c r="AG89" s="79">
        <v>23</v>
      </c>
      <c r="AH89" s="78" t="s">
        <v>394</v>
      </c>
      <c r="AI89" s="79">
        <v>23</v>
      </c>
      <c r="AJ89" s="78" t="s">
        <v>394</v>
      </c>
      <c r="AK89" s="80">
        <v>594</v>
      </c>
      <c r="AL89" s="81" t="s">
        <v>246</v>
      </c>
      <c r="AM89" s="80">
        <v>1131</v>
      </c>
      <c r="AN89" s="57" t="s">
        <v>395</v>
      </c>
      <c r="AO89" s="93" t="s">
        <v>371</v>
      </c>
      <c r="AP89" s="58" t="s">
        <v>542</v>
      </c>
    </row>
    <row r="90" spans="1:42" ht="15.95" customHeight="1">
      <c r="A90" s="74">
        <v>136289</v>
      </c>
      <c r="B90" s="56" t="s">
        <v>112</v>
      </c>
      <c r="C90" s="77">
        <v>40</v>
      </c>
      <c r="D90" s="78" t="s">
        <v>394</v>
      </c>
      <c r="E90" s="79">
        <v>23</v>
      </c>
      <c r="F90" s="78" t="s">
        <v>394</v>
      </c>
      <c r="G90" s="79">
        <v>42</v>
      </c>
      <c r="H90" s="78" t="s">
        <v>394</v>
      </c>
      <c r="I90" s="79">
        <v>53</v>
      </c>
      <c r="J90" s="78" t="s">
        <v>394</v>
      </c>
      <c r="K90" s="79">
        <v>23</v>
      </c>
      <c r="L90" s="78" t="s">
        <v>394</v>
      </c>
      <c r="M90" s="79">
        <v>21</v>
      </c>
      <c r="N90" s="78" t="s">
        <v>394</v>
      </c>
      <c r="O90" s="79">
        <v>67</v>
      </c>
      <c r="P90" s="78" t="s">
        <v>394</v>
      </c>
      <c r="Q90" s="79">
        <v>23</v>
      </c>
      <c r="R90" s="78" t="s">
        <v>394</v>
      </c>
      <c r="S90" s="79">
        <v>42</v>
      </c>
      <c r="T90" s="78" t="s">
        <v>394</v>
      </c>
      <c r="U90" s="79">
        <v>47</v>
      </c>
      <c r="V90" s="78" t="s">
        <v>394</v>
      </c>
      <c r="W90" s="79">
        <v>23</v>
      </c>
      <c r="X90" s="78" t="s">
        <v>394</v>
      </c>
      <c r="Y90" s="79">
        <v>23</v>
      </c>
      <c r="Z90" s="78" t="s">
        <v>394</v>
      </c>
      <c r="AA90" s="79">
        <v>59</v>
      </c>
      <c r="AB90" s="78" t="s">
        <v>394</v>
      </c>
      <c r="AC90" s="79">
        <v>23</v>
      </c>
      <c r="AD90" s="78" t="s">
        <v>394</v>
      </c>
      <c r="AE90" s="79">
        <v>20</v>
      </c>
      <c r="AF90" s="78" t="s">
        <v>394</v>
      </c>
      <c r="AG90" s="79">
        <v>23</v>
      </c>
      <c r="AH90" s="78" t="s">
        <v>394</v>
      </c>
      <c r="AI90" s="79">
        <v>22</v>
      </c>
      <c r="AJ90" s="78" t="s">
        <v>394</v>
      </c>
      <c r="AK90" s="80">
        <v>574</v>
      </c>
      <c r="AL90" s="81" t="s">
        <v>279</v>
      </c>
      <c r="AM90" s="80">
        <v>1128</v>
      </c>
      <c r="AN90" s="57" t="s">
        <v>395</v>
      </c>
      <c r="AO90" s="93" t="s">
        <v>371</v>
      </c>
      <c r="AP90" s="58" t="s">
        <v>471</v>
      </c>
    </row>
    <row r="91" spans="1:42" ht="15.95" customHeight="1">
      <c r="A91" s="74">
        <v>136290</v>
      </c>
      <c r="B91" s="56" t="s">
        <v>113</v>
      </c>
      <c r="C91" s="77">
        <v>40</v>
      </c>
      <c r="D91" s="78" t="s">
        <v>394</v>
      </c>
      <c r="E91" s="79">
        <v>23</v>
      </c>
      <c r="F91" s="78" t="s">
        <v>394</v>
      </c>
      <c r="G91" s="79">
        <v>46</v>
      </c>
      <c r="H91" s="78" t="s">
        <v>394</v>
      </c>
      <c r="I91" s="79">
        <v>61</v>
      </c>
      <c r="J91" s="78" t="s">
        <v>394</v>
      </c>
      <c r="K91" s="79">
        <v>23</v>
      </c>
      <c r="L91" s="78" t="s">
        <v>394</v>
      </c>
      <c r="M91" s="79">
        <v>23</v>
      </c>
      <c r="N91" s="78" t="s">
        <v>394</v>
      </c>
      <c r="O91" s="79">
        <v>50</v>
      </c>
      <c r="P91" s="78" t="s">
        <v>394</v>
      </c>
      <c r="Q91" s="79">
        <v>23</v>
      </c>
      <c r="R91" s="78" t="s">
        <v>394</v>
      </c>
      <c r="S91" s="79">
        <v>44</v>
      </c>
      <c r="T91" s="78" t="s">
        <v>394</v>
      </c>
      <c r="U91" s="79">
        <v>60</v>
      </c>
      <c r="V91" s="78" t="s">
        <v>394</v>
      </c>
      <c r="W91" s="79">
        <v>23</v>
      </c>
      <c r="X91" s="78" t="s">
        <v>394</v>
      </c>
      <c r="Y91" s="79">
        <v>22</v>
      </c>
      <c r="Z91" s="78" t="s">
        <v>394</v>
      </c>
      <c r="AA91" s="79">
        <v>41</v>
      </c>
      <c r="AB91" s="78" t="s">
        <v>394</v>
      </c>
      <c r="AC91" s="79">
        <v>23</v>
      </c>
      <c r="AD91" s="78" t="s">
        <v>394</v>
      </c>
      <c r="AE91" s="79">
        <v>22</v>
      </c>
      <c r="AF91" s="78" t="s">
        <v>394</v>
      </c>
      <c r="AG91" s="79">
        <v>22</v>
      </c>
      <c r="AH91" s="78" t="s">
        <v>394</v>
      </c>
      <c r="AI91" s="79">
        <v>22</v>
      </c>
      <c r="AJ91" s="78" t="s">
        <v>394</v>
      </c>
      <c r="AK91" s="80">
        <v>568</v>
      </c>
      <c r="AL91" s="81" t="s">
        <v>280</v>
      </c>
      <c r="AM91" s="80">
        <v>1063</v>
      </c>
      <c r="AN91" s="57" t="s">
        <v>395</v>
      </c>
      <c r="AO91" s="93" t="s">
        <v>371</v>
      </c>
      <c r="AP91" s="58" t="s">
        <v>545</v>
      </c>
    </row>
    <row r="92" spans="1:42" ht="15.95" customHeight="1">
      <c r="A92" s="74">
        <v>136291</v>
      </c>
      <c r="B92" s="56" t="s">
        <v>114</v>
      </c>
      <c r="C92" s="77">
        <v>42</v>
      </c>
      <c r="D92" s="78" t="s">
        <v>394</v>
      </c>
      <c r="E92" s="79">
        <v>22</v>
      </c>
      <c r="F92" s="78" t="s">
        <v>394</v>
      </c>
      <c r="G92" s="79">
        <v>42</v>
      </c>
      <c r="H92" s="78" t="s">
        <v>394</v>
      </c>
      <c r="I92" s="79">
        <v>56</v>
      </c>
      <c r="J92" s="78" t="s">
        <v>394</v>
      </c>
      <c r="K92" s="79">
        <v>22</v>
      </c>
      <c r="L92" s="78" t="s">
        <v>394</v>
      </c>
      <c r="M92" s="79">
        <v>21</v>
      </c>
      <c r="N92" s="78" t="s">
        <v>394</v>
      </c>
      <c r="O92" s="79">
        <v>65</v>
      </c>
      <c r="P92" s="78" t="s">
        <v>394</v>
      </c>
      <c r="Q92" s="79">
        <v>22</v>
      </c>
      <c r="R92" s="78" t="s">
        <v>394</v>
      </c>
      <c r="S92" s="79">
        <v>44</v>
      </c>
      <c r="T92" s="78" t="s">
        <v>394</v>
      </c>
      <c r="U92" s="79">
        <v>65</v>
      </c>
      <c r="V92" s="78" t="s">
        <v>394</v>
      </c>
      <c r="W92" s="79">
        <v>22</v>
      </c>
      <c r="X92" s="78" t="s">
        <v>394</v>
      </c>
      <c r="Y92" s="79">
        <v>21</v>
      </c>
      <c r="Z92" s="78" t="s">
        <v>394</v>
      </c>
      <c r="AA92" s="79">
        <v>56</v>
      </c>
      <c r="AB92" s="78" t="s">
        <v>394</v>
      </c>
      <c r="AC92" s="79">
        <v>22</v>
      </c>
      <c r="AD92" s="78" t="s">
        <v>394</v>
      </c>
      <c r="AE92" s="79">
        <v>20</v>
      </c>
      <c r="AF92" s="78" t="s">
        <v>394</v>
      </c>
      <c r="AG92" s="79">
        <v>22</v>
      </c>
      <c r="AH92" s="78" t="s">
        <v>394</v>
      </c>
      <c r="AI92" s="79">
        <v>22</v>
      </c>
      <c r="AJ92" s="78" t="s">
        <v>394</v>
      </c>
      <c r="AK92" s="80">
        <v>586</v>
      </c>
      <c r="AL92" s="81" t="s">
        <v>281</v>
      </c>
      <c r="AM92" s="80">
        <v>1107</v>
      </c>
      <c r="AN92" s="57" t="s">
        <v>395</v>
      </c>
      <c r="AO92" s="93" t="s">
        <v>371</v>
      </c>
      <c r="AP92" s="58" t="s">
        <v>472</v>
      </c>
    </row>
    <row r="93" spans="1:42" ht="15.95" customHeight="1">
      <c r="A93" s="74">
        <v>136292</v>
      </c>
      <c r="B93" s="56" t="s">
        <v>115</v>
      </c>
      <c r="C93" s="77">
        <v>70</v>
      </c>
      <c r="D93" s="78" t="s">
        <v>394</v>
      </c>
      <c r="E93" s="79">
        <v>22</v>
      </c>
      <c r="F93" s="78" t="s">
        <v>394</v>
      </c>
      <c r="G93" s="79">
        <v>42</v>
      </c>
      <c r="H93" s="78" t="s">
        <v>394</v>
      </c>
      <c r="I93" s="79">
        <v>65</v>
      </c>
      <c r="J93" s="78" t="s">
        <v>394</v>
      </c>
      <c r="K93" s="79">
        <v>22</v>
      </c>
      <c r="L93" s="78" t="s">
        <v>394</v>
      </c>
      <c r="M93" s="79">
        <v>21</v>
      </c>
      <c r="N93" s="78" t="s">
        <v>394</v>
      </c>
      <c r="O93" s="79">
        <v>73</v>
      </c>
      <c r="P93" s="78" t="s">
        <v>394</v>
      </c>
      <c r="Q93" s="79">
        <v>22</v>
      </c>
      <c r="R93" s="78" t="s">
        <v>394</v>
      </c>
      <c r="S93" s="79">
        <v>42</v>
      </c>
      <c r="T93" s="78" t="s">
        <v>394</v>
      </c>
      <c r="U93" s="79">
        <v>75</v>
      </c>
      <c r="V93" s="78" t="s">
        <v>394</v>
      </c>
      <c r="W93" s="79">
        <v>22</v>
      </c>
      <c r="X93" s="78" t="s">
        <v>394</v>
      </c>
      <c r="Y93" s="79">
        <v>21</v>
      </c>
      <c r="Z93" s="78" t="s">
        <v>394</v>
      </c>
      <c r="AA93" s="79">
        <v>69</v>
      </c>
      <c r="AB93" s="78" t="s">
        <v>394</v>
      </c>
      <c r="AC93" s="79">
        <v>22</v>
      </c>
      <c r="AD93" s="78" t="s">
        <v>394</v>
      </c>
      <c r="AE93" s="79">
        <v>20</v>
      </c>
      <c r="AF93" s="78" t="s">
        <v>394</v>
      </c>
      <c r="AG93" s="79">
        <v>22</v>
      </c>
      <c r="AH93" s="78" t="s">
        <v>394</v>
      </c>
      <c r="AI93" s="79">
        <v>23</v>
      </c>
      <c r="AJ93" s="78" t="s">
        <v>394</v>
      </c>
      <c r="AK93" s="80">
        <v>653</v>
      </c>
      <c r="AL93" s="81" t="s">
        <v>282</v>
      </c>
      <c r="AM93" s="80">
        <v>1228</v>
      </c>
      <c r="AN93" s="57" t="s">
        <v>395</v>
      </c>
      <c r="AO93" s="93" t="s">
        <v>371</v>
      </c>
      <c r="AP93" s="58" t="s">
        <v>473</v>
      </c>
    </row>
    <row r="94" spans="1:42" ht="15.95" customHeight="1">
      <c r="A94" s="67" t="s">
        <v>560</v>
      </c>
      <c r="B94" s="21" t="s">
        <v>116</v>
      </c>
      <c r="C94" s="24">
        <v>47</v>
      </c>
      <c r="D94" s="9"/>
      <c r="E94" s="22">
        <v>19</v>
      </c>
      <c r="F94" s="9"/>
      <c r="G94" s="22">
        <v>42</v>
      </c>
      <c r="H94" s="9"/>
      <c r="I94" s="29">
        <v>51</v>
      </c>
      <c r="J94" s="9"/>
      <c r="K94" s="22">
        <v>20</v>
      </c>
      <c r="L94" s="9"/>
      <c r="M94" s="22">
        <v>21</v>
      </c>
      <c r="N94" s="9"/>
      <c r="O94" s="29">
        <v>51</v>
      </c>
      <c r="P94" s="9"/>
      <c r="Q94" s="22">
        <v>20</v>
      </c>
      <c r="R94" s="9"/>
      <c r="S94" s="22">
        <v>46</v>
      </c>
      <c r="T94" s="9"/>
      <c r="U94" s="29">
        <v>56</v>
      </c>
      <c r="V94" s="9"/>
      <c r="W94" s="22">
        <v>20</v>
      </c>
      <c r="X94" s="9"/>
      <c r="Y94" s="22">
        <v>20</v>
      </c>
      <c r="Z94" s="9"/>
      <c r="AA94" s="29">
        <v>47</v>
      </c>
      <c r="AB94" s="9"/>
      <c r="AC94" s="22">
        <v>20</v>
      </c>
      <c r="AD94" s="9"/>
      <c r="AE94" s="22">
        <v>21</v>
      </c>
      <c r="AF94" s="9"/>
      <c r="AG94" s="22">
        <v>20</v>
      </c>
      <c r="AH94" s="9"/>
      <c r="AI94" s="22">
        <v>20</v>
      </c>
      <c r="AJ94" s="9"/>
      <c r="AK94" s="16">
        <f>IF(OR(AND(C94&gt;=31,C94&lt;40),AND(I94&gt;=31,I94&lt;40),AND(O94&gt;=31,O94&lt;40),AND(U94&gt;=31,U94&lt;40),AND(AA94&gt;=31,AA94&lt;40)),IF(AND(OR(COUNTIF(C94:AJ94,"=31")&gt;=1,COUNTIF(C94:AJ94,"=32")&gt;=1,COUNTIF(C94:AJ94,"=33")&gt;=1,COUNTIF(C94:AJ94,"=34")&gt;=1,COUNTIF(C94:AJ94,"=35")&gt;=1,COUNTIF(C94:AJ94,"=36")&gt;=1 ),COUNTIF(C94:AJ94,"")=0,COUNTIF(C94:AJ94," ")=0,COUNTIF(C94:AJ94,"F")=1),CONCATENATE(SUM(EXTRACTNUMBER(C94),EXTRACTNUMBER(E94),
EXTRACTNUMBER(G94),EXTRACTNUMBER(I94),
EXTRACTNUMBER(K94),EXTRACTNUMBER(M94),
EXTRACTNUMBER(O94),EXTRACTNUMBER(Q94),
EXTRACTNUMBER(S94),EXTRACTNUMBER(U94),
EXTRACTNUMBER(W94),EXTRACTNUMBER(Y94),EXTRACTNUMBER(AA94),
EXTRACTNUMBER(AC94),EXTRACTNUMBER(AE94),EXTRACTNUMBER(AG94),EXTRACTNUMBER(AI94)),"*"),IF(AND(COUNTIF(C94:AJ94,"=34")&gt;=1,COUNTIF(C94:AJ94,"=35")&gt;=1,COUNTIF(C94:AJ94,"f")=2,COUNTIF(C94:AJ94,"")=0,COUNTIF(C94:AJ94," ")=0),CONCATENATE(SUM(EXTRACTNUMBER(C94),EXTRACTNUMBER(E94),
EXTRACTNUMBER(G94),EXTRACTNUMBER(I94),
EXTRACTNUMBER(K94),EXTRACTNUMBER(M94),
EXTRACTNUMBER(O94),EXTRACTNUMBER(Q94),
EXTRACTNUMBER(S94),EXTRACTNUMBER(U94),
EXTRACTNUMBER(W94),EXTRACTNUMBER(Y94),EXTRACTNUMBER(AA94),
EXTRACTNUMBER(AC94),EXTRACTNUMBER(AE94),EXTRACTNUMBER(AG94),EXTRACTNUMBER(AI94)),"*"),IF(AND(COUNTIF(C94:AJ94,"=36")&gt;=2,COUNTIF(C94:AJ94,"f")=2,COUNTIF(C94:AJ94,"")=0,COUNTIF(C94:AJ94," ")=0),CONCATENATE(SUM(EXTRACTNUMBER(C94),EXTRACTNUMBER(E94),
EXTRACTNUMBER(G94),EXTRACTNUMBER(I94),
EXTRACTNUMBER(K94),EXTRACTNUMBER(M94),
EXTRACTNUMBER(O94),EXTRACTNUMBER(Q94),
EXTRACTNUMBER(S94),EXTRACTNUMBER(U94),
EXTRACTNUMBER(W94),EXTRACTNUMBER(Y94),EXTRACTNUMBER(AA94),
EXTRACTNUMBER(AC94),EXTRACTNUMBER(AE94),EXTRACTNUMBER(AG94),EXTRACTNUMBER(AI94)),"*"),SUM(EXTRACTNUMBER(C94),EXTRACTNUMBER(E94),
EXTRACTNUMBER(G94),EXTRACTNUMBER(I94),
EXTRACTNUMBER(K94),EXTRACTNUMBER(M94),
EXTRACTNUMBER(O94),EXTRACTNUMBER(Q94),
EXTRACTNUMBER(S94),EXTRACTNUMBER(U94),
EXTRACTNUMBER(W94),EXTRACTNUMBER(Y94),EXTRACTNUMBER(AA94),
EXTRACTNUMBER(AC94),EXTRACTNUMBER(AE94),EXTRACTNUMBER(AG94),EXTRACTNUMBER(AI94))))),SUM(EXTRACTNUMBER(C94),EXTRACTNUMBER(E94),
EXTRACTNUMBER(G94),EXTRACTNUMBER(I94),
EXTRACTNUMBER(K94),EXTRACTNUMBER(M94),
EXTRACTNUMBER(O94),EXTRACTNUMBER(Q94),
EXTRACTNUMBER(S94),EXTRACTNUMBER(U94),
EXTRACTNUMBER(W94),EXTRACTNUMBER(Y94),EXTRACTNUMBER(AA94),
EXTRACTNUMBER(AC94),EXTRACTNUMBER(AE94),EXTRACTNUMBER(AG94),EXTRACTNUMBER(AI94)))</f>
        <v>541</v>
      </c>
      <c r="AL94" s="72" t="s">
        <v>561</v>
      </c>
      <c r="AM94" s="11">
        <f t="shared" ref="AM94" si="27">IF(IFERROR(FIND("x",AL94),0),SUM(EXTRACTNUMBER(AK94),EXTRACTNUMBER(AL94)),IF(AND(SUM(EXTRACTNUMBER(AK94),EXTRACTNUMBER(AL94))&gt;1009,        SUM(EXTRACTNUMBER(AK94),EXTRACTNUMBER(AL94))&lt;1020),
CONCATENATE(SUM(EXTRACTNUMBER(AK94),EXTRACTNUMBER(AL94)),"@",1020-SUM(EXTRACTNUMBER(AK94),EXTRACTNUMBER(AL94))),
IF(AND(SUM(EXTRACTNUMBER(AK94),EXTRACTNUMBER(AL94))&gt;839,   SUM(EXTRACTNUMBER(AK94),EXTRACTNUMBER(AL94))&lt;850),CONCATENATE(SUM(EXTRACTNUMBER(AK94),EXTRACTNUMBER(AL94)),"@",850-SUM(EXTRACTNUMBER(AK94),EXTRACTNUMBER(AL94))),
IF(AND(SUM(EXTRACTNUMBER(AK94),EXTRACTNUMBER(AL94))&gt;669,        SUM(EXTRACTNUMBER(AK94),EXTRACTNUMBER(AL94))&lt;680),
CONCATENATE(SUM(EXTRACTNUMBER(AK94),EXTRACTNUMBER(AL94)),"@",680-SUM(EXTRACTNUMBER(AK94),EXTRACTNUMBER(AL94))),
SUM(EXTRACTNUMBER(AK94),EXTRACTNUMBER(AL94))))))</f>
        <v>1060</v>
      </c>
      <c r="AN94" s="11" t="str">
        <f t="shared" ref="AN94" si="28">IF(AND(COUNTIF(C94:AJ94,"AB")&lt;17-COUNTIF(C94:AJ94," "),
COUNTIF(C94:AJ94,"AB")&lt;&gt;0),"FAIL",
IF(COUNTIF(C94:AJ94,"AB")=17-COUNTIF(C94:AJ94," "),"ABSENT",
IF(AND(COUNTIF(C94:AJ94,"AB")=0,COUNTIF(C94:AJ94,"F")=0),"PASS","FAIL")))</f>
        <v>PASS</v>
      </c>
      <c r="AO94" s="11" t="str">
        <f t="shared" ref="AO94" si="29">IF(AN94="ABSENT","AB",IF(AN94="FAIL","--",
IF(AL94=0,"RS 5",
IF(AND(SUM(EXTRACTNUMBER(AK94),EXTRACTNUMBER(AL94))&gt;=1010,
        NOT(IFERROR(FIND("x",AK94),0)),
        NOT(IFERROR(FIND("x",AL94),0))),"I",
IF(AND(SUM(EXTRACTNUMBER(AK94),EXTRACTNUMBER(AL94))&gt;=850,
      SUM(EXTRACTNUMBER(AK94),EXTRACTNUMBER(AL94))&lt;1010,
      NOT(IFERROR(FIND("x",AK94),0)),
      NOT(IFERROR(FIND("x",AL94),0))),"II",
IF(OR(AND(SUM(EXTRACTNUMBER(AK94),EXTRACTNUMBER(AL94))&lt;850,
SUM(EXTRACTNUMBER(AK94),EXTRACTNUMBER(AL94))&gt;=670),
IFERROR(FIND("x",AK94),0),IFERROR(FIND("x",AL94),0)),"P","--"))))))</f>
        <v>P</v>
      </c>
      <c r="AP94" s="1" t="str">
        <f t="shared" ref="AP94" si="30">spellnumber(AM94)</f>
        <v xml:space="preserve">One Thousand Sixty  </v>
      </c>
    </row>
    <row r="95" spans="1:42" ht="15.95" customHeight="1">
      <c r="A95" s="74">
        <v>136294</v>
      </c>
      <c r="B95" s="56" t="s">
        <v>117</v>
      </c>
      <c r="C95" s="77">
        <v>54</v>
      </c>
      <c r="D95" s="78" t="s">
        <v>394</v>
      </c>
      <c r="E95" s="79">
        <v>20</v>
      </c>
      <c r="F95" s="78" t="s">
        <v>394</v>
      </c>
      <c r="G95" s="79">
        <v>46</v>
      </c>
      <c r="H95" s="78" t="s">
        <v>394</v>
      </c>
      <c r="I95" s="79">
        <v>47</v>
      </c>
      <c r="J95" s="78" t="s">
        <v>394</v>
      </c>
      <c r="K95" s="79">
        <v>20</v>
      </c>
      <c r="L95" s="78" t="s">
        <v>394</v>
      </c>
      <c r="M95" s="79">
        <v>23</v>
      </c>
      <c r="N95" s="78" t="s">
        <v>394</v>
      </c>
      <c r="O95" s="79">
        <v>59</v>
      </c>
      <c r="P95" s="78" t="s">
        <v>394</v>
      </c>
      <c r="Q95" s="79">
        <v>20</v>
      </c>
      <c r="R95" s="78" t="s">
        <v>394</v>
      </c>
      <c r="S95" s="79">
        <v>44</v>
      </c>
      <c r="T95" s="78" t="s">
        <v>394</v>
      </c>
      <c r="U95" s="79">
        <v>47</v>
      </c>
      <c r="V95" s="78" t="s">
        <v>394</v>
      </c>
      <c r="W95" s="79">
        <v>20</v>
      </c>
      <c r="X95" s="78" t="s">
        <v>394</v>
      </c>
      <c r="Y95" s="79">
        <v>20</v>
      </c>
      <c r="Z95" s="78" t="s">
        <v>394</v>
      </c>
      <c r="AA95" s="79">
        <v>40</v>
      </c>
      <c r="AB95" s="78" t="s">
        <v>394</v>
      </c>
      <c r="AC95" s="79">
        <v>20</v>
      </c>
      <c r="AD95" s="78" t="s">
        <v>394</v>
      </c>
      <c r="AE95" s="79">
        <v>22</v>
      </c>
      <c r="AF95" s="78" t="s">
        <v>394</v>
      </c>
      <c r="AG95" s="79">
        <v>20</v>
      </c>
      <c r="AH95" s="78" t="s">
        <v>394</v>
      </c>
      <c r="AI95" s="79">
        <v>22</v>
      </c>
      <c r="AJ95" s="78" t="s">
        <v>394</v>
      </c>
      <c r="AK95" s="80">
        <v>544</v>
      </c>
      <c r="AL95" s="81" t="s">
        <v>535</v>
      </c>
      <c r="AM95" s="80">
        <v>544</v>
      </c>
      <c r="AN95" s="57" t="s">
        <v>395</v>
      </c>
      <c r="AO95" s="93" t="s">
        <v>407</v>
      </c>
      <c r="AP95" s="58" t="s">
        <v>419</v>
      </c>
    </row>
    <row r="96" spans="1:42" ht="15.95" customHeight="1">
      <c r="A96" s="74">
        <v>136295</v>
      </c>
      <c r="B96" s="56" t="s">
        <v>118</v>
      </c>
      <c r="C96" s="77">
        <v>40</v>
      </c>
      <c r="D96" s="78" t="s">
        <v>394</v>
      </c>
      <c r="E96" s="79">
        <v>21</v>
      </c>
      <c r="F96" s="78" t="s">
        <v>394</v>
      </c>
      <c r="G96" s="79">
        <v>44</v>
      </c>
      <c r="H96" s="78" t="s">
        <v>394</v>
      </c>
      <c r="I96" s="79">
        <v>40</v>
      </c>
      <c r="J96" s="78" t="s">
        <v>394</v>
      </c>
      <c r="K96" s="79">
        <v>22</v>
      </c>
      <c r="L96" s="78" t="s">
        <v>394</v>
      </c>
      <c r="M96" s="79">
        <v>22</v>
      </c>
      <c r="N96" s="78" t="s">
        <v>394</v>
      </c>
      <c r="O96" s="79">
        <v>62</v>
      </c>
      <c r="P96" s="78" t="s">
        <v>394</v>
      </c>
      <c r="Q96" s="79">
        <v>22</v>
      </c>
      <c r="R96" s="78" t="s">
        <v>394</v>
      </c>
      <c r="S96" s="79">
        <v>44</v>
      </c>
      <c r="T96" s="78" t="s">
        <v>394</v>
      </c>
      <c r="U96" s="79">
        <v>53</v>
      </c>
      <c r="V96" s="78" t="s">
        <v>394</v>
      </c>
      <c r="W96" s="79">
        <v>22</v>
      </c>
      <c r="X96" s="78" t="s">
        <v>394</v>
      </c>
      <c r="Y96" s="79">
        <v>21</v>
      </c>
      <c r="Z96" s="78" t="s">
        <v>394</v>
      </c>
      <c r="AA96" s="79">
        <v>45</v>
      </c>
      <c r="AB96" s="78" t="s">
        <v>394</v>
      </c>
      <c r="AC96" s="79">
        <v>22</v>
      </c>
      <c r="AD96" s="78" t="s">
        <v>394</v>
      </c>
      <c r="AE96" s="79">
        <v>20</v>
      </c>
      <c r="AF96" s="78" t="s">
        <v>394</v>
      </c>
      <c r="AG96" s="79">
        <v>22</v>
      </c>
      <c r="AH96" s="78" t="s">
        <v>394</v>
      </c>
      <c r="AI96" s="79">
        <v>22</v>
      </c>
      <c r="AJ96" s="78" t="s">
        <v>394</v>
      </c>
      <c r="AK96" s="80">
        <v>544</v>
      </c>
      <c r="AL96" s="81" t="s">
        <v>283</v>
      </c>
      <c r="AM96" s="80">
        <v>1045</v>
      </c>
      <c r="AN96" s="57" t="s">
        <v>395</v>
      </c>
      <c r="AO96" s="93" t="s">
        <v>371</v>
      </c>
      <c r="AP96" s="58" t="s">
        <v>474</v>
      </c>
    </row>
    <row r="97" spans="1:42" ht="15.95" customHeight="1">
      <c r="A97" s="67">
        <v>136296</v>
      </c>
      <c r="B97" s="21" t="s">
        <v>119</v>
      </c>
      <c r="C97" s="24">
        <v>44</v>
      </c>
      <c r="D97" s="9" t="s">
        <v>394</v>
      </c>
      <c r="E97" s="22">
        <v>21</v>
      </c>
      <c r="F97" s="9" t="s">
        <v>394</v>
      </c>
      <c r="G97" s="22">
        <v>46</v>
      </c>
      <c r="H97" s="9" t="s">
        <v>394</v>
      </c>
      <c r="I97" s="29">
        <v>40</v>
      </c>
      <c r="J97" s="9" t="s">
        <v>394</v>
      </c>
      <c r="K97" s="22">
        <v>20</v>
      </c>
      <c r="L97" s="9" t="s">
        <v>394</v>
      </c>
      <c r="M97" s="22">
        <v>23</v>
      </c>
      <c r="N97" s="9" t="s">
        <v>394</v>
      </c>
      <c r="O97" s="29">
        <v>52</v>
      </c>
      <c r="P97" s="9" t="s">
        <v>394</v>
      </c>
      <c r="Q97" s="22">
        <v>21</v>
      </c>
      <c r="R97" s="9" t="s">
        <v>394</v>
      </c>
      <c r="S97" s="22">
        <v>46</v>
      </c>
      <c r="T97" s="9" t="s">
        <v>394</v>
      </c>
      <c r="U97" s="29">
        <v>47</v>
      </c>
      <c r="V97" s="9" t="s">
        <v>394</v>
      </c>
      <c r="W97" s="22">
        <v>21</v>
      </c>
      <c r="X97" s="9" t="s">
        <v>394</v>
      </c>
      <c r="Y97" s="22">
        <v>21</v>
      </c>
      <c r="Z97" s="9" t="s">
        <v>394</v>
      </c>
      <c r="AA97" s="29">
        <v>44</v>
      </c>
      <c r="AB97" s="9" t="s">
        <v>394</v>
      </c>
      <c r="AC97" s="22">
        <v>21</v>
      </c>
      <c r="AD97" s="9" t="s">
        <v>394</v>
      </c>
      <c r="AE97" s="22">
        <v>21</v>
      </c>
      <c r="AF97" s="9" t="s">
        <v>394</v>
      </c>
      <c r="AG97" s="22">
        <v>21</v>
      </c>
      <c r="AH97" s="9" t="s">
        <v>394</v>
      </c>
      <c r="AI97" s="22">
        <v>21</v>
      </c>
      <c r="AJ97" s="9" t="s">
        <v>394</v>
      </c>
      <c r="AK97" s="16">
        <v>530</v>
      </c>
      <c r="AL97" s="72" t="s">
        <v>554</v>
      </c>
      <c r="AM97" s="11">
        <v>1017</v>
      </c>
      <c r="AN97" s="11" t="s">
        <v>395</v>
      </c>
      <c r="AO97" s="11" t="s">
        <v>516</v>
      </c>
      <c r="AP97" s="1" t="s">
        <v>547</v>
      </c>
    </row>
    <row r="98" spans="1:42" ht="15.95" customHeight="1">
      <c r="A98" s="74">
        <v>136297</v>
      </c>
      <c r="B98" s="56" t="s">
        <v>120</v>
      </c>
      <c r="C98" s="77">
        <v>52</v>
      </c>
      <c r="D98" s="78" t="s">
        <v>394</v>
      </c>
      <c r="E98" s="79">
        <v>22</v>
      </c>
      <c r="F98" s="78" t="s">
        <v>394</v>
      </c>
      <c r="G98" s="79">
        <v>42</v>
      </c>
      <c r="H98" s="78" t="s">
        <v>394</v>
      </c>
      <c r="I98" s="79">
        <v>66</v>
      </c>
      <c r="J98" s="78" t="s">
        <v>394</v>
      </c>
      <c r="K98" s="79">
        <v>22</v>
      </c>
      <c r="L98" s="78" t="s">
        <v>394</v>
      </c>
      <c r="M98" s="79">
        <v>21</v>
      </c>
      <c r="N98" s="78" t="s">
        <v>394</v>
      </c>
      <c r="O98" s="79">
        <v>60</v>
      </c>
      <c r="P98" s="78" t="s">
        <v>394</v>
      </c>
      <c r="Q98" s="79">
        <v>22</v>
      </c>
      <c r="R98" s="78" t="s">
        <v>394</v>
      </c>
      <c r="S98" s="79">
        <v>42</v>
      </c>
      <c r="T98" s="78" t="s">
        <v>394</v>
      </c>
      <c r="U98" s="79">
        <v>64</v>
      </c>
      <c r="V98" s="78" t="s">
        <v>394</v>
      </c>
      <c r="W98" s="79">
        <v>22</v>
      </c>
      <c r="X98" s="78" t="s">
        <v>394</v>
      </c>
      <c r="Y98" s="79">
        <v>21</v>
      </c>
      <c r="Z98" s="78" t="s">
        <v>394</v>
      </c>
      <c r="AA98" s="79">
        <v>53</v>
      </c>
      <c r="AB98" s="78" t="s">
        <v>394</v>
      </c>
      <c r="AC98" s="79">
        <v>22</v>
      </c>
      <c r="AD98" s="78" t="s">
        <v>394</v>
      </c>
      <c r="AE98" s="79">
        <v>19</v>
      </c>
      <c r="AF98" s="78" t="s">
        <v>394</v>
      </c>
      <c r="AG98" s="79">
        <v>22</v>
      </c>
      <c r="AH98" s="78" t="s">
        <v>394</v>
      </c>
      <c r="AI98" s="79">
        <v>20</v>
      </c>
      <c r="AJ98" s="78" t="s">
        <v>394</v>
      </c>
      <c r="AK98" s="80">
        <v>592</v>
      </c>
      <c r="AL98" s="81" t="s">
        <v>277</v>
      </c>
      <c r="AM98" s="80">
        <v>1109</v>
      </c>
      <c r="AN98" s="57" t="s">
        <v>395</v>
      </c>
      <c r="AO98" s="93" t="s">
        <v>371</v>
      </c>
      <c r="AP98" s="58" t="s">
        <v>475</v>
      </c>
    </row>
    <row r="99" spans="1:42" ht="15.95" customHeight="1">
      <c r="A99" s="67">
        <v>136298</v>
      </c>
      <c r="B99" s="21" t="s">
        <v>121</v>
      </c>
      <c r="C99" s="24">
        <v>41</v>
      </c>
      <c r="D99" s="9"/>
      <c r="E99" s="22">
        <v>21</v>
      </c>
      <c r="F99" s="9"/>
      <c r="G99" s="22">
        <v>44</v>
      </c>
      <c r="H99" s="9"/>
      <c r="I99" s="29">
        <v>40</v>
      </c>
      <c r="J99" s="9"/>
      <c r="K99" s="22">
        <v>20</v>
      </c>
      <c r="L99" s="9"/>
      <c r="M99" s="22">
        <v>22</v>
      </c>
      <c r="N99" s="9"/>
      <c r="O99" s="29">
        <v>59</v>
      </c>
      <c r="P99" s="9"/>
      <c r="Q99" s="22">
        <v>20</v>
      </c>
      <c r="R99" s="9"/>
      <c r="S99" s="22">
        <v>44</v>
      </c>
      <c r="T99" s="9"/>
      <c r="U99" s="29">
        <v>40</v>
      </c>
      <c r="V99" s="9"/>
      <c r="W99" s="22">
        <v>20</v>
      </c>
      <c r="X99" s="9"/>
      <c r="Y99" s="22">
        <v>21</v>
      </c>
      <c r="Z99" s="9"/>
      <c r="AA99" s="29">
        <v>40</v>
      </c>
      <c r="AB99" s="9"/>
      <c r="AC99" s="22">
        <v>20</v>
      </c>
      <c r="AD99" s="9"/>
      <c r="AE99" s="22">
        <v>21</v>
      </c>
      <c r="AF99" s="9"/>
      <c r="AG99" s="22">
        <v>20</v>
      </c>
      <c r="AH99" s="9"/>
      <c r="AI99" s="22">
        <v>20</v>
      </c>
      <c r="AJ99" s="9"/>
      <c r="AK99" s="16">
        <f>IF(OR(AND(C99&gt;=31,C99&lt;40),AND(I99&gt;=31,I99&lt;40),AND(O99&gt;=31,O99&lt;40),AND(U99&gt;=31,U99&lt;40),AND(AA99&gt;=31,AA99&lt;40)),IF(AND(OR(COUNTIF(C99:AJ99,"=31")&gt;=1,COUNTIF(C99:AJ99,"=32")&gt;=1,COUNTIF(C99:AJ99,"=33")&gt;=1,COUNTIF(C99:AJ99,"=34")&gt;=1,COUNTIF(C99:AJ99,"=35")&gt;=1,COUNTIF(C99:AJ99,"=36")&gt;=1 ),COUNTIF(C99:AJ99,"")=0,COUNTIF(C99:AJ99," ")=0,COUNTIF(C99:AJ99,"F")=1),CONCATENATE(SUM(EXTRACTNUMBER(C99),EXTRACTNUMBER(E99),
EXTRACTNUMBER(G99),EXTRACTNUMBER(I99),
EXTRACTNUMBER(K99),EXTRACTNUMBER(M99),
EXTRACTNUMBER(O99),EXTRACTNUMBER(Q99),
EXTRACTNUMBER(S99),EXTRACTNUMBER(U99),
EXTRACTNUMBER(W99),EXTRACTNUMBER(Y99),EXTRACTNUMBER(AA99),
EXTRACTNUMBER(AC99),EXTRACTNUMBER(AE99),EXTRACTNUMBER(AG99),EXTRACTNUMBER(AI99)),"*"),IF(AND(COUNTIF(C99:AJ99,"=34")&gt;=1,COUNTIF(C99:AJ99,"=35")&gt;=1,COUNTIF(C99:AJ99,"f")=2,COUNTIF(C99:AJ99,"")=0,COUNTIF(C99:AJ99," ")=0),CONCATENATE(SUM(EXTRACTNUMBER(C99),EXTRACTNUMBER(E99),
EXTRACTNUMBER(G99),EXTRACTNUMBER(I99),
EXTRACTNUMBER(K99),EXTRACTNUMBER(M99),
EXTRACTNUMBER(O99),EXTRACTNUMBER(Q99),
EXTRACTNUMBER(S99),EXTRACTNUMBER(U99),
EXTRACTNUMBER(W99),EXTRACTNUMBER(Y99),EXTRACTNUMBER(AA99),
EXTRACTNUMBER(AC99),EXTRACTNUMBER(AE99),EXTRACTNUMBER(AG99),EXTRACTNUMBER(AI99)),"*"),IF(AND(COUNTIF(C99:AJ99,"=36")&gt;=2,COUNTIF(C99:AJ99,"f")=2,COUNTIF(C99:AJ99,"")=0,COUNTIF(C99:AJ99," ")=0),CONCATENATE(SUM(EXTRACTNUMBER(C99),EXTRACTNUMBER(E99),
EXTRACTNUMBER(G99),EXTRACTNUMBER(I99),
EXTRACTNUMBER(K99),EXTRACTNUMBER(M99),
EXTRACTNUMBER(O99),EXTRACTNUMBER(Q99),
EXTRACTNUMBER(S99),EXTRACTNUMBER(U99),
EXTRACTNUMBER(W99),EXTRACTNUMBER(Y99),EXTRACTNUMBER(AA99),
EXTRACTNUMBER(AC99),EXTRACTNUMBER(AE99),EXTRACTNUMBER(AG99),EXTRACTNUMBER(AI99)),"*"),SUM(EXTRACTNUMBER(C99),EXTRACTNUMBER(E99),
EXTRACTNUMBER(G99),EXTRACTNUMBER(I99),
EXTRACTNUMBER(K99),EXTRACTNUMBER(M99),
EXTRACTNUMBER(O99),EXTRACTNUMBER(Q99),
EXTRACTNUMBER(S99),EXTRACTNUMBER(U99),
EXTRACTNUMBER(W99),EXTRACTNUMBER(Y99),EXTRACTNUMBER(AA99),
EXTRACTNUMBER(AC99),EXTRACTNUMBER(AE99),EXTRACTNUMBER(AG99),EXTRACTNUMBER(AI99))))),SUM(EXTRACTNUMBER(C99),EXTRACTNUMBER(E99),
EXTRACTNUMBER(G99),EXTRACTNUMBER(I99),
EXTRACTNUMBER(K99),EXTRACTNUMBER(M99),
EXTRACTNUMBER(O99),EXTRACTNUMBER(Q99),
EXTRACTNUMBER(S99),EXTRACTNUMBER(U99),
EXTRACTNUMBER(W99),EXTRACTNUMBER(Y99),EXTRACTNUMBER(AA99),
EXTRACTNUMBER(AC99),EXTRACTNUMBER(AE99),EXTRACTNUMBER(AG99),EXTRACTNUMBER(AI99)))</f>
        <v>513</v>
      </c>
      <c r="AL99" s="72" t="s">
        <v>539</v>
      </c>
      <c r="AM99" s="11">
        <f t="shared" ref="AM99:AM100" si="31">IF(IFERROR(FIND("x",AL99),0),SUM(EXTRACTNUMBER(AK99),EXTRACTNUMBER(AL99)),IF(AND(SUM(EXTRACTNUMBER(AK99),EXTRACTNUMBER(AL99))&gt;1009,        SUM(EXTRACTNUMBER(AK99),EXTRACTNUMBER(AL99))&lt;1020),
CONCATENATE(SUM(EXTRACTNUMBER(AK99),EXTRACTNUMBER(AL99)),"@",1020-SUM(EXTRACTNUMBER(AK99),EXTRACTNUMBER(AL99))),
IF(AND(SUM(EXTRACTNUMBER(AK99),EXTRACTNUMBER(AL99))&gt;839,   SUM(EXTRACTNUMBER(AK99),EXTRACTNUMBER(AL99))&lt;850),CONCATENATE(SUM(EXTRACTNUMBER(AK99),EXTRACTNUMBER(AL99)),"@",850-SUM(EXTRACTNUMBER(AK99),EXTRACTNUMBER(AL99))),
IF(AND(SUM(EXTRACTNUMBER(AK99),EXTRACTNUMBER(AL99))&gt;669,        SUM(EXTRACTNUMBER(AK99),EXTRACTNUMBER(AL99))&lt;680),
CONCATENATE(SUM(EXTRACTNUMBER(AK99),EXTRACTNUMBER(AL99)),"@",680-SUM(EXTRACTNUMBER(AK99),EXTRACTNUMBER(AL99))),
SUM(EXTRACTNUMBER(AK99),EXTRACTNUMBER(AL99))))))</f>
        <v>1007</v>
      </c>
      <c r="AN99" s="11" t="str">
        <f t="shared" ref="AN99:AN100" si="32">IF(AND(COUNTIF(C99:AJ99,"AB")&lt;17-COUNTIF(C99:AJ99," "),
COUNTIF(C99:AJ99,"AB")&lt;&gt;0),"FAIL",
IF(COUNTIF(C99:AJ99,"AB")=17-COUNTIF(C99:AJ99," "),"ABSENT",
IF(AND(COUNTIF(C99:AJ99,"AB")=0,COUNTIF(C99:AJ99,"F")=0),"PASS","FAIL")))</f>
        <v>PASS</v>
      </c>
      <c r="AO99" s="11" t="str">
        <f t="shared" ref="AO99:AO100" si="33">IF(AN99="ABSENT","AB",IF(AN99="FAIL","--",
IF(AL99=0,"RS 5",
IF(AND(SUM(EXTRACTNUMBER(AK99),EXTRACTNUMBER(AL99))&gt;=1010,
        NOT(IFERROR(FIND("x",AK99),0)),
        NOT(IFERROR(FIND("x",AL99),0))),"I",
IF(AND(SUM(EXTRACTNUMBER(AK99),EXTRACTNUMBER(AL99))&gt;=850,
      SUM(EXTRACTNUMBER(AK99),EXTRACTNUMBER(AL99))&lt;1010,
      NOT(IFERROR(FIND("x",AK99),0)),
      NOT(IFERROR(FIND("x",AL99),0))),"II",
IF(OR(AND(SUM(EXTRACTNUMBER(AK99),EXTRACTNUMBER(AL99))&lt;850,
SUM(EXTRACTNUMBER(AK99),EXTRACTNUMBER(AL99))&gt;=670),
IFERROR(FIND("x",AK99),0),IFERROR(FIND("x",AL99),0)),"P","--"))))))</f>
        <v>P</v>
      </c>
      <c r="AP99" s="1" t="str">
        <f t="shared" ref="AP99:AP100" si="34">spellnumber(AM99)</f>
        <v xml:space="preserve">One Thousand Seven </v>
      </c>
    </row>
    <row r="100" spans="1:42" ht="15.95" customHeight="1">
      <c r="A100" s="67">
        <v>136299</v>
      </c>
      <c r="B100" s="21" t="s">
        <v>122</v>
      </c>
      <c r="C100" s="24">
        <v>60</v>
      </c>
      <c r="D100" s="9"/>
      <c r="E100" s="22">
        <v>20</v>
      </c>
      <c r="F100" s="9"/>
      <c r="G100" s="22">
        <v>38</v>
      </c>
      <c r="H100" s="9"/>
      <c r="I100" s="29">
        <v>41</v>
      </c>
      <c r="J100" s="9"/>
      <c r="K100" s="22">
        <v>20</v>
      </c>
      <c r="L100" s="9"/>
      <c r="M100" s="22">
        <v>19</v>
      </c>
      <c r="N100" s="9"/>
      <c r="O100" s="29">
        <v>58</v>
      </c>
      <c r="P100" s="9"/>
      <c r="Q100" s="22">
        <v>20</v>
      </c>
      <c r="R100" s="9"/>
      <c r="S100" s="22">
        <v>38</v>
      </c>
      <c r="T100" s="9"/>
      <c r="U100" s="29">
        <v>47</v>
      </c>
      <c r="V100" s="9"/>
      <c r="W100" s="22">
        <v>20</v>
      </c>
      <c r="X100" s="9"/>
      <c r="Y100" s="22">
        <v>20</v>
      </c>
      <c r="Z100" s="9"/>
      <c r="AA100" s="29">
        <v>47</v>
      </c>
      <c r="AB100" s="9"/>
      <c r="AC100" s="22">
        <v>20</v>
      </c>
      <c r="AD100" s="9"/>
      <c r="AE100" s="22">
        <v>21</v>
      </c>
      <c r="AF100" s="9"/>
      <c r="AG100" s="22">
        <v>22</v>
      </c>
      <c r="AH100" s="9"/>
      <c r="AI100" s="22">
        <v>22</v>
      </c>
      <c r="AJ100" s="9"/>
      <c r="AK100" s="16">
        <f>IF(OR(AND(C100&gt;=31,C100&lt;40),AND(I100&gt;=31,I100&lt;40),AND(O100&gt;=31,O100&lt;40),AND(U100&gt;=31,U100&lt;40),AND(AA100&gt;=31,AA100&lt;40)),IF(AND(OR(COUNTIF(C100:AJ100,"=31")&gt;=1,COUNTIF(C100:AJ100,"=32")&gt;=1,COUNTIF(C100:AJ100,"=33")&gt;=1,COUNTIF(C100:AJ100,"=34")&gt;=1,COUNTIF(C100:AJ100,"=35")&gt;=1,COUNTIF(C100:AJ100,"=36")&gt;=1 ),COUNTIF(C100:AJ100,"")=0,COUNTIF(C100:AJ100," ")=0,COUNTIF(C100:AJ100,"F")=1),CONCATENATE(SUM(EXTRACTNUMBER(C100),EXTRACTNUMBER(E100),
EXTRACTNUMBER(G100),EXTRACTNUMBER(I100),
EXTRACTNUMBER(K100),EXTRACTNUMBER(M100),
EXTRACTNUMBER(O100),EXTRACTNUMBER(Q100),
EXTRACTNUMBER(S100),EXTRACTNUMBER(U100),
EXTRACTNUMBER(W100),EXTRACTNUMBER(Y100),EXTRACTNUMBER(AA100),
EXTRACTNUMBER(AC100),EXTRACTNUMBER(AE100),EXTRACTNUMBER(AG100),EXTRACTNUMBER(AI100)),"*"),IF(AND(COUNTIF(C100:AJ100,"=34")&gt;=1,COUNTIF(C100:AJ100,"=35")&gt;=1,COUNTIF(C100:AJ100,"f")=2,COUNTIF(C100:AJ100,"")=0,COUNTIF(C100:AJ100," ")=0),CONCATENATE(SUM(EXTRACTNUMBER(C100),EXTRACTNUMBER(E100),
EXTRACTNUMBER(G100),EXTRACTNUMBER(I100),
EXTRACTNUMBER(K100),EXTRACTNUMBER(M100),
EXTRACTNUMBER(O100),EXTRACTNUMBER(Q100),
EXTRACTNUMBER(S100),EXTRACTNUMBER(U100),
EXTRACTNUMBER(W100),EXTRACTNUMBER(Y100),EXTRACTNUMBER(AA100),
EXTRACTNUMBER(AC100),EXTRACTNUMBER(AE100),EXTRACTNUMBER(AG100),EXTRACTNUMBER(AI100)),"*"),IF(AND(COUNTIF(C100:AJ100,"=36")&gt;=2,COUNTIF(C100:AJ100,"f")=2,COUNTIF(C100:AJ100,"")=0,COUNTIF(C100:AJ100," ")=0),CONCATENATE(SUM(EXTRACTNUMBER(C100),EXTRACTNUMBER(E100),
EXTRACTNUMBER(G100),EXTRACTNUMBER(I100),
EXTRACTNUMBER(K100),EXTRACTNUMBER(M100),
EXTRACTNUMBER(O100),EXTRACTNUMBER(Q100),
EXTRACTNUMBER(S100),EXTRACTNUMBER(U100),
EXTRACTNUMBER(W100),EXTRACTNUMBER(Y100),EXTRACTNUMBER(AA100),
EXTRACTNUMBER(AC100),EXTRACTNUMBER(AE100),EXTRACTNUMBER(AG100),EXTRACTNUMBER(AI100)),"*"),SUM(EXTRACTNUMBER(C100),EXTRACTNUMBER(E100),
EXTRACTNUMBER(G100),EXTRACTNUMBER(I100),
EXTRACTNUMBER(K100),EXTRACTNUMBER(M100),
EXTRACTNUMBER(O100),EXTRACTNUMBER(Q100),
EXTRACTNUMBER(S100),EXTRACTNUMBER(U100),
EXTRACTNUMBER(W100),EXTRACTNUMBER(Y100),EXTRACTNUMBER(AA100),
EXTRACTNUMBER(AC100),EXTRACTNUMBER(AE100),EXTRACTNUMBER(AG100),EXTRACTNUMBER(AI100))))),SUM(EXTRACTNUMBER(C100),EXTRACTNUMBER(E100),
EXTRACTNUMBER(G100),EXTRACTNUMBER(I100),
EXTRACTNUMBER(K100),EXTRACTNUMBER(M100),
EXTRACTNUMBER(O100),EXTRACTNUMBER(Q100),
EXTRACTNUMBER(S100),EXTRACTNUMBER(U100),
EXTRACTNUMBER(W100),EXTRACTNUMBER(Y100),EXTRACTNUMBER(AA100),
EXTRACTNUMBER(AC100),EXTRACTNUMBER(AE100),EXTRACTNUMBER(AG100),EXTRACTNUMBER(AI100)))</f>
        <v>533</v>
      </c>
      <c r="AL100" s="72" t="s">
        <v>562</v>
      </c>
      <c r="AM100" s="11">
        <f t="shared" si="31"/>
        <v>1043</v>
      </c>
      <c r="AN100" s="11" t="str">
        <f t="shared" si="32"/>
        <v>PASS</v>
      </c>
      <c r="AO100" s="11" t="str">
        <f t="shared" si="33"/>
        <v>P</v>
      </c>
      <c r="AP100" s="1" t="str">
        <f t="shared" si="34"/>
        <v xml:space="preserve">One Thousand Forty Three </v>
      </c>
    </row>
    <row r="101" spans="1:42" ht="15.95" customHeight="1">
      <c r="A101" s="74">
        <v>136300</v>
      </c>
      <c r="B101" s="56" t="s">
        <v>123</v>
      </c>
      <c r="C101" s="77">
        <v>62</v>
      </c>
      <c r="D101" s="78" t="s">
        <v>394</v>
      </c>
      <c r="E101" s="79">
        <v>20</v>
      </c>
      <c r="F101" s="78" t="s">
        <v>394</v>
      </c>
      <c r="G101" s="79">
        <v>44</v>
      </c>
      <c r="H101" s="78" t="s">
        <v>394</v>
      </c>
      <c r="I101" s="79">
        <v>60</v>
      </c>
      <c r="J101" s="78" t="s">
        <v>394</v>
      </c>
      <c r="K101" s="79">
        <v>20</v>
      </c>
      <c r="L101" s="78" t="s">
        <v>394</v>
      </c>
      <c r="M101" s="79">
        <v>22</v>
      </c>
      <c r="N101" s="78" t="s">
        <v>394</v>
      </c>
      <c r="O101" s="79">
        <v>66</v>
      </c>
      <c r="P101" s="78" t="s">
        <v>394</v>
      </c>
      <c r="Q101" s="79">
        <v>20</v>
      </c>
      <c r="R101" s="78" t="s">
        <v>394</v>
      </c>
      <c r="S101" s="79">
        <v>44</v>
      </c>
      <c r="T101" s="78" t="s">
        <v>394</v>
      </c>
      <c r="U101" s="79">
        <v>62</v>
      </c>
      <c r="V101" s="78" t="s">
        <v>394</v>
      </c>
      <c r="W101" s="79">
        <v>20</v>
      </c>
      <c r="X101" s="78" t="s">
        <v>394</v>
      </c>
      <c r="Y101" s="79">
        <v>20</v>
      </c>
      <c r="Z101" s="78" t="s">
        <v>394</v>
      </c>
      <c r="AA101" s="79">
        <v>57</v>
      </c>
      <c r="AB101" s="78" t="s">
        <v>394</v>
      </c>
      <c r="AC101" s="79">
        <v>20</v>
      </c>
      <c r="AD101" s="78" t="s">
        <v>394</v>
      </c>
      <c r="AE101" s="79">
        <v>20</v>
      </c>
      <c r="AF101" s="78" t="s">
        <v>394</v>
      </c>
      <c r="AG101" s="79">
        <v>20</v>
      </c>
      <c r="AH101" s="78" t="s">
        <v>394</v>
      </c>
      <c r="AI101" s="79">
        <v>20</v>
      </c>
      <c r="AJ101" s="78" t="s">
        <v>394</v>
      </c>
      <c r="AK101" s="80">
        <v>597</v>
      </c>
      <c r="AL101" s="81" t="s">
        <v>279</v>
      </c>
      <c r="AM101" s="80">
        <v>1151</v>
      </c>
      <c r="AN101" s="57" t="s">
        <v>395</v>
      </c>
      <c r="AO101" s="93" t="s">
        <v>371</v>
      </c>
      <c r="AP101" s="58" t="s">
        <v>477</v>
      </c>
    </row>
    <row r="102" spans="1:42" ht="15.95" customHeight="1">
      <c r="A102" s="74">
        <v>136301</v>
      </c>
      <c r="B102" s="56" t="s">
        <v>124</v>
      </c>
      <c r="C102" s="77">
        <v>40</v>
      </c>
      <c r="D102" s="78" t="s">
        <v>394</v>
      </c>
      <c r="E102" s="79">
        <v>20</v>
      </c>
      <c r="F102" s="78" t="s">
        <v>394</v>
      </c>
      <c r="G102" s="79">
        <v>44</v>
      </c>
      <c r="H102" s="78" t="s">
        <v>394</v>
      </c>
      <c r="I102" s="79">
        <v>49</v>
      </c>
      <c r="J102" s="78" t="s">
        <v>394</v>
      </c>
      <c r="K102" s="79">
        <v>21</v>
      </c>
      <c r="L102" s="78" t="s">
        <v>394</v>
      </c>
      <c r="M102" s="79">
        <v>22</v>
      </c>
      <c r="N102" s="78" t="s">
        <v>394</v>
      </c>
      <c r="O102" s="79">
        <v>51</v>
      </c>
      <c r="P102" s="78" t="s">
        <v>394</v>
      </c>
      <c r="Q102" s="79">
        <v>21</v>
      </c>
      <c r="R102" s="78" t="s">
        <v>394</v>
      </c>
      <c r="S102" s="79">
        <v>44</v>
      </c>
      <c r="T102" s="78" t="s">
        <v>394</v>
      </c>
      <c r="U102" s="79">
        <v>70</v>
      </c>
      <c r="V102" s="78" t="s">
        <v>394</v>
      </c>
      <c r="W102" s="79">
        <v>21</v>
      </c>
      <c r="X102" s="78" t="s">
        <v>394</v>
      </c>
      <c r="Y102" s="79">
        <v>21</v>
      </c>
      <c r="Z102" s="78" t="s">
        <v>394</v>
      </c>
      <c r="AA102" s="79">
        <v>45</v>
      </c>
      <c r="AB102" s="78" t="s">
        <v>394</v>
      </c>
      <c r="AC102" s="79">
        <v>21</v>
      </c>
      <c r="AD102" s="78" t="s">
        <v>394</v>
      </c>
      <c r="AE102" s="79">
        <v>20</v>
      </c>
      <c r="AF102" s="78" t="s">
        <v>394</v>
      </c>
      <c r="AG102" s="79">
        <v>21</v>
      </c>
      <c r="AH102" s="78" t="s">
        <v>394</v>
      </c>
      <c r="AI102" s="79">
        <v>21</v>
      </c>
      <c r="AJ102" s="78" t="s">
        <v>394</v>
      </c>
      <c r="AK102" s="80">
        <v>552</v>
      </c>
      <c r="AL102" s="81" t="s">
        <v>284</v>
      </c>
      <c r="AM102" s="80">
        <v>1021</v>
      </c>
      <c r="AN102" s="57" t="s">
        <v>395</v>
      </c>
      <c r="AO102" s="93" t="s">
        <v>371</v>
      </c>
      <c r="AP102" s="58" t="s">
        <v>478</v>
      </c>
    </row>
    <row r="103" spans="1:42" ht="15.95" customHeight="1">
      <c r="A103" s="74">
        <v>136302</v>
      </c>
      <c r="B103" s="56" t="s">
        <v>125</v>
      </c>
      <c r="C103" s="77">
        <v>54</v>
      </c>
      <c r="D103" s="78" t="s">
        <v>394</v>
      </c>
      <c r="E103" s="79">
        <v>19</v>
      </c>
      <c r="F103" s="78" t="s">
        <v>394</v>
      </c>
      <c r="G103" s="79">
        <v>38</v>
      </c>
      <c r="H103" s="78" t="s">
        <v>394</v>
      </c>
      <c r="I103" s="79">
        <v>49</v>
      </c>
      <c r="J103" s="78" t="s">
        <v>394</v>
      </c>
      <c r="K103" s="79">
        <v>20</v>
      </c>
      <c r="L103" s="78" t="s">
        <v>394</v>
      </c>
      <c r="M103" s="79">
        <v>19</v>
      </c>
      <c r="N103" s="78" t="s">
        <v>394</v>
      </c>
      <c r="O103" s="79">
        <v>66</v>
      </c>
      <c r="P103" s="78" t="s">
        <v>394</v>
      </c>
      <c r="Q103" s="79">
        <v>19</v>
      </c>
      <c r="R103" s="78" t="s">
        <v>394</v>
      </c>
      <c r="S103" s="79">
        <v>38</v>
      </c>
      <c r="T103" s="78" t="s">
        <v>394</v>
      </c>
      <c r="U103" s="79">
        <v>56</v>
      </c>
      <c r="V103" s="78" t="s">
        <v>394</v>
      </c>
      <c r="W103" s="79">
        <v>19</v>
      </c>
      <c r="X103" s="78" t="s">
        <v>394</v>
      </c>
      <c r="Y103" s="79">
        <v>20</v>
      </c>
      <c r="Z103" s="78" t="s">
        <v>394</v>
      </c>
      <c r="AA103" s="79">
        <v>56</v>
      </c>
      <c r="AB103" s="78" t="s">
        <v>394</v>
      </c>
      <c r="AC103" s="79">
        <v>19</v>
      </c>
      <c r="AD103" s="78" t="s">
        <v>394</v>
      </c>
      <c r="AE103" s="79">
        <v>21</v>
      </c>
      <c r="AF103" s="78" t="s">
        <v>394</v>
      </c>
      <c r="AG103" s="79">
        <v>19</v>
      </c>
      <c r="AH103" s="78" t="s">
        <v>394</v>
      </c>
      <c r="AI103" s="79">
        <v>19</v>
      </c>
      <c r="AJ103" s="78" t="s">
        <v>394</v>
      </c>
      <c r="AK103" s="80">
        <v>551</v>
      </c>
      <c r="AL103" s="81" t="s">
        <v>268</v>
      </c>
      <c r="AM103" s="80">
        <v>1040</v>
      </c>
      <c r="AN103" s="57" t="s">
        <v>395</v>
      </c>
      <c r="AO103" s="93" t="s">
        <v>371</v>
      </c>
      <c r="AP103" s="58" t="s">
        <v>452</v>
      </c>
    </row>
    <row r="104" spans="1:42" ht="15.95" customHeight="1">
      <c r="A104" s="74">
        <v>136303</v>
      </c>
      <c r="B104" s="56" t="s">
        <v>126</v>
      </c>
      <c r="C104" s="77">
        <v>43</v>
      </c>
      <c r="D104" s="78" t="s">
        <v>394</v>
      </c>
      <c r="E104" s="79">
        <v>22</v>
      </c>
      <c r="F104" s="78" t="s">
        <v>394</v>
      </c>
      <c r="G104" s="79">
        <v>46</v>
      </c>
      <c r="H104" s="78" t="s">
        <v>394</v>
      </c>
      <c r="I104" s="79">
        <v>62</v>
      </c>
      <c r="J104" s="78" t="s">
        <v>394</v>
      </c>
      <c r="K104" s="79">
        <v>23</v>
      </c>
      <c r="L104" s="78" t="s">
        <v>394</v>
      </c>
      <c r="M104" s="79">
        <v>23</v>
      </c>
      <c r="N104" s="78" t="s">
        <v>394</v>
      </c>
      <c r="O104" s="79">
        <v>74</v>
      </c>
      <c r="P104" s="78" t="s">
        <v>394</v>
      </c>
      <c r="Q104" s="79">
        <v>23</v>
      </c>
      <c r="R104" s="78" t="s">
        <v>394</v>
      </c>
      <c r="S104" s="79">
        <v>46</v>
      </c>
      <c r="T104" s="78" t="s">
        <v>394</v>
      </c>
      <c r="U104" s="79">
        <v>64</v>
      </c>
      <c r="V104" s="78" t="s">
        <v>394</v>
      </c>
      <c r="W104" s="79">
        <v>23</v>
      </c>
      <c r="X104" s="78" t="s">
        <v>394</v>
      </c>
      <c r="Y104" s="79">
        <v>22</v>
      </c>
      <c r="Z104" s="78" t="s">
        <v>394</v>
      </c>
      <c r="AA104" s="79">
        <v>65</v>
      </c>
      <c r="AB104" s="78" t="s">
        <v>394</v>
      </c>
      <c r="AC104" s="79">
        <v>23</v>
      </c>
      <c r="AD104" s="78" t="s">
        <v>394</v>
      </c>
      <c r="AE104" s="79">
        <v>22</v>
      </c>
      <c r="AF104" s="78" t="s">
        <v>394</v>
      </c>
      <c r="AG104" s="79">
        <v>22</v>
      </c>
      <c r="AH104" s="78" t="s">
        <v>394</v>
      </c>
      <c r="AI104" s="79">
        <v>22</v>
      </c>
      <c r="AJ104" s="78" t="s">
        <v>394</v>
      </c>
      <c r="AK104" s="80">
        <v>625</v>
      </c>
      <c r="AL104" s="81" t="s">
        <v>285</v>
      </c>
      <c r="AM104" s="80">
        <v>1154</v>
      </c>
      <c r="AN104" s="57" t="s">
        <v>395</v>
      </c>
      <c r="AO104" s="93" t="s">
        <v>371</v>
      </c>
      <c r="AP104" s="58" t="s">
        <v>479</v>
      </c>
    </row>
    <row r="105" spans="1:42" ht="15.95" customHeight="1">
      <c r="A105" s="74">
        <v>136304</v>
      </c>
      <c r="B105" s="56" t="s">
        <v>127</v>
      </c>
      <c r="C105" s="77">
        <v>62</v>
      </c>
      <c r="D105" s="78" t="s">
        <v>394</v>
      </c>
      <c r="E105" s="79">
        <v>22</v>
      </c>
      <c r="F105" s="78" t="s">
        <v>394</v>
      </c>
      <c r="G105" s="79">
        <v>46</v>
      </c>
      <c r="H105" s="78" t="s">
        <v>394</v>
      </c>
      <c r="I105" s="79">
        <v>57</v>
      </c>
      <c r="J105" s="78" t="s">
        <v>394</v>
      </c>
      <c r="K105" s="79">
        <v>23</v>
      </c>
      <c r="L105" s="78" t="s">
        <v>394</v>
      </c>
      <c r="M105" s="79">
        <v>23</v>
      </c>
      <c r="N105" s="78" t="s">
        <v>394</v>
      </c>
      <c r="O105" s="79">
        <v>63</v>
      </c>
      <c r="P105" s="78" t="s">
        <v>394</v>
      </c>
      <c r="Q105" s="79">
        <v>23</v>
      </c>
      <c r="R105" s="78" t="s">
        <v>394</v>
      </c>
      <c r="S105" s="79">
        <v>44</v>
      </c>
      <c r="T105" s="78" t="s">
        <v>394</v>
      </c>
      <c r="U105" s="79">
        <v>59</v>
      </c>
      <c r="V105" s="78" t="s">
        <v>394</v>
      </c>
      <c r="W105" s="79">
        <v>23</v>
      </c>
      <c r="X105" s="78" t="s">
        <v>394</v>
      </c>
      <c r="Y105" s="79">
        <v>22</v>
      </c>
      <c r="Z105" s="78" t="s">
        <v>394</v>
      </c>
      <c r="AA105" s="79">
        <v>60</v>
      </c>
      <c r="AB105" s="78" t="s">
        <v>394</v>
      </c>
      <c r="AC105" s="79">
        <v>23</v>
      </c>
      <c r="AD105" s="78" t="s">
        <v>394</v>
      </c>
      <c r="AE105" s="79">
        <v>22</v>
      </c>
      <c r="AF105" s="78" t="s">
        <v>394</v>
      </c>
      <c r="AG105" s="79">
        <v>23</v>
      </c>
      <c r="AH105" s="78" t="s">
        <v>394</v>
      </c>
      <c r="AI105" s="79">
        <v>23</v>
      </c>
      <c r="AJ105" s="78" t="s">
        <v>394</v>
      </c>
      <c r="AK105" s="80">
        <v>618</v>
      </c>
      <c r="AL105" s="81" t="s">
        <v>286</v>
      </c>
      <c r="AM105" s="80">
        <v>1182</v>
      </c>
      <c r="AN105" s="57" t="s">
        <v>395</v>
      </c>
      <c r="AO105" s="93" t="s">
        <v>371</v>
      </c>
      <c r="AP105" s="58" t="s">
        <v>480</v>
      </c>
    </row>
    <row r="106" spans="1:42" ht="15.95" customHeight="1">
      <c r="A106" s="74">
        <v>136305</v>
      </c>
      <c r="B106" s="56" t="s">
        <v>128</v>
      </c>
      <c r="C106" s="77">
        <v>46</v>
      </c>
      <c r="D106" s="78" t="s">
        <v>394</v>
      </c>
      <c r="E106" s="79">
        <v>20</v>
      </c>
      <c r="F106" s="78" t="s">
        <v>394</v>
      </c>
      <c r="G106" s="79">
        <v>46</v>
      </c>
      <c r="H106" s="78" t="s">
        <v>394</v>
      </c>
      <c r="I106" s="79">
        <v>52</v>
      </c>
      <c r="J106" s="78" t="s">
        <v>394</v>
      </c>
      <c r="K106" s="79">
        <v>20</v>
      </c>
      <c r="L106" s="78" t="s">
        <v>394</v>
      </c>
      <c r="M106" s="79">
        <v>23</v>
      </c>
      <c r="N106" s="78" t="s">
        <v>394</v>
      </c>
      <c r="O106" s="79">
        <v>67</v>
      </c>
      <c r="P106" s="78" t="s">
        <v>394</v>
      </c>
      <c r="Q106" s="79">
        <v>20</v>
      </c>
      <c r="R106" s="78" t="s">
        <v>394</v>
      </c>
      <c r="S106" s="79">
        <v>44</v>
      </c>
      <c r="T106" s="78" t="s">
        <v>394</v>
      </c>
      <c r="U106" s="79">
        <v>55</v>
      </c>
      <c r="V106" s="78" t="s">
        <v>394</v>
      </c>
      <c r="W106" s="79">
        <v>20</v>
      </c>
      <c r="X106" s="78" t="s">
        <v>394</v>
      </c>
      <c r="Y106" s="79">
        <v>21</v>
      </c>
      <c r="Z106" s="78" t="s">
        <v>394</v>
      </c>
      <c r="AA106" s="79">
        <v>52</v>
      </c>
      <c r="AB106" s="78" t="s">
        <v>394</v>
      </c>
      <c r="AC106" s="79">
        <v>20</v>
      </c>
      <c r="AD106" s="78" t="s">
        <v>394</v>
      </c>
      <c r="AE106" s="79">
        <v>21</v>
      </c>
      <c r="AF106" s="78" t="s">
        <v>394</v>
      </c>
      <c r="AG106" s="79">
        <v>20</v>
      </c>
      <c r="AH106" s="78" t="s">
        <v>394</v>
      </c>
      <c r="AI106" s="79">
        <v>20</v>
      </c>
      <c r="AJ106" s="78" t="s">
        <v>394</v>
      </c>
      <c r="AK106" s="80">
        <v>567</v>
      </c>
      <c r="AL106" s="81" t="s">
        <v>267</v>
      </c>
      <c r="AM106" s="80">
        <v>1059</v>
      </c>
      <c r="AN106" s="57" t="s">
        <v>395</v>
      </c>
      <c r="AO106" s="93" t="s">
        <v>371</v>
      </c>
      <c r="AP106" s="58" t="s">
        <v>481</v>
      </c>
    </row>
    <row r="107" spans="1:42" ht="15.95" customHeight="1">
      <c r="A107" s="74">
        <v>136306</v>
      </c>
      <c r="B107" s="56" t="s">
        <v>129</v>
      </c>
      <c r="C107" s="77">
        <v>47</v>
      </c>
      <c r="D107" s="78" t="s">
        <v>394</v>
      </c>
      <c r="E107" s="79">
        <v>20</v>
      </c>
      <c r="F107" s="78" t="s">
        <v>394</v>
      </c>
      <c r="G107" s="79">
        <v>42</v>
      </c>
      <c r="H107" s="78" t="s">
        <v>394</v>
      </c>
      <c r="I107" s="79">
        <v>42</v>
      </c>
      <c r="J107" s="78" t="s">
        <v>394</v>
      </c>
      <c r="K107" s="79">
        <v>20</v>
      </c>
      <c r="L107" s="78" t="s">
        <v>394</v>
      </c>
      <c r="M107" s="79">
        <v>21</v>
      </c>
      <c r="N107" s="78" t="s">
        <v>394</v>
      </c>
      <c r="O107" s="79">
        <v>61</v>
      </c>
      <c r="P107" s="78" t="s">
        <v>394</v>
      </c>
      <c r="Q107" s="79">
        <v>20</v>
      </c>
      <c r="R107" s="78" t="s">
        <v>394</v>
      </c>
      <c r="S107" s="79">
        <v>44</v>
      </c>
      <c r="T107" s="78" t="s">
        <v>394</v>
      </c>
      <c r="U107" s="79">
        <v>48</v>
      </c>
      <c r="V107" s="78" t="s">
        <v>394</v>
      </c>
      <c r="W107" s="79">
        <v>20</v>
      </c>
      <c r="X107" s="78" t="s">
        <v>394</v>
      </c>
      <c r="Y107" s="79">
        <v>21</v>
      </c>
      <c r="Z107" s="78" t="s">
        <v>394</v>
      </c>
      <c r="AA107" s="79">
        <v>56</v>
      </c>
      <c r="AB107" s="78" t="s">
        <v>394</v>
      </c>
      <c r="AC107" s="79">
        <v>20</v>
      </c>
      <c r="AD107" s="78" t="s">
        <v>394</v>
      </c>
      <c r="AE107" s="79">
        <v>19</v>
      </c>
      <c r="AF107" s="78" t="s">
        <v>394</v>
      </c>
      <c r="AG107" s="79">
        <v>20</v>
      </c>
      <c r="AH107" s="78" t="s">
        <v>394</v>
      </c>
      <c r="AI107" s="79">
        <v>21</v>
      </c>
      <c r="AJ107" s="78" t="s">
        <v>394</v>
      </c>
      <c r="AK107" s="80">
        <v>542</v>
      </c>
      <c r="AL107" s="81" t="s">
        <v>287</v>
      </c>
      <c r="AM107" s="80">
        <v>1061</v>
      </c>
      <c r="AN107" s="57" t="s">
        <v>395</v>
      </c>
      <c r="AO107" s="93" t="s">
        <v>371</v>
      </c>
      <c r="AP107" s="58" t="s">
        <v>458</v>
      </c>
    </row>
    <row r="108" spans="1:42" ht="15.95" customHeight="1">
      <c r="A108" s="74">
        <v>136307</v>
      </c>
      <c r="B108" s="56" t="s">
        <v>130</v>
      </c>
      <c r="C108" s="77">
        <v>59</v>
      </c>
      <c r="D108" s="78" t="s">
        <v>394</v>
      </c>
      <c r="E108" s="79">
        <v>19</v>
      </c>
      <c r="F108" s="78" t="s">
        <v>394</v>
      </c>
      <c r="G108" s="79">
        <v>38</v>
      </c>
      <c r="H108" s="78" t="s">
        <v>394</v>
      </c>
      <c r="I108" s="79">
        <v>57</v>
      </c>
      <c r="J108" s="78" t="s">
        <v>394</v>
      </c>
      <c r="K108" s="79">
        <v>22</v>
      </c>
      <c r="L108" s="78" t="s">
        <v>394</v>
      </c>
      <c r="M108" s="79">
        <v>19</v>
      </c>
      <c r="N108" s="78" t="s">
        <v>394</v>
      </c>
      <c r="O108" s="79">
        <v>60</v>
      </c>
      <c r="P108" s="78" t="s">
        <v>394</v>
      </c>
      <c r="Q108" s="79">
        <v>21</v>
      </c>
      <c r="R108" s="78" t="s">
        <v>394</v>
      </c>
      <c r="S108" s="79">
        <v>42</v>
      </c>
      <c r="T108" s="78" t="s">
        <v>394</v>
      </c>
      <c r="U108" s="79">
        <v>52</v>
      </c>
      <c r="V108" s="78" t="s">
        <v>394</v>
      </c>
      <c r="W108" s="79">
        <v>21</v>
      </c>
      <c r="X108" s="78" t="s">
        <v>394</v>
      </c>
      <c r="Y108" s="79">
        <v>20</v>
      </c>
      <c r="Z108" s="78" t="s">
        <v>394</v>
      </c>
      <c r="AA108" s="79">
        <v>51</v>
      </c>
      <c r="AB108" s="78" t="s">
        <v>394</v>
      </c>
      <c r="AC108" s="79">
        <v>21</v>
      </c>
      <c r="AD108" s="78" t="s">
        <v>394</v>
      </c>
      <c r="AE108" s="79">
        <v>21</v>
      </c>
      <c r="AF108" s="78" t="s">
        <v>394</v>
      </c>
      <c r="AG108" s="79">
        <v>22</v>
      </c>
      <c r="AH108" s="78" t="s">
        <v>394</v>
      </c>
      <c r="AI108" s="79">
        <v>22</v>
      </c>
      <c r="AJ108" s="78" t="s">
        <v>394</v>
      </c>
      <c r="AK108" s="80">
        <v>567</v>
      </c>
      <c r="AL108" s="81" t="s">
        <v>232</v>
      </c>
      <c r="AM108" s="80">
        <v>1085</v>
      </c>
      <c r="AN108" s="57" t="s">
        <v>395</v>
      </c>
      <c r="AO108" s="93" t="s">
        <v>371</v>
      </c>
      <c r="AP108" s="58" t="s">
        <v>482</v>
      </c>
    </row>
    <row r="109" spans="1:42" ht="15.95" customHeight="1">
      <c r="A109" s="67">
        <v>136308</v>
      </c>
      <c r="B109" s="21" t="s">
        <v>131</v>
      </c>
      <c r="C109" s="24">
        <v>52</v>
      </c>
      <c r="D109" s="9"/>
      <c r="E109" s="22">
        <v>19</v>
      </c>
      <c r="F109" s="9"/>
      <c r="G109" s="22">
        <v>38</v>
      </c>
      <c r="H109" s="9"/>
      <c r="I109" s="29">
        <v>40</v>
      </c>
      <c r="J109" s="9"/>
      <c r="K109" s="22">
        <v>21</v>
      </c>
      <c r="L109" s="9"/>
      <c r="M109" s="22">
        <v>19</v>
      </c>
      <c r="N109" s="9"/>
      <c r="O109" s="29">
        <v>57</v>
      </c>
      <c r="P109" s="9"/>
      <c r="Q109" s="22">
        <v>21</v>
      </c>
      <c r="R109" s="9"/>
      <c r="S109" s="22">
        <v>38</v>
      </c>
      <c r="T109" s="9"/>
      <c r="U109" s="29">
        <v>58</v>
      </c>
      <c r="V109" s="9"/>
      <c r="W109" s="22">
        <v>20</v>
      </c>
      <c r="X109" s="9"/>
      <c r="Y109" s="22">
        <v>21</v>
      </c>
      <c r="Z109" s="9"/>
      <c r="AA109" s="29">
        <v>53</v>
      </c>
      <c r="AB109" s="9"/>
      <c r="AC109" s="22">
        <v>21</v>
      </c>
      <c r="AD109" s="9"/>
      <c r="AE109" s="22">
        <v>21</v>
      </c>
      <c r="AF109" s="9"/>
      <c r="AG109" s="22">
        <v>22</v>
      </c>
      <c r="AH109" s="9"/>
      <c r="AI109" s="22">
        <v>22</v>
      </c>
      <c r="AJ109" s="9"/>
      <c r="AK109" s="16">
        <f>IF(OR(AND(C109&gt;=31,C109&lt;40),AND(I109&gt;=31,I109&lt;40),AND(O109&gt;=31,O109&lt;40),AND(U109&gt;=31,U109&lt;40),AND(AA109&gt;=31,AA109&lt;40)),IF(AND(OR(COUNTIF(C109:AJ109,"=31")&gt;=1,COUNTIF(C109:AJ109,"=32")&gt;=1,COUNTIF(C109:AJ109,"=33")&gt;=1,COUNTIF(C109:AJ109,"=34")&gt;=1,COUNTIF(C109:AJ109,"=35")&gt;=1,COUNTIF(C109:AJ109,"=36")&gt;=1 ),COUNTIF(C109:AJ109,"")=0,COUNTIF(C109:AJ109," ")=0,COUNTIF(C109:AJ109,"F")=1),CONCATENATE(SUM(EXTRACTNUMBER(C109),EXTRACTNUMBER(E109),
EXTRACTNUMBER(G109),EXTRACTNUMBER(I109),
EXTRACTNUMBER(K109),EXTRACTNUMBER(M109),
EXTRACTNUMBER(O109),EXTRACTNUMBER(Q109),
EXTRACTNUMBER(S109),EXTRACTNUMBER(U109),
EXTRACTNUMBER(W109),EXTRACTNUMBER(Y109),EXTRACTNUMBER(AA109),
EXTRACTNUMBER(AC109),EXTRACTNUMBER(AE109),EXTRACTNUMBER(AG109),EXTRACTNUMBER(AI109)),"*"),IF(AND(COUNTIF(C109:AJ109,"=34")&gt;=1,COUNTIF(C109:AJ109,"=35")&gt;=1,COUNTIF(C109:AJ109,"f")=2,COUNTIF(C109:AJ109,"")=0,COUNTIF(C109:AJ109," ")=0),CONCATENATE(SUM(EXTRACTNUMBER(C109),EXTRACTNUMBER(E109),
EXTRACTNUMBER(G109),EXTRACTNUMBER(I109),
EXTRACTNUMBER(K109),EXTRACTNUMBER(M109),
EXTRACTNUMBER(O109),EXTRACTNUMBER(Q109),
EXTRACTNUMBER(S109),EXTRACTNUMBER(U109),
EXTRACTNUMBER(W109),EXTRACTNUMBER(Y109),EXTRACTNUMBER(AA109),
EXTRACTNUMBER(AC109),EXTRACTNUMBER(AE109),EXTRACTNUMBER(AG109),EXTRACTNUMBER(AI109)),"*"),IF(AND(COUNTIF(C109:AJ109,"=36")&gt;=2,COUNTIF(C109:AJ109,"f")=2,COUNTIF(C109:AJ109,"")=0,COUNTIF(C109:AJ109," ")=0),CONCATENATE(SUM(EXTRACTNUMBER(C109),EXTRACTNUMBER(E109),
EXTRACTNUMBER(G109),EXTRACTNUMBER(I109),
EXTRACTNUMBER(K109),EXTRACTNUMBER(M109),
EXTRACTNUMBER(O109),EXTRACTNUMBER(Q109),
EXTRACTNUMBER(S109),EXTRACTNUMBER(U109),
EXTRACTNUMBER(W109),EXTRACTNUMBER(Y109),EXTRACTNUMBER(AA109),
EXTRACTNUMBER(AC109),EXTRACTNUMBER(AE109),EXTRACTNUMBER(AG109),EXTRACTNUMBER(AI109)),"*"),SUM(EXTRACTNUMBER(C109),EXTRACTNUMBER(E109),
EXTRACTNUMBER(G109),EXTRACTNUMBER(I109),
EXTRACTNUMBER(K109),EXTRACTNUMBER(M109),
EXTRACTNUMBER(O109),EXTRACTNUMBER(Q109),
EXTRACTNUMBER(S109),EXTRACTNUMBER(U109),
EXTRACTNUMBER(W109),EXTRACTNUMBER(Y109),EXTRACTNUMBER(AA109),
EXTRACTNUMBER(AC109),EXTRACTNUMBER(AE109),EXTRACTNUMBER(AG109),EXTRACTNUMBER(AI109))))),SUM(EXTRACTNUMBER(C109),EXTRACTNUMBER(E109),
EXTRACTNUMBER(G109),EXTRACTNUMBER(I109),
EXTRACTNUMBER(K109),EXTRACTNUMBER(M109),
EXTRACTNUMBER(O109),EXTRACTNUMBER(Q109),
EXTRACTNUMBER(S109),EXTRACTNUMBER(U109),
EXTRACTNUMBER(W109),EXTRACTNUMBER(Y109),EXTRACTNUMBER(AA109),
EXTRACTNUMBER(AC109),EXTRACTNUMBER(AE109),EXTRACTNUMBER(AG109),EXTRACTNUMBER(AI109)))</f>
        <v>543</v>
      </c>
      <c r="AL109" s="72" t="s">
        <v>553</v>
      </c>
      <c r="AM109" s="11">
        <f t="shared" ref="AM109" si="35">IF(IFERROR(FIND("x",AL109),0),SUM(EXTRACTNUMBER(AK109),EXTRACTNUMBER(AL109)),IF(AND(SUM(EXTRACTNUMBER(AK109),EXTRACTNUMBER(AL109))&gt;1009,        SUM(EXTRACTNUMBER(AK109),EXTRACTNUMBER(AL109))&lt;1020),
CONCATENATE(SUM(EXTRACTNUMBER(AK109),EXTRACTNUMBER(AL109)),"@",1020-SUM(EXTRACTNUMBER(AK109),EXTRACTNUMBER(AL109))),
IF(AND(SUM(EXTRACTNUMBER(AK109),EXTRACTNUMBER(AL109))&gt;839,   SUM(EXTRACTNUMBER(AK109),EXTRACTNUMBER(AL109))&lt;850),CONCATENATE(SUM(EXTRACTNUMBER(AK109),EXTRACTNUMBER(AL109)),"@",850-SUM(EXTRACTNUMBER(AK109),EXTRACTNUMBER(AL109))),
IF(AND(SUM(EXTRACTNUMBER(AK109),EXTRACTNUMBER(AL109))&gt;669,        SUM(EXTRACTNUMBER(AK109),EXTRACTNUMBER(AL109))&lt;680),
CONCATENATE(SUM(EXTRACTNUMBER(AK109),EXTRACTNUMBER(AL109)),"@",680-SUM(EXTRACTNUMBER(AK109),EXTRACTNUMBER(AL109))),
SUM(EXTRACTNUMBER(AK109),EXTRACTNUMBER(AL109))))))</f>
        <v>1048</v>
      </c>
      <c r="AN109" s="11" t="str">
        <f t="shared" ref="AN109" si="36">IF(AND(COUNTIF(C109:AJ109,"AB")&lt;17-COUNTIF(C109:AJ109," "),
COUNTIF(C109:AJ109,"AB")&lt;&gt;0),"FAIL",
IF(COUNTIF(C109:AJ109,"AB")=17-COUNTIF(C109:AJ109," "),"ABSENT",
IF(AND(COUNTIF(C109:AJ109,"AB")=0,COUNTIF(C109:AJ109,"F")=0),"PASS","FAIL")))</f>
        <v>PASS</v>
      </c>
      <c r="AO109" s="11" t="str">
        <f t="shared" ref="AO109" si="37">IF(AN109="ABSENT","AB",IF(AN109="FAIL","--",
IF(AL109=0,"RS 5",
IF(AND(SUM(EXTRACTNUMBER(AK109),EXTRACTNUMBER(AL109))&gt;=1010,
        NOT(IFERROR(FIND("x",AK109),0)),
        NOT(IFERROR(FIND("x",AL109),0))),"I",
IF(AND(SUM(EXTRACTNUMBER(AK109),EXTRACTNUMBER(AL109))&gt;=850,
      SUM(EXTRACTNUMBER(AK109),EXTRACTNUMBER(AL109))&lt;1010,
      NOT(IFERROR(FIND("x",AK109),0)),
      NOT(IFERROR(FIND("x",AL109),0))),"II",
IF(OR(AND(SUM(EXTRACTNUMBER(AK109),EXTRACTNUMBER(AL109))&lt;850,
SUM(EXTRACTNUMBER(AK109),EXTRACTNUMBER(AL109))&gt;=670),
IFERROR(FIND("x",AK109),0),IFERROR(FIND("x",AL109),0)),"P","--"))))))</f>
        <v>P</v>
      </c>
      <c r="AP109" s="1" t="str">
        <f t="shared" ref="AP109" si="38">spellnumber(AM109)</f>
        <v xml:space="preserve">One Thousand Forty Eight </v>
      </c>
    </row>
    <row r="110" spans="1:42" ht="15.95" customHeight="1">
      <c r="A110" s="74">
        <v>136309</v>
      </c>
      <c r="B110" s="56" t="s">
        <v>132</v>
      </c>
      <c r="C110" s="77">
        <v>71</v>
      </c>
      <c r="D110" s="78" t="s">
        <v>394</v>
      </c>
      <c r="E110" s="79">
        <v>22</v>
      </c>
      <c r="F110" s="78" t="s">
        <v>394</v>
      </c>
      <c r="G110" s="79">
        <v>44</v>
      </c>
      <c r="H110" s="78" t="s">
        <v>394</v>
      </c>
      <c r="I110" s="79">
        <v>69</v>
      </c>
      <c r="J110" s="78" t="s">
        <v>394</v>
      </c>
      <c r="K110" s="79">
        <v>22</v>
      </c>
      <c r="L110" s="78" t="s">
        <v>394</v>
      </c>
      <c r="M110" s="79">
        <v>22</v>
      </c>
      <c r="N110" s="78" t="s">
        <v>394</v>
      </c>
      <c r="O110" s="79">
        <v>68</v>
      </c>
      <c r="P110" s="78" t="s">
        <v>394</v>
      </c>
      <c r="Q110" s="79">
        <v>22</v>
      </c>
      <c r="R110" s="78" t="s">
        <v>394</v>
      </c>
      <c r="S110" s="79">
        <v>38</v>
      </c>
      <c r="T110" s="78" t="s">
        <v>394</v>
      </c>
      <c r="U110" s="79">
        <v>61</v>
      </c>
      <c r="V110" s="78" t="s">
        <v>394</v>
      </c>
      <c r="W110" s="79">
        <v>22</v>
      </c>
      <c r="X110" s="78" t="s">
        <v>394</v>
      </c>
      <c r="Y110" s="79">
        <v>21</v>
      </c>
      <c r="Z110" s="78" t="s">
        <v>394</v>
      </c>
      <c r="AA110" s="79">
        <v>59</v>
      </c>
      <c r="AB110" s="78" t="s">
        <v>394</v>
      </c>
      <c r="AC110" s="79">
        <v>22</v>
      </c>
      <c r="AD110" s="78" t="s">
        <v>394</v>
      </c>
      <c r="AE110" s="79">
        <v>20</v>
      </c>
      <c r="AF110" s="78" t="s">
        <v>394</v>
      </c>
      <c r="AG110" s="79">
        <v>22</v>
      </c>
      <c r="AH110" s="78" t="s">
        <v>394</v>
      </c>
      <c r="AI110" s="79">
        <v>20</v>
      </c>
      <c r="AJ110" s="78" t="s">
        <v>394</v>
      </c>
      <c r="AK110" s="80">
        <v>625</v>
      </c>
      <c r="AL110" s="81" t="s">
        <v>227</v>
      </c>
      <c r="AM110" s="80">
        <v>1228</v>
      </c>
      <c r="AN110" s="57" t="s">
        <v>395</v>
      </c>
      <c r="AO110" s="93" t="s">
        <v>371</v>
      </c>
      <c r="AP110" s="58" t="s">
        <v>473</v>
      </c>
    </row>
    <row r="111" spans="1:42" ht="15.95" customHeight="1">
      <c r="A111" s="74">
        <v>136310</v>
      </c>
      <c r="B111" s="56" t="s">
        <v>133</v>
      </c>
      <c r="C111" s="77">
        <v>73</v>
      </c>
      <c r="D111" s="78" t="s">
        <v>394</v>
      </c>
      <c r="E111" s="79">
        <v>22</v>
      </c>
      <c r="F111" s="78" t="s">
        <v>394</v>
      </c>
      <c r="G111" s="79">
        <v>44</v>
      </c>
      <c r="H111" s="78" t="s">
        <v>394</v>
      </c>
      <c r="I111" s="79">
        <v>71</v>
      </c>
      <c r="J111" s="78" t="s">
        <v>394</v>
      </c>
      <c r="K111" s="79">
        <v>23</v>
      </c>
      <c r="L111" s="78" t="s">
        <v>394</v>
      </c>
      <c r="M111" s="79">
        <v>22</v>
      </c>
      <c r="N111" s="78" t="s">
        <v>394</v>
      </c>
      <c r="O111" s="79">
        <v>68</v>
      </c>
      <c r="P111" s="78" t="s">
        <v>394</v>
      </c>
      <c r="Q111" s="79">
        <v>20</v>
      </c>
      <c r="R111" s="78" t="s">
        <v>394</v>
      </c>
      <c r="S111" s="79">
        <v>44</v>
      </c>
      <c r="T111" s="78" t="s">
        <v>394</v>
      </c>
      <c r="U111" s="79">
        <v>68</v>
      </c>
      <c r="V111" s="78" t="s">
        <v>394</v>
      </c>
      <c r="W111" s="79">
        <v>20</v>
      </c>
      <c r="X111" s="78" t="s">
        <v>394</v>
      </c>
      <c r="Y111" s="79">
        <v>20</v>
      </c>
      <c r="Z111" s="78" t="s">
        <v>394</v>
      </c>
      <c r="AA111" s="79">
        <v>61</v>
      </c>
      <c r="AB111" s="78" t="s">
        <v>394</v>
      </c>
      <c r="AC111" s="79">
        <v>20</v>
      </c>
      <c r="AD111" s="78" t="s">
        <v>394</v>
      </c>
      <c r="AE111" s="79">
        <v>20</v>
      </c>
      <c r="AF111" s="78" t="s">
        <v>394</v>
      </c>
      <c r="AG111" s="79">
        <v>20</v>
      </c>
      <c r="AH111" s="78" t="s">
        <v>394</v>
      </c>
      <c r="AI111" s="79">
        <v>23</v>
      </c>
      <c r="AJ111" s="78" t="s">
        <v>394</v>
      </c>
      <c r="AK111" s="80">
        <v>639</v>
      </c>
      <c r="AL111" s="81" t="s">
        <v>288</v>
      </c>
      <c r="AM111" s="80">
        <v>1265</v>
      </c>
      <c r="AN111" s="57" t="s">
        <v>395</v>
      </c>
      <c r="AO111" s="93" t="s">
        <v>371</v>
      </c>
      <c r="AP111" s="58" t="s">
        <v>483</v>
      </c>
    </row>
    <row r="112" spans="1:42" ht="15.95" customHeight="1">
      <c r="A112" s="74">
        <v>136311</v>
      </c>
      <c r="B112" s="56" t="s">
        <v>134</v>
      </c>
      <c r="C112" s="77">
        <v>57</v>
      </c>
      <c r="D112" s="78" t="s">
        <v>394</v>
      </c>
      <c r="E112" s="79">
        <v>22</v>
      </c>
      <c r="F112" s="78" t="s">
        <v>394</v>
      </c>
      <c r="G112" s="79">
        <v>42</v>
      </c>
      <c r="H112" s="78" t="s">
        <v>394</v>
      </c>
      <c r="I112" s="79">
        <v>63</v>
      </c>
      <c r="J112" s="78" t="s">
        <v>394</v>
      </c>
      <c r="K112" s="79">
        <v>22</v>
      </c>
      <c r="L112" s="78" t="s">
        <v>394</v>
      </c>
      <c r="M112" s="79">
        <v>21</v>
      </c>
      <c r="N112" s="78" t="s">
        <v>394</v>
      </c>
      <c r="O112" s="79">
        <v>65</v>
      </c>
      <c r="P112" s="78" t="s">
        <v>394</v>
      </c>
      <c r="Q112" s="79">
        <v>20</v>
      </c>
      <c r="R112" s="78" t="s">
        <v>394</v>
      </c>
      <c r="S112" s="79">
        <v>42</v>
      </c>
      <c r="T112" s="78" t="s">
        <v>394</v>
      </c>
      <c r="U112" s="79">
        <v>63</v>
      </c>
      <c r="V112" s="78" t="s">
        <v>394</v>
      </c>
      <c r="W112" s="79">
        <v>22</v>
      </c>
      <c r="X112" s="78" t="s">
        <v>394</v>
      </c>
      <c r="Y112" s="79">
        <v>21</v>
      </c>
      <c r="Z112" s="78" t="s">
        <v>394</v>
      </c>
      <c r="AA112" s="79">
        <v>60</v>
      </c>
      <c r="AB112" s="78" t="s">
        <v>394</v>
      </c>
      <c r="AC112" s="79">
        <v>22</v>
      </c>
      <c r="AD112" s="78" t="s">
        <v>394</v>
      </c>
      <c r="AE112" s="79">
        <v>20</v>
      </c>
      <c r="AF112" s="78" t="s">
        <v>394</v>
      </c>
      <c r="AG112" s="79">
        <v>22</v>
      </c>
      <c r="AH112" s="78" t="s">
        <v>394</v>
      </c>
      <c r="AI112" s="79">
        <v>23</v>
      </c>
      <c r="AJ112" s="78" t="s">
        <v>394</v>
      </c>
      <c r="AK112" s="80">
        <v>607</v>
      </c>
      <c r="AL112" s="81" t="s">
        <v>289</v>
      </c>
      <c r="AM112" s="80">
        <v>1188</v>
      </c>
      <c r="AN112" s="57" t="s">
        <v>395</v>
      </c>
      <c r="AO112" s="93" t="s">
        <v>371</v>
      </c>
      <c r="AP112" s="58" t="s">
        <v>441</v>
      </c>
    </row>
    <row r="113" spans="1:42" ht="15.95" customHeight="1">
      <c r="A113" s="74">
        <v>136312</v>
      </c>
      <c r="B113" s="56" t="s">
        <v>135</v>
      </c>
      <c r="C113" s="77">
        <v>52</v>
      </c>
      <c r="D113" s="78" t="s">
        <v>394</v>
      </c>
      <c r="E113" s="79">
        <v>21</v>
      </c>
      <c r="F113" s="78" t="s">
        <v>394</v>
      </c>
      <c r="G113" s="79">
        <v>44</v>
      </c>
      <c r="H113" s="78" t="s">
        <v>394</v>
      </c>
      <c r="I113" s="79">
        <v>59</v>
      </c>
      <c r="J113" s="78" t="s">
        <v>394</v>
      </c>
      <c r="K113" s="79">
        <v>21</v>
      </c>
      <c r="L113" s="78" t="s">
        <v>394</v>
      </c>
      <c r="M113" s="79">
        <v>22</v>
      </c>
      <c r="N113" s="78" t="s">
        <v>394</v>
      </c>
      <c r="O113" s="79">
        <v>64</v>
      </c>
      <c r="P113" s="78" t="s">
        <v>394</v>
      </c>
      <c r="Q113" s="79">
        <v>21</v>
      </c>
      <c r="R113" s="78" t="s">
        <v>394</v>
      </c>
      <c r="S113" s="79">
        <v>42</v>
      </c>
      <c r="T113" s="78" t="s">
        <v>394</v>
      </c>
      <c r="U113" s="79">
        <v>51</v>
      </c>
      <c r="V113" s="78" t="s">
        <v>394</v>
      </c>
      <c r="W113" s="79">
        <v>21</v>
      </c>
      <c r="X113" s="78" t="s">
        <v>394</v>
      </c>
      <c r="Y113" s="79">
        <v>22</v>
      </c>
      <c r="Z113" s="78" t="s">
        <v>394</v>
      </c>
      <c r="AA113" s="79">
        <v>52</v>
      </c>
      <c r="AB113" s="78" t="s">
        <v>394</v>
      </c>
      <c r="AC113" s="79">
        <v>21</v>
      </c>
      <c r="AD113" s="78" t="s">
        <v>394</v>
      </c>
      <c r="AE113" s="79">
        <v>21</v>
      </c>
      <c r="AF113" s="78" t="s">
        <v>394</v>
      </c>
      <c r="AG113" s="79">
        <v>21</v>
      </c>
      <c r="AH113" s="78" t="s">
        <v>394</v>
      </c>
      <c r="AI113" s="79">
        <v>22</v>
      </c>
      <c r="AJ113" s="78" t="s">
        <v>394</v>
      </c>
      <c r="AK113" s="80">
        <v>577</v>
      </c>
      <c r="AL113" s="81" t="s">
        <v>290</v>
      </c>
      <c r="AM113" s="80">
        <v>1099</v>
      </c>
      <c r="AN113" s="57" t="s">
        <v>395</v>
      </c>
      <c r="AO113" s="93" t="s">
        <v>371</v>
      </c>
      <c r="AP113" s="58" t="s">
        <v>435</v>
      </c>
    </row>
    <row r="114" spans="1:42" ht="15.95" customHeight="1">
      <c r="A114" s="74">
        <v>136313</v>
      </c>
      <c r="B114" s="56" t="s">
        <v>136</v>
      </c>
      <c r="C114" s="77">
        <v>65</v>
      </c>
      <c r="D114" s="78" t="s">
        <v>394</v>
      </c>
      <c r="E114" s="79">
        <v>23</v>
      </c>
      <c r="F114" s="78" t="s">
        <v>394</v>
      </c>
      <c r="G114" s="79">
        <v>46</v>
      </c>
      <c r="H114" s="78" t="s">
        <v>394</v>
      </c>
      <c r="I114" s="79">
        <v>54</v>
      </c>
      <c r="J114" s="78" t="s">
        <v>394</v>
      </c>
      <c r="K114" s="79">
        <v>23</v>
      </c>
      <c r="L114" s="78" t="s">
        <v>394</v>
      </c>
      <c r="M114" s="79">
        <v>23</v>
      </c>
      <c r="N114" s="78" t="s">
        <v>394</v>
      </c>
      <c r="O114" s="79">
        <v>64</v>
      </c>
      <c r="P114" s="78" t="s">
        <v>394</v>
      </c>
      <c r="Q114" s="79">
        <v>23</v>
      </c>
      <c r="R114" s="78" t="s">
        <v>394</v>
      </c>
      <c r="S114" s="79">
        <v>44</v>
      </c>
      <c r="T114" s="78" t="s">
        <v>394</v>
      </c>
      <c r="U114" s="79">
        <v>64</v>
      </c>
      <c r="V114" s="78" t="s">
        <v>394</v>
      </c>
      <c r="W114" s="79">
        <v>23</v>
      </c>
      <c r="X114" s="78" t="s">
        <v>394</v>
      </c>
      <c r="Y114" s="79">
        <v>22</v>
      </c>
      <c r="Z114" s="78" t="s">
        <v>394</v>
      </c>
      <c r="AA114" s="79">
        <v>54</v>
      </c>
      <c r="AB114" s="78" t="s">
        <v>394</v>
      </c>
      <c r="AC114" s="79">
        <v>23</v>
      </c>
      <c r="AD114" s="78" t="s">
        <v>394</v>
      </c>
      <c r="AE114" s="79">
        <v>22</v>
      </c>
      <c r="AF114" s="78" t="s">
        <v>394</v>
      </c>
      <c r="AG114" s="79">
        <v>23</v>
      </c>
      <c r="AH114" s="78" t="s">
        <v>394</v>
      </c>
      <c r="AI114" s="79">
        <v>23</v>
      </c>
      <c r="AJ114" s="78" t="s">
        <v>394</v>
      </c>
      <c r="AK114" s="80">
        <v>619</v>
      </c>
      <c r="AL114" s="81" t="s">
        <v>291</v>
      </c>
      <c r="AM114" s="80">
        <v>1174</v>
      </c>
      <c r="AN114" s="57" t="s">
        <v>395</v>
      </c>
      <c r="AO114" s="93" t="s">
        <v>371</v>
      </c>
      <c r="AP114" s="58" t="s">
        <v>484</v>
      </c>
    </row>
    <row r="115" spans="1:42" ht="15.95" customHeight="1">
      <c r="A115" s="74">
        <v>136314</v>
      </c>
      <c r="B115" s="56" t="s">
        <v>137</v>
      </c>
      <c r="C115" s="77">
        <v>55</v>
      </c>
      <c r="D115" s="78" t="s">
        <v>394</v>
      </c>
      <c r="E115" s="79">
        <v>20</v>
      </c>
      <c r="F115" s="78" t="s">
        <v>394</v>
      </c>
      <c r="G115" s="79">
        <v>44</v>
      </c>
      <c r="H115" s="78" t="s">
        <v>394</v>
      </c>
      <c r="I115" s="79">
        <v>52</v>
      </c>
      <c r="J115" s="78" t="s">
        <v>394</v>
      </c>
      <c r="K115" s="79">
        <v>20</v>
      </c>
      <c r="L115" s="78" t="s">
        <v>394</v>
      </c>
      <c r="M115" s="79">
        <v>22</v>
      </c>
      <c r="N115" s="78" t="s">
        <v>394</v>
      </c>
      <c r="O115" s="79">
        <v>62</v>
      </c>
      <c r="P115" s="78" t="s">
        <v>394</v>
      </c>
      <c r="Q115" s="79">
        <v>20</v>
      </c>
      <c r="R115" s="78" t="s">
        <v>394</v>
      </c>
      <c r="S115" s="79">
        <v>42</v>
      </c>
      <c r="T115" s="78" t="s">
        <v>394</v>
      </c>
      <c r="U115" s="79">
        <v>58</v>
      </c>
      <c r="V115" s="78" t="s">
        <v>394</v>
      </c>
      <c r="W115" s="79">
        <v>20</v>
      </c>
      <c r="X115" s="78" t="s">
        <v>394</v>
      </c>
      <c r="Y115" s="79">
        <v>21</v>
      </c>
      <c r="Z115" s="78" t="s">
        <v>394</v>
      </c>
      <c r="AA115" s="79">
        <v>53</v>
      </c>
      <c r="AB115" s="78" t="s">
        <v>394</v>
      </c>
      <c r="AC115" s="79">
        <v>20</v>
      </c>
      <c r="AD115" s="78" t="s">
        <v>394</v>
      </c>
      <c r="AE115" s="79">
        <v>21</v>
      </c>
      <c r="AF115" s="78" t="s">
        <v>394</v>
      </c>
      <c r="AG115" s="79">
        <v>20</v>
      </c>
      <c r="AH115" s="78" t="s">
        <v>394</v>
      </c>
      <c r="AI115" s="79">
        <v>22</v>
      </c>
      <c r="AJ115" s="78" t="s">
        <v>394</v>
      </c>
      <c r="AK115" s="80">
        <v>572</v>
      </c>
      <c r="AL115" s="81" t="s">
        <v>292</v>
      </c>
      <c r="AM115" s="80">
        <v>1132</v>
      </c>
      <c r="AN115" s="57" t="s">
        <v>395</v>
      </c>
      <c r="AO115" s="93" t="s">
        <v>371</v>
      </c>
      <c r="AP115" s="58" t="s">
        <v>485</v>
      </c>
    </row>
    <row r="116" spans="1:42" ht="15.95" customHeight="1">
      <c r="A116" s="74">
        <v>136315</v>
      </c>
      <c r="B116" s="56" t="s">
        <v>138</v>
      </c>
      <c r="C116" s="77">
        <v>62</v>
      </c>
      <c r="D116" s="78" t="s">
        <v>394</v>
      </c>
      <c r="E116" s="79">
        <v>20</v>
      </c>
      <c r="F116" s="78" t="s">
        <v>394</v>
      </c>
      <c r="G116" s="79">
        <v>44</v>
      </c>
      <c r="H116" s="78" t="s">
        <v>394</v>
      </c>
      <c r="I116" s="79">
        <v>47</v>
      </c>
      <c r="J116" s="78" t="s">
        <v>394</v>
      </c>
      <c r="K116" s="79">
        <v>20</v>
      </c>
      <c r="L116" s="78" t="s">
        <v>394</v>
      </c>
      <c r="M116" s="79">
        <v>22</v>
      </c>
      <c r="N116" s="78" t="s">
        <v>394</v>
      </c>
      <c r="O116" s="79">
        <v>64</v>
      </c>
      <c r="P116" s="78" t="s">
        <v>394</v>
      </c>
      <c r="Q116" s="79">
        <v>20</v>
      </c>
      <c r="R116" s="78" t="s">
        <v>394</v>
      </c>
      <c r="S116" s="79">
        <v>42</v>
      </c>
      <c r="T116" s="78" t="s">
        <v>394</v>
      </c>
      <c r="U116" s="79">
        <v>59</v>
      </c>
      <c r="V116" s="78" t="s">
        <v>394</v>
      </c>
      <c r="W116" s="79">
        <v>20</v>
      </c>
      <c r="X116" s="78" t="s">
        <v>394</v>
      </c>
      <c r="Y116" s="79">
        <v>21</v>
      </c>
      <c r="Z116" s="78" t="s">
        <v>394</v>
      </c>
      <c r="AA116" s="79">
        <v>49</v>
      </c>
      <c r="AB116" s="78" t="s">
        <v>394</v>
      </c>
      <c r="AC116" s="79">
        <v>20</v>
      </c>
      <c r="AD116" s="78" t="s">
        <v>394</v>
      </c>
      <c r="AE116" s="79">
        <v>21</v>
      </c>
      <c r="AF116" s="78" t="s">
        <v>394</v>
      </c>
      <c r="AG116" s="79">
        <v>20</v>
      </c>
      <c r="AH116" s="78" t="s">
        <v>394</v>
      </c>
      <c r="AI116" s="79">
        <v>20</v>
      </c>
      <c r="AJ116" s="78" t="s">
        <v>394</v>
      </c>
      <c r="AK116" s="80">
        <v>571</v>
      </c>
      <c r="AL116" s="81" t="s">
        <v>289</v>
      </c>
      <c r="AM116" s="80">
        <v>1152</v>
      </c>
      <c r="AN116" s="57" t="s">
        <v>395</v>
      </c>
      <c r="AO116" s="93" t="s">
        <v>371</v>
      </c>
      <c r="AP116" s="58" t="s">
        <v>486</v>
      </c>
    </row>
    <row r="117" spans="1:42" ht="15.95" customHeight="1">
      <c r="A117" s="74">
        <v>136316</v>
      </c>
      <c r="B117" s="56" t="s">
        <v>139</v>
      </c>
      <c r="C117" s="77">
        <v>56</v>
      </c>
      <c r="D117" s="78" t="s">
        <v>394</v>
      </c>
      <c r="E117" s="79">
        <v>20</v>
      </c>
      <c r="F117" s="78" t="s">
        <v>394</v>
      </c>
      <c r="G117" s="79">
        <v>40</v>
      </c>
      <c r="H117" s="78" t="s">
        <v>394</v>
      </c>
      <c r="I117" s="79">
        <v>49</v>
      </c>
      <c r="J117" s="78" t="s">
        <v>394</v>
      </c>
      <c r="K117" s="79">
        <v>21</v>
      </c>
      <c r="L117" s="78" t="s">
        <v>394</v>
      </c>
      <c r="M117" s="79">
        <v>20</v>
      </c>
      <c r="N117" s="78" t="s">
        <v>394</v>
      </c>
      <c r="O117" s="79">
        <v>61</v>
      </c>
      <c r="P117" s="78" t="s">
        <v>394</v>
      </c>
      <c r="Q117" s="79">
        <v>21</v>
      </c>
      <c r="R117" s="78" t="s">
        <v>394</v>
      </c>
      <c r="S117" s="79">
        <v>40</v>
      </c>
      <c r="T117" s="78" t="s">
        <v>394</v>
      </c>
      <c r="U117" s="79">
        <v>68</v>
      </c>
      <c r="V117" s="78" t="s">
        <v>394</v>
      </c>
      <c r="W117" s="79">
        <v>21</v>
      </c>
      <c r="X117" s="78" t="s">
        <v>394</v>
      </c>
      <c r="Y117" s="79">
        <v>22</v>
      </c>
      <c r="Z117" s="78" t="s">
        <v>394</v>
      </c>
      <c r="AA117" s="79">
        <v>52</v>
      </c>
      <c r="AB117" s="78" t="s">
        <v>394</v>
      </c>
      <c r="AC117" s="79">
        <v>21</v>
      </c>
      <c r="AD117" s="78" t="s">
        <v>394</v>
      </c>
      <c r="AE117" s="79">
        <v>22</v>
      </c>
      <c r="AF117" s="78" t="s">
        <v>394</v>
      </c>
      <c r="AG117" s="79">
        <v>21</v>
      </c>
      <c r="AH117" s="78" t="s">
        <v>394</v>
      </c>
      <c r="AI117" s="79">
        <v>21</v>
      </c>
      <c r="AJ117" s="78" t="s">
        <v>394</v>
      </c>
      <c r="AK117" s="80">
        <v>576</v>
      </c>
      <c r="AL117" s="81" t="s">
        <v>275</v>
      </c>
      <c r="AM117" s="80">
        <v>1119</v>
      </c>
      <c r="AN117" s="57" t="s">
        <v>395</v>
      </c>
      <c r="AO117" s="93" t="s">
        <v>371</v>
      </c>
      <c r="AP117" s="58" t="s">
        <v>487</v>
      </c>
    </row>
    <row r="118" spans="1:42" ht="15.95" customHeight="1">
      <c r="A118" s="74">
        <v>136317</v>
      </c>
      <c r="B118" s="56" t="s">
        <v>140</v>
      </c>
      <c r="C118" s="77">
        <v>73</v>
      </c>
      <c r="D118" s="78" t="s">
        <v>394</v>
      </c>
      <c r="E118" s="79">
        <v>23</v>
      </c>
      <c r="F118" s="78" t="s">
        <v>394</v>
      </c>
      <c r="G118" s="79">
        <v>44</v>
      </c>
      <c r="H118" s="78" t="s">
        <v>394</v>
      </c>
      <c r="I118" s="79">
        <v>70</v>
      </c>
      <c r="J118" s="78" t="s">
        <v>394</v>
      </c>
      <c r="K118" s="79">
        <v>23</v>
      </c>
      <c r="L118" s="78" t="s">
        <v>394</v>
      </c>
      <c r="M118" s="79">
        <v>22</v>
      </c>
      <c r="N118" s="78" t="s">
        <v>394</v>
      </c>
      <c r="O118" s="79">
        <v>76</v>
      </c>
      <c r="P118" s="78" t="s">
        <v>394</v>
      </c>
      <c r="Q118" s="79">
        <v>23</v>
      </c>
      <c r="R118" s="78" t="s">
        <v>394</v>
      </c>
      <c r="S118" s="79">
        <v>44</v>
      </c>
      <c r="T118" s="78" t="s">
        <v>394</v>
      </c>
      <c r="U118" s="79">
        <v>78</v>
      </c>
      <c r="V118" s="78" t="s">
        <v>394</v>
      </c>
      <c r="W118" s="79">
        <v>23</v>
      </c>
      <c r="X118" s="78" t="s">
        <v>394</v>
      </c>
      <c r="Y118" s="79">
        <v>22</v>
      </c>
      <c r="Z118" s="78" t="s">
        <v>394</v>
      </c>
      <c r="AA118" s="79">
        <v>66</v>
      </c>
      <c r="AB118" s="78" t="s">
        <v>394</v>
      </c>
      <c r="AC118" s="79">
        <v>23</v>
      </c>
      <c r="AD118" s="78" t="s">
        <v>394</v>
      </c>
      <c r="AE118" s="79">
        <v>21</v>
      </c>
      <c r="AF118" s="78" t="s">
        <v>394</v>
      </c>
      <c r="AG118" s="79">
        <v>22</v>
      </c>
      <c r="AH118" s="78" t="s">
        <v>394</v>
      </c>
      <c r="AI118" s="79">
        <v>22</v>
      </c>
      <c r="AJ118" s="78" t="s">
        <v>394</v>
      </c>
      <c r="AK118" s="80">
        <v>675</v>
      </c>
      <c r="AL118" s="81" t="s">
        <v>293</v>
      </c>
      <c r="AM118" s="80">
        <v>1261</v>
      </c>
      <c r="AN118" s="57" t="s">
        <v>395</v>
      </c>
      <c r="AO118" s="93" t="s">
        <v>371</v>
      </c>
      <c r="AP118" s="58" t="s">
        <v>488</v>
      </c>
    </row>
    <row r="119" spans="1:42" ht="15.95" customHeight="1">
      <c r="A119" s="74">
        <v>136318</v>
      </c>
      <c r="B119" s="56" t="s">
        <v>141</v>
      </c>
      <c r="C119" s="77">
        <v>58</v>
      </c>
      <c r="D119" s="78" t="s">
        <v>394</v>
      </c>
      <c r="E119" s="79">
        <v>21</v>
      </c>
      <c r="F119" s="78" t="s">
        <v>394</v>
      </c>
      <c r="G119" s="79">
        <v>42</v>
      </c>
      <c r="H119" s="78" t="s">
        <v>394</v>
      </c>
      <c r="I119" s="79">
        <v>47</v>
      </c>
      <c r="J119" s="78" t="s">
        <v>394</v>
      </c>
      <c r="K119" s="79">
        <v>20</v>
      </c>
      <c r="L119" s="78" t="s">
        <v>394</v>
      </c>
      <c r="M119" s="79">
        <v>21</v>
      </c>
      <c r="N119" s="78" t="s">
        <v>394</v>
      </c>
      <c r="O119" s="79">
        <v>74</v>
      </c>
      <c r="P119" s="78" t="s">
        <v>394</v>
      </c>
      <c r="Q119" s="79">
        <v>23</v>
      </c>
      <c r="R119" s="78" t="s">
        <v>394</v>
      </c>
      <c r="S119" s="79">
        <v>42</v>
      </c>
      <c r="T119" s="78" t="s">
        <v>394</v>
      </c>
      <c r="U119" s="79">
        <v>65</v>
      </c>
      <c r="V119" s="78" t="s">
        <v>394</v>
      </c>
      <c r="W119" s="79">
        <v>23</v>
      </c>
      <c r="X119" s="78" t="s">
        <v>394</v>
      </c>
      <c r="Y119" s="79">
        <v>22</v>
      </c>
      <c r="Z119" s="78" t="s">
        <v>394</v>
      </c>
      <c r="AA119" s="79">
        <v>54</v>
      </c>
      <c r="AB119" s="78" t="s">
        <v>394</v>
      </c>
      <c r="AC119" s="79">
        <v>23</v>
      </c>
      <c r="AD119" s="78" t="s">
        <v>394</v>
      </c>
      <c r="AE119" s="79">
        <v>20</v>
      </c>
      <c r="AF119" s="78" t="s">
        <v>394</v>
      </c>
      <c r="AG119" s="79">
        <v>23</v>
      </c>
      <c r="AH119" s="78" t="s">
        <v>394</v>
      </c>
      <c r="AI119" s="79">
        <v>23</v>
      </c>
      <c r="AJ119" s="78" t="s">
        <v>394</v>
      </c>
      <c r="AK119" s="80">
        <v>601</v>
      </c>
      <c r="AL119" s="81" t="s">
        <v>294</v>
      </c>
      <c r="AM119" s="80">
        <v>1166</v>
      </c>
      <c r="AN119" s="57" t="s">
        <v>395</v>
      </c>
      <c r="AO119" s="93" t="s">
        <v>371</v>
      </c>
      <c r="AP119" s="58" t="s">
        <v>489</v>
      </c>
    </row>
    <row r="120" spans="1:42" ht="15.95" customHeight="1">
      <c r="A120" s="74">
        <v>136319</v>
      </c>
      <c r="B120" s="56" t="s">
        <v>142</v>
      </c>
      <c r="C120" s="77">
        <v>70</v>
      </c>
      <c r="D120" s="78" t="s">
        <v>394</v>
      </c>
      <c r="E120" s="79">
        <v>21</v>
      </c>
      <c r="F120" s="78" t="s">
        <v>394</v>
      </c>
      <c r="G120" s="79">
        <v>44</v>
      </c>
      <c r="H120" s="78" t="s">
        <v>394</v>
      </c>
      <c r="I120" s="79">
        <v>68</v>
      </c>
      <c r="J120" s="78" t="s">
        <v>394</v>
      </c>
      <c r="K120" s="79">
        <v>22</v>
      </c>
      <c r="L120" s="78" t="s">
        <v>394</v>
      </c>
      <c r="M120" s="79">
        <v>22</v>
      </c>
      <c r="N120" s="78" t="s">
        <v>394</v>
      </c>
      <c r="O120" s="79">
        <v>66</v>
      </c>
      <c r="P120" s="78" t="s">
        <v>394</v>
      </c>
      <c r="Q120" s="79">
        <v>22</v>
      </c>
      <c r="R120" s="78" t="s">
        <v>394</v>
      </c>
      <c r="S120" s="79">
        <v>42</v>
      </c>
      <c r="T120" s="78" t="s">
        <v>394</v>
      </c>
      <c r="U120" s="79">
        <v>57</v>
      </c>
      <c r="V120" s="78" t="s">
        <v>394</v>
      </c>
      <c r="W120" s="79">
        <v>22</v>
      </c>
      <c r="X120" s="78" t="s">
        <v>394</v>
      </c>
      <c r="Y120" s="79">
        <v>22</v>
      </c>
      <c r="Z120" s="78" t="s">
        <v>394</v>
      </c>
      <c r="AA120" s="79">
        <v>51</v>
      </c>
      <c r="AB120" s="78" t="s">
        <v>394</v>
      </c>
      <c r="AC120" s="79">
        <v>22</v>
      </c>
      <c r="AD120" s="78" t="s">
        <v>394</v>
      </c>
      <c r="AE120" s="79">
        <v>22</v>
      </c>
      <c r="AF120" s="78" t="s">
        <v>394</v>
      </c>
      <c r="AG120" s="79">
        <v>23</v>
      </c>
      <c r="AH120" s="78" t="s">
        <v>394</v>
      </c>
      <c r="AI120" s="79">
        <v>24</v>
      </c>
      <c r="AJ120" s="78" t="s">
        <v>394</v>
      </c>
      <c r="AK120" s="80">
        <v>620</v>
      </c>
      <c r="AL120" s="81" t="s">
        <v>282</v>
      </c>
      <c r="AM120" s="80">
        <v>1195</v>
      </c>
      <c r="AN120" s="57" t="s">
        <v>395</v>
      </c>
      <c r="AO120" s="93" t="s">
        <v>371</v>
      </c>
      <c r="AP120" s="58" t="s">
        <v>490</v>
      </c>
    </row>
    <row r="121" spans="1:42" ht="15.95" customHeight="1">
      <c r="A121" s="74">
        <v>136320</v>
      </c>
      <c r="B121" s="56" t="s">
        <v>143</v>
      </c>
      <c r="C121" s="77">
        <v>62</v>
      </c>
      <c r="D121" s="78" t="s">
        <v>394</v>
      </c>
      <c r="E121" s="79">
        <v>20</v>
      </c>
      <c r="F121" s="78" t="s">
        <v>394</v>
      </c>
      <c r="G121" s="79">
        <v>38</v>
      </c>
      <c r="H121" s="78" t="s">
        <v>394</v>
      </c>
      <c r="I121" s="79">
        <v>47</v>
      </c>
      <c r="J121" s="78" t="s">
        <v>394</v>
      </c>
      <c r="K121" s="79">
        <v>21</v>
      </c>
      <c r="L121" s="78" t="s">
        <v>394</v>
      </c>
      <c r="M121" s="79">
        <v>20</v>
      </c>
      <c r="N121" s="78" t="s">
        <v>394</v>
      </c>
      <c r="O121" s="79">
        <v>66</v>
      </c>
      <c r="P121" s="78" t="s">
        <v>394</v>
      </c>
      <c r="Q121" s="79">
        <v>20</v>
      </c>
      <c r="R121" s="78" t="s">
        <v>394</v>
      </c>
      <c r="S121" s="79">
        <v>38</v>
      </c>
      <c r="T121" s="78" t="s">
        <v>394</v>
      </c>
      <c r="U121" s="79">
        <v>52</v>
      </c>
      <c r="V121" s="78" t="s">
        <v>394</v>
      </c>
      <c r="W121" s="79">
        <v>20</v>
      </c>
      <c r="X121" s="78" t="s">
        <v>394</v>
      </c>
      <c r="Y121" s="79">
        <v>21</v>
      </c>
      <c r="Z121" s="78" t="s">
        <v>394</v>
      </c>
      <c r="AA121" s="79">
        <v>54</v>
      </c>
      <c r="AB121" s="78" t="s">
        <v>394</v>
      </c>
      <c r="AC121" s="79">
        <v>20</v>
      </c>
      <c r="AD121" s="78" t="s">
        <v>394</v>
      </c>
      <c r="AE121" s="79">
        <v>23</v>
      </c>
      <c r="AF121" s="78" t="s">
        <v>394</v>
      </c>
      <c r="AG121" s="79">
        <v>20</v>
      </c>
      <c r="AH121" s="78" t="s">
        <v>394</v>
      </c>
      <c r="AI121" s="79">
        <v>23</v>
      </c>
      <c r="AJ121" s="78" t="s">
        <v>394</v>
      </c>
      <c r="AK121" s="80">
        <v>565</v>
      </c>
      <c r="AL121" s="81" t="s">
        <v>263</v>
      </c>
      <c r="AM121" s="80">
        <v>1081</v>
      </c>
      <c r="AN121" s="57" t="s">
        <v>395</v>
      </c>
      <c r="AO121" s="93" t="s">
        <v>371</v>
      </c>
      <c r="AP121" s="58" t="s">
        <v>491</v>
      </c>
    </row>
    <row r="122" spans="1:42" ht="15.95" customHeight="1">
      <c r="A122" s="74">
        <v>136321</v>
      </c>
      <c r="B122" s="56" t="s">
        <v>144</v>
      </c>
      <c r="C122" s="77">
        <v>45</v>
      </c>
      <c r="D122" s="78" t="s">
        <v>394</v>
      </c>
      <c r="E122" s="79">
        <v>20</v>
      </c>
      <c r="F122" s="78" t="s">
        <v>394</v>
      </c>
      <c r="G122" s="79">
        <v>40</v>
      </c>
      <c r="H122" s="78" t="s">
        <v>394</v>
      </c>
      <c r="I122" s="79" t="s">
        <v>315</v>
      </c>
      <c r="J122" s="78" t="s">
        <v>394</v>
      </c>
      <c r="K122" s="79">
        <v>22</v>
      </c>
      <c r="L122" s="78" t="s">
        <v>394</v>
      </c>
      <c r="M122" s="79">
        <v>20</v>
      </c>
      <c r="N122" s="78" t="s">
        <v>394</v>
      </c>
      <c r="O122" s="79">
        <v>62</v>
      </c>
      <c r="P122" s="78" t="s">
        <v>394</v>
      </c>
      <c r="Q122" s="79">
        <v>21</v>
      </c>
      <c r="R122" s="78" t="s">
        <v>394</v>
      </c>
      <c r="S122" s="79">
        <v>38</v>
      </c>
      <c r="T122" s="78" t="s">
        <v>394</v>
      </c>
      <c r="U122" s="79">
        <v>40</v>
      </c>
      <c r="V122" s="78" t="s">
        <v>394</v>
      </c>
      <c r="W122" s="79">
        <v>21</v>
      </c>
      <c r="X122" s="78" t="s">
        <v>394</v>
      </c>
      <c r="Y122" s="79">
        <v>21</v>
      </c>
      <c r="Z122" s="78" t="s">
        <v>394</v>
      </c>
      <c r="AA122" s="79">
        <v>43</v>
      </c>
      <c r="AB122" s="78" t="s">
        <v>394</v>
      </c>
      <c r="AC122" s="79">
        <v>21</v>
      </c>
      <c r="AD122" s="78" t="s">
        <v>394</v>
      </c>
      <c r="AE122" s="79">
        <v>19</v>
      </c>
      <c r="AF122" s="78" t="s">
        <v>394</v>
      </c>
      <c r="AG122" s="79">
        <v>21</v>
      </c>
      <c r="AH122" s="78" t="s">
        <v>394</v>
      </c>
      <c r="AI122" s="79">
        <v>22</v>
      </c>
      <c r="AJ122" s="78" t="s">
        <v>394</v>
      </c>
      <c r="AK122" s="80" t="s">
        <v>319</v>
      </c>
      <c r="AL122" s="81" t="s">
        <v>261</v>
      </c>
      <c r="AM122" s="80">
        <v>1021</v>
      </c>
      <c r="AN122" s="57" t="s">
        <v>395</v>
      </c>
      <c r="AO122" s="93" t="s">
        <v>371</v>
      </c>
      <c r="AP122" s="58" t="s">
        <v>478</v>
      </c>
    </row>
    <row r="123" spans="1:42" ht="15.95" customHeight="1">
      <c r="A123" s="74">
        <v>136322</v>
      </c>
      <c r="B123" s="56" t="s">
        <v>145</v>
      </c>
      <c r="C123" s="77">
        <v>51</v>
      </c>
      <c r="D123" s="78" t="s">
        <v>394</v>
      </c>
      <c r="E123" s="79">
        <v>20</v>
      </c>
      <c r="F123" s="78" t="s">
        <v>394</v>
      </c>
      <c r="G123" s="79">
        <v>40</v>
      </c>
      <c r="H123" s="78" t="s">
        <v>394</v>
      </c>
      <c r="I123" s="79">
        <v>40</v>
      </c>
      <c r="J123" s="78" t="s">
        <v>394</v>
      </c>
      <c r="K123" s="79">
        <v>22</v>
      </c>
      <c r="L123" s="78" t="s">
        <v>394</v>
      </c>
      <c r="M123" s="79">
        <v>20</v>
      </c>
      <c r="N123" s="78" t="s">
        <v>394</v>
      </c>
      <c r="O123" s="79">
        <v>67</v>
      </c>
      <c r="P123" s="78" t="s">
        <v>394</v>
      </c>
      <c r="Q123" s="79">
        <v>22</v>
      </c>
      <c r="R123" s="78" t="s">
        <v>394</v>
      </c>
      <c r="S123" s="79">
        <v>40</v>
      </c>
      <c r="T123" s="78" t="s">
        <v>394</v>
      </c>
      <c r="U123" s="79">
        <v>44</v>
      </c>
      <c r="V123" s="78" t="s">
        <v>394</v>
      </c>
      <c r="W123" s="79">
        <v>22</v>
      </c>
      <c r="X123" s="78" t="s">
        <v>394</v>
      </c>
      <c r="Y123" s="79">
        <v>21</v>
      </c>
      <c r="Z123" s="78" t="s">
        <v>394</v>
      </c>
      <c r="AA123" s="79">
        <v>49</v>
      </c>
      <c r="AB123" s="78" t="s">
        <v>394</v>
      </c>
      <c r="AC123" s="79">
        <v>22</v>
      </c>
      <c r="AD123" s="78" t="s">
        <v>394</v>
      </c>
      <c r="AE123" s="79">
        <v>21</v>
      </c>
      <c r="AF123" s="78" t="s">
        <v>394</v>
      </c>
      <c r="AG123" s="79">
        <v>21</v>
      </c>
      <c r="AH123" s="78" t="s">
        <v>394</v>
      </c>
      <c r="AI123" s="79">
        <v>22</v>
      </c>
      <c r="AJ123" s="78" t="s">
        <v>394</v>
      </c>
      <c r="AK123" s="80">
        <v>544</v>
      </c>
      <c r="AL123" s="81" t="s">
        <v>295</v>
      </c>
      <c r="AM123" s="80">
        <v>1069</v>
      </c>
      <c r="AN123" s="57" t="s">
        <v>395</v>
      </c>
      <c r="AO123" s="93" t="s">
        <v>371</v>
      </c>
      <c r="AP123" s="58" t="s">
        <v>492</v>
      </c>
    </row>
    <row r="124" spans="1:42" ht="15.95" customHeight="1">
      <c r="A124" s="67">
        <v>136323</v>
      </c>
      <c r="B124" s="21" t="s">
        <v>146</v>
      </c>
      <c r="C124" s="24">
        <v>57</v>
      </c>
      <c r="D124" s="9"/>
      <c r="E124" s="22">
        <v>23</v>
      </c>
      <c r="F124" s="9"/>
      <c r="G124" s="22">
        <v>44</v>
      </c>
      <c r="H124" s="9"/>
      <c r="I124" s="29">
        <v>45</v>
      </c>
      <c r="J124" s="9"/>
      <c r="K124" s="22">
        <v>23</v>
      </c>
      <c r="L124" s="9"/>
      <c r="M124" s="22">
        <v>22</v>
      </c>
      <c r="N124" s="9"/>
      <c r="O124" s="29">
        <v>67</v>
      </c>
      <c r="P124" s="9"/>
      <c r="Q124" s="22">
        <v>23</v>
      </c>
      <c r="R124" s="9"/>
      <c r="S124" s="22">
        <v>42</v>
      </c>
      <c r="T124" s="9"/>
      <c r="U124" s="29">
        <v>51</v>
      </c>
      <c r="V124" s="9"/>
      <c r="W124" s="22">
        <v>23</v>
      </c>
      <c r="X124" s="9"/>
      <c r="Y124" s="22">
        <v>22</v>
      </c>
      <c r="Z124" s="9"/>
      <c r="AA124" s="29">
        <v>44</v>
      </c>
      <c r="AB124" s="9"/>
      <c r="AC124" s="22">
        <v>23</v>
      </c>
      <c r="AD124" s="9"/>
      <c r="AE124" s="22">
        <v>22</v>
      </c>
      <c r="AF124" s="9"/>
      <c r="AG124" s="22">
        <v>23</v>
      </c>
      <c r="AH124" s="9"/>
      <c r="AI124" s="22">
        <v>23</v>
      </c>
      <c r="AJ124" s="9"/>
      <c r="AK124" s="16">
        <f>IF(OR(AND(C124&gt;=31,C124&lt;40),AND(I124&gt;=31,I124&lt;40),AND(O124&gt;=31,O124&lt;40),AND(U124&gt;=31,U124&lt;40),AND(AA124&gt;=31,AA124&lt;40)),IF(AND(OR(COUNTIF(C124:AJ124,"=31")&gt;=1,COUNTIF(C124:AJ124,"=32")&gt;=1,COUNTIF(C124:AJ124,"=33")&gt;=1,COUNTIF(C124:AJ124,"=34")&gt;=1,COUNTIF(C124:AJ124,"=35")&gt;=1,COUNTIF(C124:AJ124,"=36")&gt;=1 ),COUNTIF(C124:AJ124,"")=0,COUNTIF(C124:AJ124," ")=0,COUNTIF(C124:AJ124,"F")=1),CONCATENATE(SUM(EXTRACTNUMBER(C124),EXTRACTNUMBER(E124),
EXTRACTNUMBER(G124),EXTRACTNUMBER(I124),
EXTRACTNUMBER(K124),EXTRACTNUMBER(M124),
EXTRACTNUMBER(O124),EXTRACTNUMBER(Q124),
EXTRACTNUMBER(S124),EXTRACTNUMBER(U124),
EXTRACTNUMBER(W124),EXTRACTNUMBER(Y124),EXTRACTNUMBER(AA124),
EXTRACTNUMBER(AC124),EXTRACTNUMBER(AE124),EXTRACTNUMBER(AG124),EXTRACTNUMBER(AI124)),"*"),IF(AND(COUNTIF(C124:AJ124,"=34")&gt;=1,COUNTIF(C124:AJ124,"=35")&gt;=1,COUNTIF(C124:AJ124,"f")=2,COUNTIF(C124:AJ124,"")=0,COUNTIF(C124:AJ124," ")=0),CONCATENATE(SUM(EXTRACTNUMBER(C124),EXTRACTNUMBER(E124),
EXTRACTNUMBER(G124),EXTRACTNUMBER(I124),
EXTRACTNUMBER(K124),EXTRACTNUMBER(M124),
EXTRACTNUMBER(O124),EXTRACTNUMBER(Q124),
EXTRACTNUMBER(S124),EXTRACTNUMBER(U124),
EXTRACTNUMBER(W124),EXTRACTNUMBER(Y124),EXTRACTNUMBER(AA124),
EXTRACTNUMBER(AC124),EXTRACTNUMBER(AE124),EXTRACTNUMBER(AG124),EXTRACTNUMBER(AI124)),"*"),IF(AND(COUNTIF(C124:AJ124,"=36")&gt;=2,COUNTIF(C124:AJ124,"f")=2,COUNTIF(C124:AJ124,"")=0,COUNTIF(C124:AJ124," ")=0),CONCATENATE(SUM(EXTRACTNUMBER(C124),EXTRACTNUMBER(E124),
EXTRACTNUMBER(G124),EXTRACTNUMBER(I124),
EXTRACTNUMBER(K124),EXTRACTNUMBER(M124),
EXTRACTNUMBER(O124),EXTRACTNUMBER(Q124),
EXTRACTNUMBER(S124),EXTRACTNUMBER(U124),
EXTRACTNUMBER(W124),EXTRACTNUMBER(Y124),EXTRACTNUMBER(AA124),
EXTRACTNUMBER(AC124),EXTRACTNUMBER(AE124),EXTRACTNUMBER(AG124),EXTRACTNUMBER(AI124)),"*"),SUM(EXTRACTNUMBER(C124),EXTRACTNUMBER(E124),
EXTRACTNUMBER(G124),EXTRACTNUMBER(I124),
EXTRACTNUMBER(K124),EXTRACTNUMBER(M124),
EXTRACTNUMBER(O124),EXTRACTNUMBER(Q124),
EXTRACTNUMBER(S124),EXTRACTNUMBER(U124),
EXTRACTNUMBER(W124),EXTRACTNUMBER(Y124),EXTRACTNUMBER(AA124),
EXTRACTNUMBER(AC124),EXTRACTNUMBER(AE124),EXTRACTNUMBER(AG124),EXTRACTNUMBER(AI124))))),SUM(EXTRACTNUMBER(C124),EXTRACTNUMBER(E124),
EXTRACTNUMBER(G124),EXTRACTNUMBER(I124),
EXTRACTNUMBER(K124),EXTRACTNUMBER(M124),
EXTRACTNUMBER(O124),EXTRACTNUMBER(Q124),
EXTRACTNUMBER(S124),EXTRACTNUMBER(U124),
EXTRACTNUMBER(W124),EXTRACTNUMBER(Y124),EXTRACTNUMBER(AA124),
EXTRACTNUMBER(AC124),EXTRACTNUMBER(AE124),EXTRACTNUMBER(AG124),EXTRACTNUMBER(AI124)))</f>
        <v>577</v>
      </c>
      <c r="AL124" s="72" t="s">
        <v>244</v>
      </c>
      <c r="AM124" s="11" t="s">
        <v>320</v>
      </c>
      <c r="AN124" s="11" t="str">
        <f t="shared" ref="AN124" si="39">IF(AND(COUNTIF(C124:AJ124,"AB")&lt;17-COUNTIF(C124:AJ124," "),
COUNTIF(C124:AJ124,"AB")&lt;&gt;0),"FAIL",
IF(COUNTIF(C124:AJ124,"AB")=17-COUNTIF(C124:AJ124," "),"ABSENT",
IF(AND(COUNTIF(C124:AJ124,"AB")=0,COUNTIF(C124:AJ124,"F")=0),"PASS","FAIL")))</f>
        <v>PASS</v>
      </c>
      <c r="AO124" s="94" t="str">
        <f t="shared" ref="AO124" si="40">IF(AN124="ABSENT","AB",IF(AN124="FAIL","--",
IF(AL124=0,"RS 5",
IF(AND(SUM(EXTRACTNUMBER(AK124),EXTRACTNUMBER(AL124))&gt;=1010,
        NOT(IFERROR(FIND("x",AK124),0)),
        NOT(IFERROR(FIND("x",AL124),0))),"I",
IF(AND(SUM(EXTRACTNUMBER(AK124),EXTRACTNUMBER(AL124))&gt;=850,
      SUM(EXTRACTNUMBER(AK124),EXTRACTNUMBER(AL124))&lt;1010,
      NOT(IFERROR(FIND("x",AK124),0)),
      NOT(IFERROR(FIND("x",AL124),0))),"II",
IF(OR(AND(SUM(EXTRACTNUMBER(AK124),EXTRACTNUMBER(AL124))&lt;850,
SUM(EXTRACTNUMBER(AK124),EXTRACTNUMBER(AL124))&gt;=670),
IFERROR(FIND("x",AK124),0),IFERROR(FIND("x",AL124),0)),"P","--"))))))</f>
        <v>I</v>
      </c>
      <c r="AP124" s="1" t="s">
        <v>496</v>
      </c>
    </row>
    <row r="125" spans="1:42" ht="15.95" customHeight="1">
      <c r="A125" s="74">
        <v>136324</v>
      </c>
      <c r="B125" s="56" t="s">
        <v>147</v>
      </c>
      <c r="C125" s="77">
        <v>40</v>
      </c>
      <c r="D125" s="78" t="s">
        <v>394</v>
      </c>
      <c r="E125" s="79">
        <v>22</v>
      </c>
      <c r="F125" s="78" t="s">
        <v>394</v>
      </c>
      <c r="G125" s="79">
        <v>44</v>
      </c>
      <c r="H125" s="78" t="s">
        <v>394</v>
      </c>
      <c r="I125" s="79">
        <v>45</v>
      </c>
      <c r="J125" s="78" t="s">
        <v>394</v>
      </c>
      <c r="K125" s="79">
        <v>22</v>
      </c>
      <c r="L125" s="78" t="s">
        <v>394</v>
      </c>
      <c r="M125" s="79">
        <v>22</v>
      </c>
      <c r="N125" s="78" t="s">
        <v>394</v>
      </c>
      <c r="O125" s="79">
        <v>68</v>
      </c>
      <c r="P125" s="78" t="s">
        <v>394</v>
      </c>
      <c r="Q125" s="79">
        <v>22</v>
      </c>
      <c r="R125" s="78" t="s">
        <v>394</v>
      </c>
      <c r="S125" s="79">
        <v>44</v>
      </c>
      <c r="T125" s="78" t="s">
        <v>394</v>
      </c>
      <c r="U125" s="79">
        <v>54</v>
      </c>
      <c r="V125" s="78" t="s">
        <v>394</v>
      </c>
      <c r="W125" s="79">
        <v>22</v>
      </c>
      <c r="X125" s="78" t="s">
        <v>394</v>
      </c>
      <c r="Y125" s="79">
        <v>22</v>
      </c>
      <c r="Z125" s="78" t="s">
        <v>394</v>
      </c>
      <c r="AA125" s="79">
        <v>47</v>
      </c>
      <c r="AB125" s="78" t="s">
        <v>394</v>
      </c>
      <c r="AC125" s="79">
        <v>22</v>
      </c>
      <c r="AD125" s="78" t="s">
        <v>394</v>
      </c>
      <c r="AE125" s="79">
        <v>20</v>
      </c>
      <c r="AF125" s="78" t="s">
        <v>394</v>
      </c>
      <c r="AG125" s="79">
        <v>22</v>
      </c>
      <c r="AH125" s="78" t="s">
        <v>394</v>
      </c>
      <c r="AI125" s="79">
        <v>22</v>
      </c>
      <c r="AJ125" s="78" t="s">
        <v>394</v>
      </c>
      <c r="AK125" s="80">
        <v>560</v>
      </c>
      <c r="AL125" s="81" t="s">
        <v>296</v>
      </c>
      <c r="AM125" s="80">
        <v>1035</v>
      </c>
      <c r="AN125" s="57" t="s">
        <v>395</v>
      </c>
      <c r="AO125" s="93" t="s">
        <v>371</v>
      </c>
      <c r="AP125" s="58" t="s">
        <v>493</v>
      </c>
    </row>
    <row r="126" spans="1:42" ht="15.95" customHeight="1">
      <c r="A126" s="74">
        <v>136325</v>
      </c>
      <c r="B126" s="56" t="s">
        <v>148</v>
      </c>
      <c r="C126" s="77">
        <v>63</v>
      </c>
      <c r="D126" s="78" t="s">
        <v>394</v>
      </c>
      <c r="E126" s="79">
        <v>20</v>
      </c>
      <c r="F126" s="78" t="s">
        <v>394</v>
      </c>
      <c r="G126" s="79">
        <v>42</v>
      </c>
      <c r="H126" s="78" t="s">
        <v>394</v>
      </c>
      <c r="I126" s="79">
        <v>60</v>
      </c>
      <c r="J126" s="78" t="s">
        <v>394</v>
      </c>
      <c r="K126" s="79">
        <v>20</v>
      </c>
      <c r="L126" s="78" t="s">
        <v>394</v>
      </c>
      <c r="M126" s="79">
        <v>21</v>
      </c>
      <c r="N126" s="78" t="s">
        <v>394</v>
      </c>
      <c r="O126" s="79">
        <v>73</v>
      </c>
      <c r="P126" s="78" t="s">
        <v>394</v>
      </c>
      <c r="Q126" s="79">
        <v>20</v>
      </c>
      <c r="R126" s="78" t="s">
        <v>394</v>
      </c>
      <c r="S126" s="79">
        <v>42</v>
      </c>
      <c r="T126" s="78" t="s">
        <v>394</v>
      </c>
      <c r="U126" s="79">
        <v>63</v>
      </c>
      <c r="V126" s="78" t="s">
        <v>394</v>
      </c>
      <c r="W126" s="79">
        <v>20</v>
      </c>
      <c r="X126" s="78" t="s">
        <v>394</v>
      </c>
      <c r="Y126" s="79">
        <v>21</v>
      </c>
      <c r="Z126" s="78" t="s">
        <v>394</v>
      </c>
      <c r="AA126" s="79">
        <v>67</v>
      </c>
      <c r="AB126" s="78" t="s">
        <v>394</v>
      </c>
      <c r="AC126" s="79">
        <v>20</v>
      </c>
      <c r="AD126" s="78" t="s">
        <v>394</v>
      </c>
      <c r="AE126" s="79">
        <v>19</v>
      </c>
      <c r="AF126" s="78" t="s">
        <v>394</v>
      </c>
      <c r="AG126" s="79">
        <v>20</v>
      </c>
      <c r="AH126" s="78" t="s">
        <v>394</v>
      </c>
      <c r="AI126" s="79">
        <v>20</v>
      </c>
      <c r="AJ126" s="78" t="s">
        <v>394</v>
      </c>
      <c r="AK126" s="80">
        <v>611</v>
      </c>
      <c r="AL126" s="81" t="s">
        <v>293</v>
      </c>
      <c r="AM126" s="80">
        <v>1197</v>
      </c>
      <c r="AN126" s="57" t="s">
        <v>395</v>
      </c>
      <c r="AO126" s="93" t="s">
        <v>371</v>
      </c>
      <c r="AP126" s="58" t="s">
        <v>436</v>
      </c>
    </row>
    <row r="127" spans="1:42" ht="15.95" customHeight="1">
      <c r="A127" s="74">
        <v>136326</v>
      </c>
      <c r="B127" s="56" t="s">
        <v>149</v>
      </c>
      <c r="C127" s="77">
        <v>43</v>
      </c>
      <c r="D127" s="78" t="s">
        <v>394</v>
      </c>
      <c r="E127" s="79">
        <v>22</v>
      </c>
      <c r="F127" s="78" t="s">
        <v>394</v>
      </c>
      <c r="G127" s="79">
        <v>42</v>
      </c>
      <c r="H127" s="78" t="s">
        <v>394</v>
      </c>
      <c r="I127" s="79">
        <v>44</v>
      </c>
      <c r="J127" s="78" t="s">
        <v>394</v>
      </c>
      <c r="K127" s="79">
        <v>20</v>
      </c>
      <c r="L127" s="78" t="s">
        <v>394</v>
      </c>
      <c r="M127" s="79">
        <v>21</v>
      </c>
      <c r="N127" s="78" t="s">
        <v>394</v>
      </c>
      <c r="O127" s="79">
        <v>49</v>
      </c>
      <c r="P127" s="78" t="s">
        <v>394</v>
      </c>
      <c r="Q127" s="79">
        <v>22</v>
      </c>
      <c r="R127" s="78" t="s">
        <v>394</v>
      </c>
      <c r="S127" s="79">
        <v>42</v>
      </c>
      <c r="T127" s="78" t="s">
        <v>394</v>
      </c>
      <c r="U127" s="79">
        <v>52</v>
      </c>
      <c r="V127" s="78" t="s">
        <v>394</v>
      </c>
      <c r="W127" s="79">
        <v>22</v>
      </c>
      <c r="X127" s="78" t="s">
        <v>394</v>
      </c>
      <c r="Y127" s="79">
        <v>21</v>
      </c>
      <c r="Z127" s="78" t="s">
        <v>394</v>
      </c>
      <c r="AA127" s="79">
        <v>40</v>
      </c>
      <c r="AB127" s="78" t="s">
        <v>394</v>
      </c>
      <c r="AC127" s="79">
        <v>22</v>
      </c>
      <c r="AD127" s="78" t="s">
        <v>394</v>
      </c>
      <c r="AE127" s="79">
        <v>23</v>
      </c>
      <c r="AF127" s="78" t="s">
        <v>394</v>
      </c>
      <c r="AG127" s="79">
        <v>22</v>
      </c>
      <c r="AH127" s="78" t="s">
        <v>394</v>
      </c>
      <c r="AI127" s="79">
        <v>22</v>
      </c>
      <c r="AJ127" s="78" t="s">
        <v>394</v>
      </c>
      <c r="AK127" s="80">
        <v>529</v>
      </c>
      <c r="AL127" s="81" t="s">
        <v>267</v>
      </c>
      <c r="AM127" s="80">
        <v>1021</v>
      </c>
      <c r="AN127" s="57" t="s">
        <v>395</v>
      </c>
      <c r="AO127" s="93" t="s">
        <v>371</v>
      </c>
      <c r="AP127" s="58" t="s">
        <v>478</v>
      </c>
    </row>
    <row r="128" spans="1:42" ht="15.95" customHeight="1">
      <c r="A128" s="74">
        <v>136327</v>
      </c>
      <c r="B128" s="56" t="s">
        <v>150</v>
      </c>
      <c r="C128" s="77">
        <v>56</v>
      </c>
      <c r="D128" s="78" t="s">
        <v>394</v>
      </c>
      <c r="E128" s="79">
        <v>20</v>
      </c>
      <c r="F128" s="78" t="s">
        <v>394</v>
      </c>
      <c r="G128" s="79">
        <v>42</v>
      </c>
      <c r="H128" s="78" t="s">
        <v>394</v>
      </c>
      <c r="I128" s="79">
        <v>48</v>
      </c>
      <c r="J128" s="78" t="s">
        <v>394</v>
      </c>
      <c r="K128" s="79">
        <v>20</v>
      </c>
      <c r="L128" s="78" t="s">
        <v>394</v>
      </c>
      <c r="M128" s="79">
        <v>21</v>
      </c>
      <c r="N128" s="78" t="s">
        <v>394</v>
      </c>
      <c r="O128" s="79">
        <v>54</v>
      </c>
      <c r="P128" s="78" t="s">
        <v>394</v>
      </c>
      <c r="Q128" s="79">
        <v>21</v>
      </c>
      <c r="R128" s="78" t="s">
        <v>394</v>
      </c>
      <c r="S128" s="79">
        <v>40</v>
      </c>
      <c r="T128" s="78" t="s">
        <v>394</v>
      </c>
      <c r="U128" s="79">
        <v>61</v>
      </c>
      <c r="V128" s="78" t="s">
        <v>394</v>
      </c>
      <c r="W128" s="79">
        <v>21</v>
      </c>
      <c r="X128" s="78" t="s">
        <v>394</v>
      </c>
      <c r="Y128" s="79">
        <v>21</v>
      </c>
      <c r="Z128" s="78" t="s">
        <v>394</v>
      </c>
      <c r="AA128" s="79">
        <v>47</v>
      </c>
      <c r="AB128" s="78" t="s">
        <v>394</v>
      </c>
      <c r="AC128" s="79">
        <v>21</v>
      </c>
      <c r="AD128" s="78" t="s">
        <v>394</v>
      </c>
      <c r="AE128" s="79">
        <v>22</v>
      </c>
      <c r="AF128" s="78" t="s">
        <v>394</v>
      </c>
      <c r="AG128" s="79">
        <v>21</v>
      </c>
      <c r="AH128" s="78" t="s">
        <v>394</v>
      </c>
      <c r="AI128" s="79">
        <v>21</v>
      </c>
      <c r="AJ128" s="78" t="s">
        <v>394</v>
      </c>
      <c r="AK128" s="80">
        <v>557</v>
      </c>
      <c r="AL128" s="81" t="s">
        <v>297</v>
      </c>
      <c r="AM128" s="80">
        <v>1042</v>
      </c>
      <c r="AN128" s="57" t="s">
        <v>395</v>
      </c>
      <c r="AO128" s="93" t="s">
        <v>371</v>
      </c>
      <c r="AP128" s="58" t="s">
        <v>494</v>
      </c>
    </row>
    <row r="129" spans="1:42" ht="15.95" customHeight="1">
      <c r="A129" s="74">
        <v>136328</v>
      </c>
      <c r="B129" s="56" t="s">
        <v>151</v>
      </c>
      <c r="C129" s="77">
        <v>40</v>
      </c>
      <c r="D129" s="78" t="s">
        <v>394</v>
      </c>
      <c r="E129" s="79">
        <v>22</v>
      </c>
      <c r="F129" s="78" t="s">
        <v>394</v>
      </c>
      <c r="G129" s="79">
        <v>44</v>
      </c>
      <c r="H129" s="78" t="s">
        <v>394</v>
      </c>
      <c r="I129" s="79">
        <v>40</v>
      </c>
      <c r="J129" s="78" t="s">
        <v>394</v>
      </c>
      <c r="K129" s="79">
        <v>22</v>
      </c>
      <c r="L129" s="78" t="s">
        <v>394</v>
      </c>
      <c r="M129" s="79">
        <v>22</v>
      </c>
      <c r="N129" s="78" t="s">
        <v>394</v>
      </c>
      <c r="O129" s="79">
        <v>61</v>
      </c>
      <c r="P129" s="78" t="s">
        <v>394</v>
      </c>
      <c r="Q129" s="79">
        <v>22</v>
      </c>
      <c r="R129" s="78" t="s">
        <v>394</v>
      </c>
      <c r="S129" s="79">
        <v>40</v>
      </c>
      <c r="T129" s="78" t="s">
        <v>394</v>
      </c>
      <c r="U129" s="79">
        <v>58</v>
      </c>
      <c r="V129" s="78" t="s">
        <v>394</v>
      </c>
      <c r="W129" s="79">
        <v>22</v>
      </c>
      <c r="X129" s="78" t="s">
        <v>394</v>
      </c>
      <c r="Y129" s="79">
        <v>21</v>
      </c>
      <c r="Z129" s="78" t="s">
        <v>394</v>
      </c>
      <c r="AA129" s="79">
        <v>40</v>
      </c>
      <c r="AB129" s="78" t="s">
        <v>394</v>
      </c>
      <c r="AC129" s="79">
        <v>22</v>
      </c>
      <c r="AD129" s="78" t="s">
        <v>394</v>
      </c>
      <c r="AE129" s="79">
        <v>22</v>
      </c>
      <c r="AF129" s="78" t="s">
        <v>394</v>
      </c>
      <c r="AG129" s="79">
        <v>22</v>
      </c>
      <c r="AH129" s="78" t="s">
        <v>394</v>
      </c>
      <c r="AI129" s="79">
        <v>21</v>
      </c>
      <c r="AJ129" s="78" t="s">
        <v>394</v>
      </c>
      <c r="AK129" s="80">
        <v>541</v>
      </c>
      <c r="AL129" s="81" t="s">
        <v>283</v>
      </c>
      <c r="AM129" s="80">
        <v>1042</v>
      </c>
      <c r="AN129" s="57" t="s">
        <v>395</v>
      </c>
      <c r="AO129" s="93" t="s">
        <v>371</v>
      </c>
      <c r="AP129" s="58" t="s">
        <v>494</v>
      </c>
    </row>
    <row r="130" spans="1:42" ht="15.95" customHeight="1">
      <c r="A130" s="74">
        <v>136329</v>
      </c>
      <c r="B130" s="56" t="s">
        <v>152</v>
      </c>
      <c r="C130" s="77">
        <v>44</v>
      </c>
      <c r="D130" s="78" t="s">
        <v>394</v>
      </c>
      <c r="E130" s="79">
        <v>21</v>
      </c>
      <c r="F130" s="78" t="s">
        <v>394</v>
      </c>
      <c r="G130" s="79">
        <v>44</v>
      </c>
      <c r="H130" s="78" t="s">
        <v>394</v>
      </c>
      <c r="I130" s="79">
        <v>57</v>
      </c>
      <c r="J130" s="78" t="s">
        <v>394</v>
      </c>
      <c r="K130" s="79">
        <v>21</v>
      </c>
      <c r="L130" s="78" t="s">
        <v>394</v>
      </c>
      <c r="M130" s="79">
        <v>22</v>
      </c>
      <c r="N130" s="78" t="s">
        <v>394</v>
      </c>
      <c r="O130" s="79">
        <v>65</v>
      </c>
      <c r="P130" s="78" t="s">
        <v>394</v>
      </c>
      <c r="Q130" s="79">
        <v>21</v>
      </c>
      <c r="R130" s="78" t="s">
        <v>394</v>
      </c>
      <c r="S130" s="79">
        <v>42</v>
      </c>
      <c r="T130" s="78" t="s">
        <v>394</v>
      </c>
      <c r="U130" s="79">
        <v>75</v>
      </c>
      <c r="V130" s="78" t="s">
        <v>394</v>
      </c>
      <c r="W130" s="79">
        <v>21</v>
      </c>
      <c r="X130" s="78" t="s">
        <v>394</v>
      </c>
      <c r="Y130" s="79">
        <v>21</v>
      </c>
      <c r="Z130" s="78" t="s">
        <v>394</v>
      </c>
      <c r="AA130" s="79">
        <v>64</v>
      </c>
      <c r="AB130" s="78" t="s">
        <v>394</v>
      </c>
      <c r="AC130" s="79">
        <v>21</v>
      </c>
      <c r="AD130" s="78" t="s">
        <v>394</v>
      </c>
      <c r="AE130" s="79">
        <v>20</v>
      </c>
      <c r="AF130" s="78" t="s">
        <v>394</v>
      </c>
      <c r="AG130" s="79">
        <v>21</v>
      </c>
      <c r="AH130" s="78" t="s">
        <v>394</v>
      </c>
      <c r="AI130" s="79">
        <v>21</v>
      </c>
      <c r="AJ130" s="78" t="s">
        <v>394</v>
      </c>
      <c r="AK130" s="80">
        <v>601</v>
      </c>
      <c r="AL130" s="81" t="s">
        <v>282</v>
      </c>
      <c r="AM130" s="80">
        <v>1176</v>
      </c>
      <c r="AN130" s="57" t="s">
        <v>395</v>
      </c>
      <c r="AO130" s="93" t="s">
        <v>371</v>
      </c>
      <c r="AP130" s="58" t="s">
        <v>411</v>
      </c>
    </row>
    <row r="131" spans="1:42" ht="15.95" customHeight="1">
      <c r="A131" s="74">
        <v>136330</v>
      </c>
      <c r="B131" s="56" t="s">
        <v>153</v>
      </c>
      <c r="C131" s="77">
        <v>62</v>
      </c>
      <c r="D131" s="78" t="s">
        <v>394</v>
      </c>
      <c r="E131" s="79">
        <v>20</v>
      </c>
      <c r="F131" s="78" t="s">
        <v>394</v>
      </c>
      <c r="G131" s="79">
        <v>40</v>
      </c>
      <c r="H131" s="78" t="s">
        <v>394</v>
      </c>
      <c r="I131" s="79">
        <v>43</v>
      </c>
      <c r="J131" s="78" t="s">
        <v>394</v>
      </c>
      <c r="K131" s="79">
        <v>22</v>
      </c>
      <c r="L131" s="78" t="s">
        <v>394</v>
      </c>
      <c r="M131" s="79">
        <v>20</v>
      </c>
      <c r="N131" s="78" t="s">
        <v>394</v>
      </c>
      <c r="O131" s="79">
        <v>66</v>
      </c>
      <c r="P131" s="78" t="s">
        <v>394</v>
      </c>
      <c r="Q131" s="79">
        <v>21</v>
      </c>
      <c r="R131" s="78" t="s">
        <v>394</v>
      </c>
      <c r="S131" s="79">
        <v>42</v>
      </c>
      <c r="T131" s="78" t="s">
        <v>394</v>
      </c>
      <c r="U131" s="79">
        <v>52</v>
      </c>
      <c r="V131" s="78" t="s">
        <v>394</v>
      </c>
      <c r="W131" s="79">
        <v>21</v>
      </c>
      <c r="X131" s="78" t="s">
        <v>394</v>
      </c>
      <c r="Y131" s="79">
        <v>22</v>
      </c>
      <c r="Z131" s="78" t="s">
        <v>394</v>
      </c>
      <c r="AA131" s="79">
        <v>54</v>
      </c>
      <c r="AB131" s="78" t="s">
        <v>394</v>
      </c>
      <c r="AC131" s="79">
        <v>21</v>
      </c>
      <c r="AD131" s="78" t="s">
        <v>394</v>
      </c>
      <c r="AE131" s="79">
        <v>22</v>
      </c>
      <c r="AF131" s="78" t="s">
        <v>394</v>
      </c>
      <c r="AG131" s="79">
        <v>21</v>
      </c>
      <c r="AH131" s="78" t="s">
        <v>394</v>
      </c>
      <c r="AI131" s="79">
        <v>22</v>
      </c>
      <c r="AJ131" s="78" t="s">
        <v>394</v>
      </c>
      <c r="AK131" s="80">
        <v>571</v>
      </c>
      <c r="AL131" s="81" t="s">
        <v>223</v>
      </c>
      <c r="AM131" s="80">
        <v>1128</v>
      </c>
      <c r="AN131" s="57" t="s">
        <v>395</v>
      </c>
      <c r="AO131" s="93" t="s">
        <v>371</v>
      </c>
      <c r="AP131" s="58" t="s">
        <v>471</v>
      </c>
    </row>
    <row r="132" spans="1:42" ht="15.95" customHeight="1">
      <c r="A132" s="74">
        <v>136331</v>
      </c>
      <c r="B132" s="56" t="s">
        <v>154</v>
      </c>
      <c r="C132" s="77">
        <v>62</v>
      </c>
      <c r="D132" s="78" t="s">
        <v>394</v>
      </c>
      <c r="E132" s="79">
        <v>22</v>
      </c>
      <c r="F132" s="78" t="s">
        <v>394</v>
      </c>
      <c r="G132" s="79">
        <v>44</v>
      </c>
      <c r="H132" s="78" t="s">
        <v>394</v>
      </c>
      <c r="I132" s="79">
        <v>52</v>
      </c>
      <c r="J132" s="78" t="s">
        <v>394</v>
      </c>
      <c r="K132" s="79">
        <v>22</v>
      </c>
      <c r="L132" s="78" t="s">
        <v>394</v>
      </c>
      <c r="M132" s="79">
        <v>22</v>
      </c>
      <c r="N132" s="78" t="s">
        <v>394</v>
      </c>
      <c r="O132" s="79">
        <v>60</v>
      </c>
      <c r="P132" s="78" t="s">
        <v>394</v>
      </c>
      <c r="Q132" s="79">
        <v>23</v>
      </c>
      <c r="R132" s="78" t="s">
        <v>394</v>
      </c>
      <c r="S132" s="79">
        <v>40</v>
      </c>
      <c r="T132" s="78" t="s">
        <v>394</v>
      </c>
      <c r="U132" s="79">
        <v>55</v>
      </c>
      <c r="V132" s="78" t="s">
        <v>394</v>
      </c>
      <c r="W132" s="79">
        <v>23</v>
      </c>
      <c r="X132" s="78" t="s">
        <v>394</v>
      </c>
      <c r="Y132" s="79">
        <v>22</v>
      </c>
      <c r="Z132" s="78" t="s">
        <v>394</v>
      </c>
      <c r="AA132" s="79">
        <v>49</v>
      </c>
      <c r="AB132" s="78" t="s">
        <v>394</v>
      </c>
      <c r="AC132" s="79">
        <v>23</v>
      </c>
      <c r="AD132" s="78" t="s">
        <v>394</v>
      </c>
      <c r="AE132" s="79">
        <v>23</v>
      </c>
      <c r="AF132" s="78" t="s">
        <v>394</v>
      </c>
      <c r="AG132" s="79">
        <v>22</v>
      </c>
      <c r="AH132" s="78" t="s">
        <v>394</v>
      </c>
      <c r="AI132" s="79">
        <v>22</v>
      </c>
      <c r="AJ132" s="78" t="s">
        <v>394</v>
      </c>
      <c r="AK132" s="80">
        <v>586</v>
      </c>
      <c r="AL132" s="81" t="s">
        <v>298</v>
      </c>
      <c r="AM132" s="80">
        <v>1133</v>
      </c>
      <c r="AN132" s="57" t="s">
        <v>395</v>
      </c>
      <c r="AO132" s="93" t="s">
        <v>371</v>
      </c>
      <c r="AP132" s="58" t="s">
        <v>495</v>
      </c>
    </row>
    <row r="133" spans="1:42" ht="15.95" customHeight="1">
      <c r="A133" s="74">
        <v>136332</v>
      </c>
      <c r="B133" s="56" t="s">
        <v>155</v>
      </c>
      <c r="C133" s="77">
        <v>57</v>
      </c>
      <c r="D133" s="78" t="s">
        <v>394</v>
      </c>
      <c r="E133" s="79">
        <v>22</v>
      </c>
      <c r="F133" s="78" t="s">
        <v>394</v>
      </c>
      <c r="G133" s="79">
        <v>44</v>
      </c>
      <c r="H133" s="78" t="s">
        <v>394</v>
      </c>
      <c r="I133" s="79">
        <v>61</v>
      </c>
      <c r="J133" s="78" t="s">
        <v>394</v>
      </c>
      <c r="K133" s="79">
        <v>22</v>
      </c>
      <c r="L133" s="78" t="s">
        <v>394</v>
      </c>
      <c r="M133" s="79">
        <v>22</v>
      </c>
      <c r="N133" s="78" t="s">
        <v>394</v>
      </c>
      <c r="O133" s="79">
        <v>64</v>
      </c>
      <c r="P133" s="78" t="s">
        <v>394</v>
      </c>
      <c r="Q133" s="79">
        <v>21</v>
      </c>
      <c r="R133" s="78" t="s">
        <v>394</v>
      </c>
      <c r="S133" s="79">
        <v>38</v>
      </c>
      <c r="T133" s="78" t="s">
        <v>394</v>
      </c>
      <c r="U133" s="79">
        <v>59</v>
      </c>
      <c r="V133" s="78" t="s">
        <v>394</v>
      </c>
      <c r="W133" s="79">
        <v>21</v>
      </c>
      <c r="X133" s="78" t="s">
        <v>394</v>
      </c>
      <c r="Y133" s="79">
        <v>21</v>
      </c>
      <c r="Z133" s="78" t="s">
        <v>394</v>
      </c>
      <c r="AA133" s="79">
        <v>54</v>
      </c>
      <c r="AB133" s="78" t="s">
        <v>394</v>
      </c>
      <c r="AC133" s="79">
        <v>21</v>
      </c>
      <c r="AD133" s="78" t="s">
        <v>394</v>
      </c>
      <c r="AE133" s="79">
        <v>21</v>
      </c>
      <c r="AF133" s="78" t="s">
        <v>394</v>
      </c>
      <c r="AG133" s="79">
        <v>21</v>
      </c>
      <c r="AH133" s="78" t="s">
        <v>394</v>
      </c>
      <c r="AI133" s="79">
        <v>21</v>
      </c>
      <c r="AJ133" s="78" t="s">
        <v>394</v>
      </c>
      <c r="AK133" s="80">
        <v>590</v>
      </c>
      <c r="AL133" s="81" t="s">
        <v>264</v>
      </c>
      <c r="AM133" s="80">
        <v>1135</v>
      </c>
      <c r="AN133" s="57" t="s">
        <v>395</v>
      </c>
      <c r="AO133" s="93" t="s">
        <v>371</v>
      </c>
      <c r="AP133" s="58" t="s">
        <v>496</v>
      </c>
    </row>
    <row r="134" spans="1:42" ht="15.95" customHeight="1">
      <c r="A134" s="67" t="s">
        <v>571</v>
      </c>
      <c r="B134" s="21" t="s">
        <v>156</v>
      </c>
      <c r="C134" s="24">
        <v>49</v>
      </c>
      <c r="D134" s="9"/>
      <c r="E134" s="22">
        <v>20</v>
      </c>
      <c r="F134" s="9"/>
      <c r="G134" s="22">
        <v>44</v>
      </c>
      <c r="H134" s="9"/>
      <c r="I134" s="29">
        <v>40</v>
      </c>
      <c r="J134" s="9"/>
      <c r="K134" s="22">
        <v>20</v>
      </c>
      <c r="L134" s="9"/>
      <c r="M134" s="22">
        <v>22</v>
      </c>
      <c r="N134" s="9"/>
      <c r="O134" s="29">
        <v>55</v>
      </c>
      <c r="P134" s="9"/>
      <c r="Q134" s="22">
        <v>20</v>
      </c>
      <c r="R134" s="9"/>
      <c r="S134" s="22">
        <v>44</v>
      </c>
      <c r="T134" s="9"/>
      <c r="U134" s="29">
        <v>49</v>
      </c>
      <c r="V134" s="9"/>
      <c r="W134" s="22">
        <v>20</v>
      </c>
      <c r="X134" s="9"/>
      <c r="Y134" s="22">
        <v>21</v>
      </c>
      <c r="Z134" s="9"/>
      <c r="AA134" s="29">
        <v>46</v>
      </c>
      <c r="AB134" s="9"/>
      <c r="AC134" s="22">
        <v>20</v>
      </c>
      <c r="AD134" s="9"/>
      <c r="AE134" s="22">
        <v>20</v>
      </c>
      <c r="AF134" s="9"/>
      <c r="AG134" s="22">
        <v>20</v>
      </c>
      <c r="AH134" s="9"/>
      <c r="AI134" s="22">
        <v>21</v>
      </c>
      <c r="AJ134" s="9"/>
      <c r="AK134" s="16">
        <f>IF(OR(AND(C134&gt;=31,C134&lt;40),AND(I134&gt;=31,I134&lt;40),AND(O134&gt;=31,O134&lt;40),AND(U134&gt;=31,U134&lt;40),AND(AA134&gt;=31,AA134&lt;40)),IF(AND(OR(COUNTIF(C134:AJ134,"=31")&gt;=1,COUNTIF(C134:AJ134,"=32")&gt;=1,COUNTIF(C134:AJ134,"=33")&gt;=1,COUNTIF(C134:AJ134,"=34")&gt;=1,COUNTIF(C134:AJ134,"=35")&gt;=1,COUNTIF(C134:AJ134,"=36")&gt;=1 ),COUNTIF(C134:AJ134,"")=0,COUNTIF(C134:AJ134," ")=0,COUNTIF(C134:AJ134,"F")=1),CONCATENATE(SUM(EXTRACTNUMBER(C134),EXTRACTNUMBER(E134),
EXTRACTNUMBER(G134),EXTRACTNUMBER(I134),
EXTRACTNUMBER(K134),EXTRACTNUMBER(M134),
EXTRACTNUMBER(O134),EXTRACTNUMBER(Q134),
EXTRACTNUMBER(S134),EXTRACTNUMBER(U134),
EXTRACTNUMBER(W134),EXTRACTNUMBER(Y134),EXTRACTNUMBER(AA134),
EXTRACTNUMBER(AC134),EXTRACTNUMBER(AE134),EXTRACTNUMBER(AG134),EXTRACTNUMBER(AI134)),"*"),IF(AND(COUNTIF(C134:AJ134,"=34")&gt;=1,COUNTIF(C134:AJ134,"=35")&gt;=1,COUNTIF(C134:AJ134,"f")=2,COUNTIF(C134:AJ134,"")=0,COUNTIF(C134:AJ134," ")=0),CONCATENATE(SUM(EXTRACTNUMBER(C134),EXTRACTNUMBER(E134),
EXTRACTNUMBER(G134),EXTRACTNUMBER(I134),
EXTRACTNUMBER(K134),EXTRACTNUMBER(M134),
EXTRACTNUMBER(O134),EXTRACTNUMBER(Q134),
EXTRACTNUMBER(S134),EXTRACTNUMBER(U134),
EXTRACTNUMBER(W134),EXTRACTNUMBER(Y134),EXTRACTNUMBER(AA134),
EXTRACTNUMBER(AC134),EXTRACTNUMBER(AE134),EXTRACTNUMBER(AG134),EXTRACTNUMBER(AI134)),"*"),IF(AND(COUNTIF(C134:AJ134,"=36")&gt;=2,COUNTIF(C134:AJ134,"f")=2,COUNTIF(C134:AJ134,"")=0,COUNTIF(C134:AJ134," ")=0),CONCATENATE(SUM(EXTRACTNUMBER(C134),EXTRACTNUMBER(E134),
EXTRACTNUMBER(G134),EXTRACTNUMBER(I134),
EXTRACTNUMBER(K134),EXTRACTNUMBER(M134),
EXTRACTNUMBER(O134),EXTRACTNUMBER(Q134),
EXTRACTNUMBER(S134),EXTRACTNUMBER(U134),
EXTRACTNUMBER(W134),EXTRACTNUMBER(Y134),EXTRACTNUMBER(AA134),
EXTRACTNUMBER(AC134),EXTRACTNUMBER(AE134),EXTRACTNUMBER(AG134),EXTRACTNUMBER(AI134)),"*"),SUM(EXTRACTNUMBER(C134),EXTRACTNUMBER(E134),
EXTRACTNUMBER(G134),EXTRACTNUMBER(I134),
EXTRACTNUMBER(K134),EXTRACTNUMBER(M134),
EXTRACTNUMBER(O134),EXTRACTNUMBER(Q134),
EXTRACTNUMBER(S134),EXTRACTNUMBER(U134),
EXTRACTNUMBER(W134),EXTRACTNUMBER(Y134),EXTRACTNUMBER(AA134),
EXTRACTNUMBER(AC134),EXTRACTNUMBER(AE134),EXTRACTNUMBER(AG134),EXTRACTNUMBER(AI134))))),SUM(EXTRACTNUMBER(C134),EXTRACTNUMBER(E134),
EXTRACTNUMBER(G134),EXTRACTNUMBER(I134),
EXTRACTNUMBER(K134),EXTRACTNUMBER(M134),
EXTRACTNUMBER(O134),EXTRACTNUMBER(Q134),
EXTRACTNUMBER(S134),EXTRACTNUMBER(U134),
EXTRACTNUMBER(W134),EXTRACTNUMBER(Y134),EXTRACTNUMBER(AA134),
EXTRACTNUMBER(AC134),EXTRACTNUMBER(AE134),EXTRACTNUMBER(AG134),EXTRACTNUMBER(AI134)))</f>
        <v>531</v>
      </c>
      <c r="AL134" s="72" t="s">
        <v>570</v>
      </c>
      <c r="AM134" s="11">
        <f t="shared" ref="AM134" si="41">IF(IFERROR(FIND("x",AL134),0),SUM(EXTRACTNUMBER(AK134),EXTRACTNUMBER(AL134)),IF(AND(SUM(EXTRACTNUMBER(AK134),EXTRACTNUMBER(AL134))&gt;1009,        SUM(EXTRACTNUMBER(AK134),EXTRACTNUMBER(AL134))&lt;1020),
CONCATENATE(SUM(EXTRACTNUMBER(AK134),EXTRACTNUMBER(AL134)),"@",1020-SUM(EXTRACTNUMBER(AK134),EXTRACTNUMBER(AL134))),
IF(AND(SUM(EXTRACTNUMBER(AK134),EXTRACTNUMBER(AL134))&gt;839,   SUM(EXTRACTNUMBER(AK134),EXTRACTNUMBER(AL134))&lt;850),CONCATENATE(SUM(EXTRACTNUMBER(AK134),EXTRACTNUMBER(AL134)),"@",850-SUM(EXTRACTNUMBER(AK134),EXTRACTNUMBER(AL134))),
IF(AND(SUM(EXTRACTNUMBER(AK134),EXTRACTNUMBER(AL134))&gt;669,        SUM(EXTRACTNUMBER(AK134),EXTRACTNUMBER(AL134))&lt;680),
CONCATENATE(SUM(EXTRACTNUMBER(AK134),EXTRACTNUMBER(AL134)),"@",680-SUM(EXTRACTNUMBER(AK134),EXTRACTNUMBER(AL134))),
SUM(EXTRACTNUMBER(AK134),EXTRACTNUMBER(AL134))))))</f>
        <v>999</v>
      </c>
      <c r="AN134" s="11" t="str">
        <f t="shared" ref="AN134" si="42">IF(AND(COUNTIF(C134:AJ134,"AB")&lt;17-COUNTIF(C134:AJ134," "),
COUNTIF(C134:AJ134,"AB")&lt;&gt;0),"FAIL",
IF(COUNTIF(C134:AJ134,"AB")=17-COUNTIF(C134:AJ134," "),"ABSENT",
IF(AND(COUNTIF(C134:AJ134,"AB")=0,COUNTIF(C134:AJ134,"F")=0),"PASS","FAIL")))</f>
        <v>PASS</v>
      </c>
      <c r="AO134" s="11" t="str">
        <f t="shared" ref="AO134" si="43">IF(AN134="ABSENT","AB",IF(AN134="FAIL","--",
IF(AL134=0,"RS 5",
IF(AND(SUM(EXTRACTNUMBER(AK134),EXTRACTNUMBER(AL134))&gt;=1010,
        NOT(IFERROR(FIND("x",AK134),0)),
        NOT(IFERROR(FIND("x",AL134),0))),"I",
IF(AND(SUM(EXTRACTNUMBER(AK134),EXTRACTNUMBER(AL134))&gt;=850,
      SUM(EXTRACTNUMBER(AK134),EXTRACTNUMBER(AL134))&lt;1010,
      NOT(IFERROR(FIND("x",AK134),0)),
      NOT(IFERROR(FIND("x",AL134),0))),"II",
IF(OR(AND(SUM(EXTRACTNUMBER(AK134),EXTRACTNUMBER(AL134))&lt;850,
SUM(EXTRACTNUMBER(AK134),EXTRACTNUMBER(AL134))&gt;=670),
IFERROR(FIND("x",AK134),0),IFERROR(FIND("x",AL134),0)),"P","--"))))))</f>
        <v>P</v>
      </c>
      <c r="AP134" s="1" t="str">
        <f t="shared" ref="AP134" si="44">spellnumber(AM134)</f>
        <v xml:space="preserve">Nine Hundred NinetyNine </v>
      </c>
    </row>
    <row r="135" spans="1:42" ht="15.95" customHeight="1">
      <c r="A135" s="74">
        <v>136334</v>
      </c>
      <c r="B135" s="56" t="s">
        <v>157</v>
      </c>
      <c r="C135" s="77">
        <v>46</v>
      </c>
      <c r="D135" s="78" t="s">
        <v>394</v>
      </c>
      <c r="E135" s="79">
        <v>23</v>
      </c>
      <c r="F135" s="78" t="s">
        <v>394</v>
      </c>
      <c r="G135" s="79">
        <v>38</v>
      </c>
      <c r="H135" s="78" t="s">
        <v>394</v>
      </c>
      <c r="I135" s="79">
        <v>46</v>
      </c>
      <c r="J135" s="78" t="s">
        <v>394</v>
      </c>
      <c r="K135" s="79">
        <v>23</v>
      </c>
      <c r="L135" s="78" t="s">
        <v>394</v>
      </c>
      <c r="M135" s="79">
        <v>19</v>
      </c>
      <c r="N135" s="78" t="s">
        <v>394</v>
      </c>
      <c r="O135" s="79">
        <v>65</v>
      </c>
      <c r="P135" s="78" t="s">
        <v>394</v>
      </c>
      <c r="Q135" s="79">
        <v>23</v>
      </c>
      <c r="R135" s="78" t="s">
        <v>394</v>
      </c>
      <c r="S135" s="79">
        <v>44</v>
      </c>
      <c r="T135" s="78" t="s">
        <v>394</v>
      </c>
      <c r="U135" s="79">
        <v>43</v>
      </c>
      <c r="V135" s="78" t="s">
        <v>394</v>
      </c>
      <c r="W135" s="79">
        <v>23</v>
      </c>
      <c r="X135" s="78" t="s">
        <v>394</v>
      </c>
      <c r="Y135" s="79">
        <v>22</v>
      </c>
      <c r="Z135" s="78" t="s">
        <v>394</v>
      </c>
      <c r="AA135" s="79">
        <v>40</v>
      </c>
      <c r="AB135" s="78" t="s">
        <v>394</v>
      </c>
      <c r="AC135" s="79">
        <v>23</v>
      </c>
      <c r="AD135" s="78" t="s">
        <v>394</v>
      </c>
      <c r="AE135" s="79">
        <v>20</v>
      </c>
      <c r="AF135" s="78" t="s">
        <v>394</v>
      </c>
      <c r="AG135" s="79">
        <v>23</v>
      </c>
      <c r="AH135" s="78" t="s">
        <v>394</v>
      </c>
      <c r="AI135" s="79">
        <v>23</v>
      </c>
      <c r="AJ135" s="78" t="s">
        <v>394</v>
      </c>
      <c r="AK135" s="80">
        <v>547</v>
      </c>
      <c r="AL135" s="81" t="s">
        <v>299</v>
      </c>
      <c r="AM135" s="80">
        <v>1075</v>
      </c>
      <c r="AN135" s="57" t="s">
        <v>395</v>
      </c>
      <c r="AO135" s="93" t="s">
        <v>371</v>
      </c>
      <c r="AP135" s="58" t="s">
        <v>497</v>
      </c>
    </row>
    <row r="136" spans="1:42" ht="15.95" customHeight="1">
      <c r="A136" s="74">
        <v>136335</v>
      </c>
      <c r="B136" s="56" t="s">
        <v>158</v>
      </c>
      <c r="C136" s="77">
        <v>68</v>
      </c>
      <c r="D136" s="78" t="s">
        <v>394</v>
      </c>
      <c r="E136" s="79">
        <v>23</v>
      </c>
      <c r="F136" s="78" t="s">
        <v>394</v>
      </c>
      <c r="G136" s="79">
        <v>44</v>
      </c>
      <c r="H136" s="78" t="s">
        <v>394</v>
      </c>
      <c r="I136" s="79">
        <v>65</v>
      </c>
      <c r="J136" s="78" t="s">
        <v>394</v>
      </c>
      <c r="K136" s="79">
        <v>22</v>
      </c>
      <c r="L136" s="78" t="s">
        <v>394</v>
      </c>
      <c r="M136" s="79">
        <v>22</v>
      </c>
      <c r="N136" s="78" t="s">
        <v>394</v>
      </c>
      <c r="O136" s="79">
        <v>56</v>
      </c>
      <c r="P136" s="78" t="s">
        <v>394</v>
      </c>
      <c r="Q136" s="79">
        <v>20</v>
      </c>
      <c r="R136" s="78" t="s">
        <v>394</v>
      </c>
      <c r="S136" s="79">
        <v>38</v>
      </c>
      <c r="T136" s="78" t="s">
        <v>394</v>
      </c>
      <c r="U136" s="79">
        <v>71</v>
      </c>
      <c r="V136" s="78" t="s">
        <v>394</v>
      </c>
      <c r="W136" s="79">
        <v>20</v>
      </c>
      <c r="X136" s="78" t="s">
        <v>394</v>
      </c>
      <c r="Y136" s="79">
        <v>21</v>
      </c>
      <c r="Z136" s="78" t="s">
        <v>394</v>
      </c>
      <c r="AA136" s="79">
        <v>54</v>
      </c>
      <c r="AB136" s="78" t="s">
        <v>394</v>
      </c>
      <c r="AC136" s="79">
        <v>20</v>
      </c>
      <c r="AD136" s="78" t="s">
        <v>394</v>
      </c>
      <c r="AE136" s="79">
        <v>20</v>
      </c>
      <c r="AF136" s="78" t="s">
        <v>394</v>
      </c>
      <c r="AG136" s="79">
        <v>20</v>
      </c>
      <c r="AH136" s="78" t="s">
        <v>394</v>
      </c>
      <c r="AI136" s="79">
        <v>23</v>
      </c>
      <c r="AJ136" s="78" t="s">
        <v>394</v>
      </c>
      <c r="AK136" s="80">
        <v>608</v>
      </c>
      <c r="AL136" s="81" t="s">
        <v>276</v>
      </c>
      <c r="AM136" s="80">
        <v>1208</v>
      </c>
      <c r="AN136" s="57" t="s">
        <v>395</v>
      </c>
      <c r="AO136" s="93" t="s">
        <v>371</v>
      </c>
      <c r="AP136" s="58" t="s">
        <v>498</v>
      </c>
    </row>
    <row r="137" spans="1:42" ht="15.95" customHeight="1">
      <c r="A137" s="67">
        <v>136336</v>
      </c>
      <c r="B137" s="21" t="s">
        <v>159</v>
      </c>
      <c r="C137" s="82">
        <v>46</v>
      </c>
      <c r="D137" s="83"/>
      <c r="E137" s="84">
        <v>23</v>
      </c>
      <c r="F137" s="83"/>
      <c r="G137" s="84">
        <v>44</v>
      </c>
      <c r="H137" s="83"/>
      <c r="I137" s="85" t="s">
        <v>312</v>
      </c>
      <c r="J137" s="83"/>
      <c r="K137" s="84">
        <v>23</v>
      </c>
      <c r="L137" s="83"/>
      <c r="M137" s="84">
        <v>22</v>
      </c>
      <c r="N137" s="83"/>
      <c r="O137" s="85">
        <v>55</v>
      </c>
      <c r="P137" s="83"/>
      <c r="Q137" s="84">
        <v>23</v>
      </c>
      <c r="R137" s="83"/>
      <c r="S137" s="84">
        <v>44</v>
      </c>
      <c r="T137" s="83"/>
      <c r="U137" s="85">
        <v>42</v>
      </c>
      <c r="V137" s="83"/>
      <c r="W137" s="84">
        <v>23</v>
      </c>
      <c r="X137" s="83"/>
      <c r="Y137" s="84">
        <v>22</v>
      </c>
      <c r="Z137" s="83"/>
      <c r="AA137" s="85">
        <v>49</v>
      </c>
      <c r="AB137" s="83"/>
      <c r="AC137" s="84">
        <v>23</v>
      </c>
      <c r="AD137" s="83"/>
      <c r="AE137" s="79">
        <v>20</v>
      </c>
      <c r="AF137" s="83"/>
      <c r="AG137" s="84">
        <v>23</v>
      </c>
      <c r="AH137" s="83"/>
      <c r="AI137" s="84">
        <v>22</v>
      </c>
      <c r="AJ137" s="83"/>
      <c r="AK137" s="86" t="s">
        <v>318</v>
      </c>
      <c r="AL137" s="72" t="s">
        <v>281</v>
      </c>
      <c r="AM137" s="86">
        <v>1059</v>
      </c>
      <c r="AN137" s="11" t="str">
        <f t="shared" ref="AN137" si="45">IF(AND(COUNTIF(C137:AJ137,"AB")&lt;17-COUNTIF(C137:AJ137," "),
COUNTIF(C137:AJ137,"AB")&lt;&gt;0),"FAIL",
IF(COUNTIF(C137:AJ137,"AB")=17-COUNTIF(C137:AJ137," "),"ABSENT",
IF(AND(COUNTIF(C137:AJ137,"AB")=0,COUNTIF(C137:AJ137,"F")=0),"PASS","FAIL")))</f>
        <v>PASS</v>
      </c>
      <c r="AO137" s="86" t="s">
        <v>371</v>
      </c>
      <c r="AP137" s="1" t="str">
        <f t="shared" ref="AP137" si="46">spellnumber(AM137)</f>
        <v xml:space="preserve">One Thousand Fifty Nine </v>
      </c>
    </row>
    <row r="138" spans="1:42" ht="15.95" customHeight="1">
      <c r="A138" s="74">
        <v>136337</v>
      </c>
      <c r="B138" s="56" t="s">
        <v>160</v>
      </c>
      <c r="C138" s="77">
        <v>54</v>
      </c>
      <c r="D138" s="78" t="s">
        <v>394</v>
      </c>
      <c r="E138" s="79">
        <v>20</v>
      </c>
      <c r="F138" s="78" t="s">
        <v>394</v>
      </c>
      <c r="G138" s="79">
        <v>38</v>
      </c>
      <c r="H138" s="78" t="s">
        <v>394</v>
      </c>
      <c r="I138" s="79">
        <v>48</v>
      </c>
      <c r="J138" s="78" t="s">
        <v>394</v>
      </c>
      <c r="K138" s="79">
        <v>20</v>
      </c>
      <c r="L138" s="78" t="s">
        <v>394</v>
      </c>
      <c r="M138" s="79">
        <v>20</v>
      </c>
      <c r="N138" s="78" t="s">
        <v>394</v>
      </c>
      <c r="O138" s="79">
        <v>60</v>
      </c>
      <c r="P138" s="78" t="s">
        <v>394</v>
      </c>
      <c r="Q138" s="79">
        <v>20</v>
      </c>
      <c r="R138" s="78" t="s">
        <v>394</v>
      </c>
      <c r="S138" s="79">
        <v>42</v>
      </c>
      <c r="T138" s="78" t="s">
        <v>394</v>
      </c>
      <c r="U138" s="79">
        <v>58</v>
      </c>
      <c r="V138" s="78" t="s">
        <v>394</v>
      </c>
      <c r="W138" s="79">
        <v>20</v>
      </c>
      <c r="X138" s="78" t="s">
        <v>394</v>
      </c>
      <c r="Y138" s="79">
        <v>21</v>
      </c>
      <c r="Z138" s="78" t="s">
        <v>394</v>
      </c>
      <c r="AA138" s="79">
        <v>57</v>
      </c>
      <c r="AB138" s="78" t="s">
        <v>394</v>
      </c>
      <c r="AC138" s="79">
        <v>20</v>
      </c>
      <c r="AD138" s="78" t="s">
        <v>394</v>
      </c>
      <c r="AE138" s="79">
        <v>20</v>
      </c>
      <c r="AF138" s="78" t="s">
        <v>394</v>
      </c>
      <c r="AG138" s="79">
        <v>23</v>
      </c>
      <c r="AH138" s="78" t="s">
        <v>394</v>
      </c>
      <c r="AI138" s="79">
        <v>21</v>
      </c>
      <c r="AJ138" s="78" t="s">
        <v>394</v>
      </c>
      <c r="AK138" s="80">
        <v>564</v>
      </c>
      <c r="AL138" s="81" t="s">
        <v>300</v>
      </c>
      <c r="AM138" s="80">
        <v>1066</v>
      </c>
      <c r="AN138" s="57" t="s">
        <v>395</v>
      </c>
      <c r="AO138" s="93" t="s">
        <v>371</v>
      </c>
      <c r="AP138" s="58" t="s">
        <v>499</v>
      </c>
    </row>
    <row r="139" spans="1:42" ht="15.95" customHeight="1">
      <c r="A139" s="74">
        <v>136338</v>
      </c>
      <c r="B139" s="56" t="s">
        <v>161</v>
      </c>
      <c r="C139" s="77">
        <v>56</v>
      </c>
      <c r="D139" s="78" t="s">
        <v>394</v>
      </c>
      <c r="E139" s="79">
        <v>21</v>
      </c>
      <c r="F139" s="78" t="s">
        <v>394</v>
      </c>
      <c r="G139" s="79">
        <v>42</v>
      </c>
      <c r="H139" s="78" t="s">
        <v>394</v>
      </c>
      <c r="I139" s="79">
        <v>69</v>
      </c>
      <c r="J139" s="78" t="s">
        <v>394</v>
      </c>
      <c r="K139" s="79">
        <v>21</v>
      </c>
      <c r="L139" s="78" t="s">
        <v>394</v>
      </c>
      <c r="M139" s="79">
        <v>21</v>
      </c>
      <c r="N139" s="78" t="s">
        <v>394</v>
      </c>
      <c r="O139" s="79">
        <v>63</v>
      </c>
      <c r="P139" s="78" t="s">
        <v>394</v>
      </c>
      <c r="Q139" s="79">
        <v>21</v>
      </c>
      <c r="R139" s="78" t="s">
        <v>394</v>
      </c>
      <c r="S139" s="79">
        <v>38</v>
      </c>
      <c r="T139" s="78" t="s">
        <v>394</v>
      </c>
      <c r="U139" s="79">
        <v>62</v>
      </c>
      <c r="V139" s="78" t="s">
        <v>394</v>
      </c>
      <c r="W139" s="79">
        <v>21</v>
      </c>
      <c r="X139" s="78" t="s">
        <v>394</v>
      </c>
      <c r="Y139" s="79">
        <v>22</v>
      </c>
      <c r="Z139" s="78" t="s">
        <v>394</v>
      </c>
      <c r="AA139" s="79">
        <v>51</v>
      </c>
      <c r="AB139" s="78" t="s">
        <v>394</v>
      </c>
      <c r="AC139" s="79">
        <v>21</v>
      </c>
      <c r="AD139" s="78" t="s">
        <v>394</v>
      </c>
      <c r="AE139" s="79">
        <v>20</v>
      </c>
      <c r="AF139" s="78" t="s">
        <v>394</v>
      </c>
      <c r="AG139" s="79">
        <v>22</v>
      </c>
      <c r="AH139" s="78" t="s">
        <v>394</v>
      </c>
      <c r="AI139" s="79">
        <v>22</v>
      </c>
      <c r="AJ139" s="78" t="s">
        <v>394</v>
      </c>
      <c r="AK139" s="80">
        <v>594</v>
      </c>
      <c r="AL139" s="81" t="s">
        <v>301</v>
      </c>
      <c r="AM139" s="80">
        <v>1153</v>
      </c>
      <c r="AN139" s="57" t="s">
        <v>395</v>
      </c>
      <c r="AO139" s="93" t="s">
        <v>371</v>
      </c>
      <c r="AP139" s="58" t="s">
        <v>500</v>
      </c>
    </row>
    <row r="140" spans="1:42" ht="15.95" customHeight="1">
      <c r="A140" s="74">
        <v>136339</v>
      </c>
      <c r="B140" s="56" t="s">
        <v>162</v>
      </c>
      <c r="C140" s="77">
        <v>61</v>
      </c>
      <c r="D140" s="78" t="s">
        <v>394</v>
      </c>
      <c r="E140" s="79">
        <v>22</v>
      </c>
      <c r="F140" s="78" t="s">
        <v>394</v>
      </c>
      <c r="G140" s="79">
        <v>44</v>
      </c>
      <c r="H140" s="78" t="s">
        <v>394</v>
      </c>
      <c r="I140" s="79">
        <v>62</v>
      </c>
      <c r="J140" s="78" t="s">
        <v>394</v>
      </c>
      <c r="K140" s="79">
        <v>22</v>
      </c>
      <c r="L140" s="78" t="s">
        <v>394</v>
      </c>
      <c r="M140" s="79">
        <v>22</v>
      </c>
      <c r="N140" s="78" t="s">
        <v>394</v>
      </c>
      <c r="O140" s="79">
        <v>67</v>
      </c>
      <c r="P140" s="78" t="s">
        <v>394</v>
      </c>
      <c r="Q140" s="79">
        <v>22</v>
      </c>
      <c r="R140" s="78" t="s">
        <v>394</v>
      </c>
      <c r="S140" s="79">
        <v>38</v>
      </c>
      <c r="T140" s="78" t="s">
        <v>394</v>
      </c>
      <c r="U140" s="79">
        <v>68</v>
      </c>
      <c r="V140" s="78" t="s">
        <v>394</v>
      </c>
      <c r="W140" s="79">
        <v>22</v>
      </c>
      <c r="X140" s="78" t="s">
        <v>394</v>
      </c>
      <c r="Y140" s="79">
        <v>22</v>
      </c>
      <c r="Z140" s="78" t="s">
        <v>394</v>
      </c>
      <c r="AA140" s="79">
        <v>59</v>
      </c>
      <c r="AB140" s="78" t="s">
        <v>394</v>
      </c>
      <c r="AC140" s="79">
        <v>22</v>
      </c>
      <c r="AD140" s="78" t="s">
        <v>394</v>
      </c>
      <c r="AE140" s="79">
        <v>20</v>
      </c>
      <c r="AF140" s="78" t="s">
        <v>394</v>
      </c>
      <c r="AG140" s="79">
        <v>22</v>
      </c>
      <c r="AH140" s="78" t="s">
        <v>394</v>
      </c>
      <c r="AI140" s="79">
        <v>20</v>
      </c>
      <c r="AJ140" s="78" t="s">
        <v>394</v>
      </c>
      <c r="AK140" s="80">
        <v>616</v>
      </c>
      <c r="AL140" s="81" t="s">
        <v>302</v>
      </c>
      <c r="AM140" s="80">
        <v>1215</v>
      </c>
      <c r="AN140" s="57" t="s">
        <v>395</v>
      </c>
      <c r="AO140" s="93" t="s">
        <v>371</v>
      </c>
      <c r="AP140" s="58" t="s">
        <v>501</v>
      </c>
    </row>
    <row r="141" spans="1:42" ht="15.95" customHeight="1">
      <c r="A141" s="67">
        <v>136340</v>
      </c>
      <c r="B141" s="21" t="s">
        <v>163</v>
      </c>
      <c r="C141" s="24">
        <v>40</v>
      </c>
      <c r="D141" s="9"/>
      <c r="E141" s="22">
        <v>22</v>
      </c>
      <c r="F141" s="9"/>
      <c r="G141" s="22">
        <v>42</v>
      </c>
      <c r="H141" s="9"/>
      <c r="I141" s="29">
        <v>50</v>
      </c>
      <c r="J141" s="9"/>
      <c r="K141" s="22">
        <v>22</v>
      </c>
      <c r="L141" s="9"/>
      <c r="M141" s="22">
        <v>21</v>
      </c>
      <c r="N141" s="9"/>
      <c r="O141" s="29">
        <v>51</v>
      </c>
      <c r="P141" s="9"/>
      <c r="Q141" s="22">
        <v>22</v>
      </c>
      <c r="R141" s="9"/>
      <c r="S141" s="22">
        <v>42</v>
      </c>
      <c r="T141" s="9"/>
      <c r="U141" s="29">
        <v>42</v>
      </c>
      <c r="V141" s="9"/>
      <c r="W141" s="22">
        <v>22</v>
      </c>
      <c r="X141" s="9"/>
      <c r="Y141" s="22">
        <v>22</v>
      </c>
      <c r="Z141" s="9"/>
      <c r="AA141" s="29">
        <v>40</v>
      </c>
      <c r="AB141" s="9"/>
      <c r="AC141" s="22">
        <v>22</v>
      </c>
      <c r="AD141" s="9"/>
      <c r="AE141" s="22">
        <v>21</v>
      </c>
      <c r="AF141" s="9"/>
      <c r="AG141" s="22">
        <v>22</v>
      </c>
      <c r="AH141" s="9"/>
      <c r="AI141" s="22">
        <v>23</v>
      </c>
      <c r="AJ141" s="9"/>
      <c r="AK141" s="16">
        <f>IF(OR(AND(C141&gt;=31,C141&lt;40),AND(I141&gt;=31,I141&lt;40),AND(O141&gt;=31,O141&lt;40),AND(U141&gt;=31,U141&lt;40),AND(AA141&gt;=31,AA141&lt;40)),IF(AND(OR(COUNTIF(C141:AJ141,"=31")&gt;=1,COUNTIF(C141:AJ141,"=32")&gt;=1,COUNTIF(C141:AJ141,"=33")&gt;=1,COUNTIF(C141:AJ141,"=34")&gt;=1,COUNTIF(C141:AJ141,"=35")&gt;=1,COUNTIF(C141:AJ141,"=36")&gt;=1 ),COUNTIF(C141:AJ141,"")=0,COUNTIF(C141:AJ141," ")=0,COUNTIF(C141:AJ141,"F")=1),CONCATENATE(SUM(EXTRACTNUMBER(C141),EXTRACTNUMBER(E141),
EXTRACTNUMBER(G141),EXTRACTNUMBER(I141),
EXTRACTNUMBER(K141),EXTRACTNUMBER(M141),
EXTRACTNUMBER(O141),EXTRACTNUMBER(Q141),
EXTRACTNUMBER(S141),EXTRACTNUMBER(U141),
EXTRACTNUMBER(W141),EXTRACTNUMBER(Y141),EXTRACTNUMBER(AA141),
EXTRACTNUMBER(AC141),EXTRACTNUMBER(AE141),EXTRACTNUMBER(AG141),EXTRACTNUMBER(AI141)),"*"),IF(AND(COUNTIF(C141:AJ141,"=34")&gt;=1,COUNTIF(C141:AJ141,"=35")&gt;=1,COUNTIF(C141:AJ141,"f")=2,COUNTIF(C141:AJ141,"")=0,COUNTIF(C141:AJ141," ")=0),CONCATENATE(SUM(EXTRACTNUMBER(C141),EXTRACTNUMBER(E141),
EXTRACTNUMBER(G141),EXTRACTNUMBER(I141),
EXTRACTNUMBER(K141),EXTRACTNUMBER(M141),
EXTRACTNUMBER(O141),EXTRACTNUMBER(Q141),
EXTRACTNUMBER(S141),EXTRACTNUMBER(U141),
EXTRACTNUMBER(W141),EXTRACTNUMBER(Y141),EXTRACTNUMBER(AA141),
EXTRACTNUMBER(AC141),EXTRACTNUMBER(AE141),EXTRACTNUMBER(AG141),EXTRACTNUMBER(AI141)),"*"),IF(AND(COUNTIF(C141:AJ141,"=36")&gt;=2,COUNTIF(C141:AJ141,"f")=2,COUNTIF(C141:AJ141,"")=0,COUNTIF(C141:AJ141," ")=0),CONCATENATE(SUM(EXTRACTNUMBER(C141),EXTRACTNUMBER(E141),
EXTRACTNUMBER(G141),EXTRACTNUMBER(I141),
EXTRACTNUMBER(K141),EXTRACTNUMBER(M141),
EXTRACTNUMBER(O141),EXTRACTNUMBER(Q141),
EXTRACTNUMBER(S141),EXTRACTNUMBER(U141),
EXTRACTNUMBER(W141),EXTRACTNUMBER(Y141),EXTRACTNUMBER(AA141),
EXTRACTNUMBER(AC141),EXTRACTNUMBER(AE141),EXTRACTNUMBER(AG141),EXTRACTNUMBER(AI141)),"*"),SUM(EXTRACTNUMBER(C141),EXTRACTNUMBER(E141),
EXTRACTNUMBER(G141),EXTRACTNUMBER(I141),
EXTRACTNUMBER(K141),EXTRACTNUMBER(M141),
EXTRACTNUMBER(O141),EXTRACTNUMBER(Q141),
EXTRACTNUMBER(S141),EXTRACTNUMBER(U141),
EXTRACTNUMBER(W141),EXTRACTNUMBER(Y141),EXTRACTNUMBER(AA141),
EXTRACTNUMBER(AC141),EXTRACTNUMBER(AE141),EXTRACTNUMBER(AG141),EXTRACTNUMBER(AI141))))),SUM(EXTRACTNUMBER(C141),EXTRACTNUMBER(E141),
EXTRACTNUMBER(G141),EXTRACTNUMBER(I141),
EXTRACTNUMBER(K141),EXTRACTNUMBER(M141),
EXTRACTNUMBER(O141),EXTRACTNUMBER(Q141),
EXTRACTNUMBER(S141),EXTRACTNUMBER(U141),
EXTRACTNUMBER(W141),EXTRACTNUMBER(Y141),EXTRACTNUMBER(AA141),
EXTRACTNUMBER(AC141),EXTRACTNUMBER(AE141),EXTRACTNUMBER(AG141),EXTRACTNUMBER(AI141)))</f>
        <v>526</v>
      </c>
      <c r="AL141" s="72" t="s">
        <v>225</v>
      </c>
      <c r="AM141" s="11">
        <v>1016</v>
      </c>
      <c r="AN141" s="11" t="str">
        <f t="shared" ref="AN141" si="47">IF(AND(COUNTIF(C141:AJ141,"AB")&lt;17-COUNTIF(C141:AJ141," "),
COUNTIF(C141:AJ141,"AB")&lt;&gt;0),"FAIL",
IF(COUNTIF(C141:AJ141,"AB")=17-COUNTIF(C141:AJ141," "),"ABSENT",
IF(AND(COUNTIF(C141:AJ141,"AB")=0,COUNTIF(C141:AJ141,"F")=0),"PASS","FAIL")))</f>
        <v>PASS</v>
      </c>
      <c r="AO141" s="11" t="str">
        <f t="shared" ref="AO141" si="48">IF(AN141="ABSENT","AB",IF(AN141="FAIL","--",
IF(AL141=0,"RS 5",
IF(AND(SUM(EXTRACTNUMBER(AK141),EXTRACTNUMBER(AL141))&gt;=1010,
        NOT(IFERROR(FIND("x",AK141),0)),
        NOT(IFERROR(FIND("x",AL141),0))),"I",
IF(AND(SUM(EXTRACTNUMBER(AK141),EXTRACTNUMBER(AL141))&gt;=850,
      SUM(EXTRACTNUMBER(AK141),EXTRACTNUMBER(AL141))&lt;1010,
      NOT(IFERROR(FIND("x",AK141),0)),
      NOT(IFERROR(FIND("x",AL141),0))),"II",
IF(OR(AND(SUM(EXTRACTNUMBER(AK141),EXTRACTNUMBER(AL141))&lt;850,
SUM(EXTRACTNUMBER(AK141),EXTRACTNUMBER(AL141))&gt;=670),
IFERROR(FIND("x",AK141),0),IFERROR(FIND("x",AL141),0)),"P","--"))))))</f>
        <v>I</v>
      </c>
      <c r="AP141" s="1" t="str">
        <f t="shared" ref="AP141" si="49">spellnumber(AM141)</f>
        <v xml:space="preserve">One Thousand Sixteen </v>
      </c>
    </row>
    <row r="142" spans="1:42" ht="15.95" customHeight="1">
      <c r="A142" s="74">
        <v>136341</v>
      </c>
      <c r="B142" s="56" t="s">
        <v>164</v>
      </c>
      <c r="C142" s="77">
        <v>59</v>
      </c>
      <c r="D142" s="78" t="s">
        <v>394</v>
      </c>
      <c r="E142" s="79">
        <v>23</v>
      </c>
      <c r="F142" s="78" t="s">
        <v>394</v>
      </c>
      <c r="G142" s="79">
        <v>46</v>
      </c>
      <c r="H142" s="78" t="s">
        <v>394</v>
      </c>
      <c r="I142" s="79">
        <v>53</v>
      </c>
      <c r="J142" s="78" t="s">
        <v>394</v>
      </c>
      <c r="K142" s="79">
        <v>23</v>
      </c>
      <c r="L142" s="78" t="s">
        <v>394</v>
      </c>
      <c r="M142" s="79">
        <v>23</v>
      </c>
      <c r="N142" s="78" t="s">
        <v>394</v>
      </c>
      <c r="O142" s="79">
        <v>74</v>
      </c>
      <c r="P142" s="78" t="s">
        <v>394</v>
      </c>
      <c r="Q142" s="79">
        <v>23</v>
      </c>
      <c r="R142" s="78" t="s">
        <v>394</v>
      </c>
      <c r="S142" s="79">
        <v>44</v>
      </c>
      <c r="T142" s="78" t="s">
        <v>394</v>
      </c>
      <c r="U142" s="79">
        <v>69</v>
      </c>
      <c r="V142" s="78" t="s">
        <v>394</v>
      </c>
      <c r="W142" s="79">
        <v>23</v>
      </c>
      <c r="X142" s="78" t="s">
        <v>394</v>
      </c>
      <c r="Y142" s="79">
        <v>23</v>
      </c>
      <c r="Z142" s="78" t="s">
        <v>394</v>
      </c>
      <c r="AA142" s="79">
        <v>65</v>
      </c>
      <c r="AB142" s="78" t="s">
        <v>394</v>
      </c>
      <c r="AC142" s="79">
        <v>23</v>
      </c>
      <c r="AD142" s="78" t="s">
        <v>394</v>
      </c>
      <c r="AE142" s="79">
        <v>20</v>
      </c>
      <c r="AF142" s="78" t="s">
        <v>394</v>
      </c>
      <c r="AG142" s="79">
        <v>22</v>
      </c>
      <c r="AH142" s="78" t="s">
        <v>394</v>
      </c>
      <c r="AI142" s="79">
        <v>22</v>
      </c>
      <c r="AJ142" s="78" t="s">
        <v>394</v>
      </c>
      <c r="AK142" s="80">
        <v>638</v>
      </c>
      <c r="AL142" s="81" t="s">
        <v>247</v>
      </c>
      <c r="AM142" s="80">
        <v>1153</v>
      </c>
      <c r="AN142" s="57" t="s">
        <v>395</v>
      </c>
      <c r="AO142" s="93" t="s">
        <v>371</v>
      </c>
      <c r="AP142" s="58" t="s">
        <v>500</v>
      </c>
    </row>
    <row r="143" spans="1:42" ht="15.95" customHeight="1">
      <c r="A143" s="74">
        <v>136342</v>
      </c>
      <c r="B143" s="56" t="s">
        <v>165</v>
      </c>
      <c r="C143" s="77">
        <v>59</v>
      </c>
      <c r="D143" s="78" t="s">
        <v>394</v>
      </c>
      <c r="E143" s="79">
        <v>23</v>
      </c>
      <c r="F143" s="78" t="s">
        <v>394</v>
      </c>
      <c r="G143" s="79">
        <v>44</v>
      </c>
      <c r="H143" s="78" t="s">
        <v>394</v>
      </c>
      <c r="I143" s="79">
        <v>62</v>
      </c>
      <c r="J143" s="78" t="s">
        <v>394</v>
      </c>
      <c r="K143" s="79">
        <v>23</v>
      </c>
      <c r="L143" s="78" t="s">
        <v>394</v>
      </c>
      <c r="M143" s="79">
        <v>22</v>
      </c>
      <c r="N143" s="78" t="s">
        <v>394</v>
      </c>
      <c r="O143" s="79">
        <v>57</v>
      </c>
      <c r="P143" s="78" t="s">
        <v>394</v>
      </c>
      <c r="Q143" s="79">
        <v>23</v>
      </c>
      <c r="R143" s="78" t="s">
        <v>394</v>
      </c>
      <c r="S143" s="79">
        <v>42</v>
      </c>
      <c r="T143" s="78" t="s">
        <v>394</v>
      </c>
      <c r="U143" s="79">
        <v>57</v>
      </c>
      <c r="V143" s="78" t="s">
        <v>394</v>
      </c>
      <c r="W143" s="79">
        <v>23</v>
      </c>
      <c r="X143" s="78" t="s">
        <v>394</v>
      </c>
      <c r="Y143" s="79">
        <v>23</v>
      </c>
      <c r="Z143" s="78" t="s">
        <v>394</v>
      </c>
      <c r="AA143" s="79">
        <v>57</v>
      </c>
      <c r="AB143" s="78" t="s">
        <v>394</v>
      </c>
      <c r="AC143" s="79">
        <v>23</v>
      </c>
      <c r="AD143" s="78" t="s">
        <v>394</v>
      </c>
      <c r="AE143" s="79">
        <v>20</v>
      </c>
      <c r="AF143" s="78" t="s">
        <v>394</v>
      </c>
      <c r="AG143" s="79">
        <v>23</v>
      </c>
      <c r="AH143" s="78" t="s">
        <v>394</v>
      </c>
      <c r="AI143" s="79">
        <v>23</v>
      </c>
      <c r="AJ143" s="78" t="s">
        <v>394</v>
      </c>
      <c r="AK143" s="80">
        <v>605</v>
      </c>
      <c r="AL143" s="81" t="s">
        <v>303</v>
      </c>
      <c r="AM143" s="80">
        <v>1174</v>
      </c>
      <c r="AN143" s="57" t="s">
        <v>395</v>
      </c>
      <c r="AO143" s="93" t="s">
        <v>371</v>
      </c>
      <c r="AP143" s="58" t="s">
        <v>484</v>
      </c>
    </row>
    <row r="144" spans="1:42" ht="15.95" customHeight="1">
      <c r="A144" s="74">
        <v>136343</v>
      </c>
      <c r="B144" s="56" t="s">
        <v>166</v>
      </c>
      <c r="C144" s="77">
        <v>60</v>
      </c>
      <c r="D144" s="78" t="s">
        <v>394</v>
      </c>
      <c r="E144" s="79">
        <v>22</v>
      </c>
      <c r="F144" s="78" t="s">
        <v>394</v>
      </c>
      <c r="G144" s="79">
        <v>44</v>
      </c>
      <c r="H144" s="78" t="s">
        <v>394</v>
      </c>
      <c r="I144" s="79">
        <v>44</v>
      </c>
      <c r="J144" s="78" t="s">
        <v>394</v>
      </c>
      <c r="K144" s="79">
        <v>22</v>
      </c>
      <c r="L144" s="78" t="s">
        <v>394</v>
      </c>
      <c r="M144" s="79">
        <v>22</v>
      </c>
      <c r="N144" s="78" t="s">
        <v>394</v>
      </c>
      <c r="O144" s="79">
        <v>69</v>
      </c>
      <c r="P144" s="78" t="s">
        <v>394</v>
      </c>
      <c r="Q144" s="79">
        <v>22</v>
      </c>
      <c r="R144" s="78" t="s">
        <v>394</v>
      </c>
      <c r="S144" s="79">
        <v>44</v>
      </c>
      <c r="T144" s="78" t="s">
        <v>394</v>
      </c>
      <c r="U144" s="79">
        <v>56</v>
      </c>
      <c r="V144" s="78" t="s">
        <v>394</v>
      </c>
      <c r="W144" s="79">
        <v>22</v>
      </c>
      <c r="X144" s="78" t="s">
        <v>394</v>
      </c>
      <c r="Y144" s="79">
        <v>21</v>
      </c>
      <c r="Z144" s="78" t="s">
        <v>394</v>
      </c>
      <c r="AA144" s="79">
        <v>55</v>
      </c>
      <c r="AB144" s="78" t="s">
        <v>394</v>
      </c>
      <c r="AC144" s="79">
        <v>22</v>
      </c>
      <c r="AD144" s="78" t="s">
        <v>394</v>
      </c>
      <c r="AE144" s="79">
        <v>20</v>
      </c>
      <c r="AF144" s="78" t="s">
        <v>394</v>
      </c>
      <c r="AG144" s="79">
        <v>22</v>
      </c>
      <c r="AH144" s="78" t="s">
        <v>394</v>
      </c>
      <c r="AI144" s="79">
        <v>20</v>
      </c>
      <c r="AJ144" s="78" t="s">
        <v>394</v>
      </c>
      <c r="AK144" s="80">
        <v>589</v>
      </c>
      <c r="AL144" s="81" t="s">
        <v>535</v>
      </c>
      <c r="AM144" s="80">
        <v>589</v>
      </c>
      <c r="AN144" s="57" t="s">
        <v>395</v>
      </c>
      <c r="AO144" s="93" t="s">
        <v>407</v>
      </c>
      <c r="AP144" s="58" t="s">
        <v>502</v>
      </c>
    </row>
    <row r="145" spans="1:42" ht="15.95" customHeight="1">
      <c r="A145" s="74">
        <v>136344</v>
      </c>
      <c r="B145" s="56" t="s">
        <v>167</v>
      </c>
      <c r="C145" s="77">
        <v>58</v>
      </c>
      <c r="D145" s="78" t="s">
        <v>394</v>
      </c>
      <c r="E145" s="79">
        <v>23</v>
      </c>
      <c r="F145" s="78" t="s">
        <v>394</v>
      </c>
      <c r="G145" s="79">
        <v>40</v>
      </c>
      <c r="H145" s="78" t="s">
        <v>394</v>
      </c>
      <c r="I145" s="79">
        <v>49</v>
      </c>
      <c r="J145" s="78" t="s">
        <v>394</v>
      </c>
      <c r="K145" s="79">
        <v>23</v>
      </c>
      <c r="L145" s="78" t="s">
        <v>394</v>
      </c>
      <c r="M145" s="79">
        <v>20</v>
      </c>
      <c r="N145" s="78" t="s">
        <v>394</v>
      </c>
      <c r="O145" s="79">
        <v>66</v>
      </c>
      <c r="P145" s="78" t="s">
        <v>394</v>
      </c>
      <c r="Q145" s="79">
        <v>23</v>
      </c>
      <c r="R145" s="78" t="s">
        <v>394</v>
      </c>
      <c r="S145" s="79">
        <v>40</v>
      </c>
      <c r="T145" s="78" t="s">
        <v>394</v>
      </c>
      <c r="U145" s="79">
        <v>60</v>
      </c>
      <c r="V145" s="78" t="s">
        <v>394</v>
      </c>
      <c r="W145" s="79">
        <v>22</v>
      </c>
      <c r="X145" s="78" t="s">
        <v>394</v>
      </c>
      <c r="Y145" s="79">
        <v>21</v>
      </c>
      <c r="Z145" s="78" t="s">
        <v>394</v>
      </c>
      <c r="AA145" s="79">
        <v>54</v>
      </c>
      <c r="AB145" s="78" t="s">
        <v>394</v>
      </c>
      <c r="AC145" s="79">
        <v>23</v>
      </c>
      <c r="AD145" s="78" t="s">
        <v>394</v>
      </c>
      <c r="AE145" s="79">
        <v>20</v>
      </c>
      <c r="AF145" s="78" t="s">
        <v>394</v>
      </c>
      <c r="AG145" s="79">
        <v>23</v>
      </c>
      <c r="AH145" s="78" t="s">
        <v>394</v>
      </c>
      <c r="AI145" s="79">
        <v>24</v>
      </c>
      <c r="AJ145" s="78" t="s">
        <v>394</v>
      </c>
      <c r="AK145" s="80">
        <v>588</v>
      </c>
      <c r="AL145" s="81" t="s">
        <v>242</v>
      </c>
      <c r="AM145" s="80">
        <v>1122</v>
      </c>
      <c r="AN145" s="57" t="s">
        <v>395</v>
      </c>
      <c r="AO145" s="93" t="s">
        <v>371</v>
      </c>
      <c r="AP145" s="58" t="s">
        <v>423</v>
      </c>
    </row>
    <row r="146" spans="1:42" ht="15.95" customHeight="1">
      <c r="A146" s="74">
        <v>136345</v>
      </c>
      <c r="B146" s="56" t="s">
        <v>168</v>
      </c>
      <c r="C146" s="77">
        <v>46</v>
      </c>
      <c r="D146" s="78" t="s">
        <v>394</v>
      </c>
      <c r="E146" s="79">
        <v>20</v>
      </c>
      <c r="F146" s="78" t="s">
        <v>394</v>
      </c>
      <c r="G146" s="79">
        <v>44</v>
      </c>
      <c r="H146" s="78" t="s">
        <v>394</v>
      </c>
      <c r="I146" s="79">
        <v>54</v>
      </c>
      <c r="J146" s="78" t="s">
        <v>394</v>
      </c>
      <c r="K146" s="79">
        <v>20</v>
      </c>
      <c r="L146" s="78" t="s">
        <v>394</v>
      </c>
      <c r="M146" s="79">
        <v>22</v>
      </c>
      <c r="N146" s="78" t="s">
        <v>394</v>
      </c>
      <c r="O146" s="79">
        <v>66</v>
      </c>
      <c r="P146" s="78" t="s">
        <v>394</v>
      </c>
      <c r="Q146" s="79">
        <v>20</v>
      </c>
      <c r="R146" s="78" t="s">
        <v>394</v>
      </c>
      <c r="S146" s="79">
        <v>40</v>
      </c>
      <c r="T146" s="78" t="s">
        <v>394</v>
      </c>
      <c r="U146" s="79">
        <v>56</v>
      </c>
      <c r="V146" s="78" t="s">
        <v>394</v>
      </c>
      <c r="W146" s="79">
        <v>20</v>
      </c>
      <c r="X146" s="78" t="s">
        <v>394</v>
      </c>
      <c r="Y146" s="79">
        <v>21</v>
      </c>
      <c r="Z146" s="78" t="s">
        <v>394</v>
      </c>
      <c r="AA146" s="79">
        <v>53</v>
      </c>
      <c r="AB146" s="78" t="s">
        <v>394</v>
      </c>
      <c r="AC146" s="79">
        <v>20</v>
      </c>
      <c r="AD146" s="78" t="s">
        <v>394</v>
      </c>
      <c r="AE146" s="79">
        <v>20</v>
      </c>
      <c r="AF146" s="78" t="s">
        <v>394</v>
      </c>
      <c r="AG146" s="79">
        <v>22</v>
      </c>
      <c r="AH146" s="78" t="s">
        <v>394</v>
      </c>
      <c r="AI146" s="79">
        <v>23</v>
      </c>
      <c r="AJ146" s="78" t="s">
        <v>394</v>
      </c>
      <c r="AK146" s="80">
        <v>569</v>
      </c>
      <c r="AL146" s="81" t="s">
        <v>304</v>
      </c>
      <c r="AM146" s="80">
        <v>1092</v>
      </c>
      <c r="AN146" s="57" t="s">
        <v>395</v>
      </c>
      <c r="AO146" s="93" t="s">
        <v>371</v>
      </c>
      <c r="AP146" s="58" t="s">
        <v>412</v>
      </c>
    </row>
    <row r="147" spans="1:42" ht="15.95" customHeight="1">
      <c r="A147" s="74">
        <v>136346</v>
      </c>
      <c r="B147" s="56" t="s">
        <v>169</v>
      </c>
      <c r="C147" s="77">
        <v>40</v>
      </c>
      <c r="D147" s="78" t="s">
        <v>394</v>
      </c>
      <c r="E147" s="79">
        <v>20</v>
      </c>
      <c r="F147" s="78" t="s">
        <v>394</v>
      </c>
      <c r="G147" s="79">
        <v>46</v>
      </c>
      <c r="H147" s="78" t="s">
        <v>394</v>
      </c>
      <c r="I147" s="79">
        <v>53</v>
      </c>
      <c r="J147" s="78" t="s">
        <v>394</v>
      </c>
      <c r="K147" s="79">
        <v>21</v>
      </c>
      <c r="L147" s="78" t="s">
        <v>394</v>
      </c>
      <c r="M147" s="79">
        <v>23</v>
      </c>
      <c r="N147" s="78" t="s">
        <v>394</v>
      </c>
      <c r="O147" s="79">
        <v>77</v>
      </c>
      <c r="P147" s="78" t="s">
        <v>394</v>
      </c>
      <c r="Q147" s="79">
        <v>21</v>
      </c>
      <c r="R147" s="78" t="s">
        <v>394</v>
      </c>
      <c r="S147" s="79">
        <v>46</v>
      </c>
      <c r="T147" s="78" t="s">
        <v>394</v>
      </c>
      <c r="U147" s="79">
        <v>61</v>
      </c>
      <c r="V147" s="78" t="s">
        <v>394</v>
      </c>
      <c r="W147" s="79">
        <v>21</v>
      </c>
      <c r="X147" s="78" t="s">
        <v>394</v>
      </c>
      <c r="Y147" s="79">
        <v>21</v>
      </c>
      <c r="Z147" s="78" t="s">
        <v>394</v>
      </c>
      <c r="AA147" s="79">
        <v>54</v>
      </c>
      <c r="AB147" s="78" t="s">
        <v>394</v>
      </c>
      <c r="AC147" s="79">
        <v>21</v>
      </c>
      <c r="AD147" s="78" t="s">
        <v>394</v>
      </c>
      <c r="AE147" s="79">
        <v>20</v>
      </c>
      <c r="AF147" s="78" t="s">
        <v>394</v>
      </c>
      <c r="AG147" s="79">
        <v>21</v>
      </c>
      <c r="AH147" s="78" t="s">
        <v>394</v>
      </c>
      <c r="AI147" s="79">
        <v>21</v>
      </c>
      <c r="AJ147" s="78" t="s">
        <v>394</v>
      </c>
      <c r="AK147" s="80">
        <v>588</v>
      </c>
      <c r="AL147" s="81" t="s">
        <v>305</v>
      </c>
      <c r="AM147" s="80">
        <v>1141</v>
      </c>
      <c r="AN147" s="57" t="s">
        <v>395</v>
      </c>
      <c r="AO147" s="93" t="s">
        <v>371</v>
      </c>
      <c r="AP147" s="58" t="s">
        <v>503</v>
      </c>
    </row>
    <row r="148" spans="1:42" ht="15.95" customHeight="1">
      <c r="A148" s="74">
        <v>136347</v>
      </c>
      <c r="B148" s="56" t="s">
        <v>170</v>
      </c>
      <c r="C148" s="77">
        <v>44</v>
      </c>
      <c r="D148" s="78" t="s">
        <v>394</v>
      </c>
      <c r="E148" s="79">
        <v>22</v>
      </c>
      <c r="F148" s="78" t="s">
        <v>394</v>
      </c>
      <c r="G148" s="79">
        <v>42</v>
      </c>
      <c r="H148" s="78" t="s">
        <v>394</v>
      </c>
      <c r="I148" s="79">
        <v>49</v>
      </c>
      <c r="J148" s="78" t="s">
        <v>394</v>
      </c>
      <c r="K148" s="79">
        <v>20</v>
      </c>
      <c r="L148" s="78" t="s">
        <v>394</v>
      </c>
      <c r="M148" s="79">
        <v>21</v>
      </c>
      <c r="N148" s="78" t="s">
        <v>394</v>
      </c>
      <c r="O148" s="79">
        <v>62</v>
      </c>
      <c r="P148" s="78" t="s">
        <v>394</v>
      </c>
      <c r="Q148" s="79">
        <v>22</v>
      </c>
      <c r="R148" s="78" t="s">
        <v>394</v>
      </c>
      <c r="S148" s="79">
        <v>42</v>
      </c>
      <c r="T148" s="78" t="s">
        <v>394</v>
      </c>
      <c r="U148" s="79">
        <v>65</v>
      </c>
      <c r="V148" s="78" t="s">
        <v>394</v>
      </c>
      <c r="W148" s="79">
        <v>22</v>
      </c>
      <c r="X148" s="78" t="s">
        <v>394</v>
      </c>
      <c r="Y148" s="79">
        <v>22</v>
      </c>
      <c r="Z148" s="78" t="s">
        <v>394</v>
      </c>
      <c r="AA148" s="79">
        <v>43</v>
      </c>
      <c r="AB148" s="78" t="s">
        <v>394</v>
      </c>
      <c r="AC148" s="79">
        <v>22</v>
      </c>
      <c r="AD148" s="78" t="s">
        <v>394</v>
      </c>
      <c r="AE148" s="79">
        <v>20</v>
      </c>
      <c r="AF148" s="78" t="s">
        <v>394</v>
      </c>
      <c r="AG148" s="79">
        <v>22</v>
      </c>
      <c r="AH148" s="78" t="s">
        <v>394</v>
      </c>
      <c r="AI148" s="79">
        <v>22</v>
      </c>
      <c r="AJ148" s="78" t="s">
        <v>394</v>
      </c>
      <c r="AK148" s="80">
        <v>563</v>
      </c>
      <c r="AL148" s="81" t="s">
        <v>292</v>
      </c>
      <c r="AM148" s="80">
        <v>1123</v>
      </c>
      <c r="AN148" s="57" t="s">
        <v>395</v>
      </c>
      <c r="AO148" s="93" t="s">
        <v>371</v>
      </c>
      <c r="AP148" s="58" t="s">
        <v>504</v>
      </c>
    </row>
    <row r="149" spans="1:42" ht="15.95" customHeight="1">
      <c r="A149" s="74">
        <v>136348</v>
      </c>
      <c r="B149" s="56" t="s">
        <v>171</v>
      </c>
      <c r="C149" s="77">
        <v>40</v>
      </c>
      <c r="D149" s="78" t="s">
        <v>394</v>
      </c>
      <c r="E149" s="79">
        <v>21</v>
      </c>
      <c r="F149" s="78" t="s">
        <v>394</v>
      </c>
      <c r="G149" s="79">
        <v>46</v>
      </c>
      <c r="H149" s="78" t="s">
        <v>394</v>
      </c>
      <c r="I149" s="79">
        <v>47</v>
      </c>
      <c r="J149" s="78" t="s">
        <v>394</v>
      </c>
      <c r="K149" s="79">
        <v>22</v>
      </c>
      <c r="L149" s="78" t="s">
        <v>394</v>
      </c>
      <c r="M149" s="79">
        <v>23</v>
      </c>
      <c r="N149" s="78" t="s">
        <v>394</v>
      </c>
      <c r="O149" s="79">
        <v>63</v>
      </c>
      <c r="P149" s="78" t="s">
        <v>394</v>
      </c>
      <c r="Q149" s="79">
        <v>22</v>
      </c>
      <c r="R149" s="78" t="s">
        <v>394</v>
      </c>
      <c r="S149" s="79">
        <v>46</v>
      </c>
      <c r="T149" s="78" t="s">
        <v>394</v>
      </c>
      <c r="U149" s="79">
        <v>52</v>
      </c>
      <c r="V149" s="78" t="s">
        <v>394</v>
      </c>
      <c r="W149" s="79">
        <v>22</v>
      </c>
      <c r="X149" s="78" t="s">
        <v>394</v>
      </c>
      <c r="Y149" s="79">
        <v>22</v>
      </c>
      <c r="Z149" s="78" t="s">
        <v>394</v>
      </c>
      <c r="AA149" s="79">
        <v>51</v>
      </c>
      <c r="AB149" s="78" t="s">
        <v>394</v>
      </c>
      <c r="AC149" s="79">
        <v>22</v>
      </c>
      <c r="AD149" s="78" t="s">
        <v>394</v>
      </c>
      <c r="AE149" s="79">
        <v>20</v>
      </c>
      <c r="AF149" s="78" t="s">
        <v>394</v>
      </c>
      <c r="AG149" s="79">
        <v>22</v>
      </c>
      <c r="AH149" s="78" t="s">
        <v>394</v>
      </c>
      <c r="AI149" s="79">
        <v>22</v>
      </c>
      <c r="AJ149" s="78" t="s">
        <v>394</v>
      </c>
      <c r="AK149" s="80">
        <v>565</v>
      </c>
      <c r="AL149" s="81" t="s">
        <v>306</v>
      </c>
      <c r="AM149" s="80">
        <v>1075</v>
      </c>
      <c r="AN149" s="57" t="s">
        <v>395</v>
      </c>
      <c r="AO149" s="93" t="s">
        <v>371</v>
      </c>
      <c r="AP149" s="58" t="s">
        <v>497</v>
      </c>
    </row>
    <row r="150" spans="1:42" ht="15.95" customHeight="1">
      <c r="A150" s="67">
        <v>136349</v>
      </c>
      <c r="B150" s="21" t="s">
        <v>172</v>
      </c>
      <c r="C150" s="24">
        <v>56</v>
      </c>
      <c r="D150" s="9"/>
      <c r="E150" s="22">
        <v>19</v>
      </c>
      <c r="F150" s="9"/>
      <c r="G150" s="22">
        <v>38</v>
      </c>
      <c r="H150" s="9"/>
      <c r="I150" s="29">
        <v>44</v>
      </c>
      <c r="J150" s="9"/>
      <c r="K150" s="22">
        <v>20</v>
      </c>
      <c r="L150" s="9"/>
      <c r="M150" s="22">
        <v>19</v>
      </c>
      <c r="N150" s="9"/>
      <c r="O150" s="29">
        <v>66</v>
      </c>
      <c r="P150" s="9"/>
      <c r="Q150" s="22">
        <v>19</v>
      </c>
      <c r="R150" s="9"/>
      <c r="S150" s="22">
        <v>38</v>
      </c>
      <c r="T150" s="9"/>
      <c r="U150" s="29">
        <v>54</v>
      </c>
      <c r="V150" s="9"/>
      <c r="W150" s="22">
        <v>19</v>
      </c>
      <c r="X150" s="9"/>
      <c r="Y150" s="22">
        <v>19</v>
      </c>
      <c r="Z150" s="9"/>
      <c r="AA150" s="29">
        <v>52</v>
      </c>
      <c r="AB150" s="9"/>
      <c r="AC150" s="22">
        <v>19</v>
      </c>
      <c r="AD150" s="9"/>
      <c r="AE150" s="22">
        <v>20</v>
      </c>
      <c r="AF150" s="9"/>
      <c r="AG150" s="22">
        <v>22</v>
      </c>
      <c r="AH150" s="9"/>
      <c r="AI150" s="22">
        <v>22</v>
      </c>
      <c r="AJ150" s="9"/>
      <c r="AK150" s="16">
        <f>IF(OR(AND(C150&gt;=31,C150&lt;40),AND(I150&gt;=31,I150&lt;40),AND(O150&gt;=31,O150&lt;40),AND(U150&gt;=31,U150&lt;40),AND(AA150&gt;=31,AA150&lt;40)),IF(AND(OR(COUNTIF(C150:AJ150,"=31")&gt;=1,COUNTIF(C150:AJ150,"=32")&gt;=1,COUNTIF(C150:AJ150,"=33")&gt;=1,COUNTIF(C150:AJ150,"=34")&gt;=1,COUNTIF(C150:AJ150,"=35")&gt;=1,COUNTIF(C150:AJ150,"=36")&gt;=1 ),COUNTIF(C150:AJ150,"")=0,COUNTIF(C150:AJ150," ")=0,COUNTIF(C150:AJ150,"F")=1),CONCATENATE(SUM(EXTRACTNUMBER(C150),EXTRACTNUMBER(E150),
EXTRACTNUMBER(G150),EXTRACTNUMBER(I150),
EXTRACTNUMBER(K150),EXTRACTNUMBER(M150),
EXTRACTNUMBER(O150),EXTRACTNUMBER(Q150),
EXTRACTNUMBER(S150),EXTRACTNUMBER(U150),
EXTRACTNUMBER(W150),EXTRACTNUMBER(Y150),EXTRACTNUMBER(AA150),
EXTRACTNUMBER(AC150),EXTRACTNUMBER(AE150),EXTRACTNUMBER(AG150),EXTRACTNUMBER(AI150)),"*"),IF(AND(COUNTIF(C150:AJ150,"=34")&gt;=1,COUNTIF(C150:AJ150,"=35")&gt;=1,COUNTIF(C150:AJ150,"f")=2,COUNTIF(C150:AJ150,"")=0,COUNTIF(C150:AJ150," ")=0),CONCATENATE(SUM(EXTRACTNUMBER(C150),EXTRACTNUMBER(E150),
EXTRACTNUMBER(G150),EXTRACTNUMBER(I150),
EXTRACTNUMBER(K150),EXTRACTNUMBER(M150),
EXTRACTNUMBER(O150),EXTRACTNUMBER(Q150),
EXTRACTNUMBER(S150),EXTRACTNUMBER(U150),
EXTRACTNUMBER(W150),EXTRACTNUMBER(Y150),EXTRACTNUMBER(AA150),
EXTRACTNUMBER(AC150),EXTRACTNUMBER(AE150),EXTRACTNUMBER(AG150),EXTRACTNUMBER(AI150)),"*"),IF(AND(COUNTIF(C150:AJ150,"=36")&gt;=2,COUNTIF(C150:AJ150,"f")=2,COUNTIF(C150:AJ150,"")=0,COUNTIF(C150:AJ150," ")=0),CONCATENATE(SUM(EXTRACTNUMBER(C150),EXTRACTNUMBER(E150),
EXTRACTNUMBER(G150),EXTRACTNUMBER(I150),
EXTRACTNUMBER(K150),EXTRACTNUMBER(M150),
EXTRACTNUMBER(O150),EXTRACTNUMBER(Q150),
EXTRACTNUMBER(S150),EXTRACTNUMBER(U150),
EXTRACTNUMBER(W150),EXTRACTNUMBER(Y150),EXTRACTNUMBER(AA150),
EXTRACTNUMBER(AC150),EXTRACTNUMBER(AE150),EXTRACTNUMBER(AG150),EXTRACTNUMBER(AI150)),"*"),SUM(EXTRACTNUMBER(C150),EXTRACTNUMBER(E150),
EXTRACTNUMBER(G150),EXTRACTNUMBER(I150),
EXTRACTNUMBER(K150),EXTRACTNUMBER(M150),
EXTRACTNUMBER(O150),EXTRACTNUMBER(Q150),
EXTRACTNUMBER(S150),EXTRACTNUMBER(U150),
EXTRACTNUMBER(W150),EXTRACTNUMBER(Y150),EXTRACTNUMBER(AA150),
EXTRACTNUMBER(AC150),EXTRACTNUMBER(AE150),EXTRACTNUMBER(AG150),EXTRACTNUMBER(AI150))))),SUM(EXTRACTNUMBER(C150),EXTRACTNUMBER(E150),
EXTRACTNUMBER(G150),EXTRACTNUMBER(I150),
EXTRACTNUMBER(K150),EXTRACTNUMBER(M150),
EXTRACTNUMBER(O150),EXTRACTNUMBER(Q150),
EXTRACTNUMBER(S150),EXTRACTNUMBER(U150),
EXTRACTNUMBER(W150),EXTRACTNUMBER(Y150),EXTRACTNUMBER(AA150),
EXTRACTNUMBER(AC150),EXTRACTNUMBER(AE150),EXTRACTNUMBER(AG150),EXTRACTNUMBER(AI150)))</f>
        <v>546</v>
      </c>
      <c r="AL150" s="72" t="s">
        <v>307</v>
      </c>
      <c r="AM150" s="11">
        <v>1057</v>
      </c>
      <c r="AN150" s="11" t="str">
        <f t="shared" ref="AN150" si="50">IF(AND(COUNTIF(C150:AJ150,"AB")&lt;17-COUNTIF(C150:AJ150," "),
COUNTIF(C150:AJ150,"AB")&lt;&gt;0),"FAIL",
IF(COUNTIF(C150:AJ150,"AB")=17-COUNTIF(C150:AJ150," "),"ABSENT",
IF(AND(COUNTIF(C150:AJ150,"AB")=0,COUNTIF(C150:AJ150,"F")=0),"PASS","FAIL")))</f>
        <v>PASS</v>
      </c>
      <c r="AO150" s="11" t="str">
        <f t="shared" ref="AO150" si="51">IF(AN150="ABSENT","AB",IF(AN150="FAIL","--",
IF(AL150=0,"RS 5",
IF(AND(SUM(EXTRACTNUMBER(AK150),EXTRACTNUMBER(AL150))&gt;=1010,
        NOT(IFERROR(FIND("x",AK150),0)),
        NOT(IFERROR(FIND("x",AL150),0))),"I",
IF(AND(SUM(EXTRACTNUMBER(AK150),EXTRACTNUMBER(AL150))&gt;=850,
      SUM(EXTRACTNUMBER(AK150),EXTRACTNUMBER(AL150))&lt;1010,
      NOT(IFERROR(FIND("x",AK150),0)),
      NOT(IFERROR(FIND("x",AL150),0))),"II",
IF(OR(AND(SUM(EXTRACTNUMBER(AK150),EXTRACTNUMBER(AL150))&lt;850,
SUM(EXTRACTNUMBER(AK150),EXTRACTNUMBER(AL150))&gt;=670),
IFERROR(FIND("x",AK150),0),IFERROR(FIND("x",AL150),0)),"P","--"))))))</f>
        <v>I</v>
      </c>
      <c r="AP150" s="1" t="str">
        <f t="shared" ref="AP150" si="52">spellnumber(AM150)</f>
        <v xml:space="preserve">One Thousand Fifty Seven </v>
      </c>
    </row>
    <row r="151" spans="1:42" ht="15.95" customHeight="1">
      <c r="A151" s="74">
        <v>136350</v>
      </c>
      <c r="B151" s="56" t="s">
        <v>173</v>
      </c>
      <c r="C151" s="77">
        <v>76</v>
      </c>
      <c r="D151" s="78" t="s">
        <v>394</v>
      </c>
      <c r="E151" s="79">
        <v>22</v>
      </c>
      <c r="F151" s="78" t="s">
        <v>394</v>
      </c>
      <c r="G151" s="79">
        <v>44</v>
      </c>
      <c r="H151" s="78" t="s">
        <v>394</v>
      </c>
      <c r="I151" s="79">
        <v>63</v>
      </c>
      <c r="J151" s="78" t="s">
        <v>394</v>
      </c>
      <c r="K151" s="79">
        <v>23</v>
      </c>
      <c r="L151" s="78" t="s">
        <v>394</v>
      </c>
      <c r="M151" s="79">
        <v>22</v>
      </c>
      <c r="N151" s="78" t="s">
        <v>394</v>
      </c>
      <c r="O151" s="79">
        <v>73</v>
      </c>
      <c r="P151" s="78" t="s">
        <v>394</v>
      </c>
      <c r="Q151" s="79">
        <v>23</v>
      </c>
      <c r="R151" s="78" t="s">
        <v>394</v>
      </c>
      <c r="S151" s="79">
        <v>44</v>
      </c>
      <c r="T151" s="78" t="s">
        <v>394</v>
      </c>
      <c r="U151" s="79">
        <v>63</v>
      </c>
      <c r="V151" s="78" t="s">
        <v>394</v>
      </c>
      <c r="W151" s="79">
        <v>23</v>
      </c>
      <c r="X151" s="78" t="s">
        <v>394</v>
      </c>
      <c r="Y151" s="79">
        <v>22</v>
      </c>
      <c r="Z151" s="78" t="s">
        <v>394</v>
      </c>
      <c r="AA151" s="79">
        <v>53</v>
      </c>
      <c r="AB151" s="78" t="s">
        <v>394</v>
      </c>
      <c r="AC151" s="79">
        <v>23</v>
      </c>
      <c r="AD151" s="78" t="s">
        <v>394</v>
      </c>
      <c r="AE151" s="79">
        <v>20</v>
      </c>
      <c r="AF151" s="78" t="s">
        <v>394</v>
      </c>
      <c r="AG151" s="79">
        <v>23</v>
      </c>
      <c r="AH151" s="78" t="s">
        <v>394</v>
      </c>
      <c r="AI151" s="79">
        <v>21</v>
      </c>
      <c r="AJ151" s="78" t="s">
        <v>394</v>
      </c>
      <c r="AK151" s="80">
        <v>640</v>
      </c>
      <c r="AL151" s="81" t="s">
        <v>308</v>
      </c>
      <c r="AM151" s="80">
        <v>1245</v>
      </c>
      <c r="AN151" s="57" t="s">
        <v>395</v>
      </c>
      <c r="AO151" s="93" t="s">
        <v>371</v>
      </c>
      <c r="AP151" s="58" t="s">
        <v>505</v>
      </c>
    </row>
    <row r="152" spans="1:42" ht="15.95" customHeight="1">
      <c r="A152" s="67">
        <v>136351</v>
      </c>
      <c r="B152" s="21" t="s">
        <v>174</v>
      </c>
      <c r="C152" s="24">
        <v>40</v>
      </c>
      <c r="D152" s="9"/>
      <c r="E152" s="22">
        <v>19</v>
      </c>
      <c r="F152" s="9"/>
      <c r="G152" s="22">
        <v>38</v>
      </c>
      <c r="H152" s="9"/>
      <c r="I152" s="29">
        <v>40</v>
      </c>
      <c r="J152" s="9"/>
      <c r="K152" s="22">
        <v>20</v>
      </c>
      <c r="L152" s="9"/>
      <c r="M152" s="22">
        <v>19</v>
      </c>
      <c r="N152" s="9"/>
      <c r="O152" s="29">
        <v>56</v>
      </c>
      <c r="P152" s="9"/>
      <c r="Q152" s="22">
        <v>20</v>
      </c>
      <c r="R152" s="9"/>
      <c r="S152" s="22">
        <v>38</v>
      </c>
      <c r="T152" s="9"/>
      <c r="U152" s="29">
        <v>46</v>
      </c>
      <c r="V152" s="9"/>
      <c r="W152" s="22">
        <v>20</v>
      </c>
      <c r="X152" s="9"/>
      <c r="Y152" s="22">
        <v>20</v>
      </c>
      <c r="Z152" s="9"/>
      <c r="AA152" s="29">
        <v>48</v>
      </c>
      <c r="AB152" s="9"/>
      <c r="AC152" s="22">
        <v>20</v>
      </c>
      <c r="AD152" s="9"/>
      <c r="AE152" s="22">
        <v>18</v>
      </c>
      <c r="AF152" s="9"/>
      <c r="AG152" s="22">
        <v>20</v>
      </c>
      <c r="AH152" s="9"/>
      <c r="AI152" s="22">
        <v>21</v>
      </c>
      <c r="AJ152" s="9"/>
      <c r="AK152" s="16">
        <f>IF(OR(AND(C152&gt;=31,C152&lt;40),AND(I152&gt;=31,I152&lt;40),AND(O152&gt;=31,O152&lt;40),AND(U152&gt;=31,U152&lt;40),AND(AA152&gt;=31,AA152&lt;40)),IF(AND(OR(COUNTIF(C152:AJ152,"=31")&gt;=1,COUNTIF(C152:AJ152,"=32")&gt;=1,COUNTIF(C152:AJ152,"=33")&gt;=1,COUNTIF(C152:AJ152,"=34")&gt;=1,COUNTIF(C152:AJ152,"=35")&gt;=1,COUNTIF(C152:AJ152,"=36")&gt;=1 ),COUNTIF(C152:AJ152,"")=0,COUNTIF(C152:AJ152," ")=0,COUNTIF(C152:AJ152,"F")=1),CONCATENATE(SUM(EXTRACTNUMBER(C152),EXTRACTNUMBER(E152),
EXTRACTNUMBER(G152),EXTRACTNUMBER(I152),
EXTRACTNUMBER(K152),EXTRACTNUMBER(M152),
EXTRACTNUMBER(O152),EXTRACTNUMBER(Q152),
EXTRACTNUMBER(S152),EXTRACTNUMBER(U152),
EXTRACTNUMBER(W152),EXTRACTNUMBER(Y152),EXTRACTNUMBER(AA152),
EXTRACTNUMBER(AC152),EXTRACTNUMBER(AE152),EXTRACTNUMBER(AG152),EXTRACTNUMBER(AI152)),"*"),IF(AND(COUNTIF(C152:AJ152,"=34")&gt;=1,COUNTIF(C152:AJ152,"=35")&gt;=1,COUNTIF(C152:AJ152,"f")=2,COUNTIF(C152:AJ152,"")=0,COUNTIF(C152:AJ152," ")=0),CONCATENATE(SUM(EXTRACTNUMBER(C152),EXTRACTNUMBER(E152),
EXTRACTNUMBER(G152),EXTRACTNUMBER(I152),
EXTRACTNUMBER(K152),EXTRACTNUMBER(M152),
EXTRACTNUMBER(O152),EXTRACTNUMBER(Q152),
EXTRACTNUMBER(S152),EXTRACTNUMBER(U152),
EXTRACTNUMBER(W152),EXTRACTNUMBER(Y152),EXTRACTNUMBER(AA152),
EXTRACTNUMBER(AC152),EXTRACTNUMBER(AE152),EXTRACTNUMBER(AG152),EXTRACTNUMBER(AI152)),"*"),IF(AND(COUNTIF(C152:AJ152,"=36")&gt;=2,COUNTIF(C152:AJ152,"f")=2,COUNTIF(C152:AJ152,"")=0,COUNTIF(C152:AJ152," ")=0),CONCATENATE(SUM(EXTRACTNUMBER(C152),EXTRACTNUMBER(E152),
EXTRACTNUMBER(G152),EXTRACTNUMBER(I152),
EXTRACTNUMBER(K152),EXTRACTNUMBER(M152),
EXTRACTNUMBER(O152),EXTRACTNUMBER(Q152),
EXTRACTNUMBER(S152),EXTRACTNUMBER(U152),
EXTRACTNUMBER(W152),EXTRACTNUMBER(Y152),EXTRACTNUMBER(AA152),
EXTRACTNUMBER(AC152),EXTRACTNUMBER(AE152),EXTRACTNUMBER(AG152),EXTRACTNUMBER(AI152)),"*"),SUM(EXTRACTNUMBER(C152),EXTRACTNUMBER(E152),
EXTRACTNUMBER(G152),EXTRACTNUMBER(I152),
EXTRACTNUMBER(K152),EXTRACTNUMBER(M152),
EXTRACTNUMBER(O152),EXTRACTNUMBER(Q152),
EXTRACTNUMBER(S152),EXTRACTNUMBER(U152),
EXTRACTNUMBER(W152),EXTRACTNUMBER(Y152),EXTRACTNUMBER(AA152),
EXTRACTNUMBER(AC152),EXTRACTNUMBER(AE152),EXTRACTNUMBER(AG152),EXTRACTNUMBER(AI152))))),SUM(EXTRACTNUMBER(C152),EXTRACTNUMBER(E152),
EXTRACTNUMBER(G152),EXTRACTNUMBER(I152),
EXTRACTNUMBER(K152),EXTRACTNUMBER(M152),
EXTRACTNUMBER(O152),EXTRACTNUMBER(Q152),
EXTRACTNUMBER(S152),EXTRACTNUMBER(U152),
EXTRACTNUMBER(W152),EXTRACTNUMBER(Y152),EXTRACTNUMBER(AA152),
EXTRACTNUMBER(AC152),EXTRACTNUMBER(AE152),EXTRACTNUMBER(AG152),EXTRACTNUMBER(AI152)))</f>
        <v>503</v>
      </c>
      <c r="AL152" s="72" t="s">
        <v>563</v>
      </c>
      <c r="AM152" s="11">
        <f t="shared" ref="AM152" si="53">IF(IFERROR(FIND("x",AL152),0),SUM(EXTRACTNUMBER(AK152),EXTRACTNUMBER(AL152)),IF(AND(SUM(EXTRACTNUMBER(AK152),EXTRACTNUMBER(AL152))&gt;1009,        SUM(EXTRACTNUMBER(AK152),EXTRACTNUMBER(AL152))&lt;1020),
CONCATENATE(SUM(EXTRACTNUMBER(AK152),EXTRACTNUMBER(AL152)),"@",1020-SUM(EXTRACTNUMBER(AK152),EXTRACTNUMBER(AL152))),
IF(AND(SUM(EXTRACTNUMBER(AK152),EXTRACTNUMBER(AL152))&gt;839,   SUM(EXTRACTNUMBER(AK152),EXTRACTNUMBER(AL152))&lt;850),CONCATENATE(SUM(EXTRACTNUMBER(AK152),EXTRACTNUMBER(AL152)),"@",850-SUM(EXTRACTNUMBER(AK152),EXTRACTNUMBER(AL152))),
IF(AND(SUM(EXTRACTNUMBER(AK152),EXTRACTNUMBER(AL152))&gt;669,        SUM(EXTRACTNUMBER(AK152),EXTRACTNUMBER(AL152))&lt;680),
CONCATENATE(SUM(EXTRACTNUMBER(AK152),EXTRACTNUMBER(AL152)),"@",680-SUM(EXTRACTNUMBER(AK152),EXTRACTNUMBER(AL152))),
SUM(EXTRACTNUMBER(AK152),EXTRACTNUMBER(AL152))))))</f>
        <v>971</v>
      </c>
      <c r="AN152" s="11" t="str">
        <f t="shared" ref="AN152" si="54">IF(AND(COUNTIF(C152:AJ152,"AB")&lt;17-COUNTIF(C152:AJ152," "),
COUNTIF(C152:AJ152,"AB")&lt;&gt;0),"FAIL",
IF(COUNTIF(C152:AJ152,"AB")=17-COUNTIF(C152:AJ152," "),"ABSENT",
IF(AND(COUNTIF(C152:AJ152,"AB")=0,COUNTIF(C152:AJ152,"F")=0),"PASS","FAIL")))</f>
        <v>PASS</v>
      </c>
      <c r="AO152" s="11" t="str">
        <f t="shared" ref="AO152" si="55">IF(AN152="ABSENT","AB",IF(AN152="FAIL","--",
IF(AL152=0,"RS 5",
IF(AND(SUM(EXTRACTNUMBER(AK152),EXTRACTNUMBER(AL152))&gt;=1010,
        NOT(IFERROR(FIND("x",AK152),0)),
        NOT(IFERROR(FIND("x",AL152),0))),"I",
IF(AND(SUM(EXTRACTNUMBER(AK152),EXTRACTNUMBER(AL152))&gt;=850,
      SUM(EXTRACTNUMBER(AK152),EXTRACTNUMBER(AL152))&lt;1010,
      NOT(IFERROR(FIND("x",AK152),0)),
      NOT(IFERROR(FIND("x",AL152),0))),"II",
IF(OR(AND(SUM(EXTRACTNUMBER(AK152),EXTRACTNUMBER(AL152))&lt;850,
SUM(EXTRACTNUMBER(AK152),EXTRACTNUMBER(AL152))&gt;=670),
IFERROR(FIND("x",AK152),0),IFERROR(FIND("x",AL152),0)),"P","--"))))))</f>
        <v>II</v>
      </c>
      <c r="AP152" s="1" t="str">
        <f t="shared" ref="AP152" si="56">spellnumber(AM152)</f>
        <v xml:space="preserve">Nine Hundred Seventy One </v>
      </c>
    </row>
    <row r="153" spans="1:42" ht="15.95" customHeight="1">
      <c r="A153" s="74">
        <v>136352</v>
      </c>
      <c r="B153" s="56" t="s">
        <v>175</v>
      </c>
      <c r="C153" s="77">
        <v>68</v>
      </c>
      <c r="D153" s="78" t="s">
        <v>394</v>
      </c>
      <c r="E153" s="79">
        <v>21</v>
      </c>
      <c r="F153" s="78" t="s">
        <v>394</v>
      </c>
      <c r="G153" s="79">
        <v>46</v>
      </c>
      <c r="H153" s="78" t="s">
        <v>394</v>
      </c>
      <c r="I153" s="79">
        <v>53</v>
      </c>
      <c r="J153" s="78" t="s">
        <v>394</v>
      </c>
      <c r="K153" s="79">
        <v>21</v>
      </c>
      <c r="L153" s="78" t="s">
        <v>394</v>
      </c>
      <c r="M153" s="79">
        <v>23</v>
      </c>
      <c r="N153" s="78" t="s">
        <v>394</v>
      </c>
      <c r="O153" s="79">
        <v>59</v>
      </c>
      <c r="P153" s="78" t="s">
        <v>394</v>
      </c>
      <c r="Q153" s="79">
        <v>21</v>
      </c>
      <c r="R153" s="78" t="s">
        <v>394</v>
      </c>
      <c r="S153" s="79">
        <v>44</v>
      </c>
      <c r="T153" s="78" t="s">
        <v>394</v>
      </c>
      <c r="U153" s="79">
        <v>60</v>
      </c>
      <c r="V153" s="78" t="s">
        <v>394</v>
      </c>
      <c r="W153" s="79">
        <v>21</v>
      </c>
      <c r="X153" s="78" t="s">
        <v>394</v>
      </c>
      <c r="Y153" s="79">
        <v>21</v>
      </c>
      <c r="Z153" s="78" t="s">
        <v>394</v>
      </c>
      <c r="AA153" s="79">
        <v>55</v>
      </c>
      <c r="AB153" s="78" t="s">
        <v>394</v>
      </c>
      <c r="AC153" s="79">
        <v>21</v>
      </c>
      <c r="AD153" s="78" t="s">
        <v>394</v>
      </c>
      <c r="AE153" s="79">
        <v>20</v>
      </c>
      <c r="AF153" s="78" t="s">
        <v>394</v>
      </c>
      <c r="AG153" s="79">
        <v>21</v>
      </c>
      <c r="AH153" s="78" t="s">
        <v>394</v>
      </c>
      <c r="AI153" s="79">
        <v>21</v>
      </c>
      <c r="AJ153" s="78" t="s">
        <v>394</v>
      </c>
      <c r="AK153" s="80">
        <v>597</v>
      </c>
      <c r="AL153" s="81" t="s">
        <v>236</v>
      </c>
      <c r="AM153" s="80">
        <v>1110</v>
      </c>
      <c r="AN153" s="57" t="s">
        <v>395</v>
      </c>
      <c r="AO153" s="93" t="s">
        <v>371</v>
      </c>
      <c r="AP153" s="58" t="s">
        <v>506</v>
      </c>
    </row>
    <row r="154" spans="1:42" ht="15.95" customHeight="1">
      <c r="A154" s="74">
        <v>136353</v>
      </c>
      <c r="B154" s="56" t="s">
        <v>176</v>
      </c>
      <c r="C154" s="77">
        <v>61</v>
      </c>
      <c r="D154" s="78" t="s">
        <v>394</v>
      </c>
      <c r="E154" s="79">
        <v>21</v>
      </c>
      <c r="F154" s="78" t="s">
        <v>394</v>
      </c>
      <c r="G154" s="79">
        <v>44</v>
      </c>
      <c r="H154" s="78" t="s">
        <v>394</v>
      </c>
      <c r="I154" s="79">
        <v>68</v>
      </c>
      <c r="J154" s="78" t="s">
        <v>394</v>
      </c>
      <c r="K154" s="79">
        <v>21</v>
      </c>
      <c r="L154" s="78" t="s">
        <v>394</v>
      </c>
      <c r="M154" s="79">
        <v>22</v>
      </c>
      <c r="N154" s="78" t="s">
        <v>394</v>
      </c>
      <c r="O154" s="79">
        <v>65</v>
      </c>
      <c r="P154" s="78" t="s">
        <v>394</v>
      </c>
      <c r="Q154" s="79">
        <v>21</v>
      </c>
      <c r="R154" s="78" t="s">
        <v>394</v>
      </c>
      <c r="S154" s="79">
        <v>44</v>
      </c>
      <c r="T154" s="78" t="s">
        <v>394</v>
      </c>
      <c r="U154" s="79">
        <v>65</v>
      </c>
      <c r="V154" s="78" t="s">
        <v>394</v>
      </c>
      <c r="W154" s="79">
        <v>21</v>
      </c>
      <c r="X154" s="78" t="s">
        <v>394</v>
      </c>
      <c r="Y154" s="79">
        <v>21</v>
      </c>
      <c r="Z154" s="78" t="s">
        <v>394</v>
      </c>
      <c r="AA154" s="79">
        <v>48</v>
      </c>
      <c r="AB154" s="78" t="s">
        <v>394</v>
      </c>
      <c r="AC154" s="79">
        <v>21</v>
      </c>
      <c r="AD154" s="78" t="s">
        <v>394</v>
      </c>
      <c r="AE154" s="79">
        <v>20</v>
      </c>
      <c r="AF154" s="78" t="s">
        <v>394</v>
      </c>
      <c r="AG154" s="79">
        <v>21</v>
      </c>
      <c r="AH154" s="78" t="s">
        <v>394</v>
      </c>
      <c r="AI154" s="79">
        <v>22</v>
      </c>
      <c r="AJ154" s="78" t="s">
        <v>394</v>
      </c>
      <c r="AK154" s="80">
        <v>607</v>
      </c>
      <c r="AL154" s="81" t="s">
        <v>299</v>
      </c>
      <c r="AM154" s="80">
        <v>1135</v>
      </c>
      <c r="AN154" s="57" t="s">
        <v>395</v>
      </c>
      <c r="AO154" s="93" t="s">
        <v>371</v>
      </c>
      <c r="AP154" s="58" t="s">
        <v>496</v>
      </c>
    </row>
    <row r="155" spans="1:42" ht="15.95" customHeight="1">
      <c r="A155" s="74">
        <v>136354</v>
      </c>
      <c r="B155" s="56" t="s">
        <v>177</v>
      </c>
      <c r="C155" s="77">
        <v>43</v>
      </c>
      <c r="D155" s="78" t="s">
        <v>394</v>
      </c>
      <c r="E155" s="79">
        <v>22</v>
      </c>
      <c r="F155" s="78" t="s">
        <v>394</v>
      </c>
      <c r="G155" s="79">
        <v>42</v>
      </c>
      <c r="H155" s="78" t="s">
        <v>394</v>
      </c>
      <c r="I155" s="79">
        <v>44</v>
      </c>
      <c r="J155" s="78" t="s">
        <v>394</v>
      </c>
      <c r="K155" s="79">
        <v>21</v>
      </c>
      <c r="L155" s="78" t="s">
        <v>394</v>
      </c>
      <c r="M155" s="79">
        <v>21</v>
      </c>
      <c r="N155" s="78" t="s">
        <v>394</v>
      </c>
      <c r="O155" s="79">
        <v>68</v>
      </c>
      <c r="P155" s="78" t="s">
        <v>394</v>
      </c>
      <c r="Q155" s="79">
        <v>23</v>
      </c>
      <c r="R155" s="78" t="s">
        <v>394</v>
      </c>
      <c r="S155" s="79">
        <v>42</v>
      </c>
      <c r="T155" s="78" t="s">
        <v>394</v>
      </c>
      <c r="U155" s="79">
        <v>60</v>
      </c>
      <c r="V155" s="78" t="s">
        <v>394</v>
      </c>
      <c r="W155" s="79">
        <v>23</v>
      </c>
      <c r="X155" s="78" t="s">
        <v>394</v>
      </c>
      <c r="Y155" s="79">
        <v>22</v>
      </c>
      <c r="Z155" s="78" t="s">
        <v>394</v>
      </c>
      <c r="AA155" s="79">
        <v>52</v>
      </c>
      <c r="AB155" s="78" t="s">
        <v>394</v>
      </c>
      <c r="AC155" s="79">
        <v>23</v>
      </c>
      <c r="AD155" s="78" t="s">
        <v>394</v>
      </c>
      <c r="AE155" s="79">
        <v>20</v>
      </c>
      <c r="AF155" s="78" t="s">
        <v>394</v>
      </c>
      <c r="AG155" s="79">
        <v>23</v>
      </c>
      <c r="AH155" s="78" t="s">
        <v>394</v>
      </c>
      <c r="AI155" s="79">
        <v>22</v>
      </c>
      <c r="AJ155" s="78" t="s">
        <v>394</v>
      </c>
      <c r="AK155" s="80">
        <v>571</v>
      </c>
      <c r="AL155" s="81" t="s">
        <v>309</v>
      </c>
      <c r="AM155" s="80">
        <v>1102</v>
      </c>
      <c r="AN155" s="57" t="s">
        <v>395</v>
      </c>
      <c r="AO155" s="93" t="s">
        <v>371</v>
      </c>
      <c r="AP155" s="58" t="s">
        <v>507</v>
      </c>
    </row>
    <row r="156" spans="1:42" ht="15.95" customHeight="1">
      <c r="A156" s="74">
        <v>136355</v>
      </c>
      <c r="B156" s="56" t="s">
        <v>178</v>
      </c>
      <c r="C156" s="77">
        <v>40</v>
      </c>
      <c r="D156" s="78" t="s">
        <v>398</v>
      </c>
      <c r="E156" s="79">
        <v>23</v>
      </c>
      <c r="F156" s="78" t="s">
        <v>398</v>
      </c>
      <c r="G156" s="79">
        <v>42</v>
      </c>
      <c r="H156" s="78" t="s">
        <v>398</v>
      </c>
      <c r="I156" s="79">
        <v>29</v>
      </c>
      <c r="J156" s="78" t="s">
        <v>397</v>
      </c>
      <c r="K156" s="79">
        <v>23</v>
      </c>
      <c r="L156" s="78" t="s">
        <v>398</v>
      </c>
      <c r="M156" s="79">
        <v>21</v>
      </c>
      <c r="N156" s="78" t="s">
        <v>398</v>
      </c>
      <c r="O156" s="79">
        <v>60</v>
      </c>
      <c r="P156" s="78" t="s">
        <v>398</v>
      </c>
      <c r="Q156" s="79">
        <v>23</v>
      </c>
      <c r="R156" s="78" t="s">
        <v>398</v>
      </c>
      <c r="S156" s="79">
        <v>42</v>
      </c>
      <c r="T156" s="78" t="s">
        <v>398</v>
      </c>
      <c r="U156" s="79">
        <v>43</v>
      </c>
      <c r="V156" s="78" t="s">
        <v>398</v>
      </c>
      <c r="W156" s="79">
        <v>23</v>
      </c>
      <c r="X156" s="78" t="s">
        <v>398</v>
      </c>
      <c r="Y156" s="79">
        <v>22</v>
      </c>
      <c r="Z156" s="78" t="s">
        <v>398</v>
      </c>
      <c r="AA156" s="79">
        <v>48</v>
      </c>
      <c r="AB156" s="78" t="s">
        <v>398</v>
      </c>
      <c r="AC156" s="79">
        <v>23</v>
      </c>
      <c r="AD156" s="78" t="s">
        <v>398</v>
      </c>
      <c r="AE156" s="79">
        <v>20</v>
      </c>
      <c r="AF156" s="78" t="s">
        <v>398</v>
      </c>
      <c r="AG156" s="79">
        <v>23</v>
      </c>
      <c r="AH156" s="78" t="s">
        <v>398</v>
      </c>
      <c r="AI156" s="79">
        <v>23</v>
      </c>
      <c r="AJ156" s="78" t="s">
        <v>398</v>
      </c>
      <c r="AK156" s="80">
        <v>529</v>
      </c>
      <c r="AL156" s="81" t="s">
        <v>274</v>
      </c>
      <c r="AM156" s="80">
        <v>1033</v>
      </c>
      <c r="AN156" s="57" t="s">
        <v>399</v>
      </c>
      <c r="AO156" s="93" t="s">
        <v>400</v>
      </c>
      <c r="AP156" s="58" t="s">
        <v>457</v>
      </c>
    </row>
    <row r="157" spans="1:42" ht="15.95" customHeight="1">
      <c r="A157" s="67">
        <v>136356</v>
      </c>
      <c r="B157" s="21" t="s">
        <v>179</v>
      </c>
      <c r="C157" s="24">
        <v>56</v>
      </c>
      <c r="D157" s="9"/>
      <c r="E157" s="22">
        <v>19</v>
      </c>
      <c r="F157" s="9"/>
      <c r="G157" s="22">
        <v>40</v>
      </c>
      <c r="H157" s="9"/>
      <c r="I157" s="29">
        <v>52</v>
      </c>
      <c r="J157" s="9"/>
      <c r="K157" s="22">
        <v>20</v>
      </c>
      <c r="L157" s="9"/>
      <c r="M157" s="22">
        <v>20</v>
      </c>
      <c r="N157" s="9"/>
      <c r="O157" s="29">
        <v>64</v>
      </c>
      <c r="P157" s="9"/>
      <c r="Q157" s="22">
        <v>21</v>
      </c>
      <c r="R157" s="9"/>
      <c r="S157" s="22">
        <v>40</v>
      </c>
      <c r="T157" s="9"/>
      <c r="U157" s="29">
        <v>63</v>
      </c>
      <c r="V157" s="9"/>
      <c r="W157" s="22">
        <v>21</v>
      </c>
      <c r="X157" s="9"/>
      <c r="Y157" s="22">
        <v>21</v>
      </c>
      <c r="Z157" s="9"/>
      <c r="AA157" s="29">
        <v>52</v>
      </c>
      <c r="AB157" s="9"/>
      <c r="AC157" s="22">
        <v>21</v>
      </c>
      <c r="AD157" s="9"/>
      <c r="AE157" s="22">
        <v>20</v>
      </c>
      <c r="AF157" s="9"/>
      <c r="AG157" s="22">
        <v>21</v>
      </c>
      <c r="AH157" s="9"/>
      <c r="AI157" s="22">
        <v>21</v>
      </c>
      <c r="AJ157" s="9"/>
      <c r="AK157" s="16">
        <f>IF(OR(AND(C157&gt;=31,C157&lt;40),AND(I157&gt;=31,I157&lt;40),AND(O157&gt;=31,O157&lt;40),AND(U157&gt;=31,U157&lt;40),AND(AA157&gt;=31,AA157&lt;40)),IF(AND(OR(COUNTIF(C157:AJ157,"=31")&gt;=1,COUNTIF(C157:AJ157,"=32")&gt;=1,COUNTIF(C157:AJ157,"=33")&gt;=1,COUNTIF(C157:AJ157,"=34")&gt;=1,COUNTIF(C157:AJ157,"=35")&gt;=1,COUNTIF(C157:AJ157,"=36")&gt;=1 ),COUNTIF(C157:AJ157,"")=0,COUNTIF(C157:AJ157," ")=0,COUNTIF(C157:AJ157,"F")=1),CONCATENATE(SUM(EXTRACTNUMBER(C157),EXTRACTNUMBER(E157),
EXTRACTNUMBER(G157),EXTRACTNUMBER(I157),
EXTRACTNUMBER(K157),EXTRACTNUMBER(M157),
EXTRACTNUMBER(O157),EXTRACTNUMBER(Q157),
EXTRACTNUMBER(S157),EXTRACTNUMBER(U157),
EXTRACTNUMBER(W157),EXTRACTNUMBER(Y157),EXTRACTNUMBER(AA157),
EXTRACTNUMBER(AC157),EXTRACTNUMBER(AE157),EXTRACTNUMBER(AG157),EXTRACTNUMBER(AI157)),"*"),IF(AND(COUNTIF(C157:AJ157,"=34")&gt;=1,COUNTIF(C157:AJ157,"=35")&gt;=1,COUNTIF(C157:AJ157,"f")=2,COUNTIF(C157:AJ157,"")=0,COUNTIF(C157:AJ157," ")=0),CONCATENATE(SUM(EXTRACTNUMBER(C157),EXTRACTNUMBER(E157),
EXTRACTNUMBER(G157),EXTRACTNUMBER(I157),
EXTRACTNUMBER(K157),EXTRACTNUMBER(M157),
EXTRACTNUMBER(O157),EXTRACTNUMBER(Q157),
EXTRACTNUMBER(S157),EXTRACTNUMBER(U157),
EXTRACTNUMBER(W157),EXTRACTNUMBER(Y157),EXTRACTNUMBER(AA157),
EXTRACTNUMBER(AC157),EXTRACTNUMBER(AE157),EXTRACTNUMBER(AG157),EXTRACTNUMBER(AI157)),"*"),IF(AND(COUNTIF(C157:AJ157,"=36")&gt;=2,COUNTIF(C157:AJ157,"f")=2,COUNTIF(C157:AJ157,"")=0,COUNTIF(C157:AJ157," ")=0),CONCATENATE(SUM(EXTRACTNUMBER(C157),EXTRACTNUMBER(E157),
EXTRACTNUMBER(G157),EXTRACTNUMBER(I157),
EXTRACTNUMBER(K157),EXTRACTNUMBER(M157),
EXTRACTNUMBER(O157),EXTRACTNUMBER(Q157),
EXTRACTNUMBER(S157),EXTRACTNUMBER(U157),
EXTRACTNUMBER(W157),EXTRACTNUMBER(Y157),EXTRACTNUMBER(AA157),
EXTRACTNUMBER(AC157),EXTRACTNUMBER(AE157),EXTRACTNUMBER(AG157),EXTRACTNUMBER(AI157)),"*"),SUM(EXTRACTNUMBER(C157),EXTRACTNUMBER(E157),
EXTRACTNUMBER(G157),EXTRACTNUMBER(I157),
EXTRACTNUMBER(K157),EXTRACTNUMBER(M157),
EXTRACTNUMBER(O157),EXTRACTNUMBER(Q157),
EXTRACTNUMBER(S157),EXTRACTNUMBER(U157),
EXTRACTNUMBER(W157),EXTRACTNUMBER(Y157),EXTRACTNUMBER(AA157),
EXTRACTNUMBER(AC157),EXTRACTNUMBER(AE157),EXTRACTNUMBER(AG157),EXTRACTNUMBER(AI157))))),SUM(EXTRACTNUMBER(C157),EXTRACTNUMBER(E157),
EXTRACTNUMBER(G157),EXTRACTNUMBER(I157),
EXTRACTNUMBER(K157),EXTRACTNUMBER(M157),
EXTRACTNUMBER(O157),EXTRACTNUMBER(Q157),
EXTRACTNUMBER(S157),EXTRACTNUMBER(U157),
EXTRACTNUMBER(W157),EXTRACTNUMBER(Y157),EXTRACTNUMBER(AA157),
EXTRACTNUMBER(AC157),EXTRACTNUMBER(AE157),EXTRACTNUMBER(AG157),EXTRACTNUMBER(AI157)))</f>
        <v>572</v>
      </c>
      <c r="AL157" s="72" t="s">
        <v>261</v>
      </c>
      <c r="AM157" s="11">
        <v>1054</v>
      </c>
      <c r="AN157" s="11" t="str">
        <f t="shared" ref="AN157" si="57">IF(AND(COUNTIF(C157:AJ157,"AB")&lt;17-COUNTIF(C157:AJ157," "),
COUNTIF(C157:AJ157,"AB")&lt;&gt;0),"FAIL",
IF(COUNTIF(C157:AJ157,"AB")=17-COUNTIF(C157:AJ157," "),"ABSENT",
IF(AND(COUNTIF(C157:AJ157,"AB")=0,COUNTIF(C157:AJ157,"F")=0),"PASS","FAIL")))</f>
        <v>PASS</v>
      </c>
      <c r="AO157" s="11" t="str">
        <f t="shared" ref="AO157" si="58">IF(AN157="ABSENT","AB",IF(AN157="FAIL","--",
IF(AL157=0,"RS 5",
IF(AND(SUM(EXTRACTNUMBER(AK157),EXTRACTNUMBER(AL157))&gt;=1010,
        NOT(IFERROR(FIND("x",AK157),0)),
        NOT(IFERROR(FIND("x",AL157),0))),"I",
IF(AND(SUM(EXTRACTNUMBER(AK157),EXTRACTNUMBER(AL157))&gt;=850,
      SUM(EXTRACTNUMBER(AK157),EXTRACTNUMBER(AL157))&lt;1010,
      NOT(IFERROR(FIND("x",AK157),0)),
      NOT(IFERROR(FIND("x",AL157),0))),"II",
IF(OR(AND(SUM(EXTRACTNUMBER(AK157),EXTRACTNUMBER(AL157))&lt;850,
SUM(EXTRACTNUMBER(AK157),EXTRACTNUMBER(AL157))&gt;=670),
IFERROR(FIND("x",AK157),0),IFERROR(FIND("x",AL157),0)),"P","--"))))))</f>
        <v>I</v>
      </c>
      <c r="AP157" s="1" t="str">
        <f t="shared" ref="AP157" si="59">spellnumber(AM157)</f>
        <v xml:space="preserve">One Thousand Fifty Four </v>
      </c>
    </row>
    <row r="158" spans="1:42" ht="15.95" customHeight="1">
      <c r="A158" s="74">
        <v>136357</v>
      </c>
      <c r="B158" s="56" t="s">
        <v>180</v>
      </c>
      <c r="C158" s="77">
        <v>63</v>
      </c>
      <c r="D158" s="78" t="s">
        <v>394</v>
      </c>
      <c r="E158" s="79">
        <v>21</v>
      </c>
      <c r="F158" s="78" t="s">
        <v>394</v>
      </c>
      <c r="G158" s="79">
        <v>44</v>
      </c>
      <c r="H158" s="78" t="s">
        <v>394</v>
      </c>
      <c r="I158" s="79">
        <v>64</v>
      </c>
      <c r="J158" s="78" t="s">
        <v>394</v>
      </c>
      <c r="K158" s="79">
        <v>21</v>
      </c>
      <c r="L158" s="78" t="s">
        <v>394</v>
      </c>
      <c r="M158" s="79">
        <v>22</v>
      </c>
      <c r="N158" s="78" t="s">
        <v>394</v>
      </c>
      <c r="O158" s="79">
        <v>71</v>
      </c>
      <c r="P158" s="78" t="s">
        <v>394</v>
      </c>
      <c r="Q158" s="79">
        <v>21</v>
      </c>
      <c r="R158" s="78" t="s">
        <v>394</v>
      </c>
      <c r="S158" s="79">
        <v>42</v>
      </c>
      <c r="T158" s="78" t="s">
        <v>394</v>
      </c>
      <c r="U158" s="79">
        <v>71</v>
      </c>
      <c r="V158" s="78" t="s">
        <v>394</v>
      </c>
      <c r="W158" s="79">
        <v>21</v>
      </c>
      <c r="X158" s="78" t="s">
        <v>394</v>
      </c>
      <c r="Y158" s="79">
        <v>21</v>
      </c>
      <c r="Z158" s="78" t="s">
        <v>394</v>
      </c>
      <c r="AA158" s="79">
        <v>56</v>
      </c>
      <c r="AB158" s="78" t="s">
        <v>394</v>
      </c>
      <c r="AC158" s="79">
        <v>21</v>
      </c>
      <c r="AD158" s="78" t="s">
        <v>394</v>
      </c>
      <c r="AE158" s="79">
        <v>20</v>
      </c>
      <c r="AF158" s="78" t="s">
        <v>394</v>
      </c>
      <c r="AG158" s="79">
        <v>21</v>
      </c>
      <c r="AH158" s="78" t="s">
        <v>394</v>
      </c>
      <c r="AI158" s="79">
        <v>21</v>
      </c>
      <c r="AJ158" s="78" t="s">
        <v>394</v>
      </c>
      <c r="AK158" s="80">
        <v>624</v>
      </c>
      <c r="AL158" s="81" t="s">
        <v>254</v>
      </c>
      <c r="AM158" s="80">
        <v>1216</v>
      </c>
      <c r="AN158" s="57" t="s">
        <v>395</v>
      </c>
      <c r="AO158" s="93" t="s">
        <v>371</v>
      </c>
      <c r="AP158" s="58" t="s">
        <v>508</v>
      </c>
    </row>
    <row r="159" spans="1:42" ht="15.95" customHeight="1">
      <c r="A159" s="74">
        <v>136358</v>
      </c>
      <c r="B159" s="56" t="s">
        <v>181</v>
      </c>
      <c r="C159" s="77">
        <v>57</v>
      </c>
      <c r="D159" s="78" t="s">
        <v>394</v>
      </c>
      <c r="E159" s="79">
        <v>23</v>
      </c>
      <c r="F159" s="78" t="s">
        <v>394</v>
      </c>
      <c r="G159" s="79">
        <v>44</v>
      </c>
      <c r="H159" s="78" t="s">
        <v>394</v>
      </c>
      <c r="I159" s="79">
        <v>40</v>
      </c>
      <c r="J159" s="78" t="s">
        <v>394</v>
      </c>
      <c r="K159" s="79">
        <v>23</v>
      </c>
      <c r="L159" s="78" t="s">
        <v>394</v>
      </c>
      <c r="M159" s="79">
        <v>22</v>
      </c>
      <c r="N159" s="78" t="s">
        <v>394</v>
      </c>
      <c r="O159" s="79">
        <v>64</v>
      </c>
      <c r="P159" s="78" t="s">
        <v>394</v>
      </c>
      <c r="Q159" s="79">
        <v>23</v>
      </c>
      <c r="R159" s="78" t="s">
        <v>394</v>
      </c>
      <c r="S159" s="79">
        <v>42</v>
      </c>
      <c r="T159" s="78" t="s">
        <v>394</v>
      </c>
      <c r="U159" s="79">
        <v>40</v>
      </c>
      <c r="V159" s="78" t="s">
        <v>394</v>
      </c>
      <c r="W159" s="79">
        <v>23</v>
      </c>
      <c r="X159" s="78" t="s">
        <v>394</v>
      </c>
      <c r="Y159" s="79">
        <v>22</v>
      </c>
      <c r="Z159" s="78" t="s">
        <v>394</v>
      </c>
      <c r="AA159" s="79">
        <v>40</v>
      </c>
      <c r="AB159" s="78" t="s">
        <v>394</v>
      </c>
      <c r="AC159" s="79">
        <v>23</v>
      </c>
      <c r="AD159" s="78" t="s">
        <v>394</v>
      </c>
      <c r="AE159" s="79">
        <v>20</v>
      </c>
      <c r="AF159" s="78" t="s">
        <v>394</v>
      </c>
      <c r="AG159" s="79">
        <v>23</v>
      </c>
      <c r="AH159" s="78" t="s">
        <v>394</v>
      </c>
      <c r="AI159" s="79">
        <v>21</v>
      </c>
      <c r="AJ159" s="78" t="s">
        <v>394</v>
      </c>
      <c r="AK159" s="80">
        <v>551</v>
      </c>
      <c r="AL159" s="81" t="s">
        <v>281</v>
      </c>
      <c r="AM159" s="80">
        <v>1072</v>
      </c>
      <c r="AN159" s="57" t="s">
        <v>395</v>
      </c>
      <c r="AO159" s="93" t="s">
        <v>371</v>
      </c>
      <c r="AP159" s="58" t="s">
        <v>509</v>
      </c>
    </row>
    <row r="160" spans="1:42" ht="15.95" customHeight="1">
      <c r="A160" s="67">
        <v>136359</v>
      </c>
      <c r="B160" s="21" t="s">
        <v>182</v>
      </c>
      <c r="C160" s="24">
        <v>40</v>
      </c>
      <c r="D160" s="9" t="s">
        <v>398</v>
      </c>
      <c r="E160" s="22">
        <v>20</v>
      </c>
      <c r="F160" s="9" t="s">
        <v>398</v>
      </c>
      <c r="G160" s="22">
        <v>38</v>
      </c>
      <c r="H160" s="9" t="s">
        <v>398</v>
      </c>
      <c r="I160" s="29">
        <v>40</v>
      </c>
      <c r="J160" s="9" t="s">
        <v>398</v>
      </c>
      <c r="K160" s="22">
        <v>22</v>
      </c>
      <c r="L160" s="9" t="s">
        <v>398</v>
      </c>
      <c r="M160" s="22">
        <v>20</v>
      </c>
      <c r="N160" s="9" t="s">
        <v>398</v>
      </c>
      <c r="O160" s="29">
        <v>24</v>
      </c>
      <c r="P160" s="9" t="str">
        <f t="shared" ref="P160" si="60">IF(IFERROR(FIND("+",O160),0)," ",
IF(O160="AB","",
IF(O160&lt;$P$27,"F",
IF(AND(C160&gt;=$D$27,E160&gt;=$F$27,G160&gt;=$H$27,
I160&gt;=$J$27,K160&gt;=$L$27,
M160&gt;=$N$27,O160&gt;=$P$27,Q160&gt;=$R$27,S160&gt;=$T$27,U160&gt;=$V$27,
W160&gt;=$X$27,Y160&gt;=$Z$27,AA160&gt;=$AB$27,AC160&gt;=$AD$27,AE160&gt;=$AF$27,
AG160&gt;=$AH$27,AI160&gt;=$AJ$27,C160&lt;&gt;"AB",E160&lt;&gt;"AB",G160&lt;&gt;"AB",
I160&lt;&gt;"AB",K160&lt;&gt;"AB",
M160&lt;&gt;"AB",O160&lt;&gt;"AB",Q160&lt;&gt;"AB",S160&lt;&gt;"AB",U160&lt;&gt;"AB",
W160&lt;&gt;"AB",Y160&lt;&gt;"AB",AA160&lt;&gt;"AB",AC160&lt;&gt;"AB",AE160&lt;&gt;"AB",
AG160&lt;&gt;"AB",AH160&lt;&gt;"AB"),"","E"))))</f>
        <v>F</v>
      </c>
      <c r="Q160" s="22">
        <v>20</v>
      </c>
      <c r="R160" s="9" t="s">
        <v>398</v>
      </c>
      <c r="S160" s="22">
        <v>44</v>
      </c>
      <c r="T160" s="9" t="s">
        <v>398</v>
      </c>
      <c r="U160" s="29">
        <v>40</v>
      </c>
      <c r="V160" s="9" t="s">
        <v>398</v>
      </c>
      <c r="W160" s="22">
        <v>20</v>
      </c>
      <c r="X160" s="9" t="s">
        <v>398</v>
      </c>
      <c r="Y160" s="22">
        <v>20</v>
      </c>
      <c r="Z160" s="9" t="s">
        <v>398</v>
      </c>
      <c r="AA160" s="29">
        <v>40</v>
      </c>
      <c r="AB160" s="9" t="s">
        <v>398</v>
      </c>
      <c r="AC160" s="22">
        <v>20</v>
      </c>
      <c r="AD160" s="9" t="s">
        <v>398</v>
      </c>
      <c r="AE160" s="22">
        <v>21</v>
      </c>
      <c r="AF160" s="9" t="s">
        <v>398</v>
      </c>
      <c r="AG160" s="22">
        <v>23</v>
      </c>
      <c r="AH160" s="9" t="s">
        <v>398</v>
      </c>
      <c r="AI160" s="22">
        <v>22</v>
      </c>
      <c r="AJ160" s="9" t="s">
        <v>398</v>
      </c>
      <c r="AK160" s="16">
        <f>IF(OR(AND(C160&gt;=31,C160&lt;40),AND(I160&gt;=31,I160&lt;40),AND(O160&gt;=31,O160&lt;40),AND(U160&gt;=31,U160&lt;40),AND(AA160&gt;=31,AA160&lt;40)),IF(AND(OR(COUNTIF(C160:AJ160,"=31")&gt;=1,COUNTIF(C160:AJ160,"=32")&gt;=1,COUNTIF(C160:AJ160,"=33")&gt;=1,COUNTIF(C160:AJ160,"=34")&gt;=1,COUNTIF(C160:AJ160,"=35")&gt;=1,COUNTIF(C160:AJ160,"=36")&gt;=1 ),COUNTIF(C160:AJ160,"")=0,COUNTIF(C160:AJ160," ")=0,COUNTIF(C160:AJ160,"F")=1),CONCATENATE(SUM(EXTRACTNUMBER(C160),EXTRACTNUMBER(E160),
EXTRACTNUMBER(G160),EXTRACTNUMBER(I160),
EXTRACTNUMBER(K160),EXTRACTNUMBER(M160),
EXTRACTNUMBER(O160),EXTRACTNUMBER(Q160),
EXTRACTNUMBER(S160),EXTRACTNUMBER(U160),
EXTRACTNUMBER(W160),EXTRACTNUMBER(Y160),EXTRACTNUMBER(AA160),
EXTRACTNUMBER(AC160),EXTRACTNUMBER(AE160),EXTRACTNUMBER(AG160),EXTRACTNUMBER(AI160)),"*"),IF(AND(COUNTIF(C160:AJ160,"=34")&gt;=1,COUNTIF(C160:AJ160,"=35")&gt;=1,COUNTIF(C160:AJ160,"f")=2,COUNTIF(C160:AJ160,"")=0,COUNTIF(C160:AJ160," ")=0),CONCATENATE(SUM(EXTRACTNUMBER(C160),EXTRACTNUMBER(E160),
EXTRACTNUMBER(G160),EXTRACTNUMBER(I160),
EXTRACTNUMBER(K160),EXTRACTNUMBER(M160),
EXTRACTNUMBER(O160),EXTRACTNUMBER(Q160),
EXTRACTNUMBER(S160),EXTRACTNUMBER(U160),
EXTRACTNUMBER(W160),EXTRACTNUMBER(Y160),EXTRACTNUMBER(AA160),
EXTRACTNUMBER(AC160),EXTRACTNUMBER(AE160),EXTRACTNUMBER(AG160),EXTRACTNUMBER(AI160)),"*"),IF(AND(COUNTIF(C160:AJ160,"=36")&gt;=2,COUNTIF(C160:AJ160,"f")=2,COUNTIF(C160:AJ160,"")=0,COUNTIF(C160:AJ160," ")=0),CONCATENATE(SUM(EXTRACTNUMBER(C160),EXTRACTNUMBER(E160),
EXTRACTNUMBER(G160),EXTRACTNUMBER(I160),
EXTRACTNUMBER(K160),EXTRACTNUMBER(M160),
EXTRACTNUMBER(O160),EXTRACTNUMBER(Q160),
EXTRACTNUMBER(S160),EXTRACTNUMBER(U160),
EXTRACTNUMBER(W160),EXTRACTNUMBER(Y160),EXTRACTNUMBER(AA160),
EXTRACTNUMBER(AC160),EXTRACTNUMBER(AE160),EXTRACTNUMBER(AG160),EXTRACTNUMBER(AI160)),"*"),SUM(EXTRACTNUMBER(C160),EXTRACTNUMBER(E160),
EXTRACTNUMBER(G160),EXTRACTNUMBER(I160),
EXTRACTNUMBER(K160),EXTRACTNUMBER(M160),
EXTRACTNUMBER(O160),EXTRACTNUMBER(Q160),
EXTRACTNUMBER(S160),EXTRACTNUMBER(U160),
EXTRACTNUMBER(W160),EXTRACTNUMBER(Y160),EXTRACTNUMBER(AA160),
EXTRACTNUMBER(AC160),EXTRACTNUMBER(AE160),EXTRACTNUMBER(AG160),EXTRACTNUMBER(AI160))))),SUM(EXTRACTNUMBER(C160),EXTRACTNUMBER(E160),
EXTRACTNUMBER(G160),EXTRACTNUMBER(I160),
EXTRACTNUMBER(K160),EXTRACTNUMBER(M160),
EXTRACTNUMBER(O160),EXTRACTNUMBER(Q160),
EXTRACTNUMBER(S160),EXTRACTNUMBER(U160),
EXTRACTNUMBER(W160),EXTRACTNUMBER(Y160),EXTRACTNUMBER(AA160),
EXTRACTNUMBER(AC160),EXTRACTNUMBER(AE160),EXTRACTNUMBER(AG160),EXTRACTNUMBER(AI160)))</f>
        <v>474</v>
      </c>
      <c r="AL160" s="72" t="s">
        <v>555</v>
      </c>
      <c r="AM160" s="11">
        <f t="shared" ref="AM160" si="61">IF(IFERROR(FIND("x",AL160),0),SUM(EXTRACTNUMBER(AK160),EXTRACTNUMBER(AL160)),IF(AND(SUM(EXTRACTNUMBER(AK160),EXTRACTNUMBER(AL160))&gt;1009,        SUM(EXTRACTNUMBER(AK160),EXTRACTNUMBER(AL160))&lt;1020),
CONCATENATE(SUM(EXTRACTNUMBER(AK160),EXTRACTNUMBER(AL160)),"@",1020-SUM(EXTRACTNUMBER(AK160),EXTRACTNUMBER(AL160))),
IF(AND(SUM(EXTRACTNUMBER(AK160),EXTRACTNUMBER(AL160))&gt;839,   SUM(EXTRACTNUMBER(AK160),EXTRACTNUMBER(AL160))&lt;850),CONCATENATE(SUM(EXTRACTNUMBER(AK160),EXTRACTNUMBER(AL160)),"@",850-SUM(EXTRACTNUMBER(AK160),EXTRACTNUMBER(AL160))),
IF(AND(SUM(EXTRACTNUMBER(AK160),EXTRACTNUMBER(AL160))&gt;669,        SUM(EXTRACTNUMBER(AK160),EXTRACTNUMBER(AL160))&lt;680),
CONCATENATE(SUM(EXTRACTNUMBER(AK160),EXTRACTNUMBER(AL160)),"@",680-SUM(EXTRACTNUMBER(AK160),EXTRACTNUMBER(AL160))),
SUM(EXTRACTNUMBER(AK160),EXTRACTNUMBER(AL160))))))</f>
        <v>928</v>
      </c>
      <c r="AN160" s="11" t="str">
        <f t="shared" ref="AN160" si="62">IF(AND(COUNTIF(C160:AJ160,"AB")&lt;17-COUNTIF(C160:AJ160," "),
COUNTIF(C160:AJ160,"AB")&lt;&gt;0),"FAIL",
IF(COUNTIF(C160:AJ160,"AB")=17-COUNTIF(C160:AJ160," "),"ABSENT",
IF(AND(COUNTIF(C160:AJ160,"AB")=0,COUNTIF(C160:AJ160,"F")=0),"PASS","FAIL")))</f>
        <v>FAIL</v>
      </c>
      <c r="AO160" s="11" t="str">
        <f t="shared" ref="AO160" si="63">IF(AN160="ABSENT","AB",IF(AN160="FAIL","--",
IF(AL160=0,"RS 5",
IF(AND(SUM(EXTRACTNUMBER(AK160),EXTRACTNUMBER(AL160))&gt;=1010,
        NOT(IFERROR(FIND("x",AK160),0)),
        NOT(IFERROR(FIND("x",AL160),0))),"I",
IF(AND(SUM(EXTRACTNUMBER(AK160),EXTRACTNUMBER(AL160))&gt;=850,
      SUM(EXTRACTNUMBER(AK160),EXTRACTNUMBER(AL160))&lt;1010,
      NOT(IFERROR(FIND("x",AK160),0)),
      NOT(IFERROR(FIND("x",AL160),0))),"II",
IF(OR(AND(SUM(EXTRACTNUMBER(AK160),EXTRACTNUMBER(AL160))&lt;850,
SUM(EXTRACTNUMBER(AK160),EXTRACTNUMBER(AL160))&gt;=670),
IFERROR(FIND("x",AK160),0),IFERROR(FIND("x",AL160),0)),"P","--"))))))</f>
        <v>--</v>
      </c>
      <c r="AP160" s="1" t="str">
        <f t="shared" ref="AP160" si="64">spellnumber(AM160)</f>
        <v xml:space="preserve">Nine Hundred Twenty Eight </v>
      </c>
    </row>
    <row r="161" spans="1:42" ht="15.95" customHeight="1">
      <c r="A161" s="74">
        <v>136360</v>
      </c>
      <c r="B161" s="56" t="s">
        <v>183</v>
      </c>
      <c r="C161" s="77">
        <v>40</v>
      </c>
      <c r="D161" s="78" t="s">
        <v>394</v>
      </c>
      <c r="E161" s="79">
        <v>20</v>
      </c>
      <c r="F161" s="78" t="s">
        <v>394</v>
      </c>
      <c r="G161" s="79">
        <v>40</v>
      </c>
      <c r="H161" s="78" t="s">
        <v>394</v>
      </c>
      <c r="I161" s="79">
        <v>40</v>
      </c>
      <c r="J161" s="78" t="s">
        <v>394</v>
      </c>
      <c r="K161" s="79">
        <v>20</v>
      </c>
      <c r="L161" s="78" t="s">
        <v>394</v>
      </c>
      <c r="M161" s="79">
        <v>20</v>
      </c>
      <c r="N161" s="78" t="s">
        <v>394</v>
      </c>
      <c r="O161" s="79">
        <v>53</v>
      </c>
      <c r="P161" s="78" t="s">
        <v>394</v>
      </c>
      <c r="Q161" s="79">
        <v>20</v>
      </c>
      <c r="R161" s="78" t="s">
        <v>394</v>
      </c>
      <c r="S161" s="79">
        <v>38</v>
      </c>
      <c r="T161" s="78" t="s">
        <v>394</v>
      </c>
      <c r="U161" s="79">
        <v>51</v>
      </c>
      <c r="V161" s="78" t="s">
        <v>394</v>
      </c>
      <c r="W161" s="79">
        <v>20</v>
      </c>
      <c r="X161" s="78" t="s">
        <v>394</v>
      </c>
      <c r="Y161" s="79">
        <v>21</v>
      </c>
      <c r="Z161" s="78" t="s">
        <v>394</v>
      </c>
      <c r="AA161" s="79">
        <v>46</v>
      </c>
      <c r="AB161" s="78" t="s">
        <v>394</v>
      </c>
      <c r="AC161" s="79">
        <v>19</v>
      </c>
      <c r="AD161" s="78" t="s">
        <v>394</v>
      </c>
      <c r="AE161" s="79">
        <v>20</v>
      </c>
      <c r="AF161" s="78" t="s">
        <v>394</v>
      </c>
      <c r="AG161" s="79">
        <v>21</v>
      </c>
      <c r="AH161" s="78" t="s">
        <v>394</v>
      </c>
      <c r="AI161" s="79">
        <v>22</v>
      </c>
      <c r="AJ161" s="78" t="s">
        <v>394</v>
      </c>
      <c r="AK161" s="80">
        <v>509</v>
      </c>
      <c r="AL161" s="81" t="s">
        <v>573</v>
      </c>
      <c r="AM161" s="80" t="s">
        <v>574</v>
      </c>
      <c r="AN161" s="57" t="s">
        <v>395</v>
      </c>
      <c r="AO161" s="93" t="s">
        <v>516</v>
      </c>
      <c r="AP161" s="58" t="s">
        <v>575</v>
      </c>
    </row>
    <row r="162" spans="1:42" ht="15.95" customHeight="1">
      <c r="A162" s="75">
        <v>136361</v>
      </c>
      <c r="B162" s="59" t="s">
        <v>184</v>
      </c>
      <c r="C162" s="77">
        <v>19</v>
      </c>
      <c r="D162" s="78" t="s">
        <v>397</v>
      </c>
      <c r="E162" s="79" t="s">
        <v>195</v>
      </c>
      <c r="F162" s="78" t="s">
        <v>510</v>
      </c>
      <c r="G162" s="79" t="s">
        <v>196</v>
      </c>
      <c r="H162" s="78" t="s">
        <v>510</v>
      </c>
      <c r="I162" s="87" t="s">
        <v>311</v>
      </c>
      <c r="J162" s="78" t="s">
        <v>394</v>
      </c>
      <c r="K162" s="79" t="s">
        <v>197</v>
      </c>
      <c r="L162" s="78" t="s">
        <v>510</v>
      </c>
      <c r="M162" s="79" t="s">
        <v>198</v>
      </c>
      <c r="N162" s="78" t="s">
        <v>510</v>
      </c>
      <c r="O162" s="79">
        <v>30</v>
      </c>
      <c r="P162" s="78" t="s">
        <v>397</v>
      </c>
      <c r="Q162" s="79" t="s">
        <v>199</v>
      </c>
      <c r="R162" s="78" t="s">
        <v>510</v>
      </c>
      <c r="S162" s="79" t="s">
        <v>200</v>
      </c>
      <c r="T162" s="78" t="s">
        <v>510</v>
      </c>
      <c r="U162" s="79">
        <v>12</v>
      </c>
      <c r="V162" s="78" t="s">
        <v>397</v>
      </c>
      <c r="W162" s="79" t="s">
        <v>201</v>
      </c>
      <c r="X162" s="78" t="s">
        <v>510</v>
      </c>
      <c r="Y162" s="79" t="s">
        <v>201</v>
      </c>
      <c r="Z162" s="78" t="s">
        <v>510</v>
      </c>
      <c r="AA162" s="79">
        <v>28</v>
      </c>
      <c r="AB162" s="78" t="s">
        <v>397</v>
      </c>
      <c r="AC162" s="79" t="s">
        <v>199</v>
      </c>
      <c r="AD162" s="78" t="s">
        <v>510</v>
      </c>
      <c r="AE162" s="79">
        <v>20</v>
      </c>
      <c r="AF162" s="78" t="s">
        <v>510</v>
      </c>
      <c r="AG162" s="79" t="s">
        <v>199</v>
      </c>
      <c r="AH162" s="78" t="s">
        <v>510</v>
      </c>
      <c r="AI162" s="79" t="s">
        <v>199</v>
      </c>
      <c r="AJ162" s="78" t="s">
        <v>510</v>
      </c>
      <c r="AK162" s="80">
        <v>366</v>
      </c>
      <c r="AL162" s="81" t="s">
        <v>535</v>
      </c>
      <c r="AM162" s="80">
        <v>366</v>
      </c>
      <c r="AN162" s="57" t="s">
        <v>399</v>
      </c>
      <c r="AO162" s="93" t="s">
        <v>400</v>
      </c>
      <c r="AP162" s="58" t="s">
        <v>511</v>
      </c>
    </row>
    <row r="163" spans="1:42" ht="15.95" customHeight="1">
      <c r="A163" s="69">
        <v>136362</v>
      </c>
      <c r="B163" s="18" t="s">
        <v>185</v>
      </c>
      <c r="C163" s="24" t="s">
        <v>202</v>
      </c>
      <c r="D163" s="9" t="str">
        <f t="shared" ref="D163" si="65">IF(IFERROR(FIND("+",C163),0)," ",
IF(C163="AB","",
IF(C163&lt;$D$27,"F",
IF(AND(C163&gt;=$D$27,E163&gt;=$F$27,G163&gt;=$H$27,
I163&gt;=$J$27,K163&gt;=$L$27,
M163&gt;=$N$27,O163&gt;=$P$27,Q163&gt;=$R$27,S163&gt;=$T$27,U163&gt;=$V$27,
W163&gt;=$X$27,Y163&gt;=$Z$27,AA163&gt;=$AB$27,AC163&gt;=$AD$27,AE163&gt;=$AF$27,
AG163&gt;=$AH$27,AI163&gt;=$AJ$27,C163&lt;&gt;"AB",E163&lt;&gt;"AB",G163&lt;&gt;"AB",
I163&lt;&gt;"AB",K163&lt;&gt;"AB",
M163&lt;&gt;"AB",O163&lt;&gt;"AB",Q163&lt;&gt;"AB",S163&lt;&gt;"AB",U163&lt;&gt;"AB",
W163&lt;&gt;"AB",Y163&lt;&gt;"AB",AA163&lt;&gt;"AB",AC163&lt;&gt;"AB",AE163&lt;&gt;"AB",
AG163&lt;&gt;"AB",AH163&lt;&gt;"AB"),"","E"))))</f>
        <v xml:space="preserve"> </v>
      </c>
      <c r="E163" s="22" t="s">
        <v>203</v>
      </c>
      <c r="F163" s="9" t="str">
        <f t="shared" ref="F163:F164" si="66">IF(IFERROR(FIND("+",E163),0)," ",
IF(E163="AB","",
IF(E163&lt;$F$27,"F",
IF(AND(C163&gt;=$D$27,E163&gt;=$F$27,G163&gt;=$H$27,
I163&gt;=$J$27,K163&gt;=$L$27,
M163&gt;=$N$27,O163&gt;=$P$27,Q163&gt;=$R$27,S163&gt;=$T$27,U163&gt;=$V$27,
W163&gt;=$X$27,Y163&gt;=$Z$27,AA163&gt;=$AB$27,AC163&gt;=$AD$27,AE163&gt;=$AF$27,
AG163&gt;=$AH$27,AI163&gt;=$AJ$27,C163&lt;&gt;"AB",E163&lt;&gt;"AB",G163&lt;&gt;"AB",
I163&lt;&gt;"AB",K163&lt;&gt;"AB",
M163&lt;&gt;"AB",O163&lt;&gt;"AB",Q163&lt;&gt;"AB",S163&lt;&gt;"AB",U163&lt;&gt;"AB",
W163&lt;&gt;"AB",Y163&lt;&gt;"AB",AA163&lt;&gt;"AB",AC163&lt;&gt;"AB",AE163&lt;&gt;"AB",
AG163&lt;&gt;"AB",AH163&lt;&gt;"AB"),"","E"))))</f>
        <v xml:space="preserve"> </v>
      </c>
      <c r="G163" s="22" t="s">
        <v>204</v>
      </c>
      <c r="H163" s="9" t="str">
        <f t="shared" ref="H163:H164" si="67">IF(IFERROR(FIND("+",G163),0)," ",
IF(G163="AB","",
IF(G163&lt;$H$27,"F",
IF(AND(C163&gt;=$D$27,E163&gt;=$F$27,G163&gt;=$H$27,
I163&gt;=$J$27,K163&gt;=$L$27,
M163&gt;=$N$27,O163&gt;=$P$27,Q163&gt;=$R$27,S163&gt;=$T$27,U163&gt;=$V$27,
W163&gt;=$X$27,Y163&gt;=$Z$27,AA163&gt;=$AB$27,AC163&gt;=$AD$27,AE163&gt;=$AF$27,
AG163&gt;=$AH$27,AI163&gt;=$AJ$27,C163&lt;&gt;"AB",E163&lt;&gt;"AB",G163&lt;&gt;"AB",
I163&lt;&gt;"AB",K163&lt;&gt;"AB",
M163&lt;&gt;"AB",O163&lt;&gt;"AB",Q163&lt;&gt;"AB",S163&lt;&gt;"AB",U163&lt;&gt;"AB",
W163&lt;&gt;"AB",Y163&lt;&gt;"AB",AA163&lt;&gt;"AB",AC163&lt;&gt;"AB",AE163&lt;&gt;"AB",
AG163&lt;&gt;"AB",AH163&lt;&gt;"AB"),"","E"))))</f>
        <v xml:space="preserve"> </v>
      </c>
      <c r="I163" s="29">
        <v>40</v>
      </c>
      <c r="J163" s="9"/>
      <c r="K163" s="22" t="s">
        <v>197</v>
      </c>
      <c r="L163" s="9" t="str">
        <f t="shared" ref="L163:L164" si="68">IF(IFERROR(FIND("+",K163),0)," ",
IF(K163="AB","",
IF(K163&lt;$L$27,"F",
IF(AND(C163&gt;=$D$27,E163&gt;=$F$27,G163&gt;=$H$27,
I163&gt;=$J$27,K163&gt;=$L$27,
M163&gt;=$N$27,O163&gt;=$P$27,Q163&gt;=$R$27,S163&gt;=$T$27,U163&gt;=$V$27,
W163&gt;=$X$27,Y163&gt;=$Z$27,AA163&gt;=$AB$27,AC163&gt;=$AD$27,AE163&gt;=$AF$27,
AG163&gt;=$AH$27,AI163&gt;=$AJ$27,C163&lt;&gt;"AB",E163&lt;&gt;"AB",G163&lt;&gt;"AB",
I163&lt;&gt;"AB",K163&lt;&gt;"AB",
M163&lt;&gt;"AB",O163&lt;&gt;"AB",Q163&lt;&gt;"AB",S163&lt;&gt;"AB",U163&lt;&gt;"AB",
W163&lt;&gt;"AB",Y163&lt;&gt;"AB",AA163&lt;&gt;"AB",AC163&lt;&gt;"AB",AE163&lt;&gt;"AB",
AG163&lt;&gt;"AB",AH163&lt;&gt;"AB"),"","E"))))</f>
        <v xml:space="preserve"> </v>
      </c>
      <c r="M163" s="22" t="s">
        <v>195</v>
      </c>
      <c r="N163" s="9" t="str">
        <f t="shared" ref="N163:N164" si="69">IF(IFERROR(FIND("+",M163),0)," ",
IF(M163="AB","",
IF(M163&lt;$N$27,"F",
IF(AND(C163&gt;=$D$27,E163&gt;=$F$27,G163&gt;=$H$27,
I163&gt;=$J$27,K163&gt;=$L$27,
M163&gt;=$N$27,O163&gt;=$P$27,Q163&gt;=$R$27,S163&gt;=$T$27,U163&gt;=$V$27,
W163&gt;=$X$27,Y163&gt;=$Z$27,AA163&gt;=$AB$27,AC163&gt;=$AD$27,AE163&gt;=$AF$27,
AG163&gt;=$AH$27,AI163&gt;=$AJ$27,C163&lt;&gt;"AB",E163&lt;&gt;"AB",G163&lt;&gt;"AB",
I163&lt;&gt;"AB",K163&lt;&gt;"AB",
M163&lt;&gt;"AB",O163&lt;&gt;"AB",Q163&lt;&gt;"AB",S163&lt;&gt;"AB",U163&lt;&gt;"AB",
W163&lt;&gt;"AB",Y163&lt;&gt;"AB",AA163&lt;&gt;"AB",AC163&lt;&gt;"AB",AE163&lt;&gt;"AB",
AG163&lt;&gt;"AB",AH163&lt;&gt;"AB"),"","E"))))</f>
        <v xml:space="preserve"> </v>
      </c>
      <c r="O163" s="29" t="s">
        <v>205</v>
      </c>
      <c r="P163" s="9" t="str">
        <f t="shared" ref="P163:P164" si="70">IF(IFERROR(FIND("+",O163),0)," ",
IF(O163="AB","",
IF(O163&lt;$P$27,"F",
IF(AND(C163&gt;=$D$27,E163&gt;=$F$27,G163&gt;=$H$27,
I163&gt;=$J$27,K163&gt;=$L$27,
M163&gt;=$N$27,O163&gt;=$P$27,Q163&gt;=$R$27,S163&gt;=$T$27,U163&gt;=$V$27,
W163&gt;=$X$27,Y163&gt;=$Z$27,AA163&gt;=$AB$27,AC163&gt;=$AD$27,AE163&gt;=$AF$27,
AG163&gt;=$AH$27,AI163&gt;=$AJ$27,C163&lt;&gt;"AB",E163&lt;&gt;"AB",G163&lt;&gt;"AB",
I163&lt;&gt;"AB",K163&lt;&gt;"AB",
M163&lt;&gt;"AB",O163&lt;&gt;"AB",Q163&lt;&gt;"AB",S163&lt;&gt;"AB",U163&lt;&gt;"AB",
W163&lt;&gt;"AB",Y163&lt;&gt;"AB",AA163&lt;&gt;"AB",AC163&lt;&gt;"AB",AE163&lt;&gt;"AB",
AG163&lt;&gt;"AB",AH163&lt;&gt;"AB"),"","E"))))</f>
        <v xml:space="preserve"> </v>
      </c>
      <c r="Q163" s="22" t="s">
        <v>201</v>
      </c>
      <c r="R163" s="9" t="str">
        <f t="shared" ref="R163:R164" si="71">IF(IFERROR(FIND("+",Q163),0)," ",
IF(Q163="AB","",
IF(Q163&lt;$R$27,"F",
IF(AND(C163&gt;=$D$27,E163&gt;=$F$27,G163&gt;=$H$27,
I163&gt;=$J$27,K163&gt;=$L$27,
M163&gt;=$N$27,O163&gt;=$P$27,Q163&gt;=$R$27,S163&gt;=$T$27,U163&gt;=$V$27,
W163&gt;=$X$27,Y163&gt;=$Z$27,AA163&gt;=$AB$27,AC163&gt;=$AD$27,AE163&gt;=$AF$27,
AG163&gt;=$AH$27,AI163&gt;=$AJ$27,C163&lt;&gt;"AB",E163&lt;&gt;"AB",G163&lt;&gt;"AB",
I163&lt;&gt;"AB",K163&lt;&gt;"AB",
M163&lt;&gt;"AB",O163&lt;&gt;"AB",Q163&lt;&gt;"AB",S163&lt;&gt;"AB",U163&lt;&gt;"AB",
W163&lt;&gt;"AB",Y163&lt;&gt;"AB",AA163&lt;&gt;"AB",AC163&lt;&gt;"AB",AE163&lt;&gt;"AB",
AG163&lt;&gt;"AB",AH163&lt;&gt;"AB"),"","E"))))</f>
        <v xml:space="preserve"> </v>
      </c>
      <c r="S163" s="22" t="s">
        <v>206</v>
      </c>
      <c r="T163" s="9" t="str">
        <f t="shared" ref="T163:T164" si="72">IF(IFERROR(FIND("+",S163),0)," ",
IF(S163="AB","",
IF(S163&lt;$T$27,"F",
IF(AND(C163&gt;=$D$27,E163&gt;=$F$27,G163&gt;=$H$27,
I163&gt;=$J$27,K163&gt;=$L$27,
M163&gt;=$N$27,O163&gt;=$P$27,Q163&gt;=$R$27,S163&gt;=$T$27,U163&gt;=$V$27,
W163&gt;=$X$27,Y163&gt;=$Z$27,AA163&gt;=$AB$27,AC163&gt;=$AD$27,AE163&gt;=$AF$27,
AG163&gt;=$AH$27,AI163&gt;=$AJ$27,C163&lt;&gt;"AB",E163&lt;&gt;"AB",G163&lt;&gt;"AB",
I163&lt;&gt;"AB",K163&lt;&gt;"AB",
M163&lt;&gt;"AB",O163&lt;&gt;"AB",Q163&lt;&gt;"AB",S163&lt;&gt;"AB",U163&lt;&gt;"AB",
W163&lt;&gt;"AB",Y163&lt;&gt;"AB",AA163&lt;&gt;"AB",AC163&lt;&gt;"AB",AE163&lt;&gt;"AB",
AG163&lt;&gt;"AB",AH163&lt;&gt;"AB"),"","E"))))</f>
        <v xml:space="preserve"> </v>
      </c>
      <c r="U163" s="29" t="s">
        <v>202</v>
      </c>
      <c r="V163" s="9" t="str">
        <f t="shared" ref="V163:V164" si="73">IF(IFERROR(FIND("+",U163),0)," ",
IF(U163="AB","",
IF(U163&lt;$V$27,"F",
IF(AND(C163&gt;=$D$27,E163&gt;=$F$27,G163&gt;=$H$27,
I163&gt;=$J$27,K163&gt;=$L$27,
M163&gt;=$N$27,O163&gt;=$P$27,Q163&gt;=$R$27,S163&gt;=$T$27,U163&gt;=$V$27,
W163&gt;=$X$27,Y163&gt;=$Z$27,AA163&gt;=$AB$27,AC163&gt;=$AD$27,AE163&gt;=$AF$27,
AG163&gt;=$AH$27,AI163&gt;=$AJ$27,C163&lt;&gt;"AB",E163&lt;&gt;"AB",G163&lt;&gt;"AB",
I163&lt;&gt;"AB",K163&lt;&gt;"AB",
M163&lt;&gt;"AB",O163&lt;&gt;"AB",Q163&lt;&gt;"AB",S163&lt;&gt;"AB",U163&lt;&gt;"AB",
W163&lt;&gt;"AB",Y163&lt;&gt;"AB",AA163&lt;&gt;"AB",AC163&lt;&gt;"AB",AE163&lt;&gt;"AB",
AG163&lt;&gt;"AB",AH163&lt;&gt;"AB"),"","E"))))</f>
        <v xml:space="preserve"> </v>
      </c>
      <c r="W163" s="22" t="s">
        <v>197</v>
      </c>
      <c r="X163" s="9" t="str">
        <f t="shared" ref="X163:X164" si="74">IF(IFERROR(FIND("+",W163),0)," ",
IF(W163="AB","",
IF(W163&lt;$X$27,"F",
IF(AND(C163&gt;=$D$27,E163&gt;=$F$27,G163&gt;=$H$27,
I163&gt;=$J$27,K163&gt;=$L$27,
M163&gt;=$N$27,O163&gt;=$P$27,Q163&gt;=$R$27,S163&gt;=$T$27,U163&gt;=$V$27,
W163&gt;=$X$27,Y163&gt;=$Z$27,AA163&gt;=$AB$27,AC163&gt;=$AD$27,AE163&gt;=$AF$27,
AG163&gt;=$AH$27,AI163&gt;=$AJ$27,C163&lt;&gt;"AB",E163&lt;&gt;"AB",G163&lt;&gt;"AB",
I163&lt;&gt;"AB",K163&lt;&gt;"AB",
M163&lt;&gt;"AB",O163&lt;&gt;"AB",Q163&lt;&gt;"AB",S163&lt;&gt;"AB",U163&lt;&gt;"AB",
W163&lt;&gt;"AB",Y163&lt;&gt;"AB",AA163&lt;&gt;"AB",AC163&lt;&gt;"AB",AE163&lt;&gt;"AB",
AG163&lt;&gt;"AB",AH163&lt;&gt;"AB"),"","E"))))</f>
        <v xml:space="preserve"> </v>
      </c>
      <c r="Y163" s="22" t="s">
        <v>199</v>
      </c>
      <c r="Z163" s="9" t="str">
        <f t="shared" ref="Z163:Z164" si="75">IF(IFERROR(FIND("+",Y163),0)," ",
IF(Y163="AB","",
IF(Y163&lt;$Z$27,"F",
IF(AND(C163&gt;=$D$27,E163&gt;=$F$27,G163&gt;=$H$27,
I163&gt;=$J$27,K163&gt;=$L$27,
M163&gt;=$N$27,O163&gt;=$P$27,Q163&gt;=$R$27,S163&gt;=$T$27,U163&gt;=$V$27,
W163&gt;=$X$27,Y163&gt;=$Z$27,AA163&gt;=$AB$27,AC163&gt;=$AD$27,AE163&gt;=$AF$27,
AG163&gt;=$AH$27,AI163&gt;=$AJ$27,C163&lt;&gt;"AB",E163&lt;&gt;"AB",G163&lt;&gt;"AB",
I163&lt;&gt;"AB",K163&lt;&gt;"AB",
M163&lt;&gt;"AB",O163&lt;&gt;"AB",Q163&lt;&gt;"AB",S163&lt;&gt;"AB",U163&lt;&gt;"AB",
W163&lt;&gt;"AB",Y163&lt;&gt;"AB",AA163&lt;&gt;"AB",AC163&lt;&gt;"AB",AE163&lt;&gt;"AB",
AG163&lt;&gt;"AB",AH163&lt;&gt;"AB"),"","E"))))</f>
        <v xml:space="preserve"> </v>
      </c>
      <c r="AA163" s="29" t="s">
        <v>207</v>
      </c>
      <c r="AB163" s="9" t="str">
        <f t="shared" ref="AB163:AB164" si="76">IF(IFERROR(FIND("+",AA163),0)," ",
IF(AA163="AB","",
IF(AA163&lt;$AB$27,"F",
IF(AND(C163&gt;=$D$27,E163&gt;=$F$27,G163&gt;=$H$27,
I163&gt;=$J$27,K163&gt;=$L$27,
M163&gt;=$N$27,O163&gt;=$P$27,Q163&gt;=$R$27,S163&gt;=$T$27,U163&gt;=$V$27,
W163&gt;=$X$27,Y163&gt;=$Z$27,AA163&gt;=$AB$27,AC163&gt;=$AD$27,AE163&gt;=$AF$27,
AG163&gt;=$AH$27,AI163&gt;=$AJ$27,C163&lt;&gt;"AB",E163&lt;&gt;"AB",G163&lt;&gt;"AB",
I163&lt;&gt;"AB",K163&lt;&gt;"AB",
M163&lt;&gt;"AB",O163&lt;&gt;"AB",Q163&lt;&gt;"AB",S163&lt;&gt;"AB",U163&lt;&gt;"AB",
W163&lt;&gt;"AB",Y163&lt;&gt;"AB",AA163&lt;&gt;"AB",AC163&lt;&gt;"AB",AE163&lt;&gt;"AB",
AG163&lt;&gt;"AB",AH163&lt;&gt;"AB"),"","E"))))</f>
        <v xml:space="preserve"> </v>
      </c>
      <c r="AC163" s="22" t="s">
        <v>201</v>
      </c>
      <c r="AD163" s="9" t="str">
        <f t="shared" ref="AD163:AD164" si="77">IF(IFERROR(FIND("+",AC163),0)," ",
IF(AC163="AB","",
IF(AC163&lt;$AD$27,"F",
IF(AND(C163&gt;=$D$27,E163&gt;=$F$27,G163&gt;=$H$27,
I163&gt;=$J$27,K163&gt;=$L$27,
M163&gt;=$N$27,O163&gt;=$P$27,Q163&gt;=$R$27,S163&gt;=$T$27,U163&gt;=$V$27,
W163&gt;=$X$27,Y163&gt;=$Z$27,AA163&gt;=$AB$27,AC163&gt;=$AD$27,AE163&gt;=$AF$27,
AG163&gt;=$AH$27,AI163&gt;=$AJ$27,C163&lt;&gt;"AB",E163&lt;&gt;"AB",G163&lt;&gt;"AB",
I163&lt;&gt;"AB",K163&lt;&gt;"AB",
M163&lt;&gt;"AB",O163&lt;&gt;"AB",Q163&lt;&gt;"AB",S163&lt;&gt;"AB",U163&lt;&gt;"AB",
W163&lt;&gt;"AB",Y163&lt;&gt;"AB",AA163&lt;&gt;"AB",AC163&lt;&gt;"AB",AE163&lt;&gt;"AB",
AG163&lt;&gt;"AB",AH163&lt;&gt;"AB"),"","E"))))</f>
        <v xml:space="preserve"> </v>
      </c>
      <c r="AE163" s="22" t="s">
        <v>199</v>
      </c>
      <c r="AF163" s="9" t="str">
        <f t="shared" ref="AF163:AF164" si="78">IF(IFERROR(FIND("+",AE163),0)," ",
IF(AE163="AB","",
IF(AE163&lt;$AF$27,"F",
IF(AND(C163&gt;=$D$27,E163&gt;=$F$27,G163&gt;=$H$27,
I163&gt;=$J$27,K163&gt;=$L$27,
M163&gt;=$N$27,O163&gt;=$P$27,Q163&gt;=$R$27,S163&gt;=$T$27,U163&gt;=$V$27,
W163&gt;=$X$27,Y163&gt;=$Z$27,AA163&gt;=$AB$27,AC163&gt;=$AD$27,AE163&gt;=$AF$27,
AG163&gt;=$AH$27,AI163&gt;=$AJ$27,C163&lt;&gt;"AB",E163&lt;&gt;"AB",G163&lt;&gt;"AB",
I163&lt;&gt;"AB",K163&lt;&gt;"AB",
M163&lt;&gt;"AB",O163&lt;&gt;"AB",Q163&lt;&gt;"AB",S163&lt;&gt;"AB",U163&lt;&gt;"AB",
W163&lt;&gt;"AB",Y163&lt;&gt;"AB",AA163&lt;&gt;"AB",AC163&lt;&gt;"AB",AE163&lt;&gt;"AB",
AG163&lt;&gt;"AB",AH163&lt;&gt;"AB"),"","E"))))</f>
        <v xml:space="preserve"> </v>
      </c>
      <c r="AG163" s="22" t="s">
        <v>195</v>
      </c>
      <c r="AH163" s="9" t="str">
        <f t="shared" ref="AH163:AH164" si="79">IF(IFERROR(FIND("+",AG163),0)," ",
IF(AG163="AB","",
IF(AG163&lt;$AH$27,"F",
IF(AND(C163&gt;=$D$27,E163&gt;=$F$27,G163&gt;=$H$27,
I163&gt;=$J$27,K163&gt;=$L$27,
M163&gt;=$N$27,O163&gt;=$P$27,Q163&gt;=$R$27,S163&gt;=$T$27,U163&gt;=$V$27,
W163&gt;=$X$27,Y163&gt;=$Z$27,AA163&gt;=$AB$27,AC163&gt;=$AD$27,AE163&gt;=$AF$27,
AG163&gt;=$AH$27,AI163&gt;=$AJ$27,C163&lt;&gt;"AB",E163&lt;&gt;"AB",G163&lt;&gt;"AB",
I163&lt;&gt;"AB",K163&lt;&gt;"AB",
M163&lt;&gt;"AB",O163&lt;&gt;"AB",Q163&lt;&gt;"AB",S163&lt;&gt;"AB",U163&lt;&gt;"AB",
W163&lt;&gt;"AB",Y163&lt;&gt;"AB",AA163&lt;&gt;"AB",AC163&lt;&gt;"AB",AE163&lt;&gt;"AB",
AG163&lt;&gt;"AB",AI163&lt;&gt;"AB"),"","E"))))</f>
        <v xml:space="preserve"> </v>
      </c>
      <c r="AI163" s="22" t="s">
        <v>199</v>
      </c>
      <c r="AJ163" s="9" t="str">
        <f t="shared" ref="AJ163:AJ164" si="80">IF(IFERROR(FIND("+",AI163),0)," ",
IF(AI163="AB","",
IF(AI163&lt;$AJ$27,"F",
IF(AND(C163&gt;=$D$27,E163&gt;=$F$27,G163&gt;=$H$27,
I163&gt;=$J$27,K163&gt;=$L$27,
M163&gt;=$N$27,O163&gt;=$P$27,Q163&gt;=$R$27,S163&gt;=$T$27,U163&gt;=$V$27,
W163&gt;=$X$27,Y163&gt;=$Z$27,AA163&gt;=$AB$27,AC163&gt;=$AD$27,AE163&gt;=$AF$27,
AG163&gt;=$AH$27,AI163&gt;=$AJ$27,C163&lt;&gt;"AB",E163&lt;&gt;"AB",G163&lt;&gt;"AB",
I163&lt;&gt;"AB",K163&lt;&gt;"AB",
M163&lt;&gt;"AB",O163&lt;&gt;"AB",Q163&lt;&gt;"AB",S163&lt;&gt;"AB",U163&lt;&gt;"AB",
W163&lt;&gt;"AB",Y163&lt;&gt;"AB",AA163&lt;&gt;"AB",AC163&lt;&gt;"AB",AE163&lt;&gt;"AB",
AG163&lt;&gt;"AB",AH163&lt;&gt;"AB"),"","E"))))</f>
        <v xml:space="preserve"> </v>
      </c>
      <c r="AK163" s="16">
        <f>IF(OR(AND(C163&gt;=31,C163&lt;40),AND(I163&gt;=31,I163&lt;40),AND(O163&gt;=31,O163&lt;40),AND(U163&gt;=31,U163&lt;40),AND(AA163&gt;=31,AA163&lt;40)),IF(AND(OR(COUNTIF(C163:AJ163,"=31")&gt;=1,COUNTIF(C163:AJ163,"=32")&gt;=1,COUNTIF(C163:AJ163,"=33")&gt;=1,COUNTIF(C163:AJ163,"=34")&gt;=1,COUNTIF(C163:AJ163,"=35")&gt;=1,COUNTIF(C163:AJ163,"=36")&gt;=1 ),COUNTIF(C163:AJ163,"")=0,COUNTIF(C163:AJ163," ")=0,COUNTIF(C163:AJ163,"F")=1),CONCATENATE(SUM(EXTRACTNUMBER(C163),EXTRACTNUMBER(E163),
EXTRACTNUMBER(G163),EXTRACTNUMBER(I163),
EXTRACTNUMBER(K163),EXTRACTNUMBER(M163),
EXTRACTNUMBER(O163),EXTRACTNUMBER(Q163),
EXTRACTNUMBER(S163),EXTRACTNUMBER(U163),
EXTRACTNUMBER(W163),EXTRACTNUMBER(Y163),EXTRACTNUMBER(AA163),
EXTRACTNUMBER(AC163),EXTRACTNUMBER(AE163),EXTRACTNUMBER(AG163),EXTRACTNUMBER(AI163)),"*"),IF(AND(COUNTIF(C163:AJ163,"=34")&gt;=1,COUNTIF(C163:AJ163,"=35")&gt;=1,COUNTIF(C163:AJ163,"f")=2,COUNTIF(C163:AJ163,"")=0,COUNTIF(C163:AJ163," ")=0),CONCATENATE(SUM(EXTRACTNUMBER(C163),EXTRACTNUMBER(E163),
EXTRACTNUMBER(G163),EXTRACTNUMBER(I163),
EXTRACTNUMBER(K163),EXTRACTNUMBER(M163),
EXTRACTNUMBER(O163),EXTRACTNUMBER(Q163),
EXTRACTNUMBER(S163),EXTRACTNUMBER(U163),
EXTRACTNUMBER(W163),EXTRACTNUMBER(Y163),EXTRACTNUMBER(AA163),
EXTRACTNUMBER(AC163),EXTRACTNUMBER(AE163),EXTRACTNUMBER(AG163),EXTRACTNUMBER(AI163)),"*"),IF(AND(COUNTIF(C163:AJ163,"=36")&gt;=2,COUNTIF(C163:AJ163,"f")=2,COUNTIF(C163:AJ163,"")=0,COUNTIF(C163:AJ163," ")=0),CONCATENATE(SUM(EXTRACTNUMBER(C163),EXTRACTNUMBER(E163),
EXTRACTNUMBER(G163),EXTRACTNUMBER(I163),
EXTRACTNUMBER(K163),EXTRACTNUMBER(M163),
EXTRACTNUMBER(O163),EXTRACTNUMBER(Q163),
EXTRACTNUMBER(S163),EXTRACTNUMBER(U163),
EXTRACTNUMBER(W163),EXTRACTNUMBER(Y163),EXTRACTNUMBER(AA163),
EXTRACTNUMBER(AC163),EXTRACTNUMBER(AE163),EXTRACTNUMBER(AG163),EXTRACTNUMBER(AI163)),"*"),SUM(EXTRACTNUMBER(C163),EXTRACTNUMBER(E163),
EXTRACTNUMBER(G163),EXTRACTNUMBER(I163),
EXTRACTNUMBER(K163),EXTRACTNUMBER(M163),
EXTRACTNUMBER(O163),EXTRACTNUMBER(Q163),
EXTRACTNUMBER(S163),EXTRACTNUMBER(U163),
EXTRACTNUMBER(W163),EXTRACTNUMBER(Y163),EXTRACTNUMBER(AA163),
EXTRACTNUMBER(AC163),EXTRACTNUMBER(AE163),EXTRACTNUMBER(AG163),EXTRACTNUMBER(AI163))))),SUM(EXTRACTNUMBER(C163),EXTRACTNUMBER(E163),
EXTRACTNUMBER(G163),EXTRACTNUMBER(I163),
EXTRACTNUMBER(K163),EXTRACTNUMBER(M163),
EXTRACTNUMBER(O163),EXTRACTNUMBER(Q163),
EXTRACTNUMBER(S163),EXTRACTNUMBER(U163),
EXTRACTNUMBER(W163),EXTRACTNUMBER(Y163),EXTRACTNUMBER(AA163),
EXTRACTNUMBER(AC163),EXTRACTNUMBER(AE163),EXTRACTNUMBER(AG163),EXTRACTNUMBER(AI163)))</f>
        <v>480</v>
      </c>
      <c r="AL163" s="72" t="s">
        <v>554</v>
      </c>
      <c r="AM163" s="11">
        <f t="shared" ref="AM163:AM164" si="81">IF(IFERROR(FIND("x",AL163),0),SUM(EXTRACTNUMBER(AK163),EXTRACTNUMBER(AL163)),IF(AND(SUM(EXTRACTNUMBER(AK163),EXTRACTNUMBER(AL163))&gt;1009,        SUM(EXTRACTNUMBER(AK163),EXTRACTNUMBER(AL163))&lt;1020),
CONCATENATE(SUM(EXTRACTNUMBER(AK163),EXTRACTNUMBER(AL163)),"@",1020-SUM(EXTRACTNUMBER(AK163),EXTRACTNUMBER(AL163))),
IF(AND(SUM(EXTRACTNUMBER(AK163),EXTRACTNUMBER(AL163))&gt;839,   SUM(EXTRACTNUMBER(AK163),EXTRACTNUMBER(AL163))&lt;850),CONCATENATE(SUM(EXTRACTNUMBER(AK163),EXTRACTNUMBER(AL163)),"@",850-SUM(EXTRACTNUMBER(AK163),EXTRACTNUMBER(AL163))),
IF(AND(SUM(EXTRACTNUMBER(AK163),EXTRACTNUMBER(AL163))&gt;669,        SUM(EXTRACTNUMBER(AK163),EXTRACTNUMBER(AL163))&lt;680),
CONCATENATE(SUM(EXTRACTNUMBER(AK163),EXTRACTNUMBER(AL163)),"@",680-SUM(EXTRACTNUMBER(AK163),EXTRACTNUMBER(AL163))),
SUM(EXTRACTNUMBER(AK163),EXTRACTNUMBER(AL163))))))</f>
        <v>967</v>
      </c>
      <c r="AN163" s="11" t="str">
        <f t="shared" ref="AN163:AN164" si="82">IF(AND(COUNTIF(C163:AJ163,"AB")&lt;17-COUNTIF(C163:AJ163," "),
COUNTIF(C163:AJ163,"AB")&lt;&gt;0),"FAIL",
IF(COUNTIF(C163:AJ163,"AB")=17-COUNTIF(C163:AJ163," "),"ABSENT",
IF(AND(COUNTIF(C163:AJ163,"AB")=0,COUNTIF(C163:AJ163,"F")=0),"PASS","FAIL")))</f>
        <v>PASS</v>
      </c>
      <c r="AO163" s="11" t="str">
        <f t="shared" ref="AO163:AO164" si="83">IF(AN163="ABSENT","AB",IF(AN163="FAIL","--",
IF(AL163=0,"RS 5",
IF(AND(SUM(EXTRACTNUMBER(AK163),EXTRACTNUMBER(AL163))&gt;=1010,
        NOT(IFERROR(FIND("x",AK163),0)),
        NOT(IFERROR(FIND("x",AL163),0))),"I",
IF(AND(SUM(EXTRACTNUMBER(AK163),EXTRACTNUMBER(AL163))&gt;=850,
      SUM(EXTRACTNUMBER(AK163),EXTRACTNUMBER(AL163))&lt;1010,
      NOT(IFERROR(FIND("x",AK163),0)),
      NOT(IFERROR(FIND("x",AL163),0))),"II",
IF(OR(AND(SUM(EXTRACTNUMBER(AK163),EXTRACTNUMBER(AL163))&lt;850,
SUM(EXTRACTNUMBER(AK163),EXTRACTNUMBER(AL163))&gt;=670),
IFERROR(FIND("x",AK163),0),IFERROR(FIND("x",AL163),0)),"P","--"))))))</f>
        <v>P</v>
      </c>
      <c r="AP163" s="1" t="str">
        <f t="shared" ref="AP163:AP164" si="84">spellnumber(AM163)</f>
        <v xml:space="preserve">Nine Hundred Sixty Seven </v>
      </c>
    </row>
    <row r="164" spans="1:42" ht="15.95" customHeight="1">
      <c r="A164" s="69">
        <v>136363</v>
      </c>
      <c r="B164" s="18" t="s">
        <v>186</v>
      </c>
      <c r="C164" s="24">
        <v>48</v>
      </c>
      <c r="D164" s="9"/>
      <c r="E164" s="22" t="s">
        <v>201</v>
      </c>
      <c r="F164" s="9" t="str">
        <f t="shared" si="66"/>
        <v xml:space="preserve"> </v>
      </c>
      <c r="G164" s="22" t="s">
        <v>200</v>
      </c>
      <c r="H164" s="9" t="str">
        <f t="shared" si="67"/>
        <v xml:space="preserve"> </v>
      </c>
      <c r="I164" s="29">
        <v>42</v>
      </c>
      <c r="J164" s="9"/>
      <c r="K164" s="22" t="s">
        <v>201</v>
      </c>
      <c r="L164" s="9" t="str">
        <f t="shared" si="68"/>
        <v xml:space="preserve"> </v>
      </c>
      <c r="M164" s="22" t="s">
        <v>201</v>
      </c>
      <c r="N164" s="9" t="str">
        <f t="shared" si="69"/>
        <v xml:space="preserve"> </v>
      </c>
      <c r="O164" s="29" t="s">
        <v>208</v>
      </c>
      <c r="P164" s="9" t="str">
        <f t="shared" si="70"/>
        <v xml:space="preserve"> </v>
      </c>
      <c r="Q164" s="22" t="s">
        <v>195</v>
      </c>
      <c r="R164" s="9" t="str">
        <f t="shared" si="71"/>
        <v xml:space="preserve"> </v>
      </c>
      <c r="S164" s="22" t="s">
        <v>209</v>
      </c>
      <c r="T164" s="9" t="str">
        <f t="shared" si="72"/>
        <v xml:space="preserve"> </v>
      </c>
      <c r="U164" s="29" t="s">
        <v>210</v>
      </c>
      <c r="V164" s="9" t="str">
        <f t="shared" si="73"/>
        <v xml:space="preserve"> </v>
      </c>
      <c r="W164" s="22" t="s">
        <v>201</v>
      </c>
      <c r="X164" s="9" t="str">
        <f t="shared" si="74"/>
        <v xml:space="preserve"> </v>
      </c>
      <c r="Y164" s="22" t="s">
        <v>195</v>
      </c>
      <c r="Z164" s="9" t="str">
        <f t="shared" si="75"/>
        <v xml:space="preserve"> </v>
      </c>
      <c r="AA164" s="29" t="s">
        <v>211</v>
      </c>
      <c r="AB164" s="9" t="str">
        <f t="shared" si="76"/>
        <v xml:space="preserve"> </v>
      </c>
      <c r="AC164" s="22" t="s">
        <v>199</v>
      </c>
      <c r="AD164" s="9" t="str">
        <f t="shared" si="77"/>
        <v xml:space="preserve"> </v>
      </c>
      <c r="AE164" s="22" t="s">
        <v>195</v>
      </c>
      <c r="AF164" s="9" t="str">
        <f t="shared" si="78"/>
        <v xml:space="preserve"> </v>
      </c>
      <c r="AG164" s="22" t="s">
        <v>197</v>
      </c>
      <c r="AH164" s="9" t="str">
        <f t="shared" si="79"/>
        <v xml:space="preserve"> </v>
      </c>
      <c r="AI164" s="22" t="s">
        <v>199</v>
      </c>
      <c r="AJ164" s="9" t="str">
        <f t="shared" si="80"/>
        <v xml:space="preserve"> </v>
      </c>
      <c r="AK164" s="16">
        <f>IF(OR(AND(C164&gt;=31,C164&lt;40),AND(I164&gt;=31,I164&lt;40),AND(O164&gt;=31,O164&lt;40),AND(U164&gt;=31,U164&lt;40),AND(AA164&gt;=31,AA164&lt;40)),IF(AND(OR(COUNTIF(C164:AJ164,"=31")&gt;=1,COUNTIF(C164:AJ164,"=32")&gt;=1,COUNTIF(C164:AJ164,"=33")&gt;=1,COUNTIF(C164:AJ164,"=34")&gt;=1,COUNTIF(C164:AJ164,"=35")&gt;=1,COUNTIF(C164:AJ164,"=36")&gt;=1 ),COUNTIF(C164:AJ164,"")=0,COUNTIF(C164:AJ164," ")=0,COUNTIF(C164:AJ164,"F")=1),CONCATENATE(SUM(EXTRACTNUMBER(C164),EXTRACTNUMBER(E164),
EXTRACTNUMBER(G164),EXTRACTNUMBER(I164),
EXTRACTNUMBER(K164),EXTRACTNUMBER(M164),
EXTRACTNUMBER(O164),EXTRACTNUMBER(Q164),
EXTRACTNUMBER(S164),EXTRACTNUMBER(U164),
EXTRACTNUMBER(W164),EXTRACTNUMBER(Y164),EXTRACTNUMBER(AA164),
EXTRACTNUMBER(AC164),EXTRACTNUMBER(AE164),EXTRACTNUMBER(AG164),EXTRACTNUMBER(AI164)),"*"),IF(AND(COUNTIF(C164:AJ164,"=34")&gt;=1,COUNTIF(C164:AJ164,"=35")&gt;=1,COUNTIF(C164:AJ164,"f")=2,COUNTIF(C164:AJ164,"")=0,COUNTIF(C164:AJ164," ")=0),CONCATENATE(SUM(EXTRACTNUMBER(C164),EXTRACTNUMBER(E164),
EXTRACTNUMBER(G164),EXTRACTNUMBER(I164),
EXTRACTNUMBER(K164),EXTRACTNUMBER(M164),
EXTRACTNUMBER(O164),EXTRACTNUMBER(Q164),
EXTRACTNUMBER(S164),EXTRACTNUMBER(U164),
EXTRACTNUMBER(W164),EXTRACTNUMBER(Y164),EXTRACTNUMBER(AA164),
EXTRACTNUMBER(AC164),EXTRACTNUMBER(AE164),EXTRACTNUMBER(AG164),EXTRACTNUMBER(AI164)),"*"),IF(AND(COUNTIF(C164:AJ164,"=36")&gt;=2,COUNTIF(C164:AJ164,"f")=2,COUNTIF(C164:AJ164,"")=0,COUNTIF(C164:AJ164," ")=0),CONCATENATE(SUM(EXTRACTNUMBER(C164),EXTRACTNUMBER(E164),
EXTRACTNUMBER(G164),EXTRACTNUMBER(I164),
EXTRACTNUMBER(K164),EXTRACTNUMBER(M164),
EXTRACTNUMBER(O164),EXTRACTNUMBER(Q164),
EXTRACTNUMBER(S164),EXTRACTNUMBER(U164),
EXTRACTNUMBER(W164),EXTRACTNUMBER(Y164),EXTRACTNUMBER(AA164),
EXTRACTNUMBER(AC164),EXTRACTNUMBER(AE164),EXTRACTNUMBER(AG164),EXTRACTNUMBER(AI164)),"*"),SUM(EXTRACTNUMBER(C164),EXTRACTNUMBER(E164),
EXTRACTNUMBER(G164),EXTRACTNUMBER(I164),
EXTRACTNUMBER(K164),EXTRACTNUMBER(M164),
EXTRACTNUMBER(O164),EXTRACTNUMBER(Q164),
EXTRACTNUMBER(S164),EXTRACTNUMBER(U164),
EXTRACTNUMBER(W164),EXTRACTNUMBER(Y164),EXTRACTNUMBER(AA164),
EXTRACTNUMBER(AC164),EXTRACTNUMBER(AE164),EXTRACTNUMBER(AG164),EXTRACTNUMBER(AI164))))),SUM(EXTRACTNUMBER(C164),EXTRACTNUMBER(E164),
EXTRACTNUMBER(G164),EXTRACTNUMBER(I164),
EXTRACTNUMBER(K164),EXTRACTNUMBER(M164),
EXTRACTNUMBER(O164),EXTRACTNUMBER(Q164),
EXTRACTNUMBER(S164),EXTRACTNUMBER(U164),
EXTRACTNUMBER(W164),EXTRACTNUMBER(Y164),EXTRACTNUMBER(AA164),
EXTRACTNUMBER(AC164),EXTRACTNUMBER(AE164),EXTRACTNUMBER(AG164),EXTRACTNUMBER(AI164)))</f>
        <v>517</v>
      </c>
      <c r="AL164" s="72" t="s">
        <v>553</v>
      </c>
      <c r="AM164" s="11">
        <f t="shared" si="81"/>
        <v>1022</v>
      </c>
      <c r="AN164" s="11" t="str">
        <f t="shared" si="82"/>
        <v>PASS</v>
      </c>
      <c r="AO164" s="11" t="str">
        <f t="shared" si="83"/>
        <v>P</v>
      </c>
      <c r="AP164" s="1" t="str">
        <f t="shared" si="84"/>
        <v xml:space="preserve">One Thousand Twenty Two </v>
      </c>
    </row>
    <row r="165" spans="1:42" ht="15.95" customHeight="1">
      <c r="A165" s="75">
        <v>136364</v>
      </c>
      <c r="B165" s="60" t="s">
        <v>187</v>
      </c>
      <c r="C165" s="88" t="s">
        <v>311</v>
      </c>
      <c r="D165" s="78" t="s">
        <v>394</v>
      </c>
      <c r="E165" s="79" t="s">
        <v>197</v>
      </c>
      <c r="F165" s="78" t="s">
        <v>510</v>
      </c>
      <c r="G165" s="79" t="s">
        <v>212</v>
      </c>
      <c r="H165" s="78" t="s">
        <v>510</v>
      </c>
      <c r="I165" s="87" t="s">
        <v>311</v>
      </c>
      <c r="J165" s="78" t="s">
        <v>394</v>
      </c>
      <c r="K165" s="79" t="s">
        <v>213</v>
      </c>
      <c r="L165" s="78" t="s">
        <v>510</v>
      </c>
      <c r="M165" s="79" t="s">
        <v>213</v>
      </c>
      <c r="N165" s="78" t="s">
        <v>510</v>
      </c>
      <c r="O165" s="87" t="s">
        <v>311</v>
      </c>
      <c r="P165" s="78" t="s">
        <v>394</v>
      </c>
      <c r="Q165" s="79" t="s">
        <v>214</v>
      </c>
      <c r="R165" s="78" t="s">
        <v>510</v>
      </c>
      <c r="S165" s="79" t="s">
        <v>209</v>
      </c>
      <c r="T165" s="78" t="s">
        <v>510</v>
      </c>
      <c r="U165" s="87" t="s">
        <v>311</v>
      </c>
      <c r="V165" s="78" t="s">
        <v>394</v>
      </c>
      <c r="W165" s="79" t="s">
        <v>197</v>
      </c>
      <c r="X165" s="78" t="s">
        <v>510</v>
      </c>
      <c r="Y165" s="79" t="s">
        <v>201</v>
      </c>
      <c r="Z165" s="78" t="s">
        <v>510</v>
      </c>
      <c r="AA165" s="87" t="s">
        <v>311</v>
      </c>
      <c r="AB165" s="78" t="s">
        <v>394</v>
      </c>
      <c r="AC165" s="79" t="s">
        <v>201</v>
      </c>
      <c r="AD165" s="78" t="s">
        <v>510</v>
      </c>
      <c r="AE165" s="79">
        <v>20</v>
      </c>
      <c r="AF165" s="78" t="s">
        <v>510</v>
      </c>
      <c r="AG165" s="79" t="s">
        <v>197</v>
      </c>
      <c r="AH165" s="78" t="s">
        <v>510</v>
      </c>
      <c r="AI165" s="79" t="s">
        <v>197</v>
      </c>
      <c r="AJ165" s="78" t="s">
        <v>510</v>
      </c>
      <c r="AK165" s="80">
        <v>253</v>
      </c>
      <c r="AL165" s="81" t="s">
        <v>535</v>
      </c>
      <c r="AM165" s="80">
        <v>253</v>
      </c>
      <c r="AN165" s="57" t="s">
        <v>513</v>
      </c>
      <c r="AO165" s="93" t="s">
        <v>311</v>
      </c>
      <c r="AP165" s="58" t="s">
        <v>514</v>
      </c>
    </row>
    <row r="166" spans="1:42" ht="15.95" customHeight="1">
      <c r="A166" s="69">
        <v>136365</v>
      </c>
      <c r="B166" s="18" t="s">
        <v>188</v>
      </c>
      <c r="C166" s="24" t="s">
        <v>212</v>
      </c>
      <c r="D166" s="9" t="str">
        <f t="shared" ref="D166" si="85">IF(IFERROR(FIND("+",C166),0)," ",
IF(C166="AB","",
IF(C166&lt;$D$27,"F",
IF(AND(C166&gt;=$D$27,E166&gt;=$F$27,G166&gt;=$H$27,
I166&gt;=$J$27,K166&gt;=$L$27,
M166&gt;=$N$27,O166&gt;=$P$27,Q166&gt;=$R$27,S166&gt;=$T$27,U166&gt;=$V$27,
W166&gt;=$X$27,Y166&gt;=$Z$27,AA166&gt;=$AB$27,AC166&gt;=$AD$27,AE166&gt;=$AF$27,
AG166&gt;=$AH$27,AI166&gt;=$AJ$27,C166&lt;&gt;"AB",E166&lt;&gt;"AB",G166&lt;&gt;"AB",
I166&lt;&gt;"AB",K166&lt;&gt;"AB",
M166&lt;&gt;"AB",O166&lt;&gt;"AB",Q166&lt;&gt;"AB",S166&lt;&gt;"AB",U166&lt;&gt;"AB",
W166&lt;&gt;"AB",Y166&lt;&gt;"AB",AA166&lt;&gt;"AB",AC166&lt;&gt;"AB",AE166&lt;&gt;"AB",
AG166&lt;&gt;"AB",AH166&lt;&gt;"AB"),"","E"))))</f>
        <v xml:space="preserve"> </v>
      </c>
      <c r="E166" s="22" t="s">
        <v>201</v>
      </c>
      <c r="F166" s="9" t="str">
        <f t="shared" ref="F166" si="86">IF(IFERROR(FIND("+",E166),0)," ",
IF(E166="AB","",
IF(E166&lt;$F$27,"F",
IF(AND(C166&gt;=$D$27,E166&gt;=$F$27,G166&gt;=$H$27,
I166&gt;=$J$27,K166&gt;=$L$27,
M166&gt;=$N$27,O166&gt;=$P$27,Q166&gt;=$R$27,S166&gt;=$T$27,U166&gt;=$V$27,
W166&gt;=$X$27,Y166&gt;=$Z$27,AA166&gt;=$AB$27,AC166&gt;=$AD$27,AE166&gt;=$AF$27,
AG166&gt;=$AH$27,AI166&gt;=$AJ$27,C166&lt;&gt;"AB",E166&lt;&gt;"AB",G166&lt;&gt;"AB",
I166&lt;&gt;"AB",K166&lt;&gt;"AB",
M166&lt;&gt;"AB",O166&lt;&gt;"AB",Q166&lt;&gt;"AB",S166&lt;&gt;"AB",U166&lt;&gt;"AB",
W166&lt;&gt;"AB",Y166&lt;&gt;"AB",AA166&lt;&gt;"AB",AC166&lt;&gt;"AB",AE166&lt;&gt;"AB",
AG166&lt;&gt;"AB",AH166&lt;&gt;"AB"),"","E"))))</f>
        <v xml:space="preserve"> </v>
      </c>
      <c r="G166" s="22" t="s">
        <v>196</v>
      </c>
      <c r="H166" s="9" t="str">
        <f t="shared" ref="H166" si="87">IF(IFERROR(FIND("+",G166),0)," ",
IF(G166="AB","",
IF(G166&lt;$H$27,"F",
IF(AND(C166&gt;=$D$27,E166&gt;=$F$27,G166&gt;=$H$27,
I166&gt;=$J$27,K166&gt;=$L$27,
M166&gt;=$N$27,O166&gt;=$P$27,Q166&gt;=$R$27,S166&gt;=$T$27,U166&gt;=$V$27,
W166&gt;=$X$27,Y166&gt;=$Z$27,AA166&gt;=$AB$27,AC166&gt;=$AD$27,AE166&gt;=$AF$27,
AG166&gt;=$AH$27,AI166&gt;=$AJ$27,C166&lt;&gt;"AB",E166&lt;&gt;"AB",G166&lt;&gt;"AB",
I166&lt;&gt;"AB",K166&lt;&gt;"AB",
M166&lt;&gt;"AB",O166&lt;&gt;"AB",Q166&lt;&gt;"AB",S166&lt;&gt;"AB",U166&lt;&gt;"AB",
W166&lt;&gt;"AB",Y166&lt;&gt;"AB",AA166&lt;&gt;"AB",AC166&lt;&gt;"AB",AE166&lt;&gt;"AB",
AG166&lt;&gt;"AB",AH166&lt;&gt;"AB"),"","E"))))</f>
        <v xml:space="preserve"> </v>
      </c>
      <c r="I166" s="29">
        <v>40</v>
      </c>
      <c r="J166" s="9"/>
      <c r="K166" s="22" t="s">
        <v>197</v>
      </c>
      <c r="L166" s="9" t="str">
        <f t="shared" ref="L166" si="88">IF(IFERROR(FIND("+",K166),0)," ",
IF(K166="AB","",
IF(K166&lt;$L$27,"F",
IF(AND(C166&gt;=$D$27,E166&gt;=$F$27,G166&gt;=$H$27,
I166&gt;=$J$27,K166&gt;=$L$27,
M166&gt;=$N$27,O166&gt;=$P$27,Q166&gt;=$R$27,S166&gt;=$T$27,U166&gt;=$V$27,
W166&gt;=$X$27,Y166&gt;=$Z$27,AA166&gt;=$AB$27,AC166&gt;=$AD$27,AE166&gt;=$AF$27,
AG166&gt;=$AH$27,AI166&gt;=$AJ$27,C166&lt;&gt;"AB",E166&lt;&gt;"AB",G166&lt;&gt;"AB",
I166&lt;&gt;"AB",K166&lt;&gt;"AB",
M166&lt;&gt;"AB",O166&lt;&gt;"AB",Q166&lt;&gt;"AB",S166&lt;&gt;"AB",U166&lt;&gt;"AB",
W166&lt;&gt;"AB",Y166&lt;&gt;"AB",AA166&lt;&gt;"AB",AC166&lt;&gt;"AB",AE166&lt;&gt;"AB",
AG166&lt;&gt;"AB",AH166&lt;&gt;"AB"),"","E"))))</f>
        <v xml:space="preserve"> </v>
      </c>
      <c r="M166" s="22" t="s">
        <v>198</v>
      </c>
      <c r="N166" s="9" t="str">
        <f t="shared" ref="N166" si="89">IF(IFERROR(FIND("+",M166),0)," ",
IF(M166="AB","",
IF(M166&lt;$N$27,"F",
IF(AND(C166&gt;=$D$27,E166&gt;=$F$27,G166&gt;=$H$27,
I166&gt;=$J$27,K166&gt;=$L$27,
M166&gt;=$N$27,O166&gt;=$P$27,Q166&gt;=$R$27,S166&gt;=$T$27,U166&gt;=$V$27,
W166&gt;=$X$27,Y166&gt;=$Z$27,AA166&gt;=$AB$27,AC166&gt;=$AD$27,AE166&gt;=$AF$27,
AG166&gt;=$AH$27,AI166&gt;=$AJ$27,C166&lt;&gt;"AB",E166&lt;&gt;"AB",G166&lt;&gt;"AB",
I166&lt;&gt;"AB",K166&lt;&gt;"AB",
M166&lt;&gt;"AB",O166&lt;&gt;"AB",Q166&lt;&gt;"AB",S166&lt;&gt;"AB",U166&lt;&gt;"AB",
W166&lt;&gt;"AB",Y166&lt;&gt;"AB",AA166&lt;&gt;"AB",AC166&lt;&gt;"AB",AE166&lt;&gt;"AB",
AG166&lt;&gt;"AB",AH166&lt;&gt;"AB"),"","E"))))</f>
        <v xml:space="preserve"> </v>
      </c>
      <c r="O166" s="29" t="s">
        <v>216</v>
      </c>
      <c r="P166" s="9" t="str">
        <f t="shared" ref="P166" si="90">IF(IFERROR(FIND("+",O166),0)," ",
IF(O166="AB","",
IF(O166&lt;$P$27,"F",
IF(AND(C166&gt;=$D$27,E166&gt;=$F$27,G166&gt;=$H$27,
I166&gt;=$J$27,K166&gt;=$L$27,
M166&gt;=$N$27,O166&gt;=$P$27,Q166&gt;=$R$27,S166&gt;=$T$27,U166&gt;=$V$27,
W166&gt;=$X$27,Y166&gt;=$Z$27,AA166&gt;=$AB$27,AC166&gt;=$AD$27,AE166&gt;=$AF$27,
AG166&gt;=$AH$27,AI166&gt;=$AJ$27,C166&lt;&gt;"AB",E166&lt;&gt;"AB",G166&lt;&gt;"AB",
I166&lt;&gt;"AB",K166&lt;&gt;"AB",
M166&lt;&gt;"AB",O166&lt;&gt;"AB",Q166&lt;&gt;"AB",S166&lt;&gt;"AB",U166&lt;&gt;"AB",
W166&lt;&gt;"AB",Y166&lt;&gt;"AB",AA166&lt;&gt;"AB",AC166&lt;&gt;"AB",AE166&lt;&gt;"AB",
AG166&lt;&gt;"AB",AH166&lt;&gt;"AB"),"","E"))))</f>
        <v xml:space="preserve"> </v>
      </c>
      <c r="Q166" s="22" t="s">
        <v>201</v>
      </c>
      <c r="R166" s="9" t="str">
        <f t="shared" ref="R166" si="91">IF(IFERROR(FIND("+",Q166),0)," ",
IF(Q166="AB","",
IF(Q166&lt;$R$27,"F",
IF(AND(C166&gt;=$D$27,E166&gt;=$F$27,G166&gt;=$H$27,
I166&gt;=$J$27,K166&gt;=$L$27,
M166&gt;=$N$27,O166&gt;=$P$27,Q166&gt;=$R$27,S166&gt;=$T$27,U166&gt;=$V$27,
W166&gt;=$X$27,Y166&gt;=$Z$27,AA166&gt;=$AB$27,AC166&gt;=$AD$27,AE166&gt;=$AF$27,
AG166&gt;=$AH$27,AI166&gt;=$AJ$27,C166&lt;&gt;"AB",E166&lt;&gt;"AB",G166&lt;&gt;"AB",
I166&lt;&gt;"AB",K166&lt;&gt;"AB",
M166&lt;&gt;"AB",O166&lt;&gt;"AB",Q166&lt;&gt;"AB",S166&lt;&gt;"AB",U166&lt;&gt;"AB",
W166&lt;&gt;"AB",Y166&lt;&gt;"AB",AA166&lt;&gt;"AB",AC166&lt;&gt;"AB",AE166&lt;&gt;"AB",
AG166&lt;&gt;"AB",AH166&lt;&gt;"AB"),"","E"))))</f>
        <v xml:space="preserve"> </v>
      </c>
      <c r="S166" s="22" t="s">
        <v>209</v>
      </c>
      <c r="T166" s="9" t="str">
        <f t="shared" ref="T166" si="92">IF(IFERROR(FIND("+",S166),0)," ",
IF(S166="AB","",
IF(S166&lt;$T$27,"F",
IF(AND(C166&gt;=$D$27,E166&gt;=$F$27,G166&gt;=$H$27,
I166&gt;=$J$27,K166&gt;=$L$27,
M166&gt;=$N$27,O166&gt;=$P$27,Q166&gt;=$R$27,S166&gt;=$T$27,U166&gt;=$V$27,
W166&gt;=$X$27,Y166&gt;=$Z$27,AA166&gt;=$AB$27,AC166&gt;=$AD$27,AE166&gt;=$AF$27,
AG166&gt;=$AH$27,AI166&gt;=$AJ$27,C166&lt;&gt;"AB",E166&lt;&gt;"AB",G166&lt;&gt;"AB",
I166&lt;&gt;"AB",K166&lt;&gt;"AB",
M166&lt;&gt;"AB",O166&lt;&gt;"AB",Q166&lt;&gt;"AB",S166&lt;&gt;"AB",U166&lt;&gt;"AB",
W166&lt;&gt;"AB",Y166&lt;&gt;"AB",AA166&lt;&gt;"AB",AC166&lt;&gt;"AB",AE166&lt;&gt;"AB",
AG166&lt;&gt;"AB",AH166&lt;&gt;"AB"),"","E"))))</f>
        <v xml:space="preserve"> </v>
      </c>
      <c r="U166" s="29">
        <v>41</v>
      </c>
      <c r="V166" s="9"/>
      <c r="W166" s="22" t="s">
        <v>201</v>
      </c>
      <c r="X166" s="9" t="str">
        <f t="shared" ref="X166" si="93">IF(IFERROR(FIND("+",W166),0)," ",
IF(W166="AB","",
IF(W166&lt;$X$27,"F",
IF(AND(C166&gt;=$D$27,E166&gt;=$F$27,G166&gt;=$H$27,
I166&gt;=$J$27,K166&gt;=$L$27,
M166&gt;=$N$27,O166&gt;=$P$27,Q166&gt;=$R$27,S166&gt;=$T$27,U166&gt;=$V$27,
W166&gt;=$X$27,Y166&gt;=$Z$27,AA166&gt;=$AB$27,AC166&gt;=$AD$27,AE166&gt;=$AF$27,
AG166&gt;=$AH$27,AI166&gt;=$AJ$27,C166&lt;&gt;"AB",E166&lt;&gt;"AB",G166&lt;&gt;"AB",
I166&lt;&gt;"AB",K166&lt;&gt;"AB",
M166&lt;&gt;"AB",O166&lt;&gt;"AB",Q166&lt;&gt;"AB",S166&lt;&gt;"AB",U166&lt;&gt;"AB",
W166&lt;&gt;"AB",Y166&lt;&gt;"AB",AA166&lt;&gt;"AB",AC166&lt;&gt;"AB",AE166&lt;&gt;"AB",
AG166&lt;&gt;"AB",AH166&lt;&gt;"AB"),"","E"))))</f>
        <v xml:space="preserve"> </v>
      </c>
      <c r="Y166" s="22" t="s">
        <v>199</v>
      </c>
      <c r="Z166" s="9" t="str">
        <f t="shared" ref="Z166" si="94">IF(IFERROR(FIND("+",Y166),0)," ",
IF(Y166="AB","",
IF(Y166&lt;$Z$27,"F",
IF(AND(C166&gt;=$D$27,E166&gt;=$F$27,G166&gt;=$H$27,
I166&gt;=$J$27,K166&gt;=$L$27,
M166&gt;=$N$27,O166&gt;=$P$27,Q166&gt;=$R$27,S166&gt;=$T$27,U166&gt;=$V$27,
W166&gt;=$X$27,Y166&gt;=$Z$27,AA166&gt;=$AB$27,AC166&gt;=$AD$27,AE166&gt;=$AF$27,
AG166&gt;=$AH$27,AI166&gt;=$AJ$27,C166&lt;&gt;"AB",E166&lt;&gt;"AB",G166&lt;&gt;"AB",
I166&lt;&gt;"AB",K166&lt;&gt;"AB",
M166&lt;&gt;"AB",O166&lt;&gt;"AB",Q166&lt;&gt;"AB",S166&lt;&gt;"AB",U166&lt;&gt;"AB",
W166&lt;&gt;"AB",Y166&lt;&gt;"AB",AA166&lt;&gt;"AB",AC166&lt;&gt;"AB",AE166&lt;&gt;"AB",
AG166&lt;&gt;"AB",AH166&lt;&gt;"AB"),"","E"))))</f>
        <v xml:space="preserve"> </v>
      </c>
      <c r="AA166" s="29" t="s">
        <v>202</v>
      </c>
      <c r="AB166" s="9" t="str">
        <f t="shared" ref="AB166" si="95">IF(IFERROR(FIND("+",AA166),0)," ",
IF(AA166="AB","",
IF(AA166&lt;$AB$27,"F",
IF(AND(C166&gt;=$D$27,E166&gt;=$F$27,G166&gt;=$H$27,
I166&gt;=$J$27,K166&gt;=$L$27,
M166&gt;=$N$27,O166&gt;=$P$27,Q166&gt;=$R$27,S166&gt;=$T$27,U166&gt;=$V$27,
W166&gt;=$X$27,Y166&gt;=$Z$27,AA166&gt;=$AB$27,AC166&gt;=$AD$27,AE166&gt;=$AF$27,
AG166&gt;=$AH$27,AI166&gt;=$AJ$27,C166&lt;&gt;"AB",E166&lt;&gt;"AB",G166&lt;&gt;"AB",
I166&lt;&gt;"AB",K166&lt;&gt;"AB",
M166&lt;&gt;"AB",O166&lt;&gt;"AB",Q166&lt;&gt;"AB",S166&lt;&gt;"AB",U166&lt;&gt;"AB",
W166&lt;&gt;"AB",Y166&lt;&gt;"AB",AA166&lt;&gt;"AB",AC166&lt;&gt;"AB",AE166&lt;&gt;"AB",
AG166&lt;&gt;"AB",AH166&lt;&gt;"AB"),"","E"))))</f>
        <v xml:space="preserve"> </v>
      </c>
      <c r="AC166" s="22" t="s">
        <v>201</v>
      </c>
      <c r="AD166" s="9" t="str">
        <f t="shared" ref="AD166" si="96">IF(IFERROR(FIND("+",AC166),0)," ",
IF(AC166="AB","",
IF(AC166&lt;$AD$27,"F",
IF(AND(C166&gt;=$D$27,E166&gt;=$F$27,G166&gt;=$H$27,
I166&gt;=$J$27,K166&gt;=$L$27,
M166&gt;=$N$27,O166&gt;=$P$27,Q166&gt;=$R$27,S166&gt;=$T$27,U166&gt;=$V$27,
W166&gt;=$X$27,Y166&gt;=$Z$27,AA166&gt;=$AB$27,AC166&gt;=$AD$27,AE166&gt;=$AF$27,
AG166&gt;=$AH$27,AI166&gt;=$AJ$27,C166&lt;&gt;"AB",E166&lt;&gt;"AB",G166&lt;&gt;"AB",
I166&lt;&gt;"AB",K166&lt;&gt;"AB",
M166&lt;&gt;"AB",O166&lt;&gt;"AB",Q166&lt;&gt;"AB",S166&lt;&gt;"AB",U166&lt;&gt;"AB",
W166&lt;&gt;"AB",Y166&lt;&gt;"AB",AA166&lt;&gt;"AB",AC166&lt;&gt;"AB",AE166&lt;&gt;"AB",
AG166&lt;&gt;"AB",AH166&lt;&gt;"AB"),"","E"))))</f>
        <v xml:space="preserve"> </v>
      </c>
      <c r="AE166" s="22" t="s">
        <v>197</v>
      </c>
      <c r="AF166" s="9" t="str">
        <f t="shared" ref="AF166" si="97">IF(IFERROR(FIND("+",AE166),0)," ",
IF(AE166="AB","",
IF(AE166&lt;$AF$27,"F",
IF(AND(C166&gt;=$D$27,E166&gt;=$F$27,G166&gt;=$H$27,
I166&gt;=$J$27,K166&gt;=$L$27,
M166&gt;=$N$27,O166&gt;=$P$27,Q166&gt;=$R$27,S166&gt;=$T$27,U166&gt;=$V$27,
W166&gt;=$X$27,Y166&gt;=$Z$27,AA166&gt;=$AB$27,AC166&gt;=$AD$27,AE166&gt;=$AF$27,
AG166&gt;=$AH$27,AI166&gt;=$AJ$27,C166&lt;&gt;"AB",E166&lt;&gt;"AB",G166&lt;&gt;"AB",
I166&lt;&gt;"AB",K166&lt;&gt;"AB",
M166&lt;&gt;"AB",O166&lt;&gt;"AB",Q166&lt;&gt;"AB",S166&lt;&gt;"AB",U166&lt;&gt;"AB",
W166&lt;&gt;"AB",Y166&lt;&gt;"AB",AA166&lt;&gt;"AB",AC166&lt;&gt;"AB",AE166&lt;&gt;"AB",
AG166&lt;&gt;"AB",AH166&lt;&gt;"AB"),"","E"))))</f>
        <v xml:space="preserve"> </v>
      </c>
      <c r="AG166" s="22" t="s">
        <v>195</v>
      </c>
      <c r="AH166" s="9" t="str">
        <f t="shared" ref="AH166" si="98">IF(IFERROR(FIND("+",AG166),0)," ",
IF(AG166="AB","",
IF(AG166&lt;$AH$27,"F",
IF(AND(C166&gt;=$D$27,E166&gt;=$F$27,G166&gt;=$H$27,
I166&gt;=$J$27,K166&gt;=$L$27,
M166&gt;=$N$27,O166&gt;=$P$27,Q166&gt;=$R$27,S166&gt;=$T$27,U166&gt;=$V$27,
W166&gt;=$X$27,Y166&gt;=$Z$27,AA166&gt;=$AB$27,AC166&gt;=$AD$27,AE166&gt;=$AF$27,
AG166&gt;=$AH$27,AI166&gt;=$AJ$27,C166&lt;&gt;"AB",E166&lt;&gt;"AB",G166&lt;&gt;"AB",
I166&lt;&gt;"AB",K166&lt;&gt;"AB",
M166&lt;&gt;"AB",O166&lt;&gt;"AB",Q166&lt;&gt;"AB",S166&lt;&gt;"AB",U166&lt;&gt;"AB",
W166&lt;&gt;"AB",Y166&lt;&gt;"AB",AA166&lt;&gt;"AB",AC166&lt;&gt;"AB",AE166&lt;&gt;"AB",
AG166&lt;&gt;"AB",AI166&lt;&gt;"AB"),"","E"))))</f>
        <v xml:space="preserve"> </v>
      </c>
      <c r="AI166" s="22" t="s">
        <v>199</v>
      </c>
      <c r="AJ166" s="9" t="str">
        <f t="shared" ref="AJ166" si="99">IF(IFERROR(FIND("+",AI166),0)," ",
IF(AI166="AB","",
IF(AI166&lt;$AJ$27,"F",
IF(AND(C166&gt;=$D$27,E166&gt;=$F$27,G166&gt;=$H$27,
I166&gt;=$J$27,K166&gt;=$L$27,
M166&gt;=$N$27,O166&gt;=$P$27,Q166&gt;=$R$27,S166&gt;=$T$27,U166&gt;=$V$27,
W166&gt;=$X$27,Y166&gt;=$Z$27,AA166&gt;=$AB$27,AC166&gt;=$AD$27,AE166&gt;=$AF$27,
AG166&gt;=$AH$27,AI166&gt;=$AJ$27,C166&lt;&gt;"AB",E166&lt;&gt;"AB",G166&lt;&gt;"AB",
I166&lt;&gt;"AB",K166&lt;&gt;"AB",
M166&lt;&gt;"AB",O166&lt;&gt;"AB",Q166&lt;&gt;"AB",S166&lt;&gt;"AB",U166&lt;&gt;"AB",
W166&lt;&gt;"AB",Y166&lt;&gt;"AB",AA166&lt;&gt;"AB",AC166&lt;&gt;"AB",AE166&lt;&gt;"AB",
AG166&lt;&gt;"AB",AH166&lt;&gt;"AB"),"","E"))))</f>
        <v xml:space="preserve"> </v>
      </c>
      <c r="AK166" s="16">
        <f>IF(OR(AND(C166&gt;=31,C166&lt;40),AND(I166&gt;=31,I166&lt;40),AND(O166&gt;=31,O166&lt;40),AND(U166&gt;=31,U166&lt;40),AND(AA166&gt;=31,AA166&lt;40)),IF(AND(OR(COUNTIF(C166:AJ166,"=31")&gt;=1,COUNTIF(C166:AJ166,"=32")&gt;=1,COUNTIF(C166:AJ166,"=33")&gt;=1,COUNTIF(C166:AJ166,"=34")&gt;=1,COUNTIF(C166:AJ166,"=35")&gt;=1,COUNTIF(C166:AJ166,"=36")&gt;=1 ),COUNTIF(C166:AJ166,"")=0,COUNTIF(C166:AJ166," ")=0,COUNTIF(C166:AJ166,"F")=1),CONCATENATE(SUM(EXTRACTNUMBER(C166),EXTRACTNUMBER(E166),
EXTRACTNUMBER(G166),EXTRACTNUMBER(I166),
EXTRACTNUMBER(K166),EXTRACTNUMBER(M166),
EXTRACTNUMBER(O166),EXTRACTNUMBER(Q166),
EXTRACTNUMBER(S166),EXTRACTNUMBER(U166),
EXTRACTNUMBER(W166),EXTRACTNUMBER(Y166),EXTRACTNUMBER(AA166),
EXTRACTNUMBER(AC166),EXTRACTNUMBER(AE166),EXTRACTNUMBER(AG166),EXTRACTNUMBER(AI166)),"*"),IF(AND(COUNTIF(C166:AJ166,"=34")&gt;=1,COUNTIF(C166:AJ166,"=35")&gt;=1,COUNTIF(C166:AJ166,"f")=2,COUNTIF(C166:AJ166,"")=0,COUNTIF(C166:AJ166," ")=0),CONCATENATE(SUM(EXTRACTNUMBER(C166),EXTRACTNUMBER(E166),
EXTRACTNUMBER(G166),EXTRACTNUMBER(I166),
EXTRACTNUMBER(K166),EXTRACTNUMBER(M166),
EXTRACTNUMBER(O166),EXTRACTNUMBER(Q166),
EXTRACTNUMBER(S166),EXTRACTNUMBER(U166),
EXTRACTNUMBER(W166),EXTRACTNUMBER(Y166),EXTRACTNUMBER(AA166),
EXTRACTNUMBER(AC166),EXTRACTNUMBER(AE166),EXTRACTNUMBER(AG166),EXTRACTNUMBER(AI166)),"*"),IF(AND(COUNTIF(C166:AJ166,"=36")&gt;=2,COUNTIF(C166:AJ166,"f")=2,COUNTIF(C166:AJ166,"")=0,COUNTIF(C166:AJ166," ")=0),CONCATENATE(SUM(EXTRACTNUMBER(C166),EXTRACTNUMBER(E166),
EXTRACTNUMBER(G166),EXTRACTNUMBER(I166),
EXTRACTNUMBER(K166),EXTRACTNUMBER(M166),
EXTRACTNUMBER(O166),EXTRACTNUMBER(Q166),
EXTRACTNUMBER(S166),EXTRACTNUMBER(U166),
EXTRACTNUMBER(W166),EXTRACTNUMBER(Y166),EXTRACTNUMBER(AA166),
EXTRACTNUMBER(AC166),EXTRACTNUMBER(AE166),EXTRACTNUMBER(AG166),EXTRACTNUMBER(AI166)),"*"),SUM(EXTRACTNUMBER(C166),EXTRACTNUMBER(E166),
EXTRACTNUMBER(G166),EXTRACTNUMBER(I166),
EXTRACTNUMBER(K166),EXTRACTNUMBER(M166),
EXTRACTNUMBER(O166),EXTRACTNUMBER(Q166),
EXTRACTNUMBER(S166),EXTRACTNUMBER(U166),
EXTRACTNUMBER(W166),EXTRACTNUMBER(Y166),EXTRACTNUMBER(AA166),
EXTRACTNUMBER(AC166),EXTRACTNUMBER(AE166),EXTRACTNUMBER(AG166),EXTRACTNUMBER(AI166))))),SUM(EXTRACTNUMBER(C166),EXTRACTNUMBER(E166),
EXTRACTNUMBER(G166),EXTRACTNUMBER(I166),
EXTRACTNUMBER(K166),EXTRACTNUMBER(M166),
EXTRACTNUMBER(O166),EXTRACTNUMBER(Q166),
EXTRACTNUMBER(S166),EXTRACTNUMBER(U166),
EXTRACTNUMBER(W166),EXTRACTNUMBER(Y166),EXTRACTNUMBER(AA166),
EXTRACTNUMBER(AC166),EXTRACTNUMBER(AE166),EXTRACTNUMBER(AG166),EXTRACTNUMBER(AI166)))</f>
        <v>496</v>
      </c>
      <c r="AL166" s="72" t="s">
        <v>539</v>
      </c>
      <c r="AM166" s="11">
        <f t="shared" ref="AM166" si="100">IF(IFERROR(FIND("x",AL166),0),SUM(EXTRACTNUMBER(AK166),EXTRACTNUMBER(AL166)),IF(AND(SUM(EXTRACTNUMBER(AK166),EXTRACTNUMBER(AL166))&gt;1009,        SUM(EXTRACTNUMBER(AK166),EXTRACTNUMBER(AL166))&lt;1020),
CONCATENATE(SUM(EXTRACTNUMBER(AK166),EXTRACTNUMBER(AL166)),"@",1020-SUM(EXTRACTNUMBER(AK166),EXTRACTNUMBER(AL166))),
IF(AND(SUM(EXTRACTNUMBER(AK166),EXTRACTNUMBER(AL166))&gt;839,   SUM(EXTRACTNUMBER(AK166),EXTRACTNUMBER(AL166))&lt;850),CONCATENATE(SUM(EXTRACTNUMBER(AK166),EXTRACTNUMBER(AL166)),"@",850-SUM(EXTRACTNUMBER(AK166),EXTRACTNUMBER(AL166))),
IF(AND(SUM(EXTRACTNUMBER(AK166),EXTRACTNUMBER(AL166))&gt;669,        SUM(EXTRACTNUMBER(AK166),EXTRACTNUMBER(AL166))&lt;680),
CONCATENATE(SUM(EXTRACTNUMBER(AK166),EXTRACTNUMBER(AL166)),"@",680-SUM(EXTRACTNUMBER(AK166),EXTRACTNUMBER(AL166))),
SUM(EXTRACTNUMBER(AK166),EXTRACTNUMBER(AL166))))))</f>
        <v>990</v>
      </c>
      <c r="AN166" s="11" t="str">
        <f t="shared" ref="AN166" si="101">IF(AND(COUNTIF(C166:AJ166,"AB")&lt;17-COUNTIF(C166:AJ166," "),
COUNTIF(C166:AJ166,"AB")&lt;&gt;0),"FAIL",
IF(COUNTIF(C166:AJ166,"AB")=17-COUNTIF(C166:AJ166," "),"ABSENT",
IF(AND(COUNTIF(C166:AJ166,"AB")=0,COUNTIF(C166:AJ166,"F")=0),"PASS","FAIL")))</f>
        <v>PASS</v>
      </c>
      <c r="AO166" s="86" t="str">
        <f t="shared" ref="AO166" si="102">IF(AN166="ABSENT","AB",IF(AN166="FAIL","--",
IF(AL166=0,"RS 5",
IF(AND(SUM(EXTRACTNUMBER(AK166),EXTRACTNUMBER(AL166))&gt;=1010,
        NOT(IFERROR(FIND("x",AK166),0)),
        NOT(IFERROR(FIND("x",AL166),0))),"I",
IF(AND(SUM(EXTRACTNUMBER(AK166),EXTRACTNUMBER(AL166))&gt;=850,
      SUM(EXTRACTNUMBER(AK166),EXTRACTNUMBER(AL166))&lt;1010,
      NOT(IFERROR(FIND("x",AK166),0)),
      NOT(IFERROR(FIND("x",AL166),0))),"II",
IF(OR(AND(SUM(EXTRACTNUMBER(AK166),EXTRACTNUMBER(AL166))&lt;850,
SUM(EXTRACTNUMBER(AK166),EXTRACTNUMBER(AL166))&gt;=670),
IFERROR(FIND("x",AK166),0),IFERROR(FIND("x",AL166),0)),"P","--"))))))</f>
        <v>P</v>
      </c>
      <c r="AP166" s="1" t="str">
        <f t="shared" ref="AP166" si="103">spellnumber(AM166)</f>
        <v xml:space="preserve">Nine Hundred Ninety </v>
      </c>
    </row>
    <row r="167" spans="1:42" ht="15.95" customHeight="1">
      <c r="A167" s="75" t="s">
        <v>572</v>
      </c>
      <c r="B167" s="59" t="s">
        <v>189</v>
      </c>
      <c r="C167" s="77">
        <v>52</v>
      </c>
      <c r="D167" s="78" t="s">
        <v>398</v>
      </c>
      <c r="E167" s="79" t="s">
        <v>201</v>
      </c>
      <c r="F167" s="78" t="s">
        <v>510</v>
      </c>
      <c r="G167" s="79" t="s">
        <v>202</v>
      </c>
      <c r="H167" s="78" t="s">
        <v>510</v>
      </c>
      <c r="I167" s="79">
        <v>40</v>
      </c>
      <c r="J167" s="78" t="s">
        <v>398</v>
      </c>
      <c r="K167" s="79" t="s">
        <v>201</v>
      </c>
      <c r="L167" s="78" t="s">
        <v>510</v>
      </c>
      <c r="M167" s="79" t="s">
        <v>198</v>
      </c>
      <c r="N167" s="78" t="s">
        <v>510</v>
      </c>
      <c r="O167" s="79">
        <v>32</v>
      </c>
      <c r="P167" s="78" t="s">
        <v>397</v>
      </c>
      <c r="Q167" s="79" t="s">
        <v>201</v>
      </c>
      <c r="R167" s="78" t="s">
        <v>510</v>
      </c>
      <c r="S167" s="79" t="s">
        <v>202</v>
      </c>
      <c r="T167" s="78" t="s">
        <v>510</v>
      </c>
      <c r="U167" s="79">
        <v>44</v>
      </c>
      <c r="V167" s="78" t="s">
        <v>398</v>
      </c>
      <c r="W167" s="79" t="s">
        <v>201</v>
      </c>
      <c r="X167" s="78" t="s">
        <v>510</v>
      </c>
      <c r="Y167" s="79" t="s">
        <v>195</v>
      </c>
      <c r="Z167" s="78" t="s">
        <v>510</v>
      </c>
      <c r="AA167" s="79" t="s">
        <v>196</v>
      </c>
      <c r="AB167" s="78" t="s">
        <v>510</v>
      </c>
      <c r="AC167" s="79" t="s">
        <v>217</v>
      </c>
      <c r="AD167" s="78" t="s">
        <v>510</v>
      </c>
      <c r="AE167" s="79">
        <v>20</v>
      </c>
      <c r="AF167" s="78" t="s">
        <v>510</v>
      </c>
      <c r="AG167" s="79" t="s">
        <v>195</v>
      </c>
      <c r="AH167" s="78" t="s">
        <v>510</v>
      </c>
      <c r="AI167" s="79" t="s">
        <v>199</v>
      </c>
      <c r="AJ167" s="78" t="s">
        <v>510</v>
      </c>
      <c r="AK167" s="80">
        <v>480</v>
      </c>
      <c r="AL167" s="81" t="s">
        <v>535</v>
      </c>
      <c r="AM167" s="80">
        <v>480</v>
      </c>
      <c r="AN167" s="57" t="s">
        <v>399</v>
      </c>
      <c r="AO167" s="93" t="s">
        <v>400</v>
      </c>
      <c r="AP167" s="58" t="s">
        <v>512</v>
      </c>
    </row>
    <row r="168" spans="1:42" ht="15.95" customHeight="1">
      <c r="A168" s="75">
        <v>136367</v>
      </c>
      <c r="B168" s="59" t="s">
        <v>190</v>
      </c>
      <c r="C168" s="77" t="s">
        <v>205</v>
      </c>
      <c r="D168" s="78" t="s">
        <v>510</v>
      </c>
      <c r="E168" s="79" t="s">
        <v>203</v>
      </c>
      <c r="F168" s="78" t="s">
        <v>510</v>
      </c>
      <c r="G168" s="79" t="s">
        <v>200</v>
      </c>
      <c r="H168" s="78" t="s">
        <v>510</v>
      </c>
      <c r="I168" s="79">
        <v>35</v>
      </c>
      <c r="J168" s="78" t="s">
        <v>397</v>
      </c>
      <c r="K168" s="79" t="s">
        <v>217</v>
      </c>
      <c r="L168" s="78" t="s">
        <v>510</v>
      </c>
      <c r="M168" s="79" t="s">
        <v>197</v>
      </c>
      <c r="N168" s="78" t="s">
        <v>510</v>
      </c>
      <c r="O168" s="79" t="s">
        <v>202</v>
      </c>
      <c r="P168" s="78" t="s">
        <v>510</v>
      </c>
      <c r="Q168" s="79" t="s">
        <v>203</v>
      </c>
      <c r="R168" s="78" t="s">
        <v>510</v>
      </c>
      <c r="S168" s="79" t="s">
        <v>209</v>
      </c>
      <c r="T168" s="78" t="s">
        <v>510</v>
      </c>
      <c r="U168" s="79" t="s">
        <v>212</v>
      </c>
      <c r="V168" s="78" t="s">
        <v>510</v>
      </c>
      <c r="W168" s="79" t="s">
        <v>203</v>
      </c>
      <c r="X168" s="78" t="s">
        <v>510</v>
      </c>
      <c r="Y168" s="79" t="s">
        <v>197</v>
      </c>
      <c r="Z168" s="78" t="s">
        <v>510</v>
      </c>
      <c r="AA168" s="79" t="s">
        <v>218</v>
      </c>
      <c r="AB168" s="78" t="s">
        <v>510</v>
      </c>
      <c r="AC168" s="79" t="s">
        <v>203</v>
      </c>
      <c r="AD168" s="78" t="s">
        <v>510</v>
      </c>
      <c r="AE168" s="79">
        <v>20</v>
      </c>
      <c r="AF168" s="78" t="s">
        <v>510</v>
      </c>
      <c r="AG168" s="79" t="s">
        <v>217</v>
      </c>
      <c r="AH168" s="78" t="s">
        <v>510</v>
      </c>
      <c r="AI168" s="79" t="s">
        <v>203</v>
      </c>
      <c r="AJ168" s="78" t="s">
        <v>510</v>
      </c>
      <c r="AK168" s="80">
        <v>505</v>
      </c>
      <c r="AL168" s="81" t="s">
        <v>535</v>
      </c>
      <c r="AM168" s="80">
        <v>505</v>
      </c>
      <c r="AN168" s="57" t="s">
        <v>399</v>
      </c>
      <c r="AO168" s="93" t="s">
        <v>400</v>
      </c>
      <c r="AP168" s="58" t="s">
        <v>515</v>
      </c>
    </row>
    <row r="169" spans="1:42" ht="15.95" customHeight="1">
      <c r="A169" s="75">
        <v>136368</v>
      </c>
      <c r="B169" s="59" t="s">
        <v>191</v>
      </c>
      <c r="C169" s="77">
        <v>40</v>
      </c>
      <c r="D169" s="78" t="s">
        <v>394</v>
      </c>
      <c r="E169" s="79" t="s">
        <v>201</v>
      </c>
      <c r="F169" s="78" t="s">
        <v>510</v>
      </c>
      <c r="G169" s="79" t="s">
        <v>219</v>
      </c>
      <c r="H169" s="78" t="s">
        <v>510</v>
      </c>
      <c r="I169" s="79" t="s">
        <v>202</v>
      </c>
      <c r="J169" s="78" t="s">
        <v>510</v>
      </c>
      <c r="K169" s="79" t="s">
        <v>201</v>
      </c>
      <c r="L169" s="78" t="s">
        <v>510</v>
      </c>
      <c r="M169" s="79" t="s">
        <v>198</v>
      </c>
      <c r="N169" s="78" t="s">
        <v>510</v>
      </c>
      <c r="O169" s="79" t="s">
        <v>220</v>
      </c>
      <c r="P169" s="78" t="s">
        <v>510</v>
      </c>
      <c r="Q169" s="79" t="s">
        <v>201</v>
      </c>
      <c r="R169" s="78" t="s">
        <v>510</v>
      </c>
      <c r="S169" s="79" t="s">
        <v>209</v>
      </c>
      <c r="T169" s="78" t="s">
        <v>510</v>
      </c>
      <c r="U169" s="79" t="s">
        <v>221</v>
      </c>
      <c r="V169" s="78" t="s">
        <v>510</v>
      </c>
      <c r="W169" s="79" t="s">
        <v>201</v>
      </c>
      <c r="X169" s="78" t="s">
        <v>510</v>
      </c>
      <c r="Y169" s="79" t="s">
        <v>201</v>
      </c>
      <c r="Z169" s="78" t="s">
        <v>510</v>
      </c>
      <c r="AA169" s="79" t="s">
        <v>222</v>
      </c>
      <c r="AB169" s="78" t="s">
        <v>510</v>
      </c>
      <c r="AC169" s="79" t="s">
        <v>201</v>
      </c>
      <c r="AD169" s="78" t="s">
        <v>510</v>
      </c>
      <c r="AE169" s="79" t="s">
        <v>197</v>
      </c>
      <c r="AF169" s="78" t="s">
        <v>510</v>
      </c>
      <c r="AG169" s="79" t="s">
        <v>195</v>
      </c>
      <c r="AH169" s="78" t="s">
        <v>510</v>
      </c>
      <c r="AI169" s="79" t="s">
        <v>199</v>
      </c>
      <c r="AJ169" s="78" t="s">
        <v>510</v>
      </c>
      <c r="AK169" s="80">
        <v>489</v>
      </c>
      <c r="AL169" s="81" t="s">
        <v>550</v>
      </c>
      <c r="AM169" s="80">
        <v>966</v>
      </c>
      <c r="AN169" s="57" t="s">
        <v>395</v>
      </c>
      <c r="AO169" s="93" t="s">
        <v>516</v>
      </c>
      <c r="AP169" s="58" t="s">
        <v>551</v>
      </c>
    </row>
    <row r="170" spans="1:42" ht="15.95" customHeight="1">
      <c r="A170" s="75">
        <v>136369</v>
      </c>
      <c r="B170" s="59" t="s">
        <v>192</v>
      </c>
      <c r="C170" s="77">
        <v>45</v>
      </c>
      <c r="D170" s="78" t="s">
        <v>394</v>
      </c>
      <c r="E170" s="79" t="s">
        <v>217</v>
      </c>
      <c r="F170" s="78" t="s">
        <v>510</v>
      </c>
      <c r="G170" s="79" t="s">
        <v>212</v>
      </c>
      <c r="H170" s="78" t="s">
        <v>510</v>
      </c>
      <c r="I170" s="79">
        <v>43</v>
      </c>
      <c r="J170" s="78" t="s">
        <v>394</v>
      </c>
      <c r="K170" s="79" t="s">
        <v>217</v>
      </c>
      <c r="L170" s="78" t="s">
        <v>510</v>
      </c>
      <c r="M170" s="79" t="s">
        <v>197</v>
      </c>
      <c r="N170" s="78" t="s">
        <v>510</v>
      </c>
      <c r="O170" s="79">
        <v>42</v>
      </c>
      <c r="P170" s="78" t="s">
        <v>394</v>
      </c>
      <c r="Q170" s="79" t="s">
        <v>197</v>
      </c>
      <c r="R170" s="78" t="s">
        <v>510</v>
      </c>
      <c r="S170" s="79" t="s">
        <v>209</v>
      </c>
      <c r="T170" s="78" t="s">
        <v>510</v>
      </c>
      <c r="U170" s="79">
        <v>40</v>
      </c>
      <c r="V170" s="78" t="s">
        <v>394</v>
      </c>
      <c r="W170" s="79" t="s">
        <v>199</v>
      </c>
      <c r="X170" s="78" t="s">
        <v>510</v>
      </c>
      <c r="Y170" s="79" t="s">
        <v>217</v>
      </c>
      <c r="Z170" s="78" t="s">
        <v>510</v>
      </c>
      <c r="AA170" s="79">
        <v>40</v>
      </c>
      <c r="AB170" s="78" t="s">
        <v>394</v>
      </c>
      <c r="AC170" s="79" t="s">
        <v>199</v>
      </c>
      <c r="AD170" s="78" t="s">
        <v>510</v>
      </c>
      <c r="AE170" s="79">
        <v>20</v>
      </c>
      <c r="AF170" s="78" t="s">
        <v>510</v>
      </c>
      <c r="AG170" s="79" t="s">
        <v>197</v>
      </c>
      <c r="AH170" s="78" t="s">
        <v>510</v>
      </c>
      <c r="AI170" s="79" t="s">
        <v>199</v>
      </c>
      <c r="AJ170" s="78" t="s">
        <v>510</v>
      </c>
      <c r="AK170" s="80">
        <v>499</v>
      </c>
      <c r="AL170" s="81" t="s">
        <v>310</v>
      </c>
      <c r="AM170" s="80">
        <v>989</v>
      </c>
      <c r="AN170" s="57" t="s">
        <v>395</v>
      </c>
      <c r="AO170" s="93" t="s">
        <v>516</v>
      </c>
      <c r="AP170" s="58" t="s">
        <v>517</v>
      </c>
    </row>
    <row r="171" spans="1:42" ht="15.95" customHeight="1">
      <c r="A171" s="76" t="s">
        <v>193</v>
      </c>
      <c r="B171" s="59" t="s">
        <v>194</v>
      </c>
      <c r="C171" s="77">
        <v>10</v>
      </c>
      <c r="D171" s="78" t="s">
        <v>397</v>
      </c>
      <c r="E171" s="79">
        <v>21</v>
      </c>
      <c r="F171" s="78" t="s">
        <v>398</v>
      </c>
      <c r="G171" s="79">
        <v>35</v>
      </c>
      <c r="H171" s="78" t="s">
        <v>398</v>
      </c>
      <c r="I171" s="79">
        <v>49</v>
      </c>
      <c r="J171" s="78" t="s">
        <v>398</v>
      </c>
      <c r="K171" s="79">
        <v>22</v>
      </c>
      <c r="L171" s="78" t="s">
        <v>398</v>
      </c>
      <c r="M171" s="79">
        <v>16</v>
      </c>
      <c r="N171" s="78" t="s">
        <v>398</v>
      </c>
      <c r="O171" s="79">
        <v>69</v>
      </c>
      <c r="P171" s="78" t="s">
        <v>398</v>
      </c>
      <c r="Q171" s="79">
        <v>22</v>
      </c>
      <c r="R171" s="78" t="s">
        <v>398</v>
      </c>
      <c r="S171" s="79">
        <v>35</v>
      </c>
      <c r="T171" s="78" t="s">
        <v>398</v>
      </c>
      <c r="U171" s="79">
        <v>40</v>
      </c>
      <c r="V171" s="78" t="s">
        <v>398</v>
      </c>
      <c r="W171" s="79">
        <v>22</v>
      </c>
      <c r="X171" s="78" t="s">
        <v>398</v>
      </c>
      <c r="Y171" s="79">
        <v>22</v>
      </c>
      <c r="Z171" s="78" t="s">
        <v>398</v>
      </c>
      <c r="AA171" s="79">
        <v>41</v>
      </c>
      <c r="AB171" s="78" t="s">
        <v>398</v>
      </c>
      <c r="AC171" s="79">
        <v>22</v>
      </c>
      <c r="AD171" s="78" t="s">
        <v>398</v>
      </c>
      <c r="AE171" s="79">
        <v>20</v>
      </c>
      <c r="AF171" s="78" t="s">
        <v>398</v>
      </c>
      <c r="AG171" s="79">
        <v>22</v>
      </c>
      <c r="AH171" s="78" t="s">
        <v>398</v>
      </c>
      <c r="AI171" s="79">
        <v>23</v>
      </c>
      <c r="AJ171" s="78" t="s">
        <v>398</v>
      </c>
      <c r="AK171" s="80">
        <v>491</v>
      </c>
      <c r="AL171" s="81" t="s">
        <v>535</v>
      </c>
      <c r="AM171" s="80">
        <v>491</v>
      </c>
      <c r="AN171" s="57" t="s">
        <v>399</v>
      </c>
      <c r="AO171" s="93" t="s">
        <v>400</v>
      </c>
      <c r="AP171" s="58" t="s">
        <v>518</v>
      </c>
    </row>
    <row r="172" spans="1:42" ht="15.95" customHeight="1">
      <c r="A172" s="61" t="s">
        <v>519</v>
      </c>
      <c r="B172" s="62" t="s">
        <v>520</v>
      </c>
      <c r="C172" s="89">
        <v>51</v>
      </c>
      <c r="D172" s="90" t="s">
        <v>398</v>
      </c>
      <c r="E172" s="91">
        <v>20</v>
      </c>
      <c r="F172" s="90" t="s">
        <v>398</v>
      </c>
      <c r="G172" s="91">
        <v>40</v>
      </c>
      <c r="H172" s="90" t="s">
        <v>398</v>
      </c>
      <c r="I172" s="91">
        <v>28</v>
      </c>
      <c r="J172" s="90" t="s">
        <v>397</v>
      </c>
      <c r="K172" s="91">
        <v>22</v>
      </c>
      <c r="L172" s="90" t="s">
        <v>398</v>
      </c>
      <c r="M172" s="91">
        <v>20</v>
      </c>
      <c r="N172" s="90" t="s">
        <v>398</v>
      </c>
      <c r="O172" s="91">
        <v>47</v>
      </c>
      <c r="P172" s="90" t="s">
        <v>398</v>
      </c>
      <c r="Q172" s="91">
        <v>22</v>
      </c>
      <c r="R172" s="90" t="s">
        <v>398</v>
      </c>
      <c r="S172" s="91">
        <v>40</v>
      </c>
      <c r="T172" s="90" t="s">
        <v>398</v>
      </c>
      <c r="U172" s="91">
        <v>50</v>
      </c>
      <c r="V172" s="90" t="s">
        <v>398</v>
      </c>
      <c r="W172" s="91">
        <v>22</v>
      </c>
      <c r="X172" s="90" t="s">
        <v>398</v>
      </c>
      <c r="Y172" s="91">
        <v>22</v>
      </c>
      <c r="Z172" s="90" t="s">
        <v>398</v>
      </c>
      <c r="AA172" s="91">
        <v>42</v>
      </c>
      <c r="AB172" s="90" t="s">
        <v>398</v>
      </c>
      <c r="AC172" s="91">
        <v>22</v>
      </c>
      <c r="AD172" s="90" t="s">
        <v>398</v>
      </c>
      <c r="AE172" s="79">
        <v>20</v>
      </c>
      <c r="AF172" s="90" t="s">
        <v>398</v>
      </c>
      <c r="AG172" s="91">
        <v>22</v>
      </c>
      <c r="AH172" s="90" t="s">
        <v>398</v>
      </c>
      <c r="AI172" s="91">
        <v>23</v>
      </c>
      <c r="AJ172" s="90" t="s">
        <v>398</v>
      </c>
      <c r="AK172" s="92" t="s">
        <v>543</v>
      </c>
      <c r="AL172" s="81" t="s">
        <v>535</v>
      </c>
      <c r="AM172" s="92" t="s">
        <v>543</v>
      </c>
      <c r="AN172" s="63" t="s">
        <v>399</v>
      </c>
      <c r="AO172" s="92" t="s">
        <v>400</v>
      </c>
      <c r="AP172" t="s">
        <v>476</v>
      </c>
    </row>
    <row r="173" spans="1:42" ht="15.95" customHeight="1">
      <c r="A173" s="64" t="s">
        <v>521</v>
      </c>
      <c r="B173" s="62" t="s">
        <v>522</v>
      </c>
      <c r="C173" s="89">
        <v>41</v>
      </c>
      <c r="D173" s="90" t="s">
        <v>394</v>
      </c>
      <c r="E173" s="91">
        <v>21</v>
      </c>
      <c r="F173" s="90" t="s">
        <v>394</v>
      </c>
      <c r="G173" s="91">
        <v>42</v>
      </c>
      <c r="H173" s="90" t="s">
        <v>394</v>
      </c>
      <c r="I173" s="91">
        <v>43</v>
      </c>
      <c r="J173" s="90" t="s">
        <v>394</v>
      </c>
      <c r="K173" s="91">
        <v>22</v>
      </c>
      <c r="L173" s="90" t="s">
        <v>394</v>
      </c>
      <c r="M173" s="91">
        <v>21</v>
      </c>
      <c r="N173" s="90" t="s">
        <v>394</v>
      </c>
      <c r="O173" s="91">
        <v>54</v>
      </c>
      <c r="P173" s="90" t="s">
        <v>394</v>
      </c>
      <c r="Q173" s="91">
        <v>22</v>
      </c>
      <c r="R173" s="90" t="s">
        <v>394</v>
      </c>
      <c r="S173" s="91">
        <v>42</v>
      </c>
      <c r="T173" s="90" t="s">
        <v>394</v>
      </c>
      <c r="U173" s="91">
        <v>58</v>
      </c>
      <c r="V173" s="90" t="s">
        <v>394</v>
      </c>
      <c r="W173" s="91">
        <v>22</v>
      </c>
      <c r="X173" s="90" t="s">
        <v>394</v>
      </c>
      <c r="Y173" s="91">
        <v>22</v>
      </c>
      <c r="Z173" s="90" t="s">
        <v>394</v>
      </c>
      <c r="AA173" s="91">
        <v>49</v>
      </c>
      <c r="AB173" s="90" t="s">
        <v>394</v>
      </c>
      <c r="AC173" s="91">
        <v>22</v>
      </c>
      <c r="AD173" s="90" t="s">
        <v>394</v>
      </c>
      <c r="AE173" s="79">
        <v>20</v>
      </c>
      <c r="AF173" s="90" t="s">
        <v>394</v>
      </c>
      <c r="AG173" s="91">
        <v>21</v>
      </c>
      <c r="AH173" s="90" t="s">
        <v>394</v>
      </c>
      <c r="AI173" s="91">
        <v>22</v>
      </c>
      <c r="AJ173" s="90" t="s">
        <v>394</v>
      </c>
      <c r="AK173" s="92" t="s">
        <v>544</v>
      </c>
      <c r="AL173" s="81" t="s">
        <v>567</v>
      </c>
      <c r="AM173" s="95" t="s">
        <v>568</v>
      </c>
      <c r="AN173" s="63" t="s">
        <v>395</v>
      </c>
      <c r="AO173" s="92" t="s">
        <v>371</v>
      </c>
      <c r="AP173" t="s">
        <v>569</v>
      </c>
    </row>
    <row r="174" spans="1:42" ht="15.95" customHeight="1">
      <c r="A174" s="64" t="s">
        <v>523</v>
      </c>
      <c r="B174" s="62" t="s">
        <v>524</v>
      </c>
      <c r="C174" s="89">
        <v>63</v>
      </c>
      <c r="D174" s="90" t="s">
        <v>394</v>
      </c>
      <c r="E174" s="91">
        <v>21</v>
      </c>
      <c r="F174" s="90" t="s">
        <v>394</v>
      </c>
      <c r="G174" s="91">
        <v>40</v>
      </c>
      <c r="H174" s="90" t="s">
        <v>394</v>
      </c>
      <c r="I174" s="91">
        <v>48</v>
      </c>
      <c r="J174" s="90" t="s">
        <v>394</v>
      </c>
      <c r="K174" s="91">
        <v>22</v>
      </c>
      <c r="L174" s="90" t="s">
        <v>394</v>
      </c>
      <c r="M174" s="91">
        <v>20</v>
      </c>
      <c r="N174" s="90" t="s">
        <v>394</v>
      </c>
      <c r="O174" s="91">
        <v>73</v>
      </c>
      <c r="P174" s="90" t="s">
        <v>394</v>
      </c>
      <c r="Q174" s="91">
        <v>22</v>
      </c>
      <c r="R174" s="90" t="s">
        <v>394</v>
      </c>
      <c r="S174" s="91">
        <v>40</v>
      </c>
      <c r="T174" s="90" t="s">
        <v>394</v>
      </c>
      <c r="U174" s="91">
        <v>62</v>
      </c>
      <c r="V174" s="90" t="s">
        <v>394</v>
      </c>
      <c r="W174" s="91">
        <v>22</v>
      </c>
      <c r="X174" s="90" t="s">
        <v>394</v>
      </c>
      <c r="Y174" s="91">
        <v>22</v>
      </c>
      <c r="Z174" s="90" t="s">
        <v>394</v>
      </c>
      <c r="AA174" s="91">
        <v>52</v>
      </c>
      <c r="AB174" s="90" t="s">
        <v>394</v>
      </c>
      <c r="AC174" s="91">
        <v>22</v>
      </c>
      <c r="AD174" s="90" t="s">
        <v>394</v>
      </c>
      <c r="AE174" s="79">
        <v>20</v>
      </c>
      <c r="AF174" s="90" t="s">
        <v>394</v>
      </c>
      <c r="AG174" s="91">
        <v>22</v>
      </c>
      <c r="AH174" s="90" t="s">
        <v>394</v>
      </c>
      <c r="AI174" s="91">
        <v>23</v>
      </c>
      <c r="AJ174" s="90" t="s">
        <v>394</v>
      </c>
      <c r="AK174" s="92">
        <v>550</v>
      </c>
      <c r="AL174" s="81" t="s">
        <v>535</v>
      </c>
      <c r="AM174" s="92">
        <v>550</v>
      </c>
      <c r="AN174" s="63" t="s">
        <v>395</v>
      </c>
      <c r="AO174" s="92" t="s">
        <v>407</v>
      </c>
      <c r="AP174" t="s">
        <v>525</v>
      </c>
    </row>
    <row r="175" spans="1:42" ht="15.95" customHeight="1">
      <c r="A175" s="64" t="s">
        <v>526</v>
      </c>
      <c r="B175" s="62" t="s">
        <v>527</v>
      </c>
      <c r="C175" s="89" t="s">
        <v>556</v>
      </c>
      <c r="D175" s="90"/>
      <c r="E175" s="91">
        <v>20</v>
      </c>
      <c r="F175" s="90"/>
      <c r="G175" s="91">
        <v>40</v>
      </c>
      <c r="H175" s="90"/>
      <c r="I175" s="91">
        <v>43</v>
      </c>
      <c r="J175" s="90"/>
      <c r="K175" s="91">
        <v>22</v>
      </c>
      <c r="L175" s="90"/>
      <c r="M175" s="91">
        <v>20</v>
      </c>
      <c r="N175" s="90"/>
      <c r="O175" s="91">
        <v>61</v>
      </c>
      <c r="P175" s="90"/>
      <c r="Q175" s="91">
        <v>22</v>
      </c>
      <c r="R175" s="90"/>
      <c r="S175" s="91">
        <v>40</v>
      </c>
      <c r="T175" s="90"/>
      <c r="U175" s="91">
        <v>52</v>
      </c>
      <c r="V175" s="90"/>
      <c r="W175" s="91">
        <v>22</v>
      </c>
      <c r="X175" s="90"/>
      <c r="Y175" s="91">
        <v>22</v>
      </c>
      <c r="Z175" s="90"/>
      <c r="AA175" s="91">
        <v>45</v>
      </c>
      <c r="AB175" s="90"/>
      <c r="AC175" s="91">
        <v>22</v>
      </c>
      <c r="AD175" s="90"/>
      <c r="AE175" s="79">
        <v>20</v>
      </c>
      <c r="AF175" s="90"/>
      <c r="AG175" s="91">
        <v>22</v>
      </c>
      <c r="AH175" s="90"/>
      <c r="AI175" s="91">
        <v>22</v>
      </c>
      <c r="AJ175" s="90"/>
      <c r="AK175" s="92" t="s">
        <v>557</v>
      </c>
      <c r="AL175" s="81" t="s">
        <v>296</v>
      </c>
      <c r="AM175" s="95" t="s">
        <v>558</v>
      </c>
      <c r="AN175" s="63" t="s">
        <v>395</v>
      </c>
      <c r="AO175" s="92" t="s">
        <v>371</v>
      </c>
      <c r="AP175" t="s">
        <v>559</v>
      </c>
    </row>
    <row r="176" spans="1:42" ht="15.95" customHeight="1">
      <c r="A176" s="64" t="s">
        <v>528</v>
      </c>
      <c r="B176" s="62" t="s">
        <v>529</v>
      </c>
      <c r="C176" s="89" t="s">
        <v>196</v>
      </c>
      <c r="D176" s="90" t="s">
        <v>510</v>
      </c>
      <c r="E176" s="91" t="s">
        <v>530</v>
      </c>
      <c r="F176" s="90" t="s">
        <v>510</v>
      </c>
      <c r="G176" s="91" t="s">
        <v>531</v>
      </c>
      <c r="H176" s="90" t="s">
        <v>510</v>
      </c>
      <c r="I176" s="91">
        <v>27</v>
      </c>
      <c r="J176" s="90" t="s">
        <v>397</v>
      </c>
      <c r="K176" s="91" t="s">
        <v>532</v>
      </c>
      <c r="L176" s="90" t="s">
        <v>510</v>
      </c>
      <c r="M176" s="91" t="s">
        <v>530</v>
      </c>
      <c r="N176" s="90" t="s">
        <v>510</v>
      </c>
      <c r="O176" s="91">
        <v>40</v>
      </c>
      <c r="P176" s="90" t="s">
        <v>398</v>
      </c>
      <c r="Q176" s="91" t="s">
        <v>201</v>
      </c>
      <c r="R176" s="90" t="s">
        <v>510</v>
      </c>
      <c r="S176" s="91" t="s">
        <v>533</v>
      </c>
      <c r="T176" s="90" t="s">
        <v>510</v>
      </c>
      <c r="U176" s="91">
        <v>40</v>
      </c>
      <c r="V176" s="90" t="s">
        <v>398</v>
      </c>
      <c r="W176" s="91" t="s">
        <v>215</v>
      </c>
      <c r="X176" s="90" t="s">
        <v>510</v>
      </c>
      <c r="Y176" s="91" t="s">
        <v>215</v>
      </c>
      <c r="Z176" s="90" t="s">
        <v>510</v>
      </c>
      <c r="AA176" s="91">
        <v>41</v>
      </c>
      <c r="AB176" s="90" t="s">
        <v>398</v>
      </c>
      <c r="AC176" s="91" t="s">
        <v>532</v>
      </c>
      <c r="AD176" s="90" t="s">
        <v>510</v>
      </c>
      <c r="AE176" s="79">
        <v>20</v>
      </c>
      <c r="AF176" s="90" t="s">
        <v>510</v>
      </c>
      <c r="AG176" s="91" t="s">
        <v>532</v>
      </c>
      <c r="AH176" s="90" t="s">
        <v>510</v>
      </c>
      <c r="AI176" s="91" t="s">
        <v>199</v>
      </c>
      <c r="AJ176" s="90" t="s">
        <v>510</v>
      </c>
      <c r="AK176" s="92">
        <v>372</v>
      </c>
      <c r="AL176" s="81" t="s">
        <v>535</v>
      </c>
      <c r="AM176" s="92">
        <v>372</v>
      </c>
      <c r="AN176" s="63" t="s">
        <v>399</v>
      </c>
      <c r="AO176" s="92" t="s">
        <v>400</v>
      </c>
      <c r="AP176" t="s">
        <v>534</v>
      </c>
    </row>
  </sheetData>
  <conditionalFormatting sqref="J2:J171 P2:P171 V2:V171 AB2:AB171 D2:D171 F2:F171 L2:L171 N2:N171 R2:R171 X2:X171 Z2:Z171 AD2:AD171 AF2:AF171 AH2:AH171 AJ2:AJ171 H2:H171 T2:T171">
    <cfRule type="cellIs" dxfId="212" priority="213" operator="equal">
      <formula>"F"</formula>
    </cfRule>
  </conditionalFormatting>
  <conditionalFormatting sqref="AM2:AO171">
    <cfRule type="cellIs" dxfId="211" priority="212" operator="equal">
      <formula>"FAIL"</formula>
    </cfRule>
  </conditionalFormatting>
  <conditionalFormatting sqref="C2:C171 I2:I171 O2:O171 U2:U171 AA2:AA171">
    <cfRule type="cellIs" dxfId="210" priority="210" operator="equal">
      <formula>"AB"</formula>
    </cfRule>
    <cfRule type="cellIs" dxfId="209" priority="211" operator="lessThan">
      <formula>40</formula>
    </cfRule>
  </conditionalFormatting>
  <conditionalFormatting sqref="E2:E171 K2:K171 M2:M171 Q2:Q171 W2:W171 Y2:Y171 AC2:AC171 AG2:AG171 AI2:AI171 AE2:AE176">
    <cfRule type="cellIs" dxfId="208" priority="208" operator="equal">
      <formula>"AB"</formula>
    </cfRule>
    <cfRule type="cellIs" dxfId="207" priority="209" operator="lessThan">
      <formula>10</formula>
    </cfRule>
  </conditionalFormatting>
  <conditionalFormatting sqref="G2:G171 S2:S171">
    <cfRule type="cellIs" dxfId="206" priority="206" operator="equal">
      <formula>"AB"</formula>
    </cfRule>
    <cfRule type="cellIs" dxfId="205" priority="207" operator="lessThan">
      <formula>20</formula>
    </cfRule>
  </conditionalFormatting>
  <conditionalFormatting sqref="C172:C176 I172:I176 O172:O176 U172:U176 AA172:AA176">
    <cfRule type="cellIs" dxfId="204" priority="205" operator="lessThan">
      <formula>40</formula>
    </cfRule>
  </conditionalFormatting>
  <conditionalFormatting sqref="K172:K176 M172:M176 Q172:Q176 W172:W176 Y172:Y176 AC172:AC176 AE172:AE176 AG172:AG176 AI172:AI176 E172:E176">
    <cfRule type="cellIs" dxfId="203" priority="204" operator="lessThan">
      <formula>10</formula>
    </cfRule>
  </conditionalFormatting>
  <conditionalFormatting sqref="G172:G176 S172:S176">
    <cfRule type="cellIs" dxfId="202" priority="203" operator="lessThan">
      <formula>20</formula>
    </cfRule>
  </conditionalFormatting>
  <conditionalFormatting sqref="E172:E175">
    <cfRule type="cellIs" dxfId="201" priority="202" operator="equal">
      <formula>"AB"</formula>
    </cfRule>
  </conditionalFormatting>
  <conditionalFormatting sqref="AN172:AN176">
    <cfRule type="cellIs" dxfId="200" priority="201" operator="equal">
      <formula>"FAIL"</formula>
    </cfRule>
  </conditionalFormatting>
  <conditionalFormatting sqref="J137 P137 V137 AB137 D137 F137 L137 N137 R137 X137 Z137 AD137 AF137 AH137 AJ137 H137 T137">
    <cfRule type="cellIs" dxfId="199" priority="200" operator="equal">
      <formula>"F"</formula>
    </cfRule>
  </conditionalFormatting>
  <conditionalFormatting sqref="AM137:AO137">
    <cfRule type="cellIs" dxfId="198" priority="199" operator="equal">
      <formula>"FAIL"</formula>
    </cfRule>
  </conditionalFormatting>
  <conditionalFormatting sqref="C137 I137 O137 U137 AA137">
    <cfRule type="cellIs" dxfId="197" priority="197" operator="equal">
      <formula>"AB"</formula>
    </cfRule>
    <cfRule type="cellIs" dxfId="196" priority="198" operator="lessThan">
      <formula>40</formula>
    </cfRule>
  </conditionalFormatting>
  <conditionalFormatting sqref="E137 K137 M137 Q137 W137 Y137 AC137 AE137 AG137 AI137">
    <cfRule type="cellIs" dxfId="195" priority="195" operator="equal">
      <formula>"AB"</formula>
    </cfRule>
    <cfRule type="cellIs" dxfId="194" priority="196" operator="lessThan">
      <formula>10</formula>
    </cfRule>
  </conditionalFormatting>
  <conditionalFormatting sqref="G137 S137">
    <cfRule type="cellIs" dxfId="193" priority="193" operator="equal">
      <formula>"AB"</formula>
    </cfRule>
    <cfRule type="cellIs" dxfId="192" priority="194" operator="lessThan">
      <formula>20</formula>
    </cfRule>
  </conditionalFormatting>
  <conditionalFormatting sqref="J166 P166 V166 AB166 D166 F166 L166 N166 R166 X166 Z166 AD166 AF166 AH166 AJ166 H166 T166">
    <cfRule type="cellIs" dxfId="191" priority="192" operator="equal">
      <formula>"F"</formula>
    </cfRule>
  </conditionalFormatting>
  <conditionalFormatting sqref="AM166:AO166">
    <cfRule type="cellIs" dxfId="190" priority="191" operator="equal">
      <formula>"FAIL"</formula>
    </cfRule>
  </conditionalFormatting>
  <conditionalFormatting sqref="C166 I166 O166 U166 AA166">
    <cfRule type="cellIs" dxfId="189" priority="189" operator="equal">
      <formula>"AB"</formula>
    </cfRule>
    <cfRule type="cellIs" dxfId="188" priority="190" operator="lessThan">
      <formula>40</formula>
    </cfRule>
  </conditionalFormatting>
  <conditionalFormatting sqref="E166 K166 M166 Q166 W166 Y166 AC166 AE166 AG166 AI166">
    <cfRule type="cellIs" dxfId="187" priority="187" operator="equal">
      <formula>"AB"</formula>
    </cfRule>
    <cfRule type="cellIs" dxfId="186" priority="188" operator="lessThan">
      <formula>10</formula>
    </cfRule>
  </conditionalFormatting>
  <conditionalFormatting sqref="G166 S166">
    <cfRule type="cellIs" dxfId="185" priority="185" operator="equal">
      <formula>"AB"</formula>
    </cfRule>
    <cfRule type="cellIs" dxfId="184" priority="186" operator="lessThan">
      <formula>20</formula>
    </cfRule>
  </conditionalFormatting>
  <conditionalFormatting sqref="J124 P124 V124 AB124 D124 F124 L124 N124 R124 X124 Z124 AD124 AF124 AH124 AJ124 H124 T124">
    <cfRule type="cellIs" dxfId="183" priority="184" operator="equal">
      <formula>"F"</formula>
    </cfRule>
  </conditionalFormatting>
  <conditionalFormatting sqref="AM124:AO124">
    <cfRule type="cellIs" dxfId="182" priority="183" operator="equal">
      <formula>"FAIL"</formula>
    </cfRule>
  </conditionalFormatting>
  <conditionalFormatting sqref="C124 I124 O124 U124 AA124">
    <cfRule type="cellIs" dxfId="181" priority="181" operator="equal">
      <formula>"AB"</formula>
    </cfRule>
    <cfRule type="cellIs" dxfId="180" priority="182" operator="lessThan">
      <formula>40</formula>
    </cfRule>
  </conditionalFormatting>
  <conditionalFormatting sqref="E124 K124 M124 Q124 W124 Y124 AC124 AE124 AG124 AI124">
    <cfRule type="cellIs" dxfId="179" priority="179" operator="equal">
      <formula>"AB"</formula>
    </cfRule>
    <cfRule type="cellIs" dxfId="178" priority="180" operator="lessThan">
      <formula>10</formula>
    </cfRule>
  </conditionalFormatting>
  <conditionalFormatting sqref="G124 S124">
    <cfRule type="cellIs" dxfId="177" priority="177" operator="equal">
      <formula>"AB"</formula>
    </cfRule>
    <cfRule type="cellIs" dxfId="176" priority="178" operator="lessThan">
      <formula>20</formula>
    </cfRule>
  </conditionalFormatting>
  <conditionalFormatting sqref="J84 P84 V84 AB84 D84 F84 L84 N84 R84 X84 Z84 AD84 AF84 AH84 AJ84 H84 T84">
    <cfRule type="cellIs" dxfId="175" priority="176" operator="equal">
      <formula>"F"</formula>
    </cfRule>
  </conditionalFormatting>
  <conditionalFormatting sqref="AM84:AO84">
    <cfRule type="cellIs" dxfId="174" priority="175" operator="equal">
      <formula>"FAIL"</formula>
    </cfRule>
  </conditionalFormatting>
  <conditionalFormatting sqref="C84 I84 O84 U84 AA84">
    <cfRule type="cellIs" dxfId="173" priority="173" operator="equal">
      <formula>"AB"</formula>
    </cfRule>
    <cfRule type="cellIs" dxfId="172" priority="174" operator="lessThan">
      <formula>40</formula>
    </cfRule>
  </conditionalFormatting>
  <conditionalFormatting sqref="E84 K84 M84 Q84 W84 Y84 AC84 AE84 AG84 AI84">
    <cfRule type="cellIs" dxfId="171" priority="171" operator="equal">
      <formula>"AB"</formula>
    </cfRule>
    <cfRule type="cellIs" dxfId="170" priority="172" operator="lessThan">
      <formula>10</formula>
    </cfRule>
  </conditionalFormatting>
  <conditionalFormatting sqref="G84 S84">
    <cfRule type="cellIs" dxfId="169" priority="169" operator="equal">
      <formula>"AB"</formula>
    </cfRule>
    <cfRule type="cellIs" dxfId="168" priority="170" operator="lessThan">
      <formula>20</formula>
    </cfRule>
  </conditionalFormatting>
  <conditionalFormatting sqref="J109 P109 V109 AB109 D109 F109 L109 N109 R109 X109 Z109 AD109 AF109 AH109 AJ109 H109 T109">
    <cfRule type="cellIs" dxfId="167" priority="168" operator="equal">
      <formula>"F"</formula>
    </cfRule>
  </conditionalFormatting>
  <conditionalFormatting sqref="AM109:AO109">
    <cfRule type="cellIs" dxfId="166" priority="167" operator="equal">
      <formula>"FAIL"</formula>
    </cfRule>
  </conditionalFormatting>
  <conditionalFormatting sqref="C109 I109 O109 U109 AA109">
    <cfRule type="cellIs" dxfId="165" priority="165" operator="equal">
      <formula>"AB"</formula>
    </cfRule>
    <cfRule type="cellIs" dxfId="164" priority="166" operator="lessThan">
      <formula>40</formula>
    </cfRule>
  </conditionalFormatting>
  <conditionalFormatting sqref="E109 K109 M109 Q109 W109 Y109 AC109 AE109 AG109 AI109">
    <cfRule type="cellIs" dxfId="163" priority="163" operator="equal">
      <formula>"AB"</formula>
    </cfRule>
    <cfRule type="cellIs" dxfId="162" priority="164" operator="lessThan">
      <formula>10</formula>
    </cfRule>
  </conditionalFormatting>
  <conditionalFormatting sqref="G109 S109">
    <cfRule type="cellIs" dxfId="161" priority="161" operator="equal">
      <formula>"AB"</formula>
    </cfRule>
    <cfRule type="cellIs" dxfId="160" priority="162" operator="lessThan">
      <formula>20</formula>
    </cfRule>
  </conditionalFormatting>
  <conditionalFormatting sqref="J163 P163 V163 AB163 D163 F163 L163 N163 R163 X163 Z163 AD163 AF163 AH163 AJ163 H163 T163">
    <cfRule type="cellIs" dxfId="159" priority="160" operator="equal">
      <formula>"F"</formula>
    </cfRule>
  </conditionalFormatting>
  <conditionalFormatting sqref="AM163:AO163">
    <cfRule type="cellIs" dxfId="158" priority="159" operator="equal">
      <formula>"FAIL"</formula>
    </cfRule>
  </conditionalFormatting>
  <conditionalFormatting sqref="C163 I163 O163 U163 AA163">
    <cfRule type="cellIs" dxfId="157" priority="157" operator="equal">
      <formula>"AB"</formula>
    </cfRule>
    <cfRule type="cellIs" dxfId="156" priority="158" operator="lessThan">
      <formula>40</formula>
    </cfRule>
  </conditionalFormatting>
  <conditionalFormatting sqref="E163 K163 M163 Q163 W163 Y163 AC163 AE163 AG163 AI163">
    <cfRule type="cellIs" dxfId="155" priority="155" operator="equal">
      <formula>"AB"</formula>
    </cfRule>
    <cfRule type="cellIs" dxfId="154" priority="156" operator="lessThan">
      <formula>10</formula>
    </cfRule>
  </conditionalFormatting>
  <conditionalFormatting sqref="G163 S163">
    <cfRule type="cellIs" dxfId="153" priority="153" operator="equal">
      <formula>"AB"</formula>
    </cfRule>
    <cfRule type="cellIs" dxfId="152" priority="154" operator="lessThan">
      <formula>20</formula>
    </cfRule>
  </conditionalFormatting>
  <conditionalFormatting sqref="J164 P164 V164 AB164 D164 F164 L164 N164 R164 X164 Z164 AD164 AF164 AH164 AJ164 H164 T164">
    <cfRule type="cellIs" dxfId="151" priority="152" operator="equal">
      <formula>"F"</formula>
    </cfRule>
  </conditionalFormatting>
  <conditionalFormatting sqref="AM164:AO164">
    <cfRule type="cellIs" dxfId="150" priority="151" operator="equal">
      <formula>"FAIL"</formula>
    </cfRule>
  </conditionalFormatting>
  <conditionalFormatting sqref="C164 I164 O164 U164 AA164">
    <cfRule type="cellIs" dxfId="149" priority="149" operator="equal">
      <formula>"AB"</formula>
    </cfRule>
    <cfRule type="cellIs" dxfId="148" priority="150" operator="lessThan">
      <formula>40</formula>
    </cfRule>
  </conditionalFormatting>
  <conditionalFormatting sqref="E164 K164 M164 Q164 W164 Y164 AC164 AE164 AG164 AI164">
    <cfRule type="cellIs" dxfId="147" priority="147" operator="equal">
      <formula>"AB"</formula>
    </cfRule>
    <cfRule type="cellIs" dxfId="146" priority="148" operator="lessThan">
      <formula>10</formula>
    </cfRule>
  </conditionalFormatting>
  <conditionalFormatting sqref="G164 S164">
    <cfRule type="cellIs" dxfId="145" priority="145" operator="equal">
      <formula>"AB"</formula>
    </cfRule>
    <cfRule type="cellIs" dxfId="144" priority="146" operator="lessThan">
      <formula>20</formula>
    </cfRule>
  </conditionalFormatting>
  <conditionalFormatting sqref="J160 P160 V160 AB160 D160 F160 L160 N160 R160 X160 Z160 AD160 AF160 AH160 AJ160 H160 T160">
    <cfRule type="cellIs" dxfId="143" priority="144" operator="equal">
      <formula>"F"</formula>
    </cfRule>
  </conditionalFormatting>
  <conditionalFormatting sqref="AM160:AO160">
    <cfRule type="cellIs" dxfId="142" priority="143" operator="equal">
      <formula>"FAIL"</formula>
    </cfRule>
  </conditionalFormatting>
  <conditionalFormatting sqref="C160 I160 O160 U160 AA160">
    <cfRule type="cellIs" dxfId="141" priority="141" operator="equal">
      <formula>"AB"</formula>
    </cfRule>
    <cfRule type="cellIs" dxfId="140" priority="142" operator="lessThan">
      <formula>40</formula>
    </cfRule>
  </conditionalFormatting>
  <conditionalFormatting sqref="E160 K160 M160 Q160 W160 Y160 AC160 AE160 AG160 AI160">
    <cfRule type="cellIs" dxfId="139" priority="139" operator="equal">
      <formula>"AB"</formula>
    </cfRule>
    <cfRule type="cellIs" dxfId="138" priority="140" operator="lessThan">
      <formula>10</formula>
    </cfRule>
  </conditionalFormatting>
  <conditionalFormatting sqref="G160 S160">
    <cfRule type="cellIs" dxfId="137" priority="137" operator="equal">
      <formula>"AB"</formula>
    </cfRule>
    <cfRule type="cellIs" dxfId="136" priority="138" operator="lessThan">
      <formula>20</formula>
    </cfRule>
  </conditionalFormatting>
  <conditionalFormatting sqref="J4 P4 V4 AB4 D4 F4 L4 N4 R4 X4 Z4 AD4 AF4 AH4 AJ4 H4 T4">
    <cfRule type="cellIs" dxfId="135" priority="136" operator="equal">
      <formula>"F"</formula>
    </cfRule>
  </conditionalFormatting>
  <conditionalFormatting sqref="AM4:AO4">
    <cfRule type="cellIs" dxfId="134" priority="135" operator="equal">
      <formula>"FAIL"</formula>
    </cfRule>
  </conditionalFormatting>
  <conditionalFormatting sqref="C4 I4 O4 U4 AA4">
    <cfRule type="cellIs" dxfId="133" priority="133" operator="equal">
      <formula>"AB"</formula>
    </cfRule>
    <cfRule type="cellIs" dxfId="132" priority="134" operator="lessThan">
      <formula>40</formula>
    </cfRule>
  </conditionalFormatting>
  <conditionalFormatting sqref="E4 K4 M4 Q4 W4 Y4 AC4 AE4 AG4 AI4">
    <cfRule type="cellIs" dxfId="131" priority="131" operator="equal">
      <formula>"AB"</formula>
    </cfRule>
    <cfRule type="cellIs" dxfId="130" priority="132" operator="lessThan">
      <formula>10</formula>
    </cfRule>
  </conditionalFormatting>
  <conditionalFormatting sqref="G4 S4">
    <cfRule type="cellIs" dxfId="129" priority="129" operator="equal">
      <formula>"AB"</formula>
    </cfRule>
    <cfRule type="cellIs" dxfId="128" priority="130" operator="lessThan">
      <formula>20</formula>
    </cfRule>
  </conditionalFormatting>
  <conditionalFormatting sqref="J4 P4 V4 AB4 D4 F4 L4 N4 R4 X4 Z4 AD4 AF4 AH4 AJ4 H4 T4">
    <cfRule type="cellIs" dxfId="127" priority="128" operator="equal">
      <formula>"F"</formula>
    </cfRule>
  </conditionalFormatting>
  <conditionalFormatting sqref="AM4:AO4">
    <cfRule type="cellIs" dxfId="126" priority="127" operator="equal">
      <formula>"FAIL"</formula>
    </cfRule>
  </conditionalFormatting>
  <conditionalFormatting sqref="C4 I4 O4 U4 AA4">
    <cfRule type="cellIs" dxfId="125" priority="125" operator="equal">
      <formula>"AB"</formula>
    </cfRule>
    <cfRule type="cellIs" dxfId="124" priority="126" operator="lessThan">
      <formula>40</formula>
    </cfRule>
  </conditionalFormatting>
  <conditionalFormatting sqref="E4 K4 M4 Q4 W4 Y4 AC4 AE4 AG4 AI4">
    <cfRule type="cellIs" dxfId="123" priority="123" operator="equal">
      <formula>"AB"</formula>
    </cfRule>
    <cfRule type="cellIs" dxfId="122" priority="124" operator="lessThan">
      <formula>10</formula>
    </cfRule>
  </conditionalFormatting>
  <conditionalFormatting sqref="G4 S4">
    <cfRule type="cellIs" dxfId="121" priority="121" operator="equal">
      <formula>"AB"</formula>
    </cfRule>
    <cfRule type="cellIs" dxfId="120" priority="122" operator="lessThan">
      <formula>20</formula>
    </cfRule>
  </conditionalFormatting>
  <conditionalFormatting sqref="J73 P73 V73 AB73 D73 F73 L73 N73 R73 X73 Z73 AD73 AF73 AH73 AJ73 H73 T73">
    <cfRule type="cellIs" dxfId="119" priority="120" operator="equal">
      <formula>"F"</formula>
    </cfRule>
  </conditionalFormatting>
  <conditionalFormatting sqref="AM73:AO73">
    <cfRule type="cellIs" dxfId="118" priority="119" operator="equal">
      <formula>"FAIL"</formula>
    </cfRule>
  </conditionalFormatting>
  <conditionalFormatting sqref="C73 I73 O73 U73 AA73">
    <cfRule type="cellIs" dxfId="117" priority="117" operator="equal">
      <formula>"AB"</formula>
    </cfRule>
    <cfRule type="cellIs" dxfId="116" priority="118" operator="lessThan">
      <formula>40</formula>
    </cfRule>
  </conditionalFormatting>
  <conditionalFormatting sqref="E73 K73 M73 Q73 W73 Y73 AC73 AE73 AG73 AI73">
    <cfRule type="cellIs" dxfId="115" priority="115" operator="equal">
      <formula>"AB"</formula>
    </cfRule>
    <cfRule type="cellIs" dxfId="114" priority="116" operator="lessThan">
      <formula>10</formula>
    </cfRule>
  </conditionalFormatting>
  <conditionalFormatting sqref="G73 S73">
    <cfRule type="cellIs" dxfId="113" priority="113" operator="equal">
      <formula>"AB"</formula>
    </cfRule>
    <cfRule type="cellIs" dxfId="112" priority="114" operator="lessThan">
      <formula>20</formula>
    </cfRule>
  </conditionalFormatting>
  <conditionalFormatting sqref="J99 P99 V99 AB99 D99 F99 L99 N99 R99 X99 Z99 AD99 AF99 AH99 AJ99 H99 T99">
    <cfRule type="cellIs" dxfId="111" priority="112" operator="equal">
      <formula>"F"</formula>
    </cfRule>
  </conditionalFormatting>
  <conditionalFormatting sqref="AM99:AO99">
    <cfRule type="cellIs" dxfId="110" priority="111" operator="equal">
      <formula>"FAIL"</formula>
    </cfRule>
  </conditionalFormatting>
  <conditionalFormatting sqref="C99 I99 O99 U99 AA99">
    <cfRule type="cellIs" dxfId="109" priority="109" operator="equal">
      <formula>"AB"</formula>
    </cfRule>
    <cfRule type="cellIs" dxfId="108" priority="110" operator="lessThan">
      <formula>40</formula>
    </cfRule>
  </conditionalFormatting>
  <conditionalFormatting sqref="E99 K99 M99 Q99 W99 Y99 AC99 AE99 AG99 AI99">
    <cfRule type="cellIs" dxfId="107" priority="107" operator="equal">
      <formula>"AB"</formula>
    </cfRule>
    <cfRule type="cellIs" dxfId="106" priority="108" operator="lessThan">
      <formula>10</formula>
    </cfRule>
  </conditionalFormatting>
  <conditionalFormatting sqref="G99 S99">
    <cfRule type="cellIs" dxfId="105" priority="105" operator="equal">
      <formula>"AB"</formula>
    </cfRule>
    <cfRule type="cellIs" dxfId="104" priority="106" operator="lessThan">
      <formula>20</formula>
    </cfRule>
  </conditionalFormatting>
  <conditionalFormatting sqref="J18 P18 V18 AB18 D18 F18 L18 N18 R18 X18 Z18 AD18 AF18 AH18 AJ18 H18 T18">
    <cfRule type="cellIs" dxfId="103" priority="104" operator="equal">
      <formula>"F"</formula>
    </cfRule>
  </conditionalFormatting>
  <conditionalFormatting sqref="AM18:AO18">
    <cfRule type="cellIs" dxfId="102" priority="103" operator="equal">
      <formula>"FAIL"</formula>
    </cfRule>
  </conditionalFormatting>
  <conditionalFormatting sqref="C18 I18 O18 U18 AA18">
    <cfRule type="cellIs" dxfId="101" priority="101" operator="equal">
      <formula>"AB"</formula>
    </cfRule>
    <cfRule type="cellIs" dxfId="100" priority="102" operator="lessThan">
      <formula>40</formula>
    </cfRule>
  </conditionalFormatting>
  <conditionalFormatting sqref="E18 K18 M18 Q18 W18 Y18 AC18 AE18 AG18 AI18">
    <cfRule type="cellIs" dxfId="99" priority="99" operator="equal">
      <formula>"AB"</formula>
    </cfRule>
    <cfRule type="cellIs" dxfId="98" priority="100" operator="lessThan">
      <formula>10</formula>
    </cfRule>
  </conditionalFormatting>
  <conditionalFormatting sqref="G18 S18">
    <cfRule type="cellIs" dxfId="97" priority="97" operator="equal">
      <formula>"AB"</formula>
    </cfRule>
    <cfRule type="cellIs" dxfId="96" priority="98" operator="lessThan">
      <formula>20</formula>
    </cfRule>
  </conditionalFormatting>
  <conditionalFormatting sqref="J150 P150 V150 AB150 D150 F150 L150 N150 R150 X150 Z150 AD150 AF150 AH150 AJ150 H150 T150">
    <cfRule type="cellIs" dxfId="95" priority="96" operator="equal">
      <formula>"F"</formula>
    </cfRule>
  </conditionalFormatting>
  <conditionalFormatting sqref="AM150:AO150">
    <cfRule type="cellIs" dxfId="94" priority="95" operator="equal">
      <formula>"FAIL"</formula>
    </cfRule>
  </conditionalFormatting>
  <conditionalFormatting sqref="C150 I150 O150 U150 AA150">
    <cfRule type="cellIs" dxfId="93" priority="93" operator="equal">
      <formula>"AB"</formula>
    </cfRule>
    <cfRule type="cellIs" dxfId="92" priority="94" operator="lessThan">
      <formula>40</formula>
    </cfRule>
  </conditionalFormatting>
  <conditionalFormatting sqref="E150 K150 M150 Q150 W150 Y150 AC150 AE150 AG150 AI150">
    <cfRule type="cellIs" dxfId="91" priority="91" operator="equal">
      <formula>"AB"</formula>
    </cfRule>
    <cfRule type="cellIs" dxfId="90" priority="92" operator="lessThan">
      <formula>10</formula>
    </cfRule>
  </conditionalFormatting>
  <conditionalFormatting sqref="G150 S150">
    <cfRule type="cellIs" dxfId="89" priority="89" operator="equal">
      <formula>"AB"</formula>
    </cfRule>
    <cfRule type="cellIs" dxfId="88" priority="90" operator="lessThan">
      <formula>20</formula>
    </cfRule>
  </conditionalFormatting>
  <conditionalFormatting sqref="J157 P157 V157 AB157 D157 F157 L157 N157 R157 X157 Z157 AD157 AF157 AH157 AJ157 H157 T157">
    <cfRule type="cellIs" dxfId="87" priority="88" operator="equal">
      <formula>"F"</formula>
    </cfRule>
  </conditionalFormatting>
  <conditionalFormatting sqref="AM157:AO157">
    <cfRule type="cellIs" dxfId="86" priority="87" operator="equal">
      <formula>"FAIL"</formula>
    </cfRule>
  </conditionalFormatting>
  <conditionalFormatting sqref="C157 I157 O157 U157 AA157">
    <cfRule type="cellIs" dxfId="85" priority="85" operator="equal">
      <formula>"AB"</formula>
    </cfRule>
    <cfRule type="cellIs" dxfId="84" priority="86" operator="lessThan">
      <formula>40</formula>
    </cfRule>
  </conditionalFormatting>
  <conditionalFormatting sqref="E157 K157 M157 Q157 W157 Y157 AC157 AE157 AG157 AI157">
    <cfRule type="cellIs" dxfId="83" priority="83" operator="equal">
      <formula>"AB"</formula>
    </cfRule>
    <cfRule type="cellIs" dxfId="82" priority="84" operator="lessThan">
      <formula>10</formula>
    </cfRule>
  </conditionalFormatting>
  <conditionalFormatting sqref="G157 S157">
    <cfRule type="cellIs" dxfId="81" priority="81" operator="equal">
      <formula>"AB"</formula>
    </cfRule>
    <cfRule type="cellIs" dxfId="80" priority="82" operator="lessThan">
      <formula>20</formula>
    </cfRule>
  </conditionalFormatting>
  <conditionalFormatting sqref="J141 P141 V141 AB141 D141 F141 L141 N141 R141 X141 Z141 AD141 AF141 AH141 AJ141 H141 T141">
    <cfRule type="cellIs" dxfId="79" priority="80" operator="equal">
      <formula>"F"</formula>
    </cfRule>
  </conditionalFormatting>
  <conditionalFormatting sqref="AM141:AO141">
    <cfRule type="cellIs" dxfId="78" priority="79" operator="equal">
      <formula>"FAIL"</formula>
    </cfRule>
  </conditionalFormatting>
  <conditionalFormatting sqref="C141 I141 O141 U141 AA141">
    <cfRule type="cellIs" dxfId="77" priority="77" operator="equal">
      <formula>"AB"</formula>
    </cfRule>
    <cfRule type="cellIs" dxfId="76" priority="78" operator="lessThan">
      <formula>40</formula>
    </cfRule>
  </conditionalFormatting>
  <conditionalFormatting sqref="E141 K141 M141 Q141 W141 Y141 AC141 AE141 AG141 AI141">
    <cfRule type="cellIs" dxfId="75" priority="75" operator="equal">
      <formula>"AB"</formula>
    </cfRule>
    <cfRule type="cellIs" dxfId="74" priority="76" operator="lessThan">
      <formula>10</formula>
    </cfRule>
  </conditionalFormatting>
  <conditionalFormatting sqref="G141 S141">
    <cfRule type="cellIs" dxfId="73" priority="73" operator="equal">
      <formula>"AB"</formula>
    </cfRule>
    <cfRule type="cellIs" dxfId="72" priority="74" operator="lessThan">
      <formula>20</formula>
    </cfRule>
  </conditionalFormatting>
  <conditionalFormatting sqref="J94 P94 V94 AB94 D94 F94 L94 N94 R94 X94 Z94 AD94 AF94 AH94 AJ94 H94 T94">
    <cfRule type="cellIs" dxfId="71" priority="72" operator="equal">
      <formula>"F"</formula>
    </cfRule>
  </conditionalFormatting>
  <conditionalFormatting sqref="AM94:AO94">
    <cfRule type="cellIs" dxfId="70" priority="71" operator="equal">
      <formula>"FAIL"</formula>
    </cfRule>
  </conditionalFormatting>
  <conditionalFormatting sqref="C94 I94 O94 U94 AA94">
    <cfRule type="cellIs" dxfId="69" priority="69" operator="equal">
      <formula>"AB"</formula>
    </cfRule>
    <cfRule type="cellIs" dxfId="68" priority="70" operator="lessThan">
      <formula>40</formula>
    </cfRule>
  </conditionalFormatting>
  <conditionalFormatting sqref="E94 K94 M94 Q94 W94 Y94 AC94 AE94 AG94 AI94">
    <cfRule type="cellIs" dxfId="67" priority="67" operator="equal">
      <formula>"AB"</formula>
    </cfRule>
    <cfRule type="cellIs" dxfId="66" priority="68" operator="lessThan">
      <formula>10</formula>
    </cfRule>
  </conditionalFormatting>
  <conditionalFormatting sqref="G94 S94">
    <cfRule type="cellIs" dxfId="65" priority="65" operator="equal">
      <formula>"AB"</formula>
    </cfRule>
    <cfRule type="cellIs" dxfId="64" priority="66" operator="lessThan">
      <formula>20</formula>
    </cfRule>
  </conditionalFormatting>
  <conditionalFormatting sqref="J100 P100 V100 AB100 D100 F100 L100 N100 R100 X100 Z100 AD100 AF100 AH100 AJ100 H100 T100">
    <cfRule type="cellIs" dxfId="63" priority="64" operator="equal">
      <formula>"F"</formula>
    </cfRule>
  </conditionalFormatting>
  <conditionalFormatting sqref="AM100:AO100">
    <cfRule type="cellIs" dxfId="62" priority="63" operator="equal">
      <formula>"FAIL"</formula>
    </cfRule>
  </conditionalFormatting>
  <conditionalFormatting sqref="C100 I100 O100 U100 AA100">
    <cfRule type="cellIs" dxfId="61" priority="61" operator="equal">
      <formula>"AB"</formula>
    </cfRule>
    <cfRule type="cellIs" dxfId="60" priority="62" operator="lessThan">
      <formula>40</formula>
    </cfRule>
  </conditionalFormatting>
  <conditionalFormatting sqref="E100 K100 M100 Q100 W100 Y100 AC100 AE100 AG100 AI100">
    <cfRule type="cellIs" dxfId="59" priority="59" operator="equal">
      <formula>"AB"</formula>
    </cfRule>
    <cfRule type="cellIs" dxfId="58" priority="60" operator="lessThan">
      <formula>10</formula>
    </cfRule>
  </conditionalFormatting>
  <conditionalFormatting sqref="G100 S100">
    <cfRule type="cellIs" dxfId="57" priority="57" operator="equal">
      <formula>"AB"</formula>
    </cfRule>
    <cfRule type="cellIs" dxfId="56" priority="58" operator="lessThan">
      <formula>20</formula>
    </cfRule>
  </conditionalFormatting>
  <conditionalFormatting sqref="J152 P152 V152 AB152 D152 F152 L152 N152 R152 X152 Z152 AD152 AF152 AH152 AJ152 H152 T152">
    <cfRule type="cellIs" dxfId="55" priority="56" operator="equal">
      <formula>"F"</formula>
    </cfRule>
  </conditionalFormatting>
  <conditionalFormatting sqref="AM152:AO152">
    <cfRule type="cellIs" dxfId="54" priority="55" operator="equal">
      <formula>"FAIL"</formula>
    </cfRule>
  </conditionalFormatting>
  <conditionalFormatting sqref="C152 I152 O152 U152 AA152">
    <cfRule type="cellIs" dxfId="53" priority="53" operator="equal">
      <formula>"AB"</formula>
    </cfRule>
    <cfRule type="cellIs" dxfId="52" priority="54" operator="lessThan">
      <formula>40</formula>
    </cfRule>
  </conditionalFormatting>
  <conditionalFormatting sqref="E152 K152 M152 Q152 W152 Y152 AC152 AE152 AG152 AI152">
    <cfRule type="cellIs" dxfId="51" priority="51" operator="equal">
      <formula>"AB"</formula>
    </cfRule>
    <cfRule type="cellIs" dxfId="50" priority="52" operator="lessThan">
      <formula>10</formula>
    </cfRule>
  </conditionalFormatting>
  <conditionalFormatting sqref="G152 S152">
    <cfRule type="cellIs" dxfId="49" priority="49" operator="equal">
      <formula>"AB"</formula>
    </cfRule>
    <cfRule type="cellIs" dxfId="48" priority="50" operator="lessThan">
      <formula>20</formula>
    </cfRule>
  </conditionalFormatting>
  <conditionalFormatting sqref="J152 P152 V152 AB152 D152 F152 L152 N152 R152 X152 Z152 AD152 AF152 AH152 AJ152 H152 T152">
    <cfRule type="cellIs" dxfId="47" priority="48" operator="equal">
      <formula>"F"</formula>
    </cfRule>
  </conditionalFormatting>
  <conditionalFormatting sqref="AM152:AO152">
    <cfRule type="cellIs" dxfId="46" priority="47" operator="equal">
      <formula>"FAIL"</formula>
    </cfRule>
  </conditionalFormatting>
  <conditionalFormatting sqref="C152 I152 O152 U152 AA152">
    <cfRule type="cellIs" dxfId="45" priority="45" operator="equal">
      <formula>"AB"</formula>
    </cfRule>
    <cfRule type="cellIs" dxfId="44" priority="46" operator="lessThan">
      <formula>40</formula>
    </cfRule>
  </conditionalFormatting>
  <conditionalFormatting sqref="E152 K152 M152 Q152 W152 Y152 AC152 AE152 AG152 AI152">
    <cfRule type="cellIs" dxfId="43" priority="43" operator="equal">
      <formula>"AB"</formula>
    </cfRule>
    <cfRule type="cellIs" dxfId="42" priority="44" operator="lessThan">
      <formula>10</formula>
    </cfRule>
  </conditionalFormatting>
  <conditionalFormatting sqref="G152 S152">
    <cfRule type="cellIs" dxfId="41" priority="41" operator="equal">
      <formula>"AB"</formula>
    </cfRule>
    <cfRule type="cellIs" dxfId="40" priority="42" operator="lessThan">
      <formula>20</formula>
    </cfRule>
  </conditionalFormatting>
  <conditionalFormatting sqref="J56 P56 V56 AB56 D56 F56 L56 N56 R56 X56 Z56 AD56 AF56 AH56 AJ56 H56 T56">
    <cfRule type="cellIs" dxfId="39" priority="40" operator="equal">
      <formula>"F"</formula>
    </cfRule>
  </conditionalFormatting>
  <conditionalFormatting sqref="AM56:AO56">
    <cfRule type="cellIs" dxfId="38" priority="39" operator="equal">
      <formula>"FAIL"</formula>
    </cfRule>
  </conditionalFormatting>
  <conditionalFormatting sqref="C56 I56 O56 U56 AA56">
    <cfRule type="cellIs" dxfId="37" priority="37" operator="equal">
      <formula>"AB"</formula>
    </cfRule>
    <cfRule type="cellIs" dxfId="36" priority="38" operator="lessThan">
      <formula>40</formula>
    </cfRule>
  </conditionalFormatting>
  <conditionalFormatting sqref="E56 K56 M56 Q56 W56 Y56 AC56 AE56 AG56 AI56">
    <cfRule type="cellIs" dxfId="35" priority="35" operator="equal">
      <formula>"AB"</formula>
    </cfRule>
    <cfRule type="cellIs" dxfId="34" priority="36" operator="lessThan">
      <formula>10</formula>
    </cfRule>
  </conditionalFormatting>
  <conditionalFormatting sqref="G56 S56">
    <cfRule type="cellIs" dxfId="33" priority="33" operator="equal">
      <formula>"AB"</formula>
    </cfRule>
    <cfRule type="cellIs" dxfId="32" priority="34" operator="lessThan">
      <formula>20</formula>
    </cfRule>
  </conditionalFormatting>
  <conditionalFormatting sqref="J83 P83 V83 AB83 D83 F83 L83 N83 R83 X83 Z83 AD83 AF83 AH83 AJ83 H83 T83">
    <cfRule type="cellIs" dxfId="31" priority="32" operator="equal">
      <formula>"F"</formula>
    </cfRule>
  </conditionalFormatting>
  <conditionalFormatting sqref="AM83:AO83">
    <cfRule type="cellIs" dxfId="30" priority="31" operator="equal">
      <formula>"FAIL"</formula>
    </cfRule>
  </conditionalFormatting>
  <conditionalFormatting sqref="C83 I83 O83 U83 AA83">
    <cfRule type="cellIs" dxfId="29" priority="29" operator="equal">
      <formula>"AB"</formula>
    </cfRule>
    <cfRule type="cellIs" dxfId="28" priority="30" operator="lessThan">
      <formula>40</formula>
    </cfRule>
  </conditionalFormatting>
  <conditionalFormatting sqref="E83 K83 M83 Q83 W83 Y83 AC83 AE83 AG83 AI83">
    <cfRule type="cellIs" dxfId="27" priority="27" operator="equal">
      <formula>"AB"</formula>
    </cfRule>
    <cfRule type="cellIs" dxfId="26" priority="28" operator="lessThan">
      <formula>10</formula>
    </cfRule>
  </conditionalFormatting>
  <conditionalFormatting sqref="G83 S83">
    <cfRule type="cellIs" dxfId="25" priority="25" operator="equal">
      <formula>"AB"</formula>
    </cfRule>
    <cfRule type="cellIs" dxfId="24" priority="26" operator="lessThan">
      <formula>20</formula>
    </cfRule>
  </conditionalFormatting>
  <conditionalFormatting sqref="J134 P134 V134 AB134 D134 F134 L134 N134 R134 X134 Z134 AD134 AF134 AH134 AJ134 H134 T134">
    <cfRule type="cellIs" dxfId="23" priority="24" operator="equal">
      <formula>"F"</formula>
    </cfRule>
  </conditionalFormatting>
  <conditionalFormatting sqref="AM134:AO134">
    <cfRule type="cellIs" dxfId="22" priority="23" operator="equal">
      <formula>"FAIL"</formula>
    </cfRule>
  </conditionalFormatting>
  <conditionalFormatting sqref="C134 I134 O134 U134 AA134">
    <cfRule type="cellIs" dxfId="21" priority="21" operator="equal">
      <formula>"AB"</formula>
    </cfRule>
    <cfRule type="cellIs" dxfId="20" priority="22" operator="lessThan">
      <formula>40</formula>
    </cfRule>
  </conditionalFormatting>
  <conditionalFormatting sqref="E134 K134 M134 Q134 W134 Y134 AC134 AE134 AG134 AI134">
    <cfRule type="cellIs" dxfId="19" priority="19" operator="equal">
      <formula>"AB"</formula>
    </cfRule>
    <cfRule type="cellIs" dxfId="18" priority="20" operator="lessThan">
      <formula>10</formula>
    </cfRule>
  </conditionalFormatting>
  <conditionalFormatting sqref="G134 S134">
    <cfRule type="cellIs" dxfId="17" priority="17" operator="equal">
      <formula>"AB"</formula>
    </cfRule>
    <cfRule type="cellIs" dxfId="16" priority="18" operator="lessThan">
      <formula>20</formula>
    </cfRule>
  </conditionalFormatting>
  <conditionalFormatting sqref="J97 P97 V97 AB97 D97 F97 L97 N97 R97 X97 Z97 AD97 AF97 AH97 AJ97 H97 T97">
    <cfRule type="cellIs" dxfId="15" priority="16" operator="equal">
      <formula>"F"</formula>
    </cfRule>
  </conditionalFormatting>
  <conditionalFormatting sqref="AM97:AO97">
    <cfRule type="cellIs" dxfId="14" priority="15" operator="equal">
      <formula>"FAIL"</formula>
    </cfRule>
  </conditionalFormatting>
  <conditionalFormatting sqref="C97 I97 O97 U97 AA97">
    <cfRule type="cellIs" dxfId="13" priority="13" operator="equal">
      <formula>"AB"</formula>
    </cfRule>
    <cfRule type="cellIs" dxfId="12" priority="14" operator="lessThan">
      <formula>40</formula>
    </cfRule>
  </conditionalFormatting>
  <conditionalFormatting sqref="E97 K97 M97 Q97 W97 Y97 AC97 AE97 AG97 AI97">
    <cfRule type="cellIs" dxfId="11" priority="11" operator="equal">
      <formula>"AB"</formula>
    </cfRule>
    <cfRule type="cellIs" dxfId="10" priority="12" operator="lessThan">
      <formula>10</formula>
    </cfRule>
  </conditionalFormatting>
  <conditionalFormatting sqref="G97 S97">
    <cfRule type="cellIs" dxfId="9" priority="9" operator="equal">
      <formula>"AB"</formula>
    </cfRule>
    <cfRule type="cellIs" dxfId="8" priority="10" operator="lessThan">
      <formula>20</formula>
    </cfRule>
  </conditionalFormatting>
  <conditionalFormatting sqref="J150 P150 V150 AB150 D150 F150 L150 N150 R150 X150 Z150 AD150 AF150 AH150 AJ150 H150 T150">
    <cfRule type="cellIs" dxfId="7" priority="8" operator="equal">
      <formula>"F"</formula>
    </cfRule>
  </conditionalFormatting>
  <conditionalFormatting sqref="AM150:AO150">
    <cfRule type="cellIs" dxfId="6" priority="7" operator="equal">
      <formula>"FAIL"</formula>
    </cfRule>
  </conditionalFormatting>
  <conditionalFormatting sqref="C150 I150 O150 U150 AA150">
    <cfRule type="cellIs" dxfId="5" priority="5" operator="equal">
      <formula>"AB"</formula>
    </cfRule>
    <cfRule type="cellIs" dxfId="4" priority="6" operator="lessThan">
      <formula>40</formula>
    </cfRule>
  </conditionalFormatting>
  <conditionalFormatting sqref="E150 K150 M150 Q150 W150 Y150 AC150 AE150 AG150 AI150">
    <cfRule type="cellIs" dxfId="3" priority="3" operator="equal">
      <formula>"AB"</formula>
    </cfRule>
    <cfRule type="cellIs" dxfId="2" priority="4" operator="lessThan">
      <formula>10</formula>
    </cfRule>
  </conditionalFormatting>
  <conditionalFormatting sqref="G150 S150">
    <cfRule type="cellIs" dxfId="1" priority="1" operator="equal">
      <formula>"AB"</formula>
    </cfRule>
    <cfRule type="cellIs" dxfId="0" priority="2" operator="lessThan">
      <formula>20</formula>
    </cfRule>
  </conditionalFormatting>
  <hyperlinks>
    <hyperlink ref="AM175" r:id="rId1"/>
    <hyperlink ref="AM173" r:id="rId2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Guzet</vt:lpstr>
      <vt:lpstr>Sheet2</vt:lpstr>
      <vt:lpstr>MArksheet</vt:lpstr>
      <vt:lpstr>Guzet!Print_Area</vt:lpstr>
      <vt:lpstr>Guzet!Print_Titles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PARAG</dc:creator>
  <cp:lastModifiedBy>admin</cp:lastModifiedBy>
  <cp:lastPrinted>2013-07-18T06:46:46Z</cp:lastPrinted>
  <dcterms:created xsi:type="dcterms:W3CDTF">2012-04-17T07:05:30Z</dcterms:created>
  <dcterms:modified xsi:type="dcterms:W3CDTF">2015-08-04T08:02:50Z</dcterms:modified>
</cp:coreProperties>
</file>