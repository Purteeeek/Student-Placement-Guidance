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5195" windowHeight="8190" activeTab="2"/>
  </bookViews>
  <sheets>
    <sheet name="Guzet" sheetId="1" r:id="rId1"/>
    <sheet name="Sheet2" sheetId="2" r:id="rId2"/>
    <sheet name="Marksheet" sheetId="3" r:id="rId3"/>
  </sheets>
  <definedNames>
    <definedName name="_xlnm.Print_Area" localSheetId="0">Guzet!$B$28:$AN$209</definedName>
    <definedName name="_xlnm.Print_Titles" localSheetId="0">Guzet!$20:$27</definedName>
  </definedNames>
  <calcPr calcId="124519"/>
</workbook>
</file>

<file path=xl/calcChain.xml><?xml version="1.0" encoding="utf-8"?>
<calcChain xmlns="http://schemas.openxmlformats.org/spreadsheetml/2006/main">
  <c r="AI128" i="3"/>
  <c r="AK128" s="1"/>
  <c r="AN128" s="1"/>
  <c r="AN122" i="1"/>
  <c r="AN127"/>
  <c r="AN128"/>
  <c r="AN129"/>
  <c r="AN132"/>
  <c r="AN133"/>
  <c r="AN143"/>
  <c r="AN145"/>
  <c r="AN147"/>
  <c r="AN152"/>
  <c r="AN158"/>
  <c r="AN159"/>
  <c r="AN161"/>
  <c r="AN162"/>
  <c r="AN163"/>
  <c r="AN165"/>
  <c r="AN166"/>
  <c r="AN167"/>
  <c r="AN170"/>
  <c r="AN171"/>
  <c r="AN172"/>
  <c r="AN173"/>
  <c r="AN174"/>
  <c r="AN175"/>
  <c r="AN176"/>
  <c r="AN180"/>
  <c r="AN181"/>
  <c r="AN183"/>
  <c r="AN186"/>
  <c r="AN187"/>
  <c r="AN188"/>
  <c r="AN189"/>
  <c r="AN190"/>
  <c r="AN191"/>
  <c r="AN194"/>
  <c r="AN196"/>
  <c r="AN199"/>
  <c r="AN203"/>
  <c r="AN204"/>
  <c r="AN205"/>
  <c r="AN206"/>
  <c r="AN207"/>
  <c r="AN208"/>
  <c r="AN209"/>
  <c r="AH151" i="3"/>
  <c r="AF151"/>
  <c r="AD151"/>
  <c r="AB151"/>
  <c r="Z151"/>
  <c r="X151"/>
  <c r="V151"/>
  <c r="T151"/>
  <c r="R151"/>
  <c r="P151"/>
  <c r="N151"/>
  <c r="L151"/>
  <c r="J151"/>
  <c r="H151"/>
  <c r="F151"/>
  <c r="AH158"/>
  <c r="AF158"/>
  <c r="AD158"/>
  <c r="AB158"/>
  <c r="Z158"/>
  <c r="X158"/>
  <c r="V158"/>
  <c r="T158"/>
  <c r="R158"/>
  <c r="P158"/>
  <c r="N158"/>
  <c r="L158"/>
  <c r="J158"/>
  <c r="H158"/>
  <c r="F158"/>
  <c r="AH169"/>
  <c r="AF169"/>
  <c r="AD169"/>
  <c r="AB169"/>
  <c r="Z169"/>
  <c r="X169"/>
  <c r="V169"/>
  <c r="T169"/>
  <c r="R169"/>
  <c r="P169"/>
  <c r="N169"/>
  <c r="L169"/>
  <c r="J169"/>
  <c r="H169"/>
  <c r="F169"/>
  <c r="AH175"/>
  <c r="AF175"/>
  <c r="AD175"/>
  <c r="AB175"/>
  <c r="Z175"/>
  <c r="V175"/>
  <c r="T175"/>
  <c r="R175"/>
  <c r="P175"/>
  <c r="N175"/>
  <c r="L175"/>
  <c r="J175"/>
  <c r="F175"/>
  <c r="D175"/>
  <c r="AL42"/>
  <c r="AL11"/>
  <c r="AD12" i="1"/>
  <c r="AD5" s="1"/>
  <c r="E12" i="2" s="1"/>
  <c r="AD10" i="1"/>
  <c r="AD9"/>
  <c r="AD8"/>
  <c r="X12"/>
  <c r="X5" s="1"/>
  <c r="E11" i="2" s="1"/>
  <c r="X10" i="1"/>
  <c r="X9"/>
  <c r="X8"/>
  <c r="R12"/>
  <c r="R5" s="1"/>
  <c r="E10" i="2" s="1"/>
  <c r="R10" i="1"/>
  <c r="R9"/>
  <c r="R8"/>
  <c r="L12"/>
  <c r="L5" s="1"/>
  <c r="E9" i="2" s="1"/>
  <c r="L10" i="1"/>
  <c r="L9"/>
  <c r="L8"/>
  <c r="H12"/>
  <c r="H5" s="1"/>
  <c r="E8" i="2" s="1"/>
  <c r="H10" i="1"/>
  <c r="H9"/>
  <c r="H8"/>
  <c r="D9"/>
  <c r="D12"/>
  <c r="D5" s="1"/>
  <c r="E7" i="2" s="1"/>
  <c r="D10" i="1"/>
  <c r="D8"/>
  <c r="AO56"/>
  <c r="AK97" i="3"/>
  <c r="AI169"/>
  <c r="AI124"/>
  <c r="AN137" i="1"/>
  <c r="AO44"/>
  <c r="AO62"/>
  <c r="AI70" i="3"/>
  <c r="AO74" i="1"/>
  <c r="AI190" i="3"/>
  <c r="AN144" i="1"/>
  <c r="AI77" i="3"/>
  <c r="AI95"/>
  <c r="AK109"/>
  <c r="AN135" i="1"/>
  <c r="AI141" i="3"/>
  <c r="AO58" i="1"/>
  <c r="AI66" i="3"/>
  <c r="AN169" i="1"/>
  <c r="AI27" i="3"/>
  <c r="AK71"/>
  <c r="AI11"/>
  <c r="AI75"/>
  <c r="AN123" i="1"/>
  <c r="AO52"/>
  <c r="AI134" i="3"/>
  <c r="AI65"/>
  <c r="AI127"/>
  <c r="AK58"/>
  <c r="AI50"/>
  <c r="AI151"/>
  <c r="AI158"/>
  <c r="AK6"/>
  <c r="AI175"/>
  <c r="AI42"/>
  <c r="AN30" i="1" l="1"/>
  <c r="AN35"/>
  <c r="AN38"/>
  <c r="AN39"/>
  <c r="AN40"/>
  <c r="AN41"/>
  <c r="AN43"/>
  <c r="AN45"/>
  <c r="AN46"/>
  <c r="AN48"/>
  <c r="AN49"/>
  <c r="AN50"/>
  <c r="AN53"/>
  <c r="AN55"/>
  <c r="AN61"/>
  <c r="AN71"/>
  <c r="AN75"/>
  <c r="AN85"/>
  <c r="AN87"/>
  <c r="AN88"/>
  <c r="AN91"/>
  <c r="AN94"/>
  <c r="AN95"/>
  <c r="AN101"/>
  <c r="AN106"/>
  <c r="AN107"/>
  <c r="AN108"/>
  <c r="AN109"/>
  <c r="AN110"/>
  <c r="AN112"/>
  <c r="AN113"/>
  <c r="AN114"/>
  <c r="AN115"/>
  <c r="AN116"/>
  <c r="AN117"/>
  <c r="AN119"/>
  <c r="AN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E28"/>
  <c r="G28"/>
  <c r="I28"/>
  <c r="K28"/>
  <c r="E35"/>
  <c r="E38"/>
  <c r="E41"/>
  <c r="I41"/>
  <c r="E43"/>
  <c r="E45"/>
  <c r="I46"/>
  <c r="E48"/>
  <c r="E49"/>
  <c r="E50"/>
  <c r="E55"/>
  <c r="E61"/>
  <c r="I61"/>
  <c r="E71"/>
  <c r="E75"/>
  <c r="E87"/>
  <c r="I87"/>
  <c r="E88"/>
  <c r="E91"/>
  <c r="E94"/>
  <c r="E95"/>
  <c r="E101"/>
  <c r="E104"/>
  <c r="E105"/>
  <c r="E106"/>
  <c r="E107"/>
  <c r="I107"/>
  <c r="E108"/>
  <c r="E109"/>
  <c r="I109"/>
  <c r="E112"/>
  <c r="I112"/>
  <c r="E113"/>
  <c r="I113"/>
  <c r="E114"/>
  <c r="I114"/>
  <c r="E115"/>
  <c r="E116"/>
  <c r="I116"/>
  <c r="E117"/>
  <c r="E119"/>
  <c r="E127"/>
  <c r="E128"/>
  <c r="I128"/>
  <c r="E129"/>
  <c r="E132"/>
  <c r="E133"/>
  <c r="I133"/>
  <c r="E143"/>
  <c r="I143"/>
  <c r="E145"/>
  <c r="I145"/>
  <c r="E153"/>
  <c r="E158"/>
  <c r="I158"/>
  <c r="E161"/>
  <c r="E162"/>
  <c r="E163"/>
  <c r="E165"/>
  <c r="E166"/>
  <c r="E167"/>
  <c r="E170"/>
  <c r="E171"/>
  <c r="I171"/>
  <c r="E172"/>
  <c r="E173"/>
  <c r="E174"/>
  <c r="G174"/>
  <c r="I174"/>
  <c r="K174"/>
  <c r="E175"/>
  <c r="G175"/>
  <c r="K175"/>
  <c r="E176"/>
  <c r="G176"/>
  <c r="I176"/>
  <c r="K176"/>
  <c r="G177"/>
  <c r="I177"/>
  <c r="K177"/>
  <c r="E178"/>
  <c r="G178"/>
  <c r="K178"/>
  <c r="E179"/>
  <c r="G179"/>
  <c r="I179"/>
  <c r="K179"/>
  <c r="E180"/>
  <c r="G180"/>
  <c r="I180"/>
  <c r="K180"/>
  <c r="E181"/>
  <c r="G181"/>
  <c r="I181"/>
  <c r="K181"/>
  <c r="E182"/>
  <c r="G182"/>
  <c r="K182"/>
  <c r="E183"/>
  <c r="G183"/>
  <c r="I183"/>
  <c r="K183"/>
  <c r="G184"/>
  <c r="I184"/>
  <c r="K184"/>
  <c r="G185"/>
  <c r="I185"/>
  <c r="K185"/>
  <c r="E186"/>
  <c r="G186"/>
  <c r="I186"/>
  <c r="K186"/>
  <c r="E187"/>
  <c r="G187"/>
  <c r="I187"/>
  <c r="K187"/>
  <c r="E188"/>
  <c r="G188"/>
  <c r="I188"/>
  <c r="K188"/>
  <c r="E189"/>
  <c r="G189"/>
  <c r="I189"/>
  <c r="K189"/>
  <c r="E190"/>
  <c r="G190"/>
  <c r="K190"/>
  <c r="E191"/>
  <c r="G191"/>
  <c r="K191"/>
  <c r="G192"/>
  <c r="I192"/>
  <c r="K192"/>
  <c r="E193"/>
  <c r="G193"/>
  <c r="K193"/>
  <c r="E194"/>
  <c r="G194"/>
  <c r="I194"/>
  <c r="K194"/>
  <c r="G195"/>
  <c r="I195"/>
  <c r="K195"/>
  <c r="E196"/>
  <c r="G196"/>
  <c r="K196"/>
  <c r="E197"/>
  <c r="G197"/>
  <c r="K197"/>
  <c r="E198"/>
  <c r="G198"/>
  <c r="K198"/>
  <c r="E199"/>
  <c r="G199"/>
  <c r="K199"/>
  <c r="E200"/>
  <c r="G200"/>
  <c r="I200"/>
  <c r="K200"/>
  <c r="E201"/>
  <c r="G201"/>
  <c r="K201"/>
  <c r="E202"/>
  <c r="G202"/>
  <c r="K202"/>
  <c r="E203"/>
  <c r="G203"/>
  <c r="I203"/>
  <c r="K203"/>
  <c r="E204"/>
  <c r="G204"/>
  <c r="I204"/>
  <c r="K204"/>
  <c r="E205"/>
  <c r="G205"/>
  <c r="K205"/>
  <c r="E206"/>
  <c r="G206"/>
  <c r="I206"/>
  <c r="K206"/>
  <c r="E207"/>
  <c r="G207"/>
  <c r="I207"/>
  <c r="K207"/>
  <c r="E208"/>
  <c r="G208"/>
  <c r="I208"/>
  <c r="K208"/>
  <c r="AI29"/>
  <c r="E29" s="1"/>
  <c r="AI30"/>
  <c r="G30" s="1"/>
  <c r="AI31"/>
  <c r="G31" s="1"/>
  <c r="AI32"/>
  <c r="G32" s="1"/>
  <c r="AI33"/>
  <c r="E33" s="1"/>
  <c r="AI34"/>
  <c r="G34" s="1"/>
  <c r="AI35"/>
  <c r="G35" s="1"/>
  <c r="AI36"/>
  <c r="G36" s="1"/>
  <c r="AI37"/>
  <c r="G37" s="1"/>
  <c r="AI38"/>
  <c r="K38" s="1"/>
  <c r="AI39"/>
  <c r="G39" s="1"/>
  <c r="AI40"/>
  <c r="G40" s="1"/>
  <c r="AI41"/>
  <c r="K41" s="1"/>
  <c r="AI42"/>
  <c r="G42" s="1"/>
  <c r="AI43"/>
  <c r="G43" s="1"/>
  <c r="AI44"/>
  <c r="K44" s="1"/>
  <c r="AI45"/>
  <c r="G45" s="1"/>
  <c r="AI46"/>
  <c r="K46" s="1"/>
  <c r="AI47"/>
  <c r="G47" s="1"/>
  <c r="AI48"/>
  <c r="G48" s="1"/>
  <c r="AI49"/>
  <c r="G49" s="1"/>
  <c r="AI50"/>
  <c r="K50" s="1"/>
  <c r="AI51"/>
  <c r="G51" s="1"/>
  <c r="AI52"/>
  <c r="G52" s="1"/>
  <c r="AI53"/>
  <c r="K53" s="1"/>
  <c r="AI54"/>
  <c r="G54" s="1"/>
  <c r="AI55"/>
  <c r="K55" s="1"/>
  <c r="AI56"/>
  <c r="K56" s="1"/>
  <c r="AI57"/>
  <c r="G57" s="1"/>
  <c r="AI58"/>
  <c r="K58" s="1"/>
  <c r="AI59"/>
  <c r="K59" s="1"/>
  <c r="AI60"/>
  <c r="G60" s="1"/>
  <c r="AI61"/>
  <c r="K61" s="1"/>
  <c r="AI62"/>
  <c r="G62" s="1"/>
  <c r="AI63"/>
  <c r="G63" s="1"/>
  <c r="AI64"/>
  <c r="K64" s="1"/>
  <c r="AI65"/>
  <c r="G65" s="1"/>
  <c r="AI66"/>
  <c r="G66" s="1"/>
  <c r="AI67"/>
  <c r="G67" s="1"/>
  <c r="AI68"/>
  <c r="G68" s="1"/>
  <c r="AI69"/>
  <c r="G69" s="1"/>
  <c r="AI70"/>
  <c r="K70" s="1"/>
  <c r="AI71"/>
  <c r="G71" s="1"/>
  <c r="AI72"/>
  <c r="G72" s="1"/>
  <c r="AI73"/>
  <c r="G73" s="1"/>
  <c r="AI74"/>
  <c r="G74" s="1"/>
  <c r="AI75"/>
  <c r="G75" s="1"/>
  <c r="AI76"/>
  <c r="K76" s="1"/>
  <c r="AI77"/>
  <c r="G77" s="1"/>
  <c r="AI78"/>
  <c r="G78" s="1"/>
  <c r="AI79"/>
  <c r="G79" s="1"/>
  <c r="AI80"/>
  <c r="K80" s="1"/>
  <c r="AI81"/>
  <c r="G81" s="1"/>
  <c r="AI82"/>
  <c r="K82" s="1"/>
  <c r="AI83"/>
  <c r="K83" s="1"/>
  <c r="AI84"/>
  <c r="G84" s="1"/>
  <c r="AI85"/>
  <c r="G85" s="1"/>
  <c r="AI86"/>
  <c r="G86" s="1"/>
  <c r="AI87"/>
  <c r="G87" s="1"/>
  <c r="AI88"/>
  <c r="G88" s="1"/>
  <c r="AI89"/>
  <c r="G89" s="1"/>
  <c r="AI90"/>
  <c r="G90" s="1"/>
  <c r="AI91"/>
  <c r="G91" s="1"/>
  <c r="AI92"/>
  <c r="G92" s="1"/>
  <c r="AI93"/>
  <c r="G93" s="1"/>
  <c r="AI94"/>
  <c r="K94" s="1"/>
  <c r="AI95"/>
  <c r="G95" s="1"/>
  <c r="AI96"/>
  <c r="G96" s="1"/>
  <c r="AI97"/>
  <c r="G97" s="1"/>
  <c r="AI98"/>
  <c r="G98" s="1"/>
  <c r="AI99"/>
  <c r="G99" s="1"/>
  <c r="AI100"/>
  <c r="K100" s="1"/>
  <c r="AI101"/>
  <c r="G101" s="1"/>
  <c r="AI102"/>
  <c r="G102" s="1"/>
  <c r="AI103"/>
  <c r="G103" s="1"/>
  <c r="AI104"/>
  <c r="K104" s="1"/>
  <c r="AI105"/>
  <c r="G105" s="1"/>
  <c r="AI106"/>
  <c r="K106" s="1"/>
  <c r="AI107"/>
  <c r="K107" s="1"/>
  <c r="AI108"/>
  <c r="G108" s="1"/>
  <c r="AI109"/>
  <c r="G109" s="1"/>
  <c r="AI110"/>
  <c r="G110" s="1"/>
  <c r="AI111"/>
  <c r="G111" s="1"/>
  <c r="AI112"/>
  <c r="K112" s="1"/>
  <c r="AI113"/>
  <c r="G113" s="1"/>
  <c r="AI114"/>
  <c r="K114" s="1"/>
  <c r="AI115"/>
  <c r="G115" s="1"/>
  <c r="AI116"/>
  <c r="K116" s="1"/>
  <c r="AI117"/>
  <c r="G117" s="1"/>
  <c r="AI118"/>
  <c r="K118" s="1"/>
  <c r="AI119"/>
  <c r="K119" s="1"/>
  <c r="AI120"/>
  <c r="G120" s="1"/>
  <c r="AI121"/>
  <c r="G121" s="1"/>
  <c r="AI122"/>
  <c r="G122" s="1"/>
  <c r="AI123"/>
  <c r="G123" s="1"/>
  <c r="AI124"/>
  <c r="K124" s="1"/>
  <c r="AI125"/>
  <c r="G125" s="1"/>
  <c r="AI126"/>
  <c r="G126" s="1"/>
  <c r="AI127"/>
  <c r="G127" s="1"/>
  <c r="AI128"/>
  <c r="K128" s="1"/>
  <c r="AI129"/>
  <c r="G129" s="1"/>
  <c r="AI130"/>
  <c r="K130" s="1"/>
  <c r="AI131"/>
  <c r="K131" s="1"/>
  <c r="AI132"/>
  <c r="G132" s="1"/>
  <c r="AI133"/>
  <c r="G133" s="1"/>
  <c r="AI134"/>
  <c r="G134" s="1"/>
  <c r="AI135"/>
  <c r="G135" s="1"/>
  <c r="AI136"/>
  <c r="K136" s="1"/>
  <c r="AI137"/>
  <c r="G137" s="1"/>
  <c r="AI138"/>
  <c r="G138" s="1"/>
  <c r="AI139"/>
  <c r="G139" s="1"/>
  <c r="AI140"/>
  <c r="K140" s="1"/>
  <c r="AI141"/>
  <c r="G141" s="1"/>
  <c r="AI142"/>
  <c r="K142" s="1"/>
  <c r="AI143"/>
  <c r="K143" s="1"/>
  <c r="AI144"/>
  <c r="G144" s="1"/>
  <c r="AI145"/>
  <c r="K145" s="1"/>
  <c r="AI146"/>
  <c r="K146" s="1"/>
  <c r="AI147"/>
  <c r="G147" s="1"/>
  <c r="AI148"/>
  <c r="K148" s="1"/>
  <c r="AI149"/>
  <c r="K149" s="1"/>
  <c r="AI150"/>
  <c r="G150" s="1"/>
  <c r="AI151"/>
  <c r="G151" s="1"/>
  <c r="AI152"/>
  <c r="G152" s="1"/>
  <c r="AI153"/>
  <c r="G153" s="1"/>
  <c r="AI154"/>
  <c r="G154" s="1"/>
  <c r="AI155"/>
  <c r="K155" s="1"/>
  <c r="AI156"/>
  <c r="G156" s="1"/>
  <c r="AI157"/>
  <c r="G157" s="1"/>
  <c r="AI158"/>
  <c r="K158" s="1"/>
  <c r="AI159"/>
  <c r="G159" s="1"/>
  <c r="AI160"/>
  <c r="G160" s="1"/>
  <c r="AI161"/>
  <c r="G161" s="1"/>
  <c r="AI162"/>
  <c r="G162" s="1"/>
  <c r="AI163"/>
  <c r="G163" s="1"/>
  <c r="AI164"/>
  <c r="G164" s="1"/>
  <c r="AI165"/>
  <c r="G165" s="1"/>
  <c r="AI166"/>
  <c r="G166" s="1"/>
  <c r="AI167"/>
  <c r="K167" s="1"/>
  <c r="AI168"/>
  <c r="G168" s="1"/>
  <c r="AI169"/>
  <c r="G169" s="1"/>
  <c r="AI170"/>
  <c r="K170" s="1"/>
  <c r="AI171"/>
  <c r="K171" s="1"/>
  <c r="AI172"/>
  <c r="K172" s="1"/>
  <c r="AI173"/>
  <c r="G173" s="1"/>
  <c r="AI174"/>
  <c r="AI175"/>
  <c r="I175" s="1"/>
  <c r="AI176"/>
  <c r="AI177"/>
  <c r="E177" s="1"/>
  <c r="AI178"/>
  <c r="I178" s="1"/>
  <c r="AI179"/>
  <c r="AI180"/>
  <c r="AI181"/>
  <c r="AI182"/>
  <c r="I182" s="1"/>
  <c r="AI183"/>
  <c r="AI184"/>
  <c r="E184" s="1"/>
  <c r="AI185"/>
  <c r="E185" s="1"/>
  <c r="AI186"/>
  <c r="AI187"/>
  <c r="AI188"/>
  <c r="AI189"/>
  <c r="AI190"/>
  <c r="I190" s="1"/>
  <c r="AI191"/>
  <c r="I191" s="1"/>
  <c r="AI192"/>
  <c r="E192" s="1"/>
  <c r="AI193"/>
  <c r="I193" s="1"/>
  <c r="AI194"/>
  <c r="AI195"/>
  <c r="E195" s="1"/>
  <c r="AI196"/>
  <c r="I196" s="1"/>
  <c r="AI197"/>
  <c r="I197" s="1"/>
  <c r="AI198"/>
  <c r="I198" s="1"/>
  <c r="AI199"/>
  <c r="I199" s="1"/>
  <c r="AI200"/>
  <c r="AI201"/>
  <c r="I201" s="1"/>
  <c r="AI202"/>
  <c r="I202" s="1"/>
  <c r="AI203"/>
  <c r="AI204"/>
  <c r="AI205"/>
  <c r="I205" s="1"/>
  <c r="AI206"/>
  <c r="AI207"/>
  <c r="AI208"/>
  <c r="AI209"/>
  <c r="G209" s="1"/>
  <c r="AJ184"/>
  <c r="AK124" i="3"/>
  <c r="AJ44" i="1"/>
  <c r="AJ200"/>
  <c r="AK134" i="3"/>
  <c r="AJ105" i="1"/>
  <c r="AJ198"/>
  <c r="AJ182"/>
  <c r="AJ113"/>
  <c r="AJ107"/>
  <c r="AJ126"/>
  <c r="AK95" i="3"/>
  <c r="AJ145" i="1"/>
  <c r="AJ127"/>
  <c r="AJ168"/>
  <c r="AJ31"/>
  <c r="AJ82"/>
  <c r="AK66" i="3"/>
  <c r="AJ129" i="1"/>
  <c r="AN58" i="3"/>
  <c r="AJ85" i="1"/>
  <c r="AJ188"/>
  <c r="AJ187"/>
  <c r="AK127" i="3"/>
  <c r="AJ195" i="1"/>
  <c r="AJ71"/>
  <c r="AJ34"/>
  <c r="AJ51"/>
  <c r="AJ35"/>
  <c r="AJ42"/>
  <c r="AJ76"/>
  <c r="AK151" i="3"/>
  <c r="AJ40" i="1"/>
  <c r="AJ196"/>
  <c r="AJ178"/>
  <c r="AJ39"/>
  <c r="AJ152"/>
  <c r="AK75" i="3"/>
  <c r="AJ143" i="1"/>
  <c r="AJ206"/>
  <c r="AJ80"/>
  <c r="AJ175"/>
  <c r="AJ205"/>
  <c r="AK11" i="3"/>
  <c r="AJ109" i="1"/>
  <c r="AJ77"/>
  <c r="AJ140"/>
  <c r="AM42" i="3"/>
  <c r="AN6"/>
  <c r="AJ92" i="1"/>
  <c r="AJ122"/>
  <c r="AJ93"/>
  <c r="AJ101"/>
  <c r="AJ192"/>
  <c r="AK175" i="3"/>
  <c r="AJ154" i="1"/>
  <c r="AJ156"/>
  <c r="AJ149"/>
  <c r="AJ121"/>
  <c r="AJ57"/>
  <c r="AJ106"/>
  <c r="AJ197"/>
  <c r="AJ148"/>
  <c r="AJ52"/>
  <c r="AJ153"/>
  <c r="AJ65"/>
  <c r="AJ115"/>
  <c r="AJ48"/>
  <c r="AJ58"/>
  <c r="AJ81"/>
  <c r="AJ204"/>
  <c r="AJ114"/>
  <c r="AJ141"/>
  <c r="AJ134"/>
  <c r="AJ47"/>
  <c r="AK65" i="3"/>
  <c r="AJ100" i="1"/>
  <c r="AJ191"/>
  <c r="AJ78"/>
  <c r="AJ72"/>
  <c r="AJ74"/>
  <c r="AJ62"/>
  <c r="AJ63"/>
  <c r="AK77" i="3"/>
  <c r="AJ207" i="1"/>
  <c r="AJ190"/>
  <c r="AJ43"/>
  <c r="AJ194"/>
  <c r="AJ49"/>
  <c r="AJ46"/>
  <c r="AJ120"/>
  <c r="AJ112"/>
  <c r="AJ111"/>
  <c r="AJ118"/>
  <c r="AJ86"/>
  <c r="AJ157"/>
  <c r="AJ54"/>
  <c r="AJ61"/>
  <c r="AJ174"/>
  <c r="AJ87"/>
  <c r="AJ60"/>
  <c r="AJ53"/>
  <c r="AJ130"/>
  <c r="AJ172"/>
  <c r="AJ125"/>
  <c r="AJ176"/>
  <c r="AK42" i="3"/>
  <c r="AJ164" i="1"/>
  <c r="AK158" i="3"/>
  <c r="AJ94" i="1"/>
  <c r="AJ155"/>
  <c r="AJ98"/>
  <c r="AJ202"/>
  <c r="AJ142"/>
  <c r="AJ79"/>
  <c r="AJ179"/>
  <c r="AJ165"/>
  <c r="AJ108"/>
  <c r="AJ45"/>
  <c r="AM11" i="3"/>
  <c r="AK27"/>
  <c r="AJ186" i="1"/>
  <c r="AK70" i="3"/>
  <c r="AJ73" i="1"/>
  <c r="AJ181"/>
  <c r="AK190" i="3"/>
  <c r="AJ136" i="1"/>
  <c r="AJ91"/>
  <c r="AJ70"/>
  <c r="AJ163"/>
  <c r="AJ83"/>
  <c r="AJ151"/>
  <c r="AJ124"/>
  <c r="AJ99"/>
  <c r="AJ166"/>
  <c r="AJ167"/>
  <c r="AJ201"/>
  <c r="AJ189"/>
  <c r="AN76"/>
  <c r="AK50" i="3"/>
  <c r="AJ185" i="1"/>
  <c r="AJ170"/>
  <c r="AK169" i="3"/>
  <c r="AJ66" i="1"/>
  <c r="AJ59"/>
  <c r="AJ69"/>
  <c r="AJ64"/>
  <c r="AJ138"/>
  <c r="AJ75"/>
  <c r="AK141" i="3"/>
  <c r="AJ56" i="1"/>
  <c r="AJ132"/>
  <c r="AJ160"/>
  <c r="AJ159"/>
  <c r="AJ110"/>
  <c r="AJ146"/>
  <c r="AJ90"/>
  <c r="AN71" i="3"/>
  <c r="AJ102" i="1"/>
  <c r="AN97" i="3"/>
  <c r="AJ37" i="1"/>
  <c r="AJ68"/>
  <c r="AJ117"/>
  <c r="AJ171"/>
  <c r="AJ50"/>
  <c r="AJ104"/>
  <c r="AJ30"/>
  <c r="AJ67"/>
  <c r="AN109" i="3"/>
  <c r="AJ208" i="1"/>
  <c r="AJ133"/>
  <c r="AJ161"/>
  <c r="AJ41"/>
  <c r="AJ131"/>
  <c r="AJ183"/>
  <c r="AJ119"/>
  <c r="AJ173"/>
  <c r="AJ139"/>
  <c r="AJ150"/>
  <c r="AJ193"/>
  <c r="AM190" i="3"/>
  <c r="AJ55" i="1"/>
  <c r="AJ199"/>
  <c r="AJ88"/>
  <c r="AJ89"/>
  <c r="E121" l="1"/>
  <c r="E135"/>
  <c r="E150"/>
  <c r="E84"/>
  <c r="E97"/>
  <c r="I105"/>
  <c r="G112"/>
  <c r="G171"/>
  <c r="G104"/>
  <c r="E51"/>
  <c r="G61"/>
  <c r="G145"/>
  <c r="G114"/>
  <c r="G55"/>
  <c r="E77"/>
  <c r="I151"/>
  <c r="E62"/>
  <c r="I45"/>
  <c r="I159"/>
  <c r="I120"/>
  <c r="E131"/>
  <c r="E134"/>
  <c r="I135"/>
  <c r="I95"/>
  <c r="I94"/>
  <c r="E89"/>
  <c r="I89"/>
  <c r="E30"/>
  <c r="I51"/>
  <c r="I150"/>
  <c r="E155"/>
  <c r="I155"/>
  <c r="I154"/>
  <c r="I153"/>
  <c r="E141"/>
  <c r="I140"/>
  <c r="I122"/>
  <c r="I121"/>
  <c r="I101"/>
  <c r="I96"/>
  <c r="E85"/>
  <c r="I79"/>
  <c r="I74"/>
  <c r="I62"/>
  <c r="I59"/>
  <c r="I47"/>
  <c r="I44"/>
  <c r="I43"/>
  <c r="I42"/>
  <c r="E31"/>
  <c r="I169"/>
  <c r="I161"/>
  <c r="I131"/>
  <c r="I123"/>
  <c r="E103"/>
  <c r="E102"/>
  <c r="I99"/>
  <c r="I34"/>
  <c r="I148"/>
  <c r="I149"/>
  <c r="E152"/>
  <c r="I152"/>
  <c r="I157"/>
  <c r="I162"/>
  <c r="I164"/>
  <c r="E164"/>
  <c r="I165"/>
  <c r="I166"/>
  <c r="I167"/>
  <c r="I168"/>
  <c r="E168"/>
  <c r="I170"/>
  <c r="I172"/>
  <c r="I147"/>
  <c r="I146"/>
  <c r="I144"/>
  <c r="I138"/>
  <c r="I137"/>
  <c r="I134"/>
  <c r="I132"/>
  <c r="I108"/>
  <c r="I130"/>
  <c r="I127"/>
  <c r="I126"/>
  <c r="I119"/>
  <c r="I117"/>
  <c r="E111"/>
  <c r="I111"/>
  <c r="I110"/>
  <c r="I106"/>
  <c r="I104"/>
  <c r="I103"/>
  <c r="I97"/>
  <c r="E93"/>
  <c r="I93"/>
  <c r="I92"/>
  <c r="I91"/>
  <c r="I90"/>
  <c r="I86"/>
  <c r="I84"/>
  <c r="I83"/>
  <c r="I82"/>
  <c r="I81"/>
  <c r="I80"/>
  <c r="E78"/>
  <c r="I78"/>
  <c r="I76"/>
  <c r="I71"/>
  <c r="I70"/>
  <c r="I68"/>
  <c r="I64"/>
  <c r="I63"/>
  <c r="E63"/>
  <c r="I60"/>
  <c r="I58"/>
  <c r="E58"/>
  <c r="I57"/>
  <c r="I56"/>
  <c r="I55"/>
  <c r="I52"/>
  <c r="I49"/>
  <c r="I48"/>
  <c r="E44"/>
  <c r="I40"/>
  <c r="I38"/>
  <c r="I37"/>
  <c r="E37"/>
  <c r="I35"/>
  <c r="I156"/>
  <c r="E156"/>
  <c r="I160"/>
  <c r="I163"/>
  <c r="I173"/>
  <c r="I139"/>
  <c r="E142"/>
  <c r="I142"/>
  <c r="I141"/>
  <c r="I136"/>
  <c r="I129"/>
  <c r="E125"/>
  <c r="I125"/>
  <c r="I124"/>
  <c r="E120"/>
  <c r="I118"/>
  <c r="I115"/>
  <c r="I102"/>
  <c r="I100"/>
  <c r="I98"/>
  <c r="I88"/>
  <c r="I85"/>
  <c r="I77"/>
  <c r="I75"/>
  <c r="I73"/>
  <c r="I72"/>
  <c r="I69"/>
  <c r="I67"/>
  <c r="I66"/>
  <c r="E66"/>
  <c r="I65"/>
  <c r="E59"/>
  <c r="I54"/>
  <c r="I53"/>
  <c r="I50"/>
  <c r="E39"/>
  <c r="I39"/>
  <c r="I31"/>
  <c r="I29"/>
  <c r="E157"/>
  <c r="E154"/>
  <c r="E151"/>
  <c r="E149"/>
  <c r="E148"/>
  <c r="E139"/>
  <c r="E140"/>
  <c r="E110"/>
  <c r="E118"/>
  <c r="E122"/>
  <c r="E124"/>
  <c r="E130"/>
  <c r="E136"/>
  <c r="E137"/>
  <c r="E138"/>
  <c r="E146"/>
  <c r="E96"/>
  <c r="E90"/>
  <c r="E86"/>
  <c r="E81"/>
  <c r="E80"/>
  <c r="E79"/>
  <c r="E76"/>
  <c r="E73"/>
  <c r="E72"/>
  <c r="E70"/>
  <c r="E68"/>
  <c r="E65"/>
  <c r="E64"/>
  <c r="E60"/>
  <c r="E57"/>
  <c r="E56"/>
  <c r="E53"/>
  <c r="E47"/>
  <c r="E46"/>
  <c r="E34"/>
  <c r="E169"/>
  <c r="E159"/>
  <c r="E160"/>
  <c r="E123"/>
  <c r="E126"/>
  <c r="E144"/>
  <c r="E147"/>
  <c r="E100"/>
  <c r="E99"/>
  <c r="E98"/>
  <c r="E92"/>
  <c r="E83"/>
  <c r="E82"/>
  <c r="E74"/>
  <c r="E69"/>
  <c r="E67"/>
  <c r="E54"/>
  <c r="E52"/>
  <c r="E42"/>
  <c r="E40"/>
  <c r="K115"/>
  <c r="K79"/>
  <c r="K86"/>
  <c r="K68"/>
  <c r="K134"/>
  <c r="K164"/>
  <c r="K84"/>
  <c r="G170"/>
  <c r="G146"/>
  <c r="K108"/>
  <c r="K92"/>
  <c r="G56"/>
  <c r="K127"/>
  <c r="K98"/>
  <c r="G80"/>
  <c r="K40"/>
  <c r="K166"/>
  <c r="G148"/>
  <c r="K122"/>
  <c r="K72"/>
  <c r="G158"/>
  <c r="K152"/>
  <c r="K139"/>
  <c r="K91"/>
  <c r="K62"/>
  <c r="K52"/>
  <c r="G44"/>
  <c r="G130"/>
  <c r="G118"/>
  <c r="G100"/>
  <c r="K57"/>
  <c r="K160"/>
  <c r="K93"/>
  <c r="K147"/>
  <c r="K103"/>
  <c r="K96"/>
  <c r="K67"/>
  <c r="K49"/>
  <c r="K37"/>
  <c r="G142"/>
  <c r="K88"/>
  <c r="K81"/>
  <c r="G64"/>
  <c r="G46"/>
  <c r="G76"/>
  <c r="G58"/>
  <c r="K159"/>
  <c r="K154"/>
  <c r="G136"/>
  <c r="G124"/>
  <c r="K110"/>
  <c r="K105"/>
  <c r="K74"/>
  <c r="K69"/>
  <c r="K34"/>
  <c r="G149"/>
  <c r="K113"/>
  <c r="K65"/>
  <c r="G59"/>
  <c r="G107"/>
  <c r="G83"/>
  <c r="K54"/>
  <c r="K47"/>
  <c r="K42"/>
  <c r="K168"/>
  <c r="K163"/>
  <c r="K161"/>
  <c r="K156"/>
  <c r="K151"/>
  <c r="G143"/>
  <c r="K141"/>
  <c r="G131"/>
  <c r="K129"/>
  <c r="G119"/>
  <c r="K117"/>
  <c r="G53"/>
  <c r="K51"/>
  <c r="G41"/>
  <c r="K39"/>
  <c r="K173"/>
  <c r="G172"/>
  <c r="G167"/>
  <c r="K165"/>
  <c r="G155"/>
  <c r="K153"/>
  <c r="G140"/>
  <c r="G128"/>
  <c r="G116"/>
  <c r="K109"/>
  <c r="G106"/>
  <c r="K102"/>
  <c r="K97"/>
  <c r="K95"/>
  <c r="G94"/>
  <c r="K90"/>
  <c r="K85"/>
  <c r="G82"/>
  <c r="K78"/>
  <c r="K73"/>
  <c r="K71"/>
  <c r="G70"/>
  <c r="K66"/>
  <c r="G50"/>
  <c r="G38"/>
  <c r="K31"/>
  <c r="K101"/>
  <c r="K89"/>
  <c r="K77"/>
  <c r="K144"/>
  <c r="K137"/>
  <c r="K132"/>
  <c r="K125"/>
  <c r="K120"/>
  <c r="K138"/>
  <c r="K133"/>
  <c r="K126"/>
  <c r="K121"/>
  <c r="K111"/>
  <c r="K99"/>
  <c r="K87"/>
  <c r="K75"/>
  <c r="K63"/>
  <c r="K48"/>
  <c r="K43"/>
  <c r="K35"/>
  <c r="K169"/>
  <c r="K162"/>
  <c r="K157"/>
  <c r="K150"/>
  <c r="K135"/>
  <c r="K123"/>
  <c r="K60"/>
  <c r="K45"/>
  <c r="W29"/>
  <c r="K30"/>
  <c r="I30"/>
  <c r="K32"/>
  <c r="E32"/>
  <c r="I32"/>
  <c r="K33"/>
  <c r="I33"/>
  <c r="G33"/>
  <c r="K29"/>
  <c r="G29"/>
  <c r="E36"/>
  <c r="I36"/>
  <c r="K36"/>
  <c r="E209"/>
  <c r="K209"/>
  <c r="I209"/>
  <c r="AI28"/>
  <c r="AG28"/>
  <c r="AE28"/>
  <c r="AC28"/>
  <c r="AA28"/>
  <c r="Y28"/>
  <c r="W28"/>
  <c r="U28"/>
  <c r="S28"/>
  <c r="Q28"/>
  <c r="O28"/>
  <c r="M28"/>
  <c r="AN139"/>
  <c r="AN153"/>
  <c r="AN160"/>
  <c r="AN192"/>
  <c r="AN201"/>
  <c r="AL76"/>
  <c r="AN202"/>
  <c r="AN125"/>
  <c r="AN198"/>
  <c r="AN92"/>
  <c r="AN80"/>
  <c r="AN83"/>
  <c r="AN118"/>
  <c r="AN69"/>
  <c r="AN74"/>
  <c r="AN90"/>
  <c r="AN190" i="3"/>
  <c r="AN124"/>
  <c r="AN65" i="1"/>
  <c r="AN70"/>
  <c r="AN31"/>
  <c r="AN95" i="3"/>
  <c r="AN70"/>
  <c r="AN66" i="1"/>
  <c r="AN120"/>
  <c r="AN131"/>
  <c r="AN146"/>
  <c r="AN121"/>
  <c r="AN138"/>
  <c r="AN140"/>
  <c r="AN136"/>
  <c r="AN142"/>
  <c r="AN168"/>
  <c r="AN182"/>
  <c r="AN184"/>
  <c r="AN78"/>
  <c r="AN73"/>
  <c r="AN77" i="3"/>
  <c r="AN34" i="1"/>
  <c r="AN75" i="3"/>
  <c r="AN54" i="1"/>
  <c r="AN58"/>
  <c r="AN27" i="3"/>
  <c r="AN47" i="1"/>
  <c r="AN102"/>
  <c r="AN141" i="3"/>
  <c r="AN67" i="1"/>
  <c r="AN89"/>
  <c r="AN82"/>
  <c r="AN178"/>
  <c r="AN193"/>
  <c r="AN134"/>
  <c r="AN148"/>
  <c r="AN149"/>
  <c r="AN50" i="3"/>
  <c r="AN151" i="1"/>
  <c r="AN179"/>
  <c r="AN164"/>
  <c r="AN130"/>
  <c r="AN157"/>
  <c r="AN93"/>
  <c r="AN52"/>
  <c r="AN57"/>
  <c r="AN158" i="3"/>
  <c r="AN100" i="1"/>
  <c r="AN127" i="3"/>
  <c r="AN51" i="1"/>
  <c r="AN77"/>
  <c r="AN60"/>
  <c r="AN99"/>
  <c r="AN81"/>
  <c r="AN42" i="3"/>
  <c r="AJ28" i="1"/>
  <c r="AN64"/>
  <c r="AN63"/>
  <c r="AN150"/>
  <c r="AN141"/>
  <c r="AN197"/>
  <c r="AN156"/>
  <c r="AN185"/>
  <c r="AN124"/>
  <c r="AN195"/>
  <c r="AN155"/>
  <c r="AN126"/>
  <c r="AN200"/>
  <c r="AN134" i="3"/>
  <c r="AN62" i="1"/>
  <c r="AN79"/>
  <c r="AN42"/>
  <c r="AN66" i="3"/>
  <c r="AN11"/>
  <c r="AN37" i="1"/>
  <c r="AN175" i="3"/>
  <c r="AN44" i="1"/>
  <c r="AN56"/>
  <c r="AN59"/>
  <c r="AN98"/>
  <c r="AN68"/>
  <c r="AN169" i="3"/>
  <c r="AN111" i="1"/>
  <c r="AN72"/>
  <c r="AN65" i="3"/>
  <c r="AN151"/>
  <c r="AL35" i="1"/>
  <c r="AN154"/>
  <c r="D6" l="1"/>
  <c r="D7" s="1"/>
  <c r="F7" i="2" s="1"/>
  <c r="H6" i="1"/>
  <c r="H7" s="1"/>
  <c r="H11" s="1"/>
  <c r="H8" i="2" s="1"/>
  <c r="AM28" i="1"/>
  <c r="AE29"/>
  <c r="AG29"/>
  <c r="AG30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E30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C29"/>
  <c r="AC30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A29"/>
  <c r="AA30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Y29"/>
  <c r="Y30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W30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U29"/>
  <c r="U30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S29"/>
  <c r="S30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Q29"/>
  <c r="Q30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M29"/>
  <c r="M30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AL34"/>
  <c r="AJ33"/>
  <c r="AJ162"/>
  <c r="AL101"/>
  <c r="AL157"/>
  <c r="AL155"/>
  <c r="AL70"/>
  <c r="AL191"/>
  <c r="AL49"/>
  <c r="AL78"/>
  <c r="AJ158"/>
  <c r="AL193"/>
  <c r="AJ180"/>
  <c r="AL184"/>
  <c r="AL166"/>
  <c r="AL129"/>
  <c r="AL45"/>
  <c r="AL181"/>
  <c r="AL192"/>
  <c r="AL124"/>
  <c r="AL61"/>
  <c r="AL140"/>
  <c r="AL121"/>
  <c r="AL111"/>
  <c r="AL54"/>
  <c r="AL206"/>
  <c r="AL90"/>
  <c r="AL87"/>
  <c r="AL48"/>
  <c r="AL156"/>
  <c r="AL167"/>
  <c r="AL82"/>
  <c r="AL107"/>
  <c r="AL160"/>
  <c r="AL163"/>
  <c r="AL97"/>
  <c r="AL46"/>
  <c r="AL134"/>
  <c r="AL130"/>
  <c r="AL161"/>
  <c r="AL182"/>
  <c r="AJ96"/>
  <c r="AL142"/>
  <c r="AL189"/>
  <c r="AL51"/>
  <c r="AL171"/>
  <c r="AL135"/>
  <c r="AL188"/>
  <c r="AL208"/>
  <c r="AL196"/>
  <c r="AL99"/>
  <c r="AJ95"/>
  <c r="AL31"/>
  <c r="AL150"/>
  <c r="AL71"/>
  <c r="AL67"/>
  <c r="AL50"/>
  <c r="AL119"/>
  <c r="AJ103"/>
  <c r="AL81"/>
  <c r="AL198"/>
  <c r="AL125"/>
  <c r="AL42"/>
  <c r="AL172"/>
  <c r="AL143"/>
  <c r="AL197"/>
  <c r="AL145"/>
  <c r="AL183"/>
  <c r="AL66"/>
  <c r="AL80"/>
  <c r="AL168"/>
  <c r="AL40"/>
  <c r="AL127"/>
  <c r="AJ177"/>
  <c r="AJ147"/>
  <c r="AL139"/>
  <c r="AL72"/>
  <c r="AL114"/>
  <c r="AL123"/>
  <c r="AL146"/>
  <c r="AL69"/>
  <c r="AL126"/>
  <c r="AL84"/>
  <c r="AL73"/>
  <c r="AL94"/>
  <c r="AL47"/>
  <c r="AL202"/>
  <c r="AL117"/>
  <c r="AL176"/>
  <c r="AL164"/>
  <c r="AL91"/>
  <c r="AL89"/>
  <c r="AL100"/>
  <c r="AL185"/>
  <c r="AL41"/>
  <c r="AL68"/>
  <c r="AL200"/>
  <c r="AL132"/>
  <c r="AL194"/>
  <c r="AL86"/>
  <c r="AL136"/>
  <c r="AL199"/>
  <c r="AL83"/>
  <c r="AL39"/>
  <c r="AL92"/>
  <c r="AL64"/>
  <c r="AL201"/>
  <c r="AL165"/>
  <c r="AL186"/>
  <c r="AL37"/>
  <c r="AL93"/>
  <c r="AL112"/>
  <c r="AL60"/>
  <c r="AL138"/>
  <c r="AL53"/>
  <c r="AL77"/>
  <c r="AJ203"/>
  <c r="AL106"/>
  <c r="AL75"/>
  <c r="AL153"/>
  <c r="AL190"/>
  <c r="AL115"/>
  <c r="AJ209"/>
  <c r="AL104"/>
  <c r="AL133"/>
  <c r="AL79"/>
  <c r="AL122"/>
  <c r="AL148"/>
  <c r="AL108"/>
  <c r="AJ116"/>
  <c r="AL63"/>
  <c r="AL149"/>
  <c r="AJ29"/>
  <c r="AL159"/>
  <c r="AL152"/>
  <c r="AL85"/>
  <c r="AL141"/>
  <c r="AJ38"/>
  <c r="AL207"/>
  <c r="AJ128"/>
  <c r="AL205"/>
  <c r="AL110"/>
  <c r="AL98"/>
  <c r="AL88"/>
  <c r="AL105"/>
  <c r="AL151"/>
  <c r="AL28"/>
  <c r="AL195"/>
  <c r="AL57"/>
  <c r="AJ36"/>
  <c r="AL118"/>
  <c r="AL131"/>
  <c r="AL174"/>
  <c r="AL109"/>
  <c r="AL179"/>
  <c r="AL59"/>
  <c r="AL113"/>
  <c r="AL204"/>
  <c r="AL178"/>
  <c r="AL43"/>
  <c r="AL187"/>
  <c r="AL173"/>
  <c r="AL55"/>
  <c r="AL102"/>
  <c r="AL170"/>
  <c r="AL175"/>
  <c r="AL120"/>
  <c r="AL154"/>
  <c r="D11" l="1"/>
  <c r="H7" i="2" s="1"/>
  <c r="I7" s="1"/>
  <c r="L6" i="1"/>
  <c r="L7" s="1"/>
  <c r="R6"/>
  <c r="R7" s="1"/>
  <c r="R11" s="1"/>
  <c r="H10" i="2" s="1"/>
  <c r="X6" i="1"/>
  <c r="X7" s="1"/>
  <c r="X11" s="1"/>
  <c r="H11" i="2" s="1"/>
  <c r="AD6" i="1"/>
  <c r="AD7" s="1"/>
  <c r="F12" i="2" s="1"/>
  <c r="F8"/>
  <c r="I8" s="1"/>
  <c r="L11" i="1"/>
  <c r="H9" i="2" s="1"/>
  <c r="F9"/>
  <c r="F10"/>
  <c r="AM206" i="1"/>
  <c r="AM200"/>
  <c r="AM194"/>
  <c r="AM188"/>
  <c r="AM182"/>
  <c r="AM176"/>
  <c r="AM170"/>
  <c r="AM164"/>
  <c r="AM158"/>
  <c r="AM152"/>
  <c r="AM146"/>
  <c r="AM140"/>
  <c r="AM134"/>
  <c r="AM128"/>
  <c r="AM122"/>
  <c r="AM116"/>
  <c r="AM110"/>
  <c r="AM104"/>
  <c r="AN104" s="1"/>
  <c r="AM98"/>
  <c r="AM92"/>
  <c r="AM86"/>
  <c r="AM80"/>
  <c r="AM74"/>
  <c r="AM68"/>
  <c r="AM62"/>
  <c r="AM56"/>
  <c r="AM50"/>
  <c r="AM44"/>
  <c r="AM38"/>
  <c r="AM165"/>
  <c r="AM129"/>
  <c r="AM93"/>
  <c r="AM185"/>
  <c r="AM155"/>
  <c r="AM119"/>
  <c r="AM83"/>
  <c r="AM207"/>
  <c r="AM189"/>
  <c r="AM177"/>
  <c r="AM153"/>
  <c r="AM141"/>
  <c r="AM117"/>
  <c r="AM105"/>
  <c r="AM81"/>
  <c r="AM69"/>
  <c r="AM45"/>
  <c r="AM208"/>
  <c r="AM196"/>
  <c r="AM190"/>
  <c r="AM184"/>
  <c r="AM178"/>
  <c r="AM172"/>
  <c r="AM166"/>
  <c r="AM160"/>
  <c r="AM154"/>
  <c r="AM148"/>
  <c r="AM142"/>
  <c r="AM136"/>
  <c r="AM130"/>
  <c r="AM124"/>
  <c r="AM118"/>
  <c r="AM112"/>
  <c r="AM106"/>
  <c r="AM100"/>
  <c r="AM94"/>
  <c r="AM88"/>
  <c r="AM82"/>
  <c r="AM76"/>
  <c r="AM70"/>
  <c r="AM64"/>
  <c r="AM58"/>
  <c r="AM52"/>
  <c r="AM46"/>
  <c r="AM209"/>
  <c r="AM203"/>
  <c r="AM197"/>
  <c r="AM191"/>
  <c r="AM179"/>
  <c r="AM173"/>
  <c r="AM167"/>
  <c r="AM161"/>
  <c r="AM149"/>
  <c r="AM143"/>
  <c r="AM137"/>
  <c r="AM131"/>
  <c r="AM125"/>
  <c r="AM113"/>
  <c r="AM107"/>
  <c r="AM101"/>
  <c r="AM95"/>
  <c r="AM89"/>
  <c r="AM77"/>
  <c r="AM71"/>
  <c r="AM65"/>
  <c r="AM59"/>
  <c r="AM53"/>
  <c r="AM47"/>
  <c r="AM201"/>
  <c r="AM195"/>
  <c r="AM159"/>
  <c r="AM123"/>
  <c r="AM87"/>
  <c r="AM57"/>
  <c r="AM51"/>
  <c r="AM157"/>
  <c r="AM121"/>
  <c r="AM85"/>
  <c r="AM49"/>
  <c r="AM183"/>
  <c r="AM171"/>
  <c r="AM147"/>
  <c r="AM135"/>
  <c r="AM111"/>
  <c r="AM99"/>
  <c r="AM75"/>
  <c r="AM63"/>
  <c r="AM202"/>
  <c r="AM204"/>
  <c r="AM198"/>
  <c r="AM192"/>
  <c r="AM186"/>
  <c r="AM180"/>
  <c r="AM174"/>
  <c r="AM168"/>
  <c r="AM162"/>
  <c r="AM156"/>
  <c r="AM150"/>
  <c r="AM144"/>
  <c r="AM138"/>
  <c r="AM132"/>
  <c r="AM126"/>
  <c r="AM120"/>
  <c r="AM114"/>
  <c r="AM108"/>
  <c r="AM102"/>
  <c r="AM96"/>
  <c r="AM90"/>
  <c r="AM84"/>
  <c r="AM78"/>
  <c r="AM72"/>
  <c r="AM66"/>
  <c r="AM60"/>
  <c r="AM54"/>
  <c r="AM48"/>
  <c r="AM205"/>
  <c r="AM199"/>
  <c r="AM193"/>
  <c r="AM187"/>
  <c r="AM181"/>
  <c r="AM175"/>
  <c r="AM169"/>
  <c r="AM163"/>
  <c r="AM151"/>
  <c r="AM145"/>
  <c r="AM139"/>
  <c r="AM133"/>
  <c r="AM127"/>
  <c r="AM115"/>
  <c r="AM109"/>
  <c r="AM103"/>
  <c r="AM97"/>
  <c r="AN97" s="1"/>
  <c r="AM91"/>
  <c r="AM79"/>
  <c r="AM73"/>
  <c r="AM67"/>
  <c r="AM61"/>
  <c r="AM55"/>
  <c r="AM40"/>
  <c r="AM41"/>
  <c r="AM39"/>
  <c r="AM42"/>
  <c r="AM43"/>
  <c r="AM32"/>
  <c r="AM29"/>
  <c r="AM33"/>
  <c r="AM30"/>
  <c r="AM37"/>
  <c r="AM36"/>
  <c r="AM35"/>
  <c r="AM34"/>
  <c r="S31"/>
  <c r="U31"/>
  <c r="AA31"/>
  <c r="AE31"/>
  <c r="M31"/>
  <c r="Y31"/>
  <c r="AG31"/>
  <c r="W31"/>
  <c r="AC31"/>
  <c r="Q31"/>
  <c r="AO61"/>
  <c r="AL38"/>
  <c r="AO110"/>
  <c r="AO192"/>
  <c r="AO35"/>
  <c r="AO183"/>
  <c r="AO73"/>
  <c r="AO190"/>
  <c r="AO160"/>
  <c r="AO167"/>
  <c r="AO174"/>
  <c r="AO133"/>
  <c r="AO132"/>
  <c r="AL30"/>
  <c r="AO50"/>
  <c r="AO112"/>
  <c r="AO157"/>
  <c r="AN86"/>
  <c r="AO146"/>
  <c r="AO66"/>
  <c r="AO122"/>
  <c r="AO163"/>
  <c r="AO120"/>
  <c r="AO142"/>
  <c r="AL209"/>
  <c r="AL177"/>
  <c r="AO186"/>
  <c r="AL147"/>
  <c r="AO179"/>
  <c r="AO105"/>
  <c r="AO106"/>
  <c r="AN32"/>
  <c r="AL36"/>
  <c r="AO39"/>
  <c r="AO107"/>
  <c r="AN36"/>
  <c r="AO101"/>
  <c r="AO104"/>
  <c r="AO68"/>
  <c r="AN84"/>
  <c r="AO161"/>
  <c r="AO51"/>
  <c r="AL95"/>
  <c r="AO166"/>
  <c r="AO94"/>
  <c r="AN177"/>
  <c r="AO139"/>
  <c r="AO204"/>
  <c r="AO152"/>
  <c r="AO37"/>
  <c r="AO97"/>
  <c r="AO176"/>
  <c r="AO156"/>
  <c r="AO195"/>
  <c r="AL158"/>
  <c r="AO159"/>
  <c r="AO109"/>
  <c r="AO165"/>
  <c r="AO130"/>
  <c r="AO136"/>
  <c r="AO119"/>
  <c r="AO187"/>
  <c r="AO111"/>
  <c r="AL29"/>
  <c r="AL169"/>
  <c r="AO207"/>
  <c r="AO91"/>
  <c r="AL137"/>
  <c r="AO79"/>
  <c r="AO69"/>
  <c r="AO185"/>
  <c r="AO42"/>
  <c r="AL162"/>
  <c r="AO123"/>
  <c r="AO81"/>
  <c r="AO206"/>
  <c r="AO87"/>
  <c r="AO90"/>
  <c r="AO135"/>
  <c r="AO124"/>
  <c r="AO131"/>
  <c r="AO126"/>
  <c r="AO127"/>
  <c r="AO149"/>
  <c r="AO64"/>
  <c r="AL32"/>
  <c r="AO88"/>
  <c r="AO63"/>
  <c r="AO34"/>
  <c r="AO197"/>
  <c r="AO78"/>
  <c r="AO100"/>
  <c r="AO172"/>
  <c r="AO45"/>
  <c r="AO148"/>
  <c r="AO82"/>
  <c r="AL96"/>
  <c r="AO125"/>
  <c r="AO92"/>
  <c r="AO48"/>
  <c r="AO60"/>
  <c r="AO70"/>
  <c r="AO54"/>
  <c r="AO153"/>
  <c r="AO150"/>
  <c r="AO75"/>
  <c r="AO201"/>
  <c r="AO121"/>
  <c r="AO113"/>
  <c r="AO182"/>
  <c r="AO118"/>
  <c r="AO196"/>
  <c r="AN33"/>
  <c r="AO57"/>
  <c r="AN96"/>
  <c r="AO168"/>
  <c r="AO83"/>
  <c r="AO115"/>
  <c r="AO189"/>
  <c r="AO173"/>
  <c r="AO171"/>
  <c r="AO145"/>
  <c r="AO47"/>
  <c r="AO129"/>
  <c r="AO108"/>
  <c r="AO85"/>
  <c r="AO199"/>
  <c r="AO43"/>
  <c r="AO102"/>
  <c r="AO49"/>
  <c r="AO76"/>
  <c r="AO28"/>
  <c r="AN29"/>
  <c r="AO208"/>
  <c r="AO41"/>
  <c r="AO77"/>
  <c r="AL33"/>
  <c r="AO72"/>
  <c r="AL116"/>
  <c r="AO55"/>
  <c r="AO205"/>
  <c r="AO134"/>
  <c r="AL180"/>
  <c r="AL144"/>
  <c r="AO155"/>
  <c r="AO200"/>
  <c r="AO188"/>
  <c r="AO175"/>
  <c r="AO71"/>
  <c r="AO138"/>
  <c r="AL128"/>
  <c r="AN103"/>
  <c r="AO141"/>
  <c r="AL203"/>
  <c r="AO98"/>
  <c r="AO67"/>
  <c r="AO31"/>
  <c r="AO59"/>
  <c r="AO170"/>
  <c r="AO80"/>
  <c r="AO181"/>
  <c r="AO99"/>
  <c r="AO89"/>
  <c r="AO86"/>
  <c r="AL103"/>
  <c r="AO143"/>
  <c r="AO93"/>
  <c r="AO140"/>
  <c r="AO53"/>
  <c r="AO202"/>
  <c r="AO191"/>
  <c r="AO46"/>
  <c r="AO184"/>
  <c r="AO198"/>
  <c r="AO117"/>
  <c r="AO84"/>
  <c r="AO40"/>
  <c r="AO194"/>
  <c r="AO164"/>
  <c r="AO151"/>
  <c r="AO193"/>
  <c r="AO114"/>
  <c r="AO178"/>
  <c r="AO154"/>
  <c r="AD11" l="1"/>
  <c r="H12" i="2" s="1"/>
  <c r="F11"/>
  <c r="AN212" i="1"/>
  <c r="AN105"/>
  <c r="AN213" s="1"/>
  <c r="I10" i="2"/>
  <c r="I9"/>
  <c r="I12"/>
  <c r="I11"/>
  <c r="AM31" i="1"/>
  <c r="AO209"/>
  <c r="AO96"/>
  <c r="AO169"/>
  <c r="AO30"/>
  <c r="AO203"/>
  <c r="AO103"/>
  <c r="AO144"/>
  <c r="AO128"/>
  <c r="AO33"/>
  <c r="AO32"/>
  <c r="AO38"/>
  <c r="AO137"/>
  <c r="AO116"/>
  <c r="AO147"/>
  <c r="AO95"/>
  <c r="AO180"/>
  <c r="AO36"/>
  <c r="AO158"/>
  <c r="AO162"/>
  <c r="AO29"/>
  <c r="AO177"/>
  <c r="AN214" l="1"/>
  <c r="AF58" i="3"/>
  <c r="AF128"/>
  <c r="AF71"/>
  <c r="AF75"/>
  <c r="AF66"/>
  <c r="AF141"/>
  <c r="AF124"/>
  <c r="AF70"/>
  <c r="AF50"/>
  <c r="AF65"/>
  <c r="AF127"/>
  <c r="AF6"/>
  <c r="AF97"/>
  <c r="AF77"/>
  <c r="AF109"/>
  <c r="AF134"/>
  <c r="AF27"/>
  <c r="AF95"/>
  <c r="AB58"/>
  <c r="AB128"/>
  <c r="AB124"/>
  <c r="AB127"/>
  <c r="AB50"/>
  <c r="AB95"/>
  <c r="AB71"/>
  <c r="AB6"/>
  <c r="AB141"/>
  <c r="AB70"/>
  <c r="AB109"/>
  <c r="AB75"/>
  <c r="AB66"/>
  <c r="AB77"/>
  <c r="AB65"/>
  <c r="AB97"/>
  <c r="AB27"/>
  <c r="AB134"/>
  <c r="X65"/>
  <c r="X66"/>
  <c r="X70"/>
  <c r="X97"/>
  <c r="X95"/>
  <c r="X71"/>
  <c r="X127"/>
  <c r="X175"/>
  <c r="X6"/>
  <c r="X50"/>
  <c r="X124"/>
  <c r="X77"/>
  <c r="X134"/>
  <c r="X128"/>
  <c r="X109"/>
  <c r="X75"/>
  <c r="X141"/>
  <c r="X58"/>
  <c r="X27"/>
  <c r="T6"/>
  <c r="T71"/>
  <c r="T128"/>
  <c r="T58"/>
  <c r="T66"/>
  <c r="T134"/>
  <c r="T75"/>
  <c r="T70"/>
  <c r="T127"/>
  <c r="T50"/>
  <c r="T77"/>
  <c r="T97"/>
  <c r="T95"/>
  <c r="T65"/>
  <c r="T109"/>
  <c r="T141"/>
  <c r="T27"/>
  <c r="T124"/>
  <c r="P95"/>
  <c r="P65"/>
  <c r="P128"/>
  <c r="P70"/>
  <c r="P134"/>
  <c r="P109"/>
  <c r="P124"/>
  <c r="P141"/>
  <c r="P71"/>
  <c r="P6"/>
  <c r="P58"/>
  <c r="P77"/>
  <c r="P75"/>
  <c r="P127"/>
  <c r="P66"/>
  <c r="P50"/>
  <c r="P27"/>
  <c r="P97"/>
  <c r="L97"/>
  <c r="L141"/>
  <c r="L65"/>
  <c r="L70"/>
  <c r="L77"/>
  <c r="L50"/>
  <c r="L66"/>
  <c r="L134"/>
  <c r="L127"/>
  <c r="L95"/>
  <c r="L6"/>
  <c r="L58"/>
  <c r="L109"/>
  <c r="L71"/>
  <c r="L75"/>
  <c r="L128"/>
  <c r="L124"/>
  <c r="L27"/>
  <c r="H65"/>
  <c r="H70"/>
  <c r="H134"/>
  <c r="H127"/>
  <c r="H6"/>
  <c r="H95"/>
  <c r="H141"/>
  <c r="H124"/>
  <c r="H77"/>
  <c r="H97"/>
  <c r="H58"/>
  <c r="H71"/>
  <c r="H75"/>
  <c r="H66"/>
  <c r="H109"/>
  <c r="H128"/>
  <c r="H50"/>
  <c r="AH134"/>
  <c r="AH97"/>
  <c r="AH70"/>
  <c r="AH6"/>
  <c r="AH65"/>
  <c r="AH141"/>
  <c r="AH77"/>
  <c r="AH128"/>
  <c r="AH95"/>
  <c r="AH109"/>
  <c r="AH71"/>
  <c r="AH58"/>
  <c r="AH124"/>
  <c r="AH127"/>
  <c r="AH75"/>
  <c r="AH50"/>
  <c r="AH27"/>
  <c r="AH66"/>
  <c r="AD58"/>
  <c r="AD134"/>
  <c r="AD65"/>
  <c r="AD77"/>
  <c r="AD6"/>
  <c r="AD50"/>
  <c r="AD71"/>
  <c r="AD128"/>
  <c r="AD127"/>
  <c r="AD66"/>
  <c r="AD97"/>
  <c r="AD75"/>
  <c r="AD124"/>
  <c r="AD95"/>
  <c r="AD70"/>
  <c r="AD109"/>
  <c r="AD27"/>
  <c r="AD141"/>
  <c r="Z95"/>
  <c r="Z65"/>
  <c r="Z75"/>
  <c r="Z58"/>
  <c r="Z134"/>
  <c r="Z70"/>
  <c r="Z109"/>
  <c r="Z128"/>
  <c r="Z127"/>
  <c r="Z77"/>
  <c r="Z141"/>
  <c r="Z124"/>
  <c r="Z97"/>
  <c r="Z71"/>
  <c r="Z6"/>
  <c r="Z66"/>
  <c r="Z27"/>
  <c r="Z50"/>
  <c r="V66"/>
  <c r="V75"/>
  <c r="V141"/>
  <c r="V124"/>
  <c r="V6"/>
  <c r="V97"/>
  <c r="V70"/>
  <c r="V50"/>
  <c r="V71"/>
  <c r="V128"/>
  <c r="V109"/>
  <c r="V58"/>
  <c r="V134"/>
  <c r="V95"/>
  <c r="V127"/>
  <c r="V65"/>
  <c r="V27"/>
  <c r="V77"/>
  <c r="R95"/>
  <c r="R77"/>
  <c r="R124"/>
  <c r="R6"/>
  <c r="R58"/>
  <c r="R141"/>
  <c r="R97"/>
  <c r="R127"/>
  <c r="R109"/>
  <c r="R70"/>
  <c r="R50"/>
  <c r="R128"/>
  <c r="R75"/>
  <c r="R134"/>
  <c r="R71"/>
  <c r="R66"/>
  <c r="R27"/>
  <c r="R65"/>
  <c r="N95"/>
  <c r="N50"/>
  <c r="N58"/>
  <c r="N66"/>
  <c r="N65"/>
  <c r="N71"/>
  <c r="N124"/>
  <c r="N75"/>
  <c r="N97"/>
  <c r="N128"/>
  <c r="N141"/>
  <c r="N127"/>
  <c r="N77"/>
  <c r="N70"/>
  <c r="N134"/>
  <c r="N109"/>
  <c r="N27"/>
  <c r="N6"/>
  <c r="J124"/>
  <c r="J97"/>
  <c r="J109"/>
  <c r="J71"/>
  <c r="J70"/>
  <c r="J58"/>
  <c r="J65"/>
  <c r="J77"/>
  <c r="J75"/>
  <c r="J95"/>
  <c r="J66"/>
  <c r="J128"/>
  <c r="J6"/>
  <c r="J50"/>
  <c r="J127"/>
  <c r="J141"/>
  <c r="J27"/>
  <c r="J134"/>
  <c r="F65"/>
  <c r="F95"/>
  <c r="F6"/>
  <c r="F77"/>
  <c r="F109"/>
  <c r="F71"/>
  <c r="F134"/>
  <c r="F66"/>
  <c r="F50"/>
  <c r="F97"/>
  <c r="F141"/>
  <c r="F75"/>
  <c r="F124"/>
  <c r="F70"/>
  <c r="F127"/>
  <c r="F128"/>
  <c r="F58"/>
  <c r="F27"/>
  <c r="AM27"/>
  <c r="AM151"/>
  <c r="AM109"/>
  <c r="AL27"/>
  <c r="AM75"/>
  <c r="AM175"/>
  <c r="AM127"/>
  <c r="D151"/>
  <c r="AL151"/>
  <c r="AM134"/>
  <c r="AM50"/>
  <c r="AM95"/>
  <c r="D75"/>
  <c r="AL75"/>
  <c r="AM158"/>
  <c r="D158"/>
  <c r="AL158"/>
  <c r="AM128"/>
  <c r="D50"/>
  <c r="AL50"/>
  <c r="D127"/>
  <c r="AL127"/>
  <c r="AM124"/>
  <c r="D65"/>
  <c r="AL65"/>
  <c r="AM65"/>
  <c r="AM97"/>
  <c r="AM169"/>
  <c r="D134"/>
  <c r="AL134"/>
  <c r="D66"/>
  <c r="AL66"/>
  <c r="AM66"/>
  <c r="D95"/>
  <c r="AL95"/>
  <c r="AM77"/>
  <c r="D97"/>
  <c r="AL97"/>
  <c r="D128"/>
  <c r="AL128"/>
  <c r="D58"/>
  <c r="AL58"/>
  <c r="AM58"/>
  <c r="D71"/>
  <c r="AL71"/>
  <c r="AM71"/>
  <c r="AM70"/>
  <c r="D109"/>
  <c r="AL109"/>
  <c r="D6"/>
  <c r="AL6"/>
  <c r="AM6"/>
  <c r="D141"/>
  <c r="AL141"/>
  <c r="AM141"/>
  <c r="D70"/>
  <c r="AL70"/>
  <c r="D77"/>
  <c r="AL77"/>
  <c r="H27"/>
  <c r="H175"/>
  <c r="AL175"/>
  <c r="D169"/>
  <c r="AL169"/>
  <c r="D27"/>
  <c r="D124"/>
  <c r="AL124"/>
</calcChain>
</file>

<file path=xl/sharedStrings.xml><?xml version="1.0" encoding="utf-8"?>
<sst xmlns="http://schemas.openxmlformats.org/spreadsheetml/2006/main" count="5169" uniqueCount="642">
  <si>
    <t>EXAM SEAT NO.</t>
  </si>
  <si>
    <t>NAME OF CANDIDATE</t>
  </si>
  <si>
    <t>AM IV</t>
  </si>
  <si>
    <t>ADC</t>
  </si>
  <si>
    <t>DBMS</t>
  </si>
  <si>
    <t>CG</t>
  </si>
  <si>
    <t>AAD</t>
  </si>
  <si>
    <t>OS</t>
  </si>
  <si>
    <t>TOT IV</t>
  </si>
  <si>
    <t>TOT III</t>
  </si>
  <si>
    <t>GNT</t>
  </si>
  <si>
    <t>REMARK</t>
  </si>
  <si>
    <t>CLASS</t>
  </si>
  <si>
    <t>TH</t>
  </si>
  <si>
    <t>TW</t>
  </si>
  <si>
    <t>P</t>
  </si>
  <si>
    <t>MAX</t>
  </si>
  <si>
    <t>MIN</t>
  </si>
  <si>
    <t>AM-IV  :- Applied Mathematics-IV</t>
  </si>
  <si>
    <t>ADC:- Analog &amp; Digital Communication</t>
  </si>
  <si>
    <t>DBMS  :- Database Management System</t>
  </si>
  <si>
    <t>CG :- Computer Graphics</t>
  </si>
  <si>
    <t>AAD :- Analysis of Algorithm &amp; Design</t>
  </si>
  <si>
    <t>OS :- Operating System</t>
  </si>
  <si>
    <t>AMIN RISHITA VIJAYKUMAR</t>
  </si>
  <si>
    <t>AMRE PRITAM ANILKUMAR</t>
  </si>
  <si>
    <t>ANSAN SUNNY SALAMA</t>
  </si>
  <si>
    <t>ASRANI BHARTI LACHMAN</t>
  </si>
  <si>
    <t>BADE AMIT KERAMBA</t>
  </si>
  <si>
    <t>BAGWE KARAN VINAY</t>
  </si>
  <si>
    <t>BANDIVADEKAR RUTALI DILIP</t>
  </si>
  <si>
    <t>BARBHAYA RISHI DIVYESH</t>
  </si>
  <si>
    <t>BELWALKAR MANALI CHANDRAKANT</t>
  </si>
  <si>
    <t>BHAGAT DOLLY DEEPAK</t>
  </si>
  <si>
    <t>BHALERAO DEVENDRA SURESH</t>
  </si>
  <si>
    <t>BHOITE KISHORI PRABHAKAR</t>
  </si>
  <si>
    <t>BORSE KIRAN HILAL</t>
  </si>
  <si>
    <t>CHAUHAN ANJALI RAJU</t>
  </si>
  <si>
    <t>CHAVAN GAURAV SHRIDHAR</t>
  </si>
  <si>
    <t>CHAVAN KOMAL DATTATRAY</t>
  </si>
  <si>
    <t>CHAVAN SHASHANK GAJANAN</t>
  </si>
  <si>
    <t>CHAVHAN AMOL SUBHASH</t>
  </si>
  <si>
    <t>CHILE AKSHAY VISHWANATH</t>
  </si>
  <si>
    <t>CHILKA PRIYANKA RAJENDRA</t>
  </si>
  <si>
    <t>CHITRE ABHISHEK ANIL</t>
  </si>
  <si>
    <t>CHONKAR SHRIKAR RAVINDRA</t>
  </si>
  <si>
    <t>DADAS JITESH TATYA</t>
  </si>
  <si>
    <t>DALVI NILESHA NANDKISHOR</t>
  </si>
  <si>
    <t>DANDE AKASH NARAYAN</t>
  </si>
  <si>
    <t>DAVE RAJENDRA AJAY</t>
  </si>
  <si>
    <t>DEEPALI GANPATI KHOT</t>
  </si>
  <si>
    <t>DESAI CHINMAY PRAKASH</t>
  </si>
  <si>
    <t>DEVLEKAR RAHUL PRAKASH</t>
  </si>
  <si>
    <t>DHULE AMEY YASHWANT</t>
  </si>
  <si>
    <t>ERANGALE VINIT MANOJ</t>
  </si>
  <si>
    <t>ERRAGONI MAHESH KUMAR BUCHAIAH</t>
  </si>
  <si>
    <t>GAJUL POOJA GOPAL</t>
  </si>
  <si>
    <t>GALANDE BHUSHAN RAMESH</t>
  </si>
  <si>
    <t>GAWADE MAHESH SHIVAJI</t>
  </si>
  <si>
    <t>GAWADE SHRADDHA SHRIKANT</t>
  </si>
  <si>
    <t>GAWAI SUPRIYA SUBHASH</t>
  </si>
  <si>
    <t>GOHIL VIRAL RAJESHBHAI</t>
  </si>
  <si>
    <t>GUPTA SHIVA AJAY</t>
  </si>
  <si>
    <t>GURABE MANISHA VISHNU</t>
  </si>
  <si>
    <t>GURAV ABHIJIT SHRIPAT</t>
  </si>
  <si>
    <t>GURAV KAMINEE PRAKASH</t>
  </si>
  <si>
    <t>HEGDE PARIKSHIT KRISHNA</t>
  </si>
  <si>
    <t>JADHAV SNEHA AMARSINGH</t>
  </si>
  <si>
    <t>JINESH KUMAR KAMDAR</t>
  </si>
  <si>
    <t>JOSHI DIVYA ASHOK</t>
  </si>
  <si>
    <t>KADDI ASHUTOSH RAVINDRA</t>
  </si>
  <si>
    <t>KAMBLE ROHAN SUNIL</t>
  </si>
  <si>
    <t>KESARKAR ANKITA DILIP</t>
  </si>
  <si>
    <t>KEYAL ATULKUMAR SAJJANKUMAR</t>
  </si>
  <si>
    <t>KHAINAR VAISHALI VIJAY</t>
  </si>
  <si>
    <t>KHANDARE ASHWINI DNYANDEO</t>
  </si>
  <si>
    <t xml:space="preserve">KHATRI CHINTAN BIPIN </t>
  </si>
  <si>
    <t xml:space="preserve">KODAM MANIKIRAN MADHUSUDHAN </t>
  </si>
  <si>
    <t>KOLI NEHA NANDU</t>
  </si>
  <si>
    <t>KUBAL PRIYANKA KAMALAKAR</t>
  </si>
  <si>
    <t>KUBAL SARIKA KAMALAKAR</t>
  </si>
  <si>
    <t>KUCHEKAR KARISHMA APPASAHEB</t>
  </si>
  <si>
    <t>KULKARNI NIKHIL NAGESH</t>
  </si>
  <si>
    <t>KUTTY ROHIT KRISHNAN</t>
  </si>
  <si>
    <t>LANDGE SNEHAL PRAKASH</t>
  </si>
  <si>
    <t xml:space="preserve">MANIAR KARAN BHARATBHAI </t>
  </si>
  <si>
    <t>MANJARE SAGAR RAMDAS</t>
  </si>
  <si>
    <t>MARDE ASHISH VASUDEO</t>
  </si>
  <si>
    <t>MHATRE DEVIKA RAVINDRA</t>
  </si>
  <si>
    <t>MORE SAURABH SUDHIR</t>
  </si>
  <si>
    <t>NADKAR AAQUIB FAIYAZ</t>
  </si>
  <si>
    <t>NAGWEKAR DEVEN SUHAS</t>
  </si>
  <si>
    <t>NAIK MADHURA MILIND</t>
  </si>
  <si>
    <t>NEMAN PRATEEK DASHRATH</t>
  </si>
  <si>
    <t>PADSALA CHIRAG GOKUL</t>
  </si>
  <si>
    <t>PAI SIDDHANT SUHAS</t>
  </si>
  <si>
    <t>PALAV ROHIT DHANANJAY</t>
  </si>
  <si>
    <t>PANCHAL KOMAL NITIN</t>
  </si>
  <si>
    <t>PANDEY KARISHMA AJEETKUMAR</t>
  </si>
  <si>
    <t>PANDEY SANTOSHKUMAR RAJKUMAR</t>
  </si>
  <si>
    <t>PARADKAR ABHISHEK NARAYAN</t>
  </si>
  <si>
    <t>PARDHIYE PRATHMESH VIJAY</t>
  </si>
  <si>
    <t>PARMAR ANKIT RAMNIKLAL</t>
  </si>
  <si>
    <t>PARMAR BHUSHAN BHARAT</t>
  </si>
  <si>
    <t>PATHARE ABHISHEK AVINASH</t>
  </si>
  <si>
    <t>PATHARE ROHIT SANJAY</t>
  </si>
  <si>
    <t>PATIL AADITYA SAKHARAM</t>
  </si>
  <si>
    <t>PATIL ABHILESH NITIN</t>
  </si>
  <si>
    <t>PATIL ADITYA GURUNATH</t>
  </si>
  <si>
    <t>PATIL AKSHAY PRADEEP</t>
  </si>
  <si>
    <t>PATIL MAYUR BHALERAO</t>
  </si>
  <si>
    <t>PATIL MRUNAL SHASHIKANT</t>
  </si>
  <si>
    <t>PATIL OMKAR KISHORE</t>
  </si>
  <si>
    <t>PATIL SANKET SUNIL</t>
  </si>
  <si>
    <t>PATIL SNEHAL VASANT</t>
  </si>
  <si>
    <t>PAWAR SONALI BHIMSING</t>
  </si>
  <si>
    <t xml:space="preserve">PENDHARI DIPALI SAKHARAM </t>
  </si>
  <si>
    <t>PIMPLE SAYALI PRABHAKAR</t>
  </si>
  <si>
    <t>POOJARI DHANRAJ MUTHAYYA</t>
  </si>
  <si>
    <t>PRAJAPATI PRAMOD RAMJIT</t>
  </si>
  <si>
    <t>PURI NAMITA RAMDAS</t>
  </si>
  <si>
    <t>QAMAR JUNAID MOHD</t>
  </si>
  <si>
    <t>RAUT JUHI DILIP</t>
  </si>
  <si>
    <t>RAUT NEHA MOHAN</t>
  </si>
  <si>
    <t>SANKHE RAHUL GANGADHAR</t>
  </si>
  <si>
    <t>SANKPAL KIRAN PRAKASH</t>
  </si>
  <si>
    <t>SAPLE NIKITA DILIP</t>
  </si>
  <si>
    <t xml:space="preserve">SAWANT  RIDHIMA  AJAY </t>
  </si>
  <si>
    <t>SAWANT ROHIT RAMCHANDRA</t>
  </si>
  <si>
    <t>SAWANT SHREYAS SUBHASH</t>
  </si>
  <si>
    <t xml:space="preserve">SETH SAURAV </t>
  </si>
  <si>
    <t>SHAH FIYANSH DINESH</t>
  </si>
  <si>
    <t>SHAH JITEN PARAG</t>
  </si>
  <si>
    <t>SHAH KARAN VIPULKUMAR</t>
  </si>
  <si>
    <t>SHAH KETUK PANKAJKUMAR</t>
  </si>
  <si>
    <t>SHAH KOMAL PARTH</t>
  </si>
  <si>
    <t>SHAH PARAS PANKAJ</t>
  </si>
  <si>
    <t>SHARMA PRADEEP RAMAJEET</t>
  </si>
  <si>
    <t>SHETTY CHAITRA BALAKRISHNA</t>
  </si>
  <si>
    <t>SHETTY RISHI CHANDRASHEKAR</t>
  </si>
  <si>
    <t>SHEWALE PALLAVI KALIDAS</t>
  </si>
  <si>
    <t>SHINDE AAMOD ARUN</t>
  </si>
  <si>
    <t>SHINDE ANIKET ANANT</t>
  </si>
  <si>
    <t>SHINDE PRATIKSHA DNYANESHWAR</t>
  </si>
  <si>
    <t>SHROFF RUCHIT RAJIV</t>
  </si>
  <si>
    <t>SHUKLA AKASHKUMAR LALITKUMAR</t>
  </si>
  <si>
    <t>SINGH NIKET NARENDRAKUMAR</t>
  </si>
  <si>
    <t>SINGH SATISH SHARDA</t>
  </si>
  <si>
    <t>SINGH VIKRAM  RAVINDRA</t>
  </si>
  <si>
    <t>SINKAR VINIT PRADIP</t>
  </si>
  <si>
    <t>SOMAIYA JAINIM DILIP</t>
  </si>
  <si>
    <t>SONI RAINIK OMPRAKASH</t>
  </si>
  <si>
    <t>SRIKANTH RAVEE</t>
  </si>
  <si>
    <t>SUMAN  SIDDAHARTH SURESH</t>
  </si>
  <si>
    <t>SURVE ABHISHEK RAMAKANT</t>
  </si>
  <si>
    <t>SURVE NEHA VILAS</t>
  </si>
  <si>
    <t>TANDEL LINA LAXMAN</t>
  </si>
  <si>
    <t>TELAP DINKAR BHASKAR</t>
  </si>
  <si>
    <t>UPADHYAY PRASHANT VIJAY</t>
  </si>
  <si>
    <t>VARSHINI RAMARAJ</t>
  </si>
  <si>
    <t>VYAS SAGAR MAHENDRA</t>
  </si>
  <si>
    <t>WALINJKAR KRITIKA BHUSHAN</t>
  </si>
  <si>
    <t>WANI TEJAS VILAS</t>
  </si>
  <si>
    <t>ZEPLE PRIYANKA KESHAV</t>
  </si>
  <si>
    <t>PATIL HEENALI SURENDRA</t>
  </si>
  <si>
    <t>BAJETHA  GAURAV SINGH</t>
  </si>
  <si>
    <t xml:space="preserve">MESTRI SIDDESH </t>
  </si>
  <si>
    <t>SAHOTA  ANMOL</t>
  </si>
  <si>
    <t>TIWARI APOORV</t>
  </si>
  <si>
    <t>BOLINJKAR SNEHA VIJAY</t>
  </si>
  <si>
    <t>CHANDGUDE TEJAL SURESH</t>
  </si>
  <si>
    <t>CHAURASIA ANAND BHAIYALAL</t>
  </si>
  <si>
    <t>CHETTIER SANJAY GANESHAN</t>
  </si>
  <si>
    <t>CHOUDHARY SHANKAR MAFATLAL</t>
  </si>
  <si>
    <t>DEOLE ADITYA VIKRAM</t>
  </si>
  <si>
    <t>DESAI MIHIR BHUPESH</t>
  </si>
  <si>
    <t>GHUMAN RAJNEET SINGH IQBAL SINGH</t>
  </si>
  <si>
    <t>KADIWALA REHAN KARIM</t>
  </si>
  <si>
    <t>KAMBLE ABHISHEK DINKAR</t>
  </si>
  <si>
    <t>KATARE SUNITA DATTU</t>
  </si>
  <si>
    <t>KATARIYA SURYAKANT PREMJIBHAI</t>
  </si>
  <si>
    <t>KELUSKAR PRAVIN PURUSHOTTAM</t>
  </si>
  <si>
    <t>KEWAT ATUL BHARATBHUSHAN</t>
  </si>
  <si>
    <t>MADHWA TANUJ RADHEY SHYAM</t>
  </si>
  <si>
    <t>OZA ADITYA SUNIL KUMAR</t>
  </si>
  <si>
    <t>PALEKAR AKSHAY ANIL</t>
  </si>
  <si>
    <t>PARANDE MANDAR MANGESH</t>
  </si>
  <si>
    <t>PARKAR SIDDHANT RAJIV</t>
  </si>
  <si>
    <t>PATEL JAY BIPIN</t>
  </si>
  <si>
    <t>PATIL GAURAV BHAURAO</t>
  </si>
  <si>
    <t>PATKAR DIPIKA SANTOSH</t>
  </si>
  <si>
    <t>PATWARDHAN ANIKET ASHOK</t>
  </si>
  <si>
    <t>PEVEKAR NEHA BALKRISHNA</t>
  </si>
  <si>
    <t>RANE YUGANDHARA CHANDRAMOHAN</t>
  </si>
  <si>
    <t>SAKHALE NIMESH HEMANT</t>
  </si>
  <si>
    <t>SATARDEKAR SIDDHESH NANDKUMAR</t>
  </si>
  <si>
    <t>SHARMA SHIVAM SUBHASH</t>
  </si>
  <si>
    <t>SHUKLA MANOJ SHOBHNATH</t>
  </si>
  <si>
    <t>SURYAWANSHI PRIYANKA MADHUKAR</t>
  </si>
  <si>
    <t>VISHWAKARMA PARSHURAM SHIVMURAT</t>
  </si>
  <si>
    <t>ADMANE PRADIP VIDNYANRAO</t>
  </si>
  <si>
    <t>KHOBRAGADE ASHISH MAHESH</t>
  </si>
  <si>
    <t>SIDHPURA CHIRAG VIJAY</t>
  </si>
  <si>
    <t>THAKKER PARTH  JAYESH</t>
  </si>
  <si>
    <t>18+</t>
  </si>
  <si>
    <t>43+</t>
  </si>
  <si>
    <t>17+</t>
  </si>
  <si>
    <t>40+</t>
  </si>
  <si>
    <t>21+</t>
  </si>
  <si>
    <t>41+</t>
  </si>
  <si>
    <t>19+</t>
  </si>
  <si>
    <t>23+</t>
  </si>
  <si>
    <t>20+</t>
  </si>
  <si>
    <t>60+</t>
  </si>
  <si>
    <t>16+</t>
  </si>
  <si>
    <t>49+</t>
  </si>
  <si>
    <t>14+</t>
  </si>
  <si>
    <t>15+</t>
  </si>
  <si>
    <t>11+</t>
  </si>
  <si>
    <t>42+</t>
  </si>
  <si>
    <t>55+</t>
  </si>
  <si>
    <t>67+</t>
  </si>
  <si>
    <t>22+</t>
  </si>
  <si>
    <t>46+</t>
  </si>
  <si>
    <t>13+</t>
  </si>
  <si>
    <t>65+</t>
  </si>
  <si>
    <t>51+</t>
  </si>
  <si>
    <t>12+</t>
  </si>
  <si>
    <t>44+</t>
  </si>
  <si>
    <t>53+</t>
  </si>
  <si>
    <t>45+</t>
  </si>
  <si>
    <t>48+</t>
  </si>
  <si>
    <t>503x</t>
  </si>
  <si>
    <t>57+</t>
  </si>
  <si>
    <t>47+</t>
  </si>
  <si>
    <t>479x</t>
  </si>
  <si>
    <t>52+</t>
  </si>
  <si>
    <t>50+</t>
  </si>
  <si>
    <t>56+</t>
  </si>
  <si>
    <t>457x</t>
  </si>
  <si>
    <t>54+</t>
  </si>
  <si>
    <t>59+</t>
  </si>
  <si>
    <t>74+</t>
  </si>
  <si>
    <t>566+</t>
  </si>
  <si>
    <t>529+</t>
  </si>
  <si>
    <t>553+</t>
  </si>
  <si>
    <t>616+</t>
  </si>
  <si>
    <t>500*+</t>
  </si>
  <si>
    <t>479*+</t>
  </si>
  <si>
    <t>460*+</t>
  </si>
  <si>
    <t>524+</t>
  </si>
  <si>
    <t>499+</t>
  </si>
  <si>
    <t>558+</t>
  </si>
  <si>
    <t>492*+</t>
  </si>
  <si>
    <t>475+</t>
  </si>
  <si>
    <t>522+</t>
  </si>
  <si>
    <t>506+</t>
  </si>
  <si>
    <t>517+</t>
  </si>
  <si>
    <t>564+</t>
  </si>
  <si>
    <t>532+</t>
  </si>
  <si>
    <t>687+</t>
  </si>
  <si>
    <t>590+</t>
  </si>
  <si>
    <t>579+</t>
  </si>
  <si>
    <t>538+</t>
  </si>
  <si>
    <t>615+</t>
  </si>
  <si>
    <t>511+</t>
  </si>
  <si>
    <t>584+</t>
  </si>
  <si>
    <t>471+</t>
  </si>
  <si>
    <t>514+</t>
  </si>
  <si>
    <t>544+</t>
  </si>
  <si>
    <t>542+</t>
  </si>
  <si>
    <t>515+</t>
  </si>
  <si>
    <t>563+</t>
  </si>
  <si>
    <t>490+</t>
  </si>
  <si>
    <t>572+</t>
  </si>
  <si>
    <t>476*+</t>
  </si>
  <si>
    <t>528+</t>
  </si>
  <si>
    <t>525+</t>
  </si>
  <si>
    <t>642+</t>
  </si>
  <si>
    <t>488*+</t>
  </si>
  <si>
    <t>565+</t>
  </si>
  <si>
    <t>514*+</t>
  </si>
  <si>
    <t>493+</t>
  </si>
  <si>
    <t>503+</t>
  </si>
  <si>
    <t>643+</t>
  </si>
  <si>
    <t>562+</t>
  </si>
  <si>
    <t>510+</t>
  </si>
  <si>
    <t>570+</t>
  </si>
  <si>
    <t>581+</t>
  </si>
  <si>
    <t>520+</t>
  </si>
  <si>
    <t>488+</t>
  </si>
  <si>
    <t>587+</t>
  </si>
  <si>
    <t>551+</t>
  </si>
  <si>
    <t>536+</t>
  </si>
  <si>
    <t>504+</t>
  </si>
  <si>
    <t>577+</t>
  </si>
  <si>
    <t>505+</t>
  </si>
  <si>
    <t>489+</t>
  </si>
  <si>
    <t>461+</t>
  </si>
  <si>
    <t>496x</t>
  </si>
  <si>
    <t>443x</t>
  </si>
  <si>
    <t>483x</t>
  </si>
  <si>
    <t>511x</t>
  </si>
  <si>
    <t>454x</t>
  </si>
  <si>
    <t>497x</t>
  </si>
  <si>
    <t>AB</t>
  </si>
  <si>
    <r>
      <t>DEORE</t>
    </r>
    <r>
      <rPr>
        <sz val="10"/>
        <color rgb="FF000000"/>
        <rFont val="Times New Roman"/>
        <family val="1"/>
      </rPr>
      <t xml:space="preserve"> </t>
    </r>
    <r>
      <rPr>
        <sz val="11"/>
        <color rgb="FF000000"/>
        <rFont val="Times New Roman"/>
        <family val="1"/>
      </rPr>
      <t>SANKET</t>
    </r>
    <r>
      <rPr>
        <sz val="10"/>
        <color rgb="FF000000"/>
        <rFont val="Times New Roman"/>
        <family val="1"/>
      </rPr>
      <t xml:space="preserve"> GOVIND</t>
    </r>
  </si>
  <si>
    <t>33*</t>
  </si>
  <si>
    <t>484*</t>
  </si>
  <si>
    <t>32*</t>
  </si>
  <si>
    <t>449*</t>
  </si>
  <si>
    <t>452*</t>
  </si>
  <si>
    <t>1028#10</t>
  </si>
  <si>
    <t>512#10</t>
  </si>
  <si>
    <t>506#10</t>
  </si>
  <si>
    <t>1140#10</t>
  </si>
  <si>
    <t>496#10</t>
  </si>
  <si>
    <t>1048#10</t>
  </si>
  <si>
    <t>579#10</t>
  </si>
  <si>
    <t xml:space="preserve">Statistical Data in various subjects prescribed at the S.E. SEM. (III)  First Half of 2013 Examination held by college </t>
  </si>
  <si>
    <t>on behalf of the University in the month of  May /June 2013.</t>
  </si>
  <si>
    <t>Branch : Computer Engineering</t>
  </si>
  <si>
    <t>S NO.</t>
  </si>
  <si>
    <t>Subject Name</t>
  </si>
  <si>
    <t>Name of Examiner</t>
  </si>
  <si>
    <t>Name of Moderator</t>
  </si>
  <si>
    <t>Total no of students appeared</t>
  </si>
  <si>
    <t>Total no of students passed</t>
  </si>
  <si>
    <t>% of Passing in the subjects</t>
  </si>
  <si>
    <t>Candidates scored marks between 40 &amp; 60</t>
  </si>
  <si>
    <t>Number of candidates scored marks above 60</t>
  </si>
  <si>
    <t>No of grace marks awarded in the subject by examiner</t>
  </si>
  <si>
    <t>Applied Mathematics-III</t>
  </si>
  <si>
    <t>Prof.P.Unnikrishnan      (ACE)</t>
  </si>
  <si>
    <t>Prof. Vinita Gupta      (TCET)</t>
  </si>
  <si>
    <t>03</t>
  </si>
  <si>
    <t>Electronics Devices &amp; Linear Circuits</t>
  </si>
  <si>
    <t>Prof.Anuradha Kapoor      (ACE)</t>
  </si>
  <si>
    <t>Prof. Sunita Sharma       (Wattumal)</t>
  </si>
  <si>
    <t>Discrete Structure &amp; Graph Theory</t>
  </si>
  <si>
    <t>Prof.Chetana Anilkumar               (ACE)</t>
  </si>
  <si>
    <t>Prof. Rashmi Thakur     (TCET)</t>
  </si>
  <si>
    <t>Digital Logic Design and Application</t>
  </si>
  <si>
    <t>Prof. Suvarana Pansambal                   (ACE)</t>
  </si>
  <si>
    <t>Prof. M.S. Kathane     (Wattumal)</t>
  </si>
  <si>
    <t>Data Structures and Files</t>
  </si>
  <si>
    <t>Prof. Mahindra Patil         (ACE)</t>
  </si>
  <si>
    <t>Prof. Roshni Padate     (FCRCE)</t>
  </si>
  <si>
    <t>Computer Organization &amp; Architecture</t>
  </si>
  <si>
    <t>Prof. Vaishali Nirgude           (TCET)</t>
  </si>
  <si>
    <t>Total no of students appeared:</t>
  </si>
  <si>
    <t>Total no of students passed:</t>
  </si>
  <si>
    <t>Overall Percentage of passing:</t>
  </si>
  <si>
    <t>Name of the college:</t>
  </si>
  <si>
    <t>Atharva College of Engineering, Malad (W)</t>
  </si>
  <si>
    <t>Date:</t>
  </si>
  <si>
    <t>(Signature of principal with College seal)</t>
  </si>
  <si>
    <t>AM</t>
  </si>
  <si>
    <t>How many Student Appeared</t>
  </si>
  <si>
    <t>How many student failed</t>
  </si>
  <si>
    <t>How Many students Passed</t>
  </si>
  <si>
    <t>Average Marks</t>
  </si>
  <si>
    <t>Maximum Marks</t>
  </si>
  <si>
    <t>Marks greater than  60</t>
  </si>
  <si>
    <t>Marks between 40 and 60</t>
  </si>
  <si>
    <t>No of grace</t>
  </si>
  <si>
    <t xml:space="preserve">ADC </t>
  </si>
  <si>
    <t>Total No. of Students Appeared :</t>
  </si>
  <si>
    <t>Total No. of Students Passed :</t>
  </si>
  <si>
    <t>Overall Percentage of Passing  :</t>
  </si>
  <si>
    <t>NUM</t>
  </si>
  <si>
    <t>NAME</t>
  </si>
  <si>
    <t>AM-IV-TH</t>
  </si>
  <si>
    <t>AM-IV-TW</t>
  </si>
  <si>
    <t>ADC-TH</t>
  </si>
  <si>
    <t>ADC-TW</t>
  </si>
  <si>
    <t>DBMS-TH</t>
  </si>
  <si>
    <t>DBMS-TW</t>
  </si>
  <si>
    <t>DBMS-P</t>
  </si>
  <si>
    <t>CG-TH</t>
  </si>
  <si>
    <t>CG-TW</t>
  </si>
  <si>
    <t>CG-P</t>
  </si>
  <si>
    <t>AAD-TH</t>
  </si>
  <si>
    <t>AAD-TW</t>
  </si>
  <si>
    <t>AAD-P</t>
  </si>
  <si>
    <t>OS-TH</t>
  </si>
  <si>
    <t>OS-TW</t>
  </si>
  <si>
    <t>OS-P</t>
  </si>
  <si>
    <t>TOT-IV</t>
  </si>
  <si>
    <t>TOT-III</t>
  </si>
  <si>
    <t>SPELLNUMBER</t>
  </si>
  <si>
    <t/>
  </si>
  <si>
    <t>PASS</t>
  </si>
  <si>
    <t>RS 3</t>
  </si>
  <si>
    <t xml:space="preserve">Four Hundred Forty Two </t>
  </si>
  <si>
    <t>I</t>
  </si>
  <si>
    <t xml:space="preserve">One Thousand One Hundred Sixty Two </t>
  </si>
  <si>
    <t>E</t>
  </si>
  <si>
    <t>F</t>
  </si>
  <si>
    <t>FAIL</t>
  </si>
  <si>
    <t>--</t>
  </si>
  <si>
    <t xml:space="preserve">Four Hundred Seventeen </t>
  </si>
  <si>
    <t xml:space="preserve">One Thousand Fifty Two </t>
  </si>
  <si>
    <t xml:space="preserve">One Thousand One Hundred Sixteen </t>
  </si>
  <si>
    <t xml:space="preserve">One Thousand Two Hundred Thirteen </t>
  </si>
  <si>
    <t xml:space="preserve">Four Hundred Eighty Six </t>
  </si>
  <si>
    <t xml:space="preserve">One Thousand Thirty Seven </t>
  </si>
  <si>
    <t xml:space="preserve">Four Hundred Eleven </t>
  </si>
  <si>
    <t xml:space="preserve">Eight Hundred Eighty Two </t>
  </si>
  <si>
    <t xml:space="preserve">Eight Hundred Seventy One </t>
  </si>
  <si>
    <t xml:space="preserve">Three Hundred Sixty One </t>
  </si>
  <si>
    <t xml:space="preserve">One Thousand Twenty Eight </t>
  </si>
  <si>
    <t xml:space="preserve">Four Hundred Twenty Eight </t>
  </si>
  <si>
    <t xml:space="preserve">Four Hundred Twenty  </t>
  </si>
  <si>
    <t xml:space="preserve">Four Hundred Thirty Eight </t>
  </si>
  <si>
    <t xml:space="preserve">One Thousand Eighty Seven </t>
  </si>
  <si>
    <t xml:space="preserve">Three Hundred Seventy One </t>
  </si>
  <si>
    <t xml:space="preserve">Four Hundred Seventy Eight </t>
  </si>
  <si>
    <t xml:space="preserve">Two Hundred Ninety </t>
  </si>
  <si>
    <t xml:space="preserve">One Thousand Twenty One </t>
  </si>
  <si>
    <t xml:space="preserve">Five Hundred Seventy Two </t>
  </si>
  <si>
    <t xml:space="preserve">Three Hundred Seventy Five </t>
  </si>
  <si>
    <t>II</t>
  </si>
  <si>
    <t xml:space="preserve">Nine Hundred NinetyFour </t>
  </si>
  <si>
    <t xml:space="preserve">One Thousand Twenty Three </t>
  </si>
  <si>
    <t xml:space="preserve">One Thousand Sixty Nine </t>
  </si>
  <si>
    <t xml:space="preserve">Two Hundred NinetyTwo </t>
  </si>
  <si>
    <t xml:space="preserve">One Thousand One Hundred Sixty Three </t>
  </si>
  <si>
    <t xml:space="preserve">One Thousand Forty Five </t>
  </si>
  <si>
    <t xml:space="preserve">One Thousand Three Hundred Fifty Nine </t>
  </si>
  <si>
    <t xml:space="preserve">One Thousand One Hundred Sixty One </t>
  </si>
  <si>
    <t xml:space="preserve">One Thousand One Hundred Eighty Six </t>
  </si>
  <si>
    <t xml:space="preserve">One Thousand Sixty Eight </t>
  </si>
  <si>
    <t xml:space="preserve">Four Hundred Sixty Five </t>
  </si>
  <si>
    <t xml:space="preserve">One Thousand One Hundred NinetyOne </t>
  </si>
  <si>
    <t xml:space="preserve">One Thousand Twenty  </t>
  </si>
  <si>
    <t xml:space="preserve">Four Hundred NinetyEight </t>
  </si>
  <si>
    <t xml:space="preserve">One Thousand One Hundred Thirty Nine </t>
  </si>
  <si>
    <t xml:space="preserve">Nine Hundred Thirty Three </t>
  </si>
  <si>
    <t xml:space="preserve">One Thousand Fifty Eight </t>
  </si>
  <si>
    <t xml:space="preserve">One Thousand Sixty Three </t>
  </si>
  <si>
    <t xml:space="preserve">One Thousand Seven </t>
  </si>
  <si>
    <t xml:space="preserve">Four Hundred Seventy Nine </t>
  </si>
  <si>
    <t xml:space="preserve">One Thousand NinetyFive </t>
  </si>
  <si>
    <t xml:space="preserve">Three Hundred NinetyOne </t>
  </si>
  <si>
    <t xml:space="preserve">Four Hundred Sixty One </t>
  </si>
  <si>
    <t>1012@8</t>
  </si>
  <si>
    <t xml:space="preserve">One Thousand One Hundred Thirteen </t>
  </si>
  <si>
    <t xml:space="preserve">Four Hundred Fifty Two </t>
  </si>
  <si>
    <t xml:space="preserve">Nine Hundred Fifty Nine </t>
  </si>
  <si>
    <t xml:space="preserve">Four Hundred Twenty Six </t>
  </si>
  <si>
    <t xml:space="preserve">Three Hundred Eighty Two </t>
  </si>
  <si>
    <t xml:space="preserve">Five Hundred Eighteen </t>
  </si>
  <si>
    <t xml:space="preserve">One Thousand Eighty Three </t>
  </si>
  <si>
    <t xml:space="preserve">One Thousand Sixty Four </t>
  </si>
  <si>
    <t xml:space="preserve">One Thousand Two Hundred Fifty Two </t>
  </si>
  <si>
    <t xml:space="preserve">Four Hundred  </t>
  </si>
  <si>
    <t xml:space="preserve">Three Hundred NinetySeven </t>
  </si>
  <si>
    <t xml:space="preserve">Four Hundred Twelve </t>
  </si>
  <si>
    <t xml:space="preserve">Three Hundred Thirty  </t>
  </si>
  <si>
    <t xml:space="preserve">One Thousand Seventy  </t>
  </si>
  <si>
    <t xml:space="preserve">Nine Hundred Seventy Six </t>
  </si>
  <si>
    <t xml:space="preserve">Two Hundred Forty Seven </t>
  </si>
  <si>
    <t xml:space="preserve">Three Hundred Eighty Three </t>
  </si>
  <si>
    <t xml:space="preserve">Two Hundred Forty Five </t>
  </si>
  <si>
    <t xml:space="preserve">Four Hundred Twenty Three </t>
  </si>
  <si>
    <t xml:space="preserve">Three Hundred Thirty Six </t>
  </si>
  <si>
    <t xml:space="preserve">Four Hundred Fifty Nine </t>
  </si>
  <si>
    <t xml:space="preserve">Nine Hundred Seventy Five </t>
  </si>
  <si>
    <t xml:space="preserve">Four Hundred Forty Seven </t>
  </si>
  <si>
    <t xml:space="preserve">One Thousand Two Hundred Nineteen </t>
  </si>
  <si>
    <t xml:space="preserve">One Thousand One Hundred Six </t>
  </si>
  <si>
    <t xml:space="preserve">Four Hundred Eighty Seven </t>
  </si>
  <si>
    <t xml:space="preserve">Three Hundred Ten </t>
  </si>
  <si>
    <t xml:space="preserve">Four Hundred Thirty Nine </t>
  </si>
  <si>
    <t xml:space="preserve">One Thousand Fifty Six </t>
  </si>
  <si>
    <t xml:space="preserve">One Thousand One Hundred Sixty Four </t>
  </si>
  <si>
    <t xml:space="preserve">Four Hundred NinetyThree </t>
  </si>
  <si>
    <t xml:space="preserve">Nine Hundred Twenty Seven </t>
  </si>
  <si>
    <t xml:space="preserve">One Thousand One Hundred Seventy Five </t>
  </si>
  <si>
    <t xml:space="preserve">Four Hundred Eighty Four </t>
  </si>
  <si>
    <t xml:space="preserve">Three Hundred Forty Six </t>
  </si>
  <si>
    <t xml:space="preserve">One Thousand Eighty One </t>
  </si>
  <si>
    <t xml:space="preserve">One Thousand Thirty  </t>
  </si>
  <si>
    <t xml:space="preserve">Four Hundred Fifty Four </t>
  </si>
  <si>
    <t xml:space="preserve">One Thousand NinetyTwo </t>
  </si>
  <si>
    <t xml:space="preserve">Nine Hundred Twenty Two </t>
  </si>
  <si>
    <t xml:space="preserve">Nine Hundred Sixty Two </t>
  </si>
  <si>
    <t xml:space="preserve">Three Hundred Fifty Four </t>
  </si>
  <si>
    <t xml:space="preserve">Five Hundred Eight </t>
  </si>
  <si>
    <t xml:space="preserve">Three Hundred Fifty One </t>
  </si>
  <si>
    <t xml:space="preserve">Nine Hundred Fourteen </t>
  </si>
  <si>
    <t xml:space="preserve">One Thousand One Hundred Thirty Four </t>
  </si>
  <si>
    <t xml:space="preserve">Four Hundred Sixty Eight </t>
  </si>
  <si>
    <t xml:space="preserve">Five Hundred Nine </t>
  </si>
  <si>
    <t xml:space="preserve">Four Hundred Forty Nine </t>
  </si>
  <si>
    <t xml:space="preserve">Three Hundred Seventy  </t>
  </si>
  <si>
    <t xml:space="preserve">One Hundred Eighty One </t>
  </si>
  <si>
    <t xml:space="preserve">Two Hundred Eighty Six </t>
  </si>
  <si>
    <t xml:space="preserve"> </t>
  </si>
  <si>
    <t xml:space="preserve">Three Hundred NinetyTwo </t>
  </si>
  <si>
    <t xml:space="preserve">Four Hundred Forty Five </t>
  </si>
  <si>
    <t>ABSENT</t>
  </si>
  <si>
    <t xml:space="preserve">Two Hundred Eighty Three </t>
  </si>
  <si>
    <t xml:space="preserve">Nine Hundred NinetyFive </t>
  </si>
  <si>
    <t xml:space="preserve">Three Hundred Six </t>
  </si>
  <si>
    <t xml:space="preserve">Nine Hundred Eighteen </t>
  </si>
  <si>
    <t xml:space="preserve">Three Hundred Fourteen </t>
  </si>
  <si>
    <t xml:space="preserve">Nine Hundred Thirty Five </t>
  </si>
  <si>
    <t xml:space="preserve">Four Hundred Thirty Seven </t>
  </si>
  <si>
    <t xml:space="preserve">Two Hundred Eighty Nine </t>
  </si>
  <si>
    <t xml:space="preserve">Three Hundred Sixteen </t>
  </si>
  <si>
    <t xml:space="preserve">Nine Hundred One </t>
  </si>
  <si>
    <t xml:space="preserve">Four Hundred Fifty Three </t>
  </si>
  <si>
    <t xml:space="preserve">Nine Hundred Sixty Nine </t>
  </si>
  <si>
    <t xml:space="preserve">Four Hundred Twenty Five </t>
  </si>
  <si>
    <t xml:space="preserve">Nine Hundred Sixteen </t>
  </si>
  <si>
    <t xml:space="preserve">Three Hundred NinetyEight </t>
  </si>
  <si>
    <t xml:space="preserve">Eight Hundred Eighty Seven </t>
  </si>
  <si>
    <t xml:space="preserve">Nine Hundred Sixty Eight </t>
  </si>
  <si>
    <t xml:space="preserve">Two Hundred Twenty Five </t>
  </si>
  <si>
    <t xml:space="preserve">Three Hundred Eighty Eight </t>
  </si>
  <si>
    <t>DEORE SANKET GOVIND</t>
  </si>
  <si>
    <t xml:space="preserve">Four Hundred One </t>
  </si>
  <si>
    <t>07</t>
  </si>
  <si>
    <t>04</t>
  </si>
  <si>
    <t>02</t>
  </si>
  <si>
    <t>08</t>
  </si>
  <si>
    <t>09</t>
  </si>
  <si>
    <t>00</t>
  </si>
  <si>
    <t>05</t>
  </si>
  <si>
    <t>000</t>
  </si>
  <si>
    <t>PCT4C001</t>
  </si>
  <si>
    <t>JAIN SHARAD RAMESHKUMAR</t>
  </si>
  <si>
    <t>445*</t>
  </si>
  <si>
    <t>PCT4C002</t>
  </si>
  <si>
    <t>JETHAVA VIKRANT ASHOK BHAI</t>
  </si>
  <si>
    <t>429*</t>
  </si>
  <si>
    <t>PCT4C003</t>
  </si>
  <si>
    <t>SALVI SANDESH DILIP</t>
  </si>
  <si>
    <t>PCT4C004</t>
  </si>
  <si>
    <t>SHELKE DHANSHREE SUBHASH</t>
  </si>
  <si>
    <t>PCT4C005</t>
  </si>
  <si>
    <t>THAPLIYAL AJAY SHIVSHARAN</t>
  </si>
  <si>
    <t>PCT4C006</t>
  </si>
  <si>
    <t>SHAH DIVYA MANGESH</t>
  </si>
  <si>
    <t>PCT4C007</t>
  </si>
  <si>
    <t>GANDHI KAJOL VIJAY</t>
  </si>
  <si>
    <t>PCT4C008</t>
  </si>
  <si>
    <t>SHAH ZALAK NIPUL</t>
  </si>
  <si>
    <t>PCT4C009</t>
  </si>
  <si>
    <t>NEVREKAR PRIYANKA CHANDRAKANT</t>
  </si>
  <si>
    <t>PCT4C010</t>
  </si>
  <si>
    <t>SOLANKI DHAWAL SANDEEP</t>
  </si>
  <si>
    <t>61+</t>
  </si>
  <si>
    <t>PCT4C011</t>
  </si>
  <si>
    <t>TORASKAR NISHANT YESHWANT</t>
  </si>
  <si>
    <t xml:space="preserve">Three Hundred NinetyNine </t>
  </si>
  <si>
    <t xml:space="preserve">Four Hundred Fifty Five </t>
  </si>
  <si>
    <t xml:space="preserve">Four Hundred Five </t>
  </si>
  <si>
    <t xml:space="preserve">Four Hundred Nine </t>
  </si>
  <si>
    <t xml:space="preserve">Four Hundred Thirty Six </t>
  </si>
  <si>
    <t xml:space="preserve">Three Hundred Eighty Seven </t>
  </si>
  <si>
    <t>453x</t>
  </si>
  <si>
    <t>469x</t>
  </si>
  <si>
    <t>510x</t>
  </si>
  <si>
    <t>420x</t>
  </si>
  <si>
    <t>486x</t>
  </si>
  <si>
    <t>462x</t>
  </si>
  <si>
    <t>470x</t>
  </si>
  <si>
    <t>501x</t>
  </si>
  <si>
    <t>528x</t>
  </si>
  <si>
    <t>447x</t>
  </si>
  <si>
    <t>500x</t>
  </si>
  <si>
    <t>499x</t>
  </si>
  <si>
    <t>634x</t>
  </si>
  <si>
    <t>530x</t>
  </si>
  <si>
    <t>476x</t>
  </si>
  <si>
    <t>477x</t>
  </si>
  <si>
    <t>415x</t>
  </si>
  <si>
    <t>518x</t>
  </si>
  <si>
    <t>438x</t>
  </si>
  <si>
    <t>478x</t>
  </si>
  <si>
    <t>444x</t>
  </si>
  <si>
    <t>489x</t>
  </si>
  <si>
    <t>481x</t>
  </si>
  <si>
    <t>475x</t>
  </si>
  <si>
    <t>524x</t>
  </si>
  <si>
    <t>536x</t>
  </si>
  <si>
    <t>498x</t>
  </si>
  <si>
    <t>550x</t>
  </si>
  <si>
    <t>492x</t>
  </si>
  <si>
    <t>509x</t>
  </si>
  <si>
    <t>466x</t>
  </si>
  <si>
    <t>484x</t>
  </si>
  <si>
    <t>507x</t>
  </si>
  <si>
    <t>539x</t>
  </si>
  <si>
    <t>456x</t>
  </si>
  <si>
    <t>421x</t>
  </si>
  <si>
    <t>469</t>
  </si>
  <si>
    <t>01</t>
  </si>
  <si>
    <t>06</t>
  </si>
  <si>
    <t>545+</t>
  </si>
  <si>
    <t xml:space="preserve">One Thousand Fifty Nine </t>
  </si>
  <si>
    <t>450x</t>
  </si>
  <si>
    <t xml:space="preserve">Eight Hundred NinetySix </t>
  </si>
  <si>
    <t>458x</t>
  </si>
  <si>
    <t>Nine Hundred Three</t>
  </si>
  <si>
    <t>466+</t>
  </si>
  <si>
    <t xml:space="preserve">Nine Hundred  </t>
  </si>
  <si>
    <t xml:space="preserve">Nine Hundred Eighty Four </t>
  </si>
  <si>
    <t xml:space="preserve">Nine Hundred Fifty Six </t>
  </si>
  <si>
    <t xml:space="preserve">One Thousand Thirteen </t>
  </si>
  <si>
    <t>515*+</t>
  </si>
  <si>
    <t>1094#10</t>
  </si>
  <si>
    <t>One Thousand Ninety Four</t>
  </si>
  <si>
    <t>433*+</t>
  </si>
  <si>
    <t xml:space="preserve">Eight Hundred Ninety </t>
  </si>
  <si>
    <t>494*</t>
  </si>
  <si>
    <t>469X</t>
  </si>
  <si>
    <t>UBALE SANCHI SANDEEP</t>
  </si>
  <si>
    <t>502x</t>
  </si>
  <si>
    <t>531+</t>
  </si>
  <si>
    <t xml:space="preserve">One Thousand One Hundred Twenty Six </t>
  </si>
  <si>
    <t>439x</t>
  </si>
  <si>
    <t xml:space="preserve">Four Hundred Seven </t>
  </si>
  <si>
    <t xml:space="preserve">One Hundred Sixty Three </t>
  </si>
  <si>
    <t>31*</t>
  </si>
  <si>
    <t>480*</t>
  </si>
  <si>
    <t>437*</t>
  </si>
  <si>
    <t>34*</t>
  </si>
  <si>
    <t>474*</t>
  </si>
  <si>
    <t>517x</t>
  </si>
  <si>
    <t>500*</t>
  </si>
  <si>
    <t>540+</t>
  </si>
  <si>
    <t xml:space="preserve">One Thousand One Hundred One </t>
  </si>
  <si>
    <t>Nine Hundred Thirty Seven</t>
  </si>
  <si>
    <t xml:space="preserve">Nine Hundred Twenty Five </t>
  </si>
  <si>
    <t>482x</t>
  </si>
  <si>
    <t xml:space="preserve">Nine Hundred Seventy Nine </t>
  </si>
  <si>
    <t>482+</t>
  </si>
  <si>
    <t xml:space="preserve">Nine Hundred Eighty One 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</si>
</sst>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"/>
  </numFmts>
  <fonts count="1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theme="1"/>
      <name val="Calibri"/>
      <family val="2"/>
      <scheme val="minor"/>
    </font>
    <font>
      <b/>
      <sz val="9"/>
      <color indexed="8"/>
      <name val="Calibri"/>
      <family val="2"/>
    </font>
    <font>
      <sz val="12"/>
      <color indexed="8"/>
      <name val="Calibri"/>
      <family val="2"/>
    </font>
    <font>
      <sz val="11"/>
      <color rgb="FF000000"/>
      <name val="Calibri"/>
      <family val="2"/>
      <scheme val="minor"/>
    </font>
    <font>
      <sz val="12"/>
      <color theme="1"/>
      <name val="Times New Roman"/>
      <family val="1"/>
    </font>
    <font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Border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right" vertical="center"/>
      <protection locked="0"/>
    </xf>
    <xf numFmtId="0" fontId="0" fillId="0" borderId="2" xfId="0" applyBorder="1" applyProtection="1"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164" fontId="0" fillId="0" borderId="0" xfId="0" applyNumberFormat="1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13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0" xfId="0" applyNumberFormat="1" applyBorder="1" applyAlignment="1" applyProtection="1">
      <alignment horizontal="left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4" fontId="0" fillId="0" borderId="6" xfId="0" applyNumberFormat="1" applyFont="1" applyBorder="1" applyAlignment="1" applyProtection="1">
      <alignment horizontal="left"/>
      <protection locked="0"/>
    </xf>
    <xf numFmtId="0" fontId="0" fillId="0" borderId="7" xfId="0" applyFont="1" applyBorder="1" applyProtection="1">
      <protection hidden="1"/>
    </xf>
    <xf numFmtId="164" fontId="0" fillId="0" borderId="6" xfId="0" applyNumberFormat="1" applyFont="1" applyBorder="1" applyAlignment="1" applyProtection="1">
      <alignment horizontal="left" vertical="center"/>
      <protection locked="0"/>
    </xf>
    <xf numFmtId="0" fontId="0" fillId="0" borderId="8" xfId="0" applyFont="1" applyBorder="1" applyProtection="1">
      <protection hidden="1"/>
    </xf>
    <xf numFmtId="165" fontId="0" fillId="0" borderId="4" xfId="0" applyNumberFormat="1" applyFont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center"/>
      <protection hidden="1"/>
    </xf>
    <xf numFmtId="164" fontId="0" fillId="0" borderId="8" xfId="0" applyNumberFormat="1" applyFont="1" applyBorder="1" applyAlignment="1" applyProtection="1">
      <alignment horizontal="center"/>
      <protection hidden="1"/>
    </xf>
    <xf numFmtId="164" fontId="0" fillId="0" borderId="7" xfId="0" applyNumberFormat="1" applyFont="1" applyBorder="1" applyAlignment="1" applyProtection="1">
      <alignment horizontal="center"/>
      <protection hidden="1"/>
    </xf>
    <xf numFmtId="164" fontId="0" fillId="0" borderId="11" xfId="0" applyNumberFormat="1" applyFont="1" applyBorder="1" applyAlignment="1" applyProtection="1">
      <alignment horizontal="left"/>
      <protection locked="0"/>
    </xf>
    <xf numFmtId="0" fontId="0" fillId="0" borderId="15" xfId="0" applyFont="1" applyBorder="1" applyProtection="1">
      <protection hidden="1"/>
    </xf>
    <xf numFmtId="164" fontId="0" fillId="0" borderId="11" xfId="0" applyNumberFormat="1" applyFont="1" applyBorder="1" applyAlignment="1" applyProtection="1">
      <alignment horizontal="left" vertical="center"/>
      <protection locked="0"/>
    </xf>
    <xf numFmtId="164" fontId="0" fillId="0" borderId="12" xfId="0" applyNumberFormat="1" applyFont="1" applyBorder="1" applyAlignment="1" applyProtection="1">
      <alignment horizontal="center"/>
      <protection hidden="1"/>
    </xf>
    <xf numFmtId="165" fontId="0" fillId="0" borderId="9" xfId="0" applyNumberFormat="1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164" fontId="0" fillId="0" borderId="6" xfId="0" applyNumberFormat="1" applyBorder="1" applyAlignment="1" applyProtection="1">
      <alignment horizontal="left"/>
      <protection locked="0"/>
    </xf>
    <xf numFmtId="164" fontId="0" fillId="0" borderId="7" xfId="0" applyNumberForma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right" vertical="center"/>
      <protection locked="0"/>
    </xf>
    <xf numFmtId="164" fontId="0" fillId="0" borderId="7" xfId="0" applyNumberFormat="1" applyFont="1" applyBorder="1" applyAlignment="1" applyProtection="1">
      <alignment horizontal="left"/>
      <protection locked="0"/>
    </xf>
    <xf numFmtId="164" fontId="0" fillId="0" borderId="12" xfId="0" applyNumberFormat="1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center" wrapText="1"/>
      <protection locked="0"/>
    </xf>
    <xf numFmtId="0" fontId="4" fillId="0" borderId="4" xfId="0" applyFont="1" applyBorder="1" applyAlignment="1" applyProtection="1">
      <alignment wrapText="1"/>
      <protection locked="0"/>
    </xf>
    <xf numFmtId="0" fontId="7" fillId="0" borderId="4" xfId="0" applyFont="1" applyBorder="1" applyAlignment="1" applyProtection="1">
      <alignment wrapText="1"/>
      <protection locked="0"/>
    </xf>
    <xf numFmtId="0" fontId="0" fillId="0" borderId="13" xfId="0" applyFont="1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2" fillId="0" borderId="0" xfId="0" applyFont="1"/>
    <xf numFmtId="0" fontId="5" fillId="0" borderId="0" xfId="0" applyFont="1"/>
    <xf numFmtId="0" fontId="10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left" vertical="center" wrapText="1"/>
    </xf>
    <xf numFmtId="0" fontId="1" fillId="0" borderId="4" xfId="0" applyNumberFormat="1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 vertical="center" wrapText="1"/>
    </xf>
    <xf numFmtId="10" fontId="1" fillId="0" borderId="4" xfId="1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0" fontId="1" fillId="0" borderId="4" xfId="0" applyNumberFormat="1" applyFont="1" applyBorder="1" applyAlignment="1">
      <alignment horizontal="left" vertical="center" wrapText="1"/>
    </xf>
    <xf numFmtId="0" fontId="1" fillId="0" borderId="0" xfId="0" applyFont="1"/>
    <xf numFmtId="0" fontId="1" fillId="0" borderId="0" xfId="0" applyFont="1" applyAlignment="1">
      <alignment horizontal="left" vertical="top"/>
    </xf>
    <xf numFmtId="10" fontId="1" fillId="0" borderId="0" xfId="1" applyNumberFormat="1" applyFont="1" applyAlignment="1">
      <alignment horizontal="left" vertical="top"/>
    </xf>
    <xf numFmtId="14" fontId="1" fillId="0" borderId="0" xfId="0" applyNumberFormat="1" applyFont="1" applyAlignment="1">
      <alignment horizontal="left"/>
    </xf>
    <xf numFmtId="0" fontId="12" fillId="0" borderId="0" xfId="0" applyFont="1" applyFill="1" applyBorder="1" applyAlignment="1" applyProtection="1">
      <alignment wrapText="1"/>
      <protection locked="0"/>
    </xf>
    <xf numFmtId="0" fontId="0" fillId="0" borderId="0" xfId="0" applyBorder="1" applyAlignment="1" applyProtection="1">
      <alignment wrapText="1"/>
      <protection locked="0"/>
    </xf>
    <xf numFmtId="0" fontId="13" fillId="0" borderId="0" xfId="0" applyFont="1"/>
    <xf numFmtId="0" fontId="14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 hidden="1"/>
    </xf>
    <xf numFmtId="10" fontId="0" fillId="0" borderId="0" xfId="1" applyNumberFormat="1" applyFont="1" applyBorder="1" applyAlignment="1" applyProtection="1">
      <alignment horizontal="center"/>
      <protection locked="0" hidden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0" fillId="0" borderId="7" xfId="0" applyNumberFormat="1" applyFont="1" applyBorder="1" applyAlignment="1" applyProtection="1">
      <alignment vertical="top"/>
      <protection locked="0"/>
    </xf>
    <xf numFmtId="0" fontId="0" fillId="0" borderId="7" xfId="0" applyFont="1" applyBorder="1" applyAlignment="1" applyProtection="1">
      <alignment vertical="top"/>
      <protection hidden="1"/>
    </xf>
    <xf numFmtId="49" fontId="0" fillId="0" borderId="6" xfId="0" applyNumberFormat="1" applyFont="1" applyBorder="1" applyAlignment="1" applyProtection="1">
      <alignment vertical="top"/>
      <protection locked="0"/>
    </xf>
    <xf numFmtId="0" fontId="0" fillId="0" borderId="8" xfId="0" applyFont="1" applyBorder="1" applyAlignment="1" applyProtection="1">
      <alignment vertical="top"/>
      <protection hidden="1"/>
    </xf>
    <xf numFmtId="49" fontId="0" fillId="0" borderId="6" xfId="0" applyNumberFormat="1" applyBorder="1" applyAlignment="1" applyProtection="1">
      <alignment vertical="top"/>
      <protection locked="0"/>
    </xf>
    <xf numFmtId="49" fontId="0" fillId="0" borderId="12" xfId="0" applyNumberFormat="1" applyFont="1" applyBorder="1" applyAlignment="1" applyProtection="1">
      <alignment vertical="top"/>
      <protection locked="0"/>
    </xf>
    <xf numFmtId="0" fontId="0" fillId="0" borderId="15" xfId="0" applyFont="1" applyBorder="1" applyAlignment="1" applyProtection="1">
      <alignment vertical="top"/>
      <protection hidden="1"/>
    </xf>
    <xf numFmtId="49" fontId="0" fillId="0" borderId="11" xfId="0" applyNumberFormat="1" applyFont="1" applyBorder="1" applyAlignment="1" applyProtection="1">
      <alignment vertical="top"/>
      <protection locked="0"/>
    </xf>
    <xf numFmtId="49" fontId="0" fillId="0" borderId="7" xfId="0" applyNumberFormat="1" applyBorder="1" applyAlignment="1" applyProtection="1">
      <alignment vertical="top"/>
      <protection locked="0"/>
    </xf>
    <xf numFmtId="49" fontId="0" fillId="0" borderId="4" xfId="0" applyNumberFormat="1" applyBorder="1" applyAlignment="1" applyProtection="1">
      <alignment horizontal="center" vertical="center"/>
      <protection locked="0"/>
    </xf>
    <xf numFmtId="0" fontId="4" fillId="0" borderId="4" xfId="0" applyFont="1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164" fontId="0" fillId="0" borderId="6" xfId="0" applyNumberFormat="1" applyBorder="1" applyAlignment="1">
      <alignment horizontal="left" vertical="top"/>
    </xf>
    <xf numFmtId="0" fontId="0" fillId="0" borderId="15" xfId="0" applyBorder="1" applyAlignment="1">
      <alignment vertical="top"/>
    </xf>
    <xf numFmtId="164" fontId="1" fillId="0" borderId="6" xfId="0" applyNumberFormat="1" applyFont="1" applyBorder="1" applyAlignment="1" applyProtection="1">
      <alignment horizontal="left" vertical="top"/>
      <protection locked="0"/>
    </xf>
    <xf numFmtId="0" fontId="0" fillId="0" borderId="8" xfId="0" applyBorder="1" applyAlignment="1">
      <alignment vertical="top"/>
    </xf>
    <xf numFmtId="0" fontId="0" fillId="0" borderId="8" xfId="0" applyBorder="1" applyAlignment="1">
      <alignment horizontal="center" vertical="top"/>
    </xf>
    <xf numFmtId="165" fontId="0" fillId="0" borderId="4" xfId="0" applyNumberForma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65" fontId="0" fillId="0" borderId="4" xfId="0" applyNumberFormat="1" applyBorder="1" applyAlignment="1" applyProtection="1">
      <alignment horizontal="center" vertical="center"/>
      <protection locked="0"/>
    </xf>
    <xf numFmtId="49" fontId="0" fillId="0" borderId="0" xfId="0" applyNumberFormat="1" applyProtection="1">
      <protection locked="0"/>
    </xf>
    <xf numFmtId="0" fontId="4" fillId="0" borderId="4" xfId="0" applyFont="1" applyBorder="1" applyAlignment="1">
      <alignment wrapText="1"/>
    </xf>
    <xf numFmtId="164" fontId="0" fillId="0" borderId="6" xfId="0" applyNumberFormat="1" applyBorder="1" applyAlignment="1">
      <alignment horizontal="left"/>
    </xf>
    <xf numFmtId="0" fontId="0" fillId="0" borderId="15" xfId="0" applyBorder="1"/>
    <xf numFmtId="164" fontId="1" fillId="0" borderId="6" xfId="0" applyNumberFormat="1" applyFont="1" applyBorder="1" applyAlignment="1" applyProtection="1">
      <alignment horizontal="left"/>
      <protection locked="0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164" fontId="0" fillId="0" borderId="7" xfId="0" applyNumberFormat="1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center"/>
      <protection hidden="1"/>
    </xf>
    <xf numFmtId="0" fontId="3" fillId="0" borderId="0" xfId="0" applyFont="1" applyProtection="1">
      <protection locked="0"/>
    </xf>
    <xf numFmtId="0" fontId="2" fillId="0" borderId="6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2" fillId="0" borderId="4" xfId="0" applyFont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center" vertical="top" wrapText="1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5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ercent" xfId="1" builtinId="5"/>
  </cellStyles>
  <dxfs count="174"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3437732</xdr:colOff>
      <xdr:row>24</xdr:row>
      <xdr:rowOff>191294</xdr:rowOff>
    </xdr:from>
    <xdr:to>
      <xdr:col>2</xdr:col>
      <xdr:colOff>3439320</xdr:colOff>
      <xdr:row>26</xdr:row>
      <xdr:rowOff>200819</xdr:rowOff>
    </xdr:to>
    <xdr:cxnSp macro="">
      <xdr:nvCxnSpPr>
        <xdr:cNvPr id="10" name="Straight Connector 9"/>
        <xdr:cNvCxnSpPr/>
      </xdr:nvCxnSpPr>
      <xdr:spPr>
        <a:xfrm rot="5400000">
          <a:off x="3957638" y="5081588"/>
          <a:ext cx="428625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2628106</xdr:colOff>
      <xdr:row>25</xdr:row>
      <xdr:rowOff>19844</xdr:rowOff>
    </xdr:from>
    <xdr:to>
      <xdr:col>2</xdr:col>
      <xdr:colOff>2629694</xdr:colOff>
      <xdr:row>27</xdr:row>
      <xdr:rowOff>794</xdr:rowOff>
    </xdr:to>
    <xdr:cxnSp macro="">
      <xdr:nvCxnSpPr>
        <xdr:cNvPr id="4" name="Straight Connector 3"/>
        <xdr:cNvCxnSpPr/>
      </xdr:nvCxnSpPr>
      <xdr:spPr>
        <a:xfrm rot="5400000">
          <a:off x="3162300" y="5105400"/>
          <a:ext cx="40005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AO246"/>
  <sheetViews>
    <sheetView topLeftCell="D181" workbookViewId="0">
      <selection activeCell="B198" sqref="B198:AO198"/>
    </sheetView>
  </sheetViews>
  <sheetFormatPr defaultRowHeight="15"/>
  <cols>
    <col min="1" max="1" width="1.85546875" style="2" customWidth="1"/>
    <col min="2" max="2" width="9.140625" style="2"/>
    <col min="3" max="3" width="45.42578125" style="2" customWidth="1"/>
    <col min="4" max="4" width="3.85546875" style="21" customWidth="1"/>
    <col min="5" max="5" width="1.7109375" style="2" customWidth="1"/>
    <col min="6" max="6" width="3.85546875" style="21" customWidth="1"/>
    <col min="7" max="7" width="1.7109375" style="2" customWidth="1"/>
    <col min="8" max="8" width="3.85546875" style="21" customWidth="1"/>
    <col min="9" max="9" width="1.7109375" style="2" customWidth="1"/>
    <col min="10" max="10" width="3.85546875" style="21" customWidth="1"/>
    <col min="11" max="11" width="1.7109375" style="2" customWidth="1"/>
    <col min="12" max="12" width="3.85546875" style="21" customWidth="1"/>
    <col min="13" max="13" width="1.7109375" style="2" customWidth="1"/>
    <col min="14" max="14" width="3.85546875" style="21" customWidth="1"/>
    <col min="15" max="15" width="1.5703125" style="2" customWidth="1"/>
    <col min="16" max="16" width="3.85546875" style="21" customWidth="1"/>
    <col min="17" max="17" width="1.7109375" style="2" customWidth="1"/>
    <col min="18" max="18" width="3.85546875" style="21" customWidth="1"/>
    <col min="19" max="19" width="1.7109375" style="2" customWidth="1"/>
    <col min="20" max="20" width="3.85546875" style="21" customWidth="1"/>
    <col min="21" max="21" width="1.7109375" style="2" customWidth="1"/>
    <col min="22" max="22" width="3.85546875" style="21" customWidth="1"/>
    <col min="23" max="23" width="1.7109375" style="2" customWidth="1"/>
    <col min="24" max="24" width="3.85546875" style="21" customWidth="1"/>
    <col min="25" max="25" width="1.7109375" style="2" customWidth="1"/>
    <col min="26" max="26" width="3.85546875" style="21" customWidth="1"/>
    <col min="27" max="27" width="1.7109375" style="2" customWidth="1"/>
    <col min="28" max="28" width="3.85546875" style="21" customWidth="1"/>
    <col min="29" max="29" width="1.7109375" style="2" customWidth="1"/>
    <col min="30" max="30" width="3.85546875" style="21" customWidth="1"/>
    <col min="31" max="31" width="1.7109375" style="2" customWidth="1"/>
    <col min="32" max="32" width="3.85546875" style="21" customWidth="1"/>
    <col min="33" max="33" width="2.7109375" style="2" customWidth="1"/>
    <col min="34" max="34" width="3.85546875" style="21" customWidth="1"/>
    <col min="35" max="35" width="2.140625" style="2" bestFit="1" customWidth="1"/>
    <col min="36" max="36" width="7.42578125" style="1" customWidth="1"/>
    <col min="37" max="37" width="7" style="1" customWidth="1"/>
    <col min="38" max="38" width="9.28515625" style="23" customWidth="1"/>
    <col min="39" max="39" width="8.7109375" style="1" customWidth="1"/>
    <col min="40" max="40" width="9.140625" style="19"/>
    <col min="41" max="41" width="25.85546875" style="2" customWidth="1"/>
    <col min="42" max="16384" width="9.140625" style="2"/>
  </cols>
  <sheetData>
    <row r="3" spans="3:30">
      <c r="C3" s="13"/>
      <c r="D3" s="22" t="s">
        <v>357</v>
      </c>
      <c r="H3" s="21" t="s">
        <v>366</v>
      </c>
      <c r="L3" s="21" t="s">
        <v>4</v>
      </c>
      <c r="R3" s="21" t="s">
        <v>5</v>
      </c>
      <c r="X3" s="21" t="s">
        <v>6</v>
      </c>
      <c r="AD3" s="21" t="s">
        <v>7</v>
      </c>
    </row>
    <row r="4" spans="3:30">
      <c r="C4" s="13"/>
      <c r="D4" s="22"/>
    </row>
    <row r="5" spans="3:30">
      <c r="C5" s="65" t="s">
        <v>358</v>
      </c>
      <c r="D5" s="22">
        <f>COUNT(D28:D209)+D12</f>
        <v>156</v>
      </c>
      <c r="H5" s="22">
        <f>COUNT(H28:H209)+H12</f>
        <v>164</v>
      </c>
      <c r="L5" s="22">
        <f>COUNT(L28:L209)+L12</f>
        <v>151</v>
      </c>
      <c r="R5" s="22">
        <f>COUNT(R28:R209)+R12</f>
        <v>148</v>
      </c>
      <c r="X5" s="22">
        <f>COUNT(X28:X209)+X12</f>
        <v>149</v>
      </c>
      <c r="AD5" s="22">
        <f>COUNT(AD28:AD209)+AD12</f>
        <v>149</v>
      </c>
    </row>
    <row r="6" spans="3:30">
      <c r="C6" s="65" t="s">
        <v>359</v>
      </c>
      <c r="D6" s="22">
        <f>COUNTIF(E28:E209,"=F")</f>
        <v>55</v>
      </c>
      <c r="H6" s="22">
        <f>COUNTIF(I28:I209,"=F")</f>
        <v>20</v>
      </c>
      <c r="L6" s="22">
        <f>COUNTIF(M28:M209,"=F")</f>
        <v>21</v>
      </c>
      <c r="R6" s="22">
        <f>COUNTIF(S28:S209,"=F")</f>
        <v>33</v>
      </c>
      <c r="X6" s="22">
        <f>COUNTIF(Y28:Y209,"=F")</f>
        <v>10</v>
      </c>
      <c r="AD6" s="22">
        <f>COUNTIF(AE28:AE209,"=F")</f>
        <v>18</v>
      </c>
    </row>
    <row r="7" spans="3:30">
      <c r="C7" s="65" t="s">
        <v>360</v>
      </c>
      <c r="D7" s="22">
        <f>D5-D6</f>
        <v>101</v>
      </c>
      <c r="H7" s="22">
        <f>H5-H6</f>
        <v>144</v>
      </c>
      <c r="L7" s="22">
        <f>L5-L6</f>
        <v>130</v>
      </c>
      <c r="R7" s="22">
        <f>R5-R6</f>
        <v>115</v>
      </c>
      <c r="X7" s="22">
        <f>X5-X6</f>
        <v>139</v>
      </c>
      <c r="AD7" s="22">
        <f>AD5-AD6</f>
        <v>131</v>
      </c>
    </row>
    <row r="8" spans="3:30">
      <c r="C8" s="65" t="s">
        <v>361</v>
      </c>
      <c r="D8" s="22">
        <f>AVERAGE(D28:D209)</f>
        <v>36.993464052287578</v>
      </c>
      <c r="H8" s="22">
        <f>AVERAGE(H28:H209)</f>
        <v>51.871951219512198</v>
      </c>
      <c r="L8" s="22">
        <f>AVERAGE(L28:L209)</f>
        <v>46.384105960264904</v>
      </c>
      <c r="R8" s="22">
        <f>AVERAGE(R28:R209)</f>
        <v>42.675862068965515</v>
      </c>
      <c r="X8" s="22">
        <f>AVERAGE(X28:X209)</f>
        <v>50.275167785234899</v>
      </c>
      <c r="AD8" s="22">
        <f>AVERAGE(AD28:AD209)</f>
        <v>45.041095890410958</v>
      </c>
    </row>
    <row r="9" spans="3:30">
      <c r="C9" s="65" t="s">
        <v>362</v>
      </c>
      <c r="D9" s="22">
        <f>MAX(D28:D209)</f>
        <v>87</v>
      </c>
      <c r="H9" s="22">
        <f>MAX(H28:H209)</f>
        <v>84</v>
      </c>
      <c r="L9" s="22">
        <f>MAX(L28:L209)</f>
        <v>83</v>
      </c>
      <c r="R9" s="22">
        <f>MAX(R28:R209)</f>
        <v>74</v>
      </c>
      <c r="X9" s="22">
        <f>MAX(X28:X209)</f>
        <v>77</v>
      </c>
      <c r="AD9" s="22">
        <f>MAX(AD28:AD209)</f>
        <v>68</v>
      </c>
    </row>
    <row r="10" spans="3:30">
      <c r="C10" s="65" t="s">
        <v>363</v>
      </c>
      <c r="D10" s="22">
        <f>COUNTIF(D28:D209,"&gt;60")</f>
        <v>10</v>
      </c>
      <c r="H10" s="22">
        <f>COUNTIF(H28:H209,"&gt;60")</f>
        <v>56</v>
      </c>
      <c r="L10" s="22">
        <f>COUNTIF(L28:L209,"&gt;60")</f>
        <v>17</v>
      </c>
      <c r="R10" s="22">
        <f>COUNTIF(R28:R209,"&gt;60")</f>
        <v>14</v>
      </c>
      <c r="X10" s="22">
        <f>COUNTIF(X28:X209,"&gt;60")</f>
        <v>27</v>
      </c>
      <c r="AD10" s="22">
        <f>COUNTIF(AD28:AD209,"&gt;60")</f>
        <v>5</v>
      </c>
    </row>
    <row r="11" spans="3:30">
      <c r="C11" s="66" t="s">
        <v>364</v>
      </c>
      <c r="D11" s="22">
        <f>D7-D10</f>
        <v>91</v>
      </c>
      <c r="H11" s="22">
        <f>H7-H10</f>
        <v>88</v>
      </c>
      <c r="L11" s="22">
        <f>L7-L10</f>
        <v>113</v>
      </c>
      <c r="R11" s="22">
        <f>R7-R10</f>
        <v>101</v>
      </c>
      <c r="X11" s="22">
        <f>X7-X10</f>
        <v>112</v>
      </c>
      <c r="AD11" s="22">
        <f>AD7-AD10</f>
        <v>126</v>
      </c>
    </row>
    <row r="12" spans="3:30">
      <c r="C12" s="66" t="s">
        <v>365</v>
      </c>
      <c r="D12" s="22">
        <f>COUNTIF(D28:D209,"??~*")</f>
        <v>3</v>
      </c>
      <c r="H12" s="22">
        <f>COUNTIF(H28:H209,"??~*")</f>
        <v>0</v>
      </c>
      <c r="L12" s="22">
        <f>COUNTIF(L28:L209,"??~*")</f>
        <v>0</v>
      </c>
      <c r="R12" s="22">
        <f>COUNTIF(R28:R209,"??~*")</f>
        <v>3</v>
      </c>
      <c r="X12" s="22">
        <f>COUNTIF(X28:X209,"??~*")</f>
        <v>0</v>
      </c>
      <c r="AD12" s="22">
        <f>COUNTIF(AD28:AD209,"??~*")</f>
        <v>3</v>
      </c>
    </row>
    <row r="20" spans="2:41" ht="17.25">
      <c r="B20" s="3" t="s">
        <v>18</v>
      </c>
      <c r="C20" s="3"/>
      <c r="D20" s="20"/>
      <c r="E20" s="3"/>
      <c r="F20" s="20"/>
      <c r="G20" s="3"/>
      <c r="H20" s="20"/>
      <c r="I20" s="3"/>
      <c r="J20" s="20" t="s">
        <v>19</v>
      </c>
      <c r="K20" s="3"/>
      <c r="L20" s="20"/>
      <c r="M20" s="3"/>
      <c r="N20" s="20"/>
      <c r="O20" s="4"/>
      <c r="P20" s="20"/>
      <c r="Q20" s="3"/>
      <c r="R20" s="20"/>
      <c r="S20" s="3"/>
      <c r="T20" s="20"/>
      <c r="U20" s="3"/>
      <c r="V20" s="20"/>
      <c r="W20" s="3"/>
      <c r="X20" s="20"/>
      <c r="Y20" s="3"/>
      <c r="Z20" s="20"/>
      <c r="AA20" s="3"/>
      <c r="AB20" s="20"/>
      <c r="AC20" s="3"/>
      <c r="AD20" s="20"/>
      <c r="AE20" s="3"/>
      <c r="AF20" s="108" t="s">
        <v>20</v>
      </c>
      <c r="AG20" s="108"/>
      <c r="AH20" s="108"/>
      <c r="AI20" s="108"/>
      <c r="AJ20" s="108"/>
      <c r="AK20" s="108"/>
      <c r="AL20" s="108"/>
      <c r="AM20" s="108"/>
    </row>
    <row r="21" spans="2:41" ht="17.25">
      <c r="B21" s="5"/>
      <c r="C21" s="3"/>
      <c r="D21" s="20"/>
      <c r="E21" s="3"/>
      <c r="F21" s="20"/>
      <c r="G21" s="3"/>
      <c r="H21" s="20"/>
      <c r="I21" s="3"/>
      <c r="J21" s="20"/>
      <c r="K21" s="3"/>
      <c r="L21" s="20"/>
      <c r="M21" s="3"/>
      <c r="N21" s="20"/>
      <c r="O21" s="4"/>
      <c r="P21" s="20"/>
      <c r="Q21" s="3"/>
      <c r="R21" s="20"/>
      <c r="S21" s="3"/>
      <c r="T21" s="20"/>
      <c r="U21" s="3"/>
      <c r="V21" s="20"/>
      <c r="W21" s="3"/>
      <c r="X21" s="20"/>
      <c r="Y21" s="3"/>
      <c r="Z21" s="20"/>
      <c r="AA21" s="3"/>
      <c r="AB21" s="20"/>
      <c r="AC21" s="3"/>
      <c r="AD21" s="20"/>
      <c r="AE21" s="3"/>
      <c r="AF21" s="20"/>
      <c r="AG21" s="3"/>
      <c r="AH21" s="20"/>
      <c r="AI21" s="5"/>
      <c r="AJ21" s="6"/>
      <c r="AK21" s="6"/>
      <c r="AL21" s="6"/>
      <c r="AM21" s="6"/>
    </row>
    <row r="22" spans="2:41" ht="17.25">
      <c r="B22" s="3" t="s">
        <v>21</v>
      </c>
      <c r="C22" s="3"/>
      <c r="D22" s="20"/>
      <c r="E22" s="3"/>
      <c r="F22" s="20"/>
      <c r="G22" s="3"/>
      <c r="H22" s="20"/>
      <c r="I22" s="3"/>
      <c r="J22" s="20" t="s">
        <v>22</v>
      </c>
      <c r="K22" s="3"/>
      <c r="L22" s="20"/>
      <c r="M22" s="3"/>
      <c r="N22" s="20"/>
      <c r="O22" s="4"/>
      <c r="P22" s="20"/>
      <c r="Q22" s="3"/>
      <c r="R22" s="20"/>
      <c r="S22" s="3"/>
      <c r="T22" s="20"/>
      <c r="U22" s="3"/>
      <c r="V22" s="20"/>
      <c r="W22" s="3"/>
      <c r="X22" s="20"/>
      <c r="Y22" s="3"/>
      <c r="Z22" s="20"/>
      <c r="AA22" s="3"/>
      <c r="AB22" s="20"/>
      <c r="AC22" s="3"/>
      <c r="AD22" s="20"/>
      <c r="AE22" s="3"/>
      <c r="AF22" s="20" t="s">
        <v>23</v>
      </c>
      <c r="AG22" s="3"/>
      <c r="AH22" s="20"/>
      <c r="AI22" s="5"/>
      <c r="AJ22" s="6"/>
      <c r="AK22" s="6"/>
      <c r="AL22" s="6"/>
      <c r="AM22" s="6"/>
    </row>
    <row r="23" spans="2:41" ht="15.75" thickBot="1"/>
    <row r="24" spans="2:41" ht="15.75">
      <c r="B24" s="116" t="s">
        <v>0</v>
      </c>
      <c r="C24" s="118" t="s">
        <v>1</v>
      </c>
      <c r="D24" s="114" t="s">
        <v>2</v>
      </c>
      <c r="E24" s="114"/>
      <c r="F24" s="114"/>
      <c r="G24" s="114"/>
      <c r="H24" s="114" t="s">
        <v>3</v>
      </c>
      <c r="I24" s="114"/>
      <c r="J24" s="114"/>
      <c r="K24" s="114"/>
      <c r="L24" s="109" t="s">
        <v>4</v>
      </c>
      <c r="M24" s="115"/>
      <c r="N24" s="115"/>
      <c r="O24" s="115"/>
      <c r="P24" s="115"/>
      <c r="Q24" s="110"/>
      <c r="R24" s="109" t="s">
        <v>5</v>
      </c>
      <c r="S24" s="115"/>
      <c r="T24" s="115"/>
      <c r="U24" s="115"/>
      <c r="V24" s="115"/>
      <c r="W24" s="110"/>
      <c r="X24" s="114" t="s">
        <v>6</v>
      </c>
      <c r="Y24" s="114"/>
      <c r="Z24" s="114"/>
      <c r="AA24" s="114"/>
      <c r="AB24" s="114"/>
      <c r="AC24" s="114"/>
      <c r="AD24" s="109" t="s">
        <v>7</v>
      </c>
      <c r="AE24" s="115"/>
      <c r="AF24" s="115"/>
      <c r="AG24" s="115"/>
      <c r="AH24" s="115"/>
      <c r="AI24" s="110"/>
      <c r="AJ24" s="39" t="s">
        <v>8</v>
      </c>
      <c r="AK24" s="7" t="s">
        <v>9</v>
      </c>
      <c r="AL24" s="7" t="s">
        <v>10</v>
      </c>
      <c r="AM24" s="118" t="s">
        <v>11</v>
      </c>
      <c r="AN24" s="118" t="s">
        <v>12</v>
      </c>
    </row>
    <row r="25" spans="2:41" ht="15.75">
      <c r="B25" s="117"/>
      <c r="C25" s="119"/>
      <c r="D25" s="109" t="s">
        <v>13</v>
      </c>
      <c r="E25" s="110"/>
      <c r="F25" s="109" t="s">
        <v>14</v>
      </c>
      <c r="G25" s="110"/>
      <c r="H25" s="109" t="s">
        <v>13</v>
      </c>
      <c r="I25" s="110"/>
      <c r="J25" s="109" t="s">
        <v>14</v>
      </c>
      <c r="K25" s="110"/>
      <c r="L25" s="109" t="s">
        <v>13</v>
      </c>
      <c r="M25" s="110"/>
      <c r="N25" s="109" t="s">
        <v>14</v>
      </c>
      <c r="O25" s="110"/>
      <c r="P25" s="109" t="s">
        <v>15</v>
      </c>
      <c r="Q25" s="110"/>
      <c r="R25" s="109" t="s">
        <v>13</v>
      </c>
      <c r="S25" s="110"/>
      <c r="T25" s="109" t="s">
        <v>14</v>
      </c>
      <c r="U25" s="110"/>
      <c r="V25" s="109" t="s">
        <v>15</v>
      </c>
      <c r="W25" s="110"/>
      <c r="X25" s="109" t="s">
        <v>13</v>
      </c>
      <c r="Y25" s="110"/>
      <c r="Z25" s="109" t="s">
        <v>14</v>
      </c>
      <c r="AA25" s="110"/>
      <c r="AB25" s="109" t="s">
        <v>15</v>
      </c>
      <c r="AC25" s="110"/>
      <c r="AD25" s="109" t="s">
        <v>13</v>
      </c>
      <c r="AE25" s="110"/>
      <c r="AF25" s="109" t="s">
        <v>14</v>
      </c>
      <c r="AG25" s="110"/>
      <c r="AH25" s="109" t="s">
        <v>15</v>
      </c>
      <c r="AI25" s="110"/>
      <c r="AJ25" s="118">
        <v>850</v>
      </c>
      <c r="AK25" s="123">
        <v>850</v>
      </c>
      <c r="AL25" s="126">
        <v>1700</v>
      </c>
      <c r="AM25" s="122"/>
      <c r="AN25" s="122"/>
    </row>
    <row r="26" spans="2:41" ht="15.75">
      <c r="B26" s="117"/>
      <c r="C26" s="42" t="s">
        <v>16</v>
      </c>
      <c r="D26" s="109">
        <v>100</v>
      </c>
      <c r="E26" s="110"/>
      <c r="F26" s="109">
        <v>25</v>
      </c>
      <c r="G26" s="110"/>
      <c r="H26" s="109">
        <v>100</v>
      </c>
      <c r="I26" s="110"/>
      <c r="J26" s="109">
        <v>25</v>
      </c>
      <c r="K26" s="110"/>
      <c r="L26" s="109">
        <v>100</v>
      </c>
      <c r="M26" s="110"/>
      <c r="N26" s="109">
        <v>25</v>
      </c>
      <c r="O26" s="110"/>
      <c r="P26" s="109">
        <v>25</v>
      </c>
      <c r="Q26" s="110"/>
      <c r="R26" s="109">
        <v>100</v>
      </c>
      <c r="S26" s="110"/>
      <c r="T26" s="109">
        <v>25</v>
      </c>
      <c r="U26" s="110"/>
      <c r="V26" s="109">
        <v>25</v>
      </c>
      <c r="W26" s="110"/>
      <c r="X26" s="109">
        <v>100</v>
      </c>
      <c r="Y26" s="110"/>
      <c r="Z26" s="109">
        <v>25</v>
      </c>
      <c r="AA26" s="110"/>
      <c r="AB26" s="109">
        <v>25</v>
      </c>
      <c r="AC26" s="110"/>
      <c r="AD26" s="109">
        <v>100</v>
      </c>
      <c r="AE26" s="110"/>
      <c r="AF26" s="109">
        <v>25</v>
      </c>
      <c r="AG26" s="110"/>
      <c r="AH26" s="109">
        <v>25</v>
      </c>
      <c r="AI26" s="110"/>
      <c r="AJ26" s="122"/>
      <c r="AK26" s="124"/>
      <c r="AL26" s="127"/>
      <c r="AM26" s="122"/>
      <c r="AN26" s="122"/>
    </row>
    <row r="27" spans="2:41" ht="15.75">
      <c r="B27" s="117"/>
      <c r="C27" s="8" t="s">
        <v>17</v>
      </c>
      <c r="D27" s="120">
        <v>40</v>
      </c>
      <c r="E27" s="121"/>
      <c r="F27" s="111">
        <v>10</v>
      </c>
      <c r="G27" s="112"/>
      <c r="H27" s="111">
        <v>40</v>
      </c>
      <c r="I27" s="112"/>
      <c r="J27" s="111">
        <v>10</v>
      </c>
      <c r="K27" s="112"/>
      <c r="L27" s="111">
        <v>40</v>
      </c>
      <c r="M27" s="112"/>
      <c r="N27" s="111">
        <v>10</v>
      </c>
      <c r="O27" s="112"/>
      <c r="P27" s="111">
        <v>10</v>
      </c>
      <c r="Q27" s="112"/>
      <c r="R27" s="111">
        <v>40</v>
      </c>
      <c r="S27" s="112"/>
      <c r="T27" s="111">
        <v>10</v>
      </c>
      <c r="U27" s="112"/>
      <c r="V27" s="111">
        <v>10</v>
      </c>
      <c r="W27" s="112"/>
      <c r="X27" s="111">
        <v>40</v>
      </c>
      <c r="Y27" s="112"/>
      <c r="Z27" s="111">
        <v>10</v>
      </c>
      <c r="AA27" s="112"/>
      <c r="AB27" s="111">
        <v>10</v>
      </c>
      <c r="AC27" s="112"/>
      <c r="AD27" s="111">
        <v>40</v>
      </c>
      <c r="AE27" s="112"/>
      <c r="AF27" s="111">
        <v>10</v>
      </c>
      <c r="AG27" s="112"/>
      <c r="AH27" s="111">
        <v>10</v>
      </c>
      <c r="AI27" s="113"/>
      <c r="AJ27" s="119"/>
      <c r="AK27" s="125"/>
      <c r="AL27" s="128"/>
      <c r="AM27" s="119"/>
      <c r="AN27" s="119"/>
    </row>
    <row r="28" spans="2:41" ht="16.5" customHeight="1">
      <c r="B28" s="45">
        <v>134201</v>
      </c>
      <c r="C28" s="46" t="s">
        <v>24</v>
      </c>
      <c r="D28" s="43">
        <v>40</v>
      </c>
      <c r="E28" s="25" t="str">
        <f>IF(IFERROR(FIND("+",D28),0)," ",
IF(D28="AB","",
IF(D28&lt;$D$27,"F",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F28" s="26">
        <v>18</v>
      </c>
      <c r="G28" s="27" t="str">
        <f>IF(IFERROR(FIND("+",F28),0)," ",
IF(F28="AB","",
IF(F28&lt;$F$27,"F",
IF(AND(F28&gt;=$F$27,D28&gt;=$D$27,H28&gt;=$H$27,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H28" s="24">
        <v>40</v>
      </c>
      <c r="I28" s="27" t="str">
        <f>IF(IFERROR(FIND("+",H28),0)," ",
IF(H28="AB","",
IF(H28&lt;$H$27,"F",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J28" s="26">
        <v>22</v>
      </c>
      <c r="K28" s="27" t="str">
        <f>IF(IFERROR(FIND("+",J28),0)," ",
IF(J28="AB","",
IF(J28&lt;$J$27,"F",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L28" s="24">
        <v>40</v>
      </c>
      <c r="M28" s="27" t="str">
        <f>IF(IFERROR(FIND("+",L28),0)," ",
IF(L28="AB","",
IF(L28&lt;$L$27,"F",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N28" s="26">
        <v>17</v>
      </c>
      <c r="O28" s="27" t="str">
        <f>IF(IFERROR(FIND("+",N28),0)," ",
IF(N28="AB","",
IF(N28&lt;$N$27,"F",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P28" s="26">
        <v>17</v>
      </c>
      <c r="Q28" s="27" t="str">
        <f>IF(IFERROR(FIND("+",P28),0)," ",
IF(P28="AB","",
IF(P28&lt;$P$27,"F",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R28" s="24">
        <v>52</v>
      </c>
      <c r="S28" s="27" t="str">
        <f>IF(IFERROR(FIND("+",R28),0)," ",
IF(R28="AB","",
IF(R28&lt;$R$27,"F",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T28" s="26">
        <v>18</v>
      </c>
      <c r="U28" s="27" t="str">
        <f>IF(IFERROR(FIND("+",T28),0)," ",
IF(T28="AB","",
IF(T28&lt;$T$27,"F",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V28" s="26">
        <v>20</v>
      </c>
      <c r="W28" s="27" t="str">
        <f>IF(IFERROR(FIND("+",V28),0)," ",
IF(V28="AB","",
IF(V28&lt;$V$27,"F",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X28" s="24">
        <v>40</v>
      </c>
      <c r="Y28" s="27" t="str">
        <f>IF(IFERROR(FIND("+",X28),0)," ",
IF(X28="AB","",
IF(X28&lt;$X$27,"F",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Z28" s="26">
        <v>20</v>
      </c>
      <c r="AA28" s="27" t="str">
        <f>IF(IFERROR(FIND("+",Z28),0)," ",
IF(Z28="AB","",
IF(Z28&lt;$Z$27,"F",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AB28" s="26">
        <v>20</v>
      </c>
      <c r="AC28" s="27" t="str">
        <f>IF(IFERROR(FIND("+",AB28),0)," ",
IF(AB28="AB","",
IF(AB28&lt;$AB$27,"F",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AD28" s="24">
        <v>40</v>
      </c>
      <c r="AE28" s="27" t="str">
        <f>IF(IFERROR(FIND("+",AD28),0)," ",
IF(AD28="AB","",
IF(AD28&lt;$AD$27,"F",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AF28" s="26">
        <v>22</v>
      </c>
      <c r="AG28" s="27" t="str">
        <f>IF(IFERROR(FIND("+",AF28),0)," ",
IF(AF28="AB","",IF(AF28&lt;$AF$27,"F",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AH28" s="26">
        <v>16</v>
      </c>
      <c r="AI28" s="27" t="str">
        <f>IF(IFERROR(FIND("+",AH28),0)," ",
IF(AH28="AB","",
IF(AH28&lt;$AH$27,"F",
IF(AND(D28&gt;=$D$27,F28&gt;=$F$27,H28&gt;=$H$27,
J28&gt;=$J$27,L28&gt;=$L$27,
N28&gt;=$N$27,P28&gt;=$P$27,R28&gt;=$R$27,T28&gt;=$T$27,V28&gt;=$V$27,
X28&gt;=$X$27,Z28&gt;=$Z$27,AB28&gt;=$AB$27,AD28&gt;=$AD$27,AF28&gt;=$AF$27,
AH28&gt;=$AH$27,D28&lt;&gt;"AB",F28&lt;&gt;"AB",H28&lt;&gt;"AB",
J28&lt;&gt;"AB",L28&lt;&gt;"AB",
N28&lt;&gt;"AB",P28&lt;&gt;"AB",R28&lt;&gt;"AB",T28&lt;&gt;"AB",V28&lt;&gt;"AB",
X28&lt;&gt;"AB",Z28&lt;&gt;"AB",AB28&lt;&gt;"AB",AD28&lt;&gt;"AB",AF28&lt;&gt;"AB",
AH28&lt;&gt;"AB"),"","E"))))</f>
        <v/>
      </c>
      <c r="AJ28" s="48">
        <f>IF(OR(AND(D28&gt;=31,D28&lt;40),AND(H28&gt;=31,H28&lt;40),AND(L28&gt;=31,L28&lt;40),AND(R28&gt;=31,R28&lt;40),AND(X28&gt;=31,X28&lt;40),AND(AD28&gt;=31,AD28&lt;40)),IF(AND(OR(COUNTIF(D28:AI28,"=31")&gt;=1,COUNTIF(D28:AI28,"=32")&gt;=1,COUNTIF(D28:AI28,"=33")&gt;=1,COUNTIF(D28:AI28,"=34")&gt;=1,COUNTIF(D28:AI28,"=35")&gt;=1,COUNTIF(D28:AI28,"=36")&gt;=1 ),COUNTIF(D28:AI28,"")=0,COUNTIF(D28:AI28," ")=0,COUNTIF(D28:AI28,"F")=1),CONCATENATE(SUM(EXTRACTNUMBER(D28),EXTRACTNUMBER(F28),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EXTRACTNUMBER(AD28),EXTRACTNUMBER(AH28),EXTRACTNUMBER(AF28)),"*"),IF(AND(COUNTIF(D28:AI28,"=34")&gt;=1,COUNTIF(D28:AI28,"=35")&gt;=1,COUNTIF(D28:AI28,"f")=2,COUNTIF(D28:AI28,"")=0,COUNTIF(D28:AI28,"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EXTRACTNUMBER(AD28),EXTRACTNUMBER(AH28),EXTRACTNUMBER(AF28)),"*"),IF(AND(COUNTIF(D28:AI28,"=36")&gt;=2,COUNTIF(D28:AI28,"f")=2,COUNTIF(D28:AI28,"")=0,COUNTIF(D28:AI28,"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EXTRACTNUMBER(AD28),EXTRACTNUMBER(AH28),EXTRACTNUMBER(AF28)),"*"),SUM(EXTRACTNUMBER(D28),EXTRACTNUMBER(F28),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EXTRACTNUMBER(AD28),EXTRACTNUMBER(AH28),EXTRACTNUMBER(AF28))))),SUM(EXTRACTNUMBER(D28),EXTRACTNUMBER(F28),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EXTRACTNUMBER(AD28),EXTRACTNUMBER(AH28),EXTRACTNUMBER(AF28)))</f>
        <v>442</v>
      </c>
      <c r="AK28" s="28">
        <v>0</v>
      </c>
      <c r="AL28" s="29">
        <f t="shared" ref="AL28:AL91" si="0">IF(IFERROR(FIND("x",AK28),0),SUM(EXTRACTNUMBER(AJ28),EXTRACTNUMBER(AK28)),IF(AND(SUM(EXTRACTNUMBER(AJ28),EXTRACTNUMBER(AK28))&gt;1009,SUM(EXTRACTNUMBER(AJ28),EXTRACTNUMBER(AK28))&lt;1020),
CONCATENATE(SUM(EXTRACTNUMBER(AJ28),EXTRACTNUMBER(AK28)),"@",1020-SUM(EXTRACTNUMBER(AJ28),EXTRACTNUMBER(AK28))),
IF(AND(SUM(EXTRACTNUMBER(AJ28),EXTRACTNUMBER(AK28))&gt;839,   SUM(EXTRACTNUMBER(AJ28),EXTRACTNUMBER(AK28))&lt;850),CONCATENATE(SUM(EXTRACTNUMBER(AJ28),EXTRACTNUMBER(AK28)),"@",850-SUM(EXTRACTNUMBER(AJ28),EXTRACTNUMBER(AK28))),
IF(AND(SUM(EXTRACTNUMBER(AJ28),EXTRACTNUMBER(AK28))&gt;669,        SUM(EXTRACTNUMBER(AJ28),EXTRACTNUMBER(AK28))&lt;680),
CONCATENATE(SUM(EXTRACTNUMBER(AJ28),EXTRACTNUMBER(AK28)),"@",680-SUM(EXTRACTNUMBER(AJ28),EXTRACTNUMBER(AK28))),
SUM(EXTRACTNUMBER(AJ28),EXTRACTNUMBER(AK28))))))</f>
        <v>442</v>
      </c>
      <c r="AM28" s="29" t="str">
        <f>IF(AND(COUNTIF(D28:AI28,"AB")&lt;16-COUNTIF(D28:AI28," "),
COUNTIF(D28:AI28,"AB")&lt;&gt;0),"FAIL",
IF(COUNTIF(D28:AI28,"AB")=16-COUNTIF(D28:AI28," "),"ABSENT",
IF(AND(COUNTIF(D28:AI28,"AB")=0,COUNTIF(D28:AI28,"F")=0),"PASS","FAIL")))</f>
        <v>PASS</v>
      </c>
      <c r="AN28" s="30" t="str">
        <f>IF(AM28="ABSENT","AB",IF(AM28="FAIL","--",
IF(AK28=0,"RS 3",
IF(AND(SUM(EXTRACTNUMBER(AK28),EXTRACTNUMBER(AJ28))&gt;=1010,
        NOT(IFERROR(FIND("x",AK28),0)),
        NOT(IFERROR(FIND("x",AJ28),0))),"I",
IF(AND(SUM(EXTRACTNUMBER(AK28),EXTRACTNUMBER(AJ28))&gt;=850,
      SUM(EXTRACTNUMBER(AK28),EXTRACTNUMBER(AJ28))&lt;1010,
      NOT(IFERROR(FIND("x",AK28),0)),
      NOT(IFERROR(FIND("x",AJ28),0))),"II",
IF(OR(AND(SUM(EXTRACTNUMBER(AK28),EXTRACTNUMBER(AJ28))&lt;850,
SUM(EXTRACTNUMBER(AK28),EXTRACTNUMBER(AJ28))&gt;=670),
IFERROR(FIND("x",AK28),0),IFERROR(FIND("x",AJ28),0)),"P","--"))))))</f>
        <v>RS 3</v>
      </c>
      <c r="AO28" s="2" t="str">
        <f>spellnumber(AL28)</f>
        <v xml:space="preserve">Four Hundred Forty Two </v>
      </c>
    </row>
    <row r="29" spans="2:41" ht="16.5" customHeight="1">
      <c r="B29" s="45">
        <v>134202</v>
      </c>
      <c r="C29" s="46" t="s">
        <v>25</v>
      </c>
      <c r="D29" s="43">
        <v>64</v>
      </c>
      <c r="E29" s="27" t="str">
        <f t="shared" ref="E29:E92" si="1">IF(IFERROR(FIND("+",D29),0)," ",
IF(D29="AB","",
IF(D29&lt;$D$27,"F",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F29" s="26">
        <v>20</v>
      </c>
      <c r="G29" s="27" t="str">
        <f t="shared" ref="G29:G92" si="2">IF(IFERROR(FIND("+",F29),0)," ",
IF(F29="AB","",
IF(F29&lt;$F$27,"F",
IF(AND(F29&gt;=$F$27,D29&gt;=$D$27,H29&gt;=$H$27,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H29" s="24">
        <v>69</v>
      </c>
      <c r="I29" s="27" t="str">
        <f t="shared" ref="I29:I92" si="3">IF(IFERROR(FIND("+",H29),0)," ",
IF(H29="AB","",
IF(H29&lt;$H$27,"F",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J29" s="26">
        <v>23</v>
      </c>
      <c r="K29" s="27" t="str">
        <f t="shared" ref="K29:K92" si="4">IF(IFERROR(FIND("+",J29),0)," ",
IF(J29="AB","",
IF(J29&lt;$J$27,"F",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L29" s="24">
        <v>60</v>
      </c>
      <c r="M29" s="27" t="str">
        <f t="shared" ref="M29:M92" si="5">IF(IFERROR(FIND("+",L29),0)," ",
IF(L29="AB","",
IF(L29&lt;$L$27,"F",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N29" s="26">
        <v>22</v>
      </c>
      <c r="O29" s="27" t="str">
        <f t="shared" ref="O29:O92" si="6">IF(IFERROR(FIND("+",N29),0)," ",
IF(N29="AB","",
IF(N29&lt;$N$27,"F",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AH29&lt;&gt;"AB"),"","E"))))</f>
        <v/>
      </c>
      <c r="P29" s="26">
        <v>22</v>
      </c>
      <c r="Q29" s="27" t="str">
        <f t="shared" ref="Q29:Q92" si="7">IF(IFERROR(FIND("+",P29),0)," ",
IF(P29="AB","",
IF(P29&lt;$P$27,"F",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R29" s="24">
        <v>61</v>
      </c>
      <c r="S29" s="27" t="str">
        <f t="shared" ref="S29:S92" si="8">IF(IFERROR(FIND("+",R29),0)," ",
IF(R29="AB","",
IF(R29&lt;$R$27,"F",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T29" s="26">
        <v>23</v>
      </c>
      <c r="U29" s="27" t="str">
        <f t="shared" ref="U29:U92" si="9">IF(IFERROR(FIND("+",T29),0)," ",
IF(T29="AB","",
IF(T29&lt;$T$27,"F",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V29" s="26">
        <v>21</v>
      </c>
      <c r="W29" s="27" t="str">
        <f t="shared" ref="W29:W92" si="10">IF(IFERROR(FIND("+",V29),0)," ",
IF(V29="AB","",
IF(V29&lt;$V$27,"F",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X29" s="24">
        <v>73</v>
      </c>
      <c r="Y29" s="27" t="str">
        <f t="shared" ref="Y29:Y92" si="11">IF(IFERROR(FIND("+",X29),0)," ",
IF(X29="AB","",
IF(X29&lt;$X$27,"F",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Z29" s="26">
        <v>23</v>
      </c>
      <c r="AA29" s="27" t="str">
        <f t="shared" ref="AA29:AA92" si="12">IF(IFERROR(FIND("+",Z29),0)," ",
IF(Z29="AB","",
IF(Z29&lt;$Z$27,"F",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AB29" s="26">
        <v>23</v>
      </c>
      <c r="AC29" s="27" t="str">
        <f t="shared" ref="AC29:AC92" si="13">IF(IFERROR(FIND("+",AB29),0)," ",
IF(AB29="AB","",
IF(AB29&lt;$AB$27,"F",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AD29" s="24">
        <v>50</v>
      </c>
      <c r="AE29" s="27" t="str">
        <f t="shared" ref="AE29:AE92" si="14">IF(IFERROR(FIND("+",AD29),0)," ",
IF(AD29="AB","",
IF(AD29&lt;$AD$27,"F",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AF29" s="26">
        <v>23</v>
      </c>
      <c r="AG29" s="27" t="str">
        <f t="shared" ref="AG29:AG92" si="15">IF(IFERROR(FIND("+",AF29),0)," ",
IF(AF29="AB","",IF(AF29&lt;$AF$27,"F",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/>
      </c>
      <c r="AH29" s="26">
        <v>19</v>
      </c>
      <c r="AI29" s="27" t="str">
        <f t="shared" ref="AI29:AI92" si="16">IF(IFERROR(FIND("+",AH29),0)," ",
IF(AH29="AB","",
IF(AH29&lt;$AH$27,"F",
IF(AND(D29&gt;=$D$27,F29&gt;=$F$27,H29&gt;=$H$27,
J29&gt;=$J$27,L29&gt;=$L$27,
N29&gt;=$N$27,P29&gt;=$P$27,R29&gt;=$R$27,T29&gt;=$T$27,V29&gt;=$V$27,
X29&gt;=$X$27,Z29&gt;=$Z$27,AB29&gt;=$AB$27,AD29&gt;=$AD$27,AF29&gt;=$AF$27,
AH29&gt;=$AH$27,D29&lt;&gt;"AB",F29&lt;&gt;"AB",H29&lt;&gt;"AB",
J29&lt;&gt;"AB",L29&lt;&gt;"AB",
N29&lt;&gt;"AB",P29&lt;&gt;"AB",R29&lt;&gt;"AB",T29&lt;&gt;"AB",V29&lt;&gt;"AB",
X29&lt;&gt;"AB",Z29&lt;&gt;"AB",AB29&lt;&gt;"AB",AD29&lt;&gt;"AB",AF29&lt;&gt;"AB",
AH29&lt;&gt;"AB"),"","E"))))</f>
        <v/>
      </c>
      <c r="AJ29" s="31">
        <f>IF(OR(AND(D29&gt;=31,D29&lt;40),AND(H29&gt;=31,H29&lt;40),AND(L29&gt;=31,L29&lt;40),AND(R29&gt;=31,R29&lt;40),AND(X29&gt;=31,X29&lt;40),AND(AD29&gt;=31,AD29&lt;40)),IF(AND(OR(COUNTIF(D29:AI29,"=31")&gt;=1,COUNTIF(D29:AI29,"=32")&gt;=1,COUNTIF(D29:AI29,"=33")&gt;=1,COUNTIF(D29:AI29,"=34")&gt;=1,COUNTIF(D29:AI29,"=35")&gt;=1,COUNTIF(D29:AI29,"=36")&gt;=1 ),COUNTIF(D29:AI29,"")=0,COUNTIF(D29:AI29," ")=0,COUNTIF(D29:AI29,"F")=1),CONCATENATE(SUM(EXTRACTNUMBER(D29),EXTRACTNUMBER(F29),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EXTRACTNUMBER(AD29),EXTRACTNUMBER(AH29),EXTRACTNUMBER(AF29)),"*"),IF(AND(COUNTIF(D29:AI29,"=34")&gt;=1,COUNTIF(D29:AI29,"=35")&gt;=1,COUNTIF(D29:AI29,"f")=2,COUNTIF(D29:AI29,"")=0,COUNTIF(D29:AI29,"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EXTRACTNUMBER(AD29),EXTRACTNUMBER(AH29),EXTRACTNUMBER(AF29)),"*"),IF(AND(COUNTIF(D29:AI29,"=36")&gt;=2,COUNTIF(D29:AI29,"f")=2,COUNTIF(D29:AI29,"")=0,COUNTIF(D29:AI29,"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EXTRACTNUMBER(AD29),EXTRACTNUMBER(AH29),EXTRACTNUMBER(AF29)),"*"),SUM(EXTRACTNUMBER(D29),EXTRACTNUMBER(F29),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EXTRACTNUMBER(AD29),EXTRACTNUMBER(AH29),EXTRACTNUMBER(AF29))))),SUM(EXTRACTNUMBER(D29),EXTRACTNUMBER(F29),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EXTRACTNUMBER(AD29),EXTRACTNUMBER(AH29),EXTRACTNUMBER(AF29)))</f>
        <v>596</v>
      </c>
      <c r="AK29" s="28" t="s">
        <v>243</v>
      </c>
      <c r="AL29" s="29">
        <f t="shared" si="0"/>
        <v>1162</v>
      </c>
      <c r="AM29" s="29" t="str">
        <f t="shared" ref="AM29:AM92" si="17">IF(AND(COUNTIF(D29:AI29,"AB")&lt;16-COUNTIF(D29:AI29," "),
COUNTIF(D29:AI29,"AB")&lt;&gt;0),"FAIL",
IF(COUNTIF(D29:AI29,"AB")=16-COUNTIF(D29:AI29," "),"ABSENT",
IF(AND(COUNTIF(D29:AI29,"AB")=0,COUNTIF(D29:AI29,"F")=0),"PASS","FAIL")))</f>
        <v>PASS</v>
      </c>
      <c r="AN29" s="30" t="str">
        <f>IF(AM29="ABSENT","AB",IF(AM29="FAIL","--",
IF(AK29=0,"RS 3",
IF(AND(SUM(EXTRACTNUMBER(AK29),EXTRACTNUMBER(AJ29))&gt;=1010,
        NOT(IFERROR(FIND("x",AK29),0)),
        NOT(IFERROR(FIND("x",AJ29),0))),"I",
IF(AND(SUM(EXTRACTNUMBER(AK29),EXTRACTNUMBER(AJ29))&gt;=850,
      SUM(EXTRACTNUMBER(AK29),EXTRACTNUMBER(AJ29))&lt;1010,
      NOT(IFERROR(FIND("x",AK29),0)),
      NOT(IFERROR(FIND("x",AJ29),0))),"II",
IF(OR(AND(SUM(EXTRACTNUMBER(AK29),EXTRACTNUMBER(AJ29))&lt;850,
SUM(EXTRACTNUMBER(AK29),EXTRACTNUMBER(AJ29))&gt;=670),
IFERROR(FIND("x",AK29),0),IFERROR(FIND("x",AJ29),0)),"P","--"))))))</f>
        <v>I</v>
      </c>
      <c r="AO29" s="2" t="str">
        <f t="shared" ref="AO29:AO92" si="18">spellnumber(AL29)</f>
        <v xml:space="preserve">One Thousand One Hundred Sixty Two </v>
      </c>
    </row>
    <row r="30" spans="2:41" ht="16.5" customHeight="1">
      <c r="B30" s="45">
        <v>134203</v>
      </c>
      <c r="C30" s="46" t="s">
        <v>26</v>
      </c>
      <c r="D30" s="43">
        <v>42</v>
      </c>
      <c r="E30" s="27" t="str">
        <f t="shared" si="1"/>
        <v>E</v>
      </c>
      <c r="F30" s="26">
        <v>16</v>
      </c>
      <c r="G30" s="27" t="str">
        <f t="shared" si="2"/>
        <v>E</v>
      </c>
      <c r="H30" s="24">
        <v>40</v>
      </c>
      <c r="I30" s="27" t="str">
        <f t="shared" si="3"/>
        <v>E</v>
      </c>
      <c r="J30" s="26">
        <v>19</v>
      </c>
      <c r="K30" s="27" t="str">
        <f t="shared" si="4"/>
        <v>E</v>
      </c>
      <c r="L30" s="24">
        <v>40</v>
      </c>
      <c r="M30" s="27" t="str">
        <f t="shared" si="5"/>
        <v>E</v>
      </c>
      <c r="N30" s="26">
        <v>18</v>
      </c>
      <c r="O30" s="27" t="str">
        <f t="shared" si="6"/>
        <v>E</v>
      </c>
      <c r="P30" s="26">
        <v>19</v>
      </c>
      <c r="Q30" s="27" t="str">
        <f t="shared" si="7"/>
        <v>E</v>
      </c>
      <c r="R30" s="24">
        <v>20</v>
      </c>
      <c r="S30" s="27" t="str">
        <f t="shared" si="8"/>
        <v>F</v>
      </c>
      <c r="T30" s="26">
        <v>23</v>
      </c>
      <c r="U30" s="27" t="str">
        <f t="shared" si="9"/>
        <v>E</v>
      </c>
      <c r="V30" s="26">
        <v>19</v>
      </c>
      <c r="W30" s="27" t="str">
        <f t="shared" si="10"/>
        <v>E</v>
      </c>
      <c r="X30" s="24">
        <v>44</v>
      </c>
      <c r="Y30" s="27" t="str">
        <f t="shared" si="11"/>
        <v>E</v>
      </c>
      <c r="Z30" s="26">
        <v>20</v>
      </c>
      <c r="AA30" s="27" t="str">
        <f t="shared" si="12"/>
        <v>E</v>
      </c>
      <c r="AB30" s="26">
        <v>20</v>
      </c>
      <c r="AC30" s="27" t="str">
        <f t="shared" si="13"/>
        <v>E</v>
      </c>
      <c r="AD30" s="24">
        <v>41</v>
      </c>
      <c r="AE30" s="27" t="str">
        <f t="shared" si="14"/>
        <v>E</v>
      </c>
      <c r="AF30" s="26">
        <v>19</v>
      </c>
      <c r="AG30" s="27" t="str">
        <f t="shared" si="15"/>
        <v>E</v>
      </c>
      <c r="AH30" s="26">
        <v>17</v>
      </c>
      <c r="AI30" s="27" t="str">
        <f t="shared" si="16"/>
        <v>E</v>
      </c>
      <c r="AJ30" s="31">
        <f>IF(OR(AND(D30&gt;=31,D30&lt;40),AND(H30&gt;=31,H30&lt;40),AND(L30&gt;=31,L30&lt;40),AND(R30&gt;=31,R30&lt;40),AND(X30&gt;=31,X30&lt;40),AND(AD30&gt;=31,AD30&lt;40)),IF(AND(OR(COUNTIF(D30:AI30,"=31")&gt;=1,COUNTIF(D30:AI30,"=32")&gt;=1,COUNTIF(D30:AI30,"=33")&gt;=1,COUNTIF(D30:AI30,"=34")&gt;=1,COUNTIF(D30:AI30,"=35")&gt;=1,COUNTIF(D30:AI30,"=36")&gt;=1 ),COUNTIF(D30:AI30,"")=0,COUNTIF(D30:AI30," ")=0,COUNTIF(D30:AI30,"F")=1),CONCATENATE(SUM(EXTRACTNUMBER(D30),EXTRACTNUMBER(F30),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EXTRACTNUMBER(AD30),EXTRACTNUMBER(AH30),EXTRACTNUMBER(AF30)),"*"),IF(AND(COUNTIF(D30:AI30,"=34")&gt;=1,COUNTIF(D30:AI30,"=35")&gt;=1,COUNTIF(D30:AI30,"f")=2,COUNTIF(D30:AI30,"")=0,COUNTIF(D30:AI30,"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EXTRACTNUMBER(AD30),EXTRACTNUMBER(AH30),EXTRACTNUMBER(AF30)),"*"),IF(AND(COUNTIF(D30:AI30,"=36")&gt;=2,COUNTIF(D30:AI30,"f")=2,COUNTIF(D30:AI30,"")=0,COUNTIF(D30:AI30,"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EXTRACTNUMBER(AD30),EXTRACTNUMBER(AH30),EXTRACTNUMBER(AF30)),"*"),SUM(EXTRACTNUMBER(D30),EXTRACTNUMBER(F30),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EXTRACTNUMBER(AD30),EXTRACTNUMBER(AH30),EXTRACTNUMBER(AF30))))),SUM(EXTRACTNUMBER(D30),EXTRACTNUMBER(F30),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EXTRACTNUMBER(AD30),EXTRACTNUMBER(AH30),EXTRACTNUMBER(AF30)))</f>
        <v>417</v>
      </c>
      <c r="AK30" s="28">
        <v>0</v>
      </c>
      <c r="AL30" s="29">
        <f t="shared" si="0"/>
        <v>417</v>
      </c>
      <c r="AM30" s="29" t="str">
        <f t="shared" si="17"/>
        <v>FAIL</v>
      </c>
      <c r="AN30" s="30" t="str">
        <f>IF(AM30="ABSENT","AB",IF(AM30="FAIL","--",
IF(AK30=0,"RS 3",
IF(AND(SUM(EXTRACTNUMBER(AK30),EXTRACTNUMBER(AJ30))&gt;=1010,
        NOT(IFERROR(FIND("x",AK30),0)),
        NOT(IFERROR(FIND("x",AJ30),0))),"I",
IF(AND(SUM(EXTRACTNUMBER(AK30),EXTRACTNUMBER(AJ30))&gt;=850,
      SUM(EXTRACTNUMBER(AK30),EXTRACTNUMBER(AJ30))&lt;1010,
      NOT(IFERROR(FIND("x",AK30),0)),
      NOT(IFERROR(FIND("x",AJ30),0))),"II",
IF(OR(AND(SUM(EXTRACTNUMBER(AK30),EXTRACTNUMBER(AJ30))&lt;850,
SUM(EXTRACTNUMBER(AK30),EXTRACTNUMBER(AJ30))&gt;=670),
IFERROR(FIND("x",AK30),0),IFERROR(FIND("x",AJ30),0)),"P","--"))))))</f>
        <v>--</v>
      </c>
      <c r="AO30" s="2" t="str">
        <f t="shared" si="18"/>
        <v xml:space="preserve">Four Hundred Seventeen </v>
      </c>
    </row>
    <row r="31" spans="2:41" ht="16.5" customHeight="1">
      <c r="B31" s="45">
        <v>134204</v>
      </c>
      <c r="C31" s="46" t="s">
        <v>27</v>
      </c>
      <c r="D31" s="43">
        <v>52</v>
      </c>
      <c r="E31" s="27" t="str">
        <f t="shared" si="1"/>
        <v/>
      </c>
      <c r="F31" s="26">
        <v>20</v>
      </c>
      <c r="G31" s="27" t="str">
        <f t="shared" si="2"/>
        <v/>
      </c>
      <c r="H31" s="24">
        <v>74</v>
      </c>
      <c r="I31" s="27" t="str">
        <f t="shared" si="3"/>
        <v/>
      </c>
      <c r="J31" s="26">
        <v>21</v>
      </c>
      <c r="K31" s="27" t="str">
        <f t="shared" si="4"/>
        <v/>
      </c>
      <c r="L31" s="24">
        <v>54</v>
      </c>
      <c r="M31" s="27" t="str">
        <f t="shared" si="5"/>
        <v/>
      </c>
      <c r="N31" s="26">
        <v>22</v>
      </c>
      <c r="O31" s="27" t="str">
        <f t="shared" si="6"/>
        <v/>
      </c>
      <c r="P31" s="26">
        <v>22</v>
      </c>
      <c r="Q31" s="27" t="str">
        <f t="shared" si="7"/>
        <v/>
      </c>
      <c r="R31" s="24">
        <v>45</v>
      </c>
      <c r="S31" s="27" t="str">
        <f t="shared" si="8"/>
        <v/>
      </c>
      <c r="T31" s="26">
        <v>18</v>
      </c>
      <c r="U31" s="27" t="str">
        <f t="shared" si="9"/>
        <v/>
      </c>
      <c r="V31" s="26">
        <v>16</v>
      </c>
      <c r="W31" s="27" t="str">
        <f t="shared" si="10"/>
        <v/>
      </c>
      <c r="X31" s="24">
        <v>51</v>
      </c>
      <c r="Y31" s="27" t="str">
        <f t="shared" si="11"/>
        <v/>
      </c>
      <c r="Z31" s="26">
        <v>21</v>
      </c>
      <c r="AA31" s="27" t="str">
        <f t="shared" si="12"/>
        <v/>
      </c>
      <c r="AB31" s="26">
        <v>21</v>
      </c>
      <c r="AC31" s="27" t="str">
        <f t="shared" si="13"/>
        <v/>
      </c>
      <c r="AD31" s="24">
        <v>49</v>
      </c>
      <c r="AE31" s="27" t="str">
        <f t="shared" si="14"/>
        <v/>
      </c>
      <c r="AF31" s="26">
        <v>21</v>
      </c>
      <c r="AG31" s="27" t="str">
        <f t="shared" si="15"/>
        <v/>
      </c>
      <c r="AH31" s="26">
        <v>16</v>
      </c>
      <c r="AI31" s="27" t="str">
        <f t="shared" si="16"/>
        <v/>
      </c>
      <c r="AJ31" s="32">
        <f>IF(OR(AND(D31&gt;=31,D31&lt;40),AND(H31&gt;=31,H31&lt;40),AND(L31&gt;=31,L31&lt;40),AND(R31&gt;=31,R31&lt;40),AND(X31&gt;=31,X31&lt;40),AND(AD31&gt;=31,AD31&lt;40)),IF(AND(OR(COUNTIF(D31:AI31,"=31")&gt;=1,COUNTIF(D31:AI31,"=32")&gt;=1,COUNTIF(D31:AI31,"=33")&gt;=1,COUNTIF(D31:AI31,"=34")&gt;=1,COUNTIF(D31:AI31,"=35")&gt;=1,COUNTIF(D31:AI31,"=36")&gt;=1 ),COUNTIF(D31:AI31,"")=0,COUNTIF(D31:AI31," ")=0,COUNTIF(D31:AI31,"F")=1),CONCATENATE(SUM(EXTRACTNUMBER(D31),EXTRACTNUMBER(F31),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EXTRACTNUMBER(AD31),EXTRACTNUMBER(AH31),EXTRACTNUMBER(AF31)),"*"),IF(AND(COUNTIF(D31:AI31,"=34")&gt;=1,COUNTIF(D31:AI31,"=35")&gt;=1,COUNTIF(D31:AI31,"f")=2,COUNTIF(D31:AI31,"")=0,COUNTIF(D31:AI31,"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EXTRACTNUMBER(AD31),EXTRACTNUMBER(AH31),EXTRACTNUMBER(AF31)),"*"),IF(AND(COUNTIF(D31:AI31,"=36")&gt;=2,COUNTIF(D31:AI31,"f")=2,COUNTIF(D31:AI31,"")=0,COUNTIF(D31:AI31,"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EXTRACTNUMBER(AD31),EXTRACTNUMBER(AH31),EXTRACTNUMBER(AF31)),"*"),SUM(EXTRACTNUMBER(D31),EXTRACTNUMBER(F31),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EXTRACTNUMBER(AD31),EXTRACTNUMBER(AH31),EXTRACTNUMBER(AF31))))),SUM(EXTRACTNUMBER(D31),EXTRACTNUMBER(F31),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EXTRACTNUMBER(AD31),EXTRACTNUMBER(AH31),EXTRACTNUMBER(AF31)))</f>
        <v>523</v>
      </c>
      <c r="AK31" s="28" t="s">
        <v>244</v>
      </c>
      <c r="AL31" s="29">
        <f t="shared" si="0"/>
        <v>1052</v>
      </c>
      <c r="AM31" s="29" t="str">
        <f t="shared" si="17"/>
        <v>PASS</v>
      </c>
      <c r="AN31" s="30" t="str">
        <f>IF(AM31="ABSENT","AB",IF(AM31="FAIL","--",
IF(AK31=0,"RS 3",
IF(AND(SUM(EXTRACTNUMBER(AK31),EXTRACTNUMBER(AJ31))&gt;=1010,
        NOT(IFERROR(FIND("x",AK31),0)),
        NOT(IFERROR(FIND("x",AJ31),0))),"I",
IF(AND(SUM(EXTRACTNUMBER(AK31),EXTRACTNUMBER(AJ31))&gt;=850,
      SUM(EXTRACTNUMBER(AK31),EXTRACTNUMBER(AJ31))&lt;1010,
      NOT(IFERROR(FIND("x",AK31),0)),
      NOT(IFERROR(FIND("x",AJ31),0))),"II",
IF(OR(AND(SUM(EXTRACTNUMBER(AK31),EXTRACTNUMBER(AJ31))&lt;850,
SUM(EXTRACTNUMBER(AK31),EXTRACTNUMBER(AJ31))&gt;=670),
IFERROR(FIND("x",AK31),0),IFERROR(FIND("x",AJ31),0)),"P","--"))))))</f>
        <v>I</v>
      </c>
      <c r="AO31" s="2" t="str">
        <f t="shared" si="18"/>
        <v xml:space="preserve">One Thousand Fifty Two </v>
      </c>
    </row>
    <row r="32" spans="2:41" ht="16.5" customHeight="1">
      <c r="B32" s="45">
        <v>134205</v>
      </c>
      <c r="C32" s="46" t="s">
        <v>28</v>
      </c>
      <c r="D32" s="43">
        <v>40</v>
      </c>
      <c r="E32" s="27" t="str">
        <f t="shared" si="1"/>
        <v/>
      </c>
      <c r="F32" s="26">
        <v>18</v>
      </c>
      <c r="G32" s="27" t="str">
        <f t="shared" si="2"/>
        <v/>
      </c>
      <c r="H32" s="24">
        <v>50</v>
      </c>
      <c r="I32" s="27" t="str">
        <f t="shared" si="3"/>
        <v/>
      </c>
      <c r="J32" s="26">
        <v>17</v>
      </c>
      <c r="K32" s="27" t="str">
        <f t="shared" si="4"/>
        <v/>
      </c>
      <c r="L32" s="24">
        <v>50</v>
      </c>
      <c r="M32" s="27" t="str">
        <f t="shared" si="5"/>
        <v/>
      </c>
      <c r="N32" s="26">
        <v>17</v>
      </c>
      <c r="O32" s="27" t="str">
        <f t="shared" si="6"/>
        <v/>
      </c>
      <c r="P32" s="26">
        <v>18</v>
      </c>
      <c r="Q32" s="27" t="str">
        <f t="shared" si="7"/>
        <v/>
      </c>
      <c r="R32" s="40" t="s">
        <v>307</v>
      </c>
      <c r="S32" s="27" t="str">
        <f t="shared" si="8"/>
        <v/>
      </c>
      <c r="T32" s="26">
        <v>15</v>
      </c>
      <c r="U32" s="27" t="str">
        <f t="shared" si="9"/>
        <v/>
      </c>
      <c r="V32" s="26">
        <v>21</v>
      </c>
      <c r="W32" s="27" t="str">
        <f t="shared" si="10"/>
        <v/>
      </c>
      <c r="X32" s="24">
        <v>41</v>
      </c>
      <c r="Y32" s="27" t="str">
        <f t="shared" si="11"/>
        <v/>
      </c>
      <c r="Z32" s="26">
        <v>20</v>
      </c>
      <c r="AA32" s="27" t="str">
        <f t="shared" si="12"/>
        <v/>
      </c>
      <c r="AB32" s="26">
        <v>20</v>
      </c>
      <c r="AC32" s="27" t="str">
        <f t="shared" si="13"/>
        <v/>
      </c>
      <c r="AD32" s="24">
        <v>41</v>
      </c>
      <c r="AE32" s="27" t="str">
        <f t="shared" si="14"/>
        <v/>
      </c>
      <c r="AF32" s="26">
        <v>19</v>
      </c>
      <c r="AG32" s="27" t="str">
        <f t="shared" si="15"/>
        <v/>
      </c>
      <c r="AH32" s="26">
        <v>17</v>
      </c>
      <c r="AI32" s="27" t="str">
        <f t="shared" si="16"/>
        <v/>
      </c>
      <c r="AJ32" s="41" t="s">
        <v>629</v>
      </c>
      <c r="AK32" s="94" t="s">
        <v>563</v>
      </c>
      <c r="AL32" s="29">
        <f t="shared" si="0"/>
        <v>890</v>
      </c>
      <c r="AM32" s="29" t="str">
        <f t="shared" si="17"/>
        <v>PASS</v>
      </c>
      <c r="AN32" s="30" t="str">
        <f>IF(AM32="ABSENT","AB",IF(AM32="FAIL","--",
IF(AK32=0,"RS 3",
IF(AND(SUM(EXTRACTNUMBER(AK32),EXTRACTNUMBER(AJ32))&gt;=1010,
        NOT(IFERROR(FIND("x",AK32),0)),
        NOT(IFERROR(FIND("x",AJ32),0))),"I",
IF(AND(SUM(EXTRACTNUMBER(AK32),EXTRACTNUMBER(AJ32))&gt;=850,
      SUM(EXTRACTNUMBER(AK32),EXTRACTNUMBER(AJ32))&lt;1010,
      NOT(IFERROR(FIND("x",AK32),0)),
      NOT(IFERROR(FIND("x",AJ32),0))),"II",
IF(OR(AND(SUM(EXTRACTNUMBER(AK32),EXTRACTNUMBER(AJ32))&lt;850,
SUM(EXTRACTNUMBER(AK32),EXTRACTNUMBER(AJ32))&gt;=670),
IFERROR(FIND("x",AK32),0),IFERROR(FIND("x",AJ32),0)),"P","--"))))))</f>
        <v>P</v>
      </c>
      <c r="AO32" s="2" t="str">
        <f t="shared" si="18"/>
        <v xml:space="preserve">Eight Hundred Ninety </v>
      </c>
    </row>
    <row r="33" spans="2:41" ht="16.5" customHeight="1">
      <c r="B33" s="45">
        <v>134206</v>
      </c>
      <c r="C33" s="46" t="s">
        <v>29</v>
      </c>
      <c r="D33" s="43">
        <v>65</v>
      </c>
      <c r="E33" s="27" t="str">
        <f t="shared" si="1"/>
        <v/>
      </c>
      <c r="F33" s="26">
        <v>17</v>
      </c>
      <c r="G33" s="27" t="str">
        <f t="shared" si="2"/>
        <v/>
      </c>
      <c r="H33" s="24">
        <v>63</v>
      </c>
      <c r="I33" s="27" t="str">
        <f t="shared" si="3"/>
        <v/>
      </c>
      <c r="J33" s="26">
        <v>20</v>
      </c>
      <c r="K33" s="27" t="str">
        <f t="shared" si="4"/>
        <v/>
      </c>
      <c r="L33" s="24">
        <v>61</v>
      </c>
      <c r="M33" s="27" t="str">
        <f t="shared" si="5"/>
        <v/>
      </c>
      <c r="N33" s="26">
        <v>18</v>
      </c>
      <c r="O33" s="27" t="str">
        <f t="shared" si="6"/>
        <v/>
      </c>
      <c r="P33" s="26">
        <v>18</v>
      </c>
      <c r="Q33" s="27" t="str">
        <f t="shared" si="7"/>
        <v/>
      </c>
      <c r="R33" s="24">
        <v>58</v>
      </c>
      <c r="S33" s="27" t="str">
        <f t="shared" si="8"/>
        <v/>
      </c>
      <c r="T33" s="26">
        <v>20</v>
      </c>
      <c r="U33" s="27" t="str">
        <f t="shared" si="9"/>
        <v/>
      </c>
      <c r="V33" s="26">
        <v>19</v>
      </c>
      <c r="W33" s="27" t="str">
        <f t="shared" si="10"/>
        <v/>
      </c>
      <c r="X33" s="24">
        <v>74</v>
      </c>
      <c r="Y33" s="27" t="str">
        <f t="shared" si="11"/>
        <v/>
      </c>
      <c r="Z33" s="26">
        <v>21</v>
      </c>
      <c r="AA33" s="27" t="str">
        <f t="shared" si="12"/>
        <v/>
      </c>
      <c r="AB33" s="26">
        <v>21</v>
      </c>
      <c r="AC33" s="27" t="str">
        <f t="shared" si="13"/>
        <v/>
      </c>
      <c r="AD33" s="24">
        <v>54</v>
      </c>
      <c r="AE33" s="27" t="str">
        <f t="shared" si="14"/>
        <v/>
      </c>
      <c r="AF33" s="26">
        <v>18</v>
      </c>
      <c r="AG33" s="27" t="str">
        <f t="shared" si="15"/>
        <v/>
      </c>
      <c r="AH33" s="26">
        <v>16</v>
      </c>
      <c r="AI33" s="27" t="str">
        <f t="shared" si="16"/>
        <v/>
      </c>
      <c r="AJ33" s="32">
        <f>IF(OR(AND(D33&gt;=31,D33&lt;40),AND(H33&gt;=31,H33&lt;40),AND(L33&gt;=31,L33&lt;40),AND(R33&gt;=31,R33&lt;40),AND(X33&gt;=31,X33&lt;40),AND(AD33&gt;=31,AD33&lt;40)),IF(AND(OR(COUNTIF(D33:AI33,"=31")&gt;=1,COUNTIF(D33:AI33,"=32")&gt;=1,COUNTIF(D33:AI33,"=33")&gt;=1,COUNTIF(D33:AI33,"=34")&gt;=1,COUNTIF(D33:AI33,"=35")&gt;=1,COUNTIF(D33:AI33,"=36")&gt;=1 ),COUNTIF(D33:AI33,"")=0,COUNTIF(D33:AI33," ")=0,COUNTIF(D33:AI33,"F")=1),CONCATENATE(SUM(EXTRACTNUMBER(D33),EXTRACTNUMBER(F33),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EXTRACTNUMBER(AD33),EXTRACTNUMBER(AH33),EXTRACTNUMBER(AF33)),"*"),IF(AND(COUNTIF(D33:AI33,"=34")&gt;=1,COUNTIF(D33:AI33,"=35")&gt;=1,COUNTIF(D33:AI33,"f")=2,COUNTIF(D33:AI33,"")=0,COUNTIF(D33:AI33,"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EXTRACTNUMBER(AD33),EXTRACTNUMBER(AH33),EXTRACTNUMBER(AF33)),"*"),IF(AND(COUNTIF(D33:AI33,"=36")&gt;=2,COUNTIF(D33:AI33,"f")=2,COUNTIF(D33:AI33,"")=0,COUNTIF(D33:AI33,"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EXTRACTNUMBER(AD33),EXTRACTNUMBER(AH33),EXTRACTNUMBER(AF33)),"*"),SUM(EXTRACTNUMBER(D33),EXTRACTNUMBER(F33),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EXTRACTNUMBER(AD33),EXTRACTNUMBER(AH33),EXTRACTNUMBER(AF33))))),SUM(EXTRACTNUMBER(D33),EXTRACTNUMBER(F33),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EXTRACTNUMBER(AD33),EXTRACTNUMBER(AH33),EXTRACTNUMBER(AF33)))</f>
        <v>563</v>
      </c>
      <c r="AK33" s="28" t="s">
        <v>245</v>
      </c>
      <c r="AL33" s="29">
        <f t="shared" si="0"/>
        <v>1116</v>
      </c>
      <c r="AM33" s="29" t="str">
        <f t="shared" si="17"/>
        <v>PASS</v>
      </c>
      <c r="AN33" s="30" t="str">
        <f>IF(AM33="ABSENT","AB",IF(AM33="FAIL","--",
IF(AK33=0,"RS 3",
IF(AND(SUM(EXTRACTNUMBER(AK33),EXTRACTNUMBER(AJ33))&gt;=1010,
        NOT(IFERROR(FIND("x",AK33),0)),
        NOT(IFERROR(FIND("x",AJ33),0))),"I",
IF(AND(SUM(EXTRACTNUMBER(AK33),EXTRACTNUMBER(AJ33))&gt;=850,
      SUM(EXTRACTNUMBER(AK33),EXTRACTNUMBER(AJ33))&lt;1010,
      NOT(IFERROR(FIND("x",AK33),0)),
      NOT(IFERROR(FIND("x",AJ33),0))),"II",
IF(OR(AND(SUM(EXTRACTNUMBER(AK33),EXTRACTNUMBER(AJ33))&lt;850,
SUM(EXTRACTNUMBER(AK33),EXTRACTNUMBER(AJ33))&gt;=670),
IFERROR(FIND("x",AK33),0),IFERROR(FIND("x",AJ33),0)),"P","--"))))))</f>
        <v>I</v>
      </c>
      <c r="AO33" s="2" t="str">
        <f t="shared" si="18"/>
        <v xml:space="preserve">One Thousand One Hundred Sixteen </v>
      </c>
    </row>
    <row r="34" spans="2:41" ht="16.5" customHeight="1">
      <c r="B34" s="45">
        <v>134207</v>
      </c>
      <c r="C34" s="46" t="s">
        <v>30</v>
      </c>
      <c r="D34" s="43">
        <v>61</v>
      </c>
      <c r="E34" s="27" t="str">
        <f t="shared" si="1"/>
        <v/>
      </c>
      <c r="F34" s="26">
        <v>22</v>
      </c>
      <c r="G34" s="27" t="str">
        <f t="shared" si="2"/>
        <v/>
      </c>
      <c r="H34" s="24">
        <v>70</v>
      </c>
      <c r="I34" s="27" t="str">
        <f t="shared" si="3"/>
        <v/>
      </c>
      <c r="J34" s="26">
        <v>21</v>
      </c>
      <c r="K34" s="27" t="str">
        <f t="shared" si="4"/>
        <v/>
      </c>
      <c r="L34" s="24">
        <v>72</v>
      </c>
      <c r="M34" s="27" t="str">
        <f t="shared" si="5"/>
        <v/>
      </c>
      <c r="N34" s="26">
        <v>17</v>
      </c>
      <c r="O34" s="27" t="str">
        <f t="shared" si="6"/>
        <v/>
      </c>
      <c r="P34" s="26">
        <v>18</v>
      </c>
      <c r="Q34" s="27" t="str">
        <f t="shared" si="7"/>
        <v/>
      </c>
      <c r="R34" s="24">
        <v>68</v>
      </c>
      <c r="S34" s="27" t="str">
        <f t="shared" si="8"/>
        <v/>
      </c>
      <c r="T34" s="26">
        <v>20</v>
      </c>
      <c r="U34" s="27" t="str">
        <f t="shared" si="9"/>
        <v/>
      </c>
      <c r="V34" s="26">
        <v>21</v>
      </c>
      <c r="W34" s="27" t="str">
        <f t="shared" si="10"/>
        <v/>
      </c>
      <c r="X34" s="24">
        <v>68</v>
      </c>
      <c r="Y34" s="27" t="str">
        <f t="shared" si="11"/>
        <v/>
      </c>
      <c r="Z34" s="26">
        <v>22</v>
      </c>
      <c r="AA34" s="27" t="str">
        <f t="shared" si="12"/>
        <v/>
      </c>
      <c r="AB34" s="26">
        <v>22</v>
      </c>
      <c r="AC34" s="27" t="str">
        <f t="shared" si="13"/>
        <v/>
      </c>
      <c r="AD34" s="24">
        <v>56</v>
      </c>
      <c r="AE34" s="27" t="str">
        <f t="shared" si="14"/>
        <v/>
      </c>
      <c r="AF34" s="26">
        <v>21</v>
      </c>
      <c r="AG34" s="27" t="str">
        <f t="shared" si="15"/>
        <v/>
      </c>
      <c r="AH34" s="26">
        <v>18</v>
      </c>
      <c r="AI34" s="27" t="str">
        <f t="shared" si="16"/>
        <v/>
      </c>
      <c r="AJ34" s="32">
        <f>IF(OR(AND(D34&gt;=31,D34&lt;40),AND(H34&gt;=31,H34&lt;40),AND(L34&gt;=31,L34&lt;40),AND(R34&gt;=31,R34&lt;40),AND(X34&gt;=31,X34&lt;40),AND(AD34&gt;=31,AD34&lt;40)),IF(AND(OR(COUNTIF(D34:AI34,"=31")&gt;=1,COUNTIF(D34:AI34,"=32")&gt;=1,COUNTIF(D34:AI34,"=33")&gt;=1,COUNTIF(D34:AI34,"=34")&gt;=1,COUNTIF(D34:AI34,"=35")&gt;=1,COUNTIF(D34:AI34,"=36")&gt;=1 ),COUNTIF(D34:AI34,"")=0,COUNTIF(D34:AI34," ")=0,COUNTIF(D34:AI34,"F")=1),CONCATENATE(SUM(EXTRACTNUMBER(D34),EXTRACTNUMBER(F34),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EXTRACTNUMBER(AD34),EXTRACTNUMBER(AH34),EXTRACTNUMBER(AF34)),"*"),IF(AND(COUNTIF(D34:AI34,"=34")&gt;=1,COUNTIF(D34:AI34,"=35")&gt;=1,COUNTIF(D34:AI34,"f")=2,COUNTIF(D34:AI34,"")=0,COUNTIF(D34:AI34,"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EXTRACTNUMBER(AD34),EXTRACTNUMBER(AH34),EXTRACTNUMBER(AF34)),"*"),IF(AND(COUNTIF(D34:AI34,"=36")&gt;=2,COUNTIF(D34:AI34,"f")=2,COUNTIF(D34:AI34,"")=0,COUNTIF(D34:AI34,"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EXTRACTNUMBER(AD34),EXTRACTNUMBER(AH34),EXTRACTNUMBER(AF34)),"*"),SUM(EXTRACTNUMBER(D34),EXTRACTNUMBER(F34),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EXTRACTNUMBER(AD34),EXTRACTNUMBER(AH34),EXTRACTNUMBER(AF34))))),SUM(EXTRACTNUMBER(D34),EXTRACTNUMBER(F34),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EXTRACTNUMBER(AD34),EXTRACTNUMBER(AH34),EXTRACTNUMBER(AF34)))</f>
        <v>597</v>
      </c>
      <c r="AK34" s="28" t="s">
        <v>246</v>
      </c>
      <c r="AL34" s="29">
        <f t="shared" si="0"/>
        <v>1213</v>
      </c>
      <c r="AM34" s="29" t="str">
        <f t="shared" si="17"/>
        <v>PASS</v>
      </c>
      <c r="AN34" s="30" t="str">
        <f>IF(AM34="ABSENT","AB",IF(AM34="FAIL","--",
IF(AK34=0,"RS 3",
IF(AND(SUM(EXTRACTNUMBER(AK34),EXTRACTNUMBER(AJ34))&gt;=1010,
        NOT(IFERROR(FIND("x",AK34),0)),
        NOT(IFERROR(FIND("x",AJ34),0))),"I",
IF(AND(SUM(EXTRACTNUMBER(AK34),EXTRACTNUMBER(AJ34))&gt;=850,
      SUM(EXTRACTNUMBER(AK34),EXTRACTNUMBER(AJ34))&lt;1010,
      NOT(IFERROR(FIND("x",AK34),0)),
      NOT(IFERROR(FIND("x",AJ34),0))),"II",
IF(OR(AND(SUM(EXTRACTNUMBER(AK34),EXTRACTNUMBER(AJ34))&lt;850,
SUM(EXTRACTNUMBER(AK34),EXTRACTNUMBER(AJ34))&gt;=670),
IFERROR(FIND("x",AK34),0),IFERROR(FIND("x",AJ34),0)),"P","--"))))))</f>
        <v>I</v>
      </c>
      <c r="AO34" s="2" t="str">
        <f t="shared" si="18"/>
        <v xml:space="preserve">One Thousand Two Hundred Thirteen </v>
      </c>
    </row>
    <row r="35" spans="2:41" ht="16.5" customHeight="1">
      <c r="B35" s="45">
        <v>134208</v>
      </c>
      <c r="C35" s="46" t="s">
        <v>31</v>
      </c>
      <c r="D35" s="43">
        <v>20</v>
      </c>
      <c r="E35" s="27" t="str">
        <f t="shared" si="1"/>
        <v>F</v>
      </c>
      <c r="F35" s="26">
        <v>16</v>
      </c>
      <c r="G35" s="27" t="str">
        <f t="shared" si="2"/>
        <v>E</v>
      </c>
      <c r="H35" s="24">
        <v>59</v>
      </c>
      <c r="I35" s="27" t="str">
        <f t="shared" si="3"/>
        <v>E</v>
      </c>
      <c r="J35" s="26">
        <v>19</v>
      </c>
      <c r="K35" s="27" t="str">
        <f t="shared" si="4"/>
        <v>E</v>
      </c>
      <c r="L35" s="24">
        <v>50</v>
      </c>
      <c r="M35" s="27" t="str">
        <f t="shared" si="5"/>
        <v>E</v>
      </c>
      <c r="N35" s="26">
        <v>19</v>
      </c>
      <c r="O35" s="27" t="str">
        <f t="shared" si="6"/>
        <v>E</v>
      </c>
      <c r="P35" s="26">
        <v>20</v>
      </c>
      <c r="Q35" s="27" t="str">
        <f t="shared" si="7"/>
        <v>E</v>
      </c>
      <c r="R35" s="24">
        <v>51</v>
      </c>
      <c r="S35" s="27" t="str">
        <f t="shared" si="8"/>
        <v>E</v>
      </c>
      <c r="T35" s="26">
        <v>22</v>
      </c>
      <c r="U35" s="27" t="str">
        <f t="shared" si="9"/>
        <v>E</v>
      </c>
      <c r="V35" s="26">
        <v>21</v>
      </c>
      <c r="W35" s="27" t="str">
        <f t="shared" si="10"/>
        <v>E</v>
      </c>
      <c r="X35" s="24">
        <v>61</v>
      </c>
      <c r="Y35" s="27" t="str">
        <f t="shared" si="11"/>
        <v>E</v>
      </c>
      <c r="Z35" s="26">
        <v>21</v>
      </c>
      <c r="AA35" s="27" t="str">
        <f t="shared" si="12"/>
        <v>E</v>
      </c>
      <c r="AB35" s="26">
        <v>21</v>
      </c>
      <c r="AC35" s="27" t="str">
        <f t="shared" si="13"/>
        <v>E</v>
      </c>
      <c r="AD35" s="24">
        <v>51</v>
      </c>
      <c r="AE35" s="27" t="str">
        <f t="shared" si="14"/>
        <v>E</v>
      </c>
      <c r="AF35" s="26">
        <v>18</v>
      </c>
      <c r="AG35" s="27" t="str">
        <f t="shared" si="15"/>
        <v>E</v>
      </c>
      <c r="AH35" s="26">
        <v>17</v>
      </c>
      <c r="AI35" s="27" t="str">
        <f t="shared" si="16"/>
        <v>E</v>
      </c>
      <c r="AJ35" s="32">
        <f>IF(OR(AND(D35&gt;=31,D35&lt;40),AND(H35&gt;=31,H35&lt;40),AND(L35&gt;=31,L35&lt;40),AND(R35&gt;=31,R35&lt;40),AND(X35&gt;=31,X35&lt;40),AND(AD35&gt;=31,AD35&lt;40)),IF(AND(OR(COUNTIF(D35:AI35,"=31")&gt;=1,COUNTIF(D35:AI35,"=32")&gt;=1,COUNTIF(D35:AI35,"=33")&gt;=1,COUNTIF(D35:AI35,"=34")&gt;=1,COUNTIF(D35:AI35,"=35")&gt;=1,COUNTIF(D35:AI35,"=36")&gt;=1 ),COUNTIF(D35:AI35,"")=0,COUNTIF(D35:AI35," ")=0,COUNTIF(D35:AI35,"F")=1),CONCATENATE(SUM(EXTRACTNUMBER(D35),EXTRACTNUMBER(F35),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EXTRACTNUMBER(AD35),EXTRACTNUMBER(AH35),EXTRACTNUMBER(AF35)),"*"),IF(AND(COUNTIF(D35:AI35,"=34")&gt;=1,COUNTIF(D35:AI35,"=35")&gt;=1,COUNTIF(D35:AI35,"f")=2,COUNTIF(D35:AI35,"")=0,COUNTIF(D35:AI35," ")=0),CONCATENATE(SUM(EXTRACTNUMBER(D35),EXTRACTNUMBER(F35),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EXTRACTNUMBER(AD35),EXTRACTNUMBER(AH35),EXTRACTNUMBER(AF35)),"*"),IF(AND(COUNTIF(D35:AI35,"=36")&gt;=2,COUNTIF(D35:AI35,"f")=2,COUNTIF(D35:AI35,"")=0,COUNTIF(D35:AI35," ")=0),CONCATENATE(SUM(EXTRACTNUMBER(D35),EXTRACTNUMBER(F35),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EXTRACTNUMBER(AD35),EXTRACTNUMBER(AH35),EXTRACTNUMBER(AF35)),"*"),SUM(EXTRACTNUMBER(D35),EXTRACTNUMBER(F35),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EXTRACTNUMBER(AD35),EXTRACTNUMBER(AH35),EXTRACTNUMBER(AF35))))),SUM(EXTRACTNUMBER(D35),EXTRACTNUMBER(F35),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EXTRACTNUMBER(AD35),EXTRACTNUMBER(AH35),EXTRACTNUMBER(AF35)))</f>
        <v>486</v>
      </c>
      <c r="AK35" s="94" t="s">
        <v>564</v>
      </c>
      <c r="AL35" s="29">
        <f>IF(IFERROR(FIND("x",AK35),0),SUM(EXTRACTNUMBER(AJ35),EXTRACTNUMBER(AK35)),IF(AND(SUM(EXTRACTNUMBER(AJ35),EXTRACTNUMBER(AK35))&gt;1009,SUM(EXTRACTNUMBER(AJ35),EXTRACTNUMBER(AK35))&lt;1020),
CONCATENATE(SUM(EXTRACTNUMBER(AJ35),EXTRACTNUMBER(AK35)),"@",1020-SUM(EXTRACTNUMBER(AJ35),EXTRACTNUMBER(AK35))),
IF(AND(SUM(EXTRACTNUMBER(AJ35),EXTRACTNUMBER(AK35))&gt;839,   SUM(EXTRACTNUMBER(AJ35),EXTRACTNUMBER(AK35))&lt;850),CONCATENATE(SUM(EXTRACTNUMBER(AJ35),EXTRACTNUMBER(AK35)),"@",850-SUM(EXTRACTNUMBER(AJ35),EXTRACTNUMBER(AK35))),
IF(AND(SUM(EXTRACTNUMBER(AJ35),EXTRACTNUMBER(AK35))&gt;669,        SUM(EXTRACTNUMBER(AJ35),EXTRACTNUMBER(AK35))&lt;680),
CONCATENATE(SUM(EXTRACTNUMBER(AJ35),EXTRACTNUMBER(AK35)),"@",680-SUM(EXTRACTNUMBER(AJ35),EXTRACTNUMBER(AK35))),
SUM(EXTRACTNUMBER(AJ35),EXTRACTNUMBER(AK35))))))</f>
        <v>955</v>
      </c>
      <c r="AM35" s="29" t="str">
        <f t="shared" si="17"/>
        <v>FAIL</v>
      </c>
      <c r="AN35" s="30" t="str">
        <f>IF(AM35="ABSENT","AB",IF(AM35="FAIL","--",
IF(AK35=0,"RS 3",
IF(AND(SUM(EXTRACTNUMBER(AK35),EXTRACTNUMBER(AJ35))&gt;=1010,
        NOT(IFERROR(FIND("x",AK35),0)),
        NOT(IFERROR(FIND("x",AJ35),0))),"I",
IF(AND(SUM(EXTRACTNUMBER(AK35),EXTRACTNUMBER(AJ35))&gt;=850,
      SUM(EXTRACTNUMBER(AK35),EXTRACTNUMBER(AJ35))&lt;1010,
      NOT(IFERROR(FIND("x",AK35),0)),
      NOT(IFERROR(FIND("x",AJ35),0))),"II",
IF(OR(AND(SUM(EXTRACTNUMBER(AK35),EXTRACTNUMBER(AJ35))&lt;850,
SUM(EXTRACTNUMBER(AK35),EXTRACTNUMBER(AJ35))&gt;=670),
IFERROR(FIND("x",AK35),0),IFERROR(FIND("x",AJ35),0)),"P","--"))))))</f>
        <v>--</v>
      </c>
      <c r="AO35" s="2" t="str">
        <f t="shared" si="18"/>
        <v xml:space="preserve">Nine Hundred Fifty Five </v>
      </c>
    </row>
    <row r="36" spans="2:41" ht="16.5" customHeight="1">
      <c r="B36" s="45">
        <v>134209</v>
      </c>
      <c r="C36" s="46" t="s">
        <v>32</v>
      </c>
      <c r="D36" s="43">
        <v>63</v>
      </c>
      <c r="E36" s="27" t="str">
        <f t="shared" si="1"/>
        <v/>
      </c>
      <c r="F36" s="26">
        <v>23</v>
      </c>
      <c r="G36" s="27" t="str">
        <f t="shared" si="2"/>
        <v/>
      </c>
      <c r="H36" s="24">
        <v>68</v>
      </c>
      <c r="I36" s="27" t="str">
        <f t="shared" si="3"/>
        <v/>
      </c>
      <c r="J36" s="26">
        <v>23</v>
      </c>
      <c r="K36" s="27" t="str">
        <f t="shared" si="4"/>
        <v/>
      </c>
      <c r="L36" s="24">
        <v>51</v>
      </c>
      <c r="M36" s="27" t="str">
        <f t="shared" si="5"/>
        <v/>
      </c>
      <c r="N36" s="26">
        <v>22</v>
      </c>
      <c r="O36" s="27" t="str">
        <f t="shared" si="6"/>
        <v/>
      </c>
      <c r="P36" s="26">
        <v>22</v>
      </c>
      <c r="Q36" s="27" t="str">
        <f t="shared" si="7"/>
        <v/>
      </c>
      <c r="R36" s="24">
        <v>52</v>
      </c>
      <c r="S36" s="27" t="str">
        <f t="shared" si="8"/>
        <v/>
      </c>
      <c r="T36" s="26">
        <v>23</v>
      </c>
      <c r="U36" s="27" t="str">
        <f t="shared" si="9"/>
        <v/>
      </c>
      <c r="V36" s="26">
        <v>16</v>
      </c>
      <c r="W36" s="27" t="str">
        <f t="shared" si="10"/>
        <v/>
      </c>
      <c r="X36" s="24">
        <v>47</v>
      </c>
      <c r="Y36" s="27" t="str">
        <f t="shared" si="11"/>
        <v/>
      </c>
      <c r="Z36" s="26">
        <v>23</v>
      </c>
      <c r="AA36" s="27" t="str">
        <f t="shared" si="12"/>
        <v/>
      </c>
      <c r="AB36" s="26">
        <v>23</v>
      </c>
      <c r="AC36" s="27" t="str">
        <f t="shared" si="13"/>
        <v/>
      </c>
      <c r="AD36" s="24">
        <v>42</v>
      </c>
      <c r="AE36" s="27" t="str">
        <f t="shared" si="14"/>
        <v/>
      </c>
      <c r="AF36" s="26">
        <v>23</v>
      </c>
      <c r="AG36" s="27" t="str">
        <f t="shared" si="15"/>
        <v/>
      </c>
      <c r="AH36" s="26">
        <v>16</v>
      </c>
      <c r="AI36" s="27" t="str">
        <f t="shared" si="16"/>
        <v/>
      </c>
      <c r="AJ36" s="32">
        <f>IF(OR(AND(D36&gt;=31,D36&lt;40),AND(H36&gt;=31,H36&lt;40),AND(L36&gt;=31,L36&lt;40),AND(R36&gt;=31,R36&lt;40),AND(X36&gt;=31,X36&lt;40),AND(AD36&gt;=31,AD36&lt;40)),IF(AND(OR(COUNTIF(D36:AI36,"=31")&gt;=1,COUNTIF(D36:AI36,"=32")&gt;=1,COUNTIF(D36:AI36,"=33")&gt;=1,COUNTIF(D36:AI36,"=34")&gt;=1,COUNTIF(D36:AI36,"=35")&gt;=1,COUNTIF(D36:AI36,"=36")&gt;=1 ),COUNTIF(D36:AI36,"")=0,COUNTIF(D36:AI36," ")=0,COUNTIF(D36:AI36,"F")=1),CONCATENATE(SUM(EXTRACTNUMBER(D36),EXTRACTNUMBER(F36),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EXTRACTNUMBER(AD36),EXTRACTNUMBER(AH36),EXTRACTNUMBER(AF36)),"*"),IF(AND(COUNTIF(D36:AI36,"=34")&gt;=1,COUNTIF(D36:AI36,"=35")&gt;=1,COUNTIF(D36:AI36,"f")=2,COUNTIF(D36:AI36,"")=0,COUNTIF(D36:AI36," ")=0),CONCATENATE(SUM(EXTRACTNUMBER(D36),EXTRACTNUMBER(F36),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EXTRACTNUMBER(AD36),EXTRACTNUMBER(AH36),EXTRACTNUMBER(AF36)),"*"),IF(AND(COUNTIF(D36:AI36,"=36")&gt;=2,COUNTIF(D36:AI36,"f")=2,COUNTIF(D36:AI36,"")=0,COUNTIF(D36:AI36," ")=0),CONCATENATE(SUM(EXTRACTNUMBER(D36),EXTRACTNUMBER(F36),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EXTRACTNUMBER(AD36),EXTRACTNUMBER(AH36),EXTRACTNUMBER(AF36)),"*"),SUM(EXTRACTNUMBER(D36),EXTRACTNUMBER(F36),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EXTRACTNUMBER(AD36),EXTRACTNUMBER(AH36),EXTRACTNUMBER(AF36))))),SUM(EXTRACTNUMBER(D36),EXTRACTNUMBER(F36),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EXTRACTNUMBER(AD36),EXTRACTNUMBER(AH36),EXTRACTNUMBER(AF36)))</f>
        <v>537</v>
      </c>
      <c r="AK36" s="28" t="s">
        <v>247</v>
      </c>
      <c r="AL36" s="29">
        <f t="shared" si="0"/>
        <v>1037</v>
      </c>
      <c r="AM36" s="29" t="str">
        <f t="shared" si="17"/>
        <v>PASS</v>
      </c>
      <c r="AN36" s="30" t="str">
        <f>IF(AM36="ABSENT","AB",IF(AM36="FAIL","--",
IF(AK36=0,"RS 3",
IF(AND(SUM(EXTRACTNUMBER(AK36),EXTRACTNUMBER(AJ36))&gt;=1010,
        NOT(IFERROR(FIND("x",AK36),0)),
        NOT(IFERROR(FIND("x",AJ36),0))),"I",
IF(AND(SUM(EXTRACTNUMBER(AK36),EXTRACTNUMBER(AJ36))&gt;=850,
      SUM(EXTRACTNUMBER(AK36),EXTRACTNUMBER(AJ36))&lt;1010,
      NOT(IFERROR(FIND("x",AK36),0)),
      NOT(IFERROR(FIND("x",AJ36),0))),"II",
IF(OR(AND(SUM(EXTRACTNUMBER(AK36),EXTRACTNUMBER(AJ36))&lt;850,
SUM(EXTRACTNUMBER(AK36),EXTRACTNUMBER(AJ36))&gt;=670),
IFERROR(FIND("x",AK36),0),IFERROR(FIND("x",AJ36),0)),"P","--"))))))</f>
        <v>I</v>
      </c>
      <c r="AO36" s="2" t="str">
        <f t="shared" si="18"/>
        <v xml:space="preserve">One Thousand Thirty Seven </v>
      </c>
    </row>
    <row r="37" spans="2:41" ht="16.5" customHeight="1">
      <c r="B37" s="45">
        <v>134210</v>
      </c>
      <c r="C37" s="46" t="s">
        <v>33</v>
      </c>
      <c r="D37" s="43">
        <v>40</v>
      </c>
      <c r="E37" s="27" t="str">
        <f t="shared" si="1"/>
        <v/>
      </c>
      <c r="F37" s="26">
        <v>20</v>
      </c>
      <c r="G37" s="27" t="str">
        <f t="shared" si="2"/>
        <v/>
      </c>
      <c r="H37" s="24">
        <v>50</v>
      </c>
      <c r="I37" s="27" t="str">
        <f t="shared" si="3"/>
        <v/>
      </c>
      <c r="J37" s="26">
        <v>23</v>
      </c>
      <c r="K37" s="27" t="str">
        <f t="shared" si="4"/>
        <v/>
      </c>
      <c r="L37" s="24">
        <v>49</v>
      </c>
      <c r="M37" s="27" t="str">
        <f t="shared" si="5"/>
        <v/>
      </c>
      <c r="N37" s="26">
        <v>21</v>
      </c>
      <c r="O37" s="27" t="str">
        <f t="shared" si="6"/>
        <v/>
      </c>
      <c r="P37" s="26">
        <v>22</v>
      </c>
      <c r="Q37" s="27" t="str">
        <f t="shared" si="7"/>
        <v/>
      </c>
      <c r="R37" s="24">
        <v>41</v>
      </c>
      <c r="S37" s="27" t="str">
        <f t="shared" si="8"/>
        <v/>
      </c>
      <c r="T37" s="26">
        <v>23</v>
      </c>
      <c r="U37" s="27" t="str">
        <f t="shared" si="9"/>
        <v/>
      </c>
      <c r="V37" s="26">
        <v>21</v>
      </c>
      <c r="W37" s="27" t="str">
        <f t="shared" si="10"/>
        <v/>
      </c>
      <c r="X37" s="24">
        <v>40</v>
      </c>
      <c r="Y37" s="27" t="str">
        <f t="shared" si="11"/>
        <v/>
      </c>
      <c r="Z37" s="26">
        <v>22</v>
      </c>
      <c r="AA37" s="27" t="str">
        <f t="shared" si="12"/>
        <v/>
      </c>
      <c r="AB37" s="26">
        <v>22</v>
      </c>
      <c r="AC37" s="27" t="str">
        <f t="shared" si="13"/>
        <v/>
      </c>
      <c r="AD37" s="24">
        <v>40</v>
      </c>
      <c r="AE37" s="27" t="str">
        <f t="shared" si="14"/>
        <v/>
      </c>
      <c r="AF37" s="26">
        <v>22</v>
      </c>
      <c r="AG37" s="27" t="str">
        <f t="shared" si="15"/>
        <v/>
      </c>
      <c r="AH37" s="26">
        <v>20</v>
      </c>
      <c r="AI37" s="27" t="str">
        <f t="shared" si="16"/>
        <v/>
      </c>
      <c r="AJ37" s="32">
        <f>IF(OR(AND(D37&gt;=31,D37&lt;40),AND(H37&gt;=31,H37&lt;40),AND(L37&gt;=31,L37&lt;40),AND(R37&gt;=31,R37&lt;40),AND(X37&gt;=31,X37&lt;40),AND(AD37&gt;=31,AD37&lt;40)),IF(AND(OR(COUNTIF(D37:AI37,"=31")&gt;=1,COUNTIF(D37:AI37,"=32")&gt;=1,COUNTIF(D37:AI37,"=33")&gt;=1,COUNTIF(D37:AI37,"=34")&gt;=1,COUNTIF(D37:AI37,"=35")&gt;=1,COUNTIF(D37:AI37,"=36")&gt;=1 ),COUNTIF(D37:AI37,"")=0,COUNTIF(D37:AI37," ")=0,COUNTIF(D37:AI37,"F")=1),CONCATENATE(SUM(EXTRACTNUMBER(D37),EXTRACTNUMBER(F37),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EXTRACTNUMBER(AD37),EXTRACTNUMBER(AH37),EXTRACTNUMBER(AF37)),"*"),IF(AND(COUNTIF(D37:AI37,"=34")&gt;=1,COUNTIF(D37:AI37,"=35")&gt;=1,COUNTIF(D37:AI37,"f")=2,COUNTIF(D37:AI37,"")=0,COUNTIF(D37:AI37," ")=0),CONCATENATE(SUM(EXTRACTNUMBER(D37),EXTRACTNUMBER(F37),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EXTRACTNUMBER(AD37),EXTRACTNUMBER(AH37),EXTRACTNUMBER(AF37)),"*"),IF(AND(COUNTIF(D37:AI37,"=36")&gt;=2,COUNTIF(D37:AI37,"f")=2,COUNTIF(D37:AI37,"")=0,COUNTIF(D37:AI37," ")=0),CONCATENATE(SUM(EXTRACTNUMBER(D37),EXTRACTNUMBER(F37),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EXTRACTNUMBER(AD37),EXTRACTNUMBER(AH37),EXTRACTNUMBER(AF37)),"*"),SUM(EXTRACTNUMBER(D37),EXTRACTNUMBER(F37),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EXTRACTNUMBER(AD37),EXTRACTNUMBER(AH37),EXTRACTNUMBER(AF37))))),SUM(EXTRACTNUMBER(D37),EXTRACTNUMBER(F37),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EXTRACTNUMBER(AD37),EXTRACTNUMBER(AH37),EXTRACTNUMBER(AF37)))</f>
        <v>476</v>
      </c>
      <c r="AK37" s="94" t="s">
        <v>565</v>
      </c>
      <c r="AL37" s="29">
        <f t="shared" si="0"/>
        <v>986</v>
      </c>
      <c r="AM37" s="29" t="str">
        <f t="shared" si="17"/>
        <v>PASS</v>
      </c>
      <c r="AN37" s="30" t="str">
        <f>IF(AM37="ABSENT","AB",IF(AM37="FAIL","--",
IF(AK37=0,"RS 3",
IF(AND(SUM(EXTRACTNUMBER(AK37),EXTRACTNUMBER(AJ37))&gt;=1010,
        NOT(IFERROR(FIND("x",AK37),0)),
        NOT(IFERROR(FIND("x",AJ37),0))),"I",
IF(AND(SUM(EXTRACTNUMBER(AK37),EXTRACTNUMBER(AJ37))&gt;=850,
      SUM(EXTRACTNUMBER(AK37),EXTRACTNUMBER(AJ37))&lt;1010,
      NOT(IFERROR(FIND("x",AK37),0)),
      NOT(IFERROR(FIND("x",AJ37),0))),"II",
IF(OR(AND(SUM(EXTRACTNUMBER(AK37),EXTRACTNUMBER(AJ37))&lt;850,
SUM(EXTRACTNUMBER(AK37),EXTRACTNUMBER(AJ37))&gt;=670),
IFERROR(FIND("x",AK37),0),IFERROR(FIND("x",AJ37),0)),"P","--"))))))</f>
        <v>P</v>
      </c>
      <c r="AO37" s="2" t="str">
        <f t="shared" si="18"/>
        <v xml:space="preserve">Nine Hundred Eighty Six </v>
      </c>
    </row>
    <row r="38" spans="2:41" ht="16.5" customHeight="1">
      <c r="B38" s="45">
        <v>134211</v>
      </c>
      <c r="C38" s="46" t="s">
        <v>34</v>
      </c>
      <c r="D38" s="43">
        <v>17</v>
      </c>
      <c r="E38" s="27" t="str">
        <f t="shared" si="1"/>
        <v>F</v>
      </c>
      <c r="F38" s="26">
        <v>16</v>
      </c>
      <c r="G38" s="27" t="str">
        <f t="shared" si="2"/>
        <v>E</v>
      </c>
      <c r="H38" s="24">
        <v>52</v>
      </c>
      <c r="I38" s="27" t="str">
        <f t="shared" si="3"/>
        <v>E</v>
      </c>
      <c r="J38" s="26">
        <v>18</v>
      </c>
      <c r="K38" s="27" t="str">
        <f t="shared" si="4"/>
        <v>E</v>
      </c>
      <c r="L38" s="24">
        <v>40</v>
      </c>
      <c r="M38" s="27" t="str">
        <f t="shared" si="5"/>
        <v>E</v>
      </c>
      <c r="N38" s="26">
        <v>17</v>
      </c>
      <c r="O38" s="27" t="str">
        <f t="shared" si="6"/>
        <v>E</v>
      </c>
      <c r="P38" s="26">
        <v>18</v>
      </c>
      <c r="Q38" s="27" t="str">
        <f t="shared" si="7"/>
        <v>E</v>
      </c>
      <c r="R38" s="24">
        <v>40</v>
      </c>
      <c r="S38" s="27" t="str">
        <f t="shared" si="8"/>
        <v>E</v>
      </c>
      <c r="T38" s="26">
        <v>22</v>
      </c>
      <c r="U38" s="27" t="str">
        <f t="shared" si="9"/>
        <v>E</v>
      </c>
      <c r="V38" s="26">
        <v>16</v>
      </c>
      <c r="W38" s="27" t="str">
        <f t="shared" si="10"/>
        <v>E</v>
      </c>
      <c r="X38" s="24">
        <v>40</v>
      </c>
      <c r="Y38" s="27" t="str">
        <f t="shared" si="11"/>
        <v>E</v>
      </c>
      <c r="Z38" s="26">
        <v>22</v>
      </c>
      <c r="AA38" s="27" t="str">
        <f t="shared" si="12"/>
        <v>E</v>
      </c>
      <c r="AB38" s="26">
        <v>22</v>
      </c>
      <c r="AC38" s="27" t="str">
        <f t="shared" si="13"/>
        <v>E</v>
      </c>
      <c r="AD38" s="24">
        <v>32</v>
      </c>
      <c r="AE38" s="27" t="str">
        <f t="shared" si="14"/>
        <v>F</v>
      </c>
      <c r="AF38" s="26">
        <v>20</v>
      </c>
      <c r="AG38" s="27" t="str">
        <f t="shared" si="15"/>
        <v>E</v>
      </c>
      <c r="AH38" s="26">
        <v>19</v>
      </c>
      <c r="AI38" s="27" t="str">
        <f t="shared" si="16"/>
        <v>E</v>
      </c>
      <c r="AJ38" s="32">
        <f>IF(OR(AND(D38&gt;=31,D38&lt;40),AND(H38&gt;=31,H38&lt;40),AND(L38&gt;=31,L38&lt;40),AND(R38&gt;=31,R38&lt;40),AND(X38&gt;=31,X38&lt;40),AND(AD38&gt;=31,AD38&lt;40)),IF(AND(OR(COUNTIF(D38:AI38,"=31")&gt;=1,COUNTIF(D38:AI38,"=32")&gt;=1,COUNTIF(D38:AI38,"=33")&gt;=1,COUNTIF(D38:AI38,"=34")&gt;=1,COUNTIF(D38:AI38,"=35")&gt;=1,COUNTIF(D38:AI38,"=36")&gt;=1 ),COUNTIF(D38:AI38,"")=0,COUNTIF(D38:AI38," ")=0,COUNTIF(D38:AI38,"F")=1),CONCATENATE(SUM(EXTRACTNUMBER(D38),EXTRACTNUMBER(F38),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EXTRACTNUMBER(AD38),EXTRACTNUMBER(AH38),EXTRACTNUMBER(AF38)),"*"),IF(AND(COUNTIF(D38:AI38,"=34")&gt;=1,COUNTIF(D38:AI38,"=35")&gt;=1,COUNTIF(D38:AI38,"f")=2,COUNTIF(D38:AI38,"")=0,COUNTIF(D38:AI38," ")=0),CONCATENATE(SUM(EXTRACTNUMBER(D38),EXTRACTNUMBER(F38),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EXTRACTNUMBER(AD38),EXTRACTNUMBER(AH38),EXTRACTNUMBER(AF38)),"*"),IF(AND(COUNTIF(D38:AI38,"=36")&gt;=2,COUNTIF(D38:AI38,"f")=2,COUNTIF(D38:AI38,"")=0,COUNTIF(D38:AI38," ")=0),CONCATENATE(SUM(EXTRACTNUMBER(D38),EXTRACTNUMBER(F38),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EXTRACTNUMBER(AD38),EXTRACTNUMBER(AH38),EXTRACTNUMBER(AF38)),"*"),SUM(EXTRACTNUMBER(D38),EXTRACTNUMBER(F38),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EXTRACTNUMBER(AD38),EXTRACTNUMBER(AH38),EXTRACTNUMBER(AF38))))),SUM(EXTRACTNUMBER(D38),EXTRACTNUMBER(F38),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EXTRACTNUMBER(AD38),EXTRACTNUMBER(AH38),EXTRACTNUMBER(AF38)))</f>
        <v>411</v>
      </c>
      <c r="AK38" s="94" t="s">
        <v>566</v>
      </c>
      <c r="AL38" s="29">
        <f t="shared" si="0"/>
        <v>831</v>
      </c>
      <c r="AM38" s="29" t="str">
        <f t="shared" si="17"/>
        <v>FAIL</v>
      </c>
      <c r="AN38" s="30" t="str">
        <f>IF(AM38="ABSENT","AB",IF(AM38="FAIL","--",
IF(AK38=0,"RS 3",
IF(AND(SUM(EXTRACTNUMBER(AK38),EXTRACTNUMBER(AJ38))&gt;=1010,
        NOT(IFERROR(FIND("x",AK38),0)),
        NOT(IFERROR(FIND("x",AJ38),0))),"I",
IF(AND(SUM(EXTRACTNUMBER(AK38),EXTRACTNUMBER(AJ38))&gt;=850,
      SUM(EXTRACTNUMBER(AK38),EXTRACTNUMBER(AJ38))&lt;1010,
      NOT(IFERROR(FIND("x",AK38),0)),
      NOT(IFERROR(FIND("x",AJ38),0))),"II",
IF(OR(AND(SUM(EXTRACTNUMBER(AK38),EXTRACTNUMBER(AJ38))&lt;850,
SUM(EXTRACTNUMBER(AK38),EXTRACTNUMBER(AJ38))&gt;=670),
IFERROR(FIND("x",AK38),0),IFERROR(FIND("x",AJ38),0)),"P","--"))))))</f>
        <v>--</v>
      </c>
      <c r="AO38" s="2" t="str">
        <f t="shared" si="18"/>
        <v xml:space="preserve">Eight Hundred Thirty One </v>
      </c>
    </row>
    <row r="39" spans="2:41" ht="16.5" customHeight="1">
      <c r="B39" s="45">
        <v>134212</v>
      </c>
      <c r="C39" s="46" t="s">
        <v>35</v>
      </c>
      <c r="D39" s="43">
        <v>40</v>
      </c>
      <c r="E39" s="27" t="str">
        <f t="shared" si="1"/>
        <v>E</v>
      </c>
      <c r="F39" s="26">
        <v>24</v>
      </c>
      <c r="G39" s="27" t="str">
        <f t="shared" si="2"/>
        <v>E</v>
      </c>
      <c r="H39" s="24">
        <v>40</v>
      </c>
      <c r="I39" s="27" t="str">
        <f t="shared" si="3"/>
        <v>E</v>
      </c>
      <c r="J39" s="26">
        <v>21</v>
      </c>
      <c r="K39" s="27" t="str">
        <f t="shared" si="4"/>
        <v>E</v>
      </c>
      <c r="L39" s="24">
        <v>19</v>
      </c>
      <c r="M39" s="27" t="str">
        <f t="shared" si="5"/>
        <v>F</v>
      </c>
      <c r="N39" s="26">
        <v>19</v>
      </c>
      <c r="O39" s="27" t="str">
        <f t="shared" si="6"/>
        <v>E</v>
      </c>
      <c r="P39" s="26">
        <v>19</v>
      </c>
      <c r="Q39" s="27" t="str">
        <f t="shared" si="7"/>
        <v>E</v>
      </c>
      <c r="R39" s="24">
        <v>27</v>
      </c>
      <c r="S39" s="27" t="str">
        <f t="shared" si="8"/>
        <v>F</v>
      </c>
      <c r="T39" s="26">
        <v>21</v>
      </c>
      <c r="U39" s="27" t="str">
        <f t="shared" si="9"/>
        <v>E</v>
      </c>
      <c r="V39" s="26">
        <v>16</v>
      </c>
      <c r="W39" s="27" t="str">
        <f t="shared" si="10"/>
        <v>E</v>
      </c>
      <c r="X39" s="24">
        <v>42</v>
      </c>
      <c r="Y39" s="27" t="str">
        <f t="shared" si="11"/>
        <v>E</v>
      </c>
      <c r="Z39" s="26">
        <v>22</v>
      </c>
      <c r="AA39" s="27" t="str">
        <f t="shared" si="12"/>
        <v>E</v>
      </c>
      <c r="AB39" s="26">
        <v>22</v>
      </c>
      <c r="AC39" s="27" t="str">
        <f t="shared" si="13"/>
        <v>E</v>
      </c>
      <c r="AD39" s="24">
        <v>28</v>
      </c>
      <c r="AE39" s="27" t="str">
        <f t="shared" si="14"/>
        <v>F</v>
      </c>
      <c r="AF39" s="26">
        <v>23</v>
      </c>
      <c r="AG39" s="27" t="str">
        <f t="shared" si="15"/>
        <v>E</v>
      </c>
      <c r="AH39" s="26">
        <v>20</v>
      </c>
      <c r="AI39" s="27" t="str">
        <f t="shared" si="16"/>
        <v>E</v>
      </c>
      <c r="AJ39" s="32">
        <f>IF(OR(AND(D39&gt;=31,D39&lt;40),AND(H39&gt;=31,H39&lt;40),AND(L39&gt;=31,L39&lt;40),AND(R39&gt;=31,R39&lt;40),AND(X39&gt;=31,X39&lt;40),AND(AD39&gt;=31,AD39&lt;40)),IF(AND(OR(COUNTIF(D39:AI39,"=31")&gt;=1,COUNTIF(D39:AI39,"=32")&gt;=1,COUNTIF(D39:AI39,"=33")&gt;=1,COUNTIF(D39:AI39,"=34")&gt;=1,COUNTIF(D39:AI39,"=35")&gt;=1,COUNTIF(D39:AI39,"=36")&gt;=1 ),COUNTIF(D39:AI39,"")=0,COUNTIF(D39:AI39," ")=0,COUNTIF(D39:AI39,"F")=1),CONCATENATE(SUM(EXTRACTNUMBER(D39),EXTRACTNUMBER(F39),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EXTRACTNUMBER(AD39),EXTRACTNUMBER(AH39),EXTRACTNUMBER(AF39)),"*"),IF(AND(COUNTIF(D39:AI39,"=34")&gt;=1,COUNTIF(D39:AI39,"=35")&gt;=1,COUNTIF(D39:AI39,"f")=2,COUNTIF(D39:AI39,"")=0,COUNTIF(D39:AI39," ")=0),CONCATENATE(SUM(EXTRACTNUMBER(D39),EXTRACTNUMBER(F39),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EXTRACTNUMBER(AD39),EXTRACTNUMBER(AH39),EXTRACTNUMBER(AF39)),"*"),IF(AND(COUNTIF(D39:AI39,"=36")&gt;=2,COUNTIF(D39:AI39,"f")=2,COUNTIF(D39:AI39,"")=0,COUNTIF(D39:AI39," ")=0),CONCATENATE(SUM(EXTRACTNUMBER(D39),EXTRACTNUMBER(F39),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EXTRACTNUMBER(AD39),EXTRACTNUMBER(AH39),EXTRACTNUMBER(AF39)),"*"),SUM(EXTRACTNUMBER(D39),EXTRACTNUMBER(F39),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EXTRACTNUMBER(AD39),EXTRACTNUMBER(AH39),EXTRACTNUMBER(AF39))))),SUM(EXTRACTNUMBER(D39),EXTRACTNUMBER(F39),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EXTRACTNUMBER(AD39),EXTRACTNUMBER(AH39),EXTRACTNUMBER(AF39)))</f>
        <v>403</v>
      </c>
      <c r="AK39" s="28" t="s">
        <v>248</v>
      </c>
      <c r="AL39" s="29">
        <f t="shared" si="0"/>
        <v>882</v>
      </c>
      <c r="AM39" s="29" t="str">
        <f t="shared" si="17"/>
        <v>FAIL</v>
      </c>
      <c r="AN39" s="30" t="str">
        <f>IF(AM39="ABSENT","AB",IF(AM39="FAIL","--",
IF(AK39=0,"RS 3",
IF(AND(SUM(EXTRACTNUMBER(AK39),EXTRACTNUMBER(AJ39))&gt;=1010,
        NOT(IFERROR(FIND("x",AK39),0)),
        NOT(IFERROR(FIND("x",AJ39),0))),"I",
IF(AND(SUM(EXTRACTNUMBER(AK39),EXTRACTNUMBER(AJ39))&gt;=850,
      SUM(EXTRACTNUMBER(AK39),EXTRACTNUMBER(AJ39))&lt;1010,
      NOT(IFERROR(FIND("x",AK39),0)),
      NOT(IFERROR(FIND("x",AJ39),0))),"II",
IF(OR(AND(SUM(EXTRACTNUMBER(AK39),EXTRACTNUMBER(AJ39))&lt;850,
SUM(EXTRACTNUMBER(AK39),EXTRACTNUMBER(AJ39))&gt;=670),
IFERROR(FIND("x",AK39),0),IFERROR(FIND("x",AJ39),0)),"P","--"))))))</f>
        <v>--</v>
      </c>
      <c r="AO39" s="2" t="str">
        <f t="shared" si="18"/>
        <v xml:space="preserve">Eight Hundred Eighty Two </v>
      </c>
    </row>
    <row r="40" spans="2:41" ht="16.5" customHeight="1">
      <c r="B40" s="45">
        <v>134213</v>
      </c>
      <c r="C40" s="46" t="s">
        <v>36</v>
      </c>
      <c r="D40" s="43">
        <v>40</v>
      </c>
      <c r="E40" s="27" t="str">
        <f t="shared" si="1"/>
        <v>E</v>
      </c>
      <c r="F40" s="26">
        <v>16</v>
      </c>
      <c r="G40" s="27" t="str">
        <f t="shared" si="2"/>
        <v>E</v>
      </c>
      <c r="H40" s="24">
        <v>46</v>
      </c>
      <c r="I40" s="27" t="str">
        <f t="shared" si="3"/>
        <v>E</v>
      </c>
      <c r="J40" s="26">
        <v>19</v>
      </c>
      <c r="K40" s="27" t="str">
        <f t="shared" si="4"/>
        <v>E</v>
      </c>
      <c r="L40" s="24">
        <v>43</v>
      </c>
      <c r="M40" s="27" t="str">
        <f t="shared" si="5"/>
        <v>E</v>
      </c>
      <c r="N40" s="26">
        <v>19</v>
      </c>
      <c r="O40" s="27" t="str">
        <f t="shared" si="6"/>
        <v>E</v>
      </c>
      <c r="P40" s="26">
        <v>18</v>
      </c>
      <c r="Q40" s="27" t="str">
        <f t="shared" si="7"/>
        <v>E</v>
      </c>
      <c r="R40" s="24">
        <v>43</v>
      </c>
      <c r="S40" s="27" t="str">
        <f t="shared" si="8"/>
        <v>E</v>
      </c>
      <c r="T40" s="26">
        <v>21</v>
      </c>
      <c r="U40" s="27" t="str">
        <f t="shared" si="9"/>
        <v>E</v>
      </c>
      <c r="V40" s="26">
        <v>21</v>
      </c>
      <c r="W40" s="27" t="str">
        <f t="shared" si="10"/>
        <v>E</v>
      </c>
      <c r="X40" s="24">
        <v>9</v>
      </c>
      <c r="Y40" s="27" t="str">
        <f t="shared" si="11"/>
        <v>F</v>
      </c>
      <c r="Z40" s="26">
        <v>20</v>
      </c>
      <c r="AA40" s="27" t="str">
        <f t="shared" si="12"/>
        <v>E</v>
      </c>
      <c r="AB40" s="26">
        <v>20</v>
      </c>
      <c r="AC40" s="27" t="str">
        <f t="shared" si="13"/>
        <v>E</v>
      </c>
      <c r="AD40" s="24">
        <v>40</v>
      </c>
      <c r="AE40" s="27" t="str">
        <f t="shared" si="14"/>
        <v>E</v>
      </c>
      <c r="AF40" s="26">
        <v>19</v>
      </c>
      <c r="AG40" s="27" t="str">
        <f t="shared" si="15"/>
        <v>E</v>
      </c>
      <c r="AH40" s="26">
        <v>17</v>
      </c>
      <c r="AI40" s="27" t="str">
        <f t="shared" si="16"/>
        <v>E</v>
      </c>
      <c r="AJ40" s="32">
        <f>IF(OR(AND(D40&gt;=31,D40&lt;40),AND(H40&gt;=31,H40&lt;40),AND(L40&gt;=31,L40&lt;40),AND(R40&gt;=31,R40&lt;40),AND(X40&gt;=31,X40&lt;40),AND(AD40&gt;=31,AD40&lt;40)),IF(AND(OR(COUNTIF(D40:AI40,"=31")&gt;=1,COUNTIF(D40:AI40,"=32")&gt;=1,COUNTIF(D40:AI40,"=33")&gt;=1,COUNTIF(D40:AI40,"=34")&gt;=1,COUNTIF(D40:AI40,"=35")&gt;=1,COUNTIF(D40:AI40,"=36")&gt;=1 ),COUNTIF(D40:AI40,"")=0,COUNTIF(D40:AI40," ")=0,COUNTIF(D40:AI40,"F")=1),CONCATENATE(SUM(EXTRACTNUMBER(D40),EXTRACTNUMBER(F40),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EXTRACTNUMBER(AD40),EXTRACTNUMBER(AH40),EXTRACTNUMBER(AF40)),"*"),IF(AND(COUNTIF(D40:AI40,"=34")&gt;=1,COUNTIF(D40:AI40,"=35")&gt;=1,COUNTIF(D40:AI40,"f")=2,COUNTIF(D40:AI40,"")=0,COUNTIF(D40:AI40," ")=0),CONCATENATE(SUM(EXTRACTNUMBER(D40),EXTRACTNUMBER(F40),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EXTRACTNUMBER(AD40),EXTRACTNUMBER(AH40),EXTRACTNUMBER(AF40)),"*"),IF(AND(COUNTIF(D40:AI40,"=36")&gt;=2,COUNTIF(D40:AI40,"f")=2,COUNTIF(D40:AI40,"")=0,COUNTIF(D40:AI40," ")=0),CONCATENATE(SUM(EXTRACTNUMBER(D40),EXTRACTNUMBER(F40),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EXTRACTNUMBER(AD40),EXTRACTNUMBER(AH40),EXTRACTNUMBER(AF40)),"*"),SUM(EXTRACTNUMBER(D40),EXTRACTNUMBER(F40),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EXTRACTNUMBER(AD40),EXTRACTNUMBER(AH40),EXTRACTNUMBER(AF40))))),SUM(EXTRACTNUMBER(D40),EXTRACTNUMBER(F40),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EXTRACTNUMBER(AD40),EXTRACTNUMBER(AH40),EXTRACTNUMBER(AF40)))</f>
        <v>411</v>
      </c>
      <c r="AK40" s="28" t="s">
        <v>249</v>
      </c>
      <c r="AL40" s="29">
        <f t="shared" si="0"/>
        <v>871</v>
      </c>
      <c r="AM40" s="29" t="str">
        <f t="shared" si="17"/>
        <v>FAIL</v>
      </c>
      <c r="AN40" s="30" t="str">
        <f>IF(AM40="ABSENT","AB",IF(AM40="FAIL","--",
IF(AK40=0,"RS 3",
IF(AND(SUM(EXTRACTNUMBER(AK40),EXTRACTNUMBER(AJ40))&gt;=1010,
        NOT(IFERROR(FIND("x",AK40),0)),
        NOT(IFERROR(FIND("x",AJ40),0))),"I",
IF(AND(SUM(EXTRACTNUMBER(AK40),EXTRACTNUMBER(AJ40))&gt;=850,
      SUM(EXTRACTNUMBER(AK40),EXTRACTNUMBER(AJ40))&lt;1010,
      NOT(IFERROR(FIND("x",AK40),0)),
      NOT(IFERROR(FIND("x",AJ40),0))),"II",
IF(OR(AND(SUM(EXTRACTNUMBER(AK40),EXTRACTNUMBER(AJ40))&lt;850,
SUM(EXTRACTNUMBER(AK40),EXTRACTNUMBER(AJ40))&gt;=670),
IFERROR(FIND("x",AK40),0),IFERROR(FIND("x",AJ40),0)),"P","--"))))))</f>
        <v>--</v>
      </c>
      <c r="AO40" s="2" t="str">
        <f t="shared" si="18"/>
        <v xml:space="preserve">Eight Hundred Seventy One </v>
      </c>
    </row>
    <row r="41" spans="2:41" ht="16.5" customHeight="1">
      <c r="B41" s="45">
        <v>134214</v>
      </c>
      <c r="C41" s="46" t="s">
        <v>37</v>
      </c>
      <c r="D41" s="43">
        <v>7</v>
      </c>
      <c r="E41" s="27" t="str">
        <f t="shared" si="1"/>
        <v>F</v>
      </c>
      <c r="F41" s="26">
        <v>13</v>
      </c>
      <c r="G41" s="27" t="str">
        <f t="shared" si="2"/>
        <v>E</v>
      </c>
      <c r="H41" s="24">
        <v>12</v>
      </c>
      <c r="I41" s="27" t="str">
        <f t="shared" si="3"/>
        <v>F</v>
      </c>
      <c r="J41" s="26">
        <v>19</v>
      </c>
      <c r="K41" s="27" t="str">
        <f t="shared" si="4"/>
        <v>E</v>
      </c>
      <c r="L41" s="24">
        <v>40</v>
      </c>
      <c r="M41" s="27" t="str">
        <f t="shared" si="5"/>
        <v>E</v>
      </c>
      <c r="N41" s="26">
        <v>17</v>
      </c>
      <c r="O41" s="27" t="str">
        <f t="shared" si="6"/>
        <v>E</v>
      </c>
      <c r="P41" s="26">
        <v>17</v>
      </c>
      <c r="Q41" s="27" t="str">
        <f t="shared" si="7"/>
        <v>E</v>
      </c>
      <c r="R41" s="24">
        <v>22</v>
      </c>
      <c r="S41" s="27" t="str">
        <f t="shared" si="8"/>
        <v>F</v>
      </c>
      <c r="T41" s="26">
        <v>22</v>
      </c>
      <c r="U41" s="27" t="str">
        <f t="shared" si="9"/>
        <v>E</v>
      </c>
      <c r="V41" s="26">
        <v>16</v>
      </c>
      <c r="W41" s="27" t="str">
        <f t="shared" si="10"/>
        <v>E</v>
      </c>
      <c r="X41" s="24">
        <v>56</v>
      </c>
      <c r="Y41" s="27" t="str">
        <f t="shared" si="11"/>
        <v>E</v>
      </c>
      <c r="Z41" s="26">
        <v>21</v>
      </c>
      <c r="AA41" s="27" t="str">
        <f t="shared" si="12"/>
        <v>E</v>
      </c>
      <c r="AB41" s="26">
        <v>21</v>
      </c>
      <c r="AC41" s="27" t="str">
        <f t="shared" si="13"/>
        <v>E</v>
      </c>
      <c r="AD41" s="24">
        <v>40</v>
      </c>
      <c r="AE41" s="27" t="str">
        <f t="shared" si="14"/>
        <v>E</v>
      </c>
      <c r="AF41" s="26">
        <v>20</v>
      </c>
      <c r="AG41" s="27" t="str">
        <f t="shared" si="15"/>
        <v>E</v>
      </c>
      <c r="AH41" s="26">
        <v>18</v>
      </c>
      <c r="AI41" s="27" t="str">
        <f t="shared" si="16"/>
        <v>E</v>
      </c>
      <c r="AJ41" s="32">
        <f>IF(OR(AND(D41&gt;=31,D41&lt;40),AND(H41&gt;=31,H41&lt;40),AND(L41&gt;=31,L41&lt;40),AND(R41&gt;=31,R41&lt;40),AND(X41&gt;=31,X41&lt;40),AND(AD41&gt;=31,AD41&lt;40)),IF(AND(OR(COUNTIF(D41:AI41,"=31")&gt;=1,COUNTIF(D41:AI41,"=32")&gt;=1,COUNTIF(D41:AI41,"=33")&gt;=1,COUNTIF(D41:AI41,"=34")&gt;=1,COUNTIF(D41:AI41,"=35")&gt;=1,COUNTIF(D41:AI41,"=36")&gt;=1 ),COUNTIF(D41:AI41,"")=0,COUNTIF(D41:AI41," ")=0,COUNTIF(D41:AI41,"F")=1),CONCATENATE(SUM(EXTRACTNUMBER(D41),EXTRACTNUMBER(F41),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EXTRACTNUMBER(AD41),EXTRACTNUMBER(AH41),EXTRACTNUMBER(AF41)),"*"),IF(AND(COUNTIF(D41:AI41,"=34")&gt;=1,COUNTIF(D41:AI41,"=35")&gt;=1,COUNTIF(D41:AI41,"f")=2,COUNTIF(D41:AI41,"")=0,COUNTIF(D41:AI41," ")=0),CONCATENATE(SUM(EXTRACTNUMBER(D41),EXTRACTNUMBER(F41),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EXTRACTNUMBER(AD41),EXTRACTNUMBER(AH41),EXTRACTNUMBER(AF41)),"*"),IF(AND(COUNTIF(D41:AI41,"=36")&gt;=2,COUNTIF(D41:AI41,"f")=2,COUNTIF(D41:AI41,"")=0,COUNTIF(D41:AI41," ")=0),CONCATENATE(SUM(EXTRACTNUMBER(D41),EXTRACTNUMBER(F41),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EXTRACTNUMBER(AD41),EXTRACTNUMBER(AH41),EXTRACTNUMBER(AF41)),"*"),SUM(EXTRACTNUMBER(D41),EXTRACTNUMBER(F41),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EXTRACTNUMBER(AD41),EXTRACTNUMBER(AH41),EXTRACTNUMBER(AF41))))),SUM(EXTRACTNUMBER(D41),EXTRACTNUMBER(F41),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EXTRACTNUMBER(AD41),EXTRACTNUMBER(AH41),EXTRACTNUMBER(AF41)))</f>
        <v>361</v>
      </c>
      <c r="AK41" s="28">
        <v>0</v>
      </c>
      <c r="AL41" s="29">
        <f t="shared" si="0"/>
        <v>361</v>
      </c>
      <c r="AM41" s="29" t="str">
        <f t="shared" si="17"/>
        <v>FAIL</v>
      </c>
      <c r="AN41" s="30" t="str">
        <f>IF(AM41="ABSENT","AB",IF(AM41="FAIL","--",
IF(AK41=0,"RS 3",
IF(AND(SUM(EXTRACTNUMBER(AK41),EXTRACTNUMBER(AJ41))&gt;=1010,
        NOT(IFERROR(FIND("x",AK41),0)),
        NOT(IFERROR(FIND("x",AJ41),0))),"I",
IF(AND(SUM(EXTRACTNUMBER(AK41),EXTRACTNUMBER(AJ41))&gt;=850,
      SUM(EXTRACTNUMBER(AK41),EXTRACTNUMBER(AJ41))&lt;1010,
      NOT(IFERROR(FIND("x",AK41),0)),
      NOT(IFERROR(FIND("x",AJ41),0))),"II",
IF(OR(AND(SUM(EXTRACTNUMBER(AK41),EXTRACTNUMBER(AJ41))&lt;850,
SUM(EXTRACTNUMBER(AK41),EXTRACTNUMBER(AJ41))&gt;=670),
IFERROR(FIND("x",AK41),0),IFERROR(FIND("x",AJ41),0)),"P","--"))))))</f>
        <v>--</v>
      </c>
      <c r="AO41" s="2" t="str">
        <f t="shared" si="18"/>
        <v xml:space="preserve">Three Hundred Sixty One </v>
      </c>
    </row>
    <row r="42" spans="2:41" ht="16.5" customHeight="1">
      <c r="B42" s="45">
        <v>134215</v>
      </c>
      <c r="C42" s="46" t="s">
        <v>38</v>
      </c>
      <c r="D42" s="43">
        <v>40</v>
      </c>
      <c r="E42" s="27" t="str">
        <f t="shared" si="1"/>
        <v/>
      </c>
      <c r="F42" s="26">
        <v>23</v>
      </c>
      <c r="G42" s="27" t="str">
        <f t="shared" si="2"/>
        <v/>
      </c>
      <c r="H42" s="24">
        <v>63</v>
      </c>
      <c r="I42" s="27" t="str">
        <f t="shared" si="3"/>
        <v/>
      </c>
      <c r="J42" s="26">
        <v>20</v>
      </c>
      <c r="K42" s="27" t="str">
        <f t="shared" si="4"/>
        <v/>
      </c>
      <c r="L42" s="24">
        <v>69</v>
      </c>
      <c r="M42" s="27" t="str">
        <f t="shared" si="5"/>
        <v/>
      </c>
      <c r="N42" s="26">
        <v>18</v>
      </c>
      <c r="O42" s="27" t="str">
        <f t="shared" si="6"/>
        <v/>
      </c>
      <c r="P42" s="26">
        <v>18</v>
      </c>
      <c r="Q42" s="27" t="str">
        <f t="shared" si="7"/>
        <v/>
      </c>
      <c r="R42" s="24">
        <v>45</v>
      </c>
      <c r="S42" s="27" t="str">
        <f t="shared" si="8"/>
        <v/>
      </c>
      <c r="T42" s="26">
        <v>21</v>
      </c>
      <c r="U42" s="27" t="str">
        <f t="shared" si="9"/>
        <v/>
      </c>
      <c r="V42" s="26">
        <v>19</v>
      </c>
      <c r="W42" s="27" t="str">
        <f t="shared" si="10"/>
        <v/>
      </c>
      <c r="X42" s="24">
        <v>48</v>
      </c>
      <c r="Y42" s="27" t="str">
        <f t="shared" si="11"/>
        <v/>
      </c>
      <c r="Z42" s="26">
        <v>21</v>
      </c>
      <c r="AA42" s="27" t="str">
        <f t="shared" si="12"/>
        <v/>
      </c>
      <c r="AB42" s="26">
        <v>22</v>
      </c>
      <c r="AC42" s="27" t="str">
        <f t="shared" si="13"/>
        <v/>
      </c>
      <c r="AD42" s="24">
        <v>42</v>
      </c>
      <c r="AE42" s="27" t="str">
        <f t="shared" si="14"/>
        <v/>
      </c>
      <c r="AF42" s="26">
        <v>19</v>
      </c>
      <c r="AG42" s="27" t="str">
        <f t="shared" si="15"/>
        <v/>
      </c>
      <c r="AH42" s="26">
        <v>16</v>
      </c>
      <c r="AI42" s="27" t="str">
        <f t="shared" si="16"/>
        <v/>
      </c>
      <c r="AJ42" s="32">
        <f>IF(OR(AND(D42&gt;=31,D42&lt;40),AND(H42&gt;=31,H42&lt;40),AND(L42&gt;=31,L42&lt;40),AND(R42&gt;=31,R42&lt;40),AND(X42&gt;=31,X42&lt;40),AND(AD42&gt;=31,AD42&lt;40)),IF(AND(OR(COUNTIF(D42:AI42,"=31")&gt;=1,COUNTIF(D42:AI42,"=32")&gt;=1,COUNTIF(D42:AI42,"=33")&gt;=1,COUNTIF(D42:AI42,"=34")&gt;=1,COUNTIF(D42:AI42,"=35")&gt;=1,COUNTIF(D42:AI42,"=36")&gt;=1 ),COUNTIF(D42:AI42,"")=0,COUNTIF(D42:AI42," ")=0,COUNTIF(D42:AI42,"F")=1),CONCATENATE(SUM(EXTRACTNUMBER(D42),EXTRACTNUMBER(F42),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EXTRACTNUMBER(AD42),EXTRACTNUMBER(AH42),EXTRACTNUMBER(AF42)),"*"),IF(AND(COUNTIF(D42:AI42,"=34")&gt;=1,COUNTIF(D42:AI42,"=35")&gt;=1,COUNTIF(D42:AI42,"f")=2,COUNTIF(D42:AI42,"")=0,COUNTIF(D42:AI42," ")=0),CONCATENATE(SUM(EXTRACTNUMBER(D42),EXTRACTNUMBER(F42),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EXTRACTNUMBER(AD42),EXTRACTNUMBER(AH42),EXTRACTNUMBER(AF42)),"*"),IF(AND(COUNTIF(D42:AI42,"=36")&gt;=2,COUNTIF(D42:AI42,"f")=2,COUNTIF(D42:AI42,"")=0,COUNTIF(D42:AI42," ")=0),CONCATENATE(SUM(EXTRACTNUMBER(D42),EXTRACTNUMBER(F42),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EXTRACTNUMBER(AD42),EXTRACTNUMBER(AH42),EXTRACTNUMBER(AF42)),"*"),SUM(EXTRACTNUMBER(D42),EXTRACTNUMBER(F42),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EXTRACTNUMBER(AD42),EXTRACTNUMBER(AH42),EXTRACTNUMBER(AF42))))),SUM(EXTRACTNUMBER(D42),EXTRACTNUMBER(F42),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EXTRACTNUMBER(AD42),EXTRACTNUMBER(AH42),EXTRACTNUMBER(AF42)))</f>
        <v>504</v>
      </c>
      <c r="AK42" s="28" t="s">
        <v>250</v>
      </c>
      <c r="AL42" s="29">
        <f t="shared" si="0"/>
        <v>1028</v>
      </c>
      <c r="AM42" s="29" t="str">
        <f t="shared" si="17"/>
        <v>PASS</v>
      </c>
      <c r="AN42" s="30" t="str">
        <f>IF(AM42="ABSENT","AB",IF(AM42="FAIL","--",
IF(AK42=0,"RS 3",
IF(AND(SUM(EXTRACTNUMBER(AK42),EXTRACTNUMBER(AJ42))&gt;=1010,
        NOT(IFERROR(FIND("x",AK42),0)),
        NOT(IFERROR(FIND("x",AJ42),0))),"I",
IF(AND(SUM(EXTRACTNUMBER(AK42),EXTRACTNUMBER(AJ42))&gt;=850,
      SUM(EXTRACTNUMBER(AK42),EXTRACTNUMBER(AJ42))&lt;1010,
      NOT(IFERROR(FIND("x",AK42),0)),
      NOT(IFERROR(FIND("x",AJ42),0))),"II",
IF(OR(AND(SUM(EXTRACTNUMBER(AK42),EXTRACTNUMBER(AJ42))&lt;850,
SUM(EXTRACTNUMBER(AK42),EXTRACTNUMBER(AJ42))&gt;=670),
IFERROR(FIND("x",AK42),0),IFERROR(FIND("x",AJ42),0)),"P","--"))))))</f>
        <v>I</v>
      </c>
      <c r="AO42" s="2" t="str">
        <f t="shared" si="18"/>
        <v xml:space="preserve">One Thousand Twenty Eight </v>
      </c>
    </row>
    <row r="43" spans="2:41" ht="16.5" customHeight="1">
      <c r="B43" s="45">
        <v>134216</v>
      </c>
      <c r="C43" s="46" t="s">
        <v>39</v>
      </c>
      <c r="D43" s="43">
        <v>28</v>
      </c>
      <c r="E43" s="27" t="str">
        <f t="shared" si="1"/>
        <v>F</v>
      </c>
      <c r="F43" s="26">
        <v>21</v>
      </c>
      <c r="G43" s="27" t="str">
        <f t="shared" si="2"/>
        <v>E</v>
      </c>
      <c r="H43" s="24">
        <v>40</v>
      </c>
      <c r="I43" s="27" t="str">
        <f t="shared" si="3"/>
        <v>E</v>
      </c>
      <c r="J43" s="26">
        <v>21</v>
      </c>
      <c r="K43" s="27" t="str">
        <f t="shared" si="4"/>
        <v>E</v>
      </c>
      <c r="L43" s="24">
        <v>45</v>
      </c>
      <c r="M43" s="27" t="str">
        <f t="shared" si="5"/>
        <v>E</v>
      </c>
      <c r="N43" s="26">
        <v>21</v>
      </c>
      <c r="O43" s="27" t="str">
        <f t="shared" si="6"/>
        <v>E</v>
      </c>
      <c r="P43" s="26">
        <v>21</v>
      </c>
      <c r="Q43" s="27" t="str">
        <f t="shared" si="7"/>
        <v>E</v>
      </c>
      <c r="R43" s="24">
        <v>20</v>
      </c>
      <c r="S43" s="27" t="str">
        <f t="shared" si="8"/>
        <v>F</v>
      </c>
      <c r="T43" s="26">
        <v>20</v>
      </c>
      <c r="U43" s="27" t="str">
        <f t="shared" si="9"/>
        <v>E</v>
      </c>
      <c r="V43" s="26">
        <v>21</v>
      </c>
      <c r="W43" s="27" t="str">
        <f t="shared" si="10"/>
        <v>E</v>
      </c>
      <c r="X43" s="24">
        <v>42</v>
      </c>
      <c r="Y43" s="27" t="str">
        <f t="shared" si="11"/>
        <v>E</v>
      </c>
      <c r="Z43" s="26">
        <v>22</v>
      </c>
      <c r="AA43" s="27" t="str">
        <f t="shared" si="12"/>
        <v>E</v>
      </c>
      <c r="AB43" s="26">
        <v>21</v>
      </c>
      <c r="AC43" s="27" t="str">
        <f t="shared" si="13"/>
        <v>E</v>
      </c>
      <c r="AD43" s="24">
        <v>45</v>
      </c>
      <c r="AE43" s="27" t="str">
        <f t="shared" si="14"/>
        <v>E</v>
      </c>
      <c r="AF43" s="26">
        <v>21</v>
      </c>
      <c r="AG43" s="27" t="str">
        <f t="shared" si="15"/>
        <v>E</v>
      </c>
      <c r="AH43" s="26">
        <v>19</v>
      </c>
      <c r="AI43" s="27" t="str">
        <f t="shared" si="16"/>
        <v>E</v>
      </c>
      <c r="AJ43" s="32">
        <f>IF(OR(AND(D43&gt;=31,D43&lt;40),AND(H43&gt;=31,H43&lt;40),AND(L43&gt;=31,L43&lt;40),AND(R43&gt;=31,R43&lt;40),AND(X43&gt;=31,X43&lt;40),AND(AD43&gt;=31,AD43&lt;40)),IF(AND(OR(COUNTIF(D43:AI43,"=31")&gt;=1,COUNTIF(D43:AI43,"=32")&gt;=1,COUNTIF(D43:AI43,"=33")&gt;=1,COUNTIF(D43:AI43,"=34")&gt;=1,COUNTIF(D43:AI43,"=35")&gt;=1,COUNTIF(D43:AI43,"=36")&gt;=1 ),COUNTIF(D43:AI43,"")=0,COUNTIF(D43:AI43," ")=0,COUNTIF(D43:AI43,"F")=1),CONCATENATE(SUM(EXTRACTNUMBER(D43),EXTRACTNUMBER(F43),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EXTRACTNUMBER(AD43),EXTRACTNUMBER(AH43),EXTRACTNUMBER(AF43)),"*"),IF(AND(COUNTIF(D43:AI43,"=34")&gt;=1,COUNTIF(D43:AI43,"=35")&gt;=1,COUNTIF(D43:AI43,"f")=2,COUNTIF(D43:AI43,"")=0,COUNTIF(D43:AI43," ")=0),CONCATENATE(SUM(EXTRACTNUMBER(D43),EXTRACTNUMBER(F43),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EXTRACTNUMBER(AD43),EXTRACTNUMBER(AH43),EXTRACTNUMBER(AF43)),"*"),IF(AND(COUNTIF(D43:AI43,"=36")&gt;=2,COUNTIF(D43:AI43,"f")=2,COUNTIF(D43:AI43,"")=0,COUNTIF(D43:AI43," ")=0),CONCATENATE(SUM(EXTRACTNUMBER(D43),EXTRACTNUMBER(F43),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EXTRACTNUMBER(AD43),EXTRACTNUMBER(AH43),EXTRACTNUMBER(AF43)),"*"),SUM(EXTRACTNUMBER(D43),EXTRACTNUMBER(F43),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EXTRACTNUMBER(AD43),EXTRACTNUMBER(AH43),EXTRACTNUMBER(AF43))))),SUM(EXTRACTNUMBER(D43),EXTRACTNUMBER(F43),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EXTRACTNUMBER(AD43),EXTRACTNUMBER(AH43),EXTRACTNUMBER(AF43)))</f>
        <v>428</v>
      </c>
      <c r="AK43" s="94" t="s">
        <v>567</v>
      </c>
      <c r="AL43" s="29">
        <f t="shared" si="0"/>
        <v>914</v>
      </c>
      <c r="AM43" s="29" t="str">
        <f t="shared" si="17"/>
        <v>FAIL</v>
      </c>
      <c r="AN43" s="30" t="str">
        <f>IF(AM43="ABSENT","AB",IF(AM43="FAIL","--",
IF(AK43=0,"RS 3",
IF(AND(SUM(EXTRACTNUMBER(AK43),EXTRACTNUMBER(AJ43))&gt;=1010,
        NOT(IFERROR(FIND("x",AK43),0)),
        NOT(IFERROR(FIND("x",AJ43),0))),"I",
IF(AND(SUM(EXTRACTNUMBER(AK43),EXTRACTNUMBER(AJ43))&gt;=850,
      SUM(EXTRACTNUMBER(AK43),EXTRACTNUMBER(AJ43))&lt;1010,
      NOT(IFERROR(FIND("x",AK43),0)),
      NOT(IFERROR(FIND("x",AJ43),0))),"II",
IF(OR(AND(SUM(EXTRACTNUMBER(AK43),EXTRACTNUMBER(AJ43))&lt;850,
SUM(EXTRACTNUMBER(AK43),EXTRACTNUMBER(AJ43))&gt;=670),
IFERROR(FIND("x",AK43),0),IFERROR(FIND("x",AJ43),0)),"P","--"))))))</f>
        <v>--</v>
      </c>
      <c r="AO43" s="2" t="str">
        <f t="shared" si="18"/>
        <v xml:space="preserve">Nine Hundred Fourteen </v>
      </c>
    </row>
    <row r="44" spans="2:41" ht="16.5" customHeight="1">
      <c r="B44" s="45">
        <v>134217</v>
      </c>
      <c r="C44" s="46" t="s">
        <v>40</v>
      </c>
      <c r="D44" s="43">
        <v>48</v>
      </c>
      <c r="E44" s="27" t="str">
        <f t="shared" si="1"/>
        <v/>
      </c>
      <c r="F44" s="26">
        <v>22</v>
      </c>
      <c r="G44" s="27" t="str">
        <f t="shared" si="2"/>
        <v/>
      </c>
      <c r="H44" s="24">
        <v>62</v>
      </c>
      <c r="I44" s="27" t="str">
        <f t="shared" si="3"/>
        <v/>
      </c>
      <c r="J44" s="26">
        <v>23</v>
      </c>
      <c r="K44" s="27" t="str">
        <f t="shared" si="4"/>
        <v/>
      </c>
      <c r="L44" s="24">
        <v>51</v>
      </c>
      <c r="M44" s="27" t="str">
        <f t="shared" si="5"/>
        <v/>
      </c>
      <c r="N44" s="26">
        <v>22</v>
      </c>
      <c r="O44" s="27" t="str">
        <f t="shared" si="6"/>
        <v/>
      </c>
      <c r="P44" s="26">
        <v>22</v>
      </c>
      <c r="Q44" s="27" t="str">
        <f t="shared" si="7"/>
        <v/>
      </c>
      <c r="R44" s="24">
        <v>53</v>
      </c>
      <c r="S44" s="27" t="str">
        <f t="shared" si="8"/>
        <v/>
      </c>
      <c r="T44" s="26">
        <v>23</v>
      </c>
      <c r="U44" s="27" t="str">
        <f t="shared" si="9"/>
        <v/>
      </c>
      <c r="V44" s="26">
        <v>21</v>
      </c>
      <c r="W44" s="27" t="str">
        <f t="shared" si="10"/>
        <v/>
      </c>
      <c r="X44" s="24">
        <v>52</v>
      </c>
      <c r="Y44" s="27" t="str">
        <f t="shared" si="11"/>
        <v/>
      </c>
      <c r="Z44" s="26">
        <v>23</v>
      </c>
      <c r="AA44" s="27" t="str">
        <f t="shared" si="12"/>
        <v/>
      </c>
      <c r="AB44" s="26">
        <v>22</v>
      </c>
      <c r="AC44" s="27" t="str">
        <f t="shared" si="13"/>
        <v/>
      </c>
      <c r="AD44" s="24">
        <v>47</v>
      </c>
      <c r="AE44" s="27" t="str">
        <f t="shared" si="14"/>
        <v/>
      </c>
      <c r="AF44" s="26">
        <v>23</v>
      </c>
      <c r="AG44" s="27" t="str">
        <f t="shared" si="15"/>
        <v/>
      </c>
      <c r="AH44" s="26">
        <v>15</v>
      </c>
      <c r="AI44" s="27" t="str">
        <f t="shared" si="16"/>
        <v/>
      </c>
      <c r="AJ44" s="32">
        <f>IF(OR(AND(D44&gt;=31,D44&lt;40),AND(H44&gt;=31,H44&lt;40),AND(L44&gt;=31,L44&lt;40),AND(R44&gt;=31,R44&lt;40),AND(X44&gt;=31,X44&lt;40),AND(AD44&gt;=31,AD44&lt;40)),IF(AND(OR(COUNTIF(D44:AI44,"=31")&gt;=1,COUNTIF(D44:AI44,"=32")&gt;=1,COUNTIF(D44:AI44,"=33")&gt;=1,COUNTIF(D44:AI44,"=34")&gt;=1,COUNTIF(D44:AI44,"=35")&gt;=1,COUNTIF(D44:AI44,"=36")&gt;=1 ),COUNTIF(D44:AI44,"")=0,COUNTIF(D44:AI44," ")=0,COUNTIF(D44:AI44,"F")=1),CONCATENATE(SUM(EXTRACTNUMBER(D44),EXTRACTNUMBER(F44),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EXTRACTNUMBER(AD44),EXTRACTNUMBER(AH44),EXTRACTNUMBER(AF44)),"*"),IF(AND(COUNTIF(D44:AI44,"=34")&gt;=1,COUNTIF(D44:AI44,"=35")&gt;=1,COUNTIF(D44:AI44,"f")=2,COUNTIF(D44:AI44,"")=0,COUNTIF(D44:AI44," ")=0),CONCATENATE(SUM(EXTRACTNUMBER(D44),EXTRACTNUMBER(F44),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EXTRACTNUMBER(AD44),EXTRACTNUMBER(AH44),EXTRACTNUMBER(AF44)),"*"),IF(AND(COUNTIF(D44:AI44,"=36")&gt;=2,COUNTIF(D44:AI44,"f")=2,COUNTIF(D44:AI44,"")=0,COUNTIF(D44:AI44," ")=0),CONCATENATE(SUM(EXTRACTNUMBER(D44),EXTRACTNUMBER(F44),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EXTRACTNUMBER(AD44),EXTRACTNUMBER(AH44),EXTRACTNUMBER(AF44)),"*"),SUM(EXTRACTNUMBER(D44),EXTRACTNUMBER(F44),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EXTRACTNUMBER(AD44),EXTRACTNUMBER(AH44),EXTRACTNUMBER(AF44))))),SUM(EXTRACTNUMBER(D44),EXTRACTNUMBER(F44),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EXTRACTNUMBER(AD44),EXTRACTNUMBER(AH44),EXTRACTNUMBER(AF44)))</f>
        <v>529</v>
      </c>
      <c r="AK44" s="28" t="s">
        <v>251</v>
      </c>
      <c r="AL44" s="49" t="s">
        <v>312</v>
      </c>
      <c r="AM44" s="29" t="str">
        <f t="shared" si="17"/>
        <v>PASS</v>
      </c>
      <c r="AN44" s="30" t="str">
        <f>IF(AM44="ABSENT","AB",IF(AM44="FAIL","--",
IF(AK44=0,"RS 3",
IF(AND(SUM(EXTRACTNUMBER(AK44),EXTRACTNUMBER(AJ44))&gt;=1010,
        NOT(IFERROR(FIND("x",AK44),0)),
        NOT(IFERROR(FIND("x",AJ44),0))),"I",
IF(AND(SUM(EXTRACTNUMBER(AK44),EXTRACTNUMBER(AJ44))&gt;=850,
      SUM(EXTRACTNUMBER(AK44),EXTRACTNUMBER(AJ44))&lt;1010,
      NOT(IFERROR(FIND("x",AK44),0)),
      NOT(IFERROR(FIND("x",AJ44),0))),"II",
IF(OR(AND(SUM(EXTRACTNUMBER(AK44),EXTRACTNUMBER(AJ44))&lt;850,
SUM(EXTRACTNUMBER(AK44),EXTRACTNUMBER(AJ44))&gt;=670),
IFERROR(FIND("x",AK44),0),IFERROR(FIND("x",AJ44),0)),"P","--"))))))</f>
        <v>I</v>
      </c>
      <c r="AO44" s="2" t="e">
        <f t="shared" si="18"/>
        <v>#VALUE!</v>
      </c>
    </row>
    <row r="45" spans="2:41" ht="16.5" customHeight="1">
      <c r="B45" s="45">
        <v>134218</v>
      </c>
      <c r="C45" s="46" t="s">
        <v>41</v>
      </c>
      <c r="D45" s="43">
        <v>29</v>
      </c>
      <c r="E45" s="27" t="str">
        <f t="shared" si="1"/>
        <v>F</v>
      </c>
      <c r="F45" s="26">
        <v>17</v>
      </c>
      <c r="G45" s="27" t="str">
        <f t="shared" si="2"/>
        <v>E</v>
      </c>
      <c r="H45" s="24">
        <v>40</v>
      </c>
      <c r="I45" s="27" t="str">
        <f t="shared" si="3"/>
        <v>E</v>
      </c>
      <c r="J45" s="26">
        <v>23</v>
      </c>
      <c r="K45" s="27" t="str">
        <f t="shared" si="4"/>
        <v>E</v>
      </c>
      <c r="L45" s="24">
        <v>40</v>
      </c>
      <c r="M45" s="27" t="str">
        <f t="shared" si="5"/>
        <v>E</v>
      </c>
      <c r="N45" s="26">
        <v>22</v>
      </c>
      <c r="O45" s="27" t="str">
        <f t="shared" si="6"/>
        <v>E</v>
      </c>
      <c r="P45" s="26">
        <v>22</v>
      </c>
      <c r="Q45" s="27" t="str">
        <f t="shared" si="7"/>
        <v>E</v>
      </c>
      <c r="R45" s="24">
        <v>18</v>
      </c>
      <c r="S45" s="27" t="str">
        <f t="shared" si="8"/>
        <v>F</v>
      </c>
      <c r="T45" s="26">
        <v>23</v>
      </c>
      <c r="U45" s="27" t="str">
        <f t="shared" si="9"/>
        <v>E</v>
      </c>
      <c r="V45" s="26">
        <v>16</v>
      </c>
      <c r="W45" s="27" t="str">
        <f t="shared" si="10"/>
        <v>E</v>
      </c>
      <c r="X45" s="24">
        <v>44</v>
      </c>
      <c r="Y45" s="27" t="str">
        <f t="shared" si="11"/>
        <v>E</v>
      </c>
      <c r="Z45" s="26">
        <v>23</v>
      </c>
      <c r="AA45" s="27" t="str">
        <f t="shared" si="12"/>
        <v>E</v>
      </c>
      <c r="AB45" s="26">
        <v>22</v>
      </c>
      <c r="AC45" s="27" t="str">
        <f t="shared" si="13"/>
        <v>E</v>
      </c>
      <c r="AD45" s="24">
        <v>40</v>
      </c>
      <c r="AE45" s="27" t="str">
        <f t="shared" si="14"/>
        <v>E</v>
      </c>
      <c r="AF45" s="26">
        <v>23</v>
      </c>
      <c r="AG45" s="27" t="str">
        <f t="shared" si="15"/>
        <v>E</v>
      </c>
      <c r="AH45" s="26">
        <v>18</v>
      </c>
      <c r="AI45" s="27" t="str">
        <f t="shared" si="16"/>
        <v>E</v>
      </c>
      <c r="AJ45" s="32">
        <f>IF(OR(AND(D45&gt;=31,D45&lt;40),AND(H45&gt;=31,H45&lt;40),AND(L45&gt;=31,L45&lt;40),AND(R45&gt;=31,R45&lt;40),AND(X45&gt;=31,X45&lt;40),AND(AD45&gt;=31,AD45&lt;40)),IF(AND(OR(COUNTIF(D45:AI45,"=31")&gt;=1,COUNTIF(D45:AI45,"=32")&gt;=1,COUNTIF(D45:AI45,"=33")&gt;=1,COUNTIF(D45:AI45,"=34")&gt;=1,COUNTIF(D45:AI45,"=35")&gt;=1,COUNTIF(D45:AI45,"=36")&gt;=1 ),COUNTIF(D45:AI45,"")=0,COUNTIF(D45:AI45," ")=0,COUNTIF(D45:AI45,"F")=1),CONCATENATE(SUM(EXTRACTNUMBER(D45),EXTRACTNUMBER(F45),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EXTRACTNUMBER(AD45),EXTRACTNUMBER(AH45),EXTRACTNUMBER(AF45)),"*"),IF(AND(COUNTIF(D45:AI45,"=34")&gt;=1,COUNTIF(D45:AI45,"=35")&gt;=1,COUNTIF(D45:AI45,"f")=2,COUNTIF(D45:AI45,"")=0,COUNTIF(D45:AI45," ")=0),CONCATENATE(SUM(EXTRACTNUMBER(D45),EXTRACTNUMBER(F45),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EXTRACTNUMBER(AD45),EXTRACTNUMBER(AH45),EXTRACTNUMBER(AF45)),"*"),IF(AND(COUNTIF(D45:AI45,"=36")&gt;=2,COUNTIF(D45:AI45,"f")=2,COUNTIF(D45:AI45,"")=0,COUNTIF(D45:AI45," ")=0),CONCATENATE(SUM(EXTRACTNUMBER(D45),EXTRACTNUMBER(F45),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EXTRACTNUMBER(AD45),EXTRACTNUMBER(AH45),EXTRACTNUMBER(AF45)),"*"),SUM(EXTRACTNUMBER(D45),EXTRACTNUMBER(F45),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EXTRACTNUMBER(AD45),EXTRACTNUMBER(AH45),EXTRACTNUMBER(AF45))))),SUM(EXTRACTNUMBER(D45),EXTRACTNUMBER(F45),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EXTRACTNUMBER(AD45),EXTRACTNUMBER(AH45),EXTRACTNUMBER(AF45)))</f>
        <v>420</v>
      </c>
      <c r="AK45" s="94" t="s">
        <v>597</v>
      </c>
      <c r="AL45" s="29">
        <f t="shared" si="0"/>
        <v>876</v>
      </c>
      <c r="AM45" s="29" t="str">
        <f t="shared" si="17"/>
        <v>FAIL</v>
      </c>
      <c r="AN45" s="30" t="str">
        <f>IF(AM45="ABSENT","AB",IF(AM45="FAIL","--",
IF(AK45=0,"RS 3",
IF(AND(SUM(EXTRACTNUMBER(AK45),EXTRACTNUMBER(AJ45))&gt;=1010,
        NOT(IFERROR(FIND("x",AK45),0)),
        NOT(IFERROR(FIND("x",AJ45),0))),"I",
IF(AND(SUM(EXTRACTNUMBER(AK45),EXTRACTNUMBER(AJ45))&gt;=850,
      SUM(EXTRACTNUMBER(AK45),EXTRACTNUMBER(AJ45))&lt;1010,
      NOT(IFERROR(FIND("x",AK45),0)),
      NOT(IFERROR(FIND("x",AJ45),0))),"II",
IF(OR(AND(SUM(EXTRACTNUMBER(AK45),EXTRACTNUMBER(AJ45))&lt;850,
SUM(EXTRACTNUMBER(AK45),EXTRACTNUMBER(AJ45))&gt;=670),
IFERROR(FIND("x",AK45),0),IFERROR(FIND("x",AJ45),0)),"P","--"))))))</f>
        <v>--</v>
      </c>
      <c r="AO45" s="2" t="str">
        <f t="shared" si="18"/>
        <v xml:space="preserve">Eight Hundred Seventy Six </v>
      </c>
    </row>
    <row r="46" spans="2:41" ht="16.5" customHeight="1">
      <c r="B46" s="45">
        <v>134219</v>
      </c>
      <c r="C46" s="46" t="s">
        <v>42</v>
      </c>
      <c r="D46" s="43">
        <v>44</v>
      </c>
      <c r="E46" s="27" t="str">
        <f t="shared" si="1"/>
        <v>E</v>
      </c>
      <c r="F46" s="26">
        <v>16</v>
      </c>
      <c r="G46" s="27" t="str">
        <f t="shared" si="2"/>
        <v>E</v>
      </c>
      <c r="H46" s="24">
        <v>30</v>
      </c>
      <c r="I46" s="27" t="str">
        <f t="shared" si="3"/>
        <v>F</v>
      </c>
      <c r="J46" s="26">
        <v>16</v>
      </c>
      <c r="K46" s="27" t="str">
        <f t="shared" si="4"/>
        <v>E</v>
      </c>
      <c r="L46" s="24">
        <v>52</v>
      </c>
      <c r="M46" s="27" t="str">
        <f t="shared" si="5"/>
        <v>E</v>
      </c>
      <c r="N46" s="26">
        <v>17</v>
      </c>
      <c r="O46" s="27" t="str">
        <f t="shared" si="6"/>
        <v>E</v>
      </c>
      <c r="P46" s="26">
        <v>19</v>
      </c>
      <c r="Q46" s="27" t="str">
        <f t="shared" si="7"/>
        <v>E</v>
      </c>
      <c r="R46" s="24">
        <v>45</v>
      </c>
      <c r="S46" s="27" t="str">
        <f t="shared" si="8"/>
        <v>E</v>
      </c>
      <c r="T46" s="26">
        <v>15</v>
      </c>
      <c r="U46" s="27" t="str">
        <f t="shared" si="9"/>
        <v>E</v>
      </c>
      <c r="V46" s="26">
        <v>19</v>
      </c>
      <c r="W46" s="27" t="str">
        <f t="shared" si="10"/>
        <v>E</v>
      </c>
      <c r="X46" s="24">
        <v>49</v>
      </c>
      <c r="Y46" s="27" t="str">
        <f t="shared" si="11"/>
        <v>E</v>
      </c>
      <c r="Z46" s="26">
        <v>21</v>
      </c>
      <c r="AA46" s="27" t="str">
        <f t="shared" si="12"/>
        <v>E</v>
      </c>
      <c r="AB46" s="26">
        <v>21</v>
      </c>
      <c r="AC46" s="27" t="str">
        <f t="shared" si="13"/>
        <v>E</v>
      </c>
      <c r="AD46" s="24">
        <v>40</v>
      </c>
      <c r="AE46" s="27" t="str">
        <f t="shared" si="14"/>
        <v>E</v>
      </c>
      <c r="AF46" s="26">
        <v>19</v>
      </c>
      <c r="AG46" s="27" t="str">
        <f t="shared" si="15"/>
        <v>E</v>
      </c>
      <c r="AH46" s="26">
        <v>15</v>
      </c>
      <c r="AI46" s="27" t="str">
        <f t="shared" si="16"/>
        <v>E</v>
      </c>
      <c r="AJ46" s="32">
        <f>IF(OR(AND(D46&gt;=31,D46&lt;40),AND(H46&gt;=31,H46&lt;40),AND(L46&gt;=31,L46&lt;40),AND(R46&gt;=31,R46&lt;40),AND(X46&gt;=31,X46&lt;40),AND(AD46&gt;=31,AD46&lt;40)),IF(AND(OR(COUNTIF(D46:AI46,"=31")&gt;=1,COUNTIF(D46:AI46,"=32")&gt;=1,COUNTIF(D46:AI46,"=33")&gt;=1,COUNTIF(D46:AI46,"=34")&gt;=1,COUNTIF(D46:AI46,"=35")&gt;=1,COUNTIF(D46:AI46,"=36")&gt;=1 ),COUNTIF(D46:AI46,"")=0,COUNTIF(D46:AI46," ")=0,COUNTIF(D46:AI46,"F")=1),CONCATENATE(SUM(EXTRACTNUMBER(D46),EXTRACTNUMBER(F46),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EXTRACTNUMBER(AD46),EXTRACTNUMBER(AH46),EXTRACTNUMBER(AF46)),"*"),IF(AND(COUNTIF(D46:AI46,"=34")&gt;=1,COUNTIF(D46:AI46,"=35")&gt;=1,COUNTIF(D46:AI46,"f")=2,COUNTIF(D46:AI46,"")=0,COUNTIF(D46:AI46," ")=0),CONCATENATE(SUM(EXTRACTNUMBER(D46),EXTRACTNUMBER(F46),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EXTRACTNUMBER(AD46),EXTRACTNUMBER(AH46),EXTRACTNUMBER(AF46)),"*"),IF(AND(COUNTIF(D46:AI46,"=36")&gt;=2,COUNTIF(D46:AI46,"f")=2,COUNTIF(D46:AI46,"")=0,COUNTIF(D46:AI46," ")=0),CONCATENATE(SUM(EXTRACTNUMBER(D46),EXTRACTNUMBER(F46),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EXTRACTNUMBER(AD46),EXTRACTNUMBER(AH46),EXTRACTNUMBER(AF46)),"*"),SUM(EXTRACTNUMBER(D46),EXTRACTNUMBER(F46),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EXTRACTNUMBER(AD46),EXTRACTNUMBER(AH46),EXTRACTNUMBER(AF46))))),SUM(EXTRACTNUMBER(D46),EXTRACTNUMBER(F46),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EXTRACTNUMBER(AD46),EXTRACTNUMBER(AH46),EXTRACTNUMBER(AF46)))</f>
        <v>438</v>
      </c>
      <c r="AK46" s="94" t="s">
        <v>569</v>
      </c>
      <c r="AL46" s="29">
        <f t="shared" si="0"/>
        <v>908</v>
      </c>
      <c r="AM46" s="29" t="str">
        <f t="shared" si="17"/>
        <v>FAIL</v>
      </c>
      <c r="AN46" s="30" t="str">
        <f>IF(AM46="ABSENT","AB",IF(AM46="FAIL","--",
IF(AK46=0,"RS 3",
IF(AND(SUM(EXTRACTNUMBER(AK46),EXTRACTNUMBER(AJ46))&gt;=1010,
        NOT(IFERROR(FIND("x",AK46),0)),
        NOT(IFERROR(FIND("x",AJ46),0))),"I",
IF(AND(SUM(EXTRACTNUMBER(AK46),EXTRACTNUMBER(AJ46))&gt;=850,
      SUM(EXTRACTNUMBER(AK46),EXTRACTNUMBER(AJ46))&lt;1010,
      NOT(IFERROR(FIND("x",AK46),0)),
      NOT(IFERROR(FIND("x",AJ46),0))),"II",
IF(OR(AND(SUM(EXTRACTNUMBER(AK46),EXTRACTNUMBER(AJ46))&lt;850,
SUM(EXTRACTNUMBER(AK46),EXTRACTNUMBER(AJ46))&gt;=670),
IFERROR(FIND("x",AK46),0),IFERROR(FIND("x",AJ46),0)),"P","--"))))))</f>
        <v>--</v>
      </c>
      <c r="AO46" s="2" t="str">
        <f t="shared" si="18"/>
        <v xml:space="preserve">Nine Hundred Eight </v>
      </c>
    </row>
    <row r="47" spans="2:41" ht="16.5" customHeight="1">
      <c r="B47" s="45">
        <v>134220</v>
      </c>
      <c r="C47" s="46" t="s">
        <v>43</v>
      </c>
      <c r="D47" s="43">
        <v>50</v>
      </c>
      <c r="E47" s="27" t="str">
        <f t="shared" si="1"/>
        <v/>
      </c>
      <c r="F47" s="26">
        <v>21</v>
      </c>
      <c r="G47" s="27" t="str">
        <f t="shared" si="2"/>
        <v/>
      </c>
      <c r="H47" s="24">
        <v>68</v>
      </c>
      <c r="I47" s="27" t="str">
        <f t="shared" si="3"/>
        <v/>
      </c>
      <c r="J47" s="26">
        <v>21</v>
      </c>
      <c r="K47" s="27" t="str">
        <f t="shared" si="4"/>
        <v/>
      </c>
      <c r="L47" s="24">
        <v>47</v>
      </c>
      <c r="M47" s="27" t="str">
        <f t="shared" si="5"/>
        <v/>
      </c>
      <c r="N47" s="26">
        <v>17</v>
      </c>
      <c r="O47" s="27" t="str">
        <f t="shared" si="6"/>
        <v/>
      </c>
      <c r="P47" s="26">
        <v>18</v>
      </c>
      <c r="Q47" s="27" t="str">
        <f t="shared" si="7"/>
        <v/>
      </c>
      <c r="R47" s="24">
        <v>55</v>
      </c>
      <c r="S47" s="27" t="str">
        <f t="shared" si="8"/>
        <v/>
      </c>
      <c r="T47" s="26">
        <v>20</v>
      </c>
      <c r="U47" s="27" t="str">
        <f t="shared" si="9"/>
        <v/>
      </c>
      <c r="V47" s="26">
        <v>21</v>
      </c>
      <c r="W47" s="27" t="str">
        <f t="shared" si="10"/>
        <v/>
      </c>
      <c r="X47" s="24">
        <v>61</v>
      </c>
      <c r="Y47" s="27" t="str">
        <f t="shared" si="11"/>
        <v/>
      </c>
      <c r="Z47" s="26">
        <v>21</v>
      </c>
      <c r="AA47" s="27" t="str">
        <f t="shared" si="12"/>
        <v/>
      </c>
      <c r="AB47" s="26">
        <v>21</v>
      </c>
      <c r="AC47" s="27" t="str">
        <f t="shared" si="13"/>
        <v/>
      </c>
      <c r="AD47" s="24">
        <v>51</v>
      </c>
      <c r="AE47" s="27" t="str">
        <f t="shared" si="14"/>
        <v/>
      </c>
      <c r="AF47" s="26">
        <v>21</v>
      </c>
      <c r="AG47" s="27" t="str">
        <f t="shared" si="15"/>
        <v/>
      </c>
      <c r="AH47" s="26">
        <v>16</v>
      </c>
      <c r="AI47" s="27" t="str">
        <f t="shared" si="16"/>
        <v/>
      </c>
      <c r="AJ47" s="32">
        <f>IF(OR(AND(D47&gt;=31,D47&lt;40),AND(H47&gt;=31,H47&lt;40),AND(L47&gt;=31,L47&lt;40),AND(R47&gt;=31,R47&lt;40),AND(X47&gt;=31,X47&lt;40),AND(AD47&gt;=31,AD47&lt;40)),IF(AND(OR(COUNTIF(D47:AI47,"=31")&gt;=1,COUNTIF(D47:AI47,"=32")&gt;=1,COUNTIF(D47:AI47,"=33")&gt;=1,COUNTIF(D47:AI47,"=34")&gt;=1,COUNTIF(D47:AI47,"=35")&gt;=1,COUNTIF(D47:AI47,"=36")&gt;=1 ),COUNTIF(D47:AI47,"")=0,COUNTIF(D47:AI47," ")=0,COUNTIF(D47:AI47,"F")=1),CONCATENATE(SUM(EXTRACTNUMBER(D47),EXTRACTNUMBER(F47),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EXTRACTNUMBER(AD47),EXTRACTNUMBER(AH47),EXTRACTNUMBER(AF47)),"*"),IF(AND(COUNTIF(D47:AI47,"=34")&gt;=1,COUNTIF(D47:AI47,"=35")&gt;=1,COUNTIF(D47:AI47,"f")=2,COUNTIF(D47:AI47,"")=0,COUNTIF(D47:AI47," ")=0),CONCATENATE(SUM(EXTRACTNUMBER(D47),EXTRACTNUMBER(F47),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EXTRACTNUMBER(AD47),EXTRACTNUMBER(AH47),EXTRACTNUMBER(AF47)),"*"),IF(AND(COUNTIF(D47:AI47,"=36")&gt;=2,COUNTIF(D47:AI47,"f")=2,COUNTIF(D47:AI47,"")=0,COUNTIF(D47:AI47," ")=0),CONCATENATE(SUM(EXTRACTNUMBER(D47),EXTRACTNUMBER(F47),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EXTRACTNUMBER(AD47),EXTRACTNUMBER(AH47),EXTRACTNUMBER(AF47)),"*"),SUM(EXTRACTNUMBER(D47),EXTRACTNUMBER(F47),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EXTRACTNUMBER(AD47),EXTRACTNUMBER(AH47),EXTRACTNUMBER(AF47))))),SUM(EXTRACTNUMBER(D47),EXTRACTNUMBER(F47),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EXTRACTNUMBER(AD47),EXTRACTNUMBER(AH47),EXTRACTNUMBER(AF47)))</f>
        <v>529</v>
      </c>
      <c r="AK47" s="28" t="s">
        <v>252</v>
      </c>
      <c r="AL47" s="29">
        <f t="shared" si="0"/>
        <v>1087</v>
      </c>
      <c r="AM47" s="29" t="str">
        <f t="shared" si="17"/>
        <v>PASS</v>
      </c>
      <c r="AN47" s="30" t="str">
        <f>IF(AM47="ABSENT","AB",IF(AM47="FAIL","--",
IF(AK47=0,"RS 3",
IF(AND(SUM(EXTRACTNUMBER(AK47),EXTRACTNUMBER(AJ47))&gt;=1010,
        NOT(IFERROR(FIND("x",AK47),0)),
        NOT(IFERROR(FIND("x",AJ47),0))),"I",
IF(AND(SUM(EXTRACTNUMBER(AK47),EXTRACTNUMBER(AJ47))&gt;=850,
      SUM(EXTRACTNUMBER(AK47),EXTRACTNUMBER(AJ47))&lt;1010,
      NOT(IFERROR(FIND("x",AK47),0)),
      NOT(IFERROR(FIND("x",AJ47),0))),"II",
IF(OR(AND(SUM(EXTRACTNUMBER(AK47),EXTRACTNUMBER(AJ47))&lt;850,
SUM(EXTRACTNUMBER(AK47),EXTRACTNUMBER(AJ47))&gt;=670),
IFERROR(FIND("x",AK47),0),IFERROR(FIND("x",AJ47),0)),"P","--"))))))</f>
        <v>I</v>
      </c>
      <c r="AO47" s="2" t="str">
        <f t="shared" si="18"/>
        <v xml:space="preserve">One Thousand Eighty Seven </v>
      </c>
    </row>
    <row r="48" spans="2:41" ht="16.5" customHeight="1">
      <c r="B48" s="45">
        <v>134221</v>
      </c>
      <c r="C48" s="46" t="s">
        <v>44</v>
      </c>
      <c r="D48" s="43" t="s">
        <v>305</v>
      </c>
      <c r="E48" s="27" t="str">
        <f t="shared" si="1"/>
        <v/>
      </c>
      <c r="F48" s="26">
        <v>16</v>
      </c>
      <c r="G48" s="27" t="str">
        <f t="shared" si="2"/>
        <v>E</v>
      </c>
      <c r="H48" s="24">
        <v>43</v>
      </c>
      <c r="I48" s="27" t="str">
        <f t="shared" si="3"/>
        <v>E</v>
      </c>
      <c r="J48" s="26">
        <v>23</v>
      </c>
      <c r="K48" s="27" t="str">
        <f t="shared" si="4"/>
        <v>E</v>
      </c>
      <c r="L48" s="24">
        <v>40</v>
      </c>
      <c r="M48" s="27" t="str">
        <f t="shared" si="5"/>
        <v>E</v>
      </c>
      <c r="N48" s="26">
        <v>22</v>
      </c>
      <c r="O48" s="27" t="str">
        <f t="shared" si="6"/>
        <v>E</v>
      </c>
      <c r="P48" s="26">
        <v>22</v>
      </c>
      <c r="Q48" s="27" t="str">
        <f t="shared" si="7"/>
        <v>E</v>
      </c>
      <c r="R48" s="24">
        <v>17</v>
      </c>
      <c r="S48" s="27" t="str">
        <f t="shared" si="8"/>
        <v>F</v>
      </c>
      <c r="T48" s="26">
        <v>23</v>
      </c>
      <c r="U48" s="27" t="str">
        <f t="shared" si="9"/>
        <v>E</v>
      </c>
      <c r="V48" s="26">
        <v>16</v>
      </c>
      <c r="W48" s="27" t="str">
        <f t="shared" si="10"/>
        <v>E</v>
      </c>
      <c r="X48" s="24">
        <v>40</v>
      </c>
      <c r="Y48" s="27" t="str">
        <f t="shared" si="11"/>
        <v>E</v>
      </c>
      <c r="Z48" s="26">
        <v>23</v>
      </c>
      <c r="AA48" s="27" t="str">
        <f t="shared" si="12"/>
        <v>E</v>
      </c>
      <c r="AB48" s="26">
        <v>22</v>
      </c>
      <c r="AC48" s="27" t="str">
        <f t="shared" si="13"/>
        <v>E</v>
      </c>
      <c r="AD48" s="24">
        <v>23</v>
      </c>
      <c r="AE48" s="27" t="str">
        <f t="shared" si="14"/>
        <v>F</v>
      </c>
      <c r="AF48" s="26">
        <v>23</v>
      </c>
      <c r="AG48" s="27" t="str">
        <f t="shared" si="15"/>
        <v>E</v>
      </c>
      <c r="AH48" s="26">
        <v>18</v>
      </c>
      <c r="AI48" s="27" t="str">
        <f t="shared" si="16"/>
        <v>E</v>
      </c>
      <c r="AJ48" s="32">
        <f>IF(OR(AND(D48&gt;=31,D48&lt;40),AND(H48&gt;=31,H48&lt;40),AND(L48&gt;=31,L48&lt;40),AND(R48&gt;=31,R48&lt;40),AND(X48&gt;=31,X48&lt;40),AND(AD48&gt;=31,AD48&lt;40)),IF(AND(OR(COUNTIF(D48:AI48,"=31")&gt;=1,COUNTIF(D48:AI48,"=32")&gt;=1,COUNTIF(D48:AI48,"=33")&gt;=1,COUNTIF(D48:AI48,"=34")&gt;=1,COUNTIF(D48:AI48,"=35")&gt;=1,COUNTIF(D48:AI48,"=36")&gt;=1 ),COUNTIF(D48:AI48,"")=0,COUNTIF(D48:AI48," ")=0,COUNTIF(D48:AI48,"F")=1),CONCATENATE(SUM(EXTRACTNUMBER(D48),EXTRACTNUMBER(F48),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EXTRACTNUMBER(AD48),EXTRACTNUMBER(AH48),EXTRACTNUMBER(AF48)),"*"),IF(AND(COUNTIF(D48:AI48,"=34")&gt;=1,COUNTIF(D48:AI48,"=35")&gt;=1,COUNTIF(D48:AI48,"f")=2,COUNTIF(D48:AI48,"")=0,COUNTIF(D48:AI48," ")=0),CONCATENATE(SUM(EXTRACTNUMBER(D48),EXTRACTNUMBER(F48),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EXTRACTNUMBER(AD48),EXTRACTNUMBER(AH48),EXTRACTNUMBER(AF48)),"*"),IF(AND(COUNTIF(D48:AI48,"=36")&gt;=2,COUNTIF(D48:AI48,"f")=2,COUNTIF(D48:AI48,"")=0,COUNTIF(D48:AI48," ")=0),CONCATENATE(SUM(EXTRACTNUMBER(D48),EXTRACTNUMBER(F48),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EXTRACTNUMBER(AD48),EXTRACTNUMBER(AH48),EXTRACTNUMBER(AF48)),"*"),SUM(EXTRACTNUMBER(D48),EXTRACTNUMBER(F48),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EXTRACTNUMBER(AD48),EXTRACTNUMBER(AH48),EXTRACTNUMBER(AF48))))),SUM(EXTRACTNUMBER(D48),EXTRACTNUMBER(F48),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EXTRACTNUMBER(AD48),EXTRACTNUMBER(AH48),EXTRACTNUMBER(AF48)))</f>
        <v>371</v>
      </c>
      <c r="AK48" s="28">
        <v>0</v>
      </c>
      <c r="AL48" s="29">
        <f t="shared" si="0"/>
        <v>371</v>
      </c>
      <c r="AM48" s="29" t="str">
        <f t="shared" si="17"/>
        <v>FAIL</v>
      </c>
      <c r="AN48" s="30" t="str">
        <f>IF(AM48="ABSENT","AB",IF(AM48="FAIL","--",
IF(AK48=0,"RS 3",
IF(AND(SUM(EXTRACTNUMBER(AK48),EXTRACTNUMBER(AJ48))&gt;=1010,
        NOT(IFERROR(FIND("x",AK48),0)),
        NOT(IFERROR(FIND("x",AJ48),0))),"I",
IF(AND(SUM(EXTRACTNUMBER(AK48),EXTRACTNUMBER(AJ48))&gt;=850,
      SUM(EXTRACTNUMBER(AK48),EXTRACTNUMBER(AJ48))&lt;1010,
      NOT(IFERROR(FIND("x",AK48),0)),
      NOT(IFERROR(FIND("x",AJ48),0))),"II",
IF(OR(AND(SUM(EXTRACTNUMBER(AK48),EXTRACTNUMBER(AJ48))&lt;850,
SUM(EXTRACTNUMBER(AK48),EXTRACTNUMBER(AJ48))&gt;=670),
IFERROR(FIND("x",AK48),0),IFERROR(FIND("x",AJ48),0)),"P","--"))))))</f>
        <v>--</v>
      </c>
      <c r="AO48" s="2" t="str">
        <f t="shared" si="18"/>
        <v xml:space="preserve">Three Hundred Seventy One </v>
      </c>
    </row>
    <row r="49" spans="2:41" ht="16.5" customHeight="1">
      <c r="B49" s="45">
        <v>134222</v>
      </c>
      <c r="C49" s="46" t="s">
        <v>45</v>
      </c>
      <c r="D49" s="43">
        <v>23</v>
      </c>
      <c r="E49" s="27" t="str">
        <f t="shared" si="1"/>
        <v>F</v>
      </c>
      <c r="F49" s="26">
        <v>17</v>
      </c>
      <c r="G49" s="27" t="str">
        <f t="shared" si="2"/>
        <v>E</v>
      </c>
      <c r="H49" s="24">
        <v>55</v>
      </c>
      <c r="I49" s="27" t="str">
        <f t="shared" si="3"/>
        <v>E</v>
      </c>
      <c r="J49" s="26">
        <v>23</v>
      </c>
      <c r="K49" s="27" t="str">
        <f t="shared" si="4"/>
        <v>E</v>
      </c>
      <c r="L49" s="24">
        <v>52</v>
      </c>
      <c r="M49" s="27" t="str">
        <f t="shared" si="5"/>
        <v>E</v>
      </c>
      <c r="N49" s="26">
        <v>22</v>
      </c>
      <c r="O49" s="27" t="str">
        <f t="shared" si="6"/>
        <v>E</v>
      </c>
      <c r="P49" s="26">
        <v>22</v>
      </c>
      <c r="Q49" s="27" t="str">
        <f t="shared" si="7"/>
        <v>E</v>
      </c>
      <c r="R49" s="24">
        <v>40</v>
      </c>
      <c r="S49" s="27" t="str">
        <f t="shared" si="8"/>
        <v>E</v>
      </c>
      <c r="T49" s="26">
        <v>23</v>
      </c>
      <c r="U49" s="27" t="str">
        <f t="shared" si="9"/>
        <v>E</v>
      </c>
      <c r="V49" s="26">
        <v>21</v>
      </c>
      <c r="W49" s="27" t="str">
        <f t="shared" si="10"/>
        <v>E</v>
      </c>
      <c r="X49" s="24">
        <v>49</v>
      </c>
      <c r="Y49" s="27" t="str">
        <f t="shared" si="11"/>
        <v>E</v>
      </c>
      <c r="Z49" s="26">
        <v>23</v>
      </c>
      <c r="AA49" s="27" t="str">
        <f t="shared" si="12"/>
        <v>E</v>
      </c>
      <c r="AB49" s="26">
        <v>22</v>
      </c>
      <c r="AC49" s="27" t="str">
        <f t="shared" si="13"/>
        <v>E</v>
      </c>
      <c r="AD49" s="24">
        <v>40</v>
      </c>
      <c r="AE49" s="27" t="str">
        <f t="shared" si="14"/>
        <v>E</v>
      </c>
      <c r="AF49" s="26">
        <v>23</v>
      </c>
      <c r="AG49" s="27" t="str">
        <f t="shared" si="15"/>
        <v>E</v>
      </c>
      <c r="AH49" s="26">
        <v>23</v>
      </c>
      <c r="AI49" s="27" t="str">
        <f t="shared" si="16"/>
        <v>E</v>
      </c>
      <c r="AJ49" s="32">
        <f>IF(OR(AND(D49&gt;=31,D49&lt;40),AND(H49&gt;=31,H49&lt;40),AND(L49&gt;=31,L49&lt;40),AND(R49&gt;=31,R49&lt;40),AND(X49&gt;=31,X49&lt;40),AND(AD49&gt;=31,AD49&lt;40)),IF(AND(OR(COUNTIF(D49:AI49,"=31")&gt;=1,COUNTIF(D49:AI49,"=32")&gt;=1,COUNTIF(D49:AI49,"=33")&gt;=1,COUNTIF(D49:AI49,"=34")&gt;=1,COUNTIF(D49:AI49,"=35")&gt;=1,COUNTIF(D49:AI49,"=36")&gt;=1 ),COUNTIF(D49:AI49,"")=0,COUNTIF(D49:AI49," ")=0,COUNTIF(D49:AI49,"F")=1),CONCATENATE(SUM(EXTRACTNUMBER(D49),EXTRACTNUMBER(F49),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EXTRACTNUMBER(AD49),EXTRACTNUMBER(AH49),EXTRACTNUMBER(AF49)),"*"),IF(AND(COUNTIF(D49:AI49,"=34")&gt;=1,COUNTIF(D49:AI49,"=35")&gt;=1,COUNTIF(D49:AI49,"f")=2,COUNTIF(D49:AI49,"")=0,COUNTIF(D49:AI49," ")=0),CONCATENATE(SUM(EXTRACTNUMBER(D49),EXTRACTNUMBER(F49),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EXTRACTNUMBER(AD49),EXTRACTNUMBER(AH49),EXTRACTNUMBER(AF49)),"*"),IF(AND(COUNTIF(D49:AI49,"=36")&gt;=2,COUNTIF(D49:AI49,"f")=2,COUNTIF(D49:AI49,"")=0,COUNTIF(D49:AI49," ")=0),CONCATENATE(SUM(EXTRACTNUMBER(D49),EXTRACTNUMBER(F49),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EXTRACTNUMBER(AD49),EXTRACTNUMBER(AH49),EXTRACTNUMBER(AF49)),"*"),SUM(EXTRACTNUMBER(D49),EXTRACTNUMBER(F49),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EXTRACTNUMBER(AD49),EXTRACTNUMBER(AH49),EXTRACTNUMBER(AF49))))),SUM(EXTRACTNUMBER(D49),EXTRACTNUMBER(F49),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EXTRACTNUMBER(AD49),EXTRACTNUMBER(AH49),EXTRACTNUMBER(AF49)))</f>
        <v>478</v>
      </c>
      <c r="AK49" s="28">
        <v>0</v>
      </c>
      <c r="AL49" s="29">
        <f t="shared" si="0"/>
        <v>478</v>
      </c>
      <c r="AM49" s="29" t="str">
        <f t="shared" si="17"/>
        <v>FAIL</v>
      </c>
      <c r="AN49" s="30" t="str">
        <f>IF(AM49="ABSENT","AB",IF(AM49="FAIL","--",
IF(AK49=0,"RS 3",
IF(AND(SUM(EXTRACTNUMBER(AK49),EXTRACTNUMBER(AJ49))&gt;=1010,
        NOT(IFERROR(FIND("x",AK49),0)),
        NOT(IFERROR(FIND("x",AJ49),0))),"I",
IF(AND(SUM(EXTRACTNUMBER(AK49),EXTRACTNUMBER(AJ49))&gt;=850,
      SUM(EXTRACTNUMBER(AK49),EXTRACTNUMBER(AJ49))&lt;1010,
      NOT(IFERROR(FIND("x",AK49),0)),
      NOT(IFERROR(FIND("x",AJ49),0))),"II",
IF(OR(AND(SUM(EXTRACTNUMBER(AK49),EXTRACTNUMBER(AJ49))&lt;850,
SUM(EXTRACTNUMBER(AK49),EXTRACTNUMBER(AJ49))&gt;=670),
IFERROR(FIND("x",AK49),0),IFERROR(FIND("x",AJ49),0)),"P","--"))))))</f>
        <v>--</v>
      </c>
      <c r="AO49" s="2" t="str">
        <f t="shared" si="18"/>
        <v xml:space="preserve">Four Hundred Seventy Eight </v>
      </c>
    </row>
    <row r="50" spans="2:41" ht="16.5" customHeight="1">
      <c r="B50" s="45">
        <v>134223</v>
      </c>
      <c r="C50" s="46" t="s">
        <v>46</v>
      </c>
      <c r="D50" s="43" t="s">
        <v>305</v>
      </c>
      <c r="E50" s="27" t="str">
        <f t="shared" si="1"/>
        <v/>
      </c>
      <c r="F50" s="26">
        <v>15</v>
      </c>
      <c r="G50" s="27" t="str">
        <f t="shared" si="2"/>
        <v>E</v>
      </c>
      <c r="H50" s="24">
        <v>40</v>
      </c>
      <c r="I50" s="27" t="str">
        <f t="shared" si="3"/>
        <v>E</v>
      </c>
      <c r="J50" s="26">
        <v>19</v>
      </c>
      <c r="K50" s="27" t="str">
        <f t="shared" si="4"/>
        <v>E</v>
      </c>
      <c r="L50" s="24">
        <v>40</v>
      </c>
      <c r="M50" s="27" t="str">
        <f t="shared" si="5"/>
        <v>E</v>
      </c>
      <c r="N50" s="26">
        <v>16</v>
      </c>
      <c r="O50" s="27" t="str">
        <f t="shared" si="6"/>
        <v>E</v>
      </c>
      <c r="P50" s="26">
        <v>16</v>
      </c>
      <c r="Q50" s="27" t="str">
        <f t="shared" si="7"/>
        <v>E</v>
      </c>
      <c r="R50" s="24">
        <v>1</v>
      </c>
      <c r="S50" s="27" t="str">
        <f t="shared" si="8"/>
        <v>F</v>
      </c>
      <c r="T50" s="26">
        <v>13</v>
      </c>
      <c r="U50" s="27" t="str">
        <f t="shared" si="9"/>
        <v>E</v>
      </c>
      <c r="V50" s="26">
        <v>19</v>
      </c>
      <c r="W50" s="27" t="str">
        <f t="shared" si="10"/>
        <v>E</v>
      </c>
      <c r="X50" s="24">
        <v>25</v>
      </c>
      <c r="Y50" s="27" t="str">
        <f t="shared" si="11"/>
        <v>F</v>
      </c>
      <c r="Z50" s="26">
        <v>21</v>
      </c>
      <c r="AA50" s="27" t="str">
        <f t="shared" si="12"/>
        <v>E</v>
      </c>
      <c r="AB50" s="26">
        <v>21</v>
      </c>
      <c r="AC50" s="27" t="str">
        <f t="shared" si="13"/>
        <v>E</v>
      </c>
      <c r="AD50" s="24">
        <v>11</v>
      </c>
      <c r="AE50" s="27" t="str">
        <f t="shared" si="14"/>
        <v>F</v>
      </c>
      <c r="AF50" s="26">
        <v>16</v>
      </c>
      <c r="AG50" s="27" t="str">
        <f t="shared" si="15"/>
        <v>E</v>
      </c>
      <c r="AH50" s="26">
        <v>17</v>
      </c>
      <c r="AI50" s="27" t="str">
        <f t="shared" si="16"/>
        <v>E</v>
      </c>
      <c r="AJ50" s="32">
        <f>IF(OR(AND(D50&gt;=31,D50&lt;40),AND(H50&gt;=31,H50&lt;40),AND(L50&gt;=31,L50&lt;40),AND(R50&gt;=31,R50&lt;40),AND(X50&gt;=31,X50&lt;40),AND(AD50&gt;=31,AD50&lt;40)),IF(AND(OR(COUNTIF(D50:AI50,"=31")&gt;=1,COUNTIF(D50:AI50,"=32")&gt;=1,COUNTIF(D50:AI50,"=33")&gt;=1,COUNTIF(D50:AI50,"=34")&gt;=1,COUNTIF(D50:AI50,"=35")&gt;=1,COUNTIF(D50:AI50,"=36")&gt;=1 ),COUNTIF(D50:AI50,"")=0,COUNTIF(D50:AI50," ")=0,COUNTIF(D50:AI50,"F")=1),CONCATENATE(SUM(EXTRACTNUMBER(D50),EXTRACTNUMBER(F50),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EXTRACTNUMBER(AD50),EXTRACTNUMBER(AH50),EXTRACTNUMBER(AF50)),"*"),IF(AND(COUNTIF(D50:AI50,"=34")&gt;=1,COUNTIF(D50:AI50,"=35")&gt;=1,COUNTIF(D50:AI50,"f")=2,COUNTIF(D50:AI50,"")=0,COUNTIF(D50:AI50," ")=0),CONCATENATE(SUM(EXTRACTNUMBER(D50),EXTRACTNUMBER(F50),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EXTRACTNUMBER(AD50),EXTRACTNUMBER(AH50),EXTRACTNUMBER(AF50)),"*"),IF(AND(COUNTIF(D50:AI50,"=36")&gt;=2,COUNTIF(D50:AI50,"f")=2,COUNTIF(D50:AI50,"")=0,COUNTIF(D50:AI50," ")=0),CONCATENATE(SUM(EXTRACTNUMBER(D50),EXTRACTNUMBER(F50),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EXTRACTNUMBER(AD50),EXTRACTNUMBER(AH50),EXTRACTNUMBER(AF50)),"*"),SUM(EXTRACTNUMBER(D50),EXTRACTNUMBER(F50),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EXTRACTNUMBER(AD50),EXTRACTNUMBER(AH50),EXTRACTNUMBER(AF50))))),SUM(EXTRACTNUMBER(D50),EXTRACTNUMBER(F50),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EXTRACTNUMBER(AD50),EXTRACTNUMBER(AH50),EXTRACTNUMBER(AF50)))</f>
        <v>290</v>
      </c>
      <c r="AK50" s="28">
        <v>0</v>
      </c>
      <c r="AL50" s="29">
        <f t="shared" si="0"/>
        <v>290</v>
      </c>
      <c r="AM50" s="29" t="str">
        <f t="shared" si="17"/>
        <v>FAIL</v>
      </c>
      <c r="AN50" s="30" t="str">
        <f>IF(AM50="ABSENT","AB",IF(AM50="FAIL","--",
IF(AK50=0,"RS 3",
IF(AND(SUM(EXTRACTNUMBER(AK50),EXTRACTNUMBER(AJ50))&gt;=1010,
        NOT(IFERROR(FIND("x",AK50),0)),
        NOT(IFERROR(FIND("x",AJ50),0))),"I",
IF(AND(SUM(EXTRACTNUMBER(AK50),EXTRACTNUMBER(AJ50))&gt;=850,
      SUM(EXTRACTNUMBER(AK50),EXTRACTNUMBER(AJ50))&lt;1010,
      NOT(IFERROR(FIND("x",AK50),0)),
      NOT(IFERROR(FIND("x",AJ50),0))),"II",
IF(OR(AND(SUM(EXTRACTNUMBER(AK50),EXTRACTNUMBER(AJ50))&lt;850,
SUM(EXTRACTNUMBER(AK50),EXTRACTNUMBER(AJ50))&gt;=670),
IFERROR(FIND("x",AK50),0),IFERROR(FIND("x",AJ50),0)),"P","--"))))))</f>
        <v>--</v>
      </c>
      <c r="AO50" s="2" t="str">
        <f t="shared" si="18"/>
        <v xml:space="preserve">Two Hundred Ninety </v>
      </c>
    </row>
    <row r="51" spans="2:41" ht="16.5" customHeight="1">
      <c r="B51" s="45">
        <v>134224</v>
      </c>
      <c r="C51" s="46" t="s">
        <v>47</v>
      </c>
      <c r="D51" s="43">
        <v>55</v>
      </c>
      <c r="E51" s="27" t="str">
        <f t="shared" si="1"/>
        <v/>
      </c>
      <c r="F51" s="26">
        <v>20</v>
      </c>
      <c r="G51" s="27" t="str">
        <f t="shared" si="2"/>
        <v/>
      </c>
      <c r="H51" s="24">
        <v>50</v>
      </c>
      <c r="I51" s="27" t="str">
        <f t="shared" si="3"/>
        <v/>
      </c>
      <c r="J51" s="26">
        <v>23</v>
      </c>
      <c r="K51" s="27" t="str">
        <f t="shared" si="4"/>
        <v/>
      </c>
      <c r="L51" s="24">
        <v>63</v>
      </c>
      <c r="M51" s="27" t="str">
        <f t="shared" si="5"/>
        <v/>
      </c>
      <c r="N51" s="26">
        <v>22</v>
      </c>
      <c r="O51" s="27" t="str">
        <f t="shared" si="6"/>
        <v/>
      </c>
      <c r="P51" s="26">
        <v>22</v>
      </c>
      <c r="Q51" s="27" t="str">
        <f t="shared" si="7"/>
        <v/>
      </c>
      <c r="R51" s="24">
        <v>52</v>
      </c>
      <c r="S51" s="27" t="str">
        <f t="shared" si="8"/>
        <v/>
      </c>
      <c r="T51" s="26">
        <v>23</v>
      </c>
      <c r="U51" s="27" t="str">
        <f t="shared" si="9"/>
        <v/>
      </c>
      <c r="V51" s="26">
        <v>21</v>
      </c>
      <c r="W51" s="27" t="str">
        <f t="shared" si="10"/>
        <v/>
      </c>
      <c r="X51" s="24">
        <v>53</v>
      </c>
      <c r="Y51" s="27" t="str">
        <f t="shared" si="11"/>
        <v/>
      </c>
      <c r="Z51" s="26">
        <v>23</v>
      </c>
      <c r="AA51" s="27" t="str">
        <f t="shared" si="12"/>
        <v/>
      </c>
      <c r="AB51" s="26">
        <v>21</v>
      </c>
      <c r="AC51" s="27" t="str">
        <f t="shared" si="13"/>
        <v/>
      </c>
      <c r="AD51" s="24">
        <v>43</v>
      </c>
      <c r="AE51" s="27" t="str">
        <f t="shared" si="14"/>
        <v/>
      </c>
      <c r="AF51" s="26">
        <v>23</v>
      </c>
      <c r="AG51" s="27" t="str">
        <f t="shared" si="15"/>
        <v/>
      </c>
      <c r="AH51" s="26">
        <v>15</v>
      </c>
      <c r="AI51" s="27" t="str">
        <f t="shared" si="16"/>
        <v/>
      </c>
      <c r="AJ51" s="32">
        <f>IF(OR(AND(D51&gt;=31,D51&lt;40),AND(H51&gt;=31,H51&lt;40),AND(L51&gt;=31,L51&lt;40),AND(R51&gt;=31,R51&lt;40),AND(X51&gt;=31,X51&lt;40),AND(AD51&gt;=31,AD51&lt;40)),IF(AND(OR(COUNTIF(D51:AI51,"=31")&gt;=1,COUNTIF(D51:AI51,"=32")&gt;=1,COUNTIF(D51:AI51,"=33")&gt;=1,COUNTIF(D51:AI51,"=34")&gt;=1,COUNTIF(D51:AI51,"=35")&gt;=1,COUNTIF(D51:AI51,"=36")&gt;=1 ),COUNTIF(D51:AI51,"")=0,COUNTIF(D51:AI51," ")=0,COUNTIF(D51:AI51,"F")=1),CONCATENATE(SUM(EXTRACTNUMBER(D51),EXTRACTNUMBER(F51),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EXTRACTNUMBER(AD51),EXTRACTNUMBER(AH51),EXTRACTNUMBER(AF51)),"*"),IF(AND(COUNTIF(D51:AI51,"=34")&gt;=1,COUNTIF(D51:AI51,"=35")&gt;=1,COUNTIF(D51:AI51,"f")=2,COUNTIF(D51:AI51,"")=0,COUNTIF(D51:AI51," ")=0),CONCATENATE(SUM(EXTRACTNUMBER(D51),EXTRACTNUMBER(F51),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EXTRACTNUMBER(AD51),EXTRACTNUMBER(AH51),EXTRACTNUMBER(AF51)),"*"),IF(AND(COUNTIF(D51:AI51,"=36")&gt;=2,COUNTIF(D51:AI51,"f")=2,COUNTIF(D51:AI51,"")=0,COUNTIF(D51:AI51," ")=0),CONCATENATE(SUM(EXTRACTNUMBER(D51),EXTRACTNUMBER(F51),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EXTRACTNUMBER(AD51),EXTRACTNUMBER(AH51),EXTRACTNUMBER(AF51)),"*"),SUM(EXTRACTNUMBER(D51),EXTRACTNUMBER(F51),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EXTRACTNUMBER(AD51),EXTRACTNUMBER(AH51),EXTRACTNUMBER(AF51))))),SUM(EXTRACTNUMBER(D51),EXTRACTNUMBER(F51),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EXTRACTNUMBER(AD51),EXTRACTNUMBER(AH51),EXTRACTNUMBER(AF51)))</f>
        <v>529</v>
      </c>
      <c r="AK51" s="28" t="s">
        <v>253</v>
      </c>
      <c r="AL51" s="29">
        <f t="shared" si="0"/>
        <v>1021</v>
      </c>
      <c r="AM51" s="29" t="str">
        <f t="shared" si="17"/>
        <v>PASS</v>
      </c>
      <c r="AN51" s="30" t="str">
        <f>IF(AM51="ABSENT","AB",IF(AM51="FAIL","--",
IF(AK51=0,"RS 3",
IF(AND(SUM(EXTRACTNUMBER(AK51),EXTRACTNUMBER(AJ51))&gt;=1010,
        NOT(IFERROR(FIND("x",AK51),0)),
        NOT(IFERROR(FIND("x",AJ51),0))),"I",
IF(AND(SUM(EXTRACTNUMBER(AK51),EXTRACTNUMBER(AJ51))&gt;=850,
      SUM(EXTRACTNUMBER(AK51),EXTRACTNUMBER(AJ51))&lt;1010,
      NOT(IFERROR(FIND("x",AK51),0)),
      NOT(IFERROR(FIND("x",AJ51),0))),"II",
IF(OR(AND(SUM(EXTRACTNUMBER(AK51),EXTRACTNUMBER(AJ51))&lt;850,
SUM(EXTRACTNUMBER(AK51),EXTRACTNUMBER(AJ51))&gt;=670),
IFERROR(FIND("x",AK51),0),IFERROR(FIND("x",AJ51),0)),"P","--"))))))</f>
        <v>I</v>
      </c>
      <c r="AO51" s="2" t="str">
        <f t="shared" si="18"/>
        <v xml:space="preserve">One Thousand Twenty One </v>
      </c>
    </row>
    <row r="52" spans="2:41" ht="16.5" customHeight="1">
      <c r="B52" s="45">
        <v>134225</v>
      </c>
      <c r="C52" s="46" t="s">
        <v>48</v>
      </c>
      <c r="D52" s="43">
        <v>62</v>
      </c>
      <c r="E52" s="27" t="str">
        <f t="shared" si="1"/>
        <v/>
      </c>
      <c r="F52" s="26">
        <v>24</v>
      </c>
      <c r="G52" s="27" t="str">
        <f t="shared" si="2"/>
        <v/>
      </c>
      <c r="H52" s="24">
        <v>58</v>
      </c>
      <c r="I52" s="27" t="str">
        <f t="shared" si="3"/>
        <v/>
      </c>
      <c r="J52" s="26">
        <v>23</v>
      </c>
      <c r="K52" s="27" t="str">
        <f t="shared" si="4"/>
        <v/>
      </c>
      <c r="L52" s="24">
        <v>63</v>
      </c>
      <c r="M52" s="27" t="str">
        <f t="shared" si="5"/>
        <v/>
      </c>
      <c r="N52" s="26">
        <v>23</v>
      </c>
      <c r="O52" s="27" t="str">
        <f t="shared" si="6"/>
        <v/>
      </c>
      <c r="P52" s="26">
        <v>23</v>
      </c>
      <c r="Q52" s="27" t="str">
        <f t="shared" si="7"/>
        <v/>
      </c>
      <c r="R52" s="24">
        <v>60</v>
      </c>
      <c r="S52" s="27" t="str">
        <f t="shared" si="8"/>
        <v/>
      </c>
      <c r="T52" s="26">
        <v>23</v>
      </c>
      <c r="U52" s="27" t="str">
        <f t="shared" si="9"/>
        <v/>
      </c>
      <c r="V52" s="26">
        <v>19</v>
      </c>
      <c r="W52" s="27" t="str">
        <f t="shared" si="10"/>
        <v/>
      </c>
      <c r="X52" s="24">
        <v>59</v>
      </c>
      <c r="Y52" s="27" t="str">
        <f t="shared" si="11"/>
        <v/>
      </c>
      <c r="Z52" s="26">
        <v>23</v>
      </c>
      <c r="AA52" s="27" t="str">
        <f t="shared" si="12"/>
        <v/>
      </c>
      <c r="AB52" s="26">
        <v>22</v>
      </c>
      <c r="AC52" s="27" t="str">
        <f t="shared" si="13"/>
        <v/>
      </c>
      <c r="AD52" s="24">
        <v>67</v>
      </c>
      <c r="AE52" s="27" t="str">
        <f t="shared" si="14"/>
        <v/>
      </c>
      <c r="AF52" s="26">
        <v>23</v>
      </c>
      <c r="AG52" s="27" t="str">
        <f t="shared" si="15"/>
        <v/>
      </c>
      <c r="AH52" s="26">
        <v>15</v>
      </c>
      <c r="AI52" s="27" t="str">
        <f t="shared" si="16"/>
        <v/>
      </c>
      <c r="AJ52" s="32">
        <f>IF(OR(AND(D52&gt;=31,D52&lt;40),AND(H52&gt;=31,H52&lt;40),AND(L52&gt;=31,L52&lt;40),AND(R52&gt;=31,R52&lt;40),AND(X52&gt;=31,X52&lt;40),AND(AD52&gt;=31,AD52&lt;40)),IF(AND(OR(COUNTIF(D52:AI52,"=31")&gt;=1,COUNTIF(D52:AI52,"=32")&gt;=1,COUNTIF(D52:AI52,"=33")&gt;=1,COUNTIF(D52:AI52,"=34")&gt;=1,COUNTIF(D52:AI52,"=35")&gt;=1,COUNTIF(D52:AI52,"=36")&gt;=1 ),COUNTIF(D52:AI52,"")=0,COUNTIF(D52:AI52," ")=0,COUNTIF(D52:AI52,"F")=1),CONCATENATE(SUM(EXTRACTNUMBER(D52),EXTRACTNUMBER(F52),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EXTRACTNUMBER(AD52),EXTRACTNUMBER(AH52),EXTRACTNUMBER(AF52)),"*"),IF(AND(COUNTIF(D52:AI52,"=34")&gt;=1,COUNTIF(D52:AI52,"=35")&gt;=1,COUNTIF(D52:AI52,"f")=2,COUNTIF(D52:AI52,"")=0,COUNTIF(D52:AI52," ")=0),CONCATENATE(SUM(EXTRACTNUMBER(D52),EXTRACTNUMBER(F52),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EXTRACTNUMBER(AD52),EXTRACTNUMBER(AH52),EXTRACTNUMBER(AF52)),"*"),IF(AND(COUNTIF(D52:AI52,"=36")&gt;=2,COUNTIF(D52:AI52,"f")=2,COUNTIF(D52:AI52,"")=0,COUNTIF(D52:AI52," ")=0),CONCATENATE(SUM(EXTRACTNUMBER(D52),EXTRACTNUMBER(F52),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EXTRACTNUMBER(AD52),EXTRACTNUMBER(AH52),EXTRACTNUMBER(AF52)),"*"),SUM(EXTRACTNUMBER(D52),EXTRACTNUMBER(F52),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EXTRACTNUMBER(AD52),EXTRACTNUMBER(AH52),EXTRACTNUMBER(AF52))))),SUM(EXTRACTNUMBER(D52),EXTRACTNUMBER(F52),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EXTRACTNUMBER(AD52),EXTRACTNUMBER(AH52),EXTRACTNUMBER(AF52)))</f>
        <v>587</v>
      </c>
      <c r="AK52" s="28" t="s">
        <v>245</v>
      </c>
      <c r="AL52" s="49" t="s">
        <v>315</v>
      </c>
      <c r="AM52" s="29" t="str">
        <f t="shared" si="17"/>
        <v>PASS</v>
      </c>
      <c r="AN52" s="30" t="str">
        <f>IF(AM52="ABSENT","AB",IF(AM52="FAIL","--",
IF(AK52=0,"RS 3",
IF(AND(SUM(EXTRACTNUMBER(AK52),EXTRACTNUMBER(AJ52))&gt;=1010,
        NOT(IFERROR(FIND("x",AK52),0)),
        NOT(IFERROR(FIND("x",AJ52),0))),"I",
IF(AND(SUM(EXTRACTNUMBER(AK52),EXTRACTNUMBER(AJ52))&gt;=850,
      SUM(EXTRACTNUMBER(AK52),EXTRACTNUMBER(AJ52))&lt;1010,
      NOT(IFERROR(FIND("x",AK52),0)),
      NOT(IFERROR(FIND("x",AJ52),0))),"II",
IF(OR(AND(SUM(EXTRACTNUMBER(AK52),EXTRACTNUMBER(AJ52))&lt;850,
SUM(EXTRACTNUMBER(AK52),EXTRACTNUMBER(AJ52))&gt;=670),
IFERROR(FIND("x",AK52),0),IFERROR(FIND("x",AJ52),0)),"P","--"))))))</f>
        <v>I</v>
      </c>
      <c r="AO52" s="2" t="e">
        <f t="shared" si="18"/>
        <v>#VALUE!</v>
      </c>
    </row>
    <row r="53" spans="2:41" ht="16.5" customHeight="1">
      <c r="B53" s="45">
        <v>134226</v>
      </c>
      <c r="C53" s="46" t="s">
        <v>49</v>
      </c>
      <c r="D53" s="43">
        <v>24</v>
      </c>
      <c r="E53" s="27" t="str">
        <f t="shared" si="1"/>
        <v>F</v>
      </c>
      <c r="F53" s="26">
        <v>19</v>
      </c>
      <c r="G53" s="27" t="str">
        <f t="shared" si="2"/>
        <v>E</v>
      </c>
      <c r="H53" s="24">
        <v>79</v>
      </c>
      <c r="I53" s="27" t="str">
        <f t="shared" si="3"/>
        <v>E</v>
      </c>
      <c r="J53" s="26">
        <v>18</v>
      </c>
      <c r="K53" s="27" t="str">
        <f t="shared" si="4"/>
        <v>E</v>
      </c>
      <c r="L53" s="24">
        <v>65</v>
      </c>
      <c r="M53" s="27" t="str">
        <f t="shared" si="5"/>
        <v>E</v>
      </c>
      <c r="N53" s="26">
        <v>20</v>
      </c>
      <c r="O53" s="27" t="str">
        <f t="shared" si="6"/>
        <v>E</v>
      </c>
      <c r="P53" s="26">
        <v>19</v>
      </c>
      <c r="Q53" s="27" t="str">
        <f t="shared" si="7"/>
        <v>E</v>
      </c>
      <c r="R53" s="24">
        <v>52</v>
      </c>
      <c r="S53" s="27" t="str">
        <f t="shared" si="8"/>
        <v>E</v>
      </c>
      <c r="T53" s="26">
        <v>20</v>
      </c>
      <c r="U53" s="27" t="str">
        <f t="shared" si="9"/>
        <v>E</v>
      </c>
      <c r="V53" s="26">
        <v>19</v>
      </c>
      <c r="W53" s="27" t="str">
        <f t="shared" si="10"/>
        <v>E</v>
      </c>
      <c r="X53" s="24">
        <v>51</v>
      </c>
      <c r="Y53" s="27" t="str">
        <f t="shared" si="11"/>
        <v>E</v>
      </c>
      <c r="Z53" s="26">
        <v>21</v>
      </c>
      <c r="AA53" s="27" t="str">
        <f t="shared" si="12"/>
        <v>E</v>
      </c>
      <c r="AB53" s="26">
        <v>22</v>
      </c>
      <c r="AC53" s="27" t="str">
        <f t="shared" si="13"/>
        <v>E</v>
      </c>
      <c r="AD53" s="24">
        <v>57</v>
      </c>
      <c r="AE53" s="27" t="str">
        <f t="shared" si="14"/>
        <v>E</v>
      </c>
      <c r="AF53" s="26">
        <v>22</v>
      </c>
      <c r="AG53" s="27" t="str">
        <f t="shared" si="15"/>
        <v>E</v>
      </c>
      <c r="AH53" s="26">
        <v>19</v>
      </c>
      <c r="AI53" s="27" t="str">
        <f t="shared" si="16"/>
        <v>E</v>
      </c>
      <c r="AJ53" s="32">
        <f>IF(OR(AND(D53&gt;=31,D53&lt;40),AND(H53&gt;=31,H53&lt;40),AND(L53&gt;=31,L53&lt;40),AND(R53&gt;=31,R53&lt;40),AND(X53&gt;=31,X53&lt;40),AND(AD53&gt;=31,AD53&lt;40)),IF(AND(OR(COUNTIF(D53:AI53,"=31")&gt;=1,COUNTIF(D53:AI53,"=32")&gt;=1,COUNTIF(D53:AI53,"=33")&gt;=1,COUNTIF(D53:AI53,"=34")&gt;=1,COUNTIF(D53:AI53,"=35")&gt;=1,COUNTIF(D53:AI53,"=36")&gt;=1 ),COUNTIF(D53:AI53,"")=0,COUNTIF(D53:AI53," ")=0,COUNTIF(D53:AI53,"F")=1),CONCATENATE(SUM(EXTRACTNUMBER(D53),EXTRACTNUMBER(F53),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EXTRACTNUMBER(AD53),EXTRACTNUMBER(AH53),EXTRACTNUMBER(AF53)),"*"),IF(AND(COUNTIF(D53:AI53,"=34")&gt;=1,COUNTIF(D53:AI53,"=35")&gt;=1,COUNTIF(D53:AI53,"f")=2,COUNTIF(D53:AI53,"")=0,COUNTIF(D53:AI53," ")=0),CONCATENATE(SUM(EXTRACTNUMBER(D53),EXTRACTNUMBER(F53),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EXTRACTNUMBER(AD53),EXTRACTNUMBER(AH53),EXTRACTNUMBER(AF53)),"*"),IF(AND(COUNTIF(D53:AI53,"=36")&gt;=2,COUNTIF(D53:AI53,"f")=2,COUNTIF(D53:AI53,"")=0,COUNTIF(D53:AI53," ")=0),CONCATENATE(SUM(EXTRACTNUMBER(D53),EXTRACTNUMBER(F53),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EXTRACTNUMBER(AD53),EXTRACTNUMBER(AH53),EXTRACTNUMBER(AF53)),"*"),SUM(EXTRACTNUMBER(D53),EXTRACTNUMBER(F53),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EXTRACTNUMBER(AD53),EXTRACTNUMBER(AH53),EXTRACTNUMBER(AF53))))),SUM(EXTRACTNUMBER(D53),EXTRACTNUMBER(F53),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EXTRACTNUMBER(AD53),EXTRACTNUMBER(AH53),EXTRACTNUMBER(AF53)))</f>
        <v>527</v>
      </c>
      <c r="AK53" s="94" t="s">
        <v>589</v>
      </c>
      <c r="AL53" s="29">
        <f t="shared" si="0"/>
        <v>1025</v>
      </c>
      <c r="AM53" s="29" t="str">
        <f t="shared" si="17"/>
        <v>FAIL</v>
      </c>
      <c r="AN53" s="30" t="str">
        <f>IF(AM53="ABSENT","AB",IF(AM53="FAIL","--",
IF(AK53=0,"RS 3",
IF(AND(SUM(EXTRACTNUMBER(AK53),EXTRACTNUMBER(AJ53))&gt;=1010,
        NOT(IFERROR(FIND("x",AK53),0)),
        NOT(IFERROR(FIND("x",AJ53),0))),"I",
IF(AND(SUM(EXTRACTNUMBER(AK53),EXTRACTNUMBER(AJ53))&gt;=850,
      SUM(EXTRACTNUMBER(AK53),EXTRACTNUMBER(AJ53))&lt;1010,
      NOT(IFERROR(FIND("x",AK53),0)),
      NOT(IFERROR(FIND("x",AJ53),0))),"II",
IF(OR(AND(SUM(EXTRACTNUMBER(AK53),EXTRACTNUMBER(AJ53))&lt;850,
SUM(EXTRACTNUMBER(AK53),EXTRACTNUMBER(AJ53))&gt;=670),
IFERROR(FIND("x",AK53),0),IFERROR(FIND("x",AJ53),0)),"P","--"))))))</f>
        <v>--</v>
      </c>
      <c r="AO53" s="2" t="str">
        <f t="shared" si="18"/>
        <v xml:space="preserve">One Thousand Twenty Five </v>
      </c>
    </row>
    <row r="54" spans="2:41" ht="16.5" customHeight="1">
      <c r="B54" s="45">
        <v>134227</v>
      </c>
      <c r="C54" s="46" t="s">
        <v>50</v>
      </c>
      <c r="D54" s="43">
        <v>40</v>
      </c>
      <c r="E54" s="27" t="str">
        <f t="shared" si="1"/>
        <v/>
      </c>
      <c r="F54" s="26">
        <v>21</v>
      </c>
      <c r="G54" s="27" t="str">
        <f t="shared" si="2"/>
        <v/>
      </c>
      <c r="H54" s="24">
        <v>77</v>
      </c>
      <c r="I54" s="27" t="str">
        <f t="shared" si="3"/>
        <v/>
      </c>
      <c r="J54" s="26">
        <v>21</v>
      </c>
      <c r="K54" s="27" t="str">
        <f t="shared" si="4"/>
        <v/>
      </c>
      <c r="L54" s="24">
        <v>67</v>
      </c>
      <c r="M54" s="27" t="str">
        <f t="shared" si="5"/>
        <v/>
      </c>
      <c r="N54" s="26">
        <v>22</v>
      </c>
      <c r="O54" s="27" t="str">
        <f t="shared" si="6"/>
        <v/>
      </c>
      <c r="P54" s="26">
        <v>23</v>
      </c>
      <c r="Q54" s="27" t="str">
        <f t="shared" si="7"/>
        <v/>
      </c>
      <c r="R54" s="24">
        <v>68</v>
      </c>
      <c r="S54" s="27" t="str">
        <f t="shared" si="8"/>
        <v/>
      </c>
      <c r="T54" s="26">
        <v>20</v>
      </c>
      <c r="U54" s="27" t="str">
        <f t="shared" si="9"/>
        <v/>
      </c>
      <c r="V54" s="26">
        <v>21</v>
      </c>
      <c r="W54" s="27" t="str">
        <f t="shared" si="10"/>
        <v/>
      </c>
      <c r="X54" s="24">
        <v>53</v>
      </c>
      <c r="Y54" s="27" t="str">
        <f t="shared" si="11"/>
        <v/>
      </c>
      <c r="Z54" s="26">
        <v>20</v>
      </c>
      <c r="AA54" s="27" t="str">
        <f t="shared" si="12"/>
        <v/>
      </c>
      <c r="AB54" s="26">
        <v>21</v>
      </c>
      <c r="AC54" s="27" t="str">
        <f t="shared" si="13"/>
        <v/>
      </c>
      <c r="AD54" s="24">
        <v>53</v>
      </c>
      <c r="AE54" s="27" t="str">
        <f t="shared" si="14"/>
        <v/>
      </c>
      <c r="AF54" s="26">
        <v>23</v>
      </c>
      <c r="AG54" s="27" t="str">
        <f t="shared" si="15"/>
        <v/>
      </c>
      <c r="AH54" s="26">
        <v>22</v>
      </c>
      <c r="AI54" s="27" t="str">
        <f t="shared" si="16"/>
        <v/>
      </c>
      <c r="AJ54" s="32">
        <f>IF(OR(AND(D54&gt;=31,D54&lt;40),AND(H54&gt;=31,H54&lt;40),AND(L54&gt;=31,L54&lt;40),AND(R54&gt;=31,R54&lt;40),AND(X54&gt;=31,X54&lt;40),AND(AD54&gt;=31,AD54&lt;40)),IF(AND(OR(COUNTIF(D54:AI54,"=31")&gt;=1,COUNTIF(D54:AI54,"=32")&gt;=1,COUNTIF(D54:AI54,"=33")&gt;=1,COUNTIF(D54:AI54,"=34")&gt;=1,COUNTIF(D54:AI54,"=35")&gt;=1,COUNTIF(D54:AI54,"=36")&gt;=1 ),COUNTIF(D54:AI54,"")=0,COUNTIF(D54:AI54," ")=0,COUNTIF(D54:AI54,"F")=1),CONCATENATE(SUM(EXTRACTNUMBER(D54),EXTRACTNUMBER(F54),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EXTRACTNUMBER(AD54),EXTRACTNUMBER(AH54),EXTRACTNUMBER(AF54)),"*"),IF(AND(COUNTIF(D54:AI54,"=34")&gt;=1,COUNTIF(D54:AI54,"=35")&gt;=1,COUNTIF(D54:AI54,"f")=2,COUNTIF(D54:AI54,"")=0,COUNTIF(D54:AI54," ")=0),CONCATENATE(SUM(EXTRACTNUMBER(D54),EXTRACTNUMBER(F54),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EXTRACTNUMBER(AD54),EXTRACTNUMBER(AH54),EXTRACTNUMBER(AF54)),"*"),IF(AND(COUNTIF(D54:AI54,"=36")&gt;=2,COUNTIF(D54:AI54,"f")=2,COUNTIF(D54:AI54,"")=0,COUNTIF(D54:AI54," ")=0),CONCATENATE(SUM(EXTRACTNUMBER(D54),EXTRACTNUMBER(F54),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EXTRACTNUMBER(AD54),EXTRACTNUMBER(AH54),EXTRACTNUMBER(AF54)),"*"),SUM(EXTRACTNUMBER(D54),EXTRACTNUMBER(F54),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EXTRACTNUMBER(AD54),EXTRACTNUMBER(AH54),EXTRACTNUMBER(AF54))))),SUM(EXTRACTNUMBER(D54),EXTRACTNUMBER(F54),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EXTRACTNUMBER(AD54),EXTRACTNUMBER(AH54),EXTRACTNUMBER(AF54)))</f>
        <v>572</v>
      </c>
      <c r="AK54" s="94" t="s">
        <v>575</v>
      </c>
      <c r="AL54" s="29">
        <f t="shared" si="0"/>
        <v>1206</v>
      </c>
      <c r="AM54" s="29" t="str">
        <f t="shared" si="17"/>
        <v>PASS</v>
      </c>
      <c r="AN54" s="30" t="str">
        <f>IF(AM54="ABSENT","AB",IF(AM54="FAIL","--",
IF(AK54=0,"RS 3",
IF(AND(SUM(EXTRACTNUMBER(AK54),EXTRACTNUMBER(AJ54))&gt;=1010,
        NOT(IFERROR(FIND("x",AK54),0)),
        NOT(IFERROR(FIND("x",AJ54),0))),"I",
IF(AND(SUM(EXTRACTNUMBER(AK54),EXTRACTNUMBER(AJ54))&gt;=850,
      SUM(EXTRACTNUMBER(AK54),EXTRACTNUMBER(AJ54))&lt;1010,
      NOT(IFERROR(FIND("x",AK54),0)),
      NOT(IFERROR(FIND("x",AJ54),0))),"II",
IF(OR(AND(SUM(EXTRACTNUMBER(AK54),EXTRACTNUMBER(AJ54))&lt;850,
SUM(EXTRACTNUMBER(AK54),EXTRACTNUMBER(AJ54))&gt;=670),
IFERROR(FIND("x",AK54),0),IFERROR(FIND("x",AJ54),0)),"P","--"))))))</f>
        <v>P</v>
      </c>
      <c r="AO54" s="2" t="str">
        <f t="shared" si="18"/>
        <v xml:space="preserve">One Thousand Two Hundred Six </v>
      </c>
    </row>
    <row r="55" spans="2:41" ht="16.5" customHeight="1">
      <c r="B55" s="45">
        <v>134228</v>
      </c>
      <c r="C55" s="46" t="s">
        <v>51</v>
      </c>
      <c r="D55" s="43">
        <v>15</v>
      </c>
      <c r="E55" s="27" t="str">
        <f t="shared" si="1"/>
        <v>F</v>
      </c>
      <c r="F55" s="26">
        <v>16</v>
      </c>
      <c r="G55" s="27" t="str">
        <f t="shared" si="2"/>
        <v>E</v>
      </c>
      <c r="H55" s="24">
        <v>55</v>
      </c>
      <c r="I55" s="27" t="str">
        <f t="shared" si="3"/>
        <v>E</v>
      </c>
      <c r="J55" s="26">
        <v>20</v>
      </c>
      <c r="K55" s="27" t="str">
        <f t="shared" si="4"/>
        <v>E</v>
      </c>
      <c r="L55" s="24">
        <v>9</v>
      </c>
      <c r="M55" s="27" t="str">
        <f t="shared" si="5"/>
        <v>F</v>
      </c>
      <c r="N55" s="26">
        <v>16</v>
      </c>
      <c r="O55" s="27" t="str">
        <f t="shared" si="6"/>
        <v>E</v>
      </c>
      <c r="P55" s="26">
        <v>15</v>
      </c>
      <c r="Q55" s="27" t="str">
        <f t="shared" si="7"/>
        <v>E</v>
      </c>
      <c r="R55" s="24">
        <v>17</v>
      </c>
      <c r="S55" s="27" t="str">
        <f t="shared" si="8"/>
        <v>F</v>
      </c>
      <c r="T55" s="26">
        <v>13</v>
      </c>
      <c r="U55" s="27" t="str">
        <f t="shared" si="9"/>
        <v>E</v>
      </c>
      <c r="V55" s="26">
        <v>14</v>
      </c>
      <c r="W55" s="27" t="str">
        <f t="shared" si="10"/>
        <v>E</v>
      </c>
      <c r="X55" s="24">
        <v>52</v>
      </c>
      <c r="Y55" s="27" t="str">
        <f t="shared" si="11"/>
        <v>E</v>
      </c>
      <c r="Z55" s="26">
        <v>20</v>
      </c>
      <c r="AA55" s="27" t="str">
        <f t="shared" si="12"/>
        <v>E</v>
      </c>
      <c r="AB55" s="26">
        <v>21</v>
      </c>
      <c r="AC55" s="27" t="str">
        <f t="shared" si="13"/>
        <v>E</v>
      </c>
      <c r="AD55" s="24">
        <v>53</v>
      </c>
      <c r="AE55" s="27" t="str">
        <f t="shared" si="14"/>
        <v>E</v>
      </c>
      <c r="AF55" s="26">
        <v>23</v>
      </c>
      <c r="AG55" s="27" t="str">
        <f t="shared" si="15"/>
        <v>E</v>
      </c>
      <c r="AH55" s="26">
        <v>16</v>
      </c>
      <c r="AI55" s="27" t="str">
        <f t="shared" si="16"/>
        <v>E</v>
      </c>
      <c r="AJ55" s="32">
        <f>IF(OR(AND(D55&gt;=31,D55&lt;40),AND(H55&gt;=31,H55&lt;40),AND(L55&gt;=31,L55&lt;40),AND(R55&gt;=31,R55&lt;40),AND(X55&gt;=31,X55&lt;40),AND(AD55&gt;=31,AD55&lt;40)),IF(AND(OR(COUNTIF(D55:AI55,"=31")&gt;=1,COUNTIF(D55:AI55,"=32")&gt;=1,COUNTIF(D55:AI55,"=33")&gt;=1,COUNTIF(D55:AI55,"=34")&gt;=1,COUNTIF(D55:AI55,"=35")&gt;=1,COUNTIF(D55:AI55,"=36")&gt;=1 ),COUNTIF(D55:AI55,"")=0,COUNTIF(D55:AI55," ")=0,COUNTIF(D55:AI55,"F")=1),CONCATENATE(SUM(EXTRACTNUMBER(D55),EXTRACTNUMBER(F55),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EXTRACTNUMBER(AD55),EXTRACTNUMBER(AH55),EXTRACTNUMBER(AF55)),"*"),IF(AND(COUNTIF(D55:AI55,"=34")&gt;=1,COUNTIF(D55:AI55,"=35")&gt;=1,COUNTIF(D55:AI55,"f")=2,COUNTIF(D55:AI55,"")=0,COUNTIF(D55:AI55," ")=0),CONCATENATE(SUM(EXTRACTNUMBER(D55),EXTRACTNUMBER(F55),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EXTRACTNUMBER(AD55),EXTRACTNUMBER(AH55),EXTRACTNUMBER(AF55)),"*"),IF(AND(COUNTIF(D55:AI55,"=36")&gt;=2,COUNTIF(D55:AI55,"f")=2,COUNTIF(D55:AI55,"")=0,COUNTIF(D55:AI55," ")=0),CONCATENATE(SUM(EXTRACTNUMBER(D55),EXTRACTNUMBER(F55),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EXTRACTNUMBER(AD55),EXTRACTNUMBER(AH55),EXTRACTNUMBER(AF55)),"*"),SUM(EXTRACTNUMBER(D55),EXTRACTNUMBER(F55),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EXTRACTNUMBER(AD55),EXTRACTNUMBER(AH55),EXTRACTNUMBER(AF55))))),SUM(EXTRACTNUMBER(D55),EXTRACTNUMBER(F55),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EXTRACTNUMBER(AD55),EXTRACTNUMBER(AH55),EXTRACTNUMBER(AF55)))</f>
        <v>375</v>
      </c>
      <c r="AK55" s="28">
        <v>0</v>
      </c>
      <c r="AL55" s="29">
        <f t="shared" si="0"/>
        <v>375</v>
      </c>
      <c r="AM55" s="29" t="str">
        <f t="shared" si="17"/>
        <v>FAIL</v>
      </c>
      <c r="AN55" s="30" t="str">
        <f>IF(AM55="ABSENT","AB",IF(AM55="FAIL","--",
IF(AK55=0,"RS 3",
IF(AND(SUM(EXTRACTNUMBER(AK55),EXTRACTNUMBER(AJ55))&gt;=1010,
        NOT(IFERROR(FIND("x",AK55),0)),
        NOT(IFERROR(FIND("x",AJ55),0))),"I",
IF(AND(SUM(EXTRACTNUMBER(AK55),EXTRACTNUMBER(AJ55))&gt;=850,
      SUM(EXTRACTNUMBER(AK55),EXTRACTNUMBER(AJ55))&lt;1010,
      NOT(IFERROR(FIND("x",AK55),0)),
      NOT(IFERROR(FIND("x",AJ55),0))),"II",
IF(OR(AND(SUM(EXTRACTNUMBER(AK55),EXTRACTNUMBER(AJ55))&lt;850,
SUM(EXTRACTNUMBER(AK55),EXTRACTNUMBER(AJ55))&gt;=670),
IFERROR(FIND("x",AK55),0),IFERROR(FIND("x",AJ55),0)),"P","--"))))))</f>
        <v>--</v>
      </c>
      <c r="AO55" s="2" t="str">
        <f t="shared" si="18"/>
        <v xml:space="preserve">Three Hundred Seventy Five </v>
      </c>
    </row>
    <row r="56" spans="2:41" ht="16.5" customHeight="1">
      <c r="B56" s="45">
        <v>134229</v>
      </c>
      <c r="C56" s="46" t="s">
        <v>52</v>
      </c>
      <c r="D56" s="43">
        <v>41</v>
      </c>
      <c r="E56" s="27" t="str">
        <f t="shared" si="1"/>
        <v/>
      </c>
      <c r="F56" s="26">
        <v>19</v>
      </c>
      <c r="G56" s="27" t="str">
        <f t="shared" si="2"/>
        <v/>
      </c>
      <c r="H56" s="24">
        <v>58</v>
      </c>
      <c r="I56" s="27" t="str">
        <f t="shared" si="3"/>
        <v/>
      </c>
      <c r="J56" s="26">
        <v>23</v>
      </c>
      <c r="K56" s="27" t="str">
        <f t="shared" si="4"/>
        <v/>
      </c>
      <c r="L56" s="24">
        <v>56</v>
      </c>
      <c r="M56" s="27" t="str">
        <f t="shared" si="5"/>
        <v/>
      </c>
      <c r="N56" s="26">
        <v>22</v>
      </c>
      <c r="O56" s="27" t="str">
        <f t="shared" si="6"/>
        <v/>
      </c>
      <c r="P56" s="26">
        <v>22</v>
      </c>
      <c r="Q56" s="27" t="str">
        <f t="shared" si="7"/>
        <v/>
      </c>
      <c r="R56" s="24">
        <v>55</v>
      </c>
      <c r="S56" s="27" t="str">
        <f t="shared" si="8"/>
        <v/>
      </c>
      <c r="T56" s="26">
        <v>23</v>
      </c>
      <c r="U56" s="27" t="str">
        <f t="shared" si="9"/>
        <v/>
      </c>
      <c r="V56" s="26">
        <v>14</v>
      </c>
      <c r="W56" s="27" t="str">
        <f t="shared" si="10"/>
        <v/>
      </c>
      <c r="X56" s="24">
        <v>53</v>
      </c>
      <c r="Y56" s="27" t="str">
        <f t="shared" si="11"/>
        <v/>
      </c>
      <c r="Z56" s="26">
        <v>23</v>
      </c>
      <c r="AA56" s="27" t="str">
        <f t="shared" si="12"/>
        <v/>
      </c>
      <c r="AB56" s="26">
        <v>22</v>
      </c>
      <c r="AC56" s="27" t="str">
        <f t="shared" si="13"/>
        <v/>
      </c>
      <c r="AD56" s="24">
        <v>40</v>
      </c>
      <c r="AE56" s="27" t="str">
        <f t="shared" si="14"/>
        <v/>
      </c>
      <c r="AF56" s="26">
        <v>23</v>
      </c>
      <c r="AG56" s="27" t="str">
        <f t="shared" si="15"/>
        <v/>
      </c>
      <c r="AH56" s="26">
        <v>18</v>
      </c>
      <c r="AI56" s="27" t="str">
        <f t="shared" si="16"/>
        <v/>
      </c>
      <c r="AJ56" s="32">
        <f>IF(OR(AND(D56&gt;=31,D56&lt;40),AND(H56&gt;=31,H56&lt;40),AND(L56&gt;=31,L56&lt;40),AND(R56&gt;=31,R56&lt;40),AND(X56&gt;=31,X56&lt;40),AND(AD56&gt;=31,AD56&lt;40)),IF(AND(OR(COUNTIF(D56:AI56,"=31")&gt;=1,COUNTIF(D56:AI56,"=32")&gt;=1,COUNTIF(D56:AI56,"=33")&gt;=1,COUNTIF(D56:AI56,"=34")&gt;=1,COUNTIF(D56:AI56,"=35")&gt;=1,COUNTIF(D56:AI56,"=36")&gt;=1 ),COUNTIF(D56:AI56,"")=0,COUNTIF(D56:AI56," ")=0,COUNTIF(D56:AI56,"F")=1),CONCATENATE(SUM(EXTRACTNUMBER(D56),EXTRACTNUMBER(F56),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EXTRACTNUMBER(AD56),EXTRACTNUMBER(AH56),EXTRACTNUMBER(AF56)),"*"),IF(AND(COUNTIF(D56:AI56,"=34")&gt;=1,COUNTIF(D56:AI56,"=35")&gt;=1,COUNTIF(D56:AI56,"f")=2,COUNTIF(D56:AI56,"")=0,COUNTIF(D56:AI56," ")=0),CONCATENATE(SUM(EXTRACTNUMBER(D56),EXTRACTNUMBER(F56),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EXTRACTNUMBER(AD56),EXTRACTNUMBER(AH56),EXTRACTNUMBER(AF56)),"*"),IF(AND(COUNTIF(D56:AI56,"=36")&gt;=2,COUNTIF(D56:AI56,"f")=2,COUNTIF(D56:AI56,"")=0,COUNTIF(D56:AI56," ")=0),CONCATENATE(SUM(EXTRACTNUMBER(D56),EXTRACTNUMBER(F56),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EXTRACTNUMBER(AD56),EXTRACTNUMBER(AH56),EXTRACTNUMBER(AF56)),"*"),SUM(EXTRACTNUMBER(D56),EXTRACTNUMBER(F56),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EXTRACTNUMBER(AD56),EXTRACTNUMBER(AH56),EXTRACTNUMBER(AF56))))),SUM(EXTRACTNUMBER(D56),EXTRACTNUMBER(F56),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EXTRACTNUMBER(AD56),EXTRACTNUMBER(AH56),EXTRACTNUMBER(AF56)))</f>
        <v>512</v>
      </c>
      <c r="AK56" s="94" t="s">
        <v>570</v>
      </c>
      <c r="AL56" s="49" t="s">
        <v>313</v>
      </c>
      <c r="AM56" s="29" t="str">
        <f t="shared" si="17"/>
        <v>PASS</v>
      </c>
      <c r="AN56" s="30" t="str">
        <f>IF(AM56="ABSENT","AB",IF(AM56="FAIL","--",
IF(AK56=0,"RS 3",
IF(AND(SUM(EXTRACTNUMBER(AK56),EXTRACTNUMBER(AJ56))&gt;=1010,
        NOT(IFERROR(FIND("x",AK56),0)),
        NOT(IFERROR(FIND("x",AJ56),0))),"I",
IF(AND(SUM(EXTRACTNUMBER(AK56),EXTRACTNUMBER(AJ56))&gt;=850,
      SUM(EXTRACTNUMBER(AK56),EXTRACTNUMBER(AJ56))&lt;1010,
      NOT(IFERROR(FIND("x",AK56),0)),
      NOT(IFERROR(FIND("x",AJ56),0))),"II",
IF(OR(AND(SUM(EXTRACTNUMBER(AK56),EXTRACTNUMBER(AJ56))&lt;850,
SUM(EXTRACTNUMBER(AK56),EXTRACTNUMBER(AJ56))&gt;=670),
IFERROR(FIND("x",AK56),0),IFERROR(FIND("x",AJ56),0)),"P","--"))))))</f>
        <v>P</v>
      </c>
      <c r="AO56" s="2" t="e">
        <f t="shared" si="18"/>
        <v>#VALUE!</v>
      </c>
    </row>
    <row r="57" spans="2:41" ht="16.5" customHeight="1">
      <c r="B57" s="45">
        <v>134230</v>
      </c>
      <c r="C57" s="46" t="s">
        <v>53</v>
      </c>
      <c r="D57" s="43">
        <v>44</v>
      </c>
      <c r="E57" s="27" t="str">
        <f t="shared" si="1"/>
        <v/>
      </c>
      <c r="F57" s="26">
        <v>17</v>
      </c>
      <c r="G57" s="27" t="str">
        <f t="shared" si="2"/>
        <v/>
      </c>
      <c r="H57" s="24">
        <v>60</v>
      </c>
      <c r="I57" s="27" t="str">
        <f t="shared" si="3"/>
        <v/>
      </c>
      <c r="J57" s="26">
        <v>23</v>
      </c>
      <c r="K57" s="27" t="str">
        <f t="shared" si="4"/>
        <v/>
      </c>
      <c r="L57" s="24">
        <v>49</v>
      </c>
      <c r="M57" s="27" t="str">
        <f t="shared" si="5"/>
        <v/>
      </c>
      <c r="N57" s="26">
        <v>22</v>
      </c>
      <c r="O57" s="27" t="str">
        <f t="shared" si="6"/>
        <v/>
      </c>
      <c r="P57" s="26">
        <v>22</v>
      </c>
      <c r="Q57" s="27" t="str">
        <f t="shared" si="7"/>
        <v/>
      </c>
      <c r="R57" s="24">
        <v>46</v>
      </c>
      <c r="S57" s="27" t="str">
        <f t="shared" si="8"/>
        <v/>
      </c>
      <c r="T57" s="26">
        <v>23</v>
      </c>
      <c r="U57" s="27" t="str">
        <f t="shared" si="9"/>
        <v/>
      </c>
      <c r="V57" s="26">
        <v>21</v>
      </c>
      <c r="W57" s="27" t="str">
        <f t="shared" si="10"/>
        <v/>
      </c>
      <c r="X57" s="24">
        <v>59</v>
      </c>
      <c r="Y57" s="27" t="str">
        <f t="shared" si="11"/>
        <v/>
      </c>
      <c r="Z57" s="26">
        <v>23</v>
      </c>
      <c r="AA57" s="27" t="str">
        <f t="shared" si="12"/>
        <v/>
      </c>
      <c r="AB57" s="26">
        <v>22</v>
      </c>
      <c r="AC57" s="27" t="str">
        <f t="shared" si="13"/>
        <v/>
      </c>
      <c r="AD57" s="24">
        <v>48</v>
      </c>
      <c r="AE57" s="27" t="str">
        <f t="shared" si="14"/>
        <v/>
      </c>
      <c r="AF57" s="26">
        <v>23</v>
      </c>
      <c r="AG57" s="27" t="str">
        <f t="shared" si="15"/>
        <v/>
      </c>
      <c r="AH57" s="26">
        <v>17</v>
      </c>
      <c r="AI57" s="27" t="str">
        <f t="shared" si="16"/>
        <v/>
      </c>
      <c r="AJ57" s="32">
        <f>IF(OR(AND(D57&gt;=31,D57&lt;40),AND(H57&gt;=31,H57&lt;40),AND(L57&gt;=31,L57&lt;40),AND(R57&gt;=31,R57&lt;40),AND(X57&gt;=31,X57&lt;40),AND(AD57&gt;=31,AD57&lt;40)),IF(AND(OR(COUNTIF(D57:AI57,"=31")&gt;=1,COUNTIF(D57:AI57,"=32")&gt;=1,COUNTIF(D57:AI57,"=33")&gt;=1,COUNTIF(D57:AI57,"=34")&gt;=1,COUNTIF(D57:AI57,"=35")&gt;=1,COUNTIF(D57:AI57,"=36")&gt;=1 ),COUNTIF(D57:AI57,"")=0,COUNTIF(D57:AI57," ")=0,COUNTIF(D57:AI57,"F")=1),CONCATENATE(SUM(EXTRACTNUMBER(D57),EXTRACTNUMBER(F57),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EXTRACTNUMBER(AD57),EXTRACTNUMBER(AH57),EXTRACTNUMBER(AF57)),"*"),IF(AND(COUNTIF(D57:AI57,"=34")&gt;=1,COUNTIF(D57:AI57,"=35")&gt;=1,COUNTIF(D57:AI57,"f")=2,COUNTIF(D57:AI57,"")=0,COUNTIF(D57:AI57," ")=0),CONCATENATE(SUM(EXTRACTNUMBER(D57),EXTRACTNUMBER(F57),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EXTRACTNUMBER(AD57),EXTRACTNUMBER(AH57),EXTRACTNUMBER(AF57)),"*"),IF(AND(COUNTIF(D57:AI57,"=36")&gt;=2,COUNTIF(D57:AI57,"f")=2,COUNTIF(D57:AI57,"")=0,COUNTIF(D57:AI57," ")=0),CONCATENATE(SUM(EXTRACTNUMBER(D57),EXTRACTNUMBER(F57),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EXTRACTNUMBER(AD57),EXTRACTNUMBER(AH57),EXTRACTNUMBER(AF57)),"*"),SUM(EXTRACTNUMBER(D57),EXTRACTNUMBER(F57),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EXTRACTNUMBER(AD57),EXTRACTNUMBER(AH57),EXTRACTNUMBER(AF57))))),SUM(EXTRACTNUMBER(D57),EXTRACTNUMBER(F57),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EXTRACTNUMBER(AD57),EXTRACTNUMBER(AH57),EXTRACTNUMBER(AF57)))</f>
        <v>519</v>
      </c>
      <c r="AK57" s="28" t="s">
        <v>254</v>
      </c>
      <c r="AL57" s="29">
        <f t="shared" si="0"/>
        <v>994</v>
      </c>
      <c r="AM57" s="29" t="str">
        <f t="shared" si="17"/>
        <v>PASS</v>
      </c>
      <c r="AN57" s="30" t="str">
        <f>IF(AM57="ABSENT","AB",IF(AM57="FAIL","--",
IF(AK57=0,"RS 3",
IF(AND(SUM(EXTRACTNUMBER(AK57),EXTRACTNUMBER(AJ57))&gt;=1010,
        NOT(IFERROR(FIND("x",AK57),0)),
        NOT(IFERROR(FIND("x",AJ57),0))),"I",
IF(AND(SUM(EXTRACTNUMBER(AK57),EXTRACTNUMBER(AJ57))&gt;=850,
      SUM(EXTRACTNUMBER(AK57),EXTRACTNUMBER(AJ57))&lt;1010,
      NOT(IFERROR(FIND("x",AK57),0)),
      NOT(IFERROR(FIND("x",AJ57),0))),"II",
IF(OR(AND(SUM(EXTRACTNUMBER(AK57),EXTRACTNUMBER(AJ57))&lt;850,
SUM(EXTRACTNUMBER(AK57),EXTRACTNUMBER(AJ57))&gt;=670),
IFERROR(FIND("x",AK57),0),IFERROR(FIND("x",AJ57),0)),"P","--"))))))</f>
        <v>II</v>
      </c>
      <c r="AO57" s="2" t="str">
        <f t="shared" si="18"/>
        <v xml:space="preserve">Nine Hundred NinetyFour </v>
      </c>
    </row>
    <row r="58" spans="2:41" ht="16.5" customHeight="1">
      <c r="B58" s="45">
        <v>134231</v>
      </c>
      <c r="C58" s="46" t="s">
        <v>54</v>
      </c>
      <c r="D58" s="43">
        <v>46</v>
      </c>
      <c r="E58" s="27" t="str">
        <f t="shared" si="1"/>
        <v/>
      </c>
      <c r="F58" s="26">
        <v>18</v>
      </c>
      <c r="G58" s="27" t="str">
        <f t="shared" si="2"/>
        <v/>
      </c>
      <c r="H58" s="24">
        <v>57</v>
      </c>
      <c r="I58" s="27" t="str">
        <f t="shared" si="3"/>
        <v/>
      </c>
      <c r="J58" s="26">
        <v>23</v>
      </c>
      <c r="K58" s="27" t="str">
        <f t="shared" si="4"/>
        <v/>
      </c>
      <c r="L58" s="24">
        <v>53</v>
      </c>
      <c r="M58" s="27" t="str">
        <f t="shared" si="5"/>
        <v/>
      </c>
      <c r="N58" s="26">
        <v>22</v>
      </c>
      <c r="O58" s="27" t="str">
        <f t="shared" si="6"/>
        <v/>
      </c>
      <c r="P58" s="26">
        <v>22</v>
      </c>
      <c r="Q58" s="27" t="str">
        <f t="shared" si="7"/>
        <v/>
      </c>
      <c r="R58" s="24">
        <v>49</v>
      </c>
      <c r="S58" s="27" t="str">
        <f t="shared" si="8"/>
        <v/>
      </c>
      <c r="T58" s="26">
        <v>23</v>
      </c>
      <c r="U58" s="27" t="str">
        <f t="shared" si="9"/>
        <v/>
      </c>
      <c r="V58" s="26">
        <v>19</v>
      </c>
      <c r="W58" s="27" t="str">
        <f t="shared" si="10"/>
        <v/>
      </c>
      <c r="X58" s="24">
        <v>44</v>
      </c>
      <c r="Y58" s="27" t="str">
        <f t="shared" si="11"/>
        <v/>
      </c>
      <c r="Z58" s="26">
        <v>23</v>
      </c>
      <c r="AA58" s="27" t="str">
        <f t="shared" si="12"/>
        <v/>
      </c>
      <c r="AB58" s="26">
        <v>20</v>
      </c>
      <c r="AC58" s="27" t="str">
        <f t="shared" si="13"/>
        <v/>
      </c>
      <c r="AD58" s="24">
        <v>47</v>
      </c>
      <c r="AE58" s="27" t="str">
        <f t="shared" si="14"/>
        <v/>
      </c>
      <c r="AF58" s="26">
        <v>23</v>
      </c>
      <c r="AG58" s="27" t="str">
        <f t="shared" si="15"/>
        <v/>
      </c>
      <c r="AH58" s="26">
        <v>17</v>
      </c>
      <c r="AI58" s="27" t="str">
        <f t="shared" si="16"/>
        <v/>
      </c>
      <c r="AJ58" s="32">
        <f>IF(OR(AND(D58&gt;=31,D58&lt;40),AND(H58&gt;=31,H58&lt;40),AND(L58&gt;=31,L58&lt;40),AND(R58&gt;=31,R58&lt;40),AND(X58&gt;=31,X58&lt;40),AND(AD58&gt;=31,AD58&lt;40)),IF(AND(OR(COUNTIF(D58:AI58,"=31")&gt;=1,COUNTIF(D58:AI58,"=32")&gt;=1,COUNTIF(D58:AI58,"=33")&gt;=1,COUNTIF(D58:AI58,"=34")&gt;=1,COUNTIF(D58:AI58,"=35")&gt;=1,COUNTIF(D58:AI58,"=36")&gt;=1 ),COUNTIF(D58:AI58,"")=0,COUNTIF(D58:AI58," ")=0,COUNTIF(D58:AI58,"F")=1),CONCATENATE(SUM(EXTRACTNUMBER(D58),EXTRACTNUMBER(F58),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EXTRACTNUMBER(AD58),EXTRACTNUMBER(AH58),EXTRACTNUMBER(AF58)),"*"),IF(AND(COUNTIF(D58:AI58,"=34")&gt;=1,COUNTIF(D58:AI58,"=35")&gt;=1,COUNTIF(D58:AI58,"f")=2,COUNTIF(D58:AI58,"")=0,COUNTIF(D58:AI58," ")=0),CONCATENATE(SUM(EXTRACTNUMBER(D58),EXTRACTNUMBER(F58),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EXTRACTNUMBER(AD58),EXTRACTNUMBER(AH58),EXTRACTNUMBER(AF58)),"*"),IF(AND(COUNTIF(D58:AI58,"=36")&gt;=2,COUNTIF(D58:AI58,"f")=2,COUNTIF(D58:AI58,"")=0,COUNTIF(D58:AI58," ")=0),CONCATENATE(SUM(EXTRACTNUMBER(D58),EXTRACTNUMBER(F58),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EXTRACTNUMBER(AD58),EXTRACTNUMBER(AH58),EXTRACTNUMBER(AF58)),"*"),SUM(EXTRACTNUMBER(D58),EXTRACTNUMBER(F58),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EXTRACTNUMBER(AD58),EXTRACTNUMBER(AH58),EXTRACTNUMBER(AF58))))),SUM(EXTRACTNUMBER(D58),EXTRACTNUMBER(F58),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EXTRACTNUMBER(AD58),EXTRACTNUMBER(AH58),EXTRACTNUMBER(AF58)))</f>
        <v>506</v>
      </c>
      <c r="AK58" s="94" t="s">
        <v>571</v>
      </c>
      <c r="AL58" s="49" t="s">
        <v>314</v>
      </c>
      <c r="AM58" s="29" t="str">
        <f t="shared" si="17"/>
        <v>PASS</v>
      </c>
      <c r="AN58" s="30" t="str">
        <f>IF(AM58="ABSENT","AB",IF(AM58="FAIL","--",
IF(AK58=0,"RS 3",
IF(AND(SUM(EXTRACTNUMBER(AK58),EXTRACTNUMBER(AJ58))&gt;=1010,
        NOT(IFERROR(FIND("x",AK58),0)),
        NOT(IFERROR(FIND("x",AJ58),0))),"I",
IF(AND(SUM(EXTRACTNUMBER(AK58),EXTRACTNUMBER(AJ58))&gt;=850,
      SUM(EXTRACTNUMBER(AK58),EXTRACTNUMBER(AJ58))&lt;1010,
      NOT(IFERROR(FIND("x",AK58),0)),
      NOT(IFERROR(FIND("x",AJ58),0))),"II",
IF(OR(AND(SUM(EXTRACTNUMBER(AK58),EXTRACTNUMBER(AJ58))&lt;850,
SUM(EXTRACTNUMBER(AK58),EXTRACTNUMBER(AJ58))&gt;=670),
IFERROR(FIND("x",AK58),0),IFERROR(FIND("x",AJ58),0)),"P","--"))))))</f>
        <v>P</v>
      </c>
      <c r="AO58" s="2" t="e">
        <f t="shared" si="18"/>
        <v>#VALUE!</v>
      </c>
    </row>
    <row r="59" spans="2:41" ht="16.5" customHeight="1">
      <c r="B59" s="45">
        <v>134232</v>
      </c>
      <c r="C59" s="46" t="s">
        <v>55</v>
      </c>
      <c r="D59" s="43">
        <v>40</v>
      </c>
      <c r="E59" s="27" t="str">
        <f t="shared" si="1"/>
        <v/>
      </c>
      <c r="F59" s="26">
        <v>18</v>
      </c>
      <c r="G59" s="27" t="str">
        <f t="shared" si="2"/>
        <v/>
      </c>
      <c r="H59" s="24">
        <v>70</v>
      </c>
      <c r="I59" s="27" t="str">
        <f t="shared" si="3"/>
        <v/>
      </c>
      <c r="J59" s="26">
        <v>19</v>
      </c>
      <c r="K59" s="27" t="str">
        <f t="shared" si="4"/>
        <v/>
      </c>
      <c r="L59" s="24">
        <v>43</v>
      </c>
      <c r="M59" s="27" t="str">
        <f t="shared" si="5"/>
        <v/>
      </c>
      <c r="N59" s="26">
        <v>17</v>
      </c>
      <c r="O59" s="27" t="str">
        <f t="shared" si="6"/>
        <v/>
      </c>
      <c r="P59" s="26">
        <v>18</v>
      </c>
      <c r="Q59" s="27" t="str">
        <f t="shared" si="7"/>
        <v/>
      </c>
      <c r="R59" s="24">
        <v>48</v>
      </c>
      <c r="S59" s="27" t="str">
        <f t="shared" si="8"/>
        <v/>
      </c>
      <c r="T59" s="26">
        <v>21</v>
      </c>
      <c r="U59" s="27" t="str">
        <f t="shared" si="9"/>
        <v/>
      </c>
      <c r="V59" s="26">
        <v>16</v>
      </c>
      <c r="W59" s="27" t="str">
        <f t="shared" si="10"/>
        <v/>
      </c>
      <c r="X59" s="24">
        <v>60</v>
      </c>
      <c r="Y59" s="27" t="str">
        <f t="shared" si="11"/>
        <v/>
      </c>
      <c r="Z59" s="26">
        <v>21</v>
      </c>
      <c r="AA59" s="27" t="str">
        <f t="shared" si="12"/>
        <v/>
      </c>
      <c r="AB59" s="26">
        <v>22</v>
      </c>
      <c r="AC59" s="27" t="str">
        <f t="shared" si="13"/>
        <v/>
      </c>
      <c r="AD59" s="24">
        <v>48</v>
      </c>
      <c r="AE59" s="27" t="str">
        <f t="shared" si="14"/>
        <v/>
      </c>
      <c r="AF59" s="26">
        <v>22</v>
      </c>
      <c r="AG59" s="27" t="str">
        <f t="shared" si="15"/>
        <v/>
      </c>
      <c r="AH59" s="26">
        <v>18</v>
      </c>
      <c r="AI59" s="27" t="str">
        <f t="shared" si="16"/>
        <v/>
      </c>
      <c r="AJ59" s="32">
        <f>IF(OR(AND(D59&gt;=31,D59&lt;40),AND(H59&gt;=31,H59&lt;40),AND(L59&gt;=31,L59&lt;40),AND(R59&gt;=31,R59&lt;40),AND(X59&gt;=31,X59&lt;40),AND(AD59&gt;=31,AD59&lt;40)),IF(AND(OR(COUNTIF(D59:AI59,"=31")&gt;=1,COUNTIF(D59:AI59,"=32")&gt;=1,COUNTIF(D59:AI59,"=33")&gt;=1,COUNTIF(D59:AI59,"=34")&gt;=1,COUNTIF(D59:AI59,"=35")&gt;=1,COUNTIF(D59:AI59,"=36")&gt;=1 ),COUNTIF(D59:AI59,"")=0,COUNTIF(D59:AI59," ")=0,COUNTIF(D59:AI59,"F")=1),CONCATENATE(SUM(EXTRACTNUMBER(D59),EXTRACTNUMBER(F59),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EXTRACTNUMBER(AD59),EXTRACTNUMBER(AH59),EXTRACTNUMBER(AF59)),"*"),IF(AND(COUNTIF(D59:AI59,"=34")&gt;=1,COUNTIF(D59:AI59,"=35")&gt;=1,COUNTIF(D59:AI59,"f")=2,COUNTIF(D59:AI59,"")=0,COUNTIF(D59:AI59," ")=0),CONCATENATE(SUM(EXTRACTNUMBER(D59),EXTRACTNUMBER(F59),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EXTRACTNUMBER(AD59),EXTRACTNUMBER(AH59),EXTRACTNUMBER(AF59)),"*"),IF(AND(COUNTIF(D59:AI59,"=36")&gt;=2,COUNTIF(D59:AI59,"f")=2,COUNTIF(D59:AI59,"")=0,COUNTIF(D59:AI59," ")=0),CONCATENATE(SUM(EXTRACTNUMBER(D59),EXTRACTNUMBER(F59),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EXTRACTNUMBER(AD59),EXTRACTNUMBER(AH59),EXTRACTNUMBER(AF59)),"*"),SUM(EXTRACTNUMBER(D59),EXTRACTNUMBER(F59),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EXTRACTNUMBER(AD59),EXTRACTNUMBER(AH59),EXTRACTNUMBER(AF59))))),SUM(EXTRACTNUMBER(D59),EXTRACTNUMBER(F59),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EXTRACTNUMBER(AD59),EXTRACTNUMBER(AH59),EXTRACTNUMBER(AF59)))</f>
        <v>501</v>
      </c>
      <c r="AK59" s="28" t="s">
        <v>255</v>
      </c>
      <c r="AL59" s="29">
        <f t="shared" si="0"/>
        <v>1023</v>
      </c>
      <c r="AM59" s="29" t="str">
        <f t="shared" si="17"/>
        <v>PASS</v>
      </c>
      <c r="AN59" s="30" t="str">
        <f>IF(AM59="ABSENT","AB",IF(AM59="FAIL","--",
IF(AK59=0,"RS 3",
IF(AND(SUM(EXTRACTNUMBER(AK59),EXTRACTNUMBER(AJ59))&gt;=1010,
        NOT(IFERROR(FIND("x",AK59),0)),
        NOT(IFERROR(FIND("x",AJ59),0))),"I",
IF(AND(SUM(EXTRACTNUMBER(AK59),EXTRACTNUMBER(AJ59))&gt;=850,
      SUM(EXTRACTNUMBER(AK59),EXTRACTNUMBER(AJ59))&lt;1010,
      NOT(IFERROR(FIND("x",AK59),0)),
      NOT(IFERROR(FIND("x",AJ59),0))),"II",
IF(OR(AND(SUM(EXTRACTNUMBER(AK59),EXTRACTNUMBER(AJ59))&lt;850,
SUM(EXTRACTNUMBER(AK59),EXTRACTNUMBER(AJ59))&gt;=670),
IFERROR(FIND("x",AK59),0),IFERROR(FIND("x",AJ59),0)),"P","--"))))))</f>
        <v>I</v>
      </c>
      <c r="AO59" s="2" t="str">
        <f t="shared" si="18"/>
        <v xml:space="preserve">One Thousand Twenty Three </v>
      </c>
    </row>
    <row r="60" spans="2:41" ht="16.5" customHeight="1">
      <c r="B60" s="45">
        <v>134233</v>
      </c>
      <c r="C60" s="46" t="s">
        <v>56</v>
      </c>
      <c r="D60" s="43">
        <v>60</v>
      </c>
      <c r="E60" s="27" t="str">
        <f t="shared" si="1"/>
        <v/>
      </c>
      <c r="F60" s="26">
        <v>22</v>
      </c>
      <c r="G60" s="27" t="str">
        <f t="shared" si="2"/>
        <v/>
      </c>
      <c r="H60" s="24">
        <v>58</v>
      </c>
      <c r="I60" s="27" t="str">
        <f t="shared" si="3"/>
        <v/>
      </c>
      <c r="J60" s="26">
        <v>22</v>
      </c>
      <c r="K60" s="27" t="str">
        <f t="shared" si="4"/>
        <v/>
      </c>
      <c r="L60" s="24">
        <v>61</v>
      </c>
      <c r="M60" s="27" t="str">
        <f t="shared" si="5"/>
        <v/>
      </c>
      <c r="N60" s="26">
        <v>22</v>
      </c>
      <c r="O60" s="27" t="str">
        <f t="shared" si="6"/>
        <v/>
      </c>
      <c r="P60" s="26">
        <v>23</v>
      </c>
      <c r="Q60" s="27" t="str">
        <f t="shared" si="7"/>
        <v/>
      </c>
      <c r="R60" s="24">
        <v>55</v>
      </c>
      <c r="S60" s="27" t="str">
        <f t="shared" si="8"/>
        <v/>
      </c>
      <c r="T60" s="26">
        <v>23</v>
      </c>
      <c r="U60" s="27" t="str">
        <f t="shared" si="9"/>
        <v/>
      </c>
      <c r="V60" s="26">
        <v>21</v>
      </c>
      <c r="W60" s="27" t="str">
        <f t="shared" si="10"/>
        <v/>
      </c>
      <c r="X60" s="24">
        <v>61</v>
      </c>
      <c r="Y60" s="27" t="str">
        <f t="shared" si="11"/>
        <v/>
      </c>
      <c r="Z60" s="26">
        <v>22</v>
      </c>
      <c r="AA60" s="27" t="str">
        <f t="shared" si="12"/>
        <v/>
      </c>
      <c r="AB60" s="26">
        <v>21</v>
      </c>
      <c r="AC60" s="27" t="str">
        <f t="shared" si="13"/>
        <v/>
      </c>
      <c r="AD60" s="24">
        <v>52</v>
      </c>
      <c r="AE60" s="27" t="str">
        <f t="shared" si="14"/>
        <v/>
      </c>
      <c r="AF60" s="26">
        <v>21</v>
      </c>
      <c r="AG60" s="27" t="str">
        <f t="shared" si="15"/>
        <v/>
      </c>
      <c r="AH60" s="26">
        <v>19</v>
      </c>
      <c r="AI60" s="27" t="str">
        <f t="shared" si="16"/>
        <v/>
      </c>
      <c r="AJ60" s="32">
        <f>IF(OR(AND(D60&gt;=31,D60&lt;40),AND(H60&gt;=31,H60&lt;40),AND(L60&gt;=31,L60&lt;40),AND(R60&gt;=31,R60&lt;40),AND(X60&gt;=31,X60&lt;40),AND(AD60&gt;=31,AD60&lt;40)),IF(AND(OR(COUNTIF(D60:AI60,"=31")&gt;=1,COUNTIF(D60:AI60,"=32")&gt;=1,COUNTIF(D60:AI60,"=33")&gt;=1,COUNTIF(D60:AI60,"=34")&gt;=1,COUNTIF(D60:AI60,"=35")&gt;=1,COUNTIF(D60:AI60,"=36")&gt;=1 ),COUNTIF(D60:AI60,"")=0,COUNTIF(D60:AI60," ")=0,COUNTIF(D60:AI60,"F")=1),CONCATENATE(SUM(EXTRACTNUMBER(D60),EXTRACTNUMBER(F60),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EXTRACTNUMBER(AD60),EXTRACTNUMBER(AH60),EXTRACTNUMBER(AF60)),"*"),IF(AND(COUNTIF(D60:AI60,"=34")&gt;=1,COUNTIF(D60:AI60,"=35")&gt;=1,COUNTIF(D60:AI60,"f")=2,COUNTIF(D60:AI60,"")=0,COUNTIF(D60:AI60," ")=0),CONCATENATE(SUM(EXTRACTNUMBER(D60),EXTRACTNUMBER(F60),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EXTRACTNUMBER(AD60),EXTRACTNUMBER(AH60),EXTRACTNUMBER(AF60)),"*"),IF(AND(COUNTIF(D60:AI60,"=36")&gt;=2,COUNTIF(D60:AI60,"f")=2,COUNTIF(D60:AI60,"")=0,COUNTIF(D60:AI60," ")=0),CONCATENATE(SUM(EXTRACTNUMBER(D60),EXTRACTNUMBER(F60),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EXTRACTNUMBER(AD60),EXTRACTNUMBER(AH60),EXTRACTNUMBER(AF60)),"*"),SUM(EXTRACTNUMBER(D60),EXTRACTNUMBER(F60),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EXTRACTNUMBER(AD60),EXTRACTNUMBER(AH60),EXTRACTNUMBER(AF60))))),SUM(EXTRACTNUMBER(D60),EXTRACTNUMBER(F60),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EXTRACTNUMBER(AD60),EXTRACTNUMBER(AH60),EXTRACTNUMBER(AF60)))</f>
        <v>563</v>
      </c>
      <c r="AK60" s="28" t="s">
        <v>256</v>
      </c>
      <c r="AL60" s="29">
        <f t="shared" si="0"/>
        <v>1069</v>
      </c>
      <c r="AM60" s="29" t="str">
        <f t="shared" si="17"/>
        <v>PASS</v>
      </c>
      <c r="AN60" s="30" t="str">
        <f>IF(AM60="ABSENT","AB",IF(AM60="FAIL","--",
IF(AK60=0,"RS 3",
IF(AND(SUM(EXTRACTNUMBER(AK60),EXTRACTNUMBER(AJ60))&gt;=1010,
        NOT(IFERROR(FIND("x",AK60),0)),
        NOT(IFERROR(FIND("x",AJ60),0))),"I",
IF(AND(SUM(EXTRACTNUMBER(AK60),EXTRACTNUMBER(AJ60))&gt;=850,
      SUM(EXTRACTNUMBER(AK60),EXTRACTNUMBER(AJ60))&lt;1010,
      NOT(IFERROR(FIND("x",AK60),0)),
      NOT(IFERROR(FIND("x",AJ60),0))),"II",
IF(OR(AND(SUM(EXTRACTNUMBER(AK60),EXTRACTNUMBER(AJ60))&lt;850,
SUM(EXTRACTNUMBER(AK60),EXTRACTNUMBER(AJ60))&gt;=670),
IFERROR(FIND("x",AK60),0),IFERROR(FIND("x",AJ60),0)),"P","--"))))))</f>
        <v>I</v>
      </c>
      <c r="AO60" s="2" t="str">
        <f t="shared" si="18"/>
        <v xml:space="preserve">One Thousand Sixty Nine </v>
      </c>
    </row>
    <row r="61" spans="2:41" ht="16.5" customHeight="1">
      <c r="B61" s="45">
        <v>134234</v>
      </c>
      <c r="C61" s="46" t="s">
        <v>57</v>
      </c>
      <c r="D61" s="43" t="s">
        <v>305</v>
      </c>
      <c r="E61" s="27" t="str">
        <f t="shared" si="1"/>
        <v/>
      </c>
      <c r="F61" s="26">
        <v>14</v>
      </c>
      <c r="G61" s="27" t="str">
        <f t="shared" si="2"/>
        <v>E</v>
      </c>
      <c r="H61" s="24" t="s">
        <v>305</v>
      </c>
      <c r="I61" s="27" t="str">
        <f t="shared" si="3"/>
        <v/>
      </c>
      <c r="J61" s="26">
        <v>20</v>
      </c>
      <c r="K61" s="27" t="str">
        <f t="shared" si="4"/>
        <v>E</v>
      </c>
      <c r="L61" s="24">
        <v>22</v>
      </c>
      <c r="M61" s="27" t="str">
        <f t="shared" si="5"/>
        <v>F</v>
      </c>
      <c r="N61" s="26">
        <v>17</v>
      </c>
      <c r="O61" s="27" t="str">
        <f t="shared" si="6"/>
        <v>E</v>
      </c>
      <c r="P61" s="26">
        <v>17</v>
      </c>
      <c r="Q61" s="27" t="str">
        <f t="shared" si="7"/>
        <v>E</v>
      </c>
      <c r="R61" s="24">
        <v>6</v>
      </c>
      <c r="S61" s="27" t="str">
        <f t="shared" si="8"/>
        <v>F</v>
      </c>
      <c r="T61" s="26">
        <v>15</v>
      </c>
      <c r="U61" s="27" t="str">
        <f t="shared" si="9"/>
        <v>E</v>
      </c>
      <c r="V61" s="26">
        <v>14</v>
      </c>
      <c r="W61" s="27" t="str">
        <f t="shared" si="10"/>
        <v>E</v>
      </c>
      <c r="X61" s="24">
        <v>47</v>
      </c>
      <c r="Y61" s="27" t="str">
        <f t="shared" si="11"/>
        <v>E</v>
      </c>
      <c r="Z61" s="26">
        <v>21</v>
      </c>
      <c r="AA61" s="27" t="str">
        <f t="shared" si="12"/>
        <v>E</v>
      </c>
      <c r="AB61" s="26">
        <v>20</v>
      </c>
      <c r="AC61" s="27" t="str">
        <f t="shared" si="13"/>
        <v>E</v>
      </c>
      <c r="AD61" s="24">
        <v>41</v>
      </c>
      <c r="AE61" s="27" t="str">
        <f t="shared" si="14"/>
        <v>E</v>
      </c>
      <c r="AF61" s="26">
        <v>20</v>
      </c>
      <c r="AG61" s="27" t="str">
        <f t="shared" si="15"/>
        <v>E</v>
      </c>
      <c r="AH61" s="26">
        <v>18</v>
      </c>
      <c r="AI61" s="27" t="str">
        <f t="shared" si="16"/>
        <v>E</v>
      </c>
      <c r="AJ61" s="32">
        <f>IF(OR(AND(D61&gt;=31,D61&lt;40),AND(H61&gt;=31,H61&lt;40),AND(L61&gt;=31,L61&lt;40),AND(R61&gt;=31,R61&lt;40),AND(X61&gt;=31,X61&lt;40),AND(AD61&gt;=31,AD61&lt;40)),IF(AND(OR(COUNTIF(D61:AI61,"=31")&gt;=1,COUNTIF(D61:AI61,"=32")&gt;=1,COUNTIF(D61:AI61,"=33")&gt;=1,COUNTIF(D61:AI61,"=34")&gt;=1,COUNTIF(D61:AI61,"=35")&gt;=1,COUNTIF(D61:AI61,"=36")&gt;=1 ),COUNTIF(D61:AI61,"")=0,COUNTIF(D61:AI61," ")=0,COUNTIF(D61:AI61,"F")=1),CONCATENATE(SUM(EXTRACTNUMBER(D61),EXTRACTNUMBER(F61),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EXTRACTNUMBER(AD61),EXTRACTNUMBER(AH61),EXTRACTNUMBER(AF61)),"*"),IF(AND(COUNTIF(D61:AI61,"=34")&gt;=1,COUNTIF(D61:AI61,"=35")&gt;=1,COUNTIF(D61:AI61,"f")=2,COUNTIF(D61:AI61,"")=0,COUNTIF(D61:AI61," ")=0),CONCATENATE(SUM(EXTRACTNUMBER(D61),EXTRACTNUMBER(F61),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EXTRACTNUMBER(AD61),EXTRACTNUMBER(AH61),EXTRACTNUMBER(AF61)),"*"),IF(AND(COUNTIF(D61:AI61,"=36")&gt;=2,COUNTIF(D61:AI61,"f")=2,COUNTIF(D61:AI61,"")=0,COUNTIF(D61:AI61," ")=0),CONCATENATE(SUM(EXTRACTNUMBER(D61),EXTRACTNUMBER(F61),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EXTRACTNUMBER(AD61),EXTRACTNUMBER(AH61),EXTRACTNUMBER(AF61)),"*"),SUM(EXTRACTNUMBER(D61),EXTRACTNUMBER(F61),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EXTRACTNUMBER(AD61),EXTRACTNUMBER(AH61),EXTRACTNUMBER(AF61))))),SUM(EXTRACTNUMBER(D61),EXTRACTNUMBER(F61),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EXTRACTNUMBER(AD61),EXTRACTNUMBER(AH61),EXTRACTNUMBER(AF61)))</f>
        <v>292</v>
      </c>
      <c r="AK61" s="28">
        <v>0</v>
      </c>
      <c r="AL61" s="29">
        <f t="shared" si="0"/>
        <v>292</v>
      </c>
      <c r="AM61" s="29" t="str">
        <f t="shared" si="17"/>
        <v>FAIL</v>
      </c>
      <c r="AN61" s="30" t="str">
        <f>IF(AM61="ABSENT","AB",IF(AM61="FAIL","--",
IF(AK61=0,"RS 3",
IF(AND(SUM(EXTRACTNUMBER(AK61),EXTRACTNUMBER(AJ61))&gt;=1010,
        NOT(IFERROR(FIND("x",AK61),0)),
        NOT(IFERROR(FIND("x",AJ61),0))),"I",
IF(AND(SUM(EXTRACTNUMBER(AK61),EXTRACTNUMBER(AJ61))&gt;=850,
      SUM(EXTRACTNUMBER(AK61),EXTRACTNUMBER(AJ61))&lt;1010,
      NOT(IFERROR(FIND("x",AK61),0)),
      NOT(IFERROR(FIND("x",AJ61),0))),"II",
IF(OR(AND(SUM(EXTRACTNUMBER(AK61),EXTRACTNUMBER(AJ61))&lt;850,
SUM(EXTRACTNUMBER(AK61),EXTRACTNUMBER(AJ61))&gt;=670),
IFERROR(FIND("x",AK61),0),IFERROR(FIND("x",AJ61),0)),"P","--"))))))</f>
        <v>--</v>
      </c>
      <c r="AO61" s="2" t="str">
        <f t="shared" si="18"/>
        <v xml:space="preserve">Two Hundred NinetyTwo </v>
      </c>
    </row>
    <row r="62" spans="2:41" ht="16.5" customHeight="1">
      <c r="B62" s="45">
        <v>134235</v>
      </c>
      <c r="C62" s="46" t="s">
        <v>58</v>
      </c>
      <c r="D62" s="43">
        <v>52</v>
      </c>
      <c r="E62" s="27" t="str">
        <f t="shared" si="1"/>
        <v/>
      </c>
      <c r="F62" s="26">
        <v>23</v>
      </c>
      <c r="G62" s="27" t="str">
        <f t="shared" si="2"/>
        <v/>
      </c>
      <c r="H62" s="24">
        <v>64</v>
      </c>
      <c r="I62" s="27" t="str">
        <f t="shared" si="3"/>
        <v/>
      </c>
      <c r="J62" s="26">
        <v>20</v>
      </c>
      <c r="K62" s="27" t="str">
        <f t="shared" si="4"/>
        <v/>
      </c>
      <c r="L62" s="24">
        <v>61</v>
      </c>
      <c r="M62" s="27" t="str">
        <f t="shared" si="5"/>
        <v/>
      </c>
      <c r="N62" s="26">
        <v>21</v>
      </c>
      <c r="O62" s="27" t="str">
        <f t="shared" si="6"/>
        <v/>
      </c>
      <c r="P62" s="26">
        <v>22</v>
      </c>
      <c r="Q62" s="27" t="str">
        <f t="shared" si="7"/>
        <v/>
      </c>
      <c r="R62" s="24">
        <v>52</v>
      </c>
      <c r="S62" s="27" t="str">
        <f t="shared" si="8"/>
        <v/>
      </c>
      <c r="T62" s="26">
        <v>21</v>
      </c>
      <c r="U62" s="27" t="str">
        <f t="shared" si="9"/>
        <v/>
      </c>
      <c r="V62" s="26">
        <v>19</v>
      </c>
      <c r="W62" s="27" t="str">
        <f t="shared" si="10"/>
        <v/>
      </c>
      <c r="X62" s="24">
        <v>40</v>
      </c>
      <c r="Y62" s="27" t="str">
        <f t="shared" si="11"/>
        <v/>
      </c>
      <c r="Z62" s="26">
        <v>22</v>
      </c>
      <c r="AA62" s="27" t="str">
        <f t="shared" si="12"/>
        <v/>
      </c>
      <c r="AB62" s="26">
        <v>22</v>
      </c>
      <c r="AC62" s="27" t="str">
        <f t="shared" si="13"/>
        <v/>
      </c>
      <c r="AD62" s="24">
        <v>50</v>
      </c>
      <c r="AE62" s="27" t="str">
        <f t="shared" si="14"/>
        <v/>
      </c>
      <c r="AF62" s="26">
        <v>20</v>
      </c>
      <c r="AG62" s="27" t="str">
        <f t="shared" si="15"/>
        <v/>
      </c>
      <c r="AH62" s="26">
        <v>22</v>
      </c>
      <c r="AI62" s="27" t="str">
        <f t="shared" si="16"/>
        <v/>
      </c>
      <c r="AJ62" s="32">
        <f>IF(OR(AND(D62&gt;=31,D62&lt;40),AND(H62&gt;=31,H62&lt;40),AND(L62&gt;=31,L62&lt;40),AND(R62&gt;=31,R62&lt;40),AND(X62&gt;=31,X62&lt;40),AND(AD62&gt;=31,AD62&lt;40)),IF(AND(OR(COUNTIF(D62:AI62,"=31")&gt;=1,COUNTIF(D62:AI62,"=32")&gt;=1,COUNTIF(D62:AI62,"=33")&gt;=1,COUNTIF(D62:AI62,"=34")&gt;=1,COUNTIF(D62:AI62,"=35")&gt;=1,COUNTIF(D62:AI62,"=36")&gt;=1 ),COUNTIF(D62:AI62,"")=0,COUNTIF(D62:AI62," ")=0,COUNTIF(D62:AI62,"F")=1),CONCATENATE(SUM(EXTRACTNUMBER(D62),EXTRACTNUMBER(F62),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EXTRACTNUMBER(AD62),EXTRACTNUMBER(AH62),EXTRACTNUMBER(AF62)),"*"),IF(AND(COUNTIF(D62:AI62,"=34")&gt;=1,COUNTIF(D62:AI62,"=35")&gt;=1,COUNTIF(D62:AI62,"f")=2,COUNTIF(D62:AI62,"")=0,COUNTIF(D62:AI62," ")=0),CONCATENATE(SUM(EXTRACTNUMBER(D62),EXTRACTNUMBER(F62),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EXTRACTNUMBER(AD62),EXTRACTNUMBER(AH62),EXTRACTNUMBER(AF62)),"*"),IF(AND(COUNTIF(D62:AI62,"=36")&gt;=2,COUNTIF(D62:AI62,"f")=2,COUNTIF(D62:AI62,"")=0,COUNTIF(D62:AI62," ")=0),CONCATENATE(SUM(EXTRACTNUMBER(D62),EXTRACTNUMBER(F62),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EXTRACTNUMBER(AD62),EXTRACTNUMBER(AH62),EXTRACTNUMBER(AF62)),"*"),SUM(EXTRACTNUMBER(D62),EXTRACTNUMBER(F62),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EXTRACTNUMBER(AD62),EXTRACTNUMBER(AH62),EXTRACTNUMBER(AF62))))),SUM(EXTRACTNUMBER(D62),EXTRACTNUMBER(F62),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EXTRACTNUMBER(AD62),EXTRACTNUMBER(AH62),EXTRACTNUMBER(AF62)))</f>
        <v>531</v>
      </c>
      <c r="AK62" s="28" t="s">
        <v>257</v>
      </c>
      <c r="AL62" s="49" t="s">
        <v>317</v>
      </c>
      <c r="AM62" s="29" t="str">
        <f t="shared" si="17"/>
        <v>PASS</v>
      </c>
      <c r="AN62" s="30" t="str">
        <f>IF(AM62="ABSENT","AB",IF(AM62="FAIL","--",
IF(AK62=0,"RS 3",
IF(AND(SUM(EXTRACTNUMBER(AK62),EXTRACTNUMBER(AJ62))&gt;=1010,
        NOT(IFERROR(FIND("x",AK62),0)),
        NOT(IFERROR(FIND("x",AJ62),0))),"I",
IF(AND(SUM(EXTRACTNUMBER(AK62),EXTRACTNUMBER(AJ62))&gt;=850,
      SUM(EXTRACTNUMBER(AK62),EXTRACTNUMBER(AJ62))&lt;1010,
      NOT(IFERROR(FIND("x",AK62),0)),
      NOT(IFERROR(FIND("x",AJ62),0))),"II",
IF(OR(AND(SUM(EXTRACTNUMBER(AK62),EXTRACTNUMBER(AJ62))&lt;850,
SUM(EXTRACTNUMBER(AK62),EXTRACTNUMBER(AJ62))&gt;=670),
IFERROR(FIND("x",AK62),0),IFERROR(FIND("x",AJ62),0)),"P","--"))))))</f>
        <v>I</v>
      </c>
      <c r="AO62" s="2" t="e">
        <f t="shared" si="18"/>
        <v>#VALUE!</v>
      </c>
    </row>
    <row r="63" spans="2:41" ht="16.5" customHeight="1">
      <c r="B63" s="45">
        <v>134236</v>
      </c>
      <c r="C63" s="46" t="s">
        <v>59</v>
      </c>
      <c r="D63" s="43">
        <v>46</v>
      </c>
      <c r="E63" s="27" t="str">
        <f t="shared" si="1"/>
        <v/>
      </c>
      <c r="F63" s="26">
        <v>22</v>
      </c>
      <c r="G63" s="27" t="str">
        <f t="shared" si="2"/>
        <v/>
      </c>
      <c r="H63" s="24">
        <v>68</v>
      </c>
      <c r="I63" s="27" t="str">
        <f t="shared" si="3"/>
        <v/>
      </c>
      <c r="J63" s="26">
        <v>24</v>
      </c>
      <c r="K63" s="27" t="str">
        <f t="shared" si="4"/>
        <v/>
      </c>
      <c r="L63" s="24">
        <v>83</v>
      </c>
      <c r="M63" s="27" t="str">
        <f t="shared" si="5"/>
        <v/>
      </c>
      <c r="N63" s="26">
        <v>23</v>
      </c>
      <c r="O63" s="27" t="str">
        <f t="shared" si="6"/>
        <v/>
      </c>
      <c r="P63" s="26">
        <v>23</v>
      </c>
      <c r="Q63" s="27" t="str">
        <f t="shared" si="7"/>
        <v/>
      </c>
      <c r="R63" s="24">
        <v>68</v>
      </c>
      <c r="S63" s="27" t="str">
        <f t="shared" si="8"/>
        <v/>
      </c>
      <c r="T63" s="26">
        <v>24</v>
      </c>
      <c r="U63" s="27" t="str">
        <f t="shared" si="9"/>
        <v/>
      </c>
      <c r="V63" s="26">
        <v>22</v>
      </c>
      <c r="W63" s="27" t="str">
        <f t="shared" si="10"/>
        <v/>
      </c>
      <c r="X63" s="24">
        <v>66</v>
      </c>
      <c r="Y63" s="27" t="str">
        <f t="shared" si="11"/>
        <v/>
      </c>
      <c r="Z63" s="26">
        <v>21</v>
      </c>
      <c r="AA63" s="27" t="str">
        <f t="shared" si="12"/>
        <v/>
      </c>
      <c r="AB63" s="26">
        <v>21</v>
      </c>
      <c r="AC63" s="27" t="str">
        <f t="shared" si="13"/>
        <v/>
      </c>
      <c r="AD63" s="24">
        <v>57</v>
      </c>
      <c r="AE63" s="27" t="str">
        <f t="shared" si="14"/>
        <v/>
      </c>
      <c r="AF63" s="26">
        <v>16</v>
      </c>
      <c r="AG63" s="27" t="str">
        <f t="shared" si="15"/>
        <v/>
      </c>
      <c r="AH63" s="26">
        <v>15</v>
      </c>
      <c r="AI63" s="27" t="str">
        <f t="shared" si="16"/>
        <v/>
      </c>
      <c r="AJ63" s="32">
        <f>IF(OR(AND(D63&gt;=31,D63&lt;40),AND(H63&gt;=31,H63&lt;40),AND(L63&gt;=31,L63&lt;40),AND(R63&gt;=31,R63&lt;40),AND(X63&gt;=31,X63&lt;40),AND(AD63&gt;=31,AD63&lt;40)),IF(AND(OR(COUNTIF(D63:AI63,"=31")&gt;=1,COUNTIF(D63:AI63,"=32")&gt;=1,COUNTIF(D63:AI63,"=33")&gt;=1,COUNTIF(D63:AI63,"=34")&gt;=1,COUNTIF(D63:AI63,"=35")&gt;=1,COUNTIF(D63:AI63,"=36")&gt;=1 ),COUNTIF(D63:AI63,"")=0,COUNTIF(D63:AI63," ")=0,COUNTIF(D63:AI63,"F")=1),CONCATENATE(SUM(EXTRACTNUMBER(D63),EXTRACTNUMBER(F63),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EXTRACTNUMBER(AD63),EXTRACTNUMBER(AH63),EXTRACTNUMBER(AF63)),"*"),IF(AND(COUNTIF(D63:AI63,"=34")&gt;=1,COUNTIF(D63:AI63,"=35")&gt;=1,COUNTIF(D63:AI63,"f")=2,COUNTIF(D63:AI63,"")=0,COUNTIF(D63:AI63," ")=0),CONCATENATE(SUM(EXTRACTNUMBER(D63),EXTRACTNUMBER(F63),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EXTRACTNUMBER(AD63),EXTRACTNUMBER(AH63),EXTRACTNUMBER(AF63)),"*"),IF(AND(COUNTIF(D63:AI63,"=36")&gt;=2,COUNTIF(D63:AI63,"f")=2,COUNTIF(D63:AI63,"")=0,COUNTIF(D63:AI63," ")=0),CONCATENATE(SUM(EXTRACTNUMBER(D63),EXTRACTNUMBER(F63),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EXTRACTNUMBER(AD63),EXTRACTNUMBER(AH63),EXTRACTNUMBER(AF63)),"*"),SUM(EXTRACTNUMBER(D63),EXTRACTNUMBER(F63),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EXTRACTNUMBER(AD63),EXTRACTNUMBER(AH63),EXTRACTNUMBER(AF63))))),SUM(EXTRACTNUMBER(D63),EXTRACTNUMBER(F63),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EXTRACTNUMBER(AD63),EXTRACTNUMBER(AH63),EXTRACTNUMBER(AF63)))</f>
        <v>599</v>
      </c>
      <c r="AK63" s="28" t="s">
        <v>258</v>
      </c>
      <c r="AL63" s="29">
        <f t="shared" si="0"/>
        <v>1163</v>
      </c>
      <c r="AM63" s="29" t="str">
        <f t="shared" si="17"/>
        <v>PASS</v>
      </c>
      <c r="AN63" s="30" t="str">
        <f>IF(AM63="ABSENT","AB",IF(AM63="FAIL","--",
IF(AK63=0,"RS 3",
IF(AND(SUM(EXTRACTNUMBER(AK63),EXTRACTNUMBER(AJ63))&gt;=1010,
        NOT(IFERROR(FIND("x",AK63),0)),
        NOT(IFERROR(FIND("x",AJ63),0))),"I",
IF(AND(SUM(EXTRACTNUMBER(AK63),EXTRACTNUMBER(AJ63))&gt;=850,
      SUM(EXTRACTNUMBER(AK63),EXTRACTNUMBER(AJ63))&lt;1010,
      NOT(IFERROR(FIND("x",AK63),0)),
      NOT(IFERROR(FIND("x",AJ63),0))),"II",
IF(OR(AND(SUM(EXTRACTNUMBER(AK63),EXTRACTNUMBER(AJ63))&lt;850,
SUM(EXTRACTNUMBER(AK63),EXTRACTNUMBER(AJ63))&gt;=670),
IFERROR(FIND("x",AK63),0),IFERROR(FIND("x",AJ63),0)),"P","--"))))))</f>
        <v>I</v>
      </c>
      <c r="AO63" s="2" t="str">
        <f t="shared" si="18"/>
        <v xml:space="preserve">One Thousand One Hundred Sixty Three </v>
      </c>
    </row>
    <row r="64" spans="2:41" ht="16.5" customHeight="1">
      <c r="B64" s="45">
        <v>134237</v>
      </c>
      <c r="C64" s="46" t="s">
        <v>60</v>
      </c>
      <c r="D64" s="43">
        <v>41</v>
      </c>
      <c r="E64" s="27" t="str">
        <f t="shared" si="1"/>
        <v/>
      </c>
      <c r="F64" s="26">
        <v>24</v>
      </c>
      <c r="G64" s="27" t="str">
        <f t="shared" si="2"/>
        <v/>
      </c>
      <c r="H64" s="24">
        <v>52</v>
      </c>
      <c r="I64" s="27" t="str">
        <f t="shared" si="3"/>
        <v/>
      </c>
      <c r="J64" s="26">
        <v>22</v>
      </c>
      <c r="K64" s="27" t="str">
        <f t="shared" si="4"/>
        <v/>
      </c>
      <c r="L64" s="24">
        <v>60</v>
      </c>
      <c r="M64" s="27" t="str">
        <f t="shared" si="5"/>
        <v/>
      </c>
      <c r="N64" s="26">
        <v>24</v>
      </c>
      <c r="O64" s="27" t="str">
        <f t="shared" si="6"/>
        <v/>
      </c>
      <c r="P64" s="26">
        <v>24</v>
      </c>
      <c r="Q64" s="27" t="str">
        <f t="shared" si="7"/>
        <v/>
      </c>
      <c r="R64" s="24">
        <v>40</v>
      </c>
      <c r="S64" s="27" t="str">
        <f t="shared" si="8"/>
        <v/>
      </c>
      <c r="T64" s="26">
        <v>22</v>
      </c>
      <c r="U64" s="27" t="str">
        <f t="shared" si="9"/>
        <v/>
      </c>
      <c r="V64" s="26">
        <v>21</v>
      </c>
      <c r="W64" s="27" t="str">
        <f t="shared" si="10"/>
        <v/>
      </c>
      <c r="X64" s="24">
        <v>56</v>
      </c>
      <c r="Y64" s="27" t="str">
        <f t="shared" si="11"/>
        <v/>
      </c>
      <c r="Z64" s="26">
        <v>22</v>
      </c>
      <c r="AA64" s="27" t="str">
        <f t="shared" si="12"/>
        <v/>
      </c>
      <c r="AB64" s="26">
        <v>22</v>
      </c>
      <c r="AC64" s="27" t="str">
        <f t="shared" si="13"/>
        <v/>
      </c>
      <c r="AD64" s="24">
        <v>40</v>
      </c>
      <c r="AE64" s="27" t="str">
        <f t="shared" si="14"/>
        <v/>
      </c>
      <c r="AF64" s="26">
        <v>22</v>
      </c>
      <c r="AG64" s="27" t="str">
        <f t="shared" si="15"/>
        <v/>
      </c>
      <c r="AH64" s="26">
        <v>21</v>
      </c>
      <c r="AI64" s="27" t="str">
        <f t="shared" si="16"/>
        <v/>
      </c>
      <c r="AJ64" s="32">
        <f>IF(OR(AND(D64&gt;=31,D64&lt;40),AND(H64&gt;=31,H64&lt;40),AND(L64&gt;=31,L64&lt;40),AND(R64&gt;=31,R64&lt;40),AND(X64&gt;=31,X64&lt;40),AND(AD64&gt;=31,AD64&lt;40)),IF(AND(OR(COUNTIF(D64:AI64,"=31")&gt;=1,COUNTIF(D64:AI64,"=32")&gt;=1,COUNTIF(D64:AI64,"=33")&gt;=1,COUNTIF(D64:AI64,"=34")&gt;=1,COUNTIF(D64:AI64,"=35")&gt;=1,COUNTIF(D64:AI64,"=36")&gt;=1 ),COUNTIF(D64:AI64,"")=0,COUNTIF(D64:AI64," ")=0,COUNTIF(D64:AI64,"F")=1),CONCATENATE(SUM(EXTRACTNUMBER(D64),EXTRACTNUMBER(F64),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EXTRACTNUMBER(AD64),EXTRACTNUMBER(AH64),EXTRACTNUMBER(AF64)),"*"),IF(AND(COUNTIF(D64:AI64,"=34")&gt;=1,COUNTIF(D64:AI64,"=35")&gt;=1,COUNTIF(D64:AI64,"f")=2,COUNTIF(D64:AI64,"")=0,COUNTIF(D64:AI64," ")=0),CONCATENATE(SUM(EXTRACTNUMBER(D64),EXTRACTNUMBER(F64),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EXTRACTNUMBER(AD64),EXTRACTNUMBER(AH64),EXTRACTNUMBER(AF64)),"*"),IF(AND(COUNTIF(D64:AI64,"=36")&gt;=2,COUNTIF(D64:AI64,"f")=2,COUNTIF(D64:AI64,"")=0,COUNTIF(D64:AI64," ")=0),CONCATENATE(SUM(EXTRACTNUMBER(D64),EXTRACTNUMBER(F64),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EXTRACTNUMBER(AD64),EXTRACTNUMBER(AH64),EXTRACTNUMBER(AF64)),"*"),SUM(EXTRACTNUMBER(D64),EXTRACTNUMBER(F64),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EXTRACTNUMBER(AD64),EXTRACTNUMBER(AH64),EXTRACTNUMBER(AF64))))),SUM(EXTRACTNUMBER(D64),EXTRACTNUMBER(F64),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EXTRACTNUMBER(AD64),EXTRACTNUMBER(AH64),EXTRACTNUMBER(AF64)))</f>
        <v>513</v>
      </c>
      <c r="AK64" s="28" t="s">
        <v>259</v>
      </c>
      <c r="AL64" s="29">
        <f t="shared" si="0"/>
        <v>1045</v>
      </c>
      <c r="AM64" s="29" t="str">
        <f t="shared" si="17"/>
        <v>PASS</v>
      </c>
      <c r="AN64" s="30" t="str">
        <f>IF(AM64="ABSENT","AB",IF(AM64="FAIL","--",
IF(AK64=0,"RS 3",
IF(AND(SUM(EXTRACTNUMBER(AK64),EXTRACTNUMBER(AJ64))&gt;=1010,
        NOT(IFERROR(FIND("x",AK64),0)),
        NOT(IFERROR(FIND("x",AJ64),0))),"I",
IF(AND(SUM(EXTRACTNUMBER(AK64),EXTRACTNUMBER(AJ64))&gt;=850,
      SUM(EXTRACTNUMBER(AK64),EXTRACTNUMBER(AJ64))&lt;1010,
      NOT(IFERROR(FIND("x",AK64),0)),
      NOT(IFERROR(FIND("x",AJ64),0))),"II",
IF(OR(AND(SUM(EXTRACTNUMBER(AK64),EXTRACTNUMBER(AJ64))&lt;850,
SUM(EXTRACTNUMBER(AK64),EXTRACTNUMBER(AJ64))&gt;=670),
IFERROR(FIND("x",AK64),0),IFERROR(FIND("x",AJ64),0)),"P","--"))))))</f>
        <v>I</v>
      </c>
      <c r="AO64" s="2" t="str">
        <f t="shared" si="18"/>
        <v xml:space="preserve">One Thousand Forty Five </v>
      </c>
    </row>
    <row r="65" spans="2:41" ht="16.5" customHeight="1">
      <c r="B65" s="45">
        <v>134238</v>
      </c>
      <c r="C65" s="46" t="s">
        <v>61</v>
      </c>
      <c r="D65" s="43">
        <v>47</v>
      </c>
      <c r="E65" s="27" t="str">
        <f t="shared" si="1"/>
        <v/>
      </c>
      <c r="F65" s="26">
        <v>20</v>
      </c>
      <c r="G65" s="27" t="str">
        <f t="shared" si="2"/>
        <v/>
      </c>
      <c r="H65" s="24">
        <v>81</v>
      </c>
      <c r="I65" s="27" t="str">
        <f t="shared" si="3"/>
        <v/>
      </c>
      <c r="J65" s="26">
        <v>21</v>
      </c>
      <c r="K65" s="27" t="str">
        <f t="shared" si="4"/>
        <v/>
      </c>
      <c r="L65" s="24">
        <v>70</v>
      </c>
      <c r="M65" s="27" t="str">
        <f t="shared" si="5"/>
        <v/>
      </c>
      <c r="N65" s="26">
        <v>22</v>
      </c>
      <c r="O65" s="27" t="str">
        <f t="shared" si="6"/>
        <v/>
      </c>
      <c r="P65" s="26">
        <v>21</v>
      </c>
      <c r="Q65" s="27" t="str">
        <f t="shared" si="7"/>
        <v/>
      </c>
      <c r="R65" s="24">
        <v>58</v>
      </c>
      <c r="S65" s="27" t="str">
        <f t="shared" si="8"/>
        <v/>
      </c>
      <c r="T65" s="26">
        <v>23</v>
      </c>
      <c r="U65" s="27" t="str">
        <f t="shared" si="9"/>
        <v/>
      </c>
      <c r="V65" s="26">
        <v>20</v>
      </c>
      <c r="W65" s="27" t="str">
        <f t="shared" si="10"/>
        <v/>
      </c>
      <c r="X65" s="24">
        <v>55</v>
      </c>
      <c r="Y65" s="27" t="str">
        <f t="shared" si="11"/>
        <v/>
      </c>
      <c r="Z65" s="26">
        <v>23</v>
      </c>
      <c r="AA65" s="27" t="str">
        <f t="shared" si="12"/>
        <v/>
      </c>
      <c r="AB65" s="26">
        <v>21</v>
      </c>
      <c r="AC65" s="27" t="str">
        <f t="shared" si="13"/>
        <v/>
      </c>
      <c r="AD65" s="24">
        <v>57</v>
      </c>
      <c r="AE65" s="27" t="str">
        <f t="shared" si="14"/>
        <v/>
      </c>
      <c r="AF65" s="26">
        <v>21</v>
      </c>
      <c r="AG65" s="27" t="str">
        <f t="shared" si="15"/>
        <v/>
      </c>
      <c r="AH65" s="26">
        <v>19</v>
      </c>
      <c r="AI65" s="27" t="str">
        <f t="shared" si="16"/>
        <v/>
      </c>
      <c r="AJ65" s="32">
        <f>IF(OR(AND(D65&gt;=31,D65&lt;40),AND(H65&gt;=31,H65&lt;40),AND(L65&gt;=31,L65&lt;40),AND(R65&gt;=31,R65&lt;40),AND(X65&gt;=31,X65&lt;40),AND(AD65&gt;=31,AD65&lt;40)),IF(AND(OR(COUNTIF(D65:AI65,"=31")&gt;=1,COUNTIF(D65:AI65,"=32")&gt;=1,COUNTIF(D65:AI65,"=33")&gt;=1,COUNTIF(D65:AI65,"=34")&gt;=1,COUNTIF(D65:AI65,"=35")&gt;=1,COUNTIF(D65:AI65,"=36")&gt;=1 ),COUNTIF(D65:AI65,"")=0,COUNTIF(D65:AI65," ")=0,COUNTIF(D65:AI65,"F")=1),CONCATENATE(SUM(EXTRACTNUMBER(D65),EXTRACTNUMBER(F65),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EXTRACTNUMBER(AD65),EXTRACTNUMBER(AH65),EXTRACTNUMBER(AF65)),"*"),IF(AND(COUNTIF(D65:AI65,"=34")&gt;=1,COUNTIF(D65:AI65,"=35")&gt;=1,COUNTIF(D65:AI65,"f")=2,COUNTIF(D65:AI65,"")=0,COUNTIF(D65:AI65," ")=0),CONCATENATE(SUM(EXTRACTNUMBER(D65),EXTRACTNUMBER(F65),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EXTRACTNUMBER(AD65),EXTRACTNUMBER(AH65),EXTRACTNUMBER(AF65)),"*"),IF(AND(COUNTIF(D65:AI65,"=36")&gt;=2,COUNTIF(D65:AI65,"f")=2,COUNTIF(D65:AI65,"")=0,COUNTIF(D65:AI65," ")=0),CONCATENATE(SUM(EXTRACTNUMBER(D65),EXTRACTNUMBER(F65),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EXTRACTNUMBER(AD65),EXTRACTNUMBER(AH65),EXTRACTNUMBER(AF65)),"*"),SUM(EXTRACTNUMBER(D65),EXTRACTNUMBER(F65),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EXTRACTNUMBER(AD65),EXTRACTNUMBER(AH65),EXTRACTNUMBER(AF65))))),SUM(EXTRACTNUMBER(D65),EXTRACTNUMBER(F65),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EXTRACTNUMBER(AD65),EXTRACTNUMBER(AH65),EXTRACTNUMBER(AF65)))</f>
        <v>579</v>
      </c>
      <c r="AK65" s="94" t="s">
        <v>613</v>
      </c>
      <c r="AL65" s="49" t="s">
        <v>614</v>
      </c>
      <c r="AM65" s="29" t="str">
        <f t="shared" si="17"/>
        <v>PASS</v>
      </c>
      <c r="AN65" s="30" t="str">
        <f>IF(AM65="ABSENT","AB",IF(AM65="FAIL","--",
IF(AK65=0,"RS 3",
IF(AND(SUM(EXTRACTNUMBER(AK65),EXTRACTNUMBER(AJ65))&gt;=1010,
        NOT(IFERROR(FIND("x",AK65),0)),
        NOT(IFERROR(FIND("x",AJ65),0))),"I",
IF(AND(SUM(EXTRACTNUMBER(AK65),EXTRACTNUMBER(AJ65))&gt;=850,
      SUM(EXTRACTNUMBER(AK65),EXTRACTNUMBER(AJ65))&lt;1010,
      NOT(IFERROR(FIND("x",AK65),0)),
      NOT(IFERROR(FIND("x",AJ65),0))),"II",
IF(OR(AND(SUM(EXTRACTNUMBER(AK65),EXTRACTNUMBER(AJ65))&lt;850,
SUM(EXTRACTNUMBER(AK65),EXTRACTNUMBER(AJ65))&gt;=670),
IFERROR(FIND("x",AK65),0),IFERROR(FIND("x",AJ65),0)),"P","--"))))))</f>
        <v>I</v>
      </c>
      <c r="AO65" s="95" t="s">
        <v>615</v>
      </c>
    </row>
    <row r="66" spans="2:41" ht="16.5" customHeight="1">
      <c r="B66" s="45">
        <v>134239</v>
      </c>
      <c r="C66" s="46" t="s">
        <v>62</v>
      </c>
      <c r="D66" s="43">
        <v>87</v>
      </c>
      <c r="E66" s="27" t="str">
        <f t="shared" si="1"/>
        <v/>
      </c>
      <c r="F66" s="26">
        <v>24</v>
      </c>
      <c r="G66" s="27" t="str">
        <f t="shared" si="2"/>
        <v/>
      </c>
      <c r="H66" s="24">
        <v>82</v>
      </c>
      <c r="I66" s="27" t="str">
        <f t="shared" si="3"/>
        <v/>
      </c>
      <c r="J66" s="26">
        <v>24</v>
      </c>
      <c r="K66" s="27" t="str">
        <f t="shared" si="4"/>
        <v/>
      </c>
      <c r="L66" s="24">
        <v>77</v>
      </c>
      <c r="M66" s="27" t="str">
        <f t="shared" si="5"/>
        <v/>
      </c>
      <c r="N66" s="26">
        <v>23</v>
      </c>
      <c r="O66" s="27" t="str">
        <f t="shared" si="6"/>
        <v/>
      </c>
      <c r="P66" s="26">
        <v>24</v>
      </c>
      <c r="Q66" s="27" t="str">
        <f t="shared" si="7"/>
        <v/>
      </c>
      <c r="R66" s="24">
        <v>74</v>
      </c>
      <c r="S66" s="27" t="str">
        <f t="shared" si="8"/>
        <v/>
      </c>
      <c r="T66" s="26">
        <v>24</v>
      </c>
      <c r="U66" s="27" t="str">
        <f t="shared" si="9"/>
        <v/>
      </c>
      <c r="V66" s="26">
        <v>24</v>
      </c>
      <c r="W66" s="27" t="str">
        <f t="shared" si="10"/>
        <v/>
      </c>
      <c r="X66" s="24">
        <v>61</v>
      </c>
      <c r="Y66" s="27" t="str">
        <f t="shared" si="11"/>
        <v/>
      </c>
      <c r="Z66" s="26">
        <v>21</v>
      </c>
      <c r="AA66" s="27" t="str">
        <f t="shared" si="12"/>
        <v/>
      </c>
      <c r="AB66" s="26">
        <v>22</v>
      </c>
      <c r="AC66" s="27" t="str">
        <f t="shared" si="13"/>
        <v/>
      </c>
      <c r="AD66" s="24">
        <v>63</v>
      </c>
      <c r="AE66" s="27" t="str">
        <f t="shared" si="14"/>
        <v/>
      </c>
      <c r="AF66" s="26">
        <v>21</v>
      </c>
      <c r="AG66" s="27" t="str">
        <f t="shared" si="15"/>
        <v/>
      </c>
      <c r="AH66" s="26">
        <v>21</v>
      </c>
      <c r="AI66" s="27" t="str">
        <f t="shared" si="16"/>
        <v/>
      </c>
      <c r="AJ66" s="32">
        <f>IF(OR(AND(D66&gt;=31,D66&lt;40),AND(H66&gt;=31,H66&lt;40),AND(L66&gt;=31,L66&lt;40),AND(R66&gt;=31,R66&lt;40),AND(X66&gt;=31,X66&lt;40),AND(AD66&gt;=31,AD66&lt;40)),IF(AND(OR(COUNTIF(D66:AI66,"=31")&gt;=1,COUNTIF(D66:AI66,"=32")&gt;=1,COUNTIF(D66:AI66,"=33")&gt;=1,COUNTIF(D66:AI66,"=34")&gt;=1,COUNTIF(D66:AI66,"=35")&gt;=1,COUNTIF(D66:AI66,"=36")&gt;=1 ),COUNTIF(D66:AI66,"")=0,COUNTIF(D66:AI66," ")=0,COUNTIF(D66:AI66,"F")=1),CONCATENATE(SUM(EXTRACTNUMBER(D66),EXTRACTNUMBER(F66),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EXTRACTNUMBER(AD66),EXTRACTNUMBER(AH66),EXTRACTNUMBER(AF66)),"*"),IF(AND(COUNTIF(D66:AI66,"=34")&gt;=1,COUNTIF(D66:AI66,"=35")&gt;=1,COUNTIF(D66:AI66,"f")=2,COUNTIF(D66:AI66,"")=0,COUNTIF(D66:AI66," ")=0),CONCATENATE(SUM(EXTRACTNUMBER(D66),EXTRACTNUMBER(F66),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EXTRACTNUMBER(AD66),EXTRACTNUMBER(AH66),EXTRACTNUMBER(AF66)),"*"),IF(AND(COUNTIF(D66:AI66,"=36")&gt;=2,COUNTIF(D66:AI66,"f")=2,COUNTIF(D66:AI66,"")=0,COUNTIF(D66:AI66," ")=0),CONCATENATE(SUM(EXTRACTNUMBER(D66),EXTRACTNUMBER(F66),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EXTRACTNUMBER(AD66),EXTRACTNUMBER(AH66),EXTRACTNUMBER(AF66)),"*"),SUM(EXTRACTNUMBER(D66),EXTRACTNUMBER(F66),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EXTRACTNUMBER(AD66),EXTRACTNUMBER(AH66),EXTRACTNUMBER(AF66))))),SUM(EXTRACTNUMBER(D66),EXTRACTNUMBER(F66),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EXTRACTNUMBER(AD66),EXTRACTNUMBER(AH66),EXTRACTNUMBER(AF66)))</f>
        <v>672</v>
      </c>
      <c r="AK66" s="28" t="s">
        <v>260</v>
      </c>
      <c r="AL66" s="29">
        <f t="shared" si="0"/>
        <v>1359</v>
      </c>
      <c r="AM66" s="29" t="str">
        <f t="shared" si="17"/>
        <v>PASS</v>
      </c>
      <c r="AN66" s="30" t="str">
        <f>IF(AM66="ABSENT","AB",IF(AM66="FAIL","--",
IF(AK66=0,"RS 3",
IF(AND(SUM(EXTRACTNUMBER(AK66),EXTRACTNUMBER(AJ66))&gt;=1010,
        NOT(IFERROR(FIND("x",AK66),0)),
        NOT(IFERROR(FIND("x",AJ66),0))),"I",
IF(AND(SUM(EXTRACTNUMBER(AK66),EXTRACTNUMBER(AJ66))&gt;=850,
      SUM(EXTRACTNUMBER(AK66),EXTRACTNUMBER(AJ66))&lt;1010,
      NOT(IFERROR(FIND("x",AK66),0)),
      NOT(IFERROR(FIND("x",AJ66),0))),"II",
IF(OR(AND(SUM(EXTRACTNUMBER(AK66),EXTRACTNUMBER(AJ66))&lt;850,
SUM(EXTRACTNUMBER(AK66),EXTRACTNUMBER(AJ66))&gt;=670),
IFERROR(FIND("x",AK66),0),IFERROR(FIND("x",AJ66),0)),"P","--"))))))</f>
        <v>I</v>
      </c>
      <c r="AO66" s="2" t="str">
        <f t="shared" si="18"/>
        <v xml:space="preserve">One Thousand Three Hundred Fifty Nine </v>
      </c>
    </row>
    <row r="67" spans="2:41" ht="16.5" customHeight="1">
      <c r="B67" s="45">
        <v>134240</v>
      </c>
      <c r="C67" s="46" t="s">
        <v>63</v>
      </c>
      <c r="D67" s="43">
        <v>64</v>
      </c>
      <c r="E67" s="27" t="str">
        <f t="shared" si="1"/>
        <v/>
      </c>
      <c r="F67" s="26">
        <v>24</v>
      </c>
      <c r="G67" s="27" t="str">
        <f t="shared" si="2"/>
        <v/>
      </c>
      <c r="H67" s="24">
        <v>74</v>
      </c>
      <c r="I67" s="27" t="str">
        <f t="shared" si="3"/>
        <v/>
      </c>
      <c r="J67" s="26">
        <v>24</v>
      </c>
      <c r="K67" s="27" t="str">
        <f t="shared" si="4"/>
        <v/>
      </c>
      <c r="L67" s="24">
        <v>61</v>
      </c>
      <c r="M67" s="27" t="str">
        <f t="shared" si="5"/>
        <v/>
      </c>
      <c r="N67" s="26">
        <v>24</v>
      </c>
      <c r="O67" s="27" t="str">
        <f t="shared" si="6"/>
        <v/>
      </c>
      <c r="P67" s="26">
        <v>24</v>
      </c>
      <c r="Q67" s="27" t="str">
        <f t="shared" si="7"/>
        <v/>
      </c>
      <c r="R67" s="24">
        <v>42</v>
      </c>
      <c r="S67" s="27" t="str">
        <f t="shared" si="8"/>
        <v/>
      </c>
      <c r="T67" s="26">
        <v>24</v>
      </c>
      <c r="U67" s="27" t="str">
        <f t="shared" si="9"/>
        <v/>
      </c>
      <c r="V67" s="26">
        <v>20</v>
      </c>
      <c r="W67" s="27" t="str">
        <f t="shared" si="10"/>
        <v/>
      </c>
      <c r="X67" s="24">
        <v>59</v>
      </c>
      <c r="Y67" s="27" t="str">
        <f t="shared" si="11"/>
        <v/>
      </c>
      <c r="Z67" s="26">
        <v>22</v>
      </c>
      <c r="AA67" s="27" t="str">
        <f t="shared" si="12"/>
        <v/>
      </c>
      <c r="AB67" s="26">
        <v>22</v>
      </c>
      <c r="AC67" s="27" t="str">
        <f t="shared" si="13"/>
        <v/>
      </c>
      <c r="AD67" s="24">
        <v>49</v>
      </c>
      <c r="AE67" s="27" t="str">
        <f t="shared" si="14"/>
        <v/>
      </c>
      <c r="AF67" s="26">
        <v>20</v>
      </c>
      <c r="AG67" s="27" t="str">
        <f t="shared" si="15"/>
        <v/>
      </c>
      <c r="AH67" s="26">
        <v>18</v>
      </c>
      <c r="AI67" s="27" t="str">
        <f t="shared" si="16"/>
        <v/>
      </c>
      <c r="AJ67" s="32">
        <f>IF(OR(AND(D67&gt;=31,D67&lt;40),AND(H67&gt;=31,H67&lt;40),AND(L67&gt;=31,L67&lt;40),AND(R67&gt;=31,R67&lt;40),AND(X67&gt;=31,X67&lt;40),AND(AD67&gt;=31,AD67&lt;40)),IF(AND(OR(COUNTIF(D67:AI67,"=31")&gt;=1,COUNTIF(D67:AI67,"=32")&gt;=1,COUNTIF(D67:AI67,"=33")&gt;=1,COUNTIF(D67:AI67,"=34")&gt;=1,COUNTIF(D67:AI67,"=35")&gt;=1,COUNTIF(D67:AI67,"=36")&gt;=1 ),COUNTIF(D67:AI67,"")=0,COUNTIF(D67:AI67," ")=0,COUNTIF(D67:AI67,"F")=1),CONCATENATE(SUM(EXTRACTNUMBER(D67),EXTRACTNUMBER(F67),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EXTRACTNUMBER(AD67),EXTRACTNUMBER(AH67),EXTRACTNUMBER(AF67)),"*"),IF(AND(COUNTIF(D67:AI67,"=34")&gt;=1,COUNTIF(D67:AI67,"=35")&gt;=1,COUNTIF(D67:AI67,"f")=2,COUNTIF(D67:AI67,"")=0,COUNTIF(D67:AI67," ")=0),CONCATENATE(SUM(EXTRACTNUMBER(D67),EXTRACTNUMBER(F67),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EXTRACTNUMBER(AD67),EXTRACTNUMBER(AH67),EXTRACTNUMBER(AF67)),"*"),IF(AND(COUNTIF(D67:AI67,"=36")&gt;=2,COUNTIF(D67:AI67,"f")=2,COUNTIF(D67:AI67,"")=0,COUNTIF(D67:AI67," ")=0),CONCATENATE(SUM(EXTRACTNUMBER(D67),EXTRACTNUMBER(F67),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EXTRACTNUMBER(AD67),EXTRACTNUMBER(AH67),EXTRACTNUMBER(AF67)),"*"),SUM(EXTRACTNUMBER(D67),EXTRACTNUMBER(F67),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EXTRACTNUMBER(AD67),EXTRACTNUMBER(AH67),EXTRACTNUMBER(AF67))))),SUM(EXTRACTNUMBER(D67),EXTRACTNUMBER(F67),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EXTRACTNUMBER(AD67),EXTRACTNUMBER(AH67),EXTRACTNUMBER(AF67)))</f>
        <v>571</v>
      </c>
      <c r="AK67" s="28" t="s">
        <v>261</v>
      </c>
      <c r="AL67" s="29">
        <f t="shared" si="0"/>
        <v>1161</v>
      </c>
      <c r="AM67" s="29" t="str">
        <f t="shared" si="17"/>
        <v>PASS</v>
      </c>
      <c r="AN67" s="30" t="str">
        <f>IF(AM67="ABSENT","AB",IF(AM67="FAIL","--",
IF(AK67=0,"RS 3",
IF(AND(SUM(EXTRACTNUMBER(AK67),EXTRACTNUMBER(AJ67))&gt;=1010,
        NOT(IFERROR(FIND("x",AK67),0)),
        NOT(IFERROR(FIND("x",AJ67),0))),"I",
IF(AND(SUM(EXTRACTNUMBER(AK67),EXTRACTNUMBER(AJ67))&gt;=850,
      SUM(EXTRACTNUMBER(AK67),EXTRACTNUMBER(AJ67))&lt;1010,
      NOT(IFERROR(FIND("x",AK67),0)),
      NOT(IFERROR(FIND("x",AJ67),0))),"II",
IF(OR(AND(SUM(EXTRACTNUMBER(AK67),EXTRACTNUMBER(AJ67))&lt;850,
SUM(EXTRACTNUMBER(AK67),EXTRACTNUMBER(AJ67))&gt;=670),
IFERROR(FIND("x",AK67),0),IFERROR(FIND("x",AJ67),0)),"P","--"))))))</f>
        <v>I</v>
      </c>
      <c r="AO67" s="2" t="str">
        <f t="shared" si="18"/>
        <v xml:space="preserve">One Thousand One Hundred Sixty One </v>
      </c>
    </row>
    <row r="68" spans="2:41" ht="16.5" customHeight="1">
      <c r="B68" s="45">
        <v>134241</v>
      </c>
      <c r="C68" s="46" t="s">
        <v>64</v>
      </c>
      <c r="D68" s="43">
        <v>43</v>
      </c>
      <c r="E68" s="27" t="str">
        <f t="shared" si="1"/>
        <v/>
      </c>
      <c r="F68" s="26">
        <v>21</v>
      </c>
      <c r="G68" s="27" t="str">
        <f t="shared" si="2"/>
        <v/>
      </c>
      <c r="H68" s="24">
        <v>52</v>
      </c>
      <c r="I68" s="27" t="str">
        <f t="shared" si="3"/>
        <v/>
      </c>
      <c r="J68" s="26">
        <v>19</v>
      </c>
      <c r="K68" s="27" t="str">
        <f t="shared" si="4"/>
        <v/>
      </c>
      <c r="L68" s="24">
        <v>47</v>
      </c>
      <c r="M68" s="27" t="str">
        <f t="shared" si="5"/>
        <v/>
      </c>
      <c r="N68" s="26">
        <v>21</v>
      </c>
      <c r="O68" s="27" t="str">
        <f t="shared" si="6"/>
        <v/>
      </c>
      <c r="P68" s="26">
        <v>20</v>
      </c>
      <c r="Q68" s="27" t="str">
        <f t="shared" si="7"/>
        <v/>
      </c>
      <c r="R68" s="24">
        <v>40</v>
      </c>
      <c r="S68" s="27" t="str">
        <f t="shared" si="8"/>
        <v/>
      </c>
      <c r="T68" s="26">
        <v>22</v>
      </c>
      <c r="U68" s="27" t="str">
        <f t="shared" si="9"/>
        <v/>
      </c>
      <c r="V68" s="26">
        <v>14</v>
      </c>
      <c r="W68" s="27" t="str">
        <f t="shared" si="10"/>
        <v/>
      </c>
      <c r="X68" s="24">
        <v>48</v>
      </c>
      <c r="Y68" s="27" t="str">
        <f t="shared" si="11"/>
        <v/>
      </c>
      <c r="Z68" s="26">
        <v>22</v>
      </c>
      <c r="AA68" s="27" t="str">
        <f t="shared" si="12"/>
        <v/>
      </c>
      <c r="AB68" s="26">
        <v>21</v>
      </c>
      <c r="AC68" s="27" t="str">
        <f t="shared" si="13"/>
        <v/>
      </c>
      <c r="AD68" s="24">
        <v>52</v>
      </c>
      <c r="AE68" s="27" t="str">
        <f t="shared" si="14"/>
        <v/>
      </c>
      <c r="AF68" s="26">
        <v>21</v>
      </c>
      <c r="AG68" s="27" t="str">
        <f t="shared" si="15"/>
        <v/>
      </c>
      <c r="AH68" s="26">
        <v>19</v>
      </c>
      <c r="AI68" s="27" t="str">
        <f t="shared" si="16"/>
        <v/>
      </c>
      <c r="AJ68" s="32">
        <f>IF(OR(AND(D68&gt;=31,D68&lt;40),AND(H68&gt;=31,H68&lt;40),AND(L68&gt;=31,L68&lt;40),AND(R68&gt;=31,R68&lt;40),AND(X68&gt;=31,X68&lt;40),AND(AD68&gt;=31,AD68&lt;40)),IF(AND(OR(COUNTIF(D68:AI68,"=31")&gt;=1,COUNTIF(D68:AI68,"=32")&gt;=1,COUNTIF(D68:AI68,"=33")&gt;=1,COUNTIF(D68:AI68,"=34")&gt;=1,COUNTIF(D68:AI68,"=35")&gt;=1,COUNTIF(D68:AI68,"=36")&gt;=1 ),COUNTIF(D68:AI68,"")=0,COUNTIF(D68:AI68," ")=0,COUNTIF(D68:AI68,"F")=1),CONCATENATE(SUM(EXTRACTNUMBER(D68),EXTRACTNUMBER(F68),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EXTRACTNUMBER(AD68),EXTRACTNUMBER(AH68),EXTRACTNUMBER(AF68)),"*"),IF(AND(COUNTIF(D68:AI68,"=34")&gt;=1,COUNTIF(D68:AI68,"=35")&gt;=1,COUNTIF(D68:AI68,"f")=2,COUNTIF(D68:AI68,"")=0,COUNTIF(D68:AI68," ")=0),CONCATENATE(SUM(EXTRACTNUMBER(D68),EXTRACTNUMBER(F68),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EXTRACTNUMBER(AD68),EXTRACTNUMBER(AH68),EXTRACTNUMBER(AF68)),"*"),IF(AND(COUNTIF(D68:AI68,"=36")&gt;=2,COUNTIF(D68:AI68,"f")=2,COUNTIF(D68:AI68,"")=0,COUNTIF(D68:AI68," ")=0),CONCATENATE(SUM(EXTRACTNUMBER(D68),EXTRACTNUMBER(F68),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EXTRACTNUMBER(AD68),EXTRACTNUMBER(AH68),EXTRACTNUMBER(AF68)),"*"),SUM(EXTRACTNUMBER(D68),EXTRACTNUMBER(F68),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EXTRACTNUMBER(AD68),EXTRACTNUMBER(AH68),EXTRACTNUMBER(AF68))))),SUM(EXTRACTNUMBER(D68),EXTRACTNUMBER(F68),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EXTRACTNUMBER(AD68),EXTRACTNUMBER(AH68),EXTRACTNUMBER(AF68)))</f>
        <v>482</v>
      </c>
      <c r="AK68" s="94" t="s">
        <v>572</v>
      </c>
      <c r="AL68" s="29">
        <f t="shared" si="0"/>
        <v>929</v>
      </c>
      <c r="AM68" s="29" t="str">
        <f t="shared" si="17"/>
        <v>PASS</v>
      </c>
      <c r="AN68" s="30" t="str">
        <f>IF(AM68="ABSENT","AB",IF(AM68="FAIL","--",
IF(AK68=0,"RS 3",
IF(AND(SUM(EXTRACTNUMBER(AK68),EXTRACTNUMBER(AJ68))&gt;=1010,
        NOT(IFERROR(FIND("x",AK68),0)),
        NOT(IFERROR(FIND("x",AJ68),0))),"I",
IF(AND(SUM(EXTRACTNUMBER(AK68),EXTRACTNUMBER(AJ68))&gt;=850,
      SUM(EXTRACTNUMBER(AK68),EXTRACTNUMBER(AJ68))&lt;1010,
      NOT(IFERROR(FIND("x",AK68),0)),
      NOT(IFERROR(FIND("x",AJ68),0))),"II",
IF(OR(AND(SUM(EXTRACTNUMBER(AK68),EXTRACTNUMBER(AJ68))&lt;850,
SUM(EXTRACTNUMBER(AK68),EXTRACTNUMBER(AJ68))&gt;=670),
IFERROR(FIND("x",AK68),0),IFERROR(FIND("x",AJ68),0)),"P","--"))))))</f>
        <v>P</v>
      </c>
      <c r="AO68" s="2" t="str">
        <f t="shared" si="18"/>
        <v xml:space="preserve">Nine Hundred Twenty Nine </v>
      </c>
    </row>
    <row r="69" spans="2:41" ht="16.5" customHeight="1">
      <c r="B69" s="45">
        <v>134242</v>
      </c>
      <c r="C69" s="46" t="s">
        <v>65</v>
      </c>
      <c r="D69" s="43">
        <v>68</v>
      </c>
      <c r="E69" s="27" t="str">
        <f t="shared" si="1"/>
        <v/>
      </c>
      <c r="F69" s="26">
        <v>24</v>
      </c>
      <c r="G69" s="27" t="str">
        <f t="shared" si="2"/>
        <v/>
      </c>
      <c r="H69" s="24">
        <v>72</v>
      </c>
      <c r="I69" s="27" t="str">
        <f t="shared" si="3"/>
        <v/>
      </c>
      <c r="J69" s="26">
        <v>24</v>
      </c>
      <c r="K69" s="27" t="str">
        <f t="shared" si="4"/>
        <v/>
      </c>
      <c r="L69" s="24">
        <v>64</v>
      </c>
      <c r="M69" s="27" t="str">
        <f t="shared" si="5"/>
        <v/>
      </c>
      <c r="N69" s="26">
        <v>22</v>
      </c>
      <c r="O69" s="27" t="str">
        <f t="shared" si="6"/>
        <v/>
      </c>
      <c r="P69" s="26">
        <v>21</v>
      </c>
      <c r="Q69" s="27" t="str">
        <f t="shared" si="7"/>
        <v/>
      </c>
      <c r="R69" s="24">
        <v>66</v>
      </c>
      <c r="S69" s="27" t="str">
        <f t="shared" si="8"/>
        <v/>
      </c>
      <c r="T69" s="26">
        <v>24</v>
      </c>
      <c r="U69" s="27" t="str">
        <f t="shared" si="9"/>
        <v/>
      </c>
      <c r="V69" s="26">
        <v>21</v>
      </c>
      <c r="W69" s="27" t="str">
        <f t="shared" si="10"/>
        <v/>
      </c>
      <c r="X69" s="24">
        <v>67</v>
      </c>
      <c r="Y69" s="27" t="str">
        <f t="shared" si="11"/>
        <v/>
      </c>
      <c r="Z69" s="26">
        <v>21</v>
      </c>
      <c r="AA69" s="27" t="str">
        <f t="shared" si="12"/>
        <v/>
      </c>
      <c r="AB69" s="26">
        <v>21</v>
      </c>
      <c r="AC69" s="27" t="str">
        <f t="shared" si="13"/>
        <v/>
      </c>
      <c r="AD69" s="24">
        <v>51</v>
      </c>
      <c r="AE69" s="27" t="str">
        <f t="shared" si="14"/>
        <v/>
      </c>
      <c r="AF69" s="26">
        <v>21</v>
      </c>
      <c r="AG69" s="27" t="str">
        <f t="shared" si="15"/>
        <v/>
      </c>
      <c r="AH69" s="26">
        <v>20</v>
      </c>
      <c r="AI69" s="27" t="str">
        <f t="shared" si="16"/>
        <v/>
      </c>
      <c r="AJ69" s="32">
        <f>IF(OR(AND(D69&gt;=31,D69&lt;40),AND(H69&gt;=31,H69&lt;40),AND(L69&gt;=31,L69&lt;40),AND(R69&gt;=31,R69&lt;40),AND(X69&gt;=31,X69&lt;40),AND(AD69&gt;=31,AD69&lt;40)),IF(AND(OR(COUNTIF(D69:AI69,"=31")&gt;=1,COUNTIF(D69:AI69,"=32")&gt;=1,COUNTIF(D69:AI69,"=33")&gt;=1,COUNTIF(D69:AI69,"=34")&gt;=1,COUNTIF(D69:AI69,"=35")&gt;=1,COUNTIF(D69:AI69,"=36")&gt;=1 ),COUNTIF(D69:AI69,"")=0,COUNTIF(D69:AI69," ")=0,COUNTIF(D69:AI69,"F")=1),CONCATENATE(SUM(EXTRACTNUMBER(D69),EXTRACTNUMBER(F69),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EXTRACTNUMBER(AD69),EXTRACTNUMBER(AH69),EXTRACTNUMBER(AF69)),"*"),IF(AND(COUNTIF(D69:AI69,"=34")&gt;=1,COUNTIF(D69:AI69,"=35")&gt;=1,COUNTIF(D69:AI69,"f")=2,COUNTIF(D69:AI69,"")=0,COUNTIF(D69:AI69," ")=0),CONCATENATE(SUM(EXTRACTNUMBER(D69),EXTRACTNUMBER(F69),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EXTRACTNUMBER(AD69),EXTRACTNUMBER(AH69),EXTRACTNUMBER(AF69)),"*"),IF(AND(COUNTIF(D69:AI69,"=36")&gt;=2,COUNTIF(D69:AI69,"f")=2,COUNTIF(D69:AI69,"")=0,COUNTIF(D69:AI69," ")=0),CONCATENATE(SUM(EXTRACTNUMBER(D69),EXTRACTNUMBER(F69),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EXTRACTNUMBER(AD69),EXTRACTNUMBER(AH69),EXTRACTNUMBER(AF69)),"*"),SUM(EXTRACTNUMBER(D69),EXTRACTNUMBER(F69),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EXTRACTNUMBER(AD69),EXTRACTNUMBER(AH69),EXTRACTNUMBER(AF69))))),SUM(EXTRACTNUMBER(D69),EXTRACTNUMBER(F69),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EXTRACTNUMBER(AD69),EXTRACTNUMBER(AH69),EXTRACTNUMBER(AF69)))</f>
        <v>607</v>
      </c>
      <c r="AK69" s="28" t="s">
        <v>262</v>
      </c>
      <c r="AL69" s="29">
        <f t="shared" si="0"/>
        <v>1186</v>
      </c>
      <c r="AM69" s="29" t="str">
        <f t="shared" si="17"/>
        <v>PASS</v>
      </c>
      <c r="AN69" s="30" t="str">
        <f>IF(AM69="ABSENT","AB",IF(AM69="FAIL","--",
IF(AK69=0,"RS 3",
IF(AND(SUM(EXTRACTNUMBER(AK69),EXTRACTNUMBER(AJ69))&gt;=1010,
        NOT(IFERROR(FIND("x",AK69),0)),
        NOT(IFERROR(FIND("x",AJ69),0))),"I",
IF(AND(SUM(EXTRACTNUMBER(AK69),EXTRACTNUMBER(AJ69))&gt;=850,
      SUM(EXTRACTNUMBER(AK69),EXTRACTNUMBER(AJ69))&lt;1010,
      NOT(IFERROR(FIND("x",AK69),0)),
      NOT(IFERROR(FIND("x",AJ69),0))),"II",
IF(OR(AND(SUM(EXTRACTNUMBER(AK69),EXTRACTNUMBER(AJ69))&lt;850,
SUM(EXTRACTNUMBER(AK69),EXTRACTNUMBER(AJ69))&gt;=670),
IFERROR(FIND("x",AK69),0),IFERROR(FIND("x",AJ69),0)),"P","--"))))))</f>
        <v>I</v>
      </c>
      <c r="AO69" s="2" t="str">
        <f t="shared" si="18"/>
        <v xml:space="preserve">One Thousand One Hundred Eighty Six </v>
      </c>
    </row>
    <row r="70" spans="2:41" ht="16.5" customHeight="1">
      <c r="B70" s="45">
        <v>134243</v>
      </c>
      <c r="C70" s="46" t="s">
        <v>66</v>
      </c>
      <c r="D70" s="43">
        <v>46</v>
      </c>
      <c r="E70" s="27" t="str">
        <f t="shared" si="1"/>
        <v/>
      </c>
      <c r="F70" s="26">
        <v>20</v>
      </c>
      <c r="G70" s="27" t="str">
        <f t="shared" si="2"/>
        <v/>
      </c>
      <c r="H70" s="24">
        <v>68</v>
      </c>
      <c r="I70" s="27" t="str">
        <f t="shared" si="3"/>
        <v/>
      </c>
      <c r="J70" s="26">
        <v>20</v>
      </c>
      <c r="K70" s="27" t="str">
        <f t="shared" si="4"/>
        <v/>
      </c>
      <c r="L70" s="24">
        <v>54</v>
      </c>
      <c r="M70" s="27" t="str">
        <f t="shared" si="5"/>
        <v/>
      </c>
      <c r="N70" s="26">
        <v>16</v>
      </c>
      <c r="O70" s="27" t="str">
        <f t="shared" si="6"/>
        <v/>
      </c>
      <c r="P70" s="26">
        <v>16</v>
      </c>
      <c r="Q70" s="27" t="str">
        <f t="shared" si="7"/>
        <v/>
      </c>
      <c r="R70" s="24">
        <v>60</v>
      </c>
      <c r="S70" s="27" t="str">
        <f t="shared" si="8"/>
        <v/>
      </c>
      <c r="T70" s="26">
        <v>19</v>
      </c>
      <c r="U70" s="27" t="str">
        <f t="shared" si="9"/>
        <v/>
      </c>
      <c r="V70" s="26">
        <v>21</v>
      </c>
      <c r="W70" s="27" t="str">
        <f t="shared" si="10"/>
        <v/>
      </c>
      <c r="X70" s="24">
        <v>57</v>
      </c>
      <c r="Y70" s="27" t="str">
        <f t="shared" si="11"/>
        <v/>
      </c>
      <c r="Z70" s="26">
        <v>22</v>
      </c>
      <c r="AA70" s="27" t="str">
        <f t="shared" si="12"/>
        <v/>
      </c>
      <c r="AB70" s="26">
        <v>22</v>
      </c>
      <c r="AC70" s="27" t="str">
        <f t="shared" si="13"/>
        <v/>
      </c>
      <c r="AD70" s="24">
        <v>46</v>
      </c>
      <c r="AE70" s="27" t="str">
        <f t="shared" si="14"/>
        <v/>
      </c>
      <c r="AF70" s="26">
        <v>20</v>
      </c>
      <c r="AG70" s="27" t="str">
        <f t="shared" si="15"/>
        <v/>
      </c>
      <c r="AH70" s="26">
        <v>23</v>
      </c>
      <c r="AI70" s="27" t="str">
        <f t="shared" si="16"/>
        <v/>
      </c>
      <c r="AJ70" s="32">
        <f>IF(OR(AND(D70&gt;=31,D70&lt;40),AND(H70&gt;=31,H70&lt;40),AND(L70&gt;=31,L70&lt;40),AND(R70&gt;=31,R70&lt;40),AND(X70&gt;=31,X70&lt;40),AND(AD70&gt;=31,AD70&lt;40)),IF(AND(OR(COUNTIF(D70:AI70,"=31")&gt;=1,COUNTIF(D70:AI70,"=32")&gt;=1,COUNTIF(D70:AI70,"=33")&gt;=1,COUNTIF(D70:AI70,"=34")&gt;=1,COUNTIF(D70:AI70,"=35")&gt;=1,COUNTIF(D70:AI70,"=36")&gt;=1 ),COUNTIF(D70:AI70,"")=0,COUNTIF(D70:AI70," ")=0,COUNTIF(D70:AI70,"F")=1),CONCATENATE(SUM(EXTRACTNUMBER(D70),EXTRACTNUMBER(F70),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EXTRACTNUMBER(AD70),EXTRACTNUMBER(AH70),EXTRACTNUMBER(AF70)),"*"),IF(AND(COUNTIF(D70:AI70,"=34")&gt;=1,COUNTIF(D70:AI70,"=35")&gt;=1,COUNTIF(D70:AI70,"f")=2,COUNTIF(D70:AI70,"")=0,COUNTIF(D70:AI70," ")=0),CONCATENATE(SUM(EXTRACTNUMBER(D70),EXTRACTNUMBER(F70),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EXTRACTNUMBER(AD70),EXTRACTNUMBER(AH70),EXTRACTNUMBER(AF70)),"*"),IF(AND(COUNTIF(D70:AI70,"=36")&gt;=2,COUNTIF(D70:AI70,"f")=2,COUNTIF(D70:AI70,"")=0,COUNTIF(D70:AI70," ")=0),CONCATENATE(SUM(EXTRACTNUMBER(D70),EXTRACTNUMBER(F70),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EXTRACTNUMBER(AD70),EXTRACTNUMBER(AH70),EXTRACTNUMBER(AF70)),"*"),SUM(EXTRACTNUMBER(D70),EXTRACTNUMBER(F70),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EXTRACTNUMBER(AD70),EXTRACTNUMBER(AH70),EXTRACTNUMBER(AF70))))),SUM(EXTRACTNUMBER(D70),EXTRACTNUMBER(F70),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EXTRACTNUMBER(AD70),EXTRACTNUMBER(AH70),EXTRACTNUMBER(AF70)))</f>
        <v>530</v>
      </c>
      <c r="AK70" s="28" t="s">
        <v>263</v>
      </c>
      <c r="AL70" s="29">
        <f t="shared" si="0"/>
        <v>1068</v>
      </c>
      <c r="AM70" s="29" t="str">
        <f t="shared" si="17"/>
        <v>PASS</v>
      </c>
      <c r="AN70" s="30" t="str">
        <f>IF(AM70="ABSENT","AB",IF(AM70="FAIL","--",
IF(AK70=0,"RS 3",
IF(AND(SUM(EXTRACTNUMBER(AK70),EXTRACTNUMBER(AJ70))&gt;=1010,
        NOT(IFERROR(FIND("x",AK70),0)),
        NOT(IFERROR(FIND("x",AJ70),0))),"I",
IF(AND(SUM(EXTRACTNUMBER(AK70),EXTRACTNUMBER(AJ70))&gt;=850,
      SUM(EXTRACTNUMBER(AK70),EXTRACTNUMBER(AJ70))&lt;1010,
      NOT(IFERROR(FIND("x",AK70),0)),
      NOT(IFERROR(FIND("x",AJ70),0))),"II",
IF(OR(AND(SUM(EXTRACTNUMBER(AK70),EXTRACTNUMBER(AJ70))&lt;850,
SUM(EXTRACTNUMBER(AK70),EXTRACTNUMBER(AJ70))&gt;=670),
IFERROR(FIND("x",AK70),0),IFERROR(FIND("x",AJ70),0)),"P","--"))))))</f>
        <v>I</v>
      </c>
      <c r="AO70" s="2" t="str">
        <f t="shared" si="18"/>
        <v xml:space="preserve">One Thousand Sixty Eight </v>
      </c>
    </row>
    <row r="71" spans="2:41" ht="16.5" customHeight="1">
      <c r="B71" s="45">
        <v>134244</v>
      </c>
      <c r="C71" s="46" t="s">
        <v>67</v>
      </c>
      <c r="D71" s="43">
        <v>24</v>
      </c>
      <c r="E71" s="27" t="str">
        <f t="shared" si="1"/>
        <v>F</v>
      </c>
      <c r="F71" s="26">
        <v>19</v>
      </c>
      <c r="G71" s="27" t="str">
        <f t="shared" si="2"/>
        <v>E</v>
      </c>
      <c r="H71" s="24">
        <v>40</v>
      </c>
      <c r="I71" s="27" t="str">
        <f t="shared" si="3"/>
        <v>E</v>
      </c>
      <c r="J71" s="26">
        <v>19</v>
      </c>
      <c r="K71" s="27" t="str">
        <f t="shared" si="4"/>
        <v>E</v>
      </c>
      <c r="L71" s="24">
        <v>56</v>
      </c>
      <c r="M71" s="27" t="str">
        <f t="shared" si="5"/>
        <v>E</v>
      </c>
      <c r="N71" s="26">
        <v>19</v>
      </c>
      <c r="O71" s="27" t="str">
        <f t="shared" si="6"/>
        <v>E</v>
      </c>
      <c r="P71" s="26">
        <v>20</v>
      </c>
      <c r="Q71" s="27" t="str">
        <f t="shared" si="7"/>
        <v>E</v>
      </c>
      <c r="R71" s="24">
        <v>40</v>
      </c>
      <c r="S71" s="27" t="str">
        <f t="shared" si="8"/>
        <v>E</v>
      </c>
      <c r="T71" s="26">
        <v>20</v>
      </c>
      <c r="U71" s="27" t="str">
        <f t="shared" si="9"/>
        <v>E</v>
      </c>
      <c r="V71" s="26">
        <v>19</v>
      </c>
      <c r="W71" s="27" t="str">
        <f t="shared" si="10"/>
        <v>E</v>
      </c>
      <c r="X71" s="24">
        <v>53</v>
      </c>
      <c r="Y71" s="27" t="str">
        <f t="shared" si="11"/>
        <v>E</v>
      </c>
      <c r="Z71" s="26">
        <v>21</v>
      </c>
      <c r="AA71" s="27" t="str">
        <f t="shared" si="12"/>
        <v>E</v>
      </c>
      <c r="AB71" s="26">
        <v>22</v>
      </c>
      <c r="AC71" s="27" t="str">
        <f t="shared" si="13"/>
        <v>E</v>
      </c>
      <c r="AD71" s="24">
        <v>53</v>
      </c>
      <c r="AE71" s="27" t="str">
        <f t="shared" si="14"/>
        <v>E</v>
      </c>
      <c r="AF71" s="26">
        <v>22</v>
      </c>
      <c r="AG71" s="27" t="str">
        <f t="shared" si="15"/>
        <v>E</v>
      </c>
      <c r="AH71" s="26">
        <v>18</v>
      </c>
      <c r="AI71" s="27" t="str">
        <f t="shared" si="16"/>
        <v>E</v>
      </c>
      <c r="AJ71" s="32">
        <f>IF(OR(AND(D71&gt;=31,D71&lt;40),AND(H71&gt;=31,H71&lt;40),AND(L71&gt;=31,L71&lt;40),AND(R71&gt;=31,R71&lt;40),AND(X71&gt;=31,X71&lt;40),AND(AD71&gt;=31,AD71&lt;40)),IF(AND(OR(COUNTIF(D71:AI71,"=31")&gt;=1,COUNTIF(D71:AI71,"=32")&gt;=1,COUNTIF(D71:AI71,"=33")&gt;=1,COUNTIF(D71:AI71,"=34")&gt;=1,COUNTIF(D71:AI71,"=35")&gt;=1,COUNTIF(D71:AI71,"=36")&gt;=1 ),COUNTIF(D71:AI71,"")=0,COUNTIF(D71:AI71," ")=0,COUNTIF(D71:AI71,"F")=1),CONCATENATE(SUM(EXTRACTNUMBER(D71),EXTRACTNUMBER(F71),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EXTRACTNUMBER(AD71),EXTRACTNUMBER(AH71),EXTRACTNUMBER(AF71)),"*"),IF(AND(COUNTIF(D71:AI71,"=34")&gt;=1,COUNTIF(D71:AI71,"=35")&gt;=1,COUNTIF(D71:AI71,"f")=2,COUNTIF(D71:AI71,"")=0,COUNTIF(D71:AI71," ")=0),CONCATENATE(SUM(EXTRACTNUMBER(D71),EXTRACTNUMBER(F71),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EXTRACTNUMBER(AD71),EXTRACTNUMBER(AH71),EXTRACTNUMBER(AF71)),"*"),IF(AND(COUNTIF(D71:AI71,"=36")&gt;=2,COUNTIF(D71:AI71,"f")=2,COUNTIF(D71:AI71,"")=0,COUNTIF(D71:AI71," ")=0),CONCATENATE(SUM(EXTRACTNUMBER(D71),EXTRACTNUMBER(F71),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EXTRACTNUMBER(AD71),EXTRACTNUMBER(AH71),EXTRACTNUMBER(AF71)),"*"),SUM(EXTRACTNUMBER(D71),EXTRACTNUMBER(F71),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EXTRACTNUMBER(AD71),EXTRACTNUMBER(AH71),EXTRACTNUMBER(AF71))))),SUM(EXTRACTNUMBER(D71),EXTRACTNUMBER(F71),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EXTRACTNUMBER(AD71),EXTRACTNUMBER(AH71),EXTRACTNUMBER(AF71)))</f>
        <v>465</v>
      </c>
      <c r="AK71" s="28">
        <v>0</v>
      </c>
      <c r="AL71" s="29">
        <f t="shared" si="0"/>
        <v>465</v>
      </c>
      <c r="AM71" s="29" t="str">
        <f t="shared" si="17"/>
        <v>FAIL</v>
      </c>
      <c r="AN71" s="30" t="str">
        <f>IF(AM71="ABSENT","AB",IF(AM71="FAIL","--",
IF(AK71=0,"RS 3",
IF(AND(SUM(EXTRACTNUMBER(AK71),EXTRACTNUMBER(AJ71))&gt;=1010,
        NOT(IFERROR(FIND("x",AK71),0)),
        NOT(IFERROR(FIND("x",AJ71),0))),"I",
IF(AND(SUM(EXTRACTNUMBER(AK71),EXTRACTNUMBER(AJ71))&gt;=850,
      SUM(EXTRACTNUMBER(AK71),EXTRACTNUMBER(AJ71))&lt;1010,
      NOT(IFERROR(FIND("x",AK71),0)),
      NOT(IFERROR(FIND("x",AJ71),0))),"II",
IF(OR(AND(SUM(EXTRACTNUMBER(AK71),EXTRACTNUMBER(AJ71))&lt;850,
SUM(EXTRACTNUMBER(AK71),EXTRACTNUMBER(AJ71))&gt;=670),
IFERROR(FIND("x",AK71),0),IFERROR(FIND("x",AJ71),0)),"P","--"))))))</f>
        <v>--</v>
      </c>
      <c r="AO71" s="2" t="str">
        <f t="shared" si="18"/>
        <v xml:space="preserve">Four Hundred Sixty Five </v>
      </c>
    </row>
    <row r="72" spans="2:41" ht="16.5" customHeight="1">
      <c r="B72" s="45">
        <v>134245</v>
      </c>
      <c r="C72" s="46" t="s">
        <v>68</v>
      </c>
      <c r="D72" s="43">
        <v>66</v>
      </c>
      <c r="E72" s="27" t="str">
        <f t="shared" si="1"/>
        <v/>
      </c>
      <c r="F72" s="26">
        <v>24</v>
      </c>
      <c r="G72" s="27" t="str">
        <f t="shared" si="2"/>
        <v/>
      </c>
      <c r="H72" s="24">
        <v>70</v>
      </c>
      <c r="I72" s="27" t="str">
        <f t="shared" si="3"/>
        <v/>
      </c>
      <c r="J72" s="26">
        <v>24</v>
      </c>
      <c r="K72" s="27" t="str">
        <f t="shared" si="4"/>
        <v/>
      </c>
      <c r="L72" s="24">
        <v>59</v>
      </c>
      <c r="M72" s="27" t="str">
        <f t="shared" si="5"/>
        <v/>
      </c>
      <c r="N72" s="26">
        <v>19</v>
      </c>
      <c r="O72" s="27" t="str">
        <f t="shared" si="6"/>
        <v/>
      </c>
      <c r="P72" s="26">
        <v>19</v>
      </c>
      <c r="Q72" s="27" t="str">
        <f t="shared" si="7"/>
        <v/>
      </c>
      <c r="R72" s="24">
        <v>65</v>
      </c>
      <c r="S72" s="27" t="str">
        <f t="shared" si="8"/>
        <v/>
      </c>
      <c r="T72" s="26">
        <v>22</v>
      </c>
      <c r="U72" s="27" t="str">
        <f t="shared" si="9"/>
        <v/>
      </c>
      <c r="V72" s="26">
        <v>24</v>
      </c>
      <c r="W72" s="27" t="str">
        <f t="shared" si="10"/>
        <v/>
      </c>
      <c r="X72" s="24">
        <v>49</v>
      </c>
      <c r="Y72" s="27" t="str">
        <f t="shared" si="11"/>
        <v/>
      </c>
      <c r="Z72" s="26">
        <v>20</v>
      </c>
      <c r="AA72" s="27" t="str">
        <f t="shared" si="12"/>
        <v/>
      </c>
      <c r="AB72" s="26">
        <v>21</v>
      </c>
      <c r="AC72" s="27" t="str">
        <f t="shared" si="13"/>
        <v/>
      </c>
      <c r="AD72" s="24">
        <v>52</v>
      </c>
      <c r="AE72" s="27" t="str">
        <f t="shared" si="14"/>
        <v/>
      </c>
      <c r="AF72" s="26">
        <v>21</v>
      </c>
      <c r="AG72" s="27" t="str">
        <f t="shared" si="15"/>
        <v/>
      </c>
      <c r="AH72" s="26">
        <v>21</v>
      </c>
      <c r="AI72" s="27" t="str">
        <f t="shared" si="16"/>
        <v/>
      </c>
      <c r="AJ72" s="32">
        <f>IF(OR(AND(D72&gt;=31,D72&lt;40),AND(H72&gt;=31,H72&lt;40),AND(L72&gt;=31,L72&lt;40),AND(R72&gt;=31,R72&lt;40),AND(X72&gt;=31,X72&lt;40),AND(AD72&gt;=31,AD72&lt;40)),IF(AND(OR(COUNTIF(D72:AI72,"=31")&gt;=1,COUNTIF(D72:AI72,"=32")&gt;=1,COUNTIF(D72:AI72,"=33")&gt;=1,COUNTIF(D72:AI72,"=34")&gt;=1,COUNTIF(D72:AI72,"=35")&gt;=1,COUNTIF(D72:AI72,"=36")&gt;=1 ),COUNTIF(D72:AI72,"")=0,COUNTIF(D72:AI72," ")=0,COUNTIF(D72:AI72,"F")=1),CONCATENATE(SUM(EXTRACTNUMBER(D72),EXTRACTNUMBER(F72),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EXTRACTNUMBER(AD72),EXTRACTNUMBER(AH72),EXTRACTNUMBER(AF72)),"*"),IF(AND(COUNTIF(D72:AI72,"=34")&gt;=1,COUNTIF(D72:AI72,"=35")&gt;=1,COUNTIF(D72:AI72,"f")=2,COUNTIF(D72:AI72,"")=0,COUNTIF(D72:AI72," ")=0),CONCATENATE(SUM(EXTRACTNUMBER(D72),EXTRACTNUMBER(F72),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EXTRACTNUMBER(AD72),EXTRACTNUMBER(AH72),EXTRACTNUMBER(AF72)),"*"),IF(AND(COUNTIF(D72:AI72,"=36")&gt;=2,COUNTIF(D72:AI72,"f")=2,COUNTIF(D72:AI72,"")=0,COUNTIF(D72:AI72," ")=0),CONCATENATE(SUM(EXTRACTNUMBER(D72),EXTRACTNUMBER(F72),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EXTRACTNUMBER(AD72),EXTRACTNUMBER(AH72),EXTRACTNUMBER(AF72)),"*"),SUM(EXTRACTNUMBER(D72),EXTRACTNUMBER(F72),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EXTRACTNUMBER(AD72),EXTRACTNUMBER(AH72),EXTRACTNUMBER(AF72))))),SUM(EXTRACTNUMBER(D72),EXTRACTNUMBER(F72),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EXTRACTNUMBER(AD72),EXTRACTNUMBER(AH72),EXTRACTNUMBER(AF72)))</f>
        <v>576</v>
      </c>
      <c r="AK72" s="28" t="s">
        <v>264</v>
      </c>
      <c r="AL72" s="29">
        <f t="shared" si="0"/>
        <v>1191</v>
      </c>
      <c r="AM72" s="29" t="str">
        <f t="shared" si="17"/>
        <v>PASS</v>
      </c>
      <c r="AN72" s="30" t="str">
        <f>IF(AM72="ABSENT","AB",IF(AM72="FAIL","--",
IF(AK72=0,"RS 3",
IF(AND(SUM(EXTRACTNUMBER(AK72),EXTRACTNUMBER(AJ72))&gt;=1010,
        NOT(IFERROR(FIND("x",AK72),0)),
        NOT(IFERROR(FIND("x",AJ72),0))),"I",
IF(AND(SUM(EXTRACTNUMBER(AK72),EXTRACTNUMBER(AJ72))&gt;=850,
      SUM(EXTRACTNUMBER(AK72),EXTRACTNUMBER(AJ72))&lt;1010,
      NOT(IFERROR(FIND("x",AK72),0)),
      NOT(IFERROR(FIND("x",AJ72),0))),"II",
IF(OR(AND(SUM(EXTRACTNUMBER(AK72),EXTRACTNUMBER(AJ72))&lt;850,
SUM(EXTRACTNUMBER(AK72),EXTRACTNUMBER(AJ72))&gt;=670),
IFERROR(FIND("x",AK72),0),IFERROR(FIND("x",AJ72),0)),"P","--"))))))</f>
        <v>I</v>
      </c>
      <c r="AO72" s="2" t="str">
        <f t="shared" si="18"/>
        <v xml:space="preserve">One Thousand One Hundred NinetyOne </v>
      </c>
    </row>
    <row r="73" spans="2:41" ht="16.5" customHeight="1">
      <c r="B73" s="45">
        <v>134246</v>
      </c>
      <c r="C73" s="46" t="s">
        <v>69</v>
      </c>
      <c r="D73" s="43">
        <v>45</v>
      </c>
      <c r="E73" s="27" t="str">
        <f t="shared" si="1"/>
        <v/>
      </c>
      <c r="F73" s="26">
        <v>19</v>
      </c>
      <c r="G73" s="27" t="str">
        <f t="shared" si="2"/>
        <v/>
      </c>
      <c r="H73" s="24">
        <v>73</v>
      </c>
      <c r="I73" s="27" t="str">
        <f t="shared" si="3"/>
        <v/>
      </c>
      <c r="J73" s="26">
        <v>15</v>
      </c>
      <c r="K73" s="27" t="str">
        <f t="shared" si="4"/>
        <v/>
      </c>
      <c r="L73" s="24">
        <v>57</v>
      </c>
      <c r="M73" s="27" t="str">
        <f t="shared" si="5"/>
        <v/>
      </c>
      <c r="N73" s="26">
        <v>17</v>
      </c>
      <c r="O73" s="27" t="str">
        <f t="shared" si="6"/>
        <v/>
      </c>
      <c r="P73" s="26">
        <v>18</v>
      </c>
      <c r="Q73" s="27" t="str">
        <f t="shared" si="7"/>
        <v/>
      </c>
      <c r="R73" s="24">
        <v>57</v>
      </c>
      <c r="S73" s="27" t="str">
        <f t="shared" si="8"/>
        <v/>
      </c>
      <c r="T73" s="26">
        <v>15</v>
      </c>
      <c r="U73" s="27" t="str">
        <f t="shared" si="9"/>
        <v/>
      </c>
      <c r="V73" s="26">
        <v>19</v>
      </c>
      <c r="W73" s="27" t="str">
        <f t="shared" si="10"/>
        <v/>
      </c>
      <c r="X73" s="24">
        <v>43</v>
      </c>
      <c r="Y73" s="27" t="str">
        <f t="shared" si="11"/>
        <v/>
      </c>
      <c r="Z73" s="26">
        <v>20</v>
      </c>
      <c r="AA73" s="27" t="str">
        <f t="shared" si="12"/>
        <v/>
      </c>
      <c r="AB73" s="26">
        <v>21</v>
      </c>
      <c r="AC73" s="27" t="str">
        <f t="shared" si="13"/>
        <v/>
      </c>
      <c r="AD73" s="24">
        <v>50</v>
      </c>
      <c r="AE73" s="27" t="str">
        <f t="shared" si="14"/>
        <v/>
      </c>
      <c r="AF73" s="26">
        <v>21</v>
      </c>
      <c r="AG73" s="27" t="str">
        <f t="shared" si="15"/>
        <v/>
      </c>
      <c r="AH73" s="26">
        <v>19</v>
      </c>
      <c r="AI73" s="27" t="str">
        <f t="shared" si="16"/>
        <v/>
      </c>
      <c r="AJ73" s="32">
        <f>IF(OR(AND(D73&gt;=31,D73&lt;40),AND(H73&gt;=31,H73&lt;40),AND(L73&gt;=31,L73&lt;40),AND(R73&gt;=31,R73&lt;40),AND(X73&gt;=31,X73&lt;40),AND(AD73&gt;=31,AD73&lt;40)),IF(AND(OR(COUNTIF(D73:AI73,"=31")&gt;=1,COUNTIF(D73:AI73,"=32")&gt;=1,COUNTIF(D73:AI73,"=33")&gt;=1,COUNTIF(D73:AI73,"=34")&gt;=1,COUNTIF(D73:AI73,"=35")&gt;=1,COUNTIF(D73:AI73,"=36")&gt;=1 ),COUNTIF(D73:AI73,"")=0,COUNTIF(D73:AI73," ")=0,COUNTIF(D73:AI73,"F")=1),CONCATENATE(SUM(EXTRACTNUMBER(D73),EXTRACTNUMBER(F73),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EXTRACTNUMBER(AD73),EXTRACTNUMBER(AH73),EXTRACTNUMBER(AF73)),"*"),IF(AND(COUNTIF(D73:AI73,"=34")&gt;=1,COUNTIF(D73:AI73,"=35")&gt;=1,COUNTIF(D73:AI73,"f")=2,COUNTIF(D73:AI73,"")=0,COUNTIF(D73:AI73," ")=0),CONCATENATE(SUM(EXTRACTNUMBER(D73),EXTRACTNUMBER(F73),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EXTRACTNUMBER(AD73),EXTRACTNUMBER(AH73),EXTRACTNUMBER(AF73)),"*"),IF(AND(COUNTIF(D73:AI73,"=36")&gt;=2,COUNTIF(D73:AI73,"f")=2,COUNTIF(D73:AI73,"")=0,COUNTIF(D73:AI73," ")=0),CONCATENATE(SUM(EXTRACTNUMBER(D73),EXTRACTNUMBER(F73),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EXTRACTNUMBER(AD73),EXTRACTNUMBER(AH73),EXTRACTNUMBER(AF73)),"*"),SUM(EXTRACTNUMBER(D73),EXTRACTNUMBER(F73),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EXTRACTNUMBER(AD73),EXTRACTNUMBER(AH73),EXTRACTNUMBER(AF73))))),SUM(EXTRACTNUMBER(D73),EXTRACTNUMBER(F73),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EXTRACTNUMBER(AD73),EXTRACTNUMBER(AH73),EXTRACTNUMBER(AF73)))</f>
        <v>509</v>
      </c>
      <c r="AK73" s="28" t="s">
        <v>265</v>
      </c>
      <c r="AL73" s="29">
        <f t="shared" si="0"/>
        <v>1020</v>
      </c>
      <c r="AM73" s="29" t="str">
        <f t="shared" si="17"/>
        <v>PASS</v>
      </c>
      <c r="AN73" s="30" t="str">
        <f>IF(AM73="ABSENT","AB",IF(AM73="FAIL","--",
IF(AK73=0,"RS 3",
IF(AND(SUM(EXTRACTNUMBER(AK73),EXTRACTNUMBER(AJ73))&gt;=1010,
        NOT(IFERROR(FIND("x",AK73),0)),
        NOT(IFERROR(FIND("x",AJ73),0))),"I",
IF(AND(SUM(EXTRACTNUMBER(AK73),EXTRACTNUMBER(AJ73))&gt;=850,
      SUM(EXTRACTNUMBER(AK73),EXTRACTNUMBER(AJ73))&lt;1010,
      NOT(IFERROR(FIND("x",AK73),0)),
      NOT(IFERROR(FIND("x",AJ73),0))),"II",
IF(OR(AND(SUM(EXTRACTNUMBER(AK73),EXTRACTNUMBER(AJ73))&lt;850,
SUM(EXTRACTNUMBER(AK73),EXTRACTNUMBER(AJ73))&gt;=670),
IFERROR(FIND("x",AK73),0),IFERROR(FIND("x",AJ73),0)),"P","--"))))))</f>
        <v>I</v>
      </c>
      <c r="AO73" s="2" t="str">
        <f t="shared" si="18"/>
        <v xml:space="preserve">One Thousand Twenty  </v>
      </c>
    </row>
    <row r="74" spans="2:41" ht="16.5" customHeight="1">
      <c r="B74" s="45">
        <v>134247</v>
      </c>
      <c r="C74" s="46" t="s">
        <v>70</v>
      </c>
      <c r="D74" s="43">
        <v>40</v>
      </c>
      <c r="E74" s="27" t="str">
        <f t="shared" si="1"/>
        <v/>
      </c>
      <c r="F74" s="26">
        <v>16</v>
      </c>
      <c r="G74" s="27" t="str">
        <f t="shared" si="2"/>
        <v/>
      </c>
      <c r="H74" s="24">
        <v>43</v>
      </c>
      <c r="I74" s="27" t="str">
        <f t="shared" si="3"/>
        <v/>
      </c>
      <c r="J74" s="26">
        <v>23</v>
      </c>
      <c r="K74" s="27" t="str">
        <f t="shared" si="4"/>
        <v/>
      </c>
      <c r="L74" s="24">
        <v>54</v>
      </c>
      <c r="M74" s="27" t="str">
        <f t="shared" si="5"/>
        <v/>
      </c>
      <c r="N74" s="26">
        <v>22</v>
      </c>
      <c r="O74" s="27" t="str">
        <f t="shared" si="6"/>
        <v/>
      </c>
      <c r="P74" s="26">
        <v>22</v>
      </c>
      <c r="Q74" s="27" t="str">
        <f t="shared" si="7"/>
        <v/>
      </c>
      <c r="R74" s="24">
        <v>50</v>
      </c>
      <c r="S74" s="27" t="str">
        <f t="shared" si="8"/>
        <v/>
      </c>
      <c r="T74" s="26">
        <v>23</v>
      </c>
      <c r="U74" s="27" t="str">
        <f t="shared" si="9"/>
        <v/>
      </c>
      <c r="V74" s="26">
        <v>19</v>
      </c>
      <c r="W74" s="27" t="str">
        <f t="shared" si="10"/>
        <v/>
      </c>
      <c r="X74" s="24">
        <v>49</v>
      </c>
      <c r="Y74" s="27" t="str">
        <f t="shared" si="11"/>
        <v/>
      </c>
      <c r="Z74" s="26">
        <v>23</v>
      </c>
      <c r="AA74" s="27" t="str">
        <f t="shared" si="12"/>
        <v/>
      </c>
      <c r="AB74" s="26">
        <v>21</v>
      </c>
      <c r="AC74" s="27" t="str">
        <f t="shared" si="13"/>
        <v/>
      </c>
      <c r="AD74" s="24">
        <v>48</v>
      </c>
      <c r="AE74" s="27" t="str">
        <f t="shared" si="14"/>
        <v/>
      </c>
      <c r="AF74" s="26">
        <v>23</v>
      </c>
      <c r="AG74" s="27" t="str">
        <f t="shared" si="15"/>
        <v/>
      </c>
      <c r="AH74" s="26">
        <v>20</v>
      </c>
      <c r="AI74" s="27" t="str">
        <f t="shared" si="16"/>
        <v/>
      </c>
      <c r="AJ74" s="32">
        <f>IF(OR(AND(D74&gt;=31,D74&lt;40),AND(H74&gt;=31,H74&lt;40),AND(L74&gt;=31,L74&lt;40),AND(R74&gt;=31,R74&lt;40),AND(X74&gt;=31,X74&lt;40),AND(AD74&gt;=31,AD74&lt;40)),IF(AND(OR(COUNTIF(D74:AI74,"=31")&gt;=1,COUNTIF(D74:AI74,"=32")&gt;=1,COUNTIF(D74:AI74,"=33")&gt;=1,COUNTIF(D74:AI74,"=34")&gt;=1,COUNTIF(D74:AI74,"=35")&gt;=1,COUNTIF(D74:AI74,"=36")&gt;=1 ),COUNTIF(D74:AI74,"")=0,COUNTIF(D74:AI74," ")=0,COUNTIF(D74:AI74,"F")=1),CONCATENATE(SUM(EXTRACTNUMBER(D74),EXTRACTNUMBER(F74),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EXTRACTNUMBER(AD74),EXTRACTNUMBER(AH74),EXTRACTNUMBER(AF74)),"*"),IF(AND(COUNTIF(D74:AI74,"=34")&gt;=1,COUNTIF(D74:AI74,"=35")&gt;=1,COUNTIF(D74:AI74,"f")=2,COUNTIF(D74:AI74,"")=0,COUNTIF(D74:AI74," ")=0),CONCATENATE(SUM(EXTRACTNUMBER(D74),EXTRACTNUMBER(F74),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EXTRACTNUMBER(AD74),EXTRACTNUMBER(AH74),EXTRACTNUMBER(AF74)),"*"),IF(AND(COUNTIF(D74:AI74,"=36")&gt;=2,COUNTIF(D74:AI74,"f")=2,COUNTIF(D74:AI74,"")=0,COUNTIF(D74:AI74," ")=0),CONCATENATE(SUM(EXTRACTNUMBER(D74),EXTRACTNUMBER(F74),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EXTRACTNUMBER(AD74),EXTRACTNUMBER(AH74),EXTRACTNUMBER(AF74)),"*"),SUM(EXTRACTNUMBER(D74),EXTRACTNUMBER(F74),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EXTRACTNUMBER(AD74),EXTRACTNUMBER(AH74),EXTRACTNUMBER(AF74))))),SUM(EXTRACTNUMBER(D74),EXTRACTNUMBER(F74),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EXTRACTNUMBER(AD74),EXTRACTNUMBER(AH74),EXTRACTNUMBER(AF74)))</f>
        <v>496</v>
      </c>
      <c r="AK74" s="94" t="s">
        <v>573</v>
      </c>
      <c r="AL74" s="49" t="s">
        <v>316</v>
      </c>
      <c r="AM74" s="29" t="str">
        <f t="shared" si="17"/>
        <v>PASS</v>
      </c>
      <c r="AN74" s="30" t="str">
        <f>IF(AM74="ABSENT","AB",IF(AM74="FAIL","--",
IF(AK74=0,"RS 3",
IF(AND(SUM(EXTRACTNUMBER(AK74),EXTRACTNUMBER(AJ74))&gt;=1010,
        NOT(IFERROR(FIND("x",AK74),0)),
        NOT(IFERROR(FIND("x",AJ74),0))),"I",
IF(AND(SUM(EXTRACTNUMBER(AK74),EXTRACTNUMBER(AJ74))&gt;=850,
      SUM(EXTRACTNUMBER(AK74),EXTRACTNUMBER(AJ74))&lt;1010,
      NOT(IFERROR(FIND("x",AK74),0)),
      NOT(IFERROR(FIND("x",AJ74),0))),"II",
IF(OR(AND(SUM(EXTRACTNUMBER(AK74),EXTRACTNUMBER(AJ74))&lt;850,
SUM(EXTRACTNUMBER(AK74),EXTRACTNUMBER(AJ74))&gt;=670),
IFERROR(FIND("x",AK74),0),IFERROR(FIND("x",AJ74),0)),"P","--"))))))</f>
        <v>P</v>
      </c>
      <c r="AO74" s="2" t="e">
        <f t="shared" si="18"/>
        <v>#VALUE!</v>
      </c>
    </row>
    <row r="75" spans="2:41" ht="16.5" customHeight="1">
      <c r="B75" s="45">
        <v>134248</v>
      </c>
      <c r="C75" s="46" t="s">
        <v>71</v>
      </c>
      <c r="D75" s="43">
        <v>27</v>
      </c>
      <c r="E75" s="27" t="str">
        <f t="shared" si="1"/>
        <v>F</v>
      </c>
      <c r="F75" s="26">
        <v>20</v>
      </c>
      <c r="G75" s="27" t="str">
        <f t="shared" si="2"/>
        <v>E</v>
      </c>
      <c r="H75" s="24">
        <v>69</v>
      </c>
      <c r="I75" s="27" t="str">
        <f t="shared" si="3"/>
        <v>E</v>
      </c>
      <c r="J75" s="26">
        <v>17</v>
      </c>
      <c r="K75" s="27" t="str">
        <f t="shared" si="4"/>
        <v>E</v>
      </c>
      <c r="L75" s="24">
        <v>58</v>
      </c>
      <c r="M75" s="27" t="str">
        <f t="shared" si="5"/>
        <v>E</v>
      </c>
      <c r="N75" s="26">
        <v>16</v>
      </c>
      <c r="O75" s="27" t="str">
        <f t="shared" si="6"/>
        <v>E</v>
      </c>
      <c r="P75" s="26">
        <v>16</v>
      </c>
      <c r="Q75" s="27" t="str">
        <f t="shared" si="7"/>
        <v>E</v>
      </c>
      <c r="R75" s="24">
        <v>56</v>
      </c>
      <c r="S75" s="27" t="str">
        <f t="shared" si="8"/>
        <v>E</v>
      </c>
      <c r="T75" s="26">
        <v>22</v>
      </c>
      <c r="U75" s="27" t="str">
        <f t="shared" si="9"/>
        <v>E</v>
      </c>
      <c r="V75" s="26">
        <v>14</v>
      </c>
      <c r="W75" s="27" t="str">
        <f t="shared" si="10"/>
        <v>E</v>
      </c>
      <c r="X75" s="24">
        <v>42</v>
      </c>
      <c r="Y75" s="27" t="str">
        <f t="shared" si="11"/>
        <v>E</v>
      </c>
      <c r="Z75" s="26">
        <v>21</v>
      </c>
      <c r="AA75" s="27" t="str">
        <f t="shared" si="12"/>
        <v>E</v>
      </c>
      <c r="AB75" s="26">
        <v>22</v>
      </c>
      <c r="AC75" s="27" t="str">
        <f t="shared" si="13"/>
        <v>E</v>
      </c>
      <c r="AD75" s="24">
        <v>59</v>
      </c>
      <c r="AE75" s="27" t="str">
        <f t="shared" si="14"/>
        <v>E</v>
      </c>
      <c r="AF75" s="26">
        <v>20</v>
      </c>
      <c r="AG75" s="27" t="str">
        <f t="shared" si="15"/>
        <v>E</v>
      </c>
      <c r="AH75" s="26">
        <v>19</v>
      </c>
      <c r="AI75" s="27" t="str">
        <f t="shared" si="16"/>
        <v>E</v>
      </c>
      <c r="AJ75" s="32">
        <f>IF(OR(AND(D75&gt;=31,D75&lt;40),AND(H75&gt;=31,H75&lt;40),AND(L75&gt;=31,L75&lt;40),AND(R75&gt;=31,R75&lt;40),AND(X75&gt;=31,X75&lt;40),AND(AD75&gt;=31,AD75&lt;40)),IF(AND(OR(COUNTIF(D75:AI75,"=31")&gt;=1,COUNTIF(D75:AI75,"=32")&gt;=1,COUNTIF(D75:AI75,"=33")&gt;=1,COUNTIF(D75:AI75,"=34")&gt;=1,COUNTIF(D75:AI75,"=35")&gt;=1,COUNTIF(D75:AI75,"=36")&gt;=1 ),COUNTIF(D75:AI75,"")=0,COUNTIF(D75:AI75," ")=0,COUNTIF(D75:AI75,"F")=1),CONCATENATE(SUM(EXTRACTNUMBER(D75),EXTRACTNUMBER(F75),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EXTRACTNUMBER(AD75),EXTRACTNUMBER(AH75),EXTRACTNUMBER(AF75)),"*"),IF(AND(COUNTIF(D75:AI75,"=34")&gt;=1,COUNTIF(D75:AI75,"=35")&gt;=1,COUNTIF(D75:AI75,"f")=2,COUNTIF(D75:AI75,"")=0,COUNTIF(D75:AI75," ")=0),CONCATENATE(SUM(EXTRACTNUMBER(D75),EXTRACTNUMBER(F75),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EXTRACTNUMBER(AD75),EXTRACTNUMBER(AH75),EXTRACTNUMBER(AF75)),"*"),IF(AND(COUNTIF(D75:AI75,"=36")&gt;=2,COUNTIF(D75:AI75,"f")=2,COUNTIF(D75:AI75,"")=0,COUNTIF(D75:AI75," ")=0),CONCATENATE(SUM(EXTRACTNUMBER(D75),EXTRACTNUMBER(F75),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EXTRACTNUMBER(AD75),EXTRACTNUMBER(AH75),EXTRACTNUMBER(AF75)),"*"),SUM(EXTRACTNUMBER(D75),EXTRACTNUMBER(F75),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EXTRACTNUMBER(AD75),EXTRACTNUMBER(AH75),EXTRACTNUMBER(AF75))))),SUM(EXTRACTNUMBER(D75),EXTRACTNUMBER(F75),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EXTRACTNUMBER(AD75),EXTRACTNUMBER(AH75),EXTRACTNUMBER(AF75)))</f>
        <v>498</v>
      </c>
      <c r="AK75" s="94" t="s">
        <v>574</v>
      </c>
      <c r="AL75" s="29">
        <f t="shared" si="0"/>
        <v>997</v>
      </c>
      <c r="AM75" s="29" t="str">
        <f t="shared" si="17"/>
        <v>FAIL</v>
      </c>
      <c r="AN75" s="30" t="str">
        <f>IF(AM75="ABSENT","AB",IF(AM75="FAIL","--",
IF(AK75=0,"RS 3",
IF(AND(SUM(EXTRACTNUMBER(AK75),EXTRACTNUMBER(AJ75))&gt;=1010,
        NOT(IFERROR(FIND("x",AK75),0)),
        NOT(IFERROR(FIND("x",AJ75),0))),"I",
IF(AND(SUM(EXTRACTNUMBER(AK75),EXTRACTNUMBER(AJ75))&gt;=850,
      SUM(EXTRACTNUMBER(AK75),EXTRACTNUMBER(AJ75))&lt;1010,
      NOT(IFERROR(FIND("x",AK75),0)),
      NOT(IFERROR(FIND("x",AJ75),0))),"II",
IF(OR(AND(SUM(EXTRACTNUMBER(AK75),EXTRACTNUMBER(AJ75))&lt;850,
SUM(EXTRACTNUMBER(AK75),EXTRACTNUMBER(AJ75))&gt;=670),
IFERROR(FIND("x",AK75),0),IFERROR(FIND("x",AJ75),0)),"P","--"))))))</f>
        <v>--</v>
      </c>
      <c r="AO75" s="2" t="str">
        <f t="shared" si="18"/>
        <v xml:space="preserve">Nine Hundred NinetySeven </v>
      </c>
    </row>
    <row r="76" spans="2:41" ht="16.5" customHeight="1">
      <c r="B76" s="45">
        <v>134249</v>
      </c>
      <c r="C76" s="46" t="s">
        <v>72</v>
      </c>
      <c r="D76" s="43">
        <v>44</v>
      </c>
      <c r="E76" s="27" t="str">
        <f t="shared" si="1"/>
        <v/>
      </c>
      <c r="F76" s="26">
        <v>21</v>
      </c>
      <c r="G76" s="27" t="str">
        <f t="shared" si="2"/>
        <v/>
      </c>
      <c r="H76" s="24">
        <v>46</v>
      </c>
      <c r="I76" s="27" t="str">
        <f t="shared" si="3"/>
        <v/>
      </c>
      <c r="J76" s="26">
        <v>21</v>
      </c>
      <c r="K76" s="27" t="str">
        <f t="shared" si="4"/>
        <v/>
      </c>
      <c r="L76" s="24">
        <v>40</v>
      </c>
      <c r="M76" s="27" t="str">
        <f t="shared" si="5"/>
        <v/>
      </c>
      <c r="N76" s="26">
        <v>16</v>
      </c>
      <c r="O76" s="27" t="str">
        <f t="shared" si="6"/>
        <v/>
      </c>
      <c r="P76" s="26">
        <v>17</v>
      </c>
      <c r="Q76" s="27" t="str">
        <f t="shared" si="7"/>
        <v/>
      </c>
      <c r="R76" s="24">
        <v>40</v>
      </c>
      <c r="S76" s="27" t="str">
        <f t="shared" si="8"/>
        <v/>
      </c>
      <c r="T76" s="26">
        <v>21</v>
      </c>
      <c r="U76" s="27" t="str">
        <f t="shared" si="9"/>
        <v/>
      </c>
      <c r="V76" s="26">
        <v>17</v>
      </c>
      <c r="W76" s="27" t="str">
        <f t="shared" si="10"/>
        <v/>
      </c>
      <c r="X76" s="24">
        <v>50</v>
      </c>
      <c r="Y76" s="27" t="str">
        <f t="shared" si="11"/>
        <v/>
      </c>
      <c r="Z76" s="26">
        <v>20</v>
      </c>
      <c r="AA76" s="27" t="str">
        <f t="shared" si="12"/>
        <v/>
      </c>
      <c r="AB76" s="26">
        <v>21</v>
      </c>
      <c r="AC76" s="27" t="str">
        <f t="shared" si="13"/>
        <v/>
      </c>
      <c r="AD76" s="24">
        <v>45</v>
      </c>
      <c r="AE76" s="27" t="str">
        <f t="shared" si="14"/>
        <v/>
      </c>
      <c r="AF76" s="26">
        <v>21</v>
      </c>
      <c r="AG76" s="27" t="str">
        <f t="shared" si="15"/>
        <v/>
      </c>
      <c r="AH76" s="26">
        <v>16</v>
      </c>
      <c r="AI76" s="27" t="str">
        <f t="shared" si="16"/>
        <v/>
      </c>
      <c r="AJ76" s="32">
        <f>IF(OR(AND(D76&gt;=31,D76&lt;40),AND(H76&gt;=31,H76&lt;40),AND(L76&gt;=31,L76&lt;40),AND(R76&gt;=31,R76&lt;40),AND(X76&gt;=31,X76&lt;40),AND(AD76&gt;=31,AD76&lt;40)),IF(AND(OR(COUNTIF(D76:AI76,"=31")&gt;=1,COUNTIF(D76:AI76,"=32")&gt;=1,COUNTIF(D76:AI76,"=33")&gt;=1,COUNTIF(D76:AI76,"=34")&gt;=1,COUNTIF(D76:AI76,"=35")&gt;=1,COUNTIF(D76:AI76,"=36")&gt;=1 ),COUNTIF(D76:AI76,"")=0,COUNTIF(D76:AI76," ")=0,COUNTIF(D76:AI76,"F")=1),CONCATENATE(SUM(EXTRACTNUMBER(D76),EXTRACTNUMBER(F76),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EXTRACTNUMBER(AD76),EXTRACTNUMBER(AH76),EXTRACTNUMBER(AF76)),"*"),IF(AND(COUNTIF(D76:AI76,"=34")&gt;=1,COUNTIF(D76:AI76,"=35")&gt;=1,COUNTIF(D76:AI76,"f")=2,COUNTIF(D76:AI76,"")=0,COUNTIF(D76:AI76," ")=0),CONCATENATE(SUM(EXTRACTNUMBER(D76),EXTRACTNUMBER(F76),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EXTRACTNUMBER(AD76),EXTRACTNUMBER(AH76),EXTRACTNUMBER(AF76)),"*"),IF(AND(COUNTIF(D76:AI76,"=36")&gt;=2,COUNTIF(D76:AI76,"f")=2,COUNTIF(D76:AI76,"")=0,COUNTIF(D76:AI76," ")=0),CONCATENATE(SUM(EXTRACTNUMBER(D76),EXTRACTNUMBER(F76),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EXTRACTNUMBER(AD76),EXTRACTNUMBER(AH76),EXTRACTNUMBER(AF76)),"*"),SUM(EXTRACTNUMBER(D76),EXTRACTNUMBER(F76),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EXTRACTNUMBER(AD76),EXTRACTNUMBER(AH76),EXTRACTNUMBER(AF76))))),SUM(EXTRACTNUMBER(D76),EXTRACTNUMBER(F76),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EXTRACTNUMBER(AD76),EXTRACTNUMBER(AH76),EXTRACTNUMBER(AF76)))</f>
        <v>456</v>
      </c>
      <c r="AK76" s="94" t="s">
        <v>592</v>
      </c>
      <c r="AL76" s="29">
        <f>IF(IFERROR(FIND("x",AK76),0),SUM(EXTRACTNUMBER(AJ76),EXTRACTNUMBER(AK76)),IF(AND(SUM(EXTRACTNUMBER(AJ76),EXTRACTNUMBER(AK76))&gt;1009,SUM(EXTRACTNUMBER(AJ76),EXTRACTNUMBER(AK76))&lt;1020),
CONCATENATE(SUM(EXTRACTNUMBER(AJ76),EXTRACTNUMBER(AK76)),"@",1020-SUM(EXTRACTNUMBER(AJ76),EXTRACTNUMBER(AK76))),
IF(AND(SUM(EXTRACTNUMBER(AJ76),EXTRACTNUMBER(AK76))&gt;839,   SUM(EXTRACTNUMBER(AJ76),EXTRACTNUMBER(AK76))&lt;850),CONCATENATE(SUM(EXTRACTNUMBER(AJ76),EXTRACTNUMBER(AK76)),"@",850-SUM(EXTRACTNUMBER(AJ76),EXTRACTNUMBER(AK76))),
IF(AND(SUM(EXTRACTNUMBER(AJ76),EXTRACTNUMBER(AK76))&gt;669,        SUM(EXTRACTNUMBER(AJ76),EXTRACTNUMBER(AK76))&lt;680),
CONCATENATE(SUM(EXTRACTNUMBER(AJ76),EXTRACTNUMBER(AK76)),"@",680-SUM(EXTRACTNUMBER(AJ76),EXTRACTNUMBER(AK76))),
SUM(EXTRACTNUMBER(AJ76),EXTRACTNUMBER(AK76))))))</f>
        <v>965</v>
      </c>
      <c r="AM76" s="29" t="str">
        <f t="shared" si="17"/>
        <v>PASS</v>
      </c>
      <c r="AN76" s="30" t="str">
        <f>IF(AM76="ABSENT","AB",IF(AM76="FAIL","--",
IF(AK76=0,"RS 3",
IF(AND(SUM(EXTRACTNUMBER(AK76),EXTRACTNUMBER(AJ76))&gt;=1010,
        NOT(IFERROR(FIND("x",AK76),0)),
        NOT(IFERROR(FIND("x",AJ76),0))),"I",
IF(AND(SUM(EXTRACTNUMBER(AK76),EXTRACTNUMBER(AJ76))&gt;=850,
      SUM(EXTRACTNUMBER(AK76),EXTRACTNUMBER(AJ76))&lt;1010,
      NOT(IFERROR(FIND("x",AK76),0)),
      NOT(IFERROR(FIND("x",AJ76),0))),"II",
IF(OR(AND(SUM(EXTRACTNUMBER(AK76),EXTRACTNUMBER(AJ76))&lt;850,
SUM(EXTRACTNUMBER(AK76),EXTRACTNUMBER(AJ76))&gt;=670),
IFERROR(FIND("x",AK76),0),IFERROR(FIND("x",AJ76),0)),"P","--"))))))</f>
        <v>P</v>
      </c>
      <c r="AO76" s="2" t="str">
        <f t="shared" si="18"/>
        <v xml:space="preserve">Nine Hundred Sixty Five </v>
      </c>
    </row>
    <row r="77" spans="2:41" ht="16.5" customHeight="1">
      <c r="B77" s="45">
        <v>134250</v>
      </c>
      <c r="C77" s="46" t="s">
        <v>73</v>
      </c>
      <c r="D77" s="43">
        <v>55</v>
      </c>
      <c r="E77" s="27" t="str">
        <f t="shared" si="1"/>
        <v/>
      </c>
      <c r="F77" s="26">
        <v>19</v>
      </c>
      <c r="G77" s="27" t="str">
        <f t="shared" si="2"/>
        <v/>
      </c>
      <c r="H77" s="24">
        <v>74</v>
      </c>
      <c r="I77" s="27" t="str">
        <f t="shared" si="3"/>
        <v/>
      </c>
      <c r="J77" s="26">
        <v>21</v>
      </c>
      <c r="K77" s="27" t="str">
        <f t="shared" si="4"/>
        <v/>
      </c>
      <c r="L77" s="24">
        <v>55</v>
      </c>
      <c r="M77" s="27" t="str">
        <f t="shared" si="5"/>
        <v/>
      </c>
      <c r="N77" s="26">
        <v>18</v>
      </c>
      <c r="O77" s="27" t="str">
        <f t="shared" si="6"/>
        <v/>
      </c>
      <c r="P77" s="26">
        <v>18</v>
      </c>
      <c r="Q77" s="27" t="str">
        <f t="shared" si="7"/>
        <v/>
      </c>
      <c r="R77" s="24">
        <v>67</v>
      </c>
      <c r="S77" s="27" t="str">
        <f t="shared" si="8"/>
        <v/>
      </c>
      <c r="T77" s="26">
        <v>20</v>
      </c>
      <c r="U77" s="27" t="str">
        <f t="shared" si="9"/>
        <v/>
      </c>
      <c r="V77" s="26">
        <v>16</v>
      </c>
      <c r="W77" s="27" t="str">
        <f t="shared" si="10"/>
        <v/>
      </c>
      <c r="X77" s="24">
        <v>50</v>
      </c>
      <c r="Y77" s="27" t="str">
        <f t="shared" si="11"/>
        <v/>
      </c>
      <c r="Z77" s="26">
        <v>20</v>
      </c>
      <c r="AA77" s="27" t="str">
        <f t="shared" si="12"/>
        <v/>
      </c>
      <c r="AB77" s="26">
        <v>21</v>
      </c>
      <c r="AC77" s="27" t="str">
        <f t="shared" si="13"/>
        <v/>
      </c>
      <c r="AD77" s="24">
        <v>59</v>
      </c>
      <c r="AE77" s="27" t="str">
        <f t="shared" si="14"/>
        <v/>
      </c>
      <c r="AF77" s="26">
        <v>23</v>
      </c>
      <c r="AG77" s="27" t="str">
        <f t="shared" si="15"/>
        <v/>
      </c>
      <c r="AH77" s="26">
        <v>19</v>
      </c>
      <c r="AI77" s="27" t="str">
        <f t="shared" si="16"/>
        <v/>
      </c>
      <c r="AJ77" s="32">
        <f>IF(OR(AND(D77&gt;=31,D77&lt;40),AND(H77&gt;=31,H77&lt;40),AND(L77&gt;=31,L77&lt;40),AND(R77&gt;=31,R77&lt;40),AND(X77&gt;=31,X77&lt;40),AND(AD77&gt;=31,AD77&lt;40)),IF(AND(OR(COUNTIF(D77:AI77,"=31")&gt;=1,COUNTIF(D77:AI77,"=32")&gt;=1,COUNTIF(D77:AI77,"=33")&gt;=1,COUNTIF(D77:AI77,"=34")&gt;=1,COUNTIF(D77:AI77,"=35")&gt;=1,COUNTIF(D77:AI77,"=36")&gt;=1 ),COUNTIF(D77:AI77,"")=0,COUNTIF(D77:AI77," ")=0,COUNTIF(D77:AI77,"F")=1),CONCATENATE(SUM(EXTRACTNUMBER(D77),EXTRACTNUMBER(F77),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EXTRACTNUMBER(AD77),EXTRACTNUMBER(AH77),EXTRACTNUMBER(AF77)),"*"),IF(AND(COUNTIF(D77:AI77,"=34")&gt;=1,COUNTIF(D77:AI77,"=35")&gt;=1,COUNTIF(D77:AI77,"f")=2,COUNTIF(D77:AI77,"")=0,COUNTIF(D77:AI77," ")=0),CONCATENATE(SUM(EXTRACTNUMBER(D77),EXTRACTNUMBER(F77),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EXTRACTNUMBER(AD77),EXTRACTNUMBER(AH77),EXTRACTNUMBER(AF77)),"*"),IF(AND(COUNTIF(D77:AI77,"=36")&gt;=2,COUNTIF(D77:AI77,"f")=2,COUNTIF(D77:AI77,"")=0,COUNTIF(D77:AI77," ")=0),CONCATENATE(SUM(EXTRACTNUMBER(D77),EXTRACTNUMBER(F77),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EXTRACTNUMBER(AD77),EXTRACTNUMBER(AH77),EXTRACTNUMBER(AF77)),"*"),SUM(EXTRACTNUMBER(D77),EXTRACTNUMBER(F77),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EXTRACTNUMBER(AD77),EXTRACTNUMBER(AH77),EXTRACTNUMBER(AF77))))),SUM(EXTRACTNUMBER(D77),EXTRACTNUMBER(F77),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EXTRACTNUMBER(AD77),EXTRACTNUMBER(AH77),EXTRACTNUMBER(AF77)))</f>
        <v>555</v>
      </c>
      <c r="AK77" s="28" t="s">
        <v>266</v>
      </c>
      <c r="AL77" s="29">
        <f t="shared" si="0"/>
        <v>1139</v>
      </c>
      <c r="AM77" s="29" t="str">
        <f t="shared" si="17"/>
        <v>PASS</v>
      </c>
      <c r="AN77" s="30" t="str">
        <f>IF(AM77="ABSENT","AB",IF(AM77="FAIL","--",
IF(AK77=0,"RS 3",
IF(AND(SUM(EXTRACTNUMBER(AK77),EXTRACTNUMBER(AJ77))&gt;=1010,
        NOT(IFERROR(FIND("x",AK77),0)),
        NOT(IFERROR(FIND("x",AJ77),0))),"I",
IF(AND(SUM(EXTRACTNUMBER(AK77),EXTRACTNUMBER(AJ77))&gt;=850,
      SUM(EXTRACTNUMBER(AK77),EXTRACTNUMBER(AJ77))&lt;1010,
      NOT(IFERROR(FIND("x",AK77),0)),
      NOT(IFERROR(FIND("x",AJ77),0))),"II",
IF(OR(AND(SUM(EXTRACTNUMBER(AK77),EXTRACTNUMBER(AJ77))&lt;850,
SUM(EXTRACTNUMBER(AK77),EXTRACTNUMBER(AJ77))&gt;=670),
IFERROR(FIND("x",AK77),0),IFERROR(FIND("x",AJ77),0)),"P","--"))))))</f>
        <v>I</v>
      </c>
      <c r="AO77" s="2" t="str">
        <f t="shared" si="18"/>
        <v xml:space="preserve">One Thousand One Hundred Thirty Nine </v>
      </c>
    </row>
    <row r="78" spans="2:41" ht="16.5" customHeight="1">
      <c r="B78" s="45">
        <v>134251</v>
      </c>
      <c r="C78" s="46" t="s">
        <v>74</v>
      </c>
      <c r="D78" s="43">
        <v>40</v>
      </c>
      <c r="E78" s="27" t="str">
        <f t="shared" si="1"/>
        <v/>
      </c>
      <c r="F78" s="26">
        <v>19</v>
      </c>
      <c r="G78" s="27" t="str">
        <f t="shared" si="2"/>
        <v/>
      </c>
      <c r="H78" s="24">
        <v>49</v>
      </c>
      <c r="I78" s="27" t="str">
        <f t="shared" si="3"/>
        <v/>
      </c>
      <c r="J78" s="26">
        <v>23</v>
      </c>
      <c r="K78" s="27" t="str">
        <f t="shared" si="4"/>
        <v/>
      </c>
      <c r="L78" s="24">
        <v>40</v>
      </c>
      <c r="M78" s="27" t="str">
        <f t="shared" si="5"/>
        <v/>
      </c>
      <c r="N78" s="26">
        <v>16</v>
      </c>
      <c r="O78" s="27" t="str">
        <f t="shared" si="6"/>
        <v/>
      </c>
      <c r="P78" s="26">
        <v>18</v>
      </c>
      <c r="Q78" s="27" t="str">
        <f t="shared" si="7"/>
        <v/>
      </c>
      <c r="R78" s="24">
        <v>40</v>
      </c>
      <c r="S78" s="27" t="str">
        <f t="shared" si="8"/>
        <v/>
      </c>
      <c r="T78" s="26">
        <v>22</v>
      </c>
      <c r="U78" s="27" t="str">
        <f t="shared" si="9"/>
        <v/>
      </c>
      <c r="V78" s="26">
        <v>23</v>
      </c>
      <c r="W78" s="27" t="str">
        <f t="shared" si="10"/>
        <v/>
      </c>
      <c r="X78" s="24">
        <v>50</v>
      </c>
      <c r="Y78" s="27" t="str">
        <f t="shared" si="11"/>
        <v/>
      </c>
      <c r="Z78" s="26">
        <v>21</v>
      </c>
      <c r="AA78" s="27" t="str">
        <f t="shared" si="12"/>
        <v/>
      </c>
      <c r="AB78" s="26">
        <v>22</v>
      </c>
      <c r="AC78" s="27" t="str">
        <f t="shared" si="13"/>
        <v/>
      </c>
      <c r="AD78" s="24">
        <v>40</v>
      </c>
      <c r="AE78" s="27" t="str">
        <f t="shared" si="14"/>
        <v/>
      </c>
      <c r="AF78" s="26">
        <v>21</v>
      </c>
      <c r="AG78" s="27" t="str">
        <f t="shared" si="15"/>
        <v/>
      </c>
      <c r="AH78" s="26">
        <v>18</v>
      </c>
      <c r="AI78" s="27" t="str">
        <f t="shared" si="16"/>
        <v/>
      </c>
      <c r="AJ78" s="32">
        <f>IF(OR(AND(D78&gt;=31,D78&lt;40),AND(H78&gt;=31,H78&lt;40),AND(L78&gt;=31,L78&lt;40),AND(R78&gt;=31,R78&lt;40),AND(X78&gt;=31,X78&lt;40),AND(AD78&gt;=31,AD78&lt;40)),IF(AND(OR(COUNTIF(D78:AI78,"=31")&gt;=1,COUNTIF(D78:AI78,"=32")&gt;=1,COUNTIF(D78:AI78,"=33")&gt;=1,COUNTIF(D78:AI78,"=34")&gt;=1,COUNTIF(D78:AI78,"=35")&gt;=1,COUNTIF(D78:AI78,"=36")&gt;=1 ),COUNTIF(D78:AI78,"")=0,COUNTIF(D78:AI78," ")=0,COUNTIF(D78:AI78,"F")=1),CONCATENATE(SUM(EXTRACTNUMBER(D78),EXTRACTNUMBER(F78),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EXTRACTNUMBER(AD78),EXTRACTNUMBER(AH78),EXTRACTNUMBER(AF78)),"*"),IF(AND(COUNTIF(D78:AI78,"=34")&gt;=1,COUNTIF(D78:AI78,"=35")&gt;=1,COUNTIF(D78:AI78,"f")=2,COUNTIF(D78:AI78,"")=0,COUNTIF(D78:AI78," ")=0),CONCATENATE(SUM(EXTRACTNUMBER(D78),EXTRACTNUMBER(F78),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EXTRACTNUMBER(AD78),EXTRACTNUMBER(AH78),EXTRACTNUMBER(AF78)),"*"),IF(AND(COUNTIF(D78:AI78,"=36")&gt;=2,COUNTIF(D78:AI78,"f")=2,COUNTIF(D78:AI78,"")=0,COUNTIF(D78:AI78," ")=0),CONCATENATE(SUM(EXTRACTNUMBER(D78),EXTRACTNUMBER(F78),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EXTRACTNUMBER(AD78),EXTRACTNUMBER(AH78),EXTRACTNUMBER(AF78)),"*"),SUM(EXTRACTNUMBER(D78),EXTRACTNUMBER(F78),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EXTRACTNUMBER(AD78),EXTRACTNUMBER(AH78),EXTRACTNUMBER(AF78))))),SUM(EXTRACTNUMBER(D78),EXTRACTNUMBER(F78),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EXTRACTNUMBER(AD78),EXTRACTNUMBER(AH78),EXTRACTNUMBER(AF78)))</f>
        <v>462</v>
      </c>
      <c r="AK78" s="28" t="s">
        <v>267</v>
      </c>
      <c r="AL78" s="29">
        <f t="shared" si="0"/>
        <v>933</v>
      </c>
      <c r="AM78" s="29" t="str">
        <f t="shared" si="17"/>
        <v>PASS</v>
      </c>
      <c r="AN78" s="30" t="str">
        <f>IF(AM78="ABSENT","AB",IF(AM78="FAIL","--",
IF(AK78=0,"RS 3",
IF(AND(SUM(EXTRACTNUMBER(AK78),EXTRACTNUMBER(AJ78))&gt;=1010,
        NOT(IFERROR(FIND("x",AK78),0)),
        NOT(IFERROR(FIND("x",AJ78),0))),"I",
IF(AND(SUM(EXTRACTNUMBER(AK78),EXTRACTNUMBER(AJ78))&gt;=850,
      SUM(EXTRACTNUMBER(AK78),EXTRACTNUMBER(AJ78))&lt;1010,
      NOT(IFERROR(FIND("x",AK78),0)),
      NOT(IFERROR(FIND("x",AJ78),0))),"II",
IF(OR(AND(SUM(EXTRACTNUMBER(AK78),EXTRACTNUMBER(AJ78))&lt;850,
SUM(EXTRACTNUMBER(AK78),EXTRACTNUMBER(AJ78))&gt;=670),
IFERROR(FIND("x",AK78),0),IFERROR(FIND("x",AJ78),0)),"P","--"))))))</f>
        <v>II</v>
      </c>
      <c r="AO78" s="2" t="str">
        <f t="shared" si="18"/>
        <v xml:space="preserve">Nine Hundred Thirty Three </v>
      </c>
    </row>
    <row r="79" spans="2:41" ht="16.5" customHeight="1">
      <c r="B79" s="45">
        <v>134252</v>
      </c>
      <c r="C79" s="46" t="s">
        <v>75</v>
      </c>
      <c r="D79" s="43">
        <v>51</v>
      </c>
      <c r="E79" s="27" t="str">
        <f t="shared" si="1"/>
        <v/>
      </c>
      <c r="F79" s="26">
        <v>20</v>
      </c>
      <c r="G79" s="27" t="str">
        <f t="shared" si="2"/>
        <v/>
      </c>
      <c r="H79" s="24">
        <v>73</v>
      </c>
      <c r="I79" s="27" t="str">
        <f t="shared" si="3"/>
        <v/>
      </c>
      <c r="J79" s="26">
        <v>16</v>
      </c>
      <c r="K79" s="27" t="str">
        <f t="shared" si="4"/>
        <v/>
      </c>
      <c r="L79" s="24">
        <v>58</v>
      </c>
      <c r="M79" s="27" t="str">
        <f t="shared" si="5"/>
        <v/>
      </c>
      <c r="N79" s="26">
        <v>24</v>
      </c>
      <c r="O79" s="27" t="str">
        <f t="shared" si="6"/>
        <v/>
      </c>
      <c r="P79" s="26">
        <v>23</v>
      </c>
      <c r="Q79" s="27" t="str">
        <f t="shared" si="7"/>
        <v/>
      </c>
      <c r="R79" s="24">
        <v>56</v>
      </c>
      <c r="S79" s="27" t="str">
        <f t="shared" si="8"/>
        <v/>
      </c>
      <c r="T79" s="26">
        <v>17</v>
      </c>
      <c r="U79" s="27" t="str">
        <f t="shared" si="9"/>
        <v/>
      </c>
      <c r="V79" s="26">
        <v>17</v>
      </c>
      <c r="W79" s="27" t="str">
        <f t="shared" si="10"/>
        <v/>
      </c>
      <c r="X79" s="24">
        <v>49</v>
      </c>
      <c r="Y79" s="27" t="str">
        <f t="shared" si="11"/>
        <v/>
      </c>
      <c r="Z79" s="26">
        <v>22</v>
      </c>
      <c r="AA79" s="27" t="str">
        <f t="shared" si="12"/>
        <v/>
      </c>
      <c r="AB79" s="26">
        <v>23</v>
      </c>
      <c r="AC79" s="27" t="str">
        <f t="shared" si="13"/>
        <v/>
      </c>
      <c r="AD79" s="24">
        <v>57</v>
      </c>
      <c r="AE79" s="27" t="str">
        <f t="shared" si="14"/>
        <v/>
      </c>
      <c r="AF79" s="26">
        <v>20</v>
      </c>
      <c r="AG79" s="27" t="str">
        <f t="shared" si="15"/>
        <v/>
      </c>
      <c r="AH79" s="26">
        <v>18</v>
      </c>
      <c r="AI79" s="27" t="str">
        <f t="shared" si="16"/>
        <v/>
      </c>
      <c r="AJ79" s="32">
        <f>IF(OR(AND(D79&gt;=31,D79&lt;40),AND(H79&gt;=31,H79&lt;40),AND(L79&gt;=31,L79&lt;40),AND(R79&gt;=31,R79&lt;40),AND(X79&gt;=31,X79&lt;40),AND(AD79&gt;=31,AD79&lt;40)),IF(AND(OR(COUNTIF(D79:AI79,"=31")&gt;=1,COUNTIF(D79:AI79,"=32")&gt;=1,COUNTIF(D79:AI79,"=33")&gt;=1,COUNTIF(D79:AI79,"=34")&gt;=1,COUNTIF(D79:AI79,"=35")&gt;=1,COUNTIF(D79:AI79,"=36")&gt;=1 ),COUNTIF(D79:AI79,"")=0,COUNTIF(D79:AI79," ")=0,COUNTIF(D79:AI79,"F")=1),CONCATENATE(SUM(EXTRACTNUMBER(D79),EXTRACTNUMBER(F79),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EXTRACTNUMBER(AD79),EXTRACTNUMBER(AH79),EXTRACTNUMBER(AF79)),"*"),IF(AND(COUNTIF(D79:AI79,"=34")&gt;=1,COUNTIF(D79:AI79,"=35")&gt;=1,COUNTIF(D79:AI79,"f")=2,COUNTIF(D79:AI79,"")=0,COUNTIF(D79:AI79," ")=0),CONCATENATE(SUM(EXTRACTNUMBER(D79),EXTRACTNUMBER(F79),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EXTRACTNUMBER(AD79),EXTRACTNUMBER(AH79),EXTRACTNUMBER(AF79)),"*"),IF(AND(COUNTIF(D79:AI79,"=36")&gt;=2,COUNTIF(D79:AI79,"f")=2,COUNTIF(D79:AI79,"")=0,COUNTIF(D79:AI79," ")=0),CONCATENATE(SUM(EXTRACTNUMBER(D79),EXTRACTNUMBER(F79),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EXTRACTNUMBER(AD79),EXTRACTNUMBER(AH79),EXTRACTNUMBER(AF79)),"*"),SUM(EXTRACTNUMBER(D79),EXTRACTNUMBER(F79),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EXTRACTNUMBER(AD79),EXTRACTNUMBER(AH79),EXTRACTNUMBER(AF79))))),SUM(EXTRACTNUMBER(D79),EXTRACTNUMBER(F79),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EXTRACTNUMBER(AD79),EXTRACTNUMBER(AH79),EXTRACTNUMBER(AF79)))</f>
        <v>544</v>
      </c>
      <c r="AK79" s="28" t="s">
        <v>268</v>
      </c>
      <c r="AL79" s="29">
        <f t="shared" si="0"/>
        <v>1058</v>
      </c>
      <c r="AM79" s="29" t="str">
        <f t="shared" si="17"/>
        <v>PASS</v>
      </c>
      <c r="AN79" s="30" t="str">
        <f>IF(AM79="ABSENT","AB",IF(AM79="FAIL","--",
IF(AK79=0,"RS 3",
IF(AND(SUM(EXTRACTNUMBER(AK79),EXTRACTNUMBER(AJ79))&gt;=1010,
        NOT(IFERROR(FIND("x",AK79),0)),
        NOT(IFERROR(FIND("x",AJ79),0))),"I",
IF(AND(SUM(EXTRACTNUMBER(AK79),EXTRACTNUMBER(AJ79))&gt;=850,
      SUM(EXTRACTNUMBER(AK79),EXTRACTNUMBER(AJ79))&lt;1010,
      NOT(IFERROR(FIND("x",AK79),0)),
      NOT(IFERROR(FIND("x",AJ79),0))),"II",
IF(OR(AND(SUM(EXTRACTNUMBER(AK79),EXTRACTNUMBER(AJ79))&lt;850,
SUM(EXTRACTNUMBER(AK79),EXTRACTNUMBER(AJ79))&gt;=670),
IFERROR(FIND("x",AK79),0),IFERROR(FIND("x",AJ79),0)),"P","--"))))))</f>
        <v>I</v>
      </c>
      <c r="AO79" s="2" t="str">
        <f t="shared" si="18"/>
        <v xml:space="preserve">One Thousand Fifty Eight </v>
      </c>
    </row>
    <row r="80" spans="2:41" ht="16.5" customHeight="1">
      <c r="B80" s="45">
        <v>134253</v>
      </c>
      <c r="C80" s="46" t="s">
        <v>76</v>
      </c>
      <c r="D80" s="43">
        <v>50</v>
      </c>
      <c r="E80" s="27" t="str">
        <f t="shared" si="1"/>
        <v/>
      </c>
      <c r="F80" s="26">
        <v>21</v>
      </c>
      <c r="G80" s="27" t="str">
        <f t="shared" si="2"/>
        <v/>
      </c>
      <c r="H80" s="24">
        <v>69</v>
      </c>
      <c r="I80" s="27" t="str">
        <f t="shared" si="3"/>
        <v/>
      </c>
      <c r="J80" s="26">
        <v>22</v>
      </c>
      <c r="K80" s="27" t="str">
        <f t="shared" si="4"/>
        <v/>
      </c>
      <c r="L80" s="24">
        <v>50</v>
      </c>
      <c r="M80" s="27" t="str">
        <f t="shared" si="5"/>
        <v/>
      </c>
      <c r="N80" s="26">
        <v>17</v>
      </c>
      <c r="O80" s="27" t="str">
        <f t="shared" si="6"/>
        <v/>
      </c>
      <c r="P80" s="26">
        <v>17</v>
      </c>
      <c r="Q80" s="27" t="str">
        <f t="shared" si="7"/>
        <v/>
      </c>
      <c r="R80" s="24">
        <v>42</v>
      </c>
      <c r="S80" s="27" t="str">
        <f t="shared" si="8"/>
        <v/>
      </c>
      <c r="T80" s="26">
        <v>20</v>
      </c>
      <c r="U80" s="27" t="str">
        <f t="shared" si="9"/>
        <v/>
      </c>
      <c r="V80" s="26">
        <v>23</v>
      </c>
      <c r="W80" s="27" t="str">
        <f t="shared" si="10"/>
        <v/>
      </c>
      <c r="X80" s="24">
        <v>49</v>
      </c>
      <c r="Y80" s="27" t="str">
        <f t="shared" si="11"/>
        <v/>
      </c>
      <c r="Z80" s="26">
        <v>21</v>
      </c>
      <c r="AA80" s="27" t="str">
        <f t="shared" si="12"/>
        <v/>
      </c>
      <c r="AB80" s="26">
        <v>21</v>
      </c>
      <c r="AC80" s="27" t="str">
        <f t="shared" si="13"/>
        <v/>
      </c>
      <c r="AD80" s="24">
        <v>57</v>
      </c>
      <c r="AE80" s="27" t="str">
        <f t="shared" si="14"/>
        <v/>
      </c>
      <c r="AF80" s="26">
        <v>21</v>
      </c>
      <c r="AG80" s="27" t="str">
        <f t="shared" si="15"/>
        <v/>
      </c>
      <c r="AH80" s="26">
        <v>19</v>
      </c>
      <c r="AI80" s="27" t="str">
        <f t="shared" si="16"/>
        <v/>
      </c>
      <c r="AJ80" s="32">
        <f>IF(OR(AND(D80&gt;=31,D80&lt;40),AND(H80&gt;=31,H80&lt;40),AND(L80&gt;=31,L80&lt;40),AND(R80&gt;=31,R80&lt;40),AND(X80&gt;=31,X80&lt;40),AND(AD80&gt;=31,AD80&lt;40)),IF(AND(OR(COUNTIF(D80:AI80,"=31")&gt;=1,COUNTIF(D80:AI80,"=32")&gt;=1,COUNTIF(D80:AI80,"=33")&gt;=1,COUNTIF(D80:AI80,"=34")&gt;=1,COUNTIF(D80:AI80,"=35")&gt;=1,COUNTIF(D80:AI80,"=36")&gt;=1 ),COUNTIF(D80:AI80,"")=0,COUNTIF(D80:AI80," ")=0,COUNTIF(D80:AI80,"F")=1),CONCATENATE(SUM(EXTRACTNUMBER(D80),EXTRACTNUMBER(F80),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EXTRACTNUMBER(AD80),EXTRACTNUMBER(AH80),EXTRACTNUMBER(AF80)),"*"),IF(AND(COUNTIF(D80:AI80,"=34")&gt;=1,COUNTIF(D80:AI80,"=35")&gt;=1,COUNTIF(D80:AI80,"f")=2,COUNTIF(D80:AI80,"")=0,COUNTIF(D80:AI80," ")=0),CONCATENATE(SUM(EXTRACTNUMBER(D80),EXTRACTNUMBER(F80),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EXTRACTNUMBER(AD80),EXTRACTNUMBER(AH80),EXTRACTNUMBER(AF80)),"*"),IF(AND(COUNTIF(D80:AI80,"=36")&gt;=2,COUNTIF(D80:AI80,"f")=2,COUNTIF(D80:AI80,"")=0,COUNTIF(D80:AI80," ")=0),CONCATENATE(SUM(EXTRACTNUMBER(D80),EXTRACTNUMBER(F80),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EXTRACTNUMBER(AD80),EXTRACTNUMBER(AH80),EXTRACTNUMBER(AF80)),"*"),SUM(EXTRACTNUMBER(D80),EXTRACTNUMBER(F80),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EXTRACTNUMBER(AD80),EXTRACTNUMBER(AH80),EXTRACTNUMBER(AF80))))),SUM(EXTRACTNUMBER(D80),EXTRACTNUMBER(F80),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EXTRACTNUMBER(AD80),EXTRACTNUMBER(AH80),EXTRACTNUMBER(AF80)))</f>
        <v>519</v>
      </c>
      <c r="AK80" s="28" t="s">
        <v>269</v>
      </c>
      <c r="AL80" s="29">
        <f t="shared" si="0"/>
        <v>1063</v>
      </c>
      <c r="AM80" s="29" t="str">
        <f t="shared" si="17"/>
        <v>PASS</v>
      </c>
      <c r="AN80" s="30" t="str">
        <f>IF(AM80="ABSENT","AB",IF(AM80="FAIL","--",
IF(AK80=0,"RS 3",
IF(AND(SUM(EXTRACTNUMBER(AK80),EXTRACTNUMBER(AJ80))&gt;=1010,
        NOT(IFERROR(FIND("x",AK80),0)),
        NOT(IFERROR(FIND("x",AJ80),0))),"I",
IF(AND(SUM(EXTRACTNUMBER(AK80),EXTRACTNUMBER(AJ80))&gt;=850,
      SUM(EXTRACTNUMBER(AK80),EXTRACTNUMBER(AJ80))&lt;1010,
      NOT(IFERROR(FIND("x",AK80),0)),
      NOT(IFERROR(FIND("x",AJ80),0))),"II",
IF(OR(AND(SUM(EXTRACTNUMBER(AK80),EXTRACTNUMBER(AJ80))&lt;850,
SUM(EXTRACTNUMBER(AK80),EXTRACTNUMBER(AJ80))&gt;=670),
IFERROR(FIND("x",AK80),0),IFERROR(FIND("x",AJ80),0)),"P","--"))))))</f>
        <v>I</v>
      </c>
      <c r="AO80" s="2" t="str">
        <f t="shared" si="18"/>
        <v xml:space="preserve">One Thousand Sixty Three </v>
      </c>
    </row>
    <row r="81" spans="2:41" ht="16.5" customHeight="1">
      <c r="B81" s="45">
        <v>134254</v>
      </c>
      <c r="C81" s="46" t="s">
        <v>77</v>
      </c>
      <c r="D81" s="43">
        <v>51</v>
      </c>
      <c r="E81" s="27" t="str">
        <f t="shared" si="1"/>
        <v/>
      </c>
      <c r="F81" s="26">
        <v>23</v>
      </c>
      <c r="G81" s="27" t="str">
        <f t="shared" si="2"/>
        <v/>
      </c>
      <c r="H81" s="24">
        <v>64</v>
      </c>
      <c r="I81" s="27" t="str">
        <f t="shared" si="3"/>
        <v/>
      </c>
      <c r="J81" s="26">
        <v>23</v>
      </c>
      <c r="K81" s="27" t="str">
        <f t="shared" si="4"/>
        <v/>
      </c>
      <c r="L81" s="24">
        <v>43</v>
      </c>
      <c r="M81" s="27" t="str">
        <f t="shared" si="5"/>
        <v/>
      </c>
      <c r="N81" s="26">
        <v>22</v>
      </c>
      <c r="O81" s="27" t="str">
        <f t="shared" si="6"/>
        <v/>
      </c>
      <c r="P81" s="26">
        <v>22</v>
      </c>
      <c r="Q81" s="27" t="str">
        <f t="shared" si="7"/>
        <v/>
      </c>
      <c r="R81" s="24">
        <v>47</v>
      </c>
      <c r="S81" s="27" t="str">
        <f t="shared" si="8"/>
        <v/>
      </c>
      <c r="T81" s="26">
        <v>23</v>
      </c>
      <c r="U81" s="27" t="str">
        <f t="shared" si="9"/>
        <v/>
      </c>
      <c r="V81" s="26">
        <v>20</v>
      </c>
      <c r="W81" s="27" t="str">
        <f t="shared" si="10"/>
        <v/>
      </c>
      <c r="X81" s="24">
        <v>50</v>
      </c>
      <c r="Y81" s="27" t="str">
        <f t="shared" si="11"/>
        <v/>
      </c>
      <c r="Z81" s="26">
        <v>23</v>
      </c>
      <c r="AA81" s="27" t="str">
        <f t="shared" si="12"/>
        <v/>
      </c>
      <c r="AB81" s="26">
        <v>22</v>
      </c>
      <c r="AC81" s="27" t="str">
        <f t="shared" si="13"/>
        <v/>
      </c>
      <c r="AD81" s="24">
        <v>46</v>
      </c>
      <c r="AE81" s="27" t="str">
        <f t="shared" si="14"/>
        <v/>
      </c>
      <c r="AF81" s="26">
        <v>23</v>
      </c>
      <c r="AG81" s="27" t="str">
        <f t="shared" si="15"/>
        <v/>
      </c>
      <c r="AH81" s="26">
        <v>19</v>
      </c>
      <c r="AI81" s="27" t="str">
        <f t="shared" si="16"/>
        <v/>
      </c>
      <c r="AJ81" s="32">
        <f>IF(OR(AND(D81&gt;=31,D81&lt;40),AND(H81&gt;=31,H81&lt;40),AND(L81&gt;=31,L81&lt;40),AND(R81&gt;=31,R81&lt;40),AND(X81&gt;=31,X81&lt;40),AND(AD81&gt;=31,AD81&lt;40)),IF(AND(OR(COUNTIF(D81:AI81,"=31")&gt;=1,COUNTIF(D81:AI81,"=32")&gt;=1,COUNTIF(D81:AI81,"=33")&gt;=1,COUNTIF(D81:AI81,"=34")&gt;=1,COUNTIF(D81:AI81,"=35")&gt;=1,COUNTIF(D81:AI81,"=36")&gt;=1 ),COUNTIF(D81:AI81,"")=0,COUNTIF(D81:AI81," ")=0,COUNTIF(D81:AI81,"F")=1),CONCATENATE(SUM(EXTRACTNUMBER(D81),EXTRACTNUMBER(F81),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EXTRACTNUMBER(AD81),EXTRACTNUMBER(AH81),EXTRACTNUMBER(AF81)),"*"),IF(AND(COUNTIF(D81:AI81,"=34")&gt;=1,COUNTIF(D81:AI81,"=35")&gt;=1,COUNTIF(D81:AI81,"f")=2,COUNTIF(D81:AI81,"")=0,COUNTIF(D81:AI81," ")=0),CONCATENATE(SUM(EXTRACTNUMBER(D81),EXTRACTNUMBER(F81),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EXTRACTNUMBER(AD81),EXTRACTNUMBER(AH81),EXTRACTNUMBER(AF81)),"*"),IF(AND(COUNTIF(D81:AI81,"=36")&gt;=2,COUNTIF(D81:AI81,"f")=2,COUNTIF(D81:AI81,"")=0,COUNTIF(D81:AI81," ")=0),CONCATENATE(SUM(EXTRACTNUMBER(D81),EXTRACTNUMBER(F81),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EXTRACTNUMBER(AD81),EXTRACTNUMBER(AH81),EXTRACTNUMBER(AF81)),"*"),SUM(EXTRACTNUMBER(D81),EXTRACTNUMBER(F81),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EXTRACTNUMBER(AD81),EXTRACTNUMBER(AH81),EXTRACTNUMBER(AF81))))),SUM(EXTRACTNUMBER(D81),EXTRACTNUMBER(F81),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EXTRACTNUMBER(AD81),EXTRACTNUMBER(AH81),EXTRACTNUMBER(AF81)))</f>
        <v>521</v>
      </c>
      <c r="AK81" s="28" t="s">
        <v>270</v>
      </c>
      <c r="AL81" s="29">
        <f t="shared" si="0"/>
        <v>1063</v>
      </c>
      <c r="AM81" s="29" t="str">
        <f t="shared" si="17"/>
        <v>PASS</v>
      </c>
      <c r="AN81" s="30" t="str">
        <f>IF(AM81="ABSENT","AB",IF(AM81="FAIL","--",
IF(AK81=0,"RS 3",
IF(AND(SUM(EXTRACTNUMBER(AK81),EXTRACTNUMBER(AJ81))&gt;=1010,
        NOT(IFERROR(FIND("x",AK81),0)),
        NOT(IFERROR(FIND("x",AJ81),0))),"I",
IF(AND(SUM(EXTRACTNUMBER(AK81),EXTRACTNUMBER(AJ81))&gt;=850,
      SUM(EXTRACTNUMBER(AK81),EXTRACTNUMBER(AJ81))&lt;1010,
      NOT(IFERROR(FIND("x",AK81),0)),
      NOT(IFERROR(FIND("x",AJ81),0))),"II",
IF(OR(AND(SUM(EXTRACTNUMBER(AK81),EXTRACTNUMBER(AJ81))&lt;850,
SUM(EXTRACTNUMBER(AK81),EXTRACTNUMBER(AJ81))&gt;=670),
IFERROR(FIND("x",AK81),0),IFERROR(FIND("x",AJ81),0)),"P","--"))))))</f>
        <v>I</v>
      </c>
      <c r="AO81" s="2" t="str">
        <f t="shared" si="18"/>
        <v xml:space="preserve">One Thousand Sixty Three </v>
      </c>
    </row>
    <row r="82" spans="2:41" ht="16.5" customHeight="1">
      <c r="B82" s="45">
        <v>134255</v>
      </c>
      <c r="C82" s="46" t="s">
        <v>78</v>
      </c>
      <c r="D82" s="43">
        <v>41</v>
      </c>
      <c r="E82" s="27" t="str">
        <f t="shared" si="1"/>
        <v/>
      </c>
      <c r="F82" s="26">
        <v>16</v>
      </c>
      <c r="G82" s="27" t="str">
        <f t="shared" si="2"/>
        <v/>
      </c>
      <c r="H82" s="24">
        <v>57</v>
      </c>
      <c r="I82" s="27" t="str">
        <f t="shared" si="3"/>
        <v/>
      </c>
      <c r="J82" s="26">
        <v>21</v>
      </c>
      <c r="K82" s="27" t="str">
        <f t="shared" si="4"/>
        <v/>
      </c>
      <c r="L82" s="24">
        <v>45</v>
      </c>
      <c r="M82" s="27" t="str">
        <f t="shared" si="5"/>
        <v/>
      </c>
      <c r="N82" s="26">
        <v>19</v>
      </c>
      <c r="O82" s="27" t="str">
        <f t="shared" si="6"/>
        <v/>
      </c>
      <c r="P82" s="26">
        <v>18</v>
      </c>
      <c r="Q82" s="27" t="str">
        <f t="shared" si="7"/>
        <v/>
      </c>
      <c r="R82" s="24">
        <v>43</v>
      </c>
      <c r="S82" s="27" t="str">
        <f t="shared" si="8"/>
        <v/>
      </c>
      <c r="T82" s="26">
        <v>21</v>
      </c>
      <c r="U82" s="27" t="str">
        <f t="shared" si="9"/>
        <v/>
      </c>
      <c r="V82" s="26">
        <v>17</v>
      </c>
      <c r="W82" s="27" t="str">
        <f t="shared" si="10"/>
        <v/>
      </c>
      <c r="X82" s="24">
        <v>58</v>
      </c>
      <c r="Y82" s="27" t="str">
        <f t="shared" si="11"/>
        <v/>
      </c>
      <c r="Z82" s="26">
        <v>21</v>
      </c>
      <c r="AA82" s="27" t="str">
        <f t="shared" si="12"/>
        <v/>
      </c>
      <c r="AB82" s="26">
        <v>22</v>
      </c>
      <c r="AC82" s="27" t="str">
        <f t="shared" si="13"/>
        <v/>
      </c>
      <c r="AD82" s="24">
        <v>55</v>
      </c>
      <c r="AE82" s="27" t="str">
        <f t="shared" si="14"/>
        <v/>
      </c>
      <c r="AF82" s="26">
        <v>20</v>
      </c>
      <c r="AG82" s="27" t="str">
        <f t="shared" si="15"/>
        <v/>
      </c>
      <c r="AH82" s="26">
        <v>18</v>
      </c>
      <c r="AI82" s="27" t="str">
        <f t="shared" si="16"/>
        <v/>
      </c>
      <c r="AJ82" s="32">
        <f>IF(OR(AND(D82&gt;=31,D82&lt;40),AND(H82&gt;=31,H82&lt;40),AND(L82&gt;=31,L82&lt;40),AND(R82&gt;=31,R82&lt;40),AND(X82&gt;=31,X82&lt;40),AND(AD82&gt;=31,AD82&lt;40)),IF(AND(OR(COUNTIF(D82:AI82,"=31")&gt;=1,COUNTIF(D82:AI82,"=32")&gt;=1,COUNTIF(D82:AI82,"=33")&gt;=1,COUNTIF(D82:AI82,"=34")&gt;=1,COUNTIF(D82:AI82,"=35")&gt;=1,COUNTIF(D82:AI82,"=36")&gt;=1 ),COUNTIF(D82:AI82,"")=0,COUNTIF(D82:AI82," ")=0,COUNTIF(D82:AI82,"F")=1),CONCATENATE(SUM(EXTRACTNUMBER(D82),EXTRACTNUMBER(F82),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EXTRACTNUMBER(AD82),EXTRACTNUMBER(AH82),EXTRACTNUMBER(AF82)),"*"),IF(AND(COUNTIF(D82:AI82,"=34")&gt;=1,COUNTIF(D82:AI82,"=35")&gt;=1,COUNTIF(D82:AI82,"f")=2,COUNTIF(D82:AI82,"")=0,COUNTIF(D82:AI82," ")=0),CONCATENATE(SUM(EXTRACTNUMBER(D82),EXTRACTNUMBER(F82),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EXTRACTNUMBER(AD82),EXTRACTNUMBER(AH82),EXTRACTNUMBER(AF82)),"*"),IF(AND(COUNTIF(D82:AI82,"=36")&gt;=2,COUNTIF(D82:AI82,"f")=2,COUNTIF(D82:AI82,"")=0,COUNTIF(D82:AI82," ")=0),CONCATENATE(SUM(EXTRACTNUMBER(D82),EXTRACTNUMBER(F82),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EXTRACTNUMBER(AD82),EXTRACTNUMBER(AH82),EXTRACTNUMBER(AF82)),"*"),SUM(EXTRACTNUMBER(D82),EXTRACTNUMBER(F82),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EXTRACTNUMBER(AD82),EXTRACTNUMBER(AH82),EXTRACTNUMBER(AF82))))),SUM(EXTRACTNUMBER(D82),EXTRACTNUMBER(F82),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EXTRACTNUMBER(AD82),EXTRACTNUMBER(AH82),EXTRACTNUMBER(AF82)))</f>
        <v>492</v>
      </c>
      <c r="AK82" s="28" t="s">
        <v>271</v>
      </c>
      <c r="AL82" s="29">
        <f t="shared" si="0"/>
        <v>1007</v>
      </c>
      <c r="AM82" s="29" t="str">
        <f t="shared" si="17"/>
        <v>PASS</v>
      </c>
      <c r="AN82" s="30" t="str">
        <f>IF(AM82="ABSENT","AB",IF(AM82="FAIL","--",
IF(AK82=0,"RS 3",
IF(AND(SUM(EXTRACTNUMBER(AK82),EXTRACTNUMBER(AJ82))&gt;=1010,
        NOT(IFERROR(FIND("x",AK82),0)),
        NOT(IFERROR(FIND("x",AJ82),0))),"I",
IF(AND(SUM(EXTRACTNUMBER(AK82),EXTRACTNUMBER(AJ82))&gt;=850,
      SUM(EXTRACTNUMBER(AK82),EXTRACTNUMBER(AJ82))&lt;1010,
      NOT(IFERROR(FIND("x",AK82),0)),
      NOT(IFERROR(FIND("x",AJ82),0))),"II",
IF(OR(AND(SUM(EXTRACTNUMBER(AK82),EXTRACTNUMBER(AJ82))&lt;850,
SUM(EXTRACTNUMBER(AK82),EXTRACTNUMBER(AJ82))&gt;=670),
IFERROR(FIND("x",AK82),0),IFERROR(FIND("x",AJ82),0)),"P","--"))))))</f>
        <v>II</v>
      </c>
      <c r="AO82" s="2" t="str">
        <f t="shared" si="18"/>
        <v xml:space="preserve">One Thousand Seven </v>
      </c>
    </row>
    <row r="83" spans="2:41" ht="16.5" customHeight="1">
      <c r="B83" s="45">
        <v>134256</v>
      </c>
      <c r="C83" s="46" t="s">
        <v>79</v>
      </c>
      <c r="D83" s="43">
        <v>40</v>
      </c>
      <c r="E83" s="27" t="str">
        <f t="shared" si="1"/>
        <v/>
      </c>
      <c r="F83" s="26">
        <v>22</v>
      </c>
      <c r="G83" s="27" t="str">
        <f t="shared" si="2"/>
        <v/>
      </c>
      <c r="H83" s="24">
        <v>53</v>
      </c>
      <c r="I83" s="27" t="str">
        <f t="shared" si="3"/>
        <v/>
      </c>
      <c r="J83" s="26">
        <v>21</v>
      </c>
      <c r="K83" s="27" t="str">
        <f t="shared" si="4"/>
        <v/>
      </c>
      <c r="L83" s="24">
        <v>48</v>
      </c>
      <c r="M83" s="27" t="str">
        <f t="shared" si="5"/>
        <v/>
      </c>
      <c r="N83" s="26">
        <v>22</v>
      </c>
      <c r="O83" s="27" t="str">
        <f t="shared" si="6"/>
        <v/>
      </c>
      <c r="P83" s="26">
        <v>22</v>
      </c>
      <c r="Q83" s="27" t="str">
        <f t="shared" si="7"/>
        <v/>
      </c>
      <c r="R83" s="24">
        <v>40</v>
      </c>
      <c r="S83" s="27" t="str">
        <f t="shared" si="8"/>
        <v/>
      </c>
      <c r="T83" s="26">
        <v>21</v>
      </c>
      <c r="U83" s="27" t="str">
        <f t="shared" si="9"/>
        <v/>
      </c>
      <c r="V83" s="26">
        <v>19</v>
      </c>
      <c r="W83" s="27" t="str">
        <f t="shared" si="10"/>
        <v/>
      </c>
      <c r="X83" s="24">
        <v>43</v>
      </c>
      <c r="Y83" s="27" t="str">
        <f t="shared" si="11"/>
        <v/>
      </c>
      <c r="Z83" s="26">
        <v>20</v>
      </c>
      <c r="AA83" s="27" t="str">
        <f t="shared" si="12"/>
        <v/>
      </c>
      <c r="AB83" s="26">
        <v>21</v>
      </c>
      <c r="AC83" s="27" t="str">
        <f t="shared" si="13"/>
        <v/>
      </c>
      <c r="AD83" s="24">
        <v>45</v>
      </c>
      <c r="AE83" s="27" t="str">
        <f t="shared" si="14"/>
        <v/>
      </c>
      <c r="AF83" s="26">
        <v>22</v>
      </c>
      <c r="AG83" s="27" t="str">
        <f t="shared" si="15"/>
        <v/>
      </c>
      <c r="AH83" s="26">
        <v>20</v>
      </c>
      <c r="AI83" s="27" t="str">
        <f t="shared" si="16"/>
        <v/>
      </c>
      <c r="AJ83" s="32">
        <f>IF(OR(AND(D83&gt;=31,D83&lt;40),AND(H83&gt;=31,H83&lt;40),AND(L83&gt;=31,L83&lt;40),AND(R83&gt;=31,R83&lt;40),AND(X83&gt;=31,X83&lt;40),AND(AD83&gt;=31,AD83&lt;40)),IF(AND(OR(COUNTIF(D83:AI83,"=31")&gt;=1,COUNTIF(D83:AI83,"=32")&gt;=1,COUNTIF(D83:AI83,"=33")&gt;=1,COUNTIF(D83:AI83,"=34")&gt;=1,COUNTIF(D83:AI83,"=35")&gt;=1,COUNTIF(D83:AI83,"=36")&gt;=1 ),COUNTIF(D83:AI83,"")=0,COUNTIF(D83:AI83," ")=0,COUNTIF(D83:AI83,"F")=1),CONCATENATE(SUM(EXTRACTNUMBER(D83),EXTRACTNUMBER(F83),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EXTRACTNUMBER(AD83),EXTRACTNUMBER(AH83),EXTRACTNUMBER(AF83)),"*"),IF(AND(COUNTIF(D83:AI83,"=34")&gt;=1,COUNTIF(D83:AI83,"=35")&gt;=1,COUNTIF(D83:AI83,"f")=2,COUNTIF(D83:AI83,"")=0,COUNTIF(D83:AI83," ")=0),CONCATENATE(SUM(EXTRACTNUMBER(D83),EXTRACTNUMBER(F83),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EXTRACTNUMBER(AD83),EXTRACTNUMBER(AH83),EXTRACTNUMBER(AF83)),"*"),IF(AND(COUNTIF(D83:AI83,"=36")&gt;=2,COUNTIF(D83:AI83,"f")=2,COUNTIF(D83:AI83,"")=0,COUNTIF(D83:AI83," ")=0),CONCATENATE(SUM(EXTRACTNUMBER(D83),EXTRACTNUMBER(F83),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EXTRACTNUMBER(AD83),EXTRACTNUMBER(AH83),EXTRACTNUMBER(AF83)),"*"),SUM(EXTRACTNUMBER(D83),EXTRACTNUMBER(F83),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EXTRACTNUMBER(AD83),EXTRACTNUMBER(AH83),EXTRACTNUMBER(AF83))))),SUM(EXTRACTNUMBER(D83),EXTRACTNUMBER(F83),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EXTRACTNUMBER(AD83),EXTRACTNUMBER(AH83),EXTRACTNUMBER(AF83)))</f>
        <v>479</v>
      </c>
      <c r="AK83" s="94" t="s">
        <v>576</v>
      </c>
      <c r="AL83" s="29">
        <f t="shared" si="0"/>
        <v>1009</v>
      </c>
      <c r="AM83" s="29" t="str">
        <f t="shared" si="17"/>
        <v>PASS</v>
      </c>
      <c r="AN83" s="30" t="str">
        <f>IF(AM83="ABSENT","AB",IF(AM83="FAIL","--",
IF(AK83=0,"RS 3",
IF(AND(SUM(EXTRACTNUMBER(AK83),EXTRACTNUMBER(AJ83))&gt;=1010,
        NOT(IFERROR(FIND("x",AK83),0)),
        NOT(IFERROR(FIND("x",AJ83),0))),"I",
IF(AND(SUM(EXTRACTNUMBER(AK83),EXTRACTNUMBER(AJ83))&gt;=850,
      SUM(EXTRACTNUMBER(AK83),EXTRACTNUMBER(AJ83))&lt;1010,
      NOT(IFERROR(FIND("x",AK83),0)),
      NOT(IFERROR(FIND("x",AJ83),0))),"II",
IF(OR(AND(SUM(EXTRACTNUMBER(AK83),EXTRACTNUMBER(AJ83))&lt;850,
SUM(EXTRACTNUMBER(AK83),EXTRACTNUMBER(AJ83))&gt;=670),
IFERROR(FIND("x",AK83),0),IFERROR(FIND("x",AJ83),0)),"P","--"))))))</f>
        <v>P</v>
      </c>
      <c r="AO83" s="2" t="str">
        <f t="shared" si="18"/>
        <v xml:space="preserve">One Thousand Nine </v>
      </c>
    </row>
    <row r="84" spans="2:41" ht="16.5" customHeight="1">
      <c r="B84" s="45">
        <v>134257</v>
      </c>
      <c r="C84" s="46" t="s">
        <v>80</v>
      </c>
      <c r="D84" s="106" t="s">
        <v>630</v>
      </c>
      <c r="E84" s="27" t="str">
        <f t="shared" si="1"/>
        <v/>
      </c>
      <c r="F84" s="26">
        <v>22</v>
      </c>
      <c r="G84" s="27" t="str">
        <f t="shared" si="2"/>
        <v/>
      </c>
      <c r="H84" s="24">
        <v>47</v>
      </c>
      <c r="I84" s="27" t="str">
        <f t="shared" si="3"/>
        <v/>
      </c>
      <c r="J84" s="26">
        <v>21</v>
      </c>
      <c r="K84" s="27" t="str">
        <f t="shared" si="4"/>
        <v/>
      </c>
      <c r="L84" s="24">
        <v>45</v>
      </c>
      <c r="M84" s="27" t="str">
        <f t="shared" si="5"/>
        <v/>
      </c>
      <c r="N84" s="26">
        <v>21</v>
      </c>
      <c r="O84" s="27" t="str">
        <f t="shared" si="6"/>
        <v/>
      </c>
      <c r="P84" s="26">
        <v>22</v>
      </c>
      <c r="Q84" s="27" t="str">
        <f t="shared" si="7"/>
        <v/>
      </c>
      <c r="R84" s="24">
        <v>40</v>
      </c>
      <c r="S84" s="27" t="str">
        <f t="shared" si="8"/>
        <v/>
      </c>
      <c r="T84" s="26">
        <v>21</v>
      </c>
      <c r="U84" s="27" t="str">
        <f t="shared" si="9"/>
        <v/>
      </c>
      <c r="V84" s="26">
        <v>19</v>
      </c>
      <c r="W84" s="27" t="str">
        <f t="shared" si="10"/>
        <v/>
      </c>
      <c r="X84" s="24">
        <v>47</v>
      </c>
      <c r="Y84" s="27" t="str">
        <f t="shared" si="11"/>
        <v/>
      </c>
      <c r="Z84" s="26">
        <v>21</v>
      </c>
      <c r="AA84" s="27" t="str">
        <f t="shared" si="12"/>
        <v/>
      </c>
      <c r="AB84" s="26">
        <v>21</v>
      </c>
      <c r="AC84" s="27" t="str">
        <f t="shared" si="13"/>
        <v/>
      </c>
      <c r="AD84" s="24">
        <v>52</v>
      </c>
      <c r="AE84" s="27" t="str">
        <f t="shared" si="14"/>
        <v/>
      </c>
      <c r="AF84" s="26">
        <v>22</v>
      </c>
      <c r="AG84" s="27" t="str">
        <f t="shared" si="15"/>
        <v/>
      </c>
      <c r="AH84" s="26">
        <v>19</v>
      </c>
      <c r="AI84" s="27" t="str">
        <f t="shared" si="16"/>
        <v/>
      </c>
      <c r="AJ84" s="41" t="s">
        <v>631</v>
      </c>
      <c r="AK84" s="94" t="s">
        <v>632</v>
      </c>
      <c r="AL84" s="29">
        <f t="shared" si="0"/>
        <v>991</v>
      </c>
      <c r="AM84" s="29" t="str">
        <f t="shared" si="17"/>
        <v>PASS</v>
      </c>
      <c r="AN84" s="30" t="str">
        <f>IF(AM84="ABSENT","AB",IF(AM84="FAIL","--",
IF(AK84=0,"RS 3",
IF(AND(SUM(EXTRACTNUMBER(AK84),EXTRACTNUMBER(AJ84))&gt;=1010,
        NOT(IFERROR(FIND("x",AK84),0)),
        NOT(IFERROR(FIND("x",AJ84),0))),"I",
IF(AND(SUM(EXTRACTNUMBER(AK84),EXTRACTNUMBER(AJ84))&gt;=850,
      SUM(EXTRACTNUMBER(AK84),EXTRACTNUMBER(AJ84))&lt;1010,
      NOT(IFERROR(FIND("x",AK84),0)),
      NOT(IFERROR(FIND("x",AJ84),0))),"II",
IF(OR(AND(SUM(EXTRACTNUMBER(AK84),EXTRACTNUMBER(AJ84))&lt;850,
SUM(EXTRACTNUMBER(AK84),EXTRACTNUMBER(AJ84))&gt;=670),
IFERROR(FIND("x",AK84),0),IFERROR(FIND("x",AJ84),0)),"P","--"))))))</f>
        <v>P</v>
      </c>
      <c r="AO84" s="2" t="str">
        <f t="shared" si="18"/>
        <v xml:space="preserve">Nine Hundred NinetyOne </v>
      </c>
    </row>
    <row r="85" spans="2:41" ht="16.5" customHeight="1">
      <c r="B85" s="45">
        <v>134258</v>
      </c>
      <c r="C85" s="46" t="s">
        <v>81</v>
      </c>
      <c r="D85" s="43">
        <v>40</v>
      </c>
      <c r="E85" s="27" t="str">
        <f t="shared" si="1"/>
        <v>E</v>
      </c>
      <c r="F85" s="26">
        <v>19</v>
      </c>
      <c r="G85" s="27" t="str">
        <f t="shared" si="2"/>
        <v>E</v>
      </c>
      <c r="H85" s="24">
        <v>40</v>
      </c>
      <c r="I85" s="27" t="str">
        <f t="shared" si="3"/>
        <v>E</v>
      </c>
      <c r="J85" s="26">
        <v>20</v>
      </c>
      <c r="K85" s="27" t="str">
        <f t="shared" si="4"/>
        <v>E</v>
      </c>
      <c r="L85" s="24">
        <v>17</v>
      </c>
      <c r="M85" s="27" t="str">
        <f t="shared" si="5"/>
        <v>F</v>
      </c>
      <c r="N85" s="26">
        <v>22</v>
      </c>
      <c r="O85" s="27" t="str">
        <f t="shared" si="6"/>
        <v>E</v>
      </c>
      <c r="P85" s="26">
        <v>22</v>
      </c>
      <c r="Q85" s="27" t="str">
        <f t="shared" si="7"/>
        <v>E</v>
      </c>
      <c r="R85" s="24">
        <v>43</v>
      </c>
      <c r="S85" s="27" t="str">
        <f t="shared" si="8"/>
        <v>E</v>
      </c>
      <c r="T85" s="26">
        <v>21</v>
      </c>
      <c r="U85" s="27" t="str">
        <f t="shared" si="9"/>
        <v>E</v>
      </c>
      <c r="V85" s="26">
        <v>16</v>
      </c>
      <c r="W85" s="27" t="str">
        <f t="shared" si="10"/>
        <v>E</v>
      </c>
      <c r="X85" s="24">
        <v>54</v>
      </c>
      <c r="Y85" s="27" t="str">
        <f t="shared" si="11"/>
        <v>E</v>
      </c>
      <c r="Z85" s="26">
        <v>21</v>
      </c>
      <c r="AA85" s="27" t="str">
        <f t="shared" si="12"/>
        <v>E</v>
      </c>
      <c r="AB85" s="26">
        <v>21</v>
      </c>
      <c r="AC85" s="27" t="str">
        <f t="shared" si="13"/>
        <v>E</v>
      </c>
      <c r="AD85" s="24">
        <v>40</v>
      </c>
      <c r="AE85" s="27" t="str">
        <f t="shared" si="14"/>
        <v>E</v>
      </c>
      <c r="AF85" s="26">
        <v>21</v>
      </c>
      <c r="AG85" s="27" t="str">
        <f t="shared" si="15"/>
        <v>E</v>
      </c>
      <c r="AH85" s="26">
        <v>17</v>
      </c>
      <c r="AI85" s="27" t="str">
        <f t="shared" si="16"/>
        <v>E</v>
      </c>
      <c r="AJ85" s="32">
        <f>IF(OR(AND(D85&gt;=31,D85&lt;40),AND(H85&gt;=31,H85&lt;40),AND(L85&gt;=31,L85&lt;40),AND(R85&gt;=31,R85&lt;40),AND(X85&gt;=31,X85&lt;40),AND(AD85&gt;=31,AD85&lt;40)),IF(AND(OR(COUNTIF(D85:AI85,"=31")&gt;=1,COUNTIF(D85:AI85,"=32")&gt;=1,COUNTIF(D85:AI85,"=33")&gt;=1,COUNTIF(D85:AI85,"=34")&gt;=1,COUNTIF(D85:AI85,"=35")&gt;=1,COUNTIF(D85:AI85,"=36")&gt;=1 ),COUNTIF(D85:AI85,"")=0,COUNTIF(D85:AI85," ")=0,COUNTIF(D85:AI85,"F")=1),CONCATENATE(SUM(EXTRACTNUMBER(D85),EXTRACTNUMBER(F85),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EXTRACTNUMBER(AD85),EXTRACTNUMBER(AH85),EXTRACTNUMBER(AF85)),"*"),IF(AND(COUNTIF(D85:AI85,"=34")&gt;=1,COUNTIF(D85:AI85,"=35")&gt;=1,COUNTIF(D85:AI85,"f")=2,COUNTIF(D85:AI85,"")=0,COUNTIF(D85:AI85," ")=0),CONCATENATE(SUM(EXTRACTNUMBER(D85),EXTRACTNUMBER(F85),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EXTRACTNUMBER(AD85),EXTRACTNUMBER(AH85),EXTRACTNUMBER(AF85)),"*"),IF(AND(COUNTIF(D85:AI85,"=36")&gt;=2,COUNTIF(D85:AI85,"f")=2,COUNTIF(D85:AI85,"")=0,COUNTIF(D85:AI85," ")=0),CONCATENATE(SUM(EXTRACTNUMBER(D85),EXTRACTNUMBER(F85),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EXTRACTNUMBER(AD85),EXTRACTNUMBER(AH85),EXTRACTNUMBER(AF85)),"*"),SUM(EXTRACTNUMBER(D85),EXTRACTNUMBER(F85),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EXTRACTNUMBER(AD85),EXTRACTNUMBER(AH85),EXTRACTNUMBER(AF85))))),SUM(EXTRACTNUMBER(D85),EXTRACTNUMBER(F85),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EXTRACTNUMBER(AD85),EXTRACTNUMBER(AH85),EXTRACTNUMBER(AF85)))</f>
        <v>434</v>
      </c>
      <c r="AK85" s="94" t="s">
        <v>608</v>
      </c>
      <c r="AL85" s="29">
        <f t="shared" si="0"/>
        <v>900</v>
      </c>
      <c r="AM85" s="29" t="str">
        <f t="shared" si="17"/>
        <v>FAIL</v>
      </c>
      <c r="AN85" s="30" t="str">
        <f>IF(AM85="ABSENT","AB",IF(AM85="FAIL","--",
IF(AK85=0,"RS 3",
IF(AND(SUM(EXTRACTNUMBER(AK85),EXTRACTNUMBER(AJ85))&gt;=1010,
        NOT(IFERROR(FIND("x",AK85),0)),
        NOT(IFERROR(FIND("x",AJ85),0))),"I",
IF(AND(SUM(EXTRACTNUMBER(AK85),EXTRACTNUMBER(AJ85))&gt;=850,
      SUM(EXTRACTNUMBER(AK85),EXTRACTNUMBER(AJ85))&lt;1010,
      NOT(IFERROR(FIND("x",AK85),0)),
      NOT(IFERROR(FIND("x",AJ85),0))),"II",
IF(OR(AND(SUM(EXTRACTNUMBER(AK85),EXTRACTNUMBER(AJ85))&lt;850,
SUM(EXTRACTNUMBER(AK85),EXTRACTNUMBER(AJ85))&gt;=670),
IFERROR(FIND("x",AK85),0),IFERROR(FIND("x",AJ85),0)),"P","--"))))))</f>
        <v>--</v>
      </c>
      <c r="AO85" s="2" t="str">
        <f t="shared" si="18"/>
        <v xml:space="preserve">Nine Hundred  </v>
      </c>
    </row>
    <row r="86" spans="2:41" ht="16.5" customHeight="1">
      <c r="B86" s="45">
        <v>134259</v>
      </c>
      <c r="C86" s="46" t="s">
        <v>82</v>
      </c>
      <c r="D86" s="43">
        <v>53</v>
      </c>
      <c r="E86" s="27" t="str">
        <f t="shared" si="1"/>
        <v/>
      </c>
      <c r="F86" s="26">
        <v>19</v>
      </c>
      <c r="G86" s="27" t="str">
        <f t="shared" si="2"/>
        <v/>
      </c>
      <c r="H86" s="24">
        <v>60</v>
      </c>
      <c r="I86" s="27" t="str">
        <f t="shared" si="3"/>
        <v/>
      </c>
      <c r="J86" s="26">
        <v>20</v>
      </c>
      <c r="K86" s="27" t="str">
        <f t="shared" si="4"/>
        <v/>
      </c>
      <c r="L86" s="24">
        <v>57</v>
      </c>
      <c r="M86" s="27" t="str">
        <f t="shared" si="5"/>
        <v/>
      </c>
      <c r="N86" s="26">
        <v>18</v>
      </c>
      <c r="O86" s="27" t="str">
        <f t="shared" si="6"/>
        <v/>
      </c>
      <c r="P86" s="26">
        <v>19</v>
      </c>
      <c r="Q86" s="27" t="str">
        <f t="shared" si="7"/>
        <v/>
      </c>
      <c r="R86" s="24">
        <v>59</v>
      </c>
      <c r="S86" s="27" t="str">
        <f t="shared" si="8"/>
        <v/>
      </c>
      <c r="T86" s="26">
        <v>22</v>
      </c>
      <c r="U86" s="27" t="str">
        <f t="shared" si="9"/>
        <v/>
      </c>
      <c r="V86" s="26">
        <v>21</v>
      </c>
      <c r="W86" s="27" t="str">
        <f t="shared" si="10"/>
        <v/>
      </c>
      <c r="X86" s="24">
        <v>53</v>
      </c>
      <c r="Y86" s="27" t="str">
        <f t="shared" si="11"/>
        <v/>
      </c>
      <c r="Z86" s="26">
        <v>20</v>
      </c>
      <c r="AA86" s="27" t="str">
        <f t="shared" si="12"/>
        <v/>
      </c>
      <c r="AB86" s="26">
        <v>21</v>
      </c>
      <c r="AC86" s="27" t="str">
        <f t="shared" si="13"/>
        <v/>
      </c>
      <c r="AD86" s="24">
        <v>52</v>
      </c>
      <c r="AE86" s="27" t="str">
        <f t="shared" si="14"/>
        <v/>
      </c>
      <c r="AF86" s="26">
        <v>20</v>
      </c>
      <c r="AG86" s="27" t="str">
        <f t="shared" si="15"/>
        <v/>
      </c>
      <c r="AH86" s="26">
        <v>18</v>
      </c>
      <c r="AI86" s="27" t="str">
        <f t="shared" si="16"/>
        <v/>
      </c>
      <c r="AJ86" s="32">
        <f>IF(OR(AND(D86&gt;=31,D86&lt;40),AND(H86&gt;=31,H86&lt;40),AND(L86&gt;=31,L86&lt;40),AND(R86&gt;=31,R86&lt;40),AND(X86&gt;=31,X86&lt;40),AND(AD86&gt;=31,AD86&lt;40)),IF(AND(OR(COUNTIF(D86:AI86,"=31")&gt;=1,COUNTIF(D86:AI86,"=32")&gt;=1,COUNTIF(D86:AI86,"=33")&gt;=1,COUNTIF(D86:AI86,"=34")&gt;=1,COUNTIF(D86:AI86,"=35")&gt;=1,COUNTIF(D86:AI86,"=36")&gt;=1 ),COUNTIF(D86:AI86,"")=0,COUNTIF(D86:AI86," ")=0,COUNTIF(D86:AI86,"F")=1),CONCATENATE(SUM(EXTRACTNUMBER(D86),EXTRACTNUMBER(F86),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EXTRACTNUMBER(AD86),EXTRACTNUMBER(AH86),EXTRACTNUMBER(AF86)),"*"),IF(AND(COUNTIF(D86:AI86,"=34")&gt;=1,COUNTIF(D86:AI86,"=35")&gt;=1,COUNTIF(D86:AI86,"f")=2,COUNTIF(D86:AI86,"")=0,COUNTIF(D86:AI86," ")=0),CONCATENATE(SUM(EXTRACTNUMBER(D86),EXTRACTNUMBER(F86),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EXTRACTNUMBER(AD86),EXTRACTNUMBER(AH86),EXTRACTNUMBER(AF86)),"*"),IF(AND(COUNTIF(D86:AI86,"=36")&gt;=2,COUNTIF(D86:AI86,"f")=2,COUNTIF(D86:AI86,"")=0,COUNTIF(D86:AI86," ")=0),CONCATENATE(SUM(EXTRACTNUMBER(D86),EXTRACTNUMBER(F86),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EXTRACTNUMBER(AD86),EXTRACTNUMBER(AH86),EXTRACTNUMBER(AF86)),"*"),SUM(EXTRACTNUMBER(D86),EXTRACTNUMBER(F86),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EXTRACTNUMBER(AD86),EXTRACTNUMBER(AH86),EXTRACTNUMBER(AF86))))),SUM(EXTRACTNUMBER(D86),EXTRACTNUMBER(F86),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EXTRACTNUMBER(AD86),EXTRACTNUMBER(AH86),EXTRACTNUMBER(AF86)))</f>
        <v>532</v>
      </c>
      <c r="AK86" s="28" t="s">
        <v>272</v>
      </c>
      <c r="AL86" s="29">
        <f t="shared" si="0"/>
        <v>1095</v>
      </c>
      <c r="AM86" s="29" t="str">
        <f t="shared" si="17"/>
        <v>PASS</v>
      </c>
      <c r="AN86" s="30" t="str">
        <f>IF(AM86="ABSENT","AB",IF(AM86="FAIL","--",
IF(AK86=0,"RS 3",
IF(AND(SUM(EXTRACTNUMBER(AK86),EXTRACTNUMBER(AJ86))&gt;=1010,
        NOT(IFERROR(FIND("x",AK86),0)),
        NOT(IFERROR(FIND("x",AJ86),0))),"I",
IF(AND(SUM(EXTRACTNUMBER(AK86),EXTRACTNUMBER(AJ86))&gt;=850,
      SUM(EXTRACTNUMBER(AK86),EXTRACTNUMBER(AJ86))&lt;1010,
      NOT(IFERROR(FIND("x",AK86),0)),
      NOT(IFERROR(FIND("x",AJ86),0))),"II",
IF(OR(AND(SUM(EXTRACTNUMBER(AK86),EXTRACTNUMBER(AJ86))&lt;850,
SUM(EXTRACTNUMBER(AK86),EXTRACTNUMBER(AJ86))&gt;=670),
IFERROR(FIND("x",AK86),0),IFERROR(FIND("x",AJ86),0)),"P","--"))))))</f>
        <v>I</v>
      </c>
      <c r="AO86" s="2" t="str">
        <f t="shared" si="18"/>
        <v xml:space="preserve">One Thousand NinetyFive </v>
      </c>
    </row>
    <row r="87" spans="2:41" ht="16.5" customHeight="1">
      <c r="B87" s="45">
        <v>134260</v>
      </c>
      <c r="C87" s="46" t="s">
        <v>83</v>
      </c>
      <c r="D87" s="43">
        <v>27</v>
      </c>
      <c r="E87" s="27" t="str">
        <f t="shared" si="1"/>
        <v>F</v>
      </c>
      <c r="F87" s="26">
        <v>15</v>
      </c>
      <c r="G87" s="27" t="str">
        <f t="shared" si="2"/>
        <v>E</v>
      </c>
      <c r="H87" s="24">
        <v>6</v>
      </c>
      <c r="I87" s="27" t="str">
        <f t="shared" si="3"/>
        <v>F</v>
      </c>
      <c r="J87" s="26">
        <v>23</v>
      </c>
      <c r="K87" s="27" t="str">
        <f t="shared" si="4"/>
        <v>E</v>
      </c>
      <c r="L87" s="24">
        <v>40</v>
      </c>
      <c r="M87" s="27" t="str">
        <f t="shared" si="5"/>
        <v>E</v>
      </c>
      <c r="N87" s="26">
        <v>22</v>
      </c>
      <c r="O87" s="27" t="str">
        <f t="shared" si="6"/>
        <v>E</v>
      </c>
      <c r="P87" s="26">
        <v>22</v>
      </c>
      <c r="Q87" s="27" t="str">
        <f t="shared" si="7"/>
        <v>E</v>
      </c>
      <c r="R87" s="24">
        <v>40</v>
      </c>
      <c r="S87" s="27" t="str">
        <f t="shared" si="8"/>
        <v>E</v>
      </c>
      <c r="T87" s="26">
        <v>23</v>
      </c>
      <c r="U87" s="27" t="str">
        <f t="shared" si="9"/>
        <v>E</v>
      </c>
      <c r="V87" s="26">
        <v>19</v>
      </c>
      <c r="W87" s="27" t="str">
        <f t="shared" si="10"/>
        <v>E</v>
      </c>
      <c r="X87" s="24">
        <v>44</v>
      </c>
      <c r="Y87" s="27" t="str">
        <f t="shared" si="11"/>
        <v>E</v>
      </c>
      <c r="Z87" s="26">
        <v>23</v>
      </c>
      <c r="AA87" s="27" t="str">
        <f t="shared" si="12"/>
        <v>E</v>
      </c>
      <c r="AB87" s="26">
        <v>22</v>
      </c>
      <c r="AC87" s="27" t="str">
        <f t="shared" si="13"/>
        <v>E</v>
      </c>
      <c r="AD87" s="24">
        <v>28</v>
      </c>
      <c r="AE87" s="27" t="str">
        <f t="shared" si="14"/>
        <v>F</v>
      </c>
      <c r="AF87" s="26">
        <v>23</v>
      </c>
      <c r="AG87" s="27" t="str">
        <f t="shared" si="15"/>
        <v>E</v>
      </c>
      <c r="AH87" s="26">
        <v>14</v>
      </c>
      <c r="AI87" s="27" t="str">
        <f t="shared" si="16"/>
        <v>E</v>
      </c>
      <c r="AJ87" s="32">
        <f>IF(OR(AND(D87&gt;=31,D87&lt;40),AND(H87&gt;=31,H87&lt;40),AND(L87&gt;=31,L87&lt;40),AND(R87&gt;=31,R87&lt;40),AND(X87&gt;=31,X87&lt;40),AND(AD87&gt;=31,AD87&lt;40)),IF(AND(OR(COUNTIF(D87:AI87,"=31")&gt;=1,COUNTIF(D87:AI87,"=32")&gt;=1,COUNTIF(D87:AI87,"=33")&gt;=1,COUNTIF(D87:AI87,"=34")&gt;=1,COUNTIF(D87:AI87,"=35")&gt;=1,COUNTIF(D87:AI87,"=36")&gt;=1 ),COUNTIF(D87:AI87,"")=0,COUNTIF(D87:AI87," ")=0,COUNTIF(D87:AI87,"F")=1),CONCATENATE(SUM(EXTRACTNUMBER(D87),EXTRACTNUMBER(F87),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EXTRACTNUMBER(AD87),EXTRACTNUMBER(AH87),EXTRACTNUMBER(AF87)),"*"),IF(AND(COUNTIF(D87:AI87,"=34")&gt;=1,COUNTIF(D87:AI87,"=35")&gt;=1,COUNTIF(D87:AI87,"f")=2,COUNTIF(D87:AI87,"")=0,COUNTIF(D87:AI87," ")=0),CONCATENATE(SUM(EXTRACTNUMBER(D87),EXTRACTNUMBER(F87),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EXTRACTNUMBER(AD87),EXTRACTNUMBER(AH87),EXTRACTNUMBER(AF87)),"*"),IF(AND(COUNTIF(D87:AI87,"=36")&gt;=2,COUNTIF(D87:AI87,"f")=2,COUNTIF(D87:AI87,"")=0,COUNTIF(D87:AI87," ")=0),CONCATENATE(SUM(EXTRACTNUMBER(D87),EXTRACTNUMBER(F87),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EXTRACTNUMBER(AD87),EXTRACTNUMBER(AH87),EXTRACTNUMBER(AF87)),"*"),SUM(EXTRACTNUMBER(D87),EXTRACTNUMBER(F87),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EXTRACTNUMBER(AD87),EXTRACTNUMBER(AH87),EXTRACTNUMBER(AF87))))),SUM(EXTRACTNUMBER(D87),EXTRACTNUMBER(F87),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EXTRACTNUMBER(AD87),EXTRACTNUMBER(AH87),EXTRACTNUMBER(AF87)))</f>
        <v>391</v>
      </c>
      <c r="AK87" s="28">
        <v>0</v>
      </c>
      <c r="AL87" s="29">
        <f t="shared" si="0"/>
        <v>391</v>
      </c>
      <c r="AM87" s="29" t="str">
        <f t="shared" si="17"/>
        <v>FAIL</v>
      </c>
      <c r="AN87" s="30" t="str">
        <f>IF(AM87="ABSENT","AB",IF(AM87="FAIL","--",
IF(AK87=0,"RS 3",
IF(AND(SUM(EXTRACTNUMBER(AK87),EXTRACTNUMBER(AJ87))&gt;=1010,
        NOT(IFERROR(FIND("x",AK87),0)),
        NOT(IFERROR(FIND("x",AJ87),0))),"I",
IF(AND(SUM(EXTRACTNUMBER(AK87),EXTRACTNUMBER(AJ87))&gt;=850,
      SUM(EXTRACTNUMBER(AK87),EXTRACTNUMBER(AJ87))&lt;1010,
      NOT(IFERROR(FIND("x",AK87),0)),
      NOT(IFERROR(FIND("x",AJ87),0))),"II",
IF(OR(AND(SUM(EXTRACTNUMBER(AK87),EXTRACTNUMBER(AJ87))&lt;850,
SUM(EXTRACTNUMBER(AK87),EXTRACTNUMBER(AJ87))&gt;=670),
IFERROR(FIND("x",AK87),0),IFERROR(FIND("x",AJ87),0)),"P","--"))))))</f>
        <v>--</v>
      </c>
      <c r="AO87" s="2" t="str">
        <f t="shared" si="18"/>
        <v xml:space="preserve">Three Hundred NinetyOne </v>
      </c>
    </row>
    <row r="88" spans="2:41" ht="16.5" customHeight="1">
      <c r="B88" s="45">
        <v>134261</v>
      </c>
      <c r="C88" s="46" t="s">
        <v>84</v>
      </c>
      <c r="D88" s="43">
        <v>16</v>
      </c>
      <c r="E88" s="27" t="str">
        <f t="shared" si="1"/>
        <v>F</v>
      </c>
      <c r="F88" s="26">
        <v>20</v>
      </c>
      <c r="G88" s="27" t="str">
        <f t="shared" si="2"/>
        <v>E</v>
      </c>
      <c r="H88" s="24">
        <v>40</v>
      </c>
      <c r="I88" s="27" t="str">
        <f t="shared" si="3"/>
        <v>E</v>
      </c>
      <c r="J88" s="26">
        <v>21</v>
      </c>
      <c r="K88" s="27" t="str">
        <f t="shared" si="4"/>
        <v>E</v>
      </c>
      <c r="L88" s="24">
        <v>52</v>
      </c>
      <c r="M88" s="27" t="str">
        <f t="shared" si="5"/>
        <v>E</v>
      </c>
      <c r="N88" s="26">
        <v>21</v>
      </c>
      <c r="O88" s="27" t="str">
        <f t="shared" si="6"/>
        <v>E</v>
      </c>
      <c r="P88" s="26">
        <v>20</v>
      </c>
      <c r="Q88" s="27" t="str">
        <f t="shared" si="7"/>
        <v>E</v>
      </c>
      <c r="R88" s="24">
        <v>45</v>
      </c>
      <c r="S88" s="27" t="str">
        <f t="shared" si="8"/>
        <v>E</v>
      </c>
      <c r="T88" s="26">
        <v>21</v>
      </c>
      <c r="U88" s="27" t="str">
        <f t="shared" si="9"/>
        <v>E</v>
      </c>
      <c r="V88" s="26">
        <v>16</v>
      </c>
      <c r="W88" s="27" t="str">
        <f t="shared" si="10"/>
        <v>E</v>
      </c>
      <c r="X88" s="24">
        <v>60</v>
      </c>
      <c r="Y88" s="27" t="str">
        <f t="shared" si="11"/>
        <v>E</v>
      </c>
      <c r="Z88" s="26">
        <v>22</v>
      </c>
      <c r="AA88" s="27" t="str">
        <f t="shared" si="12"/>
        <v>E</v>
      </c>
      <c r="AB88" s="26">
        <v>22</v>
      </c>
      <c r="AC88" s="27" t="str">
        <f t="shared" si="13"/>
        <v>E</v>
      </c>
      <c r="AD88" s="24">
        <v>45</v>
      </c>
      <c r="AE88" s="27" t="str">
        <f t="shared" si="14"/>
        <v>E</v>
      </c>
      <c r="AF88" s="26">
        <v>21</v>
      </c>
      <c r="AG88" s="27" t="str">
        <f t="shared" si="15"/>
        <v>E</v>
      </c>
      <c r="AH88" s="26">
        <v>19</v>
      </c>
      <c r="AI88" s="27" t="str">
        <f t="shared" si="16"/>
        <v>E</v>
      </c>
      <c r="AJ88" s="32">
        <f>IF(OR(AND(D88&gt;=31,D88&lt;40),AND(H88&gt;=31,H88&lt;40),AND(L88&gt;=31,L88&lt;40),AND(R88&gt;=31,R88&lt;40),AND(X88&gt;=31,X88&lt;40),AND(AD88&gt;=31,AD88&lt;40)),IF(AND(OR(COUNTIF(D88:AI88,"=31")&gt;=1,COUNTIF(D88:AI88,"=32")&gt;=1,COUNTIF(D88:AI88,"=33")&gt;=1,COUNTIF(D88:AI88,"=34")&gt;=1,COUNTIF(D88:AI88,"=35")&gt;=1,COUNTIF(D88:AI88,"=36")&gt;=1 ),COUNTIF(D88:AI88,"")=0,COUNTIF(D88:AI88," ")=0,COUNTIF(D88:AI88,"F")=1),CONCATENATE(SUM(EXTRACTNUMBER(D88),EXTRACTNUMBER(F88),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EXTRACTNUMBER(AD88),EXTRACTNUMBER(AH88),EXTRACTNUMBER(AF88)),"*"),IF(AND(COUNTIF(D88:AI88,"=34")&gt;=1,COUNTIF(D88:AI88,"=35")&gt;=1,COUNTIF(D88:AI88,"f")=2,COUNTIF(D88:AI88,"")=0,COUNTIF(D88:AI88," ")=0),CONCATENATE(SUM(EXTRACTNUMBER(D88),EXTRACTNUMBER(F88),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EXTRACTNUMBER(AD88),EXTRACTNUMBER(AH88),EXTRACTNUMBER(AF88)),"*"),IF(AND(COUNTIF(D88:AI88,"=36")&gt;=2,COUNTIF(D88:AI88,"f")=2,COUNTIF(D88:AI88,"")=0,COUNTIF(D88:AI88," ")=0),CONCATENATE(SUM(EXTRACTNUMBER(D88),EXTRACTNUMBER(F88),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EXTRACTNUMBER(AD88),EXTRACTNUMBER(AH88),EXTRACTNUMBER(AF88)),"*"),SUM(EXTRACTNUMBER(D88),EXTRACTNUMBER(F88),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EXTRACTNUMBER(AD88),EXTRACTNUMBER(AH88),EXTRACTNUMBER(AF88))))),SUM(EXTRACTNUMBER(D88),EXTRACTNUMBER(F88),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EXTRACTNUMBER(AD88),EXTRACTNUMBER(AH88),EXTRACTNUMBER(AF88)))</f>
        <v>461</v>
      </c>
      <c r="AK88" s="28">
        <v>0</v>
      </c>
      <c r="AL88" s="29">
        <f t="shared" si="0"/>
        <v>461</v>
      </c>
      <c r="AM88" s="29" t="str">
        <f t="shared" si="17"/>
        <v>FAIL</v>
      </c>
      <c r="AN88" s="30" t="str">
        <f>IF(AM88="ABSENT","AB",IF(AM88="FAIL","--",
IF(AK88=0,"RS 3",
IF(AND(SUM(EXTRACTNUMBER(AK88),EXTRACTNUMBER(AJ88))&gt;=1010,
        NOT(IFERROR(FIND("x",AK88),0)),
        NOT(IFERROR(FIND("x",AJ88),0))),"I",
IF(AND(SUM(EXTRACTNUMBER(AK88),EXTRACTNUMBER(AJ88))&gt;=850,
      SUM(EXTRACTNUMBER(AK88),EXTRACTNUMBER(AJ88))&lt;1010,
      NOT(IFERROR(FIND("x",AK88),0)),
      NOT(IFERROR(FIND("x",AJ88),0))),"II",
IF(OR(AND(SUM(EXTRACTNUMBER(AK88),EXTRACTNUMBER(AJ88))&lt;850,
SUM(EXTRACTNUMBER(AK88),EXTRACTNUMBER(AJ88))&gt;=670),
IFERROR(FIND("x",AK88),0),IFERROR(FIND("x",AJ88),0)),"P","--"))))))</f>
        <v>--</v>
      </c>
      <c r="AO88" s="2" t="str">
        <f t="shared" si="18"/>
        <v xml:space="preserve">Four Hundred Sixty One </v>
      </c>
    </row>
    <row r="89" spans="2:41" ht="16.5" customHeight="1">
      <c r="B89" s="45">
        <v>134262</v>
      </c>
      <c r="C89" s="46" t="s">
        <v>85</v>
      </c>
      <c r="D89" s="43">
        <v>40</v>
      </c>
      <c r="E89" s="27" t="str">
        <f t="shared" si="1"/>
        <v/>
      </c>
      <c r="F89" s="26">
        <v>17</v>
      </c>
      <c r="G89" s="27" t="str">
        <f t="shared" si="2"/>
        <v/>
      </c>
      <c r="H89" s="24">
        <v>69</v>
      </c>
      <c r="I89" s="27" t="str">
        <f t="shared" si="3"/>
        <v/>
      </c>
      <c r="J89" s="26">
        <v>19</v>
      </c>
      <c r="K89" s="27" t="str">
        <f t="shared" si="4"/>
        <v/>
      </c>
      <c r="L89" s="24">
        <v>44</v>
      </c>
      <c r="M89" s="27" t="str">
        <f t="shared" si="5"/>
        <v/>
      </c>
      <c r="N89" s="26">
        <v>17</v>
      </c>
      <c r="O89" s="27" t="str">
        <f t="shared" si="6"/>
        <v/>
      </c>
      <c r="P89" s="26">
        <v>17</v>
      </c>
      <c r="Q89" s="27" t="str">
        <f t="shared" si="7"/>
        <v/>
      </c>
      <c r="R89" s="24">
        <v>52</v>
      </c>
      <c r="S89" s="27" t="str">
        <f t="shared" si="8"/>
        <v/>
      </c>
      <c r="T89" s="26">
        <v>17</v>
      </c>
      <c r="U89" s="27" t="str">
        <f t="shared" si="9"/>
        <v/>
      </c>
      <c r="V89" s="26">
        <v>20</v>
      </c>
      <c r="W89" s="27" t="str">
        <f t="shared" si="10"/>
        <v/>
      </c>
      <c r="X89" s="24">
        <v>73</v>
      </c>
      <c r="Y89" s="27" t="str">
        <f t="shared" si="11"/>
        <v/>
      </c>
      <c r="Z89" s="26">
        <v>21</v>
      </c>
      <c r="AA89" s="27" t="str">
        <f t="shared" si="12"/>
        <v/>
      </c>
      <c r="AB89" s="26">
        <v>21</v>
      </c>
      <c r="AC89" s="27" t="str">
        <f t="shared" si="13"/>
        <v/>
      </c>
      <c r="AD89" s="24">
        <v>57</v>
      </c>
      <c r="AE89" s="27" t="str">
        <f t="shared" si="14"/>
        <v/>
      </c>
      <c r="AF89" s="26">
        <v>19</v>
      </c>
      <c r="AG89" s="27" t="str">
        <f t="shared" si="15"/>
        <v/>
      </c>
      <c r="AH89" s="26">
        <v>19</v>
      </c>
      <c r="AI89" s="27" t="str">
        <f t="shared" si="16"/>
        <v/>
      </c>
      <c r="AJ89" s="32">
        <f>IF(OR(AND(D89&gt;=31,D89&lt;40),AND(H89&gt;=31,H89&lt;40),AND(L89&gt;=31,L89&lt;40),AND(R89&gt;=31,R89&lt;40),AND(X89&gt;=31,X89&lt;40),AND(AD89&gt;=31,AD89&lt;40)),IF(AND(OR(COUNTIF(D89:AI89,"=31")&gt;=1,COUNTIF(D89:AI89,"=32")&gt;=1,COUNTIF(D89:AI89,"=33")&gt;=1,COUNTIF(D89:AI89,"=34")&gt;=1,COUNTIF(D89:AI89,"=35")&gt;=1,COUNTIF(D89:AI89,"=36")&gt;=1 ),COUNTIF(D89:AI89,"")=0,COUNTIF(D89:AI89," ")=0,COUNTIF(D89:AI89,"F")=1),CONCATENATE(SUM(EXTRACTNUMBER(D89),EXTRACTNUMBER(F89),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EXTRACTNUMBER(AD89),EXTRACTNUMBER(AH89),EXTRACTNUMBER(AF89)),"*"),IF(AND(COUNTIF(D89:AI89,"=34")&gt;=1,COUNTIF(D89:AI89,"=35")&gt;=1,COUNTIF(D89:AI89,"f")=2,COUNTIF(D89:AI89,"")=0,COUNTIF(D89:AI89," ")=0),CONCATENATE(SUM(EXTRACTNUMBER(D89),EXTRACTNUMBER(F89),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EXTRACTNUMBER(AD89),EXTRACTNUMBER(AH89),EXTRACTNUMBER(AF89)),"*"),IF(AND(COUNTIF(D89:AI89,"=36")&gt;=2,COUNTIF(D89:AI89,"f")=2,COUNTIF(D89:AI89,"")=0,COUNTIF(D89:AI89," ")=0),CONCATENATE(SUM(EXTRACTNUMBER(D89),EXTRACTNUMBER(F89),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EXTRACTNUMBER(AD89),EXTRACTNUMBER(AH89),EXTRACTNUMBER(AF89)),"*"),SUM(EXTRACTNUMBER(D89),EXTRACTNUMBER(F89),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EXTRACTNUMBER(AD89),EXTRACTNUMBER(AH89),EXTRACTNUMBER(AF89))))),SUM(EXTRACTNUMBER(D89),EXTRACTNUMBER(F89),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EXTRACTNUMBER(AD89),EXTRACTNUMBER(AH89),EXTRACTNUMBER(AF89)))</f>
        <v>522</v>
      </c>
      <c r="AK89" s="28" t="s">
        <v>273</v>
      </c>
      <c r="AL89" s="29" t="str">
        <f t="shared" si="0"/>
        <v>1012@8</v>
      </c>
      <c r="AM89" s="29" t="str">
        <f t="shared" si="17"/>
        <v>PASS</v>
      </c>
      <c r="AN89" s="30" t="str">
        <f>IF(AM89="ABSENT","AB",IF(AM89="FAIL","--",
IF(AK89=0,"RS 3",
IF(AND(SUM(EXTRACTNUMBER(AK89),EXTRACTNUMBER(AJ89))&gt;=1010,
        NOT(IFERROR(FIND("x",AK89),0)),
        NOT(IFERROR(FIND("x",AJ89),0))),"I",
IF(AND(SUM(EXTRACTNUMBER(AK89),EXTRACTNUMBER(AJ89))&gt;=850,
      SUM(EXTRACTNUMBER(AK89),EXTRACTNUMBER(AJ89))&lt;1010,
      NOT(IFERROR(FIND("x",AK89),0)),
      NOT(IFERROR(FIND("x",AJ89),0))),"II",
IF(OR(AND(SUM(EXTRACTNUMBER(AK89),EXTRACTNUMBER(AJ89))&lt;850,
SUM(EXTRACTNUMBER(AK89),EXTRACTNUMBER(AJ89))&gt;=670),
IFERROR(FIND("x",AK89),0),IFERROR(FIND("x",AJ89),0)),"P","--"))))))</f>
        <v>I</v>
      </c>
      <c r="AO89" s="2" t="e">
        <f t="shared" si="18"/>
        <v>#VALUE!</v>
      </c>
    </row>
    <row r="90" spans="2:41" ht="16.5" customHeight="1">
      <c r="B90" s="45">
        <v>134263</v>
      </c>
      <c r="C90" s="46" t="s">
        <v>86</v>
      </c>
      <c r="D90" s="43">
        <v>58</v>
      </c>
      <c r="E90" s="27" t="str">
        <f t="shared" si="1"/>
        <v/>
      </c>
      <c r="F90" s="26">
        <v>20</v>
      </c>
      <c r="G90" s="27" t="str">
        <f t="shared" si="2"/>
        <v/>
      </c>
      <c r="H90" s="24">
        <v>59</v>
      </c>
      <c r="I90" s="27" t="str">
        <f t="shared" si="3"/>
        <v/>
      </c>
      <c r="J90" s="26">
        <v>21</v>
      </c>
      <c r="K90" s="27" t="str">
        <f t="shared" si="4"/>
        <v/>
      </c>
      <c r="L90" s="24">
        <v>51</v>
      </c>
      <c r="M90" s="27" t="str">
        <f t="shared" si="5"/>
        <v/>
      </c>
      <c r="N90" s="26">
        <v>16</v>
      </c>
      <c r="O90" s="27" t="str">
        <f t="shared" si="6"/>
        <v/>
      </c>
      <c r="P90" s="26">
        <v>17</v>
      </c>
      <c r="Q90" s="27" t="str">
        <f t="shared" si="7"/>
        <v/>
      </c>
      <c r="R90" s="24">
        <v>48</v>
      </c>
      <c r="S90" s="27" t="str">
        <f t="shared" si="8"/>
        <v/>
      </c>
      <c r="T90" s="26">
        <v>22</v>
      </c>
      <c r="U90" s="27" t="str">
        <f t="shared" si="9"/>
        <v/>
      </c>
      <c r="V90" s="26">
        <v>24</v>
      </c>
      <c r="W90" s="27" t="str">
        <f t="shared" si="10"/>
        <v/>
      </c>
      <c r="X90" s="24">
        <v>67</v>
      </c>
      <c r="Y90" s="27" t="str">
        <f t="shared" si="11"/>
        <v/>
      </c>
      <c r="Z90" s="26">
        <v>22</v>
      </c>
      <c r="AA90" s="27" t="str">
        <f t="shared" si="12"/>
        <v/>
      </c>
      <c r="AB90" s="26">
        <v>21</v>
      </c>
      <c r="AC90" s="27" t="str">
        <f t="shared" si="13"/>
        <v/>
      </c>
      <c r="AD90" s="24">
        <v>55</v>
      </c>
      <c r="AE90" s="27" t="str">
        <f t="shared" si="14"/>
        <v/>
      </c>
      <c r="AF90" s="26">
        <v>19</v>
      </c>
      <c r="AG90" s="27" t="str">
        <f t="shared" si="15"/>
        <v/>
      </c>
      <c r="AH90" s="26">
        <v>21</v>
      </c>
      <c r="AI90" s="27" t="str">
        <f t="shared" si="16"/>
        <v/>
      </c>
      <c r="AJ90" s="32">
        <f>IF(OR(AND(D90&gt;=31,D90&lt;40),AND(H90&gt;=31,H90&lt;40),AND(L90&gt;=31,L90&lt;40),AND(R90&gt;=31,R90&lt;40),AND(X90&gt;=31,X90&lt;40),AND(AD90&gt;=31,AD90&lt;40)),IF(AND(OR(COUNTIF(D90:AI90,"=31")&gt;=1,COUNTIF(D90:AI90,"=32")&gt;=1,COUNTIF(D90:AI90,"=33")&gt;=1,COUNTIF(D90:AI90,"=34")&gt;=1,COUNTIF(D90:AI90,"=35")&gt;=1,COUNTIF(D90:AI90,"=36")&gt;=1 ),COUNTIF(D90:AI90,"")=0,COUNTIF(D90:AI90," ")=0,COUNTIF(D90:AI90,"F")=1),CONCATENATE(SUM(EXTRACTNUMBER(D90),EXTRACTNUMBER(F90),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EXTRACTNUMBER(AD90),EXTRACTNUMBER(AH90),EXTRACTNUMBER(AF90)),"*"),IF(AND(COUNTIF(D90:AI90,"=34")&gt;=1,COUNTIF(D90:AI90,"=35")&gt;=1,COUNTIF(D90:AI90,"f")=2,COUNTIF(D90:AI90,"")=0,COUNTIF(D90:AI90," ")=0),CONCATENATE(SUM(EXTRACTNUMBER(D90),EXTRACTNUMBER(F90),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EXTRACTNUMBER(AD90),EXTRACTNUMBER(AH90),EXTRACTNUMBER(AF90)),"*"),IF(AND(COUNTIF(D90:AI90,"=36")&gt;=2,COUNTIF(D90:AI90,"f")=2,COUNTIF(D90:AI90,"")=0,COUNTIF(D90:AI90," ")=0),CONCATENATE(SUM(EXTRACTNUMBER(D90),EXTRACTNUMBER(F90),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EXTRACTNUMBER(AD90),EXTRACTNUMBER(AH90),EXTRACTNUMBER(AF90)),"*"),SUM(EXTRACTNUMBER(D90),EXTRACTNUMBER(F90),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EXTRACTNUMBER(AD90),EXTRACTNUMBER(AH90),EXTRACTNUMBER(AF90))))),SUM(EXTRACTNUMBER(D90),EXTRACTNUMBER(F90),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EXTRACTNUMBER(AD90),EXTRACTNUMBER(AH90),EXTRACTNUMBER(AF90)))</f>
        <v>541</v>
      </c>
      <c r="AK90" s="28" t="s">
        <v>274</v>
      </c>
      <c r="AL90" s="29">
        <f t="shared" si="0"/>
        <v>1113</v>
      </c>
      <c r="AM90" s="29" t="str">
        <f t="shared" si="17"/>
        <v>PASS</v>
      </c>
      <c r="AN90" s="30" t="str">
        <f>IF(AM90="ABSENT","AB",IF(AM90="FAIL","--",
IF(AK90=0,"RS 3",
IF(AND(SUM(EXTRACTNUMBER(AK90),EXTRACTNUMBER(AJ90))&gt;=1010,
        NOT(IFERROR(FIND("x",AK90),0)),
        NOT(IFERROR(FIND("x",AJ90),0))),"I",
IF(AND(SUM(EXTRACTNUMBER(AK90),EXTRACTNUMBER(AJ90))&gt;=850,
      SUM(EXTRACTNUMBER(AK90),EXTRACTNUMBER(AJ90))&lt;1010,
      NOT(IFERROR(FIND("x",AK90),0)),
      NOT(IFERROR(FIND("x",AJ90),0))),"II",
IF(OR(AND(SUM(EXTRACTNUMBER(AK90),EXTRACTNUMBER(AJ90))&lt;850,
SUM(EXTRACTNUMBER(AK90),EXTRACTNUMBER(AJ90))&gt;=670),
IFERROR(FIND("x",AK90),0),IFERROR(FIND("x",AJ90),0)),"P","--"))))))</f>
        <v>I</v>
      </c>
      <c r="AO90" s="2" t="str">
        <f t="shared" si="18"/>
        <v xml:space="preserve">One Thousand One Hundred Thirteen </v>
      </c>
    </row>
    <row r="91" spans="2:41" ht="16.5" customHeight="1">
      <c r="B91" s="45">
        <v>134264</v>
      </c>
      <c r="C91" s="46" t="s">
        <v>87</v>
      </c>
      <c r="D91" s="43">
        <v>21</v>
      </c>
      <c r="E91" s="27" t="str">
        <f t="shared" si="1"/>
        <v>F</v>
      </c>
      <c r="F91" s="26">
        <v>17</v>
      </c>
      <c r="G91" s="27" t="str">
        <f t="shared" si="2"/>
        <v>E</v>
      </c>
      <c r="H91" s="24">
        <v>63</v>
      </c>
      <c r="I91" s="27" t="str">
        <f t="shared" si="3"/>
        <v>E</v>
      </c>
      <c r="J91" s="26">
        <v>20</v>
      </c>
      <c r="K91" s="27" t="str">
        <f t="shared" si="4"/>
        <v>E</v>
      </c>
      <c r="L91" s="24">
        <v>49</v>
      </c>
      <c r="M91" s="27" t="str">
        <f t="shared" si="5"/>
        <v>E</v>
      </c>
      <c r="N91" s="26">
        <v>16</v>
      </c>
      <c r="O91" s="27" t="str">
        <f t="shared" si="6"/>
        <v>E</v>
      </c>
      <c r="P91" s="26">
        <v>17</v>
      </c>
      <c r="Q91" s="27" t="str">
        <f t="shared" si="7"/>
        <v>E</v>
      </c>
      <c r="R91" s="24">
        <v>19</v>
      </c>
      <c r="S91" s="27" t="str">
        <f t="shared" si="8"/>
        <v>F</v>
      </c>
      <c r="T91" s="26">
        <v>17</v>
      </c>
      <c r="U91" s="27" t="str">
        <f t="shared" si="9"/>
        <v>E</v>
      </c>
      <c r="V91" s="26">
        <v>16</v>
      </c>
      <c r="W91" s="27" t="str">
        <f t="shared" si="10"/>
        <v>E</v>
      </c>
      <c r="X91" s="24">
        <v>40</v>
      </c>
      <c r="Y91" s="27" t="str">
        <f t="shared" si="11"/>
        <v>E</v>
      </c>
      <c r="Z91" s="26">
        <v>22</v>
      </c>
      <c r="AA91" s="27" t="str">
        <f t="shared" si="12"/>
        <v>E</v>
      </c>
      <c r="AB91" s="26">
        <v>21</v>
      </c>
      <c r="AC91" s="27" t="str">
        <f t="shared" si="13"/>
        <v>E</v>
      </c>
      <c r="AD91" s="24">
        <v>47</v>
      </c>
      <c r="AE91" s="27" t="str">
        <f t="shared" si="14"/>
        <v>E</v>
      </c>
      <c r="AF91" s="26">
        <v>18</v>
      </c>
      <c r="AG91" s="27" t="str">
        <f t="shared" si="15"/>
        <v>E</v>
      </c>
      <c r="AH91" s="26">
        <v>17</v>
      </c>
      <c r="AI91" s="27" t="str">
        <f t="shared" si="16"/>
        <v>E</v>
      </c>
      <c r="AJ91" s="32">
        <f>IF(OR(AND(D91&gt;=31,D91&lt;40),AND(H91&gt;=31,H91&lt;40),AND(L91&gt;=31,L91&lt;40),AND(R91&gt;=31,R91&lt;40),AND(X91&gt;=31,X91&lt;40),AND(AD91&gt;=31,AD91&lt;40)),IF(AND(OR(COUNTIF(D91:AI91,"=31")&gt;=1,COUNTIF(D91:AI91,"=32")&gt;=1,COUNTIF(D91:AI91,"=33")&gt;=1,COUNTIF(D91:AI91,"=34")&gt;=1,COUNTIF(D91:AI91,"=35")&gt;=1,COUNTIF(D91:AI91,"=36")&gt;=1 ),COUNTIF(D91:AI91,"")=0,COUNTIF(D91:AI91," ")=0,COUNTIF(D91:AI91,"F")=1),CONCATENATE(SUM(EXTRACTNUMBER(D91),EXTRACTNUMBER(F91),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EXTRACTNUMBER(AD91),EXTRACTNUMBER(AH91),EXTRACTNUMBER(AF91)),"*"),IF(AND(COUNTIF(D91:AI91,"=34")&gt;=1,COUNTIF(D91:AI91,"=35")&gt;=1,COUNTIF(D91:AI91,"f")=2,COUNTIF(D91:AI91,"")=0,COUNTIF(D91:AI91," ")=0),CONCATENATE(SUM(EXTRACTNUMBER(D91),EXTRACTNUMBER(F91),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EXTRACTNUMBER(AD91),EXTRACTNUMBER(AH91),EXTRACTNUMBER(AF91)),"*"),IF(AND(COUNTIF(D91:AI91,"=36")&gt;=2,COUNTIF(D91:AI91,"f")=2,COUNTIF(D91:AI91,"")=0,COUNTIF(D91:AI91," ")=0),CONCATENATE(SUM(EXTRACTNUMBER(D91),EXTRACTNUMBER(F91),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EXTRACTNUMBER(AD91),EXTRACTNUMBER(AH91),EXTRACTNUMBER(AF91)),"*"),SUM(EXTRACTNUMBER(D91),EXTRACTNUMBER(F91),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EXTRACTNUMBER(AD91),EXTRACTNUMBER(AH91),EXTRACTNUMBER(AF91))))),SUM(EXTRACTNUMBER(D91),EXTRACTNUMBER(F91),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EXTRACTNUMBER(AD91),EXTRACTNUMBER(AH91),EXTRACTNUMBER(AF91)))</f>
        <v>420</v>
      </c>
      <c r="AK91" s="94" t="s">
        <v>624</v>
      </c>
      <c r="AL91" s="29">
        <f t="shared" si="0"/>
        <v>859</v>
      </c>
      <c r="AM91" s="29" t="str">
        <f t="shared" si="17"/>
        <v>FAIL</v>
      </c>
      <c r="AN91" s="30" t="str">
        <f>IF(AM91="ABSENT","AB",IF(AM91="FAIL","--",
IF(AK91=0,"RS 3",
IF(AND(SUM(EXTRACTNUMBER(AK91),EXTRACTNUMBER(AJ91))&gt;=1010,
        NOT(IFERROR(FIND("x",AK91),0)),
        NOT(IFERROR(FIND("x",AJ91),0))),"I",
IF(AND(SUM(EXTRACTNUMBER(AK91),EXTRACTNUMBER(AJ91))&gt;=850,
      SUM(EXTRACTNUMBER(AK91),EXTRACTNUMBER(AJ91))&lt;1010,
      NOT(IFERROR(FIND("x",AK91),0)),
      NOT(IFERROR(FIND("x",AJ91),0))),"II",
IF(OR(AND(SUM(EXTRACTNUMBER(AK91),EXTRACTNUMBER(AJ91))&lt;850,
SUM(EXTRACTNUMBER(AK91),EXTRACTNUMBER(AJ91))&gt;=670),
IFERROR(FIND("x",AK91),0),IFERROR(FIND("x",AJ91),0)),"P","--"))))))</f>
        <v>--</v>
      </c>
      <c r="AO91" s="2" t="str">
        <f t="shared" si="18"/>
        <v xml:space="preserve">Eight Hundred Fifty Nine </v>
      </c>
    </row>
    <row r="92" spans="2:41" ht="16.5" customHeight="1">
      <c r="B92" s="45">
        <v>134265</v>
      </c>
      <c r="C92" s="46" t="s">
        <v>88</v>
      </c>
      <c r="D92" s="43">
        <v>40</v>
      </c>
      <c r="E92" s="27" t="str">
        <f t="shared" si="1"/>
        <v/>
      </c>
      <c r="F92" s="26">
        <v>17</v>
      </c>
      <c r="G92" s="27" t="str">
        <f t="shared" si="2"/>
        <v/>
      </c>
      <c r="H92" s="24">
        <v>42</v>
      </c>
      <c r="I92" s="27" t="str">
        <f t="shared" si="3"/>
        <v/>
      </c>
      <c r="J92" s="26">
        <v>19</v>
      </c>
      <c r="K92" s="27" t="str">
        <f t="shared" si="4"/>
        <v/>
      </c>
      <c r="L92" s="24">
        <v>52</v>
      </c>
      <c r="M92" s="27" t="str">
        <f t="shared" si="5"/>
        <v/>
      </c>
      <c r="N92" s="26">
        <v>18</v>
      </c>
      <c r="O92" s="27" t="str">
        <f t="shared" si="6"/>
        <v/>
      </c>
      <c r="P92" s="26">
        <v>17</v>
      </c>
      <c r="Q92" s="27" t="str">
        <f t="shared" si="7"/>
        <v/>
      </c>
      <c r="R92" s="24">
        <v>42</v>
      </c>
      <c r="S92" s="27" t="str">
        <f t="shared" si="8"/>
        <v/>
      </c>
      <c r="T92" s="26">
        <v>15</v>
      </c>
      <c r="U92" s="27" t="str">
        <f t="shared" si="9"/>
        <v/>
      </c>
      <c r="V92" s="26">
        <v>14</v>
      </c>
      <c r="W92" s="27" t="str">
        <f t="shared" si="10"/>
        <v/>
      </c>
      <c r="X92" s="24">
        <v>47</v>
      </c>
      <c r="Y92" s="27" t="str">
        <f t="shared" si="11"/>
        <v/>
      </c>
      <c r="Z92" s="26">
        <v>21</v>
      </c>
      <c r="AA92" s="27" t="str">
        <f t="shared" si="12"/>
        <v/>
      </c>
      <c r="AB92" s="26">
        <v>21</v>
      </c>
      <c r="AC92" s="27" t="str">
        <f t="shared" si="13"/>
        <v/>
      </c>
      <c r="AD92" s="24">
        <v>47</v>
      </c>
      <c r="AE92" s="27" t="str">
        <f t="shared" si="14"/>
        <v/>
      </c>
      <c r="AF92" s="26">
        <v>22</v>
      </c>
      <c r="AG92" s="27" t="str">
        <f t="shared" si="15"/>
        <v/>
      </c>
      <c r="AH92" s="26">
        <v>18</v>
      </c>
      <c r="AI92" s="27" t="str">
        <f t="shared" si="16"/>
        <v/>
      </c>
      <c r="AJ92" s="32">
        <f>IF(OR(AND(D92&gt;=31,D92&lt;40),AND(H92&gt;=31,H92&lt;40),AND(L92&gt;=31,L92&lt;40),AND(R92&gt;=31,R92&lt;40),AND(X92&gt;=31,X92&lt;40),AND(AD92&gt;=31,AD92&lt;40)),IF(AND(OR(COUNTIF(D92:AI92,"=31")&gt;=1,COUNTIF(D92:AI92,"=32")&gt;=1,COUNTIF(D92:AI92,"=33")&gt;=1,COUNTIF(D92:AI92,"=34")&gt;=1,COUNTIF(D92:AI92,"=35")&gt;=1,COUNTIF(D92:AI92,"=36")&gt;=1 ),COUNTIF(D92:AI92,"")=0,COUNTIF(D92:AI92," ")=0,COUNTIF(D92:AI92,"F")=1),CONCATENATE(SUM(EXTRACTNUMBER(D92),EXTRACTNUMBER(F92),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EXTRACTNUMBER(AD92),EXTRACTNUMBER(AH92),EXTRACTNUMBER(AF92)),"*"),IF(AND(COUNTIF(D92:AI92,"=34")&gt;=1,COUNTIF(D92:AI92,"=35")&gt;=1,COUNTIF(D92:AI92,"f")=2,COUNTIF(D92:AI92,"")=0,COUNTIF(D92:AI92," ")=0),CONCATENATE(SUM(EXTRACTNUMBER(D92),EXTRACTNUMBER(F92),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EXTRACTNUMBER(AD92),EXTRACTNUMBER(AH92),EXTRACTNUMBER(AF92)),"*"),IF(AND(COUNTIF(D92:AI92,"=36")&gt;=2,COUNTIF(D92:AI92,"f")=2,COUNTIF(D92:AI92,"")=0,COUNTIF(D92:AI92," ")=0),CONCATENATE(SUM(EXTRACTNUMBER(D92),EXTRACTNUMBER(F92),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EXTRACTNUMBER(AD92),EXTRACTNUMBER(AH92),EXTRACTNUMBER(AF92)),"*"),SUM(EXTRACTNUMBER(D92),EXTRACTNUMBER(F92),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EXTRACTNUMBER(AD92),EXTRACTNUMBER(AH92),EXTRACTNUMBER(AF92))))),SUM(EXTRACTNUMBER(D92),EXTRACTNUMBER(F92),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EXTRACTNUMBER(AD92),EXTRACTNUMBER(AH92),EXTRACTNUMBER(AF92)))</f>
        <v>452</v>
      </c>
      <c r="AK92" s="94" t="s">
        <v>577</v>
      </c>
      <c r="AL92" s="29">
        <f t="shared" ref="AL92:AL155" si="19">IF(IFERROR(FIND("x",AK92),0),SUM(EXTRACTNUMBER(AJ92),EXTRACTNUMBER(AK92)),IF(AND(SUM(EXTRACTNUMBER(AJ92),EXTRACTNUMBER(AK92))&gt;1009,SUM(EXTRACTNUMBER(AJ92),EXTRACTNUMBER(AK92))&lt;1020),
CONCATENATE(SUM(EXTRACTNUMBER(AJ92),EXTRACTNUMBER(AK92)),"@",1020-SUM(EXTRACTNUMBER(AJ92),EXTRACTNUMBER(AK92))),
IF(AND(SUM(EXTRACTNUMBER(AJ92),EXTRACTNUMBER(AK92))&gt;839,   SUM(EXTRACTNUMBER(AJ92),EXTRACTNUMBER(AK92))&lt;850),CONCATENATE(SUM(EXTRACTNUMBER(AJ92),EXTRACTNUMBER(AK92)),"@",850-SUM(EXTRACTNUMBER(AJ92),EXTRACTNUMBER(AK92))),
IF(AND(SUM(EXTRACTNUMBER(AJ92),EXTRACTNUMBER(AK92))&gt;669,        SUM(EXTRACTNUMBER(AJ92),EXTRACTNUMBER(AK92))&lt;680),
CONCATENATE(SUM(EXTRACTNUMBER(AJ92),EXTRACTNUMBER(AK92)),"@",680-SUM(EXTRACTNUMBER(AJ92),EXTRACTNUMBER(AK92))),
SUM(EXTRACTNUMBER(AJ92),EXTRACTNUMBER(AK92))))))</f>
        <v>928</v>
      </c>
      <c r="AM92" s="29" t="str">
        <f t="shared" si="17"/>
        <v>PASS</v>
      </c>
      <c r="AN92" s="30" t="str">
        <f>IF(AM92="ABSENT","AB",IF(AM92="FAIL","--",
IF(AK92=0,"RS 3",
IF(AND(SUM(EXTRACTNUMBER(AK92),EXTRACTNUMBER(AJ92))&gt;=1010,
        NOT(IFERROR(FIND("x",AK92),0)),
        NOT(IFERROR(FIND("x",AJ92),0))),"I",
IF(AND(SUM(EXTRACTNUMBER(AK92),EXTRACTNUMBER(AJ92))&gt;=850,
      SUM(EXTRACTNUMBER(AK92),EXTRACTNUMBER(AJ92))&lt;1010,
      NOT(IFERROR(FIND("x",AK92),0)),
      NOT(IFERROR(FIND("x",AJ92),0))),"II",
IF(OR(AND(SUM(EXTRACTNUMBER(AK92),EXTRACTNUMBER(AJ92))&lt;850,
SUM(EXTRACTNUMBER(AK92),EXTRACTNUMBER(AJ92))&gt;=670),
IFERROR(FIND("x",AK92),0),IFERROR(FIND("x",AJ92),0)),"P","--"))))))</f>
        <v>P</v>
      </c>
      <c r="AO92" s="2" t="str">
        <f t="shared" si="18"/>
        <v xml:space="preserve">Nine Hundred Twenty Eight </v>
      </c>
    </row>
    <row r="93" spans="2:41" ht="16.5" customHeight="1">
      <c r="B93" s="45">
        <v>134266</v>
      </c>
      <c r="C93" s="46" t="s">
        <v>89</v>
      </c>
      <c r="D93" s="43">
        <v>48</v>
      </c>
      <c r="E93" s="27" t="str">
        <f t="shared" ref="E93:E156" si="20">IF(IFERROR(FIND("+",D93),0)," ",
IF(D93="AB","",
IF(D93&lt;$D$27,"F",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F93" s="26">
        <v>18</v>
      </c>
      <c r="G93" s="27" t="str">
        <f t="shared" ref="G93:G156" si="21">IF(IFERROR(FIND("+",F93),0)," ",
IF(F93="AB","",
IF(F93&lt;$F$27,"F",
IF(AND(F93&gt;=$F$27,D93&gt;=$D$27,H93&gt;=$H$27,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H93" s="24">
        <v>67</v>
      </c>
      <c r="I93" s="27" t="str">
        <f t="shared" ref="I93:I156" si="22">IF(IFERROR(FIND("+",H93),0)," ",
IF(H93="AB","",
IF(H93&lt;$H$27,"F",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J93" s="26">
        <v>17</v>
      </c>
      <c r="K93" s="27" t="str">
        <f t="shared" ref="K93:K156" si="23">IF(IFERROR(FIND("+",J93),0)," ",
IF(J93="AB","",
IF(J93&lt;$J$27,"F",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L93" s="24">
        <v>50</v>
      </c>
      <c r="M93" s="27" t="str">
        <f t="shared" ref="M93:M156" si="24">IF(IFERROR(FIND("+",L93),0)," ",
IF(L93="AB","",
IF(L93&lt;$L$27,"F",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N93" s="26">
        <v>17</v>
      </c>
      <c r="O93" s="27" t="str">
        <f t="shared" ref="O93:O156" si="25">IF(IFERROR(FIND("+",N93),0)," ",
IF(N93="AB","",
IF(N93&lt;$N$27,"F",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AH93&lt;&gt;"AB"),"","E"))))</f>
        <v/>
      </c>
      <c r="P93" s="26">
        <v>18</v>
      </c>
      <c r="Q93" s="27" t="str">
        <f t="shared" ref="Q93:Q156" si="26">IF(IFERROR(FIND("+",P93),0)," ",
IF(P93="AB","",
IF(P93&lt;$P$27,"F",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R93" s="24">
        <v>40</v>
      </c>
      <c r="S93" s="27" t="str">
        <f t="shared" ref="S93:S156" si="27">IF(IFERROR(FIND("+",R93),0)," ",
IF(R93="AB","",
IF(R93&lt;$R$27,"F",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T93" s="26">
        <v>15</v>
      </c>
      <c r="U93" s="27" t="str">
        <f t="shared" ref="U93:U156" si="28">IF(IFERROR(FIND("+",T93),0)," ",
IF(T93="AB","",
IF(T93&lt;$T$27,"F",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V93" s="26">
        <v>20</v>
      </c>
      <c r="W93" s="27" t="str">
        <f t="shared" ref="W93:W156" si="29">IF(IFERROR(FIND("+",V93),0)," ",
IF(V93="AB","",
IF(V93&lt;$V$27,"F",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X93" s="24">
        <v>52</v>
      </c>
      <c r="Y93" s="27" t="str">
        <f t="shared" ref="Y93:Y156" si="30">IF(IFERROR(FIND("+",X93),0)," ",
IF(X93="AB","",
IF(X93&lt;$X$27,"F",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Z93" s="26">
        <v>20</v>
      </c>
      <c r="AA93" s="27" t="str">
        <f t="shared" ref="AA93:AA156" si="31">IF(IFERROR(FIND("+",Z93),0)," ",
IF(Z93="AB","",
IF(Z93&lt;$Z$27,"F",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AB93" s="26">
        <v>21</v>
      </c>
      <c r="AC93" s="27" t="str">
        <f t="shared" ref="AC93:AC156" si="32">IF(IFERROR(FIND("+",AB93),0)," ",
IF(AB93="AB","",
IF(AB93&lt;$AB$27,"F",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AD93" s="24">
        <v>44</v>
      </c>
      <c r="AE93" s="27" t="str">
        <f t="shared" ref="AE93:AE156" si="33">IF(IFERROR(FIND("+",AD93),0)," ",
IF(AD93="AB","",
IF(AD93&lt;$AD$27,"F",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AF93" s="26">
        <v>19</v>
      </c>
      <c r="AG93" s="27" t="str">
        <f t="shared" ref="AG93:AG156" si="34">IF(IFERROR(FIND("+",AF93),0)," ",
IF(AF93="AB","",IF(AF93&lt;$AF$27,"F",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AH93" s="26">
        <v>17</v>
      </c>
      <c r="AI93" s="27" t="str">
        <f t="shared" ref="AI93:AI156" si="35">IF(IFERROR(FIND("+",AH93),0)," ",
IF(AH93="AB","",
IF(AH93&lt;$AH$27,"F",
IF(AND(D93&gt;=$D$27,F93&gt;=$F$27,H93&gt;=$H$27,
J93&gt;=$J$27,L93&gt;=$L$27,
N93&gt;=$N$27,P93&gt;=$P$27,R93&gt;=$R$27,T93&gt;=$T$27,V93&gt;=$V$27,
X93&gt;=$X$27,Z93&gt;=$Z$27,AB93&gt;=$AB$27,AD93&gt;=$AD$27,AF93&gt;=$AF$27,
AH93&gt;=$AH$27,D93&lt;&gt;"AB",F93&lt;&gt;"AB",H93&lt;&gt;"AB",
J93&lt;&gt;"AB",L93&lt;&gt;"AB",
N93&lt;&gt;"AB",P93&lt;&gt;"AB",R93&lt;&gt;"AB",T93&lt;&gt;"AB",V93&lt;&gt;"AB",
X93&lt;&gt;"AB",Z93&lt;&gt;"AB",AB93&lt;&gt;"AB",AD93&lt;&gt;"AB",AF93&lt;&gt;"AB",
AH93&lt;&gt;"AB"),"","E"))))</f>
        <v/>
      </c>
      <c r="AJ93" s="32">
        <f>IF(OR(AND(D93&gt;=31,D93&lt;40),AND(H93&gt;=31,H93&lt;40),AND(L93&gt;=31,L93&lt;40),AND(R93&gt;=31,R93&lt;40),AND(X93&gt;=31,X93&lt;40),AND(AD93&gt;=31,AD93&lt;40)),IF(AND(OR(COUNTIF(D93:AI93,"=31")&gt;=1,COUNTIF(D93:AI93,"=32")&gt;=1,COUNTIF(D93:AI93,"=33")&gt;=1,COUNTIF(D93:AI93,"=34")&gt;=1,COUNTIF(D93:AI93,"=35")&gt;=1,COUNTIF(D93:AI93,"=36")&gt;=1 ),COUNTIF(D93:AI93,"")=0,COUNTIF(D93:AI93," ")=0,COUNTIF(D93:AI93,"F")=1),CONCATENATE(SUM(EXTRACTNUMBER(D93),EXTRACTNUMBER(F93),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EXTRACTNUMBER(AD93),EXTRACTNUMBER(AH93),EXTRACTNUMBER(AF93)),"*"),IF(AND(COUNTIF(D93:AI93,"=34")&gt;=1,COUNTIF(D93:AI93,"=35")&gt;=1,COUNTIF(D93:AI93,"f")=2,COUNTIF(D93:AI93,"")=0,COUNTIF(D93:AI93," ")=0),CONCATENATE(SUM(EXTRACTNUMBER(D93),EXTRACTNUMBER(F93),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EXTRACTNUMBER(AD93),EXTRACTNUMBER(AH93),EXTRACTNUMBER(AF93)),"*"),IF(AND(COUNTIF(D93:AI93,"=36")&gt;=2,COUNTIF(D93:AI93,"f")=2,COUNTIF(D93:AI93,"")=0,COUNTIF(D93:AI93," ")=0),CONCATENATE(SUM(EXTRACTNUMBER(D93),EXTRACTNUMBER(F93),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EXTRACTNUMBER(AD93),EXTRACTNUMBER(AH93),EXTRACTNUMBER(AF93)),"*"),SUM(EXTRACTNUMBER(D93),EXTRACTNUMBER(F93),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EXTRACTNUMBER(AD93),EXTRACTNUMBER(AH93),EXTRACTNUMBER(AF93))))),SUM(EXTRACTNUMBER(D93),EXTRACTNUMBER(F93),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EXTRACTNUMBER(AD93),EXTRACTNUMBER(AH93),EXTRACTNUMBER(AF93)))</f>
        <v>483</v>
      </c>
      <c r="AK93" s="28" t="s">
        <v>275</v>
      </c>
      <c r="AL93" s="29">
        <f t="shared" si="19"/>
        <v>959</v>
      </c>
      <c r="AM93" s="29" t="str">
        <f t="shared" ref="AM93:AM156" si="36">IF(AND(COUNTIF(D93:AI93,"AB")&lt;16-COUNTIF(D93:AI93," "),
COUNTIF(D93:AI93,"AB")&lt;&gt;0),"FAIL",
IF(COUNTIF(D93:AI93,"AB")=16-COUNTIF(D93:AI93," "),"ABSENT",
IF(AND(COUNTIF(D93:AI93,"AB")=0,COUNTIF(D93:AI93,"F")=0),"PASS","FAIL")))</f>
        <v>PASS</v>
      </c>
      <c r="AN93" s="30" t="str">
        <f>IF(AM93="ABSENT","AB",IF(AM93="FAIL","--",
IF(AK93=0,"RS 3",
IF(AND(SUM(EXTRACTNUMBER(AK93),EXTRACTNUMBER(AJ93))&gt;=1010,
        NOT(IFERROR(FIND("x",AK93),0)),
        NOT(IFERROR(FIND("x",AJ93),0))),"I",
IF(AND(SUM(EXTRACTNUMBER(AK93),EXTRACTNUMBER(AJ93))&gt;=850,
      SUM(EXTRACTNUMBER(AK93),EXTRACTNUMBER(AJ93))&lt;1010,
      NOT(IFERROR(FIND("x",AK93),0)),
      NOT(IFERROR(FIND("x",AJ93),0))),"II",
IF(OR(AND(SUM(EXTRACTNUMBER(AK93),EXTRACTNUMBER(AJ93))&lt;850,
SUM(EXTRACTNUMBER(AK93),EXTRACTNUMBER(AJ93))&gt;=670),
IFERROR(FIND("x",AK93),0),IFERROR(FIND("x",AJ93),0)),"P","--"))))))</f>
        <v>II</v>
      </c>
      <c r="AO93" s="2" t="str">
        <f t="shared" ref="AO93:AO156" si="37">spellnumber(AL93)</f>
        <v xml:space="preserve">Nine Hundred Fifty Nine </v>
      </c>
    </row>
    <row r="94" spans="2:41" ht="16.5" customHeight="1">
      <c r="B94" s="45">
        <v>134267</v>
      </c>
      <c r="C94" s="46" t="s">
        <v>90</v>
      </c>
      <c r="D94" s="43">
        <v>28</v>
      </c>
      <c r="E94" s="27" t="str">
        <f t="shared" si="20"/>
        <v>F</v>
      </c>
      <c r="F94" s="26">
        <v>20</v>
      </c>
      <c r="G94" s="27" t="str">
        <f t="shared" si="21"/>
        <v>E</v>
      </c>
      <c r="H94" s="24">
        <v>56</v>
      </c>
      <c r="I94" s="27" t="str">
        <f t="shared" si="22"/>
        <v>E</v>
      </c>
      <c r="J94" s="26">
        <v>19</v>
      </c>
      <c r="K94" s="27" t="str">
        <f t="shared" si="23"/>
        <v>E</v>
      </c>
      <c r="L94" s="24">
        <v>41</v>
      </c>
      <c r="M94" s="27" t="str">
        <f t="shared" si="24"/>
        <v>E</v>
      </c>
      <c r="N94" s="26">
        <v>17</v>
      </c>
      <c r="O94" s="27" t="str">
        <f t="shared" si="25"/>
        <v>E</v>
      </c>
      <c r="P94" s="26">
        <v>18</v>
      </c>
      <c r="Q94" s="27" t="str">
        <f t="shared" si="26"/>
        <v>E</v>
      </c>
      <c r="R94" s="24">
        <v>40</v>
      </c>
      <c r="S94" s="27" t="str">
        <f t="shared" si="27"/>
        <v>E</v>
      </c>
      <c r="T94" s="26">
        <v>17</v>
      </c>
      <c r="U94" s="27" t="str">
        <f t="shared" si="28"/>
        <v>E</v>
      </c>
      <c r="V94" s="26">
        <v>17</v>
      </c>
      <c r="W94" s="27" t="str">
        <f t="shared" si="29"/>
        <v>E</v>
      </c>
      <c r="X94" s="24">
        <v>40</v>
      </c>
      <c r="Y94" s="27" t="str">
        <f t="shared" si="30"/>
        <v>E</v>
      </c>
      <c r="Z94" s="26">
        <v>21</v>
      </c>
      <c r="AA94" s="27" t="str">
        <f t="shared" si="31"/>
        <v>E</v>
      </c>
      <c r="AB94" s="26">
        <v>21</v>
      </c>
      <c r="AC94" s="27" t="str">
        <f t="shared" si="32"/>
        <v>E</v>
      </c>
      <c r="AD94" s="24">
        <v>29</v>
      </c>
      <c r="AE94" s="27" t="str">
        <f t="shared" si="33"/>
        <v>F</v>
      </c>
      <c r="AF94" s="26">
        <v>22</v>
      </c>
      <c r="AG94" s="27" t="str">
        <f t="shared" si="34"/>
        <v>E</v>
      </c>
      <c r="AH94" s="26">
        <v>20</v>
      </c>
      <c r="AI94" s="27" t="str">
        <f t="shared" si="35"/>
        <v>E</v>
      </c>
      <c r="AJ94" s="32">
        <f>IF(OR(AND(D94&gt;=31,D94&lt;40),AND(H94&gt;=31,H94&lt;40),AND(L94&gt;=31,L94&lt;40),AND(R94&gt;=31,R94&lt;40),AND(X94&gt;=31,X94&lt;40),AND(AD94&gt;=31,AD94&lt;40)),IF(AND(OR(COUNTIF(D94:AI94,"=31")&gt;=1,COUNTIF(D94:AI94,"=32")&gt;=1,COUNTIF(D94:AI94,"=33")&gt;=1,COUNTIF(D94:AI94,"=34")&gt;=1,COUNTIF(D94:AI94,"=35")&gt;=1,COUNTIF(D94:AI94,"=36")&gt;=1 ),COUNTIF(D94:AI94,"")=0,COUNTIF(D94:AI94," ")=0,COUNTIF(D94:AI94,"F")=1),CONCATENATE(SUM(EXTRACTNUMBER(D94),EXTRACTNUMBER(F94),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EXTRACTNUMBER(AD94),EXTRACTNUMBER(AH94),EXTRACTNUMBER(AF94)),"*"),IF(AND(COUNTIF(D94:AI94,"=34")&gt;=1,COUNTIF(D94:AI94,"=35")&gt;=1,COUNTIF(D94:AI94,"f")=2,COUNTIF(D94:AI94,"")=0,COUNTIF(D94:AI94," ")=0),CONCATENATE(SUM(EXTRACTNUMBER(D94),EXTRACTNUMBER(F94),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EXTRACTNUMBER(AD94),EXTRACTNUMBER(AH94),EXTRACTNUMBER(AF94)),"*"),IF(AND(COUNTIF(D94:AI94,"=36")&gt;=2,COUNTIF(D94:AI94,"f")=2,COUNTIF(D94:AI94,"")=0,COUNTIF(D94:AI94," ")=0),CONCATENATE(SUM(EXTRACTNUMBER(D94),EXTRACTNUMBER(F94),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EXTRACTNUMBER(AD94),EXTRACTNUMBER(AH94),EXTRACTNUMBER(AF94)),"*"),SUM(EXTRACTNUMBER(D94),EXTRACTNUMBER(F94),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EXTRACTNUMBER(AD94),EXTRACTNUMBER(AH94),EXTRACTNUMBER(AF94))))),SUM(EXTRACTNUMBER(D94),EXTRACTNUMBER(F94),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EXTRACTNUMBER(AD94),EXTRACTNUMBER(AH94),EXTRACTNUMBER(AF94)))</f>
        <v>426</v>
      </c>
      <c r="AK94" s="94" t="s">
        <v>578</v>
      </c>
      <c r="AL94" s="29">
        <f t="shared" si="19"/>
        <v>903</v>
      </c>
      <c r="AM94" s="29" t="str">
        <f t="shared" si="36"/>
        <v>FAIL</v>
      </c>
      <c r="AN94" s="30" t="str">
        <f>IF(AM94="ABSENT","AB",IF(AM94="FAIL","--",
IF(AK94=0,"RS 3",
IF(AND(SUM(EXTRACTNUMBER(AK94),EXTRACTNUMBER(AJ94))&gt;=1010,
        NOT(IFERROR(FIND("x",AK94),0)),
        NOT(IFERROR(FIND("x",AJ94),0))),"I",
IF(AND(SUM(EXTRACTNUMBER(AK94),EXTRACTNUMBER(AJ94))&gt;=850,
      SUM(EXTRACTNUMBER(AK94),EXTRACTNUMBER(AJ94))&lt;1010,
      NOT(IFERROR(FIND("x",AK94),0)),
      NOT(IFERROR(FIND("x",AJ94),0))),"II",
IF(OR(AND(SUM(EXTRACTNUMBER(AK94),EXTRACTNUMBER(AJ94))&lt;850,
SUM(EXTRACTNUMBER(AK94),EXTRACTNUMBER(AJ94))&gt;=670),
IFERROR(FIND("x",AK94),0),IFERROR(FIND("x",AJ94),0)),"P","--"))))))</f>
        <v>--</v>
      </c>
      <c r="AO94" s="2" t="str">
        <f t="shared" si="37"/>
        <v xml:space="preserve">Nine Hundred Three </v>
      </c>
    </row>
    <row r="95" spans="2:41" ht="16.5" customHeight="1">
      <c r="B95" s="45">
        <v>134268</v>
      </c>
      <c r="C95" s="46" t="s">
        <v>91</v>
      </c>
      <c r="D95" s="43">
        <v>26</v>
      </c>
      <c r="E95" s="27" t="str">
        <f t="shared" si="20"/>
        <v>F</v>
      </c>
      <c r="F95" s="26">
        <v>15</v>
      </c>
      <c r="G95" s="27" t="str">
        <f t="shared" si="21"/>
        <v>E</v>
      </c>
      <c r="H95" s="24">
        <v>45</v>
      </c>
      <c r="I95" s="27" t="str">
        <f t="shared" si="22"/>
        <v>E</v>
      </c>
      <c r="J95" s="26">
        <v>18</v>
      </c>
      <c r="K95" s="27" t="str">
        <f t="shared" si="23"/>
        <v>E</v>
      </c>
      <c r="L95" s="24">
        <v>25</v>
      </c>
      <c r="M95" s="27" t="str">
        <f t="shared" si="24"/>
        <v>F</v>
      </c>
      <c r="N95" s="26">
        <v>17</v>
      </c>
      <c r="O95" s="27" t="str">
        <f t="shared" si="25"/>
        <v>E</v>
      </c>
      <c r="P95" s="26">
        <v>17</v>
      </c>
      <c r="Q95" s="27" t="str">
        <f t="shared" si="26"/>
        <v>E</v>
      </c>
      <c r="R95" s="24">
        <v>33</v>
      </c>
      <c r="S95" s="27" t="str">
        <f t="shared" si="27"/>
        <v>F</v>
      </c>
      <c r="T95" s="26">
        <v>17</v>
      </c>
      <c r="U95" s="27" t="str">
        <f t="shared" si="28"/>
        <v>E</v>
      </c>
      <c r="V95" s="26">
        <v>16</v>
      </c>
      <c r="W95" s="27" t="str">
        <f t="shared" si="29"/>
        <v>E</v>
      </c>
      <c r="X95" s="24">
        <v>32</v>
      </c>
      <c r="Y95" s="27" t="str">
        <f t="shared" si="30"/>
        <v>F</v>
      </c>
      <c r="Z95" s="26">
        <v>21</v>
      </c>
      <c r="AA95" s="27" t="str">
        <f t="shared" si="31"/>
        <v>E</v>
      </c>
      <c r="AB95" s="26">
        <v>22</v>
      </c>
      <c r="AC95" s="27" t="str">
        <f t="shared" si="32"/>
        <v>E</v>
      </c>
      <c r="AD95" s="24">
        <v>44</v>
      </c>
      <c r="AE95" s="27" t="str">
        <f t="shared" si="33"/>
        <v>E</v>
      </c>
      <c r="AF95" s="26">
        <v>20</v>
      </c>
      <c r="AG95" s="27" t="str">
        <f t="shared" si="34"/>
        <v>E</v>
      </c>
      <c r="AH95" s="26">
        <v>14</v>
      </c>
      <c r="AI95" s="27" t="str">
        <f t="shared" si="35"/>
        <v>E</v>
      </c>
      <c r="AJ95" s="32">
        <f>IF(OR(AND(D95&gt;=31,D95&lt;40),AND(H95&gt;=31,H95&lt;40),AND(L95&gt;=31,L95&lt;40),AND(R95&gt;=31,R95&lt;40),AND(X95&gt;=31,X95&lt;40),AND(AD95&gt;=31,AD95&lt;40)),IF(AND(OR(COUNTIF(D95:AI95,"=31")&gt;=1,COUNTIF(D95:AI95,"=32")&gt;=1,COUNTIF(D95:AI95,"=33")&gt;=1,COUNTIF(D95:AI95,"=34")&gt;=1,COUNTIF(D95:AI95,"=35")&gt;=1,COUNTIF(D95:AI95,"=36")&gt;=1 ),COUNTIF(D95:AI95,"")=0,COUNTIF(D95:AI95," ")=0,COUNTIF(D95:AI95,"F")=1),CONCATENATE(SUM(EXTRACTNUMBER(D95),EXTRACTNUMBER(F95),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EXTRACTNUMBER(AD95),EXTRACTNUMBER(AH95),EXTRACTNUMBER(AF95)),"*"),IF(AND(COUNTIF(D95:AI95,"=34")&gt;=1,COUNTIF(D95:AI95,"=35")&gt;=1,COUNTIF(D95:AI95,"f")=2,COUNTIF(D95:AI95,"")=0,COUNTIF(D95:AI95," ")=0),CONCATENATE(SUM(EXTRACTNUMBER(D95),EXTRACTNUMBER(F95),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EXTRACTNUMBER(AD95),EXTRACTNUMBER(AH95),EXTRACTNUMBER(AF95)),"*"),IF(AND(COUNTIF(D95:AI95,"=36")&gt;=2,COUNTIF(D95:AI95,"f")=2,COUNTIF(D95:AI95,"")=0,COUNTIF(D95:AI95," ")=0),CONCATENATE(SUM(EXTRACTNUMBER(D95),EXTRACTNUMBER(F95),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EXTRACTNUMBER(AD95),EXTRACTNUMBER(AH95),EXTRACTNUMBER(AF95)),"*"),SUM(EXTRACTNUMBER(D95),EXTRACTNUMBER(F95),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EXTRACTNUMBER(AD95),EXTRACTNUMBER(AH95),EXTRACTNUMBER(AF95))))),SUM(EXTRACTNUMBER(D95),EXTRACTNUMBER(F95),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EXTRACTNUMBER(AD95),EXTRACTNUMBER(AH95),EXTRACTNUMBER(AF95)))</f>
        <v>382</v>
      </c>
      <c r="AK95" s="94" t="s">
        <v>579</v>
      </c>
      <c r="AL95" s="29">
        <f t="shared" si="19"/>
        <v>797</v>
      </c>
      <c r="AM95" s="29" t="str">
        <f t="shared" si="36"/>
        <v>FAIL</v>
      </c>
      <c r="AN95" s="30" t="str">
        <f>IF(AM95="ABSENT","AB",IF(AM95="FAIL","--",
IF(AK95=0,"RS 3",
IF(AND(SUM(EXTRACTNUMBER(AK95),EXTRACTNUMBER(AJ95))&gt;=1010,
        NOT(IFERROR(FIND("x",AK95),0)),
        NOT(IFERROR(FIND("x",AJ95),0))),"I",
IF(AND(SUM(EXTRACTNUMBER(AK95),EXTRACTNUMBER(AJ95))&gt;=850,
      SUM(EXTRACTNUMBER(AK95),EXTRACTNUMBER(AJ95))&lt;1010,
      NOT(IFERROR(FIND("x",AK95),0)),
      NOT(IFERROR(FIND("x",AJ95),0))),"II",
IF(OR(AND(SUM(EXTRACTNUMBER(AK95),EXTRACTNUMBER(AJ95))&lt;850,
SUM(EXTRACTNUMBER(AK95),EXTRACTNUMBER(AJ95))&gt;=670),
IFERROR(FIND("x",AK95),0),IFERROR(FIND("x",AJ95),0)),"P","--"))))))</f>
        <v>--</v>
      </c>
      <c r="AO95" s="2" t="str">
        <f t="shared" si="37"/>
        <v xml:space="preserve">Seven Hundred NinetySeven </v>
      </c>
    </row>
    <row r="96" spans="2:41" ht="16.5" customHeight="1">
      <c r="B96" s="45">
        <v>134269</v>
      </c>
      <c r="C96" s="46" t="s">
        <v>92</v>
      </c>
      <c r="D96" s="43">
        <v>50</v>
      </c>
      <c r="E96" s="27" t="str">
        <f t="shared" si="20"/>
        <v/>
      </c>
      <c r="F96" s="26">
        <v>24</v>
      </c>
      <c r="G96" s="27" t="str">
        <f t="shared" si="21"/>
        <v/>
      </c>
      <c r="H96" s="24">
        <v>55</v>
      </c>
      <c r="I96" s="27" t="str">
        <f t="shared" si="22"/>
        <v/>
      </c>
      <c r="J96" s="26">
        <v>23</v>
      </c>
      <c r="K96" s="27" t="str">
        <f t="shared" si="23"/>
        <v/>
      </c>
      <c r="L96" s="24">
        <v>40</v>
      </c>
      <c r="M96" s="27" t="str">
        <f t="shared" si="24"/>
        <v/>
      </c>
      <c r="N96" s="26">
        <v>22</v>
      </c>
      <c r="O96" s="27" t="str">
        <f t="shared" si="25"/>
        <v/>
      </c>
      <c r="P96" s="26">
        <v>23</v>
      </c>
      <c r="Q96" s="27" t="str">
        <f t="shared" si="26"/>
        <v/>
      </c>
      <c r="R96" s="24">
        <v>41</v>
      </c>
      <c r="S96" s="27" t="str">
        <f t="shared" si="27"/>
        <v/>
      </c>
      <c r="T96" s="26">
        <v>24</v>
      </c>
      <c r="U96" s="27" t="str">
        <f t="shared" si="28"/>
        <v/>
      </c>
      <c r="V96" s="26">
        <v>20</v>
      </c>
      <c r="W96" s="27" t="str">
        <f t="shared" si="29"/>
        <v/>
      </c>
      <c r="X96" s="24">
        <v>41</v>
      </c>
      <c r="Y96" s="27" t="str">
        <f t="shared" si="30"/>
        <v/>
      </c>
      <c r="Z96" s="26">
        <v>20</v>
      </c>
      <c r="AA96" s="27" t="str">
        <f t="shared" si="31"/>
        <v/>
      </c>
      <c r="AB96" s="26">
        <v>21</v>
      </c>
      <c r="AC96" s="27" t="str">
        <f t="shared" si="32"/>
        <v/>
      </c>
      <c r="AD96" s="40" t="s">
        <v>307</v>
      </c>
      <c r="AE96" s="27" t="str">
        <f t="shared" si="33"/>
        <v/>
      </c>
      <c r="AF96" s="26">
        <v>21</v>
      </c>
      <c r="AG96" s="27" t="str">
        <f t="shared" si="34"/>
        <v/>
      </c>
      <c r="AH96" s="26">
        <v>18</v>
      </c>
      <c r="AI96" s="27" t="str">
        <f t="shared" si="35"/>
        <v/>
      </c>
      <c r="AJ96" s="32">
        <f>IF(OR(AND(D96&gt;=31,D96&lt;40),AND(H96&gt;=31,H96&lt;40),AND(L96&gt;=31,L96&lt;40),AND(R96&gt;=31,R96&lt;40),AND(X96&gt;=31,X96&lt;40),AND(AD96&gt;=31,AD96&lt;40)),IF(AND(OR(COUNTIF(D96:AI96,"=31")&gt;=1,COUNTIF(D96:AI96,"=32")&gt;=1,COUNTIF(D96:AI96,"=33")&gt;=1,COUNTIF(D96:AI96,"=34")&gt;=1,COUNTIF(D96:AI96,"=35")&gt;=1,COUNTIF(D96:AI96,"=36")&gt;=1 ),COUNTIF(D96:AI96,"")=0,COUNTIF(D96:AI96," ")=0,COUNTIF(D96:AI96,"F")=1),CONCATENATE(SUM(EXTRACTNUMBER(D96),EXTRACTNUMBER(F96),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EXTRACTNUMBER(AD96),EXTRACTNUMBER(AH96),EXTRACTNUMBER(AF96)),"*"),IF(AND(COUNTIF(D96:AI96,"=34")&gt;=1,COUNTIF(D96:AI96,"=35")&gt;=1,COUNTIF(D96:AI96,"f")=2,COUNTIF(D96:AI96,"")=0,COUNTIF(D96:AI96," ")=0),CONCATENATE(SUM(EXTRACTNUMBER(D96),EXTRACTNUMBER(F96),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EXTRACTNUMBER(AD96),EXTRACTNUMBER(AH96),EXTRACTNUMBER(AF96)),"*"),IF(AND(COUNTIF(D96:AI96,"=36")&gt;=2,COUNTIF(D96:AI96,"f")=2,COUNTIF(D96:AI96,"")=0,COUNTIF(D96:AI96," ")=0),CONCATENATE(SUM(EXTRACTNUMBER(D96),EXTRACTNUMBER(F96),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EXTRACTNUMBER(AD96),EXTRACTNUMBER(AH96),EXTRACTNUMBER(AF96)),"*"),SUM(EXTRACTNUMBER(D96),EXTRACTNUMBER(F96),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EXTRACTNUMBER(AD96),EXTRACTNUMBER(AH96),EXTRACTNUMBER(AF96))))),SUM(EXTRACTNUMBER(D96),EXTRACTNUMBER(F96),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EXTRACTNUMBER(AD96),EXTRACTNUMBER(AH96),EXTRACTNUMBER(AF96)))</f>
        <v>476</v>
      </c>
      <c r="AK96" s="94" t="s">
        <v>580</v>
      </c>
      <c r="AL96" s="29">
        <f t="shared" si="19"/>
        <v>994</v>
      </c>
      <c r="AM96" s="29" t="str">
        <f t="shared" si="36"/>
        <v>PASS</v>
      </c>
      <c r="AN96" s="30" t="str">
        <f>IF(AM96="ABSENT","AB",IF(AM96="FAIL","--",
IF(AK96=0,"RS 3",
IF(AND(SUM(EXTRACTNUMBER(AK96),EXTRACTNUMBER(AJ96))&gt;=1010,
        NOT(IFERROR(FIND("x",AK96),0)),
        NOT(IFERROR(FIND("x",AJ96),0))),"I",
IF(AND(SUM(EXTRACTNUMBER(AK96),EXTRACTNUMBER(AJ96))&gt;=850,
      SUM(EXTRACTNUMBER(AK96),EXTRACTNUMBER(AJ96))&lt;1010,
      NOT(IFERROR(FIND("x",AK96),0)),
      NOT(IFERROR(FIND("x",AJ96),0))),"II",
IF(OR(AND(SUM(EXTRACTNUMBER(AK96),EXTRACTNUMBER(AJ96))&lt;850,
SUM(EXTRACTNUMBER(AK96),EXTRACTNUMBER(AJ96))&gt;=670),
IFERROR(FIND("x",AK96),0),IFERROR(FIND("x",AJ96),0)),"P","--"))))))</f>
        <v>P</v>
      </c>
      <c r="AO96" s="2" t="str">
        <f t="shared" si="37"/>
        <v xml:space="preserve">Nine Hundred NinetyFour </v>
      </c>
    </row>
    <row r="97" spans="2:41" ht="16.5" customHeight="1">
      <c r="B97" s="45">
        <v>134270</v>
      </c>
      <c r="C97" s="46" t="s">
        <v>93</v>
      </c>
      <c r="D97" s="106" t="s">
        <v>627</v>
      </c>
      <c r="E97" s="27" t="str">
        <f t="shared" si="20"/>
        <v/>
      </c>
      <c r="F97" s="26">
        <v>15</v>
      </c>
      <c r="G97" s="27" t="str">
        <f t="shared" si="21"/>
        <v/>
      </c>
      <c r="H97" s="24">
        <v>43</v>
      </c>
      <c r="I97" s="27" t="str">
        <f t="shared" si="22"/>
        <v/>
      </c>
      <c r="J97" s="26">
        <v>16</v>
      </c>
      <c r="K97" s="27" t="str">
        <f t="shared" si="23"/>
        <v/>
      </c>
      <c r="L97" s="24">
        <v>58</v>
      </c>
      <c r="M97" s="27" t="str">
        <f t="shared" si="24"/>
        <v/>
      </c>
      <c r="N97" s="26">
        <v>17</v>
      </c>
      <c r="O97" s="27" t="str">
        <f t="shared" si="25"/>
        <v/>
      </c>
      <c r="P97" s="26">
        <v>17</v>
      </c>
      <c r="Q97" s="27" t="str">
        <f t="shared" si="26"/>
        <v/>
      </c>
      <c r="R97" s="24">
        <v>63</v>
      </c>
      <c r="S97" s="27" t="str">
        <f t="shared" si="27"/>
        <v/>
      </c>
      <c r="T97" s="26">
        <v>17</v>
      </c>
      <c r="U97" s="27" t="str">
        <f t="shared" si="28"/>
        <v/>
      </c>
      <c r="V97" s="26">
        <v>20</v>
      </c>
      <c r="W97" s="27" t="str">
        <f t="shared" si="29"/>
        <v/>
      </c>
      <c r="X97" s="24">
        <v>51</v>
      </c>
      <c r="Y97" s="27" t="str">
        <f t="shared" si="30"/>
        <v/>
      </c>
      <c r="Z97" s="26">
        <v>21</v>
      </c>
      <c r="AA97" s="27" t="str">
        <f t="shared" si="31"/>
        <v/>
      </c>
      <c r="AB97" s="26">
        <v>22</v>
      </c>
      <c r="AC97" s="27" t="str">
        <f t="shared" si="32"/>
        <v/>
      </c>
      <c r="AD97" s="24">
        <v>54</v>
      </c>
      <c r="AE97" s="27" t="str">
        <f t="shared" si="33"/>
        <v/>
      </c>
      <c r="AF97" s="26">
        <v>19</v>
      </c>
      <c r="AG97" s="27" t="str">
        <f t="shared" si="34"/>
        <v/>
      </c>
      <c r="AH97" s="26">
        <v>16</v>
      </c>
      <c r="AI97" s="27" t="str">
        <f t="shared" si="35"/>
        <v/>
      </c>
      <c r="AJ97" s="41" t="s">
        <v>628</v>
      </c>
      <c r="AK97" s="28">
        <v>0</v>
      </c>
      <c r="AL97" s="29">
        <f t="shared" si="19"/>
        <v>480</v>
      </c>
      <c r="AM97" s="29" t="str">
        <f t="shared" si="36"/>
        <v>PASS</v>
      </c>
      <c r="AN97" s="30" t="str">
        <f>IF(AM97="ABSENT","AB",IF(AM97="FAIL","--",
IF(AK97=0,"RS 3",
IF(AND(SUM(EXTRACTNUMBER(AK97),EXTRACTNUMBER(AJ97))&gt;=1010,
        NOT(IFERROR(FIND("x",AK97),0)),
        NOT(IFERROR(FIND("x",AJ97),0))),"I",
IF(AND(SUM(EXTRACTNUMBER(AK97),EXTRACTNUMBER(AJ97))&gt;=850,
      SUM(EXTRACTNUMBER(AK97),EXTRACTNUMBER(AJ97))&lt;1010,
      NOT(IFERROR(FIND("x",AK97),0)),
      NOT(IFERROR(FIND("x",AJ97),0))),"II",
IF(OR(AND(SUM(EXTRACTNUMBER(AK97),EXTRACTNUMBER(AJ97))&lt;850,
SUM(EXTRACTNUMBER(AK97),EXTRACTNUMBER(AJ97))&gt;=670),
IFERROR(FIND("x",AK97),0),IFERROR(FIND("x",AJ97),0)),"P","--"))))))</f>
        <v>RS 3</v>
      </c>
      <c r="AO97" s="2" t="str">
        <f t="shared" si="37"/>
        <v xml:space="preserve">Four Hundred Eighty  </v>
      </c>
    </row>
    <row r="98" spans="2:41" ht="16.5" customHeight="1">
      <c r="B98" s="45">
        <v>134271</v>
      </c>
      <c r="C98" s="46" t="s">
        <v>94</v>
      </c>
      <c r="D98" s="43">
        <v>40</v>
      </c>
      <c r="E98" s="27" t="str">
        <f t="shared" si="20"/>
        <v/>
      </c>
      <c r="F98" s="26">
        <v>18</v>
      </c>
      <c r="G98" s="27" t="str">
        <f t="shared" si="21"/>
        <v/>
      </c>
      <c r="H98" s="24">
        <v>73</v>
      </c>
      <c r="I98" s="27" t="str">
        <f t="shared" si="22"/>
        <v/>
      </c>
      <c r="J98" s="26">
        <v>20</v>
      </c>
      <c r="K98" s="27" t="str">
        <f t="shared" si="23"/>
        <v/>
      </c>
      <c r="L98" s="24">
        <v>60</v>
      </c>
      <c r="M98" s="27" t="str">
        <f t="shared" si="24"/>
        <v/>
      </c>
      <c r="N98" s="26">
        <v>17</v>
      </c>
      <c r="O98" s="27" t="str">
        <f t="shared" si="25"/>
        <v/>
      </c>
      <c r="P98" s="26">
        <v>18</v>
      </c>
      <c r="Q98" s="27" t="str">
        <f t="shared" si="26"/>
        <v/>
      </c>
      <c r="R98" s="24">
        <v>51</v>
      </c>
      <c r="S98" s="27" t="str">
        <f t="shared" si="27"/>
        <v/>
      </c>
      <c r="T98" s="26">
        <v>20</v>
      </c>
      <c r="U98" s="27" t="str">
        <f t="shared" si="28"/>
        <v/>
      </c>
      <c r="V98" s="26">
        <v>20</v>
      </c>
      <c r="W98" s="27" t="str">
        <f t="shared" si="29"/>
        <v/>
      </c>
      <c r="X98" s="24">
        <v>63</v>
      </c>
      <c r="Y98" s="27" t="str">
        <f t="shared" si="30"/>
        <v/>
      </c>
      <c r="Z98" s="26">
        <v>20</v>
      </c>
      <c r="AA98" s="27" t="str">
        <f t="shared" si="31"/>
        <v/>
      </c>
      <c r="AB98" s="26">
        <v>20</v>
      </c>
      <c r="AC98" s="27" t="str">
        <f t="shared" si="32"/>
        <v/>
      </c>
      <c r="AD98" s="24">
        <v>41</v>
      </c>
      <c r="AE98" s="27" t="str">
        <f t="shared" si="33"/>
        <v/>
      </c>
      <c r="AF98" s="26">
        <v>19</v>
      </c>
      <c r="AG98" s="27" t="str">
        <f t="shared" si="34"/>
        <v/>
      </c>
      <c r="AH98" s="26">
        <v>18</v>
      </c>
      <c r="AI98" s="27" t="str">
        <f t="shared" si="35"/>
        <v/>
      </c>
      <c r="AJ98" s="32">
        <f>IF(OR(AND(D98&gt;=31,D98&lt;40),AND(H98&gt;=31,H98&lt;40),AND(L98&gt;=31,L98&lt;40),AND(R98&gt;=31,R98&lt;40),AND(X98&gt;=31,X98&lt;40),AND(AD98&gt;=31,AD98&lt;40)),IF(AND(OR(COUNTIF(D98:AI98,"=31")&gt;=1,COUNTIF(D98:AI98,"=32")&gt;=1,COUNTIF(D98:AI98,"=33")&gt;=1,COUNTIF(D98:AI98,"=34")&gt;=1,COUNTIF(D98:AI98,"=35")&gt;=1,COUNTIF(D98:AI98,"=36")&gt;=1 ),COUNTIF(D98:AI98,"")=0,COUNTIF(D98:AI98," ")=0,COUNTIF(D98:AI98,"F")=1),CONCATENATE(SUM(EXTRACTNUMBER(D98),EXTRACTNUMBER(F98),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EXTRACTNUMBER(AD98),EXTRACTNUMBER(AH98),EXTRACTNUMBER(AF98)),"*"),IF(AND(COUNTIF(D98:AI98,"=34")&gt;=1,COUNTIF(D98:AI98,"=35")&gt;=1,COUNTIF(D98:AI98,"f")=2,COUNTIF(D98:AI98,"")=0,COUNTIF(D98:AI98," ")=0),CONCATENATE(SUM(EXTRACTNUMBER(D98),EXTRACTNUMBER(F98),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EXTRACTNUMBER(AD98),EXTRACTNUMBER(AH98),EXTRACTNUMBER(AF98)),"*"),IF(AND(COUNTIF(D98:AI98,"=36")&gt;=2,COUNTIF(D98:AI98,"f")=2,COUNTIF(D98:AI98,"")=0,COUNTIF(D98:AI98," ")=0),CONCATENATE(SUM(EXTRACTNUMBER(D98),EXTRACTNUMBER(F98),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EXTRACTNUMBER(AD98),EXTRACTNUMBER(AH98),EXTRACTNUMBER(AF98)),"*"),SUM(EXTRACTNUMBER(D98),EXTRACTNUMBER(F98),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EXTRACTNUMBER(AD98),EXTRACTNUMBER(AH98),EXTRACTNUMBER(AF98))))),SUM(EXTRACTNUMBER(D98),EXTRACTNUMBER(F98),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EXTRACTNUMBER(AD98),EXTRACTNUMBER(AH98),EXTRACTNUMBER(AF98)))</f>
        <v>518</v>
      </c>
      <c r="AK98" s="94" t="s">
        <v>581</v>
      </c>
      <c r="AL98" s="29">
        <f t="shared" si="19"/>
        <v>956</v>
      </c>
      <c r="AM98" s="29" t="str">
        <f t="shared" si="36"/>
        <v>PASS</v>
      </c>
      <c r="AN98" s="30" t="str">
        <f>IF(AM98="ABSENT","AB",IF(AM98="FAIL","--",
IF(AK98=0,"RS 3",
IF(AND(SUM(EXTRACTNUMBER(AK98),EXTRACTNUMBER(AJ98))&gt;=1010,
        NOT(IFERROR(FIND("x",AK98),0)),
        NOT(IFERROR(FIND("x",AJ98),0))),"I",
IF(AND(SUM(EXTRACTNUMBER(AK98),EXTRACTNUMBER(AJ98))&gt;=850,
      SUM(EXTRACTNUMBER(AK98),EXTRACTNUMBER(AJ98))&lt;1010,
      NOT(IFERROR(FIND("x",AK98),0)),
      NOT(IFERROR(FIND("x",AJ98),0))),"II",
IF(OR(AND(SUM(EXTRACTNUMBER(AK98),EXTRACTNUMBER(AJ98))&lt;850,
SUM(EXTRACTNUMBER(AK98),EXTRACTNUMBER(AJ98))&gt;=670),
IFERROR(FIND("x",AK98),0),IFERROR(FIND("x",AJ98),0)),"P","--"))))))</f>
        <v>P</v>
      </c>
      <c r="AO98" s="2" t="str">
        <f t="shared" si="37"/>
        <v xml:space="preserve">Nine Hundred Fifty Six </v>
      </c>
    </row>
    <row r="99" spans="2:41" ht="16.5" customHeight="1">
      <c r="B99" s="45">
        <v>134272</v>
      </c>
      <c r="C99" s="46" t="s">
        <v>95</v>
      </c>
      <c r="D99" s="43">
        <v>54</v>
      </c>
      <c r="E99" s="27" t="str">
        <f t="shared" si="20"/>
        <v/>
      </c>
      <c r="F99" s="26">
        <v>18</v>
      </c>
      <c r="G99" s="27" t="str">
        <f t="shared" si="21"/>
        <v/>
      </c>
      <c r="H99" s="24">
        <v>71</v>
      </c>
      <c r="I99" s="27" t="str">
        <f t="shared" si="22"/>
        <v/>
      </c>
      <c r="J99" s="26">
        <v>19</v>
      </c>
      <c r="K99" s="27" t="str">
        <f t="shared" si="23"/>
        <v/>
      </c>
      <c r="L99" s="24">
        <v>54</v>
      </c>
      <c r="M99" s="27" t="str">
        <f t="shared" si="24"/>
        <v/>
      </c>
      <c r="N99" s="26">
        <v>16</v>
      </c>
      <c r="O99" s="27" t="str">
        <f t="shared" si="25"/>
        <v/>
      </c>
      <c r="P99" s="26">
        <v>17</v>
      </c>
      <c r="Q99" s="27" t="str">
        <f t="shared" si="26"/>
        <v/>
      </c>
      <c r="R99" s="24">
        <v>47</v>
      </c>
      <c r="S99" s="27" t="str">
        <f t="shared" si="27"/>
        <v/>
      </c>
      <c r="T99" s="26">
        <v>20</v>
      </c>
      <c r="U99" s="27" t="str">
        <f t="shared" si="28"/>
        <v/>
      </c>
      <c r="V99" s="26">
        <v>20</v>
      </c>
      <c r="W99" s="27" t="str">
        <f t="shared" si="29"/>
        <v/>
      </c>
      <c r="X99" s="24">
        <v>75</v>
      </c>
      <c r="Y99" s="27" t="str">
        <f t="shared" si="30"/>
        <v/>
      </c>
      <c r="Z99" s="26">
        <v>20</v>
      </c>
      <c r="AA99" s="27" t="str">
        <f t="shared" si="31"/>
        <v/>
      </c>
      <c r="AB99" s="26">
        <v>21</v>
      </c>
      <c r="AC99" s="27" t="str">
        <f t="shared" si="32"/>
        <v/>
      </c>
      <c r="AD99" s="24">
        <v>66</v>
      </c>
      <c r="AE99" s="27" t="str">
        <f t="shared" si="33"/>
        <v/>
      </c>
      <c r="AF99" s="26">
        <v>18</v>
      </c>
      <c r="AG99" s="27" t="str">
        <f t="shared" si="34"/>
        <v/>
      </c>
      <c r="AH99" s="26">
        <v>19</v>
      </c>
      <c r="AI99" s="27" t="str">
        <f t="shared" si="35"/>
        <v/>
      </c>
      <c r="AJ99" s="32">
        <f>IF(OR(AND(D99&gt;=31,D99&lt;40),AND(H99&gt;=31,H99&lt;40),AND(L99&gt;=31,L99&lt;40),AND(R99&gt;=31,R99&lt;40),AND(X99&gt;=31,X99&lt;40),AND(AD99&gt;=31,AD99&lt;40)),IF(AND(OR(COUNTIF(D99:AI99,"=31")&gt;=1,COUNTIF(D99:AI99,"=32")&gt;=1,COUNTIF(D99:AI99,"=33")&gt;=1,COUNTIF(D99:AI99,"=34")&gt;=1,COUNTIF(D99:AI99,"=35")&gt;=1,COUNTIF(D99:AI99,"=36")&gt;=1 ),COUNTIF(D99:AI99,"")=0,COUNTIF(D99:AI99," ")=0,COUNTIF(D99:AI99,"F")=1),CONCATENATE(SUM(EXTRACTNUMBER(D99),EXTRACTNUMBER(F99),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EXTRACTNUMBER(AD99),EXTRACTNUMBER(AH99),EXTRACTNUMBER(AF99)),"*"),IF(AND(COUNTIF(D99:AI99,"=34")&gt;=1,COUNTIF(D99:AI99,"=35")&gt;=1,COUNTIF(D99:AI99,"f")=2,COUNTIF(D99:AI99,"")=0,COUNTIF(D99:AI99," ")=0),CONCATENATE(SUM(EXTRACTNUMBER(D99),EXTRACTNUMBER(F99),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EXTRACTNUMBER(AD99),EXTRACTNUMBER(AH99),EXTRACTNUMBER(AF99)),"*"),IF(AND(COUNTIF(D99:AI99,"=36")&gt;=2,COUNTIF(D99:AI99,"f")=2,COUNTIF(D99:AI99,"")=0,COUNTIF(D99:AI99," ")=0),CONCATENATE(SUM(EXTRACTNUMBER(D99),EXTRACTNUMBER(F99),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EXTRACTNUMBER(AD99),EXTRACTNUMBER(AH99),EXTRACTNUMBER(AF99)),"*"),SUM(EXTRACTNUMBER(D99),EXTRACTNUMBER(F99),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EXTRACTNUMBER(AD99),EXTRACTNUMBER(AH99),EXTRACTNUMBER(AF99))))),SUM(EXTRACTNUMBER(D99),EXTRACTNUMBER(F99),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EXTRACTNUMBER(AD99),EXTRACTNUMBER(AH99),EXTRACTNUMBER(AF99)))</f>
        <v>555</v>
      </c>
      <c r="AK99" s="28" t="s">
        <v>276</v>
      </c>
      <c r="AL99" s="29">
        <f t="shared" si="19"/>
        <v>1083</v>
      </c>
      <c r="AM99" s="29" t="str">
        <f t="shared" si="36"/>
        <v>PASS</v>
      </c>
      <c r="AN99" s="30" t="str">
        <f>IF(AM99="ABSENT","AB",IF(AM99="FAIL","--",
IF(AK99=0,"RS 3",
IF(AND(SUM(EXTRACTNUMBER(AK99),EXTRACTNUMBER(AJ99))&gt;=1010,
        NOT(IFERROR(FIND("x",AK99),0)),
        NOT(IFERROR(FIND("x",AJ99),0))),"I",
IF(AND(SUM(EXTRACTNUMBER(AK99),EXTRACTNUMBER(AJ99))&gt;=850,
      SUM(EXTRACTNUMBER(AK99),EXTRACTNUMBER(AJ99))&lt;1010,
      NOT(IFERROR(FIND("x",AK99),0)),
      NOT(IFERROR(FIND("x",AJ99),0))),"II",
IF(OR(AND(SUM(EXTRACTNUMBER(AK99),EXTRACTNUMBER(AJ99))&lt;850,
SUM(EXTRACTNUMBER(AK99),EXTRACTNUMBER(AJ99))&gt;=670),
IFERROR(FIND("x",AK99),0),IFERROR(FIND("x",AJ99),0)),"P","--"))))))</f>
        <v>I</v>
      </c>
      <c r="AO99" s="2" t="str">
        <f t="shared" si="37"/>
        <v xml:space="preserve">One Thousand Eighty Three </v>
      </c>
    </row>
    <row r="100" spans="2:41" ht="16.5" customHeight="1">
      <c r="B100" s="45">
        <v>134273</v>
      </c>
      <c r="C100" s="46" t="s">
        <v>96</v>
      </c>
      <c r="D100" s="43">
        <v>41</v>
      </c>
      <c r="E100" s="27" t="str">
        <f t="shared" si="20"/>
        <v/>
      </c>
      <c r="F100" s="26">
        <v>17</v>
      </c>
      <c r="G100" s="27" t="str">
        <f t="shared" si="21"/>
        <v/>
      </c>
      <c r="H100" s="24">
        <v>70</v>
      </c>
      <c r="I100" s="27" t="str">
        <f t="shared" si="22"/>
        <v/>
      </c>
      <c r="J100" s="26">
        <v>19</v>
      </c>
      <c r="K100" s="27" t="str">
        <f t="shared" si="23"/>
        <v/>
      </c>
      <c r="L100" s="24">
        <v>65</v>
      </c>
      <c r="M100" s="27" t="str">
        <f t="shared" si="24"/>
        <v/>
      </c>
      <c r="N100" s="26">
        <v>16</v>
      </c>
      <c r="O100" s="27" t="str">
        <f t="shared" si="25"/>
        <v/>
      </c>
      <c r="P100" s="26">
        <v>16</v>
      </c>
      <c r="Q100" s="27" t="str">
        <f t="shared" si="26"/>
        <v/>
      </c>
      <c r="R100" s="24">
        <v>51</v>
      </c>
      <c r="S100" s="27" t="str">
        <f t="shared" si="27"/>
        <v/>
      </c>
      <c r="T100" s="26">
        <v>20</v>
      </c>
      <c r="U100" s="27" t="str">
        <f t="shared" si="28"/>
        <v/>
      </c>
      <c r="V100" s="26">
        <v>19</v>
      </c>
      <c r="W100" s="27" t="str">
        <f t="shared" si="29"/>
        <v/>
      </c>
      <c r="X100" s="24">
        <v>62</v>
      </c>
      <c r="Y100" s="27" t="str">
        <f t="shared" si="30"/>
        <v/>
      </c>
      <c r="Z100" s="26">
        <v>22</v>
      </c>
      <c r="AA100" s="27" t="str">
        <f t="shared" si="31"/>
        <v/>
      </c>
      <c r="AB100" s="26">
        <v>22</v>
      </c>
      <c r="AC100" s="27" t="str">
        <f t="shared" si="32"/>
        <v/>
      </c>
      <c r="AD100" s="24">
        <v>56</v>
      </c>
      <c r="AE100" s="27" t="str">
        <f t="shared" si="33"/>
        <v/>
      </c>
      <c r="AF100" s="26">
        <v>20</v>
      </c>
      <c r="AG100" s="27" t="str">
        <f t="shared" si="34"/>
        <v/>
      </c>
      <c r="AH100" s="26">
        <v>23</v>
      </c>
      <c r="AI100" s="27" t="str">
        <f t="shared" si="35"/>
        <v/>
      </c>
      <c r="AJ100" s="32">
        <f>IF(OR(AND(D100&gt;=31,D100&lt;40),AND(H100&gt;=31,H100&lt;40),AND(L100&gt;=31,L100&lt;40),AND(R100&gt;=31,R100&lt;40),AND(X100&gt;=31,X100&lt;40),AND(AD100&gt;=31,AD100&lt;40)),IF(AND(OR(COUNTIF(D100:AI100,"=31")&gt;=1,COUNTIF(D100:AI100,"=32")&gt;=1,COUNTIF(D100:AI100,"=33")&gt;=1,COUNTIF(D100:AI100,"=34")&gt;=1,COUNTIF(D100:AI100,"=35")&gt;=1,COUNTIF(D100:AI100,"=36")&gt;=1 ),COUNTIF(D100:AI100,"")=0,COUNTIF(D100:AI100," ")=0,COUNTIF(D100:AI100,"F")=1),CONCATENATE(SUM(EXTRACTNUMBER(D100),EXTRACTNUMBER(F100),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EXTRACTNUMBER(AD100),EXTRACTNUMBER(AH100),EXTRACTNUMBER(AF100)),"*"),IF(AND(COUNTIF(D100:AI100,"=34")&gt;=1,COUNTIF(D100:AI100,"=35")&gt;=1,COUNTIF(D100:AI100,"f")=2,COUNTIF(D100:AI100,"")=0,COUNTIF(D100:AI100," ")=0),CONCATENATE(SUM(EXTRACTNUMBER(D100),EXTRACTNUMBER(F100),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EXTRACTNUMBER(AD100),EXTRACTNUMBER(AH100),EXTRACTNUMBER(AF100)),"*"),IF(AND(COUNTIF(D100:AI100,"=36")&gt;=2,COUNTIF(D100:AI100,"f")=2,COUNTIF(D100:AI100,"")=0,COUNTIF(D100:AI100," ")=0),CONCATENATE(SUM(EXTRACTNUMBER(D100),EXTRACTNUMBER(F100),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EXTRACTNUMBER(AD100),EXTRACTNUMBER(AH100),EXTRACTNUMBER(AF100)),"*"),SUM(EXTRACTNUMBER(D100),EXTRACTNUMBER(F100),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EXTRACTNUMBER(AD100),EXTRACTNUMBER(AH100),EXTRACTNUMBER(AF100))))),SUM(EXTRACTNUMBER(D100),EXTRACTNUMBER(F100),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EXTRACTNUMBER(AD100),EXTRACTNUMBER(AH100),EXTRACTNUMBER(AF100)))</f>
        <v>539</v>
      </c>
      <c r="AK100" s="28" t="s">
        <v>277</v>
      </c>
      <c r="AL100" s="29">
        <f t="shared" si="19"/>
        <v>1064</v>
      </c>
      <c r="AM100" s="29" t="str">
        <f t="shared" si="36"/>
        <v>PASS</v>
      </c>
      <c r="AN100" s="30" t="str">
        <f>IF(AM100="ABSENT","AB",IF(AM100="FAIL","--",
IF(AK100=0,"RS 3",
IF(AND(SUM(EXTRACTNUMBER(AK100),EXTRACTNUMBER(AJ100))&gt;=1010,
        NOT(IFERROR(FIND("x",AK100),0)),
        NOT(IFERROR(FIND("x",AJ100),0))),"I",
IF(AND(SUM(EXTRACTNUMBER(AK100),EXTRACTNUMBER(AJ100))&gt;=850,
      SUM(EXTRACTNUMBER(AK100),EXTRACTNUMBER(AJ100))&lt;1010,
      NOT(IFERROR(FIND("x",AK100),0)),
      NOT(IFERROR(FIND("x",AJ100),0))),"II",
IF(OR(AND(SUM(EXTRACTNUMBER(AK100),EXTRACTNUMBER(AJ100))&lt;850,
SUM(EXTRACTNUMBER(AK100),EXTRACTNUMBER(AJ100))&gt;=670),
IFERROR(FIND("x",AK100),0),IFERROR(FIND("x",AJ100),0)),"P","--"))))))</f>
        <v>I</v>
      </c>
      <c r="AO100" s="2" t="str">
        <f t="shared" si="37"/>
        <v xml:space="preserve">One Thousand Sixty Four </v>
      </c>
    </row>
    <row r="101" spans="2:41" ht="16.5" customHeight="1">
      <c r="B101" s="45">
        <v>134274</v>
      </c>
      <c r="C101" s="46" t="s">
        <v>97</v>
      </c>
      <c r="D101" s="43">
        <v>22</v>
      </c>
      <c r="E101" s="27" t="str">
        <f t="shared" si="20"/>
        <v>F</v>
      </c>
      <c r="F101" s="26">
        <v>18</v>
      </c>
      <c r="G101" s="27" t="str">
        <f t="shared" si="21"/>
        <v>E</v>
      </c>
      <c r="H101" s="24">
        <v>50</v>
      </c>
      <c r="I101" s="27" t="str">
        <f t="shared" si="22"/>
        <v>E</v>
      </c>
      <c r="J101" s="26">
        <v>19</v>
      </c>
      <c r="K101" s="27" t="str">
        <f t="shared" si="23"/>
        <v>E</v>
      </c>
      <c r="L101" s="24">
        <v>60</v>
      </c>
      <c r="M101" s="27" t="str">
        <f t="shared" si="24"/>
        <v>E</v>
      </c>
      <c r="N101" s="26">
        <v>18</v>
      </c>
      <c r="O101" s="27" t="str">
        <f t="shared" si="25"/>
        <v>E</v>
      </c>
      <c r="P101" s="26">
        <v>19</v>
      </c>
      <c r="Q101" s="27" t="str">
        <f t="shared" si="26"/>
        <v>E</v>
      </c>
      <c r="R101" s="24">
        <v>25</v>
      </c>
      <c r="S101" s="27" t="str">
        <f t="shared" si="27"/>
        <v>F</v>
      </c>
      <c r="T101" s="26">
        <v>21</v>
      </c>
      <c r="U101" s="27" t="str">
        <f t="shared" si="28"/>
        <v>E</v>
      </c>
      <c r="V101" s="26">
        <v>16</v>
      </c>
      <c r="W101" s="27" t="str">
        <f t="shared" si="29"/>
        <v>E</v>
      </c>
      <c r="X101" s="24">
        <v>48</v>
      </c>
      <c r="Y101" s="27" t="str">
        <f t="shared" si="30"/>
        <v>E</v>
      </c>
      <c r="Z101" s="26">
        <v>21</v>
      </c>
      <c r="AA101" s="27" t="str">
        <f t="shared" si="31"/>
        <v>E</v>
      </c>
      <c r="AB101" s="26">
        <v>21</v>
      </c>
      <c r="AC101" s="27" t="str">
        <f t="shared" si="32"/>
        <v>E</v>
      </c>
      <c r="AD101" s="24">
        <v>46</v>
      </c>
      <c r="AE101" s="27" t="str">
        <f t="shared" si="33"/>
        <v>E</v>
      </c>
      <c r="AF101" s="26">
        <v>22</v>
      </c>
      <c r="AG101" s="27" t="str">
        <f t="shared" si="34"/>
        <v>E</v>
      </c>
      <c r="AH101" s="26">
        <v>18</v>
      </c>
      <c r="AI101" s="27" t="str">
        <f t="shared" si="35"/>
        <v>E</v>
      </c>
      <c r="AJ101" s="32">
        <f>IF(OR(AND(D101&gt;=31,D101&lt;40),AND(H101&gt;=31,H101&lt;40),AND(L101&gt;=31,L101&lt;40),AND(R101&gt;=31,R101&lt;40),AND(X101&gt;=31,X101&lt;40),AND(AD101&gt;=31,AD101&lt;40)),IF(AND(OR(COUNTIF(D101:AI101,"=31")&gt;=1,COUNTIF(D101:AI101,"=32")&gt;=1,COUNTIF(D101:AI101,"=33")&gt;=1,COUNTIF(D101:AI101,"=34")&gt;=1,COUNTIF(D101:AI101,"=35")&gt;=1,COUNTIF(D101:AI101,"=36")&gt;=1 ),COUNTIF(D101:AI101,"")=0,COUNTIF(D101:AI101," ")=0,COUNTIF(D101:AI101,"F")=1),CONCATENATE(SUM(EXTRACTNUMBER(D101),EXTRACTNUMBER(F101),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EXTRACTNUMBER(AD101),EXTRACTNUMBER(AH101),EXTRACTNUMBER(AF101)),"*"),IF(AND(COUNTIF(D101:AI101,"=34")&gt;=1,COUNTIF(D101:AI101,"=35")&gt;=1,COUNTIF(D101:AI101,"f")=2,COUNTIF(D101:AI101,"")=0,COUNTIF(D101:AI101," ")=0),CONCATENATE(SUM(EXTRACTNUMBER(D101),EXTRACTNUMBER(F101),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EXTRACTNUMBER(AD101),EXTRACTNUMBER(AH101),EXTRACTNUMBER(AF101)),"*"),IF(AND(COUNTIF(D101:AI101,"=36")&gt;=2,COUNTIF(D101:AI101,"f")=2,COUNTIF(D101:AI101,"")=0,COUNTIF(D101:AI101," ")=0),CONCATENATE(SUM(EXTRACTNUMBER(D101),EXTRACTNUMBER(F101),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EXTRACTNUMBER(AD101),EXTRACTNUMBER(AH101),EXTRACTNUMBER(AF101)),"*"),SUM(EXTRACTNUMBER(D101),EXTRACTNUMBER(F101),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EXTRACTNUMBER(AD101),EXTRACTNUMBER(AH101),EXTRACTNUMBER(AF101))))),SUM(EXTRACTNUMBER(D101),EXTRACTNUMBER(F101),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EXTRACTNUMBER(AD101),EXTRACTNUMBER(AH101),EXTRACTNUMBER(AF101)))</f>
        <v>444</v>
      </c>
      <c r="AK101" s="94" t="s">
        <v>619</v>
      </c>
      <c r="AL101" s="29">
        <f t="shared" si="19"/>
        <v>913</v>
      </c>
      <c r="AM101" s="29" t="str">
        <f t="shared" si="36"/>
        <v>FAIL</v>
      </c>
      <c r="AN101" s="30" t="str">
        <f>IF(AM101="ABSENT","AB",IF(AM101="FAIL","--",
IF(AK101=0,"RS 3",
IF(AND(SUM(EXTRACTNUMBER(AK101),EXTRACTNUMBER(AJ101))&gt;=1010,
        NOT(IFERROR(FIND("x",AK101),0)),
        NOT(IFERROR(FIND("x",AJ101),0))),"I",
IF(AND(SUM(EXTRACTNUMBER(AK101),EXTRACTNUMBER(AJ101))&gt;=850,
      SUM(EXTRACTNUMBER(AK101),EXTRACTNUMBER(AJ101))&lt;1010,
      NOT(IFERROR(FIND("x",AK101),0)),
      NOT(IFERROR(FIND("x",AJ101),0))),"II",
IF(OR(AND(SUM(EXTRACTNUMBER(AK101),EXTRACTNUMBER(AJ101))&lt;850,
SUM(EXTRACTNUMBER(AK101),EXTRACTNUMBER(AJ101))&gt;=670),
IFERROR(FIND("x",AK101),0),IFERROR(FIND("x",AJ101),0)),"P","--"))))))</f>
        <v>--</v>
      </c>
      <c r="AO101" s="2" t="str">
        <f t="shared" si="37"/>
        <v xml:space="preserve">Nine Hundred Thirteen </v>
      </c>
    </row>
    <row r="102" spans="2:41" ht="16.5" customHeight="1">
      <c r="B102" s="45">
        <v>134275</v>
      </c>
      <c r="C102" s="46" t="s">
        <v>98</v>
      </c>
      <c r="D102" s="43">
        <v>58</v>
      </c>
      <c r="E102" s="27" t="str">
        <f t="shared" si="20"/>
        <v/>
      </c>
      <c r="F102" s="26">
        <v>23</v>
      </c>
      <c r="G102" s="27" t="str">
        <f t="shared" si="21"/>
        <v/>
      </c>
      <c r="H102" s="24">
        <v>75</v>
      </c>
      <c r="I102" s="27" t="str">
        <f t="shared" si="22"/>
        <v/>
      </c>
      <c r="J102" s="26">
        <v>23</v>
      </c>
      <c r="K102" s="27" t="str">
        <f t="shared" si="23"/>
        <v/>
      </c>
      <c r="L102" s="24">
        <v>63</v>
      </c>
      <c r="M102" s="27" t="str">
        <f t="shared" si="24"/>
        <v/>
      </c>
      <c r="N102" s="26">
        <v>23</v>
      </c>
      <c r="O102" s="27" t="str">
        <f t="shared" si="25"/>
        <v/>
      </c>
      <c r="P102" s="26">
        <v>24</v>
      </c>
      <c r="Q102" s="27" t="str">
        <f t="shared" si="26"/>
        <v/>
      </c>
      <c r="R102" s="24">
        <v>57</v>
      </c>
      <c r="S102" s="27" t="str">
        <f t="shared" si="27"/>
        <v/>
      </c>
      <c r="T102" s="26">
        <v>22</v>
      </c>
      <c r="U102" s="27" t="str">
        <f t="shared" si="28"/>
        <v/>
      </c>
      <c r="V102" s="26">
        <v>22</v>
      </c>
      <c r="W102" s="27" t="str">
        <f t="shared" si="29"/>
        <v/>
      </c>
      <c r="X102" s="24">
        <v>69</v>
      </c>
      <c r="Y102" s="27" t="str">
        <f t="shared" si="30"/>
        <v/>
      </c>
      <c r="Z102" s="26">
        <v>22</v>
      </c>
      <c r="AA102" s="27" t="str">
        <f t="shared" si="31"/>
        <v/>
      </c>
      <c r="AB102" s="26">
        <v>21</v>
      </c>
      <c r="AC102" s="27" t="str">
        <f t="shared" si="32"/>
        <v/>
      </c>
      <c r="AD102" s="24">
        <v>68</v>
      </c>
      <c r="AE102" s="27" t="str">
        <f t="shared" si="33"/>
        <v/>
      </c>
      <c r="AF102" s="26">
        <v>24</v>
      </c>
      <c r="AG102" s="27" t="str">
        <f t="shared" si="34"/>
        <v/>
      </c>
      <c r="AH102" s="26">
        <v>16</v>
      </c>
      <c r="AI102" s="27" t="str">
        <f t="shared" si="35"/>
        <v/>
      </c>
      <c r="AJ102" s="32">
        <f>IF(OR(AND(D102&gt;=31,D102&lt;40),AND(H102&gt;=31,H102&lt;40),AND(L102&gt;=31,L102&lt;40),AND(R102&gt;=31,R102&lt;40),AND(X102&gt;=31,X102&lt;40),AND(AD102&gt;=31,AD102&lt;40)),IF(AND(OR(COUNTIF(D102:AI102,"=31")&gt;=1,COUNTIF(D102:AI102,"=32")&gt;=1,COUNTIF(D102:AI102,"=33")&gt;=1,COUNTIF(D102:AI102,"=34")&gt;=1,COUNTIF(D102:AI102,"=35")&gt;=1,COUNTIF(D102:AI102,"=36")&gt;=1 ),COUNTIF(D102:AI102,"")=0,COUNTIF(D102:AI102," ")=0,COUNTIF(D102:AI102,"F")=1),CONCATENATE(SUM(EXTRACTNUMBER(D102),EXTRACTNUMBER(F102),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EXTRACTNUMBER(AD102),EXTRACTNUMBER(AH102),EXTRACTNUMBER(AF102)),"*"),IF(AND(COUNTIF(D102:AI102,"=34")&gt;=1,COUNTIF(D102:AI102,"=35")&gt;=1,COUNTIF(D102:AI102,"f")=2,COUNTIF(D102:AI102,"")=0,COUNTIF(D102:AI102," ")=0),CONCATENATE(SUM(EXTRACTNUMBER(D102),EXTRACTNUMBER(F102),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EXTRACTNUMBER(AD102),EXTRACTNUMBER(AH102),EXTRACTNUMBER(AF102)),"*"),IF(AND(COUNTIF(D102:AI102,"=36")&gt;=2,COUNTIF(D102:AI102,"f")=2,COUNTIF(D102:AI102,"")=0,COUNTIF(D102:AI102," ")=0),CONCATENATE(SUM(EXTRACTNUMBER(D102),EXTRACTNUMBER(F102),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EXTRACTNUMBER(AD102),EXTRACTNUMBER(AH102),EXTRACTNUMBER(AF102)),"*"),SUM(EXTRACTNUMBER(D102),EXTRACTNUMBER(F102),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EXTRACTNUMBER(AD102),EXTRACTNUMBER(AH102),EXTRACTNUMBER(AF102))))),SUM(EXTRACTNUMBER(D102),EXTRACTNUMBER(F102),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EXTRACTNUMBER(AD102),EXTRACTNUMBER(AH102),EXTRACTNUMBER(AF102)))</f>
        <v>610</v>
      </c>
      <c r="AK102" s="28" t="s">
        <v>278</v>
      </c>
      <c r="AL102" s="29">
        <f t="shared" si="19"/>
        <v>1252</v>
      </c>
      <c r="AM102" s="29" t="str">
        <f t="shared" si="36"/>
        <v>PASS</v>
      </c>
      <c r="AN102" s="30" t="str">
        <f>IF(AM102="ABSENT","AB",IF(AM102="FAIL","--",
IF(AK102=0,"RS 3",
IF(AND(SUM(EXTRACTNUMBER(AK102),EXTRACTNUMBER(AJ102))&gt;=1010,
        NOT(IFERROR(FIND("x",AK102),0)),
        NOT(IFERROR(FIND("x",AJ102),0))),"I",
IF(AND(SUM(EXTRACTNUMBER(AK102),EXTRACTNUMBER(AJ102))&gt;=850,
      SUM(EXTRACTNUMBER(AK102),EXTRACTNUMBER(AJ102))&lt;1010,
      NOT(IFERROR(FIND("x",AK102),0)),
      NOT(IFERROR(FIND("x",AJ102),0))),"II",
IF(OR(AND(SUM(EXTRACTNUMBER(AK102),EXTRACTNUMBER(AJ102))&lt;850,
SUM(EXTRACTNUMBER(AK102),EXTRACTNUMBER(AJ102))&gt;=670),
IFERROR(FIND("x",AK102),0),IFERROR(FIND("x",AJ102),0)),"P","--"))))))</f>
        <v>I</v>
      </c>
      <c r="AO102" s="2" t="str">
        <f t="shared" si="37"/>
        <v xml:space="preserve">One Thousand Two Hundred Fifty Two </v>
      </c>
    </row>
    <row r="103" spans="2:41" ht="16.5" customHeight="1">
      <c r="B103" s="45">
        <v>134276</v>
      </c>
      <c r="C103" s="46" t="s">
        <v>99</v>
      </c>
      <c r="D103" s="43">
        <v>40</v>
      </c>
      <c r="E103" s="27" t="str">
        <f t="shared" si="20"/>
        <v/>
      </c>
      <c r="F103" s="26">
        <v>20</v>
      </c>
      <c r="G103" s="27" t="str">
        <f t="shared" si="21"/>
        <v/>
      </c>
      <c r="H103" s="24">
        <v>51</v>
      </c>
      <c r="I103" s="27" t="str">
        <f t="shared" si="22"/>
        <v/>
      </c>
      <c r="J103" s="26">
        <v>18</v>
      </c>
      <c r="K103" s="27" t="str">
        <f t="shared" si="23"/>
        <v/>
      </c>
      <c r="L103" s="24">
        <v>40</v>
      </c>
      <c r="M103" s="27" t="str">
        <f t="shared" si="24"/>
        <v/>
      </c>
      <c r="N103" s="26">
        <v>14</v>
      </c>
      <c r="O103" s="27" t="str">
        <f t="shared" si="25"/>
        <v/>
      </c>
      <c r="P103" s="26">
        <v>17</v>
      </c>
      <c r="Q103" s="27" t="str">
        <f t="shared" si="26"/>
        <v/>
      </c>
      <c r="R103" s="24">
        <v>44</v>
      </c>
      <c r="S103" s="27" t="str">
        <f t="shared" si="27"/>
        <v/>
      </c>
      <c r="T103" s="26">
        <v>20</v>
      </c>
      <c r="U103" s="27" t="str">
        <f t="shared" si="28"/>
        <v/>
      </c>
      <c r="V103" s="26">
        <v>18</v>
      </c>
      <c r="W103" s="27" t="str">
        <f t="shared" si="29"/>
        <v/>
      </c>
      <c r="X103" s="24">
        <v>40</v>
      </c>
      <c r="Y103" s="27" t="str">
        <f t="shared" si="30"/>
        <v/>
      </c>
      <c r="Z103" s="26">
        <v>21</v>
      </c>
      <c r="AA103" s="27" t="str">
        <f t="shared" si="31"/>
        <v/>
      </c>
      <c r="AB103" s="26">
        <v>22</v>
      </c>
      <c r="AC103" s="27" t="str">
        <f t="shared" si="32"/>
        <v/>
      </c>
      <c r="AD103" s="24">
        <v>40</v>
      </c>
      <c r="AE103" s="27" t="str">
        <f t="shared" si="33"/>
        <v/>
      </c>
      <c r="AF103" s="26">
        <v>18</v>
      </c>
      <c r="AG103" s="27" t="str">
        <f t="shared" si="34"/>
        <v/>
      </c>
      <c r="AH103" s="26">
        <v>18</v>
      </c>
      <c r="AI103" s="27" t="str">
        <f t="shared" si="35"/>
        <v/>
      </c>
      <c r="AJ103" s="32">
        <f>IF(OR(AND(D103&gt;=31,D103&lt;40),AND(H103&gt;=31,H103&lt;40),AND(L103&gt;=31,L103&lt;40),AND(R103&gt;=31,R103&lt;40),AND(X103&gt;=31,X103&lt;40),AND(AD103&gt;=31,AD103&lt;40)),IF(AND(OR(COUNTIF(D103:AI103,"=31")&gt;=1,COUNTIF(D103:AI103,"=32")&gt;=1,COUNTIF(D103:AI103,"=33")&gt;=1,COUNTIF(D103:AI103,"=34")&gt;=1,COUNTIF(D103:AI103,"=35")&gt;=1,COUNTIF(D103:AI103,"=36")&gt;=1 ),COUNTIF(D103:AI103,"")=0,COUNTIF(D103:AI103," ")=0,COUNTIF(D103:AI103,"F")=1),CONCATENATE(SUM(EXTRACTNUMBER(D103),EXTRACTNUMBER(F103),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EXTRACTNUMBER(AD103),EXTRACTNUMBER(AH103),EXTRACTNUMBER(AF103)),"*"),IF(AND(COUNTIF(D103:AI103,"=34")&gt;=1,COUNTIF(D103:AI103,"=35")&gt;=1,COUNTIF(D103:AI103,"f")=2,COUNTIF(D103:AI103,"")=0,COUNTIF(D103:AI103," ")=0),CONCATENATE(SUM(EXTRACTNUMBER(D103),EXTRACTNUMBER(F103),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EXTRACTNUMBER(AD103),EXTRACTNUMBER(AH103),EXTRACTNUMBER(AF103)),"*"),IF(AND(COUNTIF(D103:AI103,"=36")&gt;=2,COUNTIF(D103:AI103,"f")=2,COUNTIF(D103:AI103,"")=0,COUNTIF(D103:AI103," ")=0),CONCATENATE(SUM(EXTRACTNUMBER(D103),EXTRACTNUMBER(F103),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EXTRACTNUMBER(AD103),EXTRACTNUMBER(AH103),EXTRACTNUMBER(AF103)),"*"),SUM(EXTRACTNUMBER(D103),EXTRACTNUMBER(F103),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EXTRACTNUMBER(AD103),EXTRACTNUMBER(AH103),EXTRACTNUMBER(AF103))))),SUM(EXTRACTNUMBER(D103),EXTRACTNUMBER(F103),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EXTRACTNUMBER(AD103),EXTRACTNUMBER(AH103),EXTRACTNUMBER(AF103)))</f>
        <v>441</v>
      </c>
      <c r="AK103" s="28" t="s">
        <v>279</v>
      </c>
      <c r="AL103" s="29">
        <f t="shared" si="19"/>
        <v>929</v>
      </c>
      <c r="AM103" s="29" t="str">
        <f t="shared" si="36"/>
        <v>PASS</v>
      </c>
      <c r="AN103" s="30" t="str">
        <f>IF(AM103="ABSENT","AB",IF(AM103="FAIL","--",
IF(AK103=0,"RS 3",
IF(AND(SUM(EXTRACTNUMBER(AK103),EXTRACTNUMBER(AJ103))&gt;=1010,
        NOT(IFERROR(FIND("x",AK103),0)),
        NOT(IFERROR(FIND("x",AJ103),0))),"I",
IF(AND(SUM(EXTRACTNUMBER(AK103),EXTRACTNUMBER(AJ103))&gt;=850,
      SUM(EXTRACTNUMBER(AK103),EXTRACTNUMBER(AJ103))&lt;1010,
      NOT(IFERROR(FIND("x",AK103),0)),
      NOT(IFERROR(FIND("x",AJ103),0))),"II",
IF(OR(AND(SUM(EXTRACTNUMBER(AK103),EXTRACTNUMBER(AJ103))&lt;850,
SUM(EXTRACTNUMBER(AK103),EXTRACTNUMBER(AJ103))&gt;=670),
IFERROR(FIND("x",AK103),0),IFERROR(FIND("x",AJ103),0)),"P","--"))))))</f>
        <v>II</v>
      </c>
      <c r="AO103" s="2" t="str">
        <f t="shared" si="37"/>
        <v xml:space="preserve">Nine Hundred Twenty Nine </v>
      </c>
    </row>
    <row r="104" spans="2:41" ht="16.5" customHeight="1">
      <c r="B104" s="45">
        <v>134277</v>
      </c>
      <c r="C104" s="46" t="s">
        <v>100</v>
      </c>
      <c r="D104" s="106" t="s">
        <v>305</v>
      </c>
      <c r="E104" s="27" t="str">
        <f t="shared" si="20"/>
        <v/>
      </c>
      <c r="F104" s="26">
        <v>14</v>
      </c>
      <c r="G104" s="27" t="str">
        <f t="shared" si="21"/>
        <v>E</v>
      </c>
      <c r="H104" s="40" t="s">
        <v>305</v>
      </c>
      <c r="I104" s="27" t="str">
        <f t="shared" si="22"/>
        <v/>
      </c>
      <c r="J104" s="26">
        <v>20</v>
      </c>
      <c r="K104" s="27" t="str">
        <f t="shared" si="23"/>
        <v>E</v>
      </c>
      <c r="L104" s="40" t="s">
        <v>305</v>
      </c>
      <c r="M104" s="27" t="str">
        <f t="shared" si="24"/>
        <v/>
      </c>
      <c r="N104" s="26">
        <v>11</v>
      </c>
      <c r="O104" s="27" t="str">
        <f t="shared" si="25"/>
        <v>E</v>
      </c>
      <c r="P104" s="26">
        <v>10</v>
      </c>
      <c r="Q104" s="27" t="str">
        <f t="shared" si="26"/>
        <v>E</v>
      </c>
      <c r="R104" s="40" t="s">
        <v>305</v>
      </c>
      <c r="S104" s="27" t="str">
        <f t="shared" si="27"/>
        <v/>
      </c>
      <c r="T104" s="26">
        <v>10</v>
      </c>
      <c r="U104" s="27" t="str">
        <f t="shared" si="28"/>
        <v>E</v>
      </c>
      <c r="V104" s="26">
        <v>16</v>
      </c>
      <c r="W104" s="27" t="str">
        <f t="shared" si="29"/>
        <v>E</v>
      </c>
      <c r="X104" s="40" t="s">
        <v>305</v>
      </c>
      <c r="Y104" s="27" t="str">
        <f t="shared" si="30"/>
        <v/>
      </c>
      <c r="Z104" s="26">
        <v>21</v>
      </c>
      <c r="AA104" s="27" t="str">
        <f t="shared" si="31"/>
        <v>E</v>
      </c>
      <c r="AB104" s="26">
        <v>22</v>
      </c>
      <c r="AC104" s="27" t="str">
        <f t="shared" si="32"/>
        <v>E</v>
      </c>
      <c r="AD104" s="40" t="s">
        <v>305</v>
      </c>
      <c r="AE104" s="27" t="str">
        <f t="shared" si="33"/>
        <v/>
      </c>
      <c r="AF104" s="26">
        <v>23</v>
      </c>
      <c r="AG104" s="27" t="str">
        <f t="shared" si="34"/>
        <v>E</v>
      </c>
      <c r="AH104" s="26">
        <v>16</v>
      </c>
      <c r="AI104" s="27" t="str">
        <f t="shared" si="35"/>
        <v>E</v>
      </c>
      <c r="AJ104" s="32">
        <f>IF(OR(AND(D104&gt;=31,D104&lt;40),AND(H104&gt;=31,H104&lt;40),AND(L104&gt;=31,L104&lt;40),AND(R104&gt;=31,R104&lt;40),AND(X104&gt;=31,X104&lt;40),AND(AD104&gt;=31,AD104&lt;40)),IF(AND(OR(COUNTIF(D104:AI104,"=31")&gt;=1,COUNTIF(D104:AI104,"=32")&gt;=1,COUNTIF(D104:AI104,"=33")&gt;=1,COUNTIF(D104:AI104,"=34")&gt;=1,COUNTIF(D104:AI104,"=35")&gt;=1,COUNTIF(D104:AI104,"=36")&gt;=1 ),COUNTIF(D104:AI104,"")=0,COUNTIF(D104:AI104," ")=0,COUNTIF(D104:AI104,"F")=1),CONCATENATE(SUM(EXTRACTNUMBER(D104),EXTRACTNUMBER(F104),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EXTRACTNUMBER(AD104),EXTRACTNUMBER(AH104),EXTRACTNUMBER(AF104)),"*"),IF(AND(COUNTIF(D104:AI104,"=34")&gt;=1,COUNTIF(D104:AI104,"=35")&gt;=1,COUNTIF(D104:AI104,"f")=2,COUNTIF(D104:AI104,"")=0,COUNTIF(D104:AI104," ")=0),CONCATENATE(SUM(EXTRACTNUMBER(D104),EXTRACTNUMBER(F104),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EXTRACTNUMBER(AD104),EXTRACTNUMBER(AH104),EXTRACTNUMBER(AF104)),"*"),IF(AND(COUNTIF(D104:AI104,"=36")&gt;=2,COUNTIF(D104:AI104,"f")=2,COUNTIF(D104:AI104,"")=0,COUNTIF(D104:AI104," ")=0),CONCATENATE(SUM(EXTRACTNUMBER(D104),EXTRACTNUMBER(F104),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EXTRACTNUMBER(AD104),EXTRACTNUMBER(AH104),EXTRACTNUMBER(AF104)),"*"),SUM(EXTRACTNUMBER(D104),EXTRACTNUMBER(F104),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EXTRACTNUMBER(AD104),EXTRACTNUMBER(AH104),EXTRACTNUMBER(AF104))))),SUM(EXTRACTNUMBER(D104),EXTRACTNUMBER(F104),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EXTRACTNUMBER(AD104),EXTRACTNUMBER(AH104),EXTRACTNUMBER(AF104)))</f>
        <v>163</v>
      </c>
      <c r="AK104" s="28">
        <v>0</v>
      </c>
      <c r="AL104" s="29">
        <f t="shared" si="19"/>
        <v>163</v>
      </c>
      <c r="AM104" s="29" t="str">
        <f t="shared" si="36"/>
        <v>FAIL</v>
      </c>
      <c r="AN104" s="30" t="str">
        <f>IF(AM104="ABSENT","AB",IF(AM104="FAIL","--",
IF(AK104=0,"RS 3",
IF(AND(SUM(EXTRACTNUMBER(AK104),EXTRACTNUMBER(AJ104))&gt;=1010,
        NOT(IFERROR(FIND("x",AK104),0)),
        NOT(IFERROR(FIND("x",AJ104),0))),"I",
IF(AND(SUM(EXTRACTNUMBER(AK104),EXTRACTNUMBER(AJ104))&gt;=850,
      SUM(EXTRACTNUMBER(AK104),EXTRACTNUMBER(AJ104))&lt;1010,
      NOT(IFERROR(FIND("x",AK104),0)),
      NOT(IFERROR(FIND("x",AJ104),0))),"II",
IF(OR(AND(SUM(EXTRACTNUMBER(AK104),EXTRACTNUMBER(AJ104))&lt;850,
SUM(EXTRACTNUMBER(AK104),EXTRACTNUMBER(AJ104))&gt;=670),
IFERROR(FIND("x",AK104),0),IFERROR(FIND("x",AJ104),0)),"P","--"))))))</f>
        <v>--</v>
      </c>
      <c r="AO104" s="2" t="str">
        <f t="shared" si="37"/>
        <v xml:space="preserve">One Hundred Sixty Three </v>
      </c>
    </row>
    <row r="105" spans="2:41" ht="16.5" customHeight="1">
      <c r="B105" s="45">
        <v>134278</v>
      </c>
      <c r="C105" s="46" t="s">
        <v>101</v>
      </c>
      <c r="D105" s="43">
        <v>11</v>
      </c>
      <c r="E105" s="27" t="str">
        <f t="shared" si="20"/>
        <v>F</v>
      </c>
      <c r="F105" s="26">
        <v>12</v>
      </c>
      <c r="G105" s="27" t="str">
        <f t="shared" si="21"/>
        <v>E</v>
      </c>
      <c r="H105" s="24">
        <v>41</v>
      </c>
      <c r="I105" s="27" t="str">
        <f t="shared" si="22"/>
        <v>E</v>
      </c>
      <c r="J105" s="26">
        <v>16</v>
      </c>
      <c r="K105" s="27" t="str">
        <f t="shared" si="23"/>
        <v>E</v>
      </c>
      <c r="L105" s="24">
        <v>51</v>
      </c>
      <c r="M105" s="27" t="str">
        <f t="shared" si="24"/>
        <v>E</v>
      </c>
      <c r="N105" s="26">
        <v>14</v>
      </c>
      <c r="O105" s="27" t="str">
        <f t="shared" si="25"/>
        <v>E</v>
      </c>
      <c r="P105" s="26">
        <v>14</v>
      </c>
      <c r="Q105" s="27" t="str">
        <f t="shared" si="26"/>
        <v>E</v>
      </c>
      <c r="R105" s="24">
        <v>28</v>
      </c>
      <c r="S105" s="27" t="str">
        <f t="shared" si="27"/>
        <v>F</v>
      </c>
      <c r="T105" s="26">
        <v>22</v>
      </c>
      <c r="U105" s="27" t="str">
        <f t="shared" si="28"/>
        <v>E</v>
      </c>
      <c r="V105" s="26">
        <v>14</v>
      </c>
      <c r="W105" s="27" t="str">
        <f t="shared" si="29"/>
        <v>E</v>
      </c>
      <c r="X105" s="24">
        <v>54</v>
      </c>
      <c r="Y105" s="27" t="str">
        <f t="shared" si="30"/>
        <v>E</v>
      </c>
      <c r="Z105" s="26">
        <v>22</v>
      </c>
      <c r="AA105" s="27" t="str">
        <f t="shared" si="31"/>
        <v>E</v>
      </c>
      <c r="AB105" s="26">
        <v>21</v>
      </c>
      <c r="AC105" s="27" t="str">
        <f t="shared" si="32"/>
        <v>E</v>
      </c>
      <c r="AD105" s="24">
        <v>52</v>
      </c>
      <c r="AE105" s="27" t="str">
        <f t="shared" si="33"/>
        <v>E</v>
      </c>
      <c r="AF105" s="26">
        <v>18</v>
      </c>
      <c r="AG105" s="27" t="str">
        <f t="shared" si="34"/>
        <v>E</v>
      </c>
      <c r="AH105" s="26">
        <v>17</v>
      </c>
      <c r="AI105" s="27" t="str">
        <f t="shared" si="35"/>
        <v>E</v>
      </c>
      <c r="AJ105" s="32">
        <f>IF(OR(AND(D105&gt;=31,D105&lt;40),AND(H105&gt;=31,H105&lt;40),AND(L105&gt;=31,L105&lt;40),AND(R105&gt;=31,R105&lt;40),AND(X105&gt;=31,X105&lt;40),AND(AD105&gt;=31,AD105&lt;40)),IF(AND(OR(COUNTIF(D105:AI105,"=31")&gt;=1,COUNTIF(D105:AI105,"=32")&gt;=1,COUNTIF(D105:AI105,"=33")&gt;=1,COUNTIF(D105:AI105,"=34")&gt;=1,COUNTIF(D105:AI105,"=35")&gt;=1,COUNTIF(D105:AI105,"=36")&gt;=1 ),COUNTIF(D105:AI105,"")=0,COUNTIF(D105:AI105," ")=0,COUNTIF(D105:AI105,"F")=1),CONCATENATE(SUM(EXTRACTNUMBER(D105),EXTRACTNUMBER(F105),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EXTRACTNUMBER(AD105),EXTRACTNUMBER(AH105),EXTRACTNUMBER(AF105)),"*"),IF(AND(COUNTIF(D105:AI105,"=34")&gt;=1,COUNTIF(D105:AI105,"=35")&gt;=1,COUNTIF(D105:AI105,"f")=2,COUNTIF(D105:AI105,"")=0,COUNTIF(D105:AI105," ")=0),CONCATENATE(SUM(EXTRACTNUMBER(D105),EXTRACTNUMBER(F105),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EXTRACTNUMBER(AD105),EXTRACTNUMBER(AH105),EXTRACTNUMBER(AF105)),"*"),IF(AND(COUNTIF(D105:AI105,"=36")&gt;=2,COUNTIF(D105:AI105,"f")=2,COUNTIF(D105:AI105,"")=0,COUNTIF(D105:AI105," ")=0),CONCATENATE(SUM(EXTRACTNUMBER(D105),EXTRACTNUMBER(F105),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EXTRACTNUMBER(AD105),EXTRACTNUMBER(AH105),EXTRACTNUMBER(AF105)),"*"),SUM(EXTRACTNUMBER(D105),EXTRACTNUMBER(F105),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EXTRACTNUMBER(AD105),EXTRACTNUMBER(AH105),EXTRACTNUMBER(AF105))))),SUM(EXTRACTNUMBER(D105),EXTRACTNUMBER(F105),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EXTRACTNUMBER(AD105),EXTRACTNUMBER(AH105),EXTRACTNUMBER(AF105)))</f>
        <v>407</v>
      </c>
      <c r="AK105" s="28">
        <v>0</v>
      </c>
      <c r="AL105" s="29">
        <f t="shared" si="19"/>
        <v>407</v>
      </c>
      <c r="AM105" s="29" t="str">
        <f t="shared" si="36"/>
        <v>FAIL</v>
      </c>
      <c r="AN105" s="30" t="str">
        <f>IF(AM105="ABSENT","AB",IF(AM105="FAIL","--",
IF(AK105=0,"RS 3",
IF(AND(SUM(EXTRACTNUMBER(AK105),EXTRACTNUMBER(AJ105))&gt;=1010,
        NOT(IFERROR(FIND("x",AK105),0)),
        NOT(IFERROR(FIND("x",AJ105),0))),"I",
IF(AND(SUM(EXTRACTNUMBER(AK105),EXTRACTNUMBER(AJ105))&gt;=850,
      SUM(EXTRACTNUMBER(AK105),EXTRACTNUMBER(AJ105))&lt;1010,
      NOT(IFERROR(FIND("x",AK105),0)),
      NOT(IFERROR(FIND("x",AJ105),0))),"II",
IF(OR(AND(SUM(EXTRACTNUMBER(AK105),EXTRACTNUMBER(AJ105))&lt;850,
SUM(EXTRACTNUMBER(AK105),EXTRACTNUMBER(AJ105))&gt;=670),
IFERROR(FIND("x",AK105),0),IFERROR(FIND("x",AJ105),0)),"P","--"))))))</f>
        <v>--</v>
      </c>
      <c r="AO105" s="2" t="str">
        <f t="shared" si="37"/>
        <v xml:space="preserve">Four Hundred Seven </v>
      </c>
    </row>
    <row r="106" spans="2:41" ht="16.5" customHeight="1">
      <c r="B106" s="45">
        <v>134279</v>
      </c>
      <c r="C106" s="46" t="s">
        <v>102</v>
      </c>
      <c r="D106" s="43">
        <v>17</v>
      </c>
      <c r="E106" s="27" t="str">
        <f t="shared" si="20"/>
        <v>F</v>
      </c>
      <c r="F106" s="26">
        <v>17</v>
      </c>
      <c r="G106" s="27" t="str">
        <f t="shared" si="21"/>
        <v>E</v>
      </c>
      <c r="H106" s="24">
        <v>46</v>
      </c>
      <c r="I106" s="27" t="str">
        <f t="shared" si="22"/>
        <v>E</v>
      </c>
      <c r="J106" s="26">
        <v>20</v>
      </c>
      <c r="K106" s="27" t="str">
        <f t="shared" si="23"/>
        <v>E</v>
      </c>
      <c r="L106" s="24">
        <v>58</v>
      </c>
      <c r="M106" s="27" t="str">
        <f t="shared" si="24"/>
        <v>E</v>
      </c>
      <c r="N106" s="26">
        <v>18</v>
      </c>
      <c r="O106" s="27" t="str">
        <f t="shared" si="25"/>
        <v>E</v>
      </c>
      <c r="P106" s="26">
        <v>19</v>
      </c>
      <c r="Q106" s="27" t="str">
        <f t="shared" si="26"/>
        <v>E</v>
      </c>
      <c r="R106" s="24">
        <v>40</v>
      </c>
      <c r="S106" s="27" t="str">
        <f t="shared" si="27"/>
        <v>E</v>
      </c>
      <c r="T106" s="26">
        <v>13</v>
      </c>
      <c r="U106" s="27" t="str">
        <f t="shared" si="28"/>
        <v>E</v>
      </c>
      <c r="V106" s="26">
        <v>19</v>
      </c>
      <c r="W106" s="27" t="str">
        <f t="shared" si="29"/>
        <v>E</v>
      </c>
      <c r="X106" s="24">
        <v>53</v>
      </c>
      <c r="Y106" s="27" t="str">
        <f t="shared" si="30"/>
        <v>E</v>
      </c>
      <c r="Z106" s="26">
        <v>22</v>
      </c>
      <c r="AA106" s="27" t="str">
        <f t="shared" si="31"/>
        <v>E</v>
      </c>
      <c r="AB106" s="26">
        <v>21</v>
      </c>
      <c r="AC106" s="27" t="str">
        <f t="shared" si="32"/>
        <v>E</v>
      </c>
      <c r="AD106" s="24">
        <v>43</v>
      </c>
      <c r="AE106" s="27" t="str">
        <f t="shared" si="33"/>
        <v>E</v>
      </c>
      <c r="AF106" s="26">
        <v>20</v>
      </c>
      <c r="AG106" s="27" t="str">
        <f t="shared" si="34"/>
        <v>E</v>
      </c>
      <c r="AH106" s="26">
        <v>20</v>
      </c>
      <c r="AI106" s="27" t="str">
        <f t="shared" si="35"/>
        <v>E</v>
      </c>
      <c r="AJ106" s="32">
        <f>IF(OR(AND(D106&gt;=31,D106&lt;40),AND(H106&gt;=31,H106&lt;40),AND(L106&gt;=31,L106&lt;40),AND(R106&gt;=31,R106&lt;40),AND(X106&gt;=31,X106&lt;40),AND(AD106&gt;=31,AD106&lt;40)),IF(AND(OR(COUNTIF(D106:AI106,"=31")&gt;=1,COUNTIF(D106:AI106,"=32")&gt;=1,COUNTIF(D106:AI106,"=33")&gt;=1,COUNTIF(D106:AI106,"=34")&gt;=1,COUNTIF(D106:AI106,"=35")&gt;=1,COUNTIF(D106:AI106,"=36")&gt;=1 ),COUNTIF(D106:AI106,"")=0,COUNTIF(D106:AI106," ")=0,COUNTIF(D106:AI106,"F")=1),CONCATENATE(SUM(EXTRACTNUMBER(D106),EXTRACTNUMBER(F106),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EXTRACTNUMBER(AD106),EXTRACTNUMBER(AH106),EXTRACTNUMBER(AF106)),"*"),IF(AND(COUNTIF(D106:AI106,"=34")&gt;=1,COUNTIF(D106:AI106,"=35")&gt;=1,COUNTIF(D106:AI106,"f")=2,COUNTIF(D106:AI106,"")=0,COUNTIF(D106:AI106," ")=0),CONCATENATE(SUM(EXTRACTNUMBER(D106),EXTRACTNUMBER(F106),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EXTRACTNUMBER(AD106),EXTRACTNUMBER(AH106),EXTRACTNUMBER(AF106)),"*"),IF(AND(COUNTIF(D106:AI106,"=36")&gt;=2,COUNTIF(D106:AI106,"f")=2,COUNTIF(D106:AI106,"")=0,COUNTIF(D106:AI106," ")=0),CONCATENATE(SUM(EXTRACTNUMBER(D106),EXTRACTNUMBER(F106),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EXTRACTNUMBER(AD106),EXTRACTNUMBER(AH106),EXTRACTNUMBER(AF106)),"*"),SUM(EXTRACTNUMBER(D106),EXTRACTNUMBER(F106),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EXTRACTNUMBER(AD106),EXTRACTNUMBER(AH106),EXTRACTNUMBER(AF106))))),SUM(EXTRACTNUMBER(D106),EXTRACTNUMBER(F106),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EXTRACTNUMBER(AD106),EXTRACTNUMBER(AH106),EXTRACTNUMBER(AF106)))</f>
        <v>446</v>
      </c>
      <c r="AK106" s="94" t="s">
        <v>604</v>
      </c>
      <c r="AL106" s="29">
        <f t="shared" si="19"/>
        <v>896</v>
      </c>
      <c r="AM106" s="29" t="str">
        <f t="shared" si="36"/>
        <v>FAIL</v>
      </c>
      <c r="AN106" s="30" t="str">
        <f>IF(AM106="ABSENT","AB",IF(AM106="FAIL","--",
IF(AK106=0,"RS 3",
IF(AND(SUM(EXTRACTNUMBER(AK106),EXTRACTNUMBER(AJ106))&gt;=1010,
        NOT(IFERROR(FIND("x",AK106),0)),
        NOT(IFERROR(FIND("x",AJ106),0))),"I",
IF(AND(SUM(EXTRACTNUMBER(AK106),EXTRACTNUMBER(AJ106))&gt;=850,
      SUM(EXTRACTNUMBER(AK106),EXTRACTNUMBER(AJ106))&lt;1010,
      NOT(IFERROR(FIND("x",AK106),0)),
      NOT(IFERROR(FIND("x",AJ106),0))),"II",
IF(OR(AND(SUM(EXTRACTNUMBER(AK106),EXTRACTNUMBER(AJ106))&lt;850,
SUM(EXTRACTNUMBER(AK106),EXTRACTNUMBER(AJ106))&gt;=670),
IFERROR(FIND("x",AK106),0),IFERROR(FIND("x",AJ106),0)),"P","--"))))))</f>
        <v>--</v>
      </c>
      <c r="AO106" s="2" t="str">
        <f t="shared" si="37"/>
        <v xml:space="preserve">Eight Hundred NinetySix </v>
      </c>
    </row>
    <row r="107" spans="2:41" ht="16.5" customHeight="1">
      <c r="B107" s="45">
        <v>134280</v>
      </c>
      <c r="C107" s="46" t="s">
        <v>103</v>
      </c>
      <c r="D107" s="43">
        <v>18</v>
      </c>
      <c r="E107" s="27" t="str">
        <f t="shared" si="20"/>
        <v>F</v>
      </c>
      <c r="F107" s="26">
        <v>14</v>
      </c>
      <c r="G107" s="27" t="str">
        <f t="shared" si="21"/>
        <v>E</v>
      </c>
      <c r="H107" s="24">
        <v>25</v>
      </c>
      <c r="I107" s="27" t="str">
        <f t="shared" si="22"/>
        <v>F</v>
      </c>
      <c r="J107" s="26">
        <v>23</v>
      </c>
      <c r="K107" s="27" t="str">
        <f t="shared" si="23"/>
        <v>E</v>
      </c>
      <c r="L107" s="24">
        <v>45</v>
      </c>
      <c r="M107" s="27" t="str">
        <f t="shared" si="24"/>
        <v>E</v>
      </c>
      <c r="N107" s="26">
        <v>22</v>
      </c>
      <c r="O107" s="27" t="str">
        <f t="shared" si="25"/>
        <v>E</v>
      </c>
      <c r="P107" s="26">
        <v>22</v>
      </c>
      <c r="Q107" s="27" t="str">
        <f t="shared" si="26"/>
        <v>E</v>
      </c>
      <c r="R107" s="24">
        <v>29</v>
      </c>
      <c r="S107" s="27" t="str">
        <f t="shared" si="27"/>
        <v>F</v>
      </c>
      <c r="T107" s="26">
        <v>24</v>
      </c>
      <c r="U107" s="27" t="str">
        <f t="shared" si="28"/>
        <v>E</v>
      </c>
      <c r="V107" s="26">
        <v>21</v>
      </c>
      <c r="W107" s="27" t="str">
        <f t="shared" si="29"/>
        <v>E</v>
      </c>
      <c r="X107" s="24">
        <v>27</v>
      </c>
      <c r="Y107" s="27" t="str">
        <f t="shared" si="30"/>
        <v>F</v>
      </c>
      <c r="Z107" s="26">
        <v>23</v>
      </c>
      <c r="AA107" s="27" t="str">
        <f t="shared" si="31"/>
        <v>E</v>
      </c>
      <c r="AB107" s="26">
        <v>22</v>
      </c>
      <c r="AC107" s="27" t="str">
        <f t="shared" si="32"/>
        <v>E</v>
      </c>
      <c r="AD107" s="24">
        <v>42</v>
      </c>
      <c r="AE107" s="27" t="str">
        <f t="shared" si="33"/>
        <v>E</v>
      </c>
      <c r="AF107" s="26">
        <v>23</v>
      </c>
      <c r="AG107" s="27" t="str">
        <f t="shared" si="34"/>
        <v>E</v>
      </c>
      <c r="AH107" s="26">
        <v>17</v>
      </c>
      <c r="AI107" s="27" t="str">
        <f t="shared" si="35"/>
        <v>E</v>
      </c>
      <c r="AJ107" s="32">
        <f>IF(OR(AND(D107&gt;=31,D107&lt;40),AND(H107&gt;=31,H107&lt;40),AND(L107&gt;=31,L107&lt;40),AND(R107&gt;=31,R107&lt;40),AND(X107&gt;=31,X107&lt;40),AND(AD107&gt;=31,AD107&lt;40)),IF(AND(OR(COUNTIF(D107:AI107,"=31")&gt;=1,COUNTIF(D107:AI107,"=32")&gt;=1,COUNTIF(D107:AI107,"=33")&gt;=1,COUNTIF(D107:AI107,"=34")&gt;=1,COUNTIF(D107:AI107,"=35")&gt;=1,COUNTIF(D107:AI107,"=36")&gt;=1 ),COUNTIF(D107:AI107,"")=0,COUNTIF(D107:AI107," ")=0,COUNTIF(D107:AI107,"F")=1),CONCATENATE(SUM(EXTRACTNUMBER(D107),EXTRACTNUMBER(F107),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EXTRACTNUMBER(AD107),EXTRACTNUMBER(AH107),EXTRACTNUMBER(AF107)),"*"),IF(AND(COUNTIF(D107:AI107,"=34")&gt;=1,COUNTIF(D107:AI107,"=35")&gt;=1,COUNTIF(D107:AI107,"f")=2,COUNTIF(D107:AI107,"")=0,COUNTIF(D107:AI107," ")=0),CONCATENATE(SUM(EXTRACTNUMBER(D107),EXTRACTNUMBER(F107),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EXTRACTNUMBER(AD107),EXTRACTNUMBER(AH107),EXTRACTNUMBER(AF107)),"*"),IF(AND(COUNTIF(D107:AI107,"=36")&gt;=2,COUNTIF(D107:AI107,"f")=2,COUNTIF(D107:AI107,"")=0,COUNTIF(D107:AI107," ")=0),CONCATENATE(SUM(EXTRACTNUMBER(D107),EXTRACTNUMBER(F107),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EXTRACTNUMBER(AD107),EXTRACTNUMBER(AH107),EXTRACTNUMBER(AF107)),"*"),SUM(EXTRACTNUMBER(D107),EXTRACTNUMBER(F107),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EXTRACTNUMBER(AD107),EXTRACTNUMBER(AH107),EXTRACTNUMBER(AF107))))),SUM(EXTRACTNUMBER(D107),EXTRACTNUMBER(F107),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EXTRACTNUMBER(AD107),EXTRACTNUMBER(AH107),EXTRACTNUMBER(AF107)))</f>
        <v>397</v>
      </c>
      <c r="AK107" s="28">
        <v>0</v>
      </c>
      <c r="AL107" s="29">
        <f t="shared" si="19"/>
        <v>397</v>
      </c>
      <c r="AM107" s="29" t="str">
        <f t="shared" si="36"/>
        <v>FAIL</v>
      </c>
      <c r="AN107" s="30" t="str">
        <f>IF(AM107="ABSENT","AB",IF(AM107="FAIL","--",
IF(AK107=0,"RS 3",
IF(AND(SUM(EXTRACTNUMBER(AK107),EXTRACTNUMBER(AJ107))&gt;=1010,
        NOT(IFERROR(FIND("x",AK107),0)),
        NOT(IFERROR(FIND("x",AJ107),0))),"I",
IF(AND(SUM(EXTRACTNUMBER(AK107),EXTRACTNUMBER(AJ107))&gt;=850,
      SUM(EXTRACTNUMBER(AK107),EXTRACTNUMBER(AJ107))&lt;1010,
      NOT(IFERROR(FIND("x",AK107),0)),
      NOT(IFERROR(FIND("x",AJ107),0))),"II",
IF(OR(AND(SUM(EXTRACTNUMBER(AK107),EXTRACTNUMBER(AJ107))&lt;850,
SUM(EXTRACTNUMBER(AK107),EXTRACTNUMBER(AJ107))&gt;=670),
IFERROR(FIND("x",AK107),0),IFERROR(FIND("x",AJ107),0)),"P","--"))))))</f>
        <v>--</v>
      </c>
      <c r="AO107" s="2" t="str">
        <f t="shared" si="37"/>
        <v xml:space="preserve">Three Hundred NinetySeven </v>
      </c>
    </row>
    <row r="108" spans="2:41" ht="16.5" customHeight="1">
      <c r="B108" s="45">
        <v>134281</v>
      </c>
      <c r="C108" s="46" t="s">
        <v>104</v>
      </c>
      <c r="D108" s="43">
        <v>20</v>
      </c>
      <c r="E108" s="27" t="str">
        <f t="shared" si="20"/>
        <v>F</v>
      </c>
      <c r="F108" s="26">
        <v>15</v>
      </c>
      <c r="G108" s="27" t="str">
        <f t="shared" si="21"/>
        <v>E</v>
      </c>
      <c r="H108" s="24">
        <v>45</v>
      </c>
      <c r="I108" s="27" t="str">
        <f t="shared" si="22"/>
        <v>E</v>
      </c>
      <c r="J108" s="26">
        <v>17</v>
      </c>
      <c r="K108" s="27" t="str">
        <f t="shared" si="23"/>
        <v>E</v>
      </c>
      <c r="L108" s="24">
        <v>28</v>
      </c>
      <c r="M108" s="27" t="str">
        <f t="shared" si="24"/>
        <v>F</v>
      </c>
      <c r="N108" s="26">
        <v>16</v>
      </c>
      <c r="O108" s="27" t="str">
        <f t="shared" si="25"/>
        <v>E</v>
      </c>
      <c r="P108" s="26">
        <v>17</v>
      </c>
      <c r="Q108" s="27" t="str">
        <f t="shared" si="26"/>
        <v>E</v>
      </c>
      <c r="R108" s="24">
        <v>40</v>
      </c>
      <c r="S108" s="27" t="str">
        <f t="shared" si="27"/>
        <v>E</v>
      </c>
      <c r="T108" s="26">
        <v>17</v>
      </c>
      <c r="U108" s="27" t="str">
        <f t="shared" si="28"/>
        <v>E</v>
      </c>
      <c r="V108" s="26">
        <v>21</v>
      </c>
      <c r="W108" s="27" t="str">
        <f t="shared" si="29"/>
        <v>E</v>
      </c>
      <c r="X108" s="24">
        <v>46</v>
      </c>
      <c r="Y108" s="27" t="str">
        <f t="shared" si="30"/>
        <v>E</v>
      </c>
      <c r="Z108" s="26">
        <v>22</v>
      </c>
      <c r="AA108" s="27" t="str">
        <f t="shared" si="31"/>
        <v>E</v>
      </c>
      <c r="AB108" s="26">
        <v>22</v>
      </c>
      <c r="AC108" s="27" t="str">
        <f t="shared" si="32"/>
        <v>E</v>
      </c>
      <c r="AD108" s="24">
        <v>46</v>
      </c>
      <c r="AE108" s="27" t="str">
        <f t="shared" si="33"/>
        <v>E</v>
      </c>
      <c r="AF108" s="26">
        <v>18</v>
      </c>
      <c r="AG108" s="27" t="str">
        <f t="shared" si="34"/>
        <v>E</v>
      </c>
      <c r="AH108" s="26">
        <v>22</v>
      </c>
      <c r="AI108" s="27" t="str">
        <f t="shared" si="35"/>
        <v>E</v>
      </c>
      <c r="AJ108" s="32">
        <f>IF(OR(AND(D108&gt;=31,D108&lt;40),AND(H108&gt;=31,H108&lt;40),AND(L108&gt;=31,L108&lt;40),AND(R108&gt;=31,R108&lt;40),AND(X108&gt;=31,X108&lt;40),AND(AD108&gt;=31,AD108&lt;40)),IF(AND(OR(COUNTIF(D108:AI108,"=31")&gt;=1,COUNTIF(D108:AI108,"=32")&gt;=1,COUNTIF(D108:AI108,"=33")&gt;=1,COUNTIF(D108:AI108,"=34")&gt;=1,COUNTIF(D108:AI108,"=35")&gt;=1,COUNTIF(D108:AI108,"=36")&gt;=1 ),COUNTIF(D108:AI108,"")=0,COUNTIF(D108:AI108," ")=0,COUNTIF(D108:AI108,"F")=1),CONCATENATE(SUM(EXTRACTNUMBER(D108),EXTRACTNUMBER(F108),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EXTRACTNUMBER(AD108),EXTRACTNUMBER(AH108),EXTRACTNUMBER(AF108)),"*"),IF(AND(COUNTIF(D108:AI108,"=34")&gt;=1,COUNTIF(D108:AI108,"=35")&gt;=1,COUNTIF(D108:AI108,"f")=2,COUNTIF(D108:AI108,"")=0,COUNTIF(D108:AI108," ")=0),CONCATENATE(SUM(EXTRACTNUMBER(D108),EXTRACTNUMBER(F108),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EXTRACTNUMBER(AD108),EXTRACTNUMBER(AH108),EXTRACTNUMBER(AF108)),"*"),IF(AND(COUNTIF(D108:AI108,"=36")&gt;=2,COUNTIF(D108:AI108,"f")=2,COUNTIF(D108:AI108,"")=0,COUNTIF(D108:AI108," ")=0),CONCATENATE(SUM(EXTRACTNUMBER(D108),EXTRACTNUMBER(F108),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EXTRACTNUMBER(AD108),EXTRACTNUMBER(AH108),EXTRACTNUMBER(AF108)),"*"),SUM(EXTRACTNUMBER(D108),EXTRACTNUMBER(F108),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EXTRACTNUMBER(AD108),EXTRACTNUMBER(AH108),EXTRACTNUMBER(AF108))))),SUM(EXTRACTNUMBER(D108),EXTRACTNUMBER(F108),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EXTRACTNUMBER(AD108),EXTRACTNUMBER(AH108),EXTRACTNUMBER(AF108)))</f>
        <v>412</v>
      </c>
      <c r="AK108" s="28">
        <v>0</v>
      </c>
      <c r="AL108" s="29">
        <f t="shared" si="19"/>
        <v>412</v>
      </c>
      <c r="AM108" s="29" t="str">
        <f t="shared" si="36"/>
        <v>FAIL</v>
      </c>
      <c r="AN108" s="30" t="str">
        <f>IF(AM108="ABSENT","AB",IF(AM108="FAIL","--",
IF(AK108=0,"RS 3",
IF(AND(SUM(EXTRACTNUMBER(AK108),EXTRACTNUMBER(AJ108))&gt;=1010,
        NOT(IFERROR(FIND("x",AK108),0)),
        NOT(IFERROR(FIND("x",AJ108),0))),"I",
IF(AND(SUM(EXTRACTNUMBER(AK108),EXTRACTNUMBER(AJ108))&gt;=850,
      SUM(EXTRACTNUMBER(AK108),EXTRACTNUMBER(AJ108))&lt;1010,
      NOT(IFERROR(FIND("x",AK108),0)),
      NOT(IFERROR(FIND("x",AJ108),0))),"II",
IF(OR(AND(SUM(EXTRACTNUMBER(AK108),EXTRACTNUMBER(AJ108))&lt;850,
SUM(EXTRACTNUMBER(AK108),EXTRACTNUMBER(AJ108))&gt;=670),
IFERROR(FIND("x",AK108),0),IFERROR(FIND("x",AJ108),0)),"P","--"))))))</f>
        <v>--</v>
      </c>
      <c r="AO108" s="2" t="str">
        <f t="shared" si="37"/>
        <v xml:space="preserve">Four Hundred Twelve </v>
      </c>
    </row>
    <row r="109" spans="2:41" ht="16.5" customHeight="1">
      <c r="B109" s="45">
        <v>134282</v>
      </c>
      <c r="C109" s="46" t="s">
        <v>105</v>
      </c>
      <c r="D109" s="43">
        <v>2</v>
      </c>
      <c r="E109" s="27" t="str">
        <f t="shared" si="20"/>
        <v>F</v>
      </c>
      <c r="F109" s="26">
        <v>18</v>
      </c>
      <c r="G109" s="27" t="str">
        <f t="shared" si="21"/>
        <v>E</v>
      </c>
      <c r="H109" s="24">
        <v>24</v>
      </c>
      <c r="I109" s="27" t="str">
        <f t="shared" si="22"/>
        <v>F</v>
      </c>
      <c r="J109" s="26">
        <v>16</v>
      </c>
      <c r="K109" s="27" t="str">
        <f t="shared" si="23"/>
        <v>E</v>
      </c>
      <c r="L109" s="24">
        <v>40</v>
      </c>
      <c r="M109" s="27" t="str">
        <f t="shared" si="24"/>
        <v>E</v>
      </c>
      <c r="N109" s="26">
        <v>13</v>
      </c>
      <c r="O109" s="27" t="str">
        <f t="shared" si="25"/>
        <v>E</v>
      </c>
      <c r="P109" s="26">
        <v>16</v>
      </c>
      <c r="Q109" s="27" t="str">
        <f t="shared" si="26"/>
        <v>E</v>
      </c>
      <c r="R109" s="24">
        <v>24</v>
      </c>
      <c r="S109" s="27" t="str">
        <f t="shared" si="27"/>
        <v>F</v>
      </c>
      <c r="T109" s="26">
        <v>20</v>
      </c>
      <c r="U109" s="27" t="str">
        <f t="shared" si="28"/>
        <v>E</v>
      </c>
      <c r="V109" s="26">
        <v>19</v>
      </c>
      <c r="W109" s="27" t="str">
        <f t="shared" si="29"/>
        <v>E</v>
      </c>
      <c r="X109" s="24">
        <v>20</v>
      </c>
      <c r="Y109" s="27" t="str">
        <f t="shared" si="30"/>
        <v>F</v>
      </c>
      <c r="Z109" s="26">
        <v>21</v>
      </c>
      <c r="AA109" s="27" t="str">
        <f t="shared" si="31"/>
        <v>E</v>
      </c>
      <c r="AB109" s="26">
        <v>21</v>
      </c>
      <c r="AC109" s="27" t="str">
        <f t="shared" si="32"/>
        <v>E</v>
      </c>
      <c r="AD109" s="24">
        <v>40</v>
      </c>
      <c r="AE109" s="27" t="str">
        <f t="shared" si="33"/>
        <v>E</v>
      </c>
      <c r="AF109" s="26">
        <v>20</v>
      </c>
      <c r="AG109" s="27" t="str">
        <f t="shared" si="34"/>
        <v>E</v>
      </c>
      <c r="AH109" s="26">
        <v>16</v>
      </c>
      <c r="AI109" s="27" t="str">
        <f t="shared" si="35"/>
        <v>E</v>
      </c>
      <c r="AJ109" s="32">
        <f>IF(OR(AND(D109&gt;=31,D109&lt;40),AND(H109&gt;=31,H109&lt;40),AND(L109&gt;=31,L109&lt;40),AND(R109&gt;=31,R109&lt;40),AND(X109&gt;=31,X109&lt;40),AND(AD109&gt;=31,AD109&lt;40)),IF(AND(OR(COUNTIF(D109:AI109,"=31")&gt;=1,COUNTIF(D109:AI109,"=32")&gt;=1,COUNTIF(D109:AI109,"=33")&gt;=1,COUNTIF(D109:AI109,"=34")&gt;=1,COUNTIF(D109:AI109,"=35")&gt;=1,COUNTIF(D109:AI109,"=36")&gt;=1 ),COUNTIF(D109:AI109,"")=0,COUNTIF(D109:AI109," ")=0,COUNTIF(D109:AI109,"F")=1),CONCATENATE(SUM(EXTRACTNUMBER(D109),EXTRACTNUMBER(F109),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EXTRACTNUMBER(AD109),EXTRACTNUMBER(AH109),EXTRACTNUMBER(AF109)),"*"),IF(AND(COUNTIF(D109:AI109,"=34")&gt;=1,COUNTIF(D109:AI109,"=35")&gt;=1,COUNTIF(D109:AI109,"f")=2,COUNTIF(D109:AI109,"")=0,COUNTIF(D109:AI109," ")=0),CONCATENATE(SUM(EXTRACTNUMBER(D109),EXTRACTNUMBER(F109),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EXTRACTNUMBER(AD109),EXTRACTNUMBER(AH109),EXTRACTNUMBER(AF109)),"*"),IF(AND(COUNTIF(D109:AI109,"=36")&gt;=2,COUNTIF(D109:AI109,"f")=2,COUNTIF(D109:AI109,"")=0,COUNTIF(D109:AI109," ")=0),CONCATENATE(SUM(EXTRACTNUMBER(D109),EXTRACTNUMBER(F109),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EXTRACTNUMBER(AD109),EXTRACTNUMBER(AH109),EXTRACTNUMBER(AF109)),"*"),SUM(EXTRACTNUMBER(D109),EXTRACTNUMBER(F109),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EXTRACTNUMBER(AD109),EXTRACTNUMBER(AH109),EXTRACTNUMBER(AF109))))),SUM(EXTRACTNUMBER(D109),EXTRACTNUMBER(F109),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EXTRACTNUMBER(AD109),EXTRACTNUMBER(AH109),EXTRACTNUMBER(AF109)))</f>
        <v>330</v>
      </c>
      <c r="AK109" s="28">
        <v>0</v>
      </c>
      <c r="AL109" s="29">
        <f t="shared" si="19"/>
        <v>330</v>
      </c>
      <c r="AM109" s="29" t="str">
        <f t="shared" si="36"/>
        <v>FAIL</v>
      </c>
      <c r="AN109" s="30" t="str">
        <f>IF(AM109="ABSENT","AB",IF(AM109="FAIL","--",
IF(AK109=0,"RS 3",
IF(AND(SUM(EXTRACTNUMBER(AK109),EXTRACTNUMBER(AJ109))&gt;=1010,
        NOT(IFERROR(FIND("x",AK109),0)),
        NOT(IFERROR(FIND("x",AJ109),0))),"I",
IF(AND(SUM(EXTRACTNUMBER(AK109),EXTRACTNUMBER(AJ109))&gt;=850,
      SUM(EXTRACTNUMBER(AK109),EXTRACTNUMBER(AJ109))&lt;1010,
      NOT(IFERROR(FIND("x",AK109),0)),
      NOT(IFERROR(FIND("x",AJ109),0))),"II",
IF(OR(AND(SUM(EXTRACTNUMBER(AK109),EXTRACTNUMBER(AJ109))&lt;850,
SUM(EXTRACTNUMBER(AK109),EXTRACTNUMBER(AJ109))&gt;=670),
IFERROR(FIND("x",AK109),0),IFERROR(FIND("x",AJ109),0)),"P","--"))))))</f>
        <v>--</v>
      </c>
      <c r="AO109" s="2" t="str">
        <f t="shared" si="37"/>
        <v xml:space="preserve">Three Hundred Thirty  </v>
      </c>
    </row>
    <row r="110" spans="2:41" ht="16.5" customHeight="1">
      <c r="B110" s="45">
        <v>134283</v>
      </c>
      <c r="C110" s="46" t="s">
        <v>106</v>
      </c>
      <c r="D110" s="43">
        <v>50</v>
      </c>
      <c r="E110" s="27" t="str">
        <f t="shared" si="20"/>
        <v>E</v>
      </c>
      <c r="F110" s="26">
        <v>18</v>
      </c>
      <c r="G110" s="27" t="str">
        <f t="shared" si="21"/>
        <v>E</v>
      </c>
      <c r="H110" s="24">
        <v>68</v>
      </c>
      <c r="I110" s="27" t="str">
        <f t="shared" si="22"/>
        <v>E</v>
      </c>
      <c r="J110" s="26">
        <v>23</v>
      </c>
      <c r="K110" s="27" t="str">
        <f t="shared" si="23"/>
        <v>E</v>
      </c>
      <c r="L110" s="24">
        <v>60</v>
      </c>
      <c r="M110" s="27" t="str">
        <f t="shared" si="24"/>
        <v>E</v>
      </c>
      <c r="N110" s="26">
        <v>22</v>
      </c>
      <c r="O110" s="27" t="str">
        <f t="shared" si="25"/>
        <v>E</v>
      </c>
      <c r="P110" s="26">
        <v>22</v>
      </c>
      <c r="Q110" s="27" t="str">
        <f t="shared" si="26"/>
        <v>E</v>
      </c>
      <c r="R110" s="24" t="s">
        <v>305</v>
      </c>
      <c r="S110" s="27" t="str">
        <f t="shared" si="27"/>
        <v/>
      </c>
      <c r="T110" s="26">
        <v>23</v>
      </c>
      <c r="U110" s="27" t="str">
        <f t="shared" si="28"/>
        <v>E</v>
      </c>
      <c r="V110" s="26">
        <v>20</v>
      </c>
      <c r="W110" s="27" t="str">
        <f t="shared" si="29"/>
        <v>E</v>
      </c>
      <c r="X110" s="24">
        <v>62</v>
      </c>
      <c r="Y110" s="27" t="str">
        <f t="shared" si="30"/>
        <v>E</v>
      </c>
      <c r="Z110" s="26">
        <v>23</v>
      </c>
      <c r="AA110" s="27" t="str">
        <f t="shared" si="31"/>
        <v>E</v>
      </c>
      <c r="AB110" s="26">
        <v>22</v>
      </c>
      <c r="AC110" s="27" t="str">
        <f t="shared" si="32"/>
        <v>E</v>
      </c>
      <c r="AD110" s="24">
        <v>50</v>
      </c>
      <c r="AE110" s="27" t="str">
        <f t="shared" si="33"/>
        <v>E</v>
      </c>
      <c r="AF110" s="26">
        <v>23</v>
      </c>
      <c r="AG110" s="27" t="str">
        <f t="shared" si="34"/>
        <v>E</v>
      </c>
      <c r="AH110" s="26">
        <v>19</v>
      </c>
      <c r="AI110" s="27" t="str">
        <f t="shared" si="35"/>
        <v>E</v>
      </c>
      <c r="AJ110" s="32">
        <f>IF(OR(AND(D110&gt;=31,D110&lt;40),AND(H110&gt;=31,H110&lt;40),AND(L110&gt;=31,L110&lt;40),AND(R110&gt;=31,R110&lt;40),AND(X110&gt;=31,X110&lt;40),AND(AD110&gt;=31,AD110&lt;40)),IF(AND(OR(COUNTIF(D110:AI110,"=31")&gt;=1,COUNTIF(D110:AI110,"=32")&gt;=1,COUNTIF(D110:AI110,"=33")&gt;=1,COUNTIF(D110:AI110,"=34")&gt;=1,COUNTIF(D110:AI110,"=35")&gt;=1,COUNTIF(D110:AI110,"=36")&gt;=1 ),COUNTIF(D110:AI110,"")=0,COUNTIF(D110:AI110," ")=0,COUNTIF(D110:AI110,"F")=1),CONCATENATE(SUM(EXTRACTNUMBER(D110),EXTRACTNUMBER(F110),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EXTRACTNUMBER(AD110),EXTRACTNUMBER(AH110),EXTRACTNUMBER(AF110)),"*"),IF(AND(COUNTIF(D110:AI110,"=34")&gt;=1,COUNTIF(D110:AI110,"=35")&gt;=1,COUNTIF(D110:AI110,"f")=2,COUNTIF(D110:AI110,"")=0,COUNTIF(D110:AI110," ")=0),CONCATENATE(SUM(EXTRACTNUMBER(D110),EXTRACTNUMBER(F110),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EXTRACTNUMBER(AD110),EXTRACTNUMBER(AH110),EXTRACTNUMBER(AF110)),"*"),IF(AND(COUNTIF(D110:AI110,"=36")&gt;=2,COUNTIF(D110:AI110,"f")=2,COUNTIF(D110:AI110,"")=0,COUNTIF(D110:AI110," ")=0),CONCATENATE(SUM(EXTRACTNUMBER(D110),EXTRACTNUMBER(F110),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EXTRACTNUMBER(AD110),EXTRACTNUMBER(AH110),EXTRACTNUMBER(AF110)),"*"),SUM(EXTRACTNUMBER(D110),EXTRACTNUMBER(F110),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EXTRACTNUMBER(AD110),EXTRACTNUMBER(AH110),EXTRACTNUMBER(AF110))))),SUM(EXTRACTNUMBER(D110),EXTRACTNUMBER(F110),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EXTRACTNUMBER(AD110),EXTRACTNUMBER(AH110),EXTRACTNUMBER(AF110)))</f>
        <v>505</v>
      </c>
      <c r="AK110" s="28" t="s">
        <v>280</v>
      </c>
      <c r="AL110" s="29">
        <f t="shared" si="19"/>
        <v>1070</v>
      </c>
      <c r="AM110" s="29" t="str">
        <f t="shared" si="36"/>
        <v>FAIL</v>
      </c>
      <c r="AN110" s="30" t="str">
        <f>IF(AM110="ABSENT","AB",IF(AM110="FAIL","--",
IF(AK110=0,"RS 3",
IF(AND(SUM(EXTRACTNUMBER(AK110),EXTRACTNUMBER(AJ110))&gt;=1010,
        NOT(IFERROR(FIND("x",AK110),0)),
        NOT(IFERROR(FIND("x",AJ110),0))),"I",
IF(AND(SUM(EXTRACTNUMBER(AK110),EXTRACTNUMBER(AJ110))&gt;=850,
      SUM(EXTRACTNUMBER(AK110),EXTRACTNUMBER(AJ110))&lt;1010,
      NOT(IFERROR(FIND("x",AK110),0)),
      NOT(IFERROR(FIND("x",AJ110),0))),"II",
IF(OR(AND(SUM(EXTRACTNUMBER(AK110),EXTRACTNUMBER(AJ110))&lt;850,
SUM(EXTRACTNUMBER(AK110),EXTRACTNUMBER(AJ110))&gt;=670),
IFERROR(FIND("x",AK110),0),IFERROR(FIND("x",AJ110),0)),"P","--"))))))</f>
        <v>--</v>
      </c>
      <c r="AO110" s="2" t="str">
        <f t="shared" si="37"/>
        <v xml:space="preserve">One Thousand Seventy  </v>
      </c>
    </row>
    <row r="111" spans="2:41" ht="16.5" customHeight="1">
      <c r="B111" s="45">
        <v>134284</v>
      </c>
      <c r="C111" s="46" t="s">
        <v>107</v>
      </c>
      <c r="D111" s="43">
        <v>55</v>
      </c>
      <c r="E111" s="27" t="str">
        <f t="shared" si="20"/>
        <v/>
      </c>
      <c r="F111" s="26">
        <v>20</v>
      </c>
      <c r="G111" s="27" t="str">
        <f t="shared" si="21"/>
        <v/>
      </c>
      <c r="H111" s="24">
        <v>51</v>
      </c>
      <c r="I111" s="27" t="str">
        <f t="shared" si="22"/>
        <v/>
      </c>
      <c r="J111" s="26">
        <v>16</v>
      </c>
      <c r="K111" s="27" t="str">
        <f t="shared" si="23"/>
        <v/>
      </c>
      <c r="L111" s="24">
        <v>44</v>
      </c>
      <c r="M111" s="27" t="str">
        <f t="shared" si="24"/>
        <v/>
      </c>
      <c r="N111" s="26">
        <v>16</v>
      </c>
      <c r="O111" s="27" t="str">
        <f t="shared" si="25"/>
        <v/>
      </c>
      <c r="P111" s="26">
        <v>16</v>
      </c>
      <c r="Q111" s="27" t="str">
        <f t="shared" si="26"/>
        <v/>
      </c>
      <c r="R111" s="24">
        <v>40</v>
      </c>
      <c r="S111" s="27" t="str">
        <f t="shared" si="27"/>
        <v/>
      </c>
      <c r="T111" s="26">
        <v>16</v>
      </c>
      <c r="U111" s="27" t="str">
        <f t="shared" si="28"/>
        <v/>
      </c>
      <c r="V111" s="26">
        <v>17</v>
      </c>
      <c r="W111" s="27" t="str">
        <f t="shared" si="29"/>
        <v/>
      </c>
      <c r="X111" s="24">
        <v>51</v>
      </c>
      <c r="Y111" s="27" t="str">
        <f t="shared" si="30"/>
        <v/>
      </c>
      <c r="Z111" s="26">
        <v>21</v>
      </c>
      <c r="AA111" s="27" t="str">
        <f t="shared" si="31"/>
        <v/>
      </c>
      <c r="AB111" s="26">
        <v>22</v>
      </c>
      <c r="AC111" s="27" t="str">
        <f t="shared" si="32"/>
        <v/>
      </c>
      <c r="AD111" s="24">
        <v>41</v>
      </c>
      <c r="AE111" s="27" t="str">
        <f t="shared" si="33"/>
        <v/>
      </c>
      <c r="AF111" s="26">
        <v>19</v>
      </c>
      <c r="AG111" s="27" t="str">
        <f t="shared" si="34"/>
        <v/>
      </c>
      <c r="AH111" s="26">
        <v>17</v>
      </c>
      <c r="AI111" s="27" t="str">
        <f t="shared" si="35"/>
        <v/>
      </c>
      <c r="AJ111" s="32">
        <f>IF(OR(AND(D111&gt;=31,D111&lt;40),AND(H111&gt;=31,H111&lt;40),AND(L111&gt;=31,L111&lt;40),AND(R111&gt;=31,R111&lt;40),AND(X111&gt;=31,X111&lt;40),AND(AD111&gt;=31,AD111&lt;40)),IF(AND(OR(COUNTIF(D111:AI111,"=31")&gt;=1,COUNTIF(D111:AI111,"=32")&gt;=1,COUNTIF(D111:AI111,"=33")&gt;=1,COUNTIF(D111:AI111,"=34")&gt;=1,COUNTIF(D111:AI111,"=35")&gt;=1,COUNTIF(D111:AI111,"=36")&gt;=1 ),COUNTIF(D111:AI111,"")=0,COUNTIF(D111:AI111," ")=0,COUNTIF(D111:AI111,"F")=1),CONCATENATE(SUM(EXTRACTNUMBER(D111),EXTRACTNUMBER(F111),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EXTRACTNUMBER(AD111),EXTRACTNUMBER(AH111),EXTRACTNUMBER(AF111)),"*"),IF(AND(COUNTIF(D111:AI111,"=34")&gt;=1,COUNTIF(D111:AI111,"=35")&gt;=1,COUNTIF(D111:AI111,"f")=2,COUNTIF(D111:AI111,"")=0,COUNTIF(D111:AI111," ")=0),CONCATENATE(SUM(EXTRACTNUMBER(D111),EXTRACTNUMBER(F111),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EXTRACTNUMBER(AD111),EXTRACTNUMBER(AH111),EXTRACTNUMBER(AF111)),"*"),IF(AND(COUNTIF(D111:AI111,"=36")&gt;=2,COUNTIF(D111:AI111,"f")=2,COUNTIF(D111:AI111,"")=0,COUNTIF(D111:AI111," ")=0),CONCATENATE(SUM(EXTRACTNUMBER(D111),EXTRACTNUMBER(F111),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EXTRACTNUMBER(AD111),EXTRACTNUMBER(AH111),EXTRACTNUMBER(AF111)),"*"),SUM(EXTRACTNUMBER(D111),EXTRACTNUMBER(F111),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EXTRACTNUMBER(AD111),EXTRACTNUMBER(AH111),EXTRACTNUMBER(AF111))))),SUM(EXTRACTNUMBER(D111),EXTRACTNUMBER(F111),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EXTRACTNUMBER(AD111),EXTRACTNUMBER(AH111),EXTRACTNUMBER(AF111)))</f>
        <v>462</v>
      </c>
      <c r="AK111" s="28" t="s">
        <v>281</v>
      </c>
      <c r="AL111" s="29">
        <f t="shared" si="19"/>
        <v>976</v>
      </c>
      <c r="AM111" s="29" t="str">
        <f t="shared" si="36"/>
        <v>PASS</v>
      </c>
      <c r="AN111" s="30" t="str">
        <f>IF(AM111="ABSENT","AB",IF(AM111="FAIL","--",
IF(AK111=0,"RS 3",
IF(AND(SUM(EXTRACTNUMBER(AK111),EXTRACTNUMBER(AJ111))&gt;=1010,
        NOT(IFERROR(FIND("x",AK111),0)),
        NOT(IFERROR(FIND("x",AJ111),0))),"I",
IF(AND(SUM(EXTRACTNUMBER(AK111),EXTRACTNUMBER(AJ111))&gt;=850,
      SUM(EXTRACTNUMBER(AK111),EXTRACTNUMBER(AJ111))&lt;1010,
      NOT(IFERROR(FIND("x",AK111),0)),
      NOT(IFERROR(FIND("x",AJ111),0))),"II",
IF(OR(AND(SUM(EXTRACTNUMBER(AK111),EXTRACTNUMBER(AJ111))&lt;850,
SUM(EXTRACTNUMBER(AK111),EXTRACTNUMBER(AJ111))&gt;=670),
IFERROR(FIND("x",AK111),0),IFERROR(FIND("x",AJ111),0)),"P","--"))))))</f>
        <v>II</v>
      </c>
      <c r="AO111" s="2" t="str">
        <f t="shared" si="37"/>
        <v xml:space="preserve">Nine Hundred Seventy Six </v>
      </c>
    </row>
    <row r="112" spans="2:41" ht="16.5" customHeight="1">
      <c r="B112" s="45">
        <v>134285</v>
      </c>
      <c r="C112" s="46" t="s">
        <v>108</v>
      </c>
      <c r="D112" s="43">
        <v>4</v>
      </c>
      <c r="E112" s="27" t="str">
        <f t="shared" si="20"/>
        <v>F</v>
      </c>
      <c r="F112" s="26">
        <v>18</v>
      </c>
      <c r="G112" s="27" t="str">
        <f t="shared" si="21"/>
        <v>E</v>
      </c>
      <c r="H112" s="24">
        <v>3</v>
      </c>
      <c r="I112" s="27" t="str">
        <f t="shared" si="22"/>
        <v>F</v>
      </c>
      <c r="J112" s="26">
        <v>20</v>
      </c>
      <c r="K112" s="27" t="str">
        <f t="shared" si="23"/>
        <v>E</v>
      </c>
      <c r="L112" s="24">
        <v>17</v>
      </c>
      <c r="M112" s="27" t="str">
        <f t="shared" si="24"/>
        <v>F</v>
      </c>
      <c r="N112" s="26">
        <v>16</v>
      </c>
      <c r="O112" s="27" t="str">
        <f t="shared" si="25"/>
        <v>E</v>
      </c>
      <c r="P112" s="26">
        <v>17</v>
      </c>
      <c r="Q112" s="27" t="str">
        <f t="shared" si="26"/>
        <v>E</v>
      </c>
      <c r="R112" s="24">
        <v>18</v>
      </c>
      <c r="S112" s="27" t="str">
        <f t="shared" si="27"/>
        <v>F</v>
      </c>
      <c r="T112" s="26">
        <v>15</v>
      </c>
      <c r="U112" s="27" t="str">
        <f t="shared" si="28"/>
        <v>E</v>
      </c>
      <c r="V112" s="26">
        <v>16</v>
      </c>
      <c r="W112" s="27" t="str">
        <f t="shared" si="29"/>
        <v>E</v>
      </c>
      <c r="X112" s="24" t="s">
        <v>305</v>
      </c>
      <c r="Y112" s="27" t="str">
        <f t="shared" si="30"/>
        <v/>
      </c>
      <c r="Z112" s="26">
        <v>23</v>
      </c>
      <c r="AA112" s="27" t="str">
        <f t="shared" si="31"/>
        <v>E</v>
      </c>
      <c r="AB112" s="26">
        <v>22</v>
      </c>
      <c r="AC112" s="27" t="str">
        <f t="shared" si="32"/>
        <v>E</v>
      </c>
      <c r="AD112" s="24">
        <v>24</v>
      </c>
      <c r="AE112" s="27" t="str">
        <f t="shared" si="33"/>
        <v>F</v>
      </c>
      <c r="AF112" s="26">
        <v>18</v>
      </c>
      <c r="AG112" s="27" t="str">
        <f t="shared" si="34"/>
        <v>E</v>
      </c>
      <c r="AH112" s="26">
        <v>16</v>
      </c>
      <c r="AI112" s="27" t="str">
        <f t="shared" si="35"/>
        <v>E</v>
      </c>
      <c r="AJ112" s="32">
        <f>IF(OR(AND(D112&gt;=31,D112&lt;40),AND(H112&gt;=31,H112&lt;40),AND(L112&gt;=31,L112&lt;40),AND(R112&gt;=31,R112&lt;40),AND(X112&gt;=31,X112&lt;40),AND(AD112&gt;=31,AD112&lt;40)),IF(AND(OR(COUNTIF(D112:AI112,"=31")&gt;=1,COUNTIF(D112:AI112,"=32")&gt;=1,COUNTIF(D112:AI112,"=33")&gt;=1,COUNTIF(D112:AI112,"=34")&gt;=1,COUNTIF(D112:AI112,"=35")&gt;=1,COUNTIF(D112:AI112,"=36")&gt;=1 ),COUNTIF(D112:AI112,"")=0,COUNTIF(D112:AI112," ")=0,COUNTIF(D112:AI112,"F")=1),CONCATENATE(SUM(EXTRACTNUMBER(D112),EXTRACTNUMBER(F112),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EXTRACTNUMBER(AD112),EXTRACTNUMBER(AH112),EXTRACTNUMBER(AF112)),"*"),IF(AND(COUNTIF(D112:AI112,"=34")&gt;=1,COUNTIF(D112:AI112,"=35")&gt;=1,COUNTIF(D112:AI112,"f")=2,COUNTIF(D112:AI112,"")=0,COUNTIF(D112:AI112," ")=0),CONCATENATE(SUM(EXTRACTNUMBER(D112),EXTRACTNUMBER(F112),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EXTRACTNUMBER(AD112),EXTRACTNUMBER(AH112),EXTRACTNUMBER(AF112)),"*"),IF(AND(COUNTIF(D112:AI112,"=36")&gt;=2,COUNTIF(D112:AI112,"f")=2,COUNTIF(D112:AI112,"")=0,COUNTIF(D112:AI112," ")=0),CONCATENATE(SUM(EXTRACTNUMBER(D112),EXTRACTNUMBER(F112),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EXTRACTNUMBER(AD112),EXTRACTNUMBER(AH112),EXTRACTNUMBER(AF112)),"*"),SUM(EXTRACTNUMBER(D112),EXTRACTNUMBER(F112),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EXTRACTNUMBER(AD112),EXTRACTNUMBER(AH112),EXTRACTNUMBER(AF112))))),SUM(EXTRACTNUMBER(D112),EXTRACTNUMBER(F112),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EXTRACTNUMBER(AD112),EXTRACTNUMBER(AH112),EXTRACTNUMBER(AF112)))</f>
        <v>247</v>
      </c>
      <c r="AK112" s="28">
        <v>0</v>
      </c>
      <c r="AL112" s="29">
        <f t="shared" si="19"/>
        <v>247</v>
      </c>
      <c r="AM112" s="29" t="str">
        <f t="shared" si="36"/>
        <v>FAIL</v>
      </c>
      <c r="AN112" s="30" t="str">
        <f>IF(AM112="ABSENT","AB",IF(AM112="FAIL","--",
IF(AK112=0,"RS 3",
IF(AND(SUM(EXTRACTNUMBER(AK112),EXTRACTNUMBER(AJ112))&gt;=1010,
        NOT(IFERROR(FIND("x",AK112),0)),
        NOT(IFERROR(FIND("x",AJ112),0))),"I",
IF(AND(SUM(EXTRACTNUMBER(AK112),EXTRACTNUMBER(AJ112))&gt;=850,
      SUM(EXTRACTNUMBER(AK112),EXTRACTNUMBER(AJ112))&lt;1010,
      NOT(IFERROR(FIND("x",AK112),0)),
      NOT(IFERROR(FIND("x",AJ112),0))),"II",
IF(OR(AND(SUM(EXTRACTNUMBER(AK112),EXTRACTNUMBER(AJ112))&lt;850,
SUM(EXTRACTNUMBER(AK112),EXTRACTNUMBER(AJ112))&gt;=670),
IFERROR(FIND("x",AK112),0),IFERROR(FIND("x",AJ112),0)),"P","--"))))))</f>
        <v>--</v>
      </c>
      <c r="AO112" s="2" t="str">
        <f t="shared" si="37"/>
        <v xml:space="preserve">Two Hundred Forty Seven </v>
      </c>
    </row>
    <row r="113" spans="2:41" ht="16.5" customHeight="1">
      <c r="B113" s="45">
        <v>134286</v>
      </c>
      <c r="C113" s="46" t="s">
        <v>109</v>
      </c>
      <c r="D113" s="43">
        <v>29</v>
      </c>
      <c r="E113" s="27" t="str">
        <f t="shared" si="20"/>
        <v>F</v>
      </c>
      <c r="F113" s="26">
        <v>17</v>
      </c>
      <c r="G113" s="27" t="str">
        <f t="shared" si="21"/>
        <v>E</v>
      </c>
      <c r="H113" s="24">
        <v>19</v>
      </c>
      <c r="I113" s="27" t="str">
        <f t="shared" si="22"/>
        <v>F</v>
      </c>
      <c r="J113" s="26">
        <v>19</v>
      </c>
      <c r="K113" s="27" t="str">
        <f t="shared" si="23"/>
        <v>E</v>
      </c>
      <c r="L113" s="24">
        <v>22</v>
      </c>
      <c r="M113" s="27" t="str">
        <f t="shared" si="24"/>
        <v>F</v>
      </c>
      <c r="N113" s="26">
        <v>16</v>
      </c>
      <c r="O113" s="27" t="str">
        <f t="shared" si="25"/>
        <v>E</v>
      </c>
      <c r="P113" s="26">
        <v>17</v>
      </c>
      <c r="Q113" s="27" t="str">
        <f t="shared" si="26"/>
        <v>E</v>
      </c>
      <c r="R113" s="24">
        <v>29</v>
      </c>
      <c r="S113" s="27" t="str">
        <f t="shared" si="27"/>
        <v>F</v>
      </c>
      <c r="T113" s="26">
        <v>21</v>
      </c>
      <c r="U113" s="27" t="str">
        <f t="shared" si="28"/>
        <v>E</v>
      </c>
      <c r="V113" s="26">
        <v>19</v>
      </c>
      <c r="W113" s="27" t="str">
        <f t="shared" si="29"/>
        <v>E</v>
      </c>
      <c r="X113" s="24">
        <v>53</v>
      </c>
      <c r="Y113" s="27" t="str">
        <f t="shared" si="30"/>
        <v>E</v>
      </c>
      <c r="Z113" s="26">
        <v>21</v>
      </c>
      <c r="AA113" s="27" t="str">
        <f t="shared" si="31"/>
        <v>E</v>
      </c>
      <c r="AB113" s="26">
        <v>21</v>
      </c>
      <c r="AC113" s="27" t="str">
        <f t="shared" si="32"/>
        <v>E</v>
      </c>
      <c r="AD113" s="24">
        <v>42</v>
      </c>
      <c r="AE113" s="27" t="str">
        <f t="shared" si="33"/>
        <v>E</v>
      </c>
      <c r="AF113" s="26">
        <v>22</v>
      </c>
      <c r="AG113" s="27" t="str">
        <f t="shared" si="34"/>
        <v>E</v>
      </c>
      <c r="AH113" s="26">
        <v>16</v>
      </c>
      <c r="AI113" s="27" t="str">
        <f t="shared" si="35"/>
        <v>E</v>
      </c>
      <c r="AJ113" s="32">
        <f>IF(OR(AND(D113&gt;=31,D113&lt;40),AND(H113&gt;=31,H113&lt;40),AND(L113&gt;=31,L113&lt;40),AND(R113&gt;=31,R113&lt;40),AND(X113&gt;=31,X113&lt;40),AND(AD113&gt;=31,AD113&lt;40)),IF(AND(OR(COUNTIF(D113:AI113,"=31")&gt;=1,COUNTIF(D113:AI113,"=32")&gt;=1,COUNTIF(D113:AI113,"=33")&gt;=1,COUNTIF(D113:AI113,"=34")&gt;=1,COUNTIF(D113:AI113,"=35")&gt;=1,COUNTIF(D113:AI113,"=36")&gt;=1 ),COUNTIF(D113:AI113,"")=0,COUNTIF(D113:AI113," ")=0,COUNTIF(D113:AI113,"F")=1),CONCATENATE(SUM(EXTRACTNUMBER(D113),EXTRACTNUMBER(F113),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EXTRACTNUMBER(AD113),EXTRACTNUMBER(AH113),EXTRACTNUMBER(AF113)),"*"),IF(AND(COUNTIF(D113:AI113,"=34")&gt;=1,COUNTIF(D113:AI113,"=35")&gt;=1,COUNTIF(D113:AI113,"f")=2,COUNTIF(D113:AI113,"")=0,COUNTIF(D113:AI113," ")=0),CONCATENATE(SUM(EXTRACTNUMBER(D113),EXTRACTNUMBER(F113),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EXTRACTNUMBER(AD113),EXTRACTNUMBER(AH113),EXTRACTNUMBER(AF113)),"*"),IF(AND(COUNTIF(D113:AI113,"=36")&gt;=2,COUNTIF(D113:AI113,"f")=2,COUNTIF(D113:AI113,"")=0,COUNTIF(D113:AI113," ")=0),CONCATENATE(SUM(EXTRACTNUMBER(D113),EXTRACTNUMBER(F113),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EXTRACTNUMBER(AD113),EXTRACTNUMBER(AH113),EXTRACTNUMBER(AF113)),"*"),SUM(EXTRACTNUMBER(D113),EXTRACTNUMBER(F113),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EXTRACTNUMBER(AD113),EXTRACTNUMBER(AH113),EXTRACTNUMBER(AF113))))),SUM(EXTRACTNUMBER(D113),EXTRACTNUMBER(F113),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EXTRACTNUMBER(AD113),EXTRACTNUMBER(AH113),EXTRACTNUMBER(AF113)))</f>
        <v>383</v>
      </c>
      <c r="AK113" s="94" t="s">
        <v>583</v>
      </c>
      <c r="AL113" s="29">
        <f t="shared" si="19"/>
        <v>827</v>
      </c>
      <c r="AM113" s="29" t="str">
        <f t="shared" si="36"/>
        <v>FAIL</v>
      </c>
      <c r="AN113" s="30" t="str">
        <f>IF(AM113="ABSENT","AB",IF(AM113="FAIL","--",
IF(AK113=0,"RS 3",
IF(AND(SUM(EXTRACTNUMBER(AK113),EXTRACTNUMBER(AJ113))&gt;=1010,
        NOT(IFERROR(FIND("x",AK113),0)),
        NOT(IFERROR(FIND("x",AJ113),0))),"I",
IF(AND(SUM(EXTRACTNUMBER(AK113),EXTRACTNUMBER(AJ113))&gt;=850,
      SUM(EXTRACTNUMBER(AK113),EXTRACTNUMBER(AJ113))&lt;1010,
      NOT(IFERROR(FIND("x",AK113),0)),
      NOT(IFERROR(FIND("x",AJ113),0))),"II",
IF(OR(AND(SUM(EXTRACTNUMBER(AK113),EXTRACTNUMBER(AJ113))&lt;850,
SUM(EXTRACTNUMBER(AK113),EXTRACTNUMBER(AJ113))&gt;=670),
IFERROR(FIND("x",AK113),0),IFERROR(FIND("x",AJ113),0)),"P","--"))))))</f>
        <v>--</v>
      </c>
      <c r="AO113" s="2" t="str">
        <f t="shared" si="37"/>
        <v xml:space="preserve">Eight Hundred Twenty Seven </v>
      </c>
    </row>
    <row r="114" spans="2:41" ht="16.5" customHeight="1">
      <c r="B114" s="45">
        <v>134287</v>
      </c>
      <c r="C114" s="46" t="s">
        <v>110</v>
      </c>
      <c r="D114" s="43" t="s">
        <v>305</v>
      </c>
      <c r="E114" s="27" t="str">
        <f t="shared" si="20"/>
        <v/>
      </c>
      <c r="F114" s="26">
        <v>14</v>
      </c>
      <c r="G114" s="27" t="str">
        <f t="shared" si="21"/>
        <v>E</v>
      </c>
      <c r="H114" s="24" t="s">
        <v>305</v>
      </c>
      <c r="I114" s="27" t="str">
        <f t="shared" si="22"/>
        <v/>
      </c>
      <c r="J114" s="26">
        <v>16</v>
      </c>
      <c r="K114" s="27" t="str">
        <f t="shared" si="23"/>
        <v>E</v>
      </c>
      <c r="L114" s="24" t="s">
        <v>305</v>
      </c>
      <c r="M114" s="27" t="str">
        <f t="shared" si="24"/>
        <v/>
      </c>
      <c r="N114" s="26">
        <v>16</v>
      </c>
      <c r="O114" s="27" t="str">
        <f t="shared" si="25"/>
        <v>E</v>
      </c>
      <c r="P114" s="26">
        <v>15</v>
      </c>
      <c r="Q114" s="27" t="str">
        <f t="shared" si="26"/>
        <v>E</v>
      </c>
      <c r="R114" s="24" t="s">
        <v>305</v>
      </c>
      <c r="S114" s="27" t="str">
        <f t="shared" si="27"/>
        <v/>
      </c>
      <c r="T114" s="26">
        <v>21</v>
      </c>
      <c r="U114" s="27" t="str">
        <f t="shared" si="28"/>
        <v>E</v>
      </c>
      <c r="V114" s="26">
        <v>19</v>
      </c>
      <c r="W114" s="27" t="str">
        <f t="shared" si="29"/>
        <v>E</v>
      </c>
      <c r="X114" s="24">
        <v>41</v>
      </c>
      <c r="Y114" s="27" t="str">
        <f t="shared" si="30"/>
        <v>E</v>
      </c>
      <c r="Z114" s="26">
        <v>21</v>
      </c>
      <c r="AA114" s="27" t="str">
        <f t="shared" si="31"/>
        <v>E</v>
      </c>
      <c r="AB114" s="26">
        <v>21</v>
      </c>
      <c r="AC114" s="27" t="str">
        <f t="shared" si="32"/>
        <v>E</v>
      </c>
      <c r="AD114" s="24">
        <v>26</v>
      </c>
      <c r="AE114" s="27" t="str">
        <f t="shared" si="33"/>
        <v>F</v>
      </c>
      <c r="AF114" s="26">
        <v>19</v>
      </c>
      <c r="AG114" s="27" t="str">
        <f t="shared" si="34"/>
        <v>E</v>
      </c>
      <c r="AH114" s="26">
        <v>16</v>
      </c>
      <c r="AI114" s="27" t="str">
        <f t="shared" si="35"/>
        <v>E</v>
      </c>
      <c r="AJ114" s="32">
        <f>IF(OR(AND(D114&gt;=31,D114&lt;40),AND(H114&gt;=31,H114&lt;40),AND(L114&gt;=31,L114&lt;40),AND(R114&gt;=31,R114&lt;40),AND(X114&gt;=31,X114&lt;40),AND(AD114&gt;=31,AD114&lt;40)),IF(AND(OR(COUNTIF(D114:AI114,"=31")&gt;=1,COUNTIF(D114:AI114,"=32")&gt;=1,COUNTIF(D114:AI114,"=33")&gt;=1,COUNTIF(D114:AI114,"=34")&gt;=1,COUNTIF(D114:AI114,"=35")&gt;=1,COUNTIF(D114:AI114,"=36")&gt;=1 ),COUNTIF(D114:AI114,"")=0,COUNTIF(D114:AI114," ")=0,COUNTIF(D114:AI114,"F")=1),CONCATENATE(SUM(EXTRACTNUMBER(D114),EXTRACTNUMBER(F114),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EXTRACTNUMBER(AD114),EXTRACTNUMBER(AH114),EXTRACTNUMBER(AF114)),"*"),IF(AND(COUNTIF(D114:AI114,"=34")&gt;=1,COUNTIF(D114:AI114,"=35")&gt;=1,COUNTIF(D114:AI114,"f")=2,COUNTIF(D114:AI114,"")=0,COUNTIF(D114:AI114," ")=0),CONCATENATE(SUM(EXTRACTNUMBER(D114),EXTRACTNUMBER(F114),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EXTRACTNUMBER(AD114),EXTRACTNUMBER(AH114),EXTRACTNUMBER(AF114)),"*"),IF(AND(COUNTIF(D114:AI114,"=36")&gt;=2,COUNTIF(D114:AI114,"f")=2,COUNTIF(D114:AI114,"")=0,COUNTIF(D114:AI114," ")=0),CONCATENATE(SUM(EXTRACTNUMBER(D114),EXTRACTNUMBER(F114),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EXTRACTNUMBER(AD114),EXTRACTNUMBER(AH114),EXTRACTNUMBER(AF114)),"*"),SUM(EXTRACTNUMBER(D114),EXTRACTNUMBER(F114),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EXTRACTNUMBER(AD114),EXTRACTNUMBER(AH114),EXTRACTNUMBER(AF114))))),SUM(EXTRACTNUMBER(D114),EXTRACTNUMBER(F114),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EXTRACTNUMBER(AD114),EXTRACTNUMBER(AH114),EXTRACTNUMBER(AF114)))</f>
        <v>245</v>
      </c>
      <c r="AK114" s="28">
        <v>0</v>
      </c>
      <c r="AL114" s="29">
        <f t="shared" si="19"/>
        <v>245</v>
      </c>
      <c r="AM114" s="29" t="str">
        <f t="shared" si="36"/>
        <v>FAIL</v>
      </c>
      <c r="AN114" s="30" t="str">
        <f>IF(AM114="ABSENT","AB",IF(AM114="FAIL","--",
IF(AK114=0,"RS 3",
IF(AND(SUM(EXTRACTNUMBER(AK114),EXTRACTNUMBER(AJ114))&gt;=1010,
        NOT(IFERROR(FIND("x",AK114),0)),
        NOT(IFERROR(FIND("x",AJ114),0))),"I",
IF(AND(SUM(EXTRACTNUMBER(AK114),EXTRACTNUMBER(AJ114))&gt;=850,
      SUM(EXTRACTNUMBER(AK114),EXTRACTNUMBER(AJ114))&lt;1010,
      NOT(IFERROR(FIND("x",AK114),0)),
      NOT(IFERROR(FIND("x",AJ114),0))),"II",
IF(OR(AND(SUM(EXTRACTNUMBER(AK114),EXTRACTNUMBER(AJ114))&lt;850,
SUM(EXTRACTNUMBER(AK114),EXTRACTNUMBER(AJ114))&gt;=670),
IFERROR(FIND("x",AK114),0),IFERROR(FIND("x",AJ114),0)),"P","--"))))))</f>
        <v>--</v>
      </c>
      <c r="AO114" s="2" t="str">
        <f t="shared" si="37"/>
        <v xml:space="preserve">Two Hundred Forty Five </v>
      </c>
    </row>
    <row r="115" spans="2:41" ht="16.5" customHeight="1">
      <c r="B115" s="45">
        <v>134288</v>
      </c>
      <c r="C115" s="46" t="s">
        <v>111</v>
      </c>
      <c r="D115" s="43">
        <v>18</v>
      </c>
      <c r="E115" s="27" t="str">
        <f t="shared" si="20"/>
        <v>F</v>
      </c>
      <c r="F115" s="26">
        <v>18</v>
      </c>
      <c r="G115" s="27" t="str">
        <f t="shared" si="21"/>
        <v>E</v>
      </c>
      <c r="H115" s="24">
        <v>40</v>
      </c>
      <c r="I115" s="27" t="str">
        <f t="shared" si="22"/>
        <v>E</v>
      </c>
      <c r="J115" s="26">
        <v>20</v>
      </c>
      <c r="K115" s="27" t="str">
        <f t="shared" si="23"/>
        <v>E</v>
      </c>
      <c r="L115" s="24">
        <v>40</v>
      </c>
      <c r="M115" s="27" t="str">
        <f t="shared" si="24"/>
        <v>E</v>
      </c>
      <c r="N115" s="26">
        <v>19</v>
      </c>
      <c r="O115" s="27" t="str">
        <f t="shared" si="25"/>
        <v>E</v>
      </c>
      <c r="P115" s="26">
        <v>19</v>
      </c>
      <c r="Q115" s="27" t="str">
        <f t="shared" si="26"/>
        <v>E</v>
      </c>
      <c r="R115" s="24">
        <v>26</v>
      </c>
      <c r="S115" s="27" t="str">
        <f t="shared" si="27"/>
        <v>F</v>
      </c>
      <c r="T115" s="26">
        <v>21</v>
      </c>
      <c r="U115" s="27" t="str">
        <f t="shared" si="28"/>
        <v>E</v>
      </c>
      <c r="V115" s="26">
        <v>18</v>
      </c>
      <c r="W115" s="27" t="str">
        <f t="shared" si="29"/>
        <v>E</v>
      </c>
      <c r="X115" s="24">
        <v>59</v>
      </c>
      <c r="Y115" s="27" t="str">
        <f t="shared" si="30"/>
        <v>E</v>
      </c>
      <c r="Z115" s="26">
        <v>21</v>
      </c>
      <c r="AA115" s="27" t="str">
        <f t="shared" si="31"/>
        <v>E</v>
      </c>
      <c r="AB115" s="26">
        <v>21</v>
      </c>
      <c r="AC115" s="27" t="str">
        <f t="shared" si="32"/>
        <v>E</v>
      </c>
      <c r="AD115" s="24">
        <v>45</v>
      </c>
      <c r="AE115" s="27" t="str">
        <f t="shared" si="33"/>
        <v>E</v>
      </c>
      <c r="AF115" s="26">
        <v>21</v>
      </c>
      <c r="AG115" s="27" t="str">
        <f t="shared" si="34"/>
        <v>E</v>
      </c>
      <c r="AH115" s="26">
        <v>17</v>
      </c>
      <c r="AI115" s="27" t="str">
        <f t="shared" si="35"/>
        <v>E</v>
      </c>
      <c r="AJ115" s="32">
        <f>IF(OR(AND(D115&gt;=31,D115&lt;40),AND(H115&gt;=31,H115&lt;40),AND(L115&gt;=31,L115&lt;40),AND(R115&gt;=31,R115&lt;40),AND(X115&gt;=31,X115&lt;40),AND(AD115&gt;=31,AD115&lt;40)),IF(AND(OR(COUNTIF(D115:AI115,"=31")&gt;=1,COUNTIF(D115:AI115,"=32")&gt;=1,COUNTIF(D115:AI115,"=33")&gt;=1,COUNTIF(D115:AI115,"=34")&gt;=1,COUNTIF(D115:AI115,"=35")&gt;=1,COUNTIF(D115:AI115,"=36")&gt;=1 ),COUNTIF(D115:AI115,"")=0,COUNTIF(D115:AI115," ")=0,COUNTIF(D115:AI115,"F")=1),CONCATENATE(SUM(EXTRACTNUMBER(D115),EXTRACTNUMBER(F115),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EXTRACTNUMBER(AD115),EXTRACTNUMBER(AH115),EXTRACTNUMBER(AF115)),"*"),IF(AND(COUNTIF(D115:AI115,"=34")&gt;=1,COUNTIF(D115:AI115,"=35")&gt;=1,COUNTIF(D115:AI115,"f")=2,COUNTIF(D115:AI115,"")=0,COUNTIF(D115:AI115," ")=0),CONCATENATE(SUM(EXTRACTNUMBER(D115),EXTRACTNUMBER(F115),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EXTRACTNUMBER(AD115),EXTRACTNUMBER(AH115),EXTRACTNUMBER(AF115)),"*"),IF(AND(COUNTIF(D115:AI115,"=36")&gt;=2,COUNTIF(D115:AI115,"f")=2,COUNTIF(D115:AI115,"")=0,COUNTIF(D115:AI115," ")=0),CONCATENATE(SUM(EXTRACTNUMBER(D115),EXTRACTNUMBER(F115),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EXTRACTNUMBER(AD115),EXTRACTNUMBER(AH115),EXTRACTNUMBER(AF115)),"*"),SUM(EXTRACTNUMBER(D115),EXTRACTNUMBER(F115),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EXTRACTNUMBER(AD115),EXTRACTNUMBER(AH115),EXTRACTNUMBER(AF115))))),SUM(EXTRACTNUMBER(D115),EXTRACTNUMBER(F115),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EXTRACTNUMBER(AD115),EXTRACTNUMBER(AH115),EXTRACTNUMBER(AF115)))</f>
        <v>423</v>
      </c>
      <c r="AK115" s="28">
        <v>0</v>
      </c>
      <c r="AL115" s="29">
        <f t="shared" si="19"/>
        <v>423</v>
      </c>
      <c r="AM115" s="29" t="str">
        <f t="shared" si="36"/>
        <v>FAIL</v>
      </c>
      <c r="AN115" s="30" t="str">
        <f>IF(AM115="ABSENT","AB",IF(AM115="FAIL","--",
IF(AK115=0,"RS 3",
IF(AND(SUM(EXTRACTNUMBER(AK115),EXTRACTNUMBER(AJ115))&gt;=1010,
        NOT(IFERROR(FIND("x",AK115),0)),
        NOT(IFERROR(FIND("x",AJ115),0))),"I",
IF(AND(SUM(EXTRACTNUMBER(AK115),EXTRACTNUMBER(AJ115))&gt;=850,
      SUM(EXTRACTNUMBER(AK115),EXTRACTNUMBER(AJ115))&lt;1010,
      NOT(IFERROR(FIND("x",AK115),0)),
      NOT(IFERROR(FIND("x",AJ115),0))),"II",
IF(OR(AND(SUM(EXTRACTNUMBER(AK115),EXTRACTNUMBER(AJ115))&lt;850,
SUM(EXTRACTNUMBER(AK115),EXTRACTNUMBER(AJ115))&gt;=670),
IFERROR(FIND("x",AK115),0),IFERROR(FIND("x",AJ115),0)),"P","--"))))))</f>
        <v>--</v>
      </c>
      <c r="AO115" s="2" t="str">
        <f t="shared" si="37"/>
        <v xml:space="preserve">Four Hundred Twenty Three </v>
      </c>
    </row>
    <row r="116" spans="2:41" ht="16.5" customHeight="1">
      <c r="B116" s="45">
        <v>134289</v>
      </c>
      <c r="C116" s="46" t="s">
        <v>112</v>
      </c>
      <c r="D116" s="43">
        <v>19</v>
      </c>
      <c r="E116" s="27" t="str">
        <f t="shared" si="20"/>
        <v>F</v>
      </c>
      <c r="F116" s="26">
        <v>18</v>
      </c>
      <c r="G116" s="27" t="str">
        <f t="shared" si="21"/>
        <v>E</v>
      </c>
      <c r="H116" s="24">
        <v>1</v>
      </c>
      <c r="I116" s="27" t="str">
        <f t="shared" si="22"/>
        <v>F</v>
      </c>
      <c r="J116" s="26">
        <v>16</v>
      </c>
      <c r="K116" s="27" t="str">
        <f t="shared" si="23"/>
        <v>E</v>
      </c>
      <c r="L116" s="24">
        <v>20</v>
      </c>
      <c r="M116" s="27" t="str">
        <f t="shared" si="24"/>
        <v>F</v>
      </c>
      <c r="N116" s="26">
        <v>18</v>
      </c>
      <c r="O116" s="27" t="str">
        <f t="shared" si="25"/>
        <v>E</v>
      </c>
      <c r="P116" s="26">
        <v>17</v>
      </c>
      <c r="Q116" s="27" t="str">
        <f t="shared" si="26"/>
        <v>E</v>
      </c>
      <c r="R116" s="24">
        <v>32</v>
      </c>
      <c r="S116" s="27" t="str">
        <f t="shared" si="27"/>
        <v>F</v>
      </c>
      <c r="T116" s="26">
        <v>22</v>
      </c>
      <c r="U116" s="27" t="str">
        <f t="shared" si="28"/>
        <v>E</v>
      </c>
      <c r="V116" s="26">
        <v>19</v>
      </c>
      <c r="W116" s="27" t="str">
        <f t="shared" si="29"/>
        <v>E</v>
      </c>
      <c r="X116" s="24">
        <v>51</v>
      </c>
      <c r="Y116" s="27" t="str">
        <f t="shared" si="30"/>
        <v>E</v>
      </c>
      <c r="Z116" s="26">
        <v>20</v>
      </c>
      <c r="AA116" s="27" t="str">
        <f t="shared" si="31"/>
        <v>E</v>
      </c>
      <c r="AB116" s="26">
        <v>21</v>
      </c>
      <c r="AC116" s="27" t="str">
        <f t="shared" si="32"/>
        <v>E</v>
      </c>
      <c r="AD116" s="24">
        <v>25</v>
      </c>
      <c r="AE116" s="27" t="str">
        <f t="shared" si="33"/>
        <v>F</v>
      </c>
      <c r="AF116" s="26">
        <v>19</v>
      </c>
      <c r="AG116" s="27" t="str">
        <f t="shared" si="34"/>
        <v>E</v>
      </c>
      <c r="AH116" s="26">
        <v>18</v>
      </c>
      <c r="AI116" s="27" t="str">
        <f t="shared" si="35"/>
        <v>E</v>
      </c>
      <c r="AJ116" s="32">
        <f>IF(OR(AND(D116&gt;=31,D116&lt;40),AND(H116&gt;=31,H116&lt;40),AND(L116&gt;=31,L116&lt;40),AND(R116&gt;=31,R116&lt;40),AND(X116&gt;=31,X116&lt;40),AND(AD116&gt;=31,AD116&lt;40)),IF(AND(OR(COUNTIF(D116:AI116,"=31")&gt;=1,COUNTIF(D116:AI116,"=32")&gt;=1,COUNTIF(D116:AI116,"=33")&gt;=1,COUNTIF(D116:AI116,"=34")&gt;=1,COUNTIF(D116:AI116,"=35")&gt;=1,COUNTIF(D116:AI116,"=36")&gt;=1 ),COUNTIF(D116:AI116,"")=0,COUNTIF(D116:AI116," ")=0,COUNTIF(D116:AI116,"F")=1),CONCATENATE(SUM(EXTRACTNUMBER(D116),EXTRACTNUMBER(F116),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EXTRACTNUMBER(AD116),EXTRACTNUMBER(AH116),EXTRACTNUMBER(AF116)),"*"),IF(AND(COUNTIF(D116:AI116,"=34")&gt;=1,COUNTIF(D116:AI116,"=35")&gt;=1,COUNTIF(D116:AI116,"f")=2,COUNTIF(D116:AI116,"")=0,COUNTIF(D116:AI116," ")=0),CONCATENATE(SUM(EXTRACTNUMBER(D116),EXTRACTNUMBER(F116),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EXTRACTNUMBER(AD116),EXTRACTNUMBER(AH116),EXTRACTNUMBER(AF116)),"*"),IF(AND(COUNTIF(D116:AI116,"=36")&gt;=2,COUNTIF(D116:AI116,"f")=2,COUNTIF(D116:AI116,"")=0,COUNTIF(D116:AI116," ")=0),CONCATENATE(SUM(EXTRACTNUMBER(D116),EXTRACTNUMBER(F116),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EXTRACTNUMBER(AD116),EXTRACTNUMBER(AH116),EXTRACTNUMBER(AF116)),"*"),SUM(EXTRACTNUMBER(D116),EXTRACTNUMBER(F116),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EXTRACTNUMBER(AD116),EXTRACTNUMBER(AH116),EXTRACTNUMBER(AF116))))),SUM(EXTRACTNUMBER(D116),EXTRACTNUMBER(F116),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EXTRACTNUMBER(AD116),EXTRACTNUMBER(AH116),EXTRACTNUMBER(AF116)))</f>
        <v>336</v>
      </c>
      <c r="AK116" s="28">
        <v>0</v>
      </c>
      <c r="AL116" s="29">
        <f t="shared" si="19"/>
        <v>336</v>
      </c>
      <c r="AM116" s="29" t="str">
        <f t="shared" si="36"/>
        <v>FAIL</v>
      </c>
      <c r="AN116" s="30" t="str">
        <f>IF(AM116="ABSENT","AB",IF(AM116="FAIL","--",
IF(AK116=0,"RS 3",
IF(AND(SUM(EXTRACTNUMBER(AK116),EXTRACTNUMBER(AJ116))&gt;=1010,
        NOT(IFERROR(FIND("x",AK116),0)),
        NOT(IFERROR(FIND("x",AJ116),0))),"I",
IF(AND(SUM(EXTRACTNUMBER(AK116),EXTRACTNUMBER(AJ116))&gt;=850,
      SUM(EXTRACTNUMBER(AK116),EXTRACTNUMBER(AJ116))&lt;1010,
      NOT(IFERROR(FIND("x",AK116),0)),
      NOT(IFERROR(FIND("x",AJ116),0))),"II",
IF(OR(AND(SUM(EXTRACTNUMBER(AK116),EXTRACTNUMBER(AJ116))&lt;850,
SUM(EXTRACTNUMBER(AK116),EXTRACTNUMBER(AJ116))&gt;=670),
IFERROR(FIND("x",AK116),0),IFERROR(FIND("x",AJ116),0)),"P","--"))))))</f>
        <v>--</v>
      </c>
      <c r="AO116" s="2" t="str">
        <f t="shared" si="37"/>
        <v xml:space="preserve">Three Hundred Thirty Six </v>
      </c>
    </row>
    <row r="117" spans="2:41" ht="16.5" customHeight="1">
      <c r="B117" s="45">
        <v>134290</v>
      </c>
      <c r="C117" s="46" t="s">
        <v>113</v>
      </c>
      <c r="D117" s="43">
        <v>18</v>
      </c>
      <c r="E117" s="27" t="str">
        <f t="shared" si="20"/>
        <v>F</v>
      </c>
      <c r="F117" s="26">
        <v>16</v>
      </c>
      <c r="G117" s="27" t="str">
        <f t="shared" si="21"/>
        <v>E</v>
      </c>
      <c r="H117" s="24">
        <v>54</v>
      </c>
      <c r="I117" s="27" t="str">
        <f t="shared" si="22"/>
        <v>E</v>
      </c>
      <c r="J117" s="26">
        <v>18</v>
      </c>
      <c r="K117" s="27" t="str">
        <f t="shared" si="23"/>
        <v>E</v>
      </c>
      <c r="L117" s="24">
        <v>47</v>
      </c>
      <c r="M117" s="27" t="str">
        <f t="shared" si="24"/>
        <v>E</v>
      </c>
      <c r="N117" s="26">
        <v>18</v>
      </c>
      <c r="O117" s="27" t="str">
        <f t="shared" si="25"/>
        <v>E</v>
      </c>
      <c r="P117" s="26">
        <v>17</v>
      </c>
      <c r="Q117" s="27" t="str">
        <f t="shared" si="26"/>
        <v>E</v>
      </c>
      <c r="R117" s="24">
        <v>49</v>
      </c>
      <c r="S117" s="27" t="str">
        <f t="shared" si="27"/>
        <v>E</v>
      </c>
      <c r="T117" s="26">
        <v>22</v>
      </c>
      <c r="U117" s="27" t="str">
        <f t="shared" si="28"/>
        <v>E</v>
      </c>
      <c r="V117" s="26">
        <v>18</v>
      </c>
      <c r="W117" s="27" t="str">
        <f t="shared" si="29"/>
        <v>E</v>
      </c>
      <c r="X117" s="24">
        <v>56</v>
      </c>
      <c r="Y117" s="27" t="str">
        <f t="shared" si="30"/>
        <v>E</v>
      </c>
      <c r="Z117" s="26">
        <v>20</v>
      </c>
      <c r="AA117" s="27" t="str">
        <f t="shared" si="31"/>
        <v>E</v>
      </c>
      <c r="AB117" s="26">
        <v>22</v>
      </c>
      <c r="AC117" s="27" t="str">
        <f t="shared" si="32"/>
        <v>E</v>
      </c>
      <c r="AD117" s="24">
        <v>49</v>
      </c>
      <c r="AE117" s="27" t="str">
        <f t="shared" si="33"/>
        <v>E</v>
      </c>
      <c r="AF117" s="26">
        <v>18</v>
      </c>
      <c r="AG117" s="27" t="str">
        <f t="shared" si="34"/>
        <v>E</v>
      </c>
      <c r="AH117" s="26">
        <v>17</v>
      </c>
      <c r="AI117" s="27" t="str">
        <f t="shared" si="35"/>
        <v>E</v>
      </c>
      <c r="AJ117" s="32">
        <f>IF(OR(AND(D117&gt;=31,D117&lt;40),AND(H117&gt;=31,H117&lt;40),AND(L117&gt;=31,L117&lt;40),AND(R117&gt;=31,R117&lt;40),AND(X117&gt;=31,X117&lt;40),AND(AD117&gt;=31,AD117&lt;40)),IF(AND(OR(COUNTIF(D117:AI117,"=31")&gt;=1,COUNTIF(D117:AI117,"=32")&gt;=1,COUNTIF(D117:AI117,"=33")&gt;=1,COUNTIF(D117:AI117,"=34")&gt;=1,COUNTIF(D117:AI117,"=35")&gt;=1,COUNTIF(D117:AI117,"=36")&gt;=1 ),COUNTIF(D117:AI117,"")=0,COUNTIF(D117:AI117," ")=0,COUNTIF(D117:AI117,"F")=1),CONCATENATE(SUM(EXTRACTNUMBER(D117),EXTRACTNUMBER(F117),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EXTRACTNUMBER(AD117),EXTRACTNUMBER(AH117),EXTRACTNUMBER(AF117)),"*"),IF(AND(COUNTIF(D117:AI117,"=34")&gt;=1,COUNTIF(D117:AI117,"=35")&gt;=1,COUNTIF(D117:AI117,"f")=2,COUNTIF(D117:AI117,"")=0,COUNTIF(D117:AI117," ")=0),CONCATENATE(SUM(EXTRACTNUMBER(D117),EXTRACTNUMBER(F117),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EXTRACTNUMBER(AD117),EXTRACTNUMBER(AH117),EXTRACTNUMBER(AF117)),"*"),IF(AND(COUNTIF(D117:AI117,"=36")&gt;=2,COUNTIF(D117:AI117,"f")=2,COUNTIF(D117:AI117,"")=0,COUNTIF(D117:AI117," ")=0),CONCATENATE(SUM(EXTRACTNUMBER(D117),EXTRACTNUMBER(F117),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EXTRACTNUMBER(AD117),EXTRACTNUMBER(AH117),EXTRACTNUMBER(AF117)),"*"),SUM(EXTRACTNUMBER(D117),EXTRACTNUMBER(F117),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EXTRACTNUMBER(AD117),EXTRACTNUMBER(AH117),EXTRACTNUMBER(AF117))))),SUM(EXTRACTNUMBER(D117),EXTRACTNUMBER(F117),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EXTRACTNUMBER(AD117),EXTRACTNUMBER(AH117),EXTRACTNUMBER(AF117)))</f>
        <v>459</v>
      </c>
      <c r="AK117" s="94" t="s">
        <v>585</v>
      </c>
      <c r="AL117" s="29">
        <f t="shared" si="19"/>
        <v>940</v>
      </c>
      <c r="AM117" s="29" t="str">
        <f t="shared" si="36"/>
        <v>FAIL</v>
      </c>
      <c r="AN117" s="30" t="str">
        <f>IF(AM117="ABSENT","AB",IF(AM117="FAIL","--",
IF(AK117=0,"RS 3",
IF(AND(SUM(EXTRACTNUMBER(AK117),EXTRACTNUMBER(AJ117))&gt;=1010,
        NOT(IFERROR(FIND("x",AK117),0)),
        NOT(IFERROR(FIND("x",AJ117),0))),"I",
IF(AND(SUM(EXTRACTNUMBER(AK117),EXTRACTNUMBER(AJ117))&gt;=850,
      SUM(EXTRACTNUMBER(AK117),EXTRACTNUMBER(AJ117))&lt;1010,
      NOT(IFERROR(FIND("x",AK117),0)),
      NOT(IFERROR(FIND("x",AJ117),0))),"II",
IF(OR(AND(SUM(EXTRACTNUMBER(AK117),EXTRACTNUMBER(AJ117))&lt;850,
SUM(EXTRACTNUMBER(AK117),EXTRACTNUMBER(AJ117))&gt;=670),
IFERROR(FIND("x",AK117),0),IFERROR(FIND("x",AJ117),0)),"P","--"))))))</f>
        <v>--</v>
      </c>
      <c r="AO117" s="2" t="str">
        <f t="shared" si="37"/>
        <v xml:space="preserve">Nine Hundred Forty  </v>
      </c>
    </row>
    <row r="118" spans="2:41" ht="16.5" customHeight="1">
      <c r="B118" s="45">
        <v>134291</v>
      </c>
      <c r="C118" s="46" t="s">
        <v>114</v>
      </c>
      <c r="D118" s="43">
        <v>49</v>
      </c>
      <c r="E118" s="27" t="str">
        <f t="shared" si="20"/>
        <v/>
      </c>
      <c r="F118" s="26">
        <v>20</v>
      </c>
      <c r="G118" s="27" t="str">
        <f t="shared" si="21"/>
        <v/>
      </c>
      <c r="H118" s="24">
        <v>40</v>
      </c>
      <c r="I118" s="27" t="str">
        <f t="shared" si="22"/>
        <v/>
      </c>
      <c r="J118" s="26">
        <v>24</v>
      </c>
      <c r="K118" s="27" t="str">
        <f t="shared" si="23"/>
        <v/>
      </c>
      <c r="L118" s="24">
        <v>44</v>
      </c>
      <c r="M118" s="27" t="str">
        <f t="shared" si="24"/>
        <v/>
      </c>
      <c r="N118" s="26">
        <v>21</v>
      </c>
      <c r="O118" s="27" t="str">
        <f t="shared" si="25"/>
        <v/>
      </c>
      <c r="P118" s="26">
        <v>22</v>
      </c>
      <c r="Q118" s="27" t="str">
        <f t="shared" si="26"/>
        <v/>
      </c>
      <c r="R118" s="24">
        <v>40</v>
      </c>
      <c r="S118" s="27" t="str">
        <f t="shared" si="27"/>
        <v/>
      </c>
      <c r="T118" s="26">
        <v>24</v>
      </c>
      <c r="U118" s="27" t="str">
        <f t="shared" si="28"/>
        <v/>
      </c>
      <c r="V118" s="26">
        <v>19</v>
      </c>
      <c r="W118" s="27" t="str">
        <f t="shared" si="29"/>
        <v/>
      </c>
      <c r="X118" s="24">
        <v>51</v>
      </c>
      <c r="Y118" s="27" t="str">
        <f t="shared" si="30"/>
        <v/>
      </c>
      <c r="Z118" s="26">
        <v>21</v>
      </c>
      <c r="AA118" s="27" t="str">
        <f t="shared" si="31"/>
        <v/>
      </c>
      <c r="AB118" s="26">
        <v>22</v>
      </c>
      <c r="AC118" s="27" t="str">
        <f t="shared" si="32"/>
        <v/>
      </c>
      <c r="AD118" s="24">
        <v>50</v>
      </c>
      <c r="AE118" s="27" t="str">
        <f t="shared" si="33"/>
        <v/>
      </c>
      <c r="AF118" s="26">
        <v>19</v>
      </c>
      <c r="AG118" s="27" t="str">
        <f t="shared" si="34"/>
        <v/>
      </c>
      <c r="AH118" s="26">
        <v>16</v>
      </c>
      <c r="AI118" s="27" t="str">
        <f t="shared" si="35"/>
        <v/>
      </c>
      <c r="AJ118" s="32">
        <f>IF(OR(AND(D118&gt;=31,D118&lt;40),AND(H118&gt;=31,H118&lt;40),AND(L118&gt;=31,L118&lt;40),AND(R118&gt;=31,R118&lt;40),AND(X118&gt;=31,X118&lt;40),AND(AD118&gt;=31,AD118&lt;40)),IF(AND(OR(COUNTIF(D118:AI118,"=31")&gt;=1,COUNTIF(D118:AI118,"=32")&gt;=1,COUNTIF(D118:AI118,"=33")&gt;=1,COUNTIF(D118:AI118,"=34")&gt;=1,COUNTIF(D118:AI118,"=35")&gt;=1,COUNTIF(D118:AI118,"=36")&gt;=1 ),COUNTIF(D118:AI118,"")=0,COUNTIF(D118:AI118," ")=0,COUNTIF(D118:AI118,"F")=1),CONCATENATE(SUM(EXTRACTNUMBER(D118),EXTRACTNUMBER(F118),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EXTRACTNUMBER(AD118),EXTRACTNUMBER(AH118),EXTRACTNUMBER(AF118)),"*"),IF(AND(COUNTIF(D118:AI118,"=34")&gt;=1,COUNTIF(D118:AI118,"=35")&gt;=1,COUNTIF(D118:AI118,"f")=2,COUNTIF(D118:AI118,"")=0,COUNTIF(D118:AI118," ")=0),CONCATENATE(SUM(EXTRACTNUMBER(D118),EXTRACTNUMBER(F118),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EXTRACTNUMBER(AD118),EXTRACTNUMBER(AH118),EXTRACTNUMBER(AF118)),"*"),IF(AND(COUNTIF(D118:AI118,"=36")&gt;=2,COUNTIF(D118:AI118,"f")=2,COUNTIF(D118:AI118,"")=0,COUNTIF(D118:AI118," ")=0),CONCATENATE(SUM(EXTRACTNUMBER(D118),EXTRACTNUMBER(F118),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EXTRACTNUMBER(AD118),EXTRACTNUMBER(AH118),EXTRACTNUMBER(AF118)),"*"),SUM(EXTRACTNUMBER(D118),EXTRACTNUMBER(F118),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EXTRACTNUMBER(AD118),EXTRACTNUMBER(AH118),EXTRACTNUMBER(AF118))))),SUM(EXTRACTNUMBER(D118),EXTRACTNUMBER(F118),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EXTRACTNUMBER(AD118),EXTRACTNUMBER(AH118),EXTRACTNUMBER(AF118)))</f>
        <v>482</v>
      </c>
      <c r="AK118" s="28" t="s">
        <v>282</v>
      </c>
      <c r="AL118" s="29">
        <f t="shared" si="19"/>
        <v>975</v>
      </c>
      <c r="AM118" s="29" t="str">
        <f t="shared" si="36"/>
        <v>PASS</v>
      </c>
      <c r="AN118" s="30" t="str">
        <f>IF(AM118="ABSENT","AB",IF(AM118="FAIL","--",
IF(AK118=0,"RS 3",
IF(AND(SUM(EXTRACTNUMBER(AK118),EXTRACTNUMBER(AJ118))&gt;=1010,
        NOT(IFERROR(FIND("x",AK118),0)),
        NOT(IFERROR(FIND("x",AJ118),0))),"I",
IF(AND(SUM(EXTRACTNUMBER(AK118),EXTRACTNUMBER(AJ118))&gt;=850,
      SUM(EXTRACTNUMBER(AK118),EXTRACTNUMBER(AJ118))&lt;1010,
      NOT(IFERROR(FIND("x",AK118),0)),
      NOT(IFERROR(FIND("x",AJ118),0))),"II",
IF(OR(AND(SUM(EXTRACTNUMBER(AK118),EXTRACTNUMBER(AJ118))&lt;850,
SUM(EXTRACTNUMBER(AK118),EXTRACTNUMBER(AJ118))&gt;=670),
IFERROR(FIND("x",AK118),0),IFERROR(FIND("x",AJ118),0)),"P","--"))))))</f>
        <v>II</v>
      </c>
      <c r="AO118" s="2" t="str">
        <f t="shared" si="37"/>
        <v xml:space="preserve">Nine Hundred Seventy Five </v>
      </c>
    </row>
    <row r="119" spans="2:41" ht="16.5" customHeight="1">
      <c r="B119" s="45">
        <v>134292</v>
      </c>
      <c r="C119" s="46" t="s">
        <v>115</v>
      </c>
      <c r="D119" s="43">
        <v>29</v>
      </c>
      <c r="E119" s="27" t="str">
        <f t="shared" si="20"/>
        <v>F</v>
      </c>
      <c r="F119" s="26">
        <v>20</v>
      </c>
      <c r="G119" s="27" t="str">
        <f t="shared" si="21"/>
        <v>E</v>
      </c>
      <c r="H119" s="24">
        <v>52</v>
      </c>
      <c r="I119" s="27" t="str">
        <f t="shared" si="22"/>
        <v>E</v>
      </c>
      <c r="J119" s="26">
        <v>21</v>
      </c>
      <c r="K119" s="27" t="str">
        <f t="shared" si="23"/>
        <v>E</v>
      </c>
      <c r="L119" s="24">
        <v>20</v>
      </c>
      <c r="M119" s="27" t="str">
        <f t="shared" si="24"/>
        <v>F</v>
      </c>
      <c r="N119" s="26">
        <v>17</v>
      </c>
      <c r="O119" s="27" t="str">
        <f t="shared" si="25"/>
        <v>E</v>
      </c>
      <c r="P119" s="26">
        <v>19</v>
      </c>
      <c r="Q119" s="27" t="str">
        <f t="shared" si="26"/>
        <v>E</v>
      </c>
      <c r="R119" s="24">
        <v>41</v>
      </c>
      <c r="S119" s="27" t="str">
        <f t="shared" si="27"/>
        <v>E</v>
      </c>
      <c r="T119" s="26">
        <v>22</v>
      </c>
      <c r="U119" s="27" t="str">
        <f t="shared" si="28"/>
        <v>E</v>
      </c>
      <c r="V119" s="26">
        <v>19</v>
      </c>
      <c r="W119" s="27" t="str">
        <f t="shared" si="29"/>
        <v>E</v>
      </c>
      <c r="X119" s="24">
        <v>68</v>
      </c>
      <c r="Y119" s="27" t="str">
        <f t="shared" si="30"/>
        <v>E</v>
      </c>
      <c r="Z119" s="26">
        <v>20</v>
      </c>
      <c r="AA119" s="27" t="str">
        <f t="shared" si="31"/>
        <v>E</v>
      </c>
      <c r="AB119" s="26">
        <v>21</v>
      </c>
      <c r="AC119" s="27" t="str">
        <f t="shared" si="32"/>
        <v>E</v>
      </c>
      <c r="AD119" s="24">
        <v>40</v>
      </c>
      <c r="AE119" s="27" t="str">
        <f t="shared" si="33"/>
        <v>E</v>
      </c>
      <c r="AF119" s="26">
        <v>21</v>
      </c>
      <c r="AG119" s="27" t="str">
        <f t="shared" si="34"/>
        <v>E</v>
      </c>
      <c r="AH119" s="26">
        <v>17</v>
      </c>
      <c r="AI119" s="27" t="str">
        <f t="shared" si="35"/>
        <v>E</v>
      </c>
      <c r="AJ119" s="32">
        <f>IF(OR(AND(D119&gt;=31,D119&lt;40),AND(H119&gt;=31,H119&lt;40),AND(L119&gt;=31,L119&lt;40),AND(R119&gt;=31,R119&lt;40),AND(X119&gt;=31,X119&lt;40),AND(AD119&gt;=31,AD119&lt;40)),IF(AND(OR(COUNTIF(D119:AI119,"=31")&gt;=1,COUNTIF(D119:AI119,"=32")&gt;=1,COUNTIF(D119:AI119,"=33")&gt;=1,COUNTIF(D119:AI119,"=34")&gt;=1,COUNTIF(D119:AI119,"=35")&gt;=1,COUNTIF(D119:AI119,"=36")&gt;=1 ),COUNTIF(D119:AI119,"")=0,COUNTIF(D119:AI119," ")=0,COUNTIF(D119:AI119,"F")=1),CONCATENATE(SUM(EXTRACTNUMBER(D119),EXTRACTNUMBER(F119),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EXTRACTNUMBER(AD119),EXTRACTNUMBER(AH119),EXTRACTNUMBER(AF119)),"*"),IF(AND(COUNTIF(D119:AI119,"=34")&gt;=1,COUNTIF(D119:AI119,"=35")&gt;=1,COUNTIF(D119:AI119,"f")=2,COUNTIF(D119:AI119,"")=0,COUNTIF(D119:AI119," ")=0),CONCATENATE(SUM(EXTRACTNUMBER(D119),EXTRACTNUMBER(F119),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EXTRACTNUMBER(AD119),EXTRACTNUMBER(AH119),EXTRACTNUMBER(AF119)),"*"),IF(AND(COUNTIF(D119:AI119,"=36")&gt;=2,COUNTIF(D119:AI119,"f")=2,COUNTIF(D119:AI119,"")=0,COUNTIF(D119:AI119," ")=0),CONCATENATE(SUM(EXTRACTNUMBER(D119),EXTRACTNUMBER(F119),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EXTRACTNUMBER(AD119),EXTRACTNUMBER(AH119),EXTRACTNUMBER(AF119)),"*"),SUM(EXTRACTNUMBER(D119),EXTRACTNUMBER(F119),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EXTRACTNUMBER(AD119),EXTRACTNUMBER(AH119),EXTRACTNUMBER(AF119))))),SUM(EXTRACTNUMBER(D119),EXTRACTNUMBER(F119),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EXTRACTNUMBER(AD119),EXTRACTNUMBER(AH119),EXTRACTNUMBER(AF119)))</f>
        <v>447</v>
      </c>
      <c r="AK119" s="94" t="s">
        <v>586</v>
      </c>
      <c r="AL119" s="29">
        <f t="shared" si="19"/>
        <v>922</v>
      </c>
      <c r="AM119" s="29" t="str">
        <f t="shared" si="36"/>
        <v>FAIL</v>
      </c>
      <c r="AN119" s="30" t="str">
        <f>IF(AM119="ABSENT","AB",IF(AM119="FAIL","--",
IF(AK119=0,"RS 3",
IF(AND(SUM(EXTRACTNUMBER(AK119),EXTRACTNUMBER(AJ119))&gt;=1010,
        NOT(IFERROR(FIND("x",AK119),0)),
        NOT(IFERROR(FIND("x",AJ119),0))),"I",
IF(AND(SUM(EXTRACTNUMBER(AK119),EXTRACTNUMBER(AJ119))&gt;=850,
      SUM(EXTRACTNUMBER(AK119),EXTRACTNUMBER(AJ119))&lt;1010,
      NOT(IFERROR(FIND("x",AK119),0)),
      NOT(IFERROR(FIND("x",AJ119),0))),"II",
IF(OR(AND(SUM(EXTRACTNUMBER(AK119),EXTRACTNUMBER(AJ119))&lt;850,
SUM(EXTRACTNUMBER(AK119),EXTRACTNUMBER(AJ119))&gt;=670),
IFERROR(FIND("x",AK119),0),IFERROR(FIND("x",AJ119),0)),"P","--"))))))</f>
        <v>--</v>
      </c>
      <c r="AO119" s="2" t="str">
        <f t="shared" si="37"/>
        <v xml:space="preserve">Nine Hundred Twenty Two </v>
      </c>
    </row>
    <row r="120" spans="2:41" ht="16.5" customHeight="1">
      <c r="B120" s="45">
        <v>134293</v>
      </c>
      <c r="C120" s="46" t="s">
        <v>116</v>
      </c>
      <c r="D120" s="43">
        <v>42</v>
      </c>
      <c r="E120" s="27" t="str">
        <f t="shared" si="20"/>
        <v/>
      </c>
      <c r="F120" s="26">
        <v>23</v>
      </c>
      <c r="G120" s="27" t="str">
        <f t="shared" si="21"/>
        <v/>
      </c>
      <c r="H120" s="24">
        <v>73</v>
      </c>
      <c r="I120" s="27" t="str">
        <f t="shared" si="22"/>
        <v/>
      </c>
      <c r="J120" s="26">
        <v>24</v>
      </c>
      <c r="K120" s="27" t="str">
        <f t="shared" si="23"/>
        <v/>
      </c>
      <c r="L120" s="24">
        <v>45</v>
      </c>
      <c r="M120" s="27" t="str">
        <f t="shared" si="24"/>
        <v/>
      </c>
      <c r="N120" s="26">
        <v>22</v>
      </c>
      <c r="O120" s="27" t="str">
        <f t="shared" si="25"/>
        <v/>
      </c>
      <c r="P120" s="26">
        <v>23</v>
      </c>
      <c r="Q120" s="27" t="str">
        <f t="shared" si="26"/>
        <v/>
      </c>
      <c r="R120" s="24">
        <v>69</v>
      </c>
      <c r="S120" s="27" t="str">
        <f t="shared" si="27"/>
        <v/>
      </c>
      <c r="T120" s="26">
        <v>22</v>
      </c>
      <c r="U120" s="27" t="str">
        <f t="shared" si="28"/>
        <v/>
      </c>
      <c r="V120" s="26">
        <v>19</v>
      </c>
      <c r="W120" s="27" t="str">
        <f t="shared" si="29"/>
        <v/>
      </c>
      <c r="X120" s="24">
        <v>58</v>
      </c>
      <c r="Y120" s="27" t="str">
        <f t="shared" si="30"/>
        <v/>
      </c>
      <c r="Z120" s="26">
        <v>22</v>
      </c>
      <c r="AA120" s="27" t="str">
        <f t="shared" si="31"/>
        <v/>
      </c>
      <c r="AB120" s="26">
        <v>22</v>
      </c>
      <c r="AC120" s="27" t="str">
        <f t="shared" si="32"/>
        <v/>
      </c>
      <c r="AD120" s="24">
        <v>54</v>
      </c>
      <c r="AE120" s="27" t="str">
        <f t="shared" si="33"/>
        <v/>
      </c>
      <c r="AF120" s="26">
        <v>23</v>
      </c>
      <c r="AG120" s="27" t="str">
        <f t="shared" si="34"/>
        <v/>
      </c>
      <c r="AH120" s="26">
        <v>20</v>
      </c>
      <c r="AI120" s="27" t="str">
        <f t="shared" si="35"/>
        <v/>
      </c>
      <c r="AJ120" s="32">
        <f>IF(OR(AND(D120&gt;=31,D120&lt;40),AND(H120&gt;=31,H120&lt;40),AND(L120&gt;=31,L120&lt;40),AND(R120&gt;=31,R120&lt;40),AND(X120&gt;=31,X120&lt;40),AND(AD120&gt;=31,AD120&lt;40)),IF(AND(OR(COUNTIF(D120:AI120,"=31")&gt;=1,COUNTIF(D120:AI120,"=32")&gt;=1,COUNTIF(D120:AI120,"=33")&gt;=1,COUNTIF(D120:AI120,"=34")&gt;=1,COUNTIF(D120:AI120,"=35")&gt;=1,COUNTIF(D120:AI120,"=36")&gt;=1 ),COUNTIF(D120:AI120,"")=0,COUNTIF(D120:AI120," ")=0,COUNTIF(D120:AI120,"F")=1),CONCATENATE(SUM(EXTRACTNUMBER(D120),EXTRACTNUMBER(F120),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EXTRACTNUMBER(AD120),EXTRACTNUMBER(AH120),EXTRACTNUMBER(AF120)),"*"),IF(AND(COUNTIF(D120:AI120,"=34")&gt;=1,COUNTIF(D120:AI120,"=35")&gt;=1,COUNTIF(D120:AI120,"f")=2,COUNTIF(D120:AI120,"")=0,COUNTIF(D120:AI120," ")=0),CONCATENATE(SUM(EXTRACTNUMBER(D120),EXTRACTNUMBER(F120),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EXTRACTNUMBER(AD120),EXTRACTNUMBER(AH120),EXTRACTNUMBER(AF120)),"*"),IF(AND(COUNTIF(D120:AI120,"=36")&gt;=2,COUNTIF(D120:AI120,"f")=2,COUNTIF(D120:AI120,"")=0,COUNTIF(D120:AI120," ")=0),CONCATENATE(SUM(EXTRACTNUMBER(D120),EXTRACTNUMBER(F120),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EXTRACTNUMBER(AD120),EXTRACTNUMBER(AH120),EXTRACTNUMBER(AF120)),"*"),SUM(EXTRACTNUMBER(D120),EXTRACTNUMBER(F120),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EXTRACTNUMBER(AD120),EXTRACTNUMBER(AH120),EXTRACTNUMBER(AF120))))),SUM(EXTRACTNUMBER(D120),EXTRACTNUMBER(F120),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EXTRACTNUMBER(AD120),EXTRACTNUMBER(AH120),EXTRACTNUMBER(AF120)))</f>
        <v>561</v>
      </c>
      <c r="AK120" s="94" t="s">
        <v>634</v>
      </c>
      <c r="AL120" s="29">
        <f t="shared" si="19"/>
        <v>1101</v>
      </c>
      <c r="AM120" s="29" t="str">
        <f t="shared" si="36"/>
        <v>PASS</v>
      </c>
      <c r="AN120" s="30" t="str">
        <f>IF(AM120="ABSENT","AB",IF(AM120="FAIL","--",
IF(AK120=0,"RS 3",
IF(AND(SUM(EXTRACTNUMBER(AK120),EXTRACTNUMBER(AJ120))&gt;=1010,
        NOT(IFERROR(FIND("x",AK120),0)),
        NOT(IFERROR(FIND("x",AJ120),0))),"I",
IF(AND(SUM(EXTRACTNUMBER(AK120),EXTRACTNUMBER(AJ120))&gt;=850,
      SUM(EXTRACTNUMBER(AK120),EXTRACTNUMBER(AJ120))&lt;1010,
      NOT(IFERROR(FIND("x",AK120),0)),
      NOT(IFERROR(FIND("x",AJ120),0))),"II",
IF(OR(AND(SUM(EXTRACTNUMBER(AK120),EXTRACTNUMBER(AJ120))&lt;850,
SUM(EXTRACTNUMBER(AK120),EXTRACTNUMBER(AJ120))&gt;=670),
IFERROR(FIND("x",AK120),0),IFERROR(FIND("x",AJ120),0)),"P","--"))))))</f>
        <v>I</v>
      </c>
      <c r="AO120" s="2" t="str">
        <f t="shared" si="37"/>
        <v xml:space="preserve">One Thousand One Hundred One </v>
      </c>
    </row>
    <row r="121" spans="2:41" ht="16.5" customHeight="1">
      <c r="B121" s="45">
        <v>134294</v>
      </c>
      <c r="C121" s="46" t="s">
        <v>117</v>
      </c>
      <c r="D121" s="43">
        <v>40</v>
      </c>
      <c r="E121" s="27" t="str">
        <f t="shared" si="20"/>
        <v/>
      </c>
      <c r="F121" s="26">
        <v>21</v>
      </c>
      <c r="G121" s="27" t="str">
        <f t="shared" si="21"/>
        <v/>
      </c>
      <c r="H121" s="24">
        <v>66</v>
      </c>
      <c r="I121" s="27" t="str">
        <f t="shared" si="22"/>
        <v/>
      </c>
      <c r="J121" s="26">
        <v>19</v>
      </c>
      <c r="K121" s="27" t="str">
        <f t="shared" si="23"/>
        <v/>
      </c>
      <c r="L121" s="24">
        <v>49</v>
      </c>
      <c r="M121" s="27" t="str">
        <f t="shared" si="24"/>
        <v/>
      </c>
      <c r="N121" s="26">
        <v>20</v>
      </c>
      <c r="O121" s="27" t="str">
        <f t="shared" si="25"/>
        <v/>
      </c>
      <c r="P121" s="26">
        <v>20</v>
      </c>
      <c r="Q121" s="27" t="str">
        <f t="shared" si="26"/>
        <v/>
      </c>
      <c r="R121" s="24">
        <v>50</v>
      </c>
      <c r="S121" s="27" t="str">
        <f t="shared" si="27"/>
        <v/>
      </c>
      <c r="T121" s="26">
        <v>22</v>
      </c>
      <c r="U121" s="27" t="str">
        <f t="shared" si="28"/>
        <v/>
      </c>
      <c r="V121" s="26">
        <v>19</v>
      </c>
      <c r="W121" s="27" t="str">
        <f t="shared" si="29"/>
        <v/>
      </c>
      <c r="X121" s="24">
        <v>46</v>
      </c>
      <c r="Y121" s="27" t="str">
        <f t="shared" si="30"/>
        <v/>
      </c>
      <c r="Z121" s="26">
        <v>21</v>
      </c>
      <c r="AA121" s="27" t="str">
        <f t="shared" si="31"/>
        <v/>
      </c>
      <c r="AB121" s="26">
        <v>21</v>
      </c>
      <c r="AC121" s="27" t="str">
        <f t="shared" si="32"/>
        <v/>
      </c>
      <c r="AD121" s="24">
        <v>50</v>
      </c>
      <c r="AE121" s="27" t="str">
        <f t="shared" si="33"/>
        <v/>
      </c>
      <c r="AF121" s="26">
        <v>22</v>
      </c>
      <c r="AG121" s="27" t="str">
        <f t="shared" si="34"/>
        <v/>
      </c>
      <c r="AH121" s="26">
        <v>19</v>
      </c>
      <c r="AI121" s="27" t="str">
        <f t="shared" si="35"/>
        <v/>
      </c>
      <c r="AJ121" s="32">
        <f>IF(OR(AND(D121&gt;=31,D121&lt;40),AND(H121&gt;=31,H121&lt;40),AND(L121&gt;=31,L121&lt;40),AND(R121&gt;=31,R121&lt;40),AND(X121&gt;=31,X121&lt;40),AND(AD121&gt;=31,AD121&lt;40)),IF(AND(OR(COUNTIF(D121:AI121,"=31")&gt;=1,COUNTIF(D121:AI121,"=32")&gt;=1,COUNTIF(D121:AI121,"=33")&gt;=1,COUNTIF(D121:AI121,"=34")&gt;=1,COUNTIF(D121:AI121,"=35")&gt;=1,COUNTIF(D121:AI121,"=36")&gt;=1 ),COUNTIF(D121:AI121,"")=0,COUNTIF(D121:AI121," ")=0,COUNTIF(D121:AI121,"F")=1),CONCATENATE(SUM(EXTRACTNUMBER(D121),EXTRACTNUMBER(F121),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EXTRACTNUMBER(AD121),EXTRACTNUMBER(AH121),EXTRACTNUMBER(AF121)),"*"),IF(AND(COUNTIF(D121:AI121,"=34")&gt;=1,COUNTIF(D121:AI121,"=35")&gt;=1,COUNTIF(D121:AI121,"f")=2,COUNTIF(D121:AI121,"")=0,COUNTIF(D121:AI121," ")=0),CONCATENATE(SUM(EXTRACTNUMBER(D121),EXTRACTNUMBER(F121),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EXTRACTNUMBER(AD121),EXTRACTNUMBER(AH121),EXTRACTNUMBER(AF121)),"*"),IF(AND(COUNTIF(D121:AI121,"=36")&gt;=2,COUNTIF(D121:AI121,"f")=2,COUNTIF(D121:AI121,"")=0,COUNTIF(D121:AI121," ")=0),CONCATENATE(SUM(EXTRACTNUMBER(D121),EXTRACTNUMBER(F121),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EXTRACTNUMBER(AD121),EXTRACTNUMBER(AH121),EXTRACTNUMBER(AF121)),"*"),SUM(EXTRACTNUMBER(D121),EXTRACTNUMBER(F121),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EXTRACTNUMBER(AD121),EXTRACTNUMBER(AH121),EXTRACTNUMBER(AF121))))),SUM(EXTRACTNUMBER(D121),EXTRACTNUMBER(F121),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EXTRACTNUMBER(AD121),EXTRACTNUMBER(AH121),EXTRACTNUMBER(AF121)))</f>
        <v>505</v>
      </c>
      <c r="AK121" s="94" t="s">
        <v>587</v>
      </c>
      <c r="AL121" s="29">
        <f t="shared" si="19"/>
        <v>1029</v>
      </c>
      <c r="AM121" s="29" t="str">
        <f t="shared" si="36"/>
        <v>PASS</v>
      </c>
      <c r="AN121" s="30" t="str">
        <f>IF(AM121="ABSENT","AB",IF(AM121="FAIL","--",
IF(AK121=0,"RS 3",
IF(AND(SUM(EXTRACTNUMBER(AK121),EXTRACTNUMBER(AJ121))&gt;=1010,
        NOT(IFERROR(FIND("x",AK121),0)),
        NOT(IFERROR(FIND("x",AJ121),0))),"I",
IF(AND(SUM(EXTRACTNUMBER(AK121),EXTRACTNUMBER(AJ121))&gt;=850,
      SUM(EXTRACTNUMBER(AK121),EXTRACTNUMBER(AJ121))&lt;1010,
      NOT(IFERROR(FIND("x",AK121),0)),
      NOT(IFERROR(FIND("x",AJ121),0))),"II",
IF(OR(AND(SUM(EXTRACTNUMBER(AK121),EXTRACTNUMBER(AJ121))&lt;850,
SUM(EXTRACTNUMBER(AK121),EXTRACTNUMBER(AJ121))&gt;=670),
IFERROR(FIND("x",AK121),0),IFERROR(FIND("x",AJ121),0)),"P","--"))))))</f>
        <v>P</v>
      </c>
      <c r="AO121" s="2" t="str">
        <f t="shared" si="37"/>
        <v xml:space="preserve">One Thousand Twenty Nine </v>
      </c>
    </row>
    <row r="122" spans="2:41" ht="16.5" customHeight="1">
      <c r="B122" s="45">
        <v>134295</v>
      </c>
      <c r="C122" s="46" t="s">
        <v>118</v>
      </c>
      <c r="D122" s="43">
        <v>42</v>
      </c>
      <c r="E122" s="27" t="str">
        <f t="shared" si="20"/>
        <v>E</v>
      </c>
      <c r="F122" s="26">
        <v>16</v>
      </c>
      <c r="G122" s="27" t="str">
        <f t="shared" si="21"/>
        <v>E</v>
      </c>
      <c r="H122" s="24">
        <v>45</v>
      </c>
      <c r="I122" s="27" t="str">
        <f t="shared" si="22"/>
        <v>E</v>
      </c>
      <c r="J122" s="26">
        <v>18</v>
      </c>
      <c r="K122" s="27" t="str">
        <f t="shared" si="23"/>
        <v>E</v>
      </c>
      <c r="L122" s="24">
        <v>19</v>
      </c>
      <c r="M122" s="27" t="str">
        <f t="shared" si="24"/>
        <v>F</v>
      </c>
      <c r="N122" s="26">
        <v>17</v>
      </c>
      <c r="O122" s="27" t="str">
        <f t="shared" si="25"/>
        <v>E</v>
      </c>
      <c r="P122" s="26">
        <v>17</v>
      </c>
      <c r="Q122" s="27" t="str">
        <f t="shared" si="26"/>
        <v>E</v>
      </c>
      <c r="R122" s="24">
        <v>54</v>
      </c>
      <c r="S122" s="27" t="str">
        <f t="shared" si="27"/>
        <v>E</v>
      </c>
      <c r="T122" s="26">
        <v>22</v>
      </c>
      <c r="U122" s="27" t="str">
        <f t="shared" si="28"/>
        <v>E</v>
      </c>
      <c r="V122" s="26">
        <v>17</v>
      </c>
      <c r="W122" s="27" t="str">
        <f t="shared" si="29"/>
        <v>E</v>
      </c>
      <c r="X122" s="24">
        <v>60</v>
      </c>
      <c r="Y122" s="27" t="str">
        <f t="shared" si="30"/>
        <v>E</v>
      </c>
      <c r="Z122" s="26">
        <v>22</v>
      </c>
      <c r="AA122" s="27" t="str">
        <f t="shared" si="31"/>
        <v>E</v>
      </c>
      <c r="AB122" s="26">
        <v>22</v>
      </c>
      <c r="AC122" s="27" t="str">
        <f t="shared" si="32"/>
        <v>E</v>
      </c>
      <c r="AD122" s="24">
        <v>45</v>
      </c>
      <c r="AE122" s="27" t="str">
        <f t="shared" si="33"/>
        <v>E</v>
      </c>
      <c r="AF122" s="26">
        <v>19</v>
      </c>
      <c r="AG122" s="27" t="str">
        <f t="shared" si="34"/>
        <v>E</v>
      </c>
      <c r="AH122" s="26">
        <v>22</v>
      </c>
      <c r="AI122" s="27" t="str">
        <f t="shared" si="35"/>
        <v>E</v>
      </c>
      <c r="AJ122" s="32">
        <f>IF(OR(AND(D122&gt;=31,D122&lt;40),AND(H122&gt;=31,H122&lt;40),AND(L122&gt;=31,L122&lt;40),AND(R122&gt;=31,R122&lt;40),AND(X122&gt;=31,X122&lt;40),AND(AD122&gt;=31,AD122&lt;40)),IF(AND(OR(COUNTIF(D122:AI122,"=31")&gt;=1,COUNTIF(D122:AI122,"=32")&gt;=1,COUNTIF(D122:AI122,"=33")&gt;=1,COUNTIF(D122:AI122,"=34")&gt;=1,COUNTIF(D122:AI122,"=35")&gt;=1,COUNTIF(D122:AI122,"=36")&gt;=1 ),COUNTIF(D122:AI122,"")=0,COUNTIF(D122:AI122," ")=0,COUNTIF(D122:AI122,"F")=1),CONCATENATE(SUM(EXTRACTNUMBER(D122),EXTRACTNUMBER(F122),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EXTRACTNUMBER(AD122),EXTRACTNUMBER(AH122),EXTRACTNUMBER(AF122)),"*"),IF(AND(COUNTIF(D122:AI122,"=34")&gt;=1,COUNTIF(D122:AI122,"=35")&gt;=1,COUNTIF(D122:AI122,"f")=2,COUNTIF(D122:AI122,"")=0,COUNTIF(D122:AI122," ")=0),CONCATENATE(SUM(EXTRACTNUMBER(D122),EXTRACTNUMBER(F122),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EXTRACTNUMBER(AD122),EXTRACTNUMBER(AH122),EXTRACTNUMBER(AF122)),"*"),IF(AND(COUNTIF(D122:AI122,"=36")&gt;=2,COUNTIF(D122:AI122,"f")=2,COUNTIF(D122:AI122,"")=0,COUNTIF(D122:AI122," ")=0),CONCATENATE(SUM(EXTRACTNUMBER(D122),EXTRACTNUMBER(F122),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EXTRACTNUMBER(AD122),EXTRACTNUMBER(AH122),EXTRACTNUMBER(AF122)),"*"),SUM(EXTRACTNUMBER(D122),EXTRACTNUMBER(F122),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EXTRACTNUMBER(AD122),EXTRACTNUMBER(AH122),EXTRACTNUMBER(AF122))))),SUM(EXTRACTNUMBER(D122),EXTRACTNUMBER(F122),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EXTRACTNUMBER(AD122),EXTRACTNUMBER(AH122),EXTRACTNUMBER(AF122)))</f>
        <v>457</v>
      </c>
      <c r="AK122" s="94" t="s">
        <v>616</v>
      </c>
      <c r="AL122" s="29">
        <f t="shared" si="19"/>
        <v>890</v>
      </c>
      <c r="AM122" s="29" t="str">
        <f t="shared" si="36"/>
        <v>FAIL</v>
      </c>
      <c r="AN122" s="30" t="str">
        <f>IF(AM122="ABSENT","AB",IF(AM122="FAIL","--",
IF(AK122=0,"RS 3",
IF(AND(SUM(EXTRACTNUMBER(AK122),EXTRACTNUMBER(AJ122))&gt;=1010,
        NOT(IFERROR(FIND("x",AK122),0)),
        NOT(IFERROR(FIND("x",AJ122),0))),"I",
IF(AND(SUM(EXTRACTNUMBER(AK122),EXTRACTNUMBER(AJ122))&gt;=850,
      SUM(EXTRACTNUMBER(AK122),EXTRACTNUMBER(AJ122))&lt;1010,
      NOT(IFERROR(FIND("x",AK122),0)),
      NOT(IFERROR(FIND("x",AJ122),0))),"II",
IF(OR(AND(SUM(EXTRACTNUMBER(AK122),EXTRACTNUMBER(AJ122))&lt;850,
SUM(EXTRACTNUMBER(AK122),EXTRACTNUMBER(AJ122))&gt;=670),
IFERROR(FIND("x",AK122),0),IFERROR(FIND("x",AJ122),0)),"P","--"))))))</f>
        <v>--</v>
      </c>
      <c r="AO122" s="2" t="str">
        <f t="shared" si="37"/>
        <v xml:space="preserve">Eight Hundred Ninety </v>
      </c>
    </row>
    <row r="123" spans="2:41" ht="16.5" customHeight="1">
      <c r="B123" s="45">
        <v>134296</v>
      </c>
      <c r="C123" s="46" t="s">
        <v>119</v>
      </c>
      <c r="D123" s="43">
        <v>59</v>
      </c>
      <c r="E123" s="27" t="str">
        <f t="shared" si="20"/>
        <v/>
      </c>
      <c r="F123" s="26">
        <v>16</v>
      </c>
      <c r="G123" s="27" t="str">
        <f t="shared" si="21"/>
        <v/>
      </c>
      <c r="H123" s="24">
        <v>53</v>
      </c>
      <c r="I123" s="27" t="str">
        <f t="shared" si="22"/>
        <v/>
      </c>
      <c r="J123" s="26">
        <v>16</v>
      </c>
      <c r="K123" s="27" t="str">
        <f t="shared" si="23"/>
        <v/>
      </c>
      <c r="L123" s="24">
        <v>45</v>
      </c>
      <c r="M123" s="27" t="str">
        <f t="shared" si="24"/>
        <v/>
      </c>
      <c r="N123" s="26">
        <v>16</v>
      </c>
      <c r="O123" s="27" t="str">
        <f t="shared" si="25"/>
        <v/>
      </c>
      <c r="P123" s="26">
        <v>16</v>
      </c>
      <c r="Q123" s="27" t="str">
        <f t="shared" si="26"/>
        <v/>
      </c>
      <c r="R123" s="24">
        <v>42</v>
      </c>
      <c r="S123" s="27" t="str">
        <f t="shared" si="27"/>
        <v/>
      </c>
      <c r="T123" s="26">
        <v>22</v>
      </c>
      <c r="U123" s="27" t="str">
        <f t="shared" si="28"/>
        <v/>
      </c>
      <c r="V123" s="26">
        <v>14</v>
      </c>
      <c r="W123" s="27" t="str">
        <f t="shared" si="29"/>
        <v/>
      </c>
      <c r="X123" s="24">
        <v>40</v>
      </c>
      <c r="Y123" s="27" t="str">
        <f t="shared" si="30"/>
        <v/>
      </c>
      <c r="Z123" s="26">
        <v>22</v>
      </c>
      <c r="AA123" s="27" t="str">
        <f t="shared" si="31"/>
        <v/>
      </c>
      <c r="AB123" s="26">
        <v>22</v>
      </c>
      <c r="AC123" s="27" t="str">
        <f t="shared" si="32"/>
        <v/>
      </c>
      <c r="AD123" s="40" t="s">
        <v>307</v>
      </c>
      <c r="AE123" s="27" t="str">
        <f t="shared" si="33"/>
        <v/>
      </c>
      <c r="AF123" s="26">
        <v>20</v>
      </c>
      <c r="AG123" s="27" t="str">
        <f t="shared" si="34"/>
        <v/>
      </c>
      <c r="AH123" s="26">
        <v>16</v>
      </c>
      <c r="AI123" s="27" t="str">
        <f t="shared" si="35"/>
        <v/>
      </c>
      <c r="AJ123" s="41" t="s">
        <v>311</v>
      </c>
      <c r="AK123" s="28" t="s">
        <v>283</v>
      </c>
      <c r="AL123" s="29">
        <f t="shared" si="19"/>
        <v>955</v>
      </c>
      <c r="AM123" s="29" t="str">
        <f t="shared" si="36"/>
        <v>PASS</v>
      </c>
      <c r="AN123" s="30" t="str">
        <f>IF(AM123="ABSENT","AB",IF(AM123="FAIL","--",
IF(AK123=0,"RS 3",
IF(AND(SUM(EXTRACTNUMBER(AK123),EXTRACTNUMBER(AJ123))&gt;=1010,
        NOT(IFERROR(FIND("x",AK123),0)),
        NOT(IFERROR(FIND("x",AJ123),0))),"I",
IF(AND(SUM(EXTRACTNUMBER(AK123),EXTRACTNUMBER(AJ123))&gt;=850,
      SUM(EXTRACTNUMBER(AK123),EXTRACTNUMBER(AJ123))&lt;1010,
      NOT(IFERROR(FIND("x",AK123),0)),
      NOT(IFERROR(FIND("x",AJ123),0))),"II",
IF(OR(AND(SUM(EXTRACTNUMBER(AK123),EXTRACTNUMBER(AJ123))&lt;850,
SUM(EXTRACTNUMBER(AK123),EXTRACTNUMBER(AJ123))&gt;=670),
IFERROR(FIND("x",AK123),0),IFERROR(FIND("x",AJ123),0)),"P","--"))))))</f>
        <v>II</v>
      </c>
      <c r="AO123" s="2" t="str">
        <f t="shared" si="37"/>
        <v xml:space="preserve">Nine Hundred Fifty Five </v>
      </c>
    </row>
    <row r="124" spans="2:41" ht="16.5" customHeight="1">
      <c r="B124" s="45">
        <v>134297</v>
      </c>
      <c r="C124" s="46" t="s">
        <v>120</v>
      </c>
      <c r="D124" s="43">
        <v>53</v>
      </c>
      <c r="E124" s="27" t="str">
        <f t="shared" si="20"/>
        <v/>
      </c>
      <c r="F124" s="26">
        <v>24</v>
      </c>
      <c r="G124" s="27" t="str">
        <f t="shared" si="21"/>
        <v/>
      </c>
      <c r="H124" s="24">
        <v>71</v>
      </c>
      <c r="I124" s="27" t="str">
        <f t="shared" si="22"/>
        <v/>
      </c>
      <c r="J124" s="26">
        <v>21</v>
      </c>
      <c r="K124" s="27" t="str">
        <f t="shared" si="23"/>
        <v/>
      </c>
      <c r="L124" s="24">
        <v>58</v>
      </c>
      <c r="M124" s="27" t="str">
        <f t="shared" si="24"/>
        <v/>
      </c>
      <c r="N124" s="26">
        <v>22</v>
      </c>
      <c r="O124" s="27" t="str">
        <f t="shared" si="25"/>
        <v/>
      </c>
      <c r="P124" s="26">
        <v>22</v>
      </c>
      <c r="Q124" s="27" t="str">
        <f t="shared" si="26"/>
        <v/>
      </c>
      <c r="R124" s="24">
        <v>61</v>
      </c>
      <c r="S124" s="27" t="str">
        <f t="shared" si="27"/>
        <v/>
      </c>
      <c r="T124" s="26">
        <v>22</v>
      </c>
      <c r="U124" s="27" t="str">
        <f t="shared" si="28"/>
        <v/>
      </c>
      <c r="V124" s="26">
        <v>22</v>
      </c>
      <c r="W124" s="27" t="str">
        <f t="shared" si="29"/>
        <v/>
      </c>
      <c r="X124" s="24">
        <v>54</v>
      </c>
      <c r="Y124" s="27" t="str">
        <f t="shared" si="30"/>
        <v/>
      </c>
      <c r="Z124" s="26">
        <v>24</v>
      </c>
      <c r="AA124" s="27" t="str">
        <f t="shared" si="31"/>
        <v/>
      </c>
      <c r="AB124" s="26">
        <v>23</v>
      </c>
      <c r="AC124" s="27" t="str">
        <f t="shared" si="32"/>
        <v/>
      </c>
      <c r="AD124" s="24">
        <v>54</v>
      </c>
      <c r="AE124" s="27" t="str">
        <f t="shared" si="33"/>
        <v/>
      </c>
      <c r="AF124" s="26">
        <v>23</v>
      </c>
      <c r="AG124" s="27" t="str">
        <f t="shared" si="34"/>
        <v/>
      </c>
      <c r="AH124" s="26">
        <v>22</v>
      </c>
      <c r="AI124" s="27" t="str">
        <f t="shared" si="35"/>
        <v/>
      </c>
      <c r="AJ124" s="32">
        <f>IF(OR(AND(D124&gt;=31,D124&lt;40),AND(H124&gt;=31,H124&lt;40),AND(L124&gt;=31,L124&lt;40),AND(R124&gt;=31,R124&lt;40),AND(X124&gt;=31,X124&lt;40),AND(AD124&gt;=31,AD124&lt;40)),IF(AND(OR(COUNTIF(D124:AI124,"=31")&gt;=1,COUNTIF(D124:AI124,"=32")&gt;=1,COUNTIF(D124:AI124,"=33")&gt;=1,COUNTIF(D124:AI124,"=34")&gt;=1,COUNTIF(D124:AI124,"=35")&gt;=1,COUNTIF(D124:AI124,"=36")&gt;=1 ),COUNTIF(D124:AI124,"")=0,COUNTIF(D124:AI124," ")=0,COUNTIF(D124:AI124,"F")=1),CONCATENATE(SUM(EXTRACTNUMBER(D124),EXTRACTNUMBER(F124),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EXTRACTNUMBER(AD124),EXTRACTNUMBER(AH124),EXTRACTNUMBER(AF124)),"*"),IF(AND(COUNTIF(D124:AI124,"=34")&gt;=1,COUNTIF(D124:AI124,"=35")&gt;=1,COUNTIF(D124:AI124,"f")=2,COUNTIF(D124:AI124,"")=0,COUNTIF(D124:AI124," ")=0),CONCATENATE(SUM(EXTRACTNUMBER(D124),EXTRACTNUMBER(F124),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EXTRACTNUMBER(AD124),EXTRACTNUMBER(AH124),EXTRACTNUMBER(AF124)),"*"),IF(AND(COUNTIF(D124:AI124,"=36")&gt;=2,COUNTIF(D124:AI124,"f")=2,COUNTIF(D124:AI124,"")=0,COUNTIF(D124:AI124," ")=0),CONCATENATE(SUM(EXTRACTNUMBER(D124),EXTRACTNUMBER(F124),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EXTRACTNUMBER(AD124),EXTRACTNUMBER(AH124),EXTRACTNUMBER(AF124)),"*"),SUM(EXTRACTNUMBER(D124),EXTRACTNUMBER(F124),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EXTRACTNUMBER(AD124),EXTRACTNUMBER(AH124),EXTRACTNUMBER(AF124))))),SUM(EXTRACTNUMBER(D124),EXTRACTNUMBER(F124),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EXTRACTNUMBER(AD124),EXTRACTNUMBER(AH124),EXTRACTNUMBER(AF124)))</f>
        <v>576</v>
      </c>
      <c r="AK124" s="28" t="s">
        <v>284</v>
      </c>
      <c r="AL124" s="29">
        <f t="shared" si="19"/>
        <v>1219</v>
      </c>
      <c r="AM124" s="29" t="str">
        <f t="shared" si="36"/>
        <v>PASS</v>
      </c>
      <c r="AN124" s="30" t="str">
        <f>IF(AM124="ABSENT","AB",IF(AM124="FAIL","--",
IF(AK124=0,"RS 3",
IF(AND(SUM(EXTRACTNUMBER(AK124),EXTRACTNUMBER(AJ124))&gt;=1010,
        NOT(IFERROR(FIND("x",AK124),0)),
        NOT(IFERROR(FIND("x",AJ124),0))),"I",
IF(AND(SUM(EXTRACTNUMBER(AK124),EXTRACTNUMBER(AJ124))&gt;=850,
      SUM(EXTRACTNUMBER(AK124),EXTRACTNUMBER(AJ124))&lt;1010,
      NOT(IFERROR(FIND("x",AK124),0)),
      NOT(IFERROR(FIND("x",AJ124),0))),"II",
IF(OR(AND(SUM(EXTRACTNUMBER(AK124),EXTRACTNUMBER(AJ124))&lt;850,
SUM(EXTRACTNUMBER(AK124),EXTRACTNUMBER(AJ124))&gt;=670),
IFERROR(FIND("x",AK124),0),IFERROR(FIND("x",AJ124),0)),"P","--"))))))</f>
        <v>I</v>
      </c>
      <c r="AO124" s="2" t="str">
        <f t="shared" si="37"/>
        <v xml:space="preserve">One Thousand Two Hundred Nineteen </v>
      </c>
    </row>
    <row r="125" spans="2:41" ht="16.5" customHeight="1">
      <c r="B125" s="45">
        <v>134298</v>
      </c>
      <c r="C125" s="46" t="s">
        <v>121</v>
      </c>
      <c r="D125" s="43">
        <v>47</v>
      </c>
      <c r="E125" s="27" t="str">
        <f t="shared" si="20"/>
        <v/>
      </c>
      <c r="F125" s="26">
        <v>20</v>
      </c>
      <c r="G125" s="27" t="str">
        <f t="shared" si="21"/>
        <v/>
      </c>
      <c r="H125" s="24">
        <v>71</v>
      </c>
      <c r="I125" s="27" t="str">
        <f t="shared" si="22"/>
        <v/>
      </c>
      <c r="J125" s="26">
        <v>19</v>
      </c>
      <c r="K125" s="27" t="str">
        <f t="shared" si="23"/>
        <v/>
      </c>
      <c r="L125" s="24">
        <v>58</v>
      </c>
      <c r="M125" s="27" t="str">
        <f t="shared" si="24"/>
        <v/>
      </c>
      <c r="N125" s="26">
        <v>20</v>
      </c>
      <c r="O125" s="27" t="str">
        <f t="shared" si="25"/>
        <v/>
      </c>
      <c r="P125" s="26">
        <v>20</v>
      </c>
      <c r="Q125" s="27" t="str">
        <f t="shared" si="26"/>
        <v/>
      </c>
      <c r="R125" s="24">
        <v>57</v>
      </c>
      <c r="S125" s="27" t="str">
        <f t="shared" si="27"/>
        <v/>
      </c>
      <c r="T125" s="26">
        <v>23</v>
      </c>
      <c r="U125" s="27" t="str">
        <f t="shared" si="28"/>
        <v/>
      </c>
      <c r="V125" s="26">
        <v>22</v>
      </c>
      <c r="W125" s="27" t="str">
        <f t="shared" si="29"/>
        <v/>
      </c>
      <c r="X125" s="24">
        <v>52</v>
      </c>
      <c r="Y125" s="27" t="str">
        <f t="shared" si="30"/>
        <v/>
      </c>
      <c r="Z125" s="26">
        <v>23</v>
      </c>
      <c r="AA125" s="27" t="str">
        <f t="shared" si="31"/>
        <v/>
      </c>
      <c r="AB125" s="26">
        <v>22</v>
      </c>
      <c r="AC125" s="27" t="str">
        <f t="shared" si="32"/>
        <v/>
      </c>
      <c r="AD125" s="24">
        <v>56</v>
      </c>
      <c r="AE125" s="27" t="str">
        <f t="shared" si="33"/>
        <v/>
      </c>
      <c r="AF125" s="26">
        <v>18</v>
      </c>
      <c r="AG125" s="27" t="str">
        <f t="shared" si="34"/>
        <v/>
      </c>
      <c r="AH125" s="26">
        <v>16</v>
      </c>
      <c r="AI125" s="27" t="str">
        <f t="shared" si="35"/>
        <v/>
      </c>
      <c r="AJ125" s="32">
        <f>IF(OR(AND(D125&gt;=31,D125&lt;40),AND(H125&gt;=31,H125&lt;40),AND(L125&gt;=31,L125&lt;40),AND(R125&gt;=31,R125&lt;40),AND(X125&gt;=31,X125&lt;40),AND(AD125&gt;=31,AD125&lt;40)),IF(AND(OR(COUNTIF(D125:AI125,"=31")&gt;=1,COUNTIF(D125:AI125,"=32")&gt;=1,COUNTIF(D125:AI125,"=33")&gt;=1,COUNTIF(D125:AI125,"=34")&gt;=1,COUNTIF(D125:AI125,"=35")&gt;=1,COUNTIF(D125:AI125,"=36")&gt;=1 ),COUNTIF(D125:AI125,"")=0,COUNTIF(D125:AI125," ")=0,COUNTIF(D125:AI125,"F")=1),CONCATENATE(SUM(EXTRACTNUMBER(D125),EXTRACTNUMBER(F125),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EXTRACTNUMBER(AD125),EXTRACTNUMBER(AH125),EXTRACTNUMBER(AF125)),"*"),IF(AND(COUNTIF(D125:AI125,"=34")&gt;=1,COUNTIF(D125:AI125,"=35")&gt;=1,COUNTIF(D125:AI125,"f")=2,COUNTIF(D125:AI125,"")=0,COUNTIF(D125:AI125," ")=0),CONCATENATE(SUM(EXTRACTNUMBER(D125),EXTRACTNUMBER(F125),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EXTRACTNUMBER(AD125),EXTRACTNUMBER(AH125),EXTRACTNUMBER(AF125)),"*"),IF(AND(COUNTIF(D125:AI125,"=36")&gt;=2,COUNTIF(D125:AI125,"f")=2,COUNTIF(D125:AI125,"")=0,COUNTIF(D125:AI125," ")=0),CONCATENATE(SUM(EXTRACTNUMBER(D125),EXTRACTNUMBER(F125),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EXTRACTNUMBER(AD125),EXTRACTNUMBER(AH125),EXTRACTNUMBER(AF125)),"*"),SUM(EXTRACTNUMBER(D125),EXTRACTNUMBER(F125),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EXTRACTNUMBER(AD125),EXTRACTNUMBER(AH125),EXTRACTNUMBER(AF125))))),SUM(EXTRACTNUMBER(D125),EXTRACTNUMBER(F125),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EXTRACTNUMBER(AD125),EXTRACTNUMBER(AH125),EXTRACTNUMBER(AF125)))</f>
        <v>544</v>
      </c>
      <c r="AK125" s="28" t="s">
        <v>285</v>
      </c>
      <c r="AL125" s="29">
        <f t="shared" si="19"/>
        <v>1106</v>
      </c>
      <c r="AM125" s="29" t="str">
        <f t="shared" si="36"/>
        <v>PASS</v>
      </c>
      <c r="AN125" s="30" t="str">
        <f>IF(AM125="ABSENT","AB",IF(AM125="FAIL","--",
IF(AK125=0,"RS 3",
IF(AND(SUM(EXTRACTNUMBER(AK125),EXTRACTNUMBER(AJ125))&gt;=1010,
        NOT(IFERROR(FIND("x",AK125),0)),
        NOT(IFERROR(FIND("x",AJ125),0))),"I",
IF(AND(SUM(EXTRACTNUMBER(AK125),EXTRACTNUMBER(AJ125))&gt;=850,
      SUM(EXTRACTNUMBER(AK125),EXTRACTNUMBER(AJ125))&lt;1010,
      NOT(IFERROR(FIND("x",AK125),0)),
      NOT(IFERROR(FIND("x",AJ125),0))),"II",
IF(OR(AND(SUM(EXTRACTNUMBER(AK125),EXTRACTNUMBER(AJ125))&lt;850,
SUM(EXTRACTNUMBER(AK125),EXTRACTNUMBER(AJ125))&gt;=670),
IFERROR(FIND("x",AK125),0),IFERROR(FIND("x",AJ125),0)),"P","--"))))))</f>
        <v>I</v>
      </c>
      <c r="AO125" s="2" t="str">
        <f t="shared" si="37"/>
        <v xml:space="preserve">One Thousand One Hundred Six </v>
      </c>
    </row>
    <row r="126" spans="2:41" ht="16.5" customHeight="1">
      <c r="B126" s="45">
        <v>134299</v>
      </c>
      <c r="C126" s="46" t="s">
        <v>122</v>
      </c>
      <c r="D126" s="43">
        <v>40</v>
      </c>
      <c r="E126" s="27" t="str">
        <f t="shared" si="20"/>
        <v/>
      </c>
      <c r="F126" s="26">
        <v>18</v>
      </c>
      <c r="G126" s="27" t="str">
        <f t="shared" si="21"/>
        <v/>
      </c>
      <c r="H126" s="24">
        <v>53</v>
      </c>
      <c r="I126" s="27" t="str">
        <f t="shared" si="22"/>
        <v/>
      </c>
      <c r="J126" s="26">
        <v>23</v>
      </c>
      <c r="K126" s="27" t="str">
        <f t="shared" si="23"/>
        <v/>
      </c>
      <c r="L126" s="24">
        <v>49</v>
      </c>
      <c r="M126" s="27" t="str">
        <f t="shared" si="24"/>
        <v/>
      </c>
      <c r="N126" s="26">
        <v>22</v>
      </c>
      <c r="O126" s="27" t="str">
        <f t="shared" si="25"/>
        <v/>
      </c>
      <c r="P126" s="26">
        <v>22</v>
      </c>
      <c r="Q126" s="27" t="str">
        <f t="shared" si="26"/>
        <v/>
      </c>
      <c r="R126" s="24">
        <v>41</v>
      </c>
      <c r="S126" s="27" t="str">
        <f t="shared" si="27"/>
        <v/>
      </c>
      <c r="T126" s="26">
        <v>23</v>
      </c>
      <c r="U126" s="27" t="str">
        <f t="shared" si="28"/>
        <v/>
      </c>
      <c r="V126" s="26">
        <v>22</v>
      </c>
      <c r="W126" s="27" t="str">
        <f t="shared" si="29"/>
        <v/>
      </c>
      <c r="X126" s="24">
        <v>41</v>
      </c>
      <c r="Y126" s="27" t="str">
        <f t="shared" si="30"/>
        <v/>
      </c>
      <c r="Z126" s="26">
        <v>21</v>
      </c>
      <c r="AA126" s="27" t="str">
        <f t="shared" si="31"/>
        <v/>
      </c>
      <c r="AB126" s="26">
        <v>21</v>
      </c>
      <c r="AC126" s="27" t="str">
        <f t="shared" si="32"/>
        <v/>
      </c>
      <c r="AD126" s="24">
        <v>45</v>
      </c>
      <c r="AE126" s="27" t="str">
        <f t="shared" si="33"/>
        <v/>
      </c>
      <c r="AF126" s="26">
        <v>19</v>
      </c>
      <c r="AG126" s="27" t="str">
        <f t="shared" si="34"/>
        <v/>
      </c>
      <c r="AH126" s="26">
        <v>17</v>
      </c>
      <c r="AI126" s="27" t="str">
        <f t="shared" si="35"/>
        <v/>
      </c>
      <c r="AJ126" s="32">
        <f>IF(OR(AND(D126&gt;=31,D126&lt;40),AND(H126&gt;=31,H126&lt;40),AND(L126&gt;=31,L126&lt;40),AND(R126&gt;=31,R126&lt;40),AND(X126&gt;=31,X126&lt;40),AND(AD126&gt;=31,AD126&lt;40)),IF(AND(OR(COUNTIF(D126:AI126,"=31")&gt;=1,COUNTIF(D126:AI126,"=32")&gt;=1,COUNTIF(D126:AI126,"=33")&gt;=1,COUNTIF(D126:AI126,"=34")&gt;=1,COUNTIF(D126:AI126,"=35")&gt;=1,COUNTIF(D126:AI126,"=36")&gt;=1 ),COUNTIF(D126:AI126,"")=0,COUNTIF(D126:AI126," ")=0,COUNTIF(D126:AI126,"F")=1),CONCATENATE(SUM(EXTRACTNUMBER(D126),EXTRACTNUMBER(F126),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EXTRACTNUMBER(AD126),EXTRACTNUMBER(AH126),EXTRACTNUMBER(AF126)),"*"),IF(AND(COUNTIF(D126:AI126,"=34")&gt;=1,COUNTIF(D126:AI126,"=35")&gt;=1,COUNTIF(D126:AI126,"f")=2,COUNTIF(D126:AI126,"")=0,COUNTIF(D126:AI126," ")=0),CONCATENATE(SUM(EXTRACTNUMBER(D126),EXTRACTNUMBER(F126),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EXTRACTNUMBER(AD126),EXTRACTNUMBER(AH126),EXTRACTNUMBER(AF126)),"*"),IF(AND(COUNTIF(D126:AI126,"=36")&gt;=2,COUNTIF(D126:AI126,"f")=2,COUNTIF(D126:AI126,"")=0,COUNTIF(D126:AI126," ")=0),CONCATENATE(SUM(EXTRACTNUMBER(D126),EXTRACTNUMBER(F126),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EXTRACTNUMBER(AD126),EXTRACTNUMBER(AH126),EXTRACTNUMBER(AF126)),"*"),SUM(EXTRACTNUMBER(D126),EXTRACTNUMBER(F126),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EXTRACTNUMBER(AD126),EXTRACTNUMBER(AH126),EXTRACTNUMBER(AF126))))),SUM(EXTRACTNUMBER(D126),EXTRACTNUMBER(F126),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EXTRACTNUMBER(AD126),EXTRACTNUMBER(AH126),EXTRACTNUMBER(AF126)))</f>
        <v>477</v>
      </c>
      <c r="AK126" s="94" t="s">
        <v>588</v>
      </c>
      <c r="AL126" s="29">
        <f t="shared" si="19"/>
        <v>1013</v>
      </c>
      <c r="AM126" s="29" t="str">
        <f t="shared" si="36"/>
        <v>PASS</v>
      </c>
      <c r="AN126" s="30" t="str">
        <f>IF(AM126="ABSENT","AB",IF(AM126="FAIL","--",
IF(AK126=0,"RS 3",
IF(AND(SUM(EXTRACTNUMBER(AK126),EXTRACTNUMBER(AJ126))&gt;=1010,
        NOT(IFERROR(FIND("x",AK126),0)),
        NOT(IFERROR(FIND("x",AJ126),0))),"I",
IF(AND(SUM(EXTRACTNUMBER(AK126),EXTRACTNUMBER(AJ126))&gt;=850,
      SUM(EXTRACTNUMBER(AK126),EXTRACTNUMBER(AJ126))&lt;1010,
      NOT(IFERROR(FIND("x",AK126),0)),
      NOT(IFERROR(FIND("x",AJ126),0))),"II",
IF(OR(AND(SUM(EXTRACTNUMBER(AK126),EXTRACTNUMBER(AJ126))&lt;850,
SUM(EXTRACTNUMBER(AK126),EXTRACTNUMBER(AJ126))&gt;=670),
IFERROR(FIND("x",AK126),0),IFERROR(FIND("x",AJ126),0)),"P","--"))))))</f>
        <v>P</v>
      </c>
      <c r="AO126" s="2" t="str">
        <f t="shared" si="37"/>
        <v xml:space="preserve">One Thousand Thirteen </v>
      </c>
    </row>
    <row r="127" spans="2:41" ht="16.5" customHeight="1">
      <c r="B127" s="45">
        <v>134300</v>
      </c>
      <c r="C127" s="46" t="s">
        <v>123</v>
      </c>
      <c r="D127" s="43">
        <v>16</v>
      </c>
      <c r="E127" s="27" t="str">
        <f t="shared" si="20"/>
        <v>F</v>
      </c>
      <c r="F127" s="26">
        <v>20</v>
      </c>
      <c r="G127" s="27" t="str">
        <f t="shared" si="21"/>
        <v>E</v>
      </c>
      <c r="H127" s="24">
        <v>61</v>
      </c>
      <c r="I127" s="27" t="str">
        <f t="shared" si="22"/>
        <v>E</v>
      </c>
      <c r="J127" s="26">
        <v>19</v>
      </c>
      <c r="K127" s="27" t="str">
        <f t="shared" si="23"/>
        <v>E</v>
      </c>
      <c r="L127" s="24">
        <v>45</v>
      </c>
      <c r="M127" s="27" t="str">
        <f t="shared" si="24"/>
        <v>E</v>
      </c>
      <c r="N127" s="26">
        <v>21</v>
      </c>
      <c r="O127" s="27" t="str">
        <f t="shared" si="25"/>
        <v>E</v>
      </c>
      <c r="P127" s="26">
        <v>20</v>
      </c>
      <c r="Q127" s="27" t="str">
        <f t="shared" si="26"/>
        <v>E</v>
      </c>
      <c r="R127" s="24">
        <v>55</v>
      </c>
      <c r="S127" s="27" t="str">
        <f t="shared" si="27"/>
        <v>E</v>
      </c>
      <c r="T127" s="26">
        <v>22</v>
      </c>
      <c r="U127" s="27" t="str">
        <f t="shared" si="28"/>
        <v>E</v>
      </c>
      <c r="V127" s="26">
        <v>17</v>
      </c>
      <c r="W127" s="27" t="str">
        <f t="shared" si="29"/>
        <v>E</v>
      </c>
      <c r="X127" s="24">
        <v>56</v>
      </c>
      <c r="Y127" s="27" t="str">
        <f t="shared" si="30"/>
        <v>E</v>
      </c>
      <c r="Z127" s="26">
        <v>21</v>
      </c>
      <c r="AA127" s="27" t="str">
        <f t="shared" si="31"/>
        <v>E</v>
      </c>
      <c r="AB127" s="26">
        <v>21</v>
      </c>
      <c r="AC127" s="27" t="str">
        <f t="shared" si="32"/>
        <v>E</v>
      </c>
      <c r="AD127" s="24">
        <v>52</v>
      </c>
      <c r="AE127" s="27" t="str">
        <f t="shared" si="33"/>
        <v>E</v>
      </c>
      <c r="AF127" s="26">
        <v>22</v>
      </c>
      <c r="AG127" s="27" t="str">
        <f t="shared" si="34"/>
        <v>E</v>
      </c>
      <c r="AH127" s="26">
        <v>19</v>
      </c>
      <c r="AI127" s="27" t="str">
        <f t="shared" si="35"/>
        <v>E</v>
      </c>
      <c r="AJ127" s="32">
        <f>IF(OR(AND(D127&gt;=31,D127&lt;40),AND(H127&gt;=31,H127&lt;40),AND(L127&gt;=31,L127&lt;40),AND(R127&gt;=31,R127&lt;40),AND(X127&gt;=31,X127&lt;40),AND(AD127&gt;=31,AD127&lt;40)),IF(AND(OR(COUNTIF(D127:AI127,"=31")&gt;=1,COUNTIF(D127:AI127,"=32")&gt;=1,COUNTIF(D127:AI127,"=33")&gt;=1,COUNTIF(D127:AI127,"=34")&gt;=1,COUNTIF(D127:AI127,"=35")&gt;=1,COUNTIF(D127:AI127,"=36")&gt;=1 ),COUNTIF(D127:AI127,"")=0,COUNTIF(D127:AI127," ")=0,COUNTIF(D127:AI127,"F")=1),CONCATENATE(SUM(EXTRACTNUMBER(D127),EXTRACTNUMBER(F127),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EXTRACTNUMBER(AD127),EXTRACTNUMBER(AH127),EXTRACTNUMBER(AF127)),"*"),IF(AND(COUNTIF(D127:AI127,"=34")&gt;=1,COUNTIF(D127:AI127,"=35")&gt;=1,COUNTIF(D127:AI127,"f")=2,COUNTIF(D127:AI127,"")=0,COUNTIF(D127:AI127," ")=0),CONCATENATE(SUM(EXTRACTNUMBER(D127),EXTRACTNUMBER(F127),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EXTRACTNUMBER(AD127),EXTRACTNUMBER(AH127),EXTRACTNUMBER(AF127)),"*"),IF(AND(COUNTIF(D127:AI127,"=36")&gt;=2,COUNTIF(D127:AI127,"f")=2,COUNTIF(D127:AI127,"")=0,COUNTIF(D127:AI127," ")=0),CONCATENATE(SUM(EXTRACTNUMBER(D127),EXTRACTNUMBER(F127),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EXTRACTNUMBER(AD127),EXTRACTNUMBER(AH127),EXTRACTNUMBER(AF127)),"*"),SUM(EXTRACTNUMBER(D127),EXTRACTNUMBER(F127),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EXTRACTNUMBER(AD127),EXTRACTNUMBER(AH127),EXTRACTNUMBER(AF127))))),SUM(EXTRACTNUMBER(D127),EXTRACTNUMBER(F127),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EXTRACTNUMBER(AD127),EXTRACTNUMBER(AH127),EXTRACTNUMBER(AF127)))</f>
        <v>487</v>
      </c>
      <c r="AK127" s="94" t="s">
        <v>589</v>
      </c>
      <c r="AL127" s="29">
        <f t="shared" si="19"/>
        <v>985</v>
      </c>
      <c r="AM127" s="29" t="str">
        <f t="shared" si="36"/>
        <v>FAIL</v>
      </c>
      <c r="AN127" s="30" t="str">
        <f>IF(AM127="ABSENT","AB",IF(AM127="FAIL","--",
IF(AK127=0,"RS 3",
IF(AND(SUM(EXTRACTNUMBER(AK127),EXTRACTNUMBER(AJ127))&gt;=1010,
        NOT(IFERROR(FIND("x",AK127),0)),
        NOT(IFERROR(FIND("x",AJ127),0))),"I",
IF(AND(SUM(EXTRACTNUMBER(AK127),EXTRACTNUMBER(AJ127))&gt;=850,
      SUM(EXTRACTNUMBER(AK127),EXTRACTNUMBER(AJ127))&lt;1010,
      NOT(IFERROR(FIND("x",AK127),0)),
      NOT(IFERROR(FIND("x",AJ127),0))),"II",
IF(OR(AND(SUM(EXTRACTNUMBER(AK127),EXTRACTNUMBER(AJ127))&lt;850,
SUM(EXTRACTNUMBER(AK127),EXTRACTNUMBER(AJ127))&gt;=670),
IFERROR(FIND("x",AK127),0),IFERROR(FIND("x",AJ127),0)),"P","--"))))))</f>
        <v>--</v>
      </c>
      <c r="AO127" s="2" t="str">
        <f t="shared" si="37"/>
        <v xml:space="preserve">Nine Hundred Eighty Five </v>
      </c>
    </row>
    <row r="128" spans="2:41" ht="16.5" customHeight="1">
      <c r="B128" s="45">
        <v>134301</v>
      </c>
      <c r="C128" s="46" t="s">
        <v>124</v>
      </c>
      <c r="D128" s="43">
        <v>3</v>
      </c>
      <c r="E128" s="27" t="str">
        <f t="shared" si="20"/>
        <v>F</v>
      </c>
      <c r="F128" s="26">
        <v>12</v>
      </c>
      <c r="G128" s="27" t="str">
        <f t="shared" si="21"/>
        <v>E</v>
      </c>
      <c r="H128" s="24">
        <v>10</v>
      </c>
      <c r="I128" s="27" t="str">
        <f t="shared" si="22"/>
        <v>F</v>
      </c>
      <c r="J128" s="26">
        <v>17</v>
      </c>
      <c r="K128" s="27" t="str">
        <f t="shared" si="23"/>
        <v>E</v>
      </c>
      <c r="L128" s="24">
        <v>16</v>
      </c>
      <c r="M128" s="27" t="str">
        <f t="shared" si="24"/>
        <v>F</v>
      </c>
      <c r="N128" s="26">
        <v>16</v>
      </c>
      <c r="O128" s="27" t="str">
        <f t="shared" si="25"/>
        <v>E</v>
      </c>
      <c r="P128" s="26">
        <v>16</v>
      </c>
      <c r="Q128" s="27" t="str">
        <f t="shared" si="26"/>
        <v>E</v>
      </c>
      <c r="R128" s="24">
        <v>28</v>
      </c>
      <c r="S128" s="27" t="str">
        <f t="shared" si="27"/>
        <v>F</v>
      </c>
      <c r="T128" s="26">
        <v>15</v>
      </c>
      <c r="U128" s="27" t="str">
        <f t="shared" si="28"/>
        <v>E</v>
      </c>
      <c r="V128" s="26">
        <v>19</v>
      </c>
      <c r="W128" s="27" t="str">
        <f t="shared" si="29"/>
        <v>E</v>
      </c>
      <c r="X128" s="24">
        <v>46</v>
      </c>
      <c r="Y128" s="27" t="str">
        <f t="shared" si="30"/>
        <v>E</v>
      </c>
      <c r="Z128" s="26">
        <v>21</v>
      </c>
      <c r="AA128" s="27" t="str">
        <f t="shared" si="31"/>
        <v>E</v>
      </c>
      <c r="AB128" s="26">
        <v>22</v>
      </c>
      <c r="AC128" s="27" t="str">
        <f t="shared" si="32"/>
        <v>E</v>
      </c>
      <c r="AD128" s="24">
        <v>32</v>
      </c>
      <c r="AE128" s="27" t="str">
        <f t="shared" si="33"/>
        <v>F</v>
      </c>
      <c r="AF128" s="26">
        <v>19</v>
      </c>
      <c r="AG128" s="27" t="str">
        <f t="shared" si="34"/>
        <v>E</v>
      </c>
      <c r="AH128" s="26">
        <v>18</v>
      </c>
      <c r="AI128" s="27" t="str">
        <f t="shared" si="35"/>
        <v>E</v>
      </c>
      <c r="AJ128" s="32">
        <f>IF(OR(AND(D128&gt;=31,D128&lt;40),AND(H128&gt;=31,H128&lt;40),AND(L128&gt;=31,L128&lt;40),AND(R128&gt;=31,R128&lt;40),AND(X128&gt;=31,X128&lt;40),AND(AD128&gt;=31,AD128&lt;40)),IF(AND(OR(COUNTIF(D128:AI128,"=31")&gt;=1,COUNTIF(D128:AI128,"=32")&gt;=1,COUNTIF(D128:AI128,"=33")&gt;=1,COUNTIF(D128:AI128,"=34")&gt;=1,COUNTIF(D128:AI128,"=35")&gt;=1,COUNTIF(D128:AI128,"=36")&gt;=1 ),COUNTIF(D128:AI128,"")=0,COUNTIF(D128:AI128," ")=0,COUNTIF(D128:AI128,"F")=1),CONCATENATE(SUM(EXTRACTNUMBER(D128),EXTRACTNUMBER(F128),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EXTRACTNUMBER(AD128),EXTRACTNUMBER(AH128),EXTRACTNUMBER(AF128)),"*"),IF(AND(COUNTIF(D128:AI128,"=34")&gt;=1,COUNTIF(D128:AI128,"=35")&gt;=1,COUNTIF(D128:AI128,"f")=2,COUNTIF(D128:AI128,"")=0,COUNTIF(D128:AI128," ")=0),CONCATENATE(SUM(EXTRACTNUMBER(D128),EXTRACTNUMBER(F128),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EXTRACTNUMBER(AD128),EXTRACTNUMBER(AH128),EXTRACTNUMBER(AF128)),"*"),IF(AND(COUNTIF(D128:AI128,"=36")&gt;=2,COUNTIF(D128:AI128,"f")=2,COUNTIF(D128:AI128,"")=0,COUNTIF(D128:AI128," ")=0),CONCATENATE(SUM(EXTRACTNUMBER(D128),EXTRACTNUMBER(F128),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EXTRACTNUMBER(AD128),EXTRACTNUMBER(AH128),EXTRACTNUMBER(AF128)),"*"),SUM(EXTRACTNUMBER(D128),EXTRACTNUMBER(F128),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EXTRACTNUMBER(AD128),EXTRACTNUMBER(AH128),EXTRACTNUMBER(AF128))))),SUM(EXTRACTNUMBER(D128),EXTRACTNUMBER(F128),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EXTRACTNUMBER(AD128),EXTRACTNUMBER(AH128),EXTRACTNUMBER(AF128)))</f>
        <v>310</v>
      </c>
      <c r="AK128" s="28">
        <v>0</v>
      </c>
      <c r="AL128" s="29">
        <f t="shared" si="19"/>
        <v>310</v>
      </c>
      <c r="AM128" s="29" t="str">
        <f t="shared" si="36"/>
        <v>FAIL</v>
      </c>
      <c r="AN128" s="30" t="str">
        <f>IF(AM128="ABSENT","AB",IF(AM128="FAIL","--",
IF(AK128=0,"RS 3",
IF(AND(SUM(EXTRACTNUMBER(AK128),EXTRACTNUMBER(AJ128))&gt;=1010,
        NOT(IFERROR(FIND("x",AK128),0)),
        NOT(IFERROR(FIND("x",AJ128),0))),"I",
IF(AND(SUM(EXTRACTNUMBER(AK128),EXTRACTNUMBER(AJ128))&gt;=850,
      SUM(EXTRACTNUMBER(AK128),EXTRACTNUMBER(AJ128))&lt;1010,
      NOT(IFERROR(FIND("x",AK128),0)),
      NOT(IFERROR(FIND("x",AJ128),0))),"II",
IF(OR(AND(SUM(EXTRACTNUMBER(AK128),EXTRACTNUMBER(AJ128))&lt;850,
SUM(EXTRACTNUMBER(AK128),EXTRACTNUMBER(AJ128))&gt;=670),
IFERROR(FIND("x",AK128),0),IFERROR(FIND("x",AJ128),0)),"P","--"))))))</f>
        <v>--</v>
      </c>
      <c r="AO128" s="2" t="str">
        <f t="shared" si="37"/>
        <v xml:space="preserve">Three Hundred Ten </v>
      </c>
    </row>
    <row r="129" spans="2:41" ht="16.5" customHeight="1">
      <c r="B129" s="45">
        <v>134302</v>
      </c>
      <c r="C129" s="46" t="s">
        <v>125</v>
      </c>
      <c r="D129" s="43">
        <v>25</v>
      </c>
      <c r="E129" s="27" t="str">
        <f t="shared" si="20"/>
        <v>F</v>
      </c>
      <c r="F129" s="26">
        <v>16</v>
      </c>
      <c r="G129" s="27" t="str">
        <f t="shared" si="21"/>
        <v>E</v>
      </c>
      <c r="H129" s="24">
        <v>40</v>
      </c>
      <c r="I129" s="27" t="str">
        <f t="shared" si="22"/>
        <v>E</v>
      </c>
      <c r="J129" s="26">
        <v>19</v>
      </c>
      <c r="K129" s="27" t="str">
        <f t="shared" si="23"/>
        <v>E</v>
      </c>
      <c r="L129" s="24">
        <v>42</v>
      </c>
      <c r="M129" s="27" t="str">
        <f t="shared" si="24"/>
        <v>E</v>
      </c>
      <c r="N129" s="26">
        <v>17</v>
      </c>
      <c r="O129" s="27" t="str">
        <f t="shared" si="25"/>
        <v>E</v>
      </c>
      <c r="P129" s="26">
        <v>17</v>
      </c>
      <c r="Q129" s="27" t="str">
        <f t="shared" si="26"/>
        <v>E</v>
      </c>
      <c r="R129" s="24">
        <v>43</v>
      </c>
      <c r="S129" s="27" t="str">
        <f t="shared" si="27"/>
        <v>E</v>
      </c>
      <c r="T129" s="26">
        <v>21</v>
      </c>
      <c r="U129" s="27" t="str">
        <f t="shared" si="28"/>
        <v>E</v>
      </c>
      <c r="V129" s="26">
        <v>19</v>
      </c>
      <c r="W129" s="27" t="str">
        <f t="shared" si="29"/>
        <v>E</v>
      </c>
      <c r="X129" s="24">
        <v>46</v>
      </c>
      <c r="Y129" s="27" t="str">
        <f t="shared" si="30"/>
        <v>E</v>
      </c>
      <c r="Z129" s="26">
        <v>21</v>
      </c>
      <c r="AA129" s="27" t="str">
        <f t="shared" si="31"/>
        <v>E</v>
      </c>
      <c r="AB129" s="26">
        <v>22</v>
      </c>
      <c r="AC129" s="27" t="str">
        <f t="shared" si="32"/>
        <v>E</v>
      </c>
      <c r="AD129" s="24">
        <v>50</v>
      </c>
      <c r="AE129" s="27" t="str">
        <f t="shared" si="33"/>
        <v>E</v>
      </c>
      <c r="AF129" s="26">
        <v>21</v>
      </c>
      <c r="AG129" s="27" t="str">
        <f t="shared" si="34"/>
        <v>E</v>
      </c>
      <c r="AH129" s="26">
        <v>20</v>
      </c>
      <c r="AI129" s="27" t="str">
        <f t="shared" si="35"/>
        <v>E</v>
      </c>
      <c r="AJ129" s="32">
        <f>IF(OR(AND(D129&gt;=31,D129&lt;40),AND(H129&gt;=31,H129&lt;40),AND(L129&gt;=31,L129&lt;40),AND(R129&gt;=31,R129&lt;40),AND(X129&gt;=31,X129&lt;40),AND(AD129&gt;=31,AD129&lt;40)),IF(AND(OR(COUNTIF(D129:AI129,"=31")&gt;=1,COUNTIF(D129:AI129,"=32")&gt;=1,COUNTIF(D129:AI129,"=33")&gt;=1,COUNTIF(D129:AI129,"=34")&gt;=1,COUNTIF(D129:AI129,"=35")&gt;=1,COUNTIF(D129:AI129,"=36")&gt;=1 ),COUNTIF(D129:AI129,"")=0,COUNTIF(D129:AI129," ")=0,COUNTIF(D129:AI129,"F")=1),CONCATENATE(SUM(EXTRACTNUMBER(D129),EXTRACTNUMBER(F129),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EXTRACTNUMBER(AD129),EXTRACTNUMBER(AH129),EXTRACTNUMBER(AF129)),"*"),IF(AND(COUNTIF(D129:AI129,"=34")&gt;=1,COUNTIF(D129:AI129,"=35")&gt;=1,COUNTIF(D129:AI129,"f")=2,COUNTIF(D129:AI129,"")=0,COUNTIF(D129:AI129," ")=0),CONCATENATE(SUM(EXTRACTNUMBER(D129),EXTRACTNUMBER(F129),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EXTRACTNUMBER(AD129),EXTRACTNUMBER(AH129),EXTRACTNUMBER(AF129)),"*"),IF(AND(COUNTIF(D129:AI129,"=36")&gt;=2,COUNTIF(D129:AI129,"f")=2,COUNTIF(D129:AI129,"")=0,COUNTIF(D129:AI129," ")=0),CONCATENATE(SUM(EXTRACTNUMBER(D129),EXTRACTNUMBER(F129),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EXTRACTNUMBER(AD129),EXTRACTNUMBER(AH129),EXTRACTNUMBER(AF129)),"*"),SUM(EXTRACTNUMBER(D129),EXTRACTNUMBER(F129),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EXTRACTNUMBER(AD129),EXTRACTNUMBER(AH129),EXTRACTNUMBER(AF129))))),SUM(EXTRACTNUMBER(D129),EXTRACTNUMBER(F129),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EXTRACTNUMBER(AD129),EXTRACTNUMBER(AH129),EXTRACTNUMBER(AF129)))</f>
        <v>439</v>
      </c>
      <c r="AK129" s="94" t="s">
        <v>578</v>
      </c>
      <c r="AL129" s="29">
        <f t="shared" si="19"/>
        <v>916</v>
      </c>
      <c r="AM129" s="29" t="str">
        <f t="shared" si="36"/>
        <v>FAIL</v>
      </c>
      <c r="AN129" s="30" t="str">
        <f>IF(AM129="ABSENT","AB",IF(AM129="FAIL","--",
IF(AK129=0,"RS 3",
IF(AND(SUM(EXTRACTNUMBER(AK129),EXTRACTNUMBER(AJ129))&gt;=1010,
        NOT(IFERROR(FIND("x",AK129),0)),
        NOT(IFERROR(FIND("x",AJ129),0))),"I",
IF(AND(SUM(EXTRACTNUMBER(AK129),EXTRACTNUMBER(AJ129))&gt;=850,
      SUM(EXTRACTNUMBER(AK129),EXTRACTNUMBER(AJ129))&lt;1010,
      NOT(IFERROR(FIND("x",AK129),0)),
      NOT(IFERROR(FIND("x",AJ129),0))),"II",
IF(OR(AND(SUM(EXTRACTNUMBER(AK129),EXTRACTNUMBER(AJ129))&lt;850,
SUM(EXTRACTNUMBER(AK129),EXTRACTNUMBER(AJ129))&gt;=670),
IFERROR(FIND("x",AK129),0),IFERROR(FIND("x",AJ129),0)),"P","--"))))))</f>
        <v>--</v>
      </c>
      <c r="AO129" s="2" t="str">
        <f t="shared" si="37"/>
        <v xml:space="preserve">Nine Hundred Sixteen </v>
      </c>
    </row>
    <row r="130" spans="2:41" ht="16.5" customHeight="1">
      <c r="B130" s="45">
        <v>134303</v>
      </c>
      <c r="C130" s="46" t="s">
        <v>126</v>
      </c>
      <c r="D130" s="43">
        <v>60</v>
      </c>
      <c r="E130" s="27" t="str">
        <f t="shared" si="20"/>
        <v/>
      </c>
      <c r="F130" s="26">
        <v>21</v>
      </c>
      <c r="G130" s="27" t="str">
        <f t="shared" si="21"/>
        <v/>
      </c>
      <c r="H130" s="24">
        <v>62</v>
      </c>
      <c r="I130" s="27" t="str">
        <f t="shared" si="22"/>
        <v/>
      </c>
      <c r="J130" s="26">
        <v>24</v>
      </c>
      <c r="K130" s="27" t="str">
        <f t="shared" si="23"/>
        <v/>
      </c>
      <c r="L130" s="24">
        <v>49</v>
      </c>
      <c r="M130" s="27" t="str">
        <f t="shared" si="24"/>
        <v/>
      </c>
      <c r="N130" s="26">
        <v>21</v>
      </c>
      <c r="O130" s="27" t="str">
        <f t="shared" si="25"/>
        <v/>
      </c>
      <c r="P130" s="26">
        <v>21</v>
      </c>
      <c r="Q130" s="27" t="str">
        <f t="shared" si="26"/>
        <v/>
      </c>
      <c r="R130" s="24">
        <v>40</v>
      </c>
      <c r="S130" s="27" t="str">
        <f t="shared" si="27"/>
        <v/>
      </c>
      <c r="T130" s="26">
        <v>21</v>
      </c>
      <c r="U130" s="27" t="str">
        <f t="shared" si="28"/>
        <v/>
      </c>
      <c r="V130" s="26">
        <v>21</v>
      </c>
      <c r="W130" s="27" t="str">
        <f t="shared" si="29"/>
        <v/>
      </c>
      <c r="X130" s="24">
        <v>69</v>
      </c>
      <c r="Y130" s="27" t="str">
        <f t="shared" si="30"/>
        <v/>
      </c>
      <c r="Z130" s="26">
        <v>22</v>
      </c>
      <c r="AA130" s="27" t="str">
        <f t="shared" si="31"/>
        <v/>
      </c>
      <c r="AB130" s="26">
        <v>23</v>
      </c>
      <c r="AC130" s="27" t="str">
        <f t="shared" si="32"/>
        <v/>
      </c>
      <c r="AD130" s="24">
        <v>52</v>
      </c>
      <c r="AE130" s="27" t="str">
        <f t="shared" si="33"/>
        <v/>
      </c>
      <c r="AF130" s="26">
        <v>21</v>
      </c>
      <c r="AG130" s="27" t="str">
        <f t="shared" si="34"/>
        <v/>
      </c>
      <c r="AH130" s="26">
        <v>19</v>
      </c>
      <c r="AI130" s="27" t="str">
        <f t="shared" si="35"/>
        <v/>
      </c>
      <c r="AJ130" s="32">
        <f>IF(OR(AND(D130&gt;=31,D130&lt;40),AND(H130&gt;=31,H130&lt;40),AND(L130&gt;=31,L130&lt;40),AND(R130&gt;=31,R130&lt;40),AND(X130&gt;=31,X130&lt;40),AND(AD130&gt;=31,AD130&lt;40)),IF(AND(OR(COUNTIF(D130:AI130,"=31")&gt;=1,COUNTIF(D130:AI130,"=32")&gt;=1,COUNTIF(D130:AI130,"=33")&gt;=1,COUNTIF(D130:AI130,"=34")&gt;=1,COUNTIF(D130:AI130,"=35")&gt;=1,COUNTIF(D130:AI130,"=36")&gt;=1 ),COUNTIF(D130:AI130,"")=0,COUNTIF(D130:AI130," ")=0,COUNTIF(D130:AI130,"F")=1),CONCATENATE(SUM(EXTRACTNUMBER(D130),EXTRACTNUMBER(F130),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EXTRACTNUMBER(AD130),EXTRACTNUMBER(AH130),EXTRACTNUMBER(AF130)),"*"),IF(AND(COUNTIF(D130:AI130,"=34")&gt;=1,COUNTIF(D130:AI130,"=35")&gt;=1,COUNTIF(D130:AI130,"f")=2,COUNTIF(D130:AI130,"")=0,COUNTIF(D130:AI130," ")=0),CONCATENATE(SUM(EXTRACTNUMBER(D130),EXTRACTNUMBER(F130),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EXTRACTNUMBER(AD130),EXTRACTNUMBER(AH130),EXTRACTNUMBER(AF130)),"*"),IF(AND(COUNTIF(D130:AI130,"=36")&gt;=2,COUNTIF(D130:AI130,"f")=2,COUNTIF(D130:AI130,"")=0,COUNTIF(D130:AI130," ")=0),CONCATENATE(SUM(EXTRACTNUMBER(D130),EXTRACTNUMBER(F130),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EXTRACTNUMBER(AD130),EXTRACTNUMBER(AH130),EXTRACTNUMBER(AF130)),"*"),SUM(EXTRACTNUMBER(D130),EXTRACTNUMBER(F130),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EXTRACTNUMBER(AD130),EXTRACTNUMBER(AH130),EXTRACTNUMBER(AF130))))),SUM(EXTRACTNUMBER(D130),EXTRACTNUMBER(F130),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EXTRACTNUMBER(AD130),EXTRACTNUMBER(AH130),EXTRACTNUMBER(AF130)))</f>
        <v>546</v>
      </c>
      <c r="AK130" s="28" t="s">
        <v>286</v>
      </c>
      <c r="AL130" s="29">
        <f t="shared" si="19"/>
        <v>1056</v>
      </c>
      <c r="AM130" s="29" t="str">
        <f t="shared" si="36"/>
        <v>PASS</v>
      </c>
      <c r="AN130" s="30" t="str">
        <f>IF(AM130="ABSENT","AB",IF(AM130="FAIL","--",
IF(AK130=0,"RS 3",
IF(AND(SUM(EXTRACTNUMBER(AK130),EXTRACTNUMBER(AJ130))&gt;=1010,
        NOT(IFERROR(FIND("x",AK130),0)),
        NOT(IFERROR(FIND("x",AJ130),0))),"I",
IF(AND(SUM(EXTRACTNUMBER(AK130),EXTRACTNUMBER(AJ130))&gt;=850,
      SUM(EXTRACTNUMBER(AK130),EXTRACTNUMBER(AJ130))&lt;1010,
      NOT(IFERROR(FIND("x",AK130),0)),
      NOT(IFERROR(FIND("x",AJ130),0))),"II",
IF(OR(AND(SUM(EXTRACTNUMBER(AK130),EXTRACTNUMBER(AJ130))&lt;850,
SUM(EXTRACTNUMBER(AK130),EXTRACTNUMBER(AJ130))&gt;=670),
IFERROR(FIND("x",AK130),0),IFERROR(FIND("x",AJ130),0)),"P","--"))))))</f>
        <v>I</v>
      </c>
      <c r="AO130" s="2" t="str">
        <f t="shared" si="37"/>
        <v xml:space="preserve">One Thousand Fifty Six </v>
      </c>
    </row>
    <row r="131" spans="2:41" ht="16.5" customHeight="1">
      <c r="B131" s="45">
        <v>134304</v>
      </c>
      <c r="C131" s="46" t="s">
        <v>127</v>
      </c>
      <c r="D131" s="43">
        <v>60</v>
      </c>
      <c r="E131" s="27" t="str">
        <f t="shared" si="20"/>
        <v/>
      </c>
      <c r="F131" s="26">
        <v>24</v>
      </c>
      <c r="G131" s="27" t="str">
        <f t="shared" si="21"/>
        <v/>
      </c>
      <c r="H131" s="24">
        <v>68</v>
      </c>
      <c r="I131" s="27" t="str">
        <f t="shared" si="22"/>
        <v/>
      </c>
      <c r="J131" s="26">
        <v>24</v>
      </c>
      <c r="K131" s="27" t="str">
        <f t="shared" si="23"/>
        <v/>
      </c>
      <c r="L131" s="24">
        <v>53</v>
      </c>
      <c r="M131" s="27" t="str">
        <f t="shared" si="24"/>
        <v/>
      </c>
      <c r="N131" s="26">
        <v>23</v>
      </c>
      <c r="O131" s="27" t="str">
        <f t="shared" si="25"/>
        <v/>
      </c>
      <c r="P131" s="26">
        <v>24</v>
      </c>
      <c r="Q131" s="27" t="str">
        <f t="shared" si="26"/>
        <v/>
      </c>
      <c r="R131" s="24">
        <v>63</v>
      </c>
      <c r="S131" s="27" t="str">
        <f t="shared" si="27"/>
        <v/>
      </c>
      <c r="T131" s="26">
        <v>21</v>
      </c>
      <c r="U131" s="27" t="str">
        <f t="shared" si="28"/>
        <v/>
      </c>
      <c r="V131" s="26">
        <v>24</v>
      </c>
      <c r="W131" s="27" t="str">
        <f t="shared" si="29"/>
        <v/>
      </c>
      <c r="X131" s="24">
        <v>70</v>
      </c>
      <c r="Y131" s="27" t="str">
        <f t="shared" si="30"/>
        <v/>
      </c>
      <c r="Z131" s="26">
        <v>24</v>
      </c>
      <c r="AA131" s="27" t="str">
        <f t="shared" si="31"/>
        <v/>
      </c>
      <c r="AB131" s="26">
        <v>21</v>
      </c>
      <c r="AC131" s="27" t="str">
        <f t="shared" si="32"/>
        <v/>
      </c>
      <c r="AD131" s="24">
        <v>48</v>
      </c>
      <c r="AE131" s="27" t="str">
        <f t="shared" si="33"/>
        <v/>
      </c>
      <c r="AF131" s="26">
        <v>24</v>
      </c>
      <c r="AG131" s="27" t="str">
        <f t="shared" si="34"/>
        <v/>
      </c>
      <c r="AH131" s="26">
        <v>23</v>
      </c>
      <c r="AI131" s="27" t="str">
        <f t="shared" si="35"/>
        <v/>
      </c>
      <c r="AJ131" s="32">
        <f>IF(OR(AND(D131&gt;=31,D131&lt;40),AND(H131&gt;=31,H131&lt;40),AND(L131&gt;=31,L131&lt;40),AND(R131&gt;=31,R131&lt;40),AND(X131&gt;=31,X131&lt;40),AND(AD131&gt;=31,AD131&lt;40)),IF(AND(OR(COUNTIF(D131:AI131,"=31")&gt;=1,COUNTIF(D131:AI131,"=32")&gt;=1,COUNTIF(D131:AI131,"=33")&gt;=1,COUNTIF(D131:AI131,"=34")&gt;=1,COUNTIF(D131:AI131,"=35")&gt;=1,COUNTIF(D131:AI131,"=36")&gt;=1 ),COUNTIF(D131:AI131,"")=0,COUNTIF(D131:AI131," ")=0,COUNTIF(D131:AI131,"F")=1),CONCATENATE(SUM(EXTRACTNUMBER(D131),EXTRACTNUMBER(F131),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EXTRACTNUMBER(AD131),EXTRACTNUMBER(AH131),EXTRACTNUMBER(AF131)),"*"),IF(AND(COUNTIF(D131:AI131,"=34")&gt;=1,COUNTIF(D131:AI131,"=35")&gt;=1,COUNTIF(D131:AI131,"f")=2,COUNTIF(D131:AI131,"")=0,COUNTIF(D131:AI131," ")=0),CONCATENATE(SUM(EXTRACTNUMBER(D131),EXTRACTNUMBER(F131),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EXTRACTNUMBER(AD131),EXTRACTNUMBER(AH131),EXTRACTNUMBER(AF131)),"*"),IF(AND(COUNTIF(D131:AI131,"=36")&gt;=2,COUNTIF(D131:AI131,"f")=2,COUNTIF(D131:AI131,"")=0,COUNTIF(D131:AI131," ")=0),CONCATENATE(SUM(EXTRACTNUMBER(D131),EXTRACTNUMBER(F131),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EXTRACTNUMBER(AD131),EXTRACTNUMBER(AH131),EXTRACTNUMBER(AF131)),"*"),SUM(EXTRACTNUMBER(D131),EXTRACTNUMBER(F131),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EXTRACTNUMBER(AD131),EXTRACTNUMBER(AH131),EXTRACTNUMBER(AF131))))),SUM(EXTRACTNUMBER(D131),EXTRACTNUMBER(F131),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EXTRACTNUMBER(AD131),EXTRACTNUMBER(AH131),EXTRACTNUMBER(AF131)))</f>
        <v>594</v>
      </c>
      <c r="AK131" s="28" t="s">
        <v>287</v>
      </c>
      <c r="AL131" s="29">
        <f t="shared" si="19"/>
        <v>1164</v>
      </c>
      <c r="AM131" s="29" t="str">
        <f t="shared" si="36"/>
        <v>PASS</v>
      </c>
      <c r="AN131" s="30" t="str">
        <f>IF(AM131="ABSENT","AB",IF(AM131="FAIL","--",
IF(AK131=0,"RS 3",
IF(AND(SUM(EXTRACTNUMBER(AK131),EXTRACTNUMBER(AJ131))&gt;=1010,
        NOT(IFERROR(FIND("x",AK131),0)),
        NOT(IFERROR(FIND("x",AJ131),0))),"I",
IF(AND(SUM(EXTRACTNUMBER(AK131),EXTRACTNUMBER(AJ131))&gt;=850,
      SUM(EXTRACTNUMBER(AK131),EXTRACTNUMBER(AJ131))&lt;1010,
      NOT(IFERROR(FIND("x",AK131),0)),
      NOT(IFERROR(FIND("x",AJ131),0))),"II",
IF(OR(AND(SUM(EXTRACTNUMBER(AK131),EXTRACTNUMBER(AJ131))&lt;850,
SUM(EXTRACTNUMBER(AK131),EXTRACTNUMBER(AJ131))&gt;=670),
IFERROR(FIND("x",AK131),0),IFERROR(FIND("x",AJ131),0)),"P","--"))))))</f>
        <v>I</v>
      </c>
      <c r="AO131" s="2" t="str">
        <f t="shared" si="37"/>
        <v xml:space="preserve">One Thousand One Hundred Sixty Four </v>
      </c>
    </row>
    <row r="132" spans="2:41" ht="16.5" customHeight="1">
      <c r="B132" s="45">
        <v>134305</v>
      </c>
      <c r="C132" s="46" t="s">
        <v>128</v>
      </c>
      <c r="D132" s="43">
        <v>25</v>
      </c>
      <c r="E132" s="27" t="str">
        <f t="shared" si="20"/>
        <v>F</v>
      </c>
      <c r="F132" s="26">
        <v>16</v>
      </c>
      <c r="G132" s="27" t="str">
        <f t="shared" si="21"/>
        <v>E</v>
      </c>
      <c r="H132" s="24">
        <v>66</v>
      </c>
      <c r="I132" s="27" t="str">
        <f t="shared" si="22"/>
        <v>E</v>
      </c>
      <c r="J132" s="26">
        <v>21</v>
      </c>
      <c r="K132" s="27" t="str">
        <f t="shared" si="23"/>
        <v>E</v>
      </c>
      <c r="L132" s="24">
        <v>47</v>
      </c>
      <c r="M132" s="27" t="str">
        <f t="shared" si="24"/>
        <v>E</v>
      </c>
      <c r="N132" s="26">
        <v>18</v>
      </c>
      <c r="O132" s="27" t="str">
        <f t="shared" si="25"/>
        <v>E</v>
      </c>
      <c r="P132" s="26">
        <v>18</v>
      </c>
      <c r="Q132" s="27" t="str">
        <f t="shared" si="26"/>
        <v>E</v>
      </c>
      <c r="R132" s="24">
        <v>57</v>
      </c>
      <c r="S132" s="27" t="str">
        <f t="shared" si="27"/>
        <v>E</v>
      </c>
      <c r="T132" s="26">
        <v>19</v>
      </c>
      <c r="U132" s="27" t="str">
        <f t="shared" si="28"/>
        <v>E</v>
      </c>
      <c r="V132" s="26">
        <v>21</v>
      </c>
      <c r="W132" s="27" t="str">
        <f t="shared" si="29"/>
        <v>E</v>
      </c>
      <c r="X132" s="24">
        <v>55</v>
      </c>
      <c r="Y132" s="27" t="str">
        <f t="shared" si="30"/>
        <v>E</v>
      </c>
      <c r="Z132" s="26">
        <v>20</v>
      </c>
      <c r="AA132" s="27" t="str">
        <f t="shared" si="31"/>
        <v>E</v>
      </c>
      <c r="AB132" s="26">
        <v>21</v>
      </c>
      <c r="AC132" s="27" t="str">
        <f t="shared" si="32"/>
        <v>E</v>
      </c>
      <c r="AD132" s="24">
        <v>49</v>
      </c>
      <c r="AE132" s="27" t="str">
        <f t="shared" si="33"/>
        <v>E</v>
      </c>
      <c r="AF132" s="26">
        <v>19</v>
      </c>
      <c r="AG132" s="27" t="str">
        <f t="shared" si="34"/>
        <v>E</v>
      </c>
      <c r="AH132" s="26">
        <v>21</v>
      </c>
      <c r="AI132" s="27" t="str">
        <f t="shared" si="35"/>
        <v>E</v>
      </c>
      <c r="AJ132" s="32">
        <f>IF(OR(AND(D132&gt;=31,D132&lt;40),AND(H132&gt;=31,H132&lt;40),AND(L132&gt;=31,L132&lt;40),AND(R132&gt;=31,R132&lt;40),AND(X132&gt;=31,X132&lt;40),AND(AD132&gt;=31,AD132&lt;40)),IF(AND(OR(COUNTIF(D132:AI132,"=31")&gt;=1,COUNTIF(D132:AI132,"=32")&gt;=1,COUNTIF(D132:AI132,"=33")&gt;=1,COUNTIF(D132:AI132,"=34")&gt;=1,COUNTIF(D132:AI132,"=35")&gt;=1,COUNTIF(D132:AI132,"=36")&gt;=1 ),COUNTIF(D132:AI132,"")=0,COUNTIF(D132:AI132," ")=0,COUNTIF(D132:AI132,"F")=1),CONCATENATE(SUM(EXTRACTNUMBER(D132),EXTRACTNUMBER(F132),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EXTRACTNUMBER(AD132),EXTRACTNUMBER(AH132),EXTRACTNUMBER(AF132)),"*"),IF(AND(COUNTIF(D132:AI132,"=34")&gt;=1,COUNTIF(D132:AI132,"=35")&gt;=1,COUNTIF(D132:AI132,"f")=2,COUNTIF(D132:AI132,"")=0,COUNTIF(D132:AI132," ")=0),CONCATENATE(SUM(EXTRACTNUMBER(D132),EXTRACTNUMBER(F132),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EXTRACTNUMBER(AD132),EXTRACTNUMBER(AH132),EXTRACTNUMBER(AF132)),"*"),IF(AND(COUNTIF(D132:AI132,"=36")&gt;=2,COUNTIF(D132:AI132,"f")=2,COUNTIF(D132:AI132,"")=0,COUNTIF(D132:AI132," ")=0),CONCATENATE(SUM(EXTRACTNUMBER(D132),EXTRACTNUMBER(F132),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EXTRACTNUMBER(AD132),EXTRACTNUMBER(AH132),EXTRACTNUMBER(AF132)),"*"),SUM(EXTRACTNUMBER(D132),EXTRACTNUMBER(F132),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EXTRACTNUMBER(AD132),EXTRACTNUMBER(AH132),EXTRACTNUMBER(AF132))))),SUM(EXTRACTNUMBER(D132),EXTRACTNUMBER(F132),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EXTRACTNUMBER(AD132),EXTRACTNUMBER(AH132),EXTRACTNUMBER(AF132)))</f>
        <v>493</v>
      </c>
      <c r="AK132" s="94" t="s">
        <v>573</v>
      </c>
      <c r="AL132" s="29">
        <f t="shared" si="19"/>
        <v>993</v>
      </c>
      <c r="AM132" s="29" t="str">
        <f t="shared" si="36"/>
        <v>FAIL</v>
      </c>
      <c r="AN132" s="30" t="str">
        <f>IF(AM132="ABSENT","AB",IF(AM132="FAIL","--",
IF(AK132=0,"RS 3",
IF(AND(SUM(EXTRACTNUMBER(AK132),EXTRACTNUMBER(AJ132))&gt;=1010,
        NOT(IFERROR(FIND("x",AK132),0)),
        NOT(IFERROR(FIND("x",AJ132),0))),"I",
IF(AND(SUM(EXTRACTNUMBER(AK132),EXTRACTNUMBER(AJ132))&gt;=850,
      SUM(EXTRACTNUMBER(AK132),EXTRACTNUMBER(AJ132))&lt;1010,
      NOT(IFERROR(FIND("x",AK132),0)),
      NOT(IFERROR(FIND("x",AJ132),0))),"II",
IF(OR(AND(SUM(EXTRACTNUMBER(AK132),EXTRACTNUMBER(AJ132))&lt;850,
SUM(EXTRACTNUMBER(AK132),EXTRACTNUMBER(AJ132))&gt;=670),
IFERROR(FIND("x",AK132),0),IFERROR(FIND("x",AJ132),0)),"P","--"))))))</f>
        <v>--</v>
      </c>
      <c r="AO132" s="2" t="str">
        <f t="shared" si="37"/>
        <v xml:space="preserve">Nine Hundred NinetyThree </v>
      </c>
    </row>
    <row r="133" spans="2:41" ht="16.5" customHeight="1">
      <c r="B133" s="45">
        <v>134306</v>
      </c>
      <c r="C133" s="46" t="s">
        <v>129</v>
      </c>
      <c r="D133" s="43">
        <v>20</v>
      </c>
      <c r="E133" s="27" t="str">
        <f t="shared" si="20"/>
        <v>F</v>
      </c>
      <c r="F133" s="26">
        <v>15</v>
      </c>
      <c r="G133" s="27" t="str">
        <f t="shared" si="21"/>
        <v>E</v>
      </c>
      <c r="H133" s="24">
        <v>27</v>
      </c>
      <c r="I133" s="27" t="str">
        <f t="shared" si="22"/>
        <v>F</v>
      </c>
      <c r="J133" s="26">
        <v>19</v>
      </c>
      <c r="K133" s="27" t="str">
        <f t="shared" si="23"/>
        <v>E</v>
      </c>
      <c r="L133" s="24">
        <v>40</v>
      </c>
      <c r="M133" s="27" t="str">
        <f t="shared" si="24"/>
        <v>E</v>
      </c>
      <c r="N133" s="26">
        <v>16</v>
      </c>
      <c r="O133" s="27" t="str">
        <f t="shared" si="25"/>
        <v>E</v>
      </c>
      <c r="P133" s="26">
        <v>17</v>
      </c>
      <c r="Q133" s="27" t="str">
        <f t="shared" si="26"/>
        <v>E</v>
      </c>
      <c r="R133" s="24">
        <v>48</v>
      </c>
      <c r="S133" s="27" t="str">
        <f t="shared" si="27"/>
        <v>E</v>
      </c>
      <c r="T133" s="26">
        <v>21</v>
      </c>
      <c r="U133" s="27" t="str">
        <f t="shared" si="28"/>
        <v>E</v>
      </c>
      <c r="V133" s="26">
        <v>16</v>
      </c>
      <c r="W133" s="27" t="str">
        <f t="shared" si="29"/>
        <v>E</v>
      </c>
      <c r="X133" s="24">
        <v>46</v>
      </c>
      <c r="Y133" s="27" t="str">
        <f t="shared" si="30"/>
        <v>E</v>
      </c>
      <c r="Z133" s="26">
        <v>21</v>
      </c>
      <c r="AA133" s="27" t="str">
        <f t="shared" si="31"/>
        <v>E</v>
      </c>
      <c r="AB133" s="26">
        <v>21</v>
      </c>
      <c r="AC133" s="27" t="str">
        <f t="shared" si="32"/>
        <v>E</v>
      </c>
      <c r="AD133" s="24">
        <v>44</v>
      </c>
      <c r="AE133" s="27" t="str">
        <f t="shared" si="33"/>
        <v>E</v>
      </c>
      <c r="AF133" s="26">
        <v>20</v>
      </c>
      <c r="AG133" s="27" t="str">
        <f t="shared" si="34"/>
        <v>E</v>
      </c>
      <c r="AH133" s="26">
        <v>21</v>
      </c>
      <c r="AI133" s="27" t="str">
        <f t="shared" si="35"/>
        <v>E</v>
      </c>
      <c r="AJ133" s="32">
        <f>IF(OR(AND(D133&gt;=31,D133&lt;40),AND(H133&gt;=31,H133&lt;40),AND(L133&gt;=31,L133&lt;40),AND(R133&gt;=31,R133&lt;40),AND(X133&gt;=31,X133&lt;40),AND(AD133&gt;=31,AD133&lt;40)),IF(AND(OR(COUNTIF(D133:AI133,"=31")&gt;=1,COUNTIF(D133:AI133,"=32")&gt;=1,COUNTIF(D133:AI133,"=33")&gt;=1,COUNTIF(D133:AI133,"=34")&gt;=1,COUNTIF(D133:AI133,"=35")&gt;=1,COUNTIF(D133:AI133,"=36")&gt;=1 ),COUNTIF(D133:AI133,"")=0,COUNTIF(D133:AI133," ")=0,COUNTIF(D133:AI133,"F")=1),CONCATENATE(SUM(EXTRACTNUMBER(D133),EXTRACTNUMBER(F133),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EXTRACTNUMBER(AD133),EXTRACTNUMBER(AH133),EXTRACTNUMBER(AF133)),"*"),IF(AND(COUNTIF(D133:AI133,"=34")&gt;=1,COUNTIF(D133:AI133,"=35")&gt;=1,COUNTIF(D133:AI133,"f")=2,COUNTIF(D133:AI133,"")=0,COUNTIF(D133:AI133," ")=0),CONCATENATE(SUM(EXTRACTNUMBER(D133),EXTRACTNUMBER(F133),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EXTRACTNUMBER(AD133),EXTRACTNUMBER(AH133),EXTRACTNUMBER(AF133)),"*"),IF(AND(COUNTIF(D133:AI133,"=36")&gt;=2,COUNTIF(D133:AI133,"f")=2,COUNTIF(D133:AI133,"")=0,COUNTIF(D133:AI133," ")=0),CONCATENATE(SUM(EXTRACTNUMBER(D133),EXTRACTNUMBER(F133),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EXTRACTNUMBER(AD133),EXTRACTNUMBER(AH133),EXTRACTNUMBER(AF133)),"*"),SUM(EXTRACTNUMBER(D133),EXTRACTNUMBER(F133),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EXTRACTNUMBER(AD133),EXTRACTNUMBER(AH133),EXTRACTNUMBER(AF133))))),SUM(EXTRACTNUMBER(D133),EXTRACTNUMBER(F133),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EXTRACTNUMBER(AD133),EXTRACTNUMBER(AH133),EXTRACTNUMBER(AF133)))</f>
        <v>412</v>
      </c>
      <c r="AK133" s="28">
        <v>0</v>
      </c>
      <c r="AL133" s="29">
        <f t="shared" si="19"/>
        <v>412</v>
      </c>
      <c r="AM133" s="29" t="str">
        <f t="shared" si="36"/>
        <v>FAIL</v>
      </c>
      <c r="AN133" s="30" t="str">
        <f>IF(AM133="ABSENT","AB",IF(AM133="FAIL","--",
IF(AK133=0,"RS 3",
IF(AND(SUM(EXTRACTNUMBER(AK133),EXTRACTNUMBER(AJ133))&gt;=1010,
        NOT(IFERROR(FIND("x",AK133),0)),
        NOT(IFERROR(FIND("x",AJ133),0))),"I",
IF(AND(SUM(EXTRACTNUMBER(AK133),EXTRACTNUMBER(AJ133))&gt;=850,
      SUM(EXTRACTNUMBER(AK133),EXTRACTNUMBER(AJ133))&lt;1010,
      NOT(IFERROR(FIND("x",AK133),0)),
      NOT(IFERROR(FIND("x",AJ133),0))),"II",
IF(OR(AND(SUM(EXTRACTNUMBER(AK133),EXTRACTNUMBER(AJ133))&lt;850,
SUM(EXTRACTNUMBER(AK133),EXTRACTNUMBER(AJ133))&gt;=670),
IFERROR(FIND("x",AK133),0),IFERROR(FIND("x",AJ133),0)),"P","--"))))))</f>
        <v>--</v>
      </c>
      <c r="AO133" s="2" t="str">
        <f t="shared" si="37"/>
        <v xml:space="preserve">Four Hundred Twelve </v>
      </c>
    </row>
    <row r="134" spans="2:41" ht="16.5" customHeight="1">
      <c r="B134" s="45">
        <v>134307</v>
      </c>
      <c r="C134" s="46" t="s">
        <v>130</v>
      </c>
      <c r="D134" s="43">
        <v>71</v>
      </c>
      <c r="E134" s="27" t="str">
        <f t="shared" si="20"/>
        <v/>
      </c>
      <c r="F134" s="26">
        <v>17</v>
      </c>
      <c r="G134" s="27" t="str">
        <f t="shared" si="21"/>
        <v/>
      </c>
      <c r="H134" s="24">
        <v>65</v>
      </c>
      <c r="I134" s="27" t="str">
        <f t="shared" si="22"/>
        <v/>
      </c>
      <c r="J134" s="26">
        <v>19</v>
      </c>
      <c r="K134" s="27" t="str">
        <f t="shared" si="23"/>
        <v/>
      </c>
      <c r="L134" s="24">
        <v>56</v>
      </c>
      <c r="M134" s="27" t="str">
        <f t="shared" si="24"/>
        <v/>
      </c>
      <c r="N134" s="26">
        <v>15</v>
      </c>
      <c r="O134" s="27" t="str">
        <f t="shared" si="25"/>
        <v/>
      </c>
      <c r="P134" s="26">
        <v>16</v>
      </c>
      <c r="Q134" s="27" t="str">
        <f t="shared" si="26"/>
        <v/>
      </c>
      <c r="R134" s="24">
        <v>41</v>
      </c>
      <c r="S134" s="27" t="str">
        <f t="shared" si="27"/>
        <v/>
      </c>
      <c r="T134" s="26">
        <v>23</v>
      </c>
      <c r="U134" s="27" t="str">
        <f t="shared" si="28"/>
        <v/>
      </c>
      <c r="V134" s="26">
        <v>21</v>
      </c>
      <c r="W134" s="27" t="str">
        <f t="shared" si="29"/>
        <v/>
      </c>
      <c r="X134" s="24">
        <v>61</v>
      </c>
      <c r="Y134" s="27" t="str">
        <f t="shared" si="30"/>
        <v/>
      </c>
      <c r="Z134" s="26">
        <v>21</v>
      </c>
      <c r="AA134" s="27" t="str">
        <f t="shared" si="31"/>
        <v/>
      </c>
      <c r="AB134" s="26">
        <v>21</v>
      </c>
      <c r="AC134" s="27" t="str">
        <f t="shared" si="32"/>
        <v/>
      </c>
      <c r="AD134" s="24">
        <v>44</v>
      </c>
      <c r="AE134" s="27" t="str">
        <f t="shared" si="33"/>
        <v/>
      </c>
      <c r="AF134" s="26">
        <v>16</v>
      </c>
      <c r="AG134" s="27" t="str">
        <f t="shared" si="34"/>
        <v/>
      </c>
      <c r="AH134" s="26">
        <v>18</v>
      </c>
      <c r="AI134" s="27" t="str">
        <f t="shared" si="35"/>
        <v/>
      </c>
      <c r="AJ134" s="32">
        <f>IF(OR(AND(D134&gt;=31,D134&lt;40),AND(H134&gt;=31,H134&lt;40),AND(L134&gt;=31,L134&lt;40),AND(R134&gt;=31,R134&lt;40),AND(X134&gt;=31,X134&lt;40),AND(AD134&gt;=31,AD134&lt;40)),IF(AND(OR(COUNTIF(D134:AI134,"=31")&gt;=1,COUNTIF(D134:AI134,"=32")&gt;=1,COUNTIF(D134:AI134,"=33")&gt;=1,COUNTIF(D134:AI134,"=34")&gt;=1,COUNTIF(D134:AI134,"=35")&gt;=1,COUNTIF(D134:AI134,"=36")&gt;=1 ),COUNTIF(D134:AI134,"")=0,COUNTIF(D134:AI134," ")=0,COUNTIF(D134:AI134,"F")=1),CONCATENATE(SUM(EXTRACTNUMBER(D134),EXTRACTNUMBER(F134),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EXTRACTNUMBER(AD134),EXTRACTNUMBER(AH134),EXTRACTNUMBER(AF134)),"*"),IF(AND(COUNTIF(D134:AI134,"=34")&gt;=1,COUNTIF(D134:AI134,"=35")&gt;=1,COUNTIF(D134:AI134,"f")=2,COUNTIF(D134:AI134,"")=0,COUNTIF(D134:AI134," ")=0),CONCATENATE(SUM(EXTRACTNUMBER(D134),EXTRACTNUMBER(F134),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EXTRACTNUMBER(AD134),EXTRACTNUMBER(AH134),EXTRACTNUMBER(AF134)),"*"),IF(AND(COUNTIF(D134:AI134,"=36")&gt;=2,COUNTIF(D134:AI134,"f")=2,COUNTIF(D134:AI134,"")=0,COUNTIF(D134:AI134," ")=0),CONCATENATE(SUM(EXTRACTNUMBER(D134),EXTRACTNUMBER(F134),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EXTRACTNUMBER(AD134),EXTRACTNUMBER(AH134),EXTRACTNUMBER(AF134)),"*"),SUM(EXTRACTNUMBER(D134),EXTRACTNUMBER(F134),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EXTRACTNUMBER(AD134),EXTRACTNUMBER(AH134),EXTRACTNUMBER(AF134))))),SUM(EXTRACTNUMBER(D134),EXTRACTNUMBER(F134),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EXTRACTNUMBER(AD134),EXTRACTNUMBER(AH134),EXTRACTNUMBER(AF134)))</f>
        <v>525</v>
      </c>
      <c r="AK134" s="28" t="s">
        <v>288</v>
      </c>
      <c r="AL134" s="29">
        <f t="shared" si="19"/>
        <v>1106</v>
      </c>
      <c r="AM134" s="29" t="str">
        <f t="shared" si="36"/>
        <v>PASS</v>
      </c>
      <c r="AN134" s="30" t="str">
        <f>IF(AM134="ABSENT","AB",IF(AM134="FAIL","--",
IF(AK134=0,"RS 3",
IF(AND(SUM(EXTRACTNUMBER(AK134),EXTRACTNUMBER(AJ134))&gt;=1010,
        NOT(IFERROR(FIND("x",AK134),0)),
        NOT(IFERROR(FIND("x",AJ134),0))),"I",
IF(AND(SUM(EXTRACTNUMBER(AK134),EXTRACTNUMBER(AJ134))&gt;=850,
      SUM(EXTRACTNUMBER(AK134),EXTRACTNUMBER(AJ134))&lt;1010,
      NOT(IFERROR(FIND("x",AK134),0)),
      NOT(IFERROR(FIND("x",AJ134),0))),"II",
IF(OR(AND(SUM(EXTRACTNUMBER(AK134),EXTRACTNUMBER(AJ134))&lt;850,
SUM(EXTRACTNUMBER(AK134),EXTRACTNUMBER(AJ134))&gt;=670),
IFERROR(FIND("x",AK134),0),IFERROR(FIND("x",AJ134),0)),"P","--"))))))</f>
        <v>I</v>
      </c>
      <c r="AO134" s="2" t="str">
        <f t="shared" si="37"/>
        <v xml:space="preserve">One Thousand One Hundred Six </v>
      </c>
    </row>
    <row r="135" spans="2:41" ht="16.5" customHeight="1">
      <c r="B135" s="45">
        <v>134308</v>
      </c>
      <c r="C135" s="46" t="s">
        <v>131</v>
      </c>
      <c r="D135" s="106" t="s">
        <v>307</v>
      </c>
      <c r="E135" s="27" t="str">
        <f t="shared" si="20"/>
        <v/>
      </c>
      <c r="F135" s="26">
        <v>20</v>
      </c>
      <c r="G135" s="27" t="str">
        <f t="shared" si="21"/>
        <v/>
      </c>
      <c r="H135" s="24">
        <v>65</v>
      </c>
      <c r="I135" s="27" t="str">
        <f t="shared" si="22"/>
        <v/>
      </c>
      <c r="J135" s="26">
        <v>20</v>
      </c>
      <c r="K135" s="27" t="str">
        <f t="shared" si="23"/>
        <v/>
      </c>
      <c r="L135" s="24">
        <v>56</v>
      </c>
      <c r="M135" s="27" t="str">
        <f t="shared" si="24"/>
        <v/>
      </c>
      <c r="N135" s="26">
        <v>18</v>
      </c>
      <c r="O135" s="27" t="str">
        <f t="shared" si="25"/>
        <v/>
      </c>
      <c r="P135" s="26">
        <v>20</v>
      </c>
      <c r="Q135" s="27" t="str">
        <f t="shared" si="26"/>
        <v/>
      </c>
      <c r="R135" s="24">
        <v>49</v>
      </c>
      <c r="S135" s="27" t="str">
        <f t="shared" si="27"/>
        <v/>
      </c>
      <c r="T135" s="26">
        <v>21</v>
      </c>
      <c r="U135" s="27" t="str">
        <f t="shared" si="28"/>
        <v/>
      </c>
      <c r="V135" s="26">
        <v>21</v>
      </c>
      <c r="W135" s="27" t="str">
        <f t="shared" si="29"/>
        <v/>
      </c>
      <c r="X135" s="24">
        <v>47</v>
      </c>
      <c r="Y135" s="27" t="str">
        <f t="shared" si="30"/>
        <v/>
      </c>
      <c r="Z135" s="26">
        <v>21</v>
      </c>
      <c r="AA135" s="27" t="str">
        <f t="shared" si="31"/>
        <v/>
      </c>
      <c r="AB135" s="26">
        <v>21</v>
      </c>
      <c r="AC135" s="27" t="str">
        <f t="shared" si="32"/>
        <v/>
      </c>
      <c r="AD135" s="24">
        <v>47</v>
      </c>
      <c r="AE135" s="27" t="str">
        <f t="shared" si="33"/>
        <v/>
      </c>
      <c r="AF135" s="26">
        <v>20</v>
      </c>
      <c r="AG135" s="27" t="str">
        <f t="shared" si="34"/>
        <v/>
      </c>
      <c r="AH135" s="26">
        <v>21</v>
      </c>
      <c r="AI135" s="27" t="str">
        <f t="shared" si="35"/>
        <v/>
      </c>
      <c r="AJ135" s="41" t="s">
        <v>633</v>
      </c>
      <c r="AK135" s="94" t="s">
        <v>590</v>
      </c>
      <c r="AL135" s="29">
        <f t="shared" si="19"/>
        <v>1050</v>
      </c>
      <c r="AM135" s="29" t="str">
        <f t="shared" si="36"/>
        <v>PASS</v>
      </c>
      <c r="AN135" s="30" t="str">
        <f>IF(AM135="ABSENT","AB",IF(AM135="FAIL","--",
IF(AK135=0,"RS 3",
IF(AND(SUM(EXTRACTNUMBER(AK135),EXTRACTNUMBER(AJ135))&gt;=1010,
        NOT(IFERROR(FIND("x",AK135),0)),
        NOT(IFERROR(FIND("x",AJ135),0))),"I",
IF(AND(SUM(EXTRACTNUMBER(AK135),EXTRACTNUMBER(AJ135))&gt;=850,
      SUM(EXTRACTNUMBER(AK135),EXTRACTNUMBER(AJ135))&lt;1010,
      NOT(IFERROR(FIND("x",AK135),0)),
      NOT(IFERROR(FIND("x",AJ135),0))),"II",
IF(OR(AND(SUM(EXTRACTNUMBER(AK135),EXTRACTNUMBER(AJ135))&lt;850,
SUM(EXTRACTNUMBER(AK135),EXTRACTNUMBER(AJ135))&gt;=670),
IFERROR(FIND("x",AK135),0),IFERROR(FIND("x",AJ135),0)),"P","--"))))))</f>
        <v>P</v>
      </c>
      <c r="AO135" s="2" t="str">
        <f t="shared" si="37"/>
        <v xml:space="preserve">One Thousand Fifty  </v>
      </c>
    </row>
    <row r="136" spans="2:41" ht="16.5" customHeight="1">
      <c r="B136" s="45">
        <v>134309</v>
      </c>
      <c r="C136" s="46" t="s">
        <v>132</v>
      </c>
      <c r="D136" s="43">
        <v>47</v>
      </c>
      <c r="E136" s="27" t="str">
        <f t="shared" si="20"/>
        <v/>
      </c>
      <c r="F136" s="26">
        <v>22</v>
      </c>
      <c r="G136" s="27" t="str">
        <f t="shared" si="21"/>
        <v/>
      </c>
      <c r="H136" s="24">
        <v>75</v>
      </c>
      <c r="I136" s="27" t="str">
        <f t="shared" si="22"/>
        <v/>
      </c>
      <c r="J136" s="26">
        <v>20</v>
      </c>
      <c r="K136" s="27" t="str">
        <f t="shared" si="23"/>
        <v/>
      </c>
      <c r="L136" s="24">
        <v>55</v>
      </c>
      <c r="M136" s="27" t="str">
        <f t="shared" si="24"/>
        <v/>
      </c>
      <c r="N136" s="26">
        <v>18</v>
      </c>
      <c r="O136" s="27" t="str">
        <f t="shared" si="25"/>
        <v/>
      </c>
      <c r="P136" s="26">
        <v>18</v>
      </c>
      <c r="Q136" s="27" t="str">
        <f t="shared" si="26"/>
        <v/>
      </c>
      <c r="R136" s="24">
        <v>40</v>
      </c>
      <c r="S136" s="27" t="str">
        <f t="shared" si="27"/>
        <v/>
      </c>
      <c r="T136" s="26">
        <v>21</v>
      </c>
      <c r="U136" s="27" t="str">
        <f t="shared" si="28"/>
        <v/>
      </c>
      <c r="V136" s="26">
        <v>21</v>
      </c>
      <c r="W136" s="27" t="str">
        <f t="shared" si="29"/>
        <v/>
      </c>
      <c r="X136" s="24">
        <v>42</v>
      </c>
      <c r="Y136" s="27" t="str">
        <f t="shared" si="30"/>
        <v/>
      </c>
      <c r="Z136" s="26">
        <v>20</v>
      </c>
      <c r="AA136" s="27" t="str">
        <f t="shared" si="31"/>
        <v/>
      </c>
      <c r="AB136" s="26">
        <v>22</v>
      </c>
      <c r="AC136" s="27" t="str">
        <f t="shared" si="32"/>
        <v/>
      </c>
      <c r="AD136" s="24">
        <v>41</v>
      </c>
      <c r="AE136" s="27" t="str">
        <f t="shared" si="33"/>
        <v/>
      </c>
      <c r="AF136" s="26">
        <v>22</v>
      </c>
      <c r="AG136" s="27" t="str">
        <f t="shared" si="34"/>
        <v/>
      </c>
      <c r="AH136" s="26">
        <v>16</v>
      </c>
      <c r="AI136" s="27" t="str">
        <f t="shared" si="35"/>
        <v/>
      </c>
      <c r="AJ136" s="32">
        <f>IF(OR(AND(D136&gt;=31,D136&lt;40),AND(H136&gt;=31,H136&lt;40),AND(L136&gt;=31,L136&lt;40),AND(R136&gt;=31,R136&lt;40),AND(X136&gt;=31,X136&lt;40),AND(AD136&gt;=31,AD136&lt;40)),IF(AND(OR(COUNTIF(D136:AI136,"=31")&gt;=1,COUNTIF(D136:AI136,"=32")&gt;=1,COUNTIF(D136:AI136,"=33")&gt;=1,COUNTIF(D136:AI136,"=34")&gt;=1,COUNTIF(D136:AI136,"=35")&gt;=1,COUNTIF(D136:AI136,"=36")&gt;=1 ),COUNTIF(D136:AI136,"")=0,COUNTIF(D136:AI136," ")=0,COUNTIF(D136:AI136,"F")=1),CONCATENATE(SUM(EXTRACTNUMBER(D136),EXTRACTNUMBER(F136),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EXTRACTNUMBER(AD136),EXTRACTNUMBER(AH136),EXTRACTNUMBER(AF136)),"*"),IF(AND(COUNTIF(D136:AI136,"=34")&gt;=1,COUNTIF(D136:AI136,"=35")&gt;=1,COUNTIF(D136:AI136,"f")=2,COUNTIF(D136:AI136,"")=0,COUNTIF(D136:AI136," ")=0),CONCATENATE(SUM(EXTRACTNUMBER(D136),EXTRACTNUMBER(F136),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EXTRACTNUMBER(AD136),EXTRACTNUMBER(AH136),EXTRACTNUMBER(AF136)),"*"),IF(AND(COUNTIF(D136:AI136,"=36")&gt;=2,COUNTIF(D136:AI136,"f")=2,COUNTIF(D136:AI136,"")=0,COUNTIF(D136:AI136," ")=0),CONCATENATE(SUM(EXTRACTNUMBER(D136),EXTRACTNUMBER(F136),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EXTRACTNUMBER(AD136),EXTRACTNUMBER(AH136),EXTRACTNUMBER(AF136)),"*"),SUM(EXTRACTNUMBER(D136),EXTRACTNUMBER(F136),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EXTRACTNUMBER(AD136),EXTRACTNUMBER(AH136),EXTRACTNUMBER(AF136))))),SUM(EXTRACTNUMBER(D136),EXTRACTNUMBER(F136),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EXTRACTNUMBER(AD136),EXTRACTNUMBER(AH136),EXTRACTNUMBER(AF136)))</f>
        <v>500</v>
      </c>
      <c r="AK136" s="28" t="s">
        <v>289</v>
      </c>
      <c r="AL136" s="29">
        <f t="shared" si="19"/>
        <v>1020</v>
      </c>
      <c r="AM136" s="29" t="str">
        <f t="shared" si="36"/>
        <v>PASS</v>
      </c>
      <c r="AN136" s="30" t="str">
        <f>IF(AM136="ABSENT","AB",IF(AM136="FAIL","--",
IF(AK136=0,"RS 3",
IF(AND(SUM(EXTRACTNUMBER(AK136),EXTRACTNUMBER(AJ136))&gt;=1010,
        NOT(IFERROR(FIND("x",AK136),0)),
        NOT(IFERROR(FIND("x",AJ136),0))),"I",
IF(AND(SUM(EXTRACTNUMBER(AK136),EXTRACTNUMBER(AJ136))&gt;=850,
      SUM(EXTRACTNUMBER(AK136),EXTRACTNUMBER(AJ136))&lt;1010,
      NOT(IFERROR(FIND("x",AK136),0)),
      NOT(IFERROR(FIND("x",AJ136),0))),"II",
IF(OR(AND(SUM(EXTRACTNUMBER(AK136),EXTRACTNUMBER(AJ136))&lt;850,
SUM(EXTRACTNUMBER(AK136),EXTRACTNUMBER(AJ136))&gt;=670),
IFERROR(FIND("x",AK136),0),IFERROR(FIND("x",AJ136),0)),"P","--"))))))</f>
        <v>I</v>
      </c>
      <c r="AO136" s="2" t="str">
        <f t="shared" si="37"/>
        <v xml:space="preserve">One Thousand Twenty  </v>
      </c>
    </row>
    <row r="137" spans="2:41" ht="16.5" customHeight="1">
      <c r="B137" s="45">
        <v>134310</v>
      </c>
      <c r="C137" s="46" t="s">
        <v>133</v>
      </c>
      <c r="D137" s="43">
        <v>46</v>
      </c>
      <c r="E137" s="27" t="str">
        <f t="shared" si="20"/>
        <v/>
      </c>
      <c r="F137" s="26">
        <v>15</v>
      </c>
      <c r="G137" s="27" t="str">
        <f t="shared" si="21"/>
        <v/>
      </c>
      <c r="H137" s="24">
        <v>64</v>
      </c>
      <c r="I137" s="27" t="str">
        <f t="shared" si="22"/>
        <v/>
      </c>
      <c r="J137" s="26">
        <v>16</v>
      </c>
      <c r="K137" s="27" t="str">
        <f t="shared" si="23"/>
        <v/>
      </c>
      <c r="L137" s="24">
        <v>47</v>
      </c>
      <c r="M137" s="27" t="str">
        <f t="shared" si="24"/>
        <v/>
      </c>
      <c r="N137" s="26">
        <v>15</v>
      </c>
      <c r="O137" s="27" t="str">
        <f t="shared" si="25"/>
        <v/>
      </c>
      <c r="P137" s="26">
        <v>16</v>
      </c>
      <c r="Q137" s="27" t="str">
        <f t="shared" si="26"/>
        <v/>
      </c>
      <c r="R137" s="24">
        <v>42</v>
      </c>
      <c r="S137" s="27" t="str">
        <f t="shared" si="27"/>
        <v/>
      </c>
      <c r="T137" s="26">
        <v>21</v>
      </c>
      <c r="U137" s="27" t="str">
        <f t="shared" si="28"/>
        <v/>
      </c>
      <c r="V137" s="26">
        <v>19</v>
      </c>
      <c r="W137" s="27" t="str">
        <f t="shared" si="29"/>
        <v/>
      </c>
      <c r="X137" s="24">
        <v>40</v>
      </c>
      <c r="Y137" s="27" t="str">
        <f t="shared" si="30"/>
        <v/>
      </c>
      <c r="Z137" s="26">
        <v>22</v>
      </c>
      <c r="AA137" s="27" t="str">
        <f t="shared" si="31"/>
        <v/>
      </c>
      <c r="AB137" s="26">
        <v>21</v>
      </c>
      <c r="AC137" s="27" t="str">
        <f t="shared" si="32"/>
        <v/>
      </c>
      <c r="AD137" s="40" t="s">
        <v>309</v>
      </c>
      <c r="AE137" s="27" t="str">
        <f t="shared" si="33"/>
        <v/>
      </c>
      <c r="AF137" s="26">
        <v>20</v>
      </c>
      <c r="AG137" s="27" t="str">
        <f t="shared" si="34"/>
        <v/>
      </c>
      <c r="AH137" s="26">
        <v>16</v>
      </c>
      <c r="AI137" s="27" t="str">
        <f t="shared" si="35"/>
        <v/>
      </c>
      <c r="AJ137" s="41" t="s">
        <v>311</v>
      </c>
      <c r="AK137" s="94" t="s">
        <v>582</v>
      </c>
      <c r="AL137" s="29">
        <f t="shared" si="19"/>
        <v>930</v>
      </c>
      <c r="AM137" s="29" t="str">
        <f t="shared" si="36"/>
        <v>PASS</v>
      </c>
      <c r="AN137" s="30" t="str">
        <f>IF(AM137="ABSENT","AB",IF(AM137="FAIL","--",
IF(AK137=0,"RS 3",
IF(AND(SUM(EXTRACTNUMBER(AK137),EXTRACTNUMBER(AJ137))&gt;=1010,
        NOT(IFERROR(FIND("x",AK137),0)),
        NOT(IFERROR(FIND("x",AJ137),0))),"I",
IF(AND(SUM(EXTRACTNUMBER(AK137),EXTRACTNUMBER(AJ137))&gt;=850,
      SUM(EXTRACTNUMBER(AK137),EXTRACTNUMBER(AJ137))&lt;1010,
      NOT(IFERROR(FIND("x",AK137),0)),
      NOT(IFERROR(FIND("x",AJ137),0))),"II",
IF(OR(AND(SUM(EXTRACTNUMBER(AK137),EXTRACTNUMBER(AJ137))&lt;850,
SUM(EXTRACTNUMBER(AK137),EXTRACTNUMBER(AJ137))&gt;=670),
IFERROR(FIND("x",AK137),0),IFERROR(FIND("x",AJ137),0)),"P","--"))))))</f>
        <v>P</v>
      </c>
      <c r="AO137" s="2" t="str">
        <f t="shared" si="37"/>
        <v xml:space="preserve">Nine Hundred Thirty  </v>
      </c>
    </row>
    <row r="138" spans="2:41" ht="16.5" customHeight="1">
      <c r="B138" s="45">
        <v>134311</v>
      </c>
      <c r="C138" s="46" t="s">
        <v>134</v>
      </c>
      <c r="D138" s="43">
        <v>45</v>
      </c>
      <c r="E138" s="27" t="str">
        <f t="shared" si="20"/>
        <v/>
      </c>
      <c r="F138" s="26">
        <v>16</v>
      </c>
      <c r="G138" s="27" t="str">
        <f t="shared" si="21"/>
        <v/>
      </c>
      <c r="H138" s="24">
        <v>45</v>
      </c>
      <c r="I138" s="27" t="str">
        <f t="shared" si="22"/>
        <v/>
      </c>
      <c r="J138" s="26">
        <v>19</v>
      </c>
      <c r="K138" s="27" t="str">
        <f t="shared" si="23"/>
        <v/>
      </c>
      <c r="L138" s="24">
        <v>42</v>
      </c>
      <c r="M138" s="27" t="str">
        <f t="shared" si="24"/>
        <v/>
      </c>
      <c r="N138" s="26">
        <v>15</v>
      </c>
      <c r="O138" s="27" t="str">
        <f t="shared" si="25"/>
        <v/>
      </c>
      <c r="P138" s="26">
        <v>16</v>
      </c>
      <c r="Q138" s="27" t="str">
        <f t="shared" si="26"/>
        <v/>
      </c>
      <c r="R138" s="24">
        <v>40</v>
      </c>
      <c r="S138" s="27" t="str">
        <f t="shared" si="27"/>
        <v/>
      </c>
      <c r="T138" s="26">
        <v>21</v>
      </c>
      <c r="U138" s="27" t="str">
        <f t="shared" si="28"/>
        <v/>
      </c>
      <c r="V138" s="26">
        <v>21</v>
      </c>
      <c r="W138" s="27" t="str">
        <f t="shared" si="29"/>
        <v/>
      </c>
      <c r="X138" s="24">
        <v>40</v>
      </c>
      <c r="Y138" s="27" t="str">
        <f t="shared" si="30"/>
        <v/>
      </c>
      <c r="Z138" s="26">
        <v>20</v>
      </c>
      <c r="AA138" s="27" t="str">
        <f t="shared" si="31"/>
        <v/>
      </c>
      <c r="AB138" s="26">
        <v>21</v>
      </c>
      <c r="AC138" s="27" t="str">
        <f t="shared" si="32"/>
        <v/>
      </c>
      <c r="AD138" s="24">
        <v>44</v>
      </c>
      <c r="AE138" s="27" t="str">
        <f t="shared" si="33"/>
        <v/>
      </c>
      <c r="AF138" s="26">
        <v>18</v>
      </c>
      <c r="AG138" s="27" t="str">
        <f t="shared" si="34"/>
        <v/>
      </c>
      <c r="AH138" s="26">
        <v>16</v>
      </c>
      <c r="AI138" s="27" t="str">
        <f t="shared" si="35"/>
        <v/>
      </c>
      <c r="AJ138" s="32">
        <f>IF(OR(AND(D138&gt;=31,D138&lt;40),AND(H138&gt;=31,H138&lt;40),AND(L138&gt;=31,L138&lt;40),AND(R138&gt;=31,R138&lt;40),AND(X138&gt;=31,X138&lt;40),AND(AD138&gt;=31,AD138&lt;40)),IF(AND(OR(COUNTIF(D138:AI138,"=31")&gt;=1,COUNTIF(D138:AI138,"=32")&gt;=1,COUNTIF(D138:AI138,"=33")&gt;=1,COUNTIF(D138:AI138,"=34")&gt;=1,COUNTIF(D138:AI138,"=35")&gt;=1,COUNTIF(D138:AI138,"=36")&gt;=1 ),COUNTIF(D138:AI138,"")=0,COUNTIF(D138:AI138," ")=0,COUNTIF(D138:AI138,"F")=1),CONCATENATE(SUM(EXTRACTNUMBER(D138),EXTRACTNUMBER(F138),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EXTRACTNUMBER(AD138),EXTRACTNUMBER(AH138),EXTRACTNUMBER(AF138)),"*"),IF(AND(COUNTIF(D138:AI138,"=34")&gt;=1,COUNTIF(D138:AI138,"=35")&gt;=1,COUNTIF(D138:AI138,"f")=2,COUNTIF(D138:AI138,"")=0,COUNTIF(D138:AI138," ")=0),CONCATENATE(SUM(EXTRACTNUMBER(D138),EXTRACTNUMBER(F138),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EXTRACTNUMBER(AD138),EXTRACTNUMBER(AH138),EXTRACTNUMBER(AF138)),"*"),IF(AND(COUNTIF(D138:AI138,"=36")&gt;=2,COUNTIF(D138:AI138,"f")=2,COUNTIF(D138:AI138,"")=0,COUNTIF(D138:AI138," ")=0),CONCATENATE(SUM(EXTRACTNUMBER(D138),EXTRACTNUMBER(F138),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EXTRACTNUMBER(AD138),EXTRACTNUMBER(AH138),EXTRACTNUMBER(AF138)),"*"),SUM(EXTRACTNUMBER(D138),EXTRACTNUMBER(F138),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EXTRACTNUMBER(AD138),EXTRACTNUMBER(AH138),EXTRACTNUMBER(AF138))))),SUM(EXTRACTNUMBER(D138),EXTRACTNUMBER(F138),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EXTRACTNUMBER(AD138),EXTRACTNUMBER(AH138),EXTRACTNUMBER(AF138)))</f>
        <v>439</v>
      </c>
      <c r="AK138" s="28" t="s">
        <v>290</v>
      </c>
      <c r="AL138" s="29">
        <f t="shared" si="19"/>
        <v>927</v>
      </c>
      <c r="AM138" s="29" t="str">
        <f t="shared" si="36"/>
        <v>PASS</v>
      </c>
      <c r="AN138" s="30" t="str">
        <f>IF(AM138="ABSENT","AB",IF(AM138="FAIL","--",
IF(AK138=0,"RS 3",
IF(AND(SUM(EXTRACTNUMBER(AK138),EXTRACTNUMBER(AJ138))&gt;=1010,
        NOT(IFERROR(FIND("x",AK138),0)),
        NOT(IFERROR(FIND("x",AJ138),0))),"I",
IF(AND(SUM(EXTRACTNUMBER(AK138),EXTRACTNUMBER(AJ138))&gt;=850,
      SUM(EXTRACTNUMBER(AK138),EXTRACTNUMBER(AJ138))&lt;1010,
      NOT(IFERROR(FIND("x",AK138),0)),
      NOT(IFERROR(FIND("x",AJ138),0))),"II",
IF(OR(AND(SUM(EXTRACTNUMBER(AK138),EXTRACTNUMBER(AJ138))&lt;850,
SUM(EXTRACTNUMBER(AK138),EXTRACTNUMBER(AJ138))&gt;=670),
IFERROR(FIND("x",AK138),0),IFERROR(FIND("x",AJ138),0)),"P","--"))))))</f>
        <v>II</v>
      </c>
      <c r="AO138" s="2" t="str">
        <f t="shared" si="37"/>
        <v xml:space="preserve">Nine Hundred Twenty Seven </v>
      </c>
    </row>
    <row r="139" spans="2:41" ht="16.5" customHeight="1">
      <c r="B139" s="45">
        <v>134312</v>
      </c>
      <c r="C139" s="46" t="s">
        <v>135</v>
      </c>
      <c r="D139" s="43">
        <v>60</v>
      </c>
      <c r="E139" s="27" t="str">
        <f t="shared" si="20"/>
        <v/>
      </c>
      <c r="F139" s="26">
        <v>15</v>
      </c>
      <c r="G139" s="27" t="str">
        <f t="shared" si="21"/>
        <v/>
      </c>
      <c r="H139" s="24">
        <v>79</v>
      </c>
      <c r="I139" s="27" t="str">
        <f t="shared" si="22"/>
        <v/>
      </c>
      <c r="J139" s="26">
        <v>19</v>
      </c>
      <c r="K139" s="27" t="str">
        <f t="shared" si="23"/>
        <v/>
      </c>
      <c r="L139" s="24">
        <v>58</v>
      </c>
      <c r="M139" s="27" t="str">
        <f t="shared" si="24"/>
        <v/>
      </c>
      <c r="N139" s="26">
        <v>18</v>
      </c>
      <c r="O139" s="27" t="str">
        <f t="shared" si="25"/>
        <v/>
      </c>
      <c r="P139" s="26">
        <v>20</v>
      </c>
      <c r="Q139" s="27" t="str">
        <f t="shared" si="26"/>
        <v/>
      </c>
      <c r="R139" s="24">
        <v>51</v>
      </c>
      <c r="S139" s="27" t="str">
        <f t="shared" si="27"/>
        <v/>
      </c>
      <c r="T139" s="26">
        <v>23</v>
      </c>
      <c r="U139" s="27" t="str">
        <f t="shared" si="28"/>
        <v/>
      </c>
      <c r="V139" s="26">
        <v>20</v>
      </c>
      <c r="W139" s="27" t="str">
        <f t="shared" si="29"/>
        <v/>
      </c>
      <c r="X139" s="24">
        <v>52</v>
      </c>
      <c r="Y139" s="27" t="str">
        <f t="shared" si="30"/>
        <v/>
      </c>
      <c r="Z139" s="26">
        <v>20</v>
      </c>
      <c r="AA139" s="27" t="str">
        <f t="shared" si="31"/>
        <v/>
      </c>
      <c r="AB139" s="26">
        <v>15</v>
      </c>
      <c r="AC139" s="27" t="str">
        <f t="shared" si="32"/>
        <v/>
      </c>
      <c r="AD139" s="24">
        <v>61</v>
      </c>
      <c r="AE139" s="27" t="str">
        <f t="shared" si="33"/>
        <v/>
      </c>
      <c r="AF139" s="26">
        <v>20</v>
      </c>
      <c r="AG139" s="27" t="str">
        <f t="shared" si="34"/>
        <v/>
      </c>
      <c r="AH139" s="26">
        <v>18</v>
      </c>
      <c r="AI139" s="27" t="str">
        <f t="shared" si="35"/>
        <v/>
      </c>
      <c r="AJ139" s="32">
        <f>IF(OR(AND(D139&gt;=31,D139&lt;40),AND(H139&gt;=31,H139&lt;40),AND(L139&gt;=31,L139&lt;40),AND(R139&gt;=31,R139&lt;40),AND(X139&gt;=31,X139&lt;40),AND(AD139&gt;=31,AD139&lt;40)),IF(AND(OR(COUNTIF(D139:AI139,"=31")&gt;=1,COUNTIF(D139:AI139,"=32")&gt;=1,COUNTIF(D139:AI139,"=33")&gt;=1,COUNTIF(D139:AI139,"=34")&gt;=1,COUNTIF(D139:AI139,"=35")&gt;=1,COUNTIF(D139:AI139,"=36")&gt;=1 ),COUNTIF(D139:AI139,"")=0,COUNTIF(D139:AI139," ")=0,COUNTIF(D139:AI139,"F")=1),CONCATENATE(SUM(EXTRACTNUMBER(D139),EXTRACTNUMBER(F139),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EXTRACTNUMBER(AD139),EXTRACTNUMBER(AH139),EXTRACTNUMBER(AF139)),"*"),IF(AND(COUNTIF(D139:AI139,"=34")&gt;=1,COUNTIF(D139:AI139,"=35")&gt;=1,COUNTIF(D139:AI139,"f")=2,COUNTIF(D139:AI139,"")=0,COUNTIF(D139:AI139," ")=0),CONCATENATE(SUM(EXTRACTNUMBER(D139),EXTRACTNUMBER(F139),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EXTRACTNUMBER(AD139),EXTRACTNUMBER(AH139),EXTRACTNUMBER(AF139)),"*"),IF(AND(COUNTIF(D139:AI139,"=36")&gt;=2,COUNTIF(D139:AI139,"f")=2,COUNTIF(D139:AI139,"")=0,COUNTIF(D139:AI139," ")=0),CONCATENATE(SUM(EXTRACTNUMBER(D139),EXTRACTNUMBER(F139),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EXTRACTNUMBER(AD139),EXTRACTNUMBER(AH139),EXTRACTNUMBER(AF139)),"*"),SUM(EXTRACTNUMBER(D139),EXTRACTNUMBER(F139),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EXTRACTNUMBER(AD139),EXTRACTNUMBER(AH139),EXTRACTNUMBER(AF139))))),SUM(EXTRACTNUMBER(D139),EXTRACTNUMBER(F139),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EXTRACTNUMBER(AD139),EXTRACTNUMBER(AH139),EXTRACTNUMBER(AF139)))</f>
        <v>549</v>
      </c>
      <c r="AK139" s="28" t="s">
        <v>261</v>
      </c>
      <c r="AL139" s="29">
        <f t="shared" si="19"/>
        <v>1139</v>
      </c>
      <c r="AM139" s="29" t="str">
        <f t="shared" si="36"/>
        <v>PASS</v>
      </c>
      <c r="AN139" s="30" t="str">
        <f>IF(AM139="ABSENT","AB",IF(AM139="FAIL","--",
IF(AK139=0,"RS 3",
IF(AND(SUM(EXTRACTNUMBER(AK139),EXTRACTNUMBER(AJ139))&gt;=1010,
        NOT(IFERROR(FIND("x",AK139),0)),
        NOT(IFERROR(FIND("x",AJ139),0))),"I",
IF(AND(SUM(EXTRACTNUMBER(AK139),EXTRACTNUMBER(AJ139))&gt;=850,
      SUM(EXTRACTNUMBER(AK139),EXTRACTNUMBER(AJ139))&lt;1010,
      NOT(IFERROR(FIND("x",AK139),0)),
      NOT(IFERROR(FIND("x",AJ139),0))),"II",
IF(OR(AND(SUM(EXTRACTNUMBER(AK139),EXTRACTNUMBER(AJ139))&lt;850,
SUM(EXTRACTNUMBER(AK139),EXTRACTNUMBER(AJ139))&gt;=670),
IFERROR(FIND("x",AK139),0),IFERROR(FIND("x",AJ139),0)),"P","--"))))))</f>
        <v>I</v>
      </c>
      <c r="AO139" s="2" t="str">
        <f t="shared" si="37"/>
        <v xml:space="preserve">One Thousand One Hundred Thirty Nine </v>
      </c>
    </row>
    <row r="140" spans="2:41" ht="16.5" customHeight="1">
      <c r="B140" s="45">
        <v>134313</v>
      </c>
      <c r="C140" s="46" t="s">
        <v>136</v>
      </c>
      <c r="D140" s="43">
        <v>41</v>
      </c>
      <c r="E140" s="27" t="str">
        <f t="shared" si="20"/>
        <v/>
      </c>
      <c r="F140" s="26">
        <v>19</v>
      </c>
      <c r="G140" s="27" t="str">
        <f t="shared" si="21"/>
        <v/>
      </c>
      <c r="H140" s="24">
        <v>74</v>
      </c>
      <c r="I140" s="27" t="str">
        <f t="shared" si="22"/>
        <v/>
      </c>
      <c r="J140" s="26">
        <v>22</v>
      </c>
      <c r="K140" s="27" t="str">
        <f t="shared" si="23"/>
        <v/>
      </c>
      <c r="L140" s="24">
        <v>54</v>
      </c>
      <c r="M140" s="27" t="str">
        <f t="shared" si="24"/>
        <v/>
      </c>
      <c r="N140" s="26">
        <v>21</v>
      </c>
      <c r="O140" s="27" t="str">
        <f t="shared" si="25"/>
        <v/>
      </c>
      <c r="P140" s="26">
        <v>21</v>
      </c>
      <c r="Q140" s="27" t="str">
        <f t="shared" si="26"/>
        <v/>
      </c>
      <c r="R140" s="24">
        <v>49</v>
      </c>
      <c r="S140" s="27" t="str">
        <f t="shared" si="27"/>
        <v/>
      </c>
      <c r="T140" s="26">
        <v>20</v>
      </c>
      <c r="U140" s="27" t="str">
        <f t="shared" si="28"/>
        <v/>
      </c>
      <c r="V140" s="26">
        <v>21</v>
      </c>
      <c r="W140" s="27" t="str">
        <f t="shared" si="29"/>
        <v/>
      </c>
      <c r="X140" s="24">
        <v>47</v>
      </c>
      <c r="Y140" s="27" t="str">
        <f t="shared" si="30"/>
        <v/>
      </c>
      <c r="Z140" s="26">
        <v>22</v>
      </c>
      <c r="AA140" s="27" t="str">
        <f t="shared" si="31"/>
        <v/>
      </c>
      <c r="AB140" s="26">
        <v>22</v>
      </c>
      <c r="AC140" s="27" t="str">
        <f t="shared" si="32"/>
        <v/>
      </c>
      <c r="AD140" s="24">
        <v>40</v>
      </c>
      <c r="AE140" s="27" t="str">
        <f t="shared" si="33"/>
        <v/>
      </c>
      <c r="AF140" s="26">
        <v>21</v>
      </c>
      <c r="AG140" s="27" t="str">
        <f t="shared" si="34"/>
        <v/>
      </c>
      <c r="AH140" s="26">
        <v>20</v>
      </c>
      <c r="AI140" s="27" t="str">
        <f t="shared" si="35"/>
        <v/>
      </c>
      <c r="AJ140" s="32">
        <f>IF(OR(AND(D140&gt;=31,D140&lt;40),AND(H140&gt;=31,H140&lt;40),AND(L140&gt;=31,L140&lt;40),AND(R140&gt;=31,R140&lt;40),AND(X140&gt;=31,X140&lt;40),AND(AD140&gt;=31,AD140&lt;40)),IF(AND(OR(COUNTIF(D140:AI140,"=31")&gt;=1,COUNTIF(D140:AI140,"=32")&gt;=1,COUNTIF(D140:AI140,"=33")&gt;=1,COUNTIF(D140:AI140,"=34")&gt;=1,COUNTIF(D140:AI140,"=35")&gt;=1,COUNTIF(D140:AI140,"=36")&gt;=1 ),COUNTIF(D140:AI140,"")=0,COUNTIF(D140:AI140," ")=0,COUNTIF(D140:AI140,"F")=1),CONCATENATE(SUM(EXTRACTNUMBER(D140),EXTRACTNUMBER(F140),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EXTRACTNUMBER(AD140),EXTRACTNUMBER(AH140),EXTRACTNUMBER(AF140)),"*"),IF(AND(COUNTIF(D140:AI140,"=34")&gt;=1,COUNTIF(D140:AI140,"=35")&gt;=1,COUNTIF(D140:AI140,"f")=2,COUNTIF(D140:AI140,"")=0,COUNTIF(D140:AI140," ")=0),CONCATENATE(SUM(EXTRACTNUMBER(D140),EXTRACTNUMBER(F140),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EXTRACTNUMBER(AD140),EXTRACTNUMBER(AH140),EXTRACTNUMBER(AF140)),"*"),IF(AND(COUNTIF(D140:AI140,"=36")&gt;=2,COUNTIF(D140:AI140,"f")=2,COUNTIF(D140:AI140,"")=0,COUNTIF(D140:AI140," ")=0),CONCATENATE(SUM(EXTRACTNUMBER(D140),EXTRACTNUMBER(F140),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EXTRACTNUMBER(AD140),EXTRACTNUMBER(AH140),EXTRACTNUMBER(AF140)),"*"),SUM(EXTRACTNUMBER(D140),EXTRACTNUMBER(F140),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EXTRACTNUMBER(AD140),EXTRACTNUMBER(AH140),EXTRACTNUMBER(AF140))))),SUM(EXTRACTNUMBER(D140),EXTRACTNUMBER(F140),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EXTRACTNUMBER(AD140),EXTRACTNUMBER(AH140),EXTRACTNUMBER(AF140)))</f>
        <v>514</v>
      </c>
      <c r="AK140" s="94" t="s">
        <v>602</v>
      </c>
      <c r="AL140" s="29">
        <f t="shared" si="19"/>
        <v>1059</v>
      </c>
      <c r="AM140" s="29" t="str">
        <f t="shared" si="36"/>
        <v>PASS</v>
      </c>
      <c r="AN140" s="30" t="str">
        <f>IF(AM140="ABSENT","AB",IF(AM140="FAIL","--",
IF(AK140=0,"RS 3",
IF(AND(SUM(EXTRACTNUMBER(AK140),EXTRACTNUMBER(AJ140))&gt;=1010,
        NOT(IFERROR(FIND("x",AK140),0)),
        NOT(IFERROR(FIND("x",AJ140),0))),"I",
IF(AND(SUM(EXTRACTNUMBER(AK140),EXTRACTNUMBER(AJ140))&gt;=850,
      SUM(EXTRACTNUMBER(AK140),EXTRACTNUMBER(AJ140))&lt;1010,
      NOT(IFERROR(FIND("x",AK140),0)),
      NOT(IFERROR(FIND("x",AJ140),0))),"II",
IF(OR(AND(SUM(EXTRACTNUMBER(AK140),EXTRACTNUMBER(AJ140))&lt;850,
SUM(EXTRACTNUMBER(AK140),EXTRACTNUMBER(AJ140))&gt;=670),
IFERROR(FIND("x",AK140),0),IFERROR(FIND("x",AJ140),0)),"P","--"))))))</f>
        <v>I</v>
      </c>
      <c r="AO140" s="2" t="str">
        <f t="shared" si="37"/>
        <v xml:space="preserve">One Thousand Fifty Nine </v>
      </c>
    </row>
    <row r="141" spans="2:41" ht="16.5" customHeight="1">
      <c r="B141" s="45">
        <v>134314</v>
      </c>
      <c r="C141" s="46" t="s">
        <v>137</v>
      </c>
      <c r="D141" s="43">
        <v>56</v>
      </c>
      <c r="E141" s="27" t="str">
        <f t="shared" si="20"/>
        <v/>
      </c>
      <c r="F141" s="26">
        <v>22</v>
      </c>
      <c r="G141" s="27" t="str">
        <f t="shared" si="21"/>
        <v/>
      </c>
      <c r="H141" s="24">
        <v>80</v>
      </c>
      <c r="I141" s="27" t="str">
        <f t="shared" si="22"/>
        <v/>
      </c>
      <c r="J141" s="26">
        <v>23</v>
      </c>
      <c r="K141" s="27" t="str">
        <f t="shared" si="23"/>
        <v/>
      </c>
      <c r="L141" s="24">
        <v>55</v>
      </c>
      <c r="M141" s="27" t="str">
        <f t="shared" si="24"/>
        <v/>
      </c>
      <c r="N141" s="26">
        <v>22</v>
      </c>
      <c r="O141" s="27" t="str">
        <f t="shared" si="25"/>
        <v/>
      </c>
      <c r="P141" s="26">
        <v>23</v>
      </c>
      <c r="Q141" s="27" t="str">
        <f t="shared" si="26"/>
        <v/>
      </c>
      <c r="R141" s="24">
        <v>56</v>
      </c>
      <c r="S141" s="27" t="str">
        <f t="shared" si="27"/>
        <v/>
      </c>
      <c r="T141" s="26">
        <v>22</v>
      </c>
      <c r="U141" s="27" t="str">
        <f t="shared" si="28"/>
        <v/>
      </c>
      <c r="V141" s="26">
        <v>24</v>
      </c>
      <c r="W141" s="27" t="str">
        <f t="shared" si="29"/>
        <v/>
      </c>
      <c r="X141" s="24">
        <v>59</v>
      </c>
      <c r="Y141" s="27" t="str">
        <f t="shared" si="30"/>
        <v/>
      </c>
      <c r="Z141" s="26">
        <v>22</v>
      </c>
      <c r="AA141" s="27" t="str">
        <f t="shared" si="31"/>
        <v/>
      </c>
      <c r="AB141" s="26">
        <v>22</v>
      </c>
      <c r="AC141" s="27" t="str">
        <f t="shared" si="32"/>
        <v/>
      </c>
      <c r="AD141" s="24">
        <v>59</v>
      </c>
      <c r="AE141" s="27" t="str">
        <f t="shared" si="33"/>
        <v/>
      </c>
      <c r="AF141" s="26">
        <v>22</v>
      </c>
      <c r="AG141" s="27" t="str">
        <f t="shared" si="34"/>
        <v/>
      </c>
      <c r="AH141" s="26">
        <v>21</v>
      </c>
      <c r="AI141" s="27" t="str">
        <f t="shared" si="35"/>
        <v/>
      </c>
      <c r="AJ141" s="32">
        <f>IF(OR(AND(D141&gt;=31,D141&lt;40),AND(H141&gt;=31,H141&lt;40),AND(L141&gt;=31,L141&lt;40),AND(R141&gt;=31,R141&lt;40),AND(X141&gt;=31,X141&lt;40),AND(AD141&gt;=31,AD141&lt;40)),IF(AND(OR(COUNTIF(D141:AI141,"=31")&gt;=1,COUNTIF(D141:AI141,"=32")&gt;=1,COUNTIF(D141:AI141,"=33")&gt;=1,COUNTIF(D141:AI141,"=34")&gt;=1,COUNTIF(D141:AI141,"=35")&gt;=1,COUNTIF(D141:AI141,"=36")&gt;=1 ),COUNTIF(D141:AI141,"")=0,COUNTIF(D141:AI141," ")=0,COUNTIF(D141:AI141,"F")=1),CONCATENATE(SUM(EXTRACTNUMBER(D141),EXTRACTNUMBER(F141),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EXTRACTNUMBER(AD141),EXTRACTNUMBER(AH141),EXTRACTNUMBER(AF141)),"*"),IF(AND(COUNTIF(D141:AI141,"=34")&gt;=1,COUNTIF(D141:AI141,"=35")&gt;=1,COUNTIF(D141:AI141,"f")=2,COUNTIF(D141:AI141,"")=0,COUNTIF(D141:AI141," ")=0),CONCATENATE(SUM(EXTRACTNUMBER(D141),EXTRACTNUMBER(F141),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EXTRACTNUMBER(AD141),EXTRACTNUMBER(AH141),EXTRACTNUMBER(AF141)),"*"),IF(AND(COUNTIF(D141:AI141,"=36")&gt;=2,COUNTIF(D141:AI141,"f")=2,COUNTIF(D141:AI141,"")=0,COUNTIF(D141:AI141," ")=0),CONCATENATE(SUM(EXTRACTNUMBER(D141),EXTRACTNUMBER(F141),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EXTRACTNUMBER(AD141),EXTRACTNUMBER(AH141),EXTRACTNUMBER(AF141)),"*"),SUM(EXTRACTNUMBER(D141),EXTRACTNUMBER(F141),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EXTRACTNUMBER(AD141),EXTRACTNUMBER(AH141),EXTRACTNUMBER(AF141))))),SUM(EXTRACTNUMBER(D141),EXTRACTNUMBER(F141),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EXTRACTNUMBER(AD141),EXTRACTNUMBER(AH141),EXTRACTNUMBER(AF141)))</f>
        <v>588</v>
      </c>
      <c r="AK141" s="28" t="s">
        <v>291</v>
      </c>
      <c r="AL141" s="29">
        <f t="shared" si="19"/>
        <v>1175</v>
      </c>
      <c r="AM141" s="29" t="str">
        <f t="shared" si="36"/>
        <v>PASS</v>
      </c>
      <c r="AN141" s="30" t="str">
        <f>IF(AM141="ABSENT","AB",IF(AM141="FAIL","--",
IF(AK141=0,"RS 3",
IF(AND(SUM(EXTRACTNUMBER(AK141),EXTRACTNUMBER(AJ141))&gt;=1010,
        NOT(IFERROR(FIND("x",AK141),0)),
        NOT(IFERROR(FIND("x",AJ141),0))),"I",
IF(AND(SUM(EXTRACTNUMBER(AK141),EXTRACTNUMBER(AJ141))&gt;=850,
      SUM(EXTRACTNUMBER(AK141),EXTRACTNUMBER(AJ141))&lt;1010,
      NOT(IFERROR(FIND("x",AK141),0)),
      NOT(IFERROR(FIND("x",AJ141),0))),"II",
IF(OR(AND(SUM(EXTRACTNUMBER(AK141),EXTRACTNUMBER(AJ141))&lt;850,
SUM(EXTRACTNUMBER(AK141),EXTRACTNUMBER(AJ141))&gt;=670),
IFERROR(FIND("x",AK141),0),IFERROR(FIND("x",AJ141),0)),"P","--"))))))</f>
        <v>I</v>
      </c>
      <c r="AO141" s="2" t="str">
        <f t="shared" si="37"/>
        <v xml:space="preserve">One Thousand One Hundred Seventy Five </v>
      </c>
    </row>
    <row r="142" spans="2:41" ht="16.5" customHeight="1">
      <c r="B142" s="45">
        <v>134315</v>
      </c>
      <c r="C142" s="46" t="s">
        <v>138</v>
      </c>
      <c r="D142" s="43">
        <v>52</v>
      </c>
      <c r="E142" s="27" t="str">
        <f t="shared" si="20"/>
        <v/>
      </c>
      <c r="F142" s="26">
        <v>13</v>
      </c>
      <c r="G142" s="27" t="str">
        <f t="shared" si="21"/>
        <v/>
      </c>
      <c r="H142" s="24">
        <v>84</v>
      </c>
      <c r="I142" s="27" t="str">
        <f t="shared" si="22"/>
        <v/>
      </c>
      <c r="J142" s="26">
        <v>19</v>
      </c>
      <c r="K142" s="27" t="str">
        <f t="shared" si="23"/>
        <v/>
      </c>
      <c r="L142" s="24">
        <v>53</v>
      </c>
      <c r="M142" s="27" t="str">
        <f t="shared" si="24"/>
        <v/>
      </c>
      <c r="N142" s="26">
        <v>15</v>
      </c>
      <c r="O142" s="27" t="str">
        <f t="shared" si="25"/>
        <v/>
      </c>
      <c r="P142" s="26">
        <v>16</v>
      </c>
      <c r="Q142" s="27" t="str">
        <f t="shared" si="26"/>
        <v/>
      </c>
      <c r="R142" s="24">
        <v>63</v>
      </c>
      <c r="S142" s="27" t="str">
        <f t="shared" si="27"/>
        <v/>
      </c>
      <c r="T142" s="26">
        <v>21</v>
      </c>
      <c r="U142" s="27" t="str">
        <f t="shared" si="28"/>
        <v/>
      </c>
      <c r="V142" s="26">
        <v>14</v>
      </c>
      <c r="W142" s="27" t="str">
        <f t="shared" si="29"/>
        <v/>
      </c>
      <c r="X142" s="24">
        <v>49</v>
      </c>
      <c r="Y142" s="27" t="str">
        <f t="shared" si="30"/>
        <v/>
      </c>
      <c r="Z142" s="26">
        <v>20</v>
      </c>
      <c r="AA142" s="27" t="str">
        <f t="shared" si="31"/>
        <v/>
      </c>
      <c r="AB142" s="26">
        <v>21</v>
      </c>
      <c r="AC142" s="27" t="str">
        <f t="shared" si="32"/>
        <v/>
      </c>
      <c r="AD142" s="24">
        <v>45</v>
      </c>
      <c r="AE142" s="27" t="str">
        <f t="shared" si="33"/>
        <v/>
      </c>
      <c r="AF142" s="26">
        <v>18</v>
      </c>
      <c r="AG142" s="27" t="str">
        <f t="shared" si="34"/>
        <v/>
      </c>
      <c r="AH142" s="26">
        <v>16</v>
      </c>
      <c r="AI142" s="27" t="str">
        <f t="shared" si="35"/>
        <v/>
      </c>
      <c r="AJ142" s="32">
        <f>IF(OR(AND(D142&gt;=31,D142&lt;40),AND(H142&gt;=31,H142&lt;40),AND(L142&gt;=31,L142&lt;40),AND(R142&gt;=31,R142&lt;40),AND(X142&gt;=31,X142&lt;40),AND(AD142&gt;=31,AD142&lt;40)),IF(AND(OR(COUNTIF(D142:AI142,"=31")&gt;=1,COUNTIF(D142:AI142,"=32")&gt;=1,COUNTIF(D142:AI142,"=33")&gt;=1,COUNTIF(D142:AI142,"=34")&gt;=1,COUNTIF(D142:AI142,"=35")&gt;=1,COUNTIF(D142:AI142,"=36")&gt;=1 ),COUNTIF(D142:AI142,"")=0,COUNTIF(D142:AI142," ")=0,COUNTIF(D142:AI142,"F")=1),CONCATENATE(SUM(EXTRACTNUMBER(D142),EXTRACTNUMBER(F142),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EXTRACTNUMBER(AD142),EXTRACTNUMBER(AH142),EXTRACTNUMBER(AF142)),"*"),IF(AND(COUNTIF(D142:AI142,"=34")&gt;=1,COUNTIF(D142:AI142,"=35")&gt;=1,COUNTIF(D142:AI142,"f")=2,COUNTIF(D142:AI142,"")=0,COUNTIF(D142:AI142," ")=0),CONCATENATE(SUM(EXTRACTNUMBER(D142),EXTRACTNUMBER(F142),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EXTRACTNUMBER(AD142),EXTRACTNUMBER(AH142),EXTRACTNUMBER(AF142)),"*"),IF(AND(COUNTIF(D142:AI142,"=36")&gt;=2,COUNTIF(D142:AI142,"f")=2,COUNTIF(D142:AI142,"")=0,COUNTIF(D142:AI142," ")=0),CONCATENATE(SUM(EXTRACTNUMBER(D142),EXTRACTNUMBER(F142),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EXTRACTNUMBER(AD142),EXTRACTNUMBER(AH142),EXTRACTNUMBER(AF142)),"*"),SUM(EXTRACTNUMBER(D142),EXTRACTNUMBER(F142),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EXTRACTNUMBER(AD142),EXTRACTNUMBER(AH142),EXTRACTNUMBER(AF142))))),SUM(EXTRACTNUMBER(D142),EXTRACTNUMBER(F142),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EXTRACTNUMBER(AD142),EXTRACTNUMBER(AH142),EXTRACTNUMBER(AF142)))</f>
        <v>519</v>
      </c>
      <c r="AK142" s="28" t="s">
        <v>292</v>
      </c>
      <c r="AL142" s="29">
        <f t="shared" si="19"/>
        <v>1070</v>
      </c>
      <c r="AM142" s="29" t="str">
        <f t="shared" si="36"/>
        <v>PASS</v>
      </c>
      <c r="AN142" s="30" t="str">
        <f>IF(AM142="ABSENT","AB",IF(AM142="FAIL","--",
IF(AK142=0,"RS 3",
IF(AND(SUM(EXTRACTNUMBER(AK142),EXTRACTNUMBER(AJ142))&gt;=1010,
        NOT(IFERROR(FIND("x",AK142),0)),
        NOT(IFERROR(FIND("x",AJ142),0))),"I",
IF(AND(SUM(EXTRACTNUMBER(AK142),EXTRACTNUMBER(AJ142))&gt;=850,
      SUM(EXTRACTNUMBER(AK142),EXTRACTNUMBER(AJ142))&lt;1010,
      NOT(IFERROR(FIND("x",AK142),0)),
      NOT(IFERROR(FIND("x",AJ142),0))),"II",
IF(OR(AND(SUM(EXTRACTNUMBER(AK142),EXTRACTNUMBER(AJ142))&lt;850,
SUM(EXTRACTNUMBER(AK142),EXTRACTNUMBER(AJ142))&gt;=670),
IFERROR(FIND("x",AK142),0),IFERROR(FIND("x",AJ142),0)),"P","--"))))))</f>
        <v>I</v>
      </c>
      <c r="AO142" s="2" t="str">
        <f t="shared" si="37"/>
        <v xml:space="preserve">One Thousand Seventy  </v>
      </c>
    </row>
    <row r="143" spans="2:41" ht="16.5" customHeight="1">
      <c r="B143" s="45">
        <v>134316</v>
      </c>
      <c r="C143" s="46" t="s">
        <v>139</v>
      </c>
      <c r="D143" s="43">
        <v>19</v>
      </c>
      <c r="E143" s="27" t="str">
        <f t="shared" si="20"/>
        <v>F</v>
      </c>
      <c r="F143" s="26">
        <v>14</v>
      </c>
      <c r="G143" s="27" t="str">
        <f t="shared" si="21"/>
        <v>E</v>
      </c>
      <c r="H143" s="24">
        <v>25</v>
      </c>
      <c r="I143" s="27" t="str">
        <f t="shared" si="22"/>
        <v>F</v>
      </c>
      <c r="J143" s="26">
        <v>20</v>
      </c>
      <c r="K143" s="27" t="str">
        <f t="shared" si="23"/>
        <v>E</v>
      </c>
      <c r="L143" s="24">
        <v>29</v>
      </c>
      <c r="M143" s="27" t="str">
        <f t="shared" si="24"/>
        <v>F</v>
      </c>
      <c r="N143" s="26">
        <v>18</v>
      </c>
      <c r="O143" s="27" t="str">
        <f t="shared" si="25"/>
        <v>E</v>
      </c>
      <c r="P143" s="26">
        <v>18</v>
      </c>
      <c r="Q143" s="27" t="str">
        <f t="shared" si="26"/>
        <v>E</v>
      </c>
      <c r="R143" s="24">
        <v>29</v>
      </c>
      <c r="S143" s="27" t="str">
        <f t="shared" si="27"/>
        <v>F</v>
      </c>
      <c r="T143" s="26">
        <v>20</v>
      </c>
      <c r="U143" s="27" t="str">
        <f t="shared" si="28"/>
        <v>E</v>
      </c>
      <c r="V143" s="26">
        <v>22</v>
      </c>
      <c r="W143" s="27" t="str">
        <f t="shared" si="29"/>
        <v>E</v>
      </c>
      <c r="X143" s="24">
        <v>28</v>
      </c>
      <c r="Y143" s="27" t="str">
        <f t="shared" si="30"/>
        <v>F</v>
      </c>
      <c r="Z143" s="26">
        <v>20</v>
      </c>
      <c r="AA143" s="27" t="str">
        <f t="shared" si="31"/>
        <v>E</v>
      </c>
      <c r="AB143" s="26">
        <v>21</v>
      </c>
      <c r="AC143" s="27" t="str">
        <f t="shared" si="32"/>
        <v>E</v>
      </c>
      <c r="AD143" s="24">
        <v>40</v>
      </c>
      <c r="AE143" s="27" t="str">
        <f t="shared" si="33"/>
        <v>E</v>
      </c>
      <c r="AF143" s="26">
        <v>20</v>
      </c>
      <c r="AG143" s="27" t="str">
        <f t="shared" si="34"/>
        <v>E</v>
      </c>
      <c r="AH143" s="26">
        <v>18</v>
      </c>
      <c r="AI143" s="27" t="str">
        <f t="shared" si="35"/>
        <v>E</v>
      </c>
      <c r="AJ143" s="32">
        <f>IF(OR(AND(D143&gt;=31,D143&lt;40),AND(H143&gt;=31,H143&lt;40),AND(L143&gt;=31,L143&lt;40),AND(R143&gt;=31,R143&lt;40),AND(X143&gt;=31,X143&lt;40),AND(AD143&gt;=31,AD143&lt;40)),IF(AND(OR(COUNTIF(D143:AI143,"=31")&gt;=1,COUNTIF(D143:AI143,"=32")&gt;=1,COUNTIF(D143:AI143,"=33")&gt;=1,COUNTIF(D143:AI143,"=34")&gt;=1,COUNTIF(D143:AI143,"=35")&gt;=1,COUNTIF(D143:AI143,"=36")&gt;=1 ),COUNTIF(D143:AI143,"")=0,COUNTIF(D143:AI143," ")=0,COUNTIF(D143:AI143,"F")=1),CONCATENATE(SUM(EXTRACTNUMBER(D143),EXTRACTNUMBER(F143),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EXTRACTNUMBER(AD143),EXTRACTNUMBER(AH143),EXTRACTNUMBER(AF143)),"*"),IF(AND(COUNTIF(D143:AI143,"=34")&gt;=1,COUNTIF(D143:AI143,"=35")&gt;=1,COUNTIF(D143:AI143,"f")=2,COUNTIF(D143:AI143,"")=0,COUNTIF(D143:AI143," ")=0),CONCATENATE(SUM(EXTRACTNUMBER(D143),EXTRACTNUMBER(F143),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EXTRACTNUMBER(AD143),EXTRACTNUMBER(AH143),EXTRACTNUMBER(AF143)),"*"),IF(AND(COUNTIF(D143:AI143,"=36")&gt;=2,COUNTIF(D143:AI143,"f")=2,COUNTIF(D143:AI143,"")=0,COUNTIF(D143:AI143," ")=0),CONCATENATE(SUM(EXTRACTNUMBER(D143),EXTRACTNUMBER(F143),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EXTRACTNUMBER(AD143),EXTRACTNUMBER(AH143),EXTRACTNUMBER(AF143)),"*"),SUM(EXTRACTNUMBER(D143),EXTRACTNUMBER(F143),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EXTRACTNUMBER(AD143),EXTRACTNUMBER(AH143),EXTRACTNUMBER(AF143))))),SUM(EXTRACTNUMBER(D143),EXTRACTNUMBER(F143),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EXTRACTNUMBER(AD143),EXTRACTNUMBER(AH143),EXTRACTNUMBER(AF143)))</f>
        <v>361</v>
      </c>
      <c r="AK143" s="94" t="s">
        <v>598</v>
      </c>
      <c r="AL143" s="29">
        <f t="shared" si="19"/>
        <v>782</v>
      </c>
      <c r="AM143" s="29" t="str">
        <f t="shared" si="36"/>
        <v>FAIL</v>
      </c>
      <c r="AN143" s="30" t="str">
        <f>IF(AM143="ABSENT","AB",IF(AM143="FAIL","--",
IF(AK143=0,"RS 3",
IF(AND(SUM(EXTRACTNUMBER(AK143),EXTRACTNUMBER(AJ143))&gt;=1010,
        NOT(IFERROR(FIND("x",AK143),0)),
        NOT(IFERROR(FIND("x",AJ143),0))),"I",
IF(AND(SUM(EXTRACTNUMBER(AK143),EXTRACTNUMBER(AJ143))&gt;=850,
      SUM(EXTRACTNUMBER(AK143),EXTRACTNUMBER(AJ143))&lt;1010,
      NOT(IFERROR(FIND("x",AK143),0)),
      NOT(IFERROR(FIND("x",AJ143),0))),"II",
IF(OR(AND(SUM(EXTRACTNUMBER(AK143),EXTRACTNUMBER(AJ143))&lt;850,
SUM(EXTRACTNUMBER(AK143),EXTRACTNUMBER(AJ143))&gt;=670),
IFERROR(FIND("x",AK143),0),IFERROR(FIND("x",AJ143),0)),"P","--"))))))</f>
        <v>--</v>
      </c>
      <c r="AO143" s="2" t="str">
        <f t="shared" si="37"/>
        <v xml:space="preserve">Seven Hundred Eighty Two </v>
      </c>
    </row>
    <row r="144" spans="2:41" ht="16.5" customHeight="1">
      <c r="B144" s="45">
        <v>134317</v>
      </c>
      <c r="C144" s="46" t="s">
        <v>140</v>
      </c>
      <c r="D144" s="43">
        <v>40</v>
      </c>
      <c r="E144" s="27" t="str">
        <f t="shared" si="20"/>
        <v/>
      </c>
      <c r="F144" s="26">
        <v>22</v>
      </c>
      <c r="G144" s="27" t="str">
        <f t="shared" si="21"/>
        <v/>
      </c>
      <c r="H144" s="24">
        <v>53</v>
      </c>
      <c r="I144" s="27" t="str">
        <f t="shared" si="22"/>
        <v/>
      </c>
      <c r="J144" s="26">
        <v>23</v>
      </c>
      <c r="K144" s="27" t="str">
        <f t="shared" si="23"/>
        <v/>
      </c>
      <c r="L144" s="24">
        <v>47</v>
      </c>
      <c r="M144" s="27" t="str">
        <f t="shared" si="24"/>
        <v/>
      </c>
      <c r="N144" s="26">
        <v>22</v>
      </c>
      <c r="O144" s="27" t="str">
        <f t="shared" si="25"/>
        <v/>
      </c>
      <c r="P144" s="26">
        <v>22</v>
      </c>
      <c r="Q144" s="27" t="str">
        <f t="shared" si="26"/>
        <v/>
      </c>
      <c r="R144" s="40" t="s">
        <v>307</v>
      </c>
      <c r="S144" s="27" t="str">
        <f t="shared" si="27"/>
        <v/>
      </c>
      <c r="T144" s="26">
        <v>23</v>
      </c>
      <c r="U144" s="27" t="str">
        <f t="shared" si="28"/>
        <v/>
      </c>
      <c r="V144" s="26">
        <v>19</v>
      </c>
      <c r="W144" s="27" t="str">
        <f t="shared" si="29"/>
        <v/>
      </c>
      <c r="X144" s="24">
        <v>54</v>
      </c>
      <c r="Y144" s="27" t="str">
        <f t="shared" si="30"/>
        <v/>
      </c>
      <c r="Z144" s="26">
        <v>21</v>
      </c>
      <c r="AA144" s="27" t="str">
        <f t="shared" si="31"/>
        <v/>
      </c>
      <c r="AB144" s="26">
        <v>21</v>
      </c>
      <c r="AC144" s="27" t="str">
        <f t="shared" si="32"/>
        <v/>
      </c>
      <c r="AD144" s="24">
        <v>46</v>
      </c>
      <c r="AE144" s="27" t="str">
        <f t="shared" si="33"/>
        <v/>
      </c>
      <c r="AF144" s="26">
        <v>22</v>
      </c>
      <c r="AG144" s="27" t="str">
        <f t="shared" si="34"/>
        <v/>
      </c>
      <c r="AH144" s="26">
        <v>16</v>
      </c>
      <c r="AI144" s="27" t="str">
        <f t="shared" si="35"/>
        <v/>
      </c>
      <c r="AJ144" s="41" t="s">
        <v>308</v>
      </c>
      <c r="AK144" s="94" t="s">
        <v>591</v>
      </c>
      <c r="AL144" s="29">
        <f t="shared" si="19"/>
        <v>976</v>
      </c>
      <c r="AM144" s="29" t="str">
        <f t="shared" si="36"/>
        <v>PASS</v>
      </c>
      <c r="AN144" s="30" t="str">
        <f>IF(AM144="ABSENT","AB",IF(AM144="FAIL","--",
IF(AK144=0,"RS 3",
IF(AND(SUM(EXTRACTNUMBER(AK144),EXTRACTNUMBER(AJ144))&gt;=1010,
        NOT(IFERROR(FIND("x",AK144),0)),
        NOT(IFERROR(FIND("x",AJ144),0))),"I",
IF(AND(SUM(EXTRACTNUMBER(AK144),EXTRACTNUMBER(AJ144))&gt;=850,
      SUM(EXTRACTNUMBER(AK144),EXTRACTNUMBER(AJ144))&lt;1010,
      NOT(IFERROR(FIND("x",AK144),0)),
      NOT(IFERROR(FIND("x",AJ144),0))),"II",
IF(OR(AND(SUM(EXTRACTNUMBER(AK144),EXTRACTNUMBER(AJ144))&lt;850,
SUM(EXTRACTNUMBER(AK144),EXTRACTNUMBER(AJ144))&gt;=670),
IFERROR(FIND("x",AK144),0),IFERROR(FIND("x",AJ144),0)),"P","--"))))))</f>
        <v>P</v>
      </c>
      <c r="AO144" s="2" t="str">
        <f t="shared" si="37"/>
        <v xml:space="preserve">Nine Hundred Seventy Six </v>
      </c>
    </row>
    <row r="145" spans="2:41" ht="16.5" customHeight="1">
      <c r="B145" s="45">
        <v>134318</v>
      </c>
      <c r="C145" s="46" t="s">
        <v>141</v>
      </c>
      <c r="D145" s="43">
        <v>8</v>
      </c>
      <c r="E145" s="27" t="str">
        <f t="shared" si="20"/>
        <v>F</v>
      </c>
      <c r="F145" s="26">
        <v>14</v>
      </c>
      <c r="G145" s="27" t="str">
        <f t="shared" si="21"/>
        <v>E</v>
      </c>
      <c r="H145" s="24">
        <v>6</v>
      </c>
      <c r="I145" s="27" t="str">
        <f t="shared" si="22"/>
        <v>F</v>
      </c>
      <c r="J145" s="26">
        <v>19</v>
      </c>
      <c r="K145" s="27" t="str">
        <f t="shared" si="23"/>
        <v>E</v>
      </c>
      <c r="L145" s="24">
        <v>40</v>
      </c>
      <c r="M145" s="27" t="str">
        <f t="shared" si="24"/>
        <v>E</v>
      </c>
      <c r="N145" s="26">
        <v>17</v>
      </c>
      <c r="O145" s="27" t="str">
        <f t="shared" si="25"/>
        <v>E</v>
      </c>
      <c r="P145" s="26">
        <v>17</v>
      </c>
      <c r="Q145" s="27" t="str">
        <f t="shared" si="26"/>
        <v>E</v>
      </c>
      <c r="R145" s="24">
        <v>40</v>
      </c>
      <c r="S145" s="27" t="str">
        <f t="shared" si="27"/>
        <v>E</v>
      </c>
      <c r="T145" s="26">
        <v>21</v>
      </c>
      <c r="U145" s="27" t="str">
        <f t="shared" si="28"/>
        <v>E</v>
      </c>
      <c r="V145" s="26">
        <v>14</v>
      </c>
      <c r="W145" s="27" t="str">
        <f t="shared" si="29"/>
        <v>E</v>
      </c>
      <c r="X145" s="24">
        <v>40</v>
      </c>
      <c r="Y145" s="27" t="str">
        <f t="shared" si="30"/>
        <v>E</v>
      </c>
      <c r="Z145" s="26">
        <v>21</v>
      </c>
      <c r="AA145" s="27" t="str">
        <f t="shared" si="31"/>
        <v>E</v>
      </c>
      <c r="AB145" s="26">
        <v>22</v>
      </c>
      <c r="AC145" s="27" t="str">
        <f t="shared" si="32"/>
        <v>E</v>
      </c>
      <c r="AD145" s="24">
        <v>29</v>
      </c>
      <c r="AE145" s="27" t="str">
        <f t="shared" si="33"/>
        <v>F</v>
      </c>
      <c r="AF145" s="26">
        <v>20</v>
      </c>
      <c r="AG145" s="27" t="str">
        <f t="shared" si="34"/>
        <v>E</v>
      </c>
      <c r="AH145" s="26">
        <v>18</v>
      </c>
      <c r="AI145" s="27" t="str">
        <f t="shared" si="35"/>
        <v>E</v>
      </c>
      <c r="AJ145" s="32">
        <f>IF(OR(AND(D145&gt;=31,D145&lt;40),AND(H145&gt;=31,H145&lt;40),AND(L145&gt;=31,L145&lt;40),AND(R145&gt;=31,R145&lt;40),AND(X145&gt;=31,X145&lt;40),AND(AD145&gt;=31,AD145&lt;40)),IF(AND(OR(COUNTIF(D145:AI145,"=31")&gt;=1,COUNTIF(D145:AI145,"=32")&gt;=1,COUNTIF(D145:AI145,"=33")&gt;=1,COUNTIF(D145:AI145,"=34")&gt;=1,COUNTIF(D145:AI145,"=35")&gt;=1,COUNTIF(D145:AI145,"=36")&gt;=1 ),COUNTIF(D145:AI145,"")=0,COUNTIF(D145:AI145," ")=0,COUNTIF(D145:AI145,"F")=1),CONCATENATE(SUM(EXTRACTNUMBER(D145),EXTRACTNUMBER(F145),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EXTRACTNUMBER(AD145),EXTRACTNUMBER(AH145),EXTRACTNUMBER(AF145)),"*"),IF(AND(COUNTIF(D145:AI145,"=34")&gt;=1,COUNTIF(D145:AI145,"=35")&gt;=1,COUNTIF(D145:AI145,"f")=2,COUNTIF(D145:AI145,"")=0,COUNTIF(D145:AI145," ")=0),CONCATENATE(SUM(EXTRACTNUMBER(D145),EXTRACTNUMBER(F145),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EXTRACTNUMBER(AD145),EXTRACTNUMBER(AH145),EXTRACTNUMBER(AF145)),"*"),IF(AND(COUNTIF(D145:AI145,"=36")&gt;=2,COUNTIF(D145:AI145,"f")=2,COUNTIF(D145:AI145,"")=0,COUNTIF(D145:AI145," ")=0),CONCATENATE(SUM(EXTRACTNUMBER(D145),EXTRACTNUMBER(F145),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EXTRACTNUMBER(AD145),EXTRACTNUMBER(AH145),EXTRACTNUMBER(AF145)),"*"),SUM(EXTRACTNUMBER(D145),EXTRACTNUMBER(F145),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EXTRACTNUMBER(AD145),EXTRACTNUMBER(AH145),EXTRACTNUMBER(AF145))))),SUM(EXTRACTNUMBER(D145),EXTRACTNUMBER(F145),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EXTRACTNUMBER(AD145),EXTRACTNUMBER(AH145),EXTRACTNUMBER(AF145)))</f>
        <v>346</v>
      </c>
      <c r="AK145" s="28">
        <v>0</v>
      </c>
      <c r="AL145" s="29">
        <f t="shared" si="19"/>
        <v>346</v>
      </c>
      <c r="AM145" s="29" t="str">
        <f t="shared" si="36"/>
        <v>FAIL</v>
      </c>
      <c r="AN145" s="30" t="str">
        <f>IF(AM145="ABSENT","AB",IF(AM145="FAIL","--",
IF(AK145=0,"RS 3",
IF(AND(SUM(EXTRACTNUMBER(AK145),EXTRACTNUMBER(AJ145))&gt;=1010,
        NOT(IFERROR(FIND("x",AK145),0)),
        NOT(IFERROR(FIND("x",AJ145),0))),"I",
IF(AND(SUM(EXTRACTNUMBER(AK145),EXTRACTNUMBER(AJ145))&gt;=850,
      SUM(EXTRACTNUMBER(AK145),EXTRACTNUMBER(AJ145))&lt;1010,
      NOT(IFERROR(FIND("x",AK145),0)),
      NOT(IFERROR(FIND("x",AJ145),0))),"II",
IF(OR(AND(SUM(EXTRACTNUMBER(AK145),EXTRACTNUMBER(AJ145))&lt;850,
SUM(EXTRACTNUMBER(AK145),EXTRACTNUMBER(AJ145))&gt;=670),
IFERROR(FIND("x",AK145),0),IFERROR(FIND("x",AJ145),0)),"P","--"))))))</f>
        <v>--</v>
      </c>
      <c r="AO145" s="2" t="str">
        <f t="shared" si="37"/>
        <v xml:space="preserve">Three Hundred Forty Six </v>
      </c>
    </row>
    <row r="146" spans="2:41" ht="16.5" customHeight="1">
      <c r="B146" s="45">
        <v>134319</v>
      </c>
      <c r="C146" s="46" t="s">
        <v>142</v>
      </c>
      <c r="D146" s="43">
        <v>57</v>
      </c>
      <c r="E146" s="27" t="str">
        <f t="shared" si="20"/>
        <v/>
      </c>
      <c r="F146" s="26">
        <v>17</v>
      </c>
      <c r="G146" s="27" t="str">
        <f t="shared" si="21"/>
        <v/>
      </c>
      <c r="H146" s="24">
        <v>61</v>
      </c>
      <c r="I146" s="27" t="str">
        <f t="shared" si="22"/>
        <v/>
      </c>
      <c r="J146" s="26">
        <v>19</v>
      </c>
      <c r="K146" s="27" t="str">
        <f t="shared" si="23"/>
        <v/>
      </c>
      <c r="L146" s="24">
        <v>63</v>
      </c>
      <c r="M146" s="27" t="str">
        <f t="shared" si="24"/>
        <v/>
      </c>
      <c r="N146" s="26">
        <v>18</v>
      </c>
      <c r="O146" s="27" t="str">
        <f t="shared" si="25"/>
        <v/>
      </c>
      <c r="P146" s="26">
        <v>17</v>
      </c>
      <c r="Q146" s="27" t="str">
        <f t="shared" si="26"/>
        <v/>
      </c>
      <c r="R146" s="24">
        <v>49</v>
      </c>
      <c r="S146" s="27" t="str">
        <f t="shared" si="27"/>
        <v/>
      </c>
      <c r="T146" s="26">
        <v>22</v>
      </c>
      <c r="U146" s="27" t="str">
        <f t="shared" si="28"/>
        <v/>
      </c>
      <c r="V146" s="26">
        <v>21</v>
      </c>
      <c r="W146" s="27" t="str">
        <f t="shared" si="29"/>
        <v/>
      </c>
      <c r="X146" s="24">
        <v>65</v>
      </c>
      <c r="Y146" s="27" t="str">
        <f t="shared" si="30"/>
        <v/>
      </c>
      <c r="Z146" s="26">
        <v>22</v>
      </c>
      <c r="AA146" s="27" t="str">
        <f t="shared" si="31"/>
        <v/>
      </c>
      <c r="AB146" s="26">
        <v>21</v>
      </c>
      <c r="AC146" s="27" t="str">
        <f t="shared" si="32"/>
        <v/>
      </c>
      <c r="AD146" s="24">
        <v>54</v>
      </c>
      <c r="AE146" s="27" t="str">
        <f t="shared" si="33"/>
        <v/>
      </c>
      <c r="AF146" s="26">
        <v>21</v>
      </c>
      <c r="AG146" s="27" t="str">
        <f t="shared" si="34"/>
        <v/>
      </c>
      <c r="AH146" s="26">
        <v>18</v>
      </c>
      <c r="AI146" s="27" t="str">
        <f t="shared" si="35"/>
        <v/>
      </c>
      <c r="AJ146" s="32">
        <f>IF(OR(AND(D146&gt;=31,D146&lt;40),AND(H146&gt;=31,H146&lt;40),AND(L146&gt;=31,L146&lt;40),AND(R146&gt;=31,R146&lt;40),AND(X146&gt;=31,X146&lt;40),AND(AD146&gt;=31,AD146&lt;40)),IF(AND(OR(COUNTIF(D146:AI146,"=31")&gt;=1,COUNTIF(D146:AI146,"=32")&gt;=1,COUNTIF(D146:AI146,"=33")&gt;=1,COUNTIF(D146:AI146,"=34")&gt;=1,COUNTIF(D146:AI146,"=35")&gt;=1,COUNTIF(D146:AI146,"=36")&gt;=1 ),COUNTIF(D146:AI146,"")=0,COUNTIF(D146:AI146," ")=0,COUNTIF(D146:AI146,"F")=1),CONCATENATE(SUM(EXTRACTNUMBER(D146),EXTRACTNUMBER(F146),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EXTRACTNUMBER(AD146),EXTRACTNUMBER(AH146),EXTRACTNUMBER(AF146)),"*"),IF(AND(COUNTIF(D146:AI146,"=34")&gt;=1,COUNTIF(D146:AI146,"=35")&gt;=1,COUNTIF(D146:AI146,"f")=2,COUNTIF(D146:AI146,"")=0,COUNTIF(D146:AI146," ")=0),CONCATENATE(SUM(EXTRACTNUMBER(D146),EXTRACTNUMBER(F146),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EXTRACTNUMBER(AD146),EXTRACTNUMBER(AH146),EXTRACTNUMBER(AF146)),"*"),IF(AND(COUNTIF(D146:AI146,"=36")&gt;=2,COUNTIF(D146:AI146,"f")=2,COUNTIF(D146:AI146,"")=0,COUNTIF(D146:AI146," ")=0),CONCATENATE(SUM(EXTRACTNUMBER(D146),EXTRACTNUMBER(F146),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EXTRACTNUMBER(AD146),EXTRACTNUMBER(AH146),EXTRACTNUMBER(AF146)),"*"),SUM(EXTRACTNUMBER(D146),EXTRACTNUMBER(F146),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EXTRACTNUMBER(AD146),EXTRACTNUMBER(AH146),EXTRACTNUMBER(AF146))))),SUM(EXTRACTNUMBER(D146),EXTRACTNUMBER(F146),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EXTRACTNUMBER(AD146),EXTRACTNUMBER(AH146),EXTRACTNUMBER(AF146)))</f>
        <v>545</v>
      </c>
      <c r="AK146" s="28" t="s">
        <v>293</v>
      </c>
      <c r="AL146" s="29">
        <f t="shared" si="19"/>
        <v>1081</v>
      </c>
      <c r="AM146" s="29" t="str">
        <f t="shared" si="36"/>
        <v>PASS</v>
      </c>
      <c r="AN146" s="30" t="str">
        <f>IF(AM146="ABSENT","AB",IF(AM146="FAIL","--",
IF(AK146=0,"RS 3",
IF(AND(SUM(EXTRACTNUMBER(AK146),EXTRACTNUMBER(AJ146))&gt;=1010,
        NOT(IFERROR(FIND("x",AK146),0)),
        NOT(IFERROR(FIND("x",AJ146),0))),"I",
IF(AND(SUM(EXTRACTNUMBER(AK146),EXTRACTNUMBER(AJ146))&gt;=850,
      SUM(EXTRACTNUMBER(AK146),EXTRACTNUMBER(AJ146))&lt;1010,
      NOT(IFERROR(FIND("x",AK146),0)),
      NOT(IFERROR(FIND("x",AJ146),0))),"II",
IF(OR(AND(SUM(EXTRACTNUMBER(AK146),EXTRACTNUMBER(AJ146))&lt;850,
SUM(EXTRACTNUMBER(AK146),EXTRACTNUMBER(AJ146))&gt;=670),
IFERROR(FIND("x",AK146),0),IFERROR(FIND("x",AJ146),0)),"P","--"))))))</f>
        <v>I</v>
      </c>
      <c r="AO146" s="2" t="str">
        <f t="shared" si="37"/>
        <v xml:space="preserve">One Thousand Eighty One </v>
      </c>
    </row>
    <row r="147" spans="2:41" ht="16.5" customHeight="1">
      <c r="B147" s="45">
        <v>134320</v>
      </c>
      <c r="C147" s="46" t="s">
        <v>143</v>
      </c>
      <c r="D147" s="43">
        <v>40</v>
      </c>
      <c r="E147" s="27" t="str">
        <f t="shared" si="20"/>
        <v>E</v>
      </c>
      <c r="F147" s="26">
        <v>23</v>
      </c>
      <c r="G147" s="27" t="str">
        <f t="shared" si="21"/>
        <v>E</v>
      </c>
      <c r="H147" s="24">
        <v>50</v>
      </c>
      <c r="I147" s="27" t="str">
        <f t="shared" si="22"/>
        <v>E</v>
      </c>
      <c r="J147" s="26">
        <v>21</v>
      </c>
      <c r="K147" s="27" t="str">
        <f t="shared" si="23"/>
        <v>E</v>
      </c>
      <c r="L147" s="24">
        <v>25</v>
      </c>
      <c r="M147" s="27" t="str">
        <f t="shared" si="24"/>
        <v>F</v>
      </c>
      <c r="N147" s="26">
        <v>19</v>
      </c>
      <c r="O147" s="27" t="str">
        <f t="shared" si="25"/>
        <v>E</v>
      </c>
      <c r="P147" s="26">
        <v>19</v>
      </c>
      <c r="Q147" s="27" t="str">
        <f t="shared" si="26"/>
        <v>E</v>
      </c>
      <c r="R147" s="24">
        <v>40</v>
      </c>
      <c r="S147" s="27" t="str">
        <f t="shared" si="27"/>
        <v>E</v>
      </c>
      <c r="T147" s="26">
        <v>21</v>
      </c>
      <c r="U147" s="27" t="str">
        <f t="shared" si="28"/>
        <v>E</v>
      </c>
      <c r="V147" s="26">
        <v>18</v>
      </c>
      <c r="W147" s="27" t="str">
        <f t="shared" si="29"/>
        <v>E</v>
      </c>
      <c r="X147" s="24">
        <v>33</v>
      </c>
      <c r="Y147" s="27" t="str">
        <f t="shared" si="30"/>
        <v>F</v>
      </c>
      <c r="Z147" s="26">
        <v>22</v>
      </c>
      <c r="AA147" s="27" t="str">
        <f t="shared" si="31"/>
        <v>E</v>
      </c>
      <c r="AB147" s="26">
        <v>22</v>
      </c>
      <c r="AC147" s="27" t="str">
        <f t="shared" si="32"/>
        <v>E</v>
      </c>
      <c r="AD147" s="24" t="s">
        <v>305</v>
      </c>
      <c r="AE147" s="27" t="str">
        <f t="shared" si="33"/>
        <v/>
      </c>
      <c r="AF147" s="26">
        <v>19</v>
      </c>
      <c r="AG147" s="27" t="str">
        <f t="shared" si="34"/>
        <v>E</v>
      </c>
      <c r="AH147" s="26">
        <v>19</v>
      </c>
      <c r="AI147" s="27" t="str">
        <f t="shared" si="35"/>
        <v>E</v>
      </c>
      <c r="AJ147" s="32">
        <f>IF(OR(AND(D147&gt;=31,D147&lt;40),AND(H147&gt;=31,H147&lt;40),AND(L147&gt;=31,L147&lt;40),AND(R147&gt;=31,R147&lt;40),AND(X147&gt;=31,X147&lt;40),AND(AD147&gt;=31,AD147&lt;40)),IF(AND(OR(COUNTIF(D147:AI147,"=31")&gt;=1,COUNTIF(D147:AI147,"=32")&gt;=1,COUNTIF(D147:AI147,"=33")&gt;=1,COUNTIF(D147:AI147,"=34")&gt;=1,COUNTIF(D147:AI147,"=35")&gt;=1,COUNTIF(D147:AI147,"=36")&gt;=1 ),COUNTIF(D147:AI147,"")=0,COUNTIF(D147:AI147," ")=0,COUNTIF(D147:AI147,"F")=1),CONCATENATE(SUM(EXTRACTNUMBER(D147),EXTRACTNUMBER(F147),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EXTRACTNUMBER(AD147),EXTRACTNUMBER(AH147),EXTRACTNUMBER(AF147)),"*"),IF(AND(COUNTIF(D147:AI147,"=34")&gt;=1,COUNTIF(D147:AI147,"=35")&gt;=1,COUNTIF(D147:AI147,"f")=2,COUNTIF(D147:AI147,"")=0,COUNTIF(D147:AI147," ")=0),CONCATENATE(SUM(EXTRACTNUMBER(D147),EXTRACTNUMBER(F147),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EXTRACTNUMBER(AD147),EXTRACTNUMBER(AH147),EXTRACTNUMBER(AF147)),"*"),IF(AND(COUNTIF(D147:AI147,"=36")&gt;=2,COUNTIF(D147:AI147,"f")=2,COUNTIF(D147:AI147,"")=0,COUNTIF(D147:AI147," ")=0),CONCATENATE(SUM(EXTRACTNUMBER(D147),EXTRACTNUMBER(F147),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EXTRACTNUMBER(AD147),EXTRACTNUMBER(AH147),EXTRACTNUMBER(AF147)),"*"),SUM(EXTRACTNUMBER(D147),EXTRACTNUMBER(F147),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EXTRACTNUMBER(AD147),EXTRACTNUMBER(AH147),EXTRACTNUMBER(AF147))))),SUM(EXTRACTNUMBER(D147),EXTRACTNUMBER(F147),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EXTRACTNUMBER(AD147),EXTRACTNUMBER(AH147),EXTRACTNUMBER(AF147)))</f>
        <v>391</v>
      </c>
      <c r="AK147" s="94" t="s">
        <v>592</v>
      </c>
      <c r="AL147" s="29">
        <f t="shared" si="19"/>
        <v>900</v>
      </c>
      <c r="AM147" s="29" t="str">
        <f t="shared" si="36"/>
        <v>FAIL</v>
      </c>
      <c r="AN147" s="30" t="str">
        <f>IF(AM147="ABSENT","AB",IF(AM147="FAIL","--",
IF(AK147=0,"RS 3",
IF(AND(SUM(EXTRACTNUMBER(AK147),EXTRACTNUMBER(AJ147))&gt;=1010,
        NOT(IFERROR(FIND("x",AK147),0)),
        NOT(IFERROR(FIND("x",AJ147),0))),"I",
IF(AND(SUM(EXTRACTNUMBER(AK147),EXTRACTNUMBER(AJ147))&gt;=850,
      SUM(EXTRACTNUMBER(AK147),EXTRACTNUMBER(AJ147))&lt;1010,
      NOT(IFERROR(FIND("x",AK147),0)),
      NOT(IFERROR(FIND("x",AJ147),0))),"II",
IF(OR(AND(SUM(EXTRACTNUMBER(AK147),EXTRACTNUMBER(AJ147))&lt;850,
SUM(EXTRACTNUMBER(AK147),EXTRACTNUMBER(AJ147))&gt;=670),
IFERROR(FIND("x",AK147),0),IFERROR(FIND("x",AJ147),0)),"P","--"))))))</f>
        <v>--</v>
      </c>
      <c r="AO147" s="2" t="str">
        <f t="shared" si="37"/>
        <v xml:space="preserve">Nine Hundred  </v>
      </c>
    </row>
    <row r="148" spans="2:41" ht="16.5" customHeight="1">
      <c r="B148" s="45">
        <v>134321</v>
      </c>
      <c r="C148" s="46" t="s">
        <v>144</v>
      </c>
      <c r="D148" s="43">
        <v>47</v>
      </c>
      <c r="E148" s="27" t="str">
        <f t="shared" si="20"/>
        <v/>
      </c>
      <c r="F148" s="26">
        <v>19</v>
      </c>
      <c r="G148" s="27" t="str">
        <f t="shared" si="21"/>
        <v/>
      </c>
      <c r="H148" s="24">
        <v>55</v>
      </c>
      <c r="I148" s="27" t="str">
        <f t="shared" si="22"/>
        <v/>
      </c>
      <c r="J148" s="26">
        <v>24</v>
      </c>
      <c r="K148" s="27" t="str">
        <f t="shared" si="23"/>
        <v/>
      </c>
      <c r="L148" s="24">
        <v>46</v>
      </c>
      <c r="M148" s="27" t="str">
        <f t="shared" si="24"/>
        <v/>
      </c>
      <c r="N148" s="26">
        <v>20</v>
      </c>
      <c r="O148" s="27" t="str">
        <f t="shared" si="25"/>
        <v/>
      </c>
      <c r="P148" s="26">
        <v>20</v>
      </c>
      <c r="Q148" s="27" t="str">
        <f t="shared" si="26"/>
        <v/>
      </c>
      <c r="R148" s="24">
        <v>48</v>
      </c>
      <c r="S148" s="27" t="str">
        <f t="shared" si="27"/>
        <v/>
      </c>
      <c r="T148" s="26">
        <v>22</v>
      </c>
      <c r="U148" s="27" t="str">
        <f t="shared" si="28"/>
        <v/>
      </c>
      <c r="V148" s="26">
        <v>18</v>
      </c>
      <c r="W148" s="27" t="str">
        <f t="shared" si="29"/>
        <v/>
      </c>
      <c r="X148" s="24">
        <v>77</v>
      </c>
      <c r="Y148" s="27" t="str">
        <f t="shared" si="30"/>
        <v/>
      </c>
      <c r="Z148" s="26">
        <v>20</v>
      </c>
      <c r="AA148" s="27" t="str">
        <f t="shared" si="31"/>
        <v/>
      </c>
      <c r="AB148" s="26">
        <v>21</v>
      </c>
      <c r="AC148" s="27" t="str">
        <f t="shared" si="32"/>
        <v/>
      </c>
      <c r="AD148" s="24">
        <v>46</v>
      </c>
      <c r="AE148" s="27" t="str">
        <f t="shared" si="33"/>
        <v/>
      </c>
      <c r="AF148" s="26">
        <v>23</v>
      </c>
      <c r="AG148" s="27" t="str">
        <f t="shared" si="34"/>
        <v/>
      </c>
      <c r="AH148" s="26">
        <v>20</v>
      </c>
      <c r="AI148" s="27" t="str">
        <f t="shared" si="35"/>
        <v/>
      </c>
      <c r="AJ148" s="32">
        <f>IF(OR(AND(D148&gt;=31,D148&lt;40),AND(H148&gt;=31,H148&lt;40),AND(L148&gt;=31,L148&lt;40),AND(R148&gt;=31,R148&lt;40),AND(X148&gt;=31,X148&lt;40),AND(AD148&gt;=31,AD148&lt;40)),IF(AND(OR(COUNTIF(D148:AI148,"=31")&gt;=1,COUNTIF(D148:AI148,"=32")&gt;=1,COUNTIF(D148:AI148,"=33")&gt;=1,COUNTIF(D148:AI148,"=34")&gt;=1,COUNTIF(D148:AI148,"=35")&gt;=1,COUNTIF(D148:AI148,"=36")&gt;=1 ),COUNTIF(D148:AI148,"")=0,COUNTIF(D148:AI148," ")=0,COUNTIF(D148:AI148,"F")=1),CONCATENATE(SUM(EXTRACTNUMBER(D148),EXTRACTNUMBER(F148),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EXTRACTNUMBER(AD148),EXTRACTNUMBER(AH148),EXTRACTNUMBER(AF148)),"*"),IF(AND(COUNTIF(D148:AI148,"=34")&gt;=1,COUNTIF(D148:AI148,"=35")&gt;=1,COUNTIF(D148:AI148,"f")=2,COUNTIF(D148:AI148,"")=0,COUNTIF(D148:AI148," ")=0),CONCATENATE(SUM(EXTRACTNUMBER(D148),EXTRACTNUMBER(F148),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EXTRACTNUMBER(AD148),EXTRACTNUMBER(AH148),EXTRACTNUMBER(AF148)),"*"),IF(AND(COUNTIF(D148:AI148,"=36")&gt;=2,COUNTIF(D148:AI148,"f")=2,COUNTIF(D148:AI148,"")=0,COUNTIF(D148:AI148," ")=0),CONCATENATE(SUM(EXTRACTNUMBER(D148),EXTRACTNUMBER(F148),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EXTRACTNUMBER(AD148),EXTRACTNUMBER(AH148),EXTRACTNUMBER(AF148)),"*"),SUM(EXTRACTNUMBER(D148),EXTRACTNUMBER(F148),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EXTRACTNUMBER(AD148),EXTRACTNUMBER(AH148),EXTRACTNUMBER(AF148))))),SUM(EXTRACTNUMBER(D148),EXTRACTNUMBER(F148),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EXTRACTNUMBER(AD148),EXTRACTNUMBER(AH148),EXTRACTNUMBER(AF148)))</f>
        <v>526</v>
      </c>
      <c r="AK148" s="28" t="s">
        <v>294</v>
      </c>
      <c r="AL148" s="29">
        <f t="shared" si="19"/>
        <v>1030</v>
      </c>
      <c r="AM148" s="29" t="str">
        <f t="shared" si="36"/>
        <v>PASS</v>
      </c>
      <c r="AN148" s="30" t="str">
        <f>IF(AM148="ABSENT","AB",IF(AM148="FAIL","--",
IF(AK148=0,"RS 3",
IF(AND(SUM(EXTRACTNUMBER(AK148),EXTRACTNUMBER(AJ148))&gt;=1010,
        NOT(IFERROR(FIND("x",AK148),0)),
        NOT(IFERROR(FIND("x",AJ148),0))),"I",
IF(AND(SUM(EXTRACTNUMBER(AK148),EXTRACTNUMBER(AJ148))&gt;=850,
      SUM(EXTRACTNUMBER(AK148),EXTRACTNUMBER(AJ148))&lt;1010,
      NOT(IFERROR(FIND("x",AK148),0)),
      NOT(IFERROR(FIND("x",AJ148),0))),"II",
IF(OR(AND(SUM(EXTRACTNUMBER(AK148),EXTRACTNUMBER(AJ148))&lt;850,
SUM(EXTRACTNUMBER(AK148),EXTRACTNUMBER(AJ148))&gt;=670),
IFERROR(FIND("x",AK148),0),IFERROR(FIND("x",AJ148),0)),"P","--"))))))</f>
        <v>I</v>
      </c>
      <c r="AO148" s="2" t="str">
        <f t="shared" si="37"/>
        <v xml:space="preserve">One Thousand Thirty  </v>
      </c>
    </row>
    <row r="149" spans="2:41" ht="16.5" customHeight="1">
      <c r="B149" s="45">
        <v>134322</v>
      </c>
      <c r="C149" s="46" t="s">
        <v>145</v>
      </c>
      <c r="D149" s="43">
        <v>46</v>
      </c>
      <c r="E149" s="27" t="str">
        <f t="shared" si="20"/>
        <v/>
      </c>
      <c r="F149" s="26">
        <v>16</v>
      </c>
      <c r="G149" s="27" t="str">
        <f t="shared" si="21"/>
        <v/>
      </c>
      <c r="H149" s="24">
        <v>58</v>
      </c>
      <c r="I149" s="27" t="str">
        <f t="shared" si="22"/>
        <v/>
      </c>
      <c r="J149" s="26">
        <v>19</v>
      </c>
      <c r="K149" s="27" t="str">
        <f t="shared" si="23"/>
        <v/>
      </c>
      <c r="L149" s="24">
        <v>45</v>
      </c>
      <c r="M149" s="27" t="str">
        <f t="shared" si="24"/>
        <v/>
      </c>
      <c r="N149" s="26">
        <v>17</v>
      </c>
      <c r="O149" s="27" t="str">
        <f t="shared" si="25"/>
        <v/>
      </c>
      <c r="P149" s="26">
        <v>18</v>
      </c>
      <c r="Q149" s="27" t="str">
        <f t="shared" si="26"/>
        <v/>
      </c>
      <c r="R149" s="24">
        <v>57</v>
      </c>
      <c r="S149" s="27" t="str">
        <f t="shared" si="27"/>
        <v/>
      </c>
      <c r="T149" s="26">
        <v>21</v>
      </c>
      <c r="U149" s="27" t="str">
        <f t="shared" si="28"/>
        <v/>
      </c>
      <c r="V149" s="26">
        <v>14</v>
      </c>
      <c r="W149" s="27" t="str">
        <f t="shared" si="29"/>
        <v/>
      </c>
      <c r="X149" s="24">
        <v>61</v>
      </c>
      <c r="Y149" s="27" t="str">
        <f t="shared" si="30"/>
        <v/>
      </c>
      <c r="Z149" s="26">
        <v>21</v>
      </c>
      <c r="AA149" s="27" t="str">
        <f t="shared" si="31"/>
        <v/>
      </c>
      <c r="AB149" s="26">
        <v>21</v>
      </c>
      <c r="AC149" s="27" t="str">
        <f t="shared" si="32"/>
        <v/>
      </c>
      <c r="AD149" s="24">
        <v>40</v>
      </c>
      <c r="AE149" s="27" t="str">
        <f t="shared" si="33"/>
        <v/>
      </c>
      <c r="AF149" s="26">
        <v>20</v>
      </c>
      <c r="AG149" s="27" t="str">
        <f t="shared" si="34"/>
        <v/>
      </c>
      <c r="AH149" s="26">
        <v>16</v>
      </c>
      <c r="AI149" s="27" t="str">
        <f t="shared" si="35"/>
        <v/>
      </c>
      <c r="AJ149" s="32">
        <f>IF(OR(AND(D149&gt;=31,D149&lt;40),AND(H149&gt;=31,H149&lt;40),AND(L149&gt;=31,L149&lt;40),AND(R149&gt;=31,R149&lt;40),AND(X149&gt;=31,X149&lt;40),AND(AD149&gt;=31,AD149&lt;40)),IF(AND(OR(COUNTIF(D149:AI149,"=31")&gt;=1,COUNTIF(D149:AI149,"=32")&gt;=1,COUNTIF(D149:AI149,"=33")&gt;=1,COUNTIF(D149:AI149,"=34")&gt;=1,COUNTIF(D149:AI149,"=35")&gt;=1,COUNTIF(D149:AI149,"=36")&gt;=1 ),COUNTIF(D149:AI149,"")=0,COUNTIF(D149:AI149," ")=0,COUNTIF(D149:AI149,"F")=1),CONCATENATE(SUM(EXTRACTNUMBER(D149),EXTRACTNUMBER(F149),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EXTRACTNUMBER(AD149),EXTRACTNUMBER(AH149),EXTRACTNUMBER(AF149)),"*"),IF(AND(COUNTIF(D149:AI149,"=34")&gt;=1,COUNTIF(D149:AI149,"=35")&gt;=1,COUNTIF(D149:AI149,"f")=2,COUNTIF(D149:AI149,"")=0,COUNTIF(D149:AI149," ")=0),CONCATENATE(SUM(EXTRACTNUMBER(D149),EXTRACTNUMBER(F149),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EXTRACTNUMBER(AD149),EXTRACTNUMBER(AH149),EXTRACTNUMBER(AF149)),"*"),IF(AND(COUNTIF(D149:AI149,"=36")&gt;=2,COUNTIF(D149:AI149,"f")=2,COUNTIF(D149:AI149,"")=0,COUNTIF(D149:AI149," ")=0),CONCATENATE(SUM(EXTRACTNUMBER(D149),EXTRACTNUMBER(F149),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EXTRACTNUMBER(AD149),EXTRACTNUMBER(AH149),EXTRACTNUMBER(AF149)),"*"),SUM(EXTRACTNUMBER(D149),EXTRACTNUMBER(F149),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EXTRACTNUMBER(AD149),EXTRACTNUMBER(AH149),EXTRACTNUMBER(AF149))))),SUM(EXTRACTNUMBER(D149),EXTRACTNUMBER(F149),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EXTRACTNUMBER(AD149),EXTRACTNUMBER(AH149),EXTRACTNUMBER(AF149)))</f>
        <v>490</v>
      </c>
      <c r="AK149" s="94" t="s">
        <v>572</v>
      </c>
      <c r="AL149" s="29">
        <f t="shared" si="19"/>
        <v>937</v>
      </c>
      <c r="AM149" s="29" t="str">
        <f t="shared" si="36"/>
        <v>PASS</v>
      </c>
      <c r="AN149" s="30" t="str">
        <f>IF(AM149="ABSENT","AB",IF(AM149="FAIL","--",
IF(AK149=0,"RS 3",
IF(AND(SUM(EXTRACTNUMBER(AK149),EXTRACTNUMBER(AJ149))&gt;=1010,
        NOT(IFERROR(FIND("x",AK149),0)),
        NOT(IFERROR(FIND("x",AJ149),0))),"I",
IF(AND(SUM(EXTRACTNUMBER(AK149),EXTRACTNUMBER(AJ149))&gt;=850,
      SUM(EXTRACTNUMBER(AK149),EXTRACTNUMBER(AJ149))&lt;1010,
      NOT(IFERROR(FIND("x",AK149),0)),
      NOT(IFERROR(FIND("x",AJ149),0))),"II",
IF(OR(AND(SUM(EXTRACTNUMBER(AK149),EXTRACTNUMBER(AJ149))&lt;850,
SUM(EXTRACTNUMBER(AK149),EXTRACTNUMBER(AJ149))&gt;=670),
IFERROR(FIND("x",AK149),0),IFERROR(FIND("x",AJ149),0)),"P","--"))))))</f>
        <v>P</v>
      </c>
      <c r="AO149" s="2" t="str">
        <f t="shared" si="37"/>
        <v xml:space="preserve">Nine Hundred Thirty Seven </v>
      </c>
    </row>
    <row r="150" spans="2:41" ht="16.5" customHeight="1">
      <c r="B150" s="45">
        <v>134323</v>
      </c>
      <c r="C150" s="46" t="s">
        <v>146</v>
      </c>
      <c r="D150" s="43">
        <v>40</v>
      </c>
      <c r="E150" s="27" t="str">
        <f t="shared" si="20"/>
        <v/>
      </c>
      <c r="F150" s="26">
        <v>16</v>
      </c>
      <c r="G150" s="27" t="str">
        <f t="shared" si="21"/>
        <v/>
      </c>
      <c r="H150" s="24">
        <v>59</v>
      </c>
      <c r="I150" s="27" t="str">
        <f t="shared" si="22"/>
        <v/>
      </c>
      <c r="J150" s="26">
        <v>19</v>
      </c>
      <c r="K150" s="27" t="str">
        <f t="shared" si="23"/>
        <v/>
      </c>
      <c r="L150" s="24">
        <v>44</v>
      </c>
      <c r="M150" s="27" t="str">
        <f t="shared" si="24"/>
        <v/>
      </c>
      <c r="N150" s="26">
        <v>16</v>
      </c>
      <c r="O150" s="27" t="str">
        <f t="shared" si="25"/>
        <v/>
      </c>
      <c r="P150" s="26">
        <v>17</v>
      </c>
      <c r="Q150" s="27" t="str">
        <f t="shared" si="26"/>
        <v/>
      </c>
      <c r="R150" s="24">
        <v>40</v>
      </c>
      <c r="S150" s="27" t="str">
        <f t="shared" si="27"/>
        <v/>
      </c>
      <c r="T150" s="26">
        <v>22</v>
      </c>
      <c r="U150" s="27" t="str">
        <f t="shared" si="28"/>
        <v/>
      </c>
      <c r="V150" s="26">
        <v>14</v>
      </c>
      <c r="W150" s="27" t="str">
        <f t="shared" si="29"/>
        <v/>
      </c>
      <c r="X150" s="24">
        <v>59</v>
      </c>
      <c r="Y150" s="27" t="str">
        <f t="shared" si="30"/>
        <v/>
      </c>
      <c r="Z150" s="26">
        <v>21</v>
      </c>
      <c r="AA150" s="27" t="str">
        <f t="shared" si="31"/>
        <v/>
      </c>
      <c r="AB150" s="26">
        <v>21</v>
      </c>
      <c r="AC150" s="27" t="str">
        <f t="shared" si="32"/>
        <v/>
      </c>
      <c r="AD150" s="24">
        <v>40</v>
      </c>
      <c r="AE150" s="27" t="str">
        <f t="shared" si="33"/>
        <v/>
      </c>
      <c r="AF150" s="26">
        <v>21</v>
      </c>
      <c r="AG150" s="27" t="str">
        <f t="shared" si="34"/>
        <v/>
      </c>
      <c r="AH150" s="26">
        <v>18</v>
      </c>
      <c r="AI150" s="27" t="str">
        <f t="shared" si="35"/>
        <v/>
      </c>
      <c r="AJ150" s="32">
        <f>IF(OR(AND(D150&gt;=31,D150&lt;40),AND(H150&gt;=31,H150&lt;40),AND(L150&gt;=31,L150&lt;40),AND(R150&gt;=31,R150&lt;40),AND(X150&gt;=31,X150&lt;40),AND(AD150&gt;=31,AD150&lt;40)),IF(AND(OR(COUNTIF(D150:AI150,"=31")&gt;=1,COUNTIF(D150:AI150,"=32")&gt;=1,COUNTIF(D150:AI150,"=33")&gt;=1,COUNTIF(D150:AI150,"=34")&gt;=1,COUNTIF(D150:AI150,"=35")&gt;=1,COUNTIF(D150:AI150,"=36")&gt;=1 ),COUNTIF(D150:AI150,"")=0,COUNTIF(D150:AI150," ")=0,COUNTIF(D150:AI150,"F")=1),CONCATENATE(SUM(EXTRACTNUMBER(D150),EXTRACTNUMBER(F150),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EXTRACTNUMBER(AD150),EXTRACTNUMBER(AH150),EXTRACTNUMBER(AF150)),"*"),IF(AND(COUNTIF(D150:AI150,"=34")&gt;=1,COUNTIF(D150:AI150,"=35")&gt;=1,COUNTIF(D150:AI150,"f")=2,COUNTIF(D150:AI150,"")=0,COUNTIF(D150:AI150," ")=0),CONCATENATE(SUM(EXTRACTNUMBER(D150),EXTRACTNUMBER(F150),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EXTRACTNUMBER(AD150),EXTRACTNUMBER(AH150),EXTRACTNUMBER(AF150)),"*"),IF(AND(COUNTIF(D150:AI150,"=36")&gt;=2,COUNTIF(D150:AI150,"f")=2,COUNTIF(D150:AI150,"")=0,COUNTIF(D150:AI150," ")=0),CONCATENATE(SUM(EXTRACTNUMBER(D150),EXTRACTNUMBER(F150),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EXTRACTNUMBER(AD150),EXTRACTNUMBER(AH150),EXTRACTNUMBER(AF150)),"*"),SUM(EXTRACTNUMBER(D150),EXTRACTNUMBER(F150),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EXTRACTNUMBER(AD150),EXTRACTNUMBER(AH150),EXTRACTNUMBER(AF150))))),SUM(EXTRACTNUMBER(D150),EXTRACTNUMBER(F150),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EXTRACTNUMBER(AD150),EXTRACTNUMBER(AH150),EXTRACTNUMBER(AF150)))</f>
        <v>467</v>
      </c>
      <c r="AK150" s="94" t="s">
        <v>593</v>
      </c>
      <c r="AL150" s="29">
        <f t="shared" si="19"/>
        <v>933</v>
      </c>
      <c r="AM150" s="29" t="str">
        <f t="shared" si="36"/>
        <v>PASS</v>
      </c>
      <c r="AN150" s="30" t="str">
        <f>IF(AM150="ABSENT","AB",IF(AM150="FAIL","--",
IF(AK150=0,"RS 3",
IF(AND(SUM(EXTRACTNUMBER(AK150),EXTRACTNUMBER(AJ150))&gt;=1010,
        NOT(IFERROR(FIND("x",AK150),0)),
        NOT(IFERROR(FIND("x",AJ150),0))),"I",
IF(AND(SUM(EXTRACTNUMBER(AK150),EXTRACTNUMBER(AJ150))&gt;=850,
      SUM(EXTRACTNUMBER(AK150),EXTRACTNUMBER(AJ150))&lt;1010,
      NOT(IFERROR(FIND("x",AK150),0)),
      NOT(IFERROR(FIND("x",AJ150),0))),"II",
IF(OR(AND(SUM(EXTRACTNUMBER(AK150),EXTRACTNUMBER(AJ150))&lt;850,
SUM(EXTRACTNUMBER(AK150),EXTRACTNUMBER(AJ150))&gt;=670),
IFERROR(FIND("x",AK150),0),IFERROR(FIND("x",AJ150),0)),"P","--"))))))</f>
        <v>P</v>
      </c>
      <c r="AO150" s="2" t="str">
        <f t="shared" si="37"/>
        <v xml:space="preserve">Nine Hundred Thirty Three </v>
      </c>
    </row>
    <row r="151" spans="2:41" ht="16.5" customHeight="1">
      <c r="B151" s="45">
        <v>134324</v>
      </c>
      <c r="C151" s="46" t="s">
        <v>147</v>
      </c>
      <c r="D151" s="43">
        <v>42</v>
      </c>
      <c r="E151" s="27" t="str">
        <f t="shared" si="20"/>
        <v/>
      </c>
      <c r="F151" s="26">
        <v>17</v>
      </c>
      <c r="G151" s="27" t="str">
        <f t="shared" si="21"/>
        <v/>
      </c>
      <c r="H151" s="24">
        <v>69</v>
      </c>
      <c r="I151" s="27" t="str">
        <f t="shared" si="22"/>
        <v/>
      </c>
      <c r="J151" s="26">
        <v>17</v>
      </c>
      <c r="K151" s="27" t="str">
        <f t="shared" si="23"/>
        <v/>
      </c>
      <c r="L151" s="24">
        <v>57</v>
      </c>
      <c r="M151" s="27" t="str">
        <f t="shared" si="24"/>
        <v/>
      </c>
      <c r="N151" s="26">
        <v>16</v>
      </c>
      <c r="O151" s="27" t="str">
        <f t="shared" si="25"/>
        <v/>
      </c>
      <c r="P151" s="26">
        <v>17</v>
      </c>
      <c r="Q151" s="27" t="str">
        <f t="shared" si="26"/>
        <v/>
      </c>
      <c r="R151" s="24">
        <v>60</v>
      </c>
      <c r="S151" s="27" t="str">
        <f t="shared" si="27"/>
        <v/>
      </c>
      <c r="T151" s="26">
        <v>21</v>
      </c>
      <c r="U151" s="27" t="str">
        <f t="shared" si="28"/>
        <v/>
      </c>
      <c r="V151" s="26">
        <v>14</v>
      </c>
      <c r="W151" s="27" t="str">
        <f t="shared" si="29"/>
        <v/>
      </c>
      <c r="X151" s="24">
        <v>50</v>
      </c>
      <c r="Y151" s="27" t="str">
        <f t="shared" si="30"/>
        <v/>
      </c>
      <c r="Z151" s="26">
        <v>20</v>
      </c>
      <c r="AA151" s="27" t="str">
        <f t="shared" si="31"/>
        <v/>
      </c>
      <c r="AB151" s="26">
        <v>20</v>
      </c>
      <c r="AC151" s="27" t="str">
        <f t="shared" si="32"/>
        <v/>
      </c>
      <c r="AD151" s="24">
        <v>57</v>
      </c>
      <c r="AE151" s="27" t="str">
        <f t="shared" si="33"/>
        <v/>
      </c>
      <c r="AF151" s="26">
        <v>21</v>
      </c>
      <c r="AG151" s="27" t="str">
        <f t="shared" si="34"/>
        <v/>
      </c>
      <c r="AH151" s="26">
        <v>17</v>
      </c>
      <c r="AI151" s="27" t="str">
        <f t="shared" si="35"/>
        <v/>
      </c>
      <c r="AJ151" s="32">
        <f>IF(OR(AND(D151&gt;=31,D151&lt;40),AND(H151&gt;=31,H151&lt;40),AND(L151&gt;=31,L151&lt;40),AND(R151&gt;=31,R151&lt;40),AND(X151&gt;=31,X151&lt;40),AND(AD151&gt;=31,AD151&lt;40)),IF(AND(OR(COUNTIF(D151:AI151,"=31")&gt;=1,COUNTIF(D151:AI151,"=32")&gt;=1,COUNTIF(D151:AI151,"=33")&gt;=1,COUNTIF(D151:AI151,"=34")&gt;=1,COUNTIF(D151:AI151,"=35")&gt;=1,COUNTIF(D151:AI151,"=36")&gt;=1 ),COUNTIF(D151:AI151,"")=0,COUNTIF(D151:AI151," ")=0,COUNTIF(D151:AI151,"F")=1),CONCATENATE(SUM(EXTRACTNUMBER(D151),EXTRACTNUMBER(F151),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EXTRACTNUMBER(AD151),EXTRACTNUMBER(AH151),EXTRACTNUMBER(AF151)),"*"),IF(AND(COUNTIF(D151:AI151,"=34")&gt;=1,COUNTIF(D151:AI151,"=35")&gt;=1,COUNTIF(D151:AI151,"f")=2,COUNTIF(D151:AI151,"")=0,COUNTIF(D151:AI151," ")=0),CONCATENATE(SUM(EXTRACTNUMBER(D151),EXTRACTNUMBER(F151),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EXTRACTNUMBER(AD151),EXTRACTNUMBER(AH151),EXTRACTNUMBER(AF151)),"*"),IF(AND(COUNTIF(D151:AI151,"=36")&gt;=2,COUNTIF(D151:AI151,"f")=2,COUNTIF(D151:AI151,"")=0,COUNTIF(D151:AI151," ")=0),CONCATENATE(SUM(EXTRACTNUMBER(D151),EXTRACTNUMBER(F151),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EXTRACTNUMBER(AD151),EXTRACTNUMBER(AH151),EXTRACTNUMBER(AF151)),"*"),SUM(EXTRACTNUMBER(D151),EXTRACTNUMBER(F151),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EXTRACTNUMBER(AD151),EXTRACTNUMBER(AH151),EXTRACTNUMBER(AF151))))),SUM(EXTRACTNUMBER(D151),EXTRACTNUMBER(F151),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EXTRACTNUMBER(AD151),EXTRACTNUMBER(AH151),EXTRACTNUMBER(AF151)))</f>
        <v>515</v>
      </c>
      <c r="AK151" s="28" t="s">
        <v>295</v>
      </c>
      <c r="AL151" s="29">
        <f t="shared" si="19"/>
        <v>1092</v>
      </c>
      <c r="AM151" s="29" t="str">
        <f t="shared" si="36"/>
        <v>PASS</v>
      </c>
      <c r="AN151" s="30" t="str">
        <f>IF(AM151="ABSENT","AB",IF(AM151="FAIL","--",
IF(AK151=0,"RS 3",
IF(AND(SUM(EXTRACTNUMBER(AK151),EXTRACTNUMBER(AJ151))&gt;=1010,
        NOT(IFERROR(FIND("x",AK151),0)),
        NOT(IFERROR(FIND("x",AJ151),0))),"I",
IF(AND(SUM(EXTRACTNUMBER(AK151),EXTRACTNUMBER(AJ151))&gt;=850,
      SUM(EXTRACTNUMBER(AK151),EXTRACTNUMBER(AJ151))&lt;1010,
      NOT(IFERROR(FIND("x",AK151),0)),
      NOT(IFERROR(FIND("x",AJ151),0))),"II",
IF(OR(AND(SUM(EXTRACTNUMBER(AK151),EXTRACTNUMBER(AJ151))&lt;850,
SUM(EXTRACTNUMBER(AK151),EXTRACTNUMBER(AJ151))&gt;=670),
IFERROR(FIND("x",AK151),0),IFERROR(FIND("x",AJ151),0)),"P","--"))))))</f>
        <v>I</v>
      </c>
      <c r="AO151" s="2" t="str">
        <f t="shared" si="37"/>
        <v xml:space="preserve">One Thousand NinetyTwo </v>
      </c>
    </row>
    <row r="152" spans="2:41" ht="16.5" customHeight="1">
      <c r="B152" s="45">
        <v>134325</v>
      </c>
      <c r="C152" s="46" t="s">
        <v>148</v>
      </c>
      <c r="D152" s="43">
        <v>45</v>
      </c>
      <c r="E152" s="27" t="str">
        <f t="shared" si="20"/>
        <v>E</v>
      </c>
      <c r="F152" s="26">
        <v>13</v>
      </c>
      <c r="G152" s="27" t="str">
        <f t="shared" si="21"/>
        <v>E</v>
      </c>
      <c r="H152" s="24">
        <v>58</v>
      </c>
      <c r="I152" s="27" t="str">
        <f t="shared" si="22"/>
        <v>E</v>
      </c>
      <c r="J152" s="26">
        <v>16</v>
      </c>
      <c r="K152" s="27" t="str">
        <f t="shared" si="23"/>
        <v>E</v>
      </c>
      <c r="L152" s="24">
        <v>40</v>
      </c>
      <c r="M152" s="27" t="str">
        <f t="shared" si="24"/>
        <v>E</v>
      </c>
      <c r="N152" s="26">
        <v>16</v>
      </c>
      <c r="O152" s="27" t="str">
        <f t="shared" si="25"/>
        <v>E</v>
      </c>
      <c r="P152" s="26">
        <v>17</v>
      </c>
      <c r="Q152" s="27" t="str">
        <f t="shared" si="26"/>
        <v>E</v>
      </c>
      <c r="R152" s="24">
        <v>25</v>
      </c>
      <c r="S152" s="27" t="str">
        <f t="shared" si="27"/>
        <v>F</v>
      </c>
      <c r="T152" s="26">
        <v>22</v>
      </c>
      <c r="U152" s="27" t="str">
        <f t="shared" si="28"/>
        <v>E</v>
      </c>
      <c r="V152" s="26">
        <v>21</v>
      </c>
      <c r="W152" s="27" t="str">
        <f t="shared" si="29"/>
        <v>E</v>
      </c>
      <c r="X152" s="24">
        <v>40</v>
      </c>
      <c r="Y152" s="27" t="str">
        <f t="shared" si="30"/>
        <v>E</v>
      </c>
      <c r="Z152" s="26">
        <v>20</v>
      </c>
      <c r="AA152" s="27" t="str">
        <f t="shared" si="31"/>
        <v>E</v>
      </c>
      <c r="AB152" s="26">
        <v>21</v>
      </c>
      <c r="AC152" s="27" t="str">
        <f t="shared" si="32"/>
        <v>E</v>
      </c>
      <c r="AD152" s="24">
        <v>30</v>
      </c>
      <c r="AE152" s="27" t="str">
        <f t="shared" si="33"/>
        <v>F</v>
      </c>
      <c r="AF152" s="26">
        <v>16</v>
      </c>
      <c r="AG152" s="27" t="str">
        <f t="shared" si="34"/>
        <v>E</v>
      </c>
      <c r="AH152" s="26">
        <v>17</v>
      </c>
      <c r="AI152" s="27" t="str">
        <f t="shared" si="35"/>
        <v>E</v>
      </c>
      <c r="AJ152" s="32">
        <f>IF(OR(AND(D152&gt;=31,D152&lt;40),AND(H152&gt;=31,H152&lt;40),AND(L152&gt;=31,L152&lt;40),AND(R152&gt;=31,R152&lt;40),AND(X152&gt;=31,X152&lt;40),AND(AD152&gt;=31,AD152&lt;40)),IF(AND(OR(COUNTIF(D152:AI152,"=31")&gt;=1,COUNTIF(D152:AI152,"=32")&gt;=1,COUNTIF(D152:AI152,"=33")&gt;=1,COUNTIF(D152:AI152,"=34")&gt;=1,COUNTIF(D152:AI152,"=35")&gt;=1,COUNTIF(D152:AI152,"=36")&gt;=1 ),COUNTIF(D152:AI152,"")=0,COUNTIF(D152:AI152," ")=0,COUNTIF(D152:AI152,"F")=1),CONCATENATE(SUM(EXTRACTNUMBER(D152),EXTRACTNUMBER(F152),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EXTRACTNUMBER(AD152),EXTRACTNUMBER(AH152),EXTRACTNUMBER(AF152)),"*"),IF(AND(COUNTIF(D152:AI152,"=34")&gt;=1,COUNTIF(D152:AI152,"=35")&gt;=1,COUNTIF(D152:AI152,"f")=2,COUNTIF(D152:AI152,"")=0,COUNTIF(D152:AI152," ")=0),CONCATENATE(SUM(EXTRACTNUMBER(D152),EXTRACTNUMBER(F152),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EXTRACTNUMBER(AD152),EXTRACTNUMBER(AH152),EXTRACTNUMBER(AF152)),"*"),IF(AND(COUNTIF(D152:AI152,"=36")&gt;=2,COUNTIF(D152:AI152,"f")=2,COUNTIF(D152:AI152,"")=0,COUNTIF(D152:AI152," ")=0),CONCATENATE(SUM(EXTRACTNUMBER(D152),EXTRACTNUMBER(F152),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EXTRACTNUMBER(AD152),EXTRACTNUMBER(AH152),EXTRACTNUMBER(AF152)),"*"),SUM(EXTRACTNUMBER(D152),EXTRACTNUMBER(F152),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EXTRACTNUMBER(AD152),EXTRACTNUMBER(AH152),EXTRACTNUMBER(AF152))))),SUM(EXTRACTNUMBER(D152),EXTRACTNUMBER(F152),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EXTRACTNUMBER(AD152),EXTRACTNUMBER(AH152),EXTRACTNUMBER(AF152)))</f>
        <v>417</v>
      </c>
      <c r="AK152" s="28" t="s">
        <v>296</v>
      </c>
      <c r="AL152" s="29">
        <f t="shared" si="19"/>
        <v>922</v>
      </c>
      <c r="AM152" s="29" t="str">
        <f t="shared" si="36"/>
        <v>FAIL</v>
      </c>
      <c r="AN152" s="30" t="str">
        <f>IF(AM152="ABSENT","AB",IF(AM152="FAIL","--",
IF(AK152=0,"RS 3",
IF(AND(SUM(EXTRACTNUMBER(AK152),EXTRACTNUMBER(AJ152))&gt;=1010,
        NOT(IFERROR(FIND("x",AK152),0)),
        NOT(IFERROR(FIND("x",AJ152),0))),"I",
IF(AND(SUM(EXTRACTNUMBER(AK152),EXTRACTNUMBER(AJ152))&gt;=850,
      SUM(EXTRACTNUMBER(AK152),EXTRACTNUMBER(AJ152))&lt;1010,
      NOT(IFERROR(FIND("x",AK152),0)),
      NOT(IFERROR(FIND("x",AJ152),0))),"II",
IF(OR(AND(SUM(EXTRACTNUMBER(AK152),EXTRACTNUMBER(AJ152))&lt;850,
SUM(EXTRACTNUMBER(AK152),EXTRACTNUMBER(AJ152))&gt;=670),
IFERROR(FIND("x",AK152),0),IFERROR(FIND("x",AJ152),0)),"P","--"))))))</f>
        <v>--</v>
      </c>
      <c r="AO152" s="2" t="str">
        <f t="shared" si="37"/>
        <v xml:space="preserve">Nine Hundred Twenty Two </v>
      </c>
    </row>
    <row r="153" spans="2:41" ht="16.5" customHeight="1">
      <c r="B153" s="45">
        <v>134326</v>
      </c>
      <c r="C153" s="46" t="s">
        <v>149</v>
      </c>
      <c r="D153" s="43">
        <v>40</v>
      </c>
      <c r="E153" s="27" t="str">
        <f t="shared" si="20"/>
        <v/>
      </c>
      <c r="F153" s="26">
        <v>21</v>
      </c>
      <c r="G153" s="27" t="str">
        <f t="shared" si="21"/>
        <v/>
      </c>
      <c r="H153" s="24">
        <v>52</v>
      </c>
      <c r="I153" s="27" t="str">
        <f t="shared" si="22"/>
        <v/>
      </c>
      <c r="J153" s="26">
        <v>20</v>
      </c>
      <c r="K153" s="27" t="str">
        <f t="shared" si="23"/>
        <v/>
      </c>
      <c r="L153" s="24">
        <v>53</v>
      </c>
      <c r="M153" s="27" t="str">
        <f t="shared" si="24"/>
        <v/>
      </c>
      <c r="N153" s="26">
        <v>20</v>
      </c>
      <c r="O153" s="27" t="str">
        <f t="shared" si="25"/>
        <v/>
      </c>
      <c r="P153" s="26">
        <v>22</v>
      </c>
      <c r="Q153" s="27" t="str">
        <f t="shared" si="26"/>
        <v/>
      </c>
      <c r="R153" s="24">
        <v>42</v>
      </c>
      <c r="S153" s="27" t="str">
        <f t="shared" si="27"/>
        <v/>
      </c>
      <c r="T153" s="26">
        <v>21</v>
      </c>
      <c r="U153" s="27" t="str">
        <f t="shared" si="28"/>
        <v/>
      </c>
      <c r="V153" s="26">
        <v>16</v>
      </c>
      <c r="W153" s="27" t="str">
        <f t="shared" si="29"/>
        <v/>
      </c>
      <c r="X153" s="24">
        <v>47</v>
      </c>
      <c r="Y153" s="27" t="str">
        <f t="shared" si="30"/>
        <v/>
      </c>
      <c r="Z153" s="26">
        <v>21</v>
      </c>
      <c r="AA153" s="27" t="str">
        <f t="shared" si="31"/>
        <v/>
      </c>
      <c r="AB153" s="26">
        <v>22</v>
      </c>
      <c r="AC153" s="27" t="str">
        <f t="shared" si="32"/>
        <v/>
      </c>
      <c r="AD153" s="24">
        <v>48</v>
      </c>
      <c r="AE153" s="27" t="str">
        <f t="shared" si="33"/>
        <v/>
      </c>
      <c r="AF153" s="26">
        <v>20</v>
      </c>
      <c r="AG153" s="27" t="str">
        <f t="shared" si="34"/>
        <v/>
      </c>
      <c r="AH153" s="26">
        <v>18</v>
      </c>
      <c r="AI153" s="27" t="str">
        <f t="shared" si="35"/>
        <v/>
      </c>
      <c r="AJ153" s="32">
        <f>IF(OR(AND(D153&gt;=31,D153&lt;40),AND(H153&gt;=31,H153&lt;40),AND(L153&gt;=31,L153&lt;40),AND(R153&gt;=31,R153&lt;40),AND(X153&gt;=31,X153&lt;40),AND(AD153&gt;=31,AD153&lt;40)),IF(AND(OR(COUNTIF(D153:AI153,"=31")&gt;=1,COUNTIF(D153:AI153,"=32")&gt;=1,COUNTIF(D153:AI153,"=33")&gt;=1,COUNTIF(D153:AI153,"=34")&gt;=1,COUNTIF(D153:AI153,"=35")&gt;=1,COUNTIF(D153:AI153,"=36")&gt;=1 ),COUNTIF(D153:AI153,"")=0,COUNTIF(D153:AI153," ")=0,COUNTIF(D153:AI153,"F")=1),CONCATENATE(SUM(EXTRACTNUMBER(D153),EXTRACTNUMBER(F153),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EXTRACTNUMBER(AD153),EXTRACTNUMBER(AH153),EXTRACTNUMBER(AF153)),"*"),IF(AND(COUNTIF(D153:AI153,"=34")&gt;=1,COUNTIF(D153:AI153,"=35")&gt;=1,COUNTIF(D153:AI153,"f")=2,COUNTIF(D153:AI153,"")=0,COUNTIF(D153:AI153," ")=0),CONCATENATE(SUM(EXTRACTNUMBER(D153),EXTRACTNUMBER(F153),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EXTRACTNUMBER(AD153),EXTRACTNUMBER(AH153),EXTRACTNUMBER(AF153)),"*"),IF(AND(COUNTIF(D153:AI153,"=36")&gt;=2,COUNTIF(D153:AI153,"f")=2,COUNTIF(D153:AI153,"")=0,COUNTIF(D153:AI153," ")=0),CONCATENATE(SUM(EXTRACTNUMBER(D153),EXTRACTNUMBER(F153),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EXTRACTNUMBER(AD153),EXTRACTNUMBER(AH153),EXTRACTNUMBER(AF153)),"*"),SUM(EXTRACTNUMBER(D153),EXTRACTNUMBER(F153),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EXTRACTNUMBER(AD153),EXTRACTNUMBER(AH153),EXTRACTNUMBER(AF153))))),SUM(EXTRACTNUMBER(D153),EXTRACTNUMBER(F153),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EXTRACTNUMBER(AD153),EXTRACTNUMBER(AH153),EXTRACTNUMBER(AF153)))</f>
        <v>483</v>
      </c>
      <c r="AK153" s="94" t="s">
        <v>594</v>
      </c>
      <c r="AL153" s="29">
        <f t="shared" si="19"/>
        <v>967</v>
      </c>
      <c r="AM153" s="29" t="str">
        <f t="shared" si="36"/>
        <v>PASS</v>
      </c>
      <c r="AN153" s="30" t="str">
        <f>IF(AM153="ABSENT","AB",IF(AM153="FAIL","--",
IF(AK153=0,"RS 3",
IF(AND(SUM(EXTRACTNUMBER(AK153),EXTRACTNUMBER(AJ153))&gt;=1010,
        NOT(IFERROR(FIND("x",AK153),0)),
        NOT(IFERROR(FIND("x",AJ153),0))),"I",
IF(AND(SUM(EXTRACTNUMBER(AK153),EXTRACTNUMBER(AJ153))&gt;=850,
      SUM(EXTRACTNUMBER(AK153),EXTRACTNUMBER(AJ153))&lt;1010,
      NOT(IFERROR(FIND("x",AK153),0)),
      NOT(IFERROR(FIND("x",AJ153),0))),"II",
IF(OR(AND(SUM(EXTRACTNUMBER(AK153),EXTRACTNUMBER(AJ153))&lt;850,
SUM(EXTRACTNUMBER(AK153),EXTRACTNUMBER(AJ153))&gt;=670),
IFERROR(FIND("x",AK153),0),IFERROR(FIND("x",AJ153),0)),"P","--"))))))</f>
        <v>P</v>
      </c>
      <c r="AO153" s="2" t="str">
        <f t="shared" si="37"/>
        <v xml:space="preserve">Nine Hundred Sixty Seven </v>
      </c>
    </row>
    <row r="154" spans="2:41" ht="16.5" customHeight="1">
      <c r="B154" s="45">
        <v>134327</v>
      </c>
      <c r="C154" s="46" t="s">
        <v>150</v>
      </c>
      <c r="D154" s="43">
        <v>40</v>
      </c>
      <c r="E154" s="27" t="str">
        <f t="shared" si="20"/>
        <v/>
      </c>
      <c r="F154" s="26">
        <v>13</v>
      </c>
      <c r="G154" s="27" t="str">
        <f t="shared" si="21"/>
        <v/>
      </c>
      <c r="H154" s="24">
        <v>67</v>
      </c>
      <c r="I154" s="27" t="str">
        <f t="shared" si="22"/>
        <v/>
      </c>
      <c r="J154" s="26">
        <v>20</v>
      </c>
      <c r="K154" s="27" t="str">
        <f t="shared" si="23"/>
        <v/>
      </c>
      <c r="L154" s="24">
        <v>44</v>
      </c>
      <c r="M154" s="27" t="str">
        <f t="shared" si="24"/>
        <v/>
      </c>
      <c r="N154" s="26">
        <v>16</v>
      </c>
      <c r="O154" s="27" t="str">
        <f t="shared" si="25"/>
        <v/>
      </c>
      <c r="P154" s="26">
        <v>17</v>
      </c>
      <c r="Q154" s="27" t="str">
        <f t="shared" si="26"/>
        <v/>
      </c>
      <c r="R154" s="24">
        <v>45</v>
      </c>
      <c r="S154" s="27" t="str">
        <f t="shared" si="27"/>
        <v/>
      </c>
      <c r="T154" s="26">
        <v>22</v>
      </c>
      <c r="U154" s="27" t="str">
        <f t="shared" si="28"/>
        <v/>
      </c>
      <c r="V154" s="26">
        <v>19</v>
      </c>
      <c r="W154" s="27" t="str">
        <f t="shared" si="29"/>
        <v/>
      </c>
      <c r="X154" s="24">
        <v>65</v>
      </c>
      <c r="Y154" s="27" t="str">
        <f t="shared" si="30"/>
        <v/>
      </c>
      <c r="Z154" s="26">
        <v>21</v>
      </c>
      <c r="AA154" s="27" t="str">
        <f t="shared" si="31"/>
        <v/>
      </c>
      <c r="AB154" s="26">
        <v>22</v>
      </c>
      <c r="AC154" s="27" t="str">
        <f t="shared" si="32"/>
        <v/>
      </c>
      <c r="AD154" s="24">
        <v>41</v>
      </c>
      <c r="AE154" s="27" t="str">
        <f t="shared" si="33"/>
        <v/>
      </c>
      <c r="AF154" s="26">
        <v>21</v>
      </c>
      <c r="AG154" s="27" t="str">
        <f t="shared" si="34"/>
        <v/>
      </c>
      <c r="AH154" s="26">
        <v>16</v>
      </c>
      <c r="AI154" s="27" t="str">
        <f t="shared" si="35"/>
        <v/>
      </c>
      <c r="AJ154" s="32">
        <f>IF(OR(AND(D154&gt;=31,D154&lt;40),AND(H154&gt;=31,H154&lt;40),AND(L154&gt;=31,L154&lt;40),AND(R154&gt;=31,R154&lt;40),AND(X154&gt;=31,X154&lt;40),AND(AD154&gt;=31,AD154&lt;40)),IF(AND(OR(COUNTIF(D154:AI154,"=31")&gt;=1,COUNTIF(D154:AI154,"=32")&gt;=1,COUNTIF(D154:AI154,"=33")&gt;=1,COUNTIF(D154:AI154,"=34")&gt;=1,COUNTIF(D154:AI154,"=35")&gt;=1,COUNTIF(D154:AI154,"=36")&gt;=1 ),COUNTIF(D154:AI154,"")=0,COUNTIF(D154:AI154," ")=0,COUNTIF(D154:AI154,"F")=1),CONCATENATE(SUM(EXTRACTNUMBER(D154),EXTRACTNUMBER(F154),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EXTRACTNUMBER(AD154),EXTRACTNUMBER(AH154),EXTRACTNUMBER(AF154)),"*"),IF(AND(COUNTIF(D154:AI154,"=34")&gt;=1,COUNTIF(D154:AI154,"=35")&gt;=1,COUNTIF(D154:AI154,"f")=2,COUNTIF(D154:AI154,"")=0,COUNTIF(D154:AI154," ")=0),CONCATENATE(SUM(EXTRACTNUMBER(D154),EXTRACTNUMBER(F154),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EXTRACTNUMBER(AD154),EXTRACTNUMBER(AH154),EXTRACTNUMBER(AF154)),"*"),IF(AND(COUNTIF(D154:AI154,"=36")&gt;=2,COUNTIF(D154:AI154,"f")=2,COUNTIF(D154:AI154,"")=0,COUNTIF(D154:AI154," ")=0),CONCATENATE(SUM(EXTRACTNUMBER(D154),EXTRACTNUMBER(F154),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EXTRACTNUMBER(AD154),EXTRACTNUMBER(AH154),EXTRACTNUMBER(AF154)),"*"),SUM(EXTRACTNUMBER(D154),EXTRACTNUMBER(F154),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EXTRACTNUMBER(AD154),EXTRACTNUMBER(AH154),EXTRACTNUMBER(AF154))))),SUM(EXTRACTNUMBER(D154),EXTRACTNUMBER(F154),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EXTRACTNUMBER(AD154),EXTRACTNUMBER(AH154),EXTRACTNUMBER(AF154)))</f>
        <v>489</v>
      </c>
      <c r="AK154" s="94" t="s">
        <v>640</v>
      </c>
      <c r="AL154" s="29">
        <f t="shared" si="19"/>
        <v>971</v>
      </c>
      <c r="AM154" s="29" t="str">
        <f t="shared" si="36"/>
        <v>PASS</v>
      </c>
      <c r="AN154" s="30" t="str">
        <f>IF(AM154="ABSENT","AB",IF(AM154="FAIL","--",
IF(AK154=0,"RS 3",
IF(AND(SUM(EXTRACTNUMBER(AK154),EXTRACTNUMBER(AJ154))&gt;=1010,
        NOT(IFERROR(FIND("x",AK154),0)),
        NOT(IFERROR(FIND("x",AJ154),0))),"I",
IF(AND(SUM(EXTRACTNUMBER(AK154),EXTRACTNUMBER(AJ154))&gt;=850,
      SUM(EXTRACTNUMBER(AK154),EXTRACTNUMBER(AJ154))&lt;1010,
      NOT(IFERROR(FIND("x",AK154),0)),
      NOT(IFERROR(FIND("x",AJ154),0))),"II",
IF(OR(AND(SUM(EXTRACTNUMBER(AK154),EXTRACTNUMBER(AJ154))&lt;850,
SUM(EXTRACTNUMBER(AK154),EXTRACTNUMBER(AJ154))&gt;=670),
IFERROR(FIND("x",AK154),0),IFERROR(FIND("x",AJ154),0)),"P","--"))))))</f>
        <v>II</v>
      </c>
      <c r="AO154" s="2" t="str">
        <f t="shared" si="37"/>
        <v xml:space="preserve">Nine Hundred Seventy One </v>
      </c>
    </row>
    <row r="155" spans="2:41" ht="16.5" customHeight="1">
      <c r="B155" s="45">
        <v>134328</v>
      </c>
      <c r="C155" s="46" t="s">
        <v>151</v>
      </c>
      <c r="D155" s="43">
        <v>47</v>
      </c>
      <c r="E155" s="27" t="str">
        <f t="shared" si="20"/>
        <v/>
      </c>
      <c r="F155" s="26">
        <v>17</v>
      </c>
      <c r="G155" s="27" t="str">
        <f t="shared" si="21"/>
        <v/>
      </c>
      <c r="H155" s="24">
        <v>50</v>
      </c>
      <c r="I155" s="27" t="str">
        <f t="shared" si="22"/>
        <v/>
      </c>
      <c r="J155" s="26">
        <v>18</v>
      </c>
      <c r="K155" s="27" t="str">
        <f t="shared" si="23"/>
        <v/>
      </c>
      <c r="L155" s="24">
        <v>40</v>
      </c>
      <c r="M155" s="27" t="str">
        <f t="shared" si="24"/>
        <v/>
      </c>
      <c r="N155" s="26">
        <v>22</v>
      </c>
      <c r="O155" s="27" t="str">
        <f t="shared" si="25"/>
        <v/>
      </c>
      <c r="P155" s="26">
        <v>22</v>
      </c>
      <c r="Q155" s="27" t="str">
        <f t="shared" si="26"/>
        <v/>
      </c>
      <c r="R155" s="24">
        <v>40</v>
      </c>
      <c r="S155" s="27" t="str">
        <f t="shared" si="27"/>
        <v/>
      </c>
      <c r="T155" s="26">
        <v>19</v>
      </c>
      <c r="U155" s="27" t="str">
        <f t="shared" si="28"/>
        <v/>
      </c>
      <c r="V155" s="26">
        <v>19</v>
      </c>
      <c r="W155" s="27" t="str">
        <f t="shared" si="29"/>
        <v/>
      </c>
      <c r="X155" s="24">
        <v>62</v>
      </c>
      <c r="Y155" s="27" t="str">
        <f t="shared" si="30"/>
        <v/>
      </c>
      <c r="Z155" s="26">
        <v>22</v>
      </c>
      <c r="AA155" s="27" t="str">
        <f t="shared" si="31"/>
        <v/>
      </c>
      <c r="AB155" s="26">
        <v>21</v>
      </c>
      <c r="AC155" s="27" t="str">
        <f t="shared" si="32"/>
        <v/>
      </c>
      <c r="AD155" s="24">
        <v>40</v>
      </c>
      <c r="AE155" s="27" t="str">
        <f t="shared" si="33"/>
        <v/>
      </c>
      <c r="AF155" s="26">
        <v>19</v>
      </c>
      <c r="AG155" s="27" t="str">
        <f t="shared" si="34"/>
        <v/>
      </c>
      <c r="AH155" s="26">
        <v>15</v>
      </c>
      <c r="AI155" s="27" t="str">
        <f t="shared" si="35"/>
        <v/>
      </c>
      <c r="AJ155" s="32">
        <f>IF(OR(AND(D155&gt;=31,D155&lt;40),AND(H155&gt;=31,H155&lt;40),AND(L155&gt;=31,L155&lt;40),AND(R155&gt;=31,R155&lt;40),AND(X155&gt;=31,X155&lt;40),AND(AD155&gt;=31,AD155&lt;40)),IF(AND(OR(COUNTIF(D155:AI155,"=31")&gt;=1,COUNTIF(D155:AI155,"=32")&gt;=1,COUNTIF(D155:AI155,"=33")&gt;=1,COUNTIF(D155:AI155,"=34")&gt;=1,COUNTIF(D155:AI155,"=35")&gt;=1,COUNTIF(D155:AI155,"=36")&gt;=1 ),COUNTIF(D155:AI155,"")=0,COUNTIF(D155:AI155," ")=0,COUNTIF(D155:AI155,"F")=1),CONCATENATE(SUM(EXTRACTNUMBER(D155),EXTRACTNUMBER(F155),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EXTRACTNUMBER(AD155),EXTRACTNUMBER(AH155),EXTRACTNUMBER(AF155)),"*"),IF(AND(COUNTIF(D155:AI155,"=34")&gt;=1,COUNTIF(D155:AI155,"=35")&gt;=1,COUNTIF(D155:AI155,"f")=2,COUNTIF(D155:AI155,"")=0,COUNTIF(D155:AI155," ")=0),CONCATENATE(SUM(EXTRACTNUMBER(D155),EXTRACTNUMBER(F155),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EXTRACTNUMBER(AD155),EXTRACTNUMBER(AH155),EXTRACTNUMBER(AF155)),"*"),IF(AND(COUNTIF(D155:AI155,"=36")&gt;=2,COUNTIF(D155:AI155,"f")=2,COUNTIF(D155:AI155,"")=0,COUNTIF(D155:AI155," ")=0),CONCATENATE(SUM(EXTRACTNUMBER(D155),EXTRACTNUMBER(F155),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EXTRACTNUMBER(AD155),EXTRACTNUMBER(AH155),EXTRACTNUMBER(AF155)),"*"),SUM(EXTRACTNUMBER(D155),EXTRACTNUMBER(F155),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EXTRACTNUMBER(AD155),EXTRACTNUMBER(AH155),EXTRACTNUMBER(AF155))))),SUM(EXTRACTNUMBER(D155),EXTRACTNUMBER(F155),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EXTRACTNUMBER(AD155),EXTRACTNUMBER(AH155),EXTRACTNUMBER(AF155)))</f>
        <v>473</v>
      </c>
      <c r="AK155" s="28" t="s">
        <v>297</v>
      </c>
      <c r="AL155" s="29">
        <f t="shared" si="19"/>
        <v>962</v>
      </c>
      <c r="AM155" s="29" t="str">
        <f t="shared" si="36"/>
        <v>PASS</v>
      </c>
      <c r="AN155" s="30" t="str">
        <f>IF(AM155="ABSENT","AB",IF(AM155="FAIL","--",
IF(AK155=0,"RS 3",
IF(AND(SUM(EXTRACTNUMBER(AK155),EXTRACTNUMBER(AJ155))&gt;=1010,
        NOT(IFERROR(FIND("x",AK155),0)),
        NOT(IFERROR(FIND("x",AJ155),0))),"I",
IF(AND(SUM(EXTRACTNUMBER(AK155),EXTRACTNUMBER(AJ155))&gt;=850,
      SUM(EXTRACTNUMBER(AK155),EXTRACTNUMBER(AJ155))&lt;1010,
      NOT(IFERROR(FIND("x",AK155),0)),
      NOT(IFERROR(FIND("x",AJ155),0))),"II",
IF(OR(AND(SUM(EXTRACTNUMBER(AK155),EXTRACTNUMBER(AJ155))&lt;850,
SUM(EXTRACTNUMBER(AK155),EXTRACTNUMBER(AJ155))&gt;=670),
IFERROR(FIND("x",AK155),0),IFERROR(FIND("x",AJ155),0)),"P","--"))))))</f>
        <v>II</v>
      </c>
      <c r="AO155" s="2" t="str">
        <f t="shared" si="37"/>
        <v xml:space="preserve">Nine Hundred Sixty Two </v>
      </c>
    </row>
    <row r="156" spans="2:41" ht="16.5" customHeight="1">
      <c r="B156" s="45">
        <v>134329</v>
      </c>
      <c r="C156" s="46" t="s">
        <v>152</v>
      </c>
      <c r="D156" s="43">
        <v>40</v>
      </c>
      <c r="E156" s="27" t="str">
        <f t="shared" si="20"/>
        <v/>
      </c>
      <c r="F156" s="26">
        <v>15</v>
      </c>
      <c r="G156" s="27" t="str">
        <f t="shared" si="21"/>
        <v/>
      </c>
      <c r="H156" s="24">
        <v>40</v>
      </c>
      <c r="I156" s="27" t="str">
        <f t="shared" si="22"/>
        <v/>
      </c>
      <c r="J156" s="26">
        <v>23</v>
      </c>
      <c r="K156" s="27" t="str">
        <f t="shared" si="23"/>
        <v/>
      </c>
      <c r="L156" s="24">
        <v>42</v>
      </c>
      <c r="M156" s="27" t="str">
        <f t="shared" si="24"/>
        <v/>
      </c>
      <c r="N156" s="26">
        <v>22</v>
      </c>
      <c r="O156" s="27" t="str">
        <f t="shared" si="25"/>
        <v/>
      </c>
      <c r="P156" s="26">
        <v>22</v>
      </c>
      <c r="Q156" s="27" t="str">
        <f t="shared" si="26"/>
        <v/>
      </c>
      <c r="R156" s="24">
        <v>47</v>
      </c>
      <c r="S156" s="27" t="str">
        <f t="shared" si="27"/>
        <v/>
      </c>
      <c r="T156" s="26">
        <v>23</v>
      </c>
      <c r="U156" s="27" t="str">
        <f t="shared" si="28"/>
        <v/>
      </c>
      <c r="V156" s="26">
        <v>21</v>
      </c>
      <c r="W156" s="27" t="str">
        <f t="shared" si="29"/>
        <v/>
      </c>
      <c r="X156" s="24">
        <v>53</v>
      </c>
      <c r="Y156" s="27" t="str">
        <f t="shared" si="30"/>
        <v/>
      </c>
      <c r="Z156" s="26">
        <v>23</v>
      </c>
      <c r="AA156" s="27" t="str">
        <f t="shared" si="31"/>
        <v/>
      </c>
      <c r="AB156" s="26">
        <v>22</v>
      </c>
      <c r="AC156" s="27" t="str">
        <f t="shared" si="32"/>
        <v/>
      </c>
      <c r="AD156" s="24">
        <v>43</v>
      </c>
      <c r="AE156" s="27" t="str">
        <f t="shared" si="33"/>
        <v/>
      </c>
      <c r="AF156" s="26">
        <v>23</v>
      </c>
      <c r="AG156" s="27" t="str">
        <f t="shared" si="34"/>
        <v/>
      </c>
      <c r="AH156" s="26">
        <v>13</v>
      </c>
      <c r="AI156" s="27" t="str">
        <f t="shared" si="35"/>
        <v/>
      </c>
      <c r="AJ156" s="32">
        <f>IF(OR(AND(D156&gt;=31,D156&lt;40),AND(H156&gt;=31,H156&lt;40),AND(L156&gt;=31,L156&lt;40),AND(R156&gt;=31,R156&lt;40),AND(X156&gt;=31,X156&lt;40),AND(AD156&gt;=31,AD156&lt;40)),IF(AND(OR(COUNTIF(D156:AI156,"=31")&gt;=1,COUNTIF(D156:AI156,"=32")&gt;=1,COUNTIF(D156:AI156,"=33")&gt;=1,COUNTIF(D156:AI156,"=34")&gt;=1,COUNTIF(D156:AI156,"=35")&gt;=1,COUNTIF(D156:AI156,"=36")&gt;=1 ),COUNTIF(D156:AI156,"")=0,COUNTIF(D156:AI156," ")=0,COUNTIF(D156:AI156,"F")=1),CONCATENATE(SUM(EXTRACTNUMBER(D156),EXTRACTNUMBER(F156),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EXTRACTNUMBER(AD156),EXTRACTNUMBER(AH156),EXTRACTNUMBER(AF156)),"*"),IF(AND(COUNTIF(D156:AI156,"=34")&gt;=1,COUNTIF(D156:AI156,"=35")&gt;=1,COUNTIF(D156:AI156,"f")=2,COUNTIF(D156:AI156,"")=0,COUNTIF(D156:AI156," ")=0),CONCATENATE(SUM(EXTRACTNUMBER(D156),EXTRACTNUMBER(F156),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EXTRACTNUMBER(AD156),EXTRACTNUMBER(AH156),EXTRACTNUMBER(AF156)),"*"),IF(AND(COUNTIF(D156:AI156,"=36")&gt;=2,COUNTIF(D156:AI156,"f")=2,COUNTIF(D156:AI156,"")=0,COUNTIF(D156:AI156," ")=0),CONCATENATE(SUM(EXTRACTNUMBER(D156),EXTRACTNUMBER(F156),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EXTRACTNUMBER(AD156),EXTRACTNUMBER(AH156),EXTRACTNUMBER(AF156)),"*"),SUM(EXTRACTNUMBER(D156),EXTRACTNUMBER(F156),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EXTRACTNUMBER(AD156),EXTRACTNUMBER(AH156),EXTRACTNUMBER(AF156))))),SUM(EXTRACTNUMBER(D156),EXTRACTNUMBER(F156),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EXTRACTNUMBER(AD156),EXTRACTNUMBER(AH156),EXTRACTNUMBER(AF156)))</f>
        <v>472</v>
      </c>
      <c r="AK156" s="94" t="s">
        <v>594</v>
      </c>
      <c r="AL156" s="29">
        <f t="shared" ref="AL156:AL209" si="38">IF(IFERROR(FIND("x",AK156),0),SUM(EXTRACTNUMBER(AJ156),EXTRACTNUMBER(AK156)),IF(AND(SUM(EXTRACTNUMBER(AJ156),EXTRACTNUMBER(AK156))&gt;1009,SUM(EXTRACTNUMBER(AJ156),EXTRACTNUMBER(AK156))&lt;1020),
CONCATENATE(SUM(EXTRACTNUMBER(AJ156),EXTRACTNUMBER(AK156)),"@",1020-SUM(EXTRACTNUMBER(AJ156),EXTRACTNUMBER(AK156))),
IF(AND(SUM(EXTRACTNUMBER(AJ156),EXTRACTNUMBER(AK156))&gt;839,   SUM(EXTRACTNUMBER(AJ156),EXTRACTNUMBER(AK156))&lt;850),CONCATENATE(SUM(EXTRACTNUMBER(AJ156),EXTRACTNUMBER(AK156)),"@",850-SUM(EXTRACTNUMBER(AJ156),EXTRACTNUMBER(AK156))),
IF(AND(SUM(EXTRACTNUMBER(AJ156),EXTRACTNUMBER(AK156))&gt;669,        SUM(EXTRACTNUMBER(AJ156),EXTRACTNUMBER(AK156))&lt;680),
CONCATENATE(SUM(EXTRACTNUMBER(AJ156),EXTRACTNUMBER(AK156)),"@",680-SUM(EXTRACTNUMBER(AJ156),EXTRACTNUMBER(AK156))),
SUM(EXTRACTNUMBER(AJ156),EXTRACTNUMBER(AK156))))))</f>
        <v>956</v>
      </c>
      <c r="AM156" s="29" t="str">
        <f t="shared" si="36"/>
        <v>PASS</v>
      </c>
      <c r="AN156" s="30" t="str">
        <f>IF(AM156="ABSENT","AB",IF(AM156="FAIL","--",
IF(AK156=0,"RS 3",
IF(AND(SUM(EXTRACTNUMBER(AK156),EXTRACTNUMBER(AJ156))&gt;=1010,
        NOT(IFERROR(FIND("x",AK156),0)),
        NOT(IFERROR(FIND("x",AJ156),0))),"I",
IF(AND(SUM(EXTRACTNUMBER(AK156),EXTRACTNUMBER(AJ156))&gt;=850,
      SUM(EXTRACTNUMBER(AK156),EXTRACTNUMBER(AJ156))&lt;1010,
      NOT(IFERROR(FIND("x",AK156),0)),
      NOT(IFERROR(FIND("x",AJ156),0))),"II",
IF(OR(AND(SUM(EXTRACTNUMBER(AK156),EXTRACTNUMBER(AJ156))&lt;850,
SUM(EXTRACTNUMBER(AK156),EXTRACTNUMBER(AJ156))&gt;=670),
IFERROR(FIND("x",AK156),0),IFERROR(FIND("x",AJ156),0)),"P","--"))))))</f>
        <v>P</v>
      </c>
      <c r="AO156" s="2" t="str">
        <f t="shared" si="37"/>
        <v xml:space="preserve">Nine Hundred Fifty Six </v>
      </c>
    </row>
    <row r="157" spans="2:41" ht="16.5" customHeight="1">
      <c r="B157" s="45">
        <v>134330</v>
      </c>
      <c r="C157" s="46" t="s">
        <v>153</v>
      </c>
      <c r="D157" s="43">
        <v>49</v>
      </c>
      <c r="E157" s="27" t="str">
        <f t="shared" ref="E157:E209" si="39">IF(IFERROR(FIND("+",D157),0)," ",
IF(D157="AB","",
IF(D157&lt;$D$27,"F",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F157" s="26">
        <v>19</v>
      </c>
      <c r="G157" s="27" t="str">
        <f t="shared" ref="G157:G209" si="40">IF(IFERROR(FIND("+",F157),0)," ",
IF(F157="AB","",
IF(F157&lt;$F$27,"F",
IF(AND(F157&gt;=$F$27,D157&gt;=$D$27,H157&gt;=$H$27,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H157" s="24">
        <v>48</v>
      </c>
      <c r="I157" s="27" t="str">
        <f t="shared" ref="I157:I209" si="41">IF(IFERROR(FIND("+",H157),0)," ",
IF(H157="AB","",
IF(H157&lt;$H$27,"F",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J157" s="26">
        <v>22</v>
      </c>
      <c r="K157" s="27" t="str">
        <f t="shared" ref="K157:K209" si="42">IF(IFERROR(FIND("+",J157),0)," ",
IF(J157="AB","",
IF(J157&lt;$J$27,"F",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L157" s="24">
        <v>40</v>
      </c>
      <c r="M157" s="27" t="str">
        <f t="shared" ref="M157:M209" si="43">IF(IFERROR(FIND("+",L157),0)," ",
IF(L157="AB","",
IF(L157&lt;$L$27,"F",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N157" s="26">
        <v>17</v>
      </c>
      <c r="O157" s="27" t="str">
        <f t="shared" ref="O157:O209" si="44">IF(IFERROR(FIND("+",N157),0)," ",
IF(N157="AB","",
IF(N157&lt;$N$27,"F",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AH157&lt;&gt;"AB"),"","E"))))</f>
        <v/>
      </c>
      <c r="P157" s="26">
        <v>19</v>
      </c>
      <c r="Q157" s="27" t="str">
        <f t="shared" ref="Q157:Q209" si="45">IF(IFERROR(FIND("+",P157),0)," ",
IF(P157="AB","",
IF(P157&lt;$P$27,"F",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R157" s="24">
        <v>40</v>
      </c>
      <c r="S157" s="27" t="str">
        <f t="shared" ref="S157:S209" si="46">IF(IFERROR(FIND("+",R157),0)," ",
IF(R157="AB","",
IF(R157&lt;$R$27,"F",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T157" s="26">
        <v>23</v>
      </c>
      <c r="U157" s="27" t="str">
        <f t="shared" ref="U157:U209" si="47">IF(IFERROR(FIND("+",T157),0)," ",
IF(T157="AB","",
IF(T157&lt;$T$27,"F",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V157" s="26">
        <v>23</v>
      </c>
      <c r="W157" s="27" t="str">
        <f t="shared" ref="W157:W209" si="48">IF(IFERROR(FIND("+",V157),0)," ",
IF(V157="AB","",
IF(V157&lt;$V$27,"F",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X157" s="24">
        <v>52</v>
      </c>
      <c r="Y157" s="27" t="str">
        <f t="shared" ref="Y157:Y209" si="49">IF(IFERROR(FIND("+",X157),0)," ",
IF(X157="AB","",
IF(X157&lt;$X$27,"F",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Z157" s="26">
        <v>21</v>
      </c>
      <c r="AA157" s="27" t="str">
        <f t="shared" ref="AA157:AA209" si="50">IF(IFERROR(FIND("+",Z157),0)," ",
IF(Z157="AB","",
IF(Z157&lt;$Z$27,"F",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AB157" s="26">
        <v>20</v>
      </c>
      <c r="AC157" s="27" t="str">
        <f t="shared" ref="AC157:AC209" si="51">IF(IFERROR(FIND("+",AB157),0)," ",
IF(AB157="AB","",
IF(AB157&lt;$AB$27,"F",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AD157" s="24">
        <v>45</v>
      </c>
      <c r="AE157" s="27" t="str">
        <f t="shared" ref="AE157:AE209" si="52">IF(IFERROR(FIND("+",AD157),0)," ",
IF(AD157="AB","",
IF(AD157&lt;$AD$27,"F",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AF157" s="26">
        <v>23</v>
      </c>
      <c r="AG157" s="27" t="str">
        <f t="shared" ref="AG157:AG209" si="53">IF(IFERROR(FIND("+",AF157),0)," ",
IF(AF157="AB","",IF(AF157&lt;$AF$27,"F",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AH157" s="26">
        <v>20</v>
      </c>
      <c r="AI157" s="27" t="str">
        <f t="shared" ref="AI157:AI209" si="54">IF(IFERROR(FIND("+",AH157),0)," ",
IF(AH157="AB","",
IF(AH157&lt;$AH$27,"F",
IF(AND(D157&gt;=$D$27,F157&gt;=$F$27,H157&gt;=$H$27,
J157&gt;=$J$27,L157&gt;=$L$27,
N157&gt;=$N$27,P157&gt;=$P$27,R157&gt;=$R$27,T157&gt;=$T$27,V157&gt;=$V$27,
X157&gt;=$X$27,Z157&gt;=$Z$27,AB157&gt;=$AB$27,AD157&gt;=$AD$27,AF157&gt;=$AF$27,
AH157&gt;=$AH$27,D157&lt;&gt;"AB",F157&lt;&gt;"AB",H157&lt;&gt;"AB",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AH157&lt;&gt;"AB"),"","E"))))</f>
        <v/>
      </c>
      <c r="AJ157" s="32">
        <f>IF(OR(AND(D157&gt;=31,D157&lt;40),AND(H157&gt;=31,H157&lt;40),AND(L157&gt;=31,L157&lt;40),AND(R157&gt;=31,R157&lt;40),AND(X157&gt;=31,X157&lt;40),AND(AD157&gt;=31,AD157&lt;40)),IF(AND(OR(COUNTIF(D157:AI157,"=31")&gt;=1,COUNTIF(D157:AI157,"=32")&gt;=1,COUNTIF(D157:AI157,"=33")&gt;=1,COUNTIF(D157:AI157,"=34")&gt;=1,COUNTIF(D157:AI157,"=35")&gt;=1,COUNTIF(D157:AI157,"=36")&gt;=1 ),COUNTIF(D157:AI157,"")=0,COUNTIF(D157:AI157," ")=0,COUNTIF(D157:AI157,"F")=1),CONCATENATE(SUM(EXTRACTNUMBER(D157),EXTRACTNUMBER(F157),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EXTRACTNUMBER(AD157),EXTRACTNUMBER(AH157),EXTRACTNUMBER(AF157)),"*"),IF(AND(COUNTIF(D157:AI157,"=34")&gt;=1,COUNTIF(D157:AI157,"=35")&gt;=1,COUNTIF(D157:AI157,"f")=2,COUNTIF(D157:AI157,"")=0,COUNTIF(D157:AI157," ")=0),CONCATENATE(SUM(EXTRACTNUMBER(D157),EXTRACTNUMBER(F157),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EXTRACTNUMBER(AD157),EXTRACTNUMBER(AH157),EXTRACTNUMBER(AF157)),"*"),IF(AND(COUNTIF(D157:AI157,"=36")&gt;=2,COUNTIF(D157:AI157,"f")=2,COUNTIF(D157:AI157,"")=0,COUNTIF(D157:AI157," ")=0),CONCATENATE(SUM(EXTRACTNUMBER(D157),EXTRACTNUMBER(F157),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EXTRACTNUMBER(AD157),EXTRACTNUMBER(AH157),EXTRACTNUMBER(AF157)),"*"),SUM(EXTRACTNUMBER(D157),EXTRACTNUMBER(F157),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EXTRACTNUMBER(AD157),EXTRACTNUMBER(AH157),EXTRACTNUMBER(AF157))))),SUM(EXTRACTNUMBER(D157),EXTRACTNUMBER(F157),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EXTRACTNUMBER(AD157),EXTRACTNUMBER(AH157),EXTRACTNUMBER(AF157)))</f>
        <v>481</v>
      </c>
      <c r="AK157" s="94" t="s">
        <v>283</v>
      </c>
      <c r="AL157" s="29">
        <f t="shared" si="38"/>
        <v>984</v>
      </c>
      <c r="AM157" s="29" t="str">
        <f t="shared" ref="AM157:AM209" si="55">IF(AND(COUNTIF(D157:AI157,"AB")&lt;16-COUNTIF(D157:AI157," "),
COUNTIF(D157:AI157,"AB")&lt;&gt;0),"FAIL",
IF(COUNTIF(D157:AI157,"AB")=16-COUNTIF(D157:AI157," "),"ABSENT",
IF(AND(COUNTIF(D157:AI157,"AB")=0,COUNTIF(D157:AI157,"F")=0),"PASS","FAIL")))</f>
        <v>PASS</v>
      </c>
      <c r="AN157" s="30" t="str">
        <f>IF(AM157="ABSENT","AB",IF(AM157="FAIL","--",
IF(AK157=0,"RS 3",
IF(AND(SUM(EXTRACTNUMBER(AK157),EXTRACTNUMBER(AJ157))&gt;=1010,
        NOT(IFERROR(FIND("x",AK157),0)),
        NOT(IFERROR(FIND("x",AJ157),0))),"I",
IF(AND(SUM(EXTRACTNUMBER(AK157),EXTRACTNUMBER(AJ157))&gt;=850,
      SUM(EXTRACTNUMBER(AK157),EXTRACTNUMBER(AJ157))&lt;1010,
      NOT(IFERROR(FIND("x",AK157),0)),
      NOT(IFERROR(FIND("x",AJ157),0))),"II",
IF(OR(AND(SUM(EXTRACTNUMBER(AK157),EXTRACTNUMBER(AJ157))&lt;850,
SUM(EXTRACTNUMBER(AK157),EXTRACTNUMBER(AJ157))&gt;=670),
IFERROR(FIND("x",AK157),0),IFERROR(FIND("x",AJ157),0)),"P","--"))))))</f>
        <v>II</v>
      </c>
      <c r="AO157" s="2" t="str">
        <f t="shared" ref="AO157:AO209" si="56">spellnumber(AL157)</f>
        <v xml:space="preserve">Nine Hundred Eighty Four </v>
      </c>
    </row>
    <row r="158" spans="2:41" ht="16.5" customHeight="1">
      <c r="B158" s="45">
        <v>134331</v>
      </c>
      <c r="C158" s="46" t="s">
        <v>154</v>
      </c>
      <c r="D158" s="43">
        <v>18</v>
      </c>
      <c r="E158" s="27" t="str">
        <f t="shared" si="39"/>
        <v>F</v>
      </c>
      <c r="F158" s="26">
        <v>14</v>
      </c>
      <c r="G158" s="27" t="str">
        <f t="shared" si="40"/>
        <v>E</v>
      </c>
      <c r="H158" s="24">
        <v>18</v>
      </c>
      <c r="I158" s="27" t="str">
        <f t="shared" si="41"/>
        <v>F</v>
      </c>
      <c r="J158" s="26">
        <v>18</v>
      </c>
      <c r="K158" s="27" t="str">
        <f t="shared" si="42"/>
        <v>E</v>
      </c>
      <c r="L158" s="24">
        <v>40</v>
      </c>
      <c r="M158" s="27" t="str">
        <f t="shared" si="43"/>
        <v>E</v>
      </c>
      <c r="N158" s="26">
        <v>17</v>
      </c>
      <c r="O158" s="27" t="str">
        <f t="shared" si="44"/>
        <v>E</v>
      </c>
      <c r="P158" s="26">
        <v>17</v>
      </c>
      <c r="Q158" s="27" t="str">
        <f t="shared" si="45"/>
        <v>E</v>
      </c>
      <c r="R158" s="24">
        <v>27</v>
      </c>
      <c r="S158" s="27" t="str">
        <f t="shared" si="46"/>
        <v>F</v>
      </c>
      <c r="T158" s="26">
        <v>18</v>
      </c>
      <c r="U158" s="27" t="str">
        <f t="shared" si="47"/>
        <v>E</v>
      </c>
      <c r="V158" s="26">
        <v>19</v>
      </c>
      <c r="W158" s="27" t="str">
        <f t="shared" si="48"/>
        <v>E</v>
      </c>
      <c r="X158" s="24">
        <v>40</v>
      </c>
      <c r="Y158" s="27" t="str">
        <f t="shared" si="49"/>
        <v>E</v>
      </c>
      <c r="Z158" s="26">
        <v>21</v>
      </c>
      <c r="AA158" s="27" t="str">
        <f t="shared" si="50"/>
        <v>E</v>
      </c>
      <c r="AB158" s="26">
        <v>21</v>
      </c>
      <c r="AC158" s="27" t="str">
        <f t="shared" si="51"/>
        <v>E</v>
      </c>
      <c r="AD158" s="24">
        <v>31</v>
      </c>
      <c r="AE158" s="27" t="str">
        <f t="shared" si="52"/>
        <v>F</v>
      </c>
      <c r="AF158" s="26">
        <v>19</v>
      </c>
      <c r="AG158" s="27" t="str">
        <f t="shared" si="53"/>
        <v>E</v>
      </c>
      <c r="AH158" s="26">
        <v>16</v>
      </c>
      <c r="AI158" s="27" t="str">
        <f t="shared" si="54"/>
        <v>E</v>
      </c>
      <c r="AJ158" s="32">
        <f>IF(OR(AND(D158&gt;=31,D158&lt;40),AND(H158&gt;=31,H158&lt;40),AND(L158&gt;=31,L158&lt;40),AND(R158&gt;=31,R158&lt;40),AND(X158&gt;=31,X158&lt;40),AND(AD158&gt;=31,AD158&lt;40)),IF(AND(OR(COUNTIF(D158:AI158,"=31")&gt;=1,COUNTIF(D158:AI158,"=32")&gt;=1,COUNTIF(D158:AI158,"=33")&gt;=1,COUNTIF(D158:AI158,"=34")&gt;=1,COUNTIF(D158:AI158,"=35")&gt;=1,COUNTIF(D158:AI158,"=36")&gt;=1 ),COUNTIF(D158:AI158,"")=0,COUNTIF(D158:AI158," ")=0,COUNTIF(D158:AI158,"F")=1),CONCATENATE(SUM(EXTRACTNUMBER(D158),EXTRACTNUMBER(F158),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EXTRACTNUMBER(AD158),EXTRACTNUMBER(AH158),EXTRACTNUMBER(AF158)),"*"),IF(AND(COUNTIF(D158:AI158,"=34")&gt;=1,COUNTIF(D158:AI158,"=35")&gt;=1,COUNTIF(D158:AI158,"f")=2,COUNTIF(D158:AI158,"")=0,COUNTIF(D158:AI158," ")=0),CONCATENATE(SUM(EXTRACTNUMBER(D158),EXTRACTNUMBER(F158),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EXTRACTNUMBER(AD158),EXTRACTNUMBER(AH158),EXTRACTNUMBER(AF158)),"*"),IF(AND(COUNTIF(D158:AI158,"=36")&gt;=2,COUNTIF(D158:AI158,"f")=2,COUNTIF(D158:AI158,"")=0,COUNTIF(D158:AI158," ")=0),CONCATENATE(SUM(EXTRACTNUMBER(D158),EXTRACTNUMBER(F158),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EXTRACTNUMBER(AD158),EXTRACTNUMBER(AH158),EXTRACTNUMBER(AF158)),"*"),SUM(EXTRACTNUMBER(D158),EXTRACTNUMBER(F158),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EXTRACTNUMBER(AD158),EXTRACTNUMBER(AH158),EXTRACTNUMBER(AF158))))),SUM(EXTRACTNUMBER(D158),EXTRACTNUMBER(F158),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EXTRACTNUMBER(AD158),EXTRACTNUMBER(AH158),EXTRACTNUMBER(AF158)))</f>
        <v>354</v>
      </c>
      <c r="AK158" s="28">
        <v>0</v>
      </c>
      <c r="AL158" s="29">
        <f t="shared" si="38"/>
        <v>354</v>
      </c>
      <c r="AM158" s="29" t="str">
        <f t="shared" si="55"/>
        <v>FAIL</v>
      </c>
      <c r="AN158" s="30" t="str">
        <f>IF(AM158="ABSENT","AB",IF(AM158="FAIL","--",
IF(AK158=0,"RS 3",
IF(AND(SUM(EXTRACTNUMBER(AK158),EXTRACTNUMBER(AJ158))&gt;=1010,
        NOT(IFERROR(FIND("x",AK158),0)),
        NOT(IFERROR(FIND("x",AJ158),0))),"I",
IF(AND(SUM(EXTRACTNUMBER(AK158),EXTRACTNUMBER(AJ158))&gt;=850,
      SUM(EXTRACTNUMBER(AK158),EXTRACTNUMBER(AJ158))&lt;1010,
      NOT(IFERROR(FIND("x",AK158),0)),
      NOT(IFERROR(FIND("x",AJ158),0))),"II",
IF(OR(AND(SUM(EXTRACTNUMBER(AK158),EXTRACTNUMBER(AJ158))&lt;850,
SUM(EXTRACTNUMBER(AK158),EXTRACTNUMBER(AJ158))&gt;=670),
IFERROR(FIND("x",AK158),0),IFERROR(FIND("x",AJ158),0)),"P","--"))))))</f>
        <v>--</v>
      </c>
      <c r="AO158" s="2" t="str">
        <f t="shared" si="56"/>
        <v xml:space="preserve">Three Hundred Fifty Four </v>
      </c>
    </row>
    <row r="159" spans="2:41" ht="16.5" customHeight="1">
      <c r="B159" s="45">
        <v>134332</v>
      </c>
      <c r="C159" s="46" t="s">
        <v>155</v>
      </c>
      <c r="D159" s="43">
        <v>40</v>
      </c>
      <c r="E159" s="27" t="str">
        <f t="shared" si="39"/>
        <v/>
      </c>
      <c r="F159" s="26">
        <v>13</v>
      </c>
      <c r="G159" s="27" t="str">
        <f t="shared" si="40"/>
        <v/>
      </c>
      <c r="H159" s="24">
        <v>60</v>
      </c>
      <c r="I159" s="27" t="str">
        <f t="shared" si="41"/>
        <v/>
      </c>
      <c r="J159" s="26">
        <v>19</v>
      </c>
      <c r="K159" s="27" t="str">
        <f t="shared" si="42"/>
        <v/>
      </c>
      <c r="L159" s="24">
        <v>55</v>
      </c>
      <c r="M159" s="27" t="str">
        <f t="shared" si="43"/>
        <v/>
      </c>
      <c r="N159" s="26">
        <v>16</v>
      </c>
      <c r="O159" s="27" t="str">
        <f t="shared" si="44"/>
        <v/>
      </c>
      <c r="P159" s="26">
        <v>17</v>
      </c>
      <c r="Q159" s="27" t="str">
        <f t="shared" si="45"/>
        <v/>
      </c>
      <c r="R159" s="24">
        <v>63</v>
      </c>
      <c r="S159" s="27" t="str">
        <f t="shared" si="46"/>
        <v/>
      </c>
      <c r="T159" s="26">
        <v>22</v>
      </c>
      <c r="U159" s="27" t="str">
        <f t="shared" si="47"/>
        <v/>
      </c>
      <c r="V159" s="26">
        <v>14</v>
      </c>
      <c r="W159" s="27" t="str">
        <f t="shared" si="48"/>
        <v/>
      </c>
      <c r="X159" s="24">
        <v>59</v>
      </c>
      <c r="Y159" s="27" t="str">
        <f t="shared" si="49"/>
        <v/>
      </c>
      <c r="Z159" s="26">
        <v>21</v>
      </c>
      <c r="AA159" s="27" t="str">
        <f t="shared" si="50"/>
        <v/>
      </c>
      <c r="AB159" s="26">
        <v>21</v>
      </c>
      <c r="AC159" s="27" t="str">
        <f t="shared" si="51"/>
        <v/>
      </c>
      <c r="AD159" s="24">
        <v>52</v>
      </c>
      <c r="AE159" s="27" t="str">
        <f t="shared" si="52"/>
        <v/>
      </c>
      <c r="AF159" s="26">
        <v>21</v>
      </c>
      <c r="AG159" s="27" t="str">
        <f t="shared" si="53"/>
        <v/>
      </c>
      <c r="AH159" s="26">
        <v>15</v>
      </c>
      <c r="AI159" s="27" t="str">
        <f t="shared" si="54"/>
        <v/>
      </c>
      <c r="AJ159" s="32">
        <f>IF(OR(AND(D159&gt;=31,D159&lt;40),AND(H159&gt;=31,H159&lt;40),AND(L159&gt;=31,L159&lt;40),AND(R159&gt;=31,R159&lt;40),AND(X159&gt;=31,X159&lt;40),AND(AD159&gt;=31,AD159&lt;40)),IF(AND(OR(COUNTIF(D159:AI159,"=31")&gt;=1,COUNTIF(D159:AI159,"=32")&gt;=1,COUNTIF(D159:AI159,"=33")&gt;=1,COUNTIF(D159:AI159,"=34")&gt;=1,COUNTIF(D159:AI159,"=35")&gt;=1,COUNTIF(D159:AI159,"=36")&gt;=1 ),COUNTIF(D159:AI159,"")=0,COUNTIF(D159:AI159," ")=0,COUNTIF(D159:AI159,"F")=1),CONCATENATE(SUM(EXTRACTNUMBER(D159),EXTRACTNUMBER(F159),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EXTRACTNUMBER(AD159),EXTRACTNUMBER(AH159),EXTRACTNUMBER(AF159)),"*"),IF(AND(COUNTIF(D159:AI159,"=34")&gt;=1,COUNTIF(D159:AI159,"=35")&gt;=1,COUNTIF(D159:AI159,"f")=2,COUNTIF(D159:AI159,"")=0,COUNTIF(D159:AI159," ")=0),CONCATENATE(SUM(EXTRACTNUMBER(D159),EXTRACTNUMBER(F159),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EXTRACTNUMBER(AD159),EXTRACTNUMBER(AH159),EXTRACTNUMBER(AF159)),"*"),IF(AND(COUNTIF(D159:AI159,"=36")&gt;=2,COUNTIF(D159:AI159,"f")=2,COUNTIF(D159:AI159,"")=0,COUNTIF(D159:AI159," ")=0),CONCATENATE(SUM(EXTRACTNUMBER(D159),EXTRACTNUMBER(F159),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EXTRACTNUMBER(AD159),EXTRACTNUMBER(AH159),EXTRACTNUMBER(AF159)),"*"),SUM(EXTRACTNUMBER(D159),EXTRACTNUMBER(F159),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EXTRACTNUMBER(AD159),EXTRACTNUMBER(AH159),EXTRACTNUMBER(AF159))))),SUM(EXTRACTNUMBER(D159),EXTRACTNUMBER(F159),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EXTRACTNUMBER(AD159),EXTRACTNUMBER(AH159),EXTRACTNUMBER(AF159)))</f>
        <v>508</v>
      </c>
      <c r="AK159" s="28">
        <v>0</v>
      </c>
      <c r="AL159" s="29">
        <f t="shared" si="38"/>
        <v>508</v>
      </c>
      <c r="AM159" s="29" t="str">
        <f t="shared" si="55"/>
        <v>PASS</v>
      </c>
      <c r="AN159" s="30" t="str">
        <f>IF(AM159="ABSENT","AB",IF(AM159="FAIL","--",
IF(AK159=0,"RS 3",
IF(AND(SUM(EXTRACTNUMBER(AK159),EXTRACTNUMBER(AJ159))&gt;=1010,
        NOT(IFERROR(FIND("x",AK159),0)),
        NOT(IFERROR(FIND("x",AJ159),0))),"I",
IF(AND(SUM(EXTRACTNUMBER(AK159),EXTRACTNUMBER(AJ159))&gt;=850,
      SUM(EXTRACTNUMBER(AK159),EXTRACTNUMBER(AJ159))&lt;1010,
      NOT(IFERROR(FIND("x",AK159),0)),
      NOT(IFERROR(FIND("x",AJ159),0))),"II",
IF(OR(AND(SUM(EXTRACTNUMBER(AK159),EXTRACTNUMBER(AJ159))&lt;850,
SUM(EXTRACTNUMBER(AK159),EXTRACTNUMBER(AJ159))&gt;=670),
IFERROR(FIND("x",AK159),0),IFERROR(FIND("x",AJ159),0)),"P","--"))))))</f>
        <v>RS 3</v>
      </c>
      <c r="AO159" s="2" t="str">
        <f t="shared" si="56"/>
        <v xml:space="preserve">Five Hundred Eight </v>
      </c>
    </row>
    <row r="160" spans="2:41" ht="16.5" customHeight="1">
      <c r="B160" s="45">
        <v>134333</v>
      </c>
      <c r="C160" s="46" t="s">
        <v>156</v>
      </c>
      <c r="D160" s="43">
        <v>41</v>
      </c>
      <c r="E160" s="27" t="str">
        <f t="shared" si="39"/>
        <v/>
      </c>
      <c r="F160" s="26">
        <v>20</v>
      </c>
      <c r="G160" s="27" t="str">
        <f t="shared" si="40"/>
        <v/>
      </c>
      <c r="H160" s="24">
        <v>40</v>
      </c>
      <c r="I160" s="27" t="str">
        <f t="shared" si="41"/>
        <v/>
      </c>
      <c r="J160" s="26">
        <v>21</v>
      </c>
      <c r="K160" s="27" t="str">
        <f t="shared" si="42"/>
        <v/>
      </c>
      <c r="L160" s="24">
        <v>43</v>
      </c>
      <c r="M160" s="27" t="str">
        <f t="shared" si="43"/>
        <v/>
      </c>
      <c r="N160" s="26">
        <v>22</v>
      </c>
      <c r="O160" s="27" t="str">
        <f t="shared" si="44"/>
        <v/>
      </c>
      <c r="P160" s="26">
        <v>22</v>
      </c>
      <c r="Q160" s="27" t="str">
        <f t="shared" si="45"/>
        <v/>
      </c>
      <c r="R160" s="24">
        <v>43</v>
      </c>
      <c r="S160" s="27" t="str">
        <f t="shared" si="46"/>
        <v/>
      </c>
      <c r="T160" s="26">
        <v>22</v>
      </c>
      <c r="U160" s="27" t="str">
        <f t="shared" si="47"/>
        <v/>
      </c>
      <c r="V160" s="26">
        <v>20</v>
      </c>
      <c r="W160" s="27" t="str">
        <f t="shared" si="48"/>
        <v/>
      </c>
      <c r="X160" s="24">
        <v>54</v>
      </c>
      <c r="Y160" s="27" t="str">
        <f t="shared" si="49"/>
        <v/>
      </c>
      <c r="Z160" s="26">
        <v>21</v>
      </c>
      <c r="AA160" s="27" t="str">
        <f t="shared" si="50"/>
        <v/>
      </c>
      <c r="AB160" s="26">
        <v>21</v>
      </c>
      <c r="AC160" s="27" t="str">
        <f t="shared" si="51"/>
        <v/>
      </c>
      <c r="AD160" s="24">
        <v>43</v>
      </c>
      <c r="AE160" s="27" t="str">
        <f t="shared" si="52"/>
        <v/>
      </c>
      <c r="AF160" s="26">
        <v>18</v>
      </c>
      <c r="AG160" s="27" t="str">
        <f t="shared" si="53"/>
        <v/>
      </c>
      <c r="AH160" s="26">
        <v>18</v>
      </c>
      <c r="AI160" s="27" t="str">
        <f t="shared" si="54"/>
        <v/>
      </c>
      <c r="AJ160" s="32">
        <f>IF(OR(AND(D160&gt;=31,D160&lt;40),AND(H160&gt;=31,H160&lt;40),AND(L160&gt;=31,L160&lt;40),AND(R160&gt;=31,R160&lt;40),AND(X160&gt;=31,X160&lt;40),AND(AD160&gt;=31,AD160&lt;40)),IF(AND(OR(COUNTIF(D160:AI160,"=31")&gt;=1,COUNTIF(D160:AI160,"=32")&gt;=1,COUNTIF(D160:AI160,"=33")&gt;=1,COUNTIF(D160:AI160,"=34")&gt;=1,COUNTIF(D160:AI160,"=35")&gt;=1,COUNTIF(D160:AI160,"=36")&gt;=1 ),COUNTIF(D160:AI160,"")=0,COUNTIF(D160:AI160," ")=0,COUNTIF(D160:AI160,"F")=1),CONCATENATE(SUM(EXTRACTNUMBER(D160),EXTRACTNUMBER(F160),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EXTRACTNUMBER(AD160),EXTRACTNUMBER(AH160),EXTRACTNUMBER(AF160)),"*"),IF(AND(COUNTIF(D160:AI160,"=34")&gt;=1,COUNTIF(D160:AI160,"=35")&gt;=1,COUNTIF(D160:AI160,"f")=2,COUNTIF(D160:AI160,"")=0,COUNTIF(D160:AI160," ")=0),CONCATENATE(SUM(EXTRACTNUMBER(D160),EXTRACTNUMBER(F160),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EXTRACTNUMBER(AD160),EXTRACTNUMBER(AH160),EXTRACTNUMBER(AF160)),"*"),IF(AND(COUNTIF(D160:AI160,"=36")&gt;=2,COUNTIF(D160:AI160,"f")=2,COUNTIF(D160:AI160,"")=0,COUNTIF(D160:AI160," ")=0),CONCATENATE(SUM(EXTRACTNUMBER(D160),EXTRACTNUMBER(F160),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EXTRACTNUMBER(AD160),EXTRACTNUMBER(AH160),EXTRACTNUMBER(AF160)),"*"),SUM(EXTRACTNUMBER(D160),EXTRACTNUMBER(F160),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EXTRACTNUMBER(AD160),EXTRACTNUMBER(AH160),EXTRACTNUMBER(AF160))))),SUM(EXTRACTNUMBER(D160),EXTRACTNUMBER(F160),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EXTRACTNUMBER(AD160),EXTRACTNUMBER(AH160),EXTRACTNUMBER(AF160)))</f>
        <v>469</v>
      </c>
      <c r="AK160" s="94" t="s">
        <v>618</v>
      </c>
      <c r="AL160" s="29">
        <f t="shared" si="38"/>
        <v>963</v>
      </c>
      <c r="AM160" s="29" t="str">
        <f t="shared" si="55"/>
        <v>PASS</v>
      </c>
      <c r="AN160" s="30" t="str">
        <f>IF(AM160="ABSENT","AB",IF(AM160="FAIL","--",
IF(AK160=0,"RS 3",
IF(AND(SUM(EXTRACTNUMBER(AK160),EXTRACTNUMBER(AJ160))&gt;=1010,
        NOT(IFERROR(FIND("x",AK160),0)),
        NOT(IFERROR(FIND("x",AJ160),0))),"I",
IF(AND(SUM(EXTRACTNUMBER(AK160),EXTRACTNUMBER(AJ160))&gt;=850,
      SUM(EXTRACTNUMBER(AK160),EXTRACTNUMBER(AJ160))&lt;1010,
      NOT(IFERROR(FIND("x",AK160),0)),
      NOT(IFERROR(FIND("x",AJ160),0))),"II",
IF(OR(AND(SUM(EXTRACTNUMBER(AK160),EXTRACTNUMBER(AJ160))&lt;850,
SUM(EXTRACTNUMBER(AK160),EXTRACTNUMBER(AJ160))&gt;=670),
IFERROR(FIND("x",AK160),0),IFERROR(FIND("x",AJ160),0)),"P","--"))))))</f>
        <v>II</v>
      </c>
      <c r="AO160" s="2" t="str">
        <f t="shared" si="56"/>
        <v xml:space="preserve">Nine Hundred Sixty Three </v>
      </c>
    </row>
    <row r="161" spans="2:41" ht="16.5" customHeight="1">
      <c r="B161" s="45">
        <v>134334</v>
      </c>
      <c r="C161" s="46" t="s">
        <v>157</v>
      </c>
      <c r="D161" s="43" t="s">
        <v>305</v>
      </c>
      <c r="E161" s="27" t="str">
        <f t="shared" si="39"/>
        <v/>
      </c>
      <c r="F161" s="26">
        <v>16</v>
      </c>
      <c r="G161" s="27" t="str">
        <f t="shared" si="40"/>
        <v>E</v>
      </c>
      <c r="H161" s="24">
        <v>40</v>
      </c>
      <c r="I161" s="27" t="str">
        <f t="shared" si="41"/>
        <v>E</v>
      </c>
      <c r="J161" s="26">
        <v>20</v>
      </c>
      <c r="K161" s="27" t="str">
        <f t="shared" si="42"/>
        <v>E</v>
      </c>
      <c r="L161" s="24">
        <v>24</v>
      </c>
      <c r="M161" s="27" t="str">
        <f t="shared" si="43"/>
        <v>F</v>
      </c>
      <c r="N161" s="26">
        <v>17</v>
      </c>
      <c r="O161" s="27" t="str">
        <f t="shared" si="44"/>
        <v>E</v>
      </c>
      <c r="P161" s="26">
        <v>19</v>
      </c>
      <c r="Q161" s="27" t="str">
        <f t="shared" si="45"/>
        <v>E</v>
      </c>
      <c r="R161" s="24">
        <v>20</v>
      </c>
      <c r="S161" s="27" t="str">
        <f t="shared" si="46"/>
        <v>F</v>
      </c>
      <c r="T161" s="26">
        <v>22</v>
      </c>
      <c r="U161" s="27" t="str">
        <f t="shared" si="47"/>
        <v>E</v>
      </c>
      <c r="V161" s="26">
        <v>16</v>
      </c>
      <c r="W161" s="27" t="str">
        <f t="shared" si="48"/>
        <v>E</v>
      </c>
      <c r="X161" s="24">
        <v>40</v>
      </c>
      <c r="Y161" s="27" t="str">
        <f t="shared" si="49"/>
        <v>E</v>
      </c>
      <c r="Z161" s="26">
        <v>21</v>
      </c>
      <c r="AA161" s="27" t="str">
        <f t="shared" si="50"/>
        <v>E</v>
      </c>
      <c r="AB161" s="26">
        <v>20</v>
      </c>
      <c r="AC161" s="27" t="str">
        <f t="shared" si="51"/>
        <v>E</v>
      </c>
      <c r="AD161" s="24">
        <v>40</v>
      </c>
      <c r="AE161" s="27" t="str">
        <f t="shared" si="52"/>
        <v>E</v>
      </c>
      <c r="AF161" s="26">
        <v>20</v>
      </c>
      <c r="AG161" s="27" t="str">
        <f t="shared" si="53"/>
        <v>E</v>
      </c>
      <c r="AH161" s="26">
        <v>16</v>
      </c>
      <c r="AI161" s="27" t="str">
        <f t="shared" si="54"/>
        <v>E</v>
      </c>
      <c r="AJ161" s="32">
        <f>IF(OR(AND(D161&gt;=31,D161&lt;40),AND(H161&gt;=31,H161&lt;40),AND(L161&gt;=31,L161&lt;40),AND(R161&gt;=31,R161&lt;40),AND(X161&gt;=31,X161&lt;40),AND(AD161&gt;=31,AD161&lt;40)),IF(AND(OR(COUNTIF(D161:AI161,"=31")&gt;=1,COUNTIF(D161:AI161,"=32")&gt;=1,COUNTIF(D161:AI161,"=33")&gt;=1,COUNTIF(D161:AI161,"=34")&gt;=1,COUNTIF(D161:AI161,"=35")&gt;=1,COUNTIF(D161:AI161,"=36")&gt;=1 ),COUNTIF(D161:AI161,"")=0,COUNTIF(D161:AI161," ")=0,COUNTIF(D161:AI161,"F")=1),CONCATENATE(SUM(EXTRACTNUMBER(D161),EXTRACTNUMBER(F161),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EXTRACTNUMBER(AD161),EXTRACTNUMBER(AH161),EXTRACTNUMBER(AF161)),"*"),IF(AND(COUNTIF(D161:AI161,"=34")&gt;=1,COUNTIF(D161:AI161,"=35")&gt;=1,COUNTIF(D161:AI161,"f")=2,COUNTIF(D161:AI161,"")=0,COUNTIF(D161:AI161," ")=0),CONCATENATE(SUM(EXTRACTNUMBER(D161),EXTRACTNUMBER(F161),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EXTRACTNUMBER(AD161),EXTRACTNUMBER(AH161),EXTRACTNUMBER(AF161)),"*"),IF(AND(COUNTIF(D161:AI161,"=36")&gt;=2,COUNTIF(D161:AI161,"f")=2,COUNTIF(D161:AI161,"")=0,COUNTIF(D161:AI161," ")=0),CONCATENATE(SUM(EXTRACTNUMBER(D161),EXTRACTNUMBER(F161),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EXTRACTNUMBER(AD161),EXTRACTNUMBER(AH161),EXTRACTNUMBER(AF161)),"*"),SUM(EXTRACTNUMBER(D161),EXTRACTNUMBER(F161),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EXTRACTNUMBER(AD161),EXTRACTNUMBER(AH161),EXTRACTNUMBER(AF161))))),SUM(EXTRACTNUMBER(D161),EXTRACTNUMBER(F161),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EXTRACTNUMBER(AD161),EXTRACTNUMBER(AH161),EXTRACTNUMBER(AF161)))</f>
        <v>351</v>
      </c>
      <c r="AK161" s="28">
        <v>0</v>
      </c>
      <c r="AL161" s="29">
        <f t="shared" si="38"/>
        <v>351</v>
      </c>
      <c r="AM161" s="29" t="str">
        <f t="shared" si="55"/>
        <v>FAIL</v>
      </c>
      <c r="AN161" s="30" t="str">
        <f>IF(AM161="ABSENT","AB",IF(AM161="FAIL","--",
IF(AK161=0,"RS 3",
IF(AND(SUM(EXTRACTNUMBER(AK161),EXTRACTNUMBER(AJ161))&gt;=1010,
        NOT(IFERROR(FIND("x",AK161),0)),
        NOT(IFERROR(FIND("x",AJ161),0))),"I",
IF(AND(SUM(EXTRACTNUMBER(AK161),EXTRACTNUMBER(AJ161))&gt;=850,
      SUM(EXTRACTNUMBER(AK161),EXTRACTNUMBER(AJ161))&lt;1010,
      NOT(IFERROR(FIND("x",AK161),0)),
      NOT(IFERROR(FIND("x",AJ161),0))),"II",
IF(OR(AND(SUM(EXTRACTNUMBER(AK161),EXTRACTNUMBER(AJ161))&lt;850,
SUM(EXTRACTNUMBER(AK161),EXTRACTNUMBER(AJ161))&gt;=670),
IFERROR(FIND("x",AK161),0),IFERROR(FIND("x",AJ161),0)),"P","--"))))))</f>
        <v>--</v>
      </c>
      <c r="AO161" s="2" t="str">
        <f t="shared" si="56"/>
        <v xml:space="preserve">Three Hundred Fifty One </v>
      </c>
    </row>
    <row r="162" spans="2:41" ht="16.5" customHeight="1">
      <c r="B162" s="45">
        <v>134335</v>
      </c>
      <c r="C162" s="46" t="s">
        <v>620</v>
      </c>
      <c r="D162" s="43">
        <v>29</v>
      </c>
      <c r="E162" s="27" t="str">
        <f t="shared" si="39"/>
        <v>F</v>
      </c>
      <c r="F162" s="26">
        <v>13</v>
      </c>
      <c r="G162" s="27" t="str">
        <f t="shared" si="40"/>
        <v>E</v>
      </c>
      <c r="H162" s="24">
        <v>55</v>
      </c>
      <c r="I162" s="27" t="str">
        <f t="shared" si="41"/>
        <v>E</v>
      </c>
      <c r="J162" s="26">
        <v>23</v>
      </c>
      <c r="K162" s="27" t="str">
        <f t="shared" si="42"/>
        <v>E</v>
      </c>
      <c r="L162" s="24">
        <v>47</v>
      </c>
      <c r="M162" s="27" t="str">
        <f t="shared" si="43"/>
        <v>E</v>
      </c>
      <c r="N162" s="26">
        <v>22</v>
      </c>
      <c r="O162" s="27" t="str">
        <f t="shared" si="44"/>
        <v>E</v>
      </c>
      <c r="P162" s="26">
        <v>22</v>
      </c>
      <c r="Q162" s="27" t="str">
        <f t="shared" si="45"/>
        <v>E</v>
      </c>
      <c r="R162" s="24">
        <v>41</v>
      </c>
      <c r="S162" s="27" t="str">
        <f t="shared" si="46"/>
        <v>E</v>
      </c>
      <c r="T162" s="26">
        <v>23</v>
      </c>
      <c r="U162" s="27" t="str">
        <f t="shared" si="47"/>
        <v>E</v>
      </c>
      <c r="V162" s="26">
        <v>16</v>
      </c>
      <c r="W162" s="27" t="str">
        <f t="shared" si="48"/>
        <v>E</v>
      </c>
      <c r="X162" s="24">
        <v>45</v>
      </c>
      <c r="Y162" s="27" t="str">
        <f t="shared" si="49"/>
        <v>E</v>
      </c>
      <c r="Z162" s="26">
        <v>23</v>
      </c>
      <c r="AA162" s="27" t="str">
        <f t="shared" si="50"/>
        <v>E</v>
      </c>
      <c r="AB162" s="26">
        <v>22</v>
      </c>
      <c r="AC162" s="27" t="str">
        <f t="shared" si="51"/>
        <v>E</v>
      </c>
      <c r="AD162" s="24">
        <v>31</v>
      </c>
      <c r="AE162" s="27" t="str">
        <f t="shared" si="52"/>
        <v>F</v>
      </c>
      <c r="AF162" s="26">
        <v>23</v>
      </c>
      <c r="AG162" s="27" t="str">
        <f t="shared" si="53"/>
        <v>E</v>
      </c>
      <c r="AH162" s="26">
        <v>18</v>
      </c>
      <c r="AI162" s="27" t="str">
        <f t="shared" si="54"/>
        <v>E</v>
      </c>
      <c r="AJ162" s="32">
        <f>IF(OR(AND(D162&gt;=31,D162&lt;40),AND(H162&gt;=31,H162&lt;40),AND(L162&gt;=31,L162&lt;40),AND(R162&gt;=31,R162&lt;40),AND(X162&gt;=31,X162&lt;40),AND(AD162&gt;=31,AD162&lt;40)),IF(AND(OR(COUNTIF(D162:AI162,"=31")&gt;=1,COUNTIF(D162:AI162,"=32")&gt;=1,COUNTIF(D162:AI162,"=33")&gt;=1,COUNTIF(D162:AI162,"=34")&gt;=1,COUNTIF(D162:AI162,"=35")&gt;=1,COUNTIF(D162:AI162,"=36")&gt;=1 ),COUNTIF(D162:AI162,"")=0,COUNTIF(D162:AI162," ")=0,COUNTIF(D162:AI162,"F")=1),CONCATENATE(SUM(EXTRACTNUMBER(D162),EXTRACTNUMBER(F162),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EXTRACTNUMBER(AD162),EXTRACTNUMBER(AH162),EXTRACTNUMBER(AF162)),"*"),IF(AND(COUNTIF(D162:AI162,"=34")&gt;=1,COUNTIF(D162:AI162,"=35")&gt;=1,COUNTIF(D162:AI162,"f")=2,COUNTIF(D162:AI162,"")=0,COUNTIF(D162:AI162," ")=0),CONCATENATE(SUM(EXTRACTNUMBER(D162),EXTRACTNUMBER(F162),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EXTRACTNUMBER(AD162),EXTRACTNUMBER(AH162),EXTRACTNUMBER(AF162)),"*"),IF(AND(COUNTIF(D162:AI162,"=36")&gt;=2,COUNTIF(D162:AI162,"f")=2,COUNTIF(D162:AI162,"")=0,COUNTIF(D162:AI162," ")=0),CONCATENATE(SUM(EXTRACTNUMBER(D162),EXTRACTNUMBER(F162),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EXTRACTNUMBER(AD162),EXTRACTNUMBER(AH162),EXTRACTNUMBER(AF162)),"*"),SUM(EXTRACTNUMBER(D162),EXTRACTNUMBER(F162),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EXTRACTNUMBER(AD162),EXTRACTNUMBER(AH162),EXTRACTNUMBER(AF162))))),SUM(EXTRACTNUMBER(D162),EXTRACTNUMBER(F162),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EXTRACTNUMBER(AD162),EXTRACTNUMBER(AH162),EXTRACTNUMBER(AF162)))</f>
        <v>453</v>
      </c>
      <c r="AK162" s="28" t="s">
        <v>298</v>
      </c>
      <c r="AL162" s="29">
        <f t="shared" si="38"/>
        <v>914</v>
      </c>
      <c r="AM162" s="29" t="str">
        <f t="shared" si="55"/>
        <v>FAIL</v>
      </c>
      <c r="AN162" s="30" t="str">
        <f>IF(AM162="ABSENT","AB",IF(AM162="FAIL","--",
IF(AK162=0,"RS 3",
IF(AND(SUM(EXTRACTNUMBER(AK162),EXTRACTNUMBER(AJ162))&gt;=1010,
        NOT(IFERROR(FIND("x",AK162),0)),
        NOT(IFERROR(FIND("x",AJ162),0))),"I",
IF(AND(SUM(EXTRACTNUMBER(AK162),EXTRACTNUMBER(AJ162))&gt;=850,
      SUM(EXTRACTNUMBER(AK162),EXTRACTNUMBER(AJ162))&lt;1010,
      NOT(IFERROR(FIND("x",AK162),0)),
      NOT(IFERROR(FIND("x",AJ162),0))),"II",
IF(OR(AND(SUM(EXTRACTNUMBER(AK162),EXTRACTNUMBER(AJ162))&lt;850,
SUM(EXTRACTNUMBER(AK162),EXTRACTNUMBER(AJ162))&gt;=670),
IFERROR(FIND("x",AK162),0),IFERROR(FIND("x",AJ162),0)),"P","--"))))))</f>
        <v>--</v>
      </c>
      <c r="AO162" s="2" t="str">
        <f t="shared" si="56"/>
        <v xml:space="preserve">Nine Hundred Fourteen </v>
      </c>
    </row>
    <row r="163" spans="2:41" ht="16.5" customHeight="1">
      <c r="B163" s="45">
        <v>134336</v>
      </c>
      <c r="C163" s="46" t="s">
        <v>158</v>
      </c>
      <c r="D163" s="43">
        <v>24</v>
      </c>
      <c r="E163" s="27" t="str">
        <f t="shared" si="39"/>
        <v>F</v>
      </c>
      <c r="F163" s="26">
        <v>15</v>
      </c>
      <c r="G163" s="27" t="str">
        <f t="shared" si="40"/>
        <v>E</v>
      </c>
      <c r="H163" s="24">
        <v>40</v>
      </c>
      <c r="I163" s="27" t="str">
        <f t="shared" si="41"/>
        <v>E</v>
      </c>
      <c r="J163" s="26">
        <v>17</v>
      </c>
      <c r="K163" s="27" t="str">
        <f t="shared" si="42"/>
        <v>E</v>
      </c>
      <c r="L163" s="24">
        <v>44</v>
      </c>
      <c r="M163" s="27" t="str">
        <f t="shared" si="43"/>
        <v>E</v>
      </c>
      <c r="N163" s="26">
        <v>14</v>
      </c>
      <c r="O163" s="27" t="str">
        <f t="shared" si="44"/>
        <v>E</v>
      </c>
      <c r="P163" s="26">
        <v>16</v>
      </c>
      <c r="Q163" s="27" t="str">
        <f t="shared" si="45"/>
        <v>E</v>
      </c>
      <c r="R163" s="24">
        <v>40</v>
      </c>
      <c r="S163" s="27" t="str">
        <f t="shared" si="46"/>
        <v>E</v>
      </c>
      <c r="T163" s="26">
        <v>22</v>
      </c>
      <c r="U163" s="27" t="str">
        <f t="shared" si="47"/>
        <v>E</v>
      </c>
      <c r="V163" s="26">
        <v>19</v>
      </c>
      <c r="W163" s="27" t="str">
        <f t="shared" si="48"/>
        <v>E</v>
      </c>
      <c r="X163" s="24">
        <v>40</v>
      </c>
      <c r="Y163" s="27" t="str">
        <f t="shared" si="49"/>
        <v>E</v>
      </c>
      <c r="Z163" s="26">
        <v>22</v>
      </c>
      <c r="AA163" s="27" t="str">
        <f t="shared" si="50"/>
        <v>E</v>
      </c>
      <c r="AB163" s="26">
        <v>22</v>
      </c>
      <c r="AC163" s="27" t="str">
        <f t="shared" si="51"/>
        <v>E</v>
      </c>
      <c r="AD163" s="24">
        <v>40</v>
      </c>
      <c r="AE163" s="27" t="str">
        <f t="shared" si="52"/>
        <v>E</v>
      </c>
      <c r="AF163" s="26">
        <v>19</v>
      </c>
      <c r="AG163" s="27" t="str">
        <f t="shared" si="53"/>
        <v>E</v>
      </c>
      <c r="AH163" s="26">
        <v>17</v>
      </c>
      <c r="AI163" s="27" t="str">
        <f t="shared" si="54"/>
        <v>E</v>
      </c>
      <c r="AJ163" s="32">
        <f>IF(OR(AND(D163&gt;=31,D163&lt;40),AND(H163&gt;=31,H163&lt;40),AND(L163&gt;=31,L163&lt;40),AND(R163&gt;=31,R163&lt;40),AND(X163&gt;=31,X163&lt;40),AND(AD163&gt;=31,AD163&lt;40)),IF(AND(OR(COUNTIF(D163:AI163,"=31")&gt;=1,COUNTIF(D163:AI163,"=32")&gt;=1,COUNTIF(D163:AI163,"=33")&gt;=1,COUNTIF(D163:AI163,"=34")&gt;=1,COUNTIF(D163:AI163,"=35")&gt;=1,COUNTIF(D163:AI163,"=36")&gt;=1 ),COUNTIF(D163:AI163,"")=0,COUNTIF(D163:AI163," ")=0,COUNTIF(D163:AI163,"F")=1),CONCATENATE(SUM(EXTRACTNUMBER(D163),EXTRACTNUMBER(F163),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EXTRACTNUMBER(AD163),EXTRACTNUMBER(AH163),EXTRACTNUMBER(AF163)),"*"),IF(AND(COUNTIF(D163:AI163,"=34")&gt;=1,COUNTIF(D163:AI163,"=35")&gt;=1,COUNTIF(D163:AI163,"f")=2,COUNTIF(D163:AI163,"")=0,COUNTIF(D163:AI163," ")=0),CONCATENATE(SUM(EXTRACTNUMBER(D163),EXTRACTNUMBER(F163),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EXTRACTNUMBER(AD163),EXTRACTNUMBER(AH163),EXTRACTNUMBER(AF163)),"*"),IF(AND(COUNTIF(D163:AI163,"=36")&gt;=2,COUNTIF(D163:AI163,"f")=2,COUNTIF(D163:AI163,"")=0,COUNTIF(D163:AI163," ")=0),CONCATENATE(SUM(EXTRACTNUMBER(D163),EXTRACTNUMBER(F163),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EXTRACTNUMBER(AD163),EXTRACTNUMBER(AH163),EXTRACTNUMBER(AF163)),"*"),SUM(EXTRACTNUMBER(D163),EXTRACTNUMBER(F163),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EXTRACTNUMBER(AD163),EXTRACTNUMBER(AH163),EXTRACTNUMBER(AF163))))),SUM(EXTRACTNUMBER(D163),EXTRACTNUMBER(F163),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EXTRACTNUMBER(AD163),EXTRACTNUMBER(AH163),EXTRACTNUMBER(AF163)))</f>
        <v>411</v>
      </c>
      <c r="AK163" s="94" t="s">
        <v>572</v>
      </c>
      <c r="AL163" s="29">
        <f t="shared" si="38"/>
        <v>858</v>
      </c>
      <c r="AM163" s="29" t="str">
        <f t="shared" si="55"/>
        <v>FAIL</v>
      </c>
      <c r="AN163" s="30" t="str">
        <f>IF(AM163="ABSENT","AB",IF(AM163="FAIL","--",
IF(AK163=0,"RS 3",
IF(AND(SUM(EXTRACTNUMBER(AK163),EXTRACTNUMBER(AJ163))&gt;=1010,
        NOT(IFERROR(FIND("x",AK163),0)),
        NOT(IFERROR(FIND("x",AJ163),0))),"I",
IF(AND(SUM(EXTRACTNUMBER(AK163),EXTRACTNUMBER(AJ163))&gt;=850,
      SUM(EXTRACTNUMBER(AK163),EXTRACTNUMBER(AJ163))&lt;1010,
      NOT(IFERROR(FIND("x",AK163),0)),
      NOT(IFERROR(FIND("x",AJ163),0))),"II",
IF(OR(AND(SUM(EXTRACTNUMBER(AK163),EXTRACTNUMBER(AJ163))&lt;850,
SUM(EXTRACTNUMBER(AK163),EXTRACTNUMBER(AJ163))&gt;=670),
IFERROR(FIND("x",AK163),0),IFERROR(FIND("x",AJ163),0)),"P","--"))))))</f>
        <v>--</v>
      </c>
      <c r="AO163" s="2" t="str">
        <f t="shared" si="56"/>
        <v xml:space="preserve">Eight Hundred Fifty Eight </v>
      </c>
    </row>
    <row r="164" spans="2:41" ht="16.5" customHeight="1">
      <c r="B164" s="45">
        <v>134337</v>
      </c>
      <c r="C164" s="46" t="s">
        <v>159</v>
      </c>
      <c r="D164" s="43">
        <v>56</v>
      </c>
      <c r="E164" s="27" t="str">
        <f t="shared" si="39"/>
        <v/>
      </c>
      <c r="F164" s="26">
        <v>24</v>
      </c>
      <c r="G164" s="27" t="str">
        <f t="shared" si="40"/>
        <v/>
      </c>
      <c r="H164" s="24">
        <v>56</v>
      </c>
      <c r="I164" s="27" t="str">
        <f t="shared" si="41"/>
        <v/>
      </c>
      <c r="J164" s="26">
        <v>24</v>
      </c>
      <c r="K164" s="27" t="str">
        <f t="shared" si="42"/>
        <v/>
      </c>
      <c r="L164" s="24">
        <v>59</v>
      </c>
      <c r="M164" s="27" t="str">
        <f t="shared" si="43"/>
        <v/>
      </c>
      <c r="N164" s="26">
        <v>23</v>
      </c>
      <c r="O164" s="27" t="str">
        <f t="shared" si="44"/>
        <v/>
      </c>
      <c r="P164" s="26">
        <v>24</v>
      </c>
      <c r="Q164" s="27" t="str">
        <f t="shared" si="45"/>
        <v/>
      </c>
      <c r="R164" s="24">
        <v>49</v>
      </c>
      <c r="S164" s="27" t="str">
        <f t="shared" si="46"/>
        <v/>
      </c>
      <c r="T164" s="26">
        <v>24</v>
      </c>
      <c r="U164" s="27" t="str">
        <f t="shared" si="47"/>
        <v/>
      </c>
      <c r="V164" s="26">
        <v>24</v>
      </c>
      <c r="W164" s="27" t="str">
        <f t="shared" si="48"/>
        <v/>
      </c>
      <c r="X164" s="24">
        <v>58</v>
      </c>
      <c r="Y164" s="27" t="str">
        <f t="shared" si="49"/>
        <v/>
      </c>
      <c r="Z164" s="26">
        <v>24</v>
      </c>
      <c r="AA164" s="27" t="str">
        <f t="shared" si="50"/>
        <v/>
      </c>
      <c r="AB164" s="26">
        <v>22</v>
      </c>
      <c r="AC164" s="27" t="str">
        <f t="shared" si="51"/>
        <v/>
      </c>
      <c r="AD164" s="24">
        <v>51</v>
      </c>
      <c r="AE164" s="27" t="str">
        <f t="shared" si="52"/>
        <v/>
      </c>
      <c r="AF164" s="26">
        <v>24</v>
      </c>
      <c r="AG164" s="27" t="str">
        <f t="shared" si="53"/>
        <v/>
      </c>
      <c r="AH164" s="26">
        <v>22</v>
      </c>
      <c r="AI164" s="27" t="str">
        <f t="shared" si="54"/>
        <v/>
      </c>
      <c r="AJ164" s="32">
        <f>IF(OR(AND(D164&gt;=31,D164&lt;40),AND(H164&gt;=31,H164&lt;40),AND(L164&gt;=31,L164&lt;40),AND(R164&gt;=31,R164&lt;40),AND(X164&gt;=31,X164&lt;40),AND(AD164&gt;=31,AD164&lt;40)),IF(AND(OR(COUNTIF(D164:AI164,"=31")&gt;=1,COUNTIF(D164:AI164,"=32")&gt;=1,COUNTIF(D164:AI164,"=33")&gt;=1,COUNTIF(D164:AI164,"=34")&gt;=1,COUNTIF(D164:AI164,"=35")&gt;=1,COUNTIF(D164:AI164,"=36")&gt;=1 ),COUNTIF(D164:AI164,"")=0,COUNTIF(D164:AI164," ")=0,COUNTIF(D164:AI164,"F")=1),CONCATENATE(SUM(EXTRACTNUMBER(D164),EXTRACTNUMBER(F164),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EXTRACTNUMBER(AD164),EXTRACTNUMBER(AH164),EXTRACTNUMBER(AF164)),"*"),IF(AND(COUNTIF(D164:AI164,"=34")&gt;=1,COUNTIF(D164:AI164,"=35")&gt;=1,COUNTIF(D164:AI164,"f")=2,COUNTIF(D164:AI164,"")=0,COUNTIF(D164:AI164," ")=0),CONCATENATE(SUM(EXTRACTNUMBER(D164),EXTRACTNUMBER(F164),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EXTRACTNUMBER(AD164),EXTRACTNUMBER(AH164),EXTRACTNUMBER(AF164)),"*"),IF(AND(COUNTIF(D164:AI164,"=36")&gt;=2,COUNTIF(D164:AI164,"f")=2,COUNTIF(D164:AI164,"")=0,COUNTIF(D164:AI164," ")=0),CONCATENATE(SUM(EXTRACTNUMBER(D164),EXTRACTNUMBER(F164),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EXTRACTNUMBER(AD164),EXTRACTNUMBER(AH164),EXTRACTNUMBER(AF164)),"*"),SUM(EXTRACTNUMBER(D164),EXTRACTNUMBER(F164),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EXTRACTNUMBER(AD164),EXTRACTNUMBER(AH164),EXTRACTNUMBER(AF164))))),SUM(EXTRACTNUMBER(D164),EXTRACTNUMBER(F164),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EXTRACTNUMBER(AD164),EXTRACTNUMBER(AH164),EXTRACTNUMBER(AF164)))</f>
        <v>564</v>
      </c>
      <c r="AK164" s="28" t="s">
        <v>287</v>
      </c>
      <c r="AL164" s="29">
        <f t="shared" si="38"/>
        <v>1134</v>
      </c>
      <c r="AM164" s="29" t="str">
        <f t="shared" si="55"/>
        <v>PASS</v>
      </c>
      <c r="AN164" s="30" t="str">
        <f>IF(AM164="ABSENT","AB",IF(AM164="FAIL","--",
IF(AK164=0,"RS 3",
IF(AND(SUM(EXTRACTNUMBER(AK164),EXTRACTNUMBER(AJ164))&gt;=1010,
        NOT(IFERROR(FIND("x",AK164),0)),
        NOT(IFERROR(FIND("x",AJ164),0))),"I",
IF(AND(SUM(EXTRACTNUMBER(AK164),EXTRACTNUMBER(AJ164))&gt;=850,
      SUM(EXTRACTNUMBER(AK164),EXTRACTNUMBER(AJ164))&lt;1010,
      NOT(IFERROR(FIND("x",AK164),0)),
      NOT(IFERROR(FIND("x",AJ164),0))),"II",
IF(OR(AND(SUM(EXTRACTNUMBER(AK164),EXTRACTNUMBER(AJ164))&lt;850,
SUM(EXTRACTNUMBER(AK164),EXTRACTNUMBER(AJ164))&gt;=670),
IFERROR(FIND("x",AK164),0),IFERROR(FIND("x",AJ164),0)),"P","--"))))))</f>
        <v>I</v>
      </c>
      <c r="AO164" s="2" t="str">
        <f t="shared" si="56"/>
        <v xml:space="preserve">One Thousand One Hundred Thirty Four </v>
      </c>
    </row>
    <row r="165" spans="2:41" ht="16.5" customHeight="1">
      <c r="B165" s="45">
        <v>134338</v>
      </c>
      <c r="C165" s="46" t="s">
        <v>160</v>
      </c>
      <c r="D165" s="43">
        <v>17</v>
      </c>
      <c r="E165" s="27" t="str">
        <f t="shared" si="39"/>
        <v>F</v>
      </c>
      <c r="F165" s="26">
        <v>16</v>
      </c>
      <c r="G165" s="27" t="str">
        <f t="shared" si="40"/>
        <v>E</v>
      </c>
      <c r="H165" s="24">
        <v>67</v>
      </c>
      <c r="I165" s="27" t="str">
        <f t="shared" si="41"/>
        <v>E</v>
      </c>
      <c r="J165" s="26">
        <v>19</v>
      </c>
      <c r="K165" s="27" t="str">
        <f t="shared" si="42"/>
        <v>E</v>
      </c>
      <c r="L165" s="24">
        <v>47</v>
      </c>
      <c r="M165" s="27" t="str">
        <f t="shared" si="43"/>
        <v>E</v>
      </c>
      <c r="N165" s="26">
        <v>22</v>
      </c>
      <c r="O165" s="27" t="str">
        <f t="shared" si="44"/>
        <v>E</v>
      </c>
      <c r="P165" s="26">
        <v>22</v>
      </c>
      <c r="Q165" s="27" t="str">
        <f t="shared" si="45"/>
        <v>E</v>
      </c>
      <c r="R165" s="24">
        <v>41</v>
      </c>
      <c r="S165" s="27" t="str">
        <f t="shared" si="46"/>
        <v>E</v>
      </c>
      <c r="T165" s="26">
        <v>22</v>
      </c>
      <c r="U165" s="27" t="str">
        <f t="shared" si="47"/>
        <v>E</v>
      </c>
      <c r="V165" s="26">
        <v>16</v>
      </c>
      <c r="W165" s="27" t="str">
        <f t="shared" si="48"/>
        <v>E</v>
      </c>
      <c r="X165" s="24">
        <v>43</v>
      </c>
      <c r="Y165" s="27" t="str">
        <f t="shared" si="49"/>
        <v>E</v>
      </c>
      <c r="Z165" s="26">
        <v>22</v>
      </c>
      <c r="AA165" s="27" t="str">
        <f t="shared" si="50"/>
        <v>E</v>
      </c>
      <c r="AB165" s="26">
        <v>21</v>
      </c>
      <c r="AC165" s="27" t="str">
        <f t="shared" si="51"/>
        <v>E</v>
      </c>
      <c r="AD165" s="24">
        <v>53</v>
      </c>
      <c r="AE165" s="27" t="str">
        <f t="shared" si="52"/>
        <v>E</v>
      </c>
      <c r="AF165" s="26">
        <v>20</v>
      </c>
      <c r="AG165" s="27" t="str">
        <f t="shared" si="53"/>
        <v>E</v>
      </c>
      <c r="AH165" s="26">
        <v>20</v>
      </c>
      <c r="AI165" s="27" t="str">
        <f t="shared" si="54"/>
        <v>E</v>
      </c>
      <c r="AJ165" s="32">
        <f>IF(OR(AND(D165&gt;=31,D165&lt;40),AND(H165&gt;=31,H165&lt;40),AND(L165&gt;=31,L165&lt;40),AND(R165&gt;=31,R165&lt;40),AND(X165&gt;=31,X165&lt;40),AND(AD165&gt;=31,AD165&lt;40)),IF(AND(OR(COUNTIF(D165:AI165,"=31")&gt;=1,COUNTIF(D165:AI165,"=32")&gt;=1,COUNTIF(D165:AI165,"=33")&gt;=1,COUNTIF(D165:AI165,"=34")&gt;=1,COUNTIF(D165:AI165,"=35")&gt;=1,COUNTIF(D165:AI165,"=36")&gt;=1 ),COUNTIF(D165:AI165,"")=0,COUNTIF(D165:AI165," ")=0,COUNTIF(D165:AI165,"F")=1),CONCATENATE(SUM(EXTRACTNUMBER(D165),EXTRACTNUMBER(F165),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EXTRACTNUMBER(AD165),EXTRACTNUMBER(AH165),EXTRACTNUMBER(AF165)),"*"),IF(AND(COUNTIF(D165:AI165,"=34")&gt;=1,COUNTIF(D165:AI165,"=35")&gt;=1,COUNTIF(D165:AI165,"f")=2,COUNTIF(D165:AI165,"")=0,COUNTIF(D165:AI165," ")=0),CONCATENATE(SUM(EXTRACTNUMBER(D165),EXTRACTNUMBER(F165),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EXTRACTNUMBER(AD165),EXTRACTNUMBER(AH165),EXTRACTNUMBER(AF165)),"*"),IF(AND(COUNTIF(D165:AI165,"=36")&gt;=2,COUNTIF(D165:AI165,"f")=2,COUNTIF(D165:AI165,"")=0,COUNTIF(D165:AI165," ")=0),CONCATENATE(SUM(EXTRACTNUMBER(D165),EXTRACTNUMBER(F165),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EXTRACTNUMBER(AD165),EXTRACTNUMBER(AH165),EXTRACTNUMBER(AF165)),"*"),SUM(EXTRACTNUMBER(D165),EXTRACTNUMBER(F165),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EXTRACTNUMBER(AD165),EXTRACTNUMBER(AH165),EXTRACTNUMBER(AF165))))),SUM(EXTRACTNUMBER(D165),EXTRACTNUMBER(F165),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EXTRACTNUMBER(AD165),EXTRACTNUMBER(AH165),EXTRACTNUMBER(AF165)))</f>
        <v>468</v>
      </c>
      <c r="AK165" s="94" t="s">
        <v>577</v>
      </c>
      <c r="AL165" s="29">
        <f t="shared" si="38"/>
        <v>944</v>
      </c>
      <c r="AM165" s="29" t="str">
        <f t="shared" si="55"/>
        <v>FAIL</v>
      </c>
      <c r="AN165" s="30" t="str">
        <f>IF(AM165="ABSENT","AB",IF(AM165="FAIL","--",
IF(AK165=0,"RS 3",
IF(AND(SUM(EXTRACTNUMBER(AK165),EXTRACTNUMBER(AJ165))&gt;=1010,
        NOT(IFERROR(FIND("x",AK165),0)),
        NOT(IFERROR(FIND("x",AJ165),0))),"I",
IF(AND(SUM(EXTRACTNUMBER(AK165),EXTRACTNUMBER(AJ165))&gt;=850,
      SUM(EXTRACTNUMBER(AK165),EXTRACTNUMBER(AJ165))&lt;1010,
      NOT(IFERROR(FIND("x",AK165),0)),
      NOT(IFERROR(FIND("x",AJ165),0))),"II",
IF(OR(AND(SUM(EXTRACTNUMBER(AK165),EXTRACTNUMBER(AJ165))&lt;850,
SUM(EXTRACTNUMBER(AK165),EXTRACTNUMBER(AJ165))&gt;=670),
IFERROR(FIND("x",AK165),0),IFERROR(FIND("x",AJ165),0)),"P","--"))))))</f>
        <v>--</v>
      </c>
      <c r="AO165" s="2" t="str">
        <f t="shared" si="56"/>
        <v xml:space="preserve">Nine Hundred Forty Four </v>
      </c>
    </row>
    <row r="166" spans="2:41" ht="16.5" customHeight="1">
      <c r="B166" s="45">
        <v>134339</v>
      </c>
      <c r="C166" s="46" t="s">
        <v>161</v>
      </c>
      <c r="D166" s="43">
        <v>19</v>
      </c>
      <c r="E166" s="27" t="str">
        <f t="shared" si="39"/>
        <v>F</v>
      </c>
      <c r="F166" s="26">
        <v>14</v>
      </c>
      <c r="G166" s="27" t="str">
        <f t="shared" si="40"/>
        <v>E</v>
      </c>
      <c r="H166" s="24">
        <v>65</v>
      </c>
      <c r="I166" s="27" t="str">
        <f t="shared" si="41"/>
        <v>E</v>
      </c>
      <c r="J166" s="26">
        <v>23</v>
      </c>
      <c r="K166" s="27" t="str">
        <f t="shared" si="42"/>
        <v>E</v>
      </c>
      <c r="L166" s="24">
        <v>51</v>
      </c>
      <c r="M166" s="27" t="str">
        <f t="shared" si="43"/>
        <v>E</v>
      </c>
      <c r="N166" s="26">
        <v>22</v>
      </c>
      <c r="O166" s="27" t="str">
        <f t="shared" si="44"/>
        <v>E</v>
      </c>
      <c r="P166" s="26">
        <v>22</v>
      </c>
      <c r="Q166" s="27" t="str">
        <f t="shared" si="45"/>
        <v>E</v>
      </c>
      <c r="R166" s="24">
        <v>49</v>
      </c>
      <c r="S166" s="27" t="str">
        <f t="shared" si="46"/>
        <v>E</v>
      </c>
      <c r="T166" s="26">
        <v>23</v>
      </c>
      <c r="U166" s="27" t="str">
        <f t="shared" si="47"/>
        <v>E</v>
      </c>
      <c r="V166" s="26">
        <v>21</v>
      </c>
      <c r="W166" s="27" t="str">
        <f t="shared" si="48"/>
        <v>E</v>
      </c>
      <c r="X166" s="24">
        <v>71</v>
      </c>
      <c r="Y166" s="27" t="str">
        <f t="shared" si="49"/>
        <v>E</v>
      </c>
      <c r="Z166" s="26">
        <v>23</v>
      </c>
      <c r="AA166" s="27" t="str">
        <f t="shared" si="50"/>
        <v>E</v>
      </c>
      <c r="AB166" s="26">
        <v>21</v>
      </c>
      <c r="AC166" s="27" t="str">
        <f t="shared" si="51"/>
        <v>E</v>
      </c>
      <c r="AD166" s="24">
        <v>49</v>
      </c>
      <c r="AE166" s="27" t="str">
        <f t="shared" si="52"/>
        <v>E</v>
      </c>
      <c r="AF166" s="26">
        <v>23</v>
      </c>
      <c r="AG166" s="27" t="str">
        <f t="shared" si="53"/>
        <v>E</v>
      </c>
      <c r="AH166" s="26">
        <v>22</v>
      </c>
      <c r="AI166" s="27" t="str">
        <f t="shared" si="54"/>
        <v>E</v>
      </c>
      <c r="AJ166" s="32">
        <f>IF(OR(AND(D166&gt;=31,D166&lt;40),AND(H166&gt;=31,H166&lt;40),AND(L166&gt;=31,L166&lt;40),AND(R166&gt;=31,R166&lt;40),AND(X166&gt;=31,X166&lt;40),AND(AD166&gt;=31,AD166&lt;40)),IF(AND(OR(COUNTIF(D166:AI166,"=31")&gt;=1,COUNTIF(D166:AI166,"=32")&gt;=1,COUNTIF(D166:AI166,"=33")&gt;=1,COUNTIF(D166:AI166,"=34")&gt;=1,COUNTIF(D166:AI166,"=35")&gt;=1,COUNTIF(D166:AI166,"=36")&gt;=1 ),COUNTIF(D166:AI166,"")=0,COUNTIF(D166:AI166," ")=0,COUNTIF(D166:AI166,"F")=1),CONCATENATE(SUM(EXTRACTNUMBER(D166),EXTRACTNUMBER(F166),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EXTRACTNUMBER(AD166),EXTRACTNUMBER(AH166),EXTRACTNUMBER(AF166)),"*"),IF(AND(COUNTIF(D166:AI166,"=34")&gt;=1,COUNTIF(D166:AI166,"=35")&gt;=1,COUNTIF(D166:AI166,"f")=2,COUNTIF(D166:AI166,"")=0,COUNTIF(D166:AI166," ")=0),CONCATENATE(SUM(EXTRACTNUMBER(D166),EXTRACTNUMBER(F166),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EXTRACTNUMBER(AD166),EXTRACTNUMBER(AH166),EXTRACTNUMBER(AF166)),"*"),IF(AND(COUNTIF(D166:AI166,"=36")&gt;=2,COUNTIF(D166:AI166,"f")=2,COUNTIF(D166:AI166,"")=0,COUNTIF(D166:AI166," ")=0),CONCATENATE(SUM(EXTRACTNUMBER(D166),EXTRACTNUMBER(F166),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EXTRACTNUMBER(AD166),EXTRACTNUMBER(AH166),EXTRACTNUMBER(AF166)),"*"),SUM(EXTRACTNUMBER(D166),EXTRACTNUMBER(F166),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EXTRACTNUMBER(AD166),EXTRACTNUMBER(AH166),EXTRACTNUMBER(AF166))))),SUM(EXTRACTNUMBER(D166),EXTRACTNUMBER(F166),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EXTRACTNUMBER(AD166),EXTRACTNUMBER(AH166),EXTRACTNUMBER(AF166)))</f>
        <v>518</v>
      </c>
      <c r="AK166" s="94" t="s">
        <v>595</v>
      </c>
      <c r="AL166" s="29">
        <f t="shared" si="38"/>
        <v>1025</v>
      </c>
      <c r="AM166" s="29" t="str">
        <f t="shared" si="55"/>
        <v>FAIL</v>
      </c>
      <c r="AN166" s="30" t="str">
        <f>IF(AM166="ABSENT","AB",IF(AM166="FAIL","--",
IF(AK166=0,"RS 3",
IF(AND(SUM(EXTRACTNUMBER(AK166),EXTRACTNUMBER(AJ166))&gt;=1010,
        NOT(IFERROR(FIND("x",AK166),0)),
        NOT(IFERROR(FIND("x",AJ166),0))),"I",
IF(AND(SUM(EXTRACTNUMBER(AK166),EXTRACTNUMBER(AJ166))&gt;=850,
      SUM(EXTRACTNUMBER(AK166),EXTRACTNUMBER(AJ166))&lt;1010,
      NOT(IFERROR(FIND("x",AK166),0)),
      NOT(IFERROR(FIND("x",AJ166),0))),"II",
IF(OR(AND(SUM(EXTRACTNUMBER(AK166),EXTRACTNUMBER(AJ166))&lt;850,
SUM(EXTRACTNUMBER(AK166),EXTRACTNUMBER(AJ166))&gt;=670),
IFERROR(FIND("x",AK166),0),IFERROR(FIND("x",AJ166),0)),"P","--"))))))</f>
        <v>--</v>
      </c>
      <c r="AO166" s="2" t="str">
        <f t="shared" si="56"/>
        <v xml:space="preserve">One Thousand Twenty Five </v>
      </c>
    </row>
    <row r="167" spans="2:41" ht="16.5" customHeight="1">
      <c r="B167" s="45">
        <v>134340</v>
      </c>
      <c r="C167" s="46" t="s">
        <v>162</v>
      </c>
      <c r="D167" s="43">
        <v>16</v>
      </c>
      <c r="E167" s="27" t="str">
        <f t="shared" si="39"/>
        <v>F</v>
      </c>
      <c r="F167" s="26">
        <v>17</v>
      </c>
      <c r="G167" s="27" t="str">
        <f t="shared" si="40"/>
        <v>E</v>
      </c>
      <c r="H167" s="24">
        <v>43</v>
      </c>
      <c r="I167" s="27" t="str">
        <f t="shared" si="41"/>
        <v>E</v>
      </c>
      <c r="J167" s="26">
        <v>19</v>
      </c>
      <c r="K167" s="27" t="str">
        <f t="shared" si="42"/>
        <v>E</v>
      </c>
      <c r="L167" s="24">
        <v>40</v>
      </c>
      <c r="M167" s="27" t="str">
        <f t="shared" si="43"/>
        <v>E</v>
      </c>
      <c r="N167" s="26">
        <v>17</v>
      </c>
      <c r="O167" s="27" t="str">
        <f t="shared" si="44"/>
        <v>E</v>
      </c>
      <c r="P167" s="26">
        <v>18</v>
      </c>
      <c r="Q167" s="27" t="str">
        <f t="shared" si="45"/>
        <v>E</v>
      </c>
      <c r="R167" s="24">
        <v>15</v>
      </c>
      <c r="S167" s="27" t="str">
        <f t="shared" si="46"/>
        <v>F</v>
      </c>
      <c r="T167" s="26">
        <v>22</v>
      </c>
      <c r="U167" s="27" t="str">
        <f t="shared" si="47"/>
        <v>E</v>
      </c>
      <c r="V167" s="26">
        <v>16</v>
      </c>
      <c r="W167" s="27" t="str">
        <f t="shared" si="48"/>
        <v>E</v>
      </c>
      <c r="X167" s="24">
        <v>40</v>
      </c>
      <c r="Y167" s="27" t="str">
        <f t="shared" si="49"/>
        <v>E</v>
      </c>
      <c r="Z167" s="26">
        <v>23</v>
      </c>
      <c r="AA167" s="27" t="str">
        <f t="shared" si="50"/>
        <v>E</v>
      </c>
      <c r="AB167" s="26">
        <v>20</v>
      </c>
      <c r="AC167" s="27" t="str">
        <f t="shared" si="51"/>
        <v>E</v>
      </c>
      <c r="AD167" s="24">
        <v>28</v>
      </c>
      <c r="AE167" s="27" t="str">
        <f t="shared" si="52"/>
        <v>F</v>
      </c>
      <c r="AF167" s="26">
        <v>20</v>
      </c>
      <c r="AG167" s="27" t="str">
        <f t="shared" si="53"/>
        <v>E</v>
      </c>
      <c r="AH167" s="26">
        <v>16</v>
      </c>
      <c r="AI167" s="27" t="str">
        <f t="shared" si="54"/>
        <v>E</v>
      </c>
      <c r="AJ167" s="32">
        <f>IF(OR(AND(D167&gt;=31,D167&lt;40),AND(H167&gt;=31,H167&lt;40),AND(L167&gt;=31,L167&lt;40),AND(R167&gt;=31,R167&lt;40),AND(X167&gt;=31,X167&lt;40),AND(AD167&gt;=31,AD167&lt;40)),IF(AND(OR(COUNTIF(D167:AI167,"=31")&gt;=1,COUNTIF(D167:AI167,"=32")&gt;=1,COUNTIF(D167:AI167,"=33")&gt;=1,COUNTIF(D167:AI167,"=34")&gt;=1,COUNTIF(D167:AI167,"=35")&gt;=1,COUNTIF(D167:AI167,"=36")&gt;=1 ),COUNTIF(D167:AI167,"")=0,COUNTIF(D167:AI167," ")=0,COUNTIF(D167:AI167,"F")=1),CONCATENATE(SUM(EXTRACTNUMBER(D167),EXTRACTNUMBER(F167),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EXTRACTNUMBER(AD167),EXTRACTNUMBER(AH167),EXTRACTNUMBER(AF167)),"*"),IF(AND(COUNTIF(D167:AI167,"=34")&gt;=1,COUNTIF(D167:AI167,"=35")&gt;=1,COUNTIF(D167:AI167,"f")=2,COUNTIF(D167:AI167,"")=0,COUNTIF(D167:AI167," ")=0),CONCATENATE(SUM(EXTRACTNUMBER(D167),EXTRACTNUMBER(F167),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EXTRACTNUMBER(AD167),EXTRACTNUMBER(AH167),EXTRACTNUMBER(AF167)),"*"),IF(AND(COUNTIF(D167:AI167,"=36")&gt;=2,COUNTIF(D167:AI167,"f")=2,COUNTIF(D167:AI167,"")=0,COUNTIF(D167:AI167," ")=0),CONCATENATE(SUM(EXTRACTNUMBER(D167),EXTRACTNUMBER(F167),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EXTRACTNUMBER(AD167),EXTRACTNUMBER(AH167),EXTRACTNUMBER(AF167)),"*"),SUM(EXTRACTNUMBER(D167),EXTRACTNUMBER(F167),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EXTRACTNUMBER(AD167),EXTRACTNUMBER(AH167),EXTRACTNUMBER(AF167))))),SUM(EXTRACTNUMBER(D167),EXTRACTNUMBER(F167),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EXTRACTNUMBER(AD167),EXTRACTNUMBER(AH167),EXTRACTNUMBER(AF167)))</f>
        <v>370</v>
      </c>
      <c r="AK167" s="28">
        <v>0</v>
      </c>
      <c r="AL167" s="29">
        <f t="shared" si="38"/>
        <v>370</v>
      </c>
      <c r="AM167" s="29" t="str">
        <f t="shared" si="55"/>
        <v>FAIL</v>
      </c>
      <c r="AN167" s="30" t="str">
        <f>IF(AM167="ABSENT","AB",IF(AM167="FAIL","--",
IF(AK167=0,"RS 3",
IF(AND(SUM(EXTRACTNUMBER(AK167),EXTRACTNUMBER(AJ167))&gt;=1010,
        NOT(IFERROR(FIND("x",AK167),0)),
        NOT(IFERROR(FIND("x",AJ167),0))),"I",
IF(AND(SUM(EXTRACTNUMBER(AK167),EXTRACTNUMBER(AJ167))&gt;=850,
      SUM(EXTRACTNUMBER(AK167),EXTRACTNUMBER(AJ167))&lt;1010,
      NOT(IFERROR(FIND("x",AK167),0)),
      NOT(IFERROR(FIND("x",AJ167),0))),"II",
IF(OR(AND(SUM(EXTRACTNUMBER(AK167),EXTRACTNUMBER(AJ167))&lt;850,
SUM(EXTRACTNUMBER(AK167),EXTRACTNUMBER(AJ167))&gt;=670),
IFERROR(FIND("x",AK167),0),IFERROR(FIND("x",AJ167),0)),"P","--"))))))</f>
        <v>--</v>
      </c>
      <c r="AO167" s="2" t="str">
        <f t="shared" si="56"/>
        <v xml:space="preserve">Three Hundred Seventy  </v>
      </c>
    </row>
    <row r="168" spans="2:41" ht="16.5" customHeight="1">
      <c r="B168" s="45">
        <v>134341</v>
      </c>
      <c r="C168" s="46" t="s">
        <v>163</v>
      </c>
      <c r="D168" s="43">
        <v>40</v>
      </c>
      <c r="E168" s="27" t="str">
        <f t="shared" si="39"/>
        <v/>
      </c>
      <c r="F168" s="26">
        <v>21</v>
      </c>
      <c r="G168" s="27" t="str">
        <f t="shared" si="40"/>
        <v/>
      </c>
      <c r="H168" s="24">
        <v>54</v>
      </c>
      <c r="I168" s="27" t="str">
        <f t="shared" si="41"/>
        <v/>
      </c>
      <c r="J168" s="26">
        <v>21</v>
      </c>
      <c r="K168" s="27" t="str">
        <f t="shared" si="42"/>
        <v/>
      </c>
      <c r="L168" s="24">
        <v>56</v>
      </c>
      <c r="M168" s="27" t="str">
        <f t="shared" si="43"/>
        <v/>
      </c>
      <c r="N168" s="26">
        <v>22</v>
      </c>
      <c r="O168" s="27" t="str">
        <f t="shared" si="44"/>
        <v/>
      </c>
      <c r="P168" s="26">
        <v>22</v>
      </c>
      <c r="Q168" s="27" t="str">
        <f t="shared" si="45"/>
        <v/>
      </c>
      <c r="R168" s="24">
        <v>52</v>
      </c>
      <c r="S168" s="27" t="str">
        <f t="shared" si="46"/>
        <v/>
      </c>
      <c r="T168" s="26">
        <v>23</v>
      </c>
      <c r="U168" s="27" t="str">
        <f t="shared" si="47"/>
        <v/>
      </c>
      <c r="V168" s="26">
        <v>19</v>
      </c>
      <c r="W168" s="27" t="str">
        <f t="shared" si="48"/>
        <v/>
      </c>
      <c r="X168" s="24">
        <v>62</v>
      </c>
      <c r="Y168" s="27" t="str">
        <f t="shared" si="49"/>
        <v/>
      </c>
      <c r="Z168" s="26">
        <v>20</v>
      </c>
      <c r="AA168" s="27" t="str">
        <f t="shared" si="50"/>
        <v/>
      </c>
      <c r="AB168" s="26">
        <v>21</v>
      </c>
      <c r="AC168" s="27" t="str">
        <f t="shared" si="51"/>
        <v/>
      </c>
      <c r="AD168" s="24">
        <v>43</v>
      </c>
      <c r="AE168" s="27" t="str">
        <f t="shared" si="52"/>
        <v/>
      </c>
      <c r="AF168" s="26">
        <v>19</v>
      </c>
      <c r="AG168" s="27" t="str">
        <f t="shared" si="53"/>
        <v/>
      </c>
      <c r="AH168" s="26">
        <v>14</v>
      </c>
      <c r="AI168" s="27" t="str">
        <f t="shared" si="54"/>
        <v/>
      </c>
      <c r="AJ168" s="32">
        <f>IF(OR(AND(D168&gt;=31,D168&lt;40),AND(H168&gt;=31,H168&lt;40),AND(L168&gt;=31,L168&lt;40),AND(R168&gt;=31,R168&lt;40),AND(X168&gt;=31,X168&lt;40),AND(AD168&gt;=31,AD168&lt;40)),IF(AND(OR(COUNTIF(D168:AI168,"=31")&gt;=1,COUNTIF(D168:AI168,"=32")&gt;=1,COUNTIF(D168:AI168,"=33")&gt;=1,COUNTIF(D168:AI168,"=34")&gt;=1,COUNTIF(D168:AI168,"=35")&gt;=1,COUNTIF(D168:AI168,"=36")&gt;=1 ),COUNTIF(D168:AI168,"")=0,COUNTIF(D168:AI168," ")=0,COUNTIF(D168:AI168,"F")=1),CONCATENATE(SUM(EXTRACTNUMBER(D168),EXTRACTNUMBER(F168),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EXTRACTNUMBER(AD168),EXTRACTNUMBER(AH168),EXTRACTNUMBER(AF168)),"*"),IF(AND(COUNTIF(D168:AI168,"=34")&gt;=1,COUNTIF(D168:AI168,"=35")&gt;=1,COUNTIF(D168:AI168,"f")=2,COUNTIF(D168:AI168,"")=0,COUNTIF(D168:AI168," ")=0),CONCATENATE(SUM(EXTRACTNUMBER(D168),EXTRACTNUMBER(F168),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EXTRACTNUMBER(AD168),EXTRACTNUMBER(AH168),EXTRACTNUMBER(AF168)),"*"),IF(AND(COUNTIF(D168:AI168,"=36")&gt;=2,COUNTIF(D168:AI168,"f")=2,COUNTIF(D168:AI168,"")=0,COUNTIF(D168:AI168," ")=0),CONCATENATE(SUM(EXTRACTNUMBER(D168),EXTRACTNUMBER(F168),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EXTRACTNUMBER(AD168),EXTRACTNUMBER(AH168),EXTRACTNUMBER(AF168)),"*"),SUM(EXTRACTNUMBER(D168),EXTRACTNUMBER(F168),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EXTRACTNUMBER(AD168),EXTRACTNUMBER(AH168),EXTRACTNUMBER(AF168))))),SUM(EXTRACTNUMBER(D168),EXTRACTNUMBER(F168),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EXTRACTNUMBER(AD168),EXTRACTNUMBER(AH168),EXTRACTNUMBER(AF168)))</f>
        <v>509</v>
      </c>
      <c r="AK168" s="94" t="s">
        <v>596</v>
      </c>
      <c r="AL168" s="29">
        <f t="shared" si="38"/>
        <v>1048</v>
      </c>
      <c r="AM168" s="29" t="str">
        <f t="shared" si="55"/>
        <v>PASS</v>
      </c>
      <c r="AN168" s="30" t="str">
        <f>IF(AM168="ABSENT","AB",IF(AM168="FAIL","--",
IF(AK168=0,"RS 3",
IF(AND(SUM(EXTRACTNUMBER(AK168),EXTRACTNUMBER(AJ168))&gt;=1010,
        NOT(IFERROR(FIND("x",AK168),0)),
        NOT(IFERROR(FIND("x",AJ168),0))),"I",
IF(AND(SUM(EXTRACTNUMBER(AK168),EXTRACTNUMBER(AJ168))&gt;=850,
      SUM(EXTRACTNUMBER(AK168),EXTRACTNUMBER(AJ168))&lt;1010,
      NOT(IFERROR(FIND("x",AK168),0)),
      NOT(IFERROR(FIND("x",AJ168),0))),"II",
IF(OR(AND(SUM(EXTRACTNUMBER(AK168),EXTRACTNUMBER(AJ168))&lt;850,
SUM(EXTRACTNUMBER(AK168),EXTRACTNUMBER(AJ168))&gt;=670),
IFERROR(FIND("x",AK168),0),IFERROR(FIND("x",AJ168),0)),"P","--"))))))</f>
        <v>P</v>
      </c>
      <c r="AO168" s="2" t="str">
        <f t="shared" si="56"/>
        <v xml:space="preserve">One Thousand Forty Eight </v>
      </c>
    </row>
    <row r="169" spans="2:41" ht="16.5" customHeight="1">
      <c r="B169" s="45">
        <v>134342</v>
      </c>
      <c r="C169" s="46" t="s">
        <v>164</v>
      </c>
      <c r="D169" s="43">
        <v>40</v>
      </c>
      <c r="E169" s="27" t="str">
        <f t="shared" si="39"/>
        <v/>
      </c>
      <c r="F169" s="26">
        <v>23</v>
      </c>
      <c r="G169" s="27" t="str">
        <f t="shared" si="40"/>
        <v/>
      </c>
      <c r="H169" s="24">
        <v>40</v>
      </c>
      <c r="I169" s="27" t="str">
        <f t="shared" si="41"/>
        <v/>
      </c>
      <c r="J169" s="26">
        <v>21</v>
      </c>
      <c r="K169" s="27" t="str">
        <f t="shared" si="42"/>
        <v/>
      </c>
      <c r="L169" s="24">
        <v>44</v>
      </c>
      <c r="M169" s="27" t="str">
        <f t="shared" si="43"/>
        <v/>
      </c>
      <c r="N169" s="26">
        <v>22</v>
      </c>
      <c r="O169" s="27" t="str">
        <f t="shared" si="44"/>
        <v/>
      </c>
      <c r="P169" s="26">
        <v>22</v>
      </c>
      <c r="Q169" s="27" t="str">
        <f t="shared" si="45"/>
        <v/>
      </c>
      <c r="R169" s="40" t="s">
        <v>309</v>
      </c>
      <c r="S169" s="27" t="str">
        <f t="shared" si="46"/>
        <v/>
      </c>
      <c r="T169" s="26">
        <v>21</v>
      </c>
      <c r="U169" s="27" t="str">
        <f t="shared" si="47"/>
        <v/>
      </c>
      <c r="V169" s="26">
        <v>21</v>
      </c>
      <c r="W169" s="27" t="str">
        <f t="shared" si="48"/>
        <v/>
      </c>
      <c r="X169" s="24">
        <v>41</v>
      </c>
      <c r="Y169" s="27" t="str">
        <f t="shared" si="49"/>
        <v/>
      </c>
      <c r="Z169" s="26">
        <v>22</v>
      </c>
      <c r="AA169" s="27" t="str">
        <f t="shared" si="50"/>
        <v/>
      </c>
      <c r="AB169" s="26">
        <v>20</v>
      </c>
      <c r="AC169" s="27" t="str">
        <f t="shared" si="51"/>
        <v/>
      </c>
      <c r="AD169" s="24">
        <v>40</v>
      </c>
      <c r="AE169" s="27" t="str">
        <f t="shared" si="52"/>
        <v/>
      </c>
      <c r="AF169" s="26">
        <v>21</v>
      </c>
      <c r="AG169" s="27" t="str">
        <f t="shared" si="53"/>
        <v/>
      </c>
      <c r="AH169" s="26">
        <v>19</v>
      </c>
      <c r="AI169" s="27" t="str">
        <f t="shared" si="54"/>
        <v/>
      </c>
      <c r="AJ169" s="41" t="s">
        <v>310</v>
      </c>
      <c r="AK169" s="94" t="s">
        <v>584</v>
      </c>
      <c r="AL169" s="29">
        <f t="shared" si="38"/>
        <v>938</v>
      </c>
      <c r="AM169" s="29" t="str">
        <f t="shared" si="55"/>
        <v>PASS</v>
      </c>
      <c r="AN169" s="30" t="str">
        <f>IF(AM169="ABSENT","AB",IF(AM169="FAIL","--",
IF(AK169=0,"RS 3",
IF(AND(SUM(EXTRACTNUMBER(AK169),EXTRACTNUMBER(AJ169))&gt;=1010,
        NOT(IFERROR(FIND("x",AK169),0)),
        NOT(IFERROR(FIND("x",AJ169),0))),"I",
IF(AND(SUM(EXTRACTNUMBER(AK169),EXTRACTNUMBER(AJ169))&gt;=850,
      SUM(EXTRACTNUMBER(AK169),EXTRACTNUMBER(AJ169))&lt;1010,
      NOT(IFERROR(FIND("x",AK169),0)),
      NOT(IFERROR(FIND("x",AJ169),0))),"II",
IF(OR(AND(SUM(EXTRACTNUMBER(AK169),EXTRACTNUMBER(AJ169))&lt;850,
SUM(EXTRACTNUMBER(AK169),EXTRACTNUMBER(AJ169))&gt;=670),
IFERROR(FIND("x",AK169),0),IFERROR(FIND("x",AJ169),0)),"P","--"))))))</f>
        <v>P</v>
      </c>
      <c r="AO169" s="2" t="str">
        <f t="shared" si="56"/>
        <v xml:space="preserve">Nine Hundred Thirty Eight </v>
      </c>
    </row>
    <row r="170" spans="2:41" ht="16.5" customHeight="1">
      <c r="B170" s="45">
        <v>134343</v>
      </c>
      <c r="C170" s="46" t="s">
        <v>165</v>
      </c>
      <c r="D170" s="43">
        <v>9</v>
      </c>
      <c r="E170" s="27" t="str">
        <f t="shared" si="39"/>
        <v>F</v>
      </c>
      <c r="F170" s="26">
        <v>16</v>
      </c>
      <c r="G170" s="27" t="str">
        <f t="shared" si="40"/>
        <v>E</v>
      </c>
      <c r="H170" s="24">
        <v>45</v>
      </c>
      <c r="I170" s="27" t="str">
        <f t="shared" si="41"/>
        <v>E</v>
      </c>
      <c r="J170" s="26">
        <v>17</v>
      </c>
      <c r="K170" s="27" t="str">
        <f t="shared" si="42"/>
        <v>E</v>
      </c>
      <c r="L170" s="24">
        <v>40</v>
      </c>
      <c r="M170" s="27" t="str">
        <f t="shared" si="43"/>
        <v>E</v>
      </c>
      <c r="N170" s="26">
        <v>17</v>
      </c>
      <c r="O170" s="27" t="str">
        <f t="shared" si="44"/>
        <v>E</v>
      </c>
      <c r="P170" s="26">
        <v>17</v>
      </c>
      <c r="Q170" s="27" t="str">
        <f t="shared" si="45"/>
        <v>E</v>
      </c>
      <c r="R170" s="24">
        <v>23</v>
      </c>
      <c r="S170" s="27" t="str">
        <f t="shared" si="46"/>
        <v>F</v>
      </c>
      <c r="T170" s="26">
        <v>15</v>
      </c>
      <c r="U170" s="27" t="str">
        <f t="shared" si="47"/>
        <v>E</v>
      </c>
      <c r="V170" s="26">
        <v>16</v>
      </c>
      <c r="W170" s="27" t="str">
        <f t="shared" si="48"/>
        <v>E</v>
      </c>
      <c r="X170" s="24">
        <v>40</v>
      </c>
      <c r="Y170" s="27" t="str">
        <f t="shared" si="49"/>
        <v>E</v>
      </c>
      <c r="Z170" s="26">
        <v>20</v>
      </c>
      <c r="AA170" s="27" t="str">
        <f t="shared" si="50"/>
        <v>E</v>
      </c>
      <c r="AB170" s="26">
        <v>20</v>
      </c>
      <c r="AC170" s="27" t="str">
        <f t="shared" si="51"/>
        <v>E</v>
      </c>
      <c r="AD170" s="24">
        <v>40</v>
      </c>
      <c r="AE170" s="27" t="str">
        <f t="shared" si="52"/>
        <v>E</v>
      </c>
      <c r="AF170" s="26">
        <v>18</v>
      </c>
      <c r="AG170" s="27" t="str">
        <f t="shared" si="53"/>
        <v>E</v>
      </c>
      <c r="AH170" s="26">
        <v>17</v>
      </c>
      <c r="AI170" s="27" t="str">
        <f t="shared" si="54"/>
        <v>E</v>
      </c>
      <c r="AJ170" s="32">
        <f>IF(OR(AND(D170&gt;=31,D170&lt;40),AND(H170&gt;=31,H170&lt;40),AND(L170&gt;=31,L170&lt;40),AND(R170&gt;=31,R170&lt;40),AND(X170&gt;=31,X170&lt;40),AND(AD170&gt;=31,AD170&lt;40)),IF(AND(OR(COUNTIF(D170:AI170,"=31")&gt;=1,COUNTIF(D170:AI170,"=32")&gt;=1,COUNTIF(D170:AI170,"=33")&gt;=1,COUNTIF(D170:AI170,"=34")&gt;=1,COUNTIF(D170:AI170,"=35")&gt;=1,COUNTIF(D170:AI170,"=36")&gt;=1 ),COUNTIF(D170:AI170,"")=0,COUNTIF(D170:AI170," ")=0,COUNTIF(D170:AI170,"F")=1),CONCATENATE(SUM(EXTRACTNUMBER(D170),EXTRACTNUMBER(F170),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EXTRACTNUMBER(AD170),EXTRACTNUMBER(AH170),EXTRACTNUMBER(AF170)),"*"),IF(AND(COUNTIF(D170:AI170,"=34")&gt;=1,COUNTIF(D170:AI170,"=35")&gt;=1,COUNTIF(D170:AI170,"f")=2,COUNTIF(D170:AI170,"")=0,COUNTIF(D170:AI170," ")=0),CONCATENATE(SUM(EXTRACTNUMBER(D170),EXTRACTNUMBER(F170),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EXTRACTNUMBER(AD170),EXTRACTNUMBER(AH170),EXTRACTNUMBER(AF170)),"*"),IF(AND(COUNTIF(D170:AI170,"=36")&gt;=2,COUNTIF(D170:AI170,"f")=2,COUNTIF(D170:AI170,"")=0,COUNTIF(D170:AI170," ")=0),CONCATENATE(SUM(EXTRACTNUMBER(D170),EXTRACTNUMBER(F170),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EXTRACTNUMBER(AD170),EXTRACTNUMBER(AH170),EXTRACTNUMBER(AF170)),"*"),SUM(EXTRACTNUMBER(D170),EXTRACTNUMBER(F170),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EXTRACTNUMBER(AD170),EXTRACTNUMBER(AH170),EXTRACTNUMBER(AF170))))),SUM(EXTRACTNUMBER(D170),EXTRACTNUMBER(F170),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EXTRACTNUMBER(AD170),EXTRACTNUMBER(AH170),EXTRACTNUMBER(AF170)))</f>
        <v>370</v>
      </c>
      <c r="AK170" s="28">
        <v>0</v>
      </c>
      <c r="AL170" s="29">
        <f t="shared" si="38"/>
        <v>370</v>
      </c>
      <c r="AM170" s="29" t="str">
        <f t="shared" si="55"/>
        <v>FAIL</v>
      </c>
      <c r="AN170" s="30" t="str">
        <f>IF(AM170="ABSENT","AB",IF(AM170="FAIL","--",
IF(AK170=0,"RS 3",
IF(AND(SUM(EXTRACTNUMBER(AK170),EXTRACTNUMBER(AJ170))&gt;=1010,
        NOT(IFERROR(FIND("x",AK170),0)),
        NOT(IFERROR(FIND("x",AJ170),0))),"I",
IF(AND(SUM(EXTRACTNUMBER(AK170),EXTRACTNUMBER(AJ170))&gt;=850,
      SUM(EXTRACTNUMBER(AK170),EXTRACTNUMBER(AJ170))&lt;1010,
      NOT(IFERROR(FIND("x",AK170),0)),
      NOT(IFERROR(FIND("x",AJ170),0))),"II",
IF(OR(AND(SUM(EXTRACTNUMBER(AK170),EXTRACTNUMBER(AJ170))&lt;850,
SUM(EXTRACTNUMBER(AK170),EXTRACTNUMBER(AJ170))&gt;=670),
IFERROR(FIND("x",AK170),0),IFERROR(FIND("x",AJ170),0)),"P","--"))))))</f>
        <v>--</v>
      </c>
      <c r="AO170" s="2" t="str">
        <f t="shared" si="56"/>
        <v xml:space="preserve">Three Hundred Seventy  </v>
      </c>
    </row>
    <row r="171" spans="2:41" ht="16.5" customHeight="1">
      <c r="B171" s="45">
        <v>134344</v>
      </c>
      <c r="C171" s="46" t="s">
        <v>166</v>
      </c>
      <c r="D171" s="43" t="s">
        <v>305</v>
      </c>
      <c r="E171" s="27" t="str">
        <f t="shared" si="39"/>
        <v/>
      </c>
      <c r="F171" s="26">
        <v>14</v>
      </c>
      <c r="G171" s="27" t="str">
        <f t="shared" si="40"/>
        <v>E</v>
      </c>
      <c r="H171" s="24" t="s">
        <v>305</v>
      </c>
      <c r="I171" s="27" t="str">
        <f t="shared" si="41"/>
        <v/>
      </c>
      <c r="J171" s="26">
        <v>20</v>
      </c>
      <c r="K171" s="27" t="str">
        <f t="shared" si="42"/>
        <v>E</v>
      </c>
      <c r="L171" s="24">
        <v>7</v>
      </c>
      <c r="M171" s="27" t="str">
        <f t="shared" si="43"/>
        <v>F</v>
      </c>
      <c r="N171" s="26">
        <v>16</v>
      </c>
      <c r="O171" s="27" t="str">
        <f t="shared" si="44"/>
        <v>E</v>
      </c>
      <c r="P171" s="26">
        <v>17</v>
      </c>
      <c r="Q171" s="27" t="str">
        <f t="shared" si="45"/>
        <v>E</v>
      </c>
      <c r="R171" s="24" t="s">
        <v>305</v>
      </c>
      <c r="S171" s="27" t="str">
        <f t="shared" si="46"/>
        <v/>
      </c>
      <c r="T171" s="26">
        <v>14</v>
      </c>
      <c r="U171" s="27" t="str">
        <f t="shared" si="47"/>
        <v>E</v>
      </c>
      <c r="V171" s="26">
        <v>14</v>
      </c>
      <c r="W171" s="27" t="str">
        <f t="shared" si="48"/>
        <v>E</v>
      </c>
      <c r="X171" s="24" t="s">
        <v>305</v>
      </c>
      <c r="Y171" s="27" t="str">
        <f t="shared" si="49"/>
        <v/>
      </c>
      <c r="Z171" s="26">
        <v>21</v>
      </c>
      <c r="AA171" s="27" t="str">
        <f t="shared" si="50"/>
        <v>E</v>
      </c>
      <c r="AB171" s="26">
        <v>20</v>
      </c>
      <c r="AC171" s="27" t="str">
        <f t="shared" si="51"/>
        <v>E</v>
      </c>
      <c r="AD171" s="24" t="s">
        <v>305</v>
      </c>
      <c r="AE171" s="27" t="str">
        <f t="shared" si="52"/>
        <v/>
      </c>
      <c r="AF171" s="26">
        <v>23</v>
      </c>
      <c r="AG171" s="27" t="str">
        <f t="shared" si="53"/>
        <v>E</v>
      </c>
      <c r="AH171" s="26">
        <v>15</v>
      </c>
      <c r="AI171" s="27" t="str">
        <f t="shared" si="54"/>
        <v>E</v>
      </c>
      <c r="AJ171" s="32">
        <f>IF(OR(AND(D171&gt;=31,D171&lt;40),AND(H171&gt;=31,H171&lt;40),AND(L171&gt;=31,L171&lt;40),AND(R171&gt;=31,R171&lt;40),AND(X171&gt;=31,X171&lt;40),AND(AD171&gt;=31,AD171&lt;40)),IF(AND(OR(COUNTIF(D171:AI171,"=31")&gt;=1,COUNTIF(D171:AI171,"=32")&gt;=1,COUNTIF(D171:AI171,"=33")&gt;=1,COUNTIF(D171:AI171,"=34")&gt;=1,COUNTIF(D171:AI171,"=35")&gt;=1,COUNTIF(D171:AI171,"=36")&gt;=1 ),COUNTIF(D171:AI171,"")=0,COUNTIF(D171:AI171," ")=0,COUNTIF(D171:AI171,"F")=1),CONCATENATE(SUM(EXTRACTNUMBER(D171),EXTRACTNUMBER(F171),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EXTRACTNUMBER(AD171),EXTRACTNUMBER(AH171),EXTRACTNUMBER(AF171)),"*"),IF(AND(COUNTIF(D171:AI171,"=34")&gt;=1,COUNTIF(D171:AI171,"=35")&gt;=1,COUNTIF(D171:AI171,"f")=2,COUNTIF(D171:AI171,"")=0,COUNTIF(D171:AI171," ")=0),CONCATENATE(SUM(EXTRACTNUMBER(D171),EXTRACTNUMBER(F171),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EXTRACTNUMBER(AD171),EXTRACTNUMBER(AH171),EXTRACTNUMBER(AF171)),"*"),IF(AND(COUNTIF(D171:AI171,"=36")&gt;=2,COUNTIF(D171:AI171,"f")=2,COUNTIF(D171:AI171,"")=0,COUNTIF(D171:AI171," ")=0),CONCATENATE(SUM(EXTRACTNUMBER(D171),EXTRACTNUMBER(F171),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EXTRACTNUMBER(AD171),EXTRACTNUMBER(AH171),EXTRACTNUMBER(AF171)),"*"),SUM(EXTRACTNUMBER(D171),EXTRACTNUMBER(F171),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EXTRACTNUMBER(AD171),EXTRACTNUMBER(AH171),EXTRACTNUMBER(AF171))))),SUM(EXTRACTNUMBER(D171),EXTRACTNUMBER(F171),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EXTRACTNUMBER(AD171),EXTRACTNUMBER(AH171),EXTRACTNUMBER(AF171)))</f>
        <v>181</v>
      </c>
      <c r="AK171" s="28">
        <v>0</v>
      </c>
      <c r="AL171" s="29">
        <f t="shared" si="38"/>
        <v>181</v>
      </c>
      <c r="AM171" s="29" t="str">
        <f t="shared" si="55"/>
        <v>FAIL</v>
      </c>
      <c r="AN171" s="30" t="str">
        <f>IF(AM171="ABSENT","AB",IF(AM171="FAIL","--",
IF(AK171=0,"RS 3",
IF(AND(SUM(EXTRACTNUMBER(AK171),EXTRACTNUMBER(AJ171))&gt;=1010,
        NOT(IFERROR(FIND("x",AK171),0)),
        NOT(IFERROR(FIND("x",AJ171),0))),"I",
IF(AND(SUM(EXTRACTNUMBER(AK171),EXTRACTNUMBER(AJ171))&gt;=850,
      SUM(EXTRACTNUMBER(AK171),EXTRACTNUMBER(AJ171))&lt;1010,
      NOT(IFERROR(FIND("x",AK171),0)),
      NOT(IFERROR(FIND("x",AJ171),0))),"II",
IF(OR(AND(SUM(EXTRACTNUMBER(AK171),EXTRACTNUMBER(AJ171))&lt;850,
SUM(EXTRACTNUMBER(AK171),EXTRACTNUMBER(AJ171))&gt;=670),
IFERROR(FIND("x",AK171),0),IFERROR(FIND("x",AJ171),0)),"P","--"))))))</f>
        <v>--</v>
      </c>
      <c r="AO171" s="2" t="str">
        <f t="shared" si="56"/>
        <v xml:space="preserve">One Hundred Eighty One </v>
      </c>
    </row>
    <row r="172" spans="2:41" ht="16.5" customHeight="1">
      <c r="B172" s="45">
        <v>134345</v>
      </c>
      <c r="C172" s="46" t="s">
        <v>167</v>
      </c>
      <c r="D172" s="43">
        <v>16</v>
      </c>
      <c r="E172" s="27" t="str">
        <f t="shared" si="39"/>
        <v>F</v>
      </c>
      <c r="F172" s="26">
        <v>12</v>
      </c>
      <c r="G172" s="27" t="str">
        <f t="shared" si="40"/>
        <v>E</v>
      </c>
      <c r="H172" s="24">
        <v>45</v>
      </c>
      <c r="I172" s="27" t="str">
        <f t="shared" si="41"/>
        <v>E</v>
      </c>
      <c r="J172" s="26">
        <v>21</v>
      </c>
      <c r="K172" s="27" t="str">
        <f t="shared" si="42"/>
        <v>E</v>
      </c>
      <c r="L172" s="24">
        <v>28</v>
      </c>
      <c r="M172" s="27" t="str">
        <f t="shared" si="43"/>
        <v>F</v>
      </c>
      <c r="N172" s="26">
        <v>17</v>
      </c>
      <c r="O172" s="27" t="str">
        <f t="shared" si="44"/>
        <v>E</v>
      </c>
      <c r="P172" s="26">
        <v>18</v>
      </c>
      <c r="Q172" s="27" t="str">
        <f t="shared" si="45"/>
        <v>E</v>
      </c>
      <c r="R172" s="24">
        <v>17</v>
      </c>
      <c r="S172" s="27" t="str">
        <f t="shared" si="46"/>
        <v>F</v>
      </c>
      <c r="T172" s="26">
        <v>24</v>
      </c>
      <c r="U172" s="27" t="str">
        <f t="shared" si="47"/>
        <v>E</v>
      </c>
      <c r="V172" s="26">
        <v>16</v>
      </c>
      <c r="W172" s="27" t="str">
        <f t="shared" si="48"/>
        <v>E</v>
      </c>
      <c r="X172" s="24">
        <v>29</v>
      </c>
      <c r="Y172" s="27" t="str">
        <f t="shared" si="49"/>
        <v>F</v>
      </c>
      <c r="Z172" s="26">
        <v>20</v>
      </c>
      <c r="AA172" s="27" t="str">
        <f t="shared" si="50"/>
        <v>E</v>
      </c>
      <c r="AB172" s="26">
        <v>22</v>
      </c>
      <c r="AC172" s="27" t="str">
        <f t="shared" si="51"/>
        <v>E</v>
      </c>
      <c r="AD172" s="24">
        <v>40</v>
      </c>
      <c r="AE172" s="27" t="str">
        <f t="shared" si="52"/>
        <v>E</v>
      </c>
      <c r="AF172" s="26">
        <v>20</v>
      </c>
      <c r="AG172" s="27" t="str">
        <f t="shared" si="53"/>
        <v>E</v>
      </c>
      <c r="AH172" s="26">
        <v>16</v>
      </c>
      <c r="AI172" s="27" t="str">
        <f t="shared" si="54"/>
        <v>E</v>
      </c>
      <c r="AJ172" s="32">
        <f>IF(OR(AND(D172&gt;=31,D172&lt;40),AND(H172&gt;=31,H172&lt;40),AND(L172&gt;=31,L172&lt;40),AND(R172&gt;=31,R172&lt;40),AND(X172&gt;=31,X172&lt;40),AND(AD172&gt;=31,AD172&lt;40)),IF(AND(OR(COUNTIF(D172:AI172,"=31")&gt;=1,COUNTIF(D172:AI172,"=32")&gt;=1,COUNTIF(D172:AI172,"=33")&gt;=1,COUNTIF(D172:AI172,"=34")&gt;=1,COUNTIF(D172:AI172,"=35")&gt;=1,COUNTIF(D172:AI172,"=36")&gt;=1 ),COUNTIF(D172:AI172,"")=0,COUNTIF(D172:AI172," ")=0,COUNTIF(D172:AI172,"F")=1),CONCATENATE(SUM(EXTRACTNUMBER(D172),EXTRACTNUMBER(F172),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EXTRACTNUMBER(AD172),EXTRACTNUMBER(AH172),EXTRACTNUMBER(AF172)),"*"),IF(AND(COUNTIF(D172:AI172,"=34")&gt;=1,COUNTIF(D172:AI172,"=35")&gt;=1,COUNTIF(D172:AI172,"f")=2,COUNTIF(D172:AI172,"")=0,COUNTIF(D172:AI172," ")=0),CONCATENATE(SUM(EXTRACTNUMBER(D172),EXTRACTNUMBER(F172),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EXTRACTNUMBER(AD172),EXTRACTNUMBER(AH172),EXTRACTNUMBER(AF172)),"*"),IF(AND(COUNTIF(D172:AI172,"=36")&gt;=2,COUNTIF(D172:AI172,"f")=2,COUNTIF(D172:AI172,"")=0,COUNTIF(D172:AI172," ")=0),CONCATENATE(SUM(EXTRACTNUMBER(D172),EXTRACTNUMBER(F172),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EXTRACTNUMBER(AD172),EXTRACTNUMBER(AH172),EXTRACTNUMBER(AF172)),"*"),SUM(EXTRACTNUMBER(D172),EXTRACTNUMBER(F172),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EXTRACTNUMBER(AD172),EXTRACTNUMBER(AH172),EXTRACTNUMBER(AF172))))),SUM(EXTRACTNUMBER(D172),EXTRACTNUMBER(F172),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EXTRACTNUMBER(AD172),EXTRACTNUMBER(AH172),EXTRACTNUMBER(AF172)))</f>
        <v>361</v>
      </c>
      <c r="AK172" s="28">
        <v>0</v>
      </c>
      <c r="AL172" s="29">
        <f t="shared" si="38"/>
        <v>361</v>
      </c>
      <c r="AM172" s="29" t="str">
        <f t="shared" si="55"/>
        <v>FAIL</v>
      </c>
      <c r="AN172" s="30" t="str">
        <f>IF(AM172="ABSENT","AB",IF(AM172="FAIL","--",
IF(AK172=0,"RS 3",
IF(AND(SUM(EXTRACTNUMBER(AK172),EXTRACTNUMBER(AJ172))&gt;=1010,
        NOT(IFERROR(FIND("x",AK172),0)),
        NOT(IFERROR(FIND("x",AJ172),0))),"I",
IF(AND(SUM(EXTRACTNUMBER(AK172),EXTRACTNUMBER(AJ172))&gt;=850,
      SUM(EXTRACTNUMBER(AK172),EXTRACTNUMBER(AJ172))&lt;1010,
      NOT(IFERROR(FIND("x",AK172),0)),
      NOT(IFERROR(FIND("x",AJ172),0))),"II",
IF(OR(AND(SUM(EXTRACTNUMBER(AK172),EXTRACTNUMBER(AJ172))&lt;850,
SUM(EXTRACTNUMBER(AK172),EXTRACTNUMBER(AJ172))&gt;=670),
IFERROR(FIND("x",AK172),0),IFERROR(FIND("x",AJ172),0)),"P","--"))))))</f>
        <v>--</v>
      </c>
      <c r="AO172" s="2" t="str">
        <f t="shared" si="56"/>
        <v xml:space="preserve">Three Hundred Sixty One </v>
      </c>
    </row>
    <row r="173" spans="2:41" ht="16.5" customHeight="1">
      <c r="B173" s="45">
        <v>134346</v>
      </c>
      <c r="C173" s="46" t="s">
        <v>168</v>
      </c>
      <c r="D173" s="43">
        <v>0</v>
      </c>
      <c r="E173" s="27" t="str">
        <f t="shared" si="39"/>
        <v>F</v>
      </c>
      <c r="F173" s="26">
        <v>13</v>
      </c>
      <c r="G173" s="27" t="str">
        <f t="shared" si="40"/>
        <v>E</v>
      </c>
      <c r="H173" s="24">
        <v>40</v>
      </c>
      <c r="I173" s="27" t="str">
        <f t="shared" si="41"/>
        <v>E</v>
      </c>
      <c r="J173" s="26">
        <v>17</v>
      </c>
      <c r="K173" s="27" t="str">
        <f t="shared" si="42"/>
        <v>E</v>
      </c>
      <c r="L173" s="24">
        <v>11</v>
      </c>
      <c r="M173" s="27" t="str">
        <f t="shared" si="43"/>
        <v>F</v>
      </c>
      <c r="N173" s="26">
        <v>14</v>
      </c>
      <c r="O173" s="27" t="str">
        <f t="shared" si="44"/>
        <v>E</v>
      </c>
      <c r="P173" s="26">
        <v>16</v>
      </c>
      <c r="Q173" s="27" t="str">
        <f t="shared" si="45"/>
        <v>E</v>
      </c>
      <c r="R173" s="24">
        <v>9</v>
      </c>
      <c r="S173" s="27" t="str">
        <f t="shared" si="46"/>
        <v>F</v>
      </c>
      <c r="T173" s="26">
        <v>22</v>
      </c>
      <c r="U173" s="27" t="str">
        <f t="shared" si="47"/>
        <v>E</v>
      </c>
      <c r="V173" s="26">
        <v>14</v>
      </c>
      <c r="W173" s="27" t="str">
        <f t="shared" si="48"/>
        <v>E</v>
      </c>
      <c r="X173" s="24">
        <v>28</v>
      </c>
      <c r="Y173" s="27" t="str">
        <f t="shared" si="49"/>
        <v>F</v>
      </c>
      <c r="Z173" s="26">
        <v>22</v>
      </c>
      <c r="AA173" s="27" t="str">
        <f t="shared" si="50"/>
        <v>E</v>
      </c>
      <c r="AB173" s="26">
        <v>22</v>
      </c>
      <c r="AC173" s="27" t="str">
        <f t="shared" si="51"/>
        <v>E</v>
      </c>
      <c r="AD173" s="24">
        <v>25</v>
      </c>
      <c r="AE173" s="27" t="str">
        <f t="shared" si="52"/>
        <v>F</v>
      </c>
      <c r="AF173" s="26">
        <v>19</v>
      </c>
      <c r="AG173" s="27" t="str">
        <f t="shared" si="53"/>
        <v>E</v>
      </c>
      <c r="AH173" s="26">
        <v>14</v>
      </c>
      <c r="AI173" s="27" t="str">
        <f t="shared" si="54"/>
        <v>E</v>
      </c>
      <c r="AJ173" s="32">
        <f>IF(OR(AND(D173&gt;=31,D173&lt;40),AND(H173&gt;=31,H173&lt;40),AND(L173&gt;=31,L173&lt;40),AND(R173&gt;=31,R173&lt;40),AND(X173&gt;=31,X173&lt;40),AND(AD173&gt;=31,AD173&lt;40)),IF(AND(OR(COUNTIF(D173:AI173,"=31")&gt;=1,COUNTIF(D173:AI173,"=32")&gt;=1,COUNTIF(D173:AI173,"=33")&gt;=1,COUNTIF(D173:AI173,"=34")&gt;=1,COUNTIF(D173:AI173,"=35")&gt;=1,COUNTIF(D173:AI173,"=36")&gt;=1 ),COUNTIF(D173:AI173,"")=0,COUNTIF(D173:AI173," ")=0,COUNTIF(D173:AI173,"F")=1),CONCATENATE(SUM(EXTRACTNUMBER(D173),EXTRACTNUMBER(F173),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EXTRACTNUMBER(AD173),EXTRACTNUMBER(AH173),EXTRACTNUMBER(AF173)),"*"),IF(AND(COUNTIF(D173:AI173,"=34")&gt;=1,COUNTIF(D173:AI173,"=35")&gt;=1,COUNTIF(D173:AI173,"f")=2,COUNTIF(D173:AI173,"")=0,COUNTIF(D173:AI173," ")=0),CONCATENATE(SUM(EXTRACTNUMBER(D173),EXTRACTNUMBER(F173),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EXTRACTNUMBER(AD173),EXTRACTNUMBER(AH173),EXTRACTNUMBER(AF173)),"*"),IF(AND(COUNTIF(D173:AI173,"=36")&gt;=2,COUNTIF(D173:AI173,"f")=2,COUNTIF(D173:AI173,"")=0,COUNTIF(D173:AI173," ")=0),CONCATENATE(SUM(EXTRACTNUMBER(D173),EXTRACTNUMBER(F173),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EXTRACTNUMBER(AD173),EXTRACTNUMBER(AH173),EXTRACTNUMBER(AF173)),"*"),SUM(EXTRACTNUMBER(D173),EXTRACTNUMBER(F173),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EXTRACTNUMBER(AD173),EXTRACTNUMBER(AH173),EXTRACTNUMBER(AF173))))),SUM(EXTRACTNUMBER(D173),EXTRACTNUMBER(F173),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EXTRACTNUMBER(AD173),EXTRACTNUMBER(AH173),EXTRACTNUMBER(AF173)))</f>
        <v>286</v>
      </c>
      <c r="AK173" s="28">
        <v>0</v>
      </c>
      <c r="AL173" s="29">
        <f t="shared" si="38"/>
        <v>286</v>
      </c>
      <c r="AM173" s="29" t="str">
        <f t="shared" si="55"/>
        <v>FAIL</v>
      </c>
      <c r="AN173" s="30" t="str">
        <f>IF(AM173="ABSENT","AB",IF(AM173="FAIL","--",
IF(AK173=0,"RS 3",
IF(AND(SUM(EXTRACTNUMBER(AK173),EXTRACTNUMBER(AJ173))&gt;=1010,
        NOT(IFERROR(FIND("x",AK173),0)),
        NOT(IFERROR(FIND("x",AJ173),0))),"I",
IF(AND(SUM(EXTRACTNUMBER(AK173),EXTRACTNUMBER(AJ173))&gt;=850,
      SUM(EXTRACTNUMBER(AK173),EXTRACTNUMBER(AJ173))&lt;1010,
      NOT(IFERROR(FIND("x",AK173),0)),
      NOT(IFERROR(FIND("x",AJ173),0))),"II",
IF(OR(AND(SUM(EXTRACTNUMBER(AK173),EXTRACTNUMBER(AJ173))&lt;850,
SUM(EXTRACTNUMBER(AK173),EXTRACTNUMBER(AJ173))&gt;=670),
IFERROR(FIND("x",AK173),0),IFERROR(FIND("x",AJ173),0)),"P","--"))))))</f>
        <v>--</v>
      </c>
      <c r="AO173" s="2" t="str">
        <f t="shared" si="56"/>
        <v xml:space="preserve">Two Hundred Eighty Six </v>
      </c>
    </row>
    <row r="174" spans="2:41" ht="16.5" customHeight="1">
      <c r="B174" s="45">
        <v>134347</v>
      </c>
      <c r="C174" s="46" t="s">
        <v>169</v>
      </c>
      <c r="D174" s="43">
        <v>14</v>
      </c>
      <c r="E174" s="27" t="str">
        <f t="shared" si="39"/>
        <v>F</v>
      </c>
      <c r="F174" s="26" t="s">
        <v>204</v>
      </c>
      <c r="G174" s="27" t="str">
        <f t="shared" si="40"/>
        <v xml:space="preserve"> </v>
      </c>
      <c r="H174" s="24">
        <v>27</v>
      </c>
      <c r="I174" s="27" t="str">
        <f t="shared" si="41"/>
        <v>F</v>
      </c>
      <c r="J174" s="26" t="s">
        <v>204</v>
      </c>
      <c r="K174" s="27" t="str">
        <f t="shared" si="42"/>
        <v xml:space="preserve"> </v>
      </c>
      <c r="L174" s="24" t="s">
        <v>205</v>
      </c>
      <c r="M174" s="27" t="str">
        <f t="shared" si="43"/>
        <v xml:space="preserve"> </v>
      </c>
      <c r="N174" s="26" t="s">
        <v>204</v>
      </c>
      <c r="O174" s="27" t="str">
        <f t="shared" si="44"/>
        <v xml:space="preserve"> </v>
      </c>
      <c r="P174" s="26" t="s">
        <v>206</v>
      </c>
      <c r="Q174" s="27" t="str">
        <f t="shared" si="45"/>
        <v xml:space="preserve"> </v>
      </c>
      <c r="R174" s="24" t="s">
        <v>207</v>
      </c>
      <c r="S174" s="27" t="str">
        <f t="shared" si="46"/>
        <v xml:space="preserve"> </v>
      </c>
      <c r="T174" s="26" t="s">
        <v>208</v>
      </c>
      <c r="U174" s="27" t="str">
        <f t="shared" si="47"/>
        <v xml:space="preserve"> </v>
      </c>
      <c r="V174" s="26" t="s">
        <v>204</v>
      </c>
      <c r="W174" s="27" t="str">
        <f t="shared" si="48"/>
        <v xml:space="preserve"> </v>
      </c>
      <c r="X174" s="24" t="s">
        <v>209</v>
      </c>
      <c r="Y174" s="27" t="str">
        <f t="shared" si="49"/>
        <v xml:space="preserve"> </v>
      </c>
      <c r="Z174" s="26" t="s">
        <v>204</v>
      </c>
      <c r="AA174" s="27" t="str">
        <f t="shared" si="50"/>
        <v xml:space="preserve"> </v>
      </c>
      <c r="AB174" s="26" t="s">
        <v>210</v>
      </c>
      <c r="AC174" s="27" t="str">
        <f t="shared" si="51"/>
        <v xml:space="preserve"> </v>
      </c>
      <c r="AD174" s="24" t="s">
        <v>207</v>
      </c>
      <c r="AE174" s="27" t="str">
        <f t="shared" si="52"/>
        <v xml:space="preserve"> </v>
      </c>
      <c r="AF174" s="26" t="s">
        <v>208</v>
      </c>
      <c r="AG174" s="27" t="str">
        <f t="shared" si="53"/>
        <v xml:space="preserve"> </v>
      </c>
      <c r="AH174" s="26" t="s">
        <v>210</v>
      </c>
      <c r="AI174" s="27" t="str">
        <f t="shared" si="54"/>
        <v xml:space="preserve"> </v>
      </c>
      <c r="AJ174" s="32">
        <f>IF(OR(AND(D174&gt;=31,D174&lt;40),AND(H174&gt;=31,H174&lt;40),AND(L174&gt;=31,L174&lt;40),AND(R174&gt;=31,R174&lt;40),AND(X174&gt;=31,X174&lt;40),AND(AD174&gt;=31,AD174&lt;40)),IF(AND(OR(COUNTIF(D174:AI174,"=31")&gt;=1,COUNTIF(D174:AI174,"=32")&gt;=1,COUNTIF(D174:AI174,"=33")&gt;=1,COUNTIF(D174:AI174,"=34")&gt;=1,COUNTIF(D174:AI174,"=35")&gt;=1,COUNTIF(D174:AI174,"=36")&gt;=1 ),COUNTIF(D174:AI174,"")=0,COUNTIF(D174:AI174," ")=0,COUNTIF(D174:AI174,"F")=1),CONCATENATE(SUM(EXTRACTNUMBER(D174),EXTRACTNUMBER(F174),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EXTRACTNUMBER(AD174),EXTRACTNUMBER(AH174),EXTRACTNUMBER(AF174)),"*"),IF(AND(COUNTIF(D174:AI174,"=34")&gt;=1,COUNTIF(D174:AI174,"=35")&gt;=1,COUNTIF(D174:AI174,"f")=2,COUNTIF(D174:AI174,"")=0,COUNTIF(D174:AI174," ")=0),CONCATENATE(SUM(EXTRACTNUMBER(D174),EXTRACTNUMBER(F174),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EXTRACTNUMBER(AD174),EXTRACTNUMBER(AH174),EXTRACTNUMBER(AF174)),"*"),IF(AND(COUNTIF(D174:AI174,"=36")&gt;=2,COUNTIF(D174:AI174,"f")=2,COUNTIF(D174:AI174,"")=0,COUNTIF(D174:AI174," ")=0),CONCATENATE(SUM(EXTRACTNUMBER(D174),EXTRACTNUMBER(F174),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EXTRACTNUMBER(AD174),EXTRACTNUMBER(AH174),EXTRACTNUMBER(AF174)),"*"),SUM(EXTRACTNUMBER(D174),EXTRACTNUMBER(F174),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EXTRACTNUMBER(AD174),EXTRACTNUMBER(AH174),EXTRACTNUMBER(AF174))))),SUM(EXTRACTNUMBER(D174),EXTRACTNUMBER(F174),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EXTRACTNUMBER(AD174),EXTRACTNUMBER(AH174),EXTRACTNUMBER(AF174)))</f>
        <v>392</v>
      </c>
      <c r="AK174" s="28">
        <v>0</v>
      </c>
      <c r="AL174" s="29">
        <f t="shared" si="38"/>
        <v>392</v>
      </c>
      <c r="AM174" s="29" t="str">
        <f t="shared" si="55"/>
        <v>FAIL</v>
      </c>
      <c r="AN174" s="30" t="str">
        <f>IF(AM174="ABSENT","AB",IF(AM174="FAIL","--",
IF(AK174=0,"RS 3",
IF(AND(SUM(EXTRACTNUMBER(AK174),EXTRACTNUMBER(AJ174))&gt;=1010,
        NOT(IFERROR(FIND("x",AK174),0)),
        NOT(IFERROR(FIND("x",AJ174),0))),"I",
IF(AND(SUM(EXTRACTNUMBER(AK174),EXTRACTNUMBER(AJ174))&gt;=850,
      SUM(EXTRACTNUMBER(AK174),EXTRACTNUMBER(AJ174))&lt;1010,
      NOT(IFERROR(FIND("x",AK174),0)),
      NOT(IFERROR(FIND("x",AJ174),0))),"II",
IF(OR(AND(SUM(EXTRACTNUMBER(AK174),EXTRACTNUMBER(AJ174))&lt;850,
SUM(EXTRACTNUMBER(AK174),EXTRACTNUMBER(AJ174))&gt;=670),
IFERROR(FIND("x",AK174),0),IFERROR(FIND("x",AJ174),0)),"P","--"))))))</f>
        <v>--</v>
      </c>
      <c r="AO174" s="2" t="str">
        <f t="shared" si="56"/>
        <v xml:space="preserve">Three Hundred NinetyTwo </v>
      </c>
    </row>
    <row r="175" spans="2:41" ht="16.5" customHeight="1">
      <c r="B175" s="45">
        <v>134348</v>
      </c>
      <c r="C175" s="46" t="s">
        <v>170</v>
      </c>
      <c r="D175" s="43">
        <v>22</v>
      </c>
      <c r="E175" s="27" t="str">
        <f t="shared" si="39"/>
        <v>F</v>
      </c>
      <c r="F175" s="26" t="s">
        <v>211</v>
      </c>
      <c r="G175" s="27" t="str">
        <f t="shared" si="40"/>
        <v xml:space="preserve"> </v>
      </c>
      <c r="H175" s="24">
        <v>44</v>
      </c>
      <c r="I175" s="27" t="str">
        <f t="shared" si="41"/>
        <v>E</v>
      </c>
      <c r="J175" s="26" t="s">
        <v>208</v>
      </c>
      <c r="K175" s="27" t="str">
        <f t="shared" si="42"/>
        <v xml:space="preserve"> </v>
      </c>
      <c r="L175" s="24" t="s">
        <v>205</v>
      </c>
      <c r="M175" s="27" t="str">
        <f t="shared" si="43"/>
        <v xml:space="preserve"> </v>
      </c>
      <c r="N175" s="26" t="s">
        <v>212</v>
      </c>
      <c r="O175" s="27" t="str">
        <f t="shared" si="44"/>
        <v xml:space="preserve"> </v>
      </c>
      <c r="P175" s="26" t="s">
        <v>212</v>
      </c>
      <c r="Q175" s="27" t="str">
        <f t="shared" si="45"/>
        <v xml:space="preserve"> </v>
      </c>
      <c r="R175" s="24" t="s">
        <v>207</v>
      </c>
      <c r="S175" s="27" t="str">
        <f t="shared" si="46"/>
        <v xml:space="preserve"> </v>
      </c>
      <c r="T175" s="26" t="s">
        <v>212</v>
      </c>
      <c r="U175" s="27" t="str">
        <f t="shared" si="47"/>
        <v xml:space="preserve"> </v>
      </c>
      <c r="V175" s="26" t="s">
        <v>208</v>
      </c>
      <c r="W175" s="27" t="str">
        <f t="shared" si="48"/>
        <v xml:space="preserve"> </v>
      </c>
      <c r="X175" s="24" t="s">
        <v>213</v>
      </c>
      <c r="Y175" s="27" t="str">
        <f t="shared" si="49"/>
        <v xml:space="preserve"> </v>
      </c>
      <c r="Z175" s="26" t="s">
        <v>212</v>
      </c>
      <c r="AA175" s="27" t="str">
        <f t="shared" si="50"/>
        <v xml:space="preserve"> </v>
      </c>
      <c r="AB175" s="26" t="s">
        <v>206</v>
      </c>
      <c r="AC175" s="27" t="str">
        <f t="shared" si="51"/>
        <v xml:space="preserve"> </v>
      </c>
      <c r="AD175" s="24" t="s">
        <v>207</v>
      </c>
      <c r="AE175" s="27" t="str">
        <f t="shared" si="52"/>
        <v xml:space="preserve"> </v>
      </c>
      <c r="AF175" s="26" t="s">
        <v>204</v>
      </c>
      <c r="AG175" s="27" t="str">
        <f t="shared" si="53"/>
        <v xml:space="preserve"> </v>
      </c>
      <c r="AH175" s="26" t="s">
        <v>214</v>
      </c>
      <c r="AI175" s="27" t="str">
        <f t="shared" si="54"/>
        <v xml:space="preserve"> </v>
      </c>
      <c r="AJ175" s="32">
        <f>IF(OR(AND(D175&gt;=31,D175&lt;40),AND(H175&gt;=31,H175&lt;40),AND(L175&gt;=31,L175&lt;40),AND(R175&gt;=31,R175&lt;40),AND(X175&gt;=31,X175&lt;40),AND(AD175&gt;=31,AD175&lt;40)),IF(AND(OR(COUNTIF(D175:AI175,"=31")&gt;=1,COUNTIF(D175:AI175,"=32")&gt;=1,COUNTIF(D175:AI175,"=33")&gt;=1,COUNTIF(D175:AI175,"=34")&gt;=1,COUNTIF(D175:AI175,"=35")&gt;=1,COUNTIF(D175:AI175,"=36")&gt;=1 ),COUNTIF(D175:AI175,"")=0,COUNTIF(D175:AI175," ")=0,COUNTIF(D175:AI175,"F")=1),CONCATENATE(SUM(EXTRACTNUMBER(D175),EXTRACTNUMBER(F175),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EXTRACTNUMBER(AD175),EXTRACTNUMBER(AH175),EXTRACTNUMBER(AF175)),"*"),IF(AND(COUNTIF(D175:AI175,"=34")&gt;=1,COUNTIF(D175:AI175,"=35")&gt;=1,COUNTIF(D175:AI175,"f")=2,COUNTIF(D175:AI175,"")=0,COUNTIF(D175:AI175," ")=0),CONCATENATE(SUM(EXTRACTNUMBER(D175),EXTRACTNUMBER(F175),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EXTRACTNUMBER(AD175),EXTRACTNUMBER(AH175),EXTRACTNUMBER(AF175)),"*"),IF(AND(COUNTIF(D175:AI175,"=36")&gt;=2,COUNTIF(D175:AI175,"f")=2,COUNTIF(D175:AI175,"")=0,COUNTIF(D175:AI175," ")=0),CONCATENATE(SUM(EXTRACTNUMBER(D175),EXTRACTNUMBER(F175),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EXTRACTNUMBER(AD175),EXTRACTNUMBER(AH175),EXTRACTNUMBER(AF175)),"*"),SUM(EXTRACTNUMBER(D175),EXTRACTNUMBER(F175),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EXTRACTNUMBER(AD175),EXTRACTNUMBER(AH175),EXTRACTNUMBER(AF175))))),SUM(EXTRACTNUMBER(D175),EXTRACTNUMBER(F175),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EXTRACTNUMBER(AD175),EXTRACTNUMBER(AH175),EXTRACTNUMBER(AF175)))</f>
        <v>445</v>
      </c>
      <c r="AK175" s="28">
        <v>0</v>
      </c>
      <c r="AL175" s="29">
        <f t="shared" si="38"/>
        <v>445</v>
      </c>
      <c r="AM175" s="29" t="str">
        <f t="shared" si="55"/>
        <v>FAIL</v>
      </c>
      <c r="AN175" s="30" t="str">
        <f>IF(AM175="ABSENT","AB",IF(AM175="FAIL","--",
IF(AK175=0,"RS 3",
IF(AND(SUM(EXTRACTNUMBER(AK175),EXTRACTNUMBER(AJ175))&gt;=1010,
        NOT(IFERROR(FIND("x",AK175),0)),
        NOT(IFERROR(FIND("x",AJ175),0))),"I",
IF(AND(SUM(EXTRACTNUMBER(AK175),EXTRACTNUMBER(AJ175))&gt;=850,
      SUM(EXTRACTNUMBER(AK175),EXTRACTNUMBER(AJ175))&lt;1010,
      NOT(IFERROR(FIND("x",AK175),0)),
      NOT(IFERROR(FIND("x",AJ175),0))),"II",
IF(OR(AND(SUM(EXTRACTNUMBER(AK175),EXTRACTNUMBER(AJ175))&lt;850,
SUM(EXTRACTNUMBER(AK175),EXTRACTNUMBER(AJ175))&gt;=670),
IFERROR(FIND("x",AK175),0),IFERROR(FIND("x",AJ175),0)),"P","--"))))))</f>
        <v>--</v>
      </c>
      <c r="AO175" s="2" t="str">
        <f t="shared" si="56"/>
        <v xml:space="preserve">Four Hundred Forty Five </v>
      </c>
    </row>
    <row r="176" spans="2:41" ht="16.5" customHeight="1">
      <c r="B176" s="45">
        <v>134349</v>
      </c>
      <c r="C176" s="47" t="s">
        <v>171</v>
      </c>
      <c r="D176" s="43" t="s">
        <v>215</v>
      </c>
      <c r="E176" s="27" t="str">
        <f t="shared" si="39"/>
        <v xml:space="preserve"> </v>
      </c>
      <c r="F176" s="26" t="s">
        <v>216</v>
      </c>
      <c r="G176" s="27" t="str">
        <f t="shared" si="40"/>
        <v xml:space="preserve"> </v>
      </c>
      <c r="H176" s="24" t="s">
        <v>305</v>
      </c>
      <c r="I176" s="27" t="str">
        <f t="shared" si="41"/>
        <v/>
      </c>
      <c r="J176" s="26" t="s">
        <v>217</v>
      </c>
      <c r="K176" s="27" t="str">
        <f t="shared" si="42"/>
        <v xml:space="preserve"> </v>
      </c>
      <c r="L176" s="24" t="s">
        <v>207</v>
      </c>
      <c r="M176" s="27" t="str">
        <f t="shared" si="43"/>
        <v xml:space="preserve"> </v>
      </c>
      <c r="N176" s="26" t="s">
        <v>206</v>
      </c>
      <c r="O176" s="27" t="str">
        <f t="shared" si="44"/>
        <v xml:space="preserve"> </v>
      </c>
      <c r="P176" s="26" t="s">
        <v>218</v>
      </c>
      <c r="Q176" s="27" t="str">
        <f t="shared" si="45"/>
        <v xml:space="preserve"> </v>
      </c>
      <c r="R176" s="24" t="s">
        <v>219</v>
      </c>
      <c r="S176" s="27" t="str">
        <f t="shared" si="46"/>
        <v xml:space="preserve"> </v>
      </c>
      <c r="T176" s="26" t="s">
        <v>206</v>
      </c>
      <c r="U176" s="27" t="str">
        <f t="shared" si="47"/>
        <v xml:space="preserve"> </v>
      </c>
      <c r="V176" s="26" t="s">
        <v>214</v>
      </c>
      <c r="W176" s="27" t="str">
        <f t="shared" si="48"/>
        <v xml:space="preserve"> </v>
      </c>
      <c r="X176" s="24" t="s">
        <v>305</v>
      </c>
      <c r="Y176" s="27" t="str">
        <f t="shared" si="49"/>
        <v/>
      </c>
      <c r="Z176" s="26" t="s">
        <v>206</v>
      </c>
      <c r="AA176" s="27" t="str">
        <f t="shared" si="50"/>
        <v xml:space="preserve"> </v>
      </c>
      <c r="AB176" s="26" t="s">
        <v>206</v>
      </c>
      <c r="AC176" s="27" t="str">
        <f t="shared" si="51"/>
        <v xml:space="preserve"> </v>
      </c>
      <c r="AD176" s="24" t="s">
        <v>305</v>
      </c>
      <c r="AE176" s="27" t="str">
        <f t="shared" si="52"/>
        <v/>
      </c>
      <c r="AF176" s="26" t="s">
        <v>206</v>
      </c>
      <c r="AG176" s="27" t="str">
        <f t="shared" si="53"/>
        <v xml:space="preserve"> </v>
      </c>
      <c r="AH176" s="26" t="s">
        <v>218</v>
      </c>
      <c r="AI176" s="27" t="str">
        <f t="shared" si="54"/>
        <v xml:space="preserve"> </v>
      </c>
      <c r="AJ176" s="32">
        <f>IF(OR(AND(D176&gt;=31,D176&lt;40),AND(H176&gt;=31,H176&lt;40),AND(L176&gt;=31,L176&lt;40),AND(R176&gt;=31,R176&lt;40),AND(X176&gt;=31,X176&lt;40),AND(AD176&gt;=31,AD176&lt;40)),IF(AND(OR(COUNTIF(D176:AI176,"=31")&gt;=1,COUNTIF(D176:AI176,"=32")&gt;=1,COUNTIF(D176:AI176,"=33")&gt;=1,COUNTIF(D176:AI176,"=34")&gt;=1,COUNTIF(D176:AI176,"=35")&gt;=1,COUNTIF(D176:AI176,"=36")&gt;=1 ),COUNTIF(D176:AI176,"")=0,COUNTIF(D176:AI176," ")=0,COUNTIF(D176:AI176,"F")=1),CONCATENATE(SUM(EXTRACTNUMBER(D176),EXTRACTNUMBER(F176),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EXTRACTNUMBER(AD176),EXTRACTNUMBER(AH176),EXTRACTNUMBER(AF176)),"*"),IF(AND(COUNTIF(D176:AI176,"=34")&gt;=1,COUNTIF(D176:AI176,"=35")&gt;=1,COUNTIF(D176:AI176,"f")=2,COUNTIF(D176:AI176,"")=0,COUNTIF(D176:AI176," ")=0),CONCATENATE(SUM(EXTRACTNUMBER(D176),EXTRACTNUMBER(F176),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EXTRACTNUMBER(AD176),EXTRACTNUMBER(AH176),EXTRACTNUMBER(AF176)),"*"),IF(AND(COUNTIF(D176:AI176,"=36")&gt;=2,COUNTIF(D176:AI176,"f")=2,COUNTIF(D176:AI176,"")=0,COUNTIF(D176:AI176," ")=0),CONCATENATE(SUM(EXTRACTNUMBER(D176),EXTRACTNUMBER(F176),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EXTRACTNUMBER(AD176),EXTRACTNUMBER(AH176),EXTRACTNUMBER(AF176)),"*"),SUM(EXTRACTNUMBER(D176),EXTRACTNUMBER(F176),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EXTRACTNUMBER(AD176),EXTRACTNUMBER(AH176),EXTRACTNUMBER(AF176))))),SUM(EXTRACTNUMBER(D176),EXTRACTNUMBER(F176),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EXTRACTNUMBER(AD176),EXTRACTNUMBER(AH176),EXTRACTNUMBER(AF176)))</f>
        <v>283</v>
      </c>
      <c r="AK176" s="28">
        <v>0</v>
      </c>
      <c r="AL176" s="29">
        <f t="shared" si="38"/>
        <v>283</v>
      </c>
      <c r="AM176" s="29" t="str">
        <f t="shared" si="55"/>
        <v>ABSENT</v>
      </c>
      <c r="AN176" s="30" t="str">
        <f>IF(AM176="ABSENT","AB",IF(AM176="FAIL","--",
IF(AK176=0,"RS 3",
IF(AND(SUM(EXTRACTNUMBER(AK176),EXTRACTNUMBER(AJ176))&gt;=1010,
        NOT(IFERROR(FIND("x",AK176),0)),
        NOT(IFERROR(FIND("x",AJ176),0))),"I",
IF(AND(SUM(EXTRACTNUMBER(AK176),EXTRACTNUMBER(AJ176))&gt;=850,
      SUM(EXTRACTNUMBER(AK176),EXTRACTNUMBER(AJ176))&lt;1010,
      NOT(IFERROR(FIND("x",AK176),0)),
      NOT(IFERROR(FIND("x",AJ176),0))),"II",
IF(OR(AND(SUM(EXTRACTNUMBER(AK176),EXTRACTNUMBER(AJ176))&lt;850,
SUM(EXTRACTNUMBER(AK176),EXTRACTNUMBER(AJ176))&gt;=670),
IFERROR(FIND("x",AK176),0),IFERROR(FIND("x",AJ176),0)),"P","--"))))))</f>
        <v>AB</v>
      </c>
      <c r="AO176" s="2" t="str">
        <f t="shared" si="56"/>
        <v xml:space="preserve">Two Hundred Eighty Three </v>
      </c>
    </row>
    <row r="177" spans="2:41" ht="16.5" customHeight="1">
      <c r="B177" s="45">
        <v>134350</v>
      </c>
      <c r="C177" s="46" t="s">
        <v>172</v>
      </c>
      <c r="D177" s="43">
        <v>40</v>
      </c>
      <c r="E177" s="27" t="str">
        <f t="shared" si="39"/>
        <v/>
      </c>
      <c r="F177" s="26" t="s">
        <v>208</v>
      </c>
      <c r="G177" s="27" t="str">
        <f t="shared" si="40"/>
        <v xml:space="preserve"> </v>
      </c>
      <c r="H177" s="24" t="s">
        <v>207</v>
      </c>
      <c r="I177" s="27" t="str">
        <f t="shared" si="41"/>
        <v xml:space="preserve"> </v>
      </c>
      <c r="J177" s="26" t="s">
        <v>208</v>
      </c>
      <c r="K177" s="27" t="str">
        <f t="shared" si="42"/>
        <v xml:space="preserve"> </v>
      </c>
      <c r="L177" s="24" t="s">
        <v>207</v>
      </c>
      <c r="M177" s="27" t="str">
        <f t="shared" si="43"/>
        <v xml:space="preserve"> </v>
      </c>
      <c r="N177" s="26" t="s">
        <v>208</v>
      </c>
      <c r="O177" s="27" t="str">
        <f t="shared" si="44"/>
        <v xml:space="preserve"> </v>
      </c>
      <c r="P177" s="26" t="s">
        <v>208</v>
      </c>
      <c r="Q177" s="27" t="str">
        <f t="shared" si="45"/>
        <v xml:space="preserve"> </v>
      </c>
      <c r="R177" s="24" t="s">
        <v>207</v>
      </c>
      <c r="S177" s="27" t="str">
        <f t="shared" si="46"/>
        <v xml:space="preserve"> </v>
      </c>
      <c r="T177" s="26" t="s">
        <v>208</v>
      </c>
      <c r="U177" s="27" t="str">
        <f t="shared" si="47"/>
        <v xml:space="preserve"> </v>
      </c>
      <c r="V177" s="26" t="s">
        <v>212</v>
      </c>
      <c r="W177" s="27" t="str">
        <f t="shared" si="48"/>
        <v xml:space="preserve"> </v>
      </c>
      <c r="X177" s="24" t="s">
        <v>207</v>
      </c>
      <c r="Y177" s="27" t="str">
        <f t="shared" si="49"/>
        <v xml:space="preserve"> </v>
      </c>
      <c r="Z177" s="26" t="s">
        <v>208</v>
      </c>
      <c r="AA177" s="27" t="str">
        <f t="shared" si="50"/>
        <v xml:space="preserve"> </v>
      </c>
      <c r="AB177" s="26" t="s">
        <v>206</v>
      </c>
      <c r="AC177" s="27" t="str">
        <f t="shared" si="51"/>
        <v xml:space="preserve"> </v>
      </c>
      <c r="AD177" s="24" t="s">
        <v>207</v>
      </c>
      <c r="AE177" s="27" t="str">
        <f t="shared" si="52"/>
        <v xml:space="preserve"> </v>
      </c>
      <c r="AF177" s="26" t="s">
        <v>204</v>
      </c>
      <c r="AG177" s="27" t="str">
        <f t="shared" si="53"/>
        <v xml:space="preserve"> </v>
      </c>
      <c r="AH177" s="26" t="s">
        <v>214</v>
      </c>
      <c r="AI177" s="27" t="str">
        <f t="shared" si="54"/>
        <v xml:space="preserve"> </v>
      </c>
      <c r="AJ177" s="32">
        <f>IF(OR(AND(D177&gt;=31,D177&lt;40),AND(H177&gt;=31,H177&lt;40),AND(L177&gt;=31,L177&lt;40),AND(R177&gt;=31,R177&lt;40),AND(X177&gt;=31,X177&lt;40),AND(AD177&gt;=31,AD177&lt;40)),IF(AND(OR(COUNTIF(D177:AI177,"=31")&gt;=1,COUNTIF(D177:AI177,"=32")&gt;=1,COUNTIF(D177:AI177,"=33")&gt;=1,COUNTIF(D177:AI177,"=34")&gt;=1,COUNTIF(D177:AI177,"=35")&gt;=1,COUNTIF(D177:AI177,"=36")&gt;=1 ),COUNTIF(D177:AI177,"")=0,COUNTIF(D177:AI177," ")=0,COUNTIF(D177:AI177,"F")=1),CONCATENATE(SUM(EXTRACTNUMBER(D177),EXTRACTNUMBER(F177),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EXTRACTNUMBER(AD177),EXTRACTNUMBER(AH177),EXTRACTNUMBER(AF177)),"*"),IF(AND(COUNTIF(D177:AI177,"=34")&gt;=1,COUNTIF(D177:AI177,"=35")&gt;=1,COUNTIF(D177:AI177,"f")=2,COUNTIF(D177:AI177,"")=0,COUNTIF(D177:AI177," ")=0),CONCATENATE(SUM(EXTRACTNUMBER(D177),EXTRACTNUMBER(F177),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EXTRACTNUMBER(AD177),EXTRACTNUMBER(AH177),EXTRACTNUMBER(AF177)),"*"),IF(AND(COUNTIF(D177:AI177,"=36")&gt;=2,COUNTIF(D177:AI177,"f")=2,COUNTIF(D177:AI177,"")=0,COUNTIF(D177:AI177," ")=0),CONCATENATE(SUM(EXTRACTNUMBER(D177),EXTRACTNUMBER(F177),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EXTRACTNUMBER(AD177),EXTRACTNUMBER(AH177),EXTRACTNUMBER(AF177)),"*"),SUM(EXTRACTNUMBER(D177),EXTRACTNUMBER(F177),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EXTRACTNUMBER(AD177),EXTRACTNUMBER(AH177),EXTRACTNUMBER(AF177))))),SUM(EXTRACTNUMBER(D177),EXTRACTNUMBER(F177),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EXTRACTNUMBER(AD177),EXTRACTNUMBER(AH177),EXTRACTNUMBER(AF177)))</f>
        <v>437</v>
      </c>
      <c r="AK177" s="94" t="s">
        <v>568</v>
      </c>
      <c r="AL177" s="29">
        <f t="shared" si="38"/>
        <v>899</v>
      </c>
      <c r="AM177" s="29" t="str">
        <f t="shared" si="55"/>
        <v>PASS</v>
      </c>
      <c r="AN177" s="30" t="str">
        <f>IF(AM177="ABSENT","AB",IF(AM177="FAIL","--",
IF(AK177=0,"RS 3",
IF(AND(SUM(EXTRACTNUMBER(AK177),EXTRACTNUMBER(AJ177))&gt;=1010,
        NOT(IFERROR(FIND("x",AK177),0)),
        NOT(IFERROR(FIND("x",AJ177),0))),"I",
IF(AND(SUM(EXTRACTNUMBER(AK177),EXTRACTNUMBER(AJ177))&gt;=850,
      SUM(EXTRACTNUMBER(AK177),EXTRACTNUMBER(AJ177))&lt;1010,
      NOT(IFERROR(FIND("x",AK177),0)),
      NOT(IFERROR(FIND("x",AJ177),0))),"II",
IF(OR(AND(SUM(EXTRACTNUMBER(AK177),EXTRACTNUMBER(AJ177))&lt;850,
SUM(EXTRACTNUMBER(AK177),EXTRACTNUMBER(AJ177))&gt;=670),
IFERROR(FIND("x",AK177),0),IFERROR(FIND("x",AJ177),0)),"P","--"))))))</f>
        <v>P</v>
      </c>
      <c r="AO177" s="2" t="str">
        <f t="shared" si="56"/>
        <v xml:space="preserve">Eight Hundred NinetyNine </v>
      </c>
    </row>
    <row r="178" spans="2:41" ht="16.5" customHeight="1">
      <c r="B178" s="45">
        <v>134351</v>
      </c>
      <c r="C178" s="46" t="s">
        <v>173</v>
      </c>
      <c r="D178" s="43" t="s">
        <v>220</v>
      </c>
      <c r="E178" s="27" t="str">
        <f t="shared" si="39"/>
        <v xml:space="preserve"> </v>
      </c>
      <c r="F178" s="26" t="s">
        <v>204</v>
      </c>
      <c r="G178" s="27" t="str">
        <f t="shared" si="40"/>
        <v xml:space="preserve"> </v>
      </c>
      <c r="H178" s="24">
        <v>62</v>
      </c>
      <c r="I178" s="27" t="str">
        <f t="shared" si="41"/>
        <v/>
      </c>
      <c r="J178" s="26" t="s">
        <v>210</v>
      </c>
      <c r="K178" s="27" t="str">
        <f t="shared" si="42"/>
        <v xml:space="preserve"> </v>
      </c>
      <c r="L178" s="24">
        <v>40</v>
      </c>
      <c r="M178" s="27" t="str">
        <f t="shared" si="43"/>
        <v/>
      </c>
      <c r="N178" s="26" t="s">
        <v>204</v>
      </c>
      <c r="O178" s="27" t="str">
        <f t="shared" si="44"/>
        <v xml:space="preserve"> </v>
      </c>
      <c r="P178" s="26" t="s">
        <v>216</v>
      </c>
      <c r="Q178" s="27" t="str">
        <f t="shared" si="45"/>
        <v xml:space="preserve"> </v>
      </c>
      <c r="R178" s="24" t="s">
        <v>221</v>
      </c>
      <c r="S178" s="27" t="str">
        <f t="shared" si="46"/>
        <v xml:space="preserve"> </v>
      </c>
      <c r="T178" s="26" t="s">
        <v>222</v>
      </c>
      <c r="U178" s="27" t="str">
        <f t="shared" si="47"/>
        <v xml:space="preserve"> </v>
      </c>
      <c r="V178" s="26" t="s">
        <v>212</v>
      </c>
      <c r="W178" s="27" t="str">
        <f t="shared" si="48"/>
        <v xml:space="preserve"> </v>
      </c>
      <c r="X178" s="24" t="s">
        <v>223</v>
      </c>
      <c r="Y178" s="27" t="str">
        <f t="shared" si="49"/>
        <v xml:space="preserve"> </v>
      </c>
      <c r="Z178" s="26" t="s">
        <v>210</v>
      </c>
      <c r="AA178" s="27" t="str">
        <f t="shared" si="50"/>
        <v xml:space="preserve"> </v>
      </c>
      <c r="AB178" s="26" t="s">
        <v>210</v>
      </c>
      <c r="AC178" s="27" t="str">
        <f t="shared" si="51"/>
        <v xml:space="preserve"> </v>
      </c>
      <c r="AD178" s="24" t="s">
        <v>219</v>
      </c>
      <c r="AE178" s="27" t="str">
        <f t="shared" si="52"/>
        <v xml:space="preserve"> </v>
      </c>
      <c r="AF178" s="26" t="s">
        <v>211</v>
      </c>
      <c r="AG178" s="27" t="str">
        <f t="shared" si="53"/>
        <v xml:space="preserve"> </v>
      </c>
      <c r="AH178" s="26" t="s">
        <v>224</v>
      </c>
      <c r="AI178" s="27" t="str">
        <f t="shared" si="54"/>
        <v xml:space="preserve"> </v>
      </c>
      <c r="AJ178" s="32">
        <f>IF(OR(AND(D178&gt;=31,D178&lt;40),AND(H178&gt;=31,H178&lt;40),AND(L178&gt;=31,L178&lt;40),AND(R178&gt;=31,R178&lt;40),AND(X178&gt;=31,X178&lt;40),AND(AD178&gt;=31,AD178&lt;40)),IF(AND(OR(COUNTIF(D178:AI178,"=31")&gt;=1,COUNTIF(D178:AI178,"=32")&gt;=1,COUNTIF(D178:AI178,"=33")&gt;=1,COUNTIF(D178:AI178,"=34")&gt;=1,COUNTIF(D178:AI178,"=35")&gt;=1,COUNTIF(D178:AI178,"=36")&gt;=1 ),COUNTIF(D178:AI178,"")=0,COUNTIF(D178:AI178," ")=0,COUNTIF(D178:AI178,"F")=1),CONCATENATE(SUM(EXTRACTNUMBER(D178),EXTRACTNUMBER(F178),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EXTRACTNUMBER(AD178),EXTRACTNUMBER(AH178),EXTRACTNUMBER(AF178)),"*"),IF(AND(COUNTIF(D178:AI178,"=34")&gt;=1,COUNTIF(D178:AI178,"=35")&gt;=1,COUNTIF(D178:AI178,"f")=2,COUNTIF(D178:AI178,"")=0,COUNTIF(D178:AI178," ")=0),CONCATENATE(SUM(EXTRACTNUMBER(D178),EXTRACTNUMBER(F178),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EXTRACTNUMBER(AD178),EXTRACTNUMBER(AH178),EXTRACTNUMBER(AF178)),"*"),IF(AND(COUNTIF(D178:AI178,"=36")&gt;=2,COUNTIF(D178:AI178,"f")=2,COUNTIF(D178:AI178,"")=0,COUNTIF(D178:AI178," ")=0),CONCATENATE(SUM(EXTRACTNUMBER(D178),EXTRACTNUMBER(F178),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EXTRACTNUMBER(AD178),EXTRACTNUMBER(AH178),EXTRACTNUMBER(AF178)),"*"),SUM(EXTRACTNUMBER(D178),EXTRACTNUMBER(F178),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EXTRACTNUMBER(AD178),EXTRACTNUMBER(AH178),EXTRACTNUMBER(AF178))))),SUM(EXTRACTNUMBER(D178),EXTRACTNUMBER(F178),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EXTRACTNUMBER(AD178),EXTRACTNUMBER(AH178),EXTRACTNUMBER(AF178)))</f>
        <v>497</v>
      </c>
      <c r="AK178" s="94" t="s">
        <v>638</v>
      </c>
      <c r="AL178" s="29">
        <f t="shared" si="38"/>
        <v>979</v>
      </c>
      <c r="AM178" s="29" t="str">
        <f t="shared" si="55"/>
        <v>PASS</v>
      </c>
      <c r="AN178" s="30" t="str">
        <f>IF(AM178="ABSENT","AB",IF(AM178="FAIL","--",
IF(AK178=0,"RS 3",
IF(AND(SUM(EXTRACTNUMBER(AK178),EXTRACTNUMBER(AJ178))&gt;=1010,
        NOT(IFERROR(FIND("x",AK178),0)),
        NOT(IFERROR(FIND("x",AJ178),0))),"I",
IF(AND(SUM(EXTRACTNUMBER(AK178),EXTRACTNUMBER(AJ178))&gt;=850,
      SUM(EXTRACTNUMBER(AK178),EXTRACTNUMBER(AJ178))&lt;1010,
      NOT(IFERROR(FIND("x",AK178),0)),
      NOT(IFERROR(FIND("x",AJ178),0))),"II",
IF(OR(AND(SUM(EXTRACTNUMBER(AK178),EXTRACTNUMBER(AJ178))&lt;850,
SUM(EXTRACTNUMBER(AK178),EXTRACTNUMBER(AJ178))&gt;=670),
IFERROR(FIND("x",AK178),0),IFERROR(FIND("x",AJ178),0)),"P","--"))))))</f>
        <v>P</v>
      </c>
      <c r="AO178" s="2" t="str">
        <f t="shared" si="56"/>
        <v xml:space="preserve">Nine Hundred Seventy Nine </v>
      </c>
    </row>
    <row r="179" spans="2:41" ht="16.5" customHeight="1">
      <c r="B179" s="45">
        <v>134352</v>
      </c>
      <c r="C179" s="46" t="s">
        <v>174</v>
      </c>
      <c r="D179" s="43" t="s">
        <v>225</v>
      </c>
      <c r="E179" s="27" t="str">
        <f t="shared" si="39"/>
        <v xml:space="preserve"> </v>
      </c>
      <c r="F179" s="26" t="s">
        <v>222</v>
      </c>
      <c r="G179" s="27" t="str">
        <f t="shared" si="40"/>
        <v xml:space="preserve"> </v>
      </c>
      <c r="H179" s="24">
        <v>62</v>
      </c>
      <c r="I179" s="27" t="str">
        <f t="shared" si="41"/>
        <v/>
      </c>
      <c r="J179" s="26" t="s">
        <v>208</v>
      </c>
      <c r="K179" s="27" t="str">
        <f t="shared" si="42"/>
        <v xml:space="preserve"> </v>
      </c>
      <c r="L179" s="24" t="s">
        <v>209</v>
      </c>
      <c r="M179" s="27" t="str">
        <f t="shared" si="43"/>
        <v xml:space="preserve"> </v>
      </c>
      <c r="N179" s="26" t="s">
        <v>208</v>
      </c>
      <c r="O179" s="27" t="str">
        <f t="shared" si="44"/>
        <v xml:space="preserve"> </v>
      </c>
      <c r="P179" s="26" t="s">
        <v>222</v>
      </c>
      <c r="Q179" s="27" t="str">
        <f t="shared" si="45"/>
        <v xml:space="preserve"> </v>
      </c>
      <c r="R179" s="24" t="s">
        <v>207</v>
      </c>
      <c r="S179" s="27" t="str">
        <f t="shared" si="46"/>
        <v xml:space="preserve"> </v>
      </c>
      <c r="T179" s="26" t="s">
        <v>208</v>
      </c>
      <c r="U179" s="27" t="str">
        <f t="shared" si="47"/>
        <v xml:space="preserve"> </v>
      </c>
      <c r="V179" s="26" t="s">
        <v>224</v>
      </c>
      <c r="W179" s="27" t="str">
        <f t="shared" si="48"/>
        <v xml:space="preserve"> </v>
      </c>
      <c r="X179" s="24" t="s">
        <v>226</v>
      </c>
      <c r="Y179" s="27" t="str">
        <f t="shared" si="49"/>
        <v xml:space="preserve"> </v>
      </c>
      <c r="Z179" s="26" t="s">
        <v>208</v>
      </c>
      <c r="AA179" s="27" t="str">
        <f t="shared" si="50"/>
        <v xml:space="preserve"> </v>
      </c>
      <c r="AB179" s="26" t="s">
        <v>208</v>
      </c>
      <c r="AC179" s="27" t="str">
        <f t="shared" si="51"/>
        <v xml:space="preserve"> </v>
      </c>
      <c r="AD179" s="24" t="s">
        <v>205</v>
      </c>
      <c r="AE179" s="27" t="str">
        <f t="shared" si="52"/>
        <v xml:space="preserve"> </v>
      </c>
      <c r="AF179" s="26" t="s">
        <v>204</v>
      </c>
      <c r="AG179" s="27" t="str">
        <f t="shared" si="53"/>
        <v xml:space="preserve"> </v>
      </c>
      <c r="AH179" s="26" t="s">
        <v>206</v>
      </c>
      <c r="AI179" s="27" t="str">
        <f t="shared" si="54"/>
        <v xml:space="preserve"> </v>
      </c>
      <c r="AJ179" s="32">
        <f>IF(OR(AND(D179&gt;=31,D179&lt;40),AND(H179&gt;=31,H179&lt;40),AND(L179&gt;=31,L179&lt;40),AND(R179&gt;=31,R179&lt;40),AND(X179&gt;=31,X179&lt;40),AND(AD179&gt;=31,AD179&lt;40)),IF(AND(OR(COUNTIF(D179:AI179,"=31")&gt;=1,COUNTIF(D179:AI179,"=32")&gt;=1,COUNTIF(D179:AI179,"=33")&gt;=1,COUNTIF(D179:AI179,"=34")&gt;=1,COUNTIF(D179:AI179,"=35")&gt;=1,COUNTIF(D179:AI179,"=36")&gt;=1 ),COUNTIF(D179:AI179,"")=0,COUNTIF(D179:AI179," ")=0,COUNTIF(D179:AI179,"F")=1),CONCATENATE(SUM(EXTRACTNUMBER(D179),EXTRACTNUMBER(F179),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EXTRACTNUMBER(AD179),EXTRACTNUMBER(AH179),EXTRACTNUMBER(AF179)),"*"),IF(AND(COUNTIF(D179:AI179,"=34")&gt;=1,COUNTIF(D179:AI179,"=35")&gt;=1,COUNTIF(D179:AI179,"f")=2,COUNTIF(D179:AI179,"")=0,COUNTIF(D179:AI179," ")=0),CONCATENATE(SUM(EXTRACTNUMBER(D179),EXTRACTNUMBER(F179),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EXTRACTNUMBER(AD179),EXTRACTNUMBER(AH179),EXTRACTNUMBER(AF179)),"*"),IF(AND(COUNTIF(D179:AI179,"=36")&gt;=2,COUNTIF(D179:AI179,"f")=2,COUNTIF(D179:AI179,"")=0,COUNTIF(D179:AI179," ")=0),CONCATENATE(SUM(EXTRACTNUMBER(D179),EXTRACTNUMBER(F179),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EXTRACTNUMBER(AD179),EXTRACTNUMBER(AH179),EXTRACTNUMBER(AF179)),"*"),SUM(EXTRACTNUMBER(D179),EXTRACTNUMBER(F179),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EXTRACTNUMBER(AD179),EXTRACTNUMBER(AH179),EXTRACTNUMBER(AF179))))),SUM(EXTRACTNUMBER(D179),EXTRACTNUMBER(F179),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EXTRACTNUMBER(AD179),EXTRACTNUMBER(AH179),EXTRACTNUMBER(AF179)))</f>
        <v>499</v>
      </c>
      <c r="AK179" s="28" t="s">
        <v>299</v>
      </c>
      <c r="AL179" s="29">
        <f t="shared" si="38"/>
        <v>995</v>
      </c>
      <c r="AM179" s="29" t="str">
        <f t="shared" si="55"/>
        <v>PASS</v>
      </c>
      <c r="AN179" s="30" t="str">
        <f>IF(AM179="ABSENT","AB",IF(AM179="FAIL","--",
IF(AK179=0,"RS 3",
IF(AND(SUM(EXTRACTNUMBER(AK179),EXTRACTNUMBER(AJ179))&gt;=1010,
        NOT(IFERROR(FIND("x",AK179),0)),
        NOT(IFERROR(FIND("x",AJ179),0))),"I",
IF(AND(SUM(EXTRACTNUMBER(AK179),EXTRACTNUMBER(AJ179))&gt;=850,
      SUM(EXTRACTNUMBER(AK179),EXTRACTNUMBER(AJ179))&lt;1010,
      NOT(IFERROR(FIND("x",AK179),0)),
      NOT(IFERROR(FIND("x",AJ179),0))),"II",
IF(OR(AND(SUM(EXTRACTNUMBER(AK179),EXTRACTNUMBER(AJ179))&lt;850,
SUM(EXTRACTNUMBER(AK179),EXTRACTNUMBER(AJ179))&gt;=670),
IFERROR(FIND("x",AK179),0),IFERROR(FIND("x",AJ179),0)),"P","--"))))))</f>
        <v>P</v>
      </c>
      <c r="AO179" s="2" t="str">
        <f t="shared" si="56"/>
        <v xml:space="preserve">Nine Hundred NinetyFive </v>
      </c>
    </row>
    <row r="180" spans="2:41" ht="16.5" customHeight="1">
      <c r="B180" s="45">
        <v>134353</v>
      </c>
      <c r="C180" s="47" t="s">
        <v>175</v>
      </c>
      <c r="D180" s="43">
        <v>5</v>
      </c>
      <c r="E180" s="27" t="str">
        <f t="shared" si="39"/>
        <v>F</v>
      </c>
      <c r="F180" s="26" t="s">
        <v>204</v>
      </c>
      <c r="G180" s="27" t="str">
        <f t="shared" si="40"/>
        <v xml:space="preserve"> </v>
      </c>
      <c r="H180" s="24">
        <v>3</v>
      </c>
      <c r="I180" s="27" t="str">
        <f t="shared" si="41"/>
        <v>F</v>
      </c>
      <c r="J180" s="26" t="s">
        <v>208</v>
      </c>
      <c r="K180" s="27" t="str">
        <f t="shared" si="42"/>
        <v xml:space="preserve"> </v>
      </c>
      <c r="L180" s="24" t="s">
        <v>207</v>
      </c>
      <c r="M180" s="27" t="str">
        <f t="shared" si="43"/>
        <v xml:space="preserve"> </v>
      </c>
      <c r="N180" s="26" t="s">
        <v>206</v>
      </c>
      <c r="O180" s="27" t="str">
        <f t="shared" si="44"/>
        <v xml:space="preserve"> </v>
      </c>
      <c r="P180" s="26" t="s">
        <v>206</v>
      </c>
      <c r="Q180" s="27" t="str">
        <f t="shared" si="45"/>
        <v xml:space="preserve"> </v>
      </c>
      <c r="R180" s="24">
        <v>2</v>
      </c>
      <c r="S180" s="27" t="str">
        <f t="shared" si="46"/>
        <v>F</v>
      </c>
      <c r="T180" s="26" t="s">
        <v>206</v>
      </c>
      <c r="U180" s="27" t="str">
        <f t="shared" si="47"/>
        <v xml:space="preserve"> </v>
      </c>
      <c r="V180" s="26" t="s">
        <v>222</v>
      </c>
      <c r="W180" s="27" t="str">
        <f t="shared" si="48"/>
        <v xml:space="preserve"> </v>
      </c>
      <c r="X180" s="24">
        <v>31</v>
      </c>
      <c r="Y180" s="27" t="str">
        <f t="shared" si="49"/>
        <v>F</v>
      </c>
      <c r="Z180" s="26" t="s">
        <v>214</v>
      </c>
      <c r="AA180" s="27" t="str">
        <f t="shared" si="50"/>
        <v xml:space="preserve"> </v>
      </c>
      <c r="AB180" s="26" t="s">
        <v>210</v>
      </c>
      <c r="AC180" s="27" t="str">
        <f t="shared" si="51"/>
        <v xml:space="preserve"> </v>
      </c>
      <c r="AD180" s="24" t="s">
        <v>207</v>
      </c>
      <c r="AE180" s="27" t="str">
        <f t="shared" si="52"/>
        <v xml:space="preserve"> </v>
      </c>
      <c r="AF180" s="26" t="s">
        <v>212</v>
      </c>
      <c r="AG180" s="27" t="str">
        <f t="shared" si="53"/>
        <v xml:space="preserve"> </v>
      </c>
      <c r="AH180" s="26" t="s">
        <v>204</v>
      </c>
      <c r="AI180" s="27" t="str">
        <f t="shared" si="54"/>
        <v xml:space="preserve"> </v>
      </c>
      <c r="AJ180" s="32">
        <f>IF(OR(AND(D180&gt;=31,D180&lt;40),AND(H180&gt;=31,H180&lt;40),AND(L180&gt;=31,L180&lt;40),AND(R180&gt;=31,R180&lt;40),AND(X180&gt;=31,X180&lt;40),AND(AD180&gt;=31,AD180&lt;40)),IF(AND(OR(COUNTIF(D180:AI180,"=31")&gt;=1,COUNTIF(D180:AI180,"=32")&gt;=1,COUNTIF(D180:AI180,"=33")&gt;=1,COUNTIF(D180:AI180,"=34")&gt;=1,COUNTIF(D180:AI180,"=35")&gt;=1,COUNTIF(D180:AI180,"=36")&gt;=1 ),COUNTIF(D180:AI180,"")=0,COUNTIF(D180:AI180," ")=0,COUNTIF(D180:AI180,"F")=1),CONCATENATE(SUM(EXTRACTNUMBER(D180),EXTRACTNUMBER(F180),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EXTRACTNUMBER(AD180),EXTRACTNUMBER(AH180),EXTRACTNUMBER(AF180)),"*"),IF(AND(COUNTIF(D180:AI180,"=34")&gt;=1,COUNTIF(D180:AI180,"=35")&gt;=1,COUNTIF(D180:AI180,"f")=2,COUNTIF(D180:AI180,"")=0,COUNTIF(D180:AI180," ")=0),CONCATENATE(SUM(EXTRACTNUMBER(D180),EXTRACTNUMBER(F180),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EXTRACTNUMBER(AD180),EXTRACTNUMBER(AH180),EXTRACTNUMBER(AF180)),"*"),IF(AND(COUNTIF(D180:AI180,"=36")&gt;=2,COUNTIF(D180:AI180,"f")=2,COUNTIF(D180:AI180,"")=0,COUNTIF(D180:AI180," ")=0),CONCATENATE(SUM(EXTRACTNUMBER(D180),EXTRACTNUMBER(F180),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EXTRACTNUMBER(AD180),EXTRACTNUMBER(AH180),EXTRACTNUMBER(AF180)),"*"),SUM(EXTRACTNUMBER(D180),EXTRACTNUMBER(F180),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EXTRACTNUMBER(AD180),EXTRACTNUMBER(AH180),EXTRACTNUMBER(AF180))))),SUM(EXTRACTNUMBER(D180),EXTRACTNUMBER(F180),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EXTRACTNUMBER(AD180),EXTRACTNUMBER(AH180),EXTRACTNUMBER(AF180)))</f>
        <v>306</v>
      </c>
      <c r="AK180" s="28">
        <v>0</v>
      </c>
      <c r="AL180" s="29">
        <f t="shared" si="38"/>
        <v>306</v>
      </c>
      <c r="AM180" s="29" t="str">
        <f t="shared" si="55"/>
        <v>FAIL</v>
      </c>
      <c r="AN180" s="30" t="str">
        <f>IF(AM180="ABSENT","AB",IF(AM180="FAIL","--",
IF(AK180=0,"RS 3",
IF(AND(SUM(EXTRACTNUMBER(AK180),EXTRACTNUMBER(AJ180))&gt;=1010,
        NOT(IFERROR(FIND("x",AK180),0)),
        NOT(IFERROR(FIND("x",AJ180),0))),"I",
IF(AND(SUM(EXTRACTNUMBER(AK180),EXTRACTNUMBER(AJ180))&gt;=850,
      SUM(EXTRACTNUMBER(AK180),EXTRACTNUMBER(AJ180))&lt;1010,
      NOT(IFERROR(FIND("x",AK180),0)),
      NOT(IFERROR(FIND("x",AJ180),0))),"II",
IF(OR(AND(SUM(EXTRACTNUMBER(AK180),EXTRACTNUMBER(AJ180))&lt;850,
SUM(EXTRACTNUMBER(AK180),EXTRACTNUMBER(AJ180))&gt;=670),
IFERROR(FIND("x",AK180),0),IFERROR(FIND("x",AJ180),0)),"P","--"))))))</f>
        <v>--</v>
      </c>
      <c r="AO180" s="2" t="str">
        <f t="shared" si="56"/>
        <v xml:space="preserve">Three Hundred Six </v>
      </c>
    </row>
    <row r="181" spans="2:41" ht="16.5" customHeight="1">
      <c r="B181" s="45">
        <v>134354</v>
      </c>
      <c r="C181" s="47" t="s">
        <v>176</v>
      </c>
      <c r="D181" s="43">
        <v>17</v>
      </c>
      <c r="E181" s="27" t="str">
        <f t="shared" si="39"/>
        <v>F</v>
      </c>
      <c r="F181" s="26" t="s">
        <v>217</v>
      </c>
      <c r="G181" s="27" t="str">
        <f t="shared" si="40"/>
        <v xml:space="preserve"> </v>
      </c>
      <c r="H181" s="24" t="s">
        <v>209</v>
      </c>
      <c r="I181" s="27" t="str">
        <f t="shared" si="41"/>
        <v xml:space="preserve"> </v>
      </c>
      <c r="J181" s="26" t="s">
        <v>204</v>
      </c>
      <c r="K181" s="27" t="str">
        <f t="shared" si="42"/>
        <v xml:space="preserve"> </v>
      </c>
      <c r="L181" s="24" t="s">
        <v>207</v>
      </c>
      <c r="M181" s="27" t="str">
        <f t="shared" si="43"/>
        <v xml:space="preserve"> </v>
      </c>
      <c r="N181" s="26" t="s">
        <v>227</v>
      </c>
      <c r="O181" s="27" t="str">
        <f t="shared" si="44"/>
        <v xml:space="preserve"> </v>
      </c>
      <c r="P181" s="26" t="s">
        <v>217</v>
      </c>
      <c r="Q181" s="27" t="str">
        <f t="shared" si="45"/>
        <v xml:space="preserve"> </v>
      </c>
      <c r="R181" s="24" t="s">
        <v>228</v>
      </c>
      <c r="S181" s="27" t="str">
        <f t="shared" si="46"/>
        <v xml:space="preserve"> </v>
      </c>
      <c r="T181" s="26" t="s">
        <v>204</v>
      </c>
      <c r="U181" s="27" t="str">
        <f t="shared" si="47"/>
        <v xml:space="preserve"> </v>
      </c>
      <c r="V181" s="26" t="s">
        <v>212</v>
      </c>
      <c r="W181" s="27" t="str">
        <f t="shared" si="48"/>
        <v xml:space="preserve"> </v>
      </c>
      <c r="X181" s="24" t="s">
        <v>207</v>
      </c>
      <c r="Y181" s="27" t="str">
        <f t="shared" si="49"/>
        <v xml:space="preserve"> </v>
      </c>
      <c r="Z181" s="26" t="s">
        <v>206</v>
      </c>
      <c r="AA181" s="27" t="str">
        <f t="shared" si="50"/>
        <v xml:space="preserve"> </v>
      </c>
      <c r="AB181" s="26" t="s">
        <v>212</v>
      </c>
      <c r="AC181" s="27" t="str">
        <f t="shared" si="51"/>
        <v xml:space="preserve"> </v>
      </c>
      <c r="AD181" s="24" t="s">
        <v>207</v>
      </c>
      <c r="AE181" s="27" t="str">
        <f t="shared" si="52"/>
        <v xml:space="preserve"> </v>
      </c>
      <c r="AF181" s="26" t="s">
        <v>208</v>
      </c>
      <c r="AG181" s="27" t="str">
        <f t="shared" si="53"/>
        <v xml:space="preserve"> </v>
      </c>
      <c r="AH181" s="26" t="s">
        <v>210</v>
      </c>
      <c r="AI181" s="27" t="str">
        <f t="shared" si="54"/>
        <v xml:space="preserve"> </v>
      </c>
      <c r="AJ181" s="32">
        <f>IF(OR(AND(D181&gt;=31,D181&lt;40),AND(H181&gt;=31,H181&lt;40),AND(L181&gt;=31,L181&lt;40),AND(R181&gt;=31,R181&lt;40),AND(X181&gt;=31,X181&lt;40),AND(AD181&gt;=31,AD181&lt;40)),IF(AND(OR(COUNTIF(D181:AI181,"=31")&gt;=1,COUNTIF(D181:AI181,"=32")&gt;=1,COUNTIF(D181:AI181,"=33")&gt;=1,COUNTIF(D181:AI181,"=34")&gt;=1,COUNTIF(D181:AI181,"=35")&gt;=1,COUNTIF(D181:AI181,"=36")&gt;=1 ),COUNTIF(D181:AI181,"")=0,COUNTIF(D181:AI181," ")=0,COUNTIF(D181:AI181,"F")=1),CONCATENATE(SUM(EXTRACTNUMBER(D181),EXTRACTNUMBER(F181),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EXTRACTNUMBER(AD181),EXTRACTNUMBER(AH181),EXTRACTNUMBER(AF181)),"*"),IF(AND(COUNTIF(D181:AI181,"=34")&gt;=1,COUNTIF(D181:AI181,"=35")&gt;=1,COUNTIF(D181:AI181,"f")=2,COUNTIF(D181:AI181,"")=0,COUNTIF(D181:AI181," ")=0),CONCATENATE(SUM(EXTRACTNUMBER(D181),EXTRACTNUMBER(F181),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EXTRACTNUMBER(AD181),EXTRACTNUMBER(AH181),EXTRACTNUMBER(AF181)),"*"),IF(AND(COUNTIF(D181:AI181,"=36")&gt;=2,COUNTIF(D181:AI181,"f")=2,COUNTIF(D181:AI181,"")=0,COUNTIF(D181:AI181," ")=0),CONCATENATE(SUM(EXTRACTNUMBER(D181),EXTRACTNUMBER(F181),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EXTRACTNUMBER(AD181),EXTRACTNUMBER(AH181),EXTRACTNUMBER(AF181)),"*"),SUM(EXTRACTNUMBER(D181),EXTRACTNUMBER(F181),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EXTRACTNUMBER(AD181),EXTRACTNUMBER(AH181),EXTRACTNUMBER(AF181))))),SUM(EXTRACTNUMBER(D181),EXTRACTNUMBER(F181),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EXTRACTNUMBER(AD181),EXTRACTNUMBER(AH181),EXTRACTNUMBER(AF181)))</f>
        <v>397</v>
      </c>
      <c r="AK181" s="28">
        <v>0</v>
      </c>
      <c r="AL181" s="29">
        <f t="shared" si="38"/>
        <v>397</v>
      </c>
      <c r="AM181" s="29" t="str">
        <f t="shared" si="55"/>
        <v>FAIL</v>
      </c>
      <c r="AN181" s="30" t="str">
        <f>IF(AM181="ABSENT","AB",IF(AM181="FAIL","--",
IF(AK181=0,"RS 3",
IF(AND(SUM(EXTRACTNUMBER(AK181),EXTRACTNUMBER(AJ181))&gt;=1010,
        NOT(IFERROR(FIND("x",AK181),0)),
        NOT(IFERROR(FIND("x",AJ181),0))),"I",
IF(AND(SUM(EXTRACTNUMBER(AK181),EXTRACTNUMBER(AJ181))&gt;=850,
      SUM(EXTRACTNUMBER(AK181),EXTRACTNUMBER(AJ181))&lt;1010,
      NOT(IFERROR(FIND("x",AK181),0)),
      NOT(IFERROR(FIND("x",AJ181),0))),"II",
IF(OR(AND(SUM(EXTRACTNUMBER(AK181),EXTRACTNUMBER(AJ181))&lt;850,
SUM(EXTRACTNUMBER(AK181),EXTRACTNUMBER(AJ181))&gt;=670),
IFERROR(FIND("x",AK181),0),IFERROR(FIND("x",AJ181),0)),"P","--"))))))</f>
        <v>--</v>
      </c>
      <c r="AO181" s="2" t="str">
        <f t="shared" si="56"/>
        <v xml:space="preserve">Three Hundred NinetySeven </v>
      </c>
    </row>
    <row r="182" spans="2:41" ht="16.5" customHeight="1">
      <c r="B182" s="45">
        <v>134355</v>
      </c>
      <c r="C182" s="47" t="s">
        <v>177</v>
      </c>
      <c r="D182" s="43" t="s">
        <v>220</v>
      </c>
      <c r="E182" s="27" t="str">
        <f t="shared" si="39"/>
        <v xml:space="preserve"> </v>
      </c>
      <c r="F182" s="26" t="s">
        <v>212</v>
      </c>
      <c r="G182" s="27" t="str">
        <f t="shared" si="40"/>
        <v xml:space="preserve"> </v>
      </c>
      <c r="H182" s="24">
        <v>49</v>
      </c>
      <c r="I182" s="27" t="str">
        <f t="shared" si="41"/>
        <v/>
      </c>
      <c r="J182" s="26" t="s">
        <v>206</v>
      </c>
      <c r="K182" s="27" t="str">
        <f t="shared" si="42"/>
        <v xml:space="preserve"> </v>
      </c>
      <c r="L182" s="24" t="s">
        <v>207</v>
      </c>
      <c r="M182" s="27" t="str">
        <f t="shared" si="43"/>
        <v xml:space="preserve"> </v>
      </c>
      <c r="N182" s="26" t="s">
        <v>204</v>
      </c>
      <c r="O182" s="27" t="str">
        <f t="shared" si="44"/>
        <v xml:space="preserve"> </v>
      </c>
      <c r="P182" s="26" t="s">
        <v>206</v>
      </c>
      <c r="Q182" s="27" t="str">
        <f t="shared" si="45"/>
        <v xml:space="preserve"> </v>
      </c>
      <c r="R182" s="24" t="s">
        <v>219</v>
      </c>
      <c r="S182" s="27" t="str">
        <f t="shared" si="46"/>
        <v xml:space="preserve"> </v>
      </c>
      <c r="T182" s="26" t="s">
        <v>212</v>
      </c>
      <c r="U182" s="27" t="str">
        <f t="shared" si="47"/>
        <v xml:space="preserve"> </v>
      </c>
      <c r="V182" s="26" t="s">
        <v>206</v>
      </c>
      <c r="W182" s="27" t="str">
        <f t="shared" si="48"/>
        <v xml:space="preserve"> </v>
      </c>
      <c r="X182" s="24" t="s">
        <v>229</v>
      </c>
      <c r="Y182" s="27" t="str">
        <f t="shared" si="49"/>
        <v xml:space="preserve"> </v>
      </c>
      <c r="Z182" s="26" t="s">
        <v>210</v>
      </c>
      <c r="AA182" s="27" t="str">
        <f t="shared" si="50"/>
        <v xml:space="preserve"> </v>
      </c>
      <c r="AB182" s="26" t="s">
        <v>212</v>
      </c>
      <c r="AC182" s="27" t="str">
        <f t="shared" si="51"/>
        <v xml:space="preserve"> </v>
      </c>
      <c r="AD182" s="24" t="s">
        <v>215</v>
      </c>
      <c r="AE182" s="27" t="str">
        <f t="shared" si="52"/>
        <v xml:space="preserve"> </v>
      </c>
      <c r="AF182" s="26" t="s">
        <v>212</v>
      </c>
      <c r="AG182" s="27" t="str">
        <f t="shared" si="53"/>
        <v xml:space="preserve"> </v>
      </c>
      <c r="AH182" s="26" t="s">
        <v>210</v>
      </c>
      <c r="AI182" s="27" t="str">
        <f t="shared" si="54"/>
        <v xml:space="preserve"> </v>
      </c>
      <c r="AJ182" s="32">
        <f>IF(OR(AND(D182&gt;=31,D182&lt;40),AND(H182&gt;=31,H182&lt;40),AND(L182&gt;=31,L182&lt;40),AND(R182&gt;=31,R182&lt;40),AND(X182&gt;=31,X182&lt;40),AND(AD182&gt;=31,AD182&lt;40)),IF(AND(OR(COUNTIF(D182:AI182,"=31")&gt;=1,COUNTIF(D182:AI182,"=32")&gt;=1,COUNTIF(D182:AI182,"=33")&gt;=1,COUNTIF(D182:AI182,"=34")&gt;=1,COUNTIF(D182:AI182,"=35")&gt;=1,COUNTIF(D182:AI182,"=36")&gt;=1 ),COUNTIF(D182:AI182,"")=0,COUNTIF(D182:AI182," ")=0,COUNTIF(D182:AI182,"F")=1),CONCATENATE(SUM(EXTRACTNUMBER(D182),EXTRACTNUMBER(F182),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EXTRACTNUMBER(AD182),EXTRACTNUMBER(AH182),EXTRACTNUMBER(AF182)),"*"),IF(AND(COUNTIF(D182:AI182,"=34")&gt;=1,COUNTIF(D182:AI182,"=35")&gt;=1,COUNTIF(D182:AI182,"f")=2,COUNTIF(D182:AI182,"")=0,COUNTIF(D182:AI182," ")=0),CONCATENATE(SUM(EXTRACTNUMBER(D182),EXTRACTNUMBER(F182),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EXTRACTNUMBER(AD182),EXTRACTNUMBER(AH182),EXTRACTNUMBER(AF182)),"*"),IF(AND(COUNTIF(D182:AI182,"=36")&gt;=2,COUNTIF(D182:AI182,"f")=2,COUNTIF(D182:AI182,"")=0,COUNTIF(D182:AI182," ")=0),CONCATENATE(SUM(EXTRACTNUMBER(D182),EXTRACTNUMBER(F182),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EXTRACTNUMBER(AD182),EXTRACTNUMBER(AH182),EXTRACTNUMBER(AF182)),"*"),SUM(EXTRACTNUMBER(D182),EXTRACTNUMBER(F182),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EXTRACTNUMBER(AD182),EXTRACTNUMBER(AH182),EXTRACTNUMBER(AF182))))),SUM(EXTRACTNUMBER(D182),EXTRACTNUMBER(F182),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EXTRACTNUMBER(AD182),EXTRACTNUMBER(AH182),EXTRACTNUMBER(AF182)))</f>
        <v>475</v>
      </c>
      <c r="AK182" s="28" t="s">
        <v>300</v>
      </c>
      <c r="AL182" s="29">
        <f t="shared" si="38"/>
        <v>918</v>
      </c>
      <c r="AM182" s="29" t="str">
        <f t="shared" si="55"/>
        <v>PASS</v>
      </c>
      <c r="AN182" s="30" t="str">
        <f>IF(AM182="ABSENT","AB",IF(AM182="FAIL","--",
IF(AK182=0,"RS 3",
IF(AND(SUM(EXTRACTNUMBER(AK182),EXTRACTNUMBER(AJ182))&gt;=1010,
        NOT(IFERROR(FIND("x",AK182),0)),
        NOT(IFERROR(FIND("x",AJ182),0))),"I",
IF(AND(SUM(EXTRACTNUMBER(AK182),EXTRACTNUMBER(AJ182))&gt;=850,
      SUM(EXTRACTNUMBER(AK182),EXTRACTNUMBER(AJ182))&lt;1010,
      NOT(IFERROR(FIND("x",AK182),0)),
      NOT(IFERROR(FIND("x",AJ182),0))),"II",
IF(OR(AND(SUM(EXTRACTNUMBER(AK182),EXTRACTNUMBER(AJ182))&lt;850,
SUM(EXTRACTNUMBER(AK182),EXTRACTNUMBER(AJ182))&gt;=670),
IFERROR(FIND("x",AK182),0),IFERROR(FIND("x",AJ182),0)),"P","--"))))))</f>
        <v>P</v>
      </c>
      <c r="AO182" s="2" t="str">
        <f t="shared" si="56"/>
        <v xml:space="preserve">Nine Hundred Eighteen </v>
      </c>
    </row>
    <row r="183" spans="2:41" ht="16.5" customHeight="1">
      <c r="B183" s="45">
        <v>134356</v>
      </c>
      <c r="C183" s="46" t="s">
        <v>178</v>
      </c>
      <c r="D183" s="43">
        <v>4</v>
      </c>
      <c r="E183" s="27" t="str">
        <f t="shared" si="39"/>
        <v>F</v>
      </c>
      <c r="F183" s="26" t="s">
        <v>212</v>
      </c>
      <c r="G183" s="27" t="str">
        <f t="shared" si="40"/>
        <v xml:space="preserve"> </v>
      </c>
      <c r="H183" s="24">
        <v>30</v>
      </c>
      <c r="I183" s="27" t="str">
        <f t="shared" si="41"/>
        <v>F</v>
      </c>
      <c r="J183" s="26" t="s">
        <v>206</v>
      </c>
      <c r="K183" s="27" t="str">
        <f t="shared" si="42"/>
        <v xml:space="preserve"> </v>
      </c>
      <c r="L183" s="24">
        <v>12</v>
      </c>
      <c r="M183" s="27" t="str">
        <f t="shared" si="43"/>
        <v>F</v>
      </c>
      <c r="N183" s="26" t="s">
        <v>204</v>
      </c>
      <c r="O183" s="27" t="str">
        <f t="shared" si="44"/>
        <v xml:space="preserve"> </v>
      </c>
      <c r="P183" s="26" t="s">
        <v>206</v>
      </c>
      <c r="Q183" s="27" t="str">
        <f t="shared" si="45"/>
        <v xml:space="preserve"> </v>
      </c>
      <c r="R183" s="24">
        <v>29</v>
      </c>
      <c r="S183" s="27" t="str">
        <f t="shared" si="46"/>
        <v>F</v>
      </c>
      <c r="T183" s="26" t="s">
        <v>206</v>
      </c>
      <c r="U183" s="27" t="str">
        <f t="shared" si="47"/>
        <v xml:space="preserve"> </v>
      </c>
      <c r="V183" s="26" t="s">
        <v>212</v>
      </c>
      <c r="W183" s="27" t="str">
        <f t="shared" si="48"/>
        <v xml:space="preserve"> </v>
      </c>
      <c r="X183" s="24">
        <v>40</v>
      </c>
      <c r="Y183" s="27" t="str">
        <f t="shared" si="49"/>
        <v>E</v>
      </c>
      <c r="Z183" s="26" t="s">
        <v>204</v>
      </c>
      <c r="AA183" s="27" t="str">
        <f t="shared" si="50"/>
        <v xml:space="preserve"> </v>
      </c>
      <c r="AB183" s="26" t="s">
        <v>206</v>
      </c>
      <c r="AC183" s="27" t="str">
        <f t="shared" si="51"/>
        <v xml:space="preserve"> </v>
      </c>
      <c r="AD183" s="24">
        <v>20</v>
      </c>
      <c r="AE183" s="27" t="str">
        <f t="shared" si="52"/>
        <v>F</v>
      </c>
      <c r="AF183" s="26" t="s">
        <v>204</v>
      </c>
      <c r="AG183" s="27" t="str">
        <f t="shared" si="53"/>
        <v xml:space="preserve"> </v>
      </c>
      <c r="AH183" s="26" t="s">
        <v>206</v>
      </c>
      <c r="AI183" s="27" t="str">
        <f t="shared" si="54"/>
        <v xml:space="preserve"> </v>
      </c>
      <c r="AJ183" s="32">
        <f>IF(OR(AND(D183&gt;=31,D183&lt;40),AND(H183&gt;=31,H183&lt;40),AND(L183&gt;=31,L183&lt;40),AND(R183&gt;=31,R183&lt;40),AND(X183&gt;=31,X183&lt;40),AND(AD183&gt;=31,AD183&lt;40)),IF(AND(OR(COUNTIF(D183:AI183,"=31")&gt;=1,COUNTIF(D183:AI183,"=32")&gt;=1,COUNTIF(D183:AI183,"=33")&gt;=1,COUNTIF(D183:AI183,"=34")&gt;=1,COUNTIF(D183:AI183,"=35")&gt;=1,COUNTIF(D183:AI183,"=36")&gt;=1 ),COUNTIF(D183:AI183,"")=0,COUNTIF(D183:AI183," ")=0,COUNTIF(D183:AI183,"F")=1),CONCATENATE(SUM(EXTRACTNUMBER(D183),EXTRACTNUMBER(F183),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EXTRACTNUMBER(AD183),EXTRACTNUMBER(AH183),EXTRACTNUMBER(AF183)),"*"),IF(AND(COUNTIF(D183:AI183,"=34")&gt;=1,COUNTIF(D183:AI183,"=35")&gt;=1,COUNTIF(D183:AI183,"f")=2,COUNTIF(D183:AI183,"")=0,COUNTIF(D183:AI183," ")=0),CONCATENATE(SUM(EXTRACTNUMBER(D183),EXTRACTNUMBER(F183),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EXTRACTNUMBER(AD183),EXTRACTNUMBER(AH183),EXTRACTNUMBER(AF183)),"*"),IF(AND(COUNTIF(D183:AI183,"=36")&gt;=2,COUNTIF(D183:AI183,"f")=2,COUNTIF(D183:AI183,"")=0,COUNTIF(D183:AI183," ")=0),CONCATENATE(SUM(EXTRACTNUMBER(D183),EXTRACTNUMBER(F183),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EXTRACTNUMBER(AD183),EXTRACTNUMBER(AH183),EXTRACTNUMBER(AF183)),"*"),SUM(EXTRACTNUMBER(D183),EXTRACTNUMBER(F183),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EXTRACTNUMBER(AD183),EXTRACTNUMBER(AH183),EXTRACTNUMBER(AF183))))),SUM(EXTRACTNUMBER(D183),EXTRACTNUMBER(F183),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EXTRACTNUMBER(AD183),EXTRACTNUMBER(AH183),EXTRACTNUMBER(AF183)))</f>
        <v>314</v>
      </c>
      <c r="AK183" s="28">
        <v>0</v>
      </c>
      <c r="AL183" s="29">
        <f t="shared" si="38"/>
        <v>314</v>
      </c>
      <c r="AM183" s="29" t="str">
        <f t="shared" si="55"/>
        <v>FAIL</v>
      </c>
      <c r="AN183" s="30" t="str">
        <f>IF(AM183="ABSENT","AB",IF(AM183="FAIL","--",
IF(AK183=0,"RS 3",
IF(AND(SUM(EXTRACTNUMBER(AK183),EXTRACTNUMBER(AJ183))&gt;=1010,
        NOT(IFERROR(FIND("x",AK183),0)),
        NOT(IFERROR(FIND("x",AJ183),0))),"I",
IF(AND(SUM(EXTRACTNUMBER(AK183),EXTRACTNUMBER(AJ183))&gt;=850,
      SUM(EXTRACTNUMBER(AK183),EXTRACTNUMBER(AJ183))&lt;1010,
      NOT(IFERROR(FIND("x",AK183),0)),
      NOT(IFERROR(FIND("x",AJ183),0))),"II",
IF(OR(AND(SUM(EXTRACTNUMBER(AK183),EXTRACTNUMBER(AJ183))&lt;850,
SUM(EXTRACTNUMBER(AK183),EXTRACTNUMBER(AJ183))&gt;=670),
IFERROR(FIND("x",AK183),0),IFERROR(FIND("x",AJ183),0)),"P","--"))))))</f>
        <v>--</v>
      </c>
      <c r="AO183" s="2" t="str">
        <f t="shared" si="56"/>
        <v xml:space="preserve">Three Hundred Fourteen </v>
      </c>
    </row>
    <row r="184" spans="2:41" ht="16.5" customHeight="1">
      <c r="B184" s="45">
        <v>134357</v>
      </c>
      <c r="C184" s="47" t="s">
        <v>179</v>
      </c>
      <c r="D184" s="43">
        <v>40</v>
      </c>
      <c r="E184" s="27" t="str">
        <f t="shared" si="39"/>
        <v/>
      </c>
      <c r="F184" s="26" t="s">
        <v>212</v>
      </c>
      <c r="G184" s="27" t="str">
        <f t="shared" si="40"/>
        <v xml:space="preserve"> </v>
      </c>
      <c r="H184" s="24" t="s">
        <v>207</v>
      </c>
      <c r="I184" s="27" t="str">
        <f t="shared" si="41"/>
        <v xml:space="preserve"> </v>
      </c>
      <c r="J184" s="26" t="s">
        <v>212</v>
      </c>
      <c r="K184" s="27" t="str">
        <f t="shared" si="42"/>
        <v xml:space="preserve"> </v>
      </c>
      <c r="L184" s="24" t="s">
        <v>207</v>
      </c>
      <c r="M184" s="27" t="str">
        <f t="shared" si="43"/>
        <v xml:space="preserve"> </v>
      </c>
      <c r="N184" s="26" t="s">
        <v>208</v>
      </c>
      <c r="O184" s="27" t="str">
        <f t="shared" si="44"/>
        <v xml:space="preserve"> </v>
      </c>
      <c r="P184" s="26" t="s">
        <v>212</v>
      </c>
      <c r="Q184" s="27" t="str">
        <f t="shared" si="45"/>
        <v xml:space="preserve"> </v>
      </c>
      <c r="R184" s="24" t="s">
        <v>226</v>
      </c>
      <c r="S184" s="27" t="str">
        <f t="shared" si="46"/>
        <v xml:space="preserve"> </v>
      </c>
      <c r="T184" s="26" t="s">
        <v>212</v>
      </c>
      <c r="U184" s="27" t="str">
        <f t="shared" si="47"/>
        <v xml:space="preserve"> </v>
      </c>
      <c r="V184" s="26" t="s">
        <v>212</v>
      </c>
      <c r="W184" s="27" t="str">
        <f t="shared" si="48"/>
        <v xml:space="preserve"> </v>
      </c>
      <c r="X184" s="24" t="s">
        <v>207</v>
      </c>
      <c r="Y184" s="27" t="str">
        <f t="shared" si="49"/>
        <v xml:space="preserve"> </v>
      </c>
      <c r="Z184" s="26" t="s">
        <v>222</v>
      </c>
      <c r="AA184" s="27" t="str">
        <f t="shared" si="50"/>
        <v xml:space="preserve"> </v>
      </c>
      <c r="AB184" s="26" t="s">
        <v>208</v>
      </c>
      <c r="AC184" s="27" t="str">
        <f t="shared" si="51"/>
        <v xml:space="preserve"> </v>
      </c>
      <c r="AD184" s="24" t="s">
        <v>209</v>
      </c>
      <c r="AE184" s="27" t="str">
        <f t="shared" si="52"/>
        <v xml:space="preserve"> </v>
      </c>
      <c r="AF184" s="26" t="s">
        <v>208</v>
      </c>
      <c r="AG184" s="27" t="str">
        <f t="shared" si="53"/>
        <v xml:space="preserve"> </v>
      </c>
      <c r="AH184" s="26" t="s">
        <v>204</v>
      </c>
      <c r="AI184" s="27" t="str">
        <f t="shared" si="54"/>
        <v xml:space="preserve"> </v>
      </c>
      <c r="AJ184" s="32">
        <f>IF(OR(AND(D184&gt;=31,D184&lt;40),AND(H184&gt;=31,H184&lt;40),AND(L184&gt;=31,L184&lt;40),AND(R184&gt;=31,R184&lt;40),AND(X184&gt;=31,X184&lt;40),AND(AD184&gt;=31,AD184&lt;40)),IF(AND(OR(COUNTIF(D184:AI184,"=31")&gt;=1,COUNTIF(D184:AI184,"=32")&gt;=1,COUNTIF(D184:AI184,"=33")&gt;=1,COUNTIF(D184:AI184,"=34")&gt;=1,COUNTIF(D184:AI184,"=35")&gt;=1,COUNTIF(D184:AI184,"=36")&gt;=1 ),COUNTIF(D184:AI184,"")=0,COUNTIF(D184:AI184," ")=0,COUNTIF(D184:AI184,"F")=1),CONCATENATE(SUM(EXTRACTNUMBER(D184),EXTRACTNUMBER(F184),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EXTRACTNUMBER(AD184),EXTRACTNUMBER(AH184),EXTRACTNUMBER(AF184)),"*"),IF(AND(COUNTIF(D184:AI184,"=34")&gt;=1,COUNTIF(D184:AI184,"=35")&gt;=1,COUNTIF(D184:AI184,"f")=2,COUNTIF(D184:AI184,"")=0,COUNTIF(D184:AI184," ")=0),CONCATENATE(SUM(EXTRACTNUMBER(D184),EXTRACTNUMBER(F184),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EXTRACTNUMBER(AD184),EXTRACTNUMBER(AH184),EXTRACTNUMBER(AF184)),"*"),IF(AND(COUNTIF(D184:AI184,"=36")&gt;=2,COUNTIF(D184:AI184,"f")=2,COUNTIF(D184:AI184,"")=0,COUNTIF(D184:AI184," ")=0),CONCATENATE(SUM(EXTRACTNUMBER(D184),EXTRACTNUMBER(F184),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EXTRACTNUMBER(AD184),EXTRACTNUMBER(AH184),EXTRACTNUMBER(AF184)),"*"),SUM(EXTRACTNUMBER(D184),EXTRACTNUMBER(F184),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EXTRACTNUMBER(AD184),EXTRACTNUMBER(AH184),EXTRACTNUMBER(AF184))))),SUM(EXTRACTNUMBER(D184),EXTRACTNUMBER(F184),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EXTRACTNUMBER(AD184),EXTRACTNUMBER(AH184),EXTRACTNUMBER(AF184)))</f>
        <v>455</v>
      </c>
      <c r="AK184" s="28" t="s">
        <v>301</v>
      </c>
      <c r="AL184" s="29">
        <f t="shared" si="38"/>
        <v>938</v>
      </c>
      <c r="AM184" s="29" t="str">
        <f t="shared" si="55"/>
        <v>PASS</v>
      </c>
      <c r="AN184" s="30" t="str">
        <f>IF(AM184="ABSENT","AB",IF(AM184="FAIL","--",
IF(AK184=0,"RS 3",
IF(AND(SUM(EXTRACTNUMBER(AK184),EXTRACTNUMBER(AJ184))&gt;=1010,
        NOT(IFERROR(FIND("x",AK184),0)),
        NOT(IFERROR(FIND("x",AJ184),0))),"I",
IF(AND(SUM(EXTRACTNUMBER(AK184),EXTRACTNUMBER(AJ184))&gt;=850,
      SUM(EXTRACTNUMBER(AK184),EXTRACTNUMBER(AJ184))&lt;1010,
      NOT(IFERROR(FIND("x",AK184),0)),
      NOT(IFERROR(FIND("x",AJ184),0))),"II",
IF(OR(AND(SUM(EXTRACTNUMBER(AK184),EXTRACTNUMBER(AJ184))&lt;850,
SUM(EXTRACTNUMBER(AK184),EXTRACTNUMBER(AJ184))&gt;=670),
IFERROR(FIND("x",AK184),0),IFERROR(FIND("x",AJ184),0)),"P","--"))))))</f>
        <v>P</v>
      </c>
      <c r="AO184" s="2" t="str">
        <f t="shared" si="56"/>
        <v xml:space="preserve">Nine Hundred Thirty Eight </v>
      </c>
    </row>
    <row r="185" spans="2:41" ht="16.5" customHeight="1">
      <c r="B185" s="45">
        <v>134358</v>
      </c>
      <c r="C185" s="46" t="s">
        <v>180</v>
      </c>
      <c r="D185" s="43">
        <v>44</v>
      </c>
      <c r="E185" s="27" t="str">
        <f t="shared" si="39"/>
        <v/>
      </c>
      <c r="F185" s="26" t="s">
        <v>212</v>
      </c>
      <c r="G185" s="27" t="str">
        <f t="shared" si="40"/>
        <v xml:space="preserve"> </v>
      </c>
      <c r="H185" s="24" t="s">
        <v>230</v>
      </c>
      <c r="I185" s="27" t="str">
        <f t="shared" si="41"/>
        <v xml:space="preserve"> </v>
      </c>
      <c r="J185" s="26" t="s">
        <v>212</v>
      </c>
      <c r="K185" s="27" t="str">
        <f t="shared" si="42"/>
        <v xml:space="preserve"> </v>
      </c>
      <c r="L185" s="24" t="s">
        <v>231</v>
      </c>
      <c r="M185" s="27" t="str">
        <f t="shared" si="43"/>
        <v xml:space="preserve"> </v>
      </c>
      <c r="N185" s="26" t="s">
        <v>214</v>
      </c>
      <c r="O185" s="27" t="str">
        <f t="shared" si="44"/>
        <v xml:space="preserve"> </v>
      </c>
      <c r="P185" s="26" t="s">
        <v>214</v>
      </c>
      <c r="Q185" s="27" t="str">
        <f t="shared" si="45"/>
        <v xml:space="preserve"> </v>
      </c>
      <c r="R185" s="24" t="s">
        <v>207</v>
      </c>
      <c r="S185" s="27" t="str">
        <f t="shared" si="46"/>
        <v xml:space="preserve"> </v>
      </c>
      <c r="T185" s="26" t="s">
        <v>216</v>
      </c>
      <c r="U185" s="27" t="str">
        <f t="shared" si="47"/>
        <v xml:space="preserve"> </v>
      </c>
      <c r="V185" s="26" t="s">
        <v>217</v>
      </c>
      <c r="W185" s="27" t="str">
        <f t="shared" si="48"/>
        <v xml:space="preserve"> </v>
      </c>
      <c r="X185" s="24" t="s">
        <v>228</v>
      </c>
      <c r="Y185" s="27" t="str">
        <f t="shared" si="49"/>
        <v xml:space="preserve"> </v>
      </c>
      <c r="Z185" s="26" t="s">
        <v>217</v>
      </c>
      <c r="AA185" s="27" t="str">
        <f t="shared" si="50"/>
        <v xml:space="preserve"> </v>
      </c>
      <c r="AB185" s="26" t="s">
        <v>206</v>
      </c>
      <c r="AC185" s="27" t="str">
        <f t="shared" si="51"/>
        <v xml:space="preserve"> </v>
      </c>
      <c r="AD185" s="24" t="s">
        <v>219</v>
      </c>
      <c r="AE185" s="27" t="str">
        <f t="shared" si="52"/>
        <v xml:space="preserve"> </v>
      </c>
      <c r="AF185" s="26" t="s">
        <v>212</v>
      </c>
      <c r="AG185" s="27" t="str">
        <f t="shared" si="53"/>
        <v xml:space="preserve"> </v>
      </c>
      <c r="AH185" s="26" t="s">
        <v>214</v>
      </c>
      <c r="AI185" s="27" t="str">
        <f t="shared" si="54"/>
        <v xml:space="preserve"> </v>
      </c>
      <c r="AJ185" s="32">
        <f>IF(OR(AND(D185&gt;=31,D185&lt;40),AND(H185&gt;=31,H185&lt;40),AND(L185&gt;=31,L185&lt;40),AND(R185&gt;=31,R185&lt;40),AND(X185&gt;=31,X185&lt;40),AND(AD185&gt;=31,AD185&lt;40)),IF(AND(OR(COUNTIF(D185:AI185,"=31")&gt;=1,COUNTIF(D185:AI185,"=32")&gt;=1,COUNTIF(D185:AI185,"=33")&gt;=1,COUNTIF(D185:AI185,"=34")&gt;=1,COUNTIF(D185:AI185,"=35")&gt;=1,COUNTIF(D185:AI185,"=36")&gt;=1 ),COUNTIF(D185:AI185,"")=0,COUNTIF(D185:AI185," ")=0,COUNTIF(D185:AI185,"F")=1),CONCATENATE(SUM(EXTRACTNUMBER(D185),EXTRACTNUMBER(F185),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EXTRACTNUMBER(AD185),EXTRACTNUMBER(AH185),EXTRACTNUMBER(AF185)),"*"),IF(AND(COUNTIF(D185:AI185,"=34")&gt;=1,COUNTIF(D185:AI185,"=35")&gt;=1,COUNTIF(D185:AI185,"f")=2,COUNTIF(D185:AI185,"")=0,COUNTIF(D185:AI185," ")=0),CONCATENATE(SUM(EXTRACTNUMBER(D185),EXTRACTNUMBER(F185),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EXTRACTNUMBER(AD185),EXTRACTNUMBER(AH185),EXTRACTNUMBER(AF185)),"*"),IF(AND(COUNTIF(D185:AI185,"=36")&gt;=2,COUNTIF(D185:AI185,"f")=2,COUNTIF(D185:AI185,"")=0,COUNTIF(D185:AI185," ")=0),CONCATENATE(SUM(EXTRACTNUMBER(D185),EXTRACTNUMBER(F185),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EXTRACTNUMBER(AD185),EXTRACTNUMBER(AH185),EXTRACTNUMBER(AF185)),"*"),SUM(EXTRACTNUMBER(D185),EXTRACTNUMBER(F185),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EXTRACTNUMBER(AD185),EXTRACTNUMBER(AH185),EXTRACTNUMBER(AF185))))),SUM(EXTRACTNUMBER(D185),EXTRACTNUMBER(F185),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EXTRACTNUMBER(AD185),EXTRACTNUMBER(AH185),EXTRACTNUMBER(AF185)))</f>
        <v>432</v>
      </c>
      <c r="AK185" s="28" t="s">
        <v>232</v>
      </c>
      <c r="AL185" s="29">
        <f t="shared" si="38"/>
        <v>935</v>
      </c>
      <c r="AM185" s="29" t="str">
        <f t="shared" si="55"/>
        <v>PASS</v>
      </c>
      <c r="AN185" s="30" t="str">
        <f>IF(AM185="ABSENT","AB",IF(AM185="FAIL","--",
IF(AK185=0,"RS 3",
IF(AND(SUM(EXTRACTNUMBER(AK185),EXTRACTNUMBER(AJ185))&gt;=1010,
        NOT(IFERROR(FIND("x",AK185),0)),
        NOT(IFERROR(FIND("x",AJ185),0))),"I",
IF(AND(SUM(EXTRACTNUMBER(AK185),EXTRACTNUMBER(AJ185))&gt;=850,
      SUM(EXTRACTNUMBER(AK185),EXTRACTNUMBER(AJ185))&lt;1010,
      NOT(IFERROR(FIND("x",AK185),0)),
      NOT(IFERROR(FIND("x",AJ185),0))),"II",
IF(OR(AND(SUM(EXTRACTNUMBER(AK185),EXTRACTNUMBER(AJ185))&lt;850,
SUM(EXTRACTNUMBER(AK185),EXTRACTNUMBER(AJ185))&gt;=670),
IFERROR(FIND("x",AK185),0),IFERROR(FIND("x",AJ185),0)),"P","--"))))))</f>
        <v>P</v>
      </c>
      <c r="AO185" s="2" t="str">
        <f t="shared" si="56"/>
        <v xml:space="preserve">Nine Hundred Thirty Five </v>
      </c>
    </row>
    <row r="186" spans="2:41" ht="16.5" customHeight="1">
      <c r="B186" s="45">
        <v>134359</v>
      </c>
      <c r="C186" s="46" t="s">
        <v>181</v>
      </c>
      <c r="D186" s="43" t="s">
        <v>207</v>
      </c>
      <c r="E186" s="27" t="str">
        <f t="shared" si="39"/>
        <v xml:space="preserve"> </v>
      </c>
      <c r="F186" s="26" t="s">
        <v>212</v>
      </c>
      <c r="G186" s="27" t="str">
        <f t="shared" si="40"/>
        <v xml:space="preserve"> </v>
      </c>
      <c r="H186" s="24">
        <v>28</v>
      </c>
      <c r="I186" s="27" t="str">
        <f t="shared" si="41"/>
        <v>F</v>
      </c>
      <c r="J186" s="26" t="s">
        <v>212</v>
      </c>
      <c r="K186" s="27" t="str">
        <f t="shared" si="42"/>
        <v xml:space="preserve"> </v>
      </c>
      <c r="L186" s="24" t="s">
        <v>223</v>
      </c>
      <c r="M186" s="27" t="str">
        <f t="shared" si="43"/>
        <v xml:space="preserve"> </v>
      </c>
      <c r="N186" s="26" t="s">
        <v>210</v>
      </c>
      <c r="O186" s="27" t="str">
        <f t="shared" si="44"/>
        <v xml:space="preserve"> </v>
      </c>
      <c r="P186" s="26" t="s">
        <v>204</v>
      </c>
      <c r="Q186" s="27" t="str">
        <f t="shared" si="45"/>
        <v xml:space="preserve"> </v>
      </c>
      <c r="R186" s="24">
        <v>40</v>
      </c>
      <c r="S186" s="27" t="str">
        <f t="shared" si="46"/>
        <v>E</v>
      </c>
      <c r="T186" s="26" t="s">
        <v>210</v>
      </c>
      <c r="U186" s="27" t="str">
        <f t="shared" si="47"/>
        <v xml:space="preserve"> </v>
      </c>
      <c r="V186" s="26" t="s">
        <v>216</v>
      </c>
      <c r="W186" s="27" t="str">
        <f t="shared" si="48"/>
        <v xml:space="preserve"> </v>
      </c>
      <c r="X186" s="24" t="s">
        <v>233</v>
      </c>
      <c r="Y186" s="27" t="str">
        <f t="shared" si="49"/>
        <v xml:space="preserve"> </v>
      </c>
      <c r="Z186" s="26" t="s">
        <v>204</v>
      </c>
      <c r="AA186" s="27" t="str">
        <f t="shared" si="50"/>
        <v xml:space="preserve"> </v>
      </c>
      <c r="AB186" s="26" t="s">
        <v>208</v>
      </c>
      <c r="AC186" s="27" t="str">
        <f t="shared" si="51"/>
        <v xml:space="preserve"> </v>
      </c>
      <c r="AD186" s="24" t="s">
        <v>207</v>
      </c>
      <c r="AE186" s="27" t="str">
        <f t="shared" si="52"/>
        <v xml:space="preserve"> </v>
      </c>
      <c r="AF186" s="26" t="s">
        <v>208</v>
      </c>
      <c r="AG186" s="27" t="str">
        <f t="shared" si="53"/>
        <v xml:space="preserve"> </v>
      </c>
      <c r="AH186" s="26" t="s">
        <v>214</v>
      </c>
      <c r="AI186" s="27" t="str">
        <f t="shared" si="54"/>
        <v xml:space="preserve"> </v>
      </c>
      <c r="AJ186" s="32">
        <f>IF(OR(AND(D186&gt;=31,D186&lt;40),AND(H186&gt;=31,H186&lt;40),AND(L186&gt;=31,L186&lt;40),AND(R186&gt;=31,R186&lt;40),AND(X186&gt;=31,X186&lt;40),AND(AD186&gt;=31,AD186&lt;40)),IF(AND(OR(COUNTIF(D186:AI186,"=31")&gt;=1,COUNTIF(D186:AI186,"=32")&gt;=1,COUNTIF(D186:AI186,"=33")&gt;=1,COUNTIF(D186:AI186,"=34")&gt;=1,COUNTIF(D186:AI186,"=35")&gt;=1,COUNTIF(D186:AI186,"=36")&gt;=1 ),COUNTIF(D186:AI186,"")=0,COUNTIF(D186:AI186," ")=0,COUNTIF(D186:AI186,"F")=1),CONCATENATE(SUM(EXTRACTNUMBER(D186),EXTRACTNUMBER(F186),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EXTRACTNUMBER(AD186),EXTRACTNUMBER(AH186),EXTRACTNUMBER(AF186)),"*"),IF(AND(COUNTIF(D186:AI186,"=34")&gt;=1,COUNTIF(D186:AI186,"=35")&gt;=1,COUNTIF(D186:AI186,"f")=2,COUNTIF(D186:AI186,"")=0,COUNTIF(D186:AI186," ")=0),CONCATENATE(SUM(EXTRACTNUMBER(D186),EXTRACTNUMBER(F186),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EXTRACTNUMBER(AD186),EXTRACTNUMBER(AH186),EXTRACTNUMBER(AF186)),"*"),IF(AND(COUNTIF(D186:AI186,"=36")&gt;=2,COUNTIF(D186:AI186,"f")=2,COUNTIF(D186:AI186,"")=0,COUNTIF(D186:AI186," ")=0),CONCATENATE(SUM(EXTRACTNUMBER(D186),EXTRACTNUMBER(F186),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EXTRACTNUMBER(AD186),EXTRACTNUMBER(AH186),EXTRACTNUMBER(AF186)),"*"),SUM(EXTRACTNUMBER(D186),EXTRACTNUMBER(F186),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EXTRACTNUMBER(AD186),EXTRACTNUMBER(AH186),EXTRACTNUMBER(AF186))))),SUM(EXTRACTNUMBER(D186),EXTRACTNUMBER(F186),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EXTRACTNUMBER(AD186),EXTRACTNUMBER(AH186),EXTRACTNUMBER(AF186)))</f>
        <v>437</v>
      </c>
      <c r="AK186" s="28">
        <v>0</v>
      </c>
      <c r="AL186" s="29">
        <f t="shared" si="38"/>
        <v>437</v>
      </c>
      <c r="AM186" s="29" t="str">
        <f t="shared" si="55"/>
        <v>FAIL</v>
      </c>
      <c r="AN186" s="30" t="str">
        <f>IF(AM186="ABSENT","AB",IF(AM186="FAIL","--",
IF(AK186=0,"RS 3",
IF(AND(SUM(EXTRACTNUMBER(AK186),EXTRACTNUMBER(AJ186))&gt;=1010,
        NOT(IFERROR(FIND("x",AK186),0)),
        NOT(IFERROR(FIND("x",AJ186),0))),"I",
IF(AND(SUM(EXTRACTNUMBER(AK186),EXTRACTNUMBER(AJ186))&gt;=850,
      SUM(EXTRACTNUMBER(AK186),EXTRACTNUMBER(AJ186))&lt;1010,
      NOT(IFERROR(FIND("x",AK186),0)),
      NOT(IFERROR(FIND("x",AJ186),0))),"II",
IF(OR(AND(SUM(EXTRACTNUMBER(AK186),EXTRACTNUMBER(AJ186))&lt;850,
SUM(EXTRACTNUMBER(AK186),EXTRACTNUMBER(AJ186))&gt;=670),
IFERROR(FIND("x",AK186),0),IFERROR(FIND("x",AJ186),0)),"P","--"))))))</f>
        <v>--</v>
      </c>
      <c r="AO186" s="2" t="str">
        <f t="shared" si="56"/>
        <v xml:space="preserve">Four Hundred Thirty Seven </v>
      </c>
    </row>
    <row r="187" spans="2:41" ht="16.5" customHeight="1">
      <c r="B187" s="45">
        <v>134360</v>
      </c>
      <c r="C187" s="46" t="s">
        <v>182</v>
      </c>
      <c r="D187" s="43" t="s">
        <v>305</v>
      </c>
      <c r="E187" s="27" t="str">
        <f t="shared" si="39"/>
        <v/>
      </c>
      <c r="F187" s="26" t="s">
        <v>208</v>
      </c>
      <c r="G187" s="27" t="str">
        <f t="shared" si="40"/>
        <v xml:space="preserve"> </v>
      </c>
      <c r="H187" s="24" t="s">
        <v>305</v>
      </c>
      <c r="I187" s="27" t="str">
        <f t="shared" si="41"/>
        <v/>
      </c>
      <c r="J187" s="26" t="s">
        <v>210</v>
      </c>
      <c r="K187" s="27" t="str">
        <f t="shared" si="42"/>
        <v xml:space="preserve"> </v>
      </c>
      <c r="L187" s="24" t="s">
        <v>234</v>
      </c>
      <c r="M187" s="27" t="str">
        <f t="shared" si="43"/>
        <v xml:space="preserve"> </v>
      </c>
      <c r="N187" s="26" t="s">
        <v>210</v>
      </c>
      <c r="O187" s="27" t="str">
        <f t="shared" si="44"/>
        <v xml:space="preserve"> </v>
      </c>
      <c r="P187" s="26" t="s">
        <v>212</v>
      </c>
      <c r="Q187" s="27" t="str">
        <f t="shared" si="45"/>
        <v xml:space="preserve"> </v>
      </c>
      <c r="R187" s="24" t="s">
        <v>305</v>
      </c>
      <c r="S187" s="27" t="str">
        <f t="shared" si="46"/>
        <v/>
      </c>
      <c r="T187" s="26" t="s">
        <v>212</v>
      </c>
      <c r="U187" s="27" t="str">
        <f t="shared" si="47"/>
        <v xml:space="preserve"> </v>
      </c>
      <c r="V187" s="26" t="s">
        <v>212</v>
      </c>
      <c r="W187" s="27" t="str">
        <f t="shared" si="48"/>
        <v xml:space="preserve"> </v>
      </c>
      <c r="X187" s="24" t="s">
        <v>207</v>
      </c>
      <c r="Y187" s="27" t="str">
        <f t="shared" si="49"/>
        <v xml:space="preserve"> </v>
      </c>
      <c r="Z187" s="26" t="s">
        <v>208</v>
      </c>
      <c r="AA187" s="27" t="str">
        <f t="shared" si="50"/>
        <v xml:space="preserve"> </v>
      </c>
      <c r="AB187" s="26" t="s">
        <v>208</v>
      </c>
      <c r="AC187" s="27" t="str">
        <f t="shared" si="51"/>
        <v xml:space="preserve"> </v>
      </c>
      <c r="AD187" s="24" t="s">
        <v>305</v>
      </c>
      <c r="AE187" s="27" t="str">
        <f t="shared" si="52"/>
        <v/>
      </c>
      <c r="AF187" s="26" t="s">
        <v>222</v>
      </c>
      <c r="AG187" s="27" t="str">
        <f t="shared" si="53"/>
        <v xml:space="preserve"> </v>
      </c>
      <c r="AH187" s="26" t="s">
        <v>210</v>
      </c>
      <c r="AI187" s="27" t="str">
        <f t="shared" si="54"/>
        <v xml:space="preserve"> </v>
      </c>
      <c r="AJ187" s="32">
        <f>IF(OR(AND(D187&gt;=31,D187&lt;40),AND(H187&gt;=31,H187&lt;40),AND(L187&gt;=31,L187&lt;40),AND(R187&gt;=31,R187&lt;40),AND(X187&gt;=31,X187&lt;40),AND(AD187&gt;=31,AD187&lt;40)),IF(AND(OR(COUNTIF(D187:AI187,"=31")&gt;=1,COUNTIF(D187:AI187,"=32")&gt;=1,COUNTIF(D187:AI187,"=33")&gt;=1,COUNTIF(D187:AI187,"=34")&gt;=1,COUNTIF(D187:AI187,"=35")&gt;=1,COUNTIF(D187:AI187,"=36")&gt;=1 ),COUNTIF(D187:AI187,"")=0,COUNTIF(D187:AI187," ")=0,COUNTIF(D187:AI187,"F")=1),CONCATENATE(SUM(EXTRACTNUMBER(D187),EXTRACTNUMBER(F187),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EXTRACTNUMBER(AD187),EXTRACTNUMBER(AH187),EXTRACTNUMBER(AF187)),"*"),IF(AND(COUNTIF(D187:AI187,"=34")&gt;=1,COUNTIF(D187:AI187,"=35")&gt;=1,COUNTIF(D187:AI187,"f")=2,COUNTIF(D187:AI187,"")=0,COUNTIF(D187:AI187," ")=0),CONCATENATE(SUM(EXTRACTNUMBER(D187),EXTRACTNUMBER(F187),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EXTRACTNUMBER(AD187),EXTRACTNUMBER(AH187),EXTRACTNUMBER(AF187)),"*"),IF(AND(COUNTIF(D187:AI187,"=36")&gt;=2,COUNTIF(D187:AI187,"f")=2,COUNTIF(D187:AI187,"")=0,COUNTIF(D187:AI187," ")=0),CONCATENATE(SUM(EXTRACTNUMBER(D187),EXTRACTNUMBER(F187),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EXTRACTNUMBER(AD187),EXTRACTNUMBER(AH187),EXTRACTNUMBER(AF187)),"*"),SUM(EXTRACTNUMBER(D187),EXTRACTNUMBER(F187),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EXTRACTNUMBER(AD187),EXTRACTNUMBER(AH187),EXTRACTNUMBER(AF187))))),SUM(EXTRACTNUMBER(D187),EXTRACTNUMBER(F187),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EXTRACTNUMBER(AD187),EXTRACTNUMBER(AH187),EXTRACTNUMBER(AF187)))</f>
        <v>289</v>
      </c>
      <c r="AK187" s="28">
        <v>0</v>
      </c>
      <c r="AL187" s="29">
        <f t="shared" si="38"/>
        <v>289</v>
      </c>
      <c r="AM187" s="29" t="str">
        <f t="shared" si="55"/>
        <v>ABSENT</v>
      </c>
      <c r="AN187" s="30" t="str">
        <f>IF(AM187="ABSENT","AB",IF(AM187="FAIL","--",
IF(AK187=0,"RS 3",
IF(AND(SUM(EXTRACTNUMBER(AK187),EXTRACTNUMBER(AJ187))&gt;=1010,
        NOT(IFERROR(FIND("x",AK187),0)),
        NOT(IFERROR(FIND("x",AJ187),0))),"I",
IF(AND(SUM(EXTRACTNUMBER(AK187),EXTRACTNUMBER(AJ187))&gt;=850,
      SUM(EXTRACTNUMBER(AK187),EXTRACTNUMBER(AJ187))&lt;1010,
      NOT(IFERROR(FIND("x",AK187),0)),
      NOT(IFERROR(FIND("x",AJ187),0))),"II",
IF(OR(AND(SUM(EXTRACTNUMBER(AK187),EXTRACTNUMBER(AJ187))&lt;850,
SUM(EXTRACTNUMBER(AK187),EXTRACTNUMBER(AJ187))&gt;=670),
IFERROR(FIND("x",AK187),0),IFERROR(FIND("x",AJ187),0)),"P","--"))))))</f>
        <v>AB</v>
      </c>
      <c r="AO187" s="2" t="str">
        <f t="shared" si="56"/>
        <v xml:space="preserve">Two Hundred Eighty Nine </v>
      </c>
    </row>
    <row r="188" spans="2:41" ht="16.5" customHeight="1">
      <c r="B188" s="45">
        <v>134361</v>
      </c>
      <c r="C188" s="46" t="s">
        <v>183</v>
      </c>
      <c r="D188" s="43">
        <v>21</v>
      </c>
      <c r="E188" s="27" t="str">
        <f t="shared" si="39"/>
        <v>F</v>
      </c>
      <c r="F188" s="26" t="s">
        <v>224</v>
      </c>
      <c r="G188" s="27" t="str">
        <f t="shared" si="40"/>
        <v xml:space="preserve"> </v>
      </c>
      <c r="H188" s="24">
        <v>5</v>
      </c>
      <c r="I188" s="27" t="str">
        <f t="shared" si="41"/>
        <v>F</v>
      </c>
      <c r="J188" s="26" t="s">
        <v>217</v>
      </c>
      <c r="K188" s="27" t="str">
        <f t="shared" si="42"/>
        <v xml:space="preserve"> </v>
      </c>
      <c r="L188" s="24">
        <v>40</v>
      </c>
      <c r="M188" s="27" t="str">
        <f t="shared" si="43"/>
        <v>E</v>
      </c>
      <c r="N188" s="26" t="s">
        <v>214</v>
      </c>
      <c r="O188" s="27" t="str">
        <f t="shared" si="44"/>
        <v xml:space="preserve"> </v>
      </c>
      <c r="P188" s="26" t="s">
        <v>214</v>
      </c>
      <c r="Q188" s="27" t="str">
        <f t="shared" si="45"/>
        <v xml:space="preserve"> </v>
      </c>
      <c r="R188" s="24">
        <v>21</v>
      </c>
      <c r="S188" s="27" t="str">
        <f t="shared" si="46"/>
        <v>F</v>
      </c>
      <c r="T188" s="26" t="s">
        <v>217</v>
      </c>
      <c r="U188" s="27" t="str">
        <f t="shared" si="47"/>
        <v xml:space="preserve"> </v>
      </c>
      <c r="V188" s="26" t="s">
        <v>204</v>
      </c>
      <c r="W188" s="27" t="str">
        <f t="shared" si="48"/>
        <v xml:space="preserve"> </v>
      </c>
      <c r="X188" s="24">
        <v>40</v>
      </c>
      <c r="Y188" s="27" t="str">
        <f t="shared" si="49"/>
        <v>E</v>
      </c>
      <c r="Z188" s="26" t="s">
        <v>217</v>
      </c>
      <c r="AA188" s="27" t="str">
        <f t="shared" si="50"/>
        <v xml:space="preserve"> </v>
      </c>
      <c r="AB188" s="26" t="s">
        <v>210</v>
      </c>
      <c r="AC188" s="27" t="str">
        <f t="shared" si="51"/>
        <v xml:space="preserve"> </v>
      </c>
      <c r="AD188" s="24">
        <v>27</v>
      </c>
      <c r="AE188" s="27" t="str">
        <f t="shared" si="52"/>
        <v>F</v>
      </c>
      <c r="AF188" s="26" t="s">
        <v>212</v>
      </c>
      <c r="AG188" s="27" t="str">
        <f t="shared" si="53"/>
        <v xml:space="preserve"> </v>
      </c>
      <c r="AH188" s="26" t="s">
        <v>217</v>
      </c>
      <c r="AI188" s="27" t="str">
        <f t="shared" si="54"/>
        <v xml:space="preserve"> </v>
      </c>
      <c r="AJ188" s="32">
        <f>IF(OR(AND(D188&gt;=31,D188&lt;40),AND(H188&gt;=31,H188&lt;40),AND(L188&gt;=31,L188&lt;40),AND(R188&gt;=31,R188&lt;40),AND(X188&gt;=31,X188&lt;40),AND(AD188&gt;=31,AD188&lt;40)),IF(AND(OR(COUNTIF(D188:AI188,"=31")&gt;=1,COUNTIF(D188:AI188,"=32")&gt;=1,COUNTIF(D188:AI188,"=33")&gt;=1,COUNTIF(D188:AI188,"=34")&gt;=1,COUNTIF(D188:AI188,"=35")&gt;=1,COUNTIF(D188:AI188,"=36")&gt;=1 ),COUNTIF(D188:AI188,"")=0,COUNTIF(D188:AI188," ")=0,COUNTIF(D188:AI188,"F")=1),CONCATENATE(SUM(EXTRACTNUMBER(D188),EXTRACTNUMBER(F188),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EXTRACTNUMBER(AD188),EXTRACTNUMBER(AH188),EXTRACTNUMBER(AF188)),"*"),IF(AND(COUNTIF(D188:AI188,"=34")&gt;=1,COUNTIF(D188:AI188,"=35")&gt;=1,COUNTIF(D188:AI188,"f")=2,COUNTIF(D188:AI188,"")=0,COUNTIF(D188:AI188," ")=0),CONCATENATE(SUM(EXTRACTNUMBER(D188),EXTRACTNUMBER(F188),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EXTRACTNUMBER(AD188),EXTRACTNUMBER(AH188),EXTRACTNUMBER(AF188)),"*"),IF(AND(COUNTIF(D188:AI188,"=36")&gt;=2,COUNTIF(D188:AI188,"f")=2,COUNTIF(D188:AI188,"")=0,COUNTIF(D188:AI188," ")=0),CONCATENATE(SUM(EXTRACTNUMBER(D188),EXTRACTNUMBER(F188),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EXTRACTNUMBER(AD188),EXTRACTNUMBER(AH188),EXTRACTNUMBER(AF188)),"*"),SUM(EXTRACTNUMBER(D188),EXTRACTNUMBER(F188),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EXTRACTNUMBER(AD188),EXTRACTNUMBER(AH188),EXTRACTNUMBER(AF188))))),SUM(EXTRACTNUMBER(D188),EXTRACTNUMBER(F188),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EXTRACTNUMBER(AD188),EXTRACTNUMBER(AH188),EXTRACTNUMBER(AF188)))</f>
        <v>316</v>
      </c>
      <c r="AK188" s="28">
        <v>0</v>
      </c>
      <c r="AL188" s="29">
        <f t="shared" si="38"/>
        <v>316</v>
      </c>
      <c r="AM188" s="29" t="str">
        <f t="shared" si="55"/>
        <v>FAIL</v>
      </c>
      <c r="AN188" s="30" t="str">
        <f>IF(AM188="ABSENT","AB",IF(AM188="FAIL","--",
IF(AK188=0,"RS 3",
IF(AND(SUM(EXTRACTNUMBER(AK188),EXTRACTNUMBER(AJ188))&gt;=1010,
        NOT(IFERROR(FIND("x",AK188),0)),
        NOT(IFERROR(FIND("x",AJ188),0))),"I",
IF(AND(SUM(EXTRACTNUMBER(AK188),EXTRACTNUMBER(AJ188))&gt;=850,
      SUM(EXTRACTNUMBER(AK188),EXTRACTNUMBER(AJ188))&lt;1010,
      NOT(IFERROR(FIND("x",AK188),0)),
      NOT(IFERROR(FIND("x",AJ188),0))),"II",
IF(OR(AND(SUM(EXTRACTNUMBER(AK188),EXTRACTNUMBER(AJ188))&lt;850,
SUM(EXTRACTNUMBER(AK188),EXTRACTNUMBER(AJ188))&gt;=670),
IFERROR(FIND("x",AK188),0),IFERROR(FIND("x",AJ188),0)),"P","--"))))))</f>
        <v>--</v>
      </c>
      <c r="AO188" s="2" t="str">
        <f t="shared" si="56"/>
        <v xml:space="preserve">Three Hundred Sixteen </v>
      </c>
    </row>
    <row r="189" spans="2:41" ht="16.5" customHeight="1">
      <c r="B189" s="45">
        <v>134362</v>
      </c>
      <c r="C189" s="47" t="s">
        <v>184</v>
      </c>
      <c r="D189" s="43" t="s">
        <v>305</v>
      </c>
      <c r="E189" s="27" t="str">
        <f t="shared" si="39"/>
        <v/>
      </c>
      <c r="F189" s="26" t="s">
        <v>227</v>
      </c>
      <c r="G189" s="27" t="str">
        <f t="shared" si="40"/>
        <v xml:space="preserve"> </v>
      </c>
      <c r="H189" s="24" t="s">
        <v>205</v>
      </c>
      <c r="I189" s="27" t="str">
        <f t="shared" si="41"/>
        <v xml:space="preserve"> </v>
      </c>
      <c r="J189" s="26" t="s">
        <v>217</v>
      </c>
      <c r="K189" s="27" t="str">
        <f t="shared" si="42"/>
        <v xml:space="preserve"> </v>
      </c>
      <c r="L189" s="24">
        <v>27</v>
      </c>
      <c r="M189" s="27" t="str">
        <f t="shared" si="43"/>
        <v>F</v>
      </c>
      <c r="N189" s="26" t="s">
        <v>217</v>
      </c>
      <c r="O189" s="27" t="str">
        <f t="shared" si="44"/>
        <v xml:space="preserve"> </v>
      </c>
      <c r="P189" s="26" t="s">
        <v>227</v>
      </c>
      <c r="Q189" s="27" t="str">
        <f t="shared" si="45"/>
        <v xml:space="preserve"> </v>
      </c>
      <c r="R189" s="24" t="s">
        <v>207</v>
      </c>
      <c r="S189" s="27" t="str">
        <f t="shared" si="46"/>
        <v xml:space="preserve"> </v>
      </c>
      <c r="T189" s="26" t="s">
        <v>206</v>
      </c>
      <c r="U189" s="27" t="str">
        <f t="shared" si="47"/>
        <v xml:space="preserve"> </v>
      </c>
      <c r="V189" s="26" t="s">
        <v>206</v>
      </c>
      <c r="W189" s="27" t="str">
        <f t="shared" si="48"/>
        <v xml:space="preserve"> </v>
      </c>
      <c r="X189" s="24">
        <v>59</v>
      </c>
      <c r="Y189" s="27" t="str">
        <f t="shared" si="49"/>
        <v>E</v>
      </c>
      <c r="Z189" s="26" t="s">
        <v>214</v>
      </c>
      <c r="AA189" s="27" t="str">
        <f t="shared" si="50"/>
        <v xml:space="preserve"> </v>
      </c>
      <c r="AB189" s="26" t="s">
        <v>206</v>
      </c>
      <c r="AC189" s="27" t="str">
        <f t="shared" si="51"/>
        <v xml:space="preserve"> </v>
      </c>
      <c r="AD189" s="24">
        <v>40</v>
      </c>
      <c r="AE189" s="27" t="str">
        <f t="shared" si="52"/>
        <v>E</v>
      </c>
      <c r="AF189" s="26" t="s">
        <v>210</v>
      </c>
      <c r="AG189" s="27" t="str">
        <f t="shared" si="53"/>
        <v xml:space="preserve"> </v>
      </c>
      <c r="AH189" s="26" t="s">
        <v>227</v>
      </c>
      <c r="AI189" s="27" t="str">
        <f t="shared" si="54"/>
        <v xml:space="preserve"> </v>
      </c>
      <c r="AJ189" s="32">
        <f>IF(OR(AND(D189&gt;=31,D189&lt;40),AND(H189&gt;=31,H189&lt;40),AND(L189&gt;=31,L189&lt;40),AND(R189&gt;=31,R189&lt;40),AND(X189&gt;=31,X189&lt;40),AND(AD189&gt;=31,AD189&lt;40)),IF(AND(OR(COUNTIF(D189:AI189,"=31")&gt;=1,COUNTIF(D189:AI189,"=32")&gt;=1,COUNTIF(D189:AI189,"=33")&gt;=1,COUNTIF(D189:AI189,"=34")&gt;=1,COUNTIF(D189:AI189,"=35")&gt;=1,COUNTIF(D189:AI189,"=36")&gt;=1 ),COUNTIF(D189:AI189,"")=0,COUNTIF(D189:AI189," ")=0,COUNTIF(D189:AI189,"F")=1),CONCATENATE(SUM(EXTRACTNUMBER(D189),EXTRACTNUMBER(F189),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EXTRACTNUMBER(AD189),EXTRACTNUMBER(AH189),EXTRACTNUMBER(AF189)),"*"),IF(AND(COUNTIF(D189:AI189,"=34")&gt;=1,COUNTIF(D189:AI189,"=35")&gt;=1,COUNTIF(D189:AI189,"f")=2,COUNTIF(D189:AI189,"")=0,COUNTIF(D189:AI189," ")=0),CONCATENATE(SUM(EXTRACTNUMBER(D189),EXTRACTNUMBER(F189),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EXTRACTNUMBER(AD189),EXTRACTNUMBER(AH189),EXTRACTNUMBER(AF189)),"*"),IF(AND(COUNTIF(D189:AI189,"=36")&gt;=2,COUNTIF(D189:AI189,"f")=2,COUNTIF(D189:AI189,"")=0,COUNTIF(D189:AI189," ")=0),CONCATENATE(SUM(EXTRACTNUMBER(D189),EXTRACTNUMBER(F189),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EXTRACTNUMBER(AD189),EXTRACTNUMBER(AH189),EXTRACTNUMBER(AF189)),"*"),SUM(EXTRACTNUMBER(D189),EXTRACTNUMBER(F189),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EXTRACTNUMBER(AD189),EXTRACTNUMBER(AH189),EXTRACTNUMBER(AF189))))),SUM(EXTRACTNUMBER(D189),EXTRACTNUMBER(F189),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EXTRACTNUMBER(AD189),EXTRACTNUMBER(AH189),EXTRACTNUMBER(AF189)))</f>
        <v>361</v>
      </c>
      <c r="AK189" s="28">
        <v>0</v>
      </c>
      <c r="AL189" s="29">
        <f t="shared" si="38"/>
        <v>361</v>
      </c>
      <c r="AM189" s="29" t="str">
        <f t="shared" si="55"/>
        <v>FAIL</v>
      </c>
      <c r="AN189" s="30" t="str">
        <f>IF(AM189="ABSENT","AB",IF(AM189="FAIL","--",
IF(AK189=0,"RS 3",
IF(AND(SUM(EXTRACTNUMBER(AK189),EXTRACTNUMBER(AJ189))&gt;=1010,
        NOT(IFERROR(FIND("x",AK189),0)),
        NOT(IFERROR(FIND("x",AJ189),0))),"I",
IF(AND(SUM(EXTRACTNUMBER(AK189),EXTRACTNUMBER(AJ189))&gt;=850,
      SUM(EXTRACTNUMBER(AK189),EXTRACTNUMBER(AJ189))&lt;1010,
      NOT(IFERROR(FIND("x",AK189),0)),
      NOT(IFERROR(FIND("x",AJ189),0))),"II",
IF(OR(AND(SUM(EXTRACTNUMBER(AK189),EXTRACTNUMBER(AJ189))&lt;850,
SUM(EXTRACTNUMBER(AK189),EXTRACTNUMBER(AJ189))&gt;=670),
IFERROR(FIND("x",AK189),0),IFERROR(FIND("x",AJ189),0)),"P","--"))))))</f>
        <v>--</v>
      </c>
      <c r="AO189" s="2" t="str">
        <f t="shared" si="56"/>
        <v xml:space="preserve">Three Hundred Sixty One </v>
      </c>
    </row>
    <row r="190" spans="2:41" ht="16.5" customHeight="1">
      <c r="B190" s="45">
        <v>134363</v>
      </c>
      <c r="C190" s="46" t="s">
        <v>185</v>
      </c>
      <c r="D190" s="43">
        <v>11</v>
      </c>
      <c r="E190" s="27" t="str">
        <f t="shared" si="39"/>
        <v>F</v>
      </c>
      <c r="F190" s="26" t="s">
        <v>212</v>
      </c>
      <c r="G190" s="27" t="str">
        <f t="shared" si="40"/>
        <v xml:space="preserve"> </v>
      </c>
      <c r="H190" s="24">
        <v>44</v>
      </c>
      <c r="I190" s="27" t="str">
        <f t="shared" si="41"/>
        <v>E</v>
      </c>
      <c r="J190" s="26" t="s">
        <v>208</v>
      </c>
      <c r="K190" s="27" t="str">
        <f t="shared" si="42"/>
        <v xml:space="preserve"> </v>
      </c>
      <c r="L190" s="24" t="s">
        <v>207</v>
      </c>
      <c r="M190" s="27" t="str">
        <f t="shared" si="43"/>
        <v xml:space="preserve"> </v>
      </c>
      <c r="N190" s="26" t="s">
        <v>208</v>
      </c>
      <c r="O190" s="27" t="str">
        <f t="shared" si="44"/>
        <v xml:space="preserve"> </v>
      </c>
      <c r="P190" s="26" t="s">
        <v>212</v>
      </c>
      <c r="Q190" s="27" t="str">
        <f t="shared" si="45"/>
        <v xml:space="preserve"> </v>
      </c>
      <c r="R190" s="24" t="s">
        <v>207</v>
      </c>
      <c r="S190" s="27" t="str">
        <f t="shared" si="46"/>
        <v xml:space="preserve"> </v>
      </c>
      <c r="T190" s="26" t="s">
        <v>208</v>
      </c>
      <c r="U190" s="27" t="str">
        <f t="shared" si="47"/>
        <v xml:space="preserve"> </v>
      </c>
      <c r="V190" s="26" t="s">
        <v>204</v>
      </c>
      <c r="W190" s="27" t="str">
        <f t="shared" si="48"/>
        <v xml:space="preserve"> </v>
      </c>
      <c r="X190" s="24" t="s">
        <v>215</v>
      </c>
      <c r="Y190" s="27" t="str">
        <f t="shared" si="49"/>
        <v xml:space="preserve"> </v>
      </c>
      <c r="Z190" s="26" t="s">
        <v>208</v>
      </c>
      <c r="AA190" s="27" t="str">
        <f t="shared" si="50"/>
        <v xml:space="preserve"> </v>
      </c>
      <c r="AB190" s="26" t="s">
        <v>208</v>
      </c>
      <c r="AC190" s="27" t="str">
        <f t="shared" si="51"/>
        <v xml:space="preserve"> </v>
      </c>
      <c r="AD190" s="24" t="s">
        <v>207</v>
      </c>
      <c r="AE190" s="27" t="str">
        <f t="shared" si="52"/>
        <v xml:space="preserve"> </v>
      </c>
      <c r="AF190" s="26" t="s">
        <v>212</v>
      </c>
      <c r="AG190" s="27" t="str">
        <f t="shared" si="53"/>
        <v xml:space="preserve"> </v>
      </c>
      <c r="AH190" s="26" t="s">
        <v>217</v>
      </c>
      <c r="AI190" s="27" t="str">
        <f t="shared" si="54"/>
        <v xml:space="preserve"> </v>
      </c>
      <c r="AJ190" s="32">
        <f>IF(OR(AND(D190&gt;=31,D190&lt;40),AND(H190&gt;=31,H190&lt;40),AND(L190&gt;=31,L190&lt;40),AND(R190&gt;=31,R190&lt;40),AND(X190&gt;=31,X190&lt;40),AND(AD190&gt;=31,AD190&lt;40)),IF(AND(OR(COUNTIF(D190:AI190,"=31")&gt;=1,COUNTIF(D190:AI190,"=32")&gt;=1,COUNTIF(D190:AI190,"=33")&gt;=1,COUNTIF(D190:AI190,"=34")&gt;=1,COUNTIF(D190:AI190,"=35")&gt;=1,COUNTIF(D190:AI190,"=36")&gt;=1 ),COUNTIF(D190:AI190,"")=0,COUNTIF(D190:AI190," ")=0,COUNTIF(D190:AI190,"F")=1),CONCATENATE(SUM(EXTRACTNUMBER(D190),EXTRACTNUMBER(F190),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EXTRACTNUMBER(AD190),EXTRACTNUMBER(AH190),EXTRACTNUMBER(AF190)),"*"),IF(AND(COUNTIF(D190:AI190,"=34")&gt;=1,COUNTIF(D190:AI190,"=35")&gt;=1,COUNTIF(D190:AI190,"f")=2,COUNTIF(D190:AI190,"")=0,COUNTIF(D190:AI190," ")=0),CONCATENATE(SUM(EXTRACTNUMBER(D190),EXTRACTNUMBER(F190),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EXTRACTNUMBER(AD190),EXTRACTNUMBER(AH190),EXTRACTNUMBER(AF190)),"*"),IF(AND(COUNTIF(D190:AI190,"=36")&gt;=2,COUNTIF(D190:AI190,"f")=2,COUNTIF(D190:AI190,"")=0,COUNTIF(D190:AI190," ")=0),CONCATENATE(SUM(EXTRACTNUMBER(D190),EXTRACTNUMBER(F190),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EXTRACTNUMBER(AD190),EXTRACTNUMBER(AH190),EXTRACTNUMBER(AF190)),"*"),SUM(EXTRACTNUMBER(D190),EXTRACTNUMBER(F190),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EXTRACTNUMBER(AD190),EXTRACTNUMBER(AH190),EXTRACTNUMBER(AF190))))),SUM(EXTRACTNUMBER(D190),EXTRACTNUMBER(F190),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EXTRACTNUMBER(AD190),EXTRACTNUMBER(AH190),EXTRACTNUMBER(AF190)))</f>
        <v>422</v>
      </c>
      <c r="AK190" s="28" t="s">
        <v>235</v>
      </c>
      <c r="AL190" s="29">
        <f t="shared" si="38"/>
        <v>901</v>
      </c>
      <c r="AM190" s="29" t="str">
        <f t="shared" si="55"/>
        <v>FAIL</v>
      </c>
      <c r="AN190" s="30" t="str">
        <f>IF(AM190="ABSENT","AB",IF(AM190="FAIL","--",
IF(AK190=0,"RS 3",
IF(AND(SUM(EXTRACTNUMBER(AK190),EXTRACTNUMBER(AJ190))&gt;=1010,
        NOT(IFERROR(FIND("x",AK190),0)),
        NOT(IFERROR(FIND("x",AJ190),0))),"I",
IF(AND(SUM(EXTRACTNUMBER(AK190),EXTRACTNUMBER(AJ190))&gt;=850,
      SUM(EXTRACTNUMBER(AK190),EXTRACTNUMBER(AJ190))&lt;1010,
      NOT(IFERROR(FIND("x",AK190),0)),
      NOT(IFERROR(FIND("x",AJ190),0))),"II",
IF(OR(AND(SUM(EXTRACTNUMBER(AK190),EXTRACTNUMBER(AJ190))&lt;850,
SUM(EXTRACTNUMBER(AK190),EXTRACTNUMBER(AJ190))&gt;=670),
IFERROR(FIND("x",AK190),0),IFERROR(FIND("x",AJ190),0)),"P","--"))))))</f>
        <v>--</v>
      </c>
      <c r="AO190" s="2" t="str">
        <f t="shared" si="56"/>
        <v xml:space="preserve">Nine Hundred One </v>
      </c>
    </row>
    <row r="191" spans="2:41" ht="16.5" customHeight="1">
      <c r="B191" s="45">
        <v>134364</v>
      </c>
      <c r="C191" s="46" t="s">
        <v>186</v>
      </c>
      <c r="D191" s="43" t="s">
        <v>228</v>
      </c>
      <c r="E191" s="27" t="str">
        <f t="shared" si="39"/>
        <v xml:space="preserve"> </v>
      </c>
      <c r="F191" s="26" t="s">
        <v>204</v>
      </c>
      <c r="G191" s="27" t="str">
        <f t="shared" si="40"/>
        <v xml:space="preserve"> </v>
      </c>
      <c r="H191" s="24">
        <v>53</v>
      </c>
      <c r="I191" s="27" t="str">
        <f t="shared" si="41"/>
        <v/>
      </c>
      <c r="J191" s="26" t="s">
        <v>210</v>
      </c>
      <c r="K191" s="27" t="str">
        <f t="shared" si="42"/>
        <v xml:space="preserve"> </v>
      </c>
      <c r="L191" s="24" t="s">
        <v>228</v>
      </c>
      <c r="M191" s="27" t="str">
        <f t="shared" si="43"/>
        <v xml:space="preserve"> </v>
      </c>
      <c r="N191" s="26" t="s">
        <v>210</v>
      </c>
      <c r="O191" s="27" t="str">
        <f t="shared" si="44"/>
        <v xml:space="preserve"> </v>
      </c>
      <c r="P191" s="26" t="s">
        <v>204</v>
      </c>
      <c r="Q191" s="27" t="str">
        <f t="shared" si="45"/>
        <v xml:space="preserve"> </v>
      </c>
      <c r="R191" s="24" t="s">
        <v>228</v>
      </c>
      <c r="S191" s="27" t="str">
        <f t="shared" si="46"/>
        <v xml:space="preserve"> </v>
      </c>
      <c r="T191" s="26" t="s">
        <v>204</v>
      </c>
      <c r="U191" s="27" t="str">
        <f t="shared" si="47"/>
        <v xml:space="preserve"> </v>
      </c>
      <c r="V191" s="26" t="s">
        <v>208</v>
      </c>
      <c r="W191" s="27" t="str">
        <f t="shared" si="48"/>
        <v xml:space="preserve"> </v>
      </c>
      <c r="X191" s="24" t="s">
        <v>207</v>
      </c>
      <c r="Y191" s="27" t="str">
        <f t="shared" si="49"/>
        <v xml:space="preserve"> </v>
      </c>
      <c r="Z191" s="26" t="s">
        <v>210</v>
      </c>
      <c r="AA191" s="27" t="str">
        <f t="shared" si="50"/>
        <v xml:space="preserve"> </v>
      </c>
      <c r="AB191" s="26" t="s">
        <v>210</v>
      </c>
      <c r="AC191" s="27" t="str">
        <f t="shared" si="51"/>
        <v xml:space="preserve"> </v>
      </c>
      <c r="AD191" s="24" t="s">
        <v>207</v>
      </c>
      <c r="AE191" s="27" t="str">
        <f t="shared" si="52"/>
        <v xml:space="preserve"> </v>
      </c>
      <c r="AF191" s="26" t="s">
        <v>212</v>
      </c>
      <c r="AG191" s="27" t="str">
        <f t="shared" si="53"/>
        <v xml:space="preserve"> </v>
      </c>
      <c r="AH191" s="26" t="s">
        <v>206</v>
      </c>
      <c r="AI191" s="27" t="str">
        <f t="shared" si="54"/>
        <v xml:space="preserve"> </v>
      </c>
      <c r="AJ191" s="32">
        <f>IF(OR(AND(D191&gt;=31,D191&lt;40),AND(H191&gt;=31,H191&lt;40),AND(L191&gt;=31,L191&lt;40),AND(R191&gt;=31,R191&lt;40),AND(X191&gt;=31,X191&lt;40),AND(AD191&gt;=31,AD191&lt;40)),IF(AND(OR(COUNTIF(D191:AI191,"=31")&gt;=1,COUNTIF(D191:AI191,"=32")&gt;=1,COUNTIF(D191:AI191,"=33")&gt;=1,COUNTIF(D191:AI191,"=34")&gt;=1,COUNTIF(D191:AI191,"=35")&gt;=1,COUNTIF(D191:AI191,"=36")&gt;=1 ),COUNTIF(D191:AI191,"")=0,COUNTIF(D191:AI191," ")=0,COUNTIF(D191:AI191,"F")=1),CONCATENATE(SUM(EXTRACTNUMBER(D191),EXTRACTNUMBER(F191),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EXTRACTNUMBER(AD191),EXTRACTNUMBER(AH191),EXTRACTNUMBER(AF191)),"*"),IF(AND(COUNTIF(D191:AI191,"=34")&gt;=1,COUNTIF(D191:AI191,"=35")&gt;=1,COUNTIF(D191:AI191,"f")=2,COUNTIF(D191:AI191,"")=0,COUNTIF(D191:AI191," ")=0),CONCATENATE(SUM(EXTRACTNUMBER(D191),EXTRACTNUMBER(F191),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EXTRACTNUMBER(AD191),EXTRACTNUMBER(AH191),EXTRACTNUMBER(AF191)),"*"),IF(AND(COUNTIF(D191:AI191,"=36")&gt;=2,COUNTIF(D191:AI191,"f")=2,COUNTIF(D191:AI191,"")=0,COUNTIF(D191:AI191," ")=0),CONCATENATE(SUM(EXTRACTNUMBER(D191),EXTRACTNUMBER(F191),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EXTRACTNUMBER(AD191),EXTRACTNUMBER(AH191),EXTRACTNUMBER(AF191)),"*"),SUM(EXTRACTNUMBER(D191),EXTRACTNUMBER(F191),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EXTRACTNUMBER(AD191),EXTRACTNUMBER(AH191),EXTRACTNUMBER(AF191))))),SUM(EXTRACTNUMBER(D191),EXTRACTNUMBER(F191),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EXTRACTNUMBER(AD191),EXTRACTNUMBER(AH191),EXTRACTNUMBER(AF191)))</f>
        <v>453</v>
      </c>
      <c r="AK191" s="28">
        <v>0</v>
      </c>
      <c r="AL191" s="29">
        <f t="shared" si="38"/>
        <v>453</v>
      </c>
      <c r="AM191" s="29" t="str">
        <f t="shared" si="55"/>
        <v>PASS</v>
      </c>
      <c r="AN191" s="30" t="str">
        <f>IF(AM191="ABSENT","AB",IF(AM191="FAIL","--",
IF(AK191=0,"RS 3",
IF(AND(SUM(EXTRACTNUMBER(AK191),EXTRACTNUMBER(AJ191))&gt;=1010,
        NOT(IFERROR(FIND("x",AK191),0)),
        NOT(IFERROR(FIND("x",AJ191),0))),"I",
IF(AND(SUM(EXTRACTNUMBER(AK191),EXTRACTNUMBER(AJ191))&gt;=850,
      SUM(EXTRACTNUMBER(AK191),EXTRACTNUMBER(AJ191))&lt;1010,
      NOT(IFERROR(FIND("x",AK191),0)),
      NOT(IFERROR(FIND("x",AJ191),0))),"II",
IF(OR(AND(SUM(EXTRACTNUMBER(AK191),EXTRACTNUMBER(AJ191))&lt;850,
SUM(EXTRACTNUMBER(AK191),EXTRACTNUMBER(AJ191))&gt;=670),
IFERROR(FIND("x",AK191),0),IFERROR(FIND("x",AJ191),0)),"P","--"))))))</f>
        <v>RS 3</v>
      </c>
      <c r="AO191" s="2" t="str">
        <f t="shared" si="56"/>
        <v xml:space="preserve">Four Hundred Fifty Three </v>
      </c>
    </row>
    <row r="192" spans="2:41" ht="16.5" customHeight="1">
      <c r="B192" s="45">
        <v>134365</v>
      </c>
      <c r="C192" s="47" t="s">
        <v>187</v>
      </c>
      <c r="D192" s="43">
        <v>40</v>
      </c>
      <c r="E192" s="27" t="str">
        <f t="shared" si="39"/>
        <v/>
      </c>
      <c r="F192" s="26" t="s">
        <v>211</v>
      </c>
      <c r="G192" s="27" t="str">
        <f t="shared" si="40"/>
        <v xml:space="preserve"> </v>
      </c>
      <c r="H192" s="24" t="s">
        <v>234</v>
      </c>
      <c r="I192" s="27" t="str">
        <f t="shared" si="41"/>
        <v xml:space="preserve"> </v>
      </c>
      <c r="J192" s="26" t="s">
        <v>210</v>
      </c>
      <c r="K192" s="27" t="str">
        <f t="shared" si="42"/>
        <v xml:space="preserve"> </v>
      </c>
      <c r="L192" s="24">
        <v>41</v>
      </c>
      <c r="M192" s="27" t="str">
        <f t="shared" si="43"/>
        <v/>
      </c>
      <c r="N192" s="26" t="s">
        <v>212</v>
      </c>
      <c r="O192" s="27" t="str">
        <f t="shared" si="44"/>
        <v xml:space="preserve"> </v>
      </c>
      <c r="P192" s="26" t="s">
        <v>210</v>
      </c>
      <c r="Q192" s="27" t="str">
        <f t="shared" si="45"/>
        <v xml:space="preserve"> </v>
      </c>
      <c r="R192" s="24" t="s">
        <v>234</v>
      </c>
      <c r="S192" s="27" t="str">
        <f t="shared" si="46"/>
        <v xml:space="preserve"> </v>
      </c>
      <c r="T192" s="26" t="s">
        <v>204</v>
      </c>
      <c r="U192" s="27" t="str">
        <f t="shared" si="47"/>
        <v xml:space="preserve"> </v>
      </c>
      <c r="V192" s="26" t="s">
        <v>204</v>
      </c>
      <c r="W192" s="27" t="str">
        <f t="shared" si="48"/>
        <v xml:space="preserve"> </v>
      </c>
      <c r="X192" s="24" t="s">
        <v>207</v>
      </c>
      <c r="Y192" s="27" t="str">
        <f t="shared" si="49"/>
        <v xml:space="preserve"> </v>
      </c>
      <c r="Z192" s="26" t="s">
        <v>210</v>
      </c>
      <c r="AA192" s="27" t="str">
        <f t="shared" si="50"/>
        <v xml:space="preserve"> </v>
      </c>
      <c r="AB192" s="26" t="s">
        <v>206</v>
      </c>
      <c r="AC192" s="27" t="str">
        <f t="shared" si="51"/>
        <v xml:space="preserve"> </v>
      </c>
      <c r="AD192" s="24">
        <v>43</v>
      </c>
      <c r="AE192" s="27" t="str">
        <f t="shared" si="52"/>
        <v/>
      </c>
      <c r="AF192" s="26" t="s">
        <v>212</v>
      </c>
      <c r="AG192" s="27" t="str">
        <f t="shared" si="53"/>
        <v xml:space="preserve"> </v>
      </c>
      <c r="AH192" s="26" t="s">
        <v>214</v>
      </c>
      <c r="AI192" s="27" t="str">
        <f t="shared" si="54"/>
        <v xml:space="preserve"> </v>
      </c>
      <c r="AJ192" s="32">
        <f>IF(OR(AND(D192&gt;=31,D192&lt;40),AND(H192&gt;=31,H192&lt;40),AND(L192&gt;=31,L192&lt;40),AND(R192&gt;=31,R192&lt;40),AND(X192&gt;=31,X192&lt;40),AND(AD192&gt;=31,AD192&lt;40)),IF(AND(OR(COUNTIF(D192:AI192,"=31")&gt;=1,COUNTIF(D192:AI192,"=32")&gt;=1,COUNTIF(D192:AI192,"=33")&gt;=1,COUNTIF(D192:AI192,"=34")&gt;=1,COUNTIF(D192:AI192,"=35")&gt;=1,COUNTIF(D192:AI192,"=36")&gt;=1 ),COUNTIF(D192:AI192,"")=0,COUNTIF(D192:AI192," ")=0,COUNTIF(D192:AI192,"F")=1),CONCATENATE(SUM(EXTRACTNUMBER(D192),EXTRACTNUMBER(F192),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EXTRACTNUMBER(AD192),EXTRACTNUMBER(AH192),EXTRACTNUMBER(AF192)),"*"),IF(AND(COUNTIF(D192:AI192,"=34")&gt;=1,COUNTIF(D192:AI192,"=35")&gt;=1,COUNTIF(D192:AI192,"f")=2,COUNTIF(D192:AI192,"")=0,COUNTIF(D192:AI192," ")=0),CONCATENATE(SUM(EXTRACTNUMBER(D192),EXTRACTNUMBER(F192),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EXTRACTNUMBER(AD192),EXTRACTNUMBER(AH192),EXTRACTNUMBER(AF192)),"*"),IF(AND(COUNTIF(D192:AI192,"=36")&gt;=2,COUNTIF(D192:AI192,"f")=2,COUNTIF(D192:AI192,"")=0,COUNTIF(D192:AI192," ")=0),CONCATENATE(SUM(EXTRACTNUMBER(D192),EXTRACTNUMBER(F192),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EXTRACTNUMBER(AD192),EXTRACTNUMBER(AH192),EXTRACTNUMBER(AF192)),"*"),SUM(EXTRACTNUMBER(D192),EXTRACTNUMBER(F192),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EXTRACTNUMBER(AD192),EXTRACTNUMBER(AH192),EXTRACTNUMBER(AF192))))),SUM(EXTRACTNUMBER(D192),EXTRACTNUMBER(F192),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EXTRACTNUMBER(AD192),EXTRACTNUMBER(AH192),EXTRACTNUMBER(AF192)))</f>
        <v>447</v>
      </c>
      <c r="AK192" s="94" t="s">
        <v>582</v>
      </c>
      <c r="AL192" s="29">
        <f t="shared" si="38"/>
        <v>925</v>
      </c>
      <c r="AM192" s="29" t="str">
        <f t="shared" si="55"/>
        <v>PASS</v>
      </c>
      <c r="AN192" s="30" t="str">
        <f>IF(AM192="ABSENT","AB",IF(AM192="FAIL","--",
IF(AK192=0,"RS 3",
IF(AND(SUM(EXTRACTNUMBER(AK192),EXTRACTNUMBER(AJ192))&gt;=1010,
        NOT(IFERROR(FIND("x",AK192),0)),
        NOT(IFERROR(FIND("x",AJ192),0))),"I",
IF(AND(SUM(EXTRACTNUMBER(AK192),EXTRACTNUMBER(AJ192))&gt;=850,
      SUM(EXTRACTNUMBER(AK192),EXTRACTNUMBER(AJ192))&lt;1010,
      NOT(IFERROR(FIND("x",AK192),0)),
      NOT(IFERROR(FIND("x",AJ192),0))),"II",
IF(OR(AND(SUM(EXTRACTNUMBER(AK192),EXTRACTNUMBER(AJ192))&lt;850,
SUM(EXTRACTNUMBER(AK192),EXTRACTNUMBER(AJ192))&gt;=670),
IFERROR(FIND("x",AK192),0),IFERROR(FIND("x",AJ192),0)),"P","--"))))))</f>
        <v>P</v>
      </c>
      <c r="AO192" s="2" t="str">
        <f t="shared" si="56"/>
        <v xml:space="preserve">Nine Hundred Twenty Five </v>
      </c>
    </row>
    <row r="193" spans="2:41" ht="16.5" customHeight="1">
      <c r="B193" s="45">
        <v>134366</v>
      </c>
      <c r="C193" s="46" t="s">
        <v>188</v>
      </c>
      <c r="D193" s="43" t="s">
        <v>220</v>
      </c>
      <c r="E193" s="27" t="str">
        <f t="shared" si="39"/>
        <v xml:space="preserve"> </v>
      </c>
      <c r="F193" s="26" t="s">
        <v>210</v>
      </c>
      <c r="G193" s="27" t="str">
        <f t="shared" si="40"/>
        <v xml:space="preserve"> </v>
      </c>
      <c r="H193" s="24">
        <v>51</v>
      </c>
      <c r="I193" s="27" t="str">
        <f t="shared" si="41"/>
        <v/>
      </c>
      <c r="J193" s="26" t="s">
        <v>206</v>
      </c>
      <c r="K193" s="27" t="str">
        <f t="shared" si="42"/>
        <v xml:space="preserve"> </v>
      </c>
      <c r="L193" s="24" t="s">
        <v>236</v>
      </c>
      <c r="M193" s="27" t="str">
        <f t="shared" si="43"/>
        <v xml:space="preserve"> </v>
      </c>
      <c r="N193" s="26" t="s">
        <v>204</v>
      </c>
      <c r="O193" s="27" t="str">
        <f t="shared" si="44"/>
        <v xml:space="preserve"> </v>
      </c>
      <c r="P193" s="26" t="s">
        <v>204</v>
      </c>
      <c r="Q193" s="27" t="str">
        <f t="shared" si="45"/>
        <v xml:space="preserve"> </v>
      </c>
      <c r="R193" s="24" t="s">
        <v>207</v>
      </c>
      <c r="S193" s="27" t="str">
        <f t="shared" si="46"/>
        <v xml:space="preserve"> </v>
      </c>
      <c r="T193" s="26" t="s">
        <v>206</v>
      </c>
      <c r="U193" s="27" t="str">
        <f t="shared" si="47"/>
        <v xml:space="preserve"> </v>
      </c>
      <c r="V193" s="26" t="s">
        <v>210</v>
      </c>
      <c r="W193" s="27" t="str">
        <f t="shared" si="48"/>
        <v xml:space="preserve"> </v>
      </c>
      <c r="X193" s="24" t="s">
        <v>228</v>
      </c>
      <c r="Y193" s="27" t="str">
        <f t="shared" si="49"/>
        <v xml:space="preserve"> </v>
      </c>
      <c r="Z193" s="26" t="s">
        <v>204</v>
      </c>
      <c r="AA193" s="27" t="str">
        <f t="shared" si="50"/>
        <v xml:space="preserve"> </v>
      </c>
      <c r="AB193" s="26" t="s">
        <v>210</v>
      </c>
      <c r="AC193" s="27" t="str">
        <f t="shared" si="51"/>
        <v xml:space="preserve"> </v>
      </c>
      <c r="AD193" s="24" t="s">
        <v>207</v>
      </c>
      <c r="AE193" s="27" t="str">
        <f t="shared" si="52"/>
        <v xml:space="preserve"> </v>
      </c>
      <c r="AF193" s="26" t="s">
        <v>204</v>
      </c>
      <c r="AG193" s="27" t="str">
        <f t="shared" si="53"/>
        <v xml:space="preserve"> </v>
      </c>
      <c r="AH193" s="26" t="s">
        <v>224</v>
      </c>
      <c r="AI193" s="27" t="str">
        <f t="shared" si="54"/>
        <v xml:space="preserve"> </v>
      </c>
      <c r="AJ193" s="32">
        <f>IF(OR(AND(D193&gt;=31,D193&lt;40),AND(H193&gt;=31,H193&lt;40),AND(L193&gt;=31,L193&lt;40),AND(R193&gt;=31,R193&lt;40),AND(X193&gt;=31,X193&lt;40),AND(AD193&gt;=31,AD193&lt;40)),IF(AND(OR(COUNTIF(D193:AI193,"=31")&gt;=1,COUNTIF(D193:AI193,"=32")&gt;=1,COUNTIF(D193:AI193,"=33")&gt;=1,COUNTIF(D193:AI193,"=34")&gt;=1,COUNTIF(D193:AI193,"=35")&gt;=1,COUNTIF(D193:AI193,"=36")&gt;=1 ),COUNTIF(D193:AI193,"")=0,COUNTIF(D193:AI193," ")=0,COUNTIF(D193:AI193,"F")=1),CONCATENATE(SUM(EXTRACTNUMBER(D193),EXTRACTNUMBER(F193),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EXTRACTNUMBER(AD193),EXTRACTNUMBER(AH193),EXTRACTNUMBER(AF193)),"*"),IF(AND(COUNTIF(D193:AI193,"=34")&gt;=1,COUNTIF(D193:AI193,"=35")&gt;=1,COUNTIF(D193:AI193,"f")=2,COUNTIF(D193:AI193,"")=0,COUNTIF(D193:AI193," ")=0),CONCATENATE(SUM(EXTRACTNUMBER(D193),EXTRACTNUMBER(F193),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EXTRACTNUMBER(AD193),EXTRACTNUMBER(AH193),EXTRACTNUMBER(AF193)),"*"),IF(AND(COUNTIF(D193:AI193,"=36")&gt;=2,COUNTIF(D193:AI193,"f")=2,COUNTIF(D193:AI193,"")=0,COUNTIF(D193:AI193," ")=0),CONCATENATE(SUM(EXTRACTNUMBER(D193),EXTRACTNUMBER(F193),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EXTRACTNUMBER(AD193),EXTRACTNUMBER(AH193),EXTRACTNUMBER(AF193)),"*"),SUM(EXTRACTNUMBER(D193),EXTRACTNUMBER(F193),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EXTRACTNUMBER(AD193),EXTRACTNUMBER(AH193),EXTRACTNUMBER(AF193))))),SUM(EXTRACTNUMBER(D193),EXTRACTNUMBER(F193),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EXTRACTNUMBER(AD193),EXTRACTNUMBER(AH193),EXTRACTNUMBER(AF193)))</f>
        <v>458</v>
      </c>
      <c r="AK193" s="28" t="s">
        <v>302</v>
      </c>
      <c r="AL193" s="29">
        <f t="shared" si="38"/>
        <v>969</v>
      </c>
      <c r="AM193" s="29" t="str">
        <f t="shared" si="55"/>
        <v>PASS</v>
      </c>
      <c r="AN193" s="30" t="str">
        <f>IF(AM193="ABSENT","AB",IF(AM193="FAIL","--",
IF(AK193=0,"RS 3",
IF(AND(SUM(EXTRACTNUMBER(AK193),EXTRACTNUMBER(AJ193))&gt;=1010,
        NOT(IFERROR(FIND("x",AK193),0)),
        NOT(IFERROR(FIND("x",AJ193),0))),"I",
IF(AND(SUM(EXTRACTNUMBER(AK193),EXTRACTNUMBER(AJ193))&gt;=850,
      SUM(EXTRACTNUMBER(AK193),EXTRACTNUMBER(AJ193))&lt;1010,
      NOT(IFERROR(FIND("x",AK193),0)),
      NOT(IFERROR(FIND("x",AJ193),0))),"II",
IF(OR(AND(SUM(EXTRACTNUMBER(AK193),EXTRACTNUMBER(AJ193))&lt;850,
SUM(EXTRACTNUMBER(AK193),EXTRACTNUMBER(AJ193))&gt;=670),
IFERROR(FIND("x",AK193),0),IFERROR(FIND("x",AJ193),0)),"P","--"))))))</f>
        <v>P</v>
      </c>
      <c r="AO193" s="2" t="str">
        <f t="shared" si="56"/>
        <v xml:space="preserve">Nine Hundred Sixty Nine </v>
      </c>
    </row>
    <row r="194" spans="2:41" ht="16.5" customHeight="1">
      <c r="B194" s="45">
        <v>134367</v>
      </c>
      <c r="C194" s="46" t="s">
        <v>189</v>
      </c>
      <c r="D194" s="43" t="s">
        <v>205</v>
      </c>
      <c r="E194" s="27" t="str">
        <f t="shared" si="39"/>
        <v xml:space="preserve"> </v>
      </c>
      <c r="F194" s="26" t="s">
        <v>210</v>
      </c>
      <c r="G194" s="27" t="str">
        <f t="shared" si="40"/>
        <v xml:space="preserve"> </v>
      </c>
      <c r="H194" s="24">
        <v>30</v>
      </c>
      <c r="I194" s="27" t="str">
        <f t="shared" si="41"/>
        <v>F</v>
      </c>
      <c r="J194" s="26" t="s">
        <v>206</v>
      </c>
      <c r="K194" s="27" t="str">
        <f t="shared" si="42"/>
        <v xml:space="preserve"> </v>
      </c>
      <c r="L194" s="24" t="s">
        <v>230</v>
      </c>
      <c r="M194" s="27" t="str">
        <f t="shared" si="43"/>
        <v xml:space="preserve"> </v>
      </c>
      <c r="N194" s="26" t="s">
        <v>208</v>
      </c>
      <c r="O194" s="27" t="str">
        <f t="shared" si="44"/>
        <v xml:space="preserve"> </v>
      </c>
      <c r="P194" s="26" t="s">
        <v>212</v>
      </c>
      <c r="Q194" s="27" t="str">
        <f t="shared" si="45"/>
        <v xml:space="preserve"> </v>
      </c>
      <c r="R194" s="24" t="s">
        <v>207</v>
      </c>
      <c r="S194" s="27" t="str">
        <f t="shared" si="46"/>
        <v xml:space="preserve"> </v>
      </c>
      <c r="T194" s="26" t="s">
        <v>210</v>
      </c>
      <c r="U194" s="27" t="str">
        <f t="shared" si="47"/>
        <v xml:space="preserve"> </v>
      </c>
      <c r="V194" s="26" t="s">
        <v>204</v>
      </c>
      <c r="W194" s="27" t="str">
        <f t="shared" si="48"/>
        <v xml:space="preserve"> </v>
      </c>
      <c r="X194" s="24" t="s">
        <v>209</v>
      </c>
      <c r="Y194" s="27" t="str">
        <f t="shared" si="49"/>
        <v xml:space="preserve"> </v>
      </c>
      <c r="Z194" s="26" t="s">
        <v>222</v>
      </c>
      <c r="AA194" s="27" t="str">
        <f t="shared" si="50"/>
        <v xml:space="preserve"> </v>
      </c>
      <c r="AB194" s="26" t="s">
        <v>206</v>
      </c>
      <c r="AC194" s="27" t="str">
        <f t="shared" si="51"/>
        <v xml:space="preserve"> </v>
      </c>
      <c r="AD194" s="24" t="s">
        <v>209</v>
      </c>
      <c r="AE194" s="27" t="str">
        <f t="shared" si="52"/>
        <v xml:space="preserve"> </v>
      </c>
      <c r="AF194" s="26" t="s">
        <v>204</v>
      </c>
      <c r="AG194" s="27" t="str">
        <f t="shared" si="53"/>
        <v xml:space="preserve"> </v>
      </c>
      <c r="AH194" s="26" t="s">
        <v>216</v>
      </c>
      <c r="AI194" s="27" t="str">
        <f t="shared" si="54"/>
        <v xml:space="preserve"> </v>
      </c>
      <c r="AJ194" s="32">
        <f>IF(OR(AND(D194&gt;=31,D194&lt;40),AND(H194&gt;=31,H194&lt;40),AND(L194&gt;=31,L194&lt;40),AND(R194&gt;=31,R194&lt;40),AND(X194&gt;=31,X194&lt;40),AND(AD194&gt;=31,AD194&lt;40)),IF(AND(OR(COUNTIF(D194:AI194,"=31")&gt;=1,COUNTIF(D194:AI194,"=32")&gt;=1,COUNTIF(D194:AI194,"=33")&gt;=1,COUNTIF(D194:AI194,"=34")&gt;=1,COUNTIF(D194:AI194,"=35")&gt;=1,COUNTIF(D194:AI194,"=36")&gt;=1 ),COUNTIF(D194:AI194,"")=0,COUNTIF(D194:AI194," ")=0,COUNTIF(D194:AI194,"F")=1),CONCATENATE(SUM(EXTRACTNUMBER(D194),EXTRACTNUMBER(F194),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EXTRACTNUMBER(AD194),EXTRACTNUMBER(AH194),EXTRACTNUMBER(AF194)),"*"),IF(AND(COUNTIF(D194:AI194,"=34")&gt;=1,COUNTIF(D194:AI194,"=35")&gt;=1,COUNTIF(D194:AI194,"f")=2,COUNTIF(D194:AI194,"")=0,COUNTIF(D194:AI194," ")=0),CONCATENATE(SUM(EXTRACTNUMBER(D194),EXTRACTNUMBER(F194),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EXTRACTNUMBER(AD194),EXTRACTNUMBER(AH194),EXTRACTNUMBER(AF194)),"*"),IF(AND(COUNTIF(D194:AI194,"=36")&gt;=2,COUNTIF(D194:AI194,"f")=2,COUNTIF(D194:AI194,"")=0,COUNTIF(D194:AI194," ")=0),CONCATENATE(SUM(EXTRACTNUMBER(D194),EXTRACTNUMBER(F194),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EXTRACTNUMBER(AD194),EXTRACTNUMBER(AH194),EXTRACTNUMBER(AF194)),"*"),SUM(EXTRACTNUMBER(D194),EXTRACTNUMBER(F194),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EXTRACTNUMBER(AD194),EXTRACTNUMBER(AH194),EXTRACTNUMBER(AF194))))),SUM(EXTRACTNUMBER(D194),EXTRACTNUMBER(F194),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EXTRACTNUMBER(AD194),EXTRACTNUMBER(AH194),EXTRACTNUMBER(AF194)))</f>
        <v>425</v>
      </c>
      <c r="AK194" s="28">
        <v>0</v>
      </c>
      <c r="AL194" s="29">
        <f t="shared" si="38"/>
        <v>425</v>
      </c>
      <c r="AM194" s="29" t="str">
        <f t="shared" si="55"/>
        <v>FAIL</v>
      </c>
      <c r="AN194" s="30" t="str">
        <f>IF(AM194="ABSENT","AB",IF(AM194="FAIL","--",
IF(AK194=0,"RS 3",
IF(AND(SUM(EXTRACTNUMBER(AK194),EXTRACTNUMBER(AJ194))&gt;=1010,
        NOT(IFERROR(FIND("x",AK194),0)),
        NOT(IFERROR(FIND("x",AJ194),0))),"I",
IF(AND(SUM(EXTRACTNUMBER(AK194),EXTRACTNUMBER(AJ194))&gt;=850,
      SUM(EXTRACTNUMBER(AK194),EXTRACTNUMBER(AJ194))&lt;1010,
      NOT(IFERROR(FIND("x",AK194),0)),
      NOT(IFERROR(FIND("x",AJ194),0))),"II",
IF(OR(AND(SUM(EXTRACTNUMBER(AK194),EXTRACTNUMBER(AJ194))&lt;850,
SUM(EXTRACTNUMBER(AK194),EXTRACTNUMBER(AJ194))&gt;=670),
IFERROR(FIND("x",AK194),0),IFERROR(FIND("x",AJ194),0)),"P","--"))))))</f>
        <v>--</v>
      </c>
      <c r="AO194" s="2" t="str">
        <f t="shared" si="56"/>
        <v xml:space="preserve">Four Hundred Twenty Five </v>
      </c>
    </row>
    <row r="195" spans="2:41" ht="16.5" customHeight="1">
      <c r="B195" s="45">
        <v>134368</v>
      </c>
      <c r="C195" s="47" t="s">
        <v>190</v>
      </c>
      <c r="D195" s="43">
        <v>40</v>
      </c>
      <c r="E195" s="27" t="str">
        <f t="shared" si="39"/>
        <v/>
      </c>
      <c r="F195" s="26" t="s">
        <v>216</v>
      </c>
      <c r="G195" s="27" t="str">
        <f t="shared" si="40"/>
        <v xml:space="preserve"> </v>
      </c>
      <c r="H195" s="24" t="s">
        <v>207</v>
      </c>
      <c r="I195" s="27" t="str">
        <f t="shared" si="41"/>
        <v xml:space="preserve"> </v>
      </c>
      <c r="J195" s="26" t="s">
        <v>210</v>
      </c>
      <c r="K195" s="27" t="str">
        <f t="shared" si="42"/>
        <v xml:space="preserve"> </v>
      </c>
      <c r="L195" s="24" t="s">
        <v>219</v>
      </c>
      <c r="M195" s="27" t="str">
        <f t="shared" si="43"/>
        <v xml:space="preserve"> </v>
      </c>
      <c r="N195" s="26" t="s">
        <v>214</v>
      </c>
      <c r="O195" s="27" t="str">
        <f t="shared" si="44"/>
        <v xml:space="preserve"> </v>
      </c>
      <c r="P195" s="26" t="s">
        <v>206</v>
      </c>
      <c r="Q195" s="27" t="str">
        <f t="shared" si="45"/>
        <v xml:space="preserve"> </v>
      </c>
      <c r="R195" s="24" t="s">
        <v>207</v>
      </c>
      <c r="S195" s="27" t="str">
        <f t="shared" si="46"/>
        <v xml:space="preserve"> </v>
      </c>
      <c r="T195" s="26" t="s">
        <v>210</v>
      </c>
      <c r="U195" s="27" t="str">
        <f t="shared" si="47"/>
        <v xml:space="preserve"> </v>
      </c>
      <c r="V195" s="26" t="s">
        <v>212</v>
      </c>
      <c r="W195" s="27" t="str">
        <f t="shared" si="48"/>
        <v xml:space="preserve"> </v>
      </c>
      <c r="X195" s="24" t="s">
        <v>207</v>
      </c>
      <c r="Y195" s="27" t="str">
        <f t="shared" si="49"/>
        <v xml:space="preserve"> </v>
      </c>
      <c r="Z195" s="26" t="s">
        <v>210</v>
      </c>
      <c r="AA195" s="27" t="str">
        <f t="shared" si="50"/>
        <v xml:space="preserve"> </v>
      </c>
      <c r="AB195" s="26" t="s">
        <v>210</v>
      </c>
      <c r="AC195" s="27" t="str">
        <f t="shared" si="51"/>
        <v xml:space="preserve"> </v>
      </c>
      <c r="AD195" s="24" t="s">
        <v>237</v>
      </c>
      <c r="AE195" s="27" t="str">
        <f t="shared" si="52"/>
        <v xml:space="preserve"> </v>
      </c>
      <c r="AF195" s="26" t="s">
        <v>222</v>
      </c>
      <c r="AG195" s="27" t="str">
        <f t="shared" si="53"/>
        <v xml:space="preserve"> </v>
      </c>
      <c r="AH195" s="26" t="s">
        <v>214</v>
      </c>
      <c r="AI195" s="27" t="str">
        <f t="shared" si="54"/>
        <v xml:space="preserve"> </v>
      </c>
      <c r="AJ195" s="32">
        <f>IF(OR(AND(D195&gt;=31,D195&lt;40),AND(H195&gt;=31,H195&lt;40),AND(L195&gt;=31,L195&lt;40),AND(R195&gt;=31,R195&lt;40),AND(X195&gt;=31,X195&lt;40),AND(AD195&gt;=31,AD195&lt;40)),IF(AND(OR(COUNTIF(D195:AI195,"=31")&gt;=1,COUNTIF(D195:AI195,"=32")&gt;=1,COUNTIF(D195:AI195,"=33")&gt;=1,COUNTIF(D195:AI195,"=34")&gt;=1,COUNTIF(D195:AI195,"=35")&gt;=1,COUNTIF(D195:AI195,"=36")&gt;=1 ),COUNTIF(D195:AI195,"")=0,COUNTIF(D195:AI195," ")=0,COUNTIF(D195:AI195,"F")=1),CONCATENATE(SUM(EXTRACTNUMBER(D195),EXTRACTNUMBER(F195),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EXTRACTNUMBER(AD195),EXTRACTNUMBER(AH195),EXTRACTNUMBER(AF195)),"*"),IF(AND(COUNTIF(D195:AI195,"=34")&gt;=1,COUNTIF(D195:AI195,"=35")&gt;=1,COUNTIF(D195:AI195,"f")=2,COUNTIF(D195:AI195,"")=0,COUNTIF(D195:AI195," ")=0),CONCATENATE(SUM(EXTRACTNUMBER(D195),EXTRACTNUMBER(F195),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EXTRACTNUMBER(AD195),EXTRACTNUMBER(AH195),EXTRACTNUMBER(AF195)),"*"),IF(AND(COUNTIF(D195:AI195,"=36")&gt;=2,COUNTIF(D195:AI195,"f")=2,COUNTIF(D195:AI195,"")=0,COUNTIF(D195:AI195," ")=0),CONCATENATE(SUM(EXTRACTNUMBER(D195),EXTRACTNUMBER(F195),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EXTRACTNUMBER(AD195),EXTRACTNUMBER(AH195),EXTRACTNUMBER(AF195)),"*"),SUM(EXTRACTNUMBER(D195),EXTRACTNUMBER(F195),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EXTRACTNUMBER(AD195),EXTRACTNUMBER(AH195),EXTRACTNUMBER(AF195))))),SUM(EXTRACTNUMBER(D195),EXTRACTNUMBER(F195),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EXTRACTNUMBER(AD195),EXTRACTNUMBER(AH195),EXTRACTNUMBER(AF195)))</f>
        <v>433</v>
      </c>
      <c r="AK195" s="94" t="s">
        <v>572</v>
      </c>
      <c r="AL195" s="29">
        <f t="shared" si="38"/>
        <v>880</v>
      </c>
      <c r="AM195" s="29" t="str">
        <f t="shared" si="55"/>
        <v>PASS</v>
      </c>
      <c r="AN195" s="30" t="str">
        <f>IF(AM195="ABSENT","AB",IF(AM195="FAIL","--",
IF(AK195=0,"RS 3",
IF(AND(SUM(EXTRACTNUMBER(AK195),EXTRACTNUMBER(AJ195))&gt;=1010,
        NOT(IFERROR(FIND("x",AK195),0)),
        NOT(IFERROR(FIND("x",AJ195),0))),"I",
IF(AND(SUM(EXTRACTNUMBER(AK195),EXTRACTNUMBER(AJ195))&gt;=850,
      SUM(EXTRACTNUMBER(AK195),EXTRACTNUMBER(AJ195))&lt;1010,
      NOT(IFERROR(FIND("x",AK195),0)),
      NOT(IFERROR(FIND("x",AJ195),0))),"II",
IF(OR(AND(SUM(EXTRACTNUMBER(AK195),EXTRACTNUMBER(AJ195))&lt;850,
SUM(EXTRACTNUMBER(AK195),EXTRACTNUMBER(AJ195))&gt;=670),
IFERROR(FIND("x",AK195),0),IFERROR(FIND("x",AJ195),0)),"P","--"))))))</f>
        <v>P</v>
      </c>
      <c r="AO195" s="2" t="str">
        <f t="shared" si="56"/>
        <v xml:space="preserve">Eight Hundred Eighty  </v>
      </c>
    </row>
    <row r="196" spans="2:41" ht="16.5" customHeight="1">
      <c r="B196" s="45">
        <v>134369</v>
      </c>
      <c r="C196" s="47" t="s">
        <v>191</v>
      </c>
      <c r="D196" s="43" t="s">
        <v>209</v>
      </c>
      <c r="E196" s="27" t="str">
        <f t="shared" si="39"/>
        <v xml:space="preserve"> </v>
      </c>
      <c r="F196" s="26" t="s">
        <v>210</v>
      </c>
      <c r="G196" s="27" t="str">
        <f t="shared" si="40"/>
        <v xml:space="preserve"> </v>
      </c>
      <c r="H196" s="24">
        <v>40</v>
      </c>
      <c r="I196" s="27" t="str">
        <f t="shared" si="41"/>
        <v>E</v>
      </c>
      <c r="J196" s="26" t="s">
        <v>210</v>
      </c>
      <c r="K196" s="27" t="str">
        <f t="shared" si="42"/>
        <v xml:space="preserve"> </v>
      </c>
      <c r="L196" s="24" t="s">
        <v>207</v>
      </c>
      <c r="M196" s="27" t="str">
        <f t="shared" si="43"/>
        <v xml:space="preserve"> </v>
      </c>
      <c r="N196" s="26" t="s">
        <v>212</v>
      </c>
      <c r="O196" s="27" t="str">
        <f t="shared" si="44"/>
        <v xml:space="preserve"> </v>
      </c>
      <c r="P196" s="26" t="s">
        <v>212</v>
      </c>
      <c r="Q196" s="27" t="str">
        <f t="shared" si="45"/>
        <v xml:space="preserve"> </v>
      </c>
      <c r="R196" s="24">
        <v>14</v>
      </c>
      <c r="S196" s="27" t="str">
        <f t="shared" si="46"/>
        <v>F</v>
      </c>
      <c r="T196" s="26" t="s">
        <v>206</v>
      </c>
      <c r="U196" s="27" t="str">
        <f t="shared" si="47"/>
        <v xml:space="preserve"> </v>
      </c>
      <c r="V196" s="26" t="s">
        <v>217</v>
      </c>
      <c r="W196" s="27" t="str">
        <f t="shared" si="48"/>
        <v xml:space="preserve"> </v>
      </c>
      <c r="X196" s="24" t="s">
        <v>207</v>
      </c>
      <c r="Y196" s="27" t="str">
        <f t="shared" si="49"/>
        <v xml:space="preserve"> </v>
      </c>
      <c r="Z196" s="26" t="s">
        <v>212</v>
      </c>
      <c r="AA196" s="27" t="str">
        <f t="shared" si="50"/>
        <v xml:space="preserve"> </v>
      </c>
      <c r="AB196" s="26" t="s">
        <v>212</v>
      </c>
      <c r="AC196" s="27" t="str">
        <f t="shared" si="51"/>
        <v xml:space="preserve"> </v>
      </c>
      <c r="AD196" s="24" t="s">
        <v>207</v>
      </c>
      <c r="AE196" s="27" t="str">
        <f t="shared" si="52"/>
        <v xml:space="preserve"> </v>
      </c>
      <c r="AF196" s="26" t="s">
        <v>204</v>
      </c>
      <c r="AG196" s="27" t="str">
        <f t="shared" si="53"/>
        <v xml:space="preserve"> </v>
      </c>
      <c r="AH196" s="26" t="s">
        <v>206</v>
      </c>
      <c r="AI196" s="27" t="str">
        <f t="shared" si="54"/>
        <v xml:space="preserve"> </v>
      </c>
      <c r="AJ196" s="32">
        <f>IF(OR(AND(D196&gt;=31,D196&lt;40),AND(H196&gt;=31,H196&lt;40),AND(L196&gt;=31,L196&lt;40),AND(R196&gt;=31,R196&lt;40),AND(X196&gt;=31,X196&lt;40),AND(AD196&gt;=31,AD196&lt;40)),IF(AND(OR(COUNTIF(D196:AI196,"=31")&gt;=1,COUNTIF(D196:AI196,"=32")&gt;=1,COUNTIF(D196:AI196,"=33")&gt;=1,COUNTIF(D196:AI196,"=34")&gt;=1,COUNTIF(D196:AI196,"=35")&gt;=1,COUNTIF(D196:AI196,"=36")&gt;=1 ),COUNTIF(D196:AI196,"")=0,COUNTIF(D196:AI196," ")=0,COUNTIF(D196:AI196,"F")=1),CONCATENATE(SUM(EXTRACTNUMBER(D196),EXTRACTNUMBER(F196),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EXTRACTNUMBER(AD196),EXTRACTNUMBER(AH196),EXTRACTNUMBER(AF196)),"*"),IF(AND(COUNTIF(D196:AI196,"=34")&gt;=1,COUNTIF(D196:AI196,"=35")&gt;=1,COUNTIF(D196:AI196,"f")=2,COUNTIF(D196:AI196,"")=0,COUNTIF(D196:AI196," ")=0),CONCATENATE(SUM(EXTRACTNUMBER(D196),EXTRACTNUMBER(F196),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EXTRACTNUMBER(AD196),EXTRACTNUMBER(AH196),EXTRACTNUMBER(AF196)),"*"),IF(AND(COUNTIF(D196:AI196,"=36")&gt;=2,COUNTIF(D196:AI196,"f")=2,COUNTIF(D196:AI196,"")=0,COUNTIF(D196:AI196," ")=0),CONCATENATE(SUM(EXTRACTNUMBER(D196),EXTRACTNUMBER(F196),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EXTRACTNUMBER(AD196),EXTRACTNUMBER(AH196),EXTRACTNUMBER(AF196)),"*"),SUM(EXTRACTNUMBER(D196),EXTRACTNUMBER(F196),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EXTRACTNUMBER(AD196),EXTRACTNUMBER(AH196),EXTRACTNUMBER(AF196))))),SUM(EXTRACTNUMBER(D196),EXTRACTNUMBER(F196),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EXTRACTNUMBER(AD196),EXTRACTNUMBER(AH196),EXTRACTNUMBER(AF196)))</f>
        <v>400</v>
      </c>
      <c r="AK196" s="28">
        <v>0</v>
      </c>
      <c r="AL196" s="29">
        <f t="shared" si="38"/>
        <v>400</v>
      </c>
      <c r="AM196" s="29" t="str">
        <f t="shared" si="55"/>
        <v>FAIL</v>
      </c>
      <c r="AN196" s="30" t="str">
        <f>IF(AM196="ABSENT","AB",IF(AM196="FAIL","--",
IF(AK196=0,"RS 3",
IF(AND(SUM(EXTRACTNUMBER(AK196),EXTRACTNUMBER(AJ196))&gt;=1010,
        NOT(IFERROR(FIND("x",AK196),0)),
        NOT(IFERROR(FIND("x",AJ196),0))),"I",
IF(AND(SUM(EXTRACTNUMBER(AK196),EXTRACTNUMBER(AJ196))&gt;=850,
      SUM(EXTRACTNUMBER(AK196),EXTRACTNUMBER(AJ196))&lt;1010,
      NOT(IFERROR(FIND("x",AK196),0)),
      NOT(IFERROR(FIND("x",AJ196),0))),"II",
IF(OR(AND(SUM(EXTRACTNUMBER(AK196),EXTRACTNUMBER(AJ196))&lt;850,
SUM(EXTRACTNUMBER(AK196),EXTRACTNUMBER(AJ196))&gt;=670),
IFERROR(FIND("x",AK196),0),IFERROR(FIND("x",AJ196),0)),"P","--"))))))</f>
        <v>--</v>
      </c>
      <c r="AO196" s="2" t="str">
        <f t="shared" si="56"/>
        <v xml:space="preserve">Four Hundred  </v>
      </c>
    </row>
    <row r="197" spans="2:41" ht="16.5" customHeight="1">
      <c r="B197" s="45">
        <v>134370</v>
      </c>
      <c r="C197" s="47" t="s">
        <v>192</v>
      </c>
      <c r="D197" s="43" t="s">
        <v>234</v>
      </c>
      <c r="E197" s="27" t="str">
        <f t="shared" si="39"/>
        <v xml:space="preserve"> </v>
      </c>
      <c r="F197" s="26" t="s">
        <v>210</v>
      </c>
      <c r="G197" s="27" t="str">
        <f t="shared" si="40"/>
        <v xml:space="preserve"> </v>
      </c>
      <c r="H197" s="24">
        <v>46</v>
      </c>
      <c r="I197" s="27" t="str">
        <f t="shared" si="41"/>
        <v/>
      </c>
      <c r="J197" s="26" t="s">
        <v>212</v>
      </c>
      <c r="K197" s="27" t="str">
        <f t="shared" si="42"/>
        <v xml:space="preserve"> </v>
      </c>
      <c r="L197" s="24" t="s">
        <v>237</v>
      </c>
      <c r="M197" s="27" t="str">
        <f t="shared" si="43"/>
        <v xml:space="preserve"> </v>
      </c>
      <c r="N197" s="26" t="s">
        <v>210</v>
      </c>
      <c r="O197" s="27" t="str">
        <f t="shared" si="44"/>
        <v xml:space="preserve"> </v>
      </c>
      <c r="P197" s="26" t="s">
        <v>206</v>
      </c>
      <c r="Q197" s="27" t="str">
        <f t="shared" si="45"/>
        <v xml:space="preserve"> </v>
      </c>
      <c r="R197" s="24" t="s">
        <v>223</v>
      </c>
      <c r="S197" s="27" t="str">
        <f t="shared" si="46"/>
        <v xml:space="preserve"> </v>
      </c>
      <c r="T197" s="26" t="s">
        <v>210</v>
      </c>
      <c r="U197" s="27" t="str">
        <f t="shared" si="47"/>
        <v xml:space="preserve"> </v>
      </c>
      <c r="V197" s="26" t="s">
        <v>210</v>
      </c>
      <c r="W197" s="27" t="str">
        <f t="shared" si="48"/>
        <v xml:space="preserve"> </v>
      </c>
      <c r="X197" s="24" t="s">
        <v>209</v>
      </c>
      <c r="Y197" s="27" t="str">
        <f t="shared" si="49"/>
        <v xml:space="preserve"> </v>
      </c>
      <c r="Z197" s="26" t="s">
        <v>212</v>
      </c>
      <c r="AA197" s="27" t="str">
        <f t="shared" si="50"/>
        <v xml:space="preserve"> </v>
      </c>
      <c r="AB197" s="26" t="s">
        <v>204</v>
      </c>
      <c r="AC197" s="27" t="str">
        <f t="shared" si="51"/>
        <v xml:space="preserve"> </v>
      </c>
      <c r="AD197" s="24" t="s">
        <v>230</v>
      </c>
      <c r="AE197" s="27" t="str">
        <f t="shared" si="52"/>
        <v xml:space="preserve"> </v>
      </c>
      <c r="AF197" s="26" t="s">
        <v>212</v>
      </c>
      <c r="AG197" s="27" t="str">
        <f t="shared" si="53"/>
        <v xml:space="preserve"> </v>
      </c>
      <c r="AH197" s="26" t="s">
        <v>214</v>
      </c>
      <c r="AI197" s="27" t="str">
        <f t="shared" si="54"/>
        <v xml:space="preserve"> </v>
      </c>
      <c r="AJ197" s="32">
        <f>IF(OR(AND(D197&gt;=31,D197&lt;40),AND(H197&gt;=31,H197&lt;40),AND(L197&gt;=31,L197&lt;40),AND(R197&gt;=31,R197&lt;40),AND(X197&gt;=31,X197&lt;40),AND(AD197&gt;=31,AD197&lt;40)),IF(AND(OR(COUNTIF(D197:AI197,"=31")&gt;=1,COUNTIF(D197:AI197,"=32")&gt;=1,COUNTIF(D197:AI197,"=33")&gt;=1,COUNTIF(D197:AI197,"=34")&gt;=1,COUNTIF(D197:AI197,"=35")&gt;=1,COUNTIF(D197:AI197,"=36")&gt;=1 ),COUNTIF(D197:AI197,"")=0,COUNTIF(D197:AI197," ")=0,COUNTIF(D197:AI197,"F")=1),CONCATENATE(SUM(EXTRACTNUMBER(D197),EXTRACTNUMBER(F197),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EXTRACTNUMBER(AD197),EXTRACTNUMBER(AH197),EXTRACTNUMBER(AF197)),"*"),IF(AND(COUNTIF(D197:AI197,"=34")&gt;=1,COUNTIF(D197:AI197,"=35")&gt;=1,COUNTIF(D197:AI197,"f")=2,COUNTIF(D197:AI197,"")=0,COUNTIF(D197:AI197," ")=0),CONCATENATE(SUM(EXTRACTNUMBER(D197),EXTRACTNUMBER(F197),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EXTRACTNUMBER(AD197),EXTRACTNUMBER(AH197),EXTRACTNUMBER(AF197)),"*"),IF(AND(COUNTIF(D197:AI197,"=36")&gt;=2,COUNTIF(D197:AI197,"f")=2,COUNTIF(D197:AI197,"")=0,COUNTIF(D197:AI197," ")=0),CONCATENATE(SUM(EXTRACTNUMBER(D197),EXTRACTNUMBER(F197),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EXTRACTNUMBER(AD197),EXTRACTNUMBER(AH197),EXTRACTNUMBER(AF197)),"*"),SUM(EXTRACTNUMBER(D197),EXTRACTNUMBER(F197),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EXTRACTNUMBER(AD197),EXTRACTNUMBER(AH197),EXTRACTNUMBER(AF197))))),SUM(EXTRACTNUMBER(D197),EXTRACTNUMBER(F197),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EXTRACTNUMBER(AD197),EXTRACTNUMBER(AH197),EXTRACTNUMBER(AF197)))</f>
        <v>462</v>
      </c>
      <c r="AK197" s="28" t="s">
        <v>303</v>
      </c>
      <c r="AL197" s="29">
        <f t="shared" si="38"/>
        <v>916</v>
      </c>
      <c r="AM197" s="29" t="str">
        <f t="shared" si="55"/>
        <v>PASS</v>
      </c>
      <c r="AN197" s="30" t="str">
        <f>IF(AM197="ABSENT","AB",IF(AM197="FAIL","--",
IF(AK197=0,"RS 3",
IF(AND(SUM(EXTRACTNUMBER(AK197),EXTRACTNUMBER(AJ197))&gt;=1010,
        NOT(IFERROR(FIND("x",AK197),0)),
        NOT(IFERROR(FIND("x",AJ197),0))),"I",
IF(AND(SUM(EXTRACTNUMBER(AK197),EXTRACTNUMBER(AJ197))&gt;=850,
      SUM(EXTRACTNUMBER(AK197),EXTRACTNUMBER(AJ197))&lt;1010,
      NOT(IFERROR(FIND("x",AK197),0)),
      NOT(IFERROR(FIND("x",AJ197),0))),"II",
IF(OR(AND(SUM(EXTRACTNUMBER(AK197),EXTRACTNUMBER(AJ197))&lt;850,
SUM(EXTRACTNUMBER(AK197),EXTRACTNUMBER(AJ197))&gt;=670),
IFERROR(FIND("x",AK197),0),IFERROR(FIND("x",AJ197),0)),"P","--"))))))</f>
        <v>P</v>
      </c>
      <c r="AO197" s="2" t="str">
        <f t="shared" si="56"/>
        <v xml:space="preserve">Nine Hundred Sixteen </v>
      </c>
    </row>
    <row r="198" spans="2:41" ht="16.5" customHeight="1">
      <c r="B198" s="45">
        <v>134371</v>
      </c>
      <c r="C198" s="47" t="s">
        <v>193</v>
      </c>
      <c r="D198" s="43" t="s">
        <v>230</v>
      </c>
      <c r="E198" s="27" t="str">
        <f t="shared" si="39"/>
        <v xml:space="preserve"> </v>
      </c>
      <c r="F198" s="26" t="s">
        <v>210</v>
      </c>
      <c r="G198" s="27" t="str">
        <f t="shared" si="40"/>
        <v xml:space="preserve"> </v>
      </c>
      <c r="H198" s="24">
        <v>50</v>
      </c>
      <c r="I198" s="27" t="str">
        <f t="shared" si="41"/>
        <v/>
      </c>
      <c r="J198" s="26" t="s">
        <v>208</v>
      </c>
      <c r="K198" s="27" t="str">
        <f t="shared" si="42"/>
        <v xml:space="preserve"> </v>
      </c>
      <c r="L198" s="24" t="s">
        <v>238</v>
      </c>
      <c r="M198" s="27" t="str">
        <f t="shared" si="43"/>
        <v xml:space="preserve"> </v>
      </c>
      <c r="N198" s="26" t="s">
        <v>208</v>
      </c>
      <c r="O198" s="27" t="str">
        <f t="shared" si="44"/>
        <v xml:space="preserve"> </v>
      </c>
      <c r="P198" s="26" t="s">
        <v>208</v>
      </c>
      <c r="Q198" s="27" t="str">
        <f t="shared" si="45"/>
        <v xml:space="preserve"> </v>
      </c>
      <c r="R198" s="24" t="s">
        <v>228</v>
      </c>
      <c r="S198" s="27" t="str">
        <f t="shared" si="46"/>
        <v xml:space="preserve"> </v>
      </c>
      <c r="T198" s="26" t="s">
        <v>208</v>
      </c>
      <c r="U198" s="27" t="str">
        <f t="shared" si="47"/>
        <v xml:space="preserve"> </v>
      </c>
      <c r="V198" s="26" t="s">
        <v>208</v>
      </c>
      <c r="W198" s="27" t="str">
        <f t="shared" si="48"/>
        <v xml:space="preserve"> </v>
      </c>
      <c r="X198" s="24" t="s">
        <v>209</v>
      </c>
      <c r="Y198" s="27" t="str">
        <f t="shared" si="49"/>
        <v xml:space="preserve"> </v>
      </c>
      <c r="Z198" s="26" t="s">
        <v>208</v>
      </c>
      <c r="AA198" s="27" t="str">
        <f t="shared" si="50"/>
        <v xml:space="preserve"> </v>
      </c>
      <c r="AB198" s="26" t="s">
        <v>210</v>
      </c>
      <c r="AC198" s="27" t="str">
        <f t="shared" si="51"/>
        <v xml:space="preserve"> </v>
      </c>
      <c r="AD198" s="24" t="s">
        <v>223</v>
      </c>
      <c r="AE198" s="27" t="str">
        <f t="shared" si="52"/>
        <v xml:space="preserve"> </v>
      </c>
      <c r="AF198" s="26" t="s">
        <v>208</v>
      </c>
      <c r="AG198" s="27" t="str">
        <f t="shared" si="53"/>
        <v xml:space="preserve"> </v>
      </c>
      <c r="AH198" s="26" t="s">
        <v>217</v>
      </c>
      <c r="AI198" s="27" t="str">
        <f t="shared" si="54"/>
        <v xml:space="preserve"> </v>
      </c>
      <c r="AJ198" s="32">
        <f>IF(OR(AND(D198&gt;=31,D198&lt;40),AND(H198&gt;=31,H198&lt;40),AND(L198&gt;=31,L198&lt;40),AND(R198&gt;=31,R198&lt;40),AND(X198&gt;=31,X198&lt;40),AND(AD198&gt;=31,AD198&lt;40)),IF(AND(OR(COUNTIF(D198:AI198,"=31")&gt;=1,COUNTIF(D198:AI198,"=32")&gt;=1,COUNTIF(D198:AI198,"=33")&gt;=1,COUNTIF(D198:AI198,"=34")&gt;=1,COUNTIF(D198:AI198,"=35")&gt;=1,COUNTIF(D198:AI198,"=36")&gt;=1 ),COUNTIF(D198:AI198,"")=0,COUNTIF(D198:AI198," ")=0,COUNTIF(D198:AI198,"F")=1),CONCATENATE(SUM(EXTRACTNUMBER(D198),EXTRACTNUMBER(F198),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EXTRACTNUMBER(AD198),EXTRACTNUMBER(AH198),EXTRACTNUMBER(AF198)),"*"),IF(AND(COUNTIF(D198:AI198,"=34")&gt;=1,COUNTIF(D198:AI198,"=35")&gt;=1,COUNTIF(D198:AI198,"f")=2,COUNTIF(D198:AI198,"")=0,COUNTIF(D198:AI198," ")=0),CONCATENATE(SUM(EXTRACTNUMBER(D198),EXTRACTNUMBER(F198),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EXTRACTNUMBER(AD198),EXTRACTNUMBER(AH198),EXTRACTNUMBER(AF198)),"*"),IF(AND(COUNTIF(D198:AI198,"=36")&gt;=2,COUNTIF(D198:AI198,"f")=2,COUNTIF(D198:AI198,"")=0,COUNTIF(D198:AI198," ")=0),CONCATENATE(SUM(EXTRACTNUMBER(D198),EXTRACTNUMBER(F198),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EXTRACTNUMBER(AD198),EXTRACTNUMBER(AH198),EXTRACTNUMBER(AF198)),"*"),SUM(EXTRACTNUMBER(D198),EXTRACTNUMBER(F198),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EXTRACTNUMBER(AD198),EXTRACTNUMBER(AH198),EXTRACTNUMBER(AF198))))),SUM(EXTRACTNUMBER(D198),EXTRACTNUMBER(F198),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EXTRACTNUMBER(AD198),EXTRACTNUMBER(AH198),EXTRACTNUMBER(AF198)))</f>
        <v>482</v>
      </c>
      <c r="AK198" s="94" t="s">
        <v>574</v>
      </c>
      <c r="AL198" s="29">
        <f t="shared" si="38"/>
        <v>981</v>
      </c>
      <c r="AM198" s="29" t="str">
        <f t="shared" si="55"/>
        <v>PASS</v>
      </c>
      <c r="AN198" s="30" t="str">
        <f>IF(AM198="ABSENT","AB",IF(AM198="FAIL","--",
IF(AK198=0,"RS 3",
IF(AND(SUM(EXTRACTNUMBER(AK198),EXTRACTNUMBER(AJ198))&gt;=1010,
        NOT(IFERROR(FIND("x",AK198),0)),
        NOT(IFERROR(FIND("x",AJ198),0))),"I",
IF(AND(SUM(EXTRACTNUMBER(AK198),EXTRACTNUMBER(AJ198))&gt;=850,
      SUM(EXTRACTNUMBER(AK198),EXTRACTNUMBER(AJ198))&lt;1010,
      NOT(IFERROR(FIND("x",AK198),0)),
      NOT(IFERROR(FIND("x",AJ198),0))),"II",
IF(OR(AND(SUM(EXTRACTNUMBER(AK198),EXTRACTNUMBER(AJ198))&lt;850,
SUM(EXTRACTNUMBER(AK198),EXTRACTNUMBER(AJ198))&gt;=670),
IFERROR(FIND("x",AK198),0),IFERROR(FIND("x",AJ198),0)),"P","--"))))))</f>
        <v>P</v>
      </c>
      <c r="AO198" s="2" t="str">
        <f t="shared" si="56"/>
        <v xml:space="preserve">Nine Hundred Eighty One </v>
      </c>
    </row>
    <row r="199" spans="2:41" ht="16.5" customHeight="1">
      <c r="B199" s="45">
        <v>134372</v>
      </c>
      <c r="C199" s="47" t="s">
        <v>194</v>
      </c>
      <c r="D199" s="43">
        <v>8</v>
      </c>
      <c r="E199" s="27" t="str">
        <f t="shared" si="39"/>
        <v>F</v>
      </c>
      <c r="F199" s="26" t="s">
        <v>204</v>
      </c>
      <c r="G199" s="27" t="str">
        <f t="shared" si="40"/>
        <v xml:space="preserve"> </v>
      </c>
      <c r="H199" s="24">
        <v>40</v>
      </c>
      <c r="I199" s="27" t="str">
        <f t="shared" si="41"/>
        <v>E</v>
      </c>
      <c r="J199" s="26" t="s">
        <v>210</v>
      </c>
      <c r="K199" s="27" t="str">
        <f t="shared" si="42"/>
        <v xml:space="preserve"> </v>
      </c>
      <c r="L199" s="24" t="s">
        <v>207</v>
      </c>
      <c r="M199" s="27" t="str">
        <f t="shared" si="43"/>
        <v xml:space="preserve"> </v>
      </c>
      <c r="N199" s="26" t="s">
        <v>204</v>
      </c>
      <c r="O199" s="27" t="str">
        <f t="shared" si="44"/>
        <v xml:space="preserve"> </v>
      </c>
      <c r="P199" s="26" t="s">
        <v>206</v>
      </c>
      <c r="Q199" s="27" t="str">
        <f t="shared" si="45"/>
        <v xml:space="preserve"> </v>
      </c>
      <c r="R199" s="24" t="s">
        <v>207</v>
      </c>
      <c r="S199" s="27" t="str">
        <f t="shared" si="46"/>
        <v xml:space="preserve"> </v>
      </c>
      <c r="T199" s="26" t="s">
        <v>208</v>
      </c>
      <c r="U199" s="27" t="str">
        <f t="shared" si="47"/>
        <v xml:space="preserve"> </v>
      </c>
      <c r="V199" s="26" t="s">
        <v>208</v>
      </c>
      <c r="W199" s="27" t="str">
        <f t="shared" si="48"/>
        <v xml:space="preserve"> </v>
      </c>
      <c r="X199" s="24" t="s">
        <v>207</v>
      </c>
      <c r="Y199" s="27" t="str">
        <f t="shared" si="49"/>
        <v xml:space="preserve"> </v>
      </c>
      <c r="Z199" s="26" t="s">
        <v>212</v>
      </c>
      <c r="AA199" s="27" t="str">
        <f t="shared" si="50"/>
        <v xml:space="preserve"> </v>
      </c>
      <c r="AB199" s="26" t="s">
        <v>204</v>
      </c>
      <c r="AC199" s="27" t="str">
        <f t="shared" si="51"/>
        <v xml:space="preserve"> </v>
      </c>
      <c r="AD199" s="24" t="s">
        <v>207</v>
      </c>
      <c r="AE199" s="27" t="str">
        <f t="shared" si="52"/>
        <v xml:space="preserve"> </v>
      </c>
      <c r="AF199" s="26" t="s">
        <v>212</v>
      </c>
      <c r="AG199" s="27" t="str">
        <f t="shared" si="53"/>
        <v xml:space="preserve"> </v>
      </c>
      <c r="AH199" s="26" t="s">
        <v>204</v>
      </c>
      <c r="AI199" s="27" t="str">
        <f t="shared" si="54"/>
        <v xml:space="preserve"> </v>
      </c>
      <c r="AJ199" s="32">
        <f>IF(OR(AND(D199&gt;=31,D199&lt;40),AND(H199&gt;=31,H199&lt;40),AND(L199&gt;=31,L199&lt;40),AND(R199&gt;=31,R199&lt;40),AND(X199&gt;=31,X199&lt;40),AND(AD199&gt;=31,AD199&lt;40)),IF(AND(OR(COUNTIF(D199:AI199,"=31")&gt;=1,COUNTIF(D199:AI199,"=32")&gt;=1,COUNTIF(D199:AI199,"=33")&gt;=1,COUNTIF(D199:AI199,"=34")&gt;=1,COUNTIF(D199:AI199,"=35")&gt;=1,COUNTIF(D199:AI199,"=36")&gt;=1 ),COUNTIF(D199:AI199,"")=0,COUNTIF(D199:AI199," ")=0,COUNTIF(D199:AI199,"F")=1),CONCATENATE(SUM(EXTRACTNUMBER(D199),EXTRACTNUMBER(F199),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EXTRACTNUMBER(AD199),EXTRACTNUMBER(AH199),EXTRACTNUMBER(AF199)),"*"),IF(AND(COUNTIF(D199:AI199,"=34")&gt;=1,COUNTIF(D199:AI199,"=35")&gt;=1,COUNTIF(D199:AI199,"f")=2,COUNTIF(D199:AI199,"")=0,COUNTIF(D199:AI199," ")=0),CONCATENATE(SUM(EXTRACTNUMBER(D199),EXTRACTNUMBER(F199),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EXTRACTNUMBER(AD199),EXTRACTNUMBER(AH199),EXTRACTNUMBER(AF199)),"*"),IF(AND(COUNTIF(D199:AI199,"=36")&gt;=2,COUNTIF(D199:AI199,"f")=2,COUNTIF(D199:AI199,"")=0,COUNTIF(D199:AI199," ")=0),CONCATENATE(SUM(EXTRACTNUMBER(D199),EXTRACTNUMBER(F199),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EXTRACTNUMBER(AD199),EXTRACTNUMBER(AH199),EXTRACTNUMBER(AF199)),"*"),SUM(EXTRACTNUMBER(D199),EXTRACTNUMBER(F199),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EXTRACTNUMBER(AD199),EXTRACTNUMBER(AH199),EXTRACTNUMBER(AF199))))),SUM(EXTRACTNUMBER(D199),EXTRACTNUMBER(F199),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EXTRACTNUMBER(AD199),EXTRACTNUMBER(AH199),EXTRACTNUMBER(AF199)))</f>
        <v>398</v>
      </c>
      <c r="AK199" s="28">
        <v>0</v>
      </c>
      <c r="AL199" s="29">
        <f t="shared" si="38"/>
        <v>398</v>
      </c>
      <c r="AM199" s="29" t="str">
        <f t="shared" si="55"/>
        <v>FAIL</v>
      </c>
      <c r="AN199" s="30" t="str">
        <f>IF(AM199="ABSENT","AB",IF(AM199="FAIL","--",
IF(AK199=0,"RS 3",
IF(AND(SUM(EXTRACTNUMBER(AK199),EXTRACTNUMBER(AJ199))&gt;=1010,
        NOT(IFERROR(FIND("x",AK199),0)),
        NOT(IFERROR(FIND("x",AJ199),0))),"I",
IF(AND(SUM(EXTRACTNUMBER(AK199),EXTRACTNUMBER(AJ199))&gt;=850,
      SUM(EXTRACTNUMBER(AK199),EXTRACTNUMBER(AJ199))&lt;1010,
      NOT(IFERROR(FIND("x",AK199),0)),
      NOT(IFERROR(FIND("x",AJ199),0))),"II",
IF(OR(AND(SUM(EXTRACTNUMBER(AK199),EXTRACTNUMBER(AJ199))&lt;850,
SUM(EXTRACTNUMBER(AK199),EXTRACTNUMBER(AJ199))&gt;=670),
IFERROR(FIND("x",AK199),0),IFERROR(FIND("x",AJ199),0)),"P","--"))))))</f>
        <v>--</v>
      </c>
      <c r="AO199" s="2" t="str">
        <f t="shared" si="56"/>
        <v xml:space="preserve">Three Hundred NinetyEight </v>
      </c>
    </row>
    <row r="200" spans="2:41" ht="16.5" customHeight="1">
      <c r="B200" s="45">
        <v>134373</v>
      </c>
      <c r="C200" s="47" t="s">
        <v>195</v>
      </c>
      <c r="D200" s="43" t="s">
        <v>207</v>
      </c>
      <c r="E200" s="27" t="str">
        <f t="shared" si="39"/>
        <v xml:space="preserve"> </v>
      </c>
      <c r="F200" s="26" t="s">
        <v>212</v>
      </c>
      <c r="G200" s="27" t="str">
        <f t="shared" si="40"/>
        <v xml:space="preserve"> </v>
      </c>
      <c r="H200" s="24" t="s">
        <v>237</v>
      </c>
      <c r="I200" s="27" t="str">
        <f t="shared" si="41"/>
        <v xml:space="preserve"> </v>
      </c>
      <c r="J200" s="26" t="s">
        <v>204</v>
      </c>
      <c r="K200" s="27" t="str">
        <f t="shared" si="42"/>
        <v xml:space="preserve"> </v>
      </c>
      <c r="L200" s="24" t="s">
        <v>207</v>
      </c>
      <c r="M200" s="27" t="str">
        <f t="shared" si="43"/>
        <v xml:space="preserve"> </v>
      </c>
      <c r="N200" s="26" t="s">
        <v>204</v>
      </c>
      <c r="O200" s="27" t="str">
        <f t="shared" si="44"/>
        <v xml:space="preserve"> </v>
      </c>
      <c r="P200" s="26" t="s">
        <v>206</v>
      </c>
      <c r="Q200" s="27" t="str">
        <f t="shared" si="45"/>
        <v xml:space="preserve"> </v>
      </c>
      <c r="R200" s="24" t="s">
        <v>207</v>
      </c>
      <c r="S200" s="27" t="str">
        <f t="shared" si="46"/>
        <v xml:space="preserve"> </v>
      </c>
      <c r="T200" s="26" t="s">
        <v>208</v>
      </c>
      <c r="U200" s="27" t="str">
        <f t="shared" si="47"/>
        <v xml:space="preserve"> </v>
      </c>
      <c r="V200" s="26" t="s">
        <v>204</v>
      </c>
      <c r="W200" s="27" t="str">
        <f t="shared" si="48"/>
        <v xml:space="preserve"> </v>
      </c>
      <c r="X200" s="24" t="s">
        <v>207</v>
      </c>
      <c r="Y200" s="27" t="str">
        <f t="shared" si="49"/>
        <v xml:space="preserve"> </v>
      </c>
      <c r="Z200" s="26" t="s">
        <v>210</v>
      </c>
      <c r="AA200" s="27" t="str">
        <f t="shared" si="50"/>
        <v xml:space="preserve"> </v>
      </c>
      <c r="AB200" s="26" t="s">
        <v>214</v>
      </c>
      <c r="AC200" s="27" t="str">
        <f t="shared" si="51"/>
        <v xml:space="preserve"> </v>
      </c>
      <c r="AD200" s="24">
        <v>40</v>
      </c>
      <c r="AE200" s="27" t="str">
        <f t="shared" si="52"/>
        <v/>
      </c>
      <c r="AF200" s="26" t="s">
        <v>206</v>
      </c>
      <c r="AG200" s="27" t="str">
        <f t="shared" si="53"/>
        <v xml:space="preserve"> </v>
      </c>
      <c r="AH200" s="26" t="s">
        <v>214</v>
      </c>
      <c r="AI200" s="27" t="str">
        <f t="shared" si="54"/>
        <v xml:space="preserve"> </v>
      </c>
      <c r="AJ200" s="32">
        <f>IF(OR(AND(D200&gt;=31,D200&lt;40),AND(H200&gt;=31,H200&lt;40),AND(L200&gt;=31,L200&lt;40),AND(R200&gt;=31,R200&lt;40),AND(X200&gt;=31,X200&lt;40),AND(AD200&gt;=31,AD200&lt;40)),IF(AND(OR(COUNTIF(D200:AI200,"=31")&gt;=1,COUNTIF(D200:AI200,"=32")&gt;=1,COUNTIF(D200:AI200,"=33")&gt;=1,COUNTIF(D200:AI200,"=34")&gt;=1,COUNTIF(D200:AI200,"=35")&gt;=1,COUNTIF(D200:AI200,"=36")&gt;=1 ),COUNTIF(D200:AI200,"")=0,COUNTIF(D200:AI200," ")=0,COUNTIF(D200:AI200,"F")=1),CONCATENATE(SUM(EXTRACTNUMBER(D200),EXTRACTNUMBER(F200),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EXTRACTNUMBER(AD200),EXTRACTNUMBER(AH200),EXTRACTNUMBER(AF200)),"*"),IF(AND(COUNTIF(D200:AI200,"=34")&gt;=1,COUNTIF(D200:AI200,"=35")&gt;=1,COUNTIF(D200:AI200,"f")=2,COUNTIF(D200:AI200,"")=0,COUNTIF(D200:AI200," ")=0),CONCATENATE(SUM(EXTRACTNUMBER(D200),EXTRACTNUMBER(F200),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EXTRACTNUMBER(AD200),EXTRACTNUMBER(AH200),EXTRACTNUMBER(AF200)),"*"),IF(AND(COUNTIF(D200:AI200,"=36")&gt;=2,COUNTIF(D200:AI200,"f")=2,COUNTIF(D200:AI200,"")=0,COUNTIF(D200:AI200," ")=0),CONCATENATE(SUM(EXTRACTNUMBER(D200),EXTRACTNUMBER(F200),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EXTRACTNUMBER(AD200),EXTRACTNUMBER(AH200),EXTRACTNUMBER(AF200)),"*"),SUM(EXTRACTNUMBER(D200),EXTRACTNUMBER(F200),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EXTRACTNUMBER(AD200),EXTRACTNUMBER(AH200),EXTRACTNUMBER(AF200))))),SUM(EXTRACTNUMBER(D200),EXTRACTNUMBER(F200),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EXTRACTNUMBER(AD200),EXTRACTNUMBER(AH200),EXTRACTNUMBER(AF200)))</f>
        <v>430</v>
      </c>
      <c r="AK200" s="28" t="s">
        <v>239</v>
      </c>
      <c r="AL200" s="29">
        <f t="shared" si="38"/>
        <v>887</v>
      </c>
      <c r="AM200" s="29" t="str">
        <f t="shared" si="55"/>
        <v>PASS</v>
      </c>
      <c r="AN200" s="30" t="str">
        <f>IF(AM200="ABSENT","AB",IF(AM200="FAIL","--",
IF(AK200=0,"RS 3",
IF(AND(SUM(EXTRACTNUMBER(AK200),EXTRACTNUMBER(AJ200))&gt;=1010,
        NOT(IFERROR(FIND("x",AK200),0)),
        NOT(IFERROR(FIND("x",AJ200),0))),"I",
IF(AND(SUM(EXTRACTNUMBER(AK200),EXTRACTNUMBER(AJ200))&gt;=850,
      SUM(EXTRACTNUMBER(AK200),EXTRACTNUMBER(AJ200))&lt;1010,
      NOT(IFERROR(FIND("x",AK200),0)),
      NOT(IFERROR(FIND("x",AJ200),0))),"II",
IF(OR(AND(SUM(EXTRACTNUMBER(AK200),EXTRACTNUMBER(AJ200))&lt;850,
SUM(EXTRACTNUMBER(AK200),EXTRACTNUMBER(AJ200))&gt;=670),
IFERROR(FIND("x",AK200),0),IFERROR(FIND("x",AJ200),0)),"P","--"))))))</f>
        <v>P</v>
      </c>
      <c r="AO200" s="2" t="str">
        <f t="shared" si="56"/>
        <v xml:space="preserve">Eight Hundred Eighty Seven </v>
      </c>
    </row>
    <row r="201" spans="2:41" ht="16.5" customHeight="1">
      <c r="B201" s="45">
        <v>134374</v>
      </c>
      <c r="C201" s="46" t="s">
        <v>196</v>
      </c>
      <c r="D201" s="43" t="s">
        <v>207</v>
      </c>
      <c r="E201" s="27" t="str">
        <f t="shared" si="39"/>
        <v xml:space="preserve"> </v>
      </c>
      <c r="F201" s="26" t="s">
        <v>204</v>
      </c>
      <c r="G201" s="27" t="str">
        <f t="shared" si="40"/>
        <v xml:space="preserve"> </v>
      </c>
      <c r="H201" s="24">
        <v>45</v>
      </c>
      <c r="I201" s="27" t="str">
        <f t="shared" si="41"/>
        <v/>
      </c>
      <c r="J201" s="26" t="s">
        <v>208</v>
      </c>
      <c r="K201" s="27" t="str">
        <f t="shared" si="42"/>
        <v xml:space="preserve"> </v>
      </c>
      <c r="L201" s="24" t="s">
        <v>209</v>
      </c>
      <c r="M201" s="27" t="str">
        <f t="shared" si="43"/>
        <v xml:space="preserve"> </v>
      </c>
      <c r="N201" s="26" t="s">
        <v>217</v>
      </c>
      <c r="O201" s="27" t="str">
        <f t="shared" si="44"/>
        <v xml:space="preserve"> </v>
      </c>
      <c r="P201" s="26" t="s">
        <v>206</v>
      </c>
      <c r="Q201" s="27" t="str">
        <f t="shared" si="45"/>
        <v xml:space="preserve"> </v>
      </c>
      <c r="R201" s="24" t="s">
        <v>209</v>
      </c>
      <c r="S201" s="27" t="str">
        <f t="shared" si="46"/>
        <v xml:space="preserve"> </v>
      </c>
      <c r="T201" s="26" t="s">
        <v>216</v>
      </c>
      <c r="U201" s="27" t="str">
        <f t="shared" si="47"/>
        <v xml:space="preserve"> </v>
      </c>
      <c r="V201" s="26" t="s">
        <v>214</v>
      </c>
      <c r="W201" s="27" t="str">
        <f t="shared" si="48"/>
        <v xml:space="preserve"> </v>
      </c>
      <c r="X201" s="24">
        <v>40</v>
      </c>
      <c r="Y201" s="27" t="str">
        <f t="shared" si="49"/>
        <v/>
      </c>
      <c r="Z201" s="26" t="s">
        <v>217</v>
      </c>
      <c r="AA201" s="27" t="str">
        <f t="shared" si="50"/>
        <v xml:space="preserve"> </v>
      </c>
      <c r="AB201" s="26" t="s">
        <v>206</v>
      </c>
      <c r="AC201" s="27" t="str">
        <f t="shared" si="51"/>
        <v xml:space="preserve"> </v>
      </c>
      <c r="AD201" s="24" t="s">
        <v>207</v>
      </c>
      <c r="AE201" s="27" t="str">
        <f t="shared" si="52"/>
        <v xml:space="preserve"> </v>
      </c>
      <c r="AF201" s="26" t="s">
        <v>212</v>
      </c>
      <c r="AG201" s="27" t="str">
        <f t="shared" si="53"/>
        <v xml:space="preserve"> </v>
      </c>
      <c r="AH201" s="26" t="s">
        <v>216</v>
      </c>
      <c r="AI201" s="27" t="str">
        <f t="shared" si="54"/>
        <v xml:space="preserve"> </v>
      </c>
      <c r="AJ201" s="32">
        <f>IF(OR(AND(D201&gt;=31,D201&lt;40),AND(H201&gt;=31,H201&lt;40),AND(L201&gt;=31,L201&lt;40),AND(R201&gt;=31,R201&lt;40),AND(X201&gt;=31,X201&lt;40),AND(AD201&gt;=31,AD201&lt;40)),IF(AND(OR(COUNTIF(D201:AI201,"=31")&gt;=1,COUNTIF(D201:AI201,"=32")&gt;=1,COUNTIF(D201:AI201,"=33")&gt;=1,COUNTIF(D201:AI201,"=34")&gt;=1,COUNTIF(D201:AI201,"=35")&gt;=1,COUNTIF(D201:AI201,"=36")&gt;=1 ),COUNTIF(D201:AI201,"")=0,COUNTIF(D201:AI201," ")=0,COUNTIF(D201:AI201,"F")=1),CONCATENATE(SUM(EXTRACTNUMBER(D201),EXTRACTNUMBER(F201),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EXTRACTNUMBER(AD201),EXTRACTNUMBER(AH201),EXTRACTNUMBER(AF201)),"*"),IF(AND(COUNTIF(D201:AI201,"=34")&gt;=1,COUNTIF(D201:AI201,"=35")&gt;=1,COUNTIF(D201:AI201,"f")=2,COUNTIF(D201:AI201,"")=0,COUNTIF(D201:AI201," ")=0),CONCATENATE(SUM(EXTRACTNUMBER(D201),EXTRACTNUMBER(F201),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EXTRACTNUMBER(AD201),EXTRACTNUMBER(AH201),EXTRACTNUMBER(AF201)),"*"),IF(AND(COUNTIF(D201:AI201,"=36")&gt;=2,COUNTIF(D201:AI201,"f")=2,COUNTIF(D201:AI201,"")=0,COUNTIF(D201:AI201," ")=0),CONCATENATE(SUM(EXTRACTNUMBER(D201),EXTRACTNUMBER(F201),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EXTRACTNUMBER(AD201),EXTRACTNUMBER(AH201),EXTRACTNUMBER(AF201)),"*"),SUM(EXTRACTNUMBER(D201),EXTRACTNUMBER(F201),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EXTRACTNUMBER(AD201),EXTRACTNUMBER(AH201),EXTRACTNUMBER(AF201))))),SUM(EXTRACTNUMBER(D201),EXTRACTNUMBER(F201),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EXTRACTNUMBER(AD201),EXTRACTNUMBER(AH201),EXTRACTNUMBER(AF201)))</f>
        <v>414</v>
      </c>
      <c r="AK201" s="94" t="s">
        <v>586</v>
      </c>
      <c r="AL201" s="29">
        <f t="shared" si="38"/>
        <v>889</v>
      </c>
      <c r="AM201" s="29" t="str">
        <f t="shared" si="55"/>
        <v>PASS</v>
      </c>
      <c r="AN201" s="30" t="str">
        <f>IF(AM201="ABSENT","AB",IF(AM201="FAIL","--",
IF(AK201=0,"RS 3",
IF(AND(SUM(EXTRACTNUMBER(AK201),EXTRACTNUMBER(AJ201))&gt;=1010,
        NOT(IFERROR(FIND("x",AK201),0)),
        NOT(IFERROR(FIND("x",AJ201),0))),"I",
IF(AND(SUM(EXTRACTNUMBER(AK201),EXTRACTNUMBER(AJ201))&gt;=850,
      SUM(EXTRACTNUMBER(AK201),EXTRACTNUMBER(AJ201))&lt;1010,
      NOT(IFERROR(FIND("x",AK201),0)),
      NOT(IFERROR(FIND("x",AJ201),0))),"II",
IF(OR(AND(SUM(EXTRACTNUMBER(AK201),EXTRACTNUMBER(AJ201))&lt;850,
SUM(EXTRACTNUMBER(AK201),EXTRACTNUMBER(AJ201))&gt;=670),
IFERROR(FIND("x",AK201),0),IFERROR(FIND("x",AJ201),0)),"P","--"))))))</f>
        <v>P</v>
      </c>
      <c r="AO201" s="2" t="str">
        <f t="shared" si="56"/>
        <v xml:space="preserve">Eight Hundred Eighty Nine </v>
      </c>
    </row>
    <row r="202" spans="2:41" ht="16.5" customHeight="1">
      <c r="B202" s="45">
        <v>134375</v>
      </c>
      <c r="C202" s="46" t="s">
        <v>197</v>
      </c>
      <c r="D202" s="43" t="s">
        <v>207</v>
      </c>
      <c r="E202" s="27" t="str">
        <f t="shared" si="39"/>
        <v xml:space="preserve"> </v>
      </c>
      <c r="F202" s="26" t="s">
        <v>212</v>
      </c>
      <c r="G202" s="27" t="str">
        <f t="shared" si="40"/>
        <v xml:space="preserve"> </v>
      </c>
      <c r="H202" s="24">
        <v>40</v>
      </c>
      <c r="I202" s="27" t="str">
        <f t="shared" si="41"/>
        <v/>
      </c>
      <c r="J202" s="26" t="s">
        <v>208</v>
      </c>
      <c r="K202" s="27" t="str">
        <f t="shared" si="42"/>
        <v xml:space="preserve"> </v>
      </c>
      <c r="L202" s="24" t="s">
        <v>236</v>
      </c>
      <c r="M202" s="27" t="str">
        <f t="shared" si="43"/>
        <v xml:space="preserve"> </v>
      </c>
      <c r="N202" s="26" t="s">
        <v>208</v>
      </c>
      <c r="O202" s="27" t="str">
        <f t="shared" si="44"/>
        <v xml:space="preserve"> </v>
      </c>
      <c r="P202" s="26" t="s">
        <v>208</v>
      </c>
      <c r="Q202" s="27" t="str">
        <f t="shared" si="45"/>
        <v xml:space="preserve"> </v>
      </c>
      <c r="R202" s="24" t="s">
        <v>223</v>
      </c>
      <c r="S202" s="27" t="str">
        <f t="shared" si="46"/>
        <v xml:space="preserve"> </v>
      </c>
      <c r="T202" s="26" t="s">
        <v>206</v>
      </c>
      <c r="U202" s="27" t="str">
        <f t="shared" si="47"/>
        <v xml:space="preserve"> </v>
      </c>
      <c r="V202" s="26" t="s">
        <v>222</v>
      </c>
      <c r="W202" s="27" t="str">
        <f t="shared" si="48"/>
        <v xml:space="preserve"> </v>
      </c>
      <c r="X202" s="24" t="s">
        <v>240</v>
      </c>
      <c r="Y202" s="27" t="str">
        <f t="shared" si="49"/>
        <v xml:space="preserve"> </v>
      </c>
      <c r="Z202" s="26" t="s">
        <v>212</v>
      </c>
      <c r="AA202" s="27" t="str">
        <f t="shared" si="50"/>
        <v xml:space="preserve"> </v>
      </c>
      <c r="AB202" s="26" t="s">
        <v>212</v>
      </c>
      <c r="AC202" s="27" t="str">
        <f t="shared" si="51"/>
        <v xml:space="preserve"> </v>
      </c>
      <c r="AD202" s="24" t="s">
        <v>207</v>
      </c>
      <c r="AE202" s="27" t="str">
        <f t="shared" si="52"/>
        <v xml:space="preserve"> </v>
      </c>
      <c r="AF202" s="26" t="s">
        <v>212</v>
      </c>
      <c r="AG202" s="27" t="str">
        <f t="shared" si="53"/>
        <v xml:space="preserve"> </v>
      </c>
      <c r="AH202" s="26" t="s">
        <v>206</v>
      </c>
      <c r="AI202" s="27" t="str">
        <f t="shared" si="54"/>
        <v xml:space="preserve"> </v>
      </c>
      <c r="AJ202" s="32">
        <f>IF(OR(AND(D202&gt;=31,D202&lt;40),AND(H202&gt;=31,H202&lt;40),AND(L202&gt;=31,L202&lt;40),AND(R202&gt;=31,R202&lt;40),AND(X202&gt;=31,X202&lt;40),AND(AD202&gt;=31,AD202&lt;40)),IF(AND(OR(COUNTIF(D202:AI202,"=31")&gt;=1,COUNTIF(D202:AI202,"=32")&gt;=1,COUNTIF(D202:AI202,"=33")&gt;=1,COUNTIF(D202:AI202,"=34")&gt;=1,COUNTIF(D202:AI202,"=35")&gt;=1,COUNTIF(D202:AI202,"=36")&gt;=1 ),COUNTIF(D202:AI202,"")=0,COUNTIF(D202:AI202," ")=0,COUNTIF(D202:AI202,"F")=1),CONCATENATE(SUM(EXTRACTNUMBER(D202),EXTRACTNUMBER(F202),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EXTRACTNUMBER(AD202),EXTRACTNUMBER(AH202),EXTRACTNUMBER(AF202)),"*"),IF(AND(COUNTIF(D202:AI202,"=34")&gt;=1,COUNTIF(D202:AI202,"=35")&gt;=1,COUNTIF(D202:AI202,"f")=2,COUNTIF(D202:AI202,"")=0,COUNTIF(D202:AI202," ")=0),CONCATENATE(SUM(EXTRACTNUMBER(D202),EXTRACTNUMBER(F202),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EXTRACTNUMBER(AD202),EXTRACTNUMBER(AH202),EXTRACTNUMBER(AF202)),"*"),IF(AND(COUNTIF(D202:AI202,"=36")&gt;=2,COUNTIF(D202:AI202,"f")=2,COUNTIF(D202:AI202,"")=0,COUNTIF(D202:AI202," ")=0),CONCATENATE(SUM(EXTRACTNUMBER(D202),EXTRACTNUMBER(F202),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EXTRACTNUMBER(AD202),EXTRACTNUMBER(AH202),EXTRACTNUMBER(AF202)),"*"),SUM(EXTRACTNUMBER(D202),EXTRACTNUMBER(F202),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EXTRACTNUMBER(AD202),EXTRACTNUMBER(AH202),EXTRACTNUMBER(AF202))))),SUM(EXTRACTNUMBER(D202),EXTRACTNUMBER(F202),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EXTRACTNUMBER(AD202),EXTRACTNUMBER(AH202),EXTRACTNUMBER(AF202)))</f>
        <v>471</v>
      </c>
      <c r="AK202" s="28" t="s">
        <v>304</v>
      </c>
      <c r="AL202" s="29">
        <f t="shared" si="38"/>
        <v>968</v>
      </c>
      <c r="AM202" s="29" t="str">
        <f t="shared" si="55"/>
        <v>PASS</v>
      </c>
      <c r="AN202" s="30" t="str">
        <f>IF(AM202="ABSENT","AB",IF(AM202="FAIL","--",
IF(AK202=0,"RS 3",
IF(AND(SUM(EXTRACTNUMBER(AK202),EXTRACTNUMBER(AJ202))&gt;=1010,
        NOT(IFERROR(FIND("x",AK202),0)),
        NOT(IFERROR(FIND("x",AJ202),0))),"I",
IF(AND(SUM(EXTRACTNUMBER(AK202),EXTRACTNUMBER(AJ202))&gt;=850,
      SUM(EXTRACTNUMBER(AK202),EXTRACTNUMBER(AJ202))&lt;1010,
      NOT(IFERROR(FIND("x",AK202),0)),
      NOT(IFERROR(FIND("x",AJ202),0))),"II",
IF(OR(AND(SUM(EXTRACTNUMBER(AK202),EXTRACTNUMBER(AJ202))&lt;850,
SUM(EXTRACTNUMBER(AK202),EXTRACTNUMBER(AJ202))&gt;=670),
IFERROR(FIND("x",AK202),0),IFERROR(FIND("x",AJ202),0)),"P","--"))))))</f>
        <v>P</v>
      </c>
      <c r="AO202" s="2" t="str">
        <f t="shared" si="56"/>
        <v xml:space="preserve">Nine Hundred Sixty Eight </v>
      </c>
    </row>
    <row r="203" spans="2:41" ht="16.5" customHeight="1">
      <c r="B203" s="45">
        <v>134376</v>
      </c>
      <c r="C203" s="46" t="s">
        <v>198</v>
      </c>
      <c r="D203" s="43" t="s">
        <v>207</v>
      </c>
      <c r="E203" s="27" t="str">
        <f t="shared" si="39"/>
        <v xml:space="preserve"> </v>
      </c>
      <c r="F203" s="26" t="s">
        <v>210</v>
      </c>
      <c r="G203" s="27" t="str">
        <f t="shared" si="40"/>
        <v xml:space="preserve"> </v>
      </c>
      <c r="H203" s="24">
        <v>33</v>
      </c>
      <c r="I203" s="27" t="str">
        <f t="shared" si="41"/>
        <v>F</v>
      </c>
      <c r="J203" s="26" t="s">
        <v>210</v>
      </c>
      <c r="K203" s="27" t="str">
        <f t="shared" si="42"/>
        <v xml:space="preserve"> </v>
      </c>
      <c r="L203" s="24">
        <v>27</v>
      </c>
      <c r="M203" s="27" t="str">
        <f t="shared" si="43"/>
        <v>F</v>
      </c>
      <c r="N203" s="26" t="s">
        <v>212</v>
      </c>
      <c r="O203" s="27" t="str">
        <f t="shared" si="44"/>
        <v xml:space="preserve"> </v>
      </c>
      <c r="P203" s="26" t="s">
        <v>212</v>
      </c>
      <c r="Q203" s="27" t="str">
        <f t="shared" si="45"/>
        <v xml:space="preserve"> </v>
      </c>
      <c r="R203" s="24" t="s">
        <v>207</v>
      </c>
      <c r="S203" s="27" t="str">
        <f t="shared" si="46"/>
        <v xml:space="preserve"> </v>
      </c>
      <c r="T203" s="26" t="s">
        <v>212</v>
      </c>
      <c r="U203" s="27" t="str">
        <f t="shared" si="47"/>
        <v xml:space="preserve"> </v>
      </c>
      <c r="V203" s="26" t="s">
        <v>210</v>
      </c>
      <c r="W203" s="27" t="str">
        <f t="shared" si="48"/>
        <v xml:space="preserve"> </v>
      </c>
      <c r="X203" s="24" t="s">
        <v>207</v>
      </c>
      <c r="Y203" s="27" t="str">
        <f t="shared" si="49"/>
        <v xml:space="preserve"> </v>
      </c>
      <c r="Z203" s="26" t="s">
        <v>222</v>
      </c>
      <c r="AA203" s="27" t="str">
        <f t="shared" si="50"/>
        <v xml:space="preserve"> </v>
      </c>
      <c r="AB203" s="26" t="s">
        <v>214</v>
      </c>
      <c r="AC203" s="27" t="str">
        <f t="shared" si="51"/>
        <v xml:space="preserve"> </v>
      </c>
      <c r="AD203" s="24" t="s">
        <v>207</v>
      </c>
      <c r="AE203" s="27" t="str">
        <f t="shared" si="52"/>
        <v xml:space="preserve"> </v>
      </c>
      <c r="AF203" s="26" t="s">
        <v>212</v>
      </c>
      <c r="AG203" s="27" t="str">
        <f t="shared" si="53"/>
        <v xml:space="preserve"> </v>
      </c>
      <c r="AH203" s="26" t="s">
        <v>214</v>
      </c>
      <c r="AI203" s="27" t="str">
        <f t="shared" si="54"/>
        <v xml:space="preserve"> </v>
      </c>
      <c r="AJ203" s="32">
        <f>IF(OR(AND(D203&gt;=31,D203&lt;40),AND(H203&gt;=31,H203&lt;40),AND(L203&gt;=31,L203&lt;40),AND(R203&gt;=31,R203&lt;40),AND(X203&gt;=31,X203&lt;40),AND(AD203&gt;=31,AD203&lt;40)),IF(AND(OR(COUNTIF(D203:AI203,"=31")&gt;=1,COUNTIF(D203:AI203,"=32")&gt;=1,COUNTIF(D203:AI203,"=33")&gt;=1,COUNTIF(D203:AI203,"=34")&gt;=1,COUNTIF(D203:AI203,"=35")&gt;=1,COUNTIF(D203:AI203,"=36")&gt;=1 ),COUNTIF(D203:AI203,"")=0,COUNTIF(D203:AI203," ")=0,COUNTIF(D203:AI203,"F")=1),CONCATENATE(SUM(EXTRACTNUMBER(D203),EXTRACTNUMBER(F203),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EXTRACTNUMBER(AD203),EXTRACTNUMBER(AH203),EXTRACTNUMBER(AF203)),"*"),IF(AND(COUNTIF(D203:AI203,"=34")&gt;=1,COUNTIF(D203:AI203,"=35")&gt;=1,COUNTIF(D203:AI203,"f")=2,COUNTIF(D203:AI203,"")=0,COUNTIF(D203:AI203," ")=0),CONCATENATE(SUM(EXTRACTNUMBER(D203),EXTRACTNUMBER(F203),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EXTRACTNUMBER(AD203),EXTRACTNUMBER(AH203),EXTRACTNUMBER(AF203)),"*"),IF(AND(COUNTIF(D203:AI203,"=36")&gt;=2,COUNTIF(D203:AI203,"f")=2,COUNTIF(D203:AI203,"")=0,COUNTIF(D203:AI203," ")=0),CONCATENATE(SUM(EXTRACTNUMBER(D203),EXTRACTNUMBER(F203),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EXTRACTNUMBER(AD203),EXTRACTNUMBER(AH203),EXTRACTNUMBER(AF203)),"*"),SUM(EXTRACTNUMBER(D203),EXTRACTNUMBER(F203),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EXTRACTNUMBER(AD203),EXTRACTNUMBER(AH203),EXTRACTNUMBER(AF203))))),SUM(EXTRACTNUMBER(D203),EXTRACTNUMBER(F203),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EXTRACTNUMBER(AD203),EXTRACTNUMBER(AH203),EXTRACTNUMBER(AF203)))</f>
        <v>411</v>
      </c>
      <c r="AK203" s="28">
        <v>0</v>
      </c>
      <c r="AL203" s="29">
        <f t="shared" si="38"/>
        <v>411</v>
      </c>
      <c r="AM203" s="29" t="str">
        <f t="shared" si="55"/>
        <v>FAIL</v>
      </c>
      <c r="AN203" s="30" t="str">
        <f>IF(AM203="ABSENT","AB",IF(AM203="FAIL","--",
IF(AK203=0,"RS 3",
IF(AND(SUM(EXTRACTNUMBER(AK203),EXTRACTNUMBER(AJ203))&gt;=1010,
        NOT(IFERROR(FIND("x",AK203),0)),
        NOT(IFERROR(FIND("x",AJ203),0))),"I",
IF(AND(SUM(EXTRACTNUMBER(AK203),EXTRACTNUMBER(AJ203))&gt;=850,
      SUM(EXTRACTNUMBER(AK203),EXTRACTNUMBER(AJ203))&lt;1010,
      NOT(IFERROR(FIND("x",AK203),0)),
      NOT(IFERROR(FIND("x",AJ203),0))),"II",
IF(OR(AND(SUM(EXTRACTNUMBER(AK203),EXTRACTNUMBER(AJ203))&lt;850,
SUM(EXTRACTNUMBER(AK203),EXTRACTNUMBER(AJ203))&gt;=670),
IFERROR(FIND("x",AK203),0),IFERROR(FIND("x",AJ203),0)),"P","--"))))))</f>
        <v>--</v>
      </c>
      <c r="AO203" s="2" t="str">
        <f t="shared" si="56"/>
        <v xml:space="preserve">Four Hundred Eleven </v>
      </c>
    </row>
    <row r="204" spans="2:41" ht="16.5" customHeight="1">
      <c r="B204" s="45">
        <v>134377</v>
      </c>
      <c r="C204" s="46" t="s">
        <v>199</v>
      </c>
      <c r="D204" s="43" t="s">
        <v>305</v>
      </c>
      <c r="E204" s="27" t="str">
        <f t="shared" si="39"/>
        <v/>
      </c>
      <c r="F204" s="26" t="s">
        <v>227</v>
      </c>
      <c r="G204" s="27" t="str">
        <f t="shared" si="40"/>
        <v xml:space="preserve"> </v>
      </c>
      <c r="H204" s="24" t="s">
        <v>305</v>
      </c>
      <c r="I204" s="27" t="str">
        <f t="shared" si="41"/>
        <v/>
      </c>
      <c r="J204" s="26" t="s">
        <v>206</v>
      </c>
      <c r="K204" s="27" t="str">
        <f t="shared" si="42"/>
        <v xml:space="preserve"> </v>
      </c>
      <c r="L204" s="24" t="s">
        <v>305</v>
      </c>
      <c r="M204" s="27" t="str">
        <f t="shared" si="43"/>
        <v/>
      </c>
      <c r="N204" s="26" t="s">
        <v>217</v>
      </c>
      <c r="O204" s="27" t="str">
        <f t="shared" si="44"/>
        <v xml:space="preserve"> </v>
      </c>
      <c r="P204" s="26" t="s">
        <v>218</v>
      </c>
      <c r="Q204" s="27" t="str">
        <f t="shared" si="45"/>
        <v xml:space="preserve"> </v>
      </c>
      <c r="R204" s="24" t="s">
        <v>207</v>
      </c>
      <c r="S204" s="27" t="str">
        <f t="shared" si="46"/>
        <v xml:space="preserve"> </v>
      </c>
      <c r="T204" s="26" t="s">
        <v>217</v>
      </c>
      <c r="U204" s="27" t="str">
        <f t="shared" si="47"/>
        <v xml:space="preserve"> </v>
      </c>
      <c r="V204" s="26" t="s">
        <v>214</v>
      </c>
      <c r="W204" s="27" t="str">
        <f t="shared" si="48"/>
        <v xml:space="preserve"> </v>
      </c>
      <c r="X204" s="24" t="s">
        <v>305</v>
      </c>
      <c r="Y204" s="27" t="str">
        <f t="shared" si="49"/>
        <v/>
      </c>
      <c r="Z204" s="26" t="s">
        <v>217</v>
      </c>
      <c r="AA204" s="27" t="str">
        <f t="shared" si="50"/>
        <v xml:space="preserve"> </v>
      </c>
      <c r="AB204" s="26" t="s">
        <v>206</v>
      </c>
      <c r="AC204" s="27" t="str">
        <f t="shared" si="51"/>
        <v xml:space="preserve"> </v>
      </c>
      <c r="AD204" s="24" t="s">
        <v>209</v>
      </c>
      <c r="AE204" s="27" t="str">
        <f t="shared" si="52"/>
        <v xml:space="preserve"> </v>
      </c>
      <c r="AF204" s="26" t="s">
        <v>217</v>
      </c>
      <c r="AG204" s="27" t="str">
        <f t="shared" si="53"/>
        <v xml:space="preserve"> </v>
      </c>
      <c r="AH204" s="26" t="s">
        <v>218</v>
      </c>
      <c r="AI204" s="27" t="str">
        <f t="shared" si="54"/>
        <v xml:space="preserve"> </v>
      </c>
      <c r="AJ204" s="32">
        <f>IF(OR(AND(D204&gt;=31,D204&lt;40),AND(H204&gt;=31,H204&lt;40),AND(L204&gt;=31,L204&lt;40),AND(R204&gt;=31,R204&lt;40),AND(X204&gt;=31,X204&lt;40),AND(AD204&gt;=31,AD204&lt;40)),IF(AND(OR(COUNTIF(D204:AI204,"=31")&gt;=1,COUNTIF(D204:AI204,"=32")&gt;=1,COUNTIF(D204:AI204,"=33")&gt;=1,COUNTIF(D204:AI204,"=34")&gt;=1,COUNTIF(D204:AI204,"=35")&gt;=1,COUNTIF(D204:AI204,"=36")&gt;=1 ),COUNTIF(D204:AI204,"")=0,COUNTIF(D204:AI204," ")=0,COUNTIF(D204:AI204,"F")=1),CONCATENATE(SUM(EXTRACTNUMBER(D204),EXTRACTNUMBER(F204),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EXTRACTNUMBER(AD204),EXTRACTNUMBER(AH204),EXTRACTNUMBER(AF204)),"*"),IF(AND(COUNTIF(D204:AI204,"=34")&gt;=1,COUNTIF(D204:AI204,"=35")&gt;=1,COUNTIF(D204:AI204,"f")=2,COUNTIF(D204:AI204,"")=0,COUNTIF(D204:AI204," ")=0),CONCATENATE(SUM(EXTRACTNUMBER(D204),EXTRACTNUMBER(F204),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EXTRACTNUMBER(AD204),EXTRACTNUMBER(AH204),EXTRACTNUMBER(AF204)),"*"),IF(AND(COUNTIF(D204:AI204,"=36")&gt;=2,COUNTIF(D204:AI204,"f")=2,COUNTIF(D204:AI204,"")=0,COUNTIF(D204:AI204," ")=0),CONCATENATE(SUM(EXTRACTNUMBER(D204),EXTRACTNUMBER(F204),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EXTRACTNUMBER(AD204),EXTRACTNUMBER(AH204),EXTRACTNUMBER(AF204)),"*"),SUM(EXTRACTNUMBER(D204),EXTRACTNUMBER(F204),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EXTRACTNUMBER(AD204),EXTRACTNUMBER(AH204),EXTRACTNUMBER(AF204))))),SUM(EXTRACTNUMBER(D204),EXTRACTNUMBER(F204),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EXTRACTNUMBER(AD204),EXTRACTNUMBER(AH204),EXTRACTNUMBER(AF204)))</f>
        <v>225</v>
      </c>
      <c r="AK204" s="28">
        <v>0</v>
      </c>
      <c r="AL204" s="29">
        <f t="shared" si="38"/>
        <v>225</v>
      </c>
      <c r="AM204" s="29" t="str">
        <f t="shared" si="55"/>
        <v>ABSENT</v>
      </c>
      <c r="AN204" s="30" t="str">
        <f>IF(AM204="ABSENT","AB",IF(AM204="FAIL","--",
IF(AK204=0,"RS 3",
IF(AND(SUM(EXTRACTNUMBER(AK204),EXTRACTNUMBER(AJ204))&gt;=1010,
        NOT(IFERROR(FIND("x",AK204),0)),
        NOT(IFERROR(FIND("x",AJ204),0))),"I",
IF(AND(SUM(EXTRACTNUMBER(AK204),EXTRACTNUMBER(AJ204))&gt;=850,
      SUM(EXTRACTNUMBER(AK204),EXTRACTNUMBER(AJ204))&lt;1010,
      NOT(IFERROR(FIND("x",AK204),0)),
      NOT(IFERROR(FIND("x",AJ204),0))),"II",
IF(OR(AND(SUM(EXTRACTNUMBER(AK204),EXTRACTNUMBER(AJ204))&lt;850,
SUM(EXTRACTNUMBER(AK204),EXTRACTNUMBER(AJ204))&gt;=670),
IFERROR(FIND("x",AK204),0),IFERROR(FIND("x",AJ204),0)),"P","--"))))))</f>
        <v>AB</v>
      </c>
      <c r="AO204" s="2" t="str">
        <f t="shared" si="56"/>
        <v xml:space="preserve">Two Hundred Twenty Five </v>
      </c>
    </row>
    <row r="205" spans="2:41" ht="16.5" customHeight="1">
      <c r="B205" s="45">
        <v>134378</v>
      </c>
      <c r="C205" s="46" t="s">
        <v>200</v>
      </c>
      <c r="D205" s="43" t="s">
        <v>305</v>
      </c>
      <c r="E205" s="27" t="str">
        <f t="shared" si="39"/>
        <v/>
      </c>
      <c r="F205" s="26" t="s">
        <v>210</v>
      </c>
      <c r="G205" s="27" t="str">
        <f t="shared" si="40"/>
        <v xml:space="preserve"> </v>
      </c>
      <c r="H205" s="24">
        <v>49</v>
      </c>
      <c r="I205" s="27" t="str">
        <f t="shared" si="41"/>
        <v>E</v>
      </c>
      <c r="J205" s="26" t="s">
        <v>204</v>
      </c>
      <c r="K205" s="27" t="str">
        <f t="shared" si="42"/>
        <v xml:space="preserve"> </v>
      </c>
      <c r="L205" s="24" t="s">
        <v>207</v>
      </c>
      <c r="M205" s="27" t="str">
        <f t="shared" si="43"/>
        <v xml:space="preserve"> </v>
      </c>
      <c r="N205" s="26" t="s">
        <v>204</v>
      </c>
      <c r="O205" s="27" t="str">
        <f t="shared" si="44"/>
        <v xml:space="preserve"> </v>
      </c>
      <c r="P205" s="26" t="s">
        <v>214</v>
      </c>
      <c r="Q205" s="27" t="str">
        <f t="shared" si="45"/>
        <v xml:space="preserve"> </v>
      </c>
      <c r="R205" s="24" t="s">
        <v>207</v>
      </c>
      <c r="S205" s="27" t="str">
        <f t="shared" si="46"/>
        <v xml:space="preserve"> </v>
      </c>
      <c r="T205" s="26" t="s">
        <v>208</v>
      </c>
      <c r="U205" s="27" t="str">
        <f t="shared" si="47"/>
        <v xml:space="preserve"> </v>
      </c>
      <c r="V205" s="26" t="s">
        <v>224</v>
      </c>
      <c r="W205" s="27" t="str">
        <f t="shared" si="48"/>
        <v xml:space="preserve"> </v>
      </c>
      <c r="X205" s="24" t="s">
        <v>207</v>
      </c>
      <c r="Y205" s="27" t="str">
        <f t="shared" si="49"/>
        <v xml:space="preserve"> </v>
      </c>
      <c r="Z205" s="26" t="s">
        <v>212</v>
      </c>
      <c r="AA205" s="27" t="str">
        <f t="shared" si="50"/>
        <v xml:space="preserve"> </v>
      </c>
      <c r="AB205" s="26" t="s">
        <v>206</v>
      </c>
      <c r="AC205" s="27" t="str">
        <f t="shared" si="51"/>
        <v xml:space="preserve"> </v>
      </c>
      <c r="AD205" s="24" t="s">
        <v>207</v>
      </c>
      <c r="AE205" s="27" t="str">
        <f t="shared" si="52"/>
        <v xml:space="preserve"> </v>
      </c>
      <c r="AF205" s="26" t="s">
        <v>210</v>
      </c>
      <c r="AG205" s="27" t="str">
        <f t="shared" si="53"/>
        <v xml:space="preserve"> </v>
      </c>
      <c r="AH205" s="26" t="s">
        <v>204</v>
      </c>
      <c r="AI205" s="27" t="str">
        <f t="shared" si="54"/>
        <v xml:space="preserve"> </v>
      </c>
      <c r="AJ205" s="32">
        <f>IF(OR(AND(D205&gt;=31,D205&lt;40),AND(H205&gt;=31,H205&lt;40),AND(L205&gt;=31,L205&lt;40),AND(R205&gt;=31,R205&lt;40),AND(X205&gt;=31,X205&lt;40),AND(AD205&gt;=31,AD205&lt;40)),IF(AND(OR(COUNTIF(D205:AI205,"=31")&gt;=1,COUNTIF(D205:AI205,"=32")&gt;=1,COUNTIF(D205:AI205,"=33")&gt;=1,COUNTIF(D205:AI205,"=34")&gt;=1,COUNTIF(D205:AI205,"=35")&gt;=1,COUNTIF(D205:AI205,"=36")&gt;=1 ),COUNTIF(D205:AI205,"")=0,COUNTIF(D205:AI205," ")=0,COUNTIF(D205:AI205,"F")=1),CONCATENATE(SUM(EXTRACTNUMBER(D205),EXTRACTNUMBER(F205),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EXTRACTNUMBER(AD205),EXTRACTNUMBER(AH205),EXTRACTNUMBER(AF205)),"*"),IF(AND(COUNTIF(D205:AI205,"=34")&gt;=1,COUNTIF(D205:AI205,"=35")&gt;=1,COUNTIF(D205:AI205,"f")=2,COUNTIF(D205:AI205,"")=0,COUNTIF(D205:AI205," ")=0),CONCATENATE(SUM(EXTRACTNUMBER(D205),EXTRACTNUMBER(F205),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EXTRACTNUMBER(AD205),EXTRACTNUMBER(AH205),EXTRACTNUMBER(AF205)),"*"),IF(AND(COUNTIF(D205:AI205,"=36")&gt;=2,COUNTIF(D205:AI205,"f")=2,COUNTIF(D205:AI205,"")=0,COUNTIF(D205:AI205," ")=0),CONCATENATE(SUM(EXTRACTNUMBER(D205),EXTRACTNUMBER(F205),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EXTRACTNUMBER(AD205),EXTRACTNUMBER(AH205),EXTRACTNUMBER(AF205)),"*"),SUM(EXTRACTNUMBER(D205),EXTRACTNUMBER(F205),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EXTRACTNUMBER(AD205),EXTRACTNUMBER(AH205),EXTRACTNUMBER(AF205))))),SUM(EXTRACTNUMBER(D205),EXTRACTNUMBER(F205),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EXTRACTNUMBER(AD205),EXTRACTNUMBER(AH205),EXTRACTNUMBER(AF205)))</f>
        <v>388</v>
      </c>
      <c r="AK205" s="28">
        <v>0</v>
      </c>
      <c r="AL205" s="29">
        <f t="shared" si="38"/>
        <v>388</v>
      </c>
      <c r="AM205" s="29" t="str">
        <f t="shared" si="55"/>
        <v>FAIL</v>
      </c>
      <c r="AN205" s="30" t="str">
        <f>IF(AM205="ABSENT","AB",IF(AM205="FAIL","--",
IF(AK205=0,"RS 3",
IF(AND(SUM(EXTRACTNUMBER(AK205),EXTRACTNUMBER(AJ205))&gt;=1010,
        NOT(IFERROR(FIND("x",AK205),0)),
        NOT(IFERROR(FIND("x",AJ205),0))),"I",
IF(AND(SUM(EXTRACTNUMBER(AK205),EXTRACTNUMBER(AJ205))&gt;=850,
      SUM(EXTRACTNUMBER(AK205),EXTRACTNUMBER(AJ205))&lt;1010,
      NOT(IFERROR(FIND("x",AK205),0)),
      NOT(IFERROR(FIND("x",AJ205),0))),"II",
IF(OR(AND(SUM(EXTRACTNUMBER(AK205),EXTRACTNUMBER(AJ205))&lt;850,
SUM(EXTRACTNUMBER(AK205),EXTRACTNUMBER(AJ205))&gt;=670),
IFERROR(FIND("x",AK205),0),IFERROR(FIND("x",AJ205),0)),"P","--"))))))</f>
        <v>--</v>
      </c>
      <c r="AO205" s="2" t="str">
        <f t="shared" si="56"/>
        <v xml:space="preserve">Three Hundred Eighty Eight </v>
      </c>
    </row>
    <row r="206" spans="2:41" ht="16.5" customHeight="1">
      <c r="B206" s="45">
        <v>134379</v>
      </c>
      <c r="C206" s="46" t="s">
        <v>306</v>
      </c>
      <c r="D206" s="43">
        <v>12</v>
      </c>
      <c r="E206" s="27" t="str">
        <f t="shared" si="39"/>
        <v>F</v>
      </c>
      <c r="F206" s="26" t="s">
        <v>212</v>
      </c>
      <c r="G206" s="27" t="str">
        <f t="shared" si="40"/>
        <v xml:space="preserve"> </v>
      </c>
      <c r="H206" s="24" t="s">
        <v>207</v>
      </c>
      <c r="I206" s="27" t="str">
        <f t="shared" si="41"/>
        <v xml:space="preserve"> </v>
      </c>
      <c r="J206" s="26" t="s">
        <v>210</v>
      </c>
      <c r="K206" s="27" t="str">
        <f t="shared" si="42"/>
        <v xml:space="preserve"> </v>
      </c>
      <c r="L206" s="24" t="s">
        <v>207</v>
      </c>
      <c r="M206" s="27" t="str">
        <f t="shared" si="43"/>
        <v xml:space="preserve"> </v>
      </c>
      <c r="N206" s="26" t="s">
        <v>222</v>
      </c>
      <c r="O206" s="27" t="str">
        <f t="shared" si="44"/>
        <v xml:space="preserve"> </v>
      </c>
      <c r="P206" s="26" t="s">
        <v>208</v>
      </c>
      <c r="Q206" s="27" t="str">
        <f t="shared" si="45"/>
        <v xml:space="preserve"> </v>
      </c>
      <c r="R206" s="24" t="s">
        <v>207</v>
      </c>
      <c r="S206" s="27" t="str">
        <f t="shared" si="46"/>
        <v xml:space="preserve"> </v>
      </c>
      <c r="T206" s="26" t="s">
        <v>214</v>
      </c>
      <c r="U206" s="27" t="str">
        <f t="shared" si="47"/>
        <v xml:space="preserve"> </v>
      </c>
      <c r="V206" s="26" t="s">
        <v>204</v>
      </c>
      <c r="W206" s="27" t="str">
        <f t="shared" si="48"/>
        <v xml:space="preserve"> </v>
      </c>
      <c r="X206" s="24" t="s">
        <v>207</v>
      </c>
      <c r="Y206" s="27" t="str">
        <f t="shared" si="49"/>
        <v xml:space="preserve"> </v>
      </c>
      <c r="Z206" s="26" t="s">
        <v>212</v>
      </c>
      <c r="AA206" s="27" t="str">
        <f t="shared" si="50"/>
        <v xml:space="preserve"> </v>
      </c>
      <c r="AB206" s="26" t="s">
        <v>206</v>
      </c>
      <c r="AC206" s="27" t="str">
        <f t="shared" si="51"/>
        <v xml:space="preserve"> </v>
      </c>
      <c r="AD206" s="24" t="s">
        <v>207</v>
      </c>
      <c r="AE206" s="27" t="str">
        <f t="shared" si="52"/>
        <v xml:space="preserve"> </v>
      </c>
      <c r="AF206" s="26" t="s">
        <v>212</v>
      </c>
      <c r="AG206" s="27" t="str">
        <f t="shared" si="53"/>
        <v xml:space="preserve"> </v>
      </c>
      <c r="AH206" s="26" t="s">
        <v>214</v>
      </c>
      <c r="AI206" s="27" t="str">
        <f t="shared" si="54"/>
        <v xml:space="preserve"> </v>
      </c>
      <c r="AJ206" s="32">
        <f>IF(OR(AND(D206&gt;=31,D206&lt;40),AND(H206&gt;=31,H206&lt;40),AND(L206&gt;=31,L206&lt;40),AND(R206&gt;=31,R206&lt;40),AND(X206&gt;=31,X206&lt;40),AND(AD206&gt;=31,AD206&lt;40)),IF(AND(OR(COUNTIF(D206:AI206,"=31")&gt;=1,COUNTIF(D206:AI206,"=32")&gt;=1,COUNTIF(D206:AI206,"=33")&gt;=1,COUNTIF(D206:AI206,"=34")&gt;=1,COUNTIF(D206:AI206,"=35")&gt;=1,COUNTIF(D206:AI206,"=36")&gt;=1 ),COUNTIF(D206:AI206,"")=0,COUNTIF(D206:AI206," ")=0,COUNTIF(D206:AI206,"F")=1),CONCATENATE(SUM(EXTRACTNUMBER(D206),EXTRACTNUMBER(F206),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EXTRACTNUMBER(AD206),EXTRACTNUMBER(AH206),EXTRACTNUMBER(AF206)),"*"),IF(AND(COUNTIF(D206:AI206,"=34")&gt;=1,COUNTIF(D206:AI206,"=35")&gt;=1,COUNTIF(D206:AI206,"f")=2,COUNTIF(D206:AI206,"")=0,COUNTIF(D206:AI206," ")=0),CONCATENATE(SUM(EXTRACTNUMBER(D206),EXTRACTNUMBER(F206),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EXTRACTNUMBER(AD206),EXTRACTNUMBER(AH206),EXTRACTNUMBER(AF206)),"*"),IF(AND(COUNTIF(D206:AI206,"=36")&gt;=2,COUNTIF(D206:AI206,"f")=2,COUNTIF(D206:AI206,"")=0,COUNTIF(D206:AI206," ")=0),CONCATENATE(SUM(EXTRACTNUMBER(D206),EXTRACTNUMBER(F206),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EXTRACTNUMBER(AD206),EXTRACTNUMBER(AH206),EXTRACTNUMBER(AF206)),"*"),SUM(EXTRACTNUMBER(D206),EXTRACTNUMBER(F206),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EXTRACTNUMBER(AD206),EXTRACTNUMBER(AH206),EXTRACTNUMBER(AF206))))),SUM(EXTRACTNUMBER(D206),EXTRACTNUMBER(F206),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EXTRACTNUMBER(AD206),EXTRACTNUMBER(AH206),EXTRACTNUMBER(AF206)))</f>
        <v>401</v>
      </c>
      <c r="AK206" s="28">
        <v>0</v>
      </c>
      <c r="AL206" s="29">
        <f t="shared" si="38"/>
        <v>401</v>
      </c>
      <c r="AM206" s="29" t="str">
        <f t="shared" si="55"/>
        <v>FAIL</v>
      </c>
      <c r="AN206" s="30" t="str">
        <f>IF(AM206="ABSENT","AB",IF(AM206="FAIL","--",
IF(AK206=0,"RS 3",
IF(AND(SUM(EXTRACTNUMBER(AK206),EXTRACTNUMBER(AJ206))&gt;=1010,
        NOT(IFERROR(FIND("x",AK206),0)),
        NOT(IFERROR(FIND("x",AJ206),0))),"I",
IF(AND(SUM(EXTRACTNUMBER(AK206),EXTRACTNUMBER(AJ206))&gt;=850,
      SUM(EXTRACTNUMBER(AK206),EXTRACTNUMBER(AJ206))&lt;1010,
      NOT(IFERROR(FIND("x",AK206),0)),
      NOT(IFERROR(FIND("x",AJ206),0))),"II",
IF(OR(AND(SUM(EXTRACTNUMBER(AK206),EXTRACTNUMBER(AJ206))&lt;850,
SUM(EXTRACTNUMBER(AK206),EXTRACTNUMBER(AJ206))&gt;=670),
IFERROR(FIND("x",AK206),0),IFERROR(FIND("x",AJ206),0)),"P","--"))))))</f>
        <v>--</v>
      </c>
      <c r="AO206" s="2" t="str">
        <f t="shared" si="56"/>
        <v xml:space="preserve">Four Hundred One </v>
      </c>
    </row>
    <row r="207" spans="2:41" ht="16.5" customHeight="1">
      <c r="B207" s="45">
        <v>134380</v>
      </c>
      <c r="C207" s="46" t="s">
        <v>201</v>
      </c>
      <c r="D207" s="43">
        <v>26</v>
      </c>
      <c r="E207" s="27" t="str">
        <f t="shared" si="39"/>
        <v>F</v>
      </c>
      <c r="F207" s="26" t="s">
        <v>204</v>
      </c>
      <c r="G207" s="27" t="str">
        <f t="shared" si="40"/>
        <v xml:space="preserve"> </v>
      </c>
      <c r="H207" s="24" t="s">
        <v>229</v>
      </c>
      <c r="I207" s="27" t="str">
        <f t="shared" si="41"/>
        <v xml:space="preserve"> </v>
      </c>
      <c r="J207" s="26" t="s">
        <v>222</v>
      </c>
      <c r="K207" s="27" t="str">
        <f t="shared" si="42"/>
        <v xml:space="preserve"> </v>
      </c>
      <c r="L207" s="24" t="s">
        <v>207</v>
      </c>
      <c r="M207" s="27" t="str">
        <f t="shared" si="43"/>
        <v xml:space="preserve"> </v>
      </c>
      <c r="N207" s="26" t="s">
        <v>208</v>
      </c>
      <c r="O207" s="27" t="str">
        <f t="shared" si="44"/>
        <v xml:space="preserve"> </v>
      </c>
      <c r="P207" s="26" t="s">
        <v>210</v>
      </c>
      <c r="Q207" s="27" t="str">
        <f t="shared" si="45"/>
        <v xml:space="preserve"> </v>
      </c>
      <c r="R207" s="24" t="s">
        <v>226</v>
      </c>
      <c r="S207" s="27" t="str">
        <f t="shared" si="46"/>
        <v xml:space="preserve"> </v>
      </c>
      <c r="T207" s="26" t="s">
        <v>208</v>
      </c>
      <c r="U207" s="27" t="str">
        <f t="shared" si="47"/>
        <v xml:space="preserve"> </v>
      </c>
      <c r="V207" s="26" t="s">
        <v>204</v>
      </c>
      <c r="W207" s="27" t="str">
        <f t="shared" si="48"/>
        <v xml:space="preserve"> </v>
      </c>
      <c r="X207" s="24" t="s">
        <v>230</v>
      </c>
      <c r="Y207" s="27" t="str">
        <f t="shared" si="49"/>
        <v xml:space="preserve"> </v>
      </c>
      <c r="Z207" s="26" t="s">
        <v>208</v>
      </c>
      <c r="AA207" s="27" t="str">
        <f t="shared" si="50"/>
        <v xml:space="preserve"> </v>
      </c>
      <c r="AB207" s="26" t="s">
        <v>212</v>
      </c>
      <c r="AC207" s="27" t="str">
        <f t="shared" si="51"/>
        <v xml:space="preserve"> </v>
      </c>
      <c r="AD207" s="24" t="s">
        <v>230</v>
      </c>
      <c r="AE207" s="27" t="str">
        <f t="shared" si="52"/>
        <v xml:space="preserve"> </v>
      </c>
      <c r="AF207" s="26" t="s">
        <v>210</v>
      </c>
      <c r="AG207" s="27" t="str">
        <f t="shared" si="53"/>
        <v xml:space="preserve"> </v>
      </c>
      <c r="AH207" s="26" t="s">
        <v>217</v>
      </c>
      <c r="AI207" s="27" t="str">
        <f t="shared" si="54"/>
        <v xml:space="preserve"> </v>
      </c>
      <c r="AJ207" s="32">
        <f>IF(OR(AND(D207&gt;=31,D207&lt;40),AND(H207&gt;=31,H207&lt;40),AND(L207&gt;=31,L207&lt;40),AND(R207&gt;=31,R207&lt;40),AND(X207&gt;=31,X207&lt;40),AND(AD207&gt;=31,AD207&lt;40)),IF(AND(OR(COUNTIF(D207:AI207,"=31")&gt;=1,COUNTIF(D207:AI207,"=32")&gt;=1,COUNTIF(D207:AI207,"=33")&gt;=1,COUNTIF(D207:AI207,"=34")&gt;=1,COUNTIF(D207:AI207,"=35")&gt;=1,COUNTIF(D207:AI207,"=36")&gt;=1 ),COUNTIF(D207:AI207,"")=0,COUNTIF(D207:AI207," ")=0,COUNTIF(D207:AI207,"F")=1),CONCATENATE(SUM(EXTRACTNUMBER(D207),EXTRACTNUMBER(F207),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EXTRACTNUMBER(AD207),EXTRACTNUMBER(AH207),EXTRACTNUMBER(AF207)),"*"),IF(AND(COUNTIF(D207:AI207,"=34")&gt;=1,COUNTIF(D207:AI207,"=35")&gt;=1,COUNTIF(D207:AI207,"f")=2,COUNTIF(D207:AI207,"")=0,COUNTIF(D207:AI207," ")=0),CONCATENATE(SUM(EXTRACTNUMBER(D207),EXTRACTNUMBER(F207),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EXTRACTNUMBER(AD207),EXTRACTNUMBER(AH207),EXTRACTNUMBER(AF207)),"*"),IF(AND(COUNTIF(D207:AI207,"=36")&gt;=2,COUNTIF(D207:AI207,"f")=2,COUNTIF(D207:AI207,"")=0,COUNTIF(D207:AI207," ")=0),CONCATENATE(SUM(EXTRACTNUMBER(D207),EXTRACTNUMBER(F207),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EXTRACTNUMBER(AD207),EXTRACTNUMBER(AH207),EXTRACTNUMBER(AF207)),"*"),SUM(EXTRACTNUMBER(D207),EXTRACTNUMBER(F207),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EXTRACTNUMBER(AD207),EXTRACTNUMBER(AH207),EXTRACTNUMBER(AF207))))),SUM(EXTRACTNUMBER(D207),EXTRACTNUMBER(F207),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EXTRACTNUMBER(AD207),EXTRACTNUMBER(AH207),EXTRACTNUMBER(AF207)))</f>
        <v>454</v>
      </c>
      <c r="AK207" s="28">
        <v>0</v>
      </c>
      <c r="AL207" s="29">
        <f t="shared" si="38"/>
        <v>454</v>
      </c>
      <c r="AM207" s="29" t="str">
        <f t="shared" si="55"/>
        <v>FAIL</v>
      </c>
      <c r="AN207" s="30" t="str">
        <f>IF(AM207="ABSENT","AB",IF(AM207="FAIL","--",
IF(AK207=0,"RS 3",
IF(AND(SUM(EXTRACTNUMBER(AK207),EXTRACTNUMBER(AJ207))&gt;=1010,
        NOT(IFERROR(FIND("x",AK207),0)),
        NOT(IFERROR(FIND("x",AJ207),0))),"I",
IF(AND(SUM(EXTRACTNUMBER(AK207),EXTRACTNUMBER(AJ207))&gt;=850,
      SUM(EXTRACTNUMBER(AK207),EXTRACTNUMBER(AJ207))&lt;1010,
      NOT(IFERROR(FIND("x",AK207),0)),
      NOT(IFERROR(FIND("x",AJ207),0))),"II",
IF(OR(AND(SUM(EXTRACTNUMBER(AK207),EXTRACTNUMBER(AJ207))&lt;850,
SUM(EXTRACTNUMBER(AK207),EXTRACTNUMBER(AJ207))&gt;=670),
IFERROR(FIND("x",AK207),0),IFERROR(FIND("x",AJ207),0)),"P","--"))))))</f>
        <v>--</v>
      </c>
      <c r="AO207" s="2" t="str">
        <f t="shared" si="56"/>
        <v xml:space="preserve">Four Hundred Fifty Four </v>
      </c>
    </row>
    <row r="208" spans="2:41" ht="16.5" customHeight="1">
      <c r="B208" s="45">
        <v>134381</v>
      </c>
      <c r="C208" s="46" t="s">
        <v>202</v>
      </c>
      <c r="D208" s="44">
        <v>12</v>
      </c>
      <c r="E208" s="34" t="str">
        <f t="shared" si="39"/>
        <v>F</v>
      </c>
      <c r="F208" s="35" t="s">
        <v>206</v>
      </c>
      <c r="G208" s="34" t="str">
        <f t="shared" si="40"/>
        <v xml:space="preserve"> </v>
      </c>
      <c r="H208" s="33" t="s">
        <v>205</v>
      </c>
      <c r="I208" s="34" t="str">
        <f t="shared" si="41"/>
        <v xml:space="preserve"> </v>
      </c>
      <c r="J208" s="35" t="s">
        <v>206</v>
      </c>
      <c r="K208" s="34" t="str">
        <f t="shared" si="42"/>
        <v xml:space="preserve"> </v>
      </c>
      <c r="L208" s="33" t="s">
        <v>226</v>
      </c>
      <c r="M208" s="34" t="str">
        <f t="shared" si="43"/>
        <v xml:space="preserve"> </v>
      </c>
      <c r="N208" s="35" t="s">
        <v>214</v>
      </c>
      <c r="O208" s="34" t="str">
        <f t="shared" si="44"/>
        <v xml:space="preserve"> </v>
      </c>
      <c r="P208" s="35" t="s">
        <v>227</v>
      </c>
      <c r="Q208" s="34" t="str">
        <f t="shared" si="45"/>
        <v xml:space="preserve"> </v>
      </c>
      <c r="R208" s="33" t="s">
        <v>230</v>
      </c>
      <c r="S208" s="34" t="str">
        <f t="shared" si="46"/>
        <v xml:space="preserve"> </v>
      </c>
      <c r="T208" s="35" t="s">
        <v>212</v>
      </c>
      <c r="U208" s="34" t="str">
        <f t="shared" si="47"/>
        <v xml:space="preserve"> </v>
      </c>
      <c r="V208" s="35" t="s">
        <v>212</v>
      </c>
      <c r="W208" s="34" t="str">
        <f t="shared" si="48"/>
        <v xml:space="preserve"> </v>
      </c>
      <c r="X208" s="33" t="s">
        <v>241</v>
      </c>
      <c r="Y208" s="34" t="str">
        <f t="shared" si="49"/>
        <v xml:space="preserve"> </v>
      </c>
      <c r="Z208" s="35" t="s">
        <v>204</v>
      </c>
      <c r="AA208" s="34" t="str">
        <f t="shared" si="50"/>
        <v xml:space="preserve"> </v>
      </c>
      <c r="AB208" s="35" t="s">
        <v>204</v>
      </c>
      <c r="AC208" s="34" t="str">
        <f t="shared" si="51"/>
        <v xml:space="preserve"> </v>
      </c>
      <c r="AD208" s="33" t="s">
        <v>242</v>
      </c>
      <c r="AE208" s="34" t="str">
        <f t="shared" si="52"/>
        <v xml:space="preserve"> </v>
      </c>
      <c r="AF208" s="35" t="s">
        <v>216</v>
      </c>
      <c r="AG208" s="34" t="str">
        <f t="shared" si="53"/>
        <v xml:space="preserve"> </v>
      </c>
      <c r="AH208" s="35" t="s">
        <v>224</v>
      </c>
      <c r="AI208" s="34" t="str">
        <f t="shared" si="54"/>
        <v xml:space="preserve"> </v>
      </c>
      <c r="AJ208" s="36">
        <f>IF(OR(AND(D208&gt;=31,D208&lt;40),AND(H208&gt;=31,H208&lt;40),AND(L208&gt;=31,L208&lt;40),AND(R208&gt;=31,R208&lt;40),AND(X208&gt;=31,X208&lt;40),AND(AD208&gt;=31,AD208&lt;40)),IF(AND(OR(COUNTIF(D208:AI208,"=31")&gt;=1,COUNTIF(D208:AI208,"=32")&gt;=1,COUNTIF(D208:AI208,"=33")&gt;=1,COUNTIF(D208:AI208,"=34")&gt;=1,COUNTIF(D208:AI208,"=35")&gt;=1,COUNTIF(D208:AI208,"=36")&gt;=1 ),COUNTIF(D208:AI208,"")=0,COUNTIF(D208:AI208," ")=0,COUNTIF(D208:AI208,"F")=1),CONCATENATE(SUM(EXTRACTNUMBER(D208),EXTRACTNUMBER(F208),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EXTRACTNUMBER(AD208),EXTRACTNUMBER(AH208),EXTRACTNUMBER(AF208)),"*"),IF(AND(COUNTIF(D208:AI208,"=34")&gt;=1,COUNTIF(D208:AI208,"=35")&gt;=1,COUNTIF(D208:AI208,"f")=2,COUNTIF(D208:AI208,"")=0,COUNTIF(D208:AI208," ")=0),CONCATENATE(SUM(EXTRACTNUMBER(D208),EXTRACTNUMBER(F208),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EXTRACTNUMBER(AD208),EXTRACTNUMBER(AH208),EXTRACTNUMBER(AF208)),"*"),IF(AND(COUNTIF(D208:AI208,"=36")&gt;=2,COUNTIF(D208:AI208,"f")=2,COUNTIF(D208:AI208,"")=0,COUNTIF(D208:AI208," ")=0),CONCATENATE(SUM(EXTRACTNUMBER(D208),EXTRACTNUMBER(F208),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EXTRACTNUMBER(AD208),EXTRACTNUMBER(AH208),EXTRACTNUMBER(AF208)),"*"),SUM(EXTRACTNUMBER(D208),EXTRACTNUMBER(F208),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EXTRACTNUMBER(AD208),EXTRACTNUMBER(AH208),EXTRACTNUMBER(AF208))))),SUM(EXTRACTNUMBER(D208),EXTRACTNUMBER(F208),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EXTRACTNUMBER(AD208),EXTRACTNUMBER(AH208),EXTRACTNUMBER(AF208)))</f>
        <v>449</v>
      </c>
      <c r="AK208" s="37">
        <v>0</v>
      </c>
      <c r="AL208" s="38">
        <f t="shared" si="38"/>
        <v>449</v>
      </c>
      <c r="AM208" s="38" t="str">
        <f t="shared" si="55"/>
        <v>FAIL</v>
      </c>
      <c r="AN208" s="30" t="str">
        <f>IF(AM208="ABSENT","AB",IF(AM208="FAIL","--",
IF(AK208=0,"RS 3",
IF(AND(SUM(EXTRACTNUMBER(AK208),EXTRACTNUMBER(AJ208))&gt;=1010,
        NOT(IFERROR(FIND("x",AK208),0)),
        NOT(IFERROR(FIND("x",AJ208),0))),"I",
IF(AND(SUM(EXTRACTNUMBER(AK208),EXTRACTNUMBER(AJ208))&gt;=850,
      SUM(EXTRACTNUMBER(AK208),EXTRACTNUMBER(AJ208))&lt;1010,
      NOT(IFERROR(FIND("x",AK208),0)),
      NOT(IFERROR(FIND("x",AJ208),0))),"II",
IF(OR(AND(SUM(EXTRACTNUMBER(AK208),EXTRACTNUMBER(AJ208))&lt;850,
SUM(EXTRACTNUMBER(AK208),EXTRACTNUMBER(AJ208))&gt;=670),
IFERROR(FIND("x",AK208),0),IFERROR(FIND("x",AJ208),0)),"P","--"))))))</f>
        <v>--</v>
      </c>
      <c r="AO208" s="2" t="str">
        <f t="shared" si="56"/>
        <v xml:space="preserve">Four Hundred Forty Nine </v>
      </c>
    </row>
    <row r="209" spans="2:41" ht="16.5" customHeight="1">
      <c r="B209" s="45">
        <v>134382</v>
      </c>
      <c r="C209" s="46" t="s">
        <v>203</v>
      </c>
      <c r="D209" s="43">
        <v>0</v>
      </c>
      <c r="E209" s="27" t="str">
        <f t="shared" si="39"/>
        <v>F</v>
      </c>
      <c r="F209" s="26">
        <v>14</v>
      </c>
      <c r="G209" s="27" t="str">
        <f t="shared" si="40"/>
        <v>E</v>
      </c>
      <c r="H209" s="24">
        <v>40</v>
      </c>
      <c r="I209" s="27" t="str">
        <f t="shared" si="41"/>
        <v>E</v>
      </c>
      <c r="J209" s="26">
        <v>23</v>
      </c>
      <c r="K209" s="27" t="str">
        <f t="shared" si="42"/>
        <v>E</v>
      </c>
      <c r="L209" s="24">
        <v>40</v>
      </c>
      <c r="M209" s="27" t="str">
        <f t="shared" si="43"/>
        <v>E</v>
      </c>
      <c r="N209" s="26">
        <v>14</v>
      </c>
      <c r="O209" s="27" t="str">
        <f t="shared" si="44"/>
        <v>E</v>
      </c>
      <c r="P209" s="26">
        <v>15</v>
      </c>
      <c r="Q209" s="27" t="str">
        <f t="shared" si="45"/>
        <v>E</v>
      </c>
      <c r="R209" s="24">
        <v>11</v>
      </c>
      <c r="S209" s="27" t="str">
        <f t="shared" si="46"/>
        <v>F</v>
      </c>
      <c r="T209" s="26">
        <v>22</v>
      </c>
      <c r="U209" s="27" t="str">
        <f t="shared" si="47"/>
        <v>E</v>
      </c>
      <c r="V209" s="26">
        <v>16</v>
      </c>
      <c r="W209" s="27" t="str">
        <f t="shared" si="48"/>
        <v>E</v>
      </c>
      <c r="X209" s="24">
        <v>47</v>
      </c>
      <c r="Y209" s="27" t="str">
        <f t="shared" si="49"/>
        <v>E</v>
      </c>
      <c r="Z209" s="26">
        <v>20</v>
      </c>
      <c r="AA209" s="27" t="str">
        <f t="shared" si="50"/>
        <v>E</v>
      </c>
      <c r="AB209" s="26">
        <v>21</v>
      </c>
      <c r="AC209" s="27" t="str">
        <f t="shared" si="51"/>
        <v>E</v>
      </c>
      <c r="AD209" s="24">
        <v>40</v>
      </c>
      <c r="AE209" s="27" t="str">
        <f t="shared" si="52"/>
        <v>E</v>
      </c>
      <c r="AF209" s="26">
        <v>19</v>
      </c>
      <c r="AG209" s="27" t="str">
        <f t="shared" si="53"/>
        <v>E</v>
      </c>
      <c r="AH209" s="26">
        <v>19</v>
      </c>
      <c r="AI209" s="27" t="str">
        <f t="shared" si="54"/>
        <v>E</v>
      </c>
      <c r="AJ209" s="32">
        <f>IF(OR(AND(D209&gt;=31,D209&lt;40),AND(H209&gt;=31,H209&lt;40),AND(L209&gt;=31,L209&lt;40),AND(R209&gt;=31,R209&lt;40),AND(X209&gt;=31,X209&lt;40),AND(AD209&gt;=31,AD209&lt;40)),IF(AND(OR(COUNTIF(D209:AI209,"=31")&gt;=1,COUNTIF(D209:AI209,"=32")&gt;=1,COUNTIF(D209:AI209,"=33")&gt;=1,COUNTIF(D209:AI209,"=34")&gt;=1,COUNTIF(D209:AI209,"=35")&gt;=1,COUNTIF(D209:AI209,"=36")&gt;=1 ),COUNTIF(D209:AI209,"")=0,COUNTIF(D209:AI209," ")=0,COUNTIF(D209:AI209,"F")=1),CONCATENATE(SUM(EXTRACTNUMBER(D209),EXTRACTNUMBER(F209),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EXTRACTNUMBER(AD209),EXTRACTNUMBER(AH209),EXTRACTNUMBER(AF209)),"*"),IF(AND(COUNTIF(D209:AI209,"=34")&gt;=1,COUNTIF(D209:AI209,"=35")&gt;=1,COUNTIF(D209:AI209,"f")=2,COUNTIF(D209:AI209,"")=0,COUNTIF(D209:AI209," ")=0),CONCATENATE(SUM(EXTRACTNUMBER(D209),EXTRACTNUMBER(F209),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EXTRACTNUMBER(AD209),EXTRACTNUMBER(AH209),EXTRACTNUMBER(AF209)),"*"),IF(AND(COUNTIF(D209:AI209,"=36")&gt;=2,COUNTIF(D209:AI209,"f")=2,COUNTIF(D209:AI209,"")=0,COUNTIF(D209:AI209," ")=0),CONCATENATE(SUM(EXTRACTNUMBER(D209),EXTRACTNUMBER(F209),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EXTRACTNUMBER(AD209),EXTRACTNUMBER(AH209),EXTRACTNUMBER(AF209)),"*"),SUM(EXTRACTNUMBER(D209),EXTRACTNUMBER(F209),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EXTRACTNUMBER(AD209),EXTRACTNUMBER(AH209),EXTRACTNUMBER(AF209))))),SUM(EXTRACTNUMBER(D209),EXTRACTNUMBER(F209),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EXTRACTNUMBER(AD209),EXTRACTNUMBER(AH209),EXTRACTNUMBER(AF209)))</f>
        <v>361</v>
      </c>
      <c r="AK209" s="28">
        <v>0</v>
      </c>
      <c r="AL209" s="29">
        <f t="shared" si="38"/>
        <v>361</v>
      </c>
      <c r="AM209" s="29" t="str">
        <f t="shared" si="55"/>
        <v>FAIL</v>
      </c>
      <c r="AN209" s="30" t="str">
        <f>IF(AM209="ABSENT","AB",IF(AM209="FAIL","--",
IF(AK209=0,"RS 3",
IF(AND(SUM(EXTRACTNUMBER(AK209),EXTRACTNUMBER(AJ209))&gt;=1010,
        NOT(IFERROR(FIND("x",AK209),0)),
        NOT(IFERROR(FIND("x",AJ209),0))),"I",
IF(AND(SUM(EXTRACTNUMBER(AK209),EXTRACTNUMBER(AJ209))&gt;=850,
      SUM(EXTRACTNUMBER(AK209),EXTRACTNUMBER(AJ209))&lt;1010,
      NOT(IFERROR(FIND("x",AK209),0)),
      NOT(IFERROR(FIND("x",AJ209),0))),"II",
IF(OR(AND(SUM(EXTRACTNUMBER(AK209),EXTRACTNUMBER(AJ209))&lt;850,
SUM(EXTRACTNUMBER(AK209),EXTRACTNUMBER(AJ209))&gt;=670),
IFERROR(FIND("x",AK209),0),IFERROR(FIND("x",AJ209),0)),"P","--"))))))</f>
        <v>--</v>
      </c>
      <c r="AO209" s="2" t="str">
        <f t="shared" si="56"/>
        <v xml:space="preserve">Three Hundred Sixty One </v>
      </c>
    </row>
    <row r="210" spans="2:41" ht="15.75">
      <c r="B210" s="13"/>
      <c r="C210" s="13"/>
      <c r="D210" s="22"/>
      <c r="E210" s="14"/>
      <c r="F210" s="22"/>
      <c r="G210" s="13"/>
      <c r="H210" s="22"/>
      <c r="I210" s="14"/>
      <c r="J210" s="22"/>
      <c r="K210" s="13"/>
      <c r="L210" s="22"/>
      <c r="M210" s="14"/>
      <c r="N210" s="22"/>
      <c r="O210" s="13"/>
      <c r="P210" s="22"/>
      <c r="Q210" s="13"/>
      <c r="R210" s="22"/>
      <c r="S210" s="14"/>
      <c r="T210" s="22"/>
      <c r="U210" s="13"/>
      <c r="V210" s="22"/>
      <c r="W210" s="13"/>
      <c r="X210" s="22"/>
      <c r="Y210" s="14"/>
      <c r="Z210" s="22"/>
      <c r="AA210" s="13"/>
      <c r="AB210" s="22"/>
      <c r="AC210" s="13"/>
      <c r="AD210" s="22"/>
      <c r="AE210" s="14"/>
      <c r="AF210" s="22"/>
      <c r="AG210" s="13"/>
      <c r="AH210" s="22"/>
      <c r="AI210" s="13"/>
      <c r="AJ210" s="10"/>
      <c r="AK210" s="10"/>
      <c r="AL210" s="11"/>
      <c r="AM210" s="10"/>
      <c r="AN210" s="12"/>
    </row>
    <row r="211" spans="2:41" ht="15.75">
      <c r="B211" s="13"/>
      <c r="C211" s="13"/>
      <c r="D211" s="22"/>
      <c r="E211" s="14"/>
      <c r="F211" s="22"/>
      <c r="G211" s="13"/>
      <c r="H211" s="22"/>
      <c r="I211" s="14"/>
      <c r="J211" s="22"/>
      <c r="K211" s="13"/>
      <c r="L211" s="22"/>
      <c r="M211" s="14"/>
      <c r="N211" s="22"/>
      <c r="O211" s="13"/>
      <c r="P211" s="22"/>
      <c r="Q211" s="13"/>
      <c r="R211" s="22"/>
      <c r="S211" s="14"/>
      <c r="T211" s="22"/>
      <c r="U211" s="13"/>
      <c r="V211" s="22"/>
      <c r="W211" s="13"/>
      <c r="X211" s="22"/>
      <c r="Y211" s="14"/>
      <c r="Z211" s="22"/>
      <c r="AA211" s="13"/>
      <c r="AB211" s="22"/>
      <c r="AC211" s="13"/>
      <c r="AD211" s="22"/>
      <c r="AE211" s="14"/>
      <c r="AF211" s="22"/>
      <c r="AG211" s="13"/>
      <c r="AH211" s="22"/>
      <c r="AI211" s="13"/>
      <c r="AJ211" s="15"/>
      <c r="AK211" s="15"/>
      <c r="AL211" s="16"/>
      <c r="AM211" s="15"/>
      <c r="AN211" s="17"/>
    </row>
    <row r="212" spans="2:41" ht="17.25">
      <c r="B212" s="13"/>
      <c r="C212" s="13"/>
      <c r="D212" s="22"/>
      <c r="E212" s="14"/>
      <c r="F212" s="22"/>
      <c r="G212" s="13"/>
      <c r="H212" s="22"/>
      <c r="I212" s="14"/>
      <c r="J212" s="22"/>
      <c r="K212" s="13"/>
      <c r="L212" s="22"/>
      <c r="M212" s="14"/>
      <c r="N212" s="22"/>
      <c r="O212" s="13"/>
      <c r="P212" s="22"/>
      <c r="Q212" s="13"/>
      <c r="R212" s="22"/>
      <c r="S212" s="14"/>
      <c r="T212" s="22"/>
      <c r="U212" s="13"/>
      <c r="V212" s="22"/>
      <c r="W212" s="13"/>
      <c r="X212" s="22"/>
      <c r="Y212" s="14"/>
      <c r="Z212" s="22"/>
      <c r="AA212" s="13"/>
      <c r="AB212" s="22"/>
      <c r="AC212" s="13"/>
      <c r="AD212" s="22"/>
      <c r="AE212" s="14"/>
      <c r="AF212" s="22"/>
      <c r="AG212" s="13"/>
      <c r="AH212" s="22"/>
      <c r="AI212" s="13"/>
      <c r="AJ212" s="67" t="s">
        <v>367</v>
      </c>
      <c r="AK212"/>
      <c r="AL212" s="68"/>
      <c r="AM212" s="69"/>
      <c r="AN212" s="70">
        <f>COUNTIF(AM28:AM209,"PASS")+COUNTIF(AM28:AM209,"FAIL")</f>
        <v>179</v>
      </c>
      <c r="AO212" s="69"/>
    </row>
    <row r="213" spans="2:41" ht="17.25">
      <c r="B213" s="13"/>
      <c r="C213" s="13"/>
      <c r="D213" s="22"/>
      <c r="E213" s="14"/>
      <c r="F213" s="22"/>
      <c r="G213" s="13"/>
      <c r="H213" s="22"/>
      <c r="I213" s="14"/>
      <c r="J213" s="22"/>
      <c r="K213" s="13"/>
      <c r="L213" s="22"/>
      <c r="M213" s="14"/>
      <c r="N213" s="22"/>
      <c r="O213" s="13"/>
      <c r="P213" s="22"/>
      <c r="Q213" s="13"/>
      <c r="R213" s="22"/>
      <c r="S213" s="14"/>
      <c r="T213" s="22"/>
      <c r="U213" s="13"/>
      <c r="V213" s="22"/>
      <c r="W213" s="13"/>
      <c r="X213" s="22"/>
      <c r="Y213" s="14"/>
      <c r="Z213" s="22"/>
      <c r="AA213" s="13"/>
      <c r="AB213" s="22"/>
      <c r="AC213" s="13"/>
      <c r="AD213" s="22"/>
      <c r="AE213" s="14"/>
      <c r="AF213" s="22"/>
      <c r="AG213" s="13"/>
      <c r="AH213" s="22"/>
      <c r="AI213" s="13"/>
      <c r="AJ213" s="67" t="s">
        <v>368</v>
      </c>
      <c r="AK213"/>
      <c r="AL213" s="68"/>
      <c r="AM213" s="69"/>
      <c r="AN213" s="70">
        <f>COUNTIF(AN28:AN209,"I")+COUNTIF(AN28:AN209,"II")+COUNTIF(AN28:AN209,"P")</f>
        <v>98</v>
      </c>
      <c r="AO213" s="69"/>
    </row>
    <row r="214" spans="2:41" ht="17.25">
      <c r="B214" s="13"/>
      <c r="C214" s="13"/>
      <c r="D214" s="22"/>
      <c r="E214" s="14"/>
      <c r="F214" s="22"/>
      <c r="G214" s="13"/>
      <c r="H214" s="22"/>
      <c r="I214" s="14"/>
      <c r="J214" s="22"/>
      <c r="K214" s="13"/>
      <c r="L214" s="22"/>
      <c r="M214" s="14"/>
      <c r="N214" s="22"/>
      <c r="O214" s="13"/>
      <c r="P214" s="22"/>
      <c r="Q214" s="13"/>
      <c r="R214" s="22"/>
      <c r="S214" s="14"/>
      <c r="T214" s="22"/>
      <c r="U214" s="13"/>
      <c r="V214" s="22"/>
      <c r="W214" s="13"/>
      <c r="X214" s="22"/>
      <c r="Y214" s="14"/>
      <c r="Z214" s="22"/>
      <c r="AA214" s="13"/>
      <c r="AB214" s="22"/>
      <c r="AC214" s="13"/>
      <c r="AD214" s="22"/>
      <c r="AE214" s="14"/>
      <c r="AF214" s="22"/>
      <c r="AG214" s="13"/>
      <c r="AH214" s="22"/>
      <c r="AI214" s="13"/>
      <c r="AJ214" s="67" t="s">
        <v>369</v>
      </c>
      <c r="AK214"/>
      <c r="AL214" s="68"/>
      <c r="AM214" s="69"/>
      <c r="AN214" s="71">
        <f>AN213/AN212</f>
        <v>0.54748603351955305</v>
      </c>
      <c r="AO214" s="69"/>
    </row>
    <row r="215" spans="2:41" ht="15.75">
      <c r="B215" s="13"/>
      <c r="C215" s="13"/>
      <c r="D215" s="22"/>
      <c r="E215" s="14"/>
      <c r="F215" s="22"/>
      <c r="G215" s="13"/>
      <c r="H215" s="22"/>
      <c r="I215" s="14"/>
      <c r="J215" s="22"/>
      <c r="K215" s="13"/>
      <c r="L215" s="22"/>
      <c r="M215" s="14"/>
      <c r="N215" s="22"/>
      <c r="O215" s="13"/>
      <c r="P215" s="22"/>
      <c r="Q215" s="13"/>
      <c r="R215" s="22"/>
      <c r="S215" s="14"/>
      <c r="T215" s="22"/>
      <c r="U215" s="13"/>
      <c r="V215" s="22"/>
      <c r="W215" s="13"/>
      <c r="X215" s="22"/>
      <c r="Y215" s="14"/>
      <c r="Z215" s="22"/>
      <c r="AA215" s="13"/>
      <c r="AB215" s="22"/>
      <c r="AC215" s="13"/>
      <c r="AD215" s="22"/>
      <c r="AE215" s="14"/>
      <c r="AF215" s="22"/>
      <c r="AG215" s="13"/>
      <c r="AH215" s="22"/>
      <c r="AI215" s="13"/>
      <c r="AJ215" s="15"/>
      <c r="AK215" s="15"/>
      <c r="AL215" s="16"/>
      <c r="AM215" s="15"/>
      <c r="AN215" s="17"/>
    </row>
    <row r="216" spans="2:41" ht="15.75">
      <c r="B216" s="13"/>
      <c r="C216" s="13"/>
      <c r="D216" s="22"/>
      <c r="E216" s="14"/>
      <c r="F216" s="22"/>
      <c r="G216" s="13"/>
      <c r="H216" s="22"/>
      <c r="I216" s="14"/>
      <c r="J216" s="22"/>
      <c r="K216" s="13"/>
      <c r="L216" s="22"/>
      <c r="M216" s="14"/>
      <c r="N216" s="22"/>
      <c r="O216" s="13"/>
      <c r="P216" s="22"/>
      <c r="Q216" s="13"/>
      <c r="R216" s="22"/>
      <c r="S216" s="14"/>
      <c r="T216" s="22"/>
      <c r="U216" s="13"/>
      <c r="V216" s="22"/>
      <c r="W216" s="13"/>
      <c r="X216" s="22"/>
      <c r="Y216" s="14"/>
      <c r="Z216" s="22"/>
      <c r="AA216" s="13"/>
      <c r="AB216" s="22"/>
      <c r="AC216" s="13"/>
      <c r="AD216" s="22"/>
      <c r="AE216" s="14"/>
      <c r="AF216" s="22"/>
      <c r="AG216" s="13"/>
      <c r="AH216" s="22"/>
      <c r="AI216" s="13"/>
      <c r="AJ216" s="15"/>
      <c r="AK216" s="15"/>
      <c r="AL216" s="16"/>
      <c r="AM216" s="15"/>
      <c r="AN216" s="17"/>
    </row>
    <row r="217" spans="2:41" ht="15.75">
      <c r="B217" s="13"/>
      <c r="C217" s="13"/>
      <c r="D217" s="22"/>
      <c r="E217" s="14"/>
      <c r="F217" s="22"/>
      <c r="G217" s="13"/>
      <c r="H217" s="22"/>
      <c r="I217" s="14"/>
      <c r="J217" s="22"/>
      <c r="K217" s="13"/>
      <c r="L217" s="22"/>
      <c r="M217" s="14"/>
      <c r="N217" s="22"/>
      <c r="O217" s="13"/>
      <c r="P217" s="22"/>
      <c r="Q217" s="13"/>
      <c r="R217" s="22"/>
      <c r="S217" s="14"/>
      <c r="T217" s="22"/>
      <c r="U217" s="13"/>
      <c r="V217" s="22"/>
      <c r="W217" s="13"/>
      <c r="X217" s="22"/>
      <c r="Y217" s="14"/>
      <c r="Z217" s="22"/>
      <c r="AA217" s="13"/>
      <c r="AB217" s="22"/>
      <c r="AC217" s="13"/>
      <c r="AD217" s="22"/>
      <c r="AE217" s="14"/>
      <c r="AF217" s="22"/>
      <c r="AG217" s="13"/>
      <c r="AH217" s="22"/>
      <c r="AI217" s="13"/>
      <c r="AJ217" s="15"/>
      <c r="AK217" s="15"/>
      <c r="AL217" s="16"/>
      <c r="AM217" s="15"/>
      <c r="AN217" s="17"/>
    </row>
    <row r="218" spans="2:41" ht="15.75">
      <c r="B218" s="13"/>
      <c r="C218" s="13"/>
      <c r="D218" s="22"/>
      <c r="E218" s="14"/>
      <c r="F218" s="22"/>
      <c r="G218" s="13"/>
      <c r="H218" s="22"/>
      <c r="I218" s="14"/>
      <c r="J218" s="22"/>
      <c r="K218" s="13"/>
      <c r="L218" s="22"/>
      <c r="M218" s="14"/>
      <c r="N218" s="22"/>
      <c r="O218" s="13"/>
      <c r="P218" s="22"/>
      <c r="Q218" s="13"/>
      <c r="R218" s="22"/>
      <c r="S218" s="14"/>
      <c r="T218" s="22"/>
      <c r="U218" s="13"/>
      <c r="V218" s="22"/>
      <c r="W218" s="13"/>
      <c r="X218" s="22"/>
      <c r="Y218" s="14"/>
      <c r="Z218" s="22"/>
      <c r="AA218" s="13"/>
      <c r="AB218" s="22"/>
      <c r="AC218" s="13"/>
      <c r="AD218" s="22"/>
      <c r="AE218" s="14"/>
      <c r="AF218" s="22"/>
      <c r="AG218" s="13"/>
      <c r="AH218" s="22"/>
      <c r="AI218" s="13"/>
      <c r="AJ218" s="15"/>
      <c r="AK218" s="15"/>
      <c r="AL218" s="16"/>
      <c r="AM218" s="15"/>
      <c r="AN218" s="17"/>
    </row>
    <row r="219" spans="2:41" ht="15.75">
      <c r="B219" s="13"/>
      <c r="C219" s="13"/>
      <c r="D219" s="22"/>
      <c r="E219" s="14"/>
      <c r="F219" s="22"/>
      <c r="G219" s="13"/>
      <c r="H219" s="22"/>
      <c r="I219" s="14"/>
      <c r="J219" s="22"/>
      <c r="K219" s="13"/>
      <c r="L219" s="22"/>
      <c r="M219" s="14"/>
      <c r="N219" s="22"/>
      <c r="O219" s="13"/>
      <c r="P219" s="22"/>
      <c r="Q219" s="13"/>
      <c r="R219" s="22"/>
      <c r="S219" s="14"/>
      <c r="T219" s="22"/>
      <c r="U219" s="13"/>
      <c r="V219" s="22"/>
      <c r="W219" s="13"/>
      <c r="X219" s="22"/>
      <c r="Y219" s="14"/>
      <c r="Z219" s="22"/>
      <c r="AA219" s="13"/>
      <c r="AB219" s="22"/>
      <c r="AC219" s="13"/>
      <c r="AD219" s="22"/>
      <c r="AE219" s="14"/>
      <c r="AF219" s="22"/>
      <c r="AG219" s="13"/>
      <c r="AH219" s="22"/>
      <c r="AI219" s="13"/>
      <c r="AJ219" s="15"/>
      <c r="AK219" s="15"/>
      <c r="AL219" s="16"/>
      <c r="AM219" s="15"/>
      <c r="AN219" s="17"/>
    </row>
    <row r="220" spans="2:41" ht="15.75">
      <c r="B220" s="13"/>
      <c r="C220" s="13"/>
      <c r="D220" s="22"/>
      <c r="E220" s="14"/>
      <c r="F220" s="22"/>
      <c r="G220" s="13"/>
      <c r="H220" s="22"/>
      <c r="I220" s="14"/>
      <c r="J220" s="22"/>
      <c r="K220" s="13"/>
      <c r="L220" s="22"/>
      <c r="M220" s="14"/>
      <c r="N220" s="22"/>
      <c r="O220" s="13"/>
      <c r="P220" s="22"/>
      <c r="Q220" s="13"/>
      <c r="R220" s="22"/>
      <c r="S220" s="14"/>
      <c r="T220" s="22"/>
      <c r="U220" s="13"/>
      <c r="V220" s="22"/>
      <c r="W220" s="13"/>
      <c r="X220" s="22"/>
      <c r="Y220" s="14"/>
      <c r="Z220" s="22"/>
      <c r="AA220" s="13"/>
      <c r="AB220" s="22"/>
      <c r="AC220" s="13"/>
      <c r="AD220" s="22"/>
      <c r="AE220" s="14"/>
      <c r="AF220" s="22"/>
      <c r="AG220" s="13"/>
      <c r="AH220" s="22"/>
      <c r="AI220" s="13"/>
      <c r="AJ220" s="15"/>
      <c r="AK220" s="15"/>
      <c r="AL220" s="16"/>
      <c r="AM220" s="15"/>
      <c r="AN220" s="17"/>
    </row>
    <row r="221" spans="2:41" ht="15.75">
      <c r="B221" s="13"/>
      <c r="C221" s="13"/>
      <c r="D221" s="22"/>
      <c r="E221" s="14"/>
      <c r="F221" s="22"/>
      <c r="G221" s="13"/>
      <c r="H221" s="22"/>
      <c r="I221" s="14"/>
      <c r="J221" s="22"/>
      <c r="K221" s="13"/>
      <c r="L221" s="22"/>
      <c r="M221" s="14"/>
      <c r="N221" s="22"/>
      <c r="O221" s="13"/>
      <c r="P221" s="22"/>
      <c r="Q221" s="13"/>
      <c r="R221" s="22"/>
      <c r="S221" s="14"/>
      <c r="T221" s="22"/>
      <c r="U221" s="13"/>
      <c r="V221" s="22"/>
      <c r="W221" s="13"/>
      <c r="X221" s="22"/>
      <c r="Y221" s="14"/>
      <c r="Z221" s="22"/>
      <c r="AA221" s="13"/>
      <c r="AB221" s="22"/>
      <c r="AC221" s="13"/>
      <c r="AD221" s="22"/>
      <c r="AE221" s="14"/>
      <c r="AF221" s="22"/>
      <c r="AG221" s="13"/>
      <c r="AH221" s="22"/>
      <c r="AI221" s="13"/>
      <c r="AJ221" s="15"/>
      <c r="AK221" s="15"/>
      <c r="AL221" s="16"/>
      <c r="AM221" s="15"/>
      <c r="AN221" s="17"/>
    </row>
    <row r="222" spans="2:41" ht="15.75">
      <c r="B222" s="13"/>
      <c r="C222" s="13"/>
      <c r="D222" s="22"/>
      <c r="E222" s="14"/>
      <c r="F222" s="22"/>
      <c r="G222" s="13"/>
      <c r="H222" s="22"/>
      <c r="I222" s="14"/>
      <c r="J222" s="22"/>
      <c r="K222" s="13"/>
      <c r="L222" s="22"/>
      <c r="M222" s="14"/>
      <c r="N222" s="22"/>
      <c r="O222" s="13"/>
      <c r="P222" s="22"/>
      <c r="Q222" s="13"/>
      <c r="R222" s="22"/>
      <c r="S222" s="14"/>
      <c r="T222" s="22"/>
      <c r="U222" s="13"/>
      <c r="V222" s="22"/>
      <c r="W222" s="13"/>
      <c r="X222" s="22"/>
      <c r="Y222" s="14"/>
      <c r="Z222" s="22"/>
      <c r="AA222" s="13"/>
      <c r="AB222" s="22"/>
      <c r="AC222" s="13"/>
      <c r="AD222" s="22"/>
      <c r="AE222" s="14"/>
      <c r="AF222" s="22"/>
      <c r="AG222" s="13"/>
      <c r="AH222" s="22"/>
      <c r="AI222" s="13"/>
      <c r="AJ222" s="15"/>
      <c r="AK222" s="15"/>
      <c r="AL222" s="16"/>
      <c r="AM222" s="15"/>
      <c r="AN222" s="17"/>
    </row>
    <row r="223" spans="2:41" ht="15.75">
      <c r="B223" s="13"/>
      <c r="C223" s="13"/>
      <c r="D223" s="22"/>
      <c r="E223" s="14"/>
      <c r="F223" s="22"/>
      <c r="G223" s="13"/>
      <c r="H223" s="22"/>
      <c r="I223" s="14"/>
      <c r="J223" s="22"/>
      <c r="K223" s="13"/>
      <c r="L223" s="22"/>
      <c r="M223" s="14"/>
      <c r="N223" s="22"/>
      <c r="O223" s="13"/>
      <c r="P223" s="22"/>
      <c r="Q223" s="13"/>
      <c r="R223" s="22"/>
      <c r="S223" s="14"/>
      <c r="T223" s="22"/>
      <c r="U223" s="13"/>
      <c r="V223" s="22"/>
      <c r="W223" s="13"/>
      <c r="X223" s="22"/>
      <c r="Y223" s="14"/>
      <c r="Z223" s="22"/>
      <c r="AA223" s="13"/>
      <c r="AB223" s="22"/>
      <c r="AC223" s="13"/>
      <c r="AD223" s="22"/>
      <c r="AE223" s="14"/>
      <c r="AF223" s="22"/>
      <c r="AG223" s="13"/>
      <c r="AH223" s="22"/>
      <c r="AI223" s="13"/>
      <c r="AJ223" s="15"/>
      <c r="AK223" s="15"/>
      <c r="AL223" s="16"/>
      <c r="AM223" s="15"/>
      <c r="AN223" s="17"/>
    </row>
    <row r="224" spans="2:41" ht="15.75">
      <c r="B224" s="13"/>
      <c r="C224" s="13"/>
      <c r="D224" s="22"/>
      <c r="E224" s="14"/>
      <c r="F224" s="22"/>
      <c r="G224" s="13"/>
      <c r="H224" s="22"/>
      <c r="I224" s="14"/>
      <c r="J224" s="22"/>
      <c r="K224" s="13"/>
      <c r="L224" s="22"/>
      <c r="M224" s="14"/>
      <c r="N224" s="22"/>
      <c r="O224" s="13"/>
      <c r="P224" s="22"/>
      <c r="Q224" s="13"/>
      <c r="R224" s="22"/>
      <c r="S224" s="14"/>
      <c r="T224" s="22"/>
      <c r="U224" s="13"/>
      <c r="V224" s="22"/>
      <c r="W224" s="13"/>
      <c r="X224" s="22"/>
      <c r="Y224" s="14"/>
      <c r="Z224" s="22"/>
      <c r="AA224" s="13"/>
      <c r="AB224" s="22"/>
      <c r="AC224" s="13"/>
      <c r="AD224" s="22"/>
      <c r="AE224" s="14"/>
      <c r="AF224" s="22"/>
      <c r="AG224" s="13"/>
      <c r="AH224" s="22"/>
      <c r="AI224" s="13"/>
      <c r="AJ224" s="15"/>
      <c r="AK224" s="15"/>
      <c r="AL224" s="16"/>
      <c r="AM224" s="15"/>
      <c r="AN224" s="17"/>
    </row>
    <row r="225" spans="2:40" ht="15.75">
      <c r="B225" s="13"/>
      <c r="C225" s="13"/>
      <c r="D225" s="22"/>
      <c r="E225" s="14"/>
      <c r="F225" s="22"/>
      <c r="G225" s="13"/>
      <c r="H225" s="22"/>
      <c r="I225" s="14"/>
      <c r="J225" s="22"/>
      <c r="K225" s="13"/>
      <c r="L225" s="22"/>
      <c r="M225" s="14"/>
      <c r="N225" s="22"/>
      <c r="O225" s="13"/>
      <c r="P225" s="22"/>
      <c r="Q225" s="13"/>
      <c r="R225" s="22"/>
      <c r="S225" s="14"/>
      <c r="T225" s="22"/>
      <c r="U225" s="13"/>
      <c r="V225" s="22"/>
      <c r="W225" s="13"/>
      <c r="X225" s="22"/>
      <c r="Y225" s="14"/>
      <c r="Z225" s="22"/>
      <c r="AA225" s="13"/>
      <c r="AB225" s="22"/>
      <c r="AC225" s="13"/>
      <c r="AD225" s="22"/>
      <c r="AE225" s="14"/>
      <c r="AF225" s="22"/>
      <c r="AG225" s="13"/>
      <c r="AH225" s="22"/>
      <c r="AI225" s="13"/>
      <c r="AJ225" s="15"/>
      <c r="AK225" s="15"/>
      <c r="AL225" s="16"/>
      <c r="AM225" s="15"/>
      <c r="AN225" s="17"/>
    </row>
    <row r="226" spans="2:40" ht="15.75">
      <c r="B226" s="13"/>
      <c r="C226" s="13"/>
      <c r="D226" s="22"/>
      <c r="E226" s="14"/>
      <c r="F226" s="22"/>
      <c r="G226" s="13"/>
      <c r="H226" s="22"/>
      <c r="I226" s="14"/>
      <c r="J226" s="22"/>
      <c r="K226" s="13"/>
      <c r="L226" s="22"/>
      <c r="M226" s="14"/>
      <c r="N226" s="22"/>
      <c r="O226" s="13"/>
      <c r="P226" s="22"/>
      <c r="Q226" s="13"/>
      <c r="R226" s="22"/>
      <c r="S226" s="14"/>
      <c r="T226" s="22"/>
      <c r="U226" s="13"/>
      <c r="V226" s="22"/>
      <c r="W226" s="13"/>
      <c r="X226" s="22"/>
      <c r="Y226" s="14"/>
      <c r="Z226" s="22"/>
      <c r="AA226" s="13"/>
      <c r="AB226" s="22"/>
      <c r="AC226" s="13"/>
      <c r="AD226" s="22"/>
      <c r="AE226" s="14"/>
      <c r="AF226" s="22"/>
      <c r="AG226" s="13"/>
      <c r="AH226" s="22"/>
      <c r="AI226" s="13"/>
      <c r="AJ226" s="15"/>
      <c r="AK226" s="15"/>
      <c r="AL226" s="16"/>
      <c r="AM226" s="15"/>
      <c r="AN226" s="17"/>
    </row>
    <row r="227" spans="2:40" ht="15.75">
      <c r="B227" s="13"/>
      <c r="C227" s="13"/>
      <c r="D227" s="22"/>
      <c r="E227" s="14"/>
      <c r="F227" s="22"/>
      <c r="G227" s="13"/>
      <c r="H227" s="22"/>
      <c r="I227" s="14"/>
      <c r="J227" s="22"/>
      <c r="K227" s="13"/>
      <c r="L227" s="22"/>
      <c r="M227" s="14"/>
      <c r="N227" s="22"/>
      <c r="O227" s="13"/>
      <c r="P227" s="22"/>
      <c r="Q227" s="13"/>
      <c r="R227" s="22"/>
      <c r="S227" s="14"/>
      <c r="T227" s="22"/>
      <c r="U227" s="13"/>
      <c r="V227" s="22"/>
      <c r="W227" s="13"/>
      <c r="X227" s="22"/>
      <c r="Y227" s="14"/>
      <c r="Z227" s="22"/>
      <c r="AA227" s="13"/>
      <c r="AB227" s="22"/>
      <c r="AC227" s="13"/>
      <c r="AD227" s="22"/>
      <c r="AE227" s="14"/>
      <c r="AF227" s="22"/>
      <c r="AG227" s="13"/>
      <c r="AH227" s="22"/>
      <c r="AI227" s="13"/>
      <c r="AJ227" s="15"/>
      <c r="AK227" s="15"/>
      <c r="AL227" s="16"/>
      <c r="AM227" s="15"/>
      <c r="AN227" s="17"/>
    </row>
    <row r="228" spans="2:40" ht="15.75">
      <c r="B228" s="13"/>
      <c r="C228" s="13"/>
      <c r="D228" s="22"/>
      <c r="E228" s="14"/>
      <c r="F228" s="22"/>
      <c r="G228" s="13"/>
      <c r="H228" s="22"/>
      <c r="I228" s="14"/>
      <c r="J228" s="22"/>
      <c r="K228" s="13"/>
      <c r="L228" s="22"/>
      <c r="M228" s="14"/>
      <c r="N228" s="22"/>
      <c r="O228" s="13"/>
      <c r="P228" s="22"/>
      <c r="Q228" s="13"/>
      <c r="R228" s="22"/>
      <c r="S228" s="14"/>
      <c r="T228" s="22"/>
      <c r="U228" s="13"/>
      <c r="V228" s="22"/>
      <c r="W228" s="13"/>
      <c r="X228" s="22"/>
      <c r="Y228" s="14"/>
      <c r="Z228" s="22"/>
      <c r="AA228" s="13"/>
      <c r="AB228" s="22"/>
      <c r="AC228" s="13"/>
      <c r="AD228" s="22"/>
      <c r="AE228" s="14"/>
      <c r="AF228" s="22"/>
      <c r="AG228" s="13"/>
      <c r="AH228" s="22"/>
      <c r="AI228" s="13"/>
      <c r="AJ228" s="15"/>
      <c r="AK228" s="15"/>
      <c r="AL228" s="16"/>
      <c r="AM228" s="15"/>
      <c r="AN228" s="17"/>
    </row>
    <row r="229" spans="2:40" ht="15.75" thickBot="1">
      <c r="O229" s="18"/>
    </row>
    <row r="230" spans="2:40" ht="15.75" thickBot="1">
      <c r="O230" s="9"/>
    </row>
    <row r="231" spans="2:40" ht="15.75" thickBot="1">
      <c r="O231" s="9"/>
    </row>
    <row r="232" spans="2:40" ht="15.75" thickBot="1">
      <c r="O232" s="9"/>
    </row>
    <row r="233" spans="2:40" ht="15.75" thickBot="1">
      <c r="O233" s="9"/>
    </row>
    <row r="234" spans="2:40" ht="15.75" thickBot="1">
      <c r="O234" s="9"/>
    </row>
    <row r="235" spans="2:40" ht="15.75" thickBot="1">
      <c r="O235" s="9"/>
    </row>
    <row r="236" spans="2:40" ht="15.75" thickBot="1">
      <c r="O236" s="9"/>
    </row>
    <row r="237" spans="2:40" ht="15.75" thickBot="1">
      <c r="O237" s="9"/>
    </row>
    <row r="238" spans="2:40" ht="15.75" thickBot="1">
      <c r="O238" s="9"/>
    </row>
    <row r="239" spans="2:40" ht="15.75" thickBot="1">
      <c r="O239" s="9"/>
    </row>
    <row r="240" spans="2:40" ht="15.75" thickBot="1">
      <c r="O240" s="9"/>
    </row>
    <row r="241" spans="15:15" ht="15.75" thickBot="1">
      <c r="O241" s="9"/>
    </row>
    <row r="242" spans="15:15" ht="15.75" thickBot="1">
      <c r="O242" s="9"/>
    </row>
    <row r="243" spans="15:15" ht="15.75" thickBot="1">
      <c r="O243" s="9"/>
    </row>
    <row r="244" spans="15:15" ht="15.75" thickBot="1">
      <c r="O244" s="9"/>
    </row>
    <row r="245" spans="15:15" ht="15.75" thickBot="1">
      <c r="O245" s="9"/>
    </row>
    <row r="246" spans="15:15">
      <c r="O246" s="9"/>
    </row>
  </sheetData>
  <mergeCells count="62">
    <mergeCell ref="AM24:AM27"/>
    <mergeCell ref="AN24:AN27"/>
    <mergeCell ref="AJ25:AJ27"/>
    <mergeCell ref="AK25:AK27"/>
    <mergeCell ref="AL25:AL27"/>
    <mergeCell ref="B24:B27"/>
    <mergeCell ref="D24:G24"/>
    <mergeCell ref="C24:C25"/>
    <mergeCell ref="H24:K24"/>
    <mergeCell ref="L24:Q24"/>
    <mergeCell ref="D25:E25"/>
    <mergeCell ref="H25:I25"/>
    <mergeCell ref="H26:I26"/>
    <mergeCell ref="H27:I27"/>
    <mergeCell ref="D27:E27"/>
    <mergeCell ref="F27:G27"/>
    <mergeCell ref="J27:K27"/>
    <mergeCell ref="L27:M27"/>
    <mergeCell ref="N27:O27"/>
    <mergeCell ref="P27:Q27"/>
    <mergeCell ref="R24:W24"/>
    <mergeCell ref="D26:E26"/>
    <mergeCell ref="F25:G25"/>
    <mergeCell ref="F26:G26"/>
    <mergeCell ref="J25:K25"/>
    <mergeCell ref="J26:K26"/>
    <mergeCell ref="L25:M25"/>
    <mergeCell ref="L26:M26"/>
    <mergeCell ref="N25:O25"/>
    <mergeCell ref="N26:O26"/>
    <mergeCell ref="P25:Q25"/>
    <mergeCell ref="P26:Q26"/>
    <mergeCell ref="R25:S25"/>
    <mergeCell ref="R26:S26"/>
    <mergeCell ref="R27:S27"/>
    <mergeCell ref="T25:U25"/>
    <mergeCell ref="T26:U26"/>
    <mergeCell ref="T27:U27"/>
    <mergeCell ref="V25:W25"/>
    <mergeCell ref="V26:W26"/>
    <mergeCell ref="V27:W27"/>
    <mergeCell ref="X26:Y26"/>
    <mergeCell ref="X27:Y27"/>
    <mergeCell ref="Z25:AA25"/>
    <mergeCell ref="Z26:AA26"/>
    <mergeCell ref="Z27:AA27"/>
    <mergeCell ref="AF20:AM20"/>
    <mergeCell ref="AB25:AC25"/>
    <mergeCell ref="AB26:AC26"/>
    <mergeCell ref="AB27:AC27"/>
    <mergeCell ref="AH25:AI25"/>
    <mergeCell ref="AH26:AI26"/>
    <mergeCell ref="AH27:AI27"/>
    <mergeCell ref="AD25:AE25"/>
    <mergeCell ref="AD26:AE26"/>
    <mergeCell ref="AD27:AE27"/>
    <mergeCell ref="AF25:AG25"/>
    <mergeCell ref="AF26:AG26"/>
    <mergeCell ref="AF27:AG27"/>
    <mergeCell ref="X24:AC24"/>
    <mergeCell ref="AD24:AI24"/>
    <mergeCell ref="X25:Y25"/>
  </mergeCells>
  <conditionalFormatting sqref="E210:E228 AE29:AE228 I29:I228 M29:M228 S29:S228 Y29:Y228 G29:G209 K29:K209 O29:O209 Q29:Q209 U29:U209 W29:W209 AA29:AA209 AC29:AC209 AG29:AG209 AI29:AJ209 D28:D209 H28:H209 L28:L209 R28:R209 X28:X209 AD28:AD209">
    <cfRule type="cellIs" dxfId="173" priority="93" operator="lessThan">
      <formula>40</formula>
    </cfRule>
  </conditionalFormatting>
  <conditionalFormatting sqref="E28:E209 G28:G209 K28:K209 O28:O209 Q28:Q209 U28:U209 W28:W209 AA28:AA209 AC28:AC209 AG28:AG209 AI28:AI209 I28:I209 M28:M209 S28:S209 Y28:Y209 AE28:AE209 AK212:AK214 AM212:AM214">
    <cfRule type="cellIs" dxfId="172" priority="68" operator="equal">
      <formula>"F"</formula>
    </cfRule>
  </conditionalFormatting>
  <conditionalFormatting sqref="AM28:AM209">
    <cfRule type="cellIs" dxfId="171" priority="66" operator="equal">
      <formula>"FAIL"</formula>
    </cfRule>
  </conditionalFormatting>
  <conditionalFormatting sqref="P28:P209 V28:V209 AB28:AB209 AH28:AH209">
    <cfRule type="cellIs" dxfId="170" priority="24" operator="lessThan">
      <formula>10</formula>
    </cfRule>
  </conditionalFormatting>
  <conditionalFormatting sqref="D1:D1048576 F1:F1048576 J1:J1048576 N1:N1048576 P1:P1048576 T1:T1048576 V1:V1048576 Z1:Z1048576 AB1:AB1048576 AF1:AF1048576 AH1:AH1048576 H1:H1048576 L1:L1048576 R1:R1048576 X1:X1048576 AD1:AD1048576">
    <cfRule type="cellIs" dxfId="169" priority="20" operator="equal">
      <formula>"AB"</formula>
    </cfRule>
  </conditionalFormatting>
  <conditionalFormatting sqref="D3:D12 H5:H12 L5:L12 R5:R12 X5:X12 AD5:AD12">
    <cfRule type="cellIs" dxfId="168" priority="18" operator="lessThan">
      <formula>40</formula>
    </cfRule>
    <cfRule type="cellIs" dxfId="167" priority="19" operator="equal">
      <formula>"AB"</formula>
    </cfRule>
  </conditionalFormatting>
  <conditionalFormatting sqref="AO212:AO214 AK212:AK214">
    <cfRule type="containsText" dxfId="166" priority="6" operator="containsText" text="FAIL">
      <formula>NOT(ISERROR(SEARCH("FAIL",AK212)))</formula>
    </cfRule>
  </conditionalFormatting>
  <conditionalFormatting sqref="AJ212:AJ214">
    <cfRule type="cellIs" dxfId="165" priority="4" operator="lessThan">
      <formula>10</formula>
    </cfRule>
    <cfRule type="cellIs" dxfId="164" priority="5" operator="equal">
      <formula>"AB"</formula>
    </cfRule>
  </conditionalFormatting>
  <conditionalFormatting sqref="AL212:AL214">
    <cfRule type="cellIs" dxfId="163" priority="2" operator="lessThan">
      <formula>20</formula>
    </cfRule>
    <cfRule type="cellIs" dxfId="162" priority="3" operator="equal">
      <formula>"AB"</formula>
    </cfRule>
  </conditionalFormatting>
  <pageMargins left="0.70866141732283472" right="0.70866141732283472" top="1.3779527559055118" bottom="2.91" header="0.31496062992125984" footer="0.31496062992125984"/>
  <pageSetup paperSize="8" orientation="landscape" r:id="rId1"/>
  <headerFooter>
    <oddHeader xml:space="preserve">&amp;C&amp;"-,Bold"&amp;16University of Mumbai
Atharva  College of Engineering, Malad(W), Mumbai 400 095
   Statment of Marks For S.Y. B.E. Semester IV May/June 2013 Examination        Branch Computer Engineering
</oddHeader>
    <oddFooter>&amp;L&amp;G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19"/>
  <sheetViews>
    <sheetView workbookViewId="0">
      <selection activeCell="E7" sqref="E7:H12"/>
    </sheetView>
  </sheetViews>
  <sheetFormatPr defaultRowHeight="15"/>
  <cols>
    <col min="1" max="1" width="8.28515625" customWidth="1"/>
    <col min="2" max="2" width="28.7109375" customWidth="1"/>
    <col min="3" max="3" width="17.85546875" customWidth="1"/>
    <col min="4" max="4" width="13.7109375" customWidth="1"/>
  </cols>
  <sheetData>
    <row r="1" spans="1:10" ht="15.75">
      <c r="A1" s="50" t="s">
        <v>319</v>
      </c>
      <c r="B1" s="50"/>
      <c r="C1" s="50"/>
      <c r="D1" s="50"/>
      <c r="E1" s="50"/>
      <c r="F1" s="50"/>
      <c r="G1" s="50"/>
      <c r="H1" s="50"/>
      <c r="I1" s="50"/>
      <c r="J1" s="50"/>
    </row>
    <row r="2" spans="1:10" ht="15.75">
      <c r="A2" s="50" t="s">
        <v>320</v>
      </c>
      <c r="B2" s="50"/>
      <c r="C2" s="50"/>
      <c r="D2" s="50"/>
      <c r="E2" s="50"/>
      <c r="F2" s="50"/>
      <c r="G2" s="50"/>
      <c r="H2" s="50"/>
      <c r="I2" s="50"/>
      <c r="J2" s="50"/>
    </row>
    <row r="3" spans="1:10" ht="15.75">
      <c r="A3" s="50"/>
      <c r="B3" s="50"/>
      <c r="C3" s="50"/>
      <c r="D3" s="50"/>
      <c r="E3" s="50"/>
      <c r="F3" s="50"/>
      <c r="G3" s="50"/>
      <c r="H3" s="50"/>
      <c r="I3" s="50"/>
      <c r="J3" s="50"/>
    </row>
    <row r="4" spans="1:10" ht="15.75">
      <c r="A4" s="50" t="s">
        <v>321</v>
      </c>
      <c r="B4" s="50"/>
      <c r="C4" s="50"/>
      <c r="D4" s="50"/>
      <c r="E4" s="50"/>
      <c r="F4" s="50"/>
      <c r="G4" s="50"/>
      <c r="H4" s="50"/>
      <c r="I4" s="50"/>
      <c r="J4" s="50"/>
    </row>
    <row r="5" spans="1:10">
      <c r="A5" s="51"/>
      <c r="B5" s="51"/>
      <c r="C5" s="51"/>
      <c r="D5" s="51"/>
      <c r="E5" s="51"/>
      <c r="F5" s="51"/>
      <c r="G5" s="51"/>
      <c r="H5" s="51"/>
      <c r="I5" s="51"/>
      <c r="J5" s="51"/>
    </row>
    <row r="6" spans="1:10" ht="72">
      <c r="A6" s="52" t="s">
        <v>322</v>
      </c>
      <c r="B6" s="52" t="s">
        <v>323</v>
      </c>
      <c r="C6" s="52" t="s">
        <v>324</v>
      </c>
      <c r="D6" s="52" t="s">
        <v>325</v>
      </c>
      <c r="E6" s="52" t="s">
        <v>326</v>
      </c>
      <c r="F6" s="52" t="s">
        <v>327</v>
      </c>
      <c r="G6" s="52" t="s">
        <v>328</v>
      </c>
      <c r="H6" s="52" t="s">
        <v>329</v>
      </c>
      <c r="I6" s="52" t="s">
        <v>330</v>
      </c>
      <c r="J6" s="52" t="s">
        <v>331</v>
      </c>
    </row>
    <row r="7" spans="1:10" ht="34.5" customHeight="1">
      <c r="A7" s="53">
        <v>1</v>
      </c>
      <c r="B7" s="54" t="s">
        <v>332</v>
      </c>
      <c r="C7" s="55" t="s">
        <v>333</v>
      </c>
      <c r="D7" s="56" t="s">
        <v>334</v>
      </c>
      <c r="E7" s="57">
        <f>Guzet!D5</f>
        <v>156</v>
      </c>
      <c r="F7" s="57">
        <f>Guzet!D7</f>
        <v>101</v>
      </c>
      <c r="G7" s="58">
        <v>0.77906976744186052</v>
      </c>
      <c r="H7" s="57">
        <f>Guzet!D11</f>
        <v>91</v>
      </c>
      <c r="I7" s="57">
        <f>F7-H7</f>
        <v>10</v>
      </c>
      <c r="J7" s="59" t="s">
        <v>335</v>
      </c>
    </row>
    <row r="8" spans="1:10" ht="34.5" customHeight="1">
      <c r="A8" s="53">
        <v>2</v>
      </c>
      <c r="B8" s="54" t="s">
        <v>336</v>
      </c>
      <c r="C8" s="56" t="s">
        <v>337</v>
      </c>
      <c r="D8" s="56" t="s">
        <v>338</v>
      </c>
      <c r="E8" s="57">
        <f>Guzet!H5</f>
        <v>164</v>
      </c>
      <c r="F8" s="57">
        <f>Guzet!H7</f>
        <v>144</v>
      </c>
      <c r="G8" s="58">
        <v>0.34285714285714286</v>
      </c>
      <c r="H8" s="57">
        <f>Guzet!H11</f>
        <v>88</v>
      </c>
      <c r="I8" s="57">
        <f t="shared" ref="I8:I12" si="0">F8-H8</f>
        <v>56</v>
      </c>
      <c r="J8" s="59" t="s">
        <v>335</v>
      </c>
    </row>
    <row r="9" spans="1:10" ht="34.5" customHeight="1">
      <c r="A9" s="53">
        <v>3</v>
      </c>
      <c r="B9" s="54" t="s">
        <v>339</v>
      </c>
      <c r="C9" s="56" t="s">
        <v>340</v>
      </c>
      <c r="D9" s="56" t="s">
        <v>341</v>
      </c>
      <c r="E9" s="57">
        <f>Guzet!L5</f>
        <v>151</v>
      </c>
      <c r="F9" s="57">
        <f>Guzet!L7</f>
        <v>130</v>
      </c>
      <c r="G9" s="58">
        <v>0.66666666666666663</v>
      </c>
      <c r="H9" s="57">
        <f>Guzet!L11</f>
        <v>113</v>
      </c>
      <c r="I9" s="57">
        <f t="shared" si="0"/>
        <v>17</v>
      </c>
      <c r="J9" s="59" t="s">
        <v>335</v>
      </c>
    </row>
    <row r="10" spans="1:10" ht="34.5" customHeight="1">
      <c r="A10" s="53">
        <v>4</v>
      </c>
      <c r="B10" s="54" t="s">
        <v>342</v>
      </c>
      <c r="C10" s="56" t="s">
        <v>343</v>
      </c>
      <c r="D10" s="56" t="s">
        <v>344</v>
      </c>
      <c r="E10" s="57">
        <f>Guzet!R5</f>
        <v>148</v>
      </c>
      <c r="F10" s="57">
        <f>Guzet!R7</f>
        <v>115</v>
      </c>
      <c r="G10" s="58">
        <v>0.5</v>
      </c>
      <c r="H10" s="57">
        <f>Guzet!R11</f>
        <v>101</v>
      </c>
      <c r="I10" s="57">
        <f t="shared" si="0"/>
        <v>14</v>
      </c>
      <c r="J10" s="59" t="s">
        <v>335</v>
      </c>
    </row>
    <row r="11" spans="1:10" ht="34.5" customHeight="1">
      <c r="A11" s="53">
        <v>5</v>
      </c>
      <c r="B11" s="54" t="s">
        <v>345</v>
      </c>
      <c r="C11" s="56" t="s">
        <v>346</v>
      </c>
      <c r="D11" s="56" t="s">
        <v>347</v>
      </c>
      <c r="E11" s="57">
        <f>Guzet!X5</f>
        <v>149</v>
      </c>
      <c r="F11" s="57">
        <f>Guzet!X7</f>
        <v>139</v>
      </c>
      <c r="G11" s="58">
        <v>0.5</v>
      </c>
      <c r="H11" s="57">
        <f>Guzet!X11</f>
        <v>112</v>
      </c>
      <c r="I11" s="57">
        <f t="shared" si="0"/>
        <v>27</v>
      </c>
      <c r="J11" s="59" t="s">
        <v>335</v>
      </c>
    </row>
    <row r="12" spans="1:10" ht="34.5" customHeight="1">
      <c r="A12" s="53">
        <v>6</v>
      </c>
      <c r="B12" s="60" t="s">
        <v>348</v>
      </c>
      <c r="C12" s="56" t="s">
        <v>343</v>
      </c>
      <c r="D12" s="56" t="s">
        <v>349</v>
      </c>
      <c r="E12" s="57">
        <f>Guzet!AD5</f>
        <v>149</v>
      </c>
      <c r="F12" s="57">
        <f>Guzet!AD7</f>
        <v>131</v>
      </c>
      <c r="G12" s="58">
        <v>0.80487804878048785</v>
      </c>
      <c r="H12" s="57">
        <f>Guzet!AD11</f>
        <v>126</v>
      </c>
      <c r="I12" s="57">
        <f t="shared" si="0"/>
        <v>5</v>
      </c>
      <c r="J12" s="59" t="s">
        <v>335</v>
      </c>
    </row>
    <row r="14" spans="1:10" ht="15.75">
      <c r="B14" s="61" t="s">
        <v>350</v>
      </c>
      <c r="C14" s="62">
        <v>115</v>
      </c>
    </row>
    <row r="15" spans="1:10" ht="15.75">
      <c r="B15" s="61" t="s">
        <v>351</v>
      </c>
      <c r="C15" s="62">
        <v>65</v>
      </c>
    </row>
    <row r="16" spans="1:10" ht="15.75">
      <c r="B16" s="61" t="s">
        <v>352</v>
      </c>
      <c r="C16" s="63">
        <v>0.56521739130434778</v>
      </c>
    </row>
    <row r="17" spans="2:7" ht="15.75">
      <c r="B17" s="50" t="s">
        <v>353</v>
      </c>
      <c r="C17" s="50" t="s">
        <v>354</v>
      </c>
      <c r="E17" s="51"/>
    </row>
    <row r="18" spans="2:7" ht="15.75">
      <c r="B18" s="61" t="s">
        <v>355</v>
      </c>
      <c r="C18" s="64">
        <v>41466</v>
      </c>
    </row>
    <row r="19" spans="2:7">
      <c r="G19" t="s">
        <v>356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N194"/>
  <sheetViews>
    <sheetView tabSelected="1" topLeftCell="C151" workbookViewId="0">
      <selection activeCell="A172" sqref="A172:AN172"/>
    </sheetView>
  </sheetViews>
  <sheetFormatPr defaultRowHeight="15"/>
  <cols>
    <col min="1" max="1" width="10.5703125" style="72" customWidth="1"/>
    <col min="2" max="2" width="44.5703125" style="72" customWidth="1"/>
    <col min="3" max="3" width="4" style="73" customWidth="1"/>
    <col min="4" max="4" width="2.28515625" style="72" customWidth="1"/>
    <col min="5" max="5" width="4" style="73" customWidth="1"/>
    <col min="6" max="6" width="2.28515625" style="72" customWidth="1"/>
    <col min="7" max="7" width="4" style="73" customWidth="1"/>
    <col min="8" max="8" width="2.28515625" style="72" customWidth="1"/>
    <col min="9" max="9" width="4" style="73" customWidth="1"/>
    <col min="10" max="10" width="2.28515625" style="72" customWidth="1"/>
    <col min="11" max="11" width="4" style="73" customWidth="1"/>
    <col min="12" max="12" width="2.28515625" style="72" customWidth="1"/>
    <col min="13" max="13" width="4" style="73" customWidth="1"/>
    <col min="14" max="14" width="2.28515625" style="72" customWidth="1"/>
    <col min="15" max="15" width="4" style="73" customWidth="1"/>
    <col min="16" max="16" width="2.28515625" style="72" customWidth="1"/>
    <col min="17" max="17" width="4" style="73" customWidth="1"/>
    <col min="18" max="18" width="2.28515625" style="72" customWidth="1"/>
    <col min="19" max="19" width="4" style="73" customWidth="1"/>
    <col min="20" max="20" width="2.28515625" style="72" customWidth="1"/>
    <col min="21" max="21" width="4" style="73" customWidth="1"/>
    <col min="22" max="22" width="2.28515625" style="72" customWidth="1"/>
    <col min="23" max="23" width="4" style="73" customWidth="1"/>
    <col min="24" max="24" width="2.28515625" style="72" customWidth="1"/>
    <col min="25" max="25" width="4" style="73" customWidth="1"/>
    <col min="26" max="26" width="2.28515625" style="72" customWidth="1"/>
    <col min="27" max="27" width="4" style="73" customWidth="1"/>
    <col min="28" max="28" width="2.28515625" style="72" customWidth="1"/>
    <col min="29" max="29" width="4" style="73" customWidth="1"/>
    <col min="30" max="30" width="2.28515625" style="72" customWidth="1"/>
    <col min="31" max="31" width="4" style="73" customWidth="1"/>
    <col min="32" max="32" width="2.28515625" style="72" customWidth="1"/>
    <col min="33" max="33" width="4" style="73" customWidth="1"/>
    <col min="34" max="34" width="2.28515625" style="72" customWidth="1"/>
    <col min="35" max="35" width="9.140625" style="72"/>
    <col min="36" max="36" width="7.7109375" style="72" customWidth="1"/>
    <col min="37" max="16384" width="9.140625" style="72"/>
  </cols>
  <sheetData>
    <row r="1" spans="1:40">
      <c r="A1" s="72" t="s">
        <v>370</v>
      </c>
      <c r="B1" s="72" t="s">
        <v>371</v>
      </c>
      <c r="C1" s="73" t="s">
        <v>372</v>
      </c>
      <c r="E1" s="73" t="s">
        <v>373</v>
      </c>
      <c r="G1" s="73" t="s">
        <v>374</v>
      </c>
      <c r="I1" s="73" t="s">
        <v>375</v>
      </c>
      <c r="K1" s="73" t="s">
        <v>376</v>
      </c>
      <c r="M1" s="73" t="s">
        <v>377</v>
      </c>
      <c r="O1" s="73" t="s">
        <v>378</v>
      </c>
      <c r="Q1" s="73" t="s">
        <v>379</v>
      </c>
      <c r="S1" s="73" t="s">
        <v>380</v>
      </c>
      <c r="U1" s="73" t="s">
        <v>381</v>
      </c>
      <c r="W1" s="73" t="s">
        <v>382</v>
      </c>
      <c r="Y1" s="73" t="s">
        <v>383</v>
      </c>
      <c r="AA1" s="73" t="s">
        <v>384</v>
      </c>
      <c r="AC1" s="73" t="s">
        <v>385</v>
      </c>
      <c r="AE1" s="73" t="s">
        <v>386</v>
      </c>
      <c r="AG1" s="73" t="s">
        <v>387</v>
      </c>
      <c r="AI1" s="72" t="s">
        <v>388</v>
      </c>
      <c r="AJ1" s="72" t="s">
        <v>389</v>
      </c>
      <c r="AK1" s="72" t="s">
        <v>10</v>
      </c>
      <c r="AL1" s="72" t="s">
        <v>11</v>
      </c>
      <c r="AM1" s="72" t="s">
        <v>12</v>
      </c>
      <c r="AN1" s="72" t="s">
        <v>390</v>
      </c>
    </row>
    <row r="2" spans="1:40">
      <c r="A2" s="45">
        <v>134201</v>
      </c>
      <c r="B2" s="46" t="s">
        <v>24</v>
      </c>
      <c r="C2" s="74">
        <v>40</v>
      </c>
      <c r="D2" s="75" t="s">
        <v>391</v>
      </c>
      <c r="E2" s="76">
        <v>18</v>
      </c>
      <c r="F2" s="77" t="s">
        <v>391</v>
      </c>
      <c r="G2" s="76">
        <v>40</v>
      </c>
      <c r="H2" s="77" t="s">
        <v>391</v>
      </c>
      <c r="I2" s="76">
        <v>22</v>
      </c>
      <c r="J2" s="77" t="s">
        <v>391</v>
      </c>
      <c r="K2" s="76">
        <v>40</v>
      </c>
      <c r="L2" s="77" t="s">
        <v>391</v>
      </c>
      <c r="M2" s="76">
        <v>17</v>
      </c>
      <c r="N2" s="77" t="s">
        <v>391</v>
      </c>
      <c r="O2" s="76">
        <v>17</v>
      </c>
      <c r="P2" s="77" t="s">
        <v>391</v>
      </c>
      <c r="Q2" s="76">
        <v>52</v>
      </c>
      <c r="R2" s="77" t="s">
        <v>391</v>
      </c>
      <c r="S2" s="76">
        <v>18</v>
      </c>
      <c r="T2" s="77" t="s">
        <v>391</v>
      </c>
      <c r="U2" s="76">
        <v>20</v>
      </c>
      <c r="V2" s="77" t="s">
        <v>391</v>
      </c>
      <c r="W2" s="76">
        <v>40</v>
      </c>
      <c r="X2" s="77" t="s">
        <v>391</v>
      </c>
      <c r="Y2" s="76">
        <v>20</v>
      </c>
      <c r="Z2" s="77" t="s">
        <v>391</v>
      </c>
      <c r="AA2" s="76">
        <v>20</v>
      </c>
      <c r="AB2" s="77" t="s">
        <v>391</v>
      </c>
      <c r="AC2" s="76">
        <v>40</v>
      </c>
      <c r="AD2" s="77" t="s">
        <v>391</v>
      </c>
      <c r="AE2" s="76">
        <v>22</v>
      </c>
      <c r="AF2" s="77" t="s">
        <v>391</v>
      </c>
      <c r="AG2" s="76">
        <v>16</v>
      </c>
      <c r="AH2" s="77" t="s">
        <v>391</v>
      </c>
      <c r="AI2" s="48">
        <v>442</v>
      </c>
      <c r="AJ2" s="83" t="s">
        <v>531</v>
      </c>
      <c r="AK2" s="29">
        <v>442</v>
      </c>
      <c r="AL2" s="29" t="s">
        <v>392</v>
      </c>
      <c r="AM2" s="30" t="s">
        <v>393</v>
      </c>
      <c r="AN2" s="2" t="s">
        <v>394</v>
      </c>
    </row>
    <row r="3" spans="1:40">
      <c r="A3" s="45">
        <v>134202</v>
      </c>
      <c r="B3" s="46" t="s">
        <v>25</v>
      </c>
      <c r="C3" s="74">
        <v>64</v>
      </c>
      <c r="D3" s="77" t="s">
        <v>391</v>
      </c>
      <c r="E3" s="76">
        <v>20</v>
      </c>
      <c r="F3" s="77" t="s">
        <v>391</v>
      </c>
      <c r="G3" s="76">
        <v>69</v>
      </c>
      <c r="H3" s="77" t="s">
        <v>391</v>
      </c>
      <c r="I3" s="76">
        <v>23</v>
      </c>
      <c r="J3" s="77" t="s">
        <v>391</v>
      </c>
      <c r="K3" s="76">
        <v>60</v>
      </c>
      <c r="L3" s="77" t="s">
        <v>391</v>
      </c>
      <c r="M3" s="76">
        <v>22</v>
      </c>
      <c r="N3" s="77" t="s">
        <v>391</v>
      </c>
      <c r="O3" s="76">
        <v>22</v>
      </c>
      <c r="P3" s="77" t="s">
        <v>391</v>
      </c>
      <c r="Q3" s="76">
        <v>61</v>
      </c>
      <c r="R3" s="77" t="s">
        <v>391</v>
      </c>
      <c r="S3" s="76">
        <v>23</v>
      </c>
      <c r="T3" s="77" t="s">
        <v>391</v>
      </c>
      <c r="U3" s="76">
        <v>21</v>
      </c>
      <c r="V3" s="77" t="s">
        <v>391</v>
      </c>
      <c r="W3" s="76">
        <v>73</v>
      </c>
      <c r="X3" s="77" t="s">
        <v>391</v>
      </c>
      <c r="Y3" s="76">
        <v>23</v>
      </c>
      <c r="Z3" s="77" t="s">
        <v>391</v>
      </c>
      <c r="AA3" s="76">
        <v>23</v>
      </c>
      <c r="AB3" s="77" t="s">
        <v>391</v>
      </c>
      <c r="AC3" s="76">
        <v>50</v>
      </c>
      <c r="AD3" s="77" t="s">
        <v>391</v>
      </c>
      <c r="AE3" s="76">
        <v>23</v>
      </c>
      <c r="AF3" s="77" t="s">
        <v>391</v>
      </c>
      <c r="AG3" s="76">
        <v>19</v>
      </c>
      <c r="AH3" s="77" t="s">
        <v>391</v>
      </c>
      <c r="AI3" s="31">
        <v>596</v>
      </c>
      <c r="AJ3" s="28" t="s">
        <v>243</v>
      </c>
      <c r="AK3" s="29">
        <v>1162</v>
      </c>
      <c r="AL3" s="29" t="s">
        <v>392</v>
      </c>
      <c r="AM3" s="30" t="s">
        <v>395</v>
      </c>
      <c r="AN3" s="2" t="s">
        <v>396</v>
      </c>
    </row>
    <row r="4" spans="1:40">
      <c r="A4" s="45">
        <v>134203</v>
      </c>
      <c r="B4" s="46" t="s">
        <v>26</v>
      </c>
      <c r="C4" s="74">
        <v>42</v>
      </c>
      <c r="D4" s="77" t="s">
        <v>397</v>
      </c>
      <c r="E4" s="76">
        <v>16</v>
      </c>
      <c r="F4" s="77" t="s">
        <v>397</v>
      </c>
      <c r="G4" s="76">
        <v>40</v>
      </c>
      <c r="H4" s="77" t="s">
        <v>397</v>
      </c>
      <c r="I4" s="76">
        <v>19</v>
      </c>
      <c r="J4" s="77" t="s">
        <v>397</v>
      </c>
      <c r="K4" s="76">
        <v>40</v>
      </c>
      <c r="L4" s="77" t="s">
        <v>397</v>
      </c>
      <c r="M4" s="76">
        <v>18</v>
      </c>
      <c r="N4" s="77" t="s">
        <v>397</v>
      </c>
      <c r="O4" s="76">
        <v>19</v>
      </c>
      <c r="P4" s="77" t="s">
        <v>397</v>
      </c>
      <c r="Q4" s="76">
        <v>20</v>
      </c>
      <c r="R4" s="77" t="s">
        <v>398</v>
      </c>
      <c r="S4" s="76">
        <v>23</v>
      </c>
      <c r="T4" s="77" t="s">
        <v>397</v>
      </c>
      <c r="U4" s="76">
        <v>19</v>
      </c>
      <c r="V4" s="77" t="s">
        <v>397</v>
      </c>
      <c r="W4" s="76">
        <v>44</v>
      </c>
      <c r="X4" s="77" t="s">
        <v>397</v>
      </c>
      <c r="Y4" s="76">
        <v>20</v>
      </c>
      <c r="Z4" s="77" t="s">
        <v>397</v>
      </c>
      <c r="AA4" s="76">
        <v>20</v>
      </c>
      <c r="AB4" s="77" t="s">
        <v>397</v>
      </c>
      <c r="AC4" s="76">
        <v>41</v>
      </c>
      <c r="AD4" s="77" t="s">
        <v>397</v>
      </c>
      <c r="AE4" s="76">
        <v>19</v>
      </c>
      <c r="AF4" s="77" t="s">
        <v>397</v>
      </c>
      <c r="AG4" s="76">
        <v>17</v>
      </c>
      <c r="AH4" s="77" t="s">
        <v>397</v>
      </c>
      <c r="AI4" s="31">
        <v>417</v>
      </c>
      <c r="AJ4" s="83" t="s">
        <v>531</v>
      </c>
      <c r="AK4" s="29">
        <v>417</v>
      </c>
      <c r="AL4" s="29" t="s">
        <v>399</v>
      </c>
      <c r="AM4" s="30" t="s">
        <v>400</v>
      </c>
      <c r="AN4" s="2" t="s">
        <v>401</v>
      </c>
    </row>
    <row r="5" spans="1:40">
      <c r="A5" s="45">
        <v>134204</v>
      </c>
      <c r="B5" s="46" t="s">
        <v>27</v>
      </c>
      <c r="C5" s="74">
        <v>52</v>
      </c>
      <c r="D5" s="77" t="s">
        <v>391</v>
      </c>
      <c r="E5" s="76">
        <v>20</v>
      </c>
      <c r="F5" s="77" t="s">
        <v>391</v>
      </c>
      <c r="G5" s="76">
        <v>74</v>
      </c>
      <c r="H5" s="77" t="s">
        <v>391</v>
      </c>
      <c r="I5" s="76">
        <v>21</v>
      </c>
      <c r="J5" s="77" t="s">
        <v>391</v>
      </c>
      <c r="K5" s="76">
        <v>54</v>
      </c>
      <c r="L5" s="77" t="s">
        <v>391</v>
      </c>
      <c r="M5" s="76">
        <v>22</v>
      </c>
      <c r="N5" s="77" t="s">
        <v>391</v>
      </c>
      <c r="O5" s="76">
        <v>22</v>
      </c>
      <c r="P5" s="77" t="s">
        <v>391</v>
      </c>
      <c r="Q5" s="76">
        <v>45</v>
      </c>
      <c r="R5" s="77" t="s">
        <v>391</v>
      </c>
      <c r="S5" s="76">
        <v>18</v>
      </c>
      <c r="T5" s="77" t="s">
        <v>391</v>
      </c>
      <c r="U5" s="76">
        <v>16</v>
      </c>
      <c r="V5" s="77" t="s">
        <v>391</v>
      </c>
      <c r="W5" s="76">
        <v>51</v>
      </c>
      <c r="X5" s="77" t="s">
        <v>391</v>
      </c>
      <c r="Y5" s="76">
        <v>21</v>
      </c>
      <c r="Z5" s="77" t="s">
        <v>391</v>
      </c>
      <c r="AA5" s="76">
        <v>21</v>
      </c>
      <c r="AB5" s="77" t="s">
        <v>391</v>
      </c>
      <c r="AC5" s="76">
        <v>49</v>
      </c>
      <c r="AD5" s="77" t="s">
        <v>391</v>
      </c>
      <c r="AE5" s="76">
        <v>21</v>
      </c>
      <c r="AF5" s="77" t="s">
        <v>391</v>
      </c>
      <c r="AG5" s="76">
        <v>16</v>
      </c>
      <c r="AH5" s="77" t="s">
        <v>391</v>
      </c>
      <c r="AI5" s="32">
        <v>523</v>
      </c>
      <c r="AJ5" s="28" t="s">
        <v>244</v>
      </c>
      <c r="AK5" s="29">
        <v>1052</v>
      </c>
      <c r="AL5" s="29" t="s">
        <v>392</v>
      </c>
      <c r="AM5" s="30" t="s">
        <v>395</v>
      </c>
      <c r="AN5" s="2" t="s">
        <v>402</v>
      </c>
    </row>
    <row r="6" spans="1:40">
      <c r="A6" s="45">
        <v>134205</v>
      </c>
      <c r="B6" s="46" t="s">
        <v>28</v>
      </c>
      <c r="C6" s="43">
        <v>40</v>
      </c>
      <c r="D6" s="27" t="str">
        <f t="shared" ref="D6" ca="1" si="0">IF(IFERROR(FIND("+",C6),0)," ",
IF(C6="AB","",
IF(C6&lt;$D$27,"F",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E6" s="26">
        <v>18</v>
      </c>
      <c r="F6" s="27" t="str">
        <f t="shared" ref="F6" ca="1" si="1">IF(IFERROR(FIND("+",E6),0)," ",
IF(E6="AB","",
IF(E6&lt;$F$27,"F",
IF(AND(E6&gt;=$F$27,C6&gt;=$D$27,G6&gt;=$H$27,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G6" s="24">
        <v>50</v>
      </c>
      <c r="H6" s="27" t="str">
        <f t="shared" ref="H6" ca="1" si="2">IF(IFERROR(FIND("+",G6),0)," ",
IF(G6="AB","",
IF(G6&lt;$H$27,"F",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I6" s="26">
        <v>17</v>
      </c>
      <c r="J6" s="27" t="str">
        <f t="shared" ref="J6" ca="1" si="3">IF(IFERROR(FIND("+",I6),0)," ",
IF(I6="AB","",
IF(I6&lt;$J$27,"F",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K6" s="24">
        <v>50</v>
      </c>
      <c r="L6" s="27" t="str">
        <f t="shared" ref="L6" ca="1" si="4">IF(IFERROR(FIND("+",K6),0)," ",
IF(K6="AB","",
IF(K6&lt;$L$27,"F",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M6" s="26">
        <v>17</v>
      </c>
      <c r="N6" s="27" t="str">
        <f t="shared" ref="N6" ca="1" si="5">IF(IFERROR(FIND("+",M6),0)," ",
IF(M6="AB","",
IF(M6&lt;$N$27,"F",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AG6&lt;&gt;"AB"),"","E"))))</f>
        <v/>
      </c>
      <c r="O6" s="26">
        <v>18</v>
      </c>
      <c r="P6" s="27" t="str">
        <f t="shared" ref="P6" ca="1" si="6">IF(IFERROR(FIND("+",O6),0)," ",
IF(O6="AB","",
IF(O6&lt;$P$27,"F",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Q6" s="40" t="s">
        <v>307</v>
      </c>
      <c r="R6" s="27" t="str">
        <f t="shared" ref="R6" ca="1" si="7">IF(IFERROR(FIND("+",Q6),0)," ",
IF(Q6="AB","",
IF(Q6&lt;$R$27,"F",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S6" s="26">
        <v>15</v>
      </c>
      <c r="T6" s="27" t="str">
        <f t="shared" ref="T6" ca="1" si="8">IF(IFERROR(FIND("+",S6),0)," ",
IF(S6="AB","",
IF(S6&lt;$T$27,"F",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U6" s="26">
        <v>21</v>
      </c>
      <c r="V6" s="27" t="str">
        <f t="shared" ref="V6" ca="1" si="9">IF(IFERROR(FIND("+",U6),0)," ",
IF(U6="AB","",
IF(U6&lt;$V$27,"F",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W6" s="24">
        <v>41</v>
      </c>
      <c r="X6" s="27" t="str">
        <f t="shared" ref="X6" ca="1" si="10">IF(IFERROR(FIND("+",W6),0)," ",
IF(W6="AB","",
IF(W6&lt;$X$27,"F",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Y6" s="26">
        <v>20</v>
      </c>
      <c r="Z6" s="27" t="str">
        <f t="shared" ref="Z6" ca="1" si="11">IF(IFERROR(FIND("+",Y6),0)," ",
IF(Y6="AB","",
IF(Y6&lt;$Z$27,"F",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AA6" s="26">
        <v>20</v>
      </c>
      <c r="AB6" s="27" t="str">
        <f t="shared" ref="AB6" ca="1" si="12">IF(IFERROR(FIND("+",AA6),0)," ",
IF(AA6="AB","",
IF(AA6&lt;$AB$27,"F",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AC6" s="24">
        <v>41</v>
      </c>
      <c r="AD6" s="27" t="str">
        <f t="shared" ref="AD6" ca="1" si="13">IF(IFERROR(FIND("+",AC6),0)," ",
IF(AC6="AB","",
IF(AC6&lt;$AD$27,"F",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AE6" s="26">
        <v>19</v>
      </c>
      <c r="AF6" s="27" t="str">
        <f t="shared" ref="AF6" ca="1" si="14">IF(IFERROR(FIND("+",AE6),0)," ",
IF(AE6="AB","",IF(AE6&lt;$AF$27,"F",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AG6&lt;&gt;"AB",AH6&lt;&gt;"AB"),"","E"))))</f>
        <v/>
      </c>
      <c r="AG6" s="26">
        <v>17</v>
      </c>
      <c r="AH6" s="27" t="str">
        <f t="shared" ref="AH6" ca="1" si="15">IF(IFERROR(FIND("+",AG6),0)," ",
IF(AG6="AB","",
IF(AG6&lt;$AH$27,"F",
IF(AND(C6&gt;=$D$27,E6&gt;=$F$27,G6&gt;=$H$27,
I6&gt;=$J$27,K6&gt;=$L$27,
M6&gt;=$N$27,O6&gt;=$P$27,Q6&gt;=$R$27,S6&gt;=$T$27,U6&gt;=$V$27,
W6&gt;=$X$27,Y6&gt;=$Z$27,AA6&gt;=$AB$27,AC6&gt;=$AD$27,AE6&gt;=$AF$27,
AG6&gt;=$AH$27,C6&lt;&gt;"AB",E6&lt;&gt;"AB",G6&lt;&gt;"AB",
I6&lt;&gt;"AB",K6&lt;&gt;"AB",
M6&lt;&gt;"AB",O6&lt;&gt;"AB",Q6&lt;&gt;"AB",S6&lt;&gt;"AB",U6&lt;&gt;"AB",
W6&lt;&gt;"AB",Y6&lt;&gt;"AB",AA6&lt;&gt;"AB",AC6&lt;&gt;"AB",AE6&lt;&gt;"AB",
AG6&lt;&gt;"AB"),"","E"))))</f>
        <v/>
      </c>
      <c r="AI6" s="41" t="s">
        <v>629</v>
      </c>
      <c r="AJ6" s="94" t="s">
        <v>563</v>
      </c>
      <c r="AK6" s="29">
        <f t="shared" ref="AK6" si="16">IF(IFERROR(FIND("x",AJ6),0),SUM(EXTRACTNUMBER(AI6),EXTRACTNUMBER(AJ6)),IF(AND(SUM(EXTRACTNUMBER(AI6),EXTRACTNUMBER(AJ6))&gt;1009,SUM(EXTRACTNUMBER(AI6),EXTRACTNUMBER(AJ6))&lt;1020),
CONCATENATE(SUM(EXTRACTNUMBER(AI6),EXTRACTNUMBER(AJ6)),"@",1020-SUM(EXTRACTNUMBER(AI6),EXTRACTNUMBER(AJ6))),
IF(AND(SUM(EXTRACTNUMBER(AI6),EXTRACTNUMBER(AJ6))&gt;839,   SUM(EXTRACTNUMBER(AI6),EXTRACTNUMBER(AJ6))&lt;850),CONCATENATE(SUM(EXTRACTNUMBER(AI6),EXTRACTNUMBER(AJ6)),"@",850-SUM(EXTRACTNUMBER(AI6),EXTRACTNUMBER(AJ6))),
IF(AND(SUM(EXTRACTNUMBER(AI6),EXTRACTNUMBER(AJ6))&gt;669,        SUM(EXTRACTNUMBER(AI6),EXTRACTNUMBER(AJ6))&lt;680),
CONCATENATE(SUM(EXTRACTNUMBER(AI6),EXTRACTNUMBER(AJ6)),"@",680-SUM(EXTRACTNUMBER(AI6),EXTRACTNUMBER(AJ6))),
SUM(EXTRACTNUMBER(AI6),EXTRACTNUMBER(AJ6))))))</f>
        <v>890</v>
      </c>
      <c r="AL6" s="29" t="str">
        <f t="shared" ref="AL6" ca="1" si="17">IF(AND(COUNTIF(C6:AH6,"AB")&lt;16-COUNTIF(C6:AH6," "),
COUNTIF(C6:AH6,"AB")&lt;&gt;0),"FAIL",
IF(COUNTIF(C6:AH6,"AB")=16-COUNTIF(C6:AH6," "),"ABSENT",
IF(AND(COUNTIF(C6:AH6,"AB")=0,COUNTIF(C6:AH6,"F")=0),"PASS","FAIL")))</f>
        <v>PASS</v>
      </c>
      <c r="AM6" s="30" t="str">
        <f ca="1">IF(AL6="ABSENT","AB",IF(AL6="FAIL","--",
IF(AJ6=0,"RS 3",
IF(AND(SUM(EXTRACTNUMBER(AJ6),EXTRACTNUMBER(AI6))&gt;=1010,
        NOT(IFERROR(FIND("x",AJ6),0)),
        NOT(IFERROR(FIND("x",AI6),0))),"I",
IF(AND(SUM(EXTRACTNUMBER(AJ6),EXTRACTNUMBER(AI6))&gt;=850,
      SUM(EXTRACTNUMBER(AJ6),EXTRACTNUMBER(AI6))&lt;1010,
      NOT(IFERROR(FIND("x",AJ6),0)),
      NOT(IFERROR(FIND("x",AI6),0))),"II",
IF(OR(AND(SUM(EXTRACTNUMBER(AJ6),EXTRACTNUMBER(AI6))&lt;850,
SUM(EXTRACTNUMBER(AJ6),EXTRACTNUMBER(AI6))&gt;=670),
IFERROR(FIND("x",AJ6),0),IFERROR(FIND("x",AI6),0)),"P","--"))))))</f>
        <v>P</v>
      </c>
      <c r="AN6" s="2" t="str">
        <f t="shared" ref="AN6" si="18">spellnumber(AK6)</f>
        <v xml:space="preserve">Eight Hundred Ninety </v>
      </c>
    </row>
    <row r="7" spans="1:40">
      <c r="A7" s="45">
        <v>134206</v>
      </c>
      <c r="B7" s="46" t="s">
        <v>29</v>
      </c>
      <c r="C7" s="74">
        <v>65</v>
      </c>
      <c r="D7" s="77" t="s">
        <v>391</v>
      </c>
      <c r="E7" s="76">
        <v>17</v>
      </c>
      <c r="F7" s="77" t="s">
        <v>391</v>
      </c>
      <c r="G7" s="76">
        <v>63</v>
      </c>
      <c r="H7" s="77" t="s">
        <v>391</v>
      </c>
      <c r="I7" s="76">
        <v>20</v>
      </c>
      <c r="J7" s="77" t="s">
        <v>391</v>
      </c>
      <c r="K7" s="76">
        <v>61</v>
      </c>
      <c r="L7" s="77" t="s">
        <v>391</v>
      </c>
      <c r="M7" s="76">
        <v>18</v>
      </c>
      <c r="N7" s="77" t="s">
        <v>391</v>
      </c>
      <c r="O7" s="76">
        <v>18</v>
      </c>
      <c r="P7" s="77" t="s">
        <v>391</v>
      </c>
      <c r="Q7" s="76">
        <v>58</v>
      </c>
      <c r="R7" s="77" t="s">
        <v>391</v>
      </c>
      <c r="S7" s="76">
        <v>20</v>
      </c>
      <c r="T7" s="77" t="s">
        <v>391</v>
      </c>
      <c r="U7" s="76">
        <v>19</v>
      </c>
      <c r="V7" s="77" t="s">
        <v>391</v>
      </c>
      <c r="W7" s="76">
        <v>74</v>
      </c>
      <c r="X7" s="77" t="s">
        <v>391</v>
      </c>
      <c r="Y7" s="76">
        <v>21</v>
      </c>
      <c r="Z7" s="77" t="s">
        <v>391</v>
      </c>
      <c r="AA7" s="76">
        <v>21</v>
      </c>
      <c r="AB7" s="77" t="s">
        <v>391</v>
      </c>
      <c r="AC7" s="76">
        <v>54</v>
      </c>
      <c r="AD7" s="77" t="s">
        <v>391</v>
      </c>
      <c r="AE7" s="76">
        <v>18</v>
      </c>
      <c r="AF7" s="77" t="s">
        <v>391</v>
      </c>
      <c r="AG7" s="76">
        <v>16</v>
      </c>
      <c r="AH7" s="77" t="s">
        <v>391</v>
      </c>
      <c r="AI7" s="32">
        <v>563</v>
      </c>
      <c r="AJ7" s="28" t="s">
        <v>245</v>
      </c>
      <c r="AK7" s="29">
        <v>1116</v>
      </c>
      <c r="AL7" s="29" t="s">
        <v>392</v>
      </c>
      <c r="AM7" s="30" t="s">
        <v>395</v>
      </c>
      <c r="AN7" s="2" t="s">
        <v>403</v>
      </c>
    </row>
    <row r="8" spans="1:40">
      <c r="A8" s="45">
        <v>134207</v>
      </c>
      <c r="B8" s="46" t="s">
        <v>30</v>
      </c>
      <c r="C8" s="74">
        <v>61</v>
      </c>
      <c r="D8" s="77" t="s">
        <v>391</v>
      </c>
      <c r="E8" s="76">
        <v>22</v>
      </c>
      <c r="F8" s="77" t="s">
        <v>391</v>
      </c>
      <c r="G8" s="76">
        <v>70</v>
      </c>
      <c r="H8" s="77" t="s">
        <v>391</v>
      </c>
      <c r="I8" s="76">
        <v>21</v>
      </c>
      <c r="J8" s="77" t="s">
        <v>391</v>
      </c>
      <c r="K8" s="76">
        <v>72</v>
      </c>
      <c r="L8" s="77" t="s">
        <v>391</v>
      </c>
      <c r="M8" s="76">
        <v>17</v>
      </c>
      <c r="N8" s="77" t="s">
        <v>391</v>
      </c>
      <c r="O8" s="76">
        <v>18</v>
      </c>
      <c r="P8" s="77" t="s">
        <v>391</v>
      </c>
      <c r="Q8" s="76">
        <v>68</v>
      </c>
      <c r="R8" s="77" t="s">
        <v>391</v>
      </c>
      <c r="S8" s="76">
        <v>20</v>
      </c>
      <c r="T8" s="77" t="s">
        <v>391</v>
      </c>
      <c r="U8" s="76">
        <v>21</v>
      </c>
      <c r="V8" s="77" t="s">
        <v>391</v>
      </c>
      <c r="W8" s="76">
        <v>68</v>
      </c>
      <c r="X8" s="77" t="s">
        <v>391</v>
      </c>
      <c r="Y8" s="76">
        <v>22</v>
      </c>
      <c r="Z8" s="77" t="s">
        <v>391</v>
      </c>
      <c r="AA8" s="76">
        <v>22</v>
      </c>
      <c r="AB8" s="77" t="s">
        <v>391</v>
      </c>
      <c r="AC8" s="76">
        <v>56</v>
      </c>
      <c r="AD8" s="77" t="s">
        <v>391</v>
      </c>
      <c r="AE8" s="76">
        <v>21</v>
      </c>
      <c r="AF8" s="77" t="s">
        <v>391</v>
      </c>
      <c r="AG8" s="76">
        <v>18</v>
      </c>
      <c r="AH8" s="77" t="s">
        <v>391</v>
      </c>
      <c r="AI8" s="32">
        <v>597</v>
      </c>
      <c r="AJ8" s="28" t="s">
        <v>246</v>
      </c>
      <c r="AK8" s="29">
        <v>1213</v>
      </c>
      <c r="AL8" s="29" t="s">
        <v>392</v>
      </c>
      <c r="AM8" s="30" t="s">
        <v>395</v>
      </c>
      <c r="AN8" s="2" t="s">
        <v>404</v>
      </c>
    </row>
    <row r="9" spans="1:40">
      <c r="A9" s="45">
        <v>134208</v>
      </c>
      <c r="B9" s="46" t="s">
        <v>31</v>
      </c>
      <c r="C9" s="74">
        <v>20</v>
      </c>
      <c r="D9" s="77" t="s">
        <v>398</v>
      </c>
      <c r="E9" s="76">
        <v>16</v>
      </c>
      <c r="F9" s="77" t="s">
        <v>397</v>
      </c>
      <c r="G9" s="76">
        <v>59</v>
      </c>
      <c r="H9" s="77" t="s">
        <v>397</v>
      </c>
      <c r="I9" s="76">
        <v>19</v>
      </c>
      <c r="J9" s="77" t="s">
        <v>397</v>
      </c>
      <c r="K9" s="76">
        <v>50</v>
      </c>
      <c r="L9" s="77" t="s">
        <v>397</v>
      </c>
      <c r="M9" s="76">
        <v>19</v>
      </c>
      <c r="N9" s="77" t="s">
        <v>397</v>
      </c>
      <c r="O9" s="76">
        <v>20</v>
      </c>
      <c r="P9" s="77" t="s">
        <v>397</v>
      </c>
      <c r="Q9" s="76">
        <v>51</v>
      </c>
      <c r="R9" s="77" t="s">
        <v>397</v>
      </c>
      <c r="S9" s="76">
        <v>22</v>
      </c>
      <c r="T9" s="77" t="s">
        <v>397</v>
      </c>
      <c r="U9" s="76">
        <v>21</v>
      </c>
      <c r="V9" s="77" t="s">
        <v>397</v>
      </c>
      <c r="W9" s="76">
        <v>61</v>
      </c>
      <c r="X9" s="77" t="s">
        <v>397</v>
      </c>
      <c r="Y9" s="76">
        <v>21</v>
      </c>
      <c r="Z9" s="77" t="s">
        <v>397</v>
      </c>
      <c r="AA9" s="76">
        <v>21</v>
      </c>
      <c r="AB9" s="77" t="s">
        <v>397</v>
      </c>
      <c r="AC9" s="76">
        <v>51</v>
      </c>
      <c r="AD9" s="77" t="s">
        <v>397</v>
      </c>
      <c r="AE9" s="76">
        <v>18</v>
      </c>
      <c r="AF9" s="77" t="s">
        <v>397</v>
      </c>
      <c r="AG9" s="76">
        <v>17</v>
      </c>
      <c r="AH9" s="77" t="s">
        <v>397</v>
      </c>
      <c r="AI9" s="32">
        <v>486</v>
      </c>
      <c r="AJ9" s="83" t="s">
        <v>599</v>
      </c>
      <c r="AK9" s="29">
        <v>486</v>
      </c>
      <c r="AL9" s="29" t="s">
        <v>399</v>
      </c>
      <c r="AM9" s="30" t="s">
        <v>400</v>
      </c>
      <c r="AN9" s="2" t="s">
        <v>405</v>
      </c>
    </row>
    <row r="10" spans="1:40">
      <c r="A10" s="45">
        <v>134209</v>
      </c>
      <c r="B10" s="46" t="s">
        <v>32</v>
      </c>
      <c r="C10" s="74">
        <v>63</v>
      </c>
      <c r="D10" s="77" t="s">
        <v>391</v>
      </c>
      <c r="E10" s="76">
        <v>23</v>
      </c>
      <c r="F10" s="77" t="s">
        <v>391</v>
      </c>
      <c r="G10" s="76">
        <v>68</v>
      </c>
      <c r="H10" s="77" t="s">
        <v>391</v>
      </c>
      <c r="I10" s="76">
        <v>23</v>
      </c>
      <c r="J10" s="77" t="s">
        <v>391</v>
      </c>
      <c r="K10" s="76">
        <v>51</v>
      </c>
      <c r="L10" s="77" t="s">
        <v>391</v>
      </c>
      <c r="M10" s="76">
        <v>22</v>
      </c>
      <c r="N10" s="77" t="s">
        <v>391</v>
      </c>
      <c r="O10" s="76">
        <v>22</v>
      </c>
      <c r="P10" s="77" t="s">
        <v>391</v>
      </c>
      <c r="Q10" s="76">
        <v>52</v>
      </c>
      <c r="R10" s="77" t="s">
        <v>391</v>
      </c>
      <c r="S10" s="76">
        <v>23</v>
      </c>
      <c r="T10" s="77" t="s">
        <v>391</v>
      </c>
      <c r="U10" s="76">
        <v>16</v>
      </c>
      <c r="V10" s="77" t="s">
        <v>391</v>
      </c>
      <c r="W10" s="76">
        <v>47</v>
      </c>
      <c r="X10" s="77" t="s">
        <v>391</v>
      </c>
      <c r="Y10" s="76">
        <v>23</v>
      </c>
      <c r="Z10" s="77" t="s">
        <v>391</v>
      </c>
      <c r="AA10" s="76">
        <v>23</v>
      </c>
      <c r="AB10" s="77" t="s">
        <v>391</v>
      </c>
      <c r="AC10" s="76">
        <v>42</v>
      </c>
      <c r="AD10" s="77" t="s">
        <v>391</v>
      </c>
      <c r="AE10" s="76">
        <v>23</v>
      </c>
      <c r="AF10" s="77" t="s">
        <v>391</v>
      </c>
      <c r="AG10" s="76">
        <v>16</v>
      </c>
      <c r="AH10" s="77" t="s">
        <v>391</v>
      </c>
      <c r="AI10" s="32">
        <v>537</v>
      </c>
      <c r="AJ10" s="28" t="s">
        <v>247</v>
      </c>
      <c r="AK10" s="29">
        <v>1037</v>
      </c>
      <c r="AL10" s="29" t="s">
        <v>392</v>
      </c>
      <c r="AM10" s="30" t="s">
        <v>395</v>
      </c>
      <c r="AN10" s="2" t="s">
        <v>406</v>
      </c>
    </row>
    <row r="11" spans="1:40">
      <c r="A11" s="45">
        <v>134210</v>
      </c>
      <c r="B11" s="46" t="s">
        <v>33</v>
      </c>
      <c r="C11" s="43">
        <v>40</v>
      </c>
      <c r="D11" s="27"/>
      <c r="E11" s="26">
        <v>20</v>
      </c>
      <c r="F11" s="27"/>
      <c r="G11" s="24">
        <v>50</v>
      </c>
      <c r="H11" s="27"/>
      <c r="I11" s="26">
        <v>23</v>
      </c>
      <c r="J11" s="27"/>
      <c r="K11" s="24">
        <v>49</v>
      </c>
      <c r="L11" s="27"/>
      <c r="M11" s="26">
        <v>21</v>
      </c>
      <c r="N11" s="27"/>
      <c r="O11" s="26">
        <v>22</v>
      </c>
      <c r="P11" s="27"/>
      <c r="Q11" s="24">
        <v>41</v>
      </c>
      <c r="R11" s="27"/>
      <c r="S11" s="26">
        <v>23</v>
      </c>
      <c r="T11" s="27"/>
      <c r="U11" s="26">
        <v>21</v>
      </c>
      <c r="V11" s="27"/>
      <c r="W11" s="24">
        <v>40</v>
      </c>
      <c r="X11" s="27"/>
      <c r="Y11" s="26">
        <v>22</v>
      </c>
      <c r="Z11" s="27"/>
      <c r="AA11" s="26">
        <v>22</v>
      </c>
      <c r="AB11" s="27"/>
      <c r="AC11" s="24">
        <v>40</v>
      </c>
      <c r="AD11" s="27"/>
      <c r="AE11" s="26">
        <v>22</v>
      </c>
      <c r="AF11" s="27"/>
      <c r="AG11" s="26">
        <v>20</v>
      </c>
      <c r="AH11" s="27"/>
      <c r="AI11" s="32">
        <f>IF(OR(AND(C11&gt;=31,C11&lt;40),AND(G11&gt;=31,G11&lt;40),AND(K11&gt;=31,K11&lt;40),AND(Q11&gt;=31,Q11&lt;40),AND(W11&gt;=31,W11&lt;40),AND(AC11&gt;=31,AC11&lt;40)),IF(AND(OR(COUNTIF(C11:AH11,"=31")&gt;=1,COUNTIF(C11:AH11,"=32")&gt;=1,COUNTIF(C11:AH11,"=33")&gt;=1,COUNTIF(C11:AH11,"=34")&gt;=1,COUNTIF(C11:AH11,"=35")&gt;=1,COUNTIF(C11:AH11,"=36")&gt;=1 ),COUNTIF(C11:AH11,"")=0,COUNTIF(C11:AH11," ")=0,COUNTIF(C11:AH11,"F")=1),CONCATENATE(SUM(EXTRACTNUMBER(C11),EXTRACTNUMBER(E11),
EXTRACTNUMBER(G11),EXTRACTNUMBER(I11),
EXTRACTNUMBER(K11),EXTRACTNUMBER(M11),
EXTRACTNUMBER(O11),EXTRACTNUMBER(Q11),
EXTRACTNUMBER(S11),EXTRACTNUMBER(U11),
EXTRACTNUMBER(W11),EXTRACTNUMBER(Y11),EXTRACTNUMBER(AA11),
EXTRACTNUMBER(AC11),EXTRACTNUMBER(AG11),EXTRACTNUMBER(AE11)),"*"),IF(AND(COUNTIF(C11:AH11,"=34")&gt;=1,COUNTIF(C11:AH11,"=35")&gt;=1,COUNTIF(C11:AH11,"f")=2,COUNTIF(C11:AH11,"")=0,COUNTIF(C11:AH11," ")=0),CONCATENATE(SUM(EXTRACTNUMBER(C11),EXTRACTNUMBER(E11),
EXTRACTNUMBER(G11),EXTRACTNUMBER(I11),
EXTRACTNUMBER(K11),EXTRACTNUMBER(M11),
EXTRACTNUMBER(O11),EXTRACTNUMBER(Q11),
EXTRACTNUMBER(S11),EXTRACTNUMBER(U11),
EXTRACTNUMBER(W11),EXTRACTNUMBER(Y11),EXTRACTNUMBER(AA11),
EXTRACTNUMBER(AC11),EXTRACTNUMBER(AG11),EXTRACTNUMBER(AE11)),"*"),IF(AND(COUNTIF(C11:AH11,"=36")&gt;=2,COUNTIF(C11:AH11,"f")=2,COUNTIF(C11:AH11,"")=0,COUNTIF(C11:AH11," ")=0),CONCATENATE(SUM(EXTRACTNUMBER(C11),EXTRACTNUMBER(E11),
EXTRACTNUMBER(G11),EXTRACTNUMBER(I11),
EXTRACTNUMBER(K11),EXTRACTNUMBER(M11),
EXTRACTNUMBER(O11),EXTRACTNUMBER(Q11),
EXTRACTNUMBER(S11),EXTRACTNUMBER(U11),
EXTRACTNUMBER(W11),EXTRACTNUMBER(Y11),EXTRACTNUMBER(AA11),
EXTRACTNUMBER(AC11),EXTRACTNUMBER(AG11),EXTRACTNUMBER(AE11)),"*"),SUM(EXTRACTNUMBER(C11),EXTRACTNUMBER(E11),
EXTRACTNUMBER(G11),EXTRACTNUMBER(I11),
EXTRACTNUMBER(K11),EXTRACTNUMBER(M11),
EXTRACTNUMBER(O11),EXTRACTNUMBER(Q11),
EXTRACTNUMBER(S11),EXTRACTNUMBER(U11),
EXTRACTNUMBER(W11),EXTRACTNUMBER(Y11),EXTRACTNUMBER(AA11),
EXTRACTNUMBER(AC11),EXTRACTNUMBER(AG11),EXTRACTNUMBER(AE11))))),SUM(EXTRACTNUMBER(C11),EXTRACTNUMBER(E11),
EXTRACTNUMBER(G11),EXTRACTNUMBER(I11),
EXTRACTNUMBER(K11),EXTRACTNUMBER(M11),
EXTRACTNUMBER(O11),EXTRACTNUMBER(Q11),
EXTRACTNUMBER(S11),EXTRACTNUMBER(U11),
EXTRACTNUMBER(W11),EXTRACTNUMBER(Y11),EXTRACTNUMBER(AA11),
EXTRACTNUMBER(AC11),EXTRACTNUMBER(AG11),EXTRACTNUMBER(AE11)))</f>
        <v>476</v>
      </c>
      <c r="AJ11" s="94" t="s">
        <v>565</v>
      </c>
      <c r="AK11" s="29">
        <f t="shared" ref="AK11" si="19">IF(IFERROR(FIND("x",AJ11),0),SUM(EXTRACTNUMBER(AI11),EXTRACTNUMBER(AJ11)),IF(AND(SUM(EXTRACTNUMBER(AI11),EXTRACTNUMBER(AJ11))&gt;1009,SUM(EXTRACTNUMBER(AI11),EXTRACTNUMBER(AJ11))&lt;1020),
CONCATENATE(SUM(EXTRACTNUMBER(AI11),EXTRACTNUMBER(AJ11)),"@",1020-SUM(EXTRACTNUMBER(AI11),EXTRACTNUMBER(AJ11))),
IF(AND(SUM(EXTRACTNUMBER(AI11),EXTRACTNUMBER(AJ11))&gt;839,   SUM(EXTRACTNUMBER(AI11),EXTRACTNUMBER(AJ11))&lt;850),CONCATENATE(SUM(EXTRACTNUMBER(AI11),EXTRACTNUMBER(AJ11)),"@",850-SUM(EXTRACTNUMBER(AI11),EXTRACTNUMBER(AJ11))),
IF(AND(SUM(EXTRACTNUMBER(AI11),EXTRACTNUMBER(AJ11))&gt;669,        SUM(EXTRACTNUMBER(AI11),EXTRACTNUMBER(AJ11))&lt;680),
CONCATENATE(SUM(EXTRACTNUMBER(AI11),EXTRACTNUMBER(AJ11)),"@",680-SUM(EXTRACTNUMBER(AI11),EXTRACTNUMBER(AJ11))),
SUM(EXTRACTNUMBER(AI11),EXTRACTNUMBER(AJ11))))))</f>
        <v>986</v>
      </c>
      <c r="AL11" s="29" t="str">
        <f t="shared" ref="AL11" si="20">IF(AND(COUNTIF(C11:AH11,"AB")&lt;16-COUNTIF(C11:AH11," "),
COUNTIF(C11:AH11,"AB")&lt;&gt;0),"FAIL",
IF(COUNTIF(C11:AH11,"AB")=16-COUNTIF(C11:AH11," "),"ABSENT",
IF(AND(COUNTIF(C11:AH11,"AB")=0,COUNTIF(C11:AH11,"F")=0),"PASS","FAIL")))</f>
        <v>PASS</v>
      </c>
      <c r="AM11" s="30" t="str">
        <f>IF(AL11="ABSENT","AB",IF(AL11="FAIL","--",
IF(AJ11=0,"RS 3",
IF(AND(SUM(EXTRACTNUMBER(AJ11),EXTRACTNUMBER(AI11))&gt;=1010,
        NOT(IFERROR(FIND("x",AJ11),0)),
        NOT(IFERROR(FIND("x",AI11),0))),"I",
IF(AND(SUM(EXTRACTNUMBER(AJ11),EXTRACTNUMBER(AI11))&gt;=850,
      SUM(EXTRACTNUMBER(AJ11),EXTRACTNUMBER(AI11))&lt;1010,
      NOT(IFERROR(FIND("x",AJ11),0)),
      NOT(IFERROR(FIND("x",AI11),0))),"II",
IF(OR(AND(SUM(EXTRACTNUMBER(AJ11),EXTRACTNUMBER(AI11))&lt;850,
SUM(EXTRACTNUMBER(AJ11),EXTRACTNUMBER(AI11))&gt;=670),
IFERROR(FIND("x",AJ11),0),IFERROR(FIND("x",AI11),0)),"P","--"))))))</f>
        <v>P</v>
      </c>
      <c r="AN11" s="2" t="str">
        <f t="shared" ref="AN11" si="21">spellnumber(AK11)</f>
        <v xml:space="preserve">Nine Hundred Eighty Six </v>
      </c>
    </row>
    <row r="12" spans="1:40">
      <c r="A12" s="45">
        <v>134211</v>
      </c>
      <c r="B12" s="46" t="s">
        <v>34</v>
      </c>
      <c r="C12" s="74">
        <v>17</v>
      </c>
      <c r="D12" s="77" t="s">
        <v>398</v>
      </c>
      <c r="E12" s="76">
        <v>16</v>
      </c>
      <c r="F12" s="77" t="s">
        <v>397</v>
      </c>
      <c r="G12" s="76">
        <v>52</v>
      </c>
      <c r="H12" s="77" t="s">
        <v>397</v>
      </c>
      <c r="I12" s="76">
        <v>18</v>
      </c>
      <c r="J12" s="77" t="s">
        <v>397</v>
      </c>
      <c r="K12" s="76">
        <v>40</v>
      </c>
      <c r="L12" s="77" t="s">
        <v>397</v>
      </c>
      <c r="M12" s="76">
        <v>17</v>
      </c>
      <c r="N12" s="77" t="s">
        <v>397</v>
      </c>
      <c r="O12" s="76">
        <v>18</v>
      </c>
      <c r="P12" s="77" t="s">
        <v>397</v>
      </c>
      <c r="Q12" s="76">
        <v>40</v>
      </c>
      <c r="R12" s="77" t="s">
        <v>397</v>
      </c>
      <c r="S12" s="76">
        <v>22</v>
      </c>
      <c r="T12" s="77" t="s">
        <v>397</v>
      </c>
      <c r="U12" s="76">
        <v>16</v>
      </c>
      <c r="V12" s="77" t="s">
        <v>397</v>
      </c>
      <c r="W12" s="76">
        <v>40</v>
      </c>
      <c r="X12" s="77" t="s">
        <v>397</v>
      </c>
      <c r="Y12" s="76">
        <v>22</v>
      </c>
      <c r="Z12" s="77" t="s">
        <v>397</v>
      </c>
      <c r="AA12" s="76">
        <v>22</v>
      </c>
      <c r="AB12" s="77" t="s">
        <v>397</v>
      </c>
      <c r="AC12" s="76">
        <v>32</v>
      </c>
      <c r="AD12" s="77" t="s">
        <v>398</v>
      </c>
      <c r="AE12" s="76">
        <v>20</v>
      </c>
      <c r="AF12" s="77" t="s">
        <v>397</v>
      </c>
      <c r="AG12" s="76">
        <v>19</v>
      </c>
      <c r="AH12" s="77" t="s">
        <v>397</v>
      </c>
      <c r="AI12" s="32">
        <v>411</v>
      </c>
      <c r="AJ12" s="83" t="s">
        <v>531</v>
      </c>
      <c r="AK12" s="29">
        <v>411</v>
      </c>
      <c r="AL12" s="29" t="s">
        <v>399</v>
      </c>
      <c r="AM12" s="30" t="s">
        <v>400</v>
      </c>
      <c r="AN12" s="2" t="s">
        <v>407</v>
      </c>
    </row>
    <row r="13" spans="1:40">
      <c r="A13" s="45">
        <v>134212</v>
      </c>
      <c r="B13" s="46" t="s">
        <v>35</v>
      </c>
      <c r="C13" s="74">
        <v>40</v>
      </c>
      <c r="D13" s="77" t="s">
        <v>397</v>
      </c>
      <c r="E13" s="76">
        <v>24</v>
      </c>
      <c r="F13" s="77" t="s">
        <v>397</v>
      </c>
      <c r="G13" s="76">
        <v>40</v>
      </c>
      <c r="H13" s="77" t="s">
        <v>397</v>
      </c>
      <c r="I13" s="76">
        <v>21</v>
      </c>
      <c r="J13" s="77" t="s">
        <v>397</v>
      </c>
      <c r="K13" s="76">
        <v>19</v>
      </c>
      <c r="L13" s="77" t="s">
        <v>398</v>
      </c>
      <c r="M13" s="76">
        <v>19</v>
      </c>
      <c r="N13" s="77" t="s">
        <v>397</v>
      </c>
      <c r="O13" s="76">
        <v>19</v>
      </c>
      <c r="P13" s="77" t="s">
        <v>397</v>
      </c>
      <c r="Q13" s="76">
        <v>27</v>
      </c>
      <c r="R13" s="77" t="s">
        <v>398</v>
      </c>
      <c r="S13" s="76">
        <v>21</v>
      </c>
      <c r="T13" s="77" t="s">
        <v>397</v>
      </c>
      <c r="U13" s="76">
        <v>16</v>
      </c>
      <c r="V13" s="77" t="s">
        <v>397</v>
      </c>
      <c r="W13" s="76">
        <v>42</v>
      </c>
      <c r="X13" s="77" t="s">
        <v>397</v>
      </c>
      <c r="Y13" s="76">
        <v>22</v>
      </c>
      <c r="Z13" s="77" t="s">
        <v>397</v>
      </c>
      <c r="AA13" s="76">
        <v>22</v>
      </c>
      <c r="AB13" s="77" t="s">
        <v>397</v>
      </c>
      <c r="AC13" s="76">
        <v>28</v>
      </c>
      <c r="AD13" s="77" t="s">
        <v>398</v>
      </c>
      <c r="AE13" s="76">
        <v>23</v>
      </c>
      <c r="AF13" s="77" t="s">
        <v>397</v>
      </c>
      <c r="AG13" s="76">
        <v>20</v>
      </c>
      <c r="AH13" s="77" t="s">
        <v>397</v>
      </c>
      <c r="AI13" s="32">
        <v>403</v>
      </c>
      <c r="AJ13" s="28" t="s">
        <v>248</v>
      </c>
      <c r="AK13" s="29">
        <v>882</v>
      </c>
      <c r="AL13" s="29" t="s">
        <v>399</v>
      </c>
      <c r="AM13" s="30" t="s">
        <v>400</v>
      </c>
      <c r="AN13" s="2" t="s">
        <v>408</v>
      </c>
    </row>
    <row r="14" spans="1:40">
      <c r="A14" s="45">
        <v>134213</v>
      </c>
      <c r="B14" s="46" t="s">
        <v>36</v>
      </c>
      <c r="C14" s="74">
        <v>40</v>
      </c>
      <c r="D14" s="77" t="s">
        <v>397</v>
      </c>
      <c r="E14" s="76">
        <v>16</v>
      </c>
      <c r="F14" s="77" t="s">
        <v>397</v>
      </c>
      <c r="G14" s="76">
        <v>46</v>
      </c>
      <c r="H14" s="77" t="s">
        <v>397</v>
      </c>
      <c r="I14" s="76">
        <v>19</v>
      </c>
      <c r="J14" s="77" t="s">
        <v>397</v>
      </c>
      <c r="K14" s="76">
        <v>43</v>
      </c>
      <c r="L14" s="77" t="s">
        <v>397</v>
      </c>
      <c r="M14" s="76">
        <v>19</v>
      </c>
      <c r="N14" s="77" t="s">
        <v>397</v>
      </c>
      <c r="O14" s="76">
        <v>18</v>
      </c>
      <c r="P14" s="77" t="s">
        <v>397</v>
      </c>
      <c r="Q14" s="76">
        <v>43</v>
      </c>
      <c r="R14" s="77" t="s">
        <v>397</v>
      </c>
      <c r="S14" s="76">
        <v>21</v>
      </c>
      <c r="T14" s="77" t="s">
        <v>397</v>
      </c>
      <c r="U14" s="76">
        <v>21</v>
      </c>
      <c r="V14" s="77" t="s">
        <v>397</v>
      </c>
      <c r="W14" s="78" t="s">
        <v>528</v>
      </c>
      <c r="X14" s="77" t="s">
        <v>398</v>
      </c>
      <c r="Y14" s="76">
        <v>20</v>
      </c>
      <c r="Z14" s="77" t="s">
        <v>397</v>
      </c>
      <c r="AA14" s="76">
        <v>20</v>
      </c>
      <c r="AB14" s="77" t="s">
        <v>397</v>
      </c>
      <c r="AC14" s="76">
        <v>40</v>
      </c>
      <c r="AD14" s="77" t="s">
        <v>397</v>
      </c>
      <c r="AE14" s="76">
        <v>19</v>
      </c>
      <c r="AF14" s="77" t="s">
        <v>397</v>
      </c>
      <c r="AG14" s="76">
        <v>17</v>
      </c>
      <c r="AH14" s="77" t="s">
        <v>397</v>
      </c>
      <c r="AI14" s="32">
        <v>411</v>
      </c>
      <c r="AJ14" s="28" t="s">
        <v>249</v>
      </c>
      <c r="AK14" s="29">
        <v>871</v>
      </c>
      <c r="AL14" s="29" t="s">
        <v>399</v>
      </c>
      <c r="AM14" s="30" t="s">
        <v>400</v>
      </c>
      <c r="AN14" s="2" t="s">
        <v>409</v>
      </c>
    </row>
    <row r="15" spans="1:40">
      <c r="A15" s="45">
        <v>134214</v>
      </c>
      <c r="B15" s="46" t="s">
        <v>37</v>
      </c>
      <c r="C15" s="82" t="s">
        <v>524</v>
      </c>
      <c r="D15" s="77" t="s">
        <v>398</v>
      </c>
      <c r="E15" s="76">
        <v>13</v>
      </c>
      <c r="F15" s="77" t="s">
        <v>397</v>
      </c>
      <c r="G15" s="76">
        <v>12</v>
      </c>
      <c r="H15" s="77" t="s">
        <v>398</v>
      </c>
      <c r="I15" s="76">
        <v>19</v>
      </c>
      <c r="J15" s="77" t="s">
        <v>397</v>
      </c>
      <c r="K15" s="76">
        <v>40</v>
      </c>
      <c r="L15" s="77" t="s">
        <v>397</v>
      </c>
      <c r="M15" s="76">
        <v>17</v>
      </c>
      <c r="N15" s="77" t="s">
        <v>397</v>
      </c>
      <c r="O15" s="76">
        <v>17</v>
      </c>
      <c r="P15" s="77" t="s">
        <v>397</v>
      </c>
      <c r="Q15" s="76">
        <v>22</v>
      </c>
      <c r="R15" s="77" t="s">
        <v>398</v>
      </c>
      <c r="S15" s="76">
        <v>22</v>
      </c>
      <c r="T15" s="77" t="s">
        <v>397</v>
      </c>
      <c r="U15" s="76">
        <v>16</v>
      </c>
      <c r="V15" s="77" t="s">
        <v>397</v>
      </c>
      <c r="W15" s="76">
        <v>56</v>
      </c>
      <c r="X15" s="77" t="s">
        <v>397</v>
      </c>
      <c r="Y15" s="76">
        <v>21</v>
      </c>
      <c r="Z15" s="77" t="s">
        <v>397</v>
      </c>
      <c r="AA15" s="76">
        <v>21</v>
      </c>
      <c r="AB15" s="77" t="s">
        <v>397</v>
      </c>
      <c r="AC15" s="76">
        <v>40</v>
      </c>
      <c r="AD15" s="77" t="s">
        <v>397</v>
      </c>
      <c r="AE15" s="76">
        <v>20</v>
      </c>
      <c r="AF15" s="77" t="s">
        <v>397</v>
      </c>
      <c r="AG15" s="76">
        <v>18</v>
      </c>
      <c r="AH15" s="77" t="s">
        <v>397</v>
      </c>
      <c r="AI15" s="32">
        <v>361</v>
      </c>
      <c r="AJ15" s="83" t="s">
        <v>531</v>
      </c>
      <c r="AK15" s="29">
        <v>361</v>
      </c>
      <c r="AL15" s="29" t="s">
        <v>399</v>
      </c>
      <c r="AM15" s="30" t="s">
        <v>400</v>
      </c>
      <c r="AN15" s="2" t="s">
        <v>410</v>
      </c>
    </row>
    <row r="16" spans="1:40">
      <c r="A16" s="45">
        <v>134215</v>
      </c>
      <c r="B16" s="46" t="s">
        <v>38</v>
      </c>
      <c r="C16" s="74">
        <v>40</v>
      </c>
      <c r="D16" s="77" t="s">
        <v>391</v>
      </c>
      <c r="E16" s="76">
        <v>23</v>
      </c>
      <c r="F16" s="77" t="s">
        <v>391</v>
      </c>
      <c r="G16" s="76">
        <v>63</v>
      </c>
      <c r="H16" s="77" t="s">
        <v>391</v>
      </c>
      <c r="I16" s="76">
        <v>20</v>
      </c>
      <c r="J16" s="77" t="s">
        <v>391</v>
      </c>
      <c r="K16" s="76">
        <v>69</v>
      </c>
      <c r="L16" s="77" t="s">
        <v>391</v>
      </c>
      <c r="M16" s="76">
        <v>18</v>
      </c>
      <c r="N16" s="77" t="s">
        <v>391</v>
      </c>
      <c r="O16" s="76">
        <v>18</v>
      </c>
      <c r="P16" s="77" t="s">
        <v>391</v>
      </c>
      <c r="Q16" s="76">
        <v>45</v>
      </c>
      <c r="R16" s="77" t="s">
        <v>391</v>
      </c>
      <c r="S16" s="76">
        <v>21</v>
      </c>
      <c r="T16" s="77" t="s">
        <v>391</v>
      </c>
      <c r="U16" s="76">
        <v>19</v>
      </c>
      <c r="V16" s="77" t="s">
        <v>391</v>
      </c>
      <c r="W16" s="76">
        <v>48</v>
      </c>
      <c r="X16" s="77" t="s">
        <v>391</v>
      </c>
      <c r="Y16" s="76">
        <v>21</v>
      </c>
      <c r="Z16" s="77" t="s">
        <v>391</v>
      </c>
      <c r="AA16" s="76">
        <v>22</v>
      </c>
      <c r="AB16" s="77" t="s">
        <v>391</v>
      </c>
      <c r="AC16" s="76">
        <v>42</v>
      </c>
      <c r="AD16" s="77" t="s">
        <v>391</v>
      </c>
      <c r="AE16" s="76">
        <v>19</v>
      </c>
      <c r="AF16" s="77" t="s">
        <v>391</v>
      </c>
      <c r="AG16" s="76">
        <v>16</v>
      </c>
      <c r="AH16" s="77" t="s">
        <v>391</v>
      </c>
      <c r="AI16" s="32">
        <v>504</v>
      </c>
      <c r="AJ16" s="28" t="s">
        <v>250</v>
      </c>
      <c r="AK16" s="29">
        <v>1028</v>
      </c>
      <c r="AL16" s="29" t="s">
        <v>392</v>
      </c>
      <c r="AM16" s="30" t="s">
        <v>395</v>
      </c>
      <c r="AN16" s="2" t="s">
        <v>411</v>
      </c>
    </row>
    <row r="17" spans="1:40">
      <c r="A17" s="45">
        <v>134216</v>
      </c>
      <c r="B17" s="46" t="s">
        <v>39</v>
      </c>
      <c r="C17" s="74">
        <v>28</v>
      </c>
      <c r="D17" s="77" t="s">
        <v>398</v>
      </c>
      <c r="E17" s="76">
        <v>21</v>
      </c>
      <c r="F17" s="77" t="s">
        <v>397</v>
      </c>
      <c r="G17" s="76">
        <v>40</v>
      </c>
      <c r="H17" s="77" t="s">
        <v>397</v>
      </c>
      <c r="I17" s="76">
        <v>21</v>
      </c>
      <c r="J17" s="77" t="s">
        <v>397</v>
      </c>
      <c r="K17" s="76">
        <v>45</v>
      </c>
      <c r="L17" s="77" t="s">
        <v>397</v>
      </c>
      <c r="M17" s="76">
        <v>21</v>
      </c>
      <c r="N17" s="77" t="s">
        <v>397</v>
      </c>
      <c r="O17" s="76">
        <v>21</v>
      </c>
      <c r="P17" s="77" t="s">
        <v>397</v>
      </c>
      <c r="Q17" s="76">
        <v>20</v>
      </c>
      <c r="R17" s="77" t="s">
        <v>398</v>
      </c>
      <c r="S17" s="76">
        <v>20</v>
      </c>
      <c r="T17" s="77" t="s">
        <v>397</v>
      </c>
      <c r="U17" s="76">
        <v>21</v>
      </c>
      <c r="V17" s="77" t="s">
        <v>397</v>
      </c>
      <c r="W17" s="76">
        <v>42</v>
      </c>
      <c r="X17" s="77" t="s">
        <v>397</v>
      </c>
      <c r="Y17" s="76">
        <v>22</v>
      </c>
      <c r="Z17" s="77" t="s">
        <v>397</v>
      </c>
      <c r="AA17" s="76">
        <v>21</v>
      </c>
      <c r="AB17" s="77" t="s">
        <v>397</v>
      </c>
      <c r="AC17" s="76">
        <v>45</v>
      </c>
      <c r="AD17" s="77" t="s">
        <v>397</v>
      </c>
      <c r="AE17" s="76">
        <v>21</v>
      </c>
      <c r="AF17" s="77" t="s">
        <v>397</v>
      </c>
      <c r="AG17" s="76">
        <v>19</v>
      </c>
      <c r="AH17" s="77" t="s">
        <v>397</v>
      </c>
      <c r="AI17" s="32">
        <v>428</v>
      </c>
      <c r="AJ17" s="83" t="s">
        <v>531</v>
      </c>
      <c r="AK17" s="29">
        <v>428</v>
      </c>
      <c r="AL17" s="29" t="s">
        <v>399</v>
      </c>
      <c r="AM17" s="30" t="s">
        <v>400</v>
      </c>
      <c r="AN17" s="2" t="s">
        <v>412</v>
      </c>
    </row>
    <row r="18" spans="1:40">
      <c r="A18" s="45">
        <v>134217</v>
      </c>
      <c r="B18" s="46" t="s">
        <v>40</v>
      </c>
      <c r="C18" s="74">
        <v>48</v>
      </c>
      <c r="D18" s="77" t="s">
        <v>391</v>
      </c>
      <c r="E18" s="76">
        <v>22</v>
      </c>
      <c r="F18" s="77" t="s">
        <v>391</v>
      </c>
      <c r="G18" s="76">
        <v>62</v>
      </c>
      <c r="H18" s="77" t="s">
        <v>391</v>
      </c>
      <c r="I18" s="76">
        <v>23</v>
      </c>
      <c r="J18" s="77" t="s">
        <v>391</v>
      </c>
      <c r="K18" s="76">
        <v>51</v>
      </c>
      <c r="L18" s="77" t="s">
        <v>391</v>
      </c>
      <c r="M18" s="76">
        <v>22</v>
      </c>
      <c r="N18" s="77" t="s">
        <v>391</v>
      </c>
      <c r="O18" s="76">
        <v>22</v>
      </c>
      <c r="P18" s="77" t="s">
        <v>391</v>
      </c>
      <c r="Q18" s="76">
        <v>53</v>
      </c>
      <c r="R18" s="77" t="s">
        <v>391</v>
      </c>
      <c r="S18" s="76">
        <v>23</v>
      </c>
      <c r="T18" s="77" t="s">
        <v>391</v>
      </c>
      <c r="U18" s="76">
        <v>21</v>
      </c>
      <c r="V18" s="77" t="s">
        <v>391</v>
      </c>
      <c r="W18" s="76">
        <v>52</v>
      </c>
      <c r="X18" s="77" t="s">
        <v>391</v>
      </c>
      <c r="Y18" s="76">
        <v>23</v>
      </c>
      <c r="Z18" s="77" t="s">
        <v>391</v>
      </c>
      <c r="AA18" s="76">
        <v>22</v>
      </c>
      <c r="AB18" s="77" t="s">
        <v>391</v>
      </c>
      <c r="AC18" s="76">
        <v>47</v>
      </c>
      <c r="AD18" s="77" t="s">
        <v>391</v>
      </c>
      <c r="AE18" s="76">
        <v>23</v>
      </c>
      <c r="AF18" s="77" t="s">
        <v>391</v>
      </c>
      <c r="AG18" s="76">
        <v>15</v>
      </c>
      <c r="AH18" s="77" t="s">
        <v>391</v>
      </c>
      <c r="AI18" s="32">
        <v>529</v>
      </c>
      <c r="AJ18" s="28" t="s">
        <v>251</v>
      </c>
      <c r="AK18" s="49" t="s">
        <v>312</v>
      </c>
      <c r="AL18" s="29" t="s">
        <v>392</v>
      </c>
      <c r="AM18" s="30" t="s">
        <v>395</v>
      </c>
      <c r="AN18" s="2" t="e">
        <v>#VALUE!</v>
      </c>
    </row>
    <row r="19" spans="1:40">
      <c r="A19" s="45">
        <v>134218</v>
      </c>
      <c r="B19" s="46" t="s">
        <v>41</v>
      </c>
      <c r="C19" s="74">
        <v>29</v>
      </c>
      <c r="D19" s="77" t="s">
        <v>398</v>
      </c>
      <c r="E19" s="76">
        <v>17</v>
      </c>
      <c r="F19" s="77" t="s">
        <v>397</v>
      </c>
      <c r="G19" s="76">
        <v>40</v>
      </c>
      <c r="H19" s="77" t="s">
        <v>397</v>
      </c>
      <c r="I19" s="76">
        <v>23</v>
      </c>
      <c r="J19" s="77" t="s">
        <v>397</v>
      </c>
      <c r="K19" s="76">
        <v>40</v>
      </c>
      <c r="L19" s="77" t="s">
        <v>397</v>
      </c>
      <c r="M19" s="76">
        <v>22</v>
      </c>
      <c r="N19" s="77" t="s">
        <v>397</v>
      </c>
      <c r="O19" s="76">
        <v>22</v>
      </c>
      <c r="P19" s="77" t="s">
        <v>397</v>
      </c>
      <c r="Q19" s="76">
        <v>18</v>
      </c>
      <c r="R19" s="77" t="s">
        <v>398</v>
      </c>
      <c r="S19" s="76">
        <v>23</v>
      </c>
      <c r="T19" s="77" t="s">
        <v>397</v>
      </c>
      <c r="U19" s="76">
        <v>16</v>
      </c>
      <c r="V19" s="77" t="s">
        <v>397</v>
      </c>
      <c r="W19" s="76">
        <v>44</v>
      </c>
      <c r="X19" s="77" t="s">
        <v>397</v>
      </c>
      <c r="Y19" s="76">
        <v>23</v>
      </c>
      <c r="Z19" s="77" t="s">
        <v>397</v>
      </c>
      <c r="AA19" s="76">
        <v>22</v>
      </c>
      <c r="AB19" s="77" t="s">
        <v>397</v>
      </c>
      <c r="AC19" s="76">
        <v>40</v>
      </c>
      <c r="AD19" s="77" t="s">
        <v>397</v>
      </c>
      <c r="AE19" s="76">
        <v>23</v>
      </c>
      <c r="AF19" s="77" t="s">
        <v>397</v>
      </c>
      <c r="AG19" s="76">
        <v>18</v>
      </c>
      <c r="AH19" s="77" t="s">
        <v>397</v>
      </c>
      <c r="AI19" s="32">
        <v>420</v>
      </c>
      <c r="AJ19" s="83" t="s">
        <v>531</v>
      </c>
      <c r="AK19" s="29">
        <v>420</v>
      </c>
      <c r="AL19" s="29" t="s">
        <v>399</v>
      </c>
      <c r="AM19" s="30" t="s">
        <v>400</v>
      </c>
      <c r="AN19" s="2" t="s">
        <v>413</v>
      </c>
    </row>
    <row r="20" spans="1:40">
      <c r="A20" s="45">
        <v>134219</v>
      </c>
      <c r="B20" s="46" t="s">
        <v>42</v>
      </c>
      <c r="C20" s="74">
        <v>44</v>
      </c>
      <c r="D20" s="77" t="s">
        <v>397</v>
      </c>
      <c r="E20" s="76">
        <v>16</v>
      </c>
      <c r="F20" s="77" t="s">
        <v>397</v>
      </c>
      <c r="G20" s="76">
        <v>30</v>
      </c>
      <c r="H20" s="77" t="s">
        <v>398</v>
      </c>
      <c r="I20" s="76">
        <v>16</v>
      </c>
      <c r="J20" s="77" t="s">
        <v>397</v>
      </c>
      <c r="K20" s="76">
        <v>52</v>
      </c>
      <c r="L20" s="77" t="s">
        <v>397</v>
      </c>
      <c r="M20" s="76">
        <v>17</v>
      </c>
      <c r="N20" s="77" t="s">
        <v>397</v>
      </c>
      <c r="O20" s="76">
        <v>19</v>
      </c>
      <c r="P20" s="77" t="s">
        <v>397</v>
      </c>
      <c r="Q20" s="76">
        <v>45</v>
      </c>
      <c r="R20" s="77" t="s">
        <v>397</v>
      </c>
      <c r="S20" s="76">
        <v>15</v>
      </c>
      <c r="T20" s="77" t="s">
        <v>397</v>
      </c>
      <c r="U20" s="76">
        <v>19</v>
      </c>
      <c r="V20" s="77" t="s">
        <v>397</v>
      </c>
      <c r="W20" s="76">
        <v>49</v>
      </c>
      <c r="X20" s="77" t="s">
        <v>397</v>
      </c>
      <c r="Y20" s="76">
        <v>21</v>
      </c>
      <c r="Z20" s="77" t="s">
        <v>397</v>
      </c>
      <c r="AA20" s="76">
        <v>21</v>
      </c>
      <c r="AB20" s="77" t="s">
        <v>397</v>
      </c>
      <c r="AC20" s="76">
        <v>40</v>
      </c>
      <c r="AD20" s="77" t="s">
        <v>397</v>
      </c>
      <c r="AE20" s="76">
        <v>19</v>
      </c>
      <c r="AF20" s="77" t="s">
        <v>397</v>
      </c>
      <c r="AG20" s="76">
        <v>15</v>
      </c>
      <c r="AH20" s="77" t="s">
        <v>397</v>
      </c>
      <c r="AI20" s="32">
        <v>438</v>
      </c>
      <c r="AJ20" s="83" t="s">
        <v>531</v>
      </c>
      <c r="AK20" s="29">
        <v>438</v>
      </c>
      <c r="AL20" s="29" t="s">
        <v>399</v>
      </c>
      <c r="AM20" s="30" t="s">
        <v>400</v>
      </c>
      <c r="AN20" s="2" t="s">
        <v>414</v>
      </c>
    </row>
    <row r="21" spans="1:40">
      <c r="A21" s="45">
        <v>134220</v>
      </c>
      <c r="B21" s="46" t="s">
        <v>43</v>
      </c>
      <c r="C21" s="74">
        <v>50</v>
      </c>
      <c r="D21" s="77" t="s">
        <v>391</v>
      </c>
      <c r="E21" s="76">
        <v>21</v>
      </c>
      <c r="F21" s="77" t="s">
        <v>391</v>
      </c>
      <c r="G21" s="76">
        <v>68</v>
      </c>
      <c r="H21" s="77" t="s">
        <v>391</v>
      </c>
      <c r="I21" s="76">
        <v>21</v>
      </c>
      <c r="J21" s="77" t="s">
        <v>391</v>
      </c>
      <c r="K21" s="76">
        <v>47</v>
      </c>
      <c r="L21" s="77" t="s">
        <v>391</v>
      </c>
      <c r="M21" s="76">
        <v>17</v>
      </c>
      <c r="N21" s="77" t="s">
        <v>391</v>
      </c>
      <c r="O21" s="76">
        <v>18</v>
      </c>
      <c r="P21" s="77" t="s">
        <v>391</v>
      </c>
      <c r="Q21" s="76">
        <v>55</v>
      </c>
      <c r="R21" s="77" t="s">
        <v>391</v>
      </c>
      <c r="S21" s="76">
        <v>20</v>
      </c>
      <c r="T21" s="77" t="s">
        <v>391</v>
      </c>
      <c r="U21" s="76">
        <v>21</v>
      </c>
      <c r="V21" s="77" t="s">
        <v>391</v>
      </c>
      <c r="W21" s="76">
        <v>61</v>
      </c>
      <c r="X21" s="77" t="s">
        <v>391</v>
      </c>
      <c r="Y21" s="76">
        <v>21</v>
      </c>
      <c r="Z21" s="77" t="s">
        <v>391</v>
      </c>
      <c r="AA21" s="76">
        <v>21</v>
      </c>
      <c r="AB21" s="77" t="s">
        <v>391</v>
      </c>
      <c r="AC21" s="76">
        <v>51</v>
      </c>
      <c r="AD21" s="77" t="s">
        <v>391</v>
      </c>
      <c r="AE21" s="76">
        <v>21</v>
      </c>
      <c r="AF21" s="77" t="s">
        <v>391</v>
      </c>
      <c r="AG21" s="76">
        <v>16</v>
      </c>
      <c r="AH21" s="77" t="s">
        <v>391</v>
      </c>
      <c r="AI21" s="32">
        <v>529</v>
      </c>
      <c r="AJ21" s="28" t="s">
        <v>252</v>
      </c>
      <c r="AK21" s="29">
        <v>1087</v>
      </c>
      <c r="AL21" s="29" t="s">
        <v>392</v>
      </c>
      <c r="AM21" s="30" t="s">
        <v>395</v>
      </c>
      <c r="AN21" s="2" t="s">
        <v>415</v>
      </c>
    </row>
    <row r="22" spans="1:40">
      <c r="A22" s="45">
        <v>134221</v>
      </c>
      <c r="B22" s="46" t="s">
        <v>44</v>
      </c>
      <c r="C22" s="74" t="s">
        <v>305</v>
      </c>
      <c r="D22" s="77" t="s">
        <v>391</v>
      </c>
      <c r="E22" s="76">
        <v>16</v>
      </c>
      <c r="F22" s="77" t="s">
        <v>397</v>
      </c>
      <c r="G22" s="76">
        <v>43</v>
      </c>
      <c r="H22" s="77" t="s">
        <v>397</v>
      </c>
      <c r="I22" s="76">
        <v>23</v>
      </c>
      <c r="J22" s="77" t="s">
        <v>397</v>
      </c>
      <c r="K22" s="76">
        <v>40</v>
      </c>
      <c r="L22" s="77" t="s">
        <v>397</v>
      </c>
      <c r="M22" s="76">
        <v>22</v>
      </c>
      <c r="N22" s="77" t="s">
        <v>397</v>
      </c>
      <c r="O22" s="76">
        <v>22</v>
      </c>
      <c r="P22" s="77" t="s">
        <v>397</v>
      </c>
      <c r="Q22" s="76">
        <v>17</v>
      </c>
      <c r="R22" s="77" t="s">
        <v>398</v>
      </c>
      <c r="S22" s="76">
        <v>23</v>
      </c>
      <c r="T22" s="77" t="s">
        <v>397</v>
      </c>
      <c r="U22" s="76">
        <v>16</v>
      </c>
      <c r="V22" s="77" t="s">
        <v>397</v>
      </c>
      <c r="W22" s="76">
        <v>40</v>
      </c>
      <c r="X22" s="77" t="s">
        <v>397</v>
      </c>
      <c r="Y22" s="76">
        <v>23</v>
      </c>
      <c r="Z22" s="77" t="s">
        <v>397</v>
      </c>
      <c r="AA22" s="76">
        <v>22</v>
      </c>
      <c r="AB22" s="77" t="s">
        <v>397</v>
      </c>
      <c r="AC22" s="76">
        <v>23</v>
      </c>
      <c r="AD22" s="77" t="s">
        <v>398</v>
      </c>
      <c r="AE22" s="76">
        <v>23</v>
      </c>
      <c r="AF22" s="77" t="s">
        <v>397</v>
      </c>
      <c r="AG22" s="76">
        <v>18</v>
      </c>
      <c r="AH22" s="77" t="s">
        <v>397</v>
      </c>
      <c r="AI22" s="32">
        <v>371</v>
      </c>
      <c r="AJ22" s="83" t="s">
        <v>531</v>
      </c>
      <c r="AK22" s="29">
        <v>371</v>
      </c>
      <c r="AL22" s="29" t="s">
        <v>399</v>
      </c>
      <c r="AM22" s="30" t="s">
        <v>400</v>
      </c>
      <c r="AN22" s="2" t="s">
        <v>416</v>
      </c>
    </row>
    <row r="23" spans="1:40">
      <c r="A23" s="45">
        <v>134222</v>
      </c>
      <c r="B23" s="46" t="s">
        <v>45</v>
      </c>
      <c r="C23" s="74">
        <v>23</v>
      </c>
      <c r="D23" s="77" t="s">
        <v>398</v>
      </c>
      <c r="E23" s="76">
        <v>17</v>
      </c>
      <c r="F23" s="77" t="s">
        <v>397</v>
      </c>
      <c r="G23" s="76">
        <v>55</v>
      </c>
      <c r="H23" s="77" t="s">
        <v>397</v>
      </c>
      <c r="I23" s="76">
        <v>23</v>
      </c>
      <c r="J23" s="77" t="s">
        <v>397</v>
      </c>
      <c r="K23" s="76">
        <v>52</v>
      </c>
      <c r="L23" s="77" t="s">
        <v>397</v>
      </c>
      <c r="M23" s="76">
        <v>22</v>
      </c>
      <c r="N23" s="77" t="s">
        <v>397</v>
      </c>
      <c r="O23" s="76">
        <v>22</v>
      </c>
      <c r="P23" s="77" t="s">
        <v>397</v>
      </c>
      <c r="Q23" s="76">
        <v>40</v>
      </c>
      <c r="R23" s="77" t="s">
        <v>397</v>
      </c>
      <c r="S23" s="76">
        <v>23</v>
      </c>
      <c r="T23" s="77" t="s">
        <v>397</v>
      </c>
      <c r="U23" s="76">
        <v>21</v>
      </c>
      <c r="V23" s="77" t="s">
        <v>397</v>
      </c>
      <c r="W23" s="76">
        <v>49</v>
      </c>
      <c r="X23" s="77" t="s">
        <v>397</v>
      </c>
      <c r="Y23" s="76">
        <v>23</v>
      </c>
      <c r="Z23" s="77" t="s">
        <v>397</v>
      </c>
      <c r="AA23" s="76">
        <v>22</v>
      </c>
      <c r="AB23" s="77" t="s">
        <v>397</v>
      </c>
      <c r="AC23" s="76">
        <v>40</v>
      </c>
      <c r="AD23" s="77" t="s">
        <v>397</v>
      </c>
      <c r="AE23" s="76">
        <v>23</v>
      </c>
      <c r="AF23" s="77" t="s">
        <v>397</v>
      </c>
      <c r="AG23" s="76">
        <v>23</v>
      </c>
      <c r="AH23" s="77" t="s">
        <v>397</v>
      </c>
      <c r="AI23" s="32">
        <v>478</v>
      </c>
      <c r="AJ23" s="83" t="s">
        <v>531</v>
      </c>
      <c r="AK23" s="29">
        <v>478</v>
      </c>
      <c r="AL23" s="29" t="s">
        <v>399</v>
      </c>
      <c r="AM23" s="30" t="s">
        <v>400</v>
      </c>
      <c r="AN23" s="2" t="s">
        <v>417</v>
      </c>
    </row>
    <row r="24" spans="1:40">
      <c r="A24" s="45">
        <v>134223</v>
      </c>
      <c r="B24" s="46" t="s">
        <v>46</v>
      </c>
      <c r="C24" s="74" t="s">
        <v>305</v>
      </c>
      <c r="D24" s="77" t="s">
        <v>391</v>
      </c>
      <c r="E24" s="76">
        <v>15</v>
      </c>
      <c r="F24" s="77" t="s">
        <v>397</v>
      </c>
      <c r="G24" s="76">
        <v>40</v>
      </c>
      <c r="H24" s="77" t="s">
        <v>397</v>
      </c>
      <c r="I24" s="76">
        <v>19</v>
      </c>
      <c r="J24" s="77" t="s">
        <v>397</v>
      </c>
      <c r="K24" s="76">
        <v>40</v>
      </c>
      <c r="L24" s="77" t="s">
        <v>397</v>
      </c>
      <c r="M24" s="76">
        <v>16</v>
      </c>
      <c r="N24" s="77" t="s">
        <v>397</v>
      </c>
      <c r="O24" s="76">
        <v>16</v>
      </c>
      <c r="P24" s="77" t="s">
        <v>397</v>
      </c>
      <c r="Q24" s="78" t="s">
        <v>600</v>
      </c>
      <c r="R24" s="77" t="s">
        <v>398</v>
      </c>
      <c r="S24" s="76">
        <v>13</v>
      </c>
      <c r="T24" s="77" t="s">
        <v>397</v>
      </c>
      <c r="U24" s="76">
        <v>19</v>
      </c>
      <c r="V24" s="77" t="s">
        <v>397</v>
      </c>
      <c r="W24" s="76">
        <v>25</v>
      </c>
      <c r="X24" s="77" t="s">
        <v>398</v>
      </c>
      <c r="Y24" s="76">
        <v>21</v>
      </c>
      <c r="Z24" s="77" t="s">
        <v>397</v>
      </c>
      <c r="AA24" s="76">
        <v>21</v>
      </c>
      <c r="AB24" s="77" t="s">
        <v>397</v>
      </c>
      <c r="AC24" s="76">
        <v>11</v>
      </c>
      <c r="AD24" s="77" t="s">
        <v>398</v>
      </c>
      <c r="AE24" s="76">
        <v>16</v>
      </c>
      <c r="AF24" s="77" t="s">
        <v>397</v>
      </c>
      <c r="AG24" s="76">
        <v>17</v>
      </c>
      <c r="AH24" s="77" t="s">
        <v>397</v>
      </c>
      <c r="AI24" s="32">
        <v>290</v>
      </c>
      <c r="AJ24" s="83" t="s">
        <v>531</v>
      </c>
      <c r="AK24" s="29">
        <v>290</v>
      </c>
      <c r="AL24" s="29" t="s">
        <v>399</v>
      </c>
      <c r="AM24" s="30" t="s">
        <v>400</v>
      </c>
      <c r="AN24" s="2" t="s">
        <v>418</v>
      </c>
    </row>
    <row r="25" spans="1:40">
      <c r="A25" s="45">
        <v>134224</v>
      </c>
      <c r="B25" s="46" t="s">
        <v>47</v>
      </c>
      <c r="C25" s="74">
        <v>55</v>
      </c>
      <c r="D25" s="77" t="s">
        <v>391</v>
      </c>
      <c r="E25" s="76">
        <v>20</v>
      </c>
      <c r="F25" s="77" t="s">
        <v>391</v>
      </c>
      <c r="G25" s="76">
        <v>50</v>
      </c>
      <c r="H25" s="77" t="s">
        <v>391</v>
      </c>
      <c r="I25" s="76">
        <v>23</v>
      </c>
      <c r="J25" s="77" t="s">
        <v>391</v>
      </c>
      <c r="K25" s="76">
        <v>63</v>
      </c>
      <c r="L25" s="77" t="s">
        <v>391</v>
      </c>
      <c r="M25" s="76">
        <v>22</v>
      </c>
      <c r="N25" s="77" t="s">
        <v>391</v>
      </c>
      <c r="O25" s="76">
        <v>22</v>
      </c>
      <c r="P25" s="77" t="s">
        <v>391</v>
      </c>
      <c r="Q25" s="76">
        <v>52</v>
      </c>
      <c r="R25" s="77" t="s">
        <v>391</v>
      </c>
      <c r="S25" s="76">
        <v>23</v>
      </c>
      <c r="T25" s="77" t="s">
        <v>391</v>
      </c>
      <c r="U25" s="76">
        <v>21</v>
      </c>
      <c r="V25" s="77" t="s">
        <v>391</v>
      </c>
      <c r="W25" s="76">
        <v>53</v>
      </c>
      <c r="X25" s="77" t="s">
        <v>391</v>
      </c>
      <c r="Y25" s="76">
        <v>23</v>
      </c>
      <c r="Z25" s="77" t="s">
        <v>391</v>
      </c>
      <c r="AA25" s="76">
        <v>21</v>
      </c>
      <c r="AB25" s="77" t="s">
        <v>391</v>
      </c>
      <c r="AC25" s="76">
        <v>43</v>
      </c>
      <c r="AD25" s="77" t="s">
        <v>391</v>
      </c>
      <c r="AE25" s="76">
        <v>23</v>
      </c>
      <c r="AF25" s="77" t="s">
        <v>391</v>
      </c>
      <c r="AG25" s="76">
        <v>15</v>
      </c>
      <c r="AH25" s="77" t="s">
        <v>391</v>
      </c>
      <c r="AI25" s="32">
        <v>529</v>
      </c>
      <c r="AJ25" s="28" t="s">
        <v>253</v>
      </c>
      <c r="AK25" s="29">
        <v>1021</v>
      </c>
      <c r="AL25" s="29" t="s">
        <v>392</v>
      </c>
      <c r="AM25" s="30" t="s">
        <v>395</v>
      </c>
      <c r="AN25" s="2" t="s">
        <v>419</v>
      </c>
    </row>
    <row r="26" spans="1:40">
      <c r="A26" s="45">
        <v>134225</v>
      </c>
      <c r="B26" s="46" t="s">
        <v>48</v>
      </c>
      <c r="C26" s="74">
        <v>62</v>
      </c>
      <c r="D26" s="77" t="s">
        <v>391</v>
      </c>
      <c r="E26" s="76">
        <v>24</v>
      </c>
      <c r="F26" s="77" t="s">
        <v>391</v>
      </c>
      <c r="G26" s="76">
        <v>58</v>
      </c>
      <c r="H26" s="77" t="s">
        <v>391</v>
      </c>
      <c r="I26" s="76">
        <v>23</v>
      </c>
      <c r="J26" s="77" t="s">
        <v>391</v>
      </c>
      <c r="K26" s="76">
        <v>63</v>
      </c>
      <c r="L26" s="77" t="s">
        <v>391</v>
      </c>
      <c r="M26" s="76">
        <v>23</v>
      </c>
      <c r="N26" s="77" t="s">
        <v>391</v>
      </c>
      <c r="O26" s="76">
        <v>23</v>
      </c>
      <c r="P26" s="77" t="s">
        <v>391</v>
      </c>
      <c r="Q26" s="76">
        <v>60</v>
      </c>
      <c r="R26" s="77" t="s">
        <v>391</v>
      </c>
      <c r="S26" s="76">
        <v>23</v>
      </c>
      <c r="T26" s="77" t="s">
        <v>391</v>
      </c>
      <c r="U26" s="76">
        <v>19</v>
      </c>
      <c r="V26" s="77" t="s">
        <v>391</v>
      </c>
      <c r="W26" s="76">
        <v>59</v>
      </c>
      <c r="X26" s="77" t="s">
        <v>391</v>
      </c>
      <c r="Y26" s="76">
        <v>23</v>
      </c>
      <c r="Z26" s="77" t="s">
        <v>391</v>
      </c>
      <c r="AA26" s="76">
        <v>22</v>
      </c>
      <c r="AB26" s="77" t="s">
        <v>391</v>
      </c>
      <c r="AC26" s="76">
        <v>67</v>
      </c>
      <c r="AD26" s="77" t="s">
        <v>391</v>
      </c>
      <c r="AE26" s="76">
        <v>23</v>
      </c>
      <c r="AF26" s="77" t="s">
        <v>391</v>
      </c>
      <c r="AG26" s="76">
        <v>15</v>
      </c>
      <c r="AH26" s="77" t="s">
        <v>391</v>
      </c>
      <c r="AI26" s="32">
        <v>587</v>
      </c>
      <c r="AJ26" s="28" t="s">
        <v>245</v>
      </c>
      <c r="AK26" s="49" t="s">
        <v>315</v>
      </c>
      <c r="AL26" s="29" t="s">
        <v>392</v>
      </c>
      <c r="AM26" s="30" t="s">
        <v>395</v>
      </c>
      <c r="AN26" s="2" t="e">
        <v>#VALUE!</v>
      </c>
    </row>
    <row r="27" spans="1:40">
      <c r="A27" s="45">
        <v>134226</v>
      </c>
      <c r="B27" s="46" t="s">
        <v>49</v>
      </c>
      <c r="C27" s="43">
        <v>24</v>
      </c>
      <c r="D27" s="27" t="str">
        <f t="shared" ref="D27" ca="1" si="22">IF(IFERROR(FIND("+",C27),0)," ",
IF(C27="AB","",
IF(C27&lt;$D$27,"F",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F</v>
      </c>
      <c r="E27" s="26">
        <v>19</v>
      </c>
      <c r="F27" s="27" t="str">
        <f t="shared" ref="F27" ca="1" si="23">IF(IFERROR(FIND("+",E27),0)," ",
IF(E27="AB","",
IF(E27&lt;$F$27,"F",
IF(AND(E27&gt;=$F$27,C27&gt;=$D$27,G27&gt;=$H$27,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G27" s="24">
        <v>79</v>
      </c>
      <c r="H27" s="27" t="str">
        <f t="shared" ref="H27" ca="1" si="24">IF(IFERROR(FIND("+",G27),0)," ",
IF(G27="AB","",
IF(G27&lt;$H$27,"F",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I27" s="26">
        <v>18</v>
      </c>
      <c r="J27" s="27" t="str">
        <f t="shared" ref="J27" ca="1" si="25">IF(IFERROR(FIND("+",I27),0)," ",
IF(I27="AB","",
IF(I27&lt;$J$27,"F",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K27" s="24">
        <v>65</v>
      </c>
      <c r="L27" s="27" t="str">
        <f t="shared" ref="L27" ca="1" si="26">IF(IFERROR(FIND("+",K27),0)," ",
IF(K27="AB","",
IF(K27&lt;$L$27,"F",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M27" s="26">
        <v>20</v>
      </c>
      <c r="N27" s="27" t="str">
        <f t="shared" ref="N27" ca="1" si="27">IF(IFERROR(FIND("+",M27),0)," ",
IF(M27="AB","",
IF(M27&lt;$N$27,"F",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AG27&lt;&gt;"AB"),"","E"))))</f>
        <v>E</v>
      </c>
      <c r="O27" s="26">
        <v>19</v>
      </c>
      <c r="P27" s="27" t="str">
        <f t="shared" ref="P27" ca="1" si="28">IF(IFERROR(FIND("+",O27),0)," ",
IF(O27="AB","",
IF(O27&lt;$P$27,"F",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Q27" s="24">
        <v>52</v>
      </c>
      <c r="R27" s="27" t="str">
        <f t="shared" ref="R27" ca="1" si="29">IF(IFERROR(FIND("+",Q27),0)," ",
IF(Q27="AB","",
IF(Q27&lt;$R$27,"F",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S27" s="26">
        <v>20</v>
      </c>
      <c r="T27" s="27" t="str">
        <f t="shared" ref="T27" ca="1" si="30">IF(IFERROR(FIND("+",S27),0)," ",
IF(S27="AB","",
IF(S27&lt;$T$27,"F",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U27" s="26">
        <v>19</v>
      </c>
      <c r="V27" s="27" t="str">
        <f t="shared" ref="V27" ca="1" si="31">IF(IFERROR(FIND("+",U27),0)," ",
IF(U27="AB","",
IF(U27&lt;$V$27,"F",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W27" s="24">
        <v>51</v>
      </c>
      <c r="X27" s="27" t="str">
        <f t="shared" ref="X27" ca="1" si="32">IF(IFERROR(FIND("+",W27),0)," ",
IF(W27="AB","",
IF(W27&lt;$X$27,"F",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Y27" s="26">
        <v>21</v>
      </c>
      <c r="Z27" s="27" t="str">
        <f t="shared" ref="Z27" ca="1" si="33">IF(IFERROR(FIND("+",Y27),0)," ",
IF(Y27="AB","",
IF(Y27&lt;$Z$27,"F",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AA27" s="26">
        <v>22</v>
      </c>
      <c r="AB27" s="27" t="str">
        <f t="shared" ref="AB27" ca="1" si="34">IF(IFERROR(FIND("+",AA27),0)," ",
IF(AA27="AB","",
IF(AA27&lt;$AB$27,"F",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AC27" s="24">
        <v>57</v>
      </c>
      <c r="AD27" s="27" t="str">
        <f t="shared" ref="AD27" ca="1" si="35">IF(IFERROR(FIND("+",AC27),0)," ",
IF(AC27="AB","",
IF(AC27&lt;$AD$27,"F",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AE27" s="26">
        <v>22</v>
      </c>
      <c r="AF27" s="27" t="str">
        <f t="shared" ref="AF27" ca="1" si="36">IF(IFERROR(FIND("+",AE27),0)," ",
IF(AE27="AB","",IF(AE27&lt;$AF$27,"F",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AG27&lt;&gt;"AB",AH27&lt;&gt;"AB"),"","E"))))</f>
        <v>E</v>
      </c>
      <c r="AG27" s="26">
        <v>19</v>
      </c>
      <c r="AH27" s="27" t="str">
        <f t="shared" ref="AH27" ca="1" si="37">IF(IFERROR(FIND("+",AG27),0)," ",
IF(AG27="AB","",
IF(AG27&lt;$AH$27,"F",
IF(AND(C27&gt;=$D$27,E27&gt;=$F$27,G27&gt;=$H$27,
I27&gt;=$J$27,K27&gt;=$L$27,
M27&gt;=$N$27,O27&gt;=$P$27,Q27&gt;=$R$27,S27&gt;=$T$27,U27&gt;=$V$27,
W27&gt;=$X$27,Y27&gt;=$Z$27,AA27&gt;=$AB$27,AC27&gt;=$AD$27,AE27&gt;=$AF$27,
AG27&gt;=$AH$27,C27&lt;&gt;"AB",E27&lt;&gt;"AB",G27&lt;&gt;"AB",
I27&lt;&gt;"AB",K27&lt;&gt;"AB",
M27&lt;&gt;"AB",O27&lt;&gt;"AB",Q27&lt;&gt;"AB",S27&lt;&gt;"AB",U27&lt;&gt;"AB",
W27&lt;&gt;"AB",Y27&lt;&gt;"AB",AA27&lt;&gt;"AB",AC27&lt;&gt;"AB",AE27&lt;&gt;"AB",
AG27&lt;&gt;"AB"),"","E"))))</f>
        <v>E</v>
      </c>
      <c r="AI27" s="32">
        <f>IF(OR(AND(C27&gt;=31,C27&lt;40),AND(G27&gt;=31,G27&lt;40),AND(K27&gt;=31,K27&lt;40),AND(Q27&gt;=31,Q27&lt;40),AND(W27&gt;=31,W27&lt;40),AND(AC27&gt;=31,AC27&lt;40)),IF(AND(OR(COUNTIF(C27:AH27,"=31")&gt;=1,COUNTIF(C27:AH27,"=32")&gt;=1,COUNTIF(C27:AH27,"=33")&gt;=1,COUNTIF(C27:AH27,"=34")&gt;=1,COUNTIF(C27:AH27,"=35")&gt;=1,COUNTIF(C27:AH27,"=36")&gt;=1 ),COUNTIF(C27:AH27,"")=0,COUNTIF(C27:AH27," ")=0,COUNTIF(C27:AH27,"F")=1),CONCATENATE(SUM(EXTRACTNUMBER(C27),EXTRACTNUMBER(E27),
EXTRACTNUMBER(G27),EXTRACTNUMBER(I27),
EXTRACTNUMBER(K27),EXTRACTNUMBER(M27),
EXTRACTNUMBER(O27),EXTRACTNUMBER(Q27),
EXTRACTNUMBER(S27),EXTRACTNUMBER(U27),
EXTRACTNUMBER(W27),EXTRACTNUMBER(Y27),EXTRACTNUMBER(AA27),
EXTRACTNUMBER(AC27),EXTRACTNUMBER(AG27),EXTRACTNUMBER(AE27)),"*"),IF(AND(COUNTIF(C27:AH27,"=34")&gt;=1,COUNTIF(C27:AH27,"=35")&gt;=1,COUNTIF(C27:AH27,"f")=2,COUNTIF(C27:AH27,"")=0,COUNTIF(C27:AH27," ")=0),CONCATENATE(SUM(EXTRACTNUMBER(C27),EXTRACTNUMBER(E27),
EXTRACTNUMBER(G27),EXTRACTNUMBER(I27),
EXTRACTNUMBER(K27),EXTRACTNUMBER(M27),
EXTRACTNUMBER(O27),EXTRACTNUMBER(Q27),
EXTRACTNUMBER(S27),EXTRACTNUMBER(U27),
EXTRACTNUMBER(W27),EXTRACTNUMBER(Y27),EXTRACTNUMBER(AA27),
EXTRACTNUMBER(AC27),EXTRACTNUMBER(AG27),EXTRACTNUMBER(AE27)),"*"),IF(AND(COUNTIF(C27:AH27,"=36")&gt;=2,COUNTIF(C27:AH27,"f")=2,COUNTIF(C27:AH27,"")=0,COUNTIF(C27:AH27," ")=0),CONCATENATE(SUM(EXTRACTNUMBER(C27),EXTRACTNUMBER(E27),
EXTRACTNUMBER(G27),EXTRACTNUMBER(I27),
EXTRACTNUMBER(K27),EXTRACTNUMBER(M27),
EXTRACTNUMBER(O27),EXTRACTNUMBER(Q27),
EXTRACTNUMBER(S27),EXTRACTNUMBER(U27),
EXTRACTNUMBER(W27),EXTRACTNUMBER(Y27),EXTRACTNUMBER(AA27),
EXTRACTNUMBER(AC27),EXTRACTNUMBER(AG27),EXTRACTNUMBER(AE27)),"*"),SUM(EXTRACTNUMBER(C27),EXTRACTNUMBER(E27),
EXTRACTNUMBER(G27),EXTRACTNUMBER(I27),
EXTRACTNUMBER(K27),EXTRACTNUMBER(M27),
EXTRACTNUMBER(O27),EXTRACTNUMBER(Q27),
EXTRACTNUMBER(S27),EXTRACTNUMBER(U27),
EXTRACTNUMBER(W27),EXTRACTNUMBER(Y27),EXTRACTNUMBER(AA27),
EXTRACTNUMBER(AC27),EXTRACTNUMBER(AG27),EXTRACTNUMBER(AE27))))),SUM(EXTRACTNUMBER(C27),EXTRACTNUMBER(E27),
EXTRACTNUMBER(G27),EXTRACTNUMBER(I27),
EXTRACTNUMBER(K27),EXTRACTNUMBER(M27),
EXTRACTNUMBER(O27),EXTRACTNUMBER(Q27),
EXTRACTNUMBER(S27),EXTRACTNUMBER(U27),
EXTRACTNUMBER(W27),EXTRACTNUMBER(Y27),EXTRACTNUMBER(AA27),
EXTRACTNUMBER(AC27),EXTRACTNUMBER(AG27),EXTRACTNUMBER(AE27)))</f>
        <v>527</v>
      </c>
      <c r="AJ27" s="94" t="s">
        <v>589</v>
      </c>
      <c r="AK27" s="29">
        <f t="shared" ref="AK27" si="38">IF(IFERROR(FIND("x",AJ27),0),SUM(EXTRACTNUMBER(AI27),EXTRACTNUMBER(AJ27)),IF(AND(SUM(EXTRACTNUMBER(AI27),EXTRACTNUMBER(AJ27))&gt;1009,SUM(EXTRACTNUMBER(AI27),EXTRACTNUMBER(AJ27))&lt;1020),
CONCATENATE(SUM(EXTRACTNUMBER(AI27),EXTRACTNUMBER(AJ27)),"@",1020-SUM(EXTRACTNUMBER(AI27),EXTRACTNUMBER(AJ27))),
IF(AND(SUM(EXTRACTNUMBER(AI27),EXTRACTNUMBER(AJ27))&gt;839,   SUM(EXTRACTNUMBER(AI27),EXTRACTNUMBER(AJ27))&lt;850),CONCATENATE(SUM(EXTRACTNUMBER(AI27),EXTRACTNUMBER(AJ27)),"@",850-SUM(EXTRACTNUMBER(AI27),EXTRACTNUMBER(AJ27))),
IF(AND(SUM(EXTRACTNUMBER(AI27),EXTRACTNUMBER(AJ27))&gt;669,        SUM(EXTRACTNUMBER(AI27),EXTRACTNUMBER(AJ27))&lt;680),
CONCATENATE(SUM(EXTRACTNUMBER(AI27),EXTRACTNUMBER(AJ27)),"@",680-SUM(EXTRACTNUMBER(AI27),EXTRACTNUMBER(AJ27))),
SUM(EXTRACTNUMBER(AI27),EXTRACTNUMBER(AJ27))))))</f>
        <v>1025</v>
      </c>
      <c r="AL27" s="29" t="str">
        <f t="shared" ref="AL27" ca="1" si="39">IF(AND(COUNTIF(C27:AH27,"AB")&lt;16-COUNTIF(C27:AH27," "),
COUNTIF(C27:AH27,"AB")&lt;&gt;0),"FAIL",
IF(COUNTIF(C27:AH27,"AB")=16-COUNTIF(C27:AH27," "),"ABSENT",
IF(AND(COUNTIF(C27:AH27,"AB")=0,COUNTIF(C27:AH27,"F")=0),"PASS","FAIL")))</f>
        <v>FAIL</v>
      </c>
      <c r="AM27" s="30" t="str">
        <f ca="1">IF(AL27="ABSENT","AB",IF(AL27="FAIL","--",
IF(AJ27=0,"RS 3",
IF(AND(SUM(EXTRACTNUMBER(AJ27),EXTRACTNUMBER(AI27))&gt;=1010,
        NOT(IFERROR(FIND("x",AJ27),0)),
        NOT(IFERROR(FIND("x",AI27),0))),"I",
IF(AND(SUM(EXTRACTNUMBER(AJ27),EXTRACTNUMBER(AI27))&gt;=850,
      SUM(EXTRACTNUMBER(AJ27),EXTRACTNUMBER(AI27))&lt;1010,
      NOT(IFERROR(FIND("x",AJ27),0)),
      NOT(IFERROR(FIND("x",AI27),0))),"II",
IF(OR(AND(SUM(EXTRACTNUMBER(AJ27),EXTRACTNUMBER(AI27))&lt;850,
SUM(EXTRACTNUMBER(AJ27),EXTRACTNUMBER(AI27))&gt;=670),
IFERROR(FIND("x",AJ27),0),IFERROR(FIND("x",AI27),0)),"P","--"))))))</f>
        <v>--</v>
      </c>
      <c r="AN27" s="2" t="str">
        <f t="shared" ref="AN27" si="40">spellnumber(AK27)</f>
        <v xml:space="preserve">One Thousand Twenty Five </v>
      </c>
    </row>
    <row r="28" spans="1:40">
      <c r="A28" s="45">
        <v>134227</v>
      </c>
      <c r="B28" s="46" t="s">
        <v>50</v>
      </c>
      <c r="C28" s="74">
        <v>40</v>
      </c>
      <c r="D28" s="77" t="s">
        <v>391</v>
      </c>
      <c r="E28" s="76">
        <v>21</v>
      </c>
      <c r="F28" s="77" t="s">
        <v>391</v>
      </c>
      <c r="G28" s="76">
        <v>77</v>
      </c>
      <c r="H28" s="77" t="s">
        <v>391</v>
      </c>
      <c r="I28" s="76">
        <v>21</v>
      </c>
      <c r="J28" s="77" t="s">
        <v>391</v>
      </c>
      <c r="K28" s="76">
        <v>67</v>
      </c>
      <c r="L28" s="77" t="s">
        <v>391</v>
      </c>
      <c r="M28" s="76">
        <v>22</v>
      </c>
      <c r="N28" s="77" t="s">
        <v>391</v>
      </c>
      <c r="O28" s="76">
        <v>23</v>
      </c>
      <c r="P28" s="77" t="s">
        <v>391</v>
      </c>
      <c r="Q28" s="76">
        <v>68</v>
      </c>
      <c r="R28" s="77" t="s">
        <v>391</v>
      </c>
      <c r="S28" s="76">
        <v>20</v>
      </c>
      <c r="T28" s="77" t="s">
        <v>391</v>
      </c>
      <c r="U28" s="76">
        <v>21</v>
      </c>
      <c r="V28" s="77" t="s">
        <v>391</v>
      </c>
      <c r="W28" s="76">
        <v>53</v>
      </c>
      <c r="X28" s="77" t="s">
        <v>391</v>
      </c>
      <c r="Y28" s="76">
        <v>20</v>
      </c>
      <c r="Z28" s="77" t="s">
        <v>391</v>
      </c>
      <c r="AA28" s="76">
        <v>21</v>
      </c>
      <c r="AB28" s="77" t="s">
        <v>391</v>
      </c>
      <c r="AC28" s="76">
        <v>53</v>
      </c>
      <c r="AD28" s="77" t="s">
        <v>391</v>
      </c>
      <c r="AE28" s="76">
        <v>23</v>
      </c>
      <c r="AF28" s="77" t="s">
        <v>391</v>
      </c>
      <c r="AG28" s="76">
        <v>22</v>
      </c>
      <c r="AH28" s="77" t="s">
        <v>391</v>
      </c>
      <c r="AI28" s="32">
        <v>572</v>
      </c>
      <c r="AJ28" s="83" t="s">
        <v>531</v>
      </c>
      <c r="AK28" s="29">
        <v>572</v>
      </c>
      <c r="AL28" s="29" t="s">
        <v>392</v>
      </c>
      <c r="AM28" s="30" t="s">
        <v>393</v>
      </c>
      <c r="AN28" s="2" t="s">
        <v>420</v>
      </c>
    </row>
    <row r="29" spans="1:40">
      <c r="A29" s="45">
        <v>134228</v>
      </c>
      <c r="B29" s="46" t="s">
        <v>51</v>
      </c>
      <c r="C29" s="74">
        <v>15</v>
      </c>
      <c r="D29" s="77" t="s">
        <v>398</v>
      </c>
      <c r="E29" s="76">
        <v>16</v>
      </c>
      <c r="F29" s="77" t="s">
        <v>397</v>
      </c>
      <c r="G29" s="76">
        <v>55</v>
      </c>
      <c r="H29" s="77" t="s">
        <v>397</v>
      </c>
      <c r="I29" s="76">
        <v>20</v>
      </c>
      <c r="J29" s="77" t="s">
        <v>397</v>
      </c>
      <c r="K29" s="78" t="s">
        <v>528</v>
      </c>
      <c r="L29" s="77" t="s">
        <v>398</v>
      </c>
      <c r="M29" s="76">
        <v>16</v>
      </c>
      <c r="N29" s="77" t="s">
        <v>397</v>
      </c>
      <c r="O29" s="76">
        <v>15</v>
      </c>
      <c r="P29" s="77" t="s">
        <v>397</v>
      </c>
      <c r="Q29" s="76">
        <v>17</v>
      </c>
      <c r="R29" s="77" t="s">
        <v>398</v>
      </c>
      <c r="S29" s="76">
        <v>13</v>
      </c>
      <c r="T29" s="77" t="s">
        <v>397</v>
      </c>
      <c r="U29" s="76">
        <v>14</v>
      </c>
      <c r="V29" s="77" t="s">
        <v>397</v>
      </c>
      <c r="W29" s="76">
        <v>52</v>
      </c>
      <c r="X29" s="77" t="s">
        <v>397</v>
      </c>
      <c r="Y29" s="76">
        <v>20</v>
      </c>
      <c r="Z29" s="77" t="s">
        <v>397</v>
      </c>
      <c r="AA29" s="76">
        <v>21</v>
      </c>
      <c r="AB29" s="77" t="s">
        <v>397</v>
      </c>
      <c r="AC29" s="76">
        <v>53</v>
      </c>
      <c r="AD29" s="77" t="s">
        <v>397</v>
      </c>
      <c r="AE29" s="76">
        <v>23</v>
      </c>
      <c r="AF29" s="77" t="s">
        <v>397</v>
      </c>
      <c r="AG29" s="76">
        <v>16</v>
      </c>
      <c r="AH29" s="77" t="s">
        <v>397</v>
      </c>
      <c r="AI29" s="32">
        <v>375</v>
      </c>
      <c r="AJ29" s="83" t="s">
        <v>531</v>
      </c>
      <c r="AK29" s="29">
        <v>375</v>
      </c>
      <c r="AL29" s="29" t="s">
        <v>399</v>
      </c>
      <c r="AM29" s="30" t="s">
        <v>400</v>
      </c>
      <c r="AN29" s="2" t="s">
        <v>421</v>
      </c>
    </row>
    <row r="30" spans="1:40">
      <c r="A30" s="45">
        <v>134229</v>
      </c>
      <c r="B30" s="46" t="s">
        <v>52</v>
      </c>
      <c r="C30" s="74">
        <v>41</v>
      </c>
      <c r="D30" s="77" t="s">
        <v>391</v>
      </c>
      <c r="E30" s="76">
        <v>19</v>
      </c>
      <c r="F30" s="77" t="s">
        <v>391</v>
      </c>
      <c r="G30" s="76">
        <v>58</v>
      </c>
      <c r="H30" s="77" t="s">
        <v>391</v>
      </c>
      <c r="I30" s="76">
        <v>23</v>
      </c>
      <c r="J30" s="77" t="s">
        <v>391</v>
      </c>
      <c r="K30" s="76">
        <v>56</v>
      </c>
      <c r="L30" s="77" t="s">
        <v>391</v>
      </c>
      <c r="M30" s="76">
        <v>22</v>
      </c>
      <c r="N30" s="77" t="s">
        <v>391</v>
      </c>
      <c r="O30" s="76">
        <v>22</v>
      </c>
      <c r="P30" s="77" t="s">
        <v>391</v>
      </c>
      <c r="Q30" s="76">
        <v>55</v>
      </c>
      <c r="R30" s="77" t="s">
        <v>391</v>
      </c>
      <c r="S30" s="76">
        <v>23</v>
      </c>
      <c r="T30" s="77" t="s">
        <v>391</v>
      </c>
      <c r="U30" s="76">
        <v>14</v>
      </c>
      <c r="V30" s="77" t="s">
        <v>391</v>
      </c>
      <c r="W30" s="76">
        <v>53</v>
      </c>
      <c r="X30" s="77" t="s">
        <v>391</v>
      </c>
      <c r="Y30" s="76">
        <v>23</v>
      </c>
      <c r="Z30" s="77" t="s">
        <v>391</v>
      </c>
      <c r="AA30" s="76">
        <v>22</v>
      </c>
      <c r="AB30" s="77" t="s">
        <v>391</v>
      </c>
      <c r="AC30" s="76">
        <v>40</v>
      </c>
      <c r="AD30" s="77" t="s">
        <v>391</v>
      </c>
      <c r="AE30" s="76">
        <v>23</v>
      </c>
      <c r="AF30" s="77" t="s">
        <v>391</v>
      </c>
      <c r="AG30" s="76">
        <v>18</v>
      </c>
      <c r="AH30" s="77" t="s">
        <v>391</v>
      </c>
      <c r="AI30" s="32">
        <v>512</v>
      </c>
      <c r="AJ30" s="83" t="s">
        <v>531</v>
      </c>
      <c r="AK30" s="49" t="s">
        <v>313</v>
      </c>
      <c r="AL30" s="29" t="s">
        <v>392</v>
      </c>
      <c r="AM30" s="30" t="s">
        <v>393</v>
      </c>
      <c r="AN30" s="2" t="e">
        <v>#VALUE!</v>
      </c>
    </row>
    <row r="31" spans="1:40">
      <c r="A31" s="45">
        <v>134230</v>
      </c>
      <c r="B31" s="46" t="s">
        <v>53</v>
      </c>
      <c r="C31" s="74">
        <v>44</v>
      </c>
      <c r="D31" s="77" t="s">
        <v>391</v>
      </c>
      <c r="E31" s="76">
        <v>17</v>
      </c>
      <c r="F31" s="77" t="s">
        <v>391</v>
      </c>
      <c r="G31" s="76">
        <v>60</v>
      </c>
      <c r="H31" s="77" t="s">
        <v>391</v>
      </c>
      <c r="I31" s="76">
        <v>23</v>
      </c>
      <c r="J31" s="77" t="s">
        <v>391</v>
      </c>
      <c r="K31" s="76">
        <v>49</v>
      </c>
      <c r="L31" s="77" t="s">
        <v>391</v>
      </c>
      <c r="M31" s="76">
        <v>22</v>
      </c>
      <c r="N31" s="77" t="s">
        <v>391</v>
      </c>
      <c r="O31" s="76">
        <v>22</v>
      </c>
      <c r="P31" s="77" t="s">
        <v>391</v>
      </c>
      <c r="Q31" s="76">
        <v>46</v>
      </c>
      <c r="R31" s="77" t="s">
        <v>391</v>
      </c>
      <c r="S31" s="76">
        <v>23</v>
      </c>
      <c r="T31" s="77" t="s">
        <v>391</v>
      </c>
      <c r="U31" s="76">
        <v>21</v>
      </c>
      <c r="V31" s="77" t="s">
        <v>391</v>
      </c>
      <c r="W31" s="76">
        <v>59</v>
      </c>
      <c r="X31" s="77" t="s">
        <v>391</v>
      </c>
      <c r="Y31" s="76">
        <v>23</v>
      </c>
      <c r="Z31" s="77" t="s">
        <v>391</v>
      </c>
      <c r="AA31" s="76">
        <v>22</v>
      </c>
      <c r="AB31" s="77" t="s">
        <v>391</v>
      </c>
      <c r="AC31" s="76">
        <v>48</v>
      </c>
      <c r="AD31" s="77" t="s">
        <v>391</v>
      </c>
      <c r="AE31" s="76">
        <v>23</v>
      </c>
      <c r="AF31" s="77" t="s">
        <v>391</v>
      </c>
      <c r="AG31" s="76">
        <v>17</v>
      </c>
      <c r="AH31" s="77" t="s">
        <v>391</v>
      </c>
      <c r="AI31" s="32">
        <v>519</v>
      </c>
      <c r="AJ31" s="28" t="s">
        <v>254</v>
      </c>
      <c r="AK31" s="29">
        <v>994</v>
      </c>
      <c r="AL31" s="29" t="s">
        <v>392</v>
      </c>
      <c r="AM31" s="30" t="s">
        <v>422</v>
      </c>
      <c r="AN31" s="2" t="s">
        <v>423</v>
      </c>
    </row>
    <row r="32" spans="1:40">
      <c r="A32" s="45">
        <v>134231</v>
      </c>
      <c r="B32" s="46" t="s">
        <v>54</v>
      </c>
      <c r="C32" s="74">
        <v>46</v>
      </c>
      <c r="D32" s="77" t="s">
        <v>391</v>
      </c>
      <c r="E32" s="76">
        <v>18</v>
      </c>
      <c r="F32" s="77" t="s">
        <v>391</v>
      </c>
      <c r="G32" s="76">
        <v>57</v>
      </c>
      <c r="H32" s="77" t="s">
        <v>391</v>
      </c>
      <c r="I32" s="76">
        <v>23</v>
      </c>
      <c r="J32" s="77" t="s">
        <v>391</v>
      </c>
      <c r="K32" s="76">
        <v>53</v>
      </c>
      <c r="L32" s="77" t="s">
        <v>391</v>
      </c>
      <c r="M32" s="76">
        <v>22</v>
      </c>
      <c r="N32" s="77" t="s">
        <v>391</v>
      </c>
      <c r="O32" s="76">
        <v>22</v>
      </c>
      <c r="P32" s="77" t="s">
        <v>391</v>
      </c>
      <c r="Q32" s="76">
        <v>49</v>
      </c>
      <c r="R32" s="77" t="s">
        <v>391</v>
      </c>
      <c r="S32" s="76">
        <v>23</v>
      </c>
      <c r="T32" s="77" t="s">
        <v>391</v>
      </c>
      <c r="U32" s="76">
        <v>19</v>
      </c>
      <c r="V32" s="77" t="s">
        <v>391</v>
      </c>
      <c r="W32" s="76">
        <v>44</v>
      </c>
      <c r="X32" s="77" t="s">
        <v>391</v>
      </c>
      <c r="Y32" s="76">
        <v>23</v>
      </c>
      <c r="Z32" s="77" t="s">
        <v>391</v>
      </c>
      <c r="AA32" s="76">
        <v>20</v>
      </c>
      <c r="AB32" s="77" t="s">
        <v>391</v>
      </c>
      <c r="AC32" s="76">
        <v>47</v>
      </c>
      <c r="AD32" s="77" t="s">
        <v>391</v>
      </c>
      <c r="AE32" s="76">
        <v>23</v>
      </c>
      <c r="AF32" s="77" t="s">
        <v>391</v>
      </c>
      <c r="AG32" s="76">
        <v>17</v>
      </c>
      <c r="AH32" s="77" t="s">
        <v>391</v>
      </c>
      <c r="AI32" s="32">
        <v>506</v>
      </c>
      <c r="AJ32" s="83" t="s">
        <v>531</v>
      </c>
      <c r="AK32" s="49" t="s">
        <v>314</v>
      </c>
      <c r="AL32" s="29" t="s">
        <v>392</v>
      </c>
      <c r="AM32" s="30" t="s">
        <v>393</v>
      </c>
      <c r="AN32" s="2" t="e">
        <v>#VALUE!</v>
      </c>
    </row>
    <row r="33" spans="1:40">
      <c r="A33" s="45">
        <v>134232</v>
      </c>
      <c r="B33" s="46" t="s">
        <v>55</v>
      </c>
      <c r="C33" s="74">
        <v>40</v>
      </c>
      <c r="D33" s="77" t="s">
        <v>391</v>
      </c>
      <c r="E33" s="76">
        <v>18</v>
      </c>
      <c r="F33" s="77" t="s">
        <v>391</v>
      </c>
      <c r="G33" s="76">
        <v>70</v>
      </c>
      <c r="H33" s="77" t="s">
        <v>391</v>
      </c>
      <c r="I33" s="76">
        <v>19</v>
      </c>
      <c r="J33" s="77" t="s">
        <v>391</v>
      </c>
      <c r="K33" s="76">
        <v>43</v>
      </c>
      <c r="L33" s="77" t="s">
        <v>391</v>
      </c>
      <c r="M33" s="76">
        <v>17</v>
      </c>
      <c r="N33" s="77" t="s">
        <v>391</v>
      </c>
      <c r="O33" s="76">
        <v>18</v>
      </c>
      <c r="P33" s="77" t="s">
        <v>391</v>
      </c>
      <c r="Q33" s="76">
        <v>48</v>
      </c>
      <c r="R33" s="77" t="s">
        <v>391</v>
      </c>
      <c r="S33" s="76">
        <v>21</v>
      </c>
      <c r="T33" s="77" t="s">
        <v>391</v>
      </c>
      <c r="U33" s="76">
        <v>16</v>
      </c>
      <c r="V33" s="77" t="s">
        <v>391</v>
      </c>
      <c r="W33" s="76">
        <v>60</v>
      </c>
      <c r="X33" s="77" t="s">
        <v>391</v>
      </c>
      <c r="Y33" s="76">
        <v>21</v>
      </c>
      <c r="Z33" s="77" t="s">
        <v>391</v>
      </c>
      <c r="AA33" s="76">
        <v>22</v>
      </c>
      <c r="AB33" s="77" t="s">
        <v>391</v>
      </c>
      <c r="AC33" s="76">
        <v>48</v>
      </c>
      <c r="AD33" s="77" t="s">
        <v>391</v>
      </c>
      <c r="AE33" s="76">
        <v>22</v>
      </c>
      <c r="AF33" s="77" t="s">
        <v>391</v>
      </c>
      <c r="AG33" s="76">
        <v>18</v>
      </c>
      <c r="AH33" s="77" t="s">
        <v>391</v>
      </c>
      <c r="AI33" s="32">
        <v>501</v>
      </c>
      <c r="AJ33" s="28" t="s">
        <v>255</v>
      </c>
      <c r="AK33" s="29">
        <v>1023</v>
      </c>
      <c r="AL33" s="29" t="s">
        <v>392</v>
      </c>
      <c r="AM33" s="30" t="s">
        <v>395</v>
      </c>
      <c r="AN33" s="2" t="s">
        <v>424</v>
      </c>
    </row>
    <row r="34" spans="1:40">
      <c r="A34" s="45">
        <v>134233</v>
      </c>
      <c r="B34" s="46" t="s">
        <v>56</v>
      </c>
      <c r="C34" s="74">
        <v>60</v>
      </c>
      <c r="D34" s="77" t="s">
        <v>391</v>
      </c>
      <c r="E34" s="76">
        <v>22</v>
      </c>
      <c r="F34" s="77" t="s">
        <v>391</v>
      </c>
      <c r="G34" s="76">
        <v>58</v>
      </c>
      <c r="H34" s="77" t="s">
        <v>391</v>
      </c>
      <c r="I34" s="76">
        <v>22</v>
      </c>
      <c r="J34" s="77" t="s">
        <v>391</v>
      </c>
      <c r="K34" s="76">
        <v>61</v>
      </c>
      <c r="L34" s="77" t="s">
        <v>391</v>
      </c>
      <c r="M34" s="76">
        <v>22</v>
      </c>
      <c r="N34" s="77" t="s">
        <v>391</v>
      </c>
      <c r="O34" s="76">
        <v>23</v>
      </c>
      <c r="P34" s="77" t="s">
        <v>391</v>
      </c>
      <c r="Q34" s="76">
        <v>55</v>
      </c>
      <c r="R34" s="77" t="s">
        <v>391</v>
      </c>
      <c r="S34" s="76">
        <v>23</v>
      </c>
      <c r="T34" s="77" t="s">
        <v>391</v>
      </c>
      <c r="U34" s="76">
        <v>21</v>
      </c>
      <c r="V34" s="77" t="s">
        <v>391</v>
      </c>
      <c r="W34" s="76">
        <v>61</v>
      </c>
      <c r="X34" s="77" t="s">
        <v>391</v>
      </c>
      <c r="Y34" s="76">
        <v>22</v>
      </c>
      <c r="Z34" s="77" t="s">
        <v>391</v>
      </c>
      <c r="AA34" s="76">
        <v>21</v>
      </c>
      <c r="AB34" s="77" t="s">
        <v>391</v>
      </c>
      <c r="AC34" s="76">
        <v>52</v>
      </c>
      <c r="AD34" s="77" t="s">
        <v>391</v>
      </c>
      <c r="AE34" s="76">
        <v>21</v>
      </c>
      <c r="AF34" s="77" t="s">
        <v>391</v>
      </c>
      <c r="AG34" s="76">
        <v>19</v>
      </c>
      <c r="AH34" s="77" t="s">
        <v>391</v>
      </c>
      <c r="AI34" s="32">
        <v>563</v>
      </c>
      <c r="AJ34" s="28" t="s">
        <v>256</v>
      </c>
      <c r="AK34" s="29">
        <v>1069</v>
      </c>
      <c r="AL34" s="29" t="s">
        <v>392</v>
      </c>
      <c r="AM34" s="30" t="s">
        <v>395</v>
      </c>
      <c r="AN34" s="2" t="s">
        <v>425</v>
      </c>
    </row>
    <row r="35" spans="1:40">
      <c r="A35" s="45">
        <v>134234</v>
      </c>
      <c r="B35" s="46" t="s">
        <v>57</v>
      </c>
      <c r="C35" s="74" t="s">
        <v>305</v>
      </c>
      <c r="D35" s="77" t="s">
        <v>391</v>
      </c>
      <c r="E35" s="76">
        <v>14</v>
      </c>
      <c r="F35" s="77" t="s">
        <v>397</v>
      </c>
      <c r="G35" s="76" t="s">
        <v>305</v>
      </c>
      <c r="H35" s="77" t="s">
        <v>391</v>
      </c>
      <c r="I35" s="76">
        <v>20</v>
      </c>
      <c r="J35" s="77" t="s">
        <v>397</v>
      </c>
      <c r="K35" s="76">
        <v>22</v>
      </c>
      <c r="L35" s="77" t="s">
        <v>398</v>
      </c>
      <c r="M35" s="76">
        <v>17</v>
      </c>
      <c r="N35" s="77" t="s">
        <v>397</v>
      </c>
      <c r="O35" s="76">
        <v>17</v>
      </c>
      <c r="P35" s="77" t="s">
        <v>397</v>
      </c>
      <c r="Q35" s="78" t="s">
        <v>601</v>
      </c>
      <c r="R35" s="77" t="s">
        <v>398</v>
      </c>
      <c r="S35" s="76">
        <v>15</v>
      </c>
      <c r="T35" s="77" t="s">
        <v>397</v>
      </c>
      <c r="U35" s="76">
        <v>14</v>
      </c>
      <c r="V35" s="77" t="s">
        <v>397</v>
      </c>
      <c r="W35" s="76">
        <v>47</v>
      </c>
      <c r="X35" s="77" t="s">
        <v>397</v>
      </c>
      <c r="Y35" s="76">
        <v>21</v>
      </c>
      <c r="Z35" s="77" t="s">
        <v>397</v>
      </c>
      <c r="AA35" s="76">
        <v>20</v>
      </c>
      <c r="AB35" s="77" t="s">
        <v>397</v>
      </c>
      <c r="AC35" s="76">
        <v>41</v>
      </c>
      <c r="AD35" s="77" t="s">
        <v>397</v>
      </c>
      <c r="AE35" s="76">
        <v>20</v>
      </c>
      <c r="AF35" s="77" t="s">
        <v>397</v>
      </c>
      <c r="AG35" s="76">
        <v>18</v>
      </c>
      <c r="AH35" s="77" t="s">
        <v>397</v>
      </c>
      <c r="AI35" s="32">
        <v>292</v>
      </c>
      <c r="AJ35" s="83" t="s">
        <v>531</v>
      </c>
      <c r="AK35" s="29">
        <v>292</v>
      </c>
      <c r="AL35" s="29" t="s">
        <v>399</v>
      </c>
      <c r="AM35" s="30" t="s">
        <v>400</v>
      </c>
      <c r="AN35" s="2" t="s">
        <v>426</v>
      </c>
    </row>
    <row r="36" spans="1:40">
      <c r="A36" s="45">
        <v>134235</v>
      </c>
      <c r="B36" s="46" t="s">
        <v>58</v>
      </c>
      <c r="C36" s="74">
        <v>52</v>
      </c>
      <c r="D36" s="77" t="s">
        <v>391</v>
      </c>
      <c r="E36" s="76">
        <v>23</v>
      </c>
      <c r="F36" s="77" t="s">
        <v>391</v>
      </c>
      <c r="G36" s="76">
        <v>64</v>
      </c>
      <c r="H36" s="77" t="s">
        <v>391</v>
      </c>
      <c r="I36" s="76">
        <v>20</v>
      </c>
      <c r="J36" s="77" t="s">
        <v>391</v>
      </c>
      <c r="K36" s="76">
        <v>61</v>
      </c>
      <c r="L36" s="77" t="s">
        <v>391</v>
      </c>
      <c r="M36" s="76">
        <v>21</v>
      </c>
      <c r="N36" s="77" t="s">
        <v>391</v>
      </c>
      <c r="O36" s="76">
        <v>22</v>
      </c>
      <c r="P36" s="77" t="s">
        <v>391</v>
      </c>
      <c r="Q36" s="76">
        <v>52</v>
      </c>
      <c r="R36" s="77" t="s">
        <v>391</v>
      </c>
      <c r="S36" s="76">
        <v>21</v>
      </c>
      <c r="T36" s="77" t="s">
        <v>391</v>
      </c>
      <c r="U36" s="76">
        <v>19</v>
      </c>
      <c r="V36" s="77" t="s">
        <v>391</v>
      </c>
      <c r="W36" s="76">
        <v>40</v>
      </c>
      <c r="X36" s="77" t="s">
        <v>391</v>
      </c>
      <c r="Y36" s="76">
        <v>22</v>
      </c>
      <c r="Z36" s="77" t="s">
        <v>391</v>
      </c>
      <c r="AA36" s="76">
        <v>22</v>
      </c>
      <c r="AB36" s="77" t="s">
        <v>391</v>
      </c>
      <c r="AC36" s="76">
        <v>50</v>
      </c>
      <c r="AD36" s="77" t="s">
        <v>391</v>
      </c>
      <c r="AE36" s="76">
        <v>20</v>
      </c>
      <c r="AF36" s="77" t="s">
        <v>391</v>
      </c>
      <c r="AG36" s="76">
        <v>22</v>
      </c>
      <c r="AH36" s="77" t="s">
        <v>391</v>
      </c>
      <c r="AI36" s="32">
        <v>531</v>
      </c>
      <c r="AJ36" s="28" t="s">
        <v>257</v>
      </c>
      <c r="AK36" s="49" t="s">
        <v>317</v>
      </c>
      <c r="AL36" s="29" t="s">
        <v>392</v>
      </c>
      <c r="AM36" s="30" t="s">
        <v>395</v>
      </c>
      <c r="AN36" s="2" t="e">
        <v>#VALUE!</v>
      </c>
    </row>
    <row r="37" spans="1:40">
      <c r="A37" s="45">
        <v>134236</v>
      </c>
      <c r="B37" s="46" t="s">
        <v>59</v>
      </c>
      <c r="C37" s="74">
        <v>46</v>
      </c>
      <c r="D37" s="77" t="s">
        <v>391</v>
      </c>
      <c r="E37" s="76">
        <v>22</v>
      </c>
      <c r="F37" s="77" t="s">
        <v>391</v>
      </c>
      <c r="G37" s="76">
        <v>68</v>
      </c>
      <c r="H37" s="77" t="s">
        <v>391</v>
      </c>
      <c r="I37" s="76">
        <v>24</v>
      </c>
      <c r="J37" s="77" t="s">
        <v>391</v>
      </c>
      <c r="K37" s="76">
        <v>83</v>
      </c>
      <c r="L37" s="77" t="s">
        <v>391</v>
      </c>
      <c r="M37" s="76">
        <v>23</v>
      </c>
      <c r="N37" s="77" t="s">
        <v>391</v>
      </c>
      <c r="O37" s="76">
        <v>23</v>
      </c>
      <c r="P37" s="77" t="s">
        <v>391</v>
      </c>
      <c r="Q37" s="76">
        <v>68</v>
      </c>
      <c r="R37" s="77" t="s">
        <v>391</v>
      </c>
      <c r="S37" s="76">
        <v>24</v>
      </c>
      <c r="T37" s="77" t="s">
        <v>391</v>
      </c>
      <c r="U37" s="76">
        <v>22</v>
      </c>
      <c r="V37" s="77" t="s">
        <v>391</v>
      </c>
      <c r="W37" s="76">
        <v>66</v>
      </c>
      <c r="X37" s="77" t="s">
        <v>391</v>
      </c>
      <c r="Y37" s="76">
        <v>21</v>
      </c>
      <c r="Z37" s="77" t="s">
        <v>391</v>
      </c>
      <c r="AA37" s="76">
        <v>21</v>
      </c>
      <c r="AB37" s="77" t="s">
        <v>391</v>
      </c>
      <c r="AC37" s="76">
        <v>57</v>
      </c>
      <c r="AD37" s="77" t="s">
        <v>391</v>
      </c>
      <c r="AE37" s="76">
        <v>16</v>
      </c>
      <c r="AF37" s="77" t="s">
        <v>391</v>
      </c>
      <c r="AG37" s="76">
        <v>15</v>
      </c>
      <c r="AH37" s="77" t="s">
        <v>391</v>
      </c>
      <c r="AI37" s="32">
        <v>599</v>
      </c>
      <c r="AJ37" s="28" t="s">
        <v>258</v>
      </c>
      <c r="AK37" s="29">
        <v>1163</v>
      </c>
      <c r="AL37" s="29" t="s">
        <v>392</v>
      </c>
      <c r="AM37" s="30" t="s">
        <v>395</v>
      </c>
      <c r="AN37" s="2" t="s">
        <v>427</v>
      </c>
    </row>
    <row r="38" spans="1:40">
      <c r="A38" s="45">
        <v>134237</v>
      </c>
      <c r="B38" s="46" t="s">
        <v>60</v>
      </c>
      <c r="C38" s="74">
        <v>41</v>
      </c>
      <c r="D38" s="77" t="s">
        <v>391</v>
      </c>
      <c r="E38" s="76">
        <v>24</v>
      </c>
      <c r="F38" s="77" t="s">
        <v>391</v>
      </c>
      <c r="G38" s="76">
        <v>52</v>
      </c>
      <c r="H38" s="77" t="s">
        <v>391</v>
      </c>
      <c r="I38" s="76">
        <v>22</v>
      </c>
      <c r="J38" s="77" t="s">
        <v>391</v>
      </c>
      <c r="K38" s="76">
        <v>60</v>
      </c>
      <c r="L38" s="77" t="s">
        <v>391</v>
      </c>
      <c r="M38" s="76">
        <v>24</v>
      </c>
      <c r="N38" s="77" t="s">
        <v>391</v>
      </c>
      <c r="O38" s="76">
        <v>24</v>
      </c>
      <c r="P38" s="77" t="s">
        <v>391</v>
      </c>
      <c r="Q38" s="76">
        <v>40</v>
      </c>
      <c r="R38" s="77" t="s">
        <v>391</v>
      </c>
      <c r="S38" s="76">
        <v>22</v>
      </c>
      <c r="T38" s="77" t="s">
        <v>391</v>
      </c>
      <c r="U38" s="76">
        <v>21</v>
      </c>
      <c r="V38" s="77" t="s">
        <v>391</v>
      </c>
      <c r="W38" s="76">
        <v>56</v>
      </c>
      <c r="X38" s="77" t="s">
        <v>391</v>
      </c>
      <c r="Y38" s="76">
        <v>22</v>
      </c>
      <c r="Z38" s="77" t="s">
        <v>391</v>
      </c>
      <c r="AA38" s="76">
        <v>22</v>
      </c>
      <c r="AB38" s="77" t="s">
        <v>391</v>
      </c>
      <c r="AC38" s="76">
        <v>40</v>
      </c>
      <c r="AD38" s="77" t="s">
        <v>391</v>
      </c>
      <c r="AE38" s="76">
        <v>22</v>
      </c>
      <c r="AF38" s="77" t="s">
        <v>391</v>
      </c>
      <c r="AG38" s="76">
        <v>21</v>
      </c>
      <c r="AH38" s="77" t="s">
        <v>391</v>
      </c>
      <c r="AI38" s="32">
        <v>513</v>
      </c>
      <c r="AJ38" s="28" t="s">
        <v>259</v>
      </c>
      <c r="AK38" s="29">
        <v>1045</v>
      </c>
      <c r="AL38" s="29" t="s">
        <v>392</v>
      </c>
      <c r="AM38" s="30" t="s">
        <v>395</v>
      </c>
      <c r="AN38" s="2" t="s">
        <v>428</v>
      </c>
    </row>
    <row r="39" spans="1:40">
      <c r="A39" s="45">
        <v>134238</v>
      </c>
      <c r="B39" s="46" t="s">
        <v>61</v>
      </c>
      <c r="C39" s="74">
        <v>47</v>
      </c>
      <c r="D39" s="77" t="s">
        <v>391</v>
      </c>
      <c r="E39" s="76">
        <v>20</v>
      </c>
      <c r="F39" s="77" t="s">
        <v>391</v>
      </c>
      <c r="G39" s="76">
        <v>81</v>
      </c>
      <c r="H39" s="77" t="s">
        <v>391</v>
      </c>
      <c r="I39" s="76">
        <v>21</v>
      </c>
      <c r="J39" s="77" t="s">
        <v>391</v>
      </c>
      <c r="K39" s="76">
        <v>70</v>
      </c>
      <c r="L39" s="77" t="s">
        <v>391</v>
      </c>
      <c r="M39" s="76">
        <v>22</v>
      </c>
      <c r="N39" s="77" t="s">
        <v>391</v>
      </c>
      <c r="O39" s="76">
        <v>21</v>
      </c>
      <c r="P39" s="77" t="s">
        <v>391</v>
      </c>
      <c r="Q39" s="76">
        <v>58</v>
      </c>
      <c r="R39" s="77" t="s">
        <v>391</v>
      </c>
      <c r="S39" s="76">
        <v>23</v>
      </c>
      <c r="T39" s="77" t="s">
        <v>391</v>
      </c>
      <c r="U39" s="76">
        <v>20</v>
      </c>
      <c r="V39" s="77" t="s">
        <v>391</v>
      </c>
      <c r="W39" s="76">
        <v>55</v>
      </c>
      <c r="X39" s="77" t="s">
        <v>391</v>
      </c>
      <c r="Y39" s="76">
        <v>23</v>
      </c>
      <c r="Z39" s="77" t="s">
        <v>391</v>
      </c>
      <c r="AA39" s="76">
        <v>21</v>
      </c>
      <c r="AB39" s="77" t="s">
        <v>391</v>
      </c>
      <c r="AC39" s="76">
        <v>57</v>
      </c>
      <c r="AD39" s="77" t="s">
        <v>391</v>
      </c>
      <c r="AE39" s="76">
        <v>21</v>
      </c>
      <c r="AF39" s="77" t="s">
        <v>391</v>
      </c>
      <c r="AG39" s="76">
        <v>19</v>
      </c>
      <c r="AH39" s="77" t="s">
        <v>391</v>
      </c>
      <c r="AI39" s="32">
        <v>579</v>
      </c>
      <c r="AJ39" s="83" t="s">
        <v>531</v>
      </c>
      <c r="AK39" s="49" t="s">
        <v>318</v>
      </c>
      <c r="AL39" s="29" t="s">
        <v>392</v>
      </c>
      <c r="AM39" s="30" t="s">
        <v>393</v>
      </c>
      <c r="AN39" s="2" t="e">
        <v>#VALUE!</v>
      </c>
    </row>
    <row r="40" spans="1:40">
      <c r="A40" s="45">
        <v>134239</v>
      </c>
      <c r="B40" s="46" t="s">
        <v>62</v>
      </c>
      <c r="C40" s="74">
        <v>87</v>
      </c>
      <c r="D40" s="77" t="s">
        <v>391</v>
      </c>
      <c r="E40" s="76">
        <v>24</v>
      </c>
      <c r="F40" s="77" t="s">
        <v>391</v>
      </c>
      <c r="G40" s="76">
        <v>82</v>
      </c>
      <c r="H40" s="77" t="s">
        <v>391</v>
      </c>
      <c r="I40" s="76">
        <v>24</v>
      </c>
      <c r="J40" s="77" t="s">
        <v>391</v>
      </c>
      <c r="K40" s="76">
        <v>77</v>
      </c>
      <c r="L40" s="77" t="s">
        <v>391</v>
      </c>
      <c r="M40" s="76">
        <v>23</v>
      </c>
      <c r="N40" s="77" t="s">
        <v>391</v>
      </c>
      <c r="O40" s="76">
        <v>24</v>
      </c>
      <c r="P40" s="77" t="s">
        <v>391</v>
      </c>
      <c r="Q40" s="76">
        <v>74</v>
      </c>
      <c r="R40" s="77" t="s">
        <v>391</v>
      </c>
      <c r="S40" s="76">
        <v>24</v>
      </c>
      <c r="T40" s="77" t="s">
        <v>391</v>
      </c>
      <c r="U40" s="76">
        <v>24</v>
      </c>
      <c r="V40" s="77" t="s">
        <v>391</v>
      </c>
      <c r="W40" s="76">
        <v>61</v>
      </c>
      <c r="X40" s="77" t="s">
        <v>391</v>
      </c>
      <c r="Y40" s="76">
        <v>21</v>
      </c>
      <c r="Z40" s="77" t="s">
        <v>391</v>
      </c>
      <c r="AA40" s="76">
        <v>22</v>
      </c>
      <c r="AB40" s="77" t="s">
        <v>391</v>
      </c>
      <c r="AC40" s="76">
        <v>63</v>
      </c>
      <c r="AD40" s="77" t="s">
        <v>391</v>
      </c>
      <c r="AE40" s="76">
        <v>21</v>
      </c>
      <c r="AF40" s="77" t="s">
        <v>391</v>
      </c>
      <c r="AG40" s="76">
        <v>21</v>
      </c>
      <c r="AH40" s="77" t="s">
        <v>391</v>
      </c>
      <c r="AI40" s="32">
        <v>672</v>
      </c>
      <c r="AJ40" s="28" t="s">
        <v>260</v>
      </c>
      <c r="AK40" s="29">
        <v>1359</v>
      </c>
      <c r="AL40" s="29" t="s">
        <v>392</v>
      </c>
      <c r="AM40" s="30" t="s">
        <v>395</v>
      </c>
      <c r="AN40" s="2" t="s">
        <v>429</v>
      </c>
    </row>
    <row r="41" spans="1:40">
      <c r="A41" s="45">
        <v>134240</v>
      </c>
      <c r="B41" s="46" t="s">
        <v>63</v>
      </c>
      <c r="C41" s="74">
        <v>64</v>
      </c>
      <c r="D41" s="77" t="s">
        <v>391</v>
      </c>
      <c r="E41" s="76">
        <v>24</v>
      </c>
      <c r="F41" s="77" t="s">
        <v>391</v>
      </c>
      <c r="G41" s="76">
        <v>74</v>
      </c>
      <c r="H41" s="77" t="s">
        <v>391</v>
      </c>
      <c r="I41" s="76">
        <v>24</v>
      </c>
      <c r="J41" s="77" t="s">
        <v>391</v>
      </c>
      <c r="K41" s="76">
        <v>61</v>
      </c>
      <c r="L41" s="77" t="s">
        <v>391</v>
      </c>
      <c r="M41" s="76">
        <v>24</v>
      </c>
      <c r="N41" s="77" t="s">
        <v>391</v>
      </c>
      <c r="O41" s="76">
        <v>24</v>
      </c>
      <c r="P41" s="77" t="s">
        <v>391</v>
      </c>
      <c r="Q41" s="76">
        <v>42</v>
      </c>
      <c r="R41" s="77" t="s">
        <v>391</v>
      </c>
      <c r="S41" s="76">
        <v>24</v>
      </c>
      <c r="T41" s="77" t="s">
        <v>391</v>
      </c>
      <c r="U41" s="76">
        <v>20</v>
      </c>
      <c r="V41" s="77" t="s">
        <v>391</v>
      </c>
      <c r="W41" s="76">
        <v>59</v>
      </c>
      <c r="X41" s="77" t="s">
        <v>391</v>
      </c>
      <c r="Y41" s="76">
        <v>22</v>
      </c>
      <c r="Z41" s="77" t="s">
        <v>391</v>
      </c>
      <c r="AA41" s="76">
        <v>22</v>
      </c>
      <c r="AB41" s="77" t="s">
        <v>391</v>
      </c>
      <c r="AC41" s="76">
        <v>49</v>
      </c>
      <c r="AD41" s="77" t="s">
        <v>391</v>
      </c>
      <c r="AE41" s="76">
        <v>20</v>
      </c>
      <c r="AF41" s="77" t="s">
        <v>391</v>
      </c>
      <c r="AG41" s="76">
        <v>18</v>
      </c>
      <c r="AH41" s="77" t="s">
        <v>391</v>
      </c>
      <c r="AI41" s="32">
        <v>571</v>
      </c>
      <c r="AJ41" s="28" t="s">
        <v>261</v>
      </c>
      <c r="AK41" s="29">
        <v>1161</v>
      </c>
      <c r="AL41" s="29" t="s">
        <v>392</v>
      </c>
      <c r="AM41" s="30" t="s">
        <v>395</v>
      </c>
      <c r="AN41" s="2" t="s">
        <v>430</v>
      </c>
    </row>
    <row r="42" spans="1:40">
      <c r="A42" s="45">
        <v>134241</v>
      </c>
      <c r="B42" s="46" t="s">
        <v>64</v>
      </c>
      <c r="C42" s="43">
        <v>43</v>
      </c>
      <c r="D42" s="27"/>
      <c r="E42" s="26">
        <v>21</v>
      </c>
      <c r="F42" s="27"/>
      <c r="G42" s="24">
        <v>52</v>
      </c>
      <c r="H42" s="27"/>
      <c r="I42" s="26">
        <v>19</v>
      </c>
      <c r="J42" s="27"/>
      <c r="K42" s="24">
        <v>47</v>
      </c>
      <c r="L42" s="27"/>
      <c r="M42" s="26">
        <v>21</v>
      </c>
      <c r="N42" s="27"/>
      <c r="O42" s="26">
        <v>20</v>
      </c>
      <c r="P42" s="27"/>
      <c r="Q42" s="24">
        <v>40</v>
      </c>
      <c r="R42" s="27"/>
      <c r="S42" s="26">
        <v>22</v>
      </c>
      <c r="T42" s="27"/>
      <c r="U42" s="26">
        <v>14</v>
      </c>
      <c r="V42" s="27"/>
      <c r="W42" s="24">
        <v>48</v>
      </c>
      <c r="X42" s="27"/>
      <c r="Y42" s="26">
        <v>22</v>
      </c>
      <c r="Z42" s="27"/>
      <c r="AA42" s="26">
        <v>21</v>
      </c>
      <c r="AB42" s="27"/>
      <c r="AC42" s="24">
        <v>52</v>
      </c>
      <c r="AD42" s="27"/>
      <c r="AE42" s="26">
        <v>21</v>
      </c>
      <c r="AF42" s="27"/>
      <c r="AG42" s="26">
        <v>19</v>
      </c>
      <c r="AH42" s="27"/>
      <c r="AI42" s="32">
        <f>IF(OR(AND(C42&gt;=31,C42&lt;40),AND(G42&gt;=31,G42&lt;40),AND(K42&gt;=31,K42&lt;40),AND(Q42&gt;=31,Q42&lt;40),AND(W42&gt;=31,W42&lt;40),AND(AC42&gt;=31,AC42&lt;40)),IF(AND(OR(COUNTIF(C42:AH42,"=31")&gt;=1,COUNTIF(C42:AH42,"=32")&gt;=1,COUNTIF(C42:AH42,"=33")&gt;=1,COUNTIF(C42:AH42,"=34")&gt;=1,COUNTIF(C42:AH42,"=35")&gt;=1,COUNTIF(C42:AH42,"=36")&gt;=1 ),COUNTIF(C42:AH42,"")=0,COUNTIF(C42:AH42," ")=0,COUNTIF(C42:AH42,"F")=1),CONCATENATE(SUM(EXTRACTNUMBER(C42),EXTRACTNUMBER(E42),
EXTRACTNUMBER(G42),EXTRACTNUMBER(I42),
EXTRACTNUMBER(K42),EXTRACTNUMBER(M42),
EXTRACTNUMBER(O42),EXTRACTNUMBER(Q42),
EXTRACTNUMBER(S42),EXTRACTNUMBER(U42),
EXTRACTNUMBER(W42),EXTRACTNUMBER(Y42),EXTRACTNUMBER(AA42),
EXTRACTNUMBER(AC42),EXTRACTNUMBER(AG42),EXTRACTNUMBER(AE42)),"*"),IF(AND(COUNTIF(C42:AH42,"=34")&gt;=1,COUNTIF(C42:AH42,"=35")&gt;=1,COUNTIF(C42:AH42,"f")=2,COUNTIF(C42:AH42,"")=0,COUNTIF(C42:AH42," ")=0),CONCATENATE(SUM(EXTRACTNUMBER(C42),EXTRACTNUMBER(E42),
EXTRACTNUMBER(G42),EXTRACTNUMBER(I42),
EXTRACTNUMBER(K42),EXTRACTNUMBER(M42),
EXTRACTNUMBER(O42),EXTRACTNUMBER(Q42),
EXTRACTNUMBER(S42),EXTRACTNUMBER(U42),
EXTRACTNUMBER(W42),EXTRACTNUMBER(Y42),EXTRACTNUMBER(AA42),
EXTRACTNUMBER(AC42),EXTRACTNUMBER(AG42),EXTRACTNUMBER(AE42)),"*"),IF(AND(COUNTIF(C42:AH42,"=36")&gt;=2,COUNTIF(C42:AH42,"f")=2,COUNTIF(C42:AH42,"")=0,COUNTIF(C42:AH42," ")=0),CONCATENATE(SUM(EXTRACTNUMBER(C42),EXTRACTNUMBER(E42),
EXTRACTNUMBER(G42),EXTRACTNUMBER(I42),
EXTRACTNUMBER(K42),EXTRACTNUMBER(M42),
EXTRACTNUMBER(O42),EXTRACTNUMBER(Q42),
EXTRACTNUMBER(S42),EXTRACTNUMBER(U42),
EXTRACTNUMBER(W42),EXTRACTNUMBER(Y42),EXTRACTNUMBER(AA42),
EXTRACTNUMBER(AC42),EXTRACTNUMBER(AG42),EXTRACTNUMBER(AE42)),"*"),SUM(EXTRACTNUMBER(C42),EXTRACTNUMBER(E42),
EXTRACTNUMBER(G42),EXTRACTNUMBER(I42),
EXTRACTNUMBER(K42),EXTRACTNUMBER(M42),
EXTRACTNUMBER(O42),EXTRACTNUMBER(Q42),
EXTRACTNUMBER(S42),EXTRACTNUMBER(U42),
EXTRACTNUMBER(W42),EXTRACTNUMBER(Y42),EXTRACTNUMBER(AA42),
EXTRACTNUMBER(AC42),EXTRACTNUMBER(AG42),EXTRACTNUMBER(AE42))))),SUM(EXTRACTNUMBER(C42),EXTRACTNUMBER(E42),
EXTRACTNUMBER(G42),EXTRACTNUMBER(I42),
EXTRACTNUMBER(K42),EXTRACTNUMBER(M42),
EXTRACTNUMBER(O42),EXTRACTNUMBER(Q42),
EXTRACTNUMBER(S42),EXTRACTNUMBER(U42),
EXTRACTNUMBER(W42),EXTRACTNUMBER(Y42),EXTRACTNUMBER(AA42),
EXTRACTNUMBER(AC42),EXTRACTNUMBER(AG42),EXTRACTNUMBER(AE42)))</f>
        <v>482</v>
      </c>
      <c r="AJ42" s="94" t="s">
        <v>572</v>
      </c>
      <c r="AK42" s="29">
        <f t="shared" ref="AK42" si="41">IF(IFERROR(FIND("x",AJ42),0),SUM(EXTRACTNUMBER(AI42),EXTRACTNUMBER(AJ42)),IF(AND(SUM(EXTRACTNUMBER(AI42),EXTRACTNUMBER(AJ42))&gt;1009,SUM(EXTRACTNUMBER(AI42),EXTRACTNUMBER(AJ42))&lt;1020),
CONCATENATE(SUM(EXTRACTNUMBER(AI42),EXTRACTNUMBER(AJ42)),"@",1020-SUM(EXTRACTNUMBER(AI42),EXTRACTNUMBER(AJ42))),
IF(AND(SUM(EXTRACTNUMBER(AI42),EXTRACTNUMBER(AJ42))&gt;839,   SUM(EXTRACTNUMBER(AI42),EXTRACTNUMBER(AJ42))&lt;850),CONCATENATE(SUM(EXTRACTNUMBER(AI42),EXTRACTNUMBER(AJ42)),"@",850-SUM(EXTRACTNUMBER(AI42),EXTRACTNUMBER(AJ42))),
IF(AND(SUM(EXTRACTNUMBER(AI42),EXTRACTNUMBER(AJ42))&gt;669,        SUM(EXTRACTNUMBER(AI42),EXTRACTNUMBER(AJ42))&lt;680),
CONCATENATE(SUM(EXTRACTNUMBER(AI42),EXTRACTNUMBER(AJ42)),"@",680-SUM(EXTRACTNUMBER(AI42),EXTRACTNUMBER(AJ42))),
SUM(EXTRACTNUMBER(AI42),EXTRACTNUMBER(AJ42))))))</f>
        <v>929</v>
      </c>
      <c r="AL42" s="29" t="str">
        <f t="shared" ref="AL42" si="42">IF(AND(COUNTIF(C42:AH42,"AB")&lt;16-COUNTIF(C42:AH42," "),
COUNTIF(C42:AH42,"AB")&lt;&gt;0),"FAIL",
IF(COUNTIF(C42:AH42,"AB")=16-COUNTIF(C42:AH42," "),"ABSENT",
IF(AND(COUNTIF(C42:AH42,"AB")=0,COUNTIF(C42:AH42,"F")=0),"PASS","FAIL")))</f>
        <v>PASS</v>
      </c>
      <c r="AM42" s="30" t="str">
        <f>IF(AL42="ABSENT","AB",IF(AL42="FAIL","--",
IF(AJ42=0,"RS 3",
IF(AND(SUM(EXTRACTNUMBER(AJ42),EXTRACTNUMBER(AI42))&gt;=1010,
        NOT(IFERROR(FIND("x",AJ42),0)),
        NOT(IFERROR(FIND("x",AI42),0))),"I",
IF(AND(SUM(EXTRACTNUMBER(AJ42),EXTRACTNUMBER(AI42))&gt;=850,
      SUM(EXTRACTNUMBER(AJ42),EXTRACTNUMBER(AI42))&lt;1010,
      NOT(IFERROR(FIND("x",AJ42),0)),
      NOT(IFERROR(FIND("x",AI42),0))),"II",
IF(OR(AND(SUM(EXTRACTNUMBER(AJ42),EXTRACTNUMBER(AI42))&lt;850,
SUM(EXTRACTNUMBER(AJ42),EXTRACTNUMBER(AI42))&gt;=670),
IFERROR(FIND("x",AJ42),0),IFERROR(FIND("x",AI42),0)),"P","--"))))))</f>
        <v>P</v>
      </c>
      <c r="AN42" s="2" t="str">
        <f t="shared" ref="AN42" si="43">spellnumber(AK42)</f>
        <v xml:space="preserve">Nine Hundred Twenty Nine </v>
      </c>
    </row>
    <row r="43" spans="1:40">
      <c r="A43" s="45">
        <v>134242</v>
      </c>
      <c r="B43" s="46" t="s">
        <v>65</v>
      </c>
      <c r="C43" s="74">
        <v>68</v>
      </c>
      <c r="D43" s="77" t="s">
        <v>391</v>
      </c>
      <c r="E43" s="76">
        <v>24</v>
      </c>
      <c r="F43" s="77" t="s">
        <v>391</v>
      </c>
      <c r="G43" s="76">
        <v>72</v>
      </c>
      <c r="H43" s="77" t="s">
        <v>391</v>
      </c>
      <c r="I43" s="76">
        <v>24</v>
      </c>
      <c r="J43" s="77" t="s">
        <v>391</v>
      </c>
      <c r="K43" s="76">
        <v>64</v>
      </c>
      <c r="L43" s="77" t="s">
        <v>391</v>
      </c>
      <c r="M43" s="76">
        <v>22</v>
      </c>
      <c r="N43" s="77" t="s">
        <v>391</v>
      </c>
      <c r="O43" s="76">
        <v>21</v>
      </c>
      <c r="P43" s="77" t="s">
        <v>391</v>
      </c>
      <c r="Q43" s="76">
        <v>66</v>
      </c>
      <c r="R43" s="77" t="s">
        <v>391</v>
      </c>
      <c r="S43" s="76">
        <v>24</v>
      </c>
      <c r="T43" s="77" t="s">
        <v>391</v>
      </c>
      <c r="U43" s="76">
        <v>21</v>
      </c>
      <c r="V43" s="77" t="s">
        <v>391</v>
      </c>
      <c r="W43" s="76">
        <v>67</v>
      </c>
      <c r="X43" s="77" t="s">
        <v>391</v>
      </c>
      <c r="Y43" s="76">
        <v>21</v>
      </c>
      <c r="Z43" s="77" t="s">
        <v>391</v>
      </c>
      <c r="AA43" s="76">
        <v>21</v>
      </c>
      <c r="AB43" s="77" t="s">
        <v>391</v>
      </c>
      <c r="AC43" s="76">
        <v>51</v>
      </c>
      <c r="AD43" s="77" t="s">
        <v>391</v>
      </c>
      <c r="AE43" s="76">
        <v>21</v>
      </c>
      <c r="AF43" s="77" t="s">
        <v>391</v>
      </c>
      <c r="AG43" s="76">
        <v>20</v>
      </c>
      <c r="AH43" s="77" t="s">
        <v>391</v>
      </c>
      <c r="AI43" s="32">
        <v>607</v>
      </c>
      <c r="AJ43" s="28" t="s">
        <v>262</v>
      </c>
      <c r="AK43" s="29">
        <v>1186</v>
      </c>
      <c r="AL43" s="29" t="s">
        <v>392</v>
      </c>
      <c r="AM43" s="30" t="s">
        <v>395</v>
      </c>
      <c r="AN43" s="2" t="s">
        <v>431</v>
      </c>
    </row>
    <row r="44" spans="1:40">
      <c r="A44" s="45">
        <v>134243</v>
      </c>
      <c r="B44" s="46" t="s">
        <v>66</v>
      </c>
      <c r="C44" s="74">
        <v>46</v>
      </c>
      <c r="D44" s="77" t="s">
        <v>391</v>
      </c>
      <c r="E44" s="76">
        <v>20</v>
      </c>
      <c r="F44" s="77" t="s">
        <v>391</v>
      </c>
      <c r="G44" s="76">
        <v>68</v>
      </c>
      <c r="H44" s="77" t="s">
        <v>391</v>
      </c>
      <c r="I44" s="76">
        <v>20</v>
      </c>
      <c r="J44" s="77" t="s">
        <v>391</v>
      </c>
      <c r="K44" s="76">
        <v>54</v>
      </c>
      <c r="L44" s="77" t="s">
        <v>391</v>
      </c>
      <c r="M44" s="76">
        <v>16</v>
      </c>
      <c r="N44" s="77" t="s">
        <v>391</v>
      </c>
      <c r="O44" s="76">
        <v>16</v>
      </c>
      <c r="P44" s="77" t="s">
        <v>391</v>
      </c>
      <c r="Q44" s="76">
        <v>60</v>
      </c>
      <c r="R44" s="77" t="s">
        <v>391</v>
      </c>
      <c r="S44" s="76">
        <v>19</v>
      </c>
      <c r="T44" s="77" t="s">
        <v>391</v>
      </c>
      <c r="U44" s="76">
        <v>21</v>
      </c>
      <c r="V44" s="77" t="s">
        <v>391</v>
      </c>
      <c r="W44" s="76">
        <v>57</v>
      </c>
      <c r="X44" s="77" t="s">
        <v>391</v>
      </c>
      <c r="Y44" s="76">
        <v>22</v>
      </c>
      <c r="Z44" s="77" t="s">
        <v>391</v>
      </c>
      <c r="AA44" s="76">
        <v>22</v>
      </c>
      <c r="AB44" s="77" t="s">
        <v>391</v>
      </c>
      <c r="AC44" s="76">
        <v>46</v>
      </c>
      <c r="AD44" s="77" t="s">
        <v>391</v>
      </c>
      <c r="AE44" s="76">
        <v>20</v>
      </c>
      <c r="AF44" s="77" t="s">
        <v>391</v>
      </c>
      <c r="AG44" s="76">
        <v>23</v>
      </c>
      <c r="AH44" s="77" t="s">
        <v>391</v>
      </c>
      <c r="AI44" s="32">
        <v>530</v>
      </c>
      <c r="AJ44" s="28" t="s">
        <v>263</v>
      </c>
      <c r="AK44" s="29">
        <v>1068</v>
      </c>
      <c r="AL44" s="29" t="s">
        <v>392</v>
      </c>
      <c r="AM44" s="30" t="s">
        <v>395</v>
      </c>
      <c r="AN44" s="2" t="s">
        <v>432</v>
      </c>
    </row>
    <row r="45" spans="1:40">
      <c r="A45" s="45">
        <v>134244</v>
      </c>
      <c r="B45" s="46" t="s">
        <v>67</v>
      </c>
      <c r="C45" s="74">
        <v>24</v>
      </c>
      <c r="D45" s="77" t="s">
        <v>398</v>
      </c>
      <c r="E45" s="76">
        <v>19</v>
      </c>
      <c r="F45" s="77" t="s">
        <v>397</v>
      </c>
      <c r="G45" s="76">
        <v>40</v>
      </c>
      <c r="H45" s="77" t="s">
        <v>397</v>
      </c>
      <c r="I45" s="76">
        <v>19</v>
      </c>
      <c r="J45" s="77" t="s">
        <v>397</v>
      </c>
      <c r="K45" s="76">
        <v>56</v>
      </c>
      <c r="L45" s="77" t="s">
        <v>397</v>
      </c>
      <c r="M45" s="76">
        <v>19</v>
      </c>
      <c r="N45" s="77" t="s">
        <v>397</v>
      </c>
      <c r="O45" s="76">
        <v>20</v>
      </c>
      <c r="P45" s="77" t="s">
        <v>397</v>
      </c>
      <c r="Q45" s="76">
        <v>40</v>
      </c>
      <c r="R45" s="77" t="s">
        <v>397</v>
      </c>
      <c r="S45" s="76">
        <v>20</v>
      </c>
      <c r="T45" s="77" t="s">
        <v>397</v>
      </c>
      <c r="U45" s="76">
        <v>19</v>
      </c>
      <c r="V45" s="77" t="s">
        <v>397</v>
      </c>
      <c r="W45" s="76">
        <v>53</v>
      </c>
      <c r="X45" s="77" t="s">
        <v>397</v>
      </c>
      <c r="Y45" s="76">
        <v>21</v>
      </c>
      <c r="Z45" s="77" t="s">
        <v>397</v>
      </c>
      <c r="AA45" s="76">
        <v>22</v>
      </c>
      <c r="AB45" s="77" t="s">
        <v>397</v>
      </c>
      <c r="AC45" s="76">
        <v>53</v>
      </c>
      <c r="AD45" s="77" t="s">
        <v>397</v>
      </c>
      <c r="AE45" s="76">
        <v>22</v>
      </c>
      <c r="AF45" s="77" t="s">
        <v>397</v>
      </c>
      <c r="AG45" s="76">
        <v>18</v>
      </c>
      <c r="AH45" s="77" t="s">
        <v>397</v>
      </c>
      <c r="AI45" s="32">
        <v>465</v>
      </c>
      <c r="AJ45" s="83" t="s">
        <v>531</v>
      </c>
      <c r="AK45" s="29">
        <v>465</v>
      </c>
      <c r="AL45" s="29" t="s">
        <v>399</v>
      </c>
      <c r="AM45" s="30" t="s">
        <v>400</v>
      </c>
      <c r="AN45" s="2" t="s">
        <v>433</v>
      </c>
    </row>
    <row r="46" spans="1:40">
      <c r="A46" s="45">
        <v>134245</v>
      </c>
      <c r="B46" s="46" t="s">
        <v>68</v>
      </c>
      <c r="C46" s="74">
        <v>66</v>
      </c>
      <c r="D46" s="77" t="s">
        <v>391</v>
      </c>
      <c r="E46" s="76">
        <v>24</v>
      </c>
      <c r="F46" s="77" t="s">
        <v>391</v>
      </c>
      <c r="G46" s="76">
        <v>70</v>
      </c>
      <c r="H46" s="77" t="s">
        <v>391</v>
      </c>
      <c r="I46" s="76">
        <v>24</v>
      </c>
      <c r="J46" s="77" t="s">
        <v>391</v>
      </c>
      <c r="K46" s="76">
        <v>59</v>
      </c>
      <c r="L46" s="77" t="s">
        <v>391</v>
      </c>
      <c r="M46" s="76">
        <v>19</v>
      </c>
      <c r="N46" s="77" t="s">
        <v>391</v>
      </c>
      <c r="O46" s="76">
        <v>19</v>
      </c>
      <c r="P46" s="77" t="s">
        <v>391</v>
      </c>
      <c r="Q46" s="76">
        <v>65</v>
      </c>
      <c r="R46" s="77" t="s">
        <v>391</v>
      </c>
      <c r="S46" s="76">
        <v>22</v>
      </c>
      <c r="T46" s="77" t="s">
        <v>391</v>
      </c>
      <c r="U46" s="76">
        <v>24</v>
      </c>
      <c r="V46" s="77" t="s">
        <v>391</v>
      </c>
      <c r="W46" s="76">
        <v>49</v>
      </c>
      <c r="X46" s="77" t="s">
        <v>391</v>
      </c>
      <c r="Y46" s="76">
        <v>20</v>
      </c>
      <c r="Z46" s="77" t="s">
        <v>391</v>
      </c>
      <c r="AA46" s="76">
        <v>21</v>
      </c>
      <c r="AB46" s="77" t="s">
        <v>391</v>
      </c>
      <c r="AC46" s="76">
        <v>52</v>
      </c>
      <c r="AD46" s="77" t="s">
        <v>391</v>
      </c>
      <c r="AE46" s="76">
        <v>21</v>
      </c>
      <c r="AF46" s="77" t="s">
        <v>391</v>
      </c>
      <c r="AG46" s="76">
        <v>21</v>
      </c>
      <c r="AH46" s="77" t="s">
        <v>391</v>
      </c>
      <c r="AI46" s="32">
        <v>576</v>
      </c>
      <c r="AJ46" s="28" t="s">
        <v>264</v>
      </c>
      <c r="AK46" s="29">
        <v>1191</v>
      </c>
      <c r="AL46" s="29" t="s">
        <v>392</v>
      </c>
      <c r="AM46" s="30" t="s">
        <v>395</v>
      </c>
      <c r="AN46" s="2" t="s">
        <v>434</v>
      </c>
    </row>
    <row r="47" spans="1:40">
      <c r="A47" s="45">
        <v>134246</v>
      </c>
      <c r="B47" s="46" t="s">
        <v>69</v>
      </c>
      <c r="C47" s="74">
        <v>45</v>
      </c>
      <c r="D47" s="77" t="s">
        <v>391</v>
      </c>
      <c r="E47" s="76">
        <v>19</v>
      </c>
      <c r="F47" s="77" t="s">
        <v>391</v>
      </c>
      <c r="G47" s="76">
        <v>73</v>
      </c>
      <c r="H47" s="77" t="s">
        <v>391</v>
      </c>
      <c r="I47" s="76">
        <v>15</v>
      </c>
      <c r="J47" s="77" t="s">
        <v>391</v>
      </c>
      <c r="K47" s="76">
        <v>57</v>
      </c>
      <c r="L47" s="77" t="s">
        <v>391</v>
      </c>
      <c r="M47" s="76">
        <v>17</v>
      </c>
      <c r="N47" s="77" t="s">
        <v>391</v>
      </c>
      <c r="O47" s="76">
        <v>18</v>
      </c>
      <c r="P47" s="77" t="s">
        <v>391</v>
      </c>
      <c r="Q47" s="76">
        <v>57</v>
      </c>
      <c r="R47" s="77" t="s">
        <v>391</v>
      </c>
      <c r="S47" s="76">
        <v>15</v>
      </c>
      <c r="T47" s="77" t="s">
        <v>391</v>
      </c>
      <c r="U47" s="76">
        <v>19</v>
      </c>
      <c r="V47" s="77" t="s">
        <v>391</v>
      </c>
      <c r="W47" s="76">
        <v>43</v>
      </c>
      <c r="X47" s="77" t="s">
        <v>391</v>
      </c>
      <c r="Y47" s="76">
        <v>20</v>
      </c>
      <c r="Z47" s="77" t="s">
        <v>391</v>
      </c>
      <c r="AA47" s="76">
        <v>21</v>
      </c>
      <c r="AB47" s="77" t="s">
        <v>391</v>
      </c>
      <c r="AC47" s="76">
        <v>50</v>
      </c>
      <c r="AD47" s="77" t="s">
        <v>391</v>
      </c>
      <c r="AE47" s="76">
        <v>21</v>
      </c>
      <c r="AF47" s="77" t="s">
        <v>391</v>
      </c>
      <c r="AG47" s="76">
        <v>19</v>
      </c>
      <c r="AH47" s="77" t="s">
        <v>391</v>
      </c>
      <c r="AI47" s="32">
        <v>509</v>
      </c>
      <c r="AJ47" s="28" t="s">
        <v>265</v>
      </c>
      <c r="AK47" s="29">
        <v>1020</v>
      </c>
      <c r="AL47" s="29" t="s">
        <v>392</v>
      </c>
      <c r="AM47" s="30" t="s">
        <v>395</v>
      </c>
      <c r="AN47" s="2" t="s">
        <v>435</v>
      </c>
    </row>
    <row r="48" spans="1:40">
      <c r="A48" s="45">
        <v>134247</v>
      </c>
      <c r="B48" s="46" t="s">
        <v>70</v>
      </c>
      <c r="C48" s="74">
        <v>40</v>
      </c>
      <c r="D48" s="77" t="s">
        <v>391</v>
      </c>
      <c r="E48" s="76">
        <v>16</v>
      </c>
      <c r="F48" s="77" t="s">
        <v>391</v>
      </c>
      <c r="G48" s="76">
        <v>43</v>
      </c>
      <c r="H48" s="77" t="s">
        <v>391</v>
      </c>
      <c r="I48" s="76">
        <v>23</v>
      </c>
      <c r="J48" s="77" t="s">
        <v>391</v>
      </c>
      <c r="K48" s="76">
        <v>54</v>
      </c>
      <c r="L48" s="77" t="s">
        <v>391</v>
      </c>
      <c r="M48" s="76">
        <v>22</v>
      </c>
      <c r="N48" s="77" t="s">
        <v>391</v>
      </c>
      <c r="O48" s="76">
        <v>22</v>
      </c>
      <c r="P48" s="77" t="s">
        <v>391</v>
      </c>
      <c r="Q48" s="76">
        <v>50</v>
      </c>
      <c r="R48" s="77" t="s">
        <v>391</v>
      </c>
      <c r="S48" s="76">
        <v>23</v>
      </c>
      <c r="T48" s="77" t="s">
        <v>391</v>
      </c>
      <c r="U48" s="76">
        <v>19</v>
      </c>
      <c r="V48" s="77" t="s">
        <v>391</v>
      </c>
      <c r="W48" s="76">
        <v>49</v>
      </c>
      <c r="X48" s="77" t="s">
        <v>391</v>
      </c>
      <c r="Y48" s="76">
        <v>23</v>
      </c>
      <c r="Z48" s="77" t="s">
        <v>391</v>
      </c>
      <c r="AA48" s="76">
        <v>21</v>
      </c>
      <c r="AB48" s="77" t="s">
        <v>391</v>
      </c>
      <c r="AC48" s="76">
        <v>48</v>
      </c>
      <c r="AD48" s="77" t="s">
        <v>391</v>
      </c>
      <c r="AE48" s="76">
        <v>23</v>
      </c>
      <c r="AF48" s="77" t="s">
        <v>391</v>
      </c>
      <c r="AG48" s="76">
        <v>20</v>
      </c>
      <c r="AH48" s="77" t="s">
        <v>391</v>
      </c>
      <c r="AI48" s="32">
        <v>496</v>
      </c>
      <c r="AJ48" s="83" t="s">
        <v>531</v>
      </c>
      <c r="AK48" s="49" t="s">
        <v>316</v>
      </c>
      <c r="AL48" s="29" t="s">
        <v>392</v>
      </c>
      <c r="AM48" s="30" t="s">
        <v>393</v>
      </c>
      <c r="AN48" s="2" t="e">
        <v>#VALUE!</v>
      </c>
    </row>
    <row r="49" spans="1:40">
      <c r="A49" s="45">
        <v>134248</v>
      </c>
      <c r="B49" s="46" t="s">
        <v>71</v>
      </c>
      <c r="C49" s="74">
        <v>27</v>
      </c>
      <c r="D49" s="77" t="s">
        <v>398</v>
      </c>
      <c r="E49" s="76">
        <v>20</v>
      </c>
      <c r="F49" s="77" t="s">
        <v>397</v>
      </c>
      <c r="G49" s="76">
        <v>69</v>
      </c>
      <c r="H49" s="77" t="s">
        <v>397</v>
      </c>
      <c r="I49" s="76">
        <v>17</v>
      </c>
      <c r="J49" s="77" t="s">
        <v>397</v>
      </c>
      <c r="K49" s="76">
        <v>58</v>
      </c>
      <c r="L49" s="77" t="s">
        <v>397</v>
      </c>
      <c r="M49" s="76">
        <v>16</v>
      </c>
      <c r="N49" s="77" t="s">
        <v>397</v>
      </c>
      <c r="O49" s="76">
        <v>16</v>
      </c>
      <c r="P49" s="77" t="s">
        <v>397</v>
      </c>
      <c r="Q49" s="76">
        <v>56</v>
      </c>
      <c r="R49" s="77" t="s">
        <v>397</v>
      </c>
      <c r="S49" s="76">
        <v>22</v>
      </c>
      <c r="T49" s="77" t="s">
        <v>397</v>
      </c>
      <c r="U49" s="76">
        <v>14</v>
      </c>
      <c r="V49" s="77" t="s">
        <v>397</v>
      </c>
      <c r="W49" s="76">
        <v>42</v>
      </c>
      <c r="X49" s="77" t="s">
        <v>397</v>
      </c>
      <c r="Y49" s="76">
        <v>21</v>
      </c>
      <c r="Z49" s="77" t="s">
        <v>397</v>
      </c>
      <c r="AA49" s="76">
        <v>22</v>
      </c>
      <c r="AB49" s="77" t="s">
        <v>397</v>
      </c>
      <c r="AC49" s="76">
        <v>59</v>
      </c>
      <c r="AD49" s="77" t="s">
        <v>397</v>
      </c>
      <c r="AE49" s="76">
        <v>20</v>
      </c>
      <c r="AF49" s="77" t="s">
        <v>397</v>
      </c>
      <c r="AG49" s="76">
        <v>19</v>
      </c>
      <c r="AH49" s="77" t="s">
        <v>397</v>
      </c>
      <c r="AI49" s="32">
        <v>498</v>
      </c>
      <c r="AJ49" s="83" t="s">
        <v>531</v>
      </c>
      <c r="AK49" s="29">
        <v>498</v>
      </c>
      <c r="AL49" s="29" t="s">
        <v>399</v>
      </c>
      <c r="AM49" s="30" t="s">
        <v>400</v>
      </c>
      <c r="AN49" s="2" t="s">
        <v>436</v>
      </c>
    </row>
    <row r="50" spans="1:40">
      <c r="A50" s="45">
        <v>134249</v>
      </c>
      <c r="B50" s="46" t="s">
        <v>72</v>
      </c>
      <c r="C50" s="43">
        <v>44</v>
      </c>
      <c r="D50" s="27" t="str">
        <f t="shared" ref="D50" ca="1" si="44">IF(IFERROR(FIND("+",C50),0)," ",
IF(C50="AB","",
IF(C50&lt;$D$27,"F",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E50" s="26">
        <v>21</v>
      </c>
      <c r="F50" s="27" t="str">
        <f t="shared" ref="F50" ca="1" si="45">IF(IFERROR(FIND("+",E50),0)," ",
IF(E50="AB","",
IF(E50&lt;$F$27,"F",
IF(AND(E50&gt;=$F$27,C50&gt;=$D$27,G50&gt;=$H$27,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G50" s="24">
        <v>46</v>
      </c>
      <c r="H50" s="27" t="str">
        <f t="shared" ref="H50" ca="1" si="46">IF(IFERROR(FIND("+",G50),0)," ",
IF(G50="AB","",
IF(G50&lt;$H$27,"F",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I50" s="26">
        <v>21</v>
      </c>
      <c r="J50" s="27" t="str">
        <f t="shared" ref="J50" ca="1" si="47">IF(IFERROR(FIND("+",I50),0)," ",
IF(I50="AB","",
IF(I50&lt;$J$27,"F",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K50" s="24">
        <v>40</v>
      </c>
      <c r="L50" s="27" t="str">
        <f t="shared" ref="L50" ca="1" si="48">IF(IFERROR(FIND("+",K50),0)," ",
IF(K50="AB","",
IF(K50&lt;$L$27,"F",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M50" s="26">
        <v>16</v>
      </c>
      <c r="N50" s="27" t="str">
        <f t="shared" ref="N50" ca="1" si="49">IF(IFERROR(FIND("+",M50),0)," ",
IF(M50="AB","",
IF(M50&lt;$N$27,"F",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AG50&lt;&gt;"AB"),"","E"))))</f>
        <v/>
      </c>
      <c r="O50" s="26">
        <v>17</v>
      </c>
      <c r="P50" s="27" t="str">
        <f t="shared" ref="P50" ca="1" si="50">IF(IFERROR(FIND("+",O50),0)," ",
IF(O50="AB","",
IF(O50&lt;$P$27,"F",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Q50" s="24">
        <v>40</v>
      </c>
      <c r="R50" s="27" t="str">
        <f t="shared" ref="R50" ca="1" si="51">IF(IFERROR(FIND("+",Q50),0)," ",
IF(Q50="AB","",
IF(Q50&lt;$R$27,"F",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S50" s="26">
        <v>21</v>
      </c>
      <c r="T50" s="27" t="str">
        <f t="shared" ref="T50" ca="1" si="52">IF(IFERROR(FIND("+",S50),0)," ",
IF(S50="AB","",
IF(S50&lt;$T$27,"F",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U50" s="26">
        <v>17</v>
      </c>
      <c r="V50" s="27" t="str">
        <f t="shared" ref="V50" ca="1" si="53">IF(IFERROR(FIND("+",U50),0)," ",
IF(U50="AB","",
IF(U50&lt;$V$27,"F",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W50" s="24">
        <v>50</v>
      </c>
      <c r="X50" s="27" t="str">
        <f t="shared" ref="X50" ca="1" si="54">IF(IFERROR(FIND("+",W50),0)," ",
IF(W50="AB","",
IF(W50&lt;$X$27,"F",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Y50" s="26">
        <v>20</v>
      </c>
      <c r="Z50" s="27" t="str">
        <f t="shared" ref="Z50" ca="1" si="55">IF(IFERROR(FIND("+",Y50),0)," ",
IF(Y50="AB","",
IF(Y50&lt;$Z$27,"F",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AA50" s="26">
        <v>21</v>
      </c>
      <c r="AB50" s="27" t="str">
        <f t="shared" ref="AB50" ca="1" si="56">IF(IFERROR(FIND("+",AA50),0)," ",
IF(AA50="AB","",
IF(AA50&lt;$AB$27,"F",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AC50" s="24">
        <v>45</v>
      </c>
      <c r="AD50" s="27" t="str">
        <f t="shared" ref="AD50" ca="1" si="57">IF(IFERROR(FIND("+",AC50),0)," ",
IF(AC50="AB","",
IF(AC50&lt;$AD$27,"F",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AE50" s="26">
        <v>21</v>
      </c>
      <c r="AF50" s="27" t="str">
        <f t="shared" ref="AF50" ca="1" si="58">IF(IFERROR(FIND("+",AE50),0)," ",
IF(AE50="AB","",IF(AE50&lt;$AF$27,"F",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AG50&lt;&gt;"AB",AH50&lt;&gt;"AB"),"","E"))))</f>
        <v/>
      </c>
      <c r="AG50" s="26">
        <v>16</v>
      </c>
      <c r="AH50" s="27" t="str">
        <f t="shared" ref="AH50" ca="1" si="59">IF(IFERROR(FIND("+",AG50),0)," ",
IF(AG50="AB","",
IF(AG50&lt;$AH$27,"F",
IF(AND(C50&gt;=$D$27,E50&gt;=$F$27,G50&gt;=$H$27,
I50&gt;=$J$27,K50&gt;=$L$27,
M50&gt;=$N$27,O50&gt;=$P$27,Q50&gt;=$R$27,S50&gt;=$T$27,U50&gt;=$V$27,
W50&gt;=$X$27,Y50&gt;=$Z$27,AA50&gt;=$AB$27,AC50&gt;=$AD$27,AE50&gt;=$AF$27,
AG50&gt;=$AH$27,C50&lt;&gt;"AB",E50&lt;&gt;"AB",G50&lt;&gt;"AB",
I50&lt;&gt;"AB",K50&lt;&gt;"AB",
M50&lt;&gt;"AB",O50&lt;&gt;"AB",Q50&lt;&gt;"AB",S50&lt;&gt;"AB",U50&lt;&gt;"AB",
W50&lt;&gt;"AB",Y50&lt;&gt;"AB",AA50&lt;&gt;"AB",AC50&lt;&gt;"AB",AE50&lt;&gt;"AB",
AG50&lt;&gt;"AB"),"","E"))))</f>
        <v/>
      </c>
      <c r="AI50" s="32">
        <f>IF(OR(AND(C50&gt;=31,C50&lt;40),AND(G50&gt;=31,G50&lt;40),AND(K50&gt;=31,K50&lt;40),AND(Q50&gt;=31,Q50&lt;40),AND(W50&gt;=31,W50&lt;40),AND(AC50&gt;=31,AC50&lt;40)),IF(AND(OR(COUNTIF(C50:AH50,"=31")&gt;=1,COUNTIF(C50:AH50,"=32")&gt;=1,COUNTIF(C50:AH50,"=33")&gt;=1,COUNTIF(C50:AH50,"=34")&gt;=1,COUNTIF(C50:AH50,"=35")&gt;=1,COUNTIF(C50:AH50,"=36")&gt;=1 ),COUNTIF(C50:AH50,"")=0,COUNTIF(C50:AH50," ")=0,COUNTIF(C50:AH50,"F")=1),CONCATENATE(SUM(EXTRACTNUMBER(C50),EXTRACTNUMBER(E50),
EXTRACTNUMBER(G50),EXTRACTNUMBER(I50),
EXTRACTNUMBER(K50),EXTRACTNUMBER(M50),
EXTRACTNUMBER(O50),EXTRACTNUMBER(Q50),
EXTRACTNUMBER(S50),EXTRACTNUMBER(U50),
EXTRACTNUMBER(W50),EXTRACTNUMBER(Y50),EXTRACTNUMBER(AA50),
EXTRACTNUMBER(AC50),EXTRACTNUMBER(AG50),EXTRACTNUMBER(AE50)),"*"),IF(AND(COUNTIF(C50:AH50,"=34")&gt;=1,COUNTIF(C50:AH50,"=35")&gt;=1,COUNTIF(C50:AH50,"f")=2,COUNTIF(C50:AH50,"")=0,COUNTIF(C50:AH50," ")=0),CONCATENATE(SUM(EXTRACTNUMBER(C50),EXTRACTNUMBER(E50),
EXTRACTNUMBER(G50),EXTRACTNUMBER(I50),
EXTRACTNUMBER(K50),EXTRACTNUMBER(M50),
EXTRACTNUMBER(O50),EXTRACTNUMBER(Q50),
EXTRACTNUMBER(S50),EXTRACTNUMBER(U50),
EXTRACTNUMBER(W50),EXTRACTNUMBER(Y50),EXTRACTNUMBER(AA50),
EXTRACTNUMBER(AC50),EXTRACTNUMBER(AG50),EXTRACTNUMBER(AE50)),"*"),IF(AND(COUNTIF(C50:AH50,"=36")&gt;=2,COUNTIF(C50:AH50,"f")=2,COUNTIF(C50:AH50,"")=0,COUNTIF(C50:AH50," ")=0),CONCATENATE(SUM(EXTRACTNUMBER(C50),EXTRACTNUMBER(E50),
EXTRACTNUMBER(G50),EXTRACTNUMBER(I50),
EXTRACTNUMBER(K50),EXTRACTNUMBER(M50),
EXTRACTNUMBER(O50),EXTRACTNUMBER(Q50),
EXTRACTNUMBER(S50),EXTRACTNUMBER(U50),
EXTRACTNUMBER(W50),EXTRACTNUMBER(Y50),EXTRACTNUMBER(AA50),
EXTRACTNUMBER(AC50),EXTRACTNUMBER(AG50),EXTRACTNUMBER(AE50)),"*"),SUM(EXTRACTNUMBER(C50),EXTRACTNUMBER(E50),
EXTRACTNUMBER(G50),EXTRACTNUMBER(I50),
EXTRACTNUMBER(K50),EXTRACTNUMBER(M50),
EXTRACTNUMBER(O50),EXTRACTNUMBER(Q50),
EXTRACTNUMBER(S50),EXTRACTNUMBER(U50),
EXTRACTNUMBER(W50),EXTRACTNUMBER(Y50),EXTRACTNUMBER(AA50),
EXTRACTNUMBER(AC50),EXTRACTNUMBER(AG50),EXTRACTNUMBER(AE50))))),SUM(EXTRACTNUMBER(C50),EXTRACTNUMBER(E50),
EXTRACTNUMBER(G50),EXTRACTNUMBER(I50),
EXTRACTNUMBER(K50),EXTRACTNUMBER(M50),
EXTRACTNUMBER(O50),EXTRACTNUMBER(Q50),
EXTRACTNUMBER(S50),EXTRACTNUMBER(U50),
EXTRACTNUMBER(W50),EXTRACTNUMBER(Y50),EXTRACTNUMBER(AA50),
EXTRACTNUMBER(AC50),EXTRACTNUMBER(AG50),EXTRACTNUMBER(AE50)))</f>
        <v>456</v>
      </c>
      <c r="AJ50" s="94" t="s">
        <v>592</v>
      </c>
      <c r="AK50" s="29">
        <f>IF(IFERROR(FIND("x",AJ50),0),SUM(EXTRACTNUMBER(AI50),EXTRACTNUMBER(AJ50)),IF(AND(SUM(EXTRACTNUMBER(AI50),EXTRACTNUMBER(AJ50))&gt;1009,SUM(EXTRACTNUMBER(AI50),EXTRACTNUMBER(AJ50))&lt;1020),
CONCATENATE(SUM(EXTRACTNUMBER(AI50),EXTRACTNUMBER(AJ50)),"@",1020-SUM(EXTRACTNUMBER(AI50),EXTRACTNUMBER(AJ50))),
IF(AND(SUM(EXTRACTNUMBER(AI50),EXTRACTNUMBER(AJ50))&gt;839,   SUM(EXTRACTNUMBER(AI50),EXTRACTNUMBER(AJ50))&lt;850),CONCATENATE(SUM(EXTRACTNUMBER(AI50),EXTRACTNUMBER(AJ50)),"@",850-SUM(EXTRACTNUMBER(AI50),EXTRACTNUMBER(AJ50))),
IF(AND(SUM(EXTRACTNUMBER(AI50),EXTRACTNUMBER(AJ50))&gt;669,        SUM(EXTRACTNUMBER(AI50),EXTRACTNUMBER(AJ50))&lt;680),
CONCATENATE(SUM(EXTRACTNUMBER(AI50),EXTRACTNUMBER(AJ50)),"@",680-SUM(EXTRACTNUMBER(AI50),EXTRACTNUMBER(AJ50))),
SUM(EXTRACTNUMBER(AI50),EXTRACTNUMBER(AJ50))))))</f>
        <v>965</v>
      </c>
      <c r="AL50" s="29" t="str">
        <f t="shared" ref="AL50" ca="1" si="60">IF(AND(COUNTIF(C50:AH50,"AB")&lt;16-COUNTIF(C50:AH50," "),
COUNTIF(C50:AH50,"AB")&lt;&gt;0),"FAIL",
IF(COUNTIF(C50:AH50,"AB")=16-COUNTIF(C50:AH50," "),"ABSENT",
IF(AND(COUNTIF(C50:AH50,"AB")=0,COUNTIF(C50:AH50,"F")=0),"PASS","FAIL")))</f>
        <v>PASS</v>
      </c>
      <c r="AM50" s="30" t="str">
        <f ca="1">IF(AL50="ABSENT","AB",IF(AL50="FAIL","--",
IF(AJ50=0,"RS 3",
IF(AND(SUM(EXTRACTNUMBER(AJ50),EXTRACTNUMBER(AI50))&gt;=1010,
        NOT(IFERROR(FIND("x",AJ50),0)),
        NOT(IFERROR(FIND("x",AI50),0))),"I",
IF(AND(SUM(EXTRACTNUMBER(AJ50),EXTRACTNUMBER(AI50))&gt;=850,
      SUM(EXTRACTNUMBER(AJ50),EXTRACTNUMBER(AI50))&lt;1010,
      NOT(IFERROR(FIND("x",AJ50),0)),
      NOT(IFERROR(FIND("x",AI50),0))),"II",
IF(OR(AND(SUM(EXTRACTNUMBER(AJ50),EXTRACTNUMBER(AI50))&lt;850,
SUM(EXTRACTNUMBER(AJ50),EXTRACTNUMBER(AI50))&gt;=670),
IFERROR(FIND("x",AJ50),0),IFERROR(FIND("x",AI50),0)),"P","--"))))))</f>
        <v>P</v>
      </c>
      <c r="AN50" s="2" t="str">
        <f t="shared" ref="AN50" si="61">spellnumber(AK50)</f>
        <v xml:space="preserve">Nine Hundred Sixty Five </v>
      </c>
    </row>
    <row r="51" spans="1:40">
      <c r="A51" s="45">
        <v>134250</v>
      </c>
      <c r="B51" s="46" t="s">
        <v>73</v>
      </c>
      <c r="C51" s="74">
        <v>55</v>
      </c>
      <c r="D51" s="77" t="s">
        <v>391</v>
      </c>
      <c r="E51" s="76">
        <v>19</v>
      </c>
      <c r="F51" s="77" t="s">
        <v>391</v>
      </c>
      <c r="G51" s="76">
        <v>74</v>
      </c>
      <c r="H51" s="77" t="s">
        <v>391</v>
      </c>
      <c r="I51" s="76">
        <v>21</v>
      </c>
      <c r="J51" s="77" t="s">
        <v>391</v>
      </c>
      <c r="K51" s="76">
        <v>55</v>
      </c>
      <c r="L51" s="77" t="s">
        <v>391</v>
      </c>
      <c r="M51" s="76">
        <v>18</v>
      </c>
      <c r="N51" s="77" t="s">
        <v>391</v>
      </c>
      <c r="O51" s="76">
        <v>18</v>
      </c>
      <c r="P51" s="77" t="s">
        <v>391</v>
      </c>
      <c r="Q51" s="76">
        <v>67</v>
      </c>
      <c r="R51" s="77" t="s">
        <v>391</v>
      </c>
      <c r="S51" s="76">
        <v>20</v>
      </c>
      <c r="T51" s="77" t="s">
        <v>391</v>
      </c>
      <c r="U51" s="76">
        <v>16</v>
      </c>
      <c r="V51" s="77" t="s">
        <v>391</v>
      </c>
      <c r="W51" s="76">
        <v>50</v>
      </c>
      <c r="X51" s="77" t="s">
        <v>391</v>
      </c>
      <c r="Y51" s="76">
        <v>20</v>
      </c>
      <c r="Z51" s="77" t="s">
        <v>391</v>
      </c>
      <c r="AA51" s="76">
        <v>21</v>
      </c>
      <c r="AB51" s="77" t="s">
        <v>391</v>
      </c>
      <c r="AC51" s="76">
        <v>59</v>
      </c>
      <c r="AD51" s="77" t="s">
        <v>391</v>
      </c>
      <c r="AE51" s="76">
        <v>23</v>
      </c>
      <c r="AF51" s="77" t="s">
        <v>391</v>
      </c>
      <c r="AG51" s="76">
        <v>19</v>
      </c>
      <c r="AH51" s="77" t="s">
        <v>391</v>
      </c>
      <c r="AI51" s="32">
        <v>555</v>
      </c>
      <c r="AJ51" s="28" t="s">
        <v>266</v>
      </c>
      <c r="AK51" s="29">
        <v>1139</v>
      </c>
      <c r="AL51" s="29" t="s">
        <v>392</v>
      </c>
      <c r="AM51" s="30" t="s">
        <v>395</v>
      </c>
      <c r="AN51" s="2" t="s">
        <v>437</v>
      </c>
    </row>
    <row r="52" spans="1:40">
      <c r="A52" s="45">
        <v>134251</v>
      </c>
      <c r="B52" s="46" t="s">
        <v>74</v>
      </c>
      <c r="C52" s="74">
        <v>40</v>
      </c>
      <c r="D52" s="77" t="s">
        <v>391</v>
      </c>
      <c r="E52" s="76">
        <v>19</v>
      </c>
      <c r="F52" s="77" t="s">
        <v>391</v>
      </c>
      <c r="G52" s="76">
        <v>49</v>
      </c>
      <c r="H52" s="77" t="s">
        <v>391</v>
      </c>
      <c r="I52" s="76">
        <v>23</v>
      </c>
      <c r="J52" s="77" t="s">
        <v>391</v>
      </c>
      <c r="K52" s="76">
        <v>40</v>
      </c>
      <c r="L52" s="77" t="s">
        <v>391</v>
      </c>
      <c r="M52" s="76">
        <v>16</v>
      </c>
      <c r="N52" s="77" t="s">
        <v>391</v>
      </c>
      <c r="O52" s="76">
        <v>18</v>
      </c>
      <c r="P52" s="77" t="s">
        <v>391</v>
      </c>
      <c r="Q52" s="76">
        <v>40</v>
      </c>
      <c r="R52" s="77" t="s">
        <v>391</v>
      </c>
      <c r="S52" s="76">
        <v>22</v>
      </c>
      <c r="T52" s="77" t="s">
        <v>391</v>
      </c>
      <c r="U52" s="76">
        <v>23</v>
      </c>
      <c r="V52" s="77" t="s">
        <v>391</v>
      </c>
      <c r="W52" s="76">
        <v>50</v>
      </c>
      <c r="X52" s="77" t="s">
        <v>391</v>
      </c>
      <c r="Y52" s="76">
        <v>21</v>
      </c>
      <c r="Z52" s="77" t="s">
        <v>391</v>
      </c>
      <c r="AA52" s="76">
        <v>22</v>
      </c>
      <c r="AB52" s="77" t="s">
        <v>391</v>
      </c>
      <c r="AC52" s="76">
        <v>40</v>
      </c>
      <c r="AD52" s="77" t="s">
        <v>391</v>
      </c>
      <c r="AE52" s="76">
        <v>21</v>
      </c>
      <c r="AF52" s="77" t="s">
        <v>391</v>
      </c>
      <c r="AG52" s="76">
        <v>18</v>
      </c>
      <c r="AH52" s="77" t="s">
        <v>391</v>
      </c>
      <c r="AI52" s="32">
        <v>462</v>
      </c>
      <c r="AJ52" s="28" t="s">
        <v>267</v>
      </c>
      <c r="AK52" s="29">
        <v>933</v>
      </c>
      <c r="AL52" s="29" t="s">
        <v>392</v>
      </c>
      <c r="AM52" s="30" t="s">
        <v>422</v>
      </c>
      <c r="AN52" s="2" t="s">
        <v>438</v>
      </c>
    </row>
    <row r="53" spans="1:40">
      <c r="A53" s="45">
        <v>134252</v>
      </c>
      <c r="B53" s="46" t="s">
        <v>75</v>
      </c>
      <c r="C53" s="74">
        <v>51</v>
      </c>
      <c r="D53" s="77" t="s">
        <v>391</v>
      </c>
      <c r="E53" s="76">
        <v>20</v>
      </c>
      <c r="F53" s="77" t="s">
        <v>391</v>
      </c>
      <c r="G53" s="76">
        <v>73</v>
      </c>
      <c r="H53" s="77" t="s">
        <v>391</v>
      </c>
      <c r="I53" s="76">
        <v>16</v>
      </c>
      <c r="J53" s="77" t="s">
        <v>391</v>
      </c>
      <c r="K53" s="76">
        <v>58</v>
      </c>
      <c r="L53" s="77" t="s">
        <v>391</v>
      </c>
      <c r="M53" s="76">
        <v>24</v>
      </c>
      <c r="N53" s="77" t="s">
        <v>391</v>
      </c>
      <c r="O53" s="76">
        <v>23</v>
      </c>
      <c r="P53" s="77" t="s">
        <v>391</v>
      </c>
      <c r="Q53" s="76">
        <v>56</v>
      </c>
      <c r="R53" s="77" t="s">
        <v>391</v>
      </c>
      <c r="S53" s="76">
        <v>17</v>
      </c>
      <c r="T53" s="77" t="s">
        <v>391</v>
      </c>
      <c r="U53" s="76">
        <v>17</v>
      </c>
      <c r="V53" s="77" t="s">
        <v>391</v>
      </c>
      <c r="W53" s="76">
        <v>49</v>
      </c>
      <c r="X53" s="77" t="s">
        <v>391</v>
      </c>
      <c r="Y53" s="76">
        <v>22</v>
      </c>
      <c r="Z53" s="77" t="s">
        <v>391</v>
      </c>
      <c r="AA53" s="76">
        <v>23</v>
      </c>
      <c r="AB53" s="77" t="s">
        <v>391</v>
      </c>
      <c r="AC53" s="76">
        <v>57</v>
      </c>
      <c r="AD53" s="77" t="s">
        <v>391</v>
      </c>
      <c r="AE53" s="76">
        <v>20</v>
      </c>
      <c r="AF53" s="77" t="s">
        <v>391</v>
      </c>
      <c r="AG53" s="76">
        <v>18</v>
      </c>
      <c r="AH53" s="77" t="s">
        <v>391</v>
      </c>
      <c r="AI53" s="32">
        <v>544</v>
      </c>
      <c r="AJ53" s="28" t="s">
        <v>268</v>
      </c>
      <c r="AK53" s="29">
        <v>1058</v>
      </c>
      <c r="AL53" s="29" t="s">
        <v>392</v>
      </c>
      <c r="AM53" s="30" t="s">
        <v>395</v>
      </c>
      <c r="AN53" s="2" t="s">
        <v>439</v>
      </c>
    </row>
    <row r="54" spans="1:40">
      <c r="A54" s="45">
        <v>134253</v>
      </c>
      <c r="B54" s="46" t="s">
        <v>76</v>
      </c>
      <c r="C54" s="74">
        <v>50</v>
      </c>
      <c r="D54" s="77" t="s">
        <v>391</v>
      </c>
      <c r="E54" s="76">
        <v>21</v>
      </c>
      <c r="F54" s="77" t="s">
        <v>391</v>
      </c>
      <c r="G54" s="76">
        <v>69</v>
      </c>
      <c r="H54" s="77" t="s">
        <v>391</v>
      </c>
      <c r="I54" s="76">
        <v>22</v>
      </c>
      <c r="J54" s="77" t="s">
        <v>391</v>
      </c>
      <c r="K54" s="76">
        <v>50</v>
      </c>
      <c r="L54" s="77" t="s">
        <v>391</v>
      </c>
      <c r="M54" s="76">
        <v>17</v>
      </c>
      <c r="N54" s="77" t="s">
        <v>391</v>
      </c>
      <c r="O54" s="76">
        <v>17</v>
      </c>
      <c r="P54" s="77" t="s">
        <v>391</v>
      </c>
      <c r="Q54" s="76">
        <v>42</v>
      </c>
      <c r="R54" s="77" t="s">
        <v>391</v>
      </c>
      <c r="S54" s="76">
        <v>20</v>
      </c>
      <c r="T54" s="77" t="s">
        <v>391</v>
      </c>
      <c r="U54" s="76">
        <v>23</v>
      </c>
      <c r="V54" s="77" t="s">
        <v>391</v>
      </c>
      <c r="W54" s="76">
        <v>49</v>
      </c>
      <c r="X54" s="77" t="s">
        <v>391</v>
      </c>
      <c r="Y54" s="76">
        <v>21</v>
      </c>
      <c r="Z54" s="77" t="s">
        <v>391</v>
      </c>
      <c r="AA54" s="76">
        <v>21</v>
      </c>
      <c r="AB54" s="77" t="s">
        <v>391</v>
      </c>
      <c r="AC54" s="76">
        <v>57</v>
      </c>
      <c r="AD54" s="77" t="s">
        <v>391</v>
      </c>
      <c r="AE54" s="76">
        <v>21</v>
      </c>
      <c r="AF54" s="77" t="s">
        <v>391</v>
      </c>
      <c r="AG54" s="76">
        <v>19</v>
      </c>
      <c r="AH54" s="77" t="s">
        <v>391</v>
      </c>
      <c r="AI54" s="32">
        <v>519</v>
      </c>
      <c r="AJ54" s="28" t="s">
        <v>269</v>
      </c>
      <c r="AK54" s="29">
        <v>1063</v>
      </c>
      <c r="AL54" s="29" t="s">
        <v>392</v>
      </c>
      <c r="AM54" s="30" t="s">
        <v>395</v>
      </c>
      <c r="AN54" s="2" t="s">
        <v>440</v>
      </c>
    </row>
    <row r="55" spans="1:40">
      <c r="A55" s="45">
        <v>134254</v>
      </c>
      <c r="B55" s="46" t="s">
        <v>77</v>
      </c>
      <c r="C55" s="74">
        <v>51</v>
      </c>
      <c r="D55" s="77" t="s">
        <v>391</v>
      </c>
      <c r="E55" s="76">
        <v>23</v>
      </c>
      <c r="F55" s="77" t="s">
        <v>391</v>
      </c>
      <c r="G55" s="76">
        <v>64</v>
      </c>
      <c r="H55" s="77" t="s">
        <v>391</v>
      </c>
      <c r="I55" s="76">
        <v>23</v>
      </c>
      <c r="J55" s="77" t="s">
        <v>391</v>
      </c>
      <c r="K55" s="76">
        <v>43</v>
      </c>
      <c r="L55" s="77" t="s">
        <v>391</v>
      </c>
      <c r="M55" s="76">
        <v>22</v>
      </c>
      <c r="N55" s="77" t="s">
        <v>391</v>
      </c>
      <c r="O55" s="76">
        <v>22</v>
      </c>
      <c r="P55" s="77" t="s">
        <v>391</v>
      </c>
      <c r="Q55" s="76">
        <v>47</v>
      </c>
      <c r="R55" s="77" t="s">
        <v>391</v>
      </c>
      <c r="S55" s="76">
        <v>23</v>
      </c>
      <c r="T55" s="77" t="s">
        <v>391</v>
      </c>
      <c r="U55" s="76">
        <v>20</v>
      </c>
      <c r="V55" s="77" t="s">
        <v>391</v>
      </c>
      <c r="W55" s="76">
        <v>50</v>
      </c>
      <c r="X55" s="77" t="s">
        <v>391</v>
      </c>
      <c r="Y55" s="76">
        <v>23</v>
      </c>
      <c r="Z55" s="77" t="s">
        <v>391</v>
      </c>
      <c r="AA55" s="76">
        <v>22</v>
      </c>
      <c r="AB55" s="77" t="s">
        <v>391</v>
      </c>
      <c r="AC55" s="76">
        <v>46</v>
      </c>
      <c r="AD55" s="77" t="s">
        <v>391</v>
      </c>
      <c r="AE55" s="76">
        <v>23</v>
      </c>
      <c r="AF55" s="77" t="s">
        <v>391</v>
      </c>
      <c r="AG55" s="76">
        <v>19</v>
      </c>
      <c r="AH55" s="77" t="s">
        <v>391</v>
      </c>
      <c r="AI55" s="32">
        <v>521</v>
      </c>
      <c r="AJ55" s="28" t="s">
        <v>270</v>
      </c>
      <c r="AK55" s="29">
        <v>1063</v>
      </c>
      <c r="AL55" s="29" t="s">
        <v>392</v>
      </c>
      <c r="AM55" s="30" t="s">
        <v>395</v>
      </c>
      <c r="AN55" s="2" t="s">
        <v>440</v>
      </c>
    </row>
    <row r="56" spans="1:40">
      <c r="A56" s="45">
        <v>134255</v>
      </c>
      <c r="B56" s="46" t="s">
        <v>78</v>
      </c>
      <c r="C56" s="74">
        <v>41</v>
      </c>
      <c r="D56" s="77" t="s">
        <v>391</v>
      </c>
      <c r="E56" s="76">
        <v>16</v>
      </c>
      <c r="F56" s="77" t="s">
        <v>391</v>
      </c>
      <c r="G56" s="76">
        <v>57</v>
      </c>
      <c r="H56" s="77" t="s">
        <v>391</v>
      </c>
      <c r="I56" s="76">
        <v>21</v>
      </c>
      <c r="J56" s="77" t="s">
        <v>391</v>
      </c>
      <c r="K56" s="76">
        <v>45</v>
      </c>
      <c r="L56" s="77" t="s">
        <v>391</v>
      </c>
      <c r="M56" s="76">
        <v>19</v>
      </c>
      <c r="N56" s="77" t="s">
        <v>391</v>
      </c>
      <c r="O56" s="76">
        <v>18</v>
      </c>
      <c r="P56" s="77" t="s">
        <v>391</v>
      </c>
      <c r="Q56" s="76">
        <v>43</v>
      </c>
      <c r="R56" s="77" t="s">
        <v>391</v>
      </c>
      <c r="S56" s="76">
        <v>21</v>
      </c>
      <c r="T56" s="77" t="s">
        <v>391</v>
      </c>
      <c r="U56" s="76">
        <v>17</v>
      </c>
      <c r="V56" s="77" t="s">
        <v>391</v>
      </c>
      <c r="W56" s="76">
        <v>58</v>
      </c>
      <c r="X56" s="77" t="s">
        <v>391</v>
      </c>
      <c r="Y56" s="76">
        <v>21</v>
      </c>
      <c r="Z56" s="77" t="s">
        <v>391</v>
      </c>
      <c r="AA56" s="76">
        <v>22</v>
      </c>
      <c r="AB56" s="77" t="s">
        <v>391</v>
      </c>
      <c r="AC56" s="76">
        <v>55</v>
      </c>
      <c r="AD56" s="77" t="s">
        <v>391</v>
      </c>
      <c r="AE56" s="76">
        <v>20</v>
      </c>
      <c r="AF56" s="77" t="s">
        <v>391</v>
      </c>
      <c r="AG56" s="76">
        <v>18</v>
      </c>
      <c r="AH56" s="77" t="s">
        <v>391</v>
      </c>
      <c r="AI56" s="32">
        <v>492</v>
      </c>
      <c r="AJ56" s="28" t="s">
        <v>271</v>
      </c>
      <c r="AK56" s="29">
        <v>1007</v>
      </c>
      <c r="AL56" s="29" t="s">
        <v>392</v>
      </c>
      <c r="AM56" s="30" t="s">
        <v>422</v>
      </c>
      <c r="AN56" s="2" t="s">
        <v>441</v>
      </c>
    </row>
    <row r="57" spans="1:40">
      <c r="A57" s="45">
        <v>134256</v>
      </c>
      <c r="B57" s="46" t="s">
        <v>79</v>
      </c>
      <c r="C57" s="74">
        <v>40</v>
      </c>
      <c r="D57" s="77" t="s">
        <v>391</v>
      </c>
      <c r="E57" s="76">
        <v>22</v>
      </c>
      <c r="F57" s="77" t="s">
        <v>391</v>
      </c>
      <c r="G57" s="76">
        <v>53</v>
      </c>
      <c r="H57" s="77" t="s">
        <v>391</v>
      </c>
      <c r="I57" s="76">
        <v>21</v>
      </c>
      <c r="J57" s="77" t="s">
        <v>391</v>
      </c>
      <c r="K57" s="76">
        <v>48</v>
      </c>
      <c r="L57" s="77" t="s">
        <v>391</v>
      </c>
      <c r="M57" s="76">
        <v>22</v>
      </c>
      <c r="N57" s="77" t="s">
        <v>391</v>
      </c>
      <c r="O57" s="76">
        <v>22</v>
      </c>
      <c r="P57" s="77" t="s">
        <v>391</v>
      </c>
      <c r="Q57" s="76">
        <v>40</v>
      </c>
      <c r="R57" s="77" t="s">
        <v>391</v>
      </c>
      <c r="S57" s="76">
        <v>21</v>
      </c>
      <c r="T57" s="77" t="s">
        <v>391</v>
      </c>
      <c r="U57" s="76">
        <v>19</v>
      </c>
      <c r="V57" s="77" t="s">
        <v>391</v>
      </c>
      <c r="W57" s="76">
        <v>43</v>
      </c>
      <c r="X57" s="77" t="s">
        <v>391</v>
      </c>
      <c r="Y57" s="76">
        <v>20</v>
      </c>
      <c r="Z57" s="77" t="s">
        <v>391</v>
      </c>
      <c r="AA57" s="76">
        <v>21</v>
      </c>
      <c r="AB57" s="77" t="s">
        <v>391</v>
      </c>
      <c r="AC57" s="76">
        <v>45</v>
      </c>
      <c r="AD57" s="77" t="s">
        <v>391</v>
      </c>
      <c r="AE57" s="76">
        <v>22</v>
      </c>
      <c r="AF57" s="77" t="s">
        <v>391</v>
      </c>
      <c r="AG57" s="76">
        <v>20</v>
      </c>
      <c r="AH57" s="77" t="s">
        <v>391</v>
      </c>
      <c r="AI57" s="32">
        <v>479</v>
      </c>
      <c r="AJ57" s="83" t="s">
        <v>531</v>
      </c>
      <c r="AK57" s="29">
        <v>479</v>
      </c>
      <c r="AL57" s="29" t="s">
        <v>392</v>
      </c>
      <c r="AM57" s="30" t="s">
        <v>393</v>
      </c>
      <c r="AN57" s="2" t="s">
        <v>442</v>
      </c>
    </row>
    <row r="58" spans="1:40">
      <c r="A58" s="45">
        <v>134257</v>
      </c>
      <c r="B58" s="46" t="s">
        <v>80</v>
      </c>
      <c r="C58" s="106" t="s">
        <v>630</v>
      </c>
      <c r="D58" s="27" t="str">
        <f t="shared" ref="D58" ca="1" si="62">IF(IFERROR(FIND("+",C58),0)," ",
IF(C58="AB","",
IF(C58&lt;$D$27,"F",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E58" s="26">
        <v>22</v>
      </c>
      <c r="F58" s="27" t="str">
        <f t="shared" ref="F58" ca="1" si="63">IF(IFERROR(FIND("+",E58),0)," ",
IF(E58="AB","",
IF(E58&lt;$F$27,"F",
IF(AND(E58&gt;=$F$27,C58&gt;=$D$27,G58&gt;=$H$27,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G58" s="24">
        <v>47</v>
      </c>
      <c r="H58" s="27" t="str">
        <f t="shared" ref="H58" ca="1" si="64">IF(IFERROR(FIND("+",G58),0)," ",
IF(G58="AB","",
IF(G58&lt;$H$27,"F",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I58" s="26">
        <v>21</v>
      </c>
      <c r="J58" s="27" t="str">
        <f t="shared" ref="J58" ca="1" si="65">IF(IFERROR(FIND("+",I58),0)," ",
IF(I58="AB","",
IF(I58&lt;$J$27,"F",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K58" s="24">
        <v>45</v>
      </c>
      <c r="L58" s="27" t="str">
        <f t="shared" ref="L58" ca="1" si="66">IF(IFERROR(FIND("+",K58),0)," ",
IF(K58="AB","",
IF(K58&lt;$L$27,"F",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M58" s="26">
        <v>21</v>
      </c>
      <c r="N58" s="27" t="str">
        <f t="shared" ref="N58" ca="1" si="67">IF(IFERROR(FIND("+",M58),0)," ",
IF(M58="AB","",
IF(M58&lt;$N$27,"F",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AG58&lt;&gt;"AB"),"","E"))))</f>
        <v/>
      </c>
      <c r="O58" s="26">
        <v>22</v>
      </c>
      <c r="P58" s="27" t="str">
        <f t="shared" ref="P58" ca="1" si="68">IF(IFERROR(FIND("+",O58),0)," ",
IF(O58="AB","",
IF(O58&lt;$P$27,"F",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Q58" s="24">
        <v>40</v>
      </c>
      <c r="R58" s="27" t="str">
        <f t="shared" ref="R58" ca="1" si="69">IF(IFERROR(FIND("+",Q58),0)," ",
IF(Q58="AB","",
IF(Q58&lt;$R$27,"F",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S58" s="26">
        <v>21</v>
      </c>
      <c r="T58" s="27" t="str">
        <f t="shared" ref="T58" ca="1" si="70">IF(IFERROR(FIND("+",S58),0)," ",
IF(S58="AB","",
IF(S58&lt;$T$27,"F",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U58" s="26">
        <v>19</v>
      </c>
      <c r="V58" s="27" t="str">
        <f t="shared" ref="V58" ca="1" si="71">IF(IFERROR(FIND("+",U58),0)," ",
IF(U58="AB","",
IF(U58&lt;$V$27,"F",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W58" s="24">
        <v>47</v>
      </c>
      <c r="X58" s="27" t="str">
        <f t="shared" ref="X58" ca="1" si="72">IF(IFERROR(FIND("+",W58),0)," ",
IF(W58="AB","",
IF(W58&lt;$X$27,"F",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Y58" s="26">
        <v>21</v>
      </c>
      <c r="Z58" s="27" t="str">
        <f t="shared" ref="Z58" ca="1" si="73">IF(IFERROR(FIND("+",Y58),0)," ",
IF(Y58="AB","",
IF(Y58&lt;$Z$27,"F",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AA58" s="26">
        <v>21</v>
      </c>
      <c r="AB58" s="27" t="str">
        <f t="shared" ref="AB58" ca="1" si="74">IF(IFERROR(FIND("+",AA58),0)," ",
IF(AA58="AB","",
IF(AA58&lt;$AB$27,"F",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AC58" s="24">
        <v>52</v>
      </c>
      <c r="AD58" s="27" t="str">
        <f t="shared" ref="AD58" ca="1" si="75">IF(IFERROR(FIND("+",AC58),0)," ",
IF(AC58="AB","",
IF(AC58&lt;$AD$27,"F",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AE58" s="26">
        <v>22</v>
      </c>
      <c r="AF58" s="27" t="str">
        <f t="shared" ref="AF58" ca="1" si="76">IF(IFERROR(FIND("+",AE58),0)," ",
IF(AE58="AB","",IF(AE58&lt;$AF$27,"F",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AG58&lt;&gt;"AB",AH58&lt;&gt;"AB"),"","E"))))</f>
        <v/>
      </c>
      <c r="AG58" s="26">
        <v>19</v>
      </c>
      <c r="AH58" s="27" t="str">
        <f t="shared" ref="AH58" ca="1" si="77">IF(IFERROR(FIND("+",AG58),0)," ",
IF(AG58="AB","",
IF(AG58&lt;$AH$27,"F",
IF(AND(C58&gt;=$D$27,E58&gt;=$F$27,G58&gt;=$H$27,
I58&gt;=$J$27,K58&gt;=$L$27,
M58&gt;=$N$27,O58&gt;=$P$27,Q58&gt;=$R$27,S58&gt;=$T$27,U58&gt;=$V$27,
W58&gt;=$X$27,Y58&gt;=$Z$27,AA58&gt;=$AB$27,AC58&gt;=$AD$27,AE58&gt;=$AF$27,
AG58&gt;=$AH$27,C58&lt;&gt;"AB",E58&lt;&gt;"AB",G58&lt;&gt;"AB",
I58&lt;&gt;"AB",K58&lt;&gt;"AB",
M58&lt;&gt;"AB",O58&lt;&gt;"AB",Q58&lt;&gt;"AB",S58&lt;&gt;"AB",U58&lt;&gt;"AB",
W58&lt;&gt;"AB",Y58&lt;&gt;"AB",AA58&lt;&gt;"AB",AC58&lt;&gt;"AB",AE58&lt;&gt;"AB",
AG58&lt;&gt;"AB"),"","E"))))</f>
        <v/>
      </c>
      <c r="AI58" s="41" t="s">
        <v>631</v>
      </c>
      <c r="AJ58" s="94" t="s">
        <v>632</v>
      </c>
      <c r="AK58" s="29">
        <f t="shared" ref="AK58" si="78">IF(IFERROR(FIND("x",AJ58),0),SUM(EXTRACTNUMBER(AI58),EXTRACTNUMBER(AJ58)),IF(AND(SUM(EXTRACTNUMBER(AI58),EXTRACTNUMBER(AJ58))&gt;1009,SUM(EXTRACTNUMBER(AI58),EXTRACTNUMBER(AJ58))&lt;1020),
CONCATENATE(SUM(EXTRACTNUMBER(AI58),EXTRACTNUMBER(AJ58)),"@",1020-SUM(EXTRACTNUMBER(AI58),EXTRACTNUMBER(AJ58))),
IF(AND(SUM(EXTRACTNUMBER(AI58),EXTRACTNUMBER(AJ58))&gt;839,   SUM(EXTRACTNUMBER(AI58),EXTRACTNUMBER(AJ58))&lt;850),CONCATENATE(SUM(EXTRACTNUMBER(AI58),EXTRACTNUMBER(AJ58)),"@",850-SUM(EXTRACTNUMBER(AI58),EXTRACTNUMBER(AJ58))),
IF(AND(SUM(EXTRACTNUMBER(AI58),EXTRACTNUMBER(AJ58))&gt;669,        SUM(EXTRACTNUMBER(AI58),EXTRACTNUMBER(AJ58))&lt;680),
CONCATENATE(SUM(EXTRACTNUMBER(AI58),EXTRACTNUMBER(AJ58)),"@",680-SUM(EXTRACTNUMBER(AI58),EXTRACTNUMBER(AJ58))),
SUM(EXTRACTNUMBER(AI58),EXTRACTNUMBER(AJ58))))))</f>
        <v>991</v>
      </c>
      <c r="AL58" s="29" t="str">
        <f t="shared" ref="AL58" ca="1" si="79">IF(AND(COUNTIF(C58:AH58,"AB")&lt;16-COUNTIF(C58:AH58," "),
COUNTIF(C58:AH58,"AB")&lt;&gt;0),"FAIL",
IF(COUNTIF(C58:AH58,"AB")=16-COUNTIF(C58:AH58," "),"ABSENT",
IF(AND(COUNTIF(C58:AH58,"AB")=0,COUNTIF(C58:AH58,"F")=0),"PASS","FAIL")))</f>
        <v>PASS</v>
      </c>
      <c r="AM58" s="30" t="str">
        <f ca="1">IF(AL58="ABSENT","AB",IF(AL58="FAIL","--",
IF(AJ58=0,"RS 3",
IF(AND(SUM(EXTRACTNUMBER(AJ58),EXTRACTNUMBER(AI58))&gt;=1010,
        NOT(IFERROR(FIND("x",AJ58),0)),
        NOT(IFERROR(FIND("x",AI58),0))),"I",
IF(AND(SUM(EXTRACTNUMBER(AJ58),EXTRACTNUMBER(AI58))&gt;=850,
      SUM(EXTRACTNUMBER(AJ58),EXTRACTNUMBER(AI58))&lt;1010,
      NOT(IFERROR(FIND("x",AJ58),0)),
      NOT(IFERROR(FIND("x",AI58),0))),"II",
IF(OR(AND(SUM(EXTRACTNUMBER(AJ58),EXTRACTNUMBER(AI58))&lt;850,
SUM(EXTRACTNUMBER(AJ58),EXTRACTNUMBER(AI58))&gt;=670),
IFERROR(FIND("x",AJ58),0),IFERROR(FIND("x",AI58),0)),"P","--"))))))</f>
        <v>P</v>
      </c>
      <c r="AN58" s="2" t="str">
        <f t="shared" ref="AN58" si="80">spellnumber(AK58)</f>
        <v xml:space="preserve">Nine Hundred NinetyOne </v>
      </c>
    </row>
    <row r="59" spans="1:40">
      <c r="A59" s="45">
        <v>134258</v>
      </c>
      <c r="B59" s="46" t="s">
        <v>81</v>
      </c>
      <c r="C59" s="74">
        <v>40</v>
      </c>
      <c r="D59" s="77" t="s">
        <v>397</v>
      </c>
      <c r="E59" s="76">
        <v>19</v>
      </c>
      <c r="F59" s="77" t="s">
        <v>397</v>
      </c>
      <c r="G59" s="76">
        <v>40</v>
      </c>
      <c r="H59" s="77" t="s">
        <v>397</v>
      </c>
      <c r="I59" s="76">
        <v>20</v>
      </c>
      <c r="J59" s="77" t="s">
        <v>397</v>
      </c>
      <c r="K59" s="76">
        <v>17</v>
      </c>
      <c r="L59" s="77" t="s">
        <v>398</v>
      </c>
      <c r="M59" s="76">
        <v>22</v>
      </c>
      <c r="N59" s="77" t="s">
        <v>397</v>
      </c>
      <c r="O59" s="76">
        <v>22</v>
      </c>
      <c r="P59" s="77" t="s">
        <v>397</v>
      </c>
      <c r="Q59" s="76">
        <v>43</v>
      </c>
      <c r="R59" s="77" t="s">
        <v>397</v>
      </c>
      <c r="S59" s="76">
        <v>21</v>
      </c>
      <c r="T59" s="77" t="s">
        <v>397</v>
      </c>
      <c r="U59" s="76">
        <v>16</v>
      </c>
      <c r="V59" s="77" t="s">
        <v>397</v>
      </c>
      <c r="W59" s="76">
        <v>54</v>
      </c>
      <c r="X59" s="77" t="s">
        <v>397</v>
      </c>
      <c r="Y59" s="76">
        <v>21</v>
      </c>
      <c r="Z59" s="77" t="s">
        <v>397</v>
      </c>
      <c r="AA59" s="76">
        <v>21</v>
      </c>
      <c r="AB59" s="77" t="s">
        <v>397</v>
      </c>
      <c r="AC59" s="76">
        <v>40</v>
      </c>
      <c r="AD59" s="77" t="s">
        <v>397</v>
      </c>
      <c r="AE59" s="76">
        <v>21</v>
      </c>
      <c r="AF59" s="77" t="s">
        <v>397</v>
      </c>
      <c r="AG59" s="76">
        <v>17</v>
      </c>
      <c r="AH59" s="77" t="s">
        <v>397</v>
      </c>
      <c r="AI59" s="32">
        <v>434</v>
      </c>
      <c r="AJ59" s="83" t="s">
        <v>608</v>
      </c>
      <c r="AK59" s="29">
        <v>900</v>
      </c>
      <c r="AL59" s="29" t="s">
        <v>399</v>
      </c>
      <c r="AM59" s="30" t="s">
        <v>400</v>
      </c>
      <c r="AN59" s="2" t="s">
        <v>609</v>
      </c>
    </row>
    <row r="60" spans="1:40">
      <c r="A60" s="45">
        <v>134259</v>
      </c>
      <c r="B60" s="46" t="s">
        <v>82</v>
      </c>
      <c r="C60" s="74">
        <v>53</v>
      </c>
      <c r="D60" s="77" t="s">
        <v>391</v>
      </c>
      <c r="E60" s="76">
        <v>19</v>
      </c>
      <c r="F60" s="77" t="s">
        <v>391</v>
      </c>
      <c r="G60" s="76">
        <v>60</v>
      </c>
      <c r="H60" s="77" t="s">
        <v>391</v>
      </c>
      <c r="I60" s="76">
        <v>20</v>
      </c>
      <c r="J60" s="77" t="s">
        <v>391</v>
      </c>
      <c r="K60" s="76">
        <v>57</v>
      </c>
      <c r="L60" s="77" t="s">
        <v>391</v>
      </c>
      <c r="M60" s="76">
        <v>18</v>
      </c>
      <c r="N60" s="77" t="s">
        <v>391</v>
      </c>
      <c r="O60" s="76">
        <v>19</v>
      </c>
      <c r="P60" s="77" t="s">
        <v>391</v>
      </c>
      <c r="Q60" s="76">
        <v>59</v>
      </c>
      <c r="R60" s="77" t="s">
        <v>391</v>
      </c>
      <c r="S60" s="76">
        <v>22</v>
      </c>
      <c r="T60" s="77" t="s">
        <v>391</v>
      </c>
      <c r="U60" s="76">
        <v>21</v>
      </c>
      <c r="V60" s="77" t="s">
        <v>391</v>
      </c>
      <c r="W60" s="76">
        <v>53</v>
      </c>
      <c r="X60" s="77" t="s">
        <v>391</v>
      </c>
      <c r="Y60" s="76">
        <v>20</v>
      </c>
      <c r="Z60" s="77" t="s">
        <v>391</v>
      </c>
      <c r="AA60" s="76">
        <v>21</v>
      </c>
      <c r="AB60" s="77" t="s">
        <v>391</v>
      </c>
      <c r="AC60" s="76">
        <v>52</v>
      </c>
      <c r="AD60" s="77" t="s">
        <v>391</v>
      </c>
      <c r="AE60" s="76">
        <v>20</v>
      </c>
      <c r="AF60" s="77" t="s">
        <v>391</v>
      </c>
      <c r="AG60" s="76">
        <v>18</v>
      </c>
      <c r="AH60" s="77" t="s">
        <v>391</v>
      </c>
      <c r="AI60" s="32">
        <v>532</v>
      </c>
      <c r="AJ60" s="28" t="s">
        <v>272</v>
      </c>
      <c r="AK60" s="29">
        <v>1095</v>
      </c>
      <c r="AL60" s="29" t="s">
        <v>392</v>
      </c>
      <c r="AM60" s="30" t="s">
        <v>395</v>
      </c>
      <c r="AN60" s="2" t="s">
        <v>443</v>
      </c>
    </row>
    <row r="61" spans="1:40">
      <c r="A61" s="45">
        <v>134260</v>
      </c>
      <c r="B61" s="46" t="s">
        <v>83</v>
      </c>
      <c r="C61" s="74">
        <v>27</v>
      </c>
      <c r="D61" s="77" t="s">
        <v>398</v>
      </c>
      <c r="E61" s="76">
        <v>15</v>
      </c>
      <c r="F61" s="77" t="s">
        <v>397</v>
      </c>
      <c r="G61" s="78" t="s">
        <v>601</v>
      </c>
      <c r="H61" s="77" t="s">
        <v>398</v>
      </c>
      <c r="I61" s="76">
        <v>23</v>
      </c>
      <c r="J61" s="77" t="s">
        <v>397</v>
      </c>
      <c r="K61" s="76">
        <v>40</v>
      </c>
      <c r="L61" s="77" t="s">
        <v>397</v>
      </c>
      <c r="M61" s="76">
        <v>22</v>
      </c>
      <c r="N61" s="77" t="s">
        <v>397</v>
      </c>
      <c r="O61" s="76">
        <v>22</v>
      </c>
      <c r="P61" s="77" t="s">
        <v>397</v>
      </c>
      <c r="Q61" s="76">
        <v>40</v>
      </c>
      <c r="R61" s="77" t="s">
        <v>397</v>
      </c>
      <c r="S61" s="76">
        <v>23</v>
      </c>
      <c r="T61" s="77" t="s">
        <v>397</v>
      </c>
      <c r="U61" s="76">
        <v>19</v>
      </c>
      <c r="V61" s="77" t="s">
        <v>397</v>
      </c>
      <c r="W61" s="76">
        <v>44</v>
      </c>
      <c r="X61" s="77" t="s">
        <v>397</v>
      </c>
      <c r="Y61" s="76">
        <v>23</v>
      </c>
      <c r="Z61" s="77" t="s">
        <v>397</v>
      </c>
      <c r="AA61" s="76">
        <v>22</v>
      </c>
      <c r="AB61" s="77" t="s">
        <v>397</v>
      </c>
      <c r="AC61" s="76">
        <v>28</v>
      </c>
      <c r="AD61" s="77" t="s">
        <v>398</v>
      </c>
      <c r="AE61" s="76">
        <v>23</v>
      </c>
      <c r="AF61" s="77" t="s">
        <v>397</v>
      </c>
      <c r="AG61" s="76">
        <v>14</v>
      </c>
      <c r="AH61" s="77" t="s">
        <v>397</v>
      </c>
      <c r="AI61" s="32">
        <v>391</v>
      </c>
      <c r="AJ61" s="83" t="s">
        <v>531</v>
      </c>
      <c r="AK61" s="29">
        <v>391</v>
      </c>
      <c r="AL61" s="29" t="s">
        <v>399</v>
      </c>
      <c r="AM61" s="30" t="s">
        <v>400</v>
      </c>
      <c r="AN61" s="2" t="s">
        <v>444</v>
      </c>
    </row>
    <row r="62" spans="1:40">
      <c r="A62" s="45">
        <v>134261</v>
      </c>
      <c r="B62" s="46" t="s">
        <v>84</v>
      </c>
      <c r="C62" s="74">
        <v>16</v>
      </c>
      <c r="D62" s="77" t="s">
        <v>398</v>
      </c>
      <c r="E62" s="76">
        <v>20</v>
      </c>
      <c r="F62" s="77" t="s">
        <v>397</v>
      </c>
      <c r="G62" s="76">
        <v>40</v>
      </c>
      <c r="H62" s="77" t="s">
        <v>397</v>
      </c>
      <c r="I62" s="76">
        <v>21</v>
      </c>
      <c r="J62" s="77" t="s">
        <v>397</v>
      </c>
      <c r="K62" s="76">
        <v>52</v>
      </c>
      <c r="L62" s="77" t="s">
        <v>397</v>
      </c>
      <c r="M62" s="76">
        <v>21</v>
      </c>
      <c r="N62" s="77" t="s">
        <v>397</v>
      </c>
      <c r="O62" s="76">
        <v>20</v>
      </c>
      <c r="P62" s="77" t="s">
        <v>397</v>
      </c>
      <c r="Q62" s="76">
        <v>45</v>
      </c>
      <c r="R62" s="77" t="s">
        <v>397</v>
      </c>
      <c r="S62" s="76">
        <v>21</v>
      </c>
      <c r="T62" s="77" t="s">
        <v>397</v>
      </c>
      <c r="U62" s="76">
        <v>16</v>
      </c>
      <c r="V62" s="77" t="s">
        <v>397</v>
      </c>
      <c r="W62" s="76">
        <v>60</v>
      </c>
      <c r="X62" s="77" t="s">
        <v>397</v>
      </c>
      <c r="Y62" s="76">
        <v>22</v>
      </c>
      <c r="Z62" s="77" t="s">
        <v>397</v>
      </c>
      <c r="AA62" s="76">
        <v>22</v>
      </c>
      <c r="AB62" s="77" t="s">
        <v>397</v>
      </c>
      <c r="AC62" s="76">
        <v>45</v>
      </c>
      <c r="AD62" s="77" t="s">
        <v>397</v>
      </c>
      <c r="AE62" s="76">
        <v>21</v>
      </c>
      <c r="AF62" s="77" t="s">
        <v>397</v>
      </c>
      <c r="AG62" s="76">
        <v>19</v>
      </c>
      <c r="AH62" s="77" t="s">
        <v>397</v>
      </c>
      <c r="AI62" s="32">
        <v>461</v>
      </c>
      <c r="AJ62" s="83" t="s">
        <v>531</v>
      </c>
      <c r="AK62" s="29">
        <v>461</v>
      </c>
      <c r="AL62" s="29" t="s">
        <v>399</v>
      </c>
      <c r="AM62" s="30" t="s">
        <v>400</v>
      </c>
      <c r="AN62" s="2" t="s">
        <v>445</v>
      </c>
    </row>
    <row r="63" spans="1:40">
      <c r="A63" s="45">
        <v>134262</v>
      </c>
      <c r="B63" s="46" t="s">
        <v>85</v>
      </c>
      <c r="C63" s="74">
        <v>40</v>
      </c>
      <c r="D63" s="77" t="s">
        <v>391</v>
      </c>
      <c r="E63" s="76">
        <v>17</v>
      </c>
      <c r="F63" s="77" t="s">
        <v>391</v>
      </c>
      <c r="G63" s="76">
        <v>69</v>
      </c>
      <c r="H63" s="77" t="s">
        <v>391</v>
      </c>
      <c r="I63" s="76">
        <v>19</v>
      </c>
      <c r="J63" s="77" t="s">
        <v>391</v>
      </c>
      <c r="K63" s="76">
        <v>44</v>
      </c>
      <c r="L63" s="77" t="s">
        <v>391</v>
      </c>
      <c r="M63" s="76">
        <v>17</v>
      </c>
      <c r="N63" s="77" t="s">
        <v>391</v>
      </c>
      <c r="O63" s="76">
        <v>17</v>
      </c>
      <c r="P63" s="77" t="s">
        <v>391</v>
      </c>
      <c r="Q63" s="76">
        <v>52</v>
      </c>
      <c r="R63" s="77" t="s">
        <v>391</v>
      </c>
      <c r="S63" s="76">
        <v>17</v>
      </c>
      <c r="T63" s="77" t="s">
        <v>391</v>
      </c>
      <c r="U63" s="76">
        <v>20</v>
      </c>
      <c r="V63" s="77" t="s">
        <v>391</v>
      </c>
      <c r="W63" s="76">
        <v>73</v>
      </c>
      <c r="X63" s="77" t="s">
        <v>391</v>
      </c>
      <c r="Y63" s="76">
        <v>21</v>
      </c>
      <c r="Z63" s="77" t="s">
        <v>391</v>
      </c>
      <c r="AA63" s="76">
        <v>21</v>
      </c>
      <c r="AB63" s="77" t="s">
        <v>391</v>
      </c>
      <c r="AC63" s="76">
        <v>57</v>
      </c>
      <c r="AD63" s="77" t="s">
        <v>391</v>
      </c>
      <c r="AE63" s="76">
        <v>19</v>
      </c>
      <c r="AF63" s="77" t="s">
        <v>391</v>
      </c>
      <c r="AG63" s="76">
        <v>19</v>
      </c>
      <c r="AH63" s="77" t="s">
        <v>391</v>
      </c>
      <c r="AI63" s="32">
        <v>522</v>
      </c>
      <c r="AJ63" s="28" t="s">
        <v>273</v>
      </c>
      <c r="AK63" s="29" t="s">
        <v>446</v>
      </c>
      <c r="AL63" s="29" t="s">
        <v>392</v>
      </c>
      <c r="AM63" s="30" t="s">
        <v>395</v>
      </c>
      <c r="AN63" s="2" t="e">
        <v>#VALUE!</v>
      </c>
    </row>
    <row r="64" spans="1:40">
      <c r="A64" s="45">
        <v>134263</v>
      </c>
      <c r="B64" s="46" t="s">
        <v>86</v>
      </c>
      <c r="C64" s="74">
        <v>58</v>
      </c>
      <c r="D64" s="77" t="s">
        <v>391</v>
      </c>
      <c r="E64" s="76">
        <v>20</v>
      </c>
      <c r="F64" s="77" t="s">
        <v>391</v>
      </c>
      <c r="G64" s="76">
        <v>59</v>
      </c>
      <c r="H64" s="77" t="s">
        <v>391</v>
      </c>
      <c r="I64" s="76">
        <v>21</v>
      </c>
      <c r="J64" s="77" t="s">
        <v>391</v>
      </c>
      <c r="K64" s="76">
        <v>51</v>
      </c>
      <c r="L64" s="77" t="s">
        <v>391</v>
      </c>
      <c r="M64" s="76">
        <v>16</v>
      </c>
      <c r="N64" s="77" t="s">
        <v>391</v>
      </c>
      <c r="O64" s="76">
        <v>17</v>
      </c>
      <c r="P64" s="77" t="s">
        <v>391</v>
      </c>
      <c r="Q64" s="76">
        <v>48</v>
      </c>
      <c r="R64" s="77" t="s">
        <v>391</v>
      </c>
      <c r="S64" s="76">
        <v>22</v>
      </c>
      <c r="T64" s="77" t="s">
        <v>391</v>
      </c>
      <c r="U64" s="76">
        <v>24</v>
      </c>
      <c r="V64" s="77" t="s">
        <v>391</v>
      </c>
      <c r="W64" s="76">
        <v>67</v>
      </c>
      <c r="X64" s="77" t="s">
        <v>391</v>
      </c>
      <c r="Y64" s="76">
        <v>22</v>
      </c>
      <c r="Z64" s="77" t="s">
        <v>391</v>
      </c>
      <c r="AA64" s="76">
        <v>21</v>
      </c>
      <c r="AB64" s="77" t="s">
        <v>391</v>
      </c>
      <c r="AC64" s="76">
        <v>55</v>
      </c>
      <c r="AD64" s="77" t="s">
        <v>391</v>
      </c>
      <c r="AE64" s="76">
        <v>19</v>
      </c>
      <c r="AF64" s="77" t="s">
        <v>391</v>
      </c>
      <c r="AG64" s="76">
        <v>21</v>
      </c>
      <c r="AH64" s="77" t="s">
        <v>391</v>
      </c>
      <c r="AI64" s="32">
        <v>541</v>
      </c>
      <c r="AJ64" s="28" t="s">
        <v>274</v>
      </c>
      <c r="AK64" s="29">
        <v>1113</v>
      </c>
      <c r="AL64" s="29" t="s">
        <v>392</v>
      </c>
      <c r="AM64" s="30" t="s">
        <v>395</v>
      </c>
      <c r="AN64" s="2" t="s">
        <v>447</v>
      </c>
    </row>
    <row r="65" spans="1:40">
      <c r="A65" s="45">
        <v>134264</v>
      </c>
      <c r="B65" s="46" t="s">
        <v>87</v>
      </c>
      <c r="C65" s="43">
        <v>21</v>
      </c>
      <c r="D65" s="27" t="str">
        <f t="shared" ref="D65" ca="1" si="81">IF(IFERROR(FIND("+",C65),0)," ",
IF(C65="AB","",
IF(C65&lt;$D$27,"F",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F</v>
      </c>
      <c r="E65" s="26">
        <v>17</v>
      </c>
      <c r="F65" s="27" t="str">
        <f t="shared" ref="F65" ca="1" si="82">IF(IFERROR(FIND("+",E65),0)," ",
IF(E65="AB","",
IF(E65&lt;$F$27,"F",
IF(AND(E65&gt;=$F$27,C65&gt;=$D$27,G65&gt;=$H$27,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G65" s="24">
        <v>63</v>
      </c>
      <c r="H65" s="27" t="str">
        <f t="shared" ref="H65" ca="1" si="83">IF(IFERROR(FIND("+",G65),0)," ",
IF(G65="AB","",
IF(G65&lt;$H$27,"F",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I65" s="26">
        <v>20</v>
      </c>
      <c r="J65" s="27" t="str">
        <f t="shared" ref="J65" ca="1" si="84">IF(IFERROR(FIND("+",I65),0)," ",
IF(I65="AB","",
IF(I65&lt;$J$27,"F",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K65" s="24">
        <v>49</v>
      </c>
      <c r="L65" s="27" t="str">
        <f t="shared" ref="L65" ca="1" si="85">IF(IFERROR(FIND("+",K65),0)," ",
IF(K65="AB","",
IF(K65&lt;$L$27,"F",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M65" s="26">
        <v>16</v>
      </c>
      <c r="N65" s="27" t="str">
        <f t="shared" ref="N65" ca="1" si="86">IF(IFERROR(FIND("+",M65),0)," ",
IF(M65="AB","",
IF(M65&lt;$N$27,"F",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AG65&lt;&gt;"AB"),"","E"))))</f>
        <v>E</v>
      </c>
      <c r="O65" s="26">
        <v>17</v>
      </c>
      <c r="P65" s="27" t="str">
        <f t="shared" ref="P65" ca="1" si="87">IF(IFERROR(FIND("+",O65),0)," ",
IF(O65="AB","",
IF(O65&lt;$P$27,"F",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Q65" s="24">
        <v>19</v>
      </c>
      <c r="R65" s="27" t="str">
        <f t="shared" ref="R65" ca="1" si="88">IF(IFERROR(FIND("+",Q65),0)," ",
IF(Q65="AB","",
IF(Q65&lt;$R$27,"F",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F</v>
      </c>
      <c r="S65" s="26">
        <v>17</v>
      </c>
      <c r="T65" s="27" t="str">
        <f t="shared" ref="T65" ca="1" si="89">IF(IFERROR(FIND("+",S65),0)," ",
IF(S65="AB","",
IF(S65&lt;$T$27,"F",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U65" s="26">
        <v>16</v>
      </c>
      <c r="V65" s="27" t="str">
        <f t="shared" ref="V65" ca="1" si="90">IF(IFERROR(FIND("+",U65),0)," ",
IF(U65="AB","",
IF(U65&lt;$V$27,"F",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W65" s="24">
        <v>40</v>
      </c>
      <c r="X65" s="27" t="str">
        <f t="shared" ref="X65" ca="1" si="91">IF(IFERROR(FIND("+",W65),0)," ",
IF(W65="AB","",
IF(W65&lt;$X$27,"F",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Y65" s="26">
        <v>22</v>
      </c>
      <c r="Z65" s="27" t="str">
        <f t="shared" ref="Z65" ca="1" si="92">IF(IFERROR(FIND("+",Y65),0)," ",
IF(Y65="AB","",
IF(Y65&lt;$Z$27,"F",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AA65" s="26">
        <v>21</v>
      </c>
      <c r="AB65" s="27" t="str">
        <f t="shared" ref="AB65" ca="1" si="93">IF(IFERROR(FIND("+",AA65),0)," ",
IF(AA65="AB","",
IF(AA65&lt;$AB$27,"F",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AC65" s="24">
        <v>47</v>
      </c>
      <c r="AD65" s="27" t="str">
        <f t="shared" ref="AD65" ca="1" si="94">IF(IFERROR(FIND("+",AC65),0)," ",
IF(AC65="AB","",
IF(AC65&lt;$AD$27,"F",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AE65" s="26">
        <v>18</v>
      </c>
      <c r="AF65" s="27" t="str">
        <f t="shared" ref="AF65" ca="1" si="95">IF(IFERROR(FIND("+",AE65),0)," ",
IF(AE65="AB","",IF(AE65&lt;$AF$27,"F",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AG65&lt;&gt;"AB",AH65&lt;&gt;"AB"),"","E"))))</f>
        <v>E</v>
      </c>
      <c r="AG65" s="26">
        <v>17</v>
      </c>
      <c r="AH65" s="27" t="str">
        <f t="shared" ref="AH65" ca="1" si="96">IF(IFERROR(FIND("+",AG65),0)," ",
IF(AG65="AB","",
IF(AG65&lt;$AH$27,"F",
IF(AND(C65&gt;=$D$27,E65&gt;=$F$27,G65&gt;=$H$27,
I65&gt;=$J$27,K65&gt;=$L$27,
M65&gt;=$N$27,O65&gt;=$P$27,Q65&gt;=$R$27,S65&gt;=$T$27,U65&gt;=$V$27,
W65&gt;=$X$27,Y65&gt;=$Z$27,AA65&gt;=$AB$27,AC65&gt;=$AD$27,AE65&gt;=$AF$27,
AG65&gt;=$AH$27,C65&lt;&gt;"AB",E65&lt;&gt;"AB",G65&lt;&gt;"AB",
I65&lt;&gt;"AB",K65&lt;&gt;"AB",
M65&lt;&gt;"AB",O65&lt;&gt;"AB",Q65&lt;&gt;"AB",S65&lt;&gt;"AB",U65&lt;&gt;"AB",
W65&lt;&gt;"AB",Y65&lt;&gt;"AB",AA65&lt;&gt;"AB",AC65&lt;&gt;"AB",AE65&lt;&gt;"AB",
AG65&lt;&gt;"AB"),"","E"))))</f>
        <v>E</v>
      </c>
      <c r="AI65" s="32">
        <f>IF(OR(AND(C65&gt;=31,C65&lt;40),AND(G65&gt;=31,G65&lt;40),AND(K65&gt;=31,K65&lt;40),AND(Q65&gt;=31,Q65&lt;40),AND(W65&gt;=31,W65&lt;40),AND(AC65&gt;=31,AC65&lt;40)),IF(AND(OR(COUNTIF(C65:AH65,"=31")&gt;=1,COUNTIF(C65:AH65,"=32")&gt;=1,COUNTIF(C65:AH65,"=33")&gt;=1,COUNTIF(C65:AH65,"=34")&gt;=1,COUNTIF(C65:AH65,"=35")&gt;=1,COUNTIF(C65:AH65,"=36")&gt;=1 ),COUNTIF(C65:AH65,"")=0,COUNTIF(C65:AH65," ")=0,COUNTIF(C65:AH65,"F")=1),CONCATENATE(SUM(EXTRACTNUMBER(C65),EXTRACTNUMBER(E65),
EXTRACTNUMBER(G65),EXTRACTNUMBER(I65),
EXTRACTNUMBER(K65),EXTRACTNUMBER(M65),
EXTRACTNUMBER(O65),EXTRACTNUMBER(Q65),
EXTRACTNUMBER(S65),EXTRACTNUMBER(U65),
EXTRACTNUMBER(W65),EXTRACTNUMBER(Y65),EXTRACTNUMBER(AA65),
EXTRACTNUMBER(AC65),EXTRACTNUMBER(AG65),EXTRACTNUMBER(AE65)),"*"),IF(AND(COUNTIF(C65:AH65,"=34")&gt;=1,COUNTIF(C65:AH65,"=35")&gt;=1,COUNTIF(C65:AH65,"f")=2,COUNTIF(C65:AH65,"")=0,COUNTIF(C65:AH65," ")=0),CONCATENATE(SUM(EXTRACTNUMBER(C65),EXTRACTNUMBER(E65),
EXTRACTNUMBER(G65),EXTRACTNUMBER(I65),
EXTRACTNUMBER(K65),EXTRACTNUMBER(M65),
EXTRACTNUMBER(O65),EXTRACTNUMBER(Q65),
EXTRACTNUMBER(S65),EXTRACTNUMBER(U65),
EXTRACTNUMBER(W65),EXTRACTNUMBER(Y65),EXTRACTNUMBER(AA65),
EXTRACTNUMBER(AC65),EXTRACTNUMBER(AG65),EXTRACTNUMBER(AE65)),"*"),IF(AND(COUNTIF(C65:AH65,"=36")&gt;=2,COUNTIF(C65:AH65,"f")=2,COUNTIF(C65:AH65,"")=0,COUNTIF(C65:AH65," ")=0),CONCATENATE(SUM(EXTRACTNUMBER(C65),EXTRACTNUMBER(E65),
EXTRACTNUMBER(G65),EXTRACTNUMBER(I65),
EXTRACTNUMBER(K65),EXTRACTNUMBER(M65),
EXTRACTNUMBER(O65),EXTRACTNUMBER(Q65),
EXTRACTNUMBER(S65),EXTRACTNUMBER(U65),
EXTRACTNUMBER(W65),EXTRACTNUMBER(Y65),EXTRACTNUMBER(AA65),
EXTRACTNUMBER(AC65),EXTRACTNUMBER(AG65),EXTRACTNUMBER(AE65)),"*"),SUM(EXTRACTNUMBER(C65),EXTRACTNUMBER(E65),
EXTRACTNUMBER(G65),EXTRACTNUMBER(I65),
EXTRACTNUMBER(K65),EXTRACTNUMBER(M65),
EXTRACTNUMBER(O65),EXTRACTNUMBER(Q65),
EXTRACTNUMBER(S65),EXTRACTNUMBER(U65),
EXTRACTNUMBER(W65),EXTRACTNUMBER(Y65),EXTRACTNUMBER(AA65),
EXTRACTNUMBER(AC65),EXTRACTNUMBER(AG65),EXTRACTNUMBER(AE65))))),SUM(EXTRACTNUMBER(C65),EXTRACTNUMBER(E65),
EXTRACTNUMBER(G65),EXTRACTNUMBER(I65),
EXTRACTNUMBER(K65),EXTRACTNUMBER(M65),
EXTRACTNUMBER(O65),EXTRACTNUMBER(Q65),
EXTRACTNUMBER(S65),EXTRACTNUMBER(U65),
EXTRACTNUMBER(W65),EXTRACTNUMBER(Y65),EXTRACTNUMBER(AA65),
EXTRACTNUMBER(AC65),EXTRACTNUMBER(AG65),EXTRACTNUMBER(AE65)))</f>
        <v>420</v>
      </c>
      <c r="AJ65" s="94" t="s">
        <v>624</v>
      </c>
      <c r="AK65" s="29">
        <f t="shared" ref="AK65" si="97">IF(IFERROR(FIND("x",AJ65),0),SUM(EXTRACTNUMBER(AI65),EXTRACTNUMBER(AJ65)),IF(AND(SUM(EXTRACTNUMBER(AI65),EXTRACTNUMBER(AJ65))&gt;1009,SUM(EXTRACTNUMBER(AI65),EXTRACTNUMBER(AJ65))&lt;1020),
CONCATENATE(SUM(EXTRACTNUMBER(AI65),EXTRACTNUMBER(AJ65)),"@",1020-SUM(EXTRACTNUMBER(AI65),EXTRACTNUMBER(AJ65))),
IF(AND(SUM(EXTRACTNUMBER(AI65),EXTRACTNUMBER(AJ65))&gt;839,   SUM(EXTRACTNUMBER(AI65),EXTRACTNUMBER(AJ65))&lt;850),CONCATENATE(SUM(EXTRACTNUMBER(AI65),EXTRACTNUMBER(AJ65)),"@",850-SUM(EXTRACTNUMBER(AI65),EXTRACTNUMBER(AJ65))),
IF(AND(SUM(EXTRACTNUMBER(AI65),EXTRACTNUMBER(AJ65))&gt;669,        SUM(EXTRACTNUMBER(AI65),EXTRACTNUMBER(AJ65))&lt;680),
CONCATENATE(SUM(EXTRACTNUMBER(AI65),EXTRACTNUMBER(AJ65)),"@",680-SUM(EXTRACTNUMBER(AI65),EXTRACTNUMBER(AJ65))),
SUM(EXTRACTNUMBER(AI65),EXTRACTNUMBER(AJ65))))))</f>
        <v>859</v>
      </c>
      <c r="AL65" s="29" t="str">
        <f t="shared" ref="AL65" ca="1" si="98">IF(AND(COUNTIF(C65:AH65,"AB")&lt;16-COUNTIF(C65:AH65," "),
COUNTIF(C65:AH65,"AB")&lt;&gt;0),"FAIL",
IF(COUNTIF(C65:AH65,"AB")=16-COUNTIF(C65:AH65," "),"ABSENT",
IF(AND(COUNTIF(C65:AH65,"AB")=0,COUNTIF(C65:AH65,"F")=0),"PASS","FAIL")))</f>
        <v>FAIL</v>
      </c>
      <c r="AM65" s="30" t="str">
        <f ca="1">IF(AL65="ABSENT","AB",IF(AL65="FAIL","--",
IF(AJ65=0,"RS 3",
IF(AND(SUM(EXTRACTNUMBER(AJ65),EXTRACTNUMBER(AI65))&gt;=1010,
        NOT(IFERROR(FIND("x",AJ65),0)),
        NOT(IFERROR(FIND("x",AI65),0))),"I",
IF(AND(SUM(EXTRACTNUMBER(AJ65),EXTRACTNUMBER(AI65))&gt;=850,
      SUM(EXTRACTNUMBER(AJ65),EXTRACTNUMBER(AI65))&lt;1010,
      NOT(IFERROR(FIND("x",AJ65),0)),
      NOT(IFERROR(FIND("x",AI65),0))),"II",
IF(OR(AND(SUM(EXTRACTNUMBER(AJ65),EXTRACTNUMBER(AI65))&lt;850,
SUM(EXTRACTNUMBER(AJ65),EXTRACTNUMBER(AI65))&gt;=670),
IFERROR(FIND("x",AJ65),0),IFERROR(FIND("x",AI65),0)),"P","--"))))))</f>
        <v>--</v>
      </c>
      <c r="AN65" s="2" t="str">
        <f t="shared" ref="AN65" si="99">spellnumber(AK65)</f>
        <v xml:space="preserve">Eight Hundred Fifty Nine </v>
      </c>
    </row>
    <row r="66" spans="1:40">
      <c r="A66" s="45">
        <v>134265</v>
      </c>
      <c r="B66" s="46" t="s">
        <v>88</v>
      </c>
      <c r="C66" s="43">
        <v>40</v>
      </c>
      <c r="D66" s="27" t="str">
        <f t="shared" ref="D66" ca="1" si="100">IF(IFERROR(FIND("+",C66),0)," ",
IF(C66="AB","",
IF(C66&lt;$D$27,"F",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E66" s="26">
        <v>17</v>
      </c>
      <c r="F66" s="27" t="str">
        <f t="shared" ref="F66" ca="1" si="101">IF(IFERROR(FIND("+",E66),0)," ",
IF(E66="AB","",
IF(E66&lt;$F$27,"F",
IF(AND(E66&gt;=$F$27,C66&gt;=$D$27,G66&gt;=$H$27,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G66" s="24">
        <v>42</v>
      </c>
      <c r="H66" s="27" t="str">
        <f t="shared" ref="H66" ca="1" si="102">IF(IFERROR(FIND("+",G66),0)," ",
IF(G66="AB","",
IF(G66&lt;$H$27,"F",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I66" s="26">
        <v>19</v>
      </c>
      <c r="J66" s="27" t="str">
        <f t="shared" ref="J66" ca="1" si="103">IF(IFERROR(FIND("+",I66),0)," ",
IF(I66="AB","",
IF(I66&lt;$J$27,"F",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K66" s="24">
        <v>52</v>
      </c>
      <c r="L66" s="27" t="str">
        <f t="shared" ref="L66" ca="1" si="104">IF(IFERROR(FIND("+",K66),0)," ",
IF(K66="AB","",
IF(K66&lt;$L$27,"F",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M66" s="26">
        <v>18</v>
      </c>
      <c r="N66" s="27" t="str">
        <f t="shared" ref="N66" ca="1" si="105">IF(IFERROR(FIND("+",M66),0)," ",
IF(M66="AB","",
IF(M66&lt;$N$27,"F",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AG66&lt;&gt;"AB"),"","E"))))</f>
        <v/>
      </c>
      <c r="O66" s="26">
        <v>17</v>
      </c>
      <c r="P66" s="27" t="str">
        <f t="shared" ref="P66" ca="1" si="106">IF(IFERROR(FIND("+",O66),0)," ",
IF(O66="AB","",
IF(O66&lt;$P$27,"F",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Q66" s="24">
        <v>42</v>
      </c>
      <c r="R66" s="27" t="str">
        <f t="shared" ref="R66" ca="1" si="107">IF(IFERROR(FIND("+",Q66),0)," ",
IF(Q66="AB","",
IF(Q66&lt;$R$27,"F",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S66" s="26">
        <v>15</v>
      </c>
      <c r="T66" s="27" t="str">
        <f t="shared" ref="T66" ca="1" si="108">IF(IFERROR(FIND("+",S66),0)," ",
IF(S66="AB","",
IF(S66&lt;$T$27,"F",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U66" s="26">
        <v>14</v>
      </c>
      <c r="V66" s="27" t="str">
        <f t="shared" ref="V66" ca="1" si="109">IF(IFERROR(FIND("+",U66),0)," ",
IF(U66="AB","",
IF(U66&lt;$V$27,"F",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W66" s="24">
        <v>47</v>
      </c>
      <c r="X66" s="27" t="str">
        <f t="shared" ref="X66" ca="1" si="110">IF(IFERROR(FIND("+",W66),0)," ",
IF(W66="AB","",
IF(W66&lt;$X$27,"F",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Y66" s="26">
        <v>21</v>
      </c>
      <c r="Z66" s="27" t="str">
        <f t="shared" ref="Z66" ca="1" si="111">IF(IFERROR(FIND("+",Y66),0)," ",
IF(Y66="AB","",
IF(Y66&lt;$Z$27,"F",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AA66" s="26">
        <v>21</v>
      </c>
      <c r="AB66" s="27" t="str">
        <f t="shared" ref="AB66" ca="1" si="112">IF(IFERROR(FIND("+",AA66),0)," ",
IF(AA66="AB","",
IF(AA66&lt;$AB$27,"F",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AC66" s="24">
        <v>47</v>
      </c>
      <c r="AD66" s="27" t="str">
        <f t="shared" ref="AD66" ca="1" si="113">IF(IFERROR(FIND("+",AC66),0)," ",
IF(AC66="AB","",
IF(AC66&lt;$AD$27,"F",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AE66" s="26">
        <v>22</v>
      </c>
      <c r="AF66" s="27" t="str">
        <f t="shared" ref="AF66" ca="1" si="114">IF(IFERROR(FIND("+",AE66),0)," ",
IF(AE66="AB","",IF(AE66&lt;$AF$27,"F",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AG66&lt;&gt;"AB",AH66&lt;&gt;"AB"),"","E"))))</f>
        <v/>
      </c>
      <c r="AG66" s="26">
        <v>18</v>
      </c>
      <c r="AH66" s="27" t="str">
        <f t="shared" ref="AH66" ca="1" si="115">IF(IFERROR(FIND("+",AG66),0)," ",
IF(AG66="AB","",
IF(AG66&lt;$AH$27,"F",
IF(AND(C66&gt;=$D$27,E66&gt;=$F$27,G66&gt;=$H$27,
I66&gt;=$J$27,K66&gt;=$L$27,
M66&gt;=$N$27,O66&gt;=$P$27,Q66&gt;=$R$27,S66&gt;=$T$27,U66&gt;=$V$27,
W66&gt;=$X$27,Y66&gt;=$Z$27,AA66&gt;=$AB$27,AC66&gt;=$AD$27,AE66&gt;=$AF$27,
AG66&gt;=$AH$27,C66&lt;&gt;"AB",E66&lt;&gt;"AB",G66&lt;&gt;"AB",
I66&lt;&gt;"AB",K66&lt;&gt;"AB",
M66&lt;&gt;"AB",O66&lt;&gt;"AB",Q66&lt;&gt;"AB",S66&lt;&gt;"AB",U66&lt;&gt;"AB",
W66&lt;&gt;"AB",Y66&lt;&gt;"AB",AA66&lt;&gt;"AB",AC66&lt;&gt;"AB",AE66&lt;&gt;"AB",
AG66&lt;&gt;"AB"),"","E"))))</f>
        <v/>
      </c>
      <c r="AI66" s="32">
        <f>IF(OR(AND(C66&gt;=31,C66&lt;40),AND(G66&gt;=31,G66&lt;40),AND(K66&gt;=31,K66&lt;40),AND(Q66&gt;=31,Q66&lt;40),AND(W66&gt;=31,W66&lt;40),AND(AC66&gt;=31,AC66&lt;40)),IF(AND(OR(COUNTIF(C66:AH66,"=31")&gt;=1,COUNTIF(C66:AH66,"=32")&gt;=1,COUNTIF(C66:AH66,"=33")&gt;=1,COUNTIF(C66:AH66,"=34")&gt;=1,COUNTIF(C66:AH66,"=35")&gt;=1,COUNTIF(C66:AH66,"=36")&gt;=1 ),COUNTIF(C66:AH66,"")=0,COUNTIF(C66:AH66," ")=0,COUNTIF(C66:AH66,"F")=1),CONCATENATE(SUM(EXTRACTNUMBER(C66),EXTRACTNUMBER(E66),
EXTRACTNUMBER(G66),EXTRACTNUMBER(I66),
EXTRACTNUMBER(K66),EXTRACTNUMBER(M66),
EXTRACTNUMBER(O66),EXTRACTNUMBER(Q66),
EXTRACTNUMBER(S66),EXTRACTNUMBER(U66),
EXTRACTNUMBER(W66),EXTRACTNUMBER(Y66),EXTRACTNUMBER(AA66),
EXTRACTNUMBER(AC66),EXTRACTNUMBER(AG66),EXTRACTNUMBER(AE66)),"*"),IF(AND(COUNTIF(C66:AH66,"=34")&gt;=1,COUNTIF(C66:AH66,"=35")&gt;=1,COUNTIF(C66:AH66,"f")=2,COUNTIF(C66:AH66,"")=0,COUNTIF(C66:AH66," ")=0),CONCATENATE(SUM(EXTRACTNUMBER(C66),EXTRACTNUMBER(E66),
EXTRACTNUMBER(G66),EXTRACTNUMBER(I66),
EXTRACTNUMBER(K66),EXTRACTNUMBER(M66),
EXTRACTNUMBER(O66),EXTRACTNUMBER(Q66),
EXTRACTNUMBER(S66),EXTRACTNUMBER(U66),
EXTRACTNUMBER(W66),EXTRACTNUMBER(Y66),EXTRACTNUMBER(AA66),
EXTRACTNUMBER(AC66),EXTRACTNUMBER(AG66),EXTRACTNUMBER(AE66)),"*"),IF(AND(COUNTIF(C66:AH66,"=36")&gt;=2,COUNTIF(C66:AH66,"f")=2,COUNTIF(C66:AH66,"")=0,COUNTIF(C66:AH66," ")=0),CONCATENATE(SUM(EXTRACTNUMBER(C66),EXTRACTNUMBER(E66),
EXTRACTNUMBER(G66),EXTRACTNUMBER(I66),
EXTRACTNUMBER(K66),EXTRACTNUMBER(M66),
EXTRACTNUMBER(O66),EXTRACTNUMBER(Q66),
EXTRACTNUMBER(S66),EXTRACTNUMBER(U66),
EXTRACTNUMBER(W66),EXTRACTNUMBER(Y66),EXTRACTNUMBER(AA66),
EXTRACTNUMBER(AC66),EXTRACTNUMBER(AG66),EXTRACTNUMBER(AE66)),"*"),SUM(EXTRACTNUMBER(C66),EXTRACTNUMBER(E66),
EXTRACTNUMBER(G66),EXTRACTNUMBER(I66),
EXTRACTNUMBER(K66),EXTRACTNUMBER(M66),
EXTRACTNUMBER(O66),EXTRACTNUMBER(Q66),
EXTRACTNUMBER(S66),EXTRACTNUMBER(U66),
EXTRACTNUMBER(W66),EXTRACTNUMBER(Y66),EXTRACTNUMBER(AA66),
EXTRACTNUMBER(AC66),EXTRACTNUMBER(AG66),EXTRACTNUMBER(AE66))))),SUM(EXTRACTNUMBER(C66),EXTRACTNUMBER(E66),
EXTRACTNUMBER(G66),EXTRACTNUMBER(I66),
EXTRACTNUMBER(K66),EXTRACTNUMBER(M66),
EXTRACTNUMBER(O66),EXTRACTNUMBER(Q66),
EXTRACTNUMBER(S66),EXTRACTNUMBER(U66),
EXTRACTNUMBER(W66),EXTRACTNUMBER(Y66),EXTRACTNUMBER(AA66),
EXTRACTNUMBER(AC66),EXTRACTNUMBER(AG66),EXTRACTNUMBER(AE66)))</f>
        <v>452</v>
      </c>
      <c r="AJ66" s="83" t="s">
        <v>577</v>
      </c>
      <c r="AK66" s="29">
        <f t="shared" ref="AK66" si="116">IF(IFERROR(FIND("x",AJ66),0),SUM(EXTRACTNUMBER(AI66),EXTRACTNUMBER(AJ66)),IF(AND(SUM(EXTRACTNUMBER(AI66),EXTRACTNUMBER(AJ66))&gt;1009,SUM(EXTRACTNUMBER(AI66),EXTRACTNUMBER(AJ66))&lt;1020),
CONCATENATE(SUM(EXTRACTNUMBER(AI66),EXTRACTNUMBER(AJ66)),"@",1020-SUM(EXTRACTNUMBER(AI66),EXTRACTNUMBER(AJ66))),
IF(AND(SUM(EXTRACTNUMBER(AI66),EXTRACTNUMBER(AJ66))&gt;839,   SUM(EXTRACTNUMBER(AI66),EXTRACTNUMBER(AJ66))&lt;850),CONCATENATE(SUM(EXTRACTNUMBER(AI66),EXTRACTNUMBER(AJ66)),"@",850-SUM(EXTRACTNUMBER(AI66),EXTRACTNUMBER(AJ66))),
IF(AND(SUM(EXTRACTNUMBER(AI66),EXTRACTNUMBER(AJ66))&gt;669,        SUM(EXTRACTNUMBER(AI66),EXTRACTNUMBER(AJ66))&lt;680),
CONCATENATE(SUM(EXTRACTNUMBER(AI66),EXTRACTNUMBER(AJ66)),"@",680-SUM(EXTRACTNUMBER(AI66),EXTRACTNUMBER(AJ66))),
SUM(EXTRACTNUMBER(AI66),EXTRACTNUMBER(AJ66))))))</f>
        <v>928</v>
      </c>
      <c r="AL66" s="29" t="str">
        <f t="shared" ref="AL66" ca="1" si="117">IF(AND(COUNTIF(C66:AH66,"AB")&lt;16-COUNTIF(C66:AH66," "),
COUNTIF(C66:AH66,"AB")&lt;&gt;0),"FAIL",
IF(COUNTIF(C66:AH66,"AB")=16-COUNTIF(C66:AH66," "),"ABSENT",
IF(AND(COUNTIF(C66:AH66,"AB")=0,COUNTIF(C66:AH66,"F")=0),"PASS","FAIL")))</f>
        <v>PASS</v>
      </c>
      <c r="AM66" s="30" t="str">
        <f ca="1">IF(AL66="ABSENT","AB",IF(AL66="FAIL","--",
IF(AJ66=0,"RS 3",
IF(AND(SUM(EXTRACTNUMBER(AJ66),EXTRACTNUMBER(AI66))&gt;=1010,
        NOT(IFERROR(FIND("x",AJ66),0)),
        NOT(IFERROR(FIND("x",AI66),0))),"I",
IF(AND(SUM(EXTRACTNUMBER(AJ66),EXTRACTNUMBER(AI66))&gt;=850,
      SUM(EXTRACTNUMBER(AJ66),EXTRACTNUMBER(AI66))&lt;1010,
      NOT(IFERROR(FIND("x",AJ66),0)),
      NOT(IFERROR(FIND("x",AI66),0))),"II",
IF(OR(AND(SUM(EXTRACTNUMBER(AJ66),EXTRACTNUMBER(AI66))&lt;850,
SUM(EXTRACTNUMBER(AJ66),EXTRACTNUMBER(AI66))&gt;=670),
IFERROR(FIND("x",AJ66),0),IFERROR(FIND("x",AI66),0)),"P","--"))))))</f>
        <v>P</v>
      </c>
      <c r="AN66" s="2" t="str">
        <f t="shared" ref="AN66" si="118">spellnumber(AK66)</f>
        <v xml:space="preserve">Nine Hundred Twenty Eight </v>
      </c>
    </row>
    <row r="67" spans="1:40">
      <c r="A67" s="45">
        <v>134266</v>
      </c>
      <c r="B67" s="46" t="s">
        <v>89</v>
      </c>
      <c r="C67" s="74">
        <v>48</v>
      </c>
      <c r="D67" s="77" t="s">
        <v>391</v>
      </c>
      <c r="E67" s="76">
        <v>18</v>
      </c>
      <c r="F67" s="77" t="s">
        <v>391</v>
      </c>
      <c r="G67" s="76">
        <v>67</v>
      </c>
      <c r="H67" s="77" t="s">
        <v>391</v>
      </c>
      <c r="I67" s="76">
        <v>17</v>
      </c>
      <c r="J67" s="77" t="s">
        <v>391</v>
      </c>
      <c r="K67" s="76">
        <v>50</v>
      </c>
      <c r="L67" s="77" t="s">
        <v>391</v>
      </c>
      <c r="M67" s="76">
        <v>17</v>
      </c>
      <c r="N67" s="77" t="s">
        <v>391</v>
      </c>
      <c r="O67" s="76">
        <v>18</v>
      </c>
      <c r="P67" s="77" t="s">
        <v>391</v>
      </c>
      <c r="Q67" s="76">
        <v>40</v>
      </c>
      <c r="R67" s="77" t="s">
        <v>391</v>
      </c>
      <c r="S67" s="76">
        <v>15</v>
      </c>
      <c r="T67" s="77" t="s">
        <v>391</v>
      </c>
      <c r="U67" s="76">
        <v>20</v>
      </c>
      <c r="V67" s="77" t="s">
        <v>391</v>
      </c>
      <c r="W67" s="76">
        <v>52</v>
      </c>
      <c r="X67" s="77" t="s">
        <v>391</v>
      </c>
      <c r="Y67" s="76">
        <v>20</v>
      </c>
      <c r="Z67" s="77" t="s">
        <v>391</v>
      </c>
      <c r="AA67" s="76">
        <v>21</v>
      </c>
      <c r="AB67" s="77" t="s">
        <v>391</v>
      </c>
      <c r="AC67" s="76">
        <v>44</v>
      </c>
      <c r="AD67" s="77" t="s">
        <v>391</v>
      </c>
      <c r="AE67" s="76">
        <v>19</v>
      </c>
      <c r="AF67" s="77" t="s">
        <v>391</v>
      </c>
      <c r="AG67" s="76">
        <v>17</v>
      </c>
      <c r="AH67" s="77" t="s">
        <v>391</v>
      </c>
      <c r="AI67" s="32">
        <v>483</v>
      </c>
      <c r="AJ67" s="28" t="s">
        <v>275</v>
      </c>
      <c r="AK67" s="29">
        <v>959</v>
      </c>
      <c r="AL67" s="29" t="s">
        <v>392</v>
      </c>
      <c r="AM67" s="30" t="s">
        <v>422</v>
      </c>
      <c r="AN67" s="2" t="s">
        <v>449</v>
      </c>
    </row>
    <row r="68" spans="1:40">
      <c r="A68" s="45">
        <v>134267</v>
      </c>
      <c r="B68" s="46" t="s">
        <v>90</v>
      </c>
      <c r="C68" s="74">
        <v>28</v>
      </c>
      <c r="D68" s="77" t="s">
        <v>398</v>
      </c>
      <c r="E68" s="76">
        <v>20</v>
      </c>
      <c r="F68" s="77" t="s">
        <v>397</v>
      </c>
      <c r="G68" s="76">
        <v>56</v>
      </c>
      <c r="H68" s="77" t="s">
        <v>397</v>
      </c>
      <c r="I68" s="76">
        <v>19</v>
      </c>
      <c r="J68" s="77" t="s">
        <v>397</v>
      </c>
      <c r="K68" s="76">
        <v>41</v>
      </c>
      <c r="L68" s="77" t="s">
        <v>397</v>
      </c>
      <c r="M68" s="76">
        <v>17</v>
      </c>
      <c r="N68" s="77" t="s">
        <v>397</v>
      </c>
      <c r="O68" s="76">
        <v>18</v>
      </c>
      <c r="P68" s="77" t="s">
        <v>397</v>
      </c>
      <c r="Q68" s="76">
        <v>40</v>
      </c>
      <c r="R68" s="77" t="s">
        <v>397</v>
      </c>
      <c r="S68" s="76">
        <v>17</v>
      </c>
      <c r="T68" s="77" t="s">
        <v>397</v>
      </c>
      <c r="U68" s="76">
        <v>17</v>
      </c>
      <c r="V68" s="77" t="s">
        <v>397</v>
      </c>
      <c r="W68" s="76">
        <v>40</v>
      </c>
      <c r="X68" s="77" t="s">
        <v>397</v>
      </c>
      <c r="Y68" s="76">
        <v>21</v>
      </c>
      <c r="Z68" s="77" t="s">
        <v>397</v>
      </c>
      <c r="AA68" s="76">
        <v>21</v>
      </c>
      <c r="AB68" s="77" t="s">
        <v>397</v>
      </c>
      <c r="AC68" s="76">
        <v>29</v>
      </c>
      <c r="AD68" s="77" t="s">
        <v>398</v>
      </c>
      <c r="AE68" s="76">
        <v>22</v>
      </c>
      <c r="AF68" s="77" t="s">
        <v>397</v>
      </c>
      <c r="AG68" s="76">
        <v>20</v>
      </c>
      <c r="AH68" s="77" t="s">
        <v>397</v>
      </c>
      <c r="AI68" s="32">
        <v>426</v>
      </c>
      <c r="AJ68" s="83" t="s">
        <v>531</v>
      </c>
      <c r="AK68" s="29">
        <v>426</v>
      </c>
      <c r="AL68" s="29" t="s">
        <v>399</v>
      </c>
      <c r="AM68" s="30" t="s">
        <v>400</v>
      </c>
      <c r="AN68" s="2" t="s">
        <v>450</v>
      </c>
    </row>
    <row r="69" spans="1:40">
      <c r="A69" s="45">
        <v>134268</v>
      </c>
      <c r="B69" s="46" t="s">
        <v>91</v>
      </c>
      <c r="C69" s="74">
        <v>26</v>
      </c>
      <c r="D69" s="77" t="s">
        <v>398</v>
      </c>
      <c r="E69" s="76">
        <v>15</v>
      </c>
      <c r="F69" s="77" t="s">
        <v>397</v>
      </c>
      <c r="G69" s="76">
        <v>45</v>
      </c>
      <c r="H69" s="77" t="s">
        <v>397</v>
      </c>
      <c r="I69" s="76">
        <v>18</v>
      </c>
      <c r="J69" s="77" t="s">
        <v>397</v>
      </c>
      <c r="K69" s="76">
        <v>25</v>
      </c>
      <c r="L69" s="77" t="s">
        <v>398</v>
      </c>
      <c r="M69" s="76">
        <v>17</v>
      </c>
      <c r="N69" s="77" t="s">
        <v>397</v>
      </c>
      <c r="O69" s="76">
        <v>17</v>
      </c>
      <c r="P69" s="77" t="s">
        <v>397</v>
      </c>
      <c r="Q69" s="76">
        <v>33</v>
      </c>
      <c r="R69" s="77" t="s">
        <v>398</v>
      </c>
      <c r="S69" s="76">
        <v>17</v>
      </c>
      <c r="T69" s="77" t="s">
        <v>397</v>
      </c>
      <c r="U69" s="76">
        <v>16</v>
      </c>
      <c r="V69" s="77" t="s">
        <v>397</v>
      </c>
      <c r="W69" s="76">
        <v>32</v>
      </c>
      <c r="X69" s="77" t="s">
        <v>398</v>
      </c>
      <c r="Y69" s="76">
        <v>21</v>
      </c>
      <c r="Z69" s="77" t="s">
        <v>397</v>
      </c>
      <c r="AA69" s="76">
        <v>22</v>
      </c>
      <c r="AB69" s="77" t="s">
        <v>397</v>
      </c>
      <c r="AC69" s="76">
        <v>44</v>
      </c>
      <c r="AD69" s="77" t="s">
        <v>397</v>
      </c>
      <c r="AE69" s="76">
        <v>20</v>
      </c>
      <c r="AF69" s="77" t="s">
        <v>397</v>
      </c>
      <c r="AG69" s="76">
        <v>14</v>
      </c>
      <c r="AH69" s="77" t="s">
        <v>397</v>
      </c>
      <c r="AI69" s="32">
        <v>382</v>
      </c>
      <c r="AJ69" s="83" t="s">
        <v>531</v>
      </c>
      <c r="AK69" s="29">
        <v>382</v>
      </c>
      <c r="AL69" s="29" t="s">
        <v>399</v>
      </c>
      <c r="AM69" s="30" t="s">
        <v>400</v>
      </c>
      <c r="AN69" s="2" t="s">
        <v>451</v>
      </c>
    </row>
    <row r="70" spans="1:40">
      <c r="A70" s="45">
        <v>134269</v>
      </c>
      <c r="B70" s="46" t="s">
        <v>92</v>
      </c>
      <c r="C70" s="43">
        <v>50</v>
      </c>
      <c r="D70" s="27" t="str">
        <f t="shared" ref="D70" ca="1" si="119">IF(IFERROR(FIND("+",C70),0)," ",
IF(C70="AB","",
IF(C70&lt;$D$27,"F",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E70" s="26">
        <v>24</v>
      </c>
      <c r="F70" s="27" t="str">
        <f t="shared" ref="F70" ca="1" si="120">IF(IFERROR(FIND("+",E70),0)," ",
IF(E70="AB","",
IF(E70&lt;$F$27,"F",
IF(AND(E70&gt;=$F$27,C70&gt;=$D$27,G70&gt;=$H$27,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G70" s="24">
        <v>55</v>
      </c>
      <c r="H70" s="27" t="str">
        <f t="shared" ref="H70" ca="1" si="121">IF(IFERROR(FIND("+",G70),0)," ",
IF(G70="AB","",
IF(G70&lt;$H$27,"F",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I70" s="26">
        <v>23</v>
      </c>
      <c r="J70" s="27" t="str">
        <f t="shared" ref="J70" ca="1" si="122">IF(IFERROR(FIND("+",I70),0)," ",
IF(I70="AB","",
IF(I70&lt;$J$27,"F",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K70" s="24">
        <v>40</v>
      </c>
      <c r="L70" s="27" t="str">
        <f t="shared" ref="L70" ca="1" si="123">IF(IFERROR(FIND("+",K70),0)," ",
IF(K70="AB","",
IF(K70&lt;$L$27,"F",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M70" s="26">
        <v>22</v>
      </c>
      <c r="N70" s="27" t="str">
        <f t="shared" ref="N70" ca="1" si="124">IF(IFERROR(FIND("+",M70),0)," ",
IF(M70="AB","",
IF(M70&lt;$N$27,"F",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AG70&lt;&gt;"AB"),"","E"))))</f>
        <v/>
      </c>
      <c r="O70" s="26">
        <v>23</v>
      </c>
      <c r="P70" s="27" t="str">
        <f t="shared" ref="P70" ca="1" si="125">IF(IFERROR(FIND("+",O70),0)," ",
IF(O70="AB","",
IF(O70&lt;$P$27,"F",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Q70" s="24">
        <v>41</v>
      </c>
      <c r="R70" s="27" t="str">
        <f t="shared" ref="R70" ca="1" si="126">IF(IFERROR(FIND("+",Q70),0)," ",
IF(Q70="AB","",
IF(Q70&lt;$R$27,"F",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S70" s="26">
        <v>24</v>
      </c>
      <c r="T70" s="27" t="str">
        <f t="shared" ref="T70" ca="1" si="127">IF(IFERROR(FIND("+",S70),0)," ",
IF(S70="AB","",
IF(S70&lt;$T$27,"F",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U70" s="26">
        <v>20</v>
      </c>
      <c r="V70" s="27" t="str">
        <f t="shared" ref="V70" ca="1" si="128">IF(IFERROR(FIND("+",U70),0)," ",
IF(U70="AB","",
IF(U70&lt;$V$27,"F",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W70" s="24">
        <v>41</v>
      </c>
      <c r="X70" s="27" t="str">
        <f t="shared" ref="X70" ca="1" si="129">IF(IFERROR(FIND("+",W70),0)," ",
IF(W70="AB","",
IF(W70&lt;$X$27,"F",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Y70" s="26">
        <v>20</v>
      </c>
      <c r="Z70" s="27" t="str">
        <f t="shared" ref="Z70" ca="1" si="130">IF(IFERROR(FIND("+",Y70),0)," ",
IF(Y70="AB","",
IF(Y70&lt;$Z$27,"F",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AA70" s="26">
        <v>21</v>
      </c>
      <c r="AB70" s="27" t="str">
        <f t="shared" ref="AB70" ca="1" si="131">IF(IFERROR(FIND("+",AA70),0)," ",
IF(AA70="AB","",
IF(AA70&lt;$AB$27,"F",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AC70" s="40" t="s">
        <v>307</v>
      </c>
      <c r="AD70" s="27" t="str">
        <f t="shared" ref="AD70" ca="1" si="132">IF(IFERROR(FIND("+",AC70),0)," ",
IF(AC70="AB","",
IF(AC70&lt;$AD$27,"F",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AE70" s="26">
        <v>21</v>
      </c>
      <c r="AF70" s="27" t="str">
        <f t="shared" ref="AF70" ca="1" si="133">IF(IFERROR(FIND("+",AE70),0)," ",
IF(AE70="AB","",IF(AE70&lt;$AF$27,"F",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AG70&lt;&gt;"AB",AH70&lt;&gt;"AB"),"","E"))))</f>
        <v/>
      </c>
      <c r="AG70" s="26">
        <v>18</v>
      </c>
      <c r="AH70" s="27" t="str">
        <f t="shared" ref="AH70" ca="1" si="134">IF(IFERROR(FIND("+",AG70),0)," ",
IF(AG70="AB","",
IF(AG70&lt;$AH$27,"F",
IF(AND(C70&gt;=$D$27,E70&gt;=$F$27,G70&gt;=$H$27,
I70&gt;=$J$27,K70&gt;=$L$27,
M70&gt;=$N$27,O70&gt;=$P$27,Q70&gt;=$R$27,S70&gt;=$T$27,U70&gt;=$V$27,
W70&gt;=$X$27,Y70&gt;=$Z$27,AA70&gt;=$AB$27,AC70&gt;=$AD$27,AE70&gt;=$AF$27,
AG70&gt;=$AH$27,C70&lt;&gt;"AB",E70&lt;&gt;"AB",G70&lt;&gt;"AB",
I70&lt;&gt;"AB",K70&lt;&gt;"AB",
M70&lt;&gt;"AB",O70&lt;&gt;"AB",Q70&lt;&gt;"AB",S70&lt;&gt;"AB",U70&lt;&gt;"AB",
W70&lt;&gt;"AB",Y70&lt;&gt;"AB",AA70&lt;&gt;"AB",AC70&lt;&gt;"AB",AE70&lt;&gt;"AB",
AG70&lt;&gt;"AB"),"","E"))))</f>
        <v/>
      </c>
      <c r="AI70" s="32">
        <f>IF(OR(AND(C70&gt;=31,C70&lt;40),AND(G70&gt;=31,G70&lt;40),AND(K70&gt;=31,K70&lt;40),AND(Q70&gt;=31,Q70&lt;40),AND(W70&gt;=31,W70&lt;40),AND(AC70&gt;=31,AC70&lt;40)),IF(AND(OR(COUNTIF(C70:AH70,"=31")&gt;=1,COUNTIF(C70:AH70,"=32")&gt;=1,COUNTIF(C70:AH70,"=33")&gt;=1,COUNTIF(C70:AH70,"=34")&gt;=1,COUNTIF(C70:AH70,"=35")&gt;=1,COUNTIF(C70:AH70,"=36")&gt;=1 ),COUNTIF(C70:AH70,"")=0,COUNTIF(C70:AH70," ")=0,COUNTIF(C70:AH70,"F")=1),CONCATENATE(SUM(EXTRACTNUMBER(C70),EXTRACTNUMBER(E70),
EXTRACTNUMBER(G70),EXTRACTNUMBER(I70),
EXTRACTNUMBER(K70),EXTRACTNUMBER(M70),
EXTRACTNUMBER(O70),EXTRACTNUMBER(Q70),
EXTRACTNUMBER(S70),EXTRACTNUMBER(U70),
EXTRACTNUMBER(W70),EXTRACTNUMBER(Y70),EXTRACTNUMBER(AA70),
EXTRACTNUMBER(AC70),EXTRACTNUMBER(AG70),EXTRACTNUMBER(AE70)),"*"),IF(AND(COUNTIF(C70:AH70,"=34")&gt;=1,COUNTIF(C70:AH70,"=35")&gt;=1,COUNTIF(C70:AH70,"f")=2,COUNTIF(C70:AH70,"")=0,COUNTIF(C70:AH70," ")=0),CONCATENATE(SUM(EXTRACTNUMBER(C70),EXTRACTNUMBER(E70),
EXTRACTNUMBER(G70),EXTRACTNUMBER(I70),
EXTRACTNUMBER(K70),EXTRACTNUMBER(M70),
EXTRACTNUMBER(O70),EXTRACTNUMBER(Q70),
EXTRACTNUMBER(S70),EXTRACTNUMBER(U70),
EXTRACTNUMBER(W70),EXTRACTNUMBER(Y70),EXTRACTNUMBER(AA70),
EXTRACTNUMBER(AC70),EXTRACTNUMBER(AG70),EXTRACTNUMBER(AE70)),"*"),IF(AND(COUNTIF(C70:AH70,"=36")&gt;=2,COUNTIF(C70:AH70,"f")=2,COUNTIF(C70:AH70,"")=0,COUNTIF(C70:AH70," ")=0),CONCATENATE(SUM(EXTRACTNUMBER(C70),EXTRACTNUMBER(E70),
EXTRACTNUMBER(G70),EXTRACTNUMBER(I70),
EXTRACTNUMBER(K70),EXTRACTNUMBER(M70),
EXTRACTNUMBER(O70),EXTRACTNUMBER(Q70),
EXTRACTNUMBER(S70),EXTRACTNUMBER(U70),
EXTRACTNUMBER(W70),EXTRACTNUMBER(Y70),EXTRACTNUMBER(AA70),
EXTRACTNUMBER(AC70),EXTRACTNUMBER(AG70),EXTRACTNUMBER(AE70)),"*"),SUM(EXTRACTNUMBER(C70),EXTRACTNUMBER(E70),
EXTRACTNUMBER(G70),EXTRACTNUMBER(I70),
EXTRACTNUMBER(K70),EXTRACTNUMBER(M70),
EXTRACTNUMBER(O70),EXTRACTNUMBER(Q70),
EXTRACTNUMBER(S70),EXTRACTNUMBER(U70),
EXTRACTNUMBER(W70),EXTRACTNUMBER(Y70),EXTRACTNUMBER(AA70),
EXTRACTNUMBER(AC70),EXTRACTNUMBER(AG70),EXTRACTNUMBER(AE70))))),SUM(EXTRACTNUMBER(C70),EXTRACTNUMBER(E70),
EXTRACTNUMBER(G70),EXTRACTNUMBER(I70),
EXTRACTNUMBER(K70),EXTRACTNUMBER(M70),
EXTRACTNUMBER(O70),EXTRACTNUMBER(Q70),
EXTRACTNUMBER(S70),EXTRACTNUMBER(U70),
EXTRACTNUMBER(W70),EXTRACTNUMBER(Y70),EXTRACTNUMBER(AA70),
EXTRACTNUMBER(AC70),EXTRACTNUMBER(AG70),EXTRACTNUMBER(AE70)))</f>
        <v>476</v>
      </c>
      <c r="AJ70" s="94" t="s">
        <v>580</v>
      </c>
      <c r="AK70" s="29">
        <f t="shared" ref="AK70" si="135">IF(IFERROR(FIND("x",AJ70),0),SUM(EXTRACTNUMBER(AI70),EXTRACTNUMBER(AJ70)),IF(AND(SUM(EXTRACTNUMBER(AI70),EXTRACTNUMBER(AJ70))&gt;1009,SUM(EXTRACTNUMBER(AI70),EXTRACTNUMBER(AJ70))&lt;1020),
CONCATENATE(SUM(EXTRACTNUMBER(AI70),EXTRACTNUMBER(AJ70)),"@",1020-SUM(EXTRACTNUMBER(AI70),EXTRACTNUMBER(AJ70))),
IF(AND(SUM(EXTRACTNUMBER(AI70),EXTRACTNUMBER(AJ70))&gt;839,   SUM(EXTRACTNUMBER(AI70),EXTRACTNUMBER(AJ70))&lt;850),CONCATENATE(SUM(EXTRACTNUMBER(AI70),EXTRACTNUMBER(AJ70)),"@",850-SUM(EXTRACTNUMBER(AI70),EXTRACTNUMBER(AJ70))),
IF(AND(SUM(EXTRACTNUMBER(AI70),EXTRACTNUMBER(AJ70))&gt;669,        SUM(EXTRACTNUMBER(AI70),EXTRACTNUMBER(AJ70))&lt;680),
CONCATENATE(SUM(EXTRACTNUMBER(AI70),EXTRACTNUMBER(AJ70)),"@",680-SUM(EXTRACTNUMBER(AI70),EXTRACTNUMBER(AJ70))),
SUM(EXTRACTNUMBER(AI70),EXTRACTNUMBER(AJ70))))))</f>
        <v>994</v>
      </c>
      <c r="AL70" s="29" t="str">
        <f t="shared" ref="AL70" ca="1" si="136">IF(AND(COUNTIF(C70:AH70,"AB")&lt;16-COUNTIF(C70:AH70," "),
COUNTIF(C70:AH70,"AB")&lt;&gt;0),"FAIL",
IF(COUNTIF(C70:AH70,"AB")=16-COUNTIF(C70:AH70," "),"ABSENT",
IF(AND(COUNTIF(C70:AH70,"AB")=0,COUNTIF(C70:AH70,"F")=0),"PASS","FAIL")))</f>
        <v>PASS</v>
      </c>
      <c r="AM70" s="30" t="str">
        <f ca="1">IF(AL70="ABSENT","AB",IF(AL70="FAIL","--",
IF(AJ70=0,"RS 3",
IF(AND(SUM(EXTRACTNUMBER(AJ70),EXTRACTNUMBER(AI70))&gt;=1010,
        NOT(IFERROR(FIND("x",AJ70),0)),
        NOT(IFERROR(FIND("x",AI70),0))),"I",
IF(AND(SUM(EXTRACTNUMBER(AJ70),EXTRACTNUMBER(AI70))&gt;=850,
      SUM(EXTRACTNUMBER(AJ70),EXTRACTNUMBER(AI70))&lt;1010,
      NOT(IFERROR(FIND("x",AJ70),0)),
      NOT(IFERROR(FIND("x",AI70),0))),"II",
IF(OR(AND(SUM(EXTRACTNUMBER(AJ70),EXTRACTNUMBER(AI70))&lt;850,
SUM(EXTRACTNUMBER(AJ70),EXTRACTNUMBER(AI70))&gt;=670),
IFERROR(FIND("x",AJ70),0),IFERROR(FIND("x",AI70),0)),"P","--"))))))</f>
        <v>P</v>
      </c>
      <c r="AN70" s="2" t="str">
        <f t="shared" ref="AN70" si="137">spellnumber(AK70)</f>
        <v xml:space="preserve">Nine Hundred NinetyFour </v>
      </c>
    </row>
    <row r="71" spans="1:40">
      <c r="A71" s="45">
        <v>134270</v>
      </c>
      <c r="B71" s="46" t="s">
        <v>93</v>
      </c>
      <c r="C71" s="106" t="s">
        <v>627</v>
      </c>
      <c r="D71" s="27" t="str">
        <f t="shared" ref="D71" ca="1" si="138">IF(IFERROR(FIND("+",C71),0)," ",
IF(C71="AB","",
IF(C71&lt;$D$27,"F",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E71" s="26">
        <v>15</v>
      </c>
      <c r="F71" s="27" t="str">
        <f t="shared" ref="F71" ca="1" si="139">IF(IFERROR(FIND("+",E71),0)," ",
IF(E71="AB","",
IF(E71&lt;$F$27,"F",
IF(AND(E71&gt;=$F$27,C71&gt;=$D$27,G71&gt;=$H$27,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G71" s="24">
        <v>43</v>
      </c>
      <c r="H71" s="27" t="str">
        <f t="shared" ref="H71" ca="1" si="140">IF(IFERROR(FIND("+",G71),0)," ",
IF(G71="AB","",
IF(G71&lt;$H$27,"F",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I71" s="26">
        <v>16</v>
      </c>
      <c r="J71" s="27" t="str">
        <f t="shared" ref="J71" ca="1" si="141">IF(IFERROR(FIND("+",I71),0)," ",
IF(I71="AB","",
IF(I71&lt;$J$27,"F",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K71" s="24">
        <v>58</v>
      </c>
      <c r="L71" s="27" t="str">
        <f t="shared" ref="L71" ca="1" si="142">IF(IFERROR(FIND("+",K71),0)," ",
IF(K71="AB","",
IF(K71&lt;$L$27,"F",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M71" s="26">
        <v>17</v>
      </c>
      <c r="N71" s="27" t="str">
        <f t="shared" ref="N71" ca="1" si="143">IF(IFERROR(FIND("+",M71),0)," ",
IF(M71="AB","",
IF(M71&lt;$N$27,"F",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AG71&lt;&gt;"AB"),"","E"))))</f>
        <v/>
      </c>
      <c r="O71" s="26">
        <v>17</v>
      </c>
      <c r="P71" s="27" t="str">
        <f t="shared" ref="P71" ca="1" si="144">IF(IFERROR(FIND("+",O71),0)," ",
IF(O71="AB","",
IF(O71&lt;$P$27,"F",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Q71" s="24">
        <v>63</v>
      </c>
      <c r="R71" s="27" t="str">
        <f t="shared" ref="R71" ca="1" si="145">IF(IFERROR(FIND("+",Q71),0)," ",
IF(Q71="AB","",
IF(Q71&lt;$R$27,"F",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S71" s="26">
        <v>17</v>
      </c>
      <c r="T71" s="27" t="str">
        <f t="shared" ref="T71" ca="1" si="146">IF(IFERROR(FIND("+",S71),0)," ",
IF(S71="AB","",
IF(S71&lt;$T$27,"F",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U71" s="26">
        <v>20</v>
      </c>
      <c r="V71" s="27" t="str">
        <f t="shared" ref="V71" ca="1" si="147">IF(IFERROR(FIND("+",U71),0)," ",
IF(U71="AB","",
IF(U71&lt;$V$27,"F",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W71" s="24">
        <v>51</v>
      </c>
      <c r="X71" s="27" t="str">
        <f t="shared" ref="X71" ca="1" si="148">IF(IFERROR(FIND("+",W71),0)," ",
IF(W71="AB","",
IF(W71&lt;$X$27,"F",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Y71" s="26">
        <v>21</v>
      </c>
      <c r="Z71" s="27" t="str">
        <f t="shared" ref="Z71" ca="1" si="149">IF(IFERROR(FIND("+",Y71),0)," ",
IF(Y71="AB","",
IF(Y71&lt;$Z$27,"F",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AA71" s="26">
        <v>22</v>
      </c>
      <c r="AB71" s="27" t="str">
        <f t="shared" ref="AB71" ca="1" si="150">IF(IFERROR(FIND("+",AA71),0)," ",
IF(AA71="AB","",
IF(AA71&lt;$AB$27,"F",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AC71" s="24">
        <v>54</v>
      </c>
      <c r="AD71" s="27" t="str">
        <f t="shared" ref="AD71" ca="1" si="151">IF(IFERROR(FIND("+",AC71),0)," ",
IF(AC71="AB","",
IF(AC71&lt;$AD$27,"F",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AE71" s="26">
        <v>19</v>
      </c>
      <c r="AF71" s="27" t="str">
        <f t="shared" ref="AF71" ca="1" si="152">IF(IFERROR(FIND("+",AE71),0)," ",
IF(AE71="AB","",IF(AE71&lt;$AF$27,"F",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AG71&lt;&gt;"AB",AH71&lt;&gt;"AB"),"","E"))))</f>
        <v/>
      </c>
      <c r="AG71" s="26">
        <v>16</v>
      </c>
      <c r="AH71" s="27" t="str">
        <f t="shared" ref="AH71" ca="1" si="153">IF(IFERROR(FIND("+",AG71),0)," ",
IF(AG71="AB","",
IF(AG71&lt;$AH$27,"F",
IF(AND(C71&gt;=$D$27,E71&gt;=$F$27,G71&gt;=$H$27,
I71&gt;=$J$27,K71&gt;=$L$27,
M71&gt;=$N$27,O71&gt;=$P$27,Q71&gt;=$R$27,S71&gt;=$T$27,U71&gt;=$V$27,
W71&gt;=$X$27,Y71&gt;=$Z$27,AA71&gt;=$AB$27,AC71&gt;=$AD$27,AE71&gt;=$AF$27,
AG71&gt;=$AH$27,C71&lt;&gt;"AB",E71&lt;&gt;"AB",G71&lt;&gt;"AB",
I71&lt;&gt;"AB",K71&lt;&gt;"AB",
M71&lt;&gt;"AB",O71&lt;&gt;"AB",Q71&lt;&gt;"AB",S71&lt;&gt;"AB",U71&lt;&gt;"AB",
W71&lt;&gt;"AB",Y71&lt;&gt;"AB",AA71&lt;&gt;"AB",AC71&lt;&gt;"AB",AE71&lt;&gt;"AB",
AG71&lt;&gt;"AB"),"","E"))))</f>
        <v/>
      </c>
      <c r="AI71" s="41" t="s">
        <v>628</v>
      </c>
      <c r="AJ71" s="28">
        <v>0</v>
      </c>
      <c r="AK71" s="29">
        <f t="shared" ref="AK71" si="154">IF(IFERROR(FIND("x",AJ71),0),SUM(EXTRACTNUMBER(AI71),EXTRACTNUMBER(AJ71)),IF(AND(SUM(EXTRACTNUMBER(AI71),EXTRACTNUMBER(AJ71))&gt;1009,SUM(EXTRACTNUMBER(AI71),EXTRACTNUMBER(AJ71))&lt;1020),
CONCATENATE(SUM(EXTRACTNUMBER(AI71),EXTRACTNUMBER(AJ71)),"@",1020-SUM(EXTRACTNUMBER(AI71),EXTRACTNUMBER(AJ71))),
IF(AND(SUM(EXTRACTNUMBER(AI71),EXTRACTNUMBER(AJ71))&gt;839,   SUM(EXTRACTNUMBER(AI71),EXTRACTNUMBER(AJ71))&lt;850),CONCATENATE(SUM(EXTRACTNUMBER(AI71),EXTRACTNUMBER(AJ71)),"@",850-SUM(EXTRACTNUMBER(AI71),EXTRACTNUMBER(AJ71))),
IF(AND(SUM(EXTRACTNUMBER(AI71),EXTRACTNUMBER(AJ71))&gt;669,        SUM(EXTRACTNUMBER(AI71),EXTRACTNUMBER(AJ71))&lt;680),
CONCATENATE(SUM(EXTRACTNUMBER(AI71),EXTRACTNUMBER(AJ71)),"@",680-SUM(EXTRACTNUMBER(AI71),EXTRACTNUMBER(AJ71))),
SUM(EXTRACTNUMBER(AI71),EXTRACTNUMBER(AJ71))))))</f>
        <v>480</v>
      </c>
      <c r="AL71" s="29" t="str">
        <f t="shared" ref="AL71" ca="1" si="155">IF(AND(COUNTIF(C71:AH71,"AB")&lt;16-COUNTIF(C71:AH71," "),
COUNTIF(C71:AH71,"AB")&lt;&gt;0),"FAIL",
IF(COUNTIF(C71:AH71,"AB")=16-COUNTIF(C71:AH71," "),"ABSENT",
IF(AND(COUNTIF(C71:AH71,"AB")=0,COUNTIF(C71:AH71,"F")=0),"PASS","FAIL")))</f>
        <v>PASS</v>
      </c>
      <c r="AM71" s="30" t="str">
        <f ca="1">IF(AL71="ABSENT","AB",IF(AL71="FAIL","--",
IF(AJ71=0,"RS 3",
IF(AND(SUM(EXTRACTNUMBER(AJ71),EXTRACTNUMBER(AI71))&gt;=1010,
        NOT(IFERROR(FIND("x",AJ71),0)),
        NOT(IFERROR(FIND("x",AI71),0))),"I",
IF(AND(SUM(EXTRACTNUMBER(AJ71),EXTRACTNUMBER(AI71))&gt;=850,
      SUM(EXTRACTNUMBER(AJ71),EXTRACTNUMBER(AI71))&lt;1010,
      NOT(IFERROR(FIND("x",AJ71),0)),
      NOT(IFERROR(FIND("x",AI71),0))),"II",
IF(OR(AND(SUM(EXTRACTNUMBER(AJ71),EXTRACTNUMBER(AI71))&lt;850,
SUM(EXTRACTNUMBER(AJ71),EXTRACTNUMBER(AI71))&gt;=670),
IFERROR(FIND("x",AJ71),0),IFERROR(FIND("x",AI71),0)),"P","--"))))))</f>
        <v>RS 3</v>
      </c>
      <c r="AN71" s="2" t="str">
        <f t="shared" ref="AN71" si="156">spellnumber(AK71)</f>
        <v xml:space="preserve">Four Hundred Eighty  </v>
      </c>
    </row>
    <row r="72" spans="1:40">
      <c r="A72" s="45">
        <v>134271</v>
      </c>
      <c r="B72" s="46" t="s">
        <v>94</v>
      </c>
      <c r="C72" s="74">
        <v>40</v>
      </c>
      <c r="D72" s="77" t="s">
        <v>391</v>
      </c>
      <c r="E72" s="76">
        <v>18</v>
      </c>
      <c r="F72" s="77" t="s">
        <v>391</v>
      </c>
      <c r="G72" s="76">
        <v>73</v>
      </c>
      <c r="H72" s="77" t="s">
        <v>391</v>
      </c>
      <c r="I72" s="76">
        <v>20</v>
      </c>
      <c r="J72" s="77" t="s">
        <v>391</v>
      </c>
      <c r="K72" s="76">
        <v>60</v>
      </c>
      <c r="L72" s="77" t="s">
        <v>391</v>
      </c>
      <c r="M72" s="76">
        <v>17</v>
      </c>
      <c r="N72" s="77" t="s">
        <v>391</v>
      </c>
      <c r="O72" s="76">
        <v>18</v>
      </c>
      <c r="P72" s="77" t="s">
        <v>391</v>
      </c>
      <c r="Q72" s="76">
        <v>51</v>
      </c>
      <c r="R72" s="77" t="s">
        <v>391</v>
      </c>
      <c r="S72" s="76">
        <v>20</v>
      </c>
      <c r="T72" s="77" t="s">
        <v>391</v>
      </c>
      <c r="U72" s="76">
        <v>20</v>
      </c>
      <c r="V72" s="77" t="s">
        <v>391</v>
      </c>
      <c r="W72" s="76">
        <v>63</v>
      </c>
      <c r="X72" s="77" t="s">
        <v>391</v>
      </c>
      <c r="Y72" s="76">
        <v>20</v>
      </c>
      <c r="Z72" s="77" t="s">
        <v>391</v>
      </c>
      <c r="AA72" s="76">
        <v>20</v>
      </c>
      <c r="AB72" s="77" t="s">
        <v>391</v>
      </c>
      <c r="AC72" s="76">
        <v>41</v>
      </c>
      <c r="AD72" s="77" t="s">
        <v>391</v>
      </c>
      <c r="AE72" s="76">
        <v>19</v>
      </c>
      <c r="AF72" s="77" t="s">
        <v>391</v>
      </c>
      <c r="AG72" s="76">
        <v>18</v>
      </c>
      <c r="AH72" s="77" t="s">
        <v>391</v>
      </c>
      <c r="AI72" s="32">
        <v>518</v>
      </c>
      <c r="AJ72" s="83" t="s">
        <v>581</v>
      </c>
      <c r="AK72" s="29">
        <v>956</v>
      </c>
      <c r="AL72" s="29" t="s">
        <v>392</v>
      </c>
      <c r="AM72" s="30" t="s">
        <v>15</v>
      </c>
      <c r="AN72" s="2" t="s">
        <v>611</v>
      </c>
    </row>
    <row r="73" spans="1:40">
      <c r="A73" s="45">
        <v>134272</v>
      </c>
      <c r="B73" s="46" t="s">
        <v>95</v>
      </c>
      <c r="C73" s="74">
        <v>54</v>
      </c>
      <c r="D73" s="77" t="s">
        <v>391</v>
      </c>
      <c r="E73" s="76">
        <v>18</v>
      </c>
      <c r="F73" s="77" t="s">
        <v>391</v>
      </c>
      <c r="G73" s="76">
        <v>71</v>
      </c>
      <c r="H73" s="77" t="s">
        <v>391</v>
      </c>
      <c r="I73" s="76">
        <v>19</v>
      </c>
      <c r="J73" s="77" t="s">
        <v>391</v>
      </c>
      <c r="K73" s="76">
        <v>54</v>
      </c>
      <c r="L73" s="77" t="s">
        <v>391</v>
      </c>
      <c r="M73" s="76">
        <v>16</v>
      </c>
      <c r="N73" s="77" t="s">
        <v>391</v>
      </c>
      <c r="O73" s="76">
        <v>17</v>
      </c>
      <c r="P73" s="77" t="s">
        <v>391</v>
      </c>
      <c r="Q73" s="76">
        <v>47</v>
      </c>
      <c r="R73" s="77" t="s">
        <v>391</v>
      </c>
      <c r="S73" s="76">
        <v>20</v>
      </c>
      <c r="T73" s="77" t="s">
        <v>391</v>
      </c>
      <c r="U73" s="76">
        <v>20</v>
      </c>
      <c r="V73" s="77" t="s">
        <v>391</v>
      </c>
      <c r="W73" s="76">
        <v>75</v>
      </c>
      <c r="X73" s="77" t="s">
        <v>391</v>
      </c>
      <c r="Y73" s="76">
        <v>20</v>
      </c>
      <c r="Z73" s="77" t="s">
        <v>391</v>
      </c>
      <c r="AA73" s="76">
        <v>21</v>
      </c>
      <c r="AB73" s="77" t="s">
        <v>391</v>
      </c>
      <c r="AC73" s="76">
        <v>66</v>
      </c>
      <c r="AD73" s="77" t="s">
        <v>391</v>
      </c>
      <c r="AE73" s="76">
        <v>18</v>
      </c>
      <c r="AF73" s="77" t="s">
        <v>391</v>
      </c>
      <c r="AG73" s="76">
        <v>19</v>
      </c>
      <c r="AH73" s="77" t="s">
        <v>391</v>
      </c>
      <c r="AI73" s="32">
        <v>555</v>
      </c>
      <c r="AJ73" s="28" t="s">
        <v>276</v>
      </c>
      <c r="AK73" s="29">
        <v>1083</v>
      </c>
      <c r="AL73" s="29" t="s">
        <v>392</v>
      </c>
      <c r="AM73" s="30" t="s">
        <v>395</v>
      </c>
      <c r="AN73" s="2" t="s">
        <v>453</v>
      </c>
    </row>
    <row r="74" spans="1:40">
      <c r="A74" s="45">
        <v>134273</v>
      </c>
      <c r="B74" s="46" t="s">
        <v>96</v>
      </c>
      <c r="C74" s="74">
        <v>41</v>
      </c>
      <c r="D74" s="77" t="s">
        <v>391</v>
      </c>
      <c r="E74" s="76">
        <v>17</v>
      </c>
      <c r="F74" s="77" t="s">
        <v>391</v>
      </c>
      <c r="G74" s="76">
        <v>70</v>
      </c>
      <c r="H74" s="77" t="s">
        <v>391</v>
      </c>
      <c r="I74" s="76">
        <v>19</v>
      </c>
      <c r="J74" s="77" t="s">
        <v>391</v>
      </c>
      <c r="K74" s="76">
        <v>65</v>
      </c>
      <c r="L74" s="77" t="s">
        <v>391</v>
      </c>
      <c r="M74" s="76">
        <v>16</v>
      </c>
      <c r="N74" s="77" t="s">
        <v>391</v>
      </c>
      <c r="O74" s="76">
        <v>16</v>
      </c>
      <c r="P74" s="77" t="s">
        <v>391</v>
      </c>
      <c r="Q74" s="76">
        <v>51</v>
      </c>
      <c r="R74" s="77" t="s">
        <v>391</v>
      </c>
      <c r="S74" s="76">
        <v>20</v>
      </c>
      <c r="T74" s="77" t="s">
        <v>391</v>
      </c>
      <c r="U74" s="76">
        <v>19</v>
      </c>
      <c r="V74" s="77" t="s">
        <v>391</v>
      </c>
      <c r="W74" s="76">
        <v>62</v>
      </c>
      <c r="X74" s="77" t="s">
        <v>391</v>
      </c>
      <c r="Y74" s="76">
        <v>22</v>
      </c>
      <c r="Z74" s="77" t="s">
        <v>391</v>
      </c>
      <c r="AA74" s="76">
        <v>22</v>
      </c>
      <c r="AB74" s="77" t="s">
        <v>391</v>
      </c>
      <c r="AC74" s="76">
        <v>56</v>
      </c>
      <c r="AD74" s="77" t="s">
        <v>391</v>
      </c>
      <c r="AE74" s="76">
        <v>20</v>
      </c>
      <c r="AF74" s="77" t="s">
        <v>391</v>
      </c>
      <c r="AG74" s="76">
        <v>23</v>
      </c>
      <c r="AH74" s="77" t="s">
        <v>391</v>
      </c>
      <c r="AI74" s="32">
        <v>539</v>
      </c>
      <c r="AJ74" s="28" t="s">
        <v>277</v>
      </c>
      <c r="AK74" s="29">
        <v>1064</v>
      </c>
      <c r="AL74" s="29" t="s">
        <v>392</v>
      </c>
      <c r="AM74" s="30" t="s">
        <v>395</v>
      </c>
      <c r="AN74" s="2" t="s">
        <v>454</v>
      </c>
    </row>
    <row r="75" spans="1:40">
      <c r="A75" s="45">
        <v>134274</v>
      </c>
      <c r="B75" s="46" t="s">
        <v>97</v>
      </c>
      <c r="C75" s="43">
        <v>22</v>
      </c>
      <c r="D75" s="27" t="str">
        <f t="shared" ref="D75" ca="1" si="157">IF(IFERROR(FIND("+",C75),0)," ",
IF(C75="AB","",
IF(C75&lt;$D$27,"F",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F</v>
      </c>
      <c r="E75" s="26">
        <v>18</v>
      </c>
      <c r="F75" s="27" t="str">
        <f t="shared" ref="F75" ca="1" si="158">IF(IFERROR(FIND("+",E75),0)," ",
IF(E75="AB","",
IF(E75&lt;$F$27,"F",
IF(AND(E75&gt;=$F$27,C75&gt;=$D$27,G75&gt;=$H$27,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G75" s="24">
        <v>50</v>
      </c>
      <c r="H75" s="27" t="str">
        <f t="shared" ref="H75" ca="1" si="159">IF(IFERROR(FIND("+",G75),0)," ",
IF(G75="AB","",
IF(G75&lt;$H$27,"F",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I75" s="26">
        <v>19</v>
      </c>
      <c r="J75" s="27" t="str">
        <f t="shared" ref="J75" ca="1" si="160">IF(IFERROR(FIND("+",I75),0)," ",
IF(I75="AB","",
IF(I75&lt;$J$27,"F",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K75" s="24">
        <v>60</v>
      </c>
      <c r="L75" s="27" t="str">
        <f t="shared" ref="L75" ca="1" si="161">IF(IFERROR(FIND("+",K75),0)," ",
IF(K75="AB","",
IF(K75&lt;$L$27,"F",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M75" s="26">
        <v>18</v>
      </c>
      <c r="N75" s="27" t="str">
        <f t="shared" ref="N75" ca="1" si="162">IF(IFERROR(FIND("+",M75),0)," ",
IF(M75="AB","",
IF(M75&lt;$N$27,"F",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AG75&lt;&gt;"AB"),"","E"))))</f>
        <v>E</v>
      </c>
      <c r="O75" s="26">
        <v>19</v>
      </c>
      <c r="P75" s="27" t="str">
        <f t="shared" ref="P75" ca="1" si="163">IF(IFERROR(FIND("+",O75),0)," ",
IF(O75="AB","",
IF(O75&lt;$P$27,"F",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Q75" s="24">
        <v>25</v>
      </c>
      <c r="R75" s="27" t="str">
        <f t="shared" ref="R75" ca="1" si="164">IF(IFERROR(FIND("+",Q75),0)," ",
IF(Q75="AB","",
IF(Q75&lt;$R$27,"F",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F</v>
      </c>
      <c r="S75" s="26">
        <v>21</v>
      </c>
      <c r="T75" s="27" t="str">
        <f t="shared" ref="T75" ca="1" si="165">IF(IFERROR(FIND("+",S75),0)," ",
IF(S75="AB","",
IF(S75&lt;$T$27,"F",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U75" s="26">
        <v>16</v>
      </c>
      <c r="V75" s="27" t="str">
        <f t="shared" ref="V75" ca="1" si="166">IF(IFERROR(FIND("+",U75),0)," ",
IF(U75="AB","",
IF(U75&lt;$V$27,"F",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W75" s="24">
        <v>48</v>
      </c>
      <c r="X75" s="27" t="str">
        <f t="shared" ref="X75" ca="1" si="167">IF(IFERROR(FIND("+",W75),0)," ",
IF(W75="AB","",
IF(W75&lt;$X$27,"F",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Y75" s="26">
        <v>21</v>
      </c>
      <c r="Z75" s="27" t="str">
        <f t="shared" ref="Z75" ca="1" si="168">IF(IFERROR(FIND("+",Y75),0)," ",
IF(Y75="AB","",
IF(Y75&lt;$Z$27,"F",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AA75" s="26">
        <v>21</v>
      </c>
      <c r="AB75" s="27" t="str">
        <f t="shared" ref="AB75" ca="1" si="169">IF(IFERROR(FIND("+",AA75),0)," ",
IF(AA75="AB","",
IF(AA75&lt;$AB$27,"F",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AC75" s="24">
        <v>46</v>
      </c>
      <c r="AD75" s="27" t="str">
        <f t="shared" ref="AD75" ca="1" si="170">IF(IFERROR(FIND("+",AC75),0)," ",
IF(AC75="AB","",
IF(AC75&lt;$AD$27,"F",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AE75" s="26">
        <v>22</v>
      </c>
      <c r="AF75" s="27" t="str">
        <f t="shared" ref="AF75" ca="1" si="171">IF(IFERROR(FIND("+",AE75),0)," ",
IF(AE75="AB","",IF(AE75&lt;$AF$27,"F",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AG75&lt;&gt;"AB",AH75&lt;&gt;"AB"),"","E"))))</f>
        <v>E</v>
      </c>
      <c r="AG75" s="26">
        <v>18</v>
      </c>
      <c r="AH75" s="27" t="str">
        <f t="shared" ref="AH75" ca="1" si="172">IF(IFERROR(FIND("+",AG75),0)," ",
IF(AG75="AB","",
IF(AG75&lt;$AH$27,"F",
IF(AND(C75&gt;=$D$27,E75&gt;=$F$27,G75&gt;=$H$27,
I75&gt;=$J$27,K75&gt;=$L$27,
M75&gt;=$N$27,O75&gt;=$P$27,Q75&gt;=$R$27,S75&gt;=$T$27,U75&gt;=$V$27,
W75&gt;=$X$27,Y75&gt;=$Z$27,AA75&gt;=$AB$27,AC75&gt;=$AD$27,AE75&gt;=$AF$27,
AG75&gt;=$AH$27,C75&lt;&gt;"AB",E75&lt;&gt;"AB",G75&lt;&gt;"AB",
I75&lt;&gt;"AB",K75&lt;&gt;"AB",
M75&lt;&gt;"AB",O75&lt;&gt;"AB",Q75&lt;&gt;"AB",S75&lt;&gt;"AB",U75&lt;&gt;"AB",
W75&lt;&gt;"AB",Y75&lt;&gt;"AB",AA75&lt;&gt;"AB",AC75&lt;&gt;"AB",AE75&lt;&gt;"AB",
AG75&lt;&gt;"AB"),"","E"))))</f>
        <v>E</v>
      </c>
      <c r="AI75" s="32">
        <f>IF(OR(AND(C75&gt;=31,C75&lt;40),AND(G75&gt;=31,G75&lt;40),AND(K75&gt;=31,K75&lt;40),AND(Q75&gt;=31,Q75&lt;40),AND(W75&gt;=31,W75&lt;40),AND(AC75&gt;=31,AC75&lt;40)),IF(AND(OR(COUNTIF(C75:AH75,"=31")&gt;=1,COUNTIF(C75:AH75,"=32")&gt;=1,COUNTIF(C75:AH75,"=33")&gt;=1,COUNTIF(C75:AH75,"=34")&gt;=1,COUNTIF(C75:AH75,"=35")&gt;=1,COUNTIF(C75:AH75,"=36")&gt;=1 ),COUNTIF(C75:AH75,"")=0,COUNTIF(C75:AH75," ")=0,COUNTIF(C75:AH75,"F")=1),CONCATENATE(SUM(EXTRACTNUMBER(C75),EXTRACTNUMBER(E75),
EXTRACTNUMBER(G75),EXTRACTNUMBER(I75),
EXTRACTNUMBER(K75),EXTRACTNUMBER(M75),
EXTRACTNUMBER(O75),EXTRACTNUMBER(Q75),
EXTRACTNUMBER(S75),EXTRACTNUMBER(U75),
EXTRACTNUMBER(W75),EXTRACTNUMBER(Y75),EXTRACTNUMBER(AA75),
EXTRACTNUMBER(AC75),EXTRACTNUMBER(AG75),EXTRACTNUMBER(AE75)),"*"),IF(AND(COUNTIF(C75:AH75,"=34")&gt;=1,COUNTIF(C75:AH75,"=35")&gt;=1,COUNTIF(C75:AH75,"f")=2,COUNTIF(C75:AH75,"")=0,COUNTIF(C75:AH75," ")=0),CONCATENATE(SUM(EXTRACTNUMBER(C75),EXTRACTNUMBER(E75),
EXTRACTNUMBER(G75),EXTRACTNUMBER(I75),
EXTRACTNUMBER(K75),EXTRACTNUMBER(M75),
EXTRACTNUMBER(O75),EXTRACTNUMBER(Q75),
EXTRACTNUMBER(S75),EXTRACTNUMBER(U75),
EXTRACTNUMBER(W75),EXTRACTNUMBER(Y75),EXTRACTNUMBER(AA75),
EXTRACTNUMBER(AC75),EXTRACTNUMBER(AG75),EXTRACTNUMBER(AE75)),"*"),IF(AND(COUNTIF(C75:AH75,"=36")&gt;=2,COUNTIF(C75:AH75,"f")=2,COUNTIF(C75:AH75,"")=0,COUNTIF(C75:AH75," ")=0),CONCATENATE(SUM(EXTRACTNUMBER(C75),EXTRACTNUMBER(E75),
EXTRACTNUMBER(G75),EXTRACTNUMBER(I75),
EXTRACTNUMBER(K75),EXTRACTNUMBER(M75),
EXTRACTNUMBER(O75),EXTRACTNUMBER(Q75),
EXTRACTNUMBER(S75),EXTRACTNUMBER(U75),
EXTRACTNUMBER(W75),EXTRACTNUMBER(Y75),EXTRACTNUMBER(AA75),
EXTRACTNUMBER(AC75),EXTRACTNUMBER(AG75),EXTRACTNUMBER(AE75)),"*"),SUM(EXTRACTNUMBER(C75),EXTRACTNUMBER(E75),
EXTRACTNUMBER(G75),EXTRACTNUMBER(I75),
EXTRACTNUMBER(K75),EXTRACTNUMBER(M75),
EXTRACTNUMBER(O75),EXTRACTNUMBER(Q75),
EXTRACTNUMBER(S75),EXTRACTNUMBER(U75),
EXTRACTNUMBER(W75),EXTRACTNUMBER(Y75),EXTRACTNUMBER(AA75),
EXTRACTNUMBER(AC75),EXTRACTNUMBER(AG75),EXTRACTNUMBER(AE75))))),SUM(EXTRACTNUMBER(C75),EXTRACTNUMBER(E75),
EXTRACTNUMBER(G75),EXTRACTNUMBER(I75),
EXTRACTNUMBER(K75),EXTRACTNUMBER(M75),
EXTRACTNUMBER(O75),EXTRACTNUMBER(Q75),
EXTRACTNUMBER(S75),EXTRACTNUMBER(U75),
EXTRACTNUMBER(W75),EXTRACTNUMBER(Y75),EXTRACTNUMBER(AA75),
EXTRACTNUMBER(AC75),EXTRACTNUMBER(AG75),EXTRACTNUMBER(AE75)))</f>
        <v>444</v>
      </c>
      <c r="AJ75" s="94" t="s">
        <v>619</v>
      </c>
      <c r="AK75" s="29">
        <f t="shared" ref="AK75" si="173">IF(IFERROR(FIND("x",AJ75),0),SUM(EXTRACTNUMBER(AI75),EXTRACTNUMBER(AJ75)),IF(AND(SUM(EXTRACTNUMBER(AI75),EXTRACTNUMBER(AJ75))&gt;1009,SUM(EXTRACTNUMBER(AI75),EXTRACTNUMBER(AJ75))&lt;1020),
CONCATENATE(SUM(EXTRACTNUMBER(AI75),EXTRACTNUMBER(AJ75)),"@",1020-SUM(EXTRACTNUMBER(AI75),EXTRACTNUMBER(AJ75))),
IF(AND(SUM(EXTRACTNUMBER(AI75),EXTRACTNUMBER(AJ75))&gt;839,   SUM(EXTRACTNUMBER(AI75),EXTRACTNUMBER(AJ75))&lt;850),CONCATENATE(SUM(EXTRACTNUMBER(AI75),EXTRACTNUMBER(AJ75)),"@",850-SUM(EXTRACTNUMBER(AI75),EXTRACTNUMBER(AJ75))),
IF(AND(SUM(EXTRACTNUMBER(AI75),EXTRACTNUMBER(AJ75))&gt;669,        SUM(EXTRACTNUMBER(AI75),EXTRACTNUMBER(AJ75))&lt;680),
CONCATENATE(SUM(EXTRACTNUMBER(AI75),EXTRACTNUMBER(AJ75)),"@",680-SUM(EXTRACTNUMBER(AI75),EXTRACTNUMBER(AJ75))),
SUM(EXTRACTNUMBER(AI75),EXTRACTNUMBER(AJ75))))))</f>
        <v>913</v>
      </c>
      <c r="AL75" s="29" t="str">
        <f t="shared" ref="AL75" ca="1" si="174">IF(AND(COUNTIF(C75:AH75,"AB")&lt;16-COUNTIF(C75:AH75," "),
COUNTIF(C75:AH75,"AB")&lt;&gt;0),"FAIL",
IF(COUNTIF(C75:AH75,"AB")=16-COUNTIF(C75:AH75," "),"ABSENT",
IF(AND(COUNTIF(C75:AH75,"AB")=0,COUNTIF(C75:AH75,"F")=0),"PASS","FAIL")))</f>
        <v>FAIL</v>
      </c>
      <c r="AM75" s="30" t="str">
        <f ca="1">IF(AL75="ABSENT","AB",IF(AL75="FAIL","--",
IF(AJ75=0,"RS 3",
IF(AND(SUM(EXTRACTNUMBER(AJ75),EXTRACTNUMBER(AI75))&gt;=1010,
        NOT(IFERROR(FIND("x",AJ75),0)),
        NOT(IFERROR(FIND("x",AI75),0))),"I",
IF(AND(SUM(EXTRACTNUMBER(AJ75),EXTRACTNUMBER(AI75))&gt;=850,
      SUM(EXTRACTNUMBER(AJ75),EXTRACTNUMBER(AI75))&lt;1010,
      NOT(IFERROR(FIND("x",AJ75),0)),
      NOT(IFERROR(FIND("x",AI75),0))),"II",
IF(OR(AND(SUM(EXTRACTNUMBER(AJ75),EXTRACTNUMBER(AI75))&lt;850,
SUM(EXTRACTNUMBER(AJ75),EXTRACTNUMBER(AI75))&gt;=670),
IFERROR(FIND("x",AJ75),0),IFERROR(FIND("x",AI75),0)),"P","--"))))))</f>
        <v>--</v>
      </c>
      <c r="AN75" s="2" t="str">
        <f t="shared" ref="AN75" si="175">spellnumber(AK75)</f>
        <v xml:space="preserve">Nine Hundred Thirteen </v>
      </c>
    </row>
    <row r="76" spans="1:40">
      <c r="A76" s="45">
        <v>134275</v>
      </c>
      <c r="B76" s="46" t="s">
        <v>98</v>
      </c>
      <c r="C76" s="74">
        <v>58</v>
      </c>
      <c r="D76" s="77" t="s">
        <v>391</v>
      </c>
      <c r="E76" s="76">
        <v>23</v>
      </c>
      <c r="F76" s="77" t="s">
        <v>391</v>
      </c>
      <c r="G76" s="76">
        <v>75</v>
      </c>
      <c r="H76" s="77" t="s">
        <v>391</v>
      </c>
      <c r="I76" s="76">
        <v>23</v>
      </c>
      <c r="J76" s="77" t="s">
        <v>391</v>
      </c>
      <c r="K76" s="76">
        <v>63</v>
      </c>
      <c r="L76" s="77" t="s">
        <v>391</v>
      </c>
      <c r="M76" s="76">
        <v>23</v>
      </c>
      <c r="N76" s="77" t="s">
        <v>391</v>
      </c>
      <c r="O76" s="76">
        <v>24</v>
      </c>
      <c r="P76" s="77" t="s">
        <v>391</v>
      </c>
      <c r="Q76" s="76">
        <v>57</v>
      </c>
      <c r="R76" s="77" t="s">
        <v>391</v>
      </c>
      <c r="S76" s="76">
        <v>22</v>
      </c>
      <c r="T76" s="77" t="s">
        <v>391</v>
      </c>
      <c r="U76" s="76">
        <v>22</v>
      </c>
      <c r="V76" s="77" t="s">
        <v>391</v>
      </c>
      <c r="W76" s="76">
        <v>69</v>
      </c>
      <c r="X76" s="77" t="s">
        <v>391</v>
      </c>
      <c r="Y76" s="76">
        <v>22</v>
      </c>
      <c r="Z76" s="77" t="s">
        <v>391</v>
      </c>
      <c r="AA76" s="76">
        <v>21</v>
      </c>
      <c r="AB76" s="77" t="s">
        <v>391</v>
      </c>
      <c r="AC76" s="76">
        <v>68</v>
      </c>
      <c r="AD76" s="77" t="s">
        <v>391</v>
      </c>
      <c r="AE76" s="76">
        <v>24</v>
      </c>
      <c r="AF76" s="77" t="s">
        <v>391</v>
      </c>
      <c r="AG76" s="76">
        <v>16</v>
      </c>
      <c r="AH76" s="77" t="s">
        <v>391</v>
      </c>
      <c r="AI76" s="32">
        <v>610</v>
      </c>
      <c r="AJ76" s="28" t="s">
        <v>278</v>
      </c>
      <c r="AK76" s="29">
        <v>1252</v>
      </c>
      <c r="AL76" s="29" t="s">
        <v>392</v>
      </c>
      <c r="AM76" s="30" t="s">
        <v>395</v>
      </c>
      <c r="AN76" s="2" t="s">
        <v>455</v>
      </c>
    </row>
    <row r="77" spans="1:40">
      <c r="A77" s="45">
        <v>134276</v>
      </c>
      <c r="B77" s="46" t="s">
        <v>99</v>
      </c>
      <c r="C77" s="43">
        <v>40</v>
      </c>
      <c r="D77" s="27" t="str">
        <f t="shared" ref="D77" ca="1" si="176">IF(IFERROR(FIND("+",C77),0)," ",
IF(C77="AB","",
IF(C77&lt;$D$27,"F",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E77" s="26">
        <v>20</v>
      </c>
      <c r="F77" s="27" t="str">
        <f t="shared" ref="F77" ca="1" si="177">IF(IFERROR(FIND("+",E77),0)," ",
IF(E77="AB","",
IF(E77&lt;$F$27,"F",
IF(AND(E77&gt;=$F$27,C77&gt;=$D$27,G77&gt;=$H$27,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G77" s="24">
        <v>51</v>
      </c>
      <c r="H77" s="27" t="str">
        <f t="shared" ref="H77" ca="1" si="178">IF(IFERROR(FIND("+",G77),0)," ",
IF(G77="AB","",
IF(G77&lt;$H$27,"F",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I77" s="26">
        <v>18</v>
      </c>
      <c r="J77" s="27" t="str">
        <f t="shared" ref="J77" ca="1" si="179">IF(IFERROR(FIND("+",I77),0)," ",
IF(I77="AB","",
IF(I77&lt;$J$27,"F",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K77" s="24">
        <v>40</v>
      </c>
      <c r="L77" s="27" t="str">
        <f t="shared" ref="L77" ca="1" si="180">IF(IFERROR(FIND("+",K77),0)," ",
IF(K77="AB","",
IF(K77&lt;$L$27,"F",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M77" s="26">
        <v>14</v>
      </c>
      <c r="N77" s="27" t="str">
        <f t="shared" ref="N77" ca="1" si="181">IF(IFERROR(FIND("+",M77),0)," ",
IF(M77="AB","",
IF(M77&lt;$N$27,"F",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AG77&lt;&gt;"AB"),"","E"))))</f>
        <v/>
      </c>
      <c r="O77" s="26">
        <v>17</v>
      </c>
      <c r="P77" s="27" t="str">
        <f t="shared" ref="P77" ca="1" si="182">IF(IFERROR(FIND("+",O77),0)," ",
IF(O77="AB","",
IF(O77&lt;$P$27,"F",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Q77" s="24">
        <v>44</v>
      </c>
      <c r="R77" s="27" t="str">
        <f t="shared" ref="R77" ca="1" si="183">IF(IFERROR(FIND("+",Q77),0)," ",
IF(Q77="AB","",
IF(Q77&lt;$R$27,"F",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S77" s="26">
        <v>20</v>
      </c>
      <c r="T77" s="27" t="str">
        <f t="shared" ref="T77" ca="1" si="184">IF(IFERROR(FIND("+",S77),0)," ",
IF(S77="AB","",
IF(S77&lt;$T$27,"F",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U77" s="26">
        <v>18</v>
      </c>
      <c r="V77" s="27" t="str">
        <f t="shared" ref="V77" ca="1" si="185">IF(IFERROR(FIND("+",U77),0)," ",
IF(U77="AB","",
IF(U77&lt;$V$27,"F",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W77" s="24">
        <v>40</v>
      </c>
      <c r="X77" s="27" t="str">
        <f t="shared" ref="X77" ca="1" si="186">IF(IFERROR(FIND("+",W77),0)," ",
IF(W77="AB","",
IF(W77&lt;$X$27,"F",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Y77" s="26">
        <v>21</v>
      </c>
      <c r="Z77" s="27" t="str">
        <f t="shared" ref="Z77" ca="1" si="187">IF(IFERROR(FIND("+",Y77),0)," ",
IF(Y77="AB","",
IF(Y77&lt;$Z$27,"F",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AA77" s="26">
        <v>22</v>
      </c>
      <c r="AB77" s="27" t="str">
        <f t="shared" ref="AB77" ca="1" si="188">IF(IFERROR(FIND("+",AA77),0)," ",
IF(AA77="AB","",
IF(AA77&lt;$AB$27,"F",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AC77" s="24">
        <v>40</v>
      </c>
      <c r="AD77" s="27" t="str">
        <f t="shared" ref="AD77" ca="1" si="189">IF(IFERROR(FIND("+",AC77),0)," ",
IF(AC77="AB","",
IF(AC77&lt;$AD$27,"F",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AE77" s="26">
        <v>18</v>
      </c>
      <c r="AF77" s="27" t="str">
        <f t="shared" ref="AF77" ca="1" si="190">IF(IFERROR(FIND("+",AE77),0)," ",
IF(AE77="AB","",IF(AE77&lt;$AF$27,"F",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AG77&lt;&gt;"AB",AH77&lt;&gt;"AB"),"","E"))))</f>
        <v/>
      </c>
      <c r="AG77" s="26">
        <v>18</v>
      </c>
      <c r="AH77" s="27" t="str">
        <f t="shared" ref="AH77" ca="1" si="191">IF(IFERROR(FIND("+",AG77),0)," ",
IF(AG77="AB","",
IF(AG77&lt;$AH$27,"F",
IF(AND(C77&gt;=$D$27,E77&gt;=$F$27,G77&gt;=$H$27,
I77&gt;=$J$27,K77&gt;=$L$27,
M77&gt;=$N$27,O77&gt;=$P$27,Q77&gt;=$R$27,S77&gt;=$T$27,U77&gt;=$V$27,
W77&gt;=$X$27,Y77&gt;=$Z$27,AA77&gt;=$AB$27,AC77&gt;=$AD$27,AE77&gt;=$AF$27,
AG77&gt;=$AH$27,C77&lt;&gt;"AB",E77&lt;&gt;"AB",G77&lt;&gt;"AB",
I77&lt;&gt;"AB",K77&lt;&gt;"AB",
M77&lt;&gt;"AB",O77&lt;&gt;"AB",Q77&lt;&gt;"AB",S77&lt;&gt;"AB",U77&lt;&gt;"AB",
W77&lt;&gt;"AB",Y77&lt;&gt;"AB",AA77&lt;&gt;"AB",AC77&lt;&gt;"AB",AE77&lt;&gt;"AB",
AG77&lt;&gt;"AB"),"","E"))))</f>
        <v/>
      </c>
      <c r="AI77" s="32">
        <f>IF(OR(AND(C77&gt;=31,C77&lt;40),AND(G77&gt;=31,G77&lt;40),AND(K77&gt;=31,K77&lt;40),AND(Q77&gt;=31,Q77&lt;40),AND(W77&gt;=31,W77&lt;40),AND(AC77&gt;=31,AC77&lt;40)),IF(AND(OR(COUNTIF(C77:AH77,"=31")&gt;=1,COUNTIF(C77:AH77,"=32")&gt;=1,COUNTIF(C77:AH77,"=33")&gt;=1,COUNTIF(C77:AH77,"=34")&gt;=1,COUNTIF(C77:AH77,"=35")&gt;=1,COUNTIF(C77:AH77,"=36")&gt;=1 ),COUNTIF(C77:AH77,"")=0,COUNTIF(C77:AH77," ")=0,COUNTIF(C77:AH77,"F")=1),CONCATENATE(SUM(EXTRACTNUMBER(C77),EXTRACTNUMBER(E77),
EXTRACTNUMBER(G77),EXTRACTNUMBER(I77),
EXTRACTNUMBER(K77),EXTRACTNUMBER(M77),
EXTRACTNUMBER(O77),EXTRACTNUMBER(Q77),
EXTRACTNUMBER(S77),EXTRACTNUMBER(U77),
EXTRACTNUMBER(W77),EXTRACTNUMBER(Y77),EXTRACTNUMBER(AA77),
EXTRACTNUMBER(AC77),EXTRACTNUMBER(AG77),EXTRACTNUMBER(AE77)),"*"),IF(AND(COUNTIF(C77:AH77,"=34")&gt;=1,COUNTIF(C77:AH77,"=35")&gt;=1,COUNTIF(C77:AH77,"f")=2,COUNTIF(C77:AH77,"")=0,COUNTIF(C77:AH77," ")=0),CONCATENATE(SUM(EXTRACTNUMBER(C77),EXTRACTNUMBER(E77),
EXTRACTNUMBER(G77),EXTRACTNUMBER(I77),
EXTRACTNUMBER(K77),EXTRACTNUMBER(M77),
EXTRACTNUMBER(O77),EXTRACTNUMBER(Q77),
EXTRACTNUMBER(S77),EXTRACTNUMBER(U77),
EXTRACTNUMBER(W77),EXTRACTNUMBER(Y77),EXTRACTNUMBER(AA77),
EXTRACTNUMBER(AC77),EXTRACTNUMBER(AG77),EXTRACTNUMBER(AE77)),"*"),IF(AND(COUNTIF(C77:AH77,"=36")&gt;=2,COUNTIF(C77:AH77,"f")=2,COUNTIF(C77:AH77,"")=0,COUNTIF(C77:AH77," ")=0),CONCATENATE(SUM(EXTRACTNUMBER(C77),EXTRACTNUMBER(E77),
EXTRACTNUMBER(G77),EXTRACTNUMBER(I77),
EXTRACTNUMBER(K77),EXTRACTNUMBER(M77),
EXTRACTNUMBER(O77),EXTRACTNUMBER(Q77),
EXTRACTNUMBER(S77),EXTRACTNUMBER(U77),
EXTRACTNUMBER(W77),EXTRACTNUMBER(Y77),EXTRACTNUMBER(AA77),
EXTRACTNUMBER(AC77),EXTRACTNUMBER(AG77),EXTRACTNUMBER(AE77)),"*"),SUM(EXTRACTNUMBER(C77),EXTRACTNUMBER(E77),
EXTRACTNUMBER(G77),EXTRACTNUMBER(I77),
EXTRACTNUMBER(K77),EXTRACTNUMBER(M77),
EXTRACTNUMBER(O77),EXTRACTNUMBER(Q77),
EXTRACTNUMBER(S77),EXTRACTNUMBER(U77),
EXTRACTNUMBER(W77),EXTRACTNUMBER(Y77),EXTRACTNUMBER(AA77),
EXTRACTNUMBER(AC77),EXTRACTNUMBER(AG77),EXTRACTNUMBER(AE77))))),SUM(EXTRACTNUMBER(C77),EXTRACTNUMBER(E77),
EXTRACTNUMBER(G77),EXTRACTNUMBER(I77),
EXTRACTNUMBER(K77),EXTRACTNUMBER(M77),
EXTRACTNUMBER(O77),EXTRACTNUMBER(Q77),
EXTRACTNUMBER(S77),EXTRACTNUMBER(U77),
EXTRACTNUMBER(W77),EXTRACTNUMBER(Y77),EXTRACTNUMBER(AA77),
EXTRACTNUMBER(AC77),EXTRACTNUMBER(AG77),EXTRACTNUMBER(AE77)))</f>
        <v>441</v>
      </c>
      <c r="AJ77" s="28" t="s">
        <v>279</v>
      </c>
      <c r="AK77" s="29">
        <f t="shared" ref="AK77" si="192">IF(IFERROR(FIND("x",AJ77),0),SUM(EXTRACTNUMBER(AI77),EXTRACTNUMBER(AJ77)),IF(AND(SUM(EXTRACTNUMBER(AI77),EXTRACTNUMBER(AJ77))&gt;1009,SUM(EXTRACTNUMBER(AI77),EXTRACTNUMBER(AJ77))&lt;1020),
CONCATENATE(SUM(EXTRACTNUMBER(AI77),EXTRACTNUMBER(AJ77)),"@",1020-SUM(EXTRACTNUMBER(AI77),EXTRACTNUMBER(AJ77))),
IF(AND(SUM(EXTRACTNUMBER(AI77),EXTRACTNUMBER(AJ77))&gt;839,   SUM(EXTRACTNUMBER(AI77),EXTRACTNUMBER(AJ77))&lt;850),CONCATENATE(SUM(EXTRACTNUMBER(AI77),EXTRACTNUMBER(AJ77)),"@",850-SUM(EXTRACTNUMBER(AI77),EXTRACTNUMBER(AJ77))),
IF(AND(SUM(EXTRACTNUMBER(AI77),EXTRACTNUMBER(AJ77))&gt;669,        SUM(EXTRACTNUMBER(AI77),EXTRACTNUMBER(AJ77))&lt;680),
CONCATENATE(SUM(EXTRACTNUMBER(AI77),EXTRACTNUMBER(AJ77)),"@",680-SUM(EXTRACTNUMBER(AI77),EXTRACTNUMBER(AJ77))),
SUM(EXTRACTNUMBER(AI77),EXTRACTNUMBER(AJ77))))))</f>
        <v>929</v>
      </c>
      <c r="AL77" s="29" t="str">
        <f t="shared" ref="AL77" ca="1" si="193">IF(AND(COUNTIF(C77:AH77,"AB")&lt;16-COUNTIF(C77:AH77," "),
COUNTIF(C77:AH77,"AB")&lt;&gt;0),"FAIL",
IF(COUNTIF(C77:AH77,"AB")=16-COUNTIF(C77:AH77," "),"ABSENT",
IF(AND(COUNTIF(C77:AH77,"AB")=0,COUNTIF(C77:AH77,"F")=0),"PASS","FAIL")))</f>
        <v>PASS</v>
      </c>
      <c r="AM77" s="30" t="str">
        <f ca="1">IF(AL77="ABSENT","AB",IF(AL77="FAIL","--",
IF(AJ77=0,"RS 3",
IF(AND(SUM(EXTRACTNUMBER(AJ77),EXTRACTNUMBER(AI77))&gt;=1010,
        NOT(IFERROR(FIND("x",AJ77),0)),
        NOT(IFERROR(FIND("x",AI77),0))),"I",
IF(AND(SUM(EXTRACTNUMBER(AJ77),EXTRACTNUMBER(AI77))&gt;=850,
      SUM(EXTRACTNUMBER(AJ77),EXTRACTNUMBER(AI77))&lt;1010,
      NOT(IFERROR(FIND("x",AJ77),0)),
      NOT(IFERROR(FIND("x",AI77),0))),"II",
IF(OR(AND(SUM(EXTRACTNUMBER(AJ77),EXTRACTNUMBER(AI77))&lt;850,
SUM(EXTRACTNUMBER(AJ77),EXTRACTNUMBER(AI77))&gt;=670),
IFERROR(FIND("x",AJ77),0),IFERROR(FIND("x",AI77),0)),"P","--"))))))</f>
        <v>II</v>
      </c>
      <c r="AN77" s="2" t="str">
        <f t="shared" ref="AN77" si="194">spellnumber(AK77)</f>
        <v xml:space="preserve">Nine Hundred Twenty Nine </v>
      </c>
    </row>
    <row r="78" spans="1:40">
      <c r="A78" s="45">
        <v>134277</v>
      </c>
      <c r="B78" s="46" t="s">
        <v>100</v>
      </c>
      <c r="C78" s="74" t="s">
        <v>305</v>
      </c>
      <c r="D78" s="77" t="s">
        <v>391</v>
      </c>
      <c r="E78" s="76">
        <v>14</v>
      </c>
      <c r="F78" s="77" t="s">
        <v>397</v>
      </c>
      <c r="G78" s="78" t="s">
        <v>305</v>
      </c>
      <c r="H78" s="77" t="s">
        <v>391</v>
      </c>
      <c r="I78" s="76">
        <v>20</v>
      </c>
      <c r="J78" s="77" t="s">
        <v>397</v>
      </c>
      <c r="K78" s="76" t="s">
        <v>305</v>
      </c>
      <c r="L78" s="77" t="s">
        <v>391</v>
      </c>
      <c r="M78" s="76">
        <v>11</v>
      </c>
      <c r="N78" s="77" t="s">
        <v>397</v>
      </c>
      <c r="O78" s="76">
        <v>10</v>
      </c>
      <c r="P78" s="77" t="s">
        <v>397</v>
      </c>
      <c r="Q78" s="76" t="s">
        <v>305</v>
      </c>
      <c r="R78" s="77" t="s">
        <v>391</v>
      </c>
      <c r="S78" s="76">
        <v>10</v>
      </c>
      <c r="T78" s="77" t="s">
        <v>397</v>
      </c>
      <c r="U78" s="76">
        <v>16</v>
      </c>
      <c r="V78" s="77" t="s">
        <v>397</v>
      </c>
      <c r="W78" s="76" t="s">
        <v>305</v>
      </c>
      <c r="X78" s="77" t="s">
        <v>391</v>
      </c>
      <c r="Y78" s="76">
        <v>21</v>
      </c>
      <c r="Z78" s="77" t="s">
        <v>397</v>
      </c>
      <c r="AA78" s="76">
        <v>22</v>
      </c>
      <c r="AB78" s="77" t="s">
        <v>397</v>
      </c>
      <c r="AC78" s="76" t="s">
        <v>305</v>
      </c>
      <c r="AD78" s="77" t="s">
        <v>391</v>
      </c>
      <c r="AE78" s="76">
        <v>23</v>
      </c>
      <c r="AF78" s="77" t="s">
        <v>397</v>
      </c>
      <c r="AG78" s="76">
        <v>16</v>
      </c>
      <c r="AH78" s="77" t="s">
        <v>397</v>
      </c>
      <c r="AI78" s="32">
        <v>163</v>
      </c>
      <c r="AJ78" s="83" t="s">
        <v>531</v>
      </c>
      <c r="AK78" s="29">
        <v>163</v>
      </c>
      <c r="AL78" s="29" t="s">
        <v>399</v>
      </c>
      <c r="AM78" s="30" t="s">
        <v>400</v>
      </c>
      <c r="AN78" s="2" t="s">
        <v>626</v>
      </c>
    </row>
    <row r="79" spans="1:40">
      <c r="A79" s="45">
        <v>134278</v>
      </c>
      <c r="B79" s="46" t="s">
        <v>101</v>
      </c>
      <c r="C79" s="74">
        <v>11</v>
      </c>
      <c r="D79" s="77" t="s">
        <v>398</v>
      </c>
      <c r="E79" s="76">
        <v>12</v>
      </c>
      <c r="F79" s="77" t="s">
        <v>397</v>
      </c>
      <c r="G79" s="76">
        <v>41</v>
      </c>
      <c r="H79" s="77" t="s">
        <v>397</v>
      </c>
      <c r="I79" s="76">
        <v>16</v>
      </c>
      <c r="J79" s="77" t="s">
        <v>397</v>
      </c>
      <c r="K79" s="76">
        <v>51</v>
      </c>
      <c r="L79" s="77" t="s">
        <v>397</v>
      </c>
      <c r="M79" s="76">
        <v>14</v>
      </c>
      <c r="N79" s="77" t="s">
        <v>397</v>
      </c>
      <c r="O79" s="76">
        <v>14</v>
      </c>
      <c r="P79" s="77" t="s">
        <v>397</v>
      </c>
      <c r="Q79" s="76">
        <v>28</v>
      </c>
      <c r="R79" s="77" t="s">
        <v>398</v>
      </c>
      <c r="S79" s="76">
        <v>22</v>
      </c>
      <c r="T79" s="77" t="s">
        <v>397</v>
      </c>
      <c r="U79" s="76">
        <v>14</v>
      </c>
      <c r="V79" s="77" t="s">
        <v>397</v>
      </c>
      <c r="W79" s="76">
        <v>54</v>
      </c>
      <c r="X79" s="77" t="s">
        <v>397</v>
      </c>
      <c r="Y79" s="76">
        <v>22</v>
      </c>
      <c r="Z79" s="77" t="s">
        <v>397</v>
      </c>
      <c r="AA79" s="76">
        <v>21</v>
      </c>
      <c r="AB79" s="77" t="s">
        <v>397</v>
      </c>
      <c r="AC79" s="76">
        <v>52</v>
      </c>
      <c r="AD79" s="77" t="s">
        <v>397</v>
      </c>
      <c r="AE79" s="76">
        <v>18</v>
      </c>
      <c r="AF79" s="77" t="s">
        <v>397</v>
      </c>
      <c r="AG79" s="76">
        <v>17</v>
      </c>
      <c r="AH79" s="77" t="s">
        <v>397</v>
      </c>
      <c r="AI79" s="32">
        <v>407</v>
      </c>
      <c r="AJ79" s="83" t="s">
        <v>531</v>
      </c>
      <c r="AK79" s="29">
        <v>407</v>
      </c>
      <c r="AL79" s="29" t="s">
        <v>399</v>
      </c>
      <c r="AM79" s="30" t="s">
        <v>400</v>
      </c>
      <c r="AN79" s="2" t="s">
        <v>625</v>
      </c>
    </row>
    <row r="80" spans="1:40">
      <c r="A80" s="45">
        <v>134279</v>
      </c>
      <c r="B80" s="46" t="s">
        <v>102</v>
      </c>
      <c r="C80" s="74">
        <v>17</v>
      </c>
      <c r="D80" s="77" t="s">
        <v>398</v>
      </c>
      <c r="E80" s="76">
        <v>17</v>
      </c>
      <c r="F80" s="77" t="s">
        <v>397</v>
      </c>
      <c r="G80" s="76">
        <v>46</v>
      </c>
      <c r="H80" s="77" t="s">
        <v>397</v>
      </c>
      <c r="I80" s="76">
        <v>20</v>
      </c>
      <c r="J80" s="77" t="s">
        <v>397</v>
      </c>
      <c r="K80" s="76">
        <v>58</v>
      </c>
      <c r="L80" s="77" t="s">
        <v>397</v>
      </c>
      <c r="M80" s="76">
        <v>18</v>
      </c>
      <c r="N80" s="77" t="s">
        <v>397</v>
      </c>
      <c r="O80" s="76">
        <v>19</v>
      </c>
      <c r="P80" s="77" t="s">
        <v>397</v>
      </c>
      <c r="Q80" s="76">
        <v>40</v>
      </c>
      <c r="R80" s="77" t="s">
        <v>397</v>
      </c>
      <c r="S80" s="76">
        <v>13</v>
      </c>
      <c r="T80" s="77" t="s">
        <v>397</v>
      </c>
      <c r="U80" s="76">
        <v>19</v>
      </c>
      <c r="V80" s="77" t="s">
        <v>397</v>
      </c>
      <c r="W80" s="76">
        <v>53</v>
      </c>
      <c r="X80" s="77" t="s">
        <v>397</v>
      </c>
      <c r="Y80" s="76">
        <v>22</v>
      </c>
      <c r="Z80" s="77" t="s">
        <v>397</v>
      </c>
      <c r="AA80" s="76">
        <v>21</v>
      </c>
      <c r="AB80" s="77" t="s">
        <v>397</v>
      </c>
      <c r="AC80" s="76">
        <v>43</v>
      </c>
      <c r="AD80" s="77" t="s">
        <v>397</v>
      </c>
      <c r="AE80" s="76">
        <v>20</v>
      </c>
      <c r="AF80" s="77" t="s">
        <v>397</v>
      </c>
      <c r="AG80" s="76">
        <v>20</v>
      </c>
      <c r="AH80" s="77" t="s">
        <v>397</v>
      </c>
      <c r="AI80" s="32">
        <v>446</v>
      </c>
      <c r="AJ80" s="83" t="s">
        <v>604</v>
      </c>
      <c r="AK80" s="29">
        <v>896</v>
      </c>
      <c r="AL80" s="29" t="s">
        <v>399</v>
      </c>
      <c r="AM80" s="30" t="s">
        <v>400</v>
      </c>
      <c r="AN80" s="2" t="s">
        <v>605</v>
      </c>
    </row>
    <row r="81" spans="1:40">
      <c r="A81" s="45">
        <v>134280</v>
      </c>
      <c r="B81" s="46" t="s">
        <v>103</v>
      </c>
      <c r="C81" s="74">
        <v>18</v>
      </c>
      <c r="D81" s="77" t="s">
        <v>398</v>
      </c>
      <c r="E81" s="76">
        <v>14</v>
      </c>
      <c r="F81" s="77" t="s">
        <v>397</v>
      </c>
      <c r="G81" s="76">
        <v>25</v>
      </c>
      <c r="H81" s="77" t="s">
        <v>398</v>
      </c>
      <c r="I81" s="76">
        <v>23</v>
      </c>
      <c r="J81" s="77" t="s">
        <v>397</v>
      </c>
      <c r="K81" s="76">
        <v>45</v>
      </c>
      <c r="L81" s="77" t="s">
        <v>397</v>
      </c>
      <c r="M81" s="76">
        <v>22</v>
      </c>
      <c r="N81" s="77" t="s">
        <v>397</v>
      </c>
      <c r="O81" s="76">
        <v>22</v>
      </c>
      <c r="P81" s="77" t="s">
        <v>397</v>
      </c>
      <c r="Q81" s="76">
        <v>29</v>
      </c>
      <c r="R81" s="77" t="s">
        <v>398</v>
      </c>
      <c r="S81" s="76">
        <v>24</v>
      </c>
      <c r="T81" s="77" t="s">
        <v>397</v>
      </c>
      <c r="U81" s="76">
        <v>21</v>
      </c>
      <c r="V81" s="77" t="s">
        <v>397</v>
      </c>
      <c r="W81" s="76">
        <v>27</v>
      </c>
      <c r="X81" s="77" t="s">
        <v>398</v>
      </c>
      <c r="Y81" s="76">
        <v>23</v>
      </c>
      <c r="Z81" s="77" t="s">
        <v>397</v>
      </c>
      <c r="AA81" s="76">
        <v>22</v>
      </c>
      <c r="AB81" s="77" t="s">
        <v>397</v>
      </c>
      <c r="AC81" s="76">
        <v>42</v>
      </c>
      <c r="AD81" s="77" t="s">
        <v>397</v>
      </c>
      <c r="AE81" s="76">
        <v>23</v>
      </c>
      <c r="AF81" s="77" t="s">
        <v>397</v>
      </c>
      <c r="AG81" s="76">
        <v>17</v>
      </c>
      <c r="AH81" s="77" t="s">
        <v>397</v>
      </c>
      <c r="AI81" s="32">
        <v>397</v>
      </c>
      <c r="AJ81" s="83" t="s">
        <v>531</v>
      </c>
      <c r="AK81" s="29">
        <v>397</v>
      </c>
      <c r="AL81" s="29" t="s">
        <v>399</v>
      </c>
      <c r="AM81" s="30" t="s">
        <v>400</v>
      </c>
      <c r="AN81" s="2" t="s">
        <v>457</v>
      </c>
    </row>
    <row r="82" spans="1:40">
      <c r="A82" s="45">
        <v>134281</v>
      </c>
      <c r="B82" s="46" t="s">
        <v>104</v>
      </c>
      <c r="C82" s="74">
        <v>20</v>
      </c>
      <c r="D82" s="77" t="s">
        <v>398</v>
      </c>
      <c r="E82" s="76">
        <v>15</v>
      </c>
      <c r="F82" s="77" t="s">
        <v>397</v>
      </c>
      <c r="G82" s="76">
        <v>45</v>
      </c>
      <c r="H82" s="77" t="s">
        <v>397</v>
      </c>
      <c r="I82" s="76">
        <v>17</v>
      </c>
      <c r="J82" s="77" t="s">
        <v>397</v>
      </c>
      <c r="K82" s="76">
        <v>28</v>
      </c>
      <c r="L82" s="77" t="s">
        <v>398</v>
      </c>
      <c r="M82" s="76">
        <v>16</v>
      </c>
      <c r="N82" s="77" t="s">
        <v>397</v>
      </c>
      <c r="O82" s="76">
        <v>17</v>
      </c>
      <c r="P82" s="77" t="s">
        <v>397</v>
      </c>
      <c r="Q82" s="76">
        <v>40</v>
      </c>
      <c r="R82" s="77" t="s">
        <v>397</v>
      </c>
      <c r="S82" s="76">
        <v>17</v>
      </c>
      <c r="T82" s="77" t="s">
        <v>397</v>
      </c>
      <c r="U82" s="76">
        <v>21</v>
      </c>
      <c r="V82" s="77" t="s">
        <v>397</v>
      </c>
      <c r="W82" s="76">
        <v>46</v>
      </c>
      <c r="X82" s="77" t="s">
        <v>397</v>
      </c>
      <c r="Y82" s="76">
        <v>22</v>
      </c>
      <c r="Z82" s="77" t="s">
        <v>397</v>
      </c>
      <c r="AA82" s="76">
        <v>22</v>
      </c>
      <c r="AB82" s="77" t="s">
        <v>397</v>
      </c>
      <c r="AC82" s="76">
        <v>46</v>
      </c>
      <c r="AD82" s="77" t="s">
        <v>397</v>
      </c>
      <c r="AE82" s="76">
        <v>18</v>
      </c>
      <c r="AF82" s="77" t="s">
        <v>397</v>
      </c>
      <c r="AG82" s="76">
        <v>22</v>
      </c>
      <c r="AH82" s="77" t="s">
        <v>397</v>
      </c>
      <c r="AI82" s="32">
        <v>412</v>
      </c>
      <c r="AJ82" s="83" t="s">
        <v>531</v>
      </c>
      <c r="AK82" s="29">
        <v>412</v>
      </c>
      <c r="AL82" s="29" t="s">
        <v>399</v>
      </c>
      <c r="AM82" s="30" t="s">
        <v>400</v>
      </c>
      <c r="AN82" s="2" t="s">
        <v>458</v>
      </c>
    </row>
    <row r="83" spans="1:40">
      <c r="A83" s="45">
        <v>134282</v>
      </c>
      <c r="B83" s="46" t="s">
        <v>105</v>
      </c>
      <c r="C83" s="82" t="s">
        <v>526</v>
      </c>
      <c r="D83" s="77" t="s">
        <v>398</v>
      </c>
      <c r="E83" s="76">
        <v>18</v>
      </c>
      <c r="F83" s="77" t="s">
        <v>397</v>
      </c>
      <c r="G83" s="76">
        <v>24</v>
      </c>
      <c r="H83" s="77" t="s">
        <v>398</v>
      </c>
      <c r="I83" s="76">
        <v>16</v>
      </c>
      <c r="J83" s="77" t="s">
        <v>397</v>
      </c>
      <c r="K83" s="76">
        <v>40</v>
      </c>
      <c r="L83" s="77" t="s">
        <v>397</v>
      </c>
      <c r="M83" s="76">
        <v>13</v>
      </c>
      <c r="N83" s="77" t="s">
        <v>397</v>
      </c>
      <c r="O83" s="76">
        <v>16</v>
      </c>
      <c r="P83" s="77" t="s">
        <v>397</v>
      </c>
      <c r="Q83" s="76">
        <v>24</v>
      </c>
      <c r="R83" s="77" t="s">
        <v>398</v>
      </c>
      <c r="S83" s="76">
        <v>20</v>
      </c>
      <c r="T83" s="77" t="s">
        <v>397</v>
      </c>
      <c r="U83" s="76">
        <v>19</v>
      </c>
      <c r="V83" s="77" t="s">
        <v>397</v>
      </c>
      <c r="W83" s="76">
        <v>20</v>
      </c>
      <c r="X83" s="77" t="s">
        <v>398</v>
      </c>
      <c r="Y83" s="76">
        <v>21</v>
      </c>
      <c r="Z83" s="77" t="s">
        <v>397</v>
      </c>
      <c r="AA83" s="76">
        <v>21</v>
      </c>
      <c r="AB83" s="77" t="s">
        <v>397</v>
      </c>
      <c r="AC83" s="76">
        <v>40</v>
      </c>
      <c r="AD83" s="77" t="s">
        <v>397</v>
      </c>
      <c r="AE83" s="76">
        <v>20</v>
      </c>
      <c r="AF83" s="77" t="s">
        <v>397</v>
      </c>
      <c r="AG83" s="76">
        <v>16</v>
      </c>
      <c r="AH83" s="77" t="s">
        <v>397</v>
      </c>
      <c r="AI83" s="32">
        <v>330</v>
      </c>
      <c r="AJ83" s="83" t="s">
        <v>531</v>
      </c>
      <c r="AK83" s="29">
        <v>330</v>
      </c>
      <c r="AL83" s="29" t="s">
        <v>399</v>
      </c>
      <c r="AM83" s="30" t="s">
        <v>400</v>
      </c>
      <c r="AN83" s="2" t="s">
        <v>459</v>
      </c>
    </row>
    <row r="84" spans="1:40">
      <c r="A84" s="45">
        <v>134283</v>
      </c>
      <c r="B84" s="46" t="s">
        <v>106</v>
      </c>
      <c r="C84" s="74">
        <v>50</v>
      </c>
      <c r="D84" s="77" t="s">
        <v>397</v>
      </c>
      <c r="E84" s="76">
        <v>18</v>
      </c>
      <c r="F84" s="77" t="s">
        <v>397</v>
      </c>
      <c r="G84" s="76">
        <v>68</v>
      </c>
      <c r="H84" s="77" t="s">
        <v>397</v>
      </c>
      <c r="I84" s="76">
        <v>23</v>
      </c>
      <c r="J84" s="77" t="s">
        <v>397</v>
      </c>
      <c r="K84" s="76">
        <v>60</v>
      </c>
      <c r="L84" s="77" t="s">
        <v>397</v>
      </c>
      <c r="M84" s="76">
        <v>22</v>
      </c>
      <c r="N84" s="77" t="s">
        <v>397</v>
      </c>
      <c r="O84" s="76">
        <v>22</v>
      </c>
      <c r="P84" s="77" t="s">
        <v>397</v>
      </c>
      <c r="Q84" s="76" t="s">
        <v>305</v>
      </c>
      <c r="R84" s="77" t="s">
        <v>391</v>
      </c>
      <c r="S84" s="76">
        <v>23</v>
      </c>
      <c r="T84" s="77" t="s">
        <v>397</v>
      </c>
      <c r="U84" s="76">
        <v>20</v>
      </c>
      <c r="V84" s="77" t="s">
        <v>397</v>
      </c>
      <c r="W84" s="76">
        <v>62</v>
      </c>
      <c r="X84" s="77" t="s">
        <v>397</v>
      </c>
      <c r="Y84" s="76">
        <v>23</v>
      </c>
      <c r="Z84" s="77" t="s">
        <v>397</v>
      </c>
      <c r="AA84" s="76">
        <v>22</v>
      </c>
      <c r="AB84" s="77" t="s">
        <v>397</v>
      </c>
      <c r="AC84" s="76">
        <v>50</v>
      </c>
      <c r="AD84" s="77" t="s">
        <v>397</v>
      </c>
      <c r="AE84" s="76">
        <v>23</v>
      </c>
      <c r="AF84" s="77" t="s">
        <v>397</v>
      </c>
      <c r="AG84" s="76">
        <v>19</v>
      </c>
      <c r="AH84" s="77" t="s">
        <v>397</v>
      </c>
      <c r="AI84" s="32">
        <v>505</v>
      </c>
      <c r="AJ84" s="28" t="s">
        <v>280</v>
      </c>
      <c r="AK84" s="29">
        <v>1070</v>
      </c>
      <c r="AL84" s="29" t="s">
        <v>399</v>
      </c>
      <c r="AM84" s="30" t="s">
        <v>400</v>
      </c>
      <c r="AN84" s="2" t="s">
        <v>460</v>
      </c>
    </row>
    <row r="85" spans="1:40">
      <c r="A85" s="45">
        <v>134284</v>
      </c>
      <c r="B85" s="46" t="s">
        <v>107</v>
      </c>
      <c r="C85" s="74">
        <v>55</v>
      </c>
      <c r="D85" s="77" t="s">
        <v>391</v>
      </c>
      <c r="E85" s="76">
        <v>20</v>
      </c>
      <c r="F85" s="77" t="s">
        <v>391</v>
      </c>
      <c r="G85" s="76">
        <v>51</v>
      </c>
      <c r="H85" s="77" t="s">
        <v>391</v>
      </c>
      <c r="I85" s="76">
        <v>16</v>
      </c>
      <c r="J85" s="77" t="s">
        <v>391</v>
      </c>
      <c r="K85" s="76">
        <v>44</v>
      </c>
      <c r="L85" s="77" t="s">
        <v>391</v>
      </c>
      <c r="M85" s="76">
        <v>16</v>
      </c>
      <c r="N85" s="77" t="s">
        <v>391</v>
      </c>
      <c r="O85" s="76">
        <v>16</v>
      </c>
      <c r="P85" s="77" t="s">
        <v>391</v>
      </c>
      <c r="Q85" s="76">
        <v>40</v>
      </c>
      <c r="R85" s="77" t="s">
        <v>391</v>
      </c>
      <c r="S85" s="76">
        <v>16</v>
      </c>
      <c r="T85" s="77" t="s">
        <v>391</v>
      </c>
      <c r="U85" s="76">
        <v>17</v>
      </c>
      <c r="V85" s="77" t="s">
        <v>391</v>
      </c>
      <c r="W85" s="76">
        <v>51</v>
      </c>
      <c r="X85" s="77" t="s">
        <v>391</v>
      </c>
      <c r="Y85" s="76">
        <v>21</v>
      </c>
      <c r="Z85" s="77" t="s">
        <v>391</v>
      </c>
      <c r="AA85" s="76">
        <v>22</v>
      </c>
      <c r="AB85" s="77" t="s">
        <v>391</v>
      </c>
      <c r="AC85" s="76">
        <v>41</v>
      </c>
      <c r="AD85" s="77" t="s">
        <v>391</v>
      </c>
      <c r="AE85" s="76">
        <v>19</v>
      </c>
      <c r="AF85" s="77" t="s">
        <v>391</v>
      </c>
      <c r="AG85" s="76">
        <v>17</v>
      </c>
      <c r="AH85" s="77" t="s">
        <v>391</v>
      </c>
      <c r="AI85" s="32">
        <v>462</v>
      </c>
      <c r="AJ85" s="28" t="s">
        <v>281</v>
      </c>
      <c r="AK85" s="29">
        <v>976</v>
      </c>
      <c r="AL85" s="29" t="s">
        <v>392</v>
      </c>
      <c r="AM85" s="30" t="s">
        <v>422</v>
      </c>
      <c r="AN85" s="2" t="s">
        <v>461</v>
      </c>
    </row>
    <row r="86" spans="1:40">
      <c r="A86" s="45">
        <v>134285</v>
      </c>
      <c r="B86" s="46" t="s">
        <v>108</v>
      </c>
      <c r="C86" s="82" t="s">
        <v>525</v>
      </c>
      <c r="D86" s="77" t="s">
        <v>398</v>
      </c>
      <c r="E86" s="76">
        <v>18</v>
      </c>
      <c r="F86" s="77" t="s">
        <v>397</v>
      </c>
      <c r="G86" s="78" t="s">
        <v>335</v>
      </c>
      <c r="H86" s="77" t="s">
        <v>398</v>
      </c>
      <c r="I86" s="76">
        <v>20</v>
      </c>
      <c r="J86" s="77" t="s">
        <v>397</v>
      </c>
      <c r="K86" s="76">
        <v>17</v>
      </c>
      <c r="L86" s="77" t="s">
        <v>398</v>
      </c>
      <c r="M86" s="76">
        <v>16</v>
      </c>
      <c r="N86" s="77" t="s">
        <v>397</v>
      </c>
      <c r="O86" s="76">
        <v>17</v>
      </c>
      <c r="P86" s="77" t="s">
        <v>397</v>
      </c>
      <c r="Q86" s="76">
        <v>18</v>
      </c>
      <c r="R86" s="77" t="s">
        <v>398</v>
      </c>
      <c r="S86" s="76">
        <v>15</v>
      </c>
      <c r="T86" s="77" t="s">
        <v>397</v>
      </c>
      <c r="U86" s="76">
        <v>16</v>
      </c>
      <c r="V86" s="77" t="s">
        <v>397</v>
      </c>
      <c r="W86" s="76" t="s">
        <v>305</v>
      </c>
      <c r="X86" s="77" t="s">
        <v>391</v>
      </c>
      <c r="Y86" s="76">
        <v>23</v>
      </c>
      <c r="Z86" s="77" t="s">
        <v>397</v>
      </c>
      <c r="AA86" s="76">
        <v>22</v>
      </c>
      <c r="AB86" s="77" t="s">
        <v>397</v>
      </c>
      <c r="AC86" s="76">
        <v>24</v>
      </c>
      <c r="AD86" s="77" t="s">
        <v>398</v>
      </c>
      <c r="AE86" s="76">
        <v>18</v>
      </c>
      <c r="AF86" s="77" t="s">
        <v>397</v>
      </c>
      <c r="AG86" s="76">
        <v>16</v>
      </c>
      <c r="AH86" s="77" t="s">
        <v>397</v>
      </c>
      <c r="AI86" s="32">
        <v>247</v>
      </c>
      <c r="AJ86" s="83" t="s">
        <v>531</v>
      </c>
      <c r="AK86" s="29">
        <v>247</v>
      </c>
      <c r="AL86" s="29" t="s">
        <v>399</v>
      </c>
      <c r="AM86" s="30" t="s">
        <v>400</v>
      </c>
      <c r="AN86" s="2" t="s">
        <v>462</v>
      </c>
    </row>
    <row r="87" spans="1:40">
      <c r="A87" s="45">
        <v>134286</v>
      </c>
      <c r="B87" s="46" t="s">
        <v>109</v>
      </c>
      <c r="C87" s="74">
        <v>29</v>
      </c>
      <c r="D87" s="77" t="s">
        <v>398</v>
      </c>
      <c r="E87" s="76">
        <v>17</v>
      </c>
      <c r="F87" s="77" t="s">
        <v>397</v>
      </c>
      <c r="G87" s="76">
        <v>19</v>
      </c>
      <c r="H87" s="77" t="s">
        <v>398</v>
      </c>
      <c r="I87" s="76">
        <v>19</v>
      </c>
      <c r="J87" s="77" t="s">
        <v>397</v>
      </c>
      <c r="K87" s="76">
        <v>22</v>
      </c>
      <c r="L87" s="77" t="s">
        <v>398</v>
      </c>
      <c r="M87" s="76">
        <v>16</v>
      </c>
      <c r="N87" s="77" t="s">
        <v>397</v>
      </c>
      <c r="O87" s="76">
        <v>17</v>
      </c>
      <c r="P87" s="77" t="s">
        <v>397</v>
      </c>
      <c r="Q87" s="76">
        <v>29</v>
      </c>
      <c r="R87" s="77" t="s">
        <v>398</v>
      </c>
      <c r="S87" s="76">
        <v>21</v>
      </c>
      <c r="T87" s="77" t="s">
        <v>397</v>
      </c>
      <c r="U87" s="76">
        <v>19</v>
      </c>
      <c r="V87" s="77" t="s">
        <v>397</v>
      </c>
      <c r="W87" s="76">
        <v>53</v>
      </c>
      <c r="X87" s="77" t="s">
        <v>397</v>
      </c>
      <c r="Y87" s="76">
        <v>21</v>
      </c>
      <c r="Z87" s="77" t="s">
        <v>397</v>
      </c>
      <c r="AA87" s="76">
        <v>21</v>
      </c>
      <c r="AB87" s="77" t="s">
        <v>397</v>
      </c>
      <c r="AC87" s="76">
        <v>42</v>
      </c>
      <c r="AD87" s="77" t="s">
        <v>397</v>
      </c>
      <c r="AE87" s="76">
        <v>22</v>
      </c>
      <c r="AF87" s="77" t="s">
        <v>397</v>
      </c>
      <c r="AG87" s="76">
        <v>16</v>
      </c>
      <c r="AH87" s="77" t="s">
        <v>397</v>
      </c>
      <c r="AI87" s="32">
        <v>383</v>
      </c>
      <c r="AJ87" s="83" t="s">
        <v>531</v>
      </c>
      <c r="AK87" s="29">
        <v>383</v>
      </c>
      <c r="AL87" s="29" t="s">
        <v>399</v>
      </c>
      <c r="AM87" s="30" t="s">
        <v>400</v>
      </c>
      <c r="AN87" s="2" t="s">
        <v>463</v>
      </c>
    </row>
    <row r="88" spans="1:40">
      <c r="A88" s="45">
        <v>134287</v>
      </c>
      <c r="B88" s="46" t="s">
        <v>110</v>
      </c>
      <c r="C88" s="74" t="s">
        <v>305</v>
      </c>
      <c r="D88" s="77" t="s">
        <v>391</v>
      </c>
      <c r="E88" s="76">
        <v>14</v>
      </c>
      <c r="F88" s="77" t="s">
        <v>397</v>
      </c>
      <c r="G88" s="76" t="s">
        <v>305</v>
      </c>
      <c r="H88" s="77" t="s">
        <v>391</v>
      </c>
      <c r="I88" s="76">
        <v>16</v>
      </c>
      <c r="J88" s="77" t="s">
        <v>397</v>
      </c>
      <c r="K88" s="76" t="s">
        <v>305</v>
      </c>
      <c r="L88" s="77" t="s">
        <v>391</v>
      </c>
      <c r="M88" s="76">
        <v>16</v>
      </c>
      <c r="N88" s="77" t="s">
        <v>397</v>
      </c>
      <c r="O88" s="76">
        <v>15</v>
      </c>
      <c r="P88" s="77" t="s">
        <v>397</v>
      </c>
      <c r="Q88" s="76" t="s">
        <v>305</v>
      </c>
      <c r="R88" s="77" t="s">
        <v>391</v>
      </c>
      <c r="S88" s="76">
        <v>21</v>
      </c>
      <c r="T88" s="77" t="s">
        <v>397</v>
      </c>
      <c r="U88" s="76">
        <v>19</v>
      </c>
      <c r="V88" s="77" t="s">
        <v>397</v>
      </c>
      <c r="W88" s="76">
        <v>41</v>
      </c>
      <c r="X88" s="77" t="s">
        <v>397</v>
      </c>
      <c r="Y88" s="76">
        <v>21</v>
      </c>
      <c r="Z88" s="77" t="s">
        <v>397</v>
      </c>
      <c r="AA88" s="76">
        <v>21</v>
      </c>
      <c r="AB88" s="77" t="s">
        <v>397</v>
      </c>
      <c r="AC88" s="76">
        <v>26</v>
      </c>
      <c r="AD88" s="77" t="s">
        <v>398</v>
      </c>
      <c r="AE88" s="76">
        <v>19</v>
      </c>
      <c r="AF88" s="77" t="s">
        <v>397</v>
      </c>
      <c r="AG88" s="76">
        <v>16</v>
      </c>
      <c r="AH88" s="77" t="s">
        <v>397</v>
      </c>
      <c r="AI88" s="32">
        <v>245</v>
      </c>
      <c r="AJ88" s="83" t="s">
        <v>531</v>
      </c>
      <c r="AK88" s="29">
        <v>245</v>
      </c>
      <c r="AL88" s="29" t="s">
        <v>399</v>
      </c>
      <c r="AM88" s="30" t="s">
        <v>400</v>
      </c>
      <c r="AN88" s="2" t="s">
        <v>464</v>
      </c>
    </row>
    <row r="89" spans="1:40">
      <c r="A89" s="45">
        <v>134288</v>
      </c>
      <c r="B89" s="46" t="s">
        <v>111</v>
      </c>
      <c r="C89" s="74">
        <v>18</v>
      </c>
      <c r="D89" s="77" t="s">
        <v>398</v>
      </c>
      <c r="E89" s="76">
        <v>18</v>
      </c>
      <c r="F89" s="77" t="s">
        <v>397</v>
      </c>
      <c r="G89" s="76">
        <v>40</v>
      </c>
      <c r="H89" s="77" t="s">
        <v>397</v>
      </c>
      <c r="I89" s="76">
        <v>20</v>
      </c>
      <c r="J89" s="77" t="s">
        <v>397</v>
      </c>
      <c r="K89" s="76">
        <v>40</v>
      </c>
      <c r="L89" s="77" t="s">
        <v>397</v>
      </c>
      <c r="M89" s="76">
        <v>19</v>
      </c>
      <c r="N89" s="77" t="s">
        <v>397</v>
      </c>
      <c r="O89" s="76">
        <v>19</v>
      </c>
      <c r="P89" s="77" t="s">
        <v>397</v>
      </c>
      <c r="Q89" s="76">
        <v>26</v>
      </c>
      <c r="R89" s="77" t="s">
        <v>398</v>
      </c>
      <c r="S89" s="76">
        <v>21</v>
      </c>
      <c r="T89" s="77" t="s">
        <v>397</v>
      </c>
      <c r="U89" s="76">
        <v>18</v>
      </c>
      <c r="V89" s="77" t="s">
        <v>397</v>
      </c>
      <c r="W89" s="76">
        <v>59</v>
      </c>
      <c r="X89" s="77" t="s">
        <v>397</v>
      </c>
      <c r="Y89" s="76">
        <v>21</v>
      </c>
      <c r="Z89" s="77" t="s">
        <v>397</v>
      </c>
      <c r="AA89" s="76">
        <v>21</v>
      </c>
      <c r="AB89" s="77" t="s">
        <v>397</v>
      </c>
      <c r="AC89" s="76">
        <v>45</v>
      </c>
      <c r="AD89" s="77" t="s">
        <v>397</v>
      </c>
      <c r="AE89" s="76">
        <v>21</v>
      </c>
      <c r="AF89" s="77" t="s">
        <v>397</v>
      </c>
      <c r="AG89" s="76">
        <v>17</v>
      </c>
      <c r="AH89" s="77" t="s">
        <v>397</v>
      </c>
      <c r="AI89" s="32">
        <v>423</v>
      </c>
      <c r="AJ89" s="83" t="s">
        <v>531</v>
      </c>
      <c r="AK89" s="29">
        <v>423</v>
      </c>
      <c r="AL89" s="29" t="s">
        <v>399</v>
      </c>
      <c r="AM89" s="30" t="s">
        <v>400</v>
      </c>
      <c r="AN89" s="2" t="s">
        <v>465</v>
      </c>
    </row>
    <row r="90" spans="1:40">
      <c r="A90" s="45">
        <v>134289</v>
      </c>
      <c r="B90" s="46" t="s">
        <v>112</v>
      </c>
      <c r="C90" s="74">
        <v>19</v>
      </c>
      <c r="D90" s="77" t="s">
        <v>398</v>
      </c>
      <c r="E90" s="76">
        <v>18</v>
      </c>
      <c r="F90" s="77" t="s">
        <v>397</v>
      </c>
      <c r="G90" s="78" t="s">
        <v>600</v>
      </c>
      <c r="H90" s="77" t="s">
        <v>398</v>
      </c>
      <c r="I90" s="76">
        <v>16</v>
      </c>
      <c r="J90" s="77" t="s">
        <v>397</v>
      </c>
      <c r="K90" s="76">
        <v>20</v>
      </c>
      <c r="L90" s="77" t="s">
        <v>398</v>
      </c>
      <c r="M90" s="76">
        <v>18</v>
      </c>
      <c r="N90" s="77" t="s">
        <v>397</v>
      </c>
      <c r="O90" s="76">
        <v>17</v>
      </c>
      <c r="P90" s="77" t="s">
        <v>397</v>
      </c>
      <c r="Q90" s="76">
        <v>32</v>
      </c>
      <c r="R90" s="77" t="s">
        <v>398</v>
      </c>
      <c r="S90" s="76">
        <v>22</v>
      </c>
      <c r="T90" s="77" t="s">
        <v>397</v>
      </c>
      <c r="U90" s="76">
        <v>19</v>
      </c>
      <c r="V90" s="77" t="s">
        <v>397</v>
      </c>
      <c r="W90" s="76">
        <v>51</v>
      </c>
      <c r="X90" s="77" t="s">
        <v>397</v>
      </c>
      <c r="Y90" s="76">
        <v>20</v>
      </c>
      <c r="Z90" s="77" t="s">
        <v>397</v>
      </c>
      <c r="AA90" s="76">
        <v>21</v>
      </c>
      <c r="AB90" s="77" t="s">
        <v>397</v>
      </c>
      <c r="AC90" s="76">
        <v>25</v>
      </c>
      <c r="AD90" s="77" t="s">
        <v>398</v>
      </c>
      <c r="AE90" s="76">
        <v>19</v>
      </c>
      <c r="AF90" s="77" t="s">
        <v>397</v>
      </c>
      <c r="AG90" s="76">
        <v>18</v>
      </c>
      <c r="AH90" s="77" t="s">
        <v>397</v>
      </c>
      <c r="AI90" s="32">
        <v>336</v>
      </c>
      <c r="AJ90" s="83" t="s">
        <v>531</v>
      </c>
      <c r="AK90" s="29">
        <v>336</v>
      </c>
      <c r="AL90" s="29" t="s">
        <v>399</v>
      </c>
      <c r="AM90" s="30" t="s">
        <v>400</v>
      </c>
      <c r="AN90" s="2" t="s">
        <v>466</v>
      </c>
    </row>
    <row r="91" spans="1:40">
      <c r="A91" s="45">
        <v>134290</v>
      </c>
      <c r="B91" s="46" t="s">
        <v>113</v>
      </c>
      <c r="C91" s="74">
        <v>18</v>
      </c>
      <c r="D91" s="77" t="s">
        <v>398</v>
      </c>
      <c r="E91" s="76">
        <v>16</v>
      </c>
      <c r="F91" s="77" t="s">
        <v>397</v>
      </c>
      <c r="G91" s="76">
        <v>54</v>
      </c>
      <c r="H91" s="77" t="s">
        <v>397</v>
      </c>
      <c r="I91" s="76">
        <v>18</v>
      </c>
      <c r="J91" s="77" t="s">
        <v>397</v>
      </c>
      <c r="K91" s="76">
        <v>47</v>
      </c>
      <c r="L91" s="77" t="s">
        <v>397</v>
      </c>
      <c r="M91" s="76">
        <v>18</v>
      </c>
      <c r="N91" s="77" t="s">
        <v>397</v>
      </c>
      <c r="O91" s="76">
        <v>17</v>
      </c>
      <c r="P91" s="77" t="s">
        <v>397</v>
      </c>
      <c r="Q91" s="76">
        <v>49</v>
      </c>
      <c r="R91" s="77" t="s">
        <v>397</v>
      </c>
      <c r="S91" s="76">
        <v>22</v>
      </c>
      <c r="T91" s="77" t="s">
        <v>397</v>
      </c>
      <c r="U91" s="76">
        <v>18</v>
      </c>
      <c r="V91" s="77" t="s">
        <v>397</v>
      </c>
      <c r="W91" s="76">
        <v>56</v>
      </c>
      <c r="X91" s="77" t="s">
        <v>397</v>
      </c>
      <c r="Y91" s="76">
        <v>20</v>
      </c>
      <c r="Z91" s="77" t="s">
        <v>397</v>
      </c>
      <c r="AA91" s="76">
        <v>22</v>
      </c>
      <c r="AB91" s="77" t="s">
        <v>397</v>
      </c>
      <c r="AC91" s="76">
        <v>49</v>
      </c>
      <c r="AD91" s="77" t="s">
        <v>397</v>
      </c>
      <c r="AE91" s="76">
        <v>18</v>
      </c>
      <c r="AF91" s="77" t="s">
        <v>397</v>
      </c>
      <c r="AG91" s="76">
        <v>17</v>
      </c>
      <c r="AH91" s="77" t="s">
        <v>397</v>
      </c>
      <c r="AI91" s="32">
        <v>459</v>
      </c>
      <c r="AJ91" s="83" t="s">
        <v>531</v>
      </c>
      <c r="AK91" s="29">
        <v>459</v>
      </c>
      <c r="AL91" s="29" t="s">
        <v>399</v>
      </c>
      <c r="AM91" s="30" t="s">
        <v>400</v>
      </c>
      <c r="AN91" s="2" t="s">
        <v>467</v>
      </c>
    </row>
    <row r="92" spans="1:40">
      <c r="A92" s="45">
        <v>134291</v>
      </c>
      <c r="B92" s="46" t="s">
        <v>114</v>
      </c>
      <c r="C92" s="74">
        <v>49</v>
      </c>
      <c r="D92" s="77" t="s">
        <v>391</v>
      </c>
      <c r="E92" s="76">
        <v>20</v>
      </c>
      <c r="F92" s="77" t="s">
        <v>391</v>
      </c>
      <c r="G92" s="76">
        <v>40</v>
      </c>
      <c r="H92" s="77" t="s">
        <v>391</v>
      </c>
      <c r="I92" s="76">
        <v>24</v>
      </c>
      <c r="J92" s="77" t="s">
        <v>391</v>
      </c>
      <c r="K92" s="76">
        <v>44</v>
      </c>
      <c r="L92" s="77" t="s">
        <v>391</v>
      </c>
      <c r="M92" s="76">
        <v>21</v>
      </c>
      <c r="N92" s="77" t="s">
        <v>391</v>
      </c>
      <c r="O92" s="76">
        <v>22</v>
      </c>
      <c r="P92" s="77" t="s">
        <v>391</v>
      </c>
      <c r="Q92" s="76">
        <v>40</v>
      </c>
      <c r="R92" s="77" t="s">
        <v>391</v>
      </c>
      <c r="S92" s="76">
        <v>24</v>
      </c>
      <c r="T92" s="77" t="s">
        <v>391</v>
      </c>
      <c r="U92" s="76">
        <v>19</v>
      </c>
      <c r="V92" s="77" t="s">
        <v>391</v>
      </c>
      <c r="W92" s="76">
        <v>51</v>
      </c>
      <c r="X92" s="77" t="s">
        <v>391</v>
      </c>
      <c r="Y92" s="76">
        <v>21</v>
      </c>
      <c r="Z92" s="77" t="s">
        <v>391</v>
      </c>
      <c r="AA92" s="76">
        <v>22</v>
      </c>
      <c r="AB92" s="77" t="s">
        <v>391</v>
      </c>
      <c r="AC92" s="76">
        <v>50</v>
      </c>
      <c r="AD92" s="77" t="s">
        <v>391</v>
      </c>
      <c r="AE92" s="76">
        <v>19</v>
      </c>
      <c r="AF92" s="77" t="s">
        <v>391</v>
      </c>
      <c r="AG92" s="76">
        <v>16</v>
      </c>
      <c r="AH92" s="77" t="s">
        <v>391</v>
      </c>
      <c r="AI92" s="32">
        <v>482</v>
      </c>
      <c r="AJ92" s="28" t="s">
        <v>282</v>
      </c>
      <c r="AK92" s="29">
        <v>975</v>
      </c>
      <c r="AL92" s="29" t="s">
        <v>392</v>
      </c>
      <c r="AM92" s="30" t="s">
        <v>422</v>
      </c>
      <c r="AN92" s="2" t="s">
        <v>468</v>
      </c>
    </row>
    <row r="93" spans="1:40" ht="17.25" customHeight="1">
      <c r="A93" s="45">
        <v>134292</v>
      </c>
      <c r="B93" s="46" t="s">
        <v>115</v>
      </c>
      <c r="C93" s="74">
        <v>29</v>
      </c>
      <c r="D93" s="77" t="s">
        <v>398</v>
      </c>
      <c r="E93" s="76">
        <v>20</v>
      </c>
      <c r="F93" s="77" t="s">
        <v>397</v>
      </c>
      <c r="G93" s="76">
        <v>52</v>
      </c>
      <c r="H93" s="77" t="s">
        <v>397</v>
      </c>
      <c r="I93" s="76">
        <v>21</v>
      </c>
      <c r="J93" s="77" t="s">
        <v>397</v>
      </c>
      <c r="K93" s="76">
        <v>20</v>
      </c>
      <c r="L93" s="77" t="s">
        <v>398</v>
      </c>
      <c r="M93" s="76">
        <v>17</v>
      </c>
      <c r="N93" s="77" t="s">
        <v>397</v>
      </c>
      <c r="O93" s="76">
        <v>19</v>
      </c>
      <c r="P93" s="77" t="s">
        <v>397</v>
      </c>
      <c r="Q93" s="76">
        <v>41</v>
      </c>
      <c r="R93" s="77" t="s">
        <v>397</v>
      </c>
      <c r="S93" s="76">
        <v>22</v>
      </c>
      <c r="T93" s="77" t="s">
        <v>397</v>
      </c>
      <c r="U93" s="76">
        <v>19</v>
      </c>
      <c r="V93" s="77" t="s">
        <v>397</v>
      </c>
      <c r="W93" s="76">
        <v>68</v>
      </c>
      <c r="X93" s="77" t="s">
        <v>397</v>
      </c>
      <c r="Y93" s="76">
        <v>20</v>
      </c>
      <c r="Z93" s="77" t="s">
        <v>397</v>
      </c>
      <c r="AA93" s="76">
        <v>21</v>
      </c>
      <c r="AB93" s="77" t="s">
        <v>397</v>
      </c>
      <c r="AC93" s="76">
        <v>40</v>
      </c>
      <c r="AD93" s="77" t="s">
        <v>397</v>
      </c>
      <c r="AE93" s="76">
        <v>21</v>
      </c>
      <c r="AF93" s="77" t="s">
        <v>397</v>
      </c>
      <c r="AG93" s="76">
        <v>17</v>
      </c>
      <c r="AH93" s="77" t="s">
        <v>397</v>
      </c>
      <c r="AI93" s="32">
        <v>447</v>
      </c>
      <c r="AJ93" s="83" t="s">
        <v>531</v>
      </c>
      <c r="AK93" s="29">
        <v>447</v>
      </c>
      <c r="AL93" s="29" t="s">
        <v>399</v>
      </c>
      <c r="AM93" s="30" t="s">
        <v>400</v>
      </c>
      <c r="AN93" s="2" t="s">
        <v>469</v>
      </c>
    </row>
    <row r="94" spans="1:40">
      <c r="A94" s="45">
        <v>134293</v>
      </c>
      <c r="B94" s="46" t="s">
        <v>116</v>
      </c>
      <c r="C94" s="43">
        <v>42</v>
      </c>
      <c r="D94" s="27" t="s">
        <v>391</v>
      </c>
      <c r="E94" s="26">
        <v>23</v>
      </c>
      <c r="F94" s="27" t="s">
        <v>391</v>
      </c>
      <c r="G94" s="24">
        <v>73</v>
      </c>
      <c r="H94" s="27" t="s">
        <v>391</v>
      </c>
      <c r="I94" s="26">
        <v>24</v>
      </c>
      <c r="J94" s="27" t="s">
        <v>391</v>
      </c>
      <c r="K94" s="24">
        <v>45</v>
      </c>
      <c r="L94" s="27" t="s">
        <v>391</v>
      </c>
      <c r="M94" s="26">
        <v>22</v>
      </c>
      <c r="N94" s="27" t="s">
        <v>391</v>
      </c>
      <c r="O94" s="26">
        <v>23</v>
      </c>
      <c r="P94" s="27" t="s">
        <v>391</v>
      </c>
      <c r="Q94" s="24">
        <v>69</v>
      </c>
      <c r="R94" s="27" t="s">
        <v>391</v>
      </c>
      <c r="S94" s="26">
        <v>22</v>
      </c>
      <c r="T94" s="27" t="s">
        <v>391</v>
      </c>
      <c r="U94" s="26">
        <v>19</v>
      </c>
      <c r="V94" s="27" t="s">
        <v>391</v>
      </c>
      <c r="W94" s="24">
        <v>58</v>
      </c>
      <c r="X94" s="27" t="s">
        <v>391</v>
      </c>
      <c r="Y94" s="26">
        <v>22</v>
      </c>
      <c r="Z94" s="27" t="s">
        <v>391</v>
      </c>
      <c r="AA94" s="26">
        <v>22</v>
      </c>
      <c r="AB94" s="27" t="s">
        <v>391</v>
      </c>
      <c r="AC94" s="24">
        <v>54</v>
      </c>
      <c r="AD94" s="27" t="s">
        <v>391</v>
      </c>
      <c r="AE94" s="26">
        <v>23</v>
      </c>
      <c r="AF94" s="27" t="s">
        <v>391</v>
      </c>
      <c r="AG94" s="26">
        <v>20</v>
      </c>
      <c r="AH94" s="27" t="s">
        <v>391</v>
      </c>
      <c r="AI94" s="32">
        <v>561</v>
      </c>
      <c r="AJ94" s="94" t="s">
        <v>634</v>
      </c>
      <c r="AK94" s="29">
        <v>1101</v>
      </c>
      <c r="AL94" s="29" t="s">
        <v>392</v>
      </c>
      <c r="AM94" s="30" t="s">
        <v>395</v>
      </c>
      <c r="AN94" s="2" t="s">
        <v>635</v>
      </c>
    </row>
    <row r="95" spans="1:40">
      <c r="A95" s="45">
        <v>134294</v>
      </c>
      <c r="B95" s="46" t="s">
        <v>117</v>
      </c>
      <c r="C95" s="43">
        <v>40</v>
      </c>
      <c r="D95" s="27" t="str">
        <f t="shared" ref="D95" ca="1" si="195">IF(IFERROR(FIND("+",C95),0)," ",
IF(C95="AB","",
IF(C95&lt;$D$27,"F",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E95" s="26">
        <v>21</v>
      </c>
      <c r="F95" s="27" t="str">
        <f t="shared" ref="F95" ca="1" si="196">IF(IFERROR(FIND("+",E95),0)," ",
IF(E95="AB","",
IF(E95&lt;$F$27,"F",
IF(AND(E95&gt;=$F$27,C95&gt;=$D$27,G95&gt;=$H$27,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G95" s="24">
        <v>66</v>
      </c>
      <c r="H95" s="27" t="str">
        <f t="shared" ref="H95" ca="1" si="197">IF(IFERROR(FIND("+",G95),0)," ",
IF(G95="AB","",
IF(G95&lt;$H$27,"F",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I95" s="26">
        <v>19</v>
      </c>
      <c r="J95" s="27" t="str">
        <f t="shared" ref="J95" ca="1" si="198">IF(IFERROR(FIND("+",I95),0)," ",
IF(I95="AB","",
IF(I95&lt;$J$27,"F",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K95" s="24">
        <v>49</v>
      </c>
      <c r="L95" s="27" t="str">
        <f t="shared" ref="L95" ca="1" si="199">IF(IFERROR(FIND("+",K95),0)," ",
IF(K95="AB","",
IF(K95&lt;$L$27,"F",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M95" s="26">
        <v>20</v>
      </c>
      <c r="N95" s="27" t="str">
        <f t="shared" ref="N95" ca="1" si="200">IF(IFERROR(FIND("+",M95),0)," ",
IF(M95="AB","",
IF(M95&lt;$N$27,"F",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AG95&lt;&gt;"AB"),"","E"))))</f>
        <v/>
      </c>
      <c r="O95" s="26">
        <v>20</v>
      </c>
      <c r="P95" s="27" t="str">
        <f t="shared" ref="P95" ca="1" si="201">IF(IFERROR(FIND("+",O95),0)," ",
IF(O95="AB","",
IF(O95&lt;$P$27,"F",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Q95" s="24">
        <v>50</v>
      </c>
      <c r="R95" s="27" t="str">
        <f t="shared" ref="R95" ca="1" si="202">IF(IFERROR(FIND("+",Q95),0)," ",
IF(Q95="AB","",
IF(Q95&lt;$R$27,"F",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S95" s="26">
        <v>22</v>
      </c>
      <c r="T95" s="27" t="str">
        <f t="shared" ref="T95" ca="1" si="203">IF(IFERROR(FIND("+",S95),0)," ",
IF(S95="AB","",
IF(S95&lt;$T$27,"F",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U95" s="26">
        <v>19</v>
      </c>
      <c r="V95" s="27" t="str">
        <f t="shared" ref="V95" ca="1" si="204">IF(IFERROR(FIND("+",U95),0)," ",
IF(U95="AB","",
IF(U95&lt;$V$27,"F",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W95" s="24">
        <v>46</v>
      </c>
      <c r="X95" s="27" t="str">
        <f t="shared" ref="X95" ca="1" si="205">IF(IFERROR(FIND("+",W95),0)," ",
IF(W95="AB","",
IF(W95&lt;$X$27,"F",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Y95" s="26">
        <v>21</v>
      </c>
      <c r="Z95" s="27" t="str">
        <f t="shared" ref="Z95" ca="1" si="206">IF(IFERROR(FIND("+",Y95),0)," ",
IF(Y95="AB","",
IF(Y95&lt;$Z$27,"F",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AA95" s="26">
        <v>21</v>
      </c>
      <c r="AB95" s="27" t="str">
        <f t="shared" ref="AB95" ca="1" si="207">IF(IFERROR(FIND("+",AA95),0)," ",
IF(AA95="AB","",
IF(AA95&lt;$AB$27,"F",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AC95" s="24">
        <v>50</v>
      </c>
      <c r="AD95" s="27" t="str">
        <f t="shared" ref="AD95" ca="1" si="208">IF(IFERROR(FIND("+",AC95),0)," ",
IF(AC95="AB","",
IF(AC95&lt;$AD$27,"F",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AE95" s="26">
        <v>22</v>
      </c>
      <c r="AF95" s="27" t="str">
        <f t="shared" ref="AF95" ca="1" si="209">IF(IFERROR(FIND("+",AE95),0)," ",
IF(AE95="AB","",IF(AE95&lt;$AF$27,"F",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AG95&lt;&gt;"AB",AH95&lt;&gt;"AB"),"","E"))))</f>
        <v/>
      </c>
      <c r="AG95" s="26">
        <v>19</v>
      </c>
      <c r="AH95" s="27" t="str">
        <f t="shared" ref="AH95" ca="1" si="210">IF(IFERROR(FIND("+",AG95),0)," ",
IF(AG95="AB","",
IF(AG95&lt;$AH$27,"F",
IF(AND(C95&gt;=$D$27,E95&gt;=$F$27,G95&gt;=$H$27,
I95&gt;=$J$27,K95&gt;=$L$27,
M95&gt;=$N$27,O95&gt;=$P$27,Q95&gt;=$R$27,S95&gt;=$T$27,U95&gt;=$V$27,
W95&gt;=$X$27,Y95&gt;=$Z$27,AA95&gt;=$AB$27,AC95&gt;=$AD$27,AE95&gt;=$AF$27,
AG95&gt;=$AH$27,C95&lt;&gt;"AB",E95&lt;&gt;"AB",G95&lt;&gt;"AB",
I95&lt;&gt;"AB",K95&lt;&gt;"AB",
M95&lt;&gt;"AB",O95&lt;&gt;"AB",Q95&lt;&gt;"AB",S95&lt;&gt;"AB",U95&lt;&gt;"AB",
W95&lt;&gt;"AB",Y95&lt;&gt;"AB",AA95&lt;&gt;"AB",AC95&lt;&gt;"AB",AE95&lt;&gt;"AB",
AG95&lt;&gt;"AB"),"","E"))))</f>
        <v/>
      </c>
      <c r="AI95" s="32">
        <f>IF(OR(AND(C95&gt;=31,C95&lt;40),AND(G95&gt;=31,G95&lt;40),AND(K95&gt;=31,K95&lt;40),AND(Q95&gt;=31,Q95&lt;40),AND(W95&gt;=31,W95&lt;40),AND(AC95&gt;=31,AC95&lt;40)),IF(AND(OR(COUNTIF(C95:AH95,"=31")&gt;=1,COUNTIF(C95:AH95,"=32")&gt;=1,COUNTIF(C95:AH95,"=33")&gt;=1,COUNTIF(C95:AH95,"=34")&gt;=1,COUNTIF(C95:AH95,"=35")&gt;=1,COUNTIF(C95:AH95,"=36")&gt;=1 ),COUNTIF(C95:AH95,"")=0,COUNTIF(C95:AH95," ")=0,COUNTIF(C95:AH95,"F")=1),CONCATENATE(SUM(EXTRACTNUMBER(C95),EXTRACTNUMBER(E95),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EXTRACTNUMBER(AC95),EXTRACTNUMBER(AG95),EXTRACTNUMBER(AE95)),"*"),IF(AND(COUNTIF(C95:AH95,"=34")&gt;=1,COUNTIF(C95:AH95,"=35")&gt;=1,COUNTIF(C95:AH95,"f")=2,COUNTIF(C95:AH95,"")=0,COUNTIF(C95:AH95," ")=0),CONCATENATE(SUM(EXTRACTNUMBER(C95),EXTRACTNUMBER(E95),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EXTRACTNUMBER(AC95),EXTRACTNUMBER(AG95),EXTRACTNUMBER(AE95)),"*"),IF(AND(COUNTIF(C95:AH95,"=36")&gt;=2,COUNTIF(C95:AH95,"f")=2,COUNTIF(C95:AH95,"")=0,COUNTIF(C95:AH95," ")=0),CONCATENATE(SUM(EXTRACTNUMBER(C95),EXTRACTNUMBER(E95),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EXTRACTNUMBER(AC95),EXTRACTNUMBER(AG95),EXTRACTNUMBER(AE95)),"*"),SUM(EXTRACTNUMBER(C95),EXTRACTNUMBER(E95),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EXTRACTNUMBER(AC95),EXTRACTNUMBER(AG95),EXTRACTNUMBER(AE95))))),SUM(EXTRACTNUMBER(C95),EXTRACTNUMBER(E95),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EXTRACTNUMBER(AC95),EXTRACTNUMBER(AG95),EXTRACTNUMBER(AE95)))</f>
        <v>505</v>
      </c>
      <c r="AJ95" s="94" t="s">
        <v>587</v>
      </c>
      <c r="AK95" s="29">
        <f t="shared" ref="AK95" si="211">IF(IFERROR(FIND("x",AJ95),0),SUM(EXTRACTNUMBER(AI95),EXTRACTNUMBER(AJ95)),IF(AND(SUM(EXTRACTNUMBER(AI95),EXTRACTNUMBER(AJ95))&gt;1009,SUM(EXTRACTNUMBER(AI95),EXTRACTNUMBER(AJ95))&lt;1020),
CONCATENATE(SUM(EXTRACTNUMBER(AI95),EXTRACTNUMBER(AJ95)),"@",1020-SUM(EXTRACTNUMBER(AI95),EXTRACTNUMBER(AJ95))),
IF(AND(SUM(EXTRACTNUMBER(AI95),EXTRACTNUMBER(AJ95))&gt;839,   SUM(EXTRACTNUMBER(AI95),EXTRACTNUMBER(AJ95))&lt;850),CONCATENATE(SUM(EXTRACTNUMBER(AI95),EXTRACTNUMBER(AJ95)),"@",850-SUM(EXTRACTNUMBER(AI95),EXTRACTNUMBER(AJ95))),
IF(AND(SUM(EXTRACTNUMBER(AI95),EXTRACTNUMBER(AJ95))&gt;669,        SUM(EXTRACTNUMBER(AI95),EXTRACTNUMBER(AJ95))&lt;680),
CONCATENATE(SUM(EXTRACTNUMBER(AI95),EXTRACTNUMBER(AJ95)),"@",680-SUM(EXTRACTNUMBER(AI95),EXTRACTNUMBER(AJ95))),
SUM(EXTRACTNUMBER(AI95),EXTRACTNUMBER(AJ95))))))</f>
        <v>1029</v>
      </c>
      <c r="AL95" s="29" t="str">
        <f t="shared" ref="AL95" ca="1" si="212">IF(AND(COUNTIF(C95:AH95,"AB")&lt;16-COUNTIF(C95:AH95," "),
COUNTIF(C95:AH95,"AB")&lt;&gt;0),"FAIL",
IF(COUNTIF(C95:AH95,"AB")=16-COUNTIF(C95:AH95," "),"ABSENT",
IF(AND(COUNTIF(C95:AH95,"AB")=0,COUNTIF(C95:AH95,"F")=0),"PASS","FAIL")))</f>
        <v>PASS</v>
      </c>
      <c r="AM95" s="30" t="str">
        <f ca="1">IF(AL95="ABSENT","AB",IF(AL95="FAIL","--",
IF(AJ95=0,"RS 3",
IF(AND(SUM(EXTRACTNUMBER(AJ95),EXTRACTNUMBER(AI95))&gt;=1010,
        NOT(IFERROR(FIND("x",AJ95),0)),
        NOT(IFERROR(FIND("x",AI95),0))),"I",
IF(AND(SUM(EXTRACTNUMBER(AJ95),EXTRACTNUMBER(AI95))&gt;=850,
      SUM(EXTRACTNUMBER(AJ95),EXTRACTNUMBER(AI95))&lt;1010,
      NOT(IFERROR(FIND("x",AJ95),0)),
      NOT(IFERROR(FIND("x",AI95),0))),"II",
IF(OR(AND(SUM(EXTRACTNUMBER(AJ95),EXTRACTNUMBER(AI95))&lt;850,
SUM(EXTRACTNUMBER(AJ95),EXTRACTNUMBER(AI95))&gt;=670),
IFERROR(FIND("x",AJ95),0),IFERROR(FIND("x",AI95),0)),"P","--"))))))</f>
        <v>P</v>
      </c>
      <c r="AN95" s="2" t="str">
        <f t="shared" ref="AN95" si="213">spellnumber(AK95)</f>
        <v xml:space="preserve">One Thousand Twenty Nine </v>
      </c>
    </row>
    <row r="96" spans="1:40">
      <c r="A96" s="45">
        <v>134295</v>
      </c>
      <c r="B96" s="46" t="s">
        <v>118</v>
      </c>
      <c r="C96" s="74">
        <v>42</v>
      </c>
      <c r="D96" s="77" t="s">
        <v>397</v>
      </c>
      <c r="E96" s="76">
        <v>16</v>
      </c>
      <c r="F96" s="77" t="s">
        <v>397</v>
      </c>
      <c r="G96" s="76">
        <v>45</v>
      </c>
      <c r="H96" s="77" t="s">
        <v>397</v>
      </c>
      <c r="I96" s="76">
        <v>18</v>
      </c>
      <c r="J96" s="77" t="s">
        <v>397</v>
      </c>
      <c r="K96" s="76">
        <v>19</v>
      </c>
      <c r="L96" s="77" t="s">
        <v>398</v>
      </c>
      <c r="M96" s="76">
        <v>17</v>
      </c>
      <c r="N96" s="77" t="s">
        <v>397</v>
      </c>
      <c r="O96" s="76">
        <v>17</v>
      </c>
      <c r="P96" s="77" t="s">
        <v>397</v>
      </c>
      <c r="Q96" s="76">
        <v>54</v>
      </c>
      <c r="R96" s="77" t="s">
        <v>397</v>
      </c>
      <c r="S96" s="76">
        <v>22</v>
      </c>
      <c r="T96" s="77" t="s">
        <v>397</v>
      </c>
      <c r="U96" s="76">
        <v>17</v>
      </c>
      <c r="V96" s="77" t="s">
        <v>397</v>
      </c>
      <c r="W96" s="76">
        <v>60</v>
      </c>
      <c r="X96" s="77" t="s">
        <v>397</v>
      </c>
      <c r="Y96" s="76">
        <v>22</v>
      </c>
      <c r="Z96" s="77" t="s">
        <v>397</v>
      </c>
      <c r="AA96" s="76">
        <v>22</v>
      </c>
      <c r="AB96" s="77" t="s">
        <v>397</v>
      </c>
      <c r="AC96" s="76">
        <v>45</v>
      </c>
      <c r="AD96" s="77" t="s">
        <v>397</v>
      </c>
      <c r="AE96" s="76">
        <v>19</v>
      </c>
      <c r="AF96" s="77" t="s">
        <v>397</v>
      </c>
      <c r="AG96" s="76">
        <v>22</v>
      </c>
      <c r="AH96" s="77" t="s">
        <v>397</v>
      </c>
      <c r="AI96" s="32">
        <v>457</v>
      </c>
      <c r="AJ96" s="83" t="s">
        <v>616</v>
      </c>
      <c r="AK96" s="29">
        <v>890</v>
      </c>
      <c r="AL96" s="29" t="s">
        <v>399</v>
      </c>
      <c r="AM96" s="30" t="s">
        <v>400</v>
      </c>
      <c r="AN96" s="2" t="s">
        <v>617</v>
      </c>
    </row>
    <row r="97" spans="1:40">
      <c r="A97" s="45">
        <v>134296</v>
      </c>
      <c r="B97" s="46" t="s">
        <v>119</v>
      </c>
      <c r="C97" s="43">
        <v>59</v>
      </c>
      <c r="D97" s="27" t="str">
        <f t="shared" ref="D97" ca="1" si="214">IF(IFERROR(FIND("+",C97),0)," ",
IF(C97="AB","",
IF(C97&lt;$D$27,"F",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E97" s="26">
        <v>16</v>
      </c>
      <c r="F97" s="27" t="str">
        <f t="shared" ref="F97" ca="1" si="215">IF(IFERROR(FIND("+",E97),0)," ",
IF(E97="AB","",
IF(E97&lt;$F$27,"F",
IF(AND(E97&gt;=$F$27,C97&gt;=$D$27,G97&gt;=$H$27,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G97" s="24">
        <v>53</v>
      </c>
      <c r="H97" s="27" t="str">
        <f t="shared" ref="H97" ca="1" si="216">IF(IFERROR(FIND("+",G97),0)," ",
IF(G97="AB","",
IF(G97&lt;$H$27,"F",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I97" s="26">
        <v>16</v>
      </c>
      <c r="J97" s="27" t="str">
        <f t="shared" ref="J97" ca="1" si="217">IF(IFERROR(FIND("+",I97),0)," ",
IF(I97="AB","",
IF(I97&lt;$J$27,"F",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K97" s="24">
        <v>45</v>
      </c>
      <c r="L97" s="27" t="str">
        <f t="shared" ref="L97" ca="1" si="218">IF(IFERROR(FIND("+",K97),0)," ",
IF(K97="AB","",
IF(K97&lt;$L$27,"F",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M97" s="26">
        <v>16</v>
      </c>
      <c r="N97" s="27" t="str">
        <f t="shared" ref="N97" ca="1" si="219">IF(IFERROR(FIND("+",M97),0)," ",
IF(M97="AB","",
IF(M97&lt;$N$27,"F",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AG97&lt;&gt;"AB"),"","E"))))</f>
        <v/>
      </c>
      <c r="O97" s="26">
        <v>16</v>
      </c>
      <c r="P97" s="27" t="str">
        <f t="shared" ref="P97" ca="1" si="220">IF(IFERROR(FIND("+",O97),0)," ",
IF(O97="AB","",
IF(O97&lt;$P$27,"F",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Q97" s="24">
        <v>42</v>
      </c>
      <c r="R97" s="27" t="str">
        <f t="shared" ref="R97" ca="1" si="221">IF(IFERROR(FIND("+",Q97),0)," ",
IF(Q97="AB","",
IF(Q97&lt;$R$27,"F",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S97" s="26">
        <v>22</v>
      </c>
      <c r="T97" s="27" t="str">
        <f t="shared" ref="T97" ca="1" si="222">IF(IFERROR(FIND("+",S97),0)," ",
IF(S97="AB","",
IF(S97&lt;$T$27,"F",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U97" s="26">
        <v>14</v>
      </c>
      <c r="V97" s="27" t="str">
        <f t="shared" ref="V97" ca="1" si="223">IF(IFERROR(FIND("+",U97),0)," ",
IF(U97="AB","",
IF(U97&lt;$V$27,"F",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W97" s="24">
        <v>40</v>
      </c>
      <c r="X97" s="27" t="str">
        <f t="shared" ref="X97" ca="1" si="224">IF(IFERROR(FIND("+",W97),0)," ",
IF(W97="AB","",
IF(W97&lt;$X$27,"F",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Y97" s="26">
        <v>22</v>
      </c>
      <c r="Z97" s="27" t="str">
        <f t="shared" ref="Z97" ca="1" si="225">IF(IFERROR(FIND("+",Y97),0)," ",
IF(Y97="AB","",
IF(Y97&lt;$Z$27,"F",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AA97" s="26">
        <v>22</v>
      </c>
      <c r="AB97" s="27" t="str">
        <f t="shared" ref="AB97" ca="1" si="226">IF(IFERROR(FIND("+",AA97),0)," ",
IF(AA97="AB","",
IF(AA97&lt;$AB$27,"F",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AC97" s="40" t="s">
        <v>307</v>
      </c>
      <c r="AD97" s="27" t="str">
        <f t="shared" ref="AD97" ca="1" si="227">IF(IFERROR(FIND("+",AC97),0)," ",
IF(AC97="AB","",
IF(AC97&lt;$AD$27,"F",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AE97" s="26">
        <v>20</v>
      </c>
      <c r="AF97" s="27" t="str">
        <f t="shared" ref="AF97" ca="1" si="228">IF(IFERROR(FIND("+",AE97),0)," ",
IF(AE97="AB","",IF(AE97&lt;$AF$27,"F",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AG97&lt;&gt;"AB",AH97&lt;&gt;"AB"),"","E"))))</f>
        <v/>
      </c>
      <c r="AG97" s="26">
        <v>16</v>
      </c>
      <c r="AH97" s="27" t="str">
        <f t="shared" ref="AH97" ca="1" si="229">IF(IFERROR(FIND("+",AG97),0)," ",
IF(AG97="AB","",
IF(AG97&lt;$AH$27,"F",
IF(AND(C97&gt;=$D$27,E97&gt;=$F$27,G97&gt;=$H$27,
I97&gt;=$J$27,K97&gt;=$L$27,
M97&gt;=$N$27,O97&gt;=$P$27,Q97&gt;=$R$27,S97&gt;=$T$27,U97&gt;=$V$27,
W97&gt;=$X$27,Y97&gt;=$Z$27,AA97&gt;=$AB$27,AC97&gt;=$AD$27,AE97&gt;=$AF$27,
AG97&gt;=$AH$27,C97&lt;&gt;"AB",E97&lt;&gt;"AB",G97&lt;&gt;"AB",
I97&lt;&gt;"AB",K97&lt;&gt;"AB",
M97&lt;&gt;"AB",O97&lt;&gt;"AB",Q97&lt;&gt;"AB",S97&lt;&gt;"AB",U97&lt;&gt;"AB",
W97&lt;&gt;"AB",Y97&lt;&gt;"AB",AA97&lt;&gt;"AB",AC97&lt;&gt;"AB",AE97&lt;&gt;"AB",
AG97&lt;&gt;"AB"),"","E"))))</f>
        <v/>
      </c>
      <c r="AI97" s="41" t="s">
        <v>311</v>
      </c>
      <c r="AJ97" s="28" t="s">
        <v>283</v>
      </c>
      <c r="AK97" s="29">
        <f t="shared" ref="AK97" si="230">IF(IFERROR(FIND("x",AJ97),0),SUM(EXTRACTNUMBER(AI97),EXTRACTNUMBER(AJ97)),IF(AND(SUM(EXTRACTNUMBER(AI97),EXTRACTNUMBER(AJ97))&gt;1009,SUM(EXTRACTNUMBER(AI97),EXTRACTNUMBER(AJ97))&lt;1020),
CONCATENATE(SUM(EXTRACTNUMBER(AI97),EXTRACTNUMBER(AJ97)),"@",1020-SUM(EXTRACTNUMBER(AI97),EXTRACTNUMBER(AJ97))),
IF(AND(SUM(EXTRACTNUMBER(AI97),EXTRACTNUMBER(AJ97))&gt;839,   SUM(EXTRACTNUMBER(AI97),EXTRACTNUMBER(AJ97))&lt;850),CONCATENATE(SUM(EXTRACTNUMBER(AI97),EXTRACTNUMBER(AJ97)),"@",850-SUM(EXTRACTNUMBER(AI97),EXTRACTNUMBER(AJ97))),
IF(AND(SUM(EXTRACTNUMBER(AI97),EXTRACTNUMBER(AJ97))&gt;669,        SUM(EXTRACTNUMBER(AI97),EXTRACTNUMBER(AJ97))&lt;680),
CONCATENATE(SUM(EXTRACTNUMBER(AI97),EXTRACTNUMBER(AJ97)),"@",680-SUM(EXTRACTNUMBER(AI97),EXTRACTNUMBER(AJ97))),
SUM(EXTRACTNUMBER(AI97),EXTRACTNUMBER(AJ97))))))</f>
        <v>955</v>
      </c>
      <c r="AL97" s="29" t="str">
        <f t="shared" ref="AL97" ca="1" si="231">IF(AND(COUNTIF(C97:AH97,"AB")&lt;16-COUNTIF(C97:AH97," "),
COUNTIF(C97:AH97,"AB")&lt;&gt;0),"FAIL",
IF(COUNTIF(C97:AH97,"AB")=16-COUNTIF(C97:AH97," "),"ABSENT",
IF(AND(COUNTIF(C97:AH97,"AB")=0,COUNTIF(C97:AH97,"F")=0),"PASS","FAIL")))</f>
        <v>PASS</v>
      </c>
      <c r="AM97" s="30" t="str">
        <f ca="1">IF(AL97="ABSENT","AB",IF(AL97="FAIL","--",
IF(AJ97=0,"RS 3",
IF(AND(SUM(EXTRACTNUMBER(AJ97),EXTRACTNUMBER(AI97))&gt;=1010,
        NOT(IFERROR(FIND("x",AJ97),0)),
        NOT(IFERROR(FIND("x",AI97),0))),"I",
IF(AND(SUM(EXTRACTNUMBER(AJ97),EXTRACTNUMBER(AI97))&gt;=850,
      SUM(EXTRACTNUMBER(AJ97),EXTRACTNUMBER(AI97))&lt;1010,
      NOT(IFERROR(FIND("x",AJ97),0)),
      NOT(IFERROR(FIND("x",AI97),0))),"II",
IF(OR(AND(SUM(EXTRACTNUMBER(AJ97),EXTRACTNUMBER(AI97))&lt;850,
SUM(EXTRACTNUMBER(AJ97),EXTRACTNUMBER(AI97))&gt;=670),
IFERROR(FIND("x",AJ97),0),IFERROR(FIND("x",AI97),0)),"P","--"))))))</f>
        <v>II</v>
      </c>
      <c r="AN97" s="2" t="str">
        <f t="shared" ref="AN97" si="232">spellnumber(AK97)</f>
        <v xml:space="preserve">Nine Hundred Fifty Five </v>
      </c>
    </row>
    <row r="98" spans="1:40">
      <c r="A98" s="45">
        <v>134297</v>
      </c>
      <c r="B98" s="46" t="s">
        <v>120</v>
      </c>
      <c r="C98" s="74">
        <v>53</v>
      </c>
      <c r="D98" s="77" t="s">
        <v>391</v>
      </c>
      <c r="E98" s="76">
        <v>24</v>
      </c>
      <c r="F98" s="77" t="s">
        <v>391</v>
      </c>
      <c r="G98" s="76">
        <v>71</v>
      </c>
      <c r="H98" s="77" t="s">
        <v>391</v>
      </c>
      <c r="I98" s="76">
        <v>21</v>
      </c>
      <c r="J98" s="77" t="s">
        <v>391</v>
      </c>
      <c r="K98" s="76">
        <v>58</v>
      </c>
      <c r="L98" s="77" t="s">
        <v>391</v>
      </c>
      <c r="M98" s="76">
        <v>22</v>
      </c>
      <c r="N98" s="77" t="s">
        <v>391</v>
      </c>
      <c r="O98" s="76">
        <v>22</v>
      </c>
      <c r="P98" s="77" t="s">
        <v>391</v>
      </c>
      <c r="Q98" s="76">
        <v>61</v>
      </c>
      <c r="R98" s="77" t="s">
        <v>391</v>
      </c>
      <c r="S98" s="76">
        <v>22</v>
      </c>
      <c r="T98" s="77" t="s">
        <v>391</v>
      </c>
      <c r="U98" s="76">
        <v>22</v>
      </c>
      <c r="V98" s="77" t="s">
        <v>391</v>
      </c>
      <c r="W98" s="76">
        <v>54</v>
      </c>
      <c r="X98" s="77" t="s">
        <v>391</v>
      </c>
      <c r="Y98" s="76">
        <v>24</v>
      </c>
      <c r="Z98" s="77" t="s">
        <v>391</v>
      </c>
      <c r="AA98" s="76">
        <v>23</v>
      </c>
      <c r="AB98" s="77" t="s">
        <v>391</v>
      </c>
      <c r="AC98" s="76">
        <v>54</v>
      </c>
      <c r="AD98" s="77" t="s">
        <v>391</v>
      </c>
      <c r="AE98" s="76">
        <v>23</v>
      </c>
      <c r="AF98" s="77" t="s">
        <v>391</v>
      </c>
      <c r="AG98" s="76">
        <v>22</v>
      </c>
      <c r="AH98" s="77" t="s">
        <v>391</v>
      </c>
      <c r="AI98" s="32">
        <v>576</v>
      </c>
      <c r="AJ98" s="28" t="s">
        <v>284</v>
      </c>
      <c r="AK98" s="29">
        <v>1219</v>
      </c>
      <c r="AL98" s="29" t="s">
        <v>392</v>
      </c>
      <c r="AM98" s="30" t="s">
        <v>395</v>
      </c>
      <c r="AN98" s="2" t="s">
        <v>470</v>
      </c>
    </row>
    <row r="99" spans="1:40">
      <c r="A99" s="45">
        <v>134298</v>
      </c>
      <c r="B99" s="46" t="s">
        <v>121</v>
      </c>
      <c r="C99" s="74">
        <v>47</v>
      </c>
      <c r="D99" s="77" t="s">
        <v>391</v>
      </c>
      <c r="E99" s="76">
        <v>20</v>
      </c>
      <c r="F99" s="77" t="s">
        <v>391</v>
      </c>
      <c r="G99" s="76">
        <v>71</v>
      </c>
      <c r="H99" s="77" t="s">
        <v>391</v>
      </c>
      <c r="I99" s="76">
        <v>19</v>
      </c>
      <c r="J99" s="77" t="s">
        <v>391</v>
      </c>
      <c r="K99" s="76">
        <v>58</v>
      </c>
      <c r="L99" s="77" t="s">
        <v>391</v>
      </c>
      <c r="M99" s="76">
        <v>20</v>
      </c>
      <c r="N99" s="77" t="s">
        <v>391</v>
      </c>
      <c r="O99" s="76">
        <v>20</v>
      </c>
      <c r="P99" s="77" t="s">
        <v>391</v>
      </c>
      <c r="Q99" s="76">
        <v>57</v>
      </c>
      <c r="R99" s="77" t="s">
        <v>391</v>
      </c>
      <c r="S99" s="76">
        <v>23</v>
      </c>
      <c r="T99" s="77" t="s">
        <v>391</v>
      </c>
      <c r="U99" s="76">
        <v>22</v>
      </c>
      <c r="V99" s="77" t="s">
        <v>391</v>
      </c>
      <c r="W99" s="76">
        <v>52</v>
      </c>
      <c r="X99" s="77" t="s">
        <v>391</v>
      </c>
      <c r="Y99" s="76">
        <v>23</v>
      </c>
      <c r="Z99" s="77" t="s">
        <v>391</v>
      </c>
      <c r="AA99" s="76">
        <v>22</v>
      </c>
      <c r="AB99" s="77" t="s">
        <v>391</v>
      </c>
      <c r="AC99" s="76">
        <v>56</v>
      </c>
      <c r="AD99" s="77" t="s">
        <v>391</v>
      </c>
      <c r="AE99" s="76">
        <v>18</v>
      </c>
      <c r="AF99" s="77" t="s">
        <v>391</v>
      </c>
      <c r="AG99" s="76">
        <v>16</v>
      </c>
      <c r="AH99" s="77" t="s">
        <v>391</v>
      </c>
      <c r="AI99" s="32">
        <v>544</v>
      </c>
      <c r="AJ99" s="28" t="s">
        <v>285</v>
      </c>
      <c r="AK99" s="29">
        <v>1106</v>
      </c>
      <c r="AL99" s="29" t="s">
        <v>392</v>
      </c>
      <c r="AM99" s="30" t="s">
        <v>395</v>
      </c>
      <c r="AN99" s="2" t="s">
        <v>471</v>
      </c>
    </row>
    <row r="100" spans="1:40">
      <c r="A100" s="45">
        <v>134299</v>
      </c>
      <c r="B100" s="46" t="s">
        <v>122</v>
      </c>
      <c r="C100" s="74">
        <v>40</v>
      </c>
      <c r="D100" s="77" t="s">
        <v>391</v>
      </c>
      <c r="E100" s="76">
        <v>18</v>
      </c>
      <c r="F100" s="77" t="s">
        <v>391</v>
      </c>
      <c r="G100" s="76">
        <v>53</v>
      </c>
      <c r="H100" s="77" t="s">
        <v>391</v>
      </c>
      <c r="I100" s="76">
        <v>23</v>
      </c>
      <c r="J100" s="77" t="s">
        <v>391</v>
      </c>
      <c r="K100" s="76">
        <v>49</v>
      </c>
      <c r="L100" s="77" t="s">
        <v>391</v>
      </c>
      <c r="M100" s="76">
        <v>22</v>
      </c>
      <c r="N100" s="77" t="s">
        <v>391</v>
      </c>
      <c r="O100" s="76">
        <v>22</v>
      </c>
      <c r="P100" s="77" t="s">
        <v>391</v>
      </c>
      <c r="Q100" s="76">
        <v>41</v>
      </c>
      <c r="R100" s="77" t="s">
        <v>391</v>
      </c>
      <c r="S100" s="76">
        <v>23</v>
      </c>
      <c r="T100" s="77" t="s">
        <v>391</v>
      </c>
      <c r="U100" s="76">
        <v>22</v>
      </c>
      <c r="V100" s="77" t="s">
        <v>391</v>
      </c>
      <c r="W100" s="76">
        <v>41</v>
      </c>
      <c r="X100" s="77" t="s">
        <v>391</v>
      </c>
      <c r="Y100" s="76">
        <v>21</v>
      </c>
      <c r="Z100" s="77" t="s">
        <v>391</v>
      </c>
      <c r="AA100" s="76">
        <v>21</v>
      </c>
      <c r="AB100" s="77" t="s">
        <v>391</v>
      </c>
      <c r="AC100" s="76">
        <v>45</v>
      </c>
      <c r="AD100" s="77" t="s">
        <v>391</v>
      </c>
      <c r="AE100" s="76">
        <v>19</v>
      </c>
      <c r="AF100" s="77" t="s">
        <v>391</v>
      </c>
      <c r="AG100" s="76">
        <v>17</v>
      </c>
      <c r="AH100" s="77" t="s">
        <v>391</v>
      </c>
      <c r="AI100" s="32">
        <v>477</v>
      </c>
      <c r="AJ100" s="83" t="s">
        <v>588</v>
      </c>
      <c r="AK100" s="29">
        <v>1013</v>
      </c>
      <c r="AL100" s="29" t="s">
        <v>392</v>
      </c>
      <c r="AM100" s="30" t="s">
        <v>15</v>
      </c>
      <c r="AN100" s="2" t="s">
        <v>612</v>
      </c>
    </row>
    <row r="101" spans="1:40">
      <c r="A101" s="45">
        <v>134300</v>
      </c>
      <c r="B101" s="46" t="s">
        <v>123</v>
      </c>
      <c r="C101" s="74">
        <v>16</v>
      </c>
      <c r="D101" s="77" t="s">
        <v>398</v>
      </c>
      <c r="E101" s="76">
        <v>20</v>
      </c>
      <c r="F101" s="77" t="s">
        <v>397</v>
      </c>
      <c r="G101" s="76">
        <v>61</v>
      </c>
      <c r="H101" s="77" t="s">
        <v>397</v>
      </c>
      <c r="I101" s="76">
        <v>19</v>
      </c>
      <c r="J101" s="77" t="s">
        <v>397</v>
      </c>
      <c r="K101" s="76">
        <v>45</v>
      </c>
      <c r="L101" s="77" t="s">
        <v>397</v>
      </c>
      <c r="M101" s="76">
        <v>21</v>
      </c>
      <c r="N101" s="77" t="s">
        <v>397</v>
      </c>
      <c r="O101" s="76">
        <v>20</v>
      </c>
      <c r="P101" s="77" t="s">
        <v>397</v>
      </c>
      <c r="Q101" s="76">
        <v>55</v>
      </c>
      <c r="R101" s="77" t="s">
        <v>397</v>
      </c>
      <c r="S101" s="76">
        <v>22</v>
      </c>
      <c r="T101" s="77" t="s">
        <v>397</v>
      </c>
      <c r="U101" s="76">
        <v>17</v>
      </c>
      <c r="V101" s="77" t="s">
        <v>397</v>
      </c>
      <c r="W101" s="76">
        <v>56</v>
      </c>
      <c r="X101" s="77" t="s">
        <v>397</v>
      </c>
      <c r="Y101" s="76">
        <v>21</v>
      </c>
      <c r="Z101" s="77" t="s">
        <v>397</v>
      </c>
      <c r="AA101" s="76">
        <v>21</v>
      </c>
      <c r="AB101" s="77" t="s">
        <v>397</v>
      </c>
      <c r="AC101" s="76">
        <v>52</v>
      </c>
      <c r="AD101" s="77" t="s">
        <v>397</v>
      </c>
      <c r="AE101" s="76">
        <v>22</v>
      </c>
      <c r="AF101" s="77" t="s">
        <v>397</v>
      </c>
      <c r="AG101" s="76">
        <v>19</v>
      </c>
      <c r="AH101" s="77" t="s">
        <v>397</v>
      </c>
      <c r="AI101" s="32">
        <v>487</v>
      </c>
      <c r="AJ101" s="83" t="s">
        <v>531</v>
      </c>
      <c r="AK101" s="29">
        <v>487</v>
      </c>
      <c r="AL101" s="29" t="s">
        <v>399</v>
      </c>
      <c r="AM101" s="30" t="s">
        <v>400</v>
      </c>
      <c r="AN101" s="2" t="s">
        <v>472</v>
      </c>
    </row>
    <row r="102" spans="1:40">
      <c r="A102" s="45">
        <v>134301</v>
      </c>
      <c r="B102" s="46" t="s">
        <v>124</v>
      </c>
      <c r="C102" s="82" t="s">
        <v>335</v>
      </c>
      <c r="D102" s="77" t="s">
        <v>398</v>
      </c>
      <c r="E102" s="76">
        <v>12</v>
      </c>
      <c r="F102" s="77" t="s">
        <v>397</v>
      </c>
      <c r="G102" s="76">
        <v>10</v>
      </c>
      <c r="H102" s="77" t="s">
        <v>398</v>
      </c>
      <c r="I102" s="76">
        <v>17</v>
      </c>
      <c r="J102" s="77" t="s">
        <v>397</v>
      </c>
      <c r="K102" s="76">
        <v>16</v>
      </c>
      <c r="L102" s="77" t="s">
        <v>398</v>
      </c>
      <c r="M102" s="76">
        <v>16</v>
      </c>
      <c r="N102" s="77" t="s">
        <v>397</v>
      </c>
      <c r="O102" s="76">
        <v>16</v>
      </c>
      <c r="P102" s="77" t="s">
        <v>397</v>
      </c>
      <c r="Q102" s="76">
        <v>28</v>
      </c>
      <c r="R102" s="77" t="s">
        <v>398</v>
      </c>
      <c r="S102" s="76">
        <v>15</v>
      </c>
      <c r="T102" s="77" t="s">
        <v>397</v>
      </c>
      <c r="U102" s="76">
        <v>19</v>
      </c>
      <c r="V102" s="77" t="s">
        <v>397</v>
      </c>
      <c r="W102" s="76">
        <v>46</v>
      </c>
      <c r="X102" s="77" t="s">
        <v>397</v>
      </c>
      <c r="Y102" s="76">
        <v>21</v>
      </c>
      <c r="Z102" s="77" t="s">
        <v>397</v>
      </c>
      <c r="AA102" s="76">
        <v>22</v>
      </c>
      <c r="AB102" s="77" t="s">
        <v>397</v>
      </c>
      <c r="AC102" s="76">
        <v>32</v>
      </c>
      <c r="AD102" s="77" t="s">
        <v>398</v>
      </c>
      <c r="AE102" s="76">
        <v>19</v>
      </c>
      <c r="AF102" s="77" t="s">
        <v>397</v>
      </c>
      <c r="AG102" s="76">
        <v>18</v>
      </c>
      <c r="AH102" s="77" t="s">
        <v>397</v>
      </c>
      <c r="AI102" s="32">
        <v>310</v>
      </c>
      <c r="AJ102" s="83" t="s">
        <v>531</v>
      </c>
      <c r="AK102" s="29">
        <v>310</v>
      </c>
      <c r="AL102" s="29" t="s">
        <v>399</v>
      </c>
      <c r="AM102" s="30" t="s">
        <v>400</v>
      </c>
      <c r="AN102" s="2" t="s">
        <v>473</v>
      </c>
    </row>
    <row r="103" spans="1:40">
      <c r="A103" s="45">
        <v>134302</v>
      </c>
      <c r="B103" s="46" t="s">
        <v>125</v>
      </c>
      <c r="C103" s="74">
        <v>25</v>
      </c>
      <c r="D103" s="77" t="s">
        <v>398</v>
      </c>
      <c r="E103" s="76">
        <v>16</v>
      </c>
      <c r="F103" s="77" t="s">
        <v>397</v>
      </c>
      <c r="G103" s="76">
        <v>40</v>
      </c>
      <c r="H103" s="77" t="s">
        <v>397</v>
      </c>
      <c r="I103" s="76">
        <v>19</v>
      </c>
      <c r="J103" s="77" t="s">
        <v>397</v>
      </c>
      <c r="K103" s="76">
        <v>42</v>
      </c>
      <c r="L103" s="77" t="s">
        <v>397</v>
      </c>
      <c r="M103" s="76">
        <v>17</v>
      </c>
      <c r="N103" s="77" t="s">
        <v>397</v>
      </c>
      <c r="O103" s="76">
        <v>17</v>
      </c>
      <c r="P103" s="77" t="s">
        <v>397</v>
      </c>
      <c r="Q103" s="76">
        <v>43</v>
      </c>
      <c r="R103" s="77" t="s">
        <v>397</v>
      </c>
      <c r="S103" s="76">
        <v>21</v>
      </c>
      <c r="T103" s="77" t="s">
        <v>397</v>
      </c>
      <c r="U103" s="76">
        <v>19</v>
      </c>
      <c r="V103" s="77" t="s">
        <v>397</v>
      </c>
      <c r="W103" s="76">
        <v>46</v>
      </c>
      <c r="X103" s="77" t="s">
        <v>397</v>
      </c>
      <c r="Y103" s="76">
        <v>21</v>
      </c>
      <c r="Z103" s="77" t="s">
        <v>397</v>
      </c>
      <c r="AA103" s="76">
        <v>22</v>
      </c>
      <c r="AB103" s="77" t="s">
        <v>397</v>
      </c>
      <c r="AC103" s="76">
        <v>50</v>
      </c>
      <c r="AD103" s="77" t="s">
        <v>397</v>
      </c>
      <c r="AE103" s="76">
        <v>21</v>
      </c>
      <c r="AF103" s="77" t="s">
        <v>397</v>
      </c>
      <c r="AG103" s="76">
        <v>20</v>
      </c>
      <c r="AH103" s="77" t="s">
        <v>397</v>
      </c>
      <c r="AI103" s="32">
        <v>439</v>
      </c>
      <c r="AJ103" s="83" t="s">
        <v>531</v>
      </c>
      <c r="AK103" s="29">
        <v>439</v>
      </c>
      <c r="AL103" s="29" t="s">
        <v>399</v>
      </c>
      <c r="AM103" s="30" t="s">
        <v>400</v>
      </c>
      <c r="AN103" s="2" t="s">
        <v>474</v>
      </c>
    </row>
    <row r="104" spans="1:40">
      <c r="A104" s="45">
        <v>134303</v>
      </c>
      <c r="B104" s="46" t="s">
        <v>126</v>
      </c>
      <c r="C104" s="74">
        <v>60</v>
      </c>
      <c r="D104" s="77" t="s">
        <v>391</v>
      </c>
      <c r="E104" s="76">
        <v>21</v>
      </c>
      <c r="F104" s="77" t="s">
        <v>391</v>
      </c>
      <c r="G104" s="76">
        <v>62</v>
      </c>
      <c r="H104" s="77" t="s">
        <v>391</v>
      </c>
      <c r="I104" s="76">
        <v>24</v>
      </c>
      <c r="J104" s="77" t="s">
        <v>391</v>
      </c>
      <c r="K104" s="76">
        <v>49</v>
      </c>
      <c r="L104" s="77" t="s">
        <v>391</v>
      </c>
      <c r="M104" s="76">
        <v>21</v>
      </c>
      <c r="N104" s="77" t="s">
        <v>391</v>
      </c>
      <c r="O104" s="76">
        <v>21</v>
      </c>
      <c r="P104" s="77" t="s">
        <v>391</v>
      </c>
      <c r="Q104" s="76">
        <v>40</v>
      </c>
      <c r="R104" s="77" t="s">
        <v>391</v>
      </c>
      <c r="S104" s="76">
        <v>21</v>
      </c>
      <c r="T104" s="77" t="s">
        <v>391</v>
      </c>
      <c r="U104" s="76">
        <v>21</v>
      </c>
      <c r="V104" s="77" t="s">
        <v>391</v>
      </c>
      <c r="W104" s="76">
        <v>69</v>
      </c>
      <c r="X104" s="77" t="s">
        <v>391</v>
      </c>
      <c r="Y104" s="76">
        <v>22</v>
      </c>
      <c r="Z104" s="77" t="s">
        <v>391</v>
      </c>
      <c r="AA104" s="76">
        <v>23</v>
      </c>
      <c r="AB104" s="77" t="s">
        <v>391</v>
      </c>
      <c r="AC104" s="76">
        <v>52</v>
      </c>
      <c r="AD104" s="77" t="s">
        <v>391</v>
      </c>
      <c r="AE104" s="76">
        <v>21</v>
      </c>
      <c r="AF104" s="77" t="s">
        <v>391</v>
      </c>
      <c r="AG104" s="76">
        <v>19</v>
      </c>
      <c r="AH104" s="77" t="s">
        <v>391</v>
      </c>
      <c r="AI104" s="32">
        <v>546</v>
      </c>
      <c r="AJ104" s="28" t="s">
        <v>286</v>
      </c>
      <c r="AK104" s="29">
        <v>1056</v>
      </c>
      <c r="AL104" s="29" t="s">
        <v>392</v>
      </c>
      <c r="AM104" s="30" t="s">
        <v>395</v>
      </c>
      <c r="AN104" s="2" t="s">
        <v>475</v>
      </c>
    </row>
    <row r="105" spans="1:40">
      <c r="A105" s="45">
        <v>134304</v>
      </c>
      <c r="B105" s="46" t="s">
        <v>127</v>
      </c>
      <c r="C105" s="74">
        <v>60</v>
      </c>
      <c r="D105" s="77" t="s">
        <v>391</v>
      </c>
      <c r="E105" s="76">
        <v>24</v>
      </c>
      <c r="F105" s="77" t="s">
        <v>391</v>
      </c>
      <c r="G105" s="76">
        <v>68</v>
      </c>
      <c r="H105" s="77" t="s">
        <v>391</v>
      </c>
      <c r="I105" s="76">
        <v>24</v>
      </c>
      <c r="J105" s="77" t="s">
        <v>391</v>
      </c>
      <c r="K105" s="76">
        <v>53</v>
      </c>
      <c r="L105" s="77" t="s">
        <v>391</v>
      </c>
      <c r="M105" s="76">
        <v>23</v>
      </c>
      <c r="N105" s="77" t="s">
        <v>391</v>
      </c>
      <c r="O105" s="76">
        <v>24</v>
      </c>
      <c r="P105" s="77" t="s">
        <v>391</v>
      </c>
      <c r="Q105" s="76">
        <v>63</v>
      </c>
      <c r="R105" s="77" t="s">
        <v>391</v>
      </c>
      <c r="S105" s="76">
        <v>21</v>
      </c>
      <c r="T105" s="77" t="s">
        <v>391</v>
      </c>
      <c r="U105" s="76">
        <v>24</v>
      </c>
      <c r="V105" s="77" t="s">
        <v>391</v>
      </c>
      <c r="W105" s="76">
        <v>70</v>
      </c>
      <c r="X105" s="77" t="s">
        <v>391</v>
      </c>
      <c r="Y105" s="76">
        <v>24</v>
      </c>
      <c r="Z105" s="77" t="s">
        <v>391</v>
      </c>
      <c r="AA105" s="76">
        <v>21</v>
      </c>
      <c r="AB105" s="77" t="s">
        <v>391</v>
      </c>
      <c r="AC105" s="76">
        <v>48</v>
      </c>
      <c r="AD105" s="77" t="s">
        <v>391</v>
      </c>
      <c r="AE105" s="76">
        <v>24</v>
      </c>
      <c r="AF105" s="77" t="s">
        <v>391</v>
      </c>
      <c r="AG105" s="76">
        <v>23</v>
      </c>
      <c r="AH105" s="77" t="s">
        <v>391</v>
      </c>
      <c r="AI105" s="32">
        <v>594</v>
      </c>
      <c r="AJ105" s="28" t="s">
        <v>287</v>
      </c>
      <c r="AK105" s="29">
        <v>1164</v>
      </c>
      <c r="AL105" s="29" t="s">
        <v>392</v>
      </c>
      <c r="AM105" s="30" t="s">
        <v>395</v>
      </c>
      <c r="AN105" s="2" t="s">
        <v>476</v>
      </c>
    </row>
    <row r="106" spans="1:40">
      <c r="A106" s="45">
        <v>134305</v>
      </c>
      <c r="B106" s="46" t="s">
        <v>128</v>
      </c>
      <c r="C106" s="74">
        <v>25</v>
      </c>
      <c r="D106" s="77" t="s">
        <v>398</v>
      </c>
      <c r="E106" s="76">
        <v>16</v>
      </c>
      <c r="F106" s="77" t="s">
        <v>397</v>
      </c>
      <c r="G106" s="76">
        <v>66</v>
      </c>
      <c r="H106" s="77" t="s">
        <v>397</v>
      </c>
      <c r="I106" s="76">
        <v>21</v>
      </c>
      <c r="J106" s="77" t="s">
        <v>397</v>
      </c>
      <c r="K106" s="76">
        <v>47</v>
      </c>
      <c r="L106" s="77" t="s">
        <v>397</v>
      </c>
      <c r="M106" s="76">
        <v>18</v>
      </c>
      <c r="N106" s="77" t="s">
        <v>397</v>
      </c>
      <c r="O106" s="76">
        <v>18</v>
      </c>
      <c r="P106" s="77" t="s">
        <v>397</v>
      </c>
      <c r="Q106" s="76">
        <v>57</v>
      </c>
      <c r="R106" s="77" t="s">
        <v>397</v>
      </c>
      <c r="S106" s="76">
        <v>19</v>
      </c>
      <c r="T106" s="77" t="s">
        <v>397</v>
      </c>
      <c r="U106" s="76">
        <v>21</v>
      </c>
      <c r="V106" s="77" t="s">
        <v>397</v>
      </c>
      <c r="W106" s="76">
        <v>55</v>
      </c>
      <c r="X106" s="77" t="s">
        <v>397</v>
      </c>
      <c r="Y106" s="76">
        <v>20</v>
      </c>
      <c r="Z106" s="77" t="s">
        <v>397</v>
      </c>
      <c r="AA106" s="76">
        <v>21</v>
      </c>
      <c r="AB106" s="77" t="s">
        <v>397</v>
      </c>
      <c r="AC106" s="76">
        <v>49</v>
      </c>
      <c r="AD106" s="77" t="s">
        <v>397</v>
      </c>
      <c r="AE106" s="76">
        <v>19</v>
      </c>
      <c r="AF106" s="77" t="s">
        <v>397</v>
      </c>
      <c r="AG106" s="76">
        <v>21</v>
      </c>
      <c r="AH106" s="77" t="s">
        <v>397</v>
      </c>
      <c r="AI106" s="32">
        <v>493</v>
      </c>
      <c r="AJ106" s="83" t="s">
        <v>531</v>
      </c>
      <c r="AK106" s="29">
        <v>493</v>
      </c>
      <c r="AL106" s="29" t="s">
        <v>399</v>
      </c>
      <c r="AM106" s="30" t="s">
        <v>400</v>
      </c>
      <c r="AN106" s="2" t="s">
        <v>477</v>
      </c>
    </row>
    <row r="107" spans="1:40">
      <c r="A107" s="45">
        <v>134306</v>
      </c>
      <c r="B107" s="46" t="s">
        <v>129</v>
      </c>
      <c r="C107" s="74">
        <v>20</v>
      </c>
      <c r="D107" s="77" t="s">
        <v>398</v>
      </c>
      <c r="E107" s="76">
        <v>15</v>
      </c>
      <c r="F107" s="77" t="s">
        <v>397</v>
      </c>
      <c r="G107" s="76">
        <v>27</v>
      </c>
      <c r="H107" s="77" t="s">
        <v>398</v>
      </c>
      <c r="I107" s="76">
        <v>19</v>
      </c>
      <c r="J107" s="77" t="s">
        <v>397</v>
      </c>
      <c r="K107" s="76">
        <v>40</v>
      </c>
      <c r="L107" s="77" t="s">
        <v>397</v>
      </c>
      <c r="M107" s="76">
        <v>16</v>
      </c>
      <c r="N107" s="77" t="s">
        <v>397</v>
      </c>
      <c r="O107" s="76">
        <v>17</v>
      </c>
      <c r="P107" s="77" t="s">
        <v>397</v>
      </c>
      <c r="Q107" s="76">
        <v>48</v>
      </c>
      <c r="R107" s="77" t="s">
        <v>397</v>
      </c>
      <c r="S107" s="76">
        <v>21</v>
      </c>
      <c r="T107" s="77" t="s">
        <v>397</v>
      </c>
      <c r="U107" s="76">
        <v>16</v>
      </c>
      <c r="V107" s="77" t="s">
        <v>397</v>
      </c>
      <c r="W107" s="76">
        <v>46</v>
      </c>
      <c r="X107" s="77" t="s">
        <v>397</v>
      </c>
      <c r="Y107" s="76">
        <v>21</v>
      </c>
      <c r="Z107" s="77" t="s">
        <v>397</v>
      </c>
      <c r="AA107" s="76">
        <v>21</v>
      </c>
      <c r="AB107" s="77" t="s">
        <v>397</v>
      </c>
      <c r="AC107" s="76">
        <v>44</v>
      </c>
      <c r="AD107" s="77" t="s">
        <v>397</v>
      </c>
      <c r="AE107" s="76">
        <v>20</v>
      </c>
      <c r="AF107" s="77" t="s">
        <v>397</v>
      </c>
      <c r="AG107" s="76">
        <v>21</v>
      </c>
      <c r="AH107" s="77" t="s">
        <v>397</v>
      </c>
      <c r="AI107" s="32">
        <v>412</v>
      </c>
      <c r="AJ107" s="83" t="s">
        <v>531</v>
      </c>
      <c r="AK107" s="29">
        <v>412</v>
      </c>
      <c r="AL107" s="29" t="s">
        <v>399</v>
      </c>
      <c r="AM107" s="30" t="s">
        <v>400</v>
      </c>
      <c r="AN107" s="2" t="s">
        <v>458</v>
      </c>
    </row>
    <row r="108" spans="1:40">
      <c r="A108" s="45">
        <v>134307</v>
      </c>
      <c r="B108" s="46" t="s">
        <v>130</v>
      </c>
      <c r="C108" s="74">
        <v>71</v>
      </c>
      <c r="D108" s="77" t="s">
        <v>391</v>
      </c>
      <c r="E108" s="76">
        <v>17</v>
      </c>
      <c r="F108" s="77" t="s">
        <v>391</v>
      </c>
      <c r="G108" s="76">
        <v>65</v>
      </c>
      <c r="H108" s="77" t="s">
        <v>391</v>
      </c>
      <c r="I108" s="76">
        <v>19</v>
      </c>
      <c r="J108" s="77" t="s">
        <v>391</v>
      </c>
      <c r="K108" s="76">
        <v>56</v>
      </c>
      <c r="L108" s="77" t="s">
        <v>391</v>
      </c>
      <c r="M108" s="76">
        <v>15</v>
      </c>
      <c r="N108" s="77" t="s">
        <v>391</v>
      </c>
      <c r="O108" s="76">
        <v>16</v>
      </c>
      <c r="P108" s="77" t="s">
        <v>391</v>
      </c>
      <c r="Q108" s="76">
        <v>41</v>
      </c>
      <c r="R108" s="77" t="s">
        <v>391</v>
      </c>
      <c r="S108" s="76">
        <v>23</v>
      </c>
      <c r="T108" s="77" t="s">
        <v>391</v>
      </c>
      <c r="U108" s="76">
        <v>21</v>
      </c>
      <c r="V108" s="77" t="s">
        <v>391</v>
      </c>
      <c r="W108" s="76">
        <v>61</v>
      </c>
      <c r="X108" s="77" t="s">
        <v>391</v>
      </c>
      <c r="Y108" s="76">
        <v>21</v>
      </c>
      <c r="Z108" s="77" t="s">
        <v>391</v>
      </c>
      <c r="AA108" s="76">
        <v>21</v>
      </c>
      <c r="AB108" s="77" t="s">
        <v>391</v>
      </c>
      <c r="AC108" s="76">
        <v>44</v>
      </c>
      <c r="AD108" s="77" t="s">
        <v>391</v>
      </c>
      <c r="AE108" s="76">
        <v>16</v>
      </c>
      <c r="AF108" s="77" t="s">
        <v>391</v>
      </c>
      <c r="AG108" s="76">
        <v>18</v>
      </c>
      <c r="AH108" s="77" t="s">
        <v>391</v>
      </c>
      <c r="AI108" s="32">
        <v>525</v>
      </c>
      <c r="AJ108" s="28" t="s">
        <v>288</v>
      </c>
      <c r="AK108" s="29">
        <v>1106</v>
      </c>
      <c r="AL108" s="29" t="s">
        <v>392</v>
      </c>
      <c r="AM108" s="30" t="s">
        <v>395</v>
      </c>
      <c r="AN108" s="2" t="s">
        <v>471</v>
      </c>
    </row>
    <row r="109" spans="1:40">
      <c r="A109" s="45">
        <v>134308</v>
      </c>
      <c r="B109" s="46" t="s">
        <v>131</v>
      </c>
      <c r="C109" s="106" t="s">
        <v>307</v>
      </c>
      <c r="D109" s="27" t="str">
        <f t="shared" ref="D109" ca="1" si="233">IF(IFERROR(FIND("+",C109),0)," ",
IF(C109="AB","",
IF(C109&lt;$D$27,"F",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E109" s="26">
        <v>20</v>
      </c>
      <c r="F109" s="27" t="str">
        <f t="shared" ref="F109" ca="1" si="234">IF(IFERROR(FIND("+",E109),0)," ",
IF(E109="AB","",
IF(E109&lt;$F$27,"F",
IF(AND(E109&gt;=$F$27,C109&gt;=$D$27,G109&gt;=$H$27,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G109" s="24">
        <v>65</v>
      </c>
      <c r="H109" s="27" t="str">
        <f t="shared" ref="H109" ca="1" si="235">IF(IFERROR(FIND("+",G109),0)," ",
IF(G109="AB","",
IF(G109&lt;$H$27,"F",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I109" s="26">
        <v>20</v>
      </c>
      <c r="J109" s="27" t="str">
        <f t="shared" ref="J109" ca="1" si="236">IF(IFERROR(FIND("+",I109),0)," ",
IF(I109="AB","",
IF(I109&lt;$J$27,"F",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K109" s="24">
        <v>56</v>
      </c>
      <c r="L109" s="27" t="str">
        <f t="shared" ref="L109" ca="1" si="237">IF(IFERROR(FIND("+",K109),0)," ",
IF(K109="AB","",
IF(K109&lt;$L$27,"F",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M109" s="26">
        <v>18</v>
      </c>
      <c r="N109" s="27" t="str">
        <f t="shared" ref="N109" ca="1" si="238">IF(IFERROR(FIND("+",M109),0)," ",
IF(M109="AB","",
IF(M109&lt;$N$27,"F",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AG109&lt;&gt;"AB"),"","E"))))</f>
        <v/>
      </c>
      <c r="O109" s="26">
        <v>20</v>
      </c>
      <c r="P109" s="27" t="str">
        <f t="shared" ref="P109" ca="1" si="239">IF(IFERROR(FIND("+",O109),0)," ",
IF(O109="AB","",
IF(O109&lt;$P$27,"F",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Q109" s="24">
        <v>49</v>
      </c>
      <c r="R109" s="27" t="str">
        <f t="shared" ref="R109" ca="1" si="240">IF(IFERROR(FIND("+",Q109),0)," ",
IF(Q109="AB","",
IF(Q109&lt;$R$27,"F",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S109" s="26">
        <v>21</v>
      </c>
      <c r="T109" s="27" t="str">
        <f t="shared" ref="T109" ca="1" si="241">IF(IFERROR(FIND("+",S109),0)," ",
IF(S109="AB","",
IF(S109&lt;$T$27,"F",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U109" s="26">
        <v>21</v>
      </c>
      <c r="V109" s="27" t="str">
        <f t="shared" ref="V109" ca="1" si="242">IF(IFERROR(FIND("+",U109),0)," ",
IF(U109="AB","",
IF(U109&lt;$V$27,"F",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W109" s="24">
        <v>47</v>
      </c>
      <c r="X109" s="27" t="str">
        <f t="shared" ref="X109" ca="1" si="243">IF(IFERROR(FIND("+",W109),0)," ",
IF(W109="AB","",
IF(W109&lt;$X$27,"F",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Y109" s="26">
        <v>21</v>
      </c>
      <c r="Z109" s="27" t="str">
        <f t="shared" ref="Z109" ca="1" si="244">IF(IFERROR(FIND("+",Y109),0)," ",
IF(Y109="AB","",
IF(Y109&lt;$Z$27,"F",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AA109" s="26">
        <v>21</v>
      </c>
      <c r="AB109" s="27" t="str">
        <f t="shared" ref="AB109" ca="1" si="245">IF(IFERROR(FIND("+",AA109),0)," ",
IF(AA109="AB","",
IF(AA109&lt;$AB$27,"F",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AC109" s="24">
        <v>47</v>
      </c>
      <c r="AD109" s="27" t="str">
        <f t="shared" ref="AD109" ca="1" si="246">IF(IFERROR(FIND("+",AC109),0)," ",
IF(AC109="AB","",
IF(AC109&lt;$AD$27,"F",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AE109" s="26">
        <v>20</v>
      </c>
      <c r="AF109" s="27" t="str">
        <f t="shared" ref="AF109" ca="1" si="247">IF(IFERROR(FIND("+",AE109),0)," ",
IF(AE109="AB","",IF(AE109&lt;$AF$27,"F",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AG109&lt;&gt;"AB",AH109&lt;&gt;"AB"),"","E"))))</f>
        <v/>
      </c>
      <c r="AG109" s="26">
        <v>21</v>
      </c>
      <c r="AH109" s="27" t="str">
        <f t="shared" ref="AH109" ca="1" si="248">IF(IFERROR(FIND("+",AG109),0)," ",
IF(AG109="AB","",
IF(AG109&lt;$AH$27,"F",
IF(AND(C109&gt;=$D$27,E109&gt;=$F$27,G109&gt;=$H$27,
I109&gt;=$J$27,K109&gt;=$L$27,
M109&gt;=$N$27,O109&gt;=$P$27,Q109&gt;=$R$27,S109&gt;=$T$27,U109&gt;=$V$27,
W109&gt;=$X$27,Y109&gt;=$Z$27,AA109&gt;=$AB$27,AC109&gt;=$AD$27,AE109&gt;=$AF$27,
AG109&gt;=$AH$27,C109&lt;&gt;"AB",E109&lt;&gt;"AB",G109&lt;&gt;"AB",
I109&lt;&gt;"AB",K109&lt;&gt;"AB",
M109&lt;&gt;"AB",O109&lt;&gt;"AB",Q109&lt;&gt;"AB",S109&lt;&gt;"AB",U109&lt;&gt;"AB",
W109&lt;&gt;"AB",Y109&lt;&gt;"AB",AA109&lt;&gt;"AB",AC109&lt;&gt;"AB",AE109&lt;&gt;"AB",
AG109&lt;&gt;"AB"),"","E"))))</f>
        <v/>
      </c>
      <c r="AI109" s="41" t="s">
        <v>633</v>
      </c>
      <c r="AJ109" s="94" t="s">
        <v>590</v>
      </c>
      <c r="AK109" s="29">
        <f t="shared" ref="AK109" si="249">IF(IFERROR(FIND("x",AJ109),0),SUM(EXTRACTNUMBER(AI109),EXTRACTNUMBER(AJ109)),IF(AND(SUM(EXTRACTNUMBER(AI109),EXTRACTNUMBER(AJ109))&gt;1009,SUM(EXTRACTNUMBER(AI109),EXTRACTNUMBER(AJ109))&lt;1020),
CONCATENATE(SUM(EXTRACTNUMBER(AI109),EXTRACTNUMBER(AJ109)),"@",1020-SUM(EXTRACTNUMBER(AI109),EXTRACTNUMBER(AJ109))),
IF(AND(SUM(EXTRACTNUMBER(AI109),EXTRACTNUMBER(AJ109))&gt;839,   SUM(EXTRACTNUMBER(AI109),EXTRACTNUMBER(AJ109))&lt;850),CONCATENATE(SUM(EXTRACTNUMBER(AI109),EXTRACTNUMBER(AJ109)),"@",850-SUM(EXTRACTNUMBER(AI109),EXTRACTNUMBER(AJ109))),
IF(AND(SUM(EXTRACTNUMBER(AI109),EXTRACTNUMBER(AJ109))&gt;669,        SUM(EXTRACTNUMBER(AI109),EXTRACTNUMBER(AJ109))&lt;680),
CONCATENATE(SUM(EXTRACTNUMBER(AI109),EXTRACTNUMBER(AJ109)),"@",680-SUM(EXTRACTNUMBER(AI109),EXTRACTNUMBER(AJ109))),
SUM(EXTRACTNUMBER(AI109),EXTRACTNUMBER(AJ109))))))</f>
        <v>1050</v>
      </c>
      <c r="AL109" s="29" t="str">
        <f t="shared" ref="AL109" ca="1" si="250">IF(AND(COUNTIF(C109:AH109,"AB")&lt;16-COUNTIF(C109:AH109," "),
COUNTIF(C109:AH109,"AB")&lt;&gt;0),"FAIL",
IF(COUNTIF(C109:AH109,"AB")=16-COUNTIF(C109:AH109," "),"ABSENT",
IF(AND(COUNTIF(C109:AH109,"AB")=0,COUNTIF(C109:AH109,"F")=0),"PASS","FAIL")))</f>
        <v>PASS</v>
      </c>
      <c r="AM109" s="30" t="str">
        <f ca="1">IF(AL109="ABSENT","AB",IF(AL109="FAIL","--",
IF(AJ109=0,"RS 3",
IF(AND(SUM(EXTRACTNUMBER(AJ109),EXTRACTNUMBER(AI109))&gt;=1010,
        NOT(IFERROR(FIND("x",AJ109),0)),
        NOT(IFERROR(FIND("x",AI109),0))),"I",
IF(AND(SUM(EXTRACTNUMBER(AJ109),EXTRACTNUMBER(AI109))&gt;=850,
      SUM(EXTRACTNUMBER(AJ109),EXTRACTNUMBER(AI109))&lt;1010,
      NOT(IFERROR(FIND("x",AJ109),0)),
      NOT(IFERROR(FIND("x",AI109),0))),"II",
IF(OR(AND(SUM(EXTRACTNUMBER(AJ109),EXTRACTNUMBER(AI109))&lt;850,
SUM(EXTRACTNUMBER(AJ109),EXTRACTNUMBER(AI109))&gt;=670),
IFERROR(FIND("x",AJ109),0),IFERROR(FIND("x",AI109),0)),"P","--"))))))</f>
        <v>P</v>
      </c>
      <c r="AN109" s="2" t="str">
        <f t="shared" ref="AN109" si="251">spellnumber(AK109)</f>
        <v xml:space="preserve">One Thousand Fifty  </v>
      </c>
    </row>
    <row r="110" spans="1:40">
      <c r="A110" s="45">
        <v>134309</v>
      </c>
      <c r="B110" s="46" t="s">
        <v>132</v>
      </c>
      <c r="C110" s="74">
        <v>47</v>
      </c>
      <c r="D110" s="77" t="s">
        <v>391</v>
      </c>
      <c r="E110" s="76">
        <v>22</v>
      </c>
      <c r="F110" s="77" t="s">
        <v>391</v>
      </c>
      <c r="G110" s="76">
        <v>75</v>
      </c>
      <c r="H110" s="77" t="s">
        <v>391</v>
      </c>
      <c r="I110" s="76">
        <v>20</v>
      </c>
      <c r="J110" s="77" t="s">
        <v>391</v>
      </c>
      <c r="K110" s="76">
        <v>55</v>
      </c>
      <c r="L110" s="77" t="s">
        <v>391</v>
      </c>
      <c r="M110" s="76">
        <v>18</v>
      </c>
      <c r="N110" s="77" t="s">
        <v>391</v>
      </c>
      <c r="O110" s="76">
        <v>18</v>
      </c>
      <c r="P110" s="77" t="s">
        <v>391</v>
      </c>
      <c r="Q110" s="76">
        <v>40</v>
      </c>
      <c r="R110" s="77" t="s">
        <v>391</v>
      </c>
      <c r="S110" s="76">
        <v>21</v>
      </c>
      <c r="T110" s="77" t="s">
        <v>391</v>
      </c>
      <c r="U110" s="76">
        <v>21</v>
      </c>
      <c r="V110" s="77" t="s">
        <v>391</v>
      </c>
      <c r="W110" s="76">
        <v>42</v>
      </c>
      <c r="X110" s="77" t="s">
        <v>391</v>
      </c>
      <c r="Y110" s="76">
        <v>20</v>
      </c>
      <c r="Z110" s="77" t="s">
        <v>391</v>
      </c>
      <c r="AA110" s="76">
        <v>22</v>
      </c>
      <c r="AB110" s="77" t="s">
        <v>391</v>
      </c>
      <c r="AC110" s="76">
        <v>41</v>
      </c>
      <c r="AD110" s="77" t="s">
        <v>391</v>
      </c>
      <c r="AE110" s="76">
        <v>22</v>
      </c>
      <c r="AF110" s="77" t="s">
        <v>391</v>
      </c>
      <c r="AG110" s="76">
        <v>16</v>
      </c>
      <c r="AH110" s="77" t="s">
        <v>391</v>
      </c>
      <c r="AI110" s="32">
        <v>500</v>
      </c>
      <c r="AJ110" s="28" t="s">
        <v>289</v>
      </c>
      <c r="AK110" s="29">
        <v>1020</v>
      </c>
      <c r="AL110" s="29" t="s">
        <v>392</v>
      </c>
      <c r="AM110" s="30" t="s">
        <v>395</v>
      </c>
      <c r="AN110" s="2" t="s">
        <v>435</v>
      </c>
    </row>
    <row r="111" spans="1:40">
      <c r="A111" s="45">
        <v>134310</v>
      </c>
      <c r="B111" s="46" t="s">
        <v>133</v>
      </c>
      <c r="C111" s="74">
        <v>46</v>
      </c>
      <c r="D111" s="77" t="s">
        <v>391</v>
      </c>
      <c r="E111" s="76">
        <v>15</v>
      </c>
      <c r="F111" s="77" t="s">
        <v>391</v>
      </c>
      <c r="G111" s="76">
        <v>64</v>
      </c>
      <c r="H111" s="77" t="s">
        <v>391</v>
      </c>
      <c r="I111" s="76">
        <v>16</v>
      </c>
      <c r="J111" s="77" t="s">
        <v>391</v>
      </c>
      <c r="K111" s="76">
        <v>47</v>
      </c>
      <c r="L111" s="77" t="s">
        <v>391</v>
      </c>
      <c r="M111" s="76">
        <v>15</v>
      </c>
      <c r="N111" s="77" t="s">
        <v>391</v>
      </c>
      <c r="O111" s="76">
        <v>16</v>
      </c>
      <c r="P111" s="77" t="s">
        <v>391</v>
      </c>
      <c r="Q111" s="76">
        <v>42</v>
      </c>
      <c r="R111" s="77" t="s">
        <v>391</v>
      </c>
      <c r="S111" s="76">
        <v>21</v>
      </c>
      <c r="T111" s="77" t="s">
        <v>391</v>
      </c>
      <c r="U111" s="76">
        <v>19</v>
      </c>
      <c r="V111" s="77" t="s">
        <v>391</v>
      </c>
      <c r="W111" s="76">
        <v>40</v>
      </c>
      <c r="X111" s="77" t="s">
        <v>391</v>
      </c>
      <c r="Y111" s="76">
        <v>22</v>
      </c>
      <c r="Z111" s="77" t="s">
        <v>391</v>
      </c>
      <c r="AA111" s="76">
        <v>21</v>
      </c>
      <c r="AB111" s="77" t="s">
        <v>391</v>
      </c>
      <c r="AC111" s="78" t="s">
        <v>309</v>
      </c>
      <c r="AD111" s="77" t="s">
        <v>391</v>
      </c>
      <c r="AE111" s="76">
        <v>20</v>
      </c>
      <c r="AF111" s="77" t="s">
        <v>391</v>
      </c>
      <c r="AG111" s="76">
        <v>16</v>
      </c>
      <c r="AH111" s="77" t="s">
        <v>391</v>
      </c>
      <c r="AI111" s="41" t="s">
        <v>311</v>
      </c>
      <c r="AJ111" s="83" t="s">
        <v>531</v>
      </c>
      <c r="AK111" s="29">
        <v>452</v>
      </c>
      <c r="AL111" s="29" t="s">
        <v>392</v>
      </c>
      <c r="AM111" s="30" t="s">
        <v>393</v>
      </c>
      <c r="AN111" s="2" t="s">
        <v>448</v>
      </c>
    </row>
    <row r="112" spans="1:40">
      <c r="A112" s="45">
        <v>134311</v>
      </c>
      <c r="B112" s="46" t="s">
        <v>134</v>
      </c>
      <c r="C112" s="74">
        <v>45</v>
      </c>
      <c r="D112" s="77" t="s">
        <v>391</v>
      </c>
      <c r="E112" s="76">
        <v>16</v>
      </c>
      <c r="F112" s="77" t="s">
        <v>391</v>
      </c>
      <c r="G112" s="76">
        <v>45</v>
      </c>
      <c r="H112" s="77" t="s">
        <v>391</v>
      </c>
      <c r="I112" s="76">
        <v>19</v>
      </c>
      <c r="J112" s="77" t="s">
        <v>391</v>
      </c>
      <c r="K112" s="76">
        <v>42</v>
      </c>
      <c r="L112" s="77" t="s">
        <v>391</v>
      </c>
      <c r="M112" s="76">
        <v>15</v>
      </c>
      <c r="N112" s="77" t="s">
        <v>391</v>
      </c>
      <c r="O112" s="76">
        <v>16</v>
      </c>
      <c r="P112" s="77" t="s">
        <v>391</v>
      </c>
      <c r="Q112" s="76">
        <v>40</v>
      </c>
      <c r="R112" s="77" t="s">
        <v>391</v>
      </c>
      <c r="S112" s="76">
        <v>21</v>
      </c>
      <c r="T112" s="77" t="s">
        <v>391</v>
      </c>
      <c r="U112" s="76">
        <v>21</v>
      </c>
      <c r="V112" s="77" t="s">
        <v>391</v>
      </c>
      <c r="W112" s="76">
        <v>40</v>
      </c>
      <c r="X112" s="77" t="s">
        <v>391</v>
      </c>
      <c r="Y112" s="76">
        <v>20</v>
      </c>
      <c r="Z112" s="77" t="s">
        <v>391</v>
      </c>
      <c r="AA112" s="76">
        <v>21</v>
      </c>
      <c r="AB112" s="77" t="s">
        <v>391</v>
      </c>
      <c r="AC112" s="76">
        <v>44</v>
      </c>
      <c r="AD112" s="77" t="s">
        <v>391</v>
      </c>
      <c r="AE112" s="76">
        <v>18</v>
      </c>
      <c r="AF112" s="77" t="s">
        <v>391</v>
      </c>
      <c r="AG112" s="76">
        <v>16</v>
      </c>
      <c r="AH112" s="77" t="s">
        <v>391</v>
      </c>
      <c r="AI112" s="32">
        <v>439</v>
      </c>
      <c r="AJ112" s="28" t="s">
        <v>290</v>
      </c>
      <c r="AK112" s="29">
        <v>927</v>
      </c>
      <c r="AL112" s="29" t="s">
        <v>392</v>
      </c>
      <c r="AM112" s="30" t="s">
        <v>422</v>
      </c>
      <c r="AN112" s="2" t="s">
        <v>478</v>
      </c>
    </row>
    <row r="113" spans="1:40">
      <c r="A113" s="45">
        <v>134312</v>
      </c>
      <c r="B113" s="46" t="s">
        <v>135</v>
      </c>
      <c r="C113" s="74">
        <v>60</v>
      </c>
      <c r="D113" s="77" t="s">
        <v>391</v>
      </c>
      <c r="E113" s="76">
        <v>15</v>
      </c>
      <c r="F113" s="77" t="s">
        <v>391</v>
      </c>
      <c r="G113" s="76">
        <v>79</v>
      </c>
      <c r="H113" s="77" t="s">
        <v>391</v>
      </c>
      <c r="I113" s="76">
        <v>19</v>
      </c>
      <c r="J113" s="77" t="s">
        <v>391</v>
      </c>
      <c r="K113" s="76">
        <v>58</v>
      </c>
      <c r="L113" s="77" t="s">
        <v>391</v>
      </c>
      <c r="M113" s="76">
        <v>18</v>
      </c>
      <c r="N113" s="77" t="s">
        <v>391</v>
      </c>
      <c r="O113" s="76">
        <v>20</v>
      </c>
      <c r="P113" s="77" t="s">
        <v>391</v>
      </c>
      <c r="Q113" s="76">
        <v>51</v>
      </c>
      <c r="R113" s="77" t="s">
        <v>391</v>
      </c>
      <c r="S113" s="76">
        <v>23</v>
      </c>
      <c r="T113" s="77" t="s">
        <v>391</v>
      </c>
      <c r="U113" s="76">
        <v>20</v>
      </c>
      <c r="V113" s="77" t="s">
        <v>391</v>
      </c>
      <c r="W113" s="76">
        <v>52</v>
      </c>
      <c r="X113" s="77" t="s">
        <v>391</v>
      </c>
      <c r="Y113" s="76">
        <v>20</v>
      </c>
      <c r="Z113" s="77" t="s">
        <v>391</v>
      </c>
      <c r="AA113" s="76">
        <v>15</v>
      </c>
      <c r="AB113" s="77" t="s">
        <v>391</v>
      </c>
      <c r="AC113" s="76">
        <v>61</v>
      </c>
      <c r="AD113" s="77" t="s">
        <v>391</v>
      </c>
      <c r="AE113" s="76">
        <v>20</v>
      </c>
      <c r="AF113" s="77" t="s">
        <v>391</v>
      </c>
      <c r="AG113" s="76">
        <v>18</v>
      </c>
      <c r="AH113" s="77" t="s">
        <v>391</v>
      </c>
      <c r="AI113" s="32">
        <v>549</v>
      </c>
      <c r="AJ113" s="28" t="s">
        <v>261</v>
      </c>
      <c r="AK113" s="29">
        <v>1139</v>
      </c>
      <c r="AL113" s="29" t="s">
        <v>392</v>
      </c>
      <c r="AM113" s="30" t="s">
        <v>395</v>
      </c>
      <c r="AN113" s="2" t="s">
        <v>437</v>
      </c>
    </row>
    <row r="114" spans="1:40">
      <c r="A114" s="45">
        <v>134313</v>
      </c>
      <c r="B114" s="46" t="s">
        <v>136</v>
      </c>
      <c r="C114" s="74">
        <v>41</v>
      </c>
      <c r="D114" s="77" t="s">
        <v>391</v>
      </c>
      <c r="E114" s="76">
        <v>19</v>
      </c>
      <c r="F114" s="77" t="s">
        <v>391</v>
      </c>
      <c r="G114" s="76">
        <v>74</v>
      </c>
      <c r="H114" s="77" t="s">
        <v>391</v>
      </c>
      <c r="I114" s="76">
        <v>22</v>
      </c>
      <c r="J114" s="77" t="s">
        <v>391</v>
      </c>
      <c r="K114" s="76">
        <v>54</v>
      </c>
      <c r="L114" s="77" t="s">
        <v>391</v>
      </c>
      <c r="M114" s="76">
        <v>21</v>
      </c>
      <c r="N114" s="77" t="s">
        <v>391</v>
      </c>
      <c r="O114" s="76">
        <v>21</v>
      </c>
      <c r="P114" s="77" t="s">
        <v>391</v>
      </c>
      <c r="Q114" s="76">
        <v>49</v>
      </c>
      <c r="R114" s="77" t="s">
        <v>391</v>
      </c>
      <c r="S114" s="76">
        <v>20</v>
      </c>
      <c r="T114" s="77" t="s">
        <v>391</v>
      </c>
      <c r="U114" s="76">
        <v>21</v>
      </c>
      <c r="V114" s="77" t="s">
        <v>391</v>
      </c>
      <c r="W114" s="76">
        <v>47</v>
      </c>
      <c r="X114" s="77" t="s">
        <v>391</v>
      </c>
      <c r="Y114" s="76">
        <v>22</v>
      </c>
      <c r="Z114" s="77" t="s">
        <v>391</v>
      </c>
      <c r="AA114" s="76">
        <v>22</v>
      </c>
      <c r="AB114" s="77" t="s">
        <v>391</v>
      </c>
      <c r="AC114" s="76">
        <v>40</v>
      </c>
      <c r="AD114" s="77" t="s">
        <v>391</v>
      </c>
      <c r="AE114" s="76">
        <v>21</v>
      </c>
      <c r="AF114" s="77" t="s">
        <v>391</v>
      </c>
      <c r="AG114" s="76">
        <v>20</v>
      </c>
      <c r="AH114" s="77" t="s">
        <v>391</v>
      </c>
      <c r="AI114" s="32">
        <v>514</v>
      </c>
      <c r="AJ114" s="83" t="s">
        <v>602</v>
      </c>
      <c r="AK114" s="29">
        <v>1059</v>
      </c>
      <c r="AL114" s="29" t="s">
        <v>392</v>
      </c>
      <c r="AM114" s="30" t="s">
        <v>395</v>
      </c>
      <c r="AN114" s="2" t="s">
        <v>603</v>
      </c>
    </row>
    <row r="115" spans="1:40">
      <c r="A115" s="45">
        <v>134314</v>
      </c>
      <c r="B115" s="46" t="s">
        <v>137</v>
      </c>
      <c r="C115" s="74">
        <v>56</v>
      </c>
      <c r="D115" s="77" t="s">
        <v>391</v>
      </c>
      <c r="E115" s="76">
        <v>22</v>
      </c>
      <c r="F115" s="77" t="s">
        <v>391</v>
      </c>
      <c r="G115" s="76">
        <v>80</v>
      </c>
      <c r="H115" s="77" t="s">
        <v>391</v>
      </c>
      <c r="I115" s="76">
        <v>23</v>
      </c>
      <c r="J115" s="77" t="s">
        <v>391</v>
      </c>
      <c r="K115" s="76">
        <v>55</v>
      </c>
      <c r="L115" s="77" t="s">
        <v>391</v>
      </c>
      <c r="M115" s="76">
        <v>22</v>
      </c>
      <c r="N115" s="77" t="s">
        <v>391</v>
      </c>
      <c r="O115" s="76">
        <v>23</v>
      </c>
      <c r="P115" s="77" t="s">
        <v>391</v>
      </c>
      <c r="Q115" s="76">
        <v>56</v>
      </c>
      <c r="R115" s="77" t="s">
        <v>391</v>
      </c>
      <c r="S115" s="76">
        <v>22</v>
      </c>
      <c r="T115" s="77" t="s">
        <v>391</v>
      </c>
      <c r="U115" s="76">
        <v>24</v>
      </c>
      <c r="V115" s="77" t="s">
        <v>391</v>
      </c>
      <c r="W115" s="76">
        <v>59</v>
      </c>
      <c r="X115" s="77" t="s">
        <v>391</v>
      </c>
      <c r="Y115" s="76">
        <v>22</v>
      </c>
      <c r="Z115" s="77" t="s">
        <v>391</v>
      </c>
      <c r="AA115" s="76">
        <v>22</v>
      </c>
      <c r="AB115" s="77" t="s">
        <v>391</v>
      </c>
      <c r="AC115" s="76">
        <v>59</v>
      </c>
      <c r="AD115" s="77" t="s">
        <v>391</v>
      </c>
      <c r="AE115" s="76">
        <v>22</v>
      </c>
      <c r="AF115" s="77" t="s">
        <v>391</v>
      </c>
      <c r="AG115" s="76">
        <v>21</v>
      </c>
      <c r="AH115" s="77" t="s">
        <v>391</v>
      </c>
      <c r="AI115" s="32">
        <v>588</v>
      </c>
      <c r="AJ115" s="28" t="s">
        <v>291</v>
      </c>
      <c r="AK115" s="29">
        <v>1175</v>
      </c>
      <c r="AL115" s="29" t="s">
        <v>392</v>
      </c>
      <c r="AM115" s="30" t="s">
        <v>395</v>
      </c>
      <c r="AN115" s="2" t="s">
        <v>479</v>
      </c>
    </row>
    <row r="116" spans="1:40">
      <c r="A116" s="45">
        <v>134315</v>
      </c>
      <c r="B116" s="46" t="s">
        <v>138</v>
      </c>
      <c r="C116" s="74">
        <v>52</v>
      </c>
      <c r="D116" s="77" t="s">
        <v>391</v>
      </c>
      <c r="E116" s="76">
        <v>13</v>
      </c>
      <c r="F116" s="77" t="s">
        <v>391</v>
      </c>
      <c r="G116" s="76">
        <v>84</v>
      </c>
      <c r="H116" s="77" t="s">
        <v>391</v>
      </c>
      <c r="I116" s="76">
        <v>19</v>
      </c>
      <c r="J116" s="77" t="s">
        <v>391</v>
      </c>
      <c r="K116" s="76">
        <v>53</v>
      </c>
      <c r="L116" s="77" t="s">
        <v>391</v>
      </c>
      <c r="M116" s="76">
        <v>15</v>
      </c>
      <c r="N116" s="77" t="s">
        <v>391</v>
      </c>
      <c r="O116" s="76">
        <v>16</v>
      </c>
      <c r="P116" s="77" t="s">
        <v>391</v>
      </c>
      <c r="Q116" s="76">
        <v>63</v>
      </c>
      <c r="R116" s="77" t="s">
        <v>391</v>
      </c>
      <c r="S116" s="76">
        <v>21</v>
      </c>
      <c r="T116" s="77" t="s">
        <v>391</v>
      </c>
      <c r="U116" s="76">
        <v>14</v>
      </c>
      <c r="V116" s="77" t="s">
        <v>391</v>
      </c>
      <c r="W116" s="76">
        <v>49</v>
      </c>
      <c r="X116" s="77" t="s">
        <v>391</v>
      </c>
      <c r="Y116" s="76">
        <v>20</v>
      </c>
      <c r="Z116" s="77" t="s">
        <v>391</v>
      </c>
      <c r="AA116" s="76">
        <v>21</v>
      </c>
      <c r="AB116" s="77" t="s">
        <v>391</v>
      </c>
      <c r="AC116" s="76">
        <v>45</v>
      </c>
      <c r="AD116" s="77" t="s">
        <v>391</v>
      </c>
      <c r="AE116" s="76">
        <v>18</v>
      </c>
      <c r="AF116" s="77" t="s">
        <v>391</v>
      </c>
      <c r="AG116" s="76">
        <v>16</v>
      </c>
      <c r="AH116" s="77" t="s">
        <v>391</v>
      </c>
      <c r="AI116" s="32">
        <v>519</v>
      </c>
      <c r="AJ116" s="28" t="s">
        <v>292</v>
      </c>
      <c r="AK116" s="29">
        <v>1070</v>
      </c>
      <c r="AL116" s="29" t="s">
        <v>392</v>
      </c>
      <c r="AM116" s="30" t="s">
        <v>395</v>
      </c>
      <c r="AN116" s="2" t="s">
        <v>460</v>
      </c>
    </row>
    <row r="117" spans="1:40">
      <c r="A117" s="45">
        <v>134316</v>
      </c>
      <c r="B117" s="46" t="s">
        <v>139</v>
      </c>
      <c r="C117" s="74">
        <v>19</v>
      </c>
      <c r="D117" s="77" t="s">
        <v>398</v>
      </c>
      <c r="E117" s="76">
        <v>14</v>
      </c>
      <c r="F117" s="77" t="s">
        <v>397</v>
      </c>
      <c r="G117" s="76">
        <v>25</v>
      </c>
      <c r="H117" s="77" t="s">
        <v>398</v>
      </c>
      <c r="I117" s="76">
        <v>20</v>
      </c>
      <c r="J117" s="77" t="s">
        <v>397</v>
      </c>
      <c r="K117" s="76">
        <v>29</v>
      </c>
      <c r="L117" s="77" t="s">
        <v>398</v>
      </c>
      <c r="M117" s="76">
        <v>18</v>
      </c>
      <c r="N117" s="77" t="s">
        <v>397</v>
      </c>
      <c r="O117" s="76">
        <v>18</v>
      </c>
      <c r="P117" s="77" t="s">
        <v>397</v>
      </c>
      <c r="Q117" s="76">
        <v>29</v>
      </c>
      <c r="R117" s="77" t="s">
        <v>398</v>
      </c>
      <c r="S117" s="76">
        <v>20</v>
      </c>
      <c r="T117" s="77" t="s">
        <v>397</v>
      </c>
      <c r="U117" s="76">
        <v>22</v>
      </c>
      <c r="V117" s="77" t="s">
        <v>397</v>
      </c>
      <c r="W117" s="76">
        <v>28</v>
      </c>
      <c r="X117" s="77" t="s">
        <v>398</v>
      </c>
      <c r="Y117" s="76">
        <v>20</v>
      </c>
      <c r="Z117" s="77" t="s">
        <v>397</v>
      </c>
      <c r="AA117" s="76">
        <v>21</v>
      </c>
      <c r="AB117" s="77" t="s">
        <v>397</v>
      </c>
      <c r="AC117" s="76">
        <v>40</v>
      </c>
      <c r="AD117" s="77" t="s">
        <v>397</v>
      </c>
      <c r="AE117" s="76">
        <v>20</v>
      </c>
      <c r="AF117" s="77" t="s">
        <v>397</v>
      </c>
      <c r="AG117" s="76">
        <v>18</v>
      </c>
      <c r="AH117" s="77" t="s">
        <v>397</v>
      </c>
      <c r="AI117" s="32">
        <v>361</v>
      </c>
      <c r="AJ117" s="83" t="s">
        <v>531</v>
      </c>
      <c r="AK117" s="29">
        <v>361</v>
      </c>
      <c r="AL117" s="29" t="s">
        <v>399</v>
      </c>
      <c r="AM117" s="30" t="s">
        <v>400</v>
      </c>
      <c r="AN117" s="2" t="s">
        <v>410</v>
      </c>
    </row>
    <row r="118" spans="1:40">
      <c r="A118" s="45">
        <v>134317</v>
      </c>
      <c r="B118" s="46" t="s">
        <v>140</v>
      </c>
      <c r="C118" s="74">
        <v>40</v>
      </c>
      <c r="D118" s="77" t="s">
        <v>391</v>
      </c>
      <c r="E118" s="76">
        <v>22</v>
      </c>
      <c r="F118" s="77" t="s">
        <v>391</v>
      </c>
      <c r="G118" s="76">
        <v>53</v>
      </c>
      <c r="H118" s="77" t="s">
        <v>391</v>
      </c>
      <c r="I118" s="76">
        <v>23</v>
      </c>
      <c r="J118" s="77" t="s">
        <v>391</v>
      </c>
      <c r="K118" s="76">
        <v>47</v>
      </c>
      <c r="L118" s="77" t="s">
        <v>391</v>
      </c>
      <c r="M118" s="76">
        <v>22</v>
      </c>
      <c r="N118" s="77" t="s">
        <v>391</v>
      </c>
      <c r="O118" s="76">
        <v>22</v>
      </c>
      <c r="P118" s="77" t="s">
        <v>391</v>
      </c>
      <c r="Q118" s="78" t="s">
        <v>307</v>
      </c>
      <c r="R118" s="77" t="s">
        <v>391</v>
      </c>
      <c r="S118" s="76">
        <v>23</v>
      </c>
      <c r="T118" s="77" t="s">
        <v>391</v>
      </c>
      <c r="U118" s="76">
        <v>19</v>
      </c>
      <c r="V118" s="77" t="s">
        <v>391</v>
      </c>
      <c r="W118" s="76">
        <v>54</v>
      </c>
      <c r="X118" s="77" t="s">
        <v>391</v>
      </c>
      <c r="Y118" s="76">
        <v>21</v>
      </c>
      <c r="Z118" s="77" t="s">
        <v>391</v>
      </c>
      <c r="AA118" s="76">
        <v>21</v>
      </c>
      <c r="AB118" s="77" t="s">
        <v>391</v>
      </c>
      <c r="AC118" s="76">
        <v>46</v>
      </c>
      <c r="AD118" s="77" t="s">
        <v>391</v>
      </c>
      <c r="AE118" s="76">
        <v>22</v>
      </c>
      <c r="AF118" s="77" t="s">
        <v>391</v>
      </c>
      <c r="AG118" s="76">
        <v>16</v>
      </c>
      <c r="AH118" s="77" t="s">
        <v>391</v>
      </c>
      <c r="AI118" s="41" t="s">
        <v>308</v>
      </c>
      <c r="AJ118" s="83" t="s">
        <v>531</v>
      </c>
      <c r="AK118" s="29">
        <v>484</v>
      </c>
      <c r="AL118" s="29" t="s">
        <v>392</v>
      </c>
      <c r="AM118" s="30" t="s">
        <v>393</v>
      </c>
      <c r="AN118" s="2" t="s">
        <v>480</v>
      </c>
    </row>
    <row r="119" spans="1:40">
      <c r="A119" s="45">
        <v>134318</v>
      </c>
      <c r="B119" s="46" t="s">
        <v>141</v>
      </c>
      <c r="C119" s="82" t="s">
        <v>527</v>
      </c>
      <c r="D119" s="77" t="s">
        <v>398</v>
      </c>
      <c r="E119" s="76">
        <v>14</v>
      </c>
      <c r="F119" s="77" t="s">
        <v>397</v>
      </c>
      <c r="G119" s="78" t="s">
        <v>601</v>
      </c>
      <c r="H119" s="77" t="s">
        <v>398</v>
      </c>
      <c r="I119" s="76">
        <v>19</v>
      </c>
      <c r="J119" s="77" t="s">
        <v>397</v>
      </c>
      <c r="K119" s="76">
        <v>40</v>
      </c>
      <c r="L119" s="77" t="s">
        <v>397</v>
      </c>
      <c r="M119" s="76">
        <v>17</v>
      </c>
      <c r="N119" s="77" t="s">
        <v>397</v>
      </c>
      <c r="O119" s="76">
        <v>17</v>
      </c>
      <c r="P119" s="77" t="s">
        <v>397</v>
      </c>
      <c r="Q119" s="76">
        <v>40</v>
      </c>
      <c r="R119" s="77" t="s">
        <v>397</v>
      </c>
      <c r="S119" s="76">
        <v>21</v>
      </c>
      <c r="T119" s="77" t="s">
        <v>397</v>
      </c>
      <c r="U119" s="76">
        <v>14</v>
      </c>
      <c r="V119" s="77" t="s">
        <v>397</v>
      </c>
      <c r="W119" s="76">
        <v>40</v>
      </c>
      <c r="X119" s="77" t="s">
        <v>397</v>
      </c>
      <c r="Y119" s="76">
        <v>21</v>
      </c>
      <c r="Z119" s="77" t="s">
        <v>397</v>
      </c>
      <c r="AA119" s="76">
        <v>22</v>
      </c>
      <c r="AB119" s="77" t="s">
        <v>397</v>
      </c>
      <c r="AC119" s="76">
        <v>29</v>
      </c>
      <c r="AD119" s="77" t="s">
        <v>398</v>
      </c>
      <c r="AE119" s="76">
        <v>20</v>
      </c>
      <c r="AF119" s="77" t="s">
        <v>397</v>
      </c>
      <c r="AG119" s="76">
        <v>18</v>
      </c>
      <c r="AH119" s="77" t="s">
        <v>397</v>
      </c>
      <c r="AI119" s="32">
        <v>346</v>
      </c>
      <c r="AJ119" s="83" t="s">
        <v>531</v>
      </c>
      <c r="AK119" s="29">
        <v>346</v>
      </c>
      <c r="AL119" s="29" t="s">
        <v>399</v>
      </c>
      <c r="AM119" s="30" t="s">
        <v>400</v>
      </c>
      <c r="AN119" s="2" t="s">
        <v>481</v>
      </c>
    </row>
    <row r="120" spans="1:40">
      <c r="A120" s="45">
        <v>134319</v>
      </c>
      <c r="B120" s="46" t="s">
        <v>142</v>
      </c>
      <c r="C120" s="74">
        <v>57</v>
      </c>
      <c r="D120" s="77" t="s">
        <v>391</v>
      </c>
      <c r="E120" s="76">
        <v>17</v>
      </c>
      <c r="F120" s="77" t="s">
        <v>391</v>
      </c>
      <c r="G120" s="76">
        <v>61</v>
      </c>
      <c r="H120" s="77" t="s">
        <v>391</v>
      </c>
      <c r="I120" s="76">
        <v>19</v>
      </c>
      <c r="J120" s="77" t="s">
        <v>391</v>
      </c>
      <c r="K120" s="76">
        <v>63</v>
      </c>
      <c r="L120" s="77" t="s">
        <v>391</v>
      </c>
      <c r="M120" s="76">
        <v>18</v>
      </c>
      <c r="N120" s="77" t="s">
        <v>391</v>
      </c>
      <c r="O120" s="76">
        <v>17</v>
      </c>
      <c r="P120" s="77" t="s">
        <v>391</v>
      </c>
      <c r="Q120" s="76">
        <v>49</v>
      </c>
      <c r="R120" s="77" t="s">
        <v>391</v>
      </c>
      <c r="S120" s="76">
        <v>22</v>
      </c>
      <c r="T120" s="77" t="s">
        <v>391</v>
      </c>
      <c r="U120" s="76">
        <v>21</v>
      </c>
      <c r="V120" s="77" t="s">
        <v>391</v>
      </c>
      <c r="W120" s="76">
        <v>65</v>
      </c>
      <c r="X120" s="77" t="s">
        <v>391</v>
      </c>
      <c r="Y120" s="76">
        <v>22</v>
      </c>
      <c r="Z120" s="77" t="s">
        <v>391</v>
      </c>
      <c r="AA120" s="76">
        <v>21</v>
      </c>
      <c r="AB120" s="77" t="s">
        <v>391</v>
      </c>
      <c r="AC120" s="76">
        <v>54</v>
      </c>
      <c r="AD120" s="77" t="s">
        <v>391</v>
      </c>
      <c r="AE120" s="76">
        <v>21</v>
      </c>
      <c r="AF120" s="77" t="s">
        <v>391</v>
      </c>
      <c r="AG120" s="76">
        <v>18</v>
      </c>
      <c r="AH120" s="77" t="s">
        <v>391</v>
      </c>
      <c r="AI120" s="32">
        <v>545</v>
      </c>
      <c r="AJ120" s="28" t="s">
        <v>293</v>
      </c>
      <c r="AK120" s="29">
        <v>1081</v>
      </c>
      <c r="AL120" s="29" t="s">
        <v>392</v>
      </c>
      <c r="AM120" s="30" t="s">
        <v>395</v>
      </c>
      <c r="AN120" s="2" t="s">
        <v>482</v>
      </c>
    </row>
    <row r="121" spans="1:40">
      <c r="A121" s="45">
        <v>134320</v>
      </c>
      <c r="B121" s="46" t="s">
        <v>143</v>
      </c>
      <c r="C121" s="74">
        <v>40</v>
      </c>
      <c r="D121" s="77" t="s">
        <v>397</v>
      </c>
      <c r="E121" s="76">
        <v>23</v>
      </c>
      <c r="F121" s="77" t="s">
        <v>397</v>
      </c>
      <c r="G121" s="76">
        <v>50</v>
      </c>
      <c r="H121" s="77" t="s">
        <v>397</v>
      </c>
      <c r="I121" s="76">
        <v>21</v>
      </c>
      <c r="J121" s="77" t="s">
        <v>397</v>
      </c>
      <c r="K121" s="76">
        <v>25</v>
      </c>
      <c r="L121" s="77" t="s">
        <v>398</v>
      </c>
      <c r="M121" s="76">
        <v>19</v>
      </c>
      <c r="N121" s="77" t="s">
        <v>397</v>
      </c>
      <c r="O121" s="76">
        <v>19</v>
      </c>
      <c r="P121" s="77" t="s">
        <v>397</v>
      </c>
      <c r="Q121" s="76">
        <v>40</v>
      </c>
      <c r="R121" s="77" t="s">
        <v>397</v>
      </c>
      <c r="S121" s="76">
        <v>21</v>
      </c>
      <c r="T121" s="77" t="s">
        <v>397</v>
      </c>
      <c r="U121" s="76">
        <v>18</v>
      </c>
      <c r="V121" s="77" t="s">
        <v>397</v>
      </c>
      <c r="W121" s="76">
        <v>33</v>
      </c>
      <c r="X121" s="77" t="s">
        <v>398</v>
      </c>
      <c r="Y121" s="76">
        <v>22</v>
      </c>
      <c r="Z121" s="77" t="s">
        <v>397</v>
      </c>
      <c r="AA121" s="76">
        <v>22</v>
      </c>
      <c r="AB121" s="77" t="s">
        <v>397</v>
      </c>
      <c r="AC121" s="76" t="s">
        <v>305</v>
      </c>
      <c r="AD121" s="77" t="s">
        <v>391</v>
      </c>
      <c r="AE121" s="76">
        <v>19</v>
      </c>
      <c r="AF121" s="77" t="s">
        <v>397</v>
      </c>
      <c r="AG121" s="76">
        <v>19</v>
      </c>
      <c r="AH121" s="77" t="s">
        <v>397</v>
      </c>
      <c r="AI121" s="32">
        <v>391</v>
      </c>
      <c r="AJ121" s="83" t="s">
        <v>531</v>
      </c>
      <c r="AK121" s="29">
        <v>391</v>
      </c>
      <c r="AL121" s="29" t="s">
        <v>399</v>
      </c>
      <c r="AM121" s="30" t="s">
        <v>400</v>
      </c>
      <c r="AN121" s="2" t="s">
        <v>444</v>
      </c>
    </row>
    <row r="122" spans="1:40">
      <c r="A122" s="45">
        <v>134321</v>
      </c>
      <c r="B122" s="46" t="s">
        <v>144</v>
      </c>
      <c r="C122" s="74">
        <v>47</v>
      </c>
      <c r="D122" s="77" t="s">
        <v>391</v>
      </c>
      <c r="E122" s="76">
        <v>19</v>
      </c>
      <c r="F122" s="77" t="s">
        <v>391</v>
      </c>
      <c r="G122" s="76">
        <v>55</v>
      </c>
      <c r="H122" s="77" t="s">
        <v>391</v>
      </c>
      <c r="I122" s="76">
        <v>24</v>
      </c>
      <c r="J122" s="77" t="s">
        <v>391</v>
      </c>
      <c r="K122" s="76">
        <v>46</v>
      </c>
      <c r="L122" s="77" t="s">
        <v>391</v>
      </c>
      <c r="M122" s="76">
        <v>20</v>
      </c>
      <c r="N122" s="77" t="s">
        <v>391</v>
      </c>
      <c r="O122" s="76">
        <v>20</v>
      </c>
      <c r="P122" s="77" t="s">
        <v>391</v>
      </c>
      <c r="Q122" s="76">
        <v>48</v>
      </c>
      <c r="R122" s="77" t="s">
        <v>391</v>
      </c>
      <c r="S122" s="76">
        <v>22</v>
      </c>
      <c r="T122" s="77" t="s">
        <v>391</v>
      </c>
      <c r="U122" s="76">
        <v>18</v>
      </c>
      <c r="V122" s="77" t="s">
        <v>391</v>
      </c>
      <c r="W122" s="76">
        <v>77</v>
      </c>
      <c r="X122" s="77" t="s">
        <v>391</v>
      </c>
      <c r="Y122" s="76">
        <v>20</v>
      </c>
      <c r="Z122" s="77" t="s">
        <v>391</v>
      </c>
      <c r="AA122" s="76">
        <v>21</v>
      </c>
      <c r="AB122" s="77" t="s">
        <v>391</v>
      </c>
      <c r="AC122" s="76">
        <v>46</v>
      </c>
      <c r="AD122" s="77" t="s">
        <v>391</v>
      </c>
      <c r="AE122" s="76">
        <v>23</v>
      </c>
      <c r="AF122" s="77" t="s">
        <v>391</v>
      </c>
      <c r="AG122" s="76">
        <v>20</v>
      </c>
      <c r="AH122" s="77" t="s">
        <v>391</v>
      </c>
      <c r="AI122" s="32">
        <v>526</v>
      </c>
      <c r="AJ122" s="28" t="s">
        <v>294</v>
      </c>
      <c r="AK122" s="29">
        <v>1030</v>
      </c>
      <c r="AL122" s="29" t="s">
        <v>392</v>
      </c>
      <c r="AM122" s="30" t="s">
        <v>395</v>
      </c>
      <c r="AN122" s="2" t="s">
        <v>483</v>
      </c>
    </row>
    <row r="123" spans="1:40">
      <c r="A123" s="45">
        <v>134322</v>
      </c>
      <c r="B123" s="46" t="s">
        <v>145</v>
      </c>
      <c r="C123" s="74">
        <v>46</v>
      </c>
      <c r="D123" s="77" t="s">
        <v>391</v>
      </c>
      <c r="E123" s="76">
        <v>16</v>
      </c>
      <c r="F123" s="77" t="s">
        <v>391</v>
      </c>
      <c r="G123" s="76">
        <v>58</v>
      </c>
      <c r="H123" s="77" t="s">
        <v>391</v>
      </c>
      <c r="I123" s="76">
        <v>19</v>
      </c>
      <c r="J123" s="77" t="s">
        <v>391</v>
      </c>
      <c r="K123" s="76">
        <v>45</v>
      </c>
      <c r="L123" s="77" t="s">
        <v>391</v>
      </c>
      <c r="M123" s="76">
        <v>17</v>
      </c>
      <c r="N123" s="77" t="s">
        <v>391</v>
      </c>
      <c r="O123" s="76">
        <v>18</v>
      </c>
      <c r="P123" s="77" t="s">
        <v>391</v>
      </c>
      <c r="Q123" s="76">
        <v>57</v>
      </c>
      <c r="R123" s="77" t="s">
        <v>391</v>
      </c>
      <c r="S123" s="76">
        <v>21</v>
      </c>
      <c r="T123" s="77" t="s">
        <v>391</v>
      </c>
      <c r="U123" s="76">
        <v>14</v>
      </c>
      <c r="V123" s="77" t="s">
        <v>391</v>
      </c>
      <c r="W123" s="76">
        <v>61</v>
      </c>
      <c r="X123" s="77" t="s">
        <v>391</v>
      </c>
      <c r="Y123" s="76">
        <v>21</v>
      </c>
      <c r="Z123" s="77" t="s">
        <v>391</v>
      </c>
      <c r="AA123" s="76">
        <v>21</v>
      </c>
      <c r="AB123" s="77" t="s">
        <v>391</v>
      </c>
      <c r="AC123" s="76">
        <v>40</v>
      </c>
      <c r="AD123" s="77" t="s">
        <v>391</v>
      </c>
      <c r="AE123" s="76">
        <v>20</v>
      </c>
      <c r="AF123" s="77" t="s">
        <v>391</v>
      </c>
      <c r="AG123" s="76">
        <v>16</v>
      </c>
      <c r="AH123" s="77" t="s">
        <v>391</v>
      </c>
      <c r="AI123" s="32">
        <v>490</v>
      </c>
      <c r="AJ123" s="83" t="s">
        <v>572</v>
      </c>
      <c r="AK123" s="29">
        <v>937</v>
      </c>
      <c r="AL123" s="29" t="s">
        <v>392</v>
      </c>
      <c r="AM123" s="107" t="s">
        <v>15</v>
      </c>
      <c r="AN123" s="2" t="s">
        <v>636</v>
      </c>
    </row>
    <row r="124" spans="1:40">
      <c r="A124" s="45">
        <v>134323</v>
      </c>
      <c r="B124" s="46" t="s">
        <v>146</v>
      </c>
      <c r="C124" s="43">
        <v>40</v>
      </c>
      <c r="D124" s="27" t="str">
        <f t="shared" ref="D124" ca="1" si="252">IF(IFERROR(FIND("+",C124),0)," ",
IF(C124="AB","",
IF(C124&lt;$D$27,"F",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E124" s="26">
        <v>16</v>
      </c>
      <c r="F124" s="27" t="str">
        <f t="shared" ref="F124" ca="1" si="253">IF(IFERROR(FIND("+",E124),0)," ",
IF(E124="AB","",
IF(E124&lt;$F$27,"F",
IF(AND(E124&gt;=$F$27,C124&gt;=$D$27,G124&gt;=$H$27,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G124" s="24">
        <v>59</v>
      </c>
      <c r="H124" s="27" t="str">
        <f t="shared" ref="H124" ca="1" si="254">IF(IFERROR(FIND("+",G124),0)," ",
IF(G124="AB","",
IF(G124&lt;$H$27,"F",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I124" s="26">
        <v>19</v>
      </c>
      <c r="J124" s="27" t="str">
        <f t="shared" ref="J124" ca="1" si="255">IF(IFERROR(FIND("+",I124),0)," ",
IF(I124="AB","",
IF(I124&lt;$J$27,"F",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K124" s="24">
        <v>44</v>
      </c>
      <c r="L124" s="27" t="str">
        <f t="shared" ref="L124" ca="1" si="256">IF(IFERROR(FIND("+",K124),0)," ",
IF(K124="AB","",
IF(K124&lt;$L$27,"F",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M124" s="26">
        <v>16</v>
      </c>
      <c r="N124" s="27" t="str">
        <f t="shared" ref="N124" ca="1" si="257">IF(IFERROR(FIND("+",M124),0)," ",
IF(M124="AB","",
IF(M124&lt;$N$27,"F",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AG124&lt;&gt;"AB"),"","E"))))</f>
        <v/>
      </c>
      <c r="O124" s="26">
        <v>17</v>
      </c>
      <c r="P124" s="27" t="str">
        <f t="shared" ref="P124" ca="1" si="258">IF(IFERROR(FIND("+",O124),0)," ",
IF(O124="AB","",
IF(O124&lt;$P$27,"F",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Q124" s="24">
        <v>40</v>
      </c>
      <c r="R124" s="27" t="str">
        <f t="shared" ref="R124" ca="1" si="259">IF(IFERROR(FIND("+",Q124),0)," ",
IF(Q124="AB","",
IF(Q124&lt;$R$27,"F",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S124" s="26">
        <v>22</v>
      </c>
      <c r="T124" s="27" t="str">
        <f t="shared" ref="T124" ca="1" si="260">IF(IFERROR(FIND("+",S124),0)," ",
IF(S124="AB","",
IF(S124&lt;$T$27,"F",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U124" s="26">
        <v>14</v>
      </c>
      <c r="V124" s="27" t="str">
        <f t="shared" ref="V124" ca="1" si="261">IF(IFERROR(FIND("+",U124),0)," ",
IF(U124="AB","",
IF(U124&lt;$V$27,"F",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W124" s="24">
        <v>59</v>
      </c>
      <c r="X124" s="27" t="str">
        <f t="shared" ref="X124" ca="1" si="262">IF(IFERROR(FIND("+",W124),0)," ",
IF(W124="AB","",
IF(W124&lt;$X$27,"F",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Y124" s="26">
        <v>21</v>
      </c>
      <c r="Z124" s="27" t="str">
        <f t="shared" ref="Z124" ca="1" si="263">IF(IFERROR(FIND("+",Y124),0)," ",
IF(Y124="AB","",
IF(Y124&lt;$Z$27,"F",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AA124" s="26">
        <v>21</v>
      </c>
      <c r="AB124" s="27" t="str">
        <f t="shared" ref="AB124" ca="1" si="264">IF(IFERROR(FIND("+",AA124),0)," ",
IF(AA124="AB","",
IF(AA124&lt;$AB$27,"F",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AC124" s="24">
        <v>40</v>
      </c>
      <c r="AD124" s="27" t="str">
        <f t="shared" ref="AD124" ca="1" si="265">IF(IFERROR(FIND("+",AC124),0)," ",
IF(AC124="AB","",
IF(AC124&lt;$AD$27,"F",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AE124" s="26">
        <v>21</v>
      </c>
      <c r="AF124" s="27" t="str">
        <f t="shared" ref="AF124" ca="1" si="266">IF(IFERROR(FIND("+",AE124),0)," ",
IF(AE124="AB","",IF(AE124&lt;$AF$27,"F",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AG124&lt;&gt;"AB",AH124&lt;&gt;"AB"),"","E"))))</f>
        <v/>
      </c>
      <c r="AG124" s="26">
        <v>18</v>
      </c>
      <c r="AH124" s="27" t="str">
        <f t="shared" ref="AH124" ca="1" si="267">IF(IFERROR(FIND("+",AG124),0)," ",
IF(AG124="AB","",
IF(AG124&lt;$AH$27,"F",
IF(AND(C124&gt;=$D$27,E124&gt;=$F$27,G124&gt;=$H$27,
I124&gt;=$J$27,K124&gt;=$L$27,
M124&gt;=$N$27,O124&gt;=$P$27,Q124&gt;=$R$27,S124&gt;=$T$27,U124&gt;=$V$27,
W124&gt;=$X$27,Y124&gt;=$Z$27,AA124&gt;=$AB$27,AC124&gt;=$AD$27,AE124&gt;=$AF$27,
AG124&gt;=$AH$27,C124&lt;&gt;"AB",E124&lt;&gt;"AB",G124&lt;&gt;"AB",
I124&lt;&gt;"AB",K124&lt;&gt;"AB",
M124&lt;&gt;"AB",O124&lt;&gt;"AB",Q124&lt;&gt;"AB",S124&lt;&gt;"AB",U124&lt;&gt;"AB",
W124&lt;&gt;"AB",Y124&lt;&gt;"AB",AA124&lt;&gt;"AB",AC124&lt;&gt;"AB",AE124&lt;&gt;"AB",
AG124&lt;&gt;"AB"),"","E"))))</f>
        <v/>
      </c>
      <c r="AI124" s="32">
        <f>IF(OR(AND(C124&gt;=31,C124&lt;40),AND(G124&gt;=31,G124&lt;40),AND(K124&gt;=31,K124&lt;40),AND(Q124&gt;=31,Q124&lt;40),AND(W124&gt;=31,W124&lt;40),AND(AC124&gt;=31,AC124&lt;40)),IF(AND(OR(COUNTIF(C124:AH124,"=31")&gt;=1,COUNTIF(C124:AH124,"=32")&gt;=1,COUNTIF(C124:AH124,"=33")&gt;=1,COUNTIF(C124:AH124,"=34")&gt;=1,COUNTIF(C124:AH124,"=35")&gt;=1,COUNTIF(C124:AH124,"=36")&gt;=1 ),COUNTIF(C124:AH124,"")=0,COUNTIF(C124:AH124," ")=0,COUNTIF(C124:AH124,"F")=1),CONCATENATE(SUM(EXTRACTNUMBER(C124),EXTRACTNUMBER(E124),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EXTRACTNUMBER(AC124),EXTRACTNUMBER(AG124),EXTRACTNUMBER(AE124)),"*"),IF(AND(COUNTIF(C124:AH124,"=34")&gt;=1,COUNTIF(C124:AH124,"=35")&gt;=1,COUNTIF(C124:AH124,"f")=2,COUNTIF(C124:AH124,"")=0,COUNTIF(C124:AH124," ")=0),CONCATENATE(SUM(EXTRACTNUMBER(C124),EXTRACTNUMBER(E124),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EXTRACTNUMBER(AC124),EXTRACTNUMBER(AG124),EXTRACTNUMBER(AE124)),"*"),IF(AND(COUNTIF(C124:AH124,"=36")&gt;=2,COUNTIF(C124:AH124,"f")=2,COUNTIF(C124:AH124,"")=0,COUNTIF(C124:AH124," ")=0),CONCATENATE(SUM(EXTRACTNUMBER(C124),EXTRACTNUMBER(E124),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EXTRACTNUMBER(AC124),EXTRACTNUMBER(AG124),EXTRACTNUMBER(AE124)),"*"),SUM(EXTRACTNUMBER(C124),EXTRACTNUMBER(E124),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EXTRACTNUMBER(AC124),EXTRACTNUMBER(AG124),EXTRACTNUMBER(AE124))))),SUM(EXTRACTNUMBER(C124),EXTRACTNUMBER(E124),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EXTRACTNUMBER(AC124),EXTRACTNUMBER(AG124),EXTRACTNUMBER(AE124)))</f>
        <v>467</v>
      </c>
      <c r="AJ124" s="94" t="s">
        <v>593</v>
      </c>
      <c r="AK124" s="29">
        <f t="shared" ref="AK124" si="268">IF(IFERROR(FIND("x",AJ124),0),SUM(EXTRACTNUMBER(AI124),EXTRACTNUMBER(AJ124)),IF(AND(SUM(EXTRACTNUMBER(AI124),EXTRACTNUMBER(AJ124))&gt;1009,SUM(EXTRACTNUMBER(AI124),EXTRACTNUMBER(AJ124))&lt;1020),
CONCATENATE(SUM(EXTRACTNUMBER(AI124),EXTRACTNUMBER(AJ124)),"@",1020-SUM(EXTRACTNUMBER(AI124),EXTRACTNUMBER(AJ124))),
IF(AND(SUM(EXTRACTNUMBER(AI124),EXTRACTNUMBER(AJ124))&gt;839,   SUM(EXTRACTNUMBER(AI124),EXTRACTNUMBER(AJ124))&lt;850),CONCATENATE(SUM(EXTRACTNUMBER(AI124),EXTRACTNUMBER(AJ124)),"@",850-SUM(EXTRACTNUMBER(AI124),EXTRACTNUMBER(AJ124))),
IF(AND(SUM(EXTRACTNUMBER(AI124),EXTRACTNUMBER(AJ124))&gt;669,        SUM(EXTRACTNUMBER(AI124),EXTRACTNUMBER(AJ124))&lt;680),
CONCATENATE(SUM(EXTRACTNUMBER(AI124),EXTRACTNUMBER(AJ124)),"@",680-SUM(EXTRACTNUMBER(AI124),EXTRACTNUMBER(AJ124))),
SUM(EXTRACTNUMBER(AI124),EXTRACTNUMBER(AJ124))))))</f>
        <v>933</v>
      </c>
      <c r="AL124" s="29" t="str">
        <f t="shared" ref="AL124" ca="1" si="269">IF(AND(COUNTIF(C124:AH124,"AB")&lt;16-COUNTIF(C124:AH124," "),
COUNTIF(C124:AH124,"AB")&lt;&gt;0),"FAIL",
IF(COUNTIF(C124:AH124,"AB")=16-COUNTIF(C124:AH124," "),"ABSENT",
IF(AND(COUNTIF(C124:AH124,"AB")=0,COUNTIF(C124:AH124,"F")=0),"PASS","FAIL")))</f>
        <v>PASS</v>
      </c>
      <c r="AM124" s="30" t="str">
        <f ca="1">IF(AL124="ABSENT","AB",IF(AL124="FAIL","--",
IF(AJ124=0,"RS 3",
IF(AND(SUM(EXTRACTNUMBER(AJ124),EXTRACTNUMBER(AI124))&gt;=1010,
        NOT(IFERROR(FIND("x",AJ124),0)),
        NOT(IFERROR(FIND("x",AI124),0))),"I",
IF(AND(SUM(EXTRACTNUMBER(AJ124),EXTRACTNUMBER(AI124))&gt;=850,
      SUM(EXTRACTNUMBER(AJ124),EXTRACTNUMBER(AI124))&lt;1010,
      NOT(IFERROR(FIND("x",AJ124),0)),
      NOT(IFERROR(FIND("x",AI124),0))),"II",
IF(OR(AND(SUM(EXTRACTNUMBER(AJ124),EXTRACTNUMBER(AI124))&lt;850,
SUM(EXTRACTNUMBER(AJ124),EXTRACTNUMBER(AI124))&gt;=670),
IFERROR(FIND("x",AJ124),0),IFERROR(FIND("x",AI124),0)),"P","--"))))))</f>
        <v>P</v>
      </c>
      <c r="AN124" s="2" t="str">
        <f t="shared" ref="AN124" si="270">spellnumber(AK124)</f>
        <v xml:space="preserve">Nine Hundred Thirty Three </v>
      </c>
    </row>
    <row r="125" spans="1:40">
      <c r="A125" s="45">
        <v>134324</v>
      </c>
      <c r="B125" s="46" t="s">
        <v>147</v>
      </c>
      <c r="C125" s="74">
        <v>42</v>
      </c>
      <c r="D125" s="77" t="s">
        <v>391</v>
      </c>
      <c r="E125" s="76">
        <v>17</v>
      </c>
      <c r="F125" s="77" t="s">
        <v>391</v>
      </c>
      <c r="G125" s="76">
        <v>69</v>
      </c>
      <c r="H125" s="77" t="s">
        <v>391</v>
      </c>
      <c r="I125" s="76">
        <v>17</v>
      </c>
      <c r="J125" s="77" t="s">
        <v>391</v>
      </c>
      <c r="K125" s="76">
        <v>57</v>
      </c>
      <c r="L125" s="77" t="s">
        <v>391</v>
      </c>
      <c r="M125" s="76">
        <v>16</v>
      </c>
      <c r="N125" s="77" t="s">
        <v>391</v>
      </c>
      <c r="O125" s="76">
        <v>17</v>
      </c>
      <c r="P125" s="77" t="s">
        <v>391</v>
      </c>
      <c r="Q125" s="76">
        <v>60</v>
      </c>
      <c r="R125" s="77" t="s">
        <v>391</v>
      </c>
      <c r="S125" s="76">
        <v>21</v>
      </c>
      <c r="T125" s="77" t="s">
        <v>391</v>
      </c>
      <c r="U125" s="76">
        <v>14</v>
      </c>
      <c r="V125" s="77" t="s">
        <v>391</v>
      </c>
      <c r="W125" s="76">
        <v>50</v>
      </c>
      <c r="X125" s="77" t="s">
        <v>391</v>
      </c>
      <c r="Y125" s="76">
        <v>20</v>
      </c>
      <c r="Z125" s="77" t="s">
        <v>391</v>
      </c>
      <c r="AA125" s="76">
        <v>20</v>
      </c>
      <c r="AB125" s="77" t="s">
        <v>391</v>
      </c>
      <c r="AC125" s="76">
        <v>57</v>
      </c>
      <c r="AD125" s="77" t="s">
        <v>391</v>
      </c>
      <c r="AE125" s="76">
        <v>21</v>
      </c>
      <c r="AF125" s="77" t="s">
        <v>391</v>
      </c>
      <c r="AG125" s="76">
        <v>17</v>
      </c>
      <c r="AH125" s="77" t="s">
        <v>391</v>
      </c>
      <c r="AI125" s="32">
        <v>515</v>
      </c>
      <c r="AJ125" s="28" t="s">
        <v>295</v>
      </c>
      <c r="AK125" s="29">
        <v>1092</v>
      </c>
      <c r="AL125" s="29" t="s">
        <v>392</v>
      </c>
      <c r="AM125" s="30" t="s">
        <v>395</v>
      </c>
      <c r="AN125" s="2" t="s">
        <v>485</v>
      </c>
    </row>
    <row r="126" spans="1:40">
      <c r="A126" s="45">
        <v>134325</v>
      </c>
      <c r="B126" s="46" t="s">
        <v>148</v>
      </c>
      <c r="C126" s="74">
        <v>45</v>
      </c>
      <c r="D126" s="77" t="s">
        <v>397</v>
      </c>
      <c r="E126" s="76">
        <v>13</v>
      </c>
      <c r="F126" s="77" t="s">
        <v>397</v>
      </c>
      <c r="G126" s="76">
        <v>58</v>
      </c>
      <c r="H126" s="77" t="s">
        <v>397</v>
      </c>
      <c r="I126" s="76">
        <v>16</v>
      </c>
      <c r="J126" s="77" t="s">
        <v>397</v>
      </c>
      <c r="K126" s="76">
        <v>40</v>
      </c>
      <c r="L126" s="77" t="s">
        <v>397</v>
      </c>
      <c r="M126" s="76">
        <v>16</v>
      </c>
      <c r="N126" s="77" t="s">
        <v>397</v>
      </c>
      <c r="O126" s="76">
        <v>17</v>
      </c>
      <c r="P126" s="77" t="s">
        <v>397</v>
      </c>
      <c r="Q126" s="76">
        <v>25</v>
      </c>
      <c r="R126" s="77" t="s">
        <v>398</v>
      </c>
      <c r="S126" s="76">
        <v>22</v>
      </c>
      <c r="T126" s="77" t="s">
        <v>397</v>
      </c>
      <c r="U126" s="76">
        <v>21</v>
      </c>
      <c r="V126" s="77" t="s">
        <v>397</v>
      </c>
      <c r="W126" s="76">
        <v>40</v>
      </c>
      <c r="X126" s="77" t="s">
        <v>397</v>
      </c>
      <c r="Y126" s="76">
        <v>20</v>
      </c>
      <c r="Z126" s="77" t="s">
        <v>397</v>
      </c>
      <c r="AA126" s="76">
        <v>21</v>
      </c>
      <c r="AB126" s="77" t="s">
        <v>397</v>
      </c>
      <c r="AC126" s="76">
        <v>30</v>
      </c>
      <c r="AD126" s="77" t="s">
        <v>398</v>
      </c>
      <c r="AE126" s="76">
        <v>16</v>
      </c>
      <c r="AF126" s="77" t="s">
        <v>397</v>
      </c>
      <c r="AG126" s="76">
        <v>17</v>
      </c>
      <c r="AH126" s="77" t="s">
        <v>397</v>
      </c>
      <c r="AI126" s="32">
        <v>417</v>
      </c>
      <c r="AJ126" s="28" t="s">
        <v>296</v>
      </c>
      <c r="AK126" s="29">
        <v>922</v>
      </c>
      <c r="AL126" s="29" t="s">
        <v>399</v>
      </c>
      <c r="AM126" s="30" t="s">
        <v>400</v>
      </c>
      <c r="AN126" s="2" t="s">
        <v>486</v>
      </c>
    </row>
    <row r="127" spans="1:40">
      <c r="A127" s="45">
        <v>134326</v>
      </c>
      <c r="B127" s="46" t="s">
        <v>149</v>
      </c>
      <c r="C127" s="43">
        <v>40</v>
      </c>
      <c r="D127" s="27" t="str">
        <f t="shared" ref="D127:D128" ca="1" si="271">IF(IFERROR(FIND("+",C127),0)," ",
IF(C127="AB","",
IF(C127&lt;$D$27,"F",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E127" s="26">
        <v>21</v>
      </c>
      <c r="F127" s="27" t="str">
        <f t="shared" ref="F127:F128" ca="1" si="272">IF(IFERROR(FIND("+",E127),0)," ",
IF(E127="AB","",
IF(E127&lt;$F$27,"F",
IF(AND(E127&gt;=$F$27,C127&gt;=$D$27,G127&gt;=$H$27,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G127" s="24">
        <v>52</v>
      </c>
      <c r="H127" s="27" t="str">
        <f t="shared" ref="H127:H128" ca="1" si="273">IF(IFERROR(FIND("+",G127),0)," ",
IF(G127="AB","",
IF(G127&lt;$H$27,"F",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I127" s="26">
        <v>20</v>
      </c>
      <c r="J127" s="27" t="str">
        <f t="shared" ref="J127:J128" ca="1" si="274">IF(IFERROR(FIND("+",I127),0)," ",
IF(I127="AB","",
IF(I127&lt;$J$27,"F",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K127" s="24">
        <v>53</v>
      </c>
      <c r="L127" s="27" t="str">
        <f t="shared" ref="L127:L128" ca="1" si="275">IF(IFERROR(FIND("+",K127),0)," ",
IF(K127="AB","",
IF(K127&lt;$L$27,"F",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M127" s="26">
        <v>20</v>
      </c>
      <c r="N127" s="27" t="str">
        <f t="shared" ref="N127:N128" ca="1" si="276">IF(IFERROR(FIND("+",M127),0)," ",
IF(M127="AB","",
IF(M127&lt;$N$27,"F",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AG127&lt;&gt;"AB"),"","E"))))</f>
        <v/>
      </c>
      <c r="O127" s="26">
        <v>22</v>
      </c>
      <c r="P127" s="27" t="str">
        <f t="shared" ref="P127:P128" ca="1" si="277">IF(IFERROR(FIND("+",O127),0)," ",
IF(O127="AB","",
IF(O127&lt;$P$27,"F",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Q127" s="24">
        <v>42</v>
      </c>
      <c r="R127" s="27" t="str">
        <f t="shared" ref="R127:R128" ca="1" si="278">IF(IFERROR(FIND("+",Q127),0)," ",
IF(Q127="AB","",
IF(Q127&lt;$R$27,"F",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S127" s="26">
        <v>21</v>
      </c>
      <c r="T127" s="27" t="str">
        <f t="shared" ref="T127:T128" ca="1" si="279">IF(IFERROR(FIND("+",S127),0)," ",
IF(S127="AB","",
IF(S127&lt;$T$27,"F",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U127" s="26">
        <v>16</v>
      </c>
      <c r="V127" s="27" t="str">
        <f t="shared" ref="V127:V128" ca="1" si="280">IF(IFERROR(FIND("+",U127),0)," ",
IF(U127="AB","",
IF(U127&lt;$V$27,"F",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W127" s="24">
        <v>47</v>
      </c>
      <c r="X127" s="27" t="str">
        <f t="shared" ref="X127:X128" ca="1" si="281">IF(IFERROR(FIND("+",W127),0)," ",
IF(W127="AB","",
IF(W127&lt;$X$27,"F",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Y127" s="26">
        <v>21</v>
      </c>
      <c r="Z127" s="27" t="str">
        <f t="shared" ref="Z127:Z128" ca="1" si="282">IF(IFERROR(FIND("+",Y127),0)," ",
IF(Y127="AB","",
IF(Y127&lt;$Z$27,"F",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AA127" s="26">
        <v>22</v>
      </c>
      <c r="AB127" s="27" t="str">
        <f t="shared" ref="AB127:AB128" ca="1" si="283">IF(IFERROR(FIND("+",AA127),0)," ",
IF(AA127="AB","",
IF(AA127&lt;$AB$27,"F",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AC127" s="24">
        <v>48</v>
      </c>
      <c r="AD127" s="27" t="str">
        <f t="shared" ref="AD127:AD128" ca="1" si="284">IF(IFERROR(FIND("+",AC127),0)," ",
IF(AC127="AB","",
IF(AC127&lt;$AD$27,"F",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AE127" s="26">
        <v>20</v>
      </c>
      <c r="AF127" s="27" t="str">
        <f t="shared" ref="AF127:AF128" ca="1" si="285">IF(IFERROR(FIND("+",AE127),0)," ",
IF(AE127="AB","",IF(AE127&lt;$AF$27,"F",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AG127&lt;&gt;"AB",AH127&lt;&gt;"AB"),"","E"))))</f>
        <v/>
      </c>
      <c r="AG127" s="26">
        <v>18</v>
      </c>
      <c r="AH127" s="27" t="str">
        <f t="shared" ref="AH127:AH128" ca="1" si="286">IF(IFERROR(FIND("+",AG127),0)," ",
IF(AG127="AB","",
IF(AG127&lt;$AH$27,"F",
IF(AND(C127&gt;=$D$27,E127&gt;=$F$27,G127&gt;=$H$27,
I127&gt;=$J$27,K127&gt;=$L$27,
M127&gt;=$N$27,O127&gt;=$P$27,Q127&gt;=$R$27,S127&gt;=$T$27,U127&gt;=$V$27,
W127&gt;=$X$27,Y127&gt;=$Z$27,AA127&gt;=$AB$27,AC127&gt;=$AD$27,AE127&gt;=$AF$27,
AG127&gt;=$AH$27,C127&lt;&gt;"AB",E127&lt;&gt;"AB",G127&lt;&gt;"AB",
I127&lt;&gt;"AB",K127&lt;&gt;"AB",
M127&lt;&gt;"AB",O127&lt;&gt;"AB",Q127&lt;&gt;"AB",S127&lt;&gt;"AB",U127&lt;&gt;"AB",
W127&lt;&gt;"AB",Y127&lt;&gt;"AB",AA127&lt;&gt;"AB",AC127&lt;&gt;"AB",AE127&lt;&gt;"AB",
AG127&lt;&gt;"AB"),"","E"))))</f>
        <v/>
      </c>
      <c r="AI127" s="32">
        <f>IF(OR(AND(C127&gt;=31,C127&lt;40),AND(G127&gt;=31,G127&lt;40),AND(K127&gt;=31,K127&lt;40),AND(Q127&gt;=31,Q127&lt;40),AND(W127&gt;=31,W127&lt;40),AND(AC127&gt;=31,AC127&lt;40)),IF(AND(OR(COUNTIF(C127:AH127,"=31")&gt;=1,COUNTIF(C127:AH127,"=32")&gt;=1,COUNTIF(C127:AH127,"=33")&gt;=1,COUNTIF(C127:AH127,"=34")&gt;=1,COUNTIF(C127:AH127,"=35")&gt;=1,COUNTIF(C127:AH127,"=36")&gt;=1 ),COUNTIF(C127:AH127,"")=0,COUNTIF(C127:AH127," ")=0,COUNTIF(C127:AH127,"F")=1),CONCATENATE(SUM(EXTRACTNUMBER(C127),EXTRACTNUMBER(E127),
EXTRACTNUMBER(G127),EXTRACTNUMBER(I127),
EXTRACTNUMBER(K127),EXTRACTNUMBER(M127),
EXTRACTNUMBER(O127),EXTRACTNUMBER(Q127),
EXTRACTNUMBER(S127),EXTRACTNUMBER(U127),
EXTRACTNUMBER(W127),EXTRACTNUMBER(Y127),EXTRACTNUMBER(AA127),
EXTRACTNUMBER(AC127),EXTRACTNUMBER(AG127),EXTRACTNUMBER(AE127)),"*"),IF(AND(COUNTIF(C127:AH127,"=34")&gt;=1,COUNTIF(C127:AH127,"=35")&gt;=1,COUNTIF(C127:AH127,"f")=2,COUNTIF(C127:AH127,"")=0,COUNTIF(C127:AH127," ")=0),CONCATENATE(SUM(EXTRACTNUMBER(C127),EXTRACTNUMBER(E127),
EXTRACTNUMBER(G127),EXTRACTNUMBER(I127),
EXTRACTNUMBER(K127),EXTRACTNUMBER(M127),
EXTRACTNUMBER(O127),EXTRACTNUMBER(Q127),
EXTRACTNUMBER(S127),EXTRACTNUMBER(U127),
EXTRACTNUMBER(W127),EXTRACTNUMBER(Y127),EXTRACTNUMBER(AA127),
EXTRACTNUMBER(AC127),EXTRACTNUMBER(AG127),EXTRACTNUMBER(AE127)),"*"),IF(AND(COUNTIF(C127:AH127,"=36")&gt;=2,COUNTIF(C127:AH127,"f")=2,COUNTIF(C127:AH127,"")=0,COUNTIF(C127:AH127," ")=0),CONCATENATE(SUM(EXTRACTNUMBER(C127),EXTRACTNUMBER(E127),
EXTRACTNUMBER(G127),EXTRACTNUMBER(I127),
EXTRACTNUMBER(K127),EXTRACTNUMBER(M127),
EXTRACTNUMBER(O127),EXTRACTNUMBER(Q127),
EXTRACTNUMBER(S127),EXTRACTNUMBER(U127),
EXTRACTNUMBER(W127),EXTRACTNUMBER(Y127),EXTRACTNUMBER(AA127),
EXTRACTNUMBER(AC127),EXTRACTNUMBER(AG127),EXTRACTNUMBER(AE127)),"*"),SUM(EXTRACTNUMBER(C127),EXTRACTNUMBER(E127),
EXTRACTNUMBER(G127),EXTRACTNUMBER(I127),
EXTRACTNUMBER(K127),EXTRACTNUMBER(M127),
EXTRACTNUMBER(O127),EXTRACTNUMBER(Q127),
EXTRACTNUMBER(S127),EXTRACTNUMBER(U127),
EXTRACTNUMBER(W127),EXTRACTNUMBER(Y127),EXTRACTNUMBER(AA127),
EXTRACTNUMBER(AC127),EXTRACTNUMBER(AG127),EXTRACTNUMBER(AE127))))),SUM(EXTRACTNUMBER(C127),EXTRACTNUMBER(E127),
EXTRACTNUMBER(G127),EXTRACTNUMBER(I127),
EXTRACTNUMBER(K127),EXTRACTNUMBER(M127),
EXTRACTNUMBER(O127),EXTRACTNUMBER(Q127),
EXTRACTNUMBER(S127),EXTRACTNUMBER(U127),
EXTRACTNUMBER(W127),EXTRACTNUMBER(Y127),EXTRACTNUMBER(AA127),
EXTRACTNUMBER(AC127),EXTRACTNUMBER(AG127),EXTRACTNUMBER(AE127)))</f>
        <v>483</v>
      </c>
      <c r="AJ127" s="94" t="s">
        <v>594</v>
      </c>
      <c r="AK127" s="29">
        <f t="shared" ref="AK127:AK128" si="287">IF(IFERROR(FIND("x",AJ127),0),SUM(EXTRACTNUMBER(AI127),EXTRACTNUMBER(AJ127)),IF(AND(SUM(EXTRACTNUMBER(AI127),EXTRACTNUMBER(AJ127))&gt;1009,SUM(EXTRACTNUMBER(AI127),EXTRACTNUMBER(AJ127))&lt;1020),
CONCATENATE(SUM(EXTRACTNUMBER(AI127),EXTRACTNUMBER(AJ127)),"@",1020-SUM(EXTRACTNUMBER(AI127),EXTRACTNUMBER(AJ127))),
IF(AND(SUM(EXTRACTNUMBER(AI127),EXTRACTNUMBER(AJ127))&gt;839,   SUM(EXTRACTNUMBER(AI127),EXTRACTNUMBER(AJ127))&lt;850),CONCATENATE(SUM(EXTRACTNUMBER(AI127),EXTRACTNUMBER(AJ127)),"@",850-SUM(EXTRACTNUMBER(AI127),EXTRACTNUMBER(AJ127))),
IF(AND(SUM(EXTRACTNUMBER(AI127),EXTRACTNUMBER(AJ127))&gt;669,        SUM(EXTRACTNUMBER(AI127),EXTRACTNUMBER(AJ127))&lt;680),
CONCATENATE(SUM(EXTRACTNUMBER(AI127),EXTRACTNUMBER(AJ127)),"@",680-SUM(EXTRACTNUMBER(AI127),EXTRACTNUMBER(AJ127))),
SUM(EXTRACTNUMBER(AI127),EXTRACTNUMBER(AJ127))))))</f>
        <v>967</v>
      </c>
      <c r="AL127" s="29" t="str">
        <f t="shared" ref="AL127:AL128" ca="1" si="288">IF(AND(COUNTIF(C127:AH127,"AB")&lt;16-COUNTIF(C127:AH127," "),
COUNTIF(C127:AH127,"AB")&lt;&gt;0),"FAIL",
IF(COUNTIF(C127:AH127,"AB")=16-COUNTIF(C127:AH127," "),"ABSENT",
IF(AND(COUNTIF(C127:AH127,"AB")=0,COUNTIF(C127:AH127,"F")=0),"PASS","FAIL")))</f>
        <v>PASS</v>
      </c>
      <c r="AM127" s="30" t="str">
        <f ca="1">IF(AL127="ABSENT","AB",IF(AL127="FAIL","--",
IF(AJ127=0,"RS 3",
IF(AND(SUM(EXTRACTNUMBER(AJ127),EXTRACTNUMBER(AI127))&gt;=1010,
        NOT(IFERROR(FIND("x",AJ127),0)),
        NOT(IFERROR(FIND("x",AI127),0))),"I",
IF(AND(SUM(EXTRACTNUMBER(AJ127),EXTRACTNUMBER(AI127))&gt;=850,
      SUM(EXTRACTNUMBER(AJ127),EXTRACTNUMBER(AI127))&lt;1010,
      NOT(IFERROR(FIND("x",AJ127),0)),
      NOT(IFERROR(FIND("x",AI127),0))),"II",
IF(OR(AND(SUM(EXTRACTNUMBER(AJ127),EXTRACTNUMBER(AI127))&lt;850,
SUM(EXTRACTNUMBER(AJ127),EXTRACTNUMBER(AI127))&gt;=670),
IFERROR(FIND("x",AJ127),0),IFERROR(FIND("x",AI127),0)),"P","--"))))))</f>
        <v>P</v>
      </c>
      <c r="AN127" s="2" t="str">
        <f t="shared" ref="AN127:AN128" si="289">spellnumber(AK127)</f>
        <v xml:space="preserve">Nine Hundred Sixty Seven </v>
      </c>
    </row>
    <row r="128" spans="1:40">
      <c r="A128" s="45">
        <v>134327</v>
      </c>
      <c r="B128" s="46" t="s">
        <v>150</v>
      </c>
      <c r="C128" s="43">
        <v>40</v>
      </c>
      <c r="D128" s="27" t="str">
        <f t="shared" ca="1" si="271"/>
        <v/>
      </c>
      <c r="E128" s="26">
        <v>13</v>
      </c>
      <c r="F128" s="27" t="str">
        <f t="shared" ca="1" si="272"/>
        <v/>
      </c>
      <c r="G128" s="24">
        <v>67</v>
      </c>
      <c r="H128" s="27" t="str">
        <f t="shared" ca="1" si="273"/>
        <v/>
      </c>
      <c r="I128" s="26">
        <v>20</v>
      </c>
      <c r="J128" s="27" t="str">
        <f t="shared" ca="1" si="274"/>
        <v/>
      </c>
      <c r="K128" s="24">
        <v>44</v>
      </c>
      <c r="L128" s="27" t="str">
        <f t="shared" ca="1" si="275"/>
        <v/>
      </c>
      <c r="M128" s="26">
        <v>16</v>
      </c>
      <c r="N128" s="27" t="str">
        <f t="shared" ca="1" si="276"/>
        <v/>
      </c>
      <c r="O128" s="26">
        <v>17</v>
      </c>
      <c r="P128" s="27" t="str">
        <f t="shared" ca="1" si="277"/>
        <v/>
      </c>
      <c r="Q128" s="24">
        <v>45</v>
      </c>
      <c r="R128" s="27" t="str">
        <f t="shared" ca="1" si="278"/>
        <v/>
      </c>
      <c r="S128" s="26">
        <v>22</v>
      </c>
      <c r="T128" s="27" t="str">
        <f t="shared" ca="1" si="279"/>
        <v/>
      </c>
      <c r="U128" s="26">
        <v>19</v>
      </c>
      <c r="V128" s="27" t="str">
        <f t="shared" ca="1" si="280"/>
        <v/>
      </c>
      <c r="W128" s="24">
        <v>65</v>
      </c>
      <c r="X128" s="27" t="str">
        <f t="shared" ca="1" si="281"/>
        <v/>
      </c>
      <c r="Y128" s="26">
        <v>21</v>
      </c>
      <c r="Z128" s="27" t="str">
        <f t="shared" ca="1" si="282"/>
        <v/>
      </c>
      <c r="AA128" s="26">
        <v>22</v>
      </c>
      <c r="AB128" s="27" t="str">
        <f t="shared" ca="1" si="283"/>
        <v/>
      </c>
      <c r="AC128" s="24">
        <v>41</v>
      </c>
      <c r="AD128" s="27" t="str">
        <f t="shared" ca="1" si="284"/>
        <v/>
      </c>
      <c r="AE128" s="26">
        <v>21</v>
      </c>
      <c r="AF128" s="27" t="str">
        <f t="shared" ca="1" si="285"/>
        <v/>
      </c>
      <c r="AG128" s="26">
        <v>16</v>
      </c>
      <c r="AH128" s="27" t="str">
        <f t="shared" ca="1" si="286"/>
        <v/>
      </c>
      <c r="AI128" s="32">
        <f>IF(OR(AND(C128&gt;=31,C128&lt;40),AND(G128&gt;=31,G128&lt;40),AND(K128&gt;=31,K128&lt;40),AND(Q128&gt;=31,Q128&lt;40),AND(W128&gt;=31,W128&lt;40),AND(AC128&gt;=31,AC128&lt;40)),IF(AND(OR(COUNTIF(C128:AH128,"=31")&gt;=1,COUNTIF(C128:AH128,"=32")&gt;=1,COUNTIF(C128:AH128,"=33")&gt;=1,COUNTIF(C128:AH128,"=34")&gt;=1,COUNTIF(C128:AH128,"=35")&gt;=1,COUNTIF(C128:AH128,"=36")&gt;=1 ),COUNTIF(C128:AH128,"")=0,COUNTIF(C128:AH128," ")=0,COUNTIF(C128:AH128,"F")=1),CONCATENATE(SUM(EXTRACTNUMBER(C128),EXTRACTNUMBER(E128),
EXTRACTNUMBER(G128),EXTRACTNUMBER(I128),
EXTRACTNUMBER(K128),EXTRACTNUMBER(M128),
EXTRACTNUMBER(O128),EXTRACTNUMBER(Q128),
EXTRACTNUMBER(S128),EXTRACTNUMBER(U128),
EXTRACTNUMBER(W128),EXTRACTNUMBER(Y128),EXTRACTNUMBER(AA128),
EXTRACTNUMBER(AC128),EXTRACTNUMBER(AG128),EXTRACTNUMBER(AE128)),"*"),IF(AND(COUNTIF(C128:AH128,"=34")&gt;=1,COUNTIF(C128:AH128,"=35")&gt;=1,COUNTIF(C128:AH128,"f")=2,COUNTIF(C128:AH128,"")=0,COUNTIF(C128:AH128," ")=0),CONCATENATE(SUM(EXTRACTNUMBER(C128),EXTRACTNUMBER(E128),
EXTRACTNUMBER(G128),EXTRACTNUMBER(I128),
EXTRACTNUMBER(K128),EXTRACTNUMBER(M128),
EXTRACTNUMBER(O128),EXTRACTNUMBER(Q128),
EXTRACTNUMBER(S128),EXTRACTNUMBER(U128),
EXTRACTNUMBER(W128),EXTRACTNUMBER(Y128),EXTRACTNUMBER(AA128),
EXTRACTNUMBER(AC128),EXTRACTNUMBER(AG128),EXTRACTNUMBER(AE128)),"*"),IF(AND(COUNTIF(C128:AH128,"=36")&gt;=2,COUNTIF(C128:AH128,"f")=2,COUNTIF(C128:AH128,"")=0,COUNTIF(C128:AH128," ")=0),CONCATENATE(SUM(EXTRACTNUMBER(C128),EXTRACTNUMBER(E128),
EXTRACTNUMBER(G128),EXTRACTNUMBER(I128),
EXTRACTNUMBER(K128),EXTRACTNUMBER(M128),
EXTRACTNUMBER(O128),EXTRACTNUMBER(Q128),
EXTRACTNUMBER(S128),EXTRACTNUMBER(U128),
EXTRACTNUMBER(W128),EXTRACTNUMBER(Y128),EXTRACTNUMBER(AA128),
EXTRACTNUMBER(AC128),EXTRACTNUMBER(AG128),EXTRACTNUMBER(AE128)),"*"),SUM(EXTRACTNUMBER(C128),EXTRACTNUMBER(E128),
EXTRACTNUMBER(G128),EXTRACTNUMBER(I128),
EXTRACTNUMBER(K128),EXTRACTNUMBER(M128),
EXTRACTNUMBER(O128),EXTRACTNUMBER(Q128),
EXTRACTNUMBER(S128),EXTRACTNUMBER(U128),
EXTRACTNUMBER(W128),EXTRACTNUMBER(Y128),EXTRACTNUMBER(AA128),
EXTRACTNUMBER(AC128),EXTRACTNUMBER(AG128),EXTRACTNUMBER(AE128))))),SUM(EXTRACTNUMBER(C128),EXTRACTNUMBER(E128),
EXTRACTNUMBER(G128),EXTRACTNUMBER(I128),
EXTRACTNUMBER(K128),EXTRACTNUMBER(M128),
EXTRACTNUMBER(O128),EXTRACTNUMBER(Q128),
EXTRACTNUMBER(S128),EXTRACTNUMBER(U128),
EXTRACTNUMBER(W128),EXTRACTNUMBER(Y128),EXTRACTNUMBER(AA128),
EXTRACTNUMBER(AC128),EXTRACTNUMBER(AG128),EXTRACTNUMBER(AE128)))</f>
        <v>489</v>
      </c>
      <c r="AJ128" s="94" t="s">
        <v>640</v>
      </c>
      <c r="AK128" s="29">
        <f t="shared" si="287"/>
        <v>971</v>
      </c>
      <c r="AL128" s="29" t="str">
        <f t="shared" ca="1" si="288"/>
        <v>PASS</v>
      </c>
      <c r="AM128" s="30" t="str">
        <f ca="1">IF(AL128="ABSENT","AB",IF(AL128="FAIL","--",
IF(AJ128=0,"RS 3",
IF(AND(SUM(EXTRACTNUMBER(AJ128),EXTRACTNUMBER(AI128))&gt;=1010,
        NOT(IFERROR(FIND("x",AJ128),0)),
        NOT(IFERROR(FIND("x",AI128),0))),"I",
IF(AND(SUM(EXTRACTNUMBER(AJ128),EXTRACTNUMBER(AI128))&gt;=850,
      SUM(EXTRACTNUMBER(AJ128),EXTRACTNUMBER(AI128))&lt;1010,
      NOT(IFERROR(FIND("x",AJ128),0)),
      NOT(IFERROR(FIND("x",AI128),0))),"II",
IF(OR(AND(SUM(EXTRACTNUMBER(AJ128),EXTRACTNUMBER(AI128))&lt;850,
SUM(EXTRACTNUMBER(AJ128),EXTRACTNUMBER(AI128))&gt;=670),
IFERROR(FIND("x",AJ128),0),IFERROR(FIND("x",AI128),0)),"P","--"))))))</f>
        <v>II</v>
      </c>
      <c r="AN128" s="2" t="str">
        <f t="shared" si="289"/>
        <v xml:space="preserve">Nine Hundred Seventy One </v>
      </c>
    </row>
    <row r="129" spans="1:40">
      <c r="A129" s="45">
        <v>134328</v>
      </c>
      <c r="B129" s="46" t="s">
        <v>151</v>
      </c>
      <c r="C129" s="74">
        <v>47</v>
      </c>
      <c r="D129" s="77" t="s">
        <v>391</v>
      </c>
      <c r="E129" s="76">
        <v>17</v>
      </c>
      <c r="F129" s="77" t="s">
        <v>391</v>
      </c>
      <c r="G129" s="76">
        <v>50</v>
      </c>
      <c r="H129" s="77" t="s">
        <v>391</v>
      </c>
      <c r="I129" s="76">
        <v>18</v>
      </c>
      <c r="J129" s="77" t="s">
        <v>391</v>
      </c>
      <c r="K129" s="76">
        <v>40</v>
      </c>
      <c r="L129" s="77" t="s">
        <v>391</v>
      </c>
      <c r="M129" s="76">
        <v>22</v>
      </c>
      <c r="N129" s="77" t="s">
        <v>391</v>
      </c>
      <c r="O129" s="76">
        <v>22</v>
      </c>
      <c r="P129" s="77" t="s">
        <v>391</v>
      </c>
      <c r="Q129" s="76">
        <v>40</v>
      </c>
      <c r="R129" s="77" t="s">
        <v>391</v>
      </c>
      <c r="S129" s="76">
        <v>19</v>
      </c>
      <c r="T129" s="77" t="s">
        <v>391</v>
      </c>
      <c r="U129" s="76">
        <v>19</v>
      </c>
      <c r="V129" s="77" t="s">
        <v>391</v>
      </c>
      <c r="W129" s="76">
        <v>62</v>
      </c>
      <c r="X129" s="77" t="s">
        <v>391</v>
      </c>
      <c r="Y129" s="76">
        <v>22</v>
      </c>
      <c r="Z129" s="77" t="s">
        <v>391</v>
      </c>
      <c r="AA129" s="76">
        <v>21</v>
      </c>
      <c r="AB129" s="77" t="s">
        <v>391</v>
      </c>
      <c r="AC129" s="76">
        <v>40</v>
      </c>
      <c r="AD129" s="77" t="s">
        <v>391</v>
      </c>
      <c r="AE129" s="76">
        <v>19</v>
      </c>
      <c r="AF129" s="77" t="s">
        <v>391</v>
      </c>
      <c r="AG129" s="76">
        <v>15</v>
      </c>
      <c r="AH129" s="77" t="s">
        <v>391</v>
      </c>
      <c r="AI129" s="32">
        <v>473</v>
      </c>
      <c r="AJ129" s="28" t="s">
        <v>297</v>
      </c>
      <c r="AK129" s="29">
        <v>962</v>
      </c>
      <c r="AL129" s="29" t="s">
        <v>392</v>
      </c>
      <c r="AM129" s="30" t="s">
        <v>422</v>
      </c>
      <c r="AN129" s="2" t="s">
        <v>487</v>
      </c>
    </row>
    <row r="130" spans="1:40">
      <c r="A130" s="45">
        <v>134329</v>
      </c>
      <c r="B130" s="46" t="s">
        <v>152</v>
      </c>
      <c r="C130" s="74">
        <v>40</v>
      </c>
      <c r="D130" s="77" t="s">
        <v>391</v>
      </c>
      <c r="E130" s="76">
        <v>15</v>
      </c>
      <c r="F130" s="77" t="s">
        <v>391</v>
      </c>
      <c r="G130" s="76">
        <v>40</v>
      </c>
      <c r="H130" s="77" t="s">
        <v>391</v>
      </c>
      <c r="I130" s="76">
        <v>23</v>
      </c>
      <c r="J130" s="77" t="s">
        <v>391</v>
      </c>
      <c r="K130" s="76">
        <v>42</v>
      </c>
      <c r="L130" s="77" t="s">
        <v>391</v>
      </c>
      <c r="M130" s="76">
        <v>22</v>
      </c>
      <c r="N130" s="77" t="s">
        <v>391</v>
      </c>
      <c r="O130" s="76">
        <v>22</v>
      </c>
      <c r="P130" s="77" t="s">
        <v>391</v>
      </c>
      <c r="Q130" s="76">
        <v>47</v>
      </c>
      <c r="R130" s="77" t="s">
        <v>391</v>
      </c>
      <c r="S130" s="76">
        <v>23</v>
      </c>
      <c r="T130" s="77" t="s">
        <v>391</v>
      </c>
      <c r="U130" s="76">
        <v>21</v>
      </c>
      <c r="V130" s="77" t="s">
        <v>391</v>
      </c>
      <c r="W130" s="76">
        <v>53</v>
      </c>
      <c r="X130" s="77" t="s">
        <v>391</v>
      </c>
      <c r="Y130" s="76">
        <v>23</v>
      </c>
      <c r="Z130" s="77" t="s">
        <v>391</v>
      </c>
      <c r="AA130" s="76">
        <v>22</v>
      </c>
      <c r="AB130" s="77" t="s">
        <v>391</v>
      </c>
      <c r="AC130" s="76">
        <v>43</v>
      </c>
      <c r="AD130" s="77" t="s">
        <v>391</v>
      </c>
      <c r="AE130" s="76">
        <v>23</v>
      </c>
      <c r="AF130" s="77" t="s">
        <v>391</v>
      </c>
      <c r="AG130" s="76">
        <v>13</v>
      </c>
      <c r="AH130" s="77" t="s">
        <v>391</v>
      </c>
      <c r="AI130" s="32">
        <v>472</v>
      </c>
      <c r="AJ130" s="83" t="s">
        <v>594</v>
      </c>
      <c r="AK130" s="29">
        <v>956</v>
      </c>
      <c r="AL130" s="29" t="s">
        <v>392</v>
      </c>
      <c r="AM130" s="30" t="s">
        <v>15</v>
      </c>
      <c r="AN130" s="2" t="s">
        <v>611</v>
      </c>
    </row>
    <row r="131" spans="1:40">
      <c r="A131" s="45">
        <v>134330</v>
      </c>
      <c r="B131" s="46" t="s">
        <v>153</v>
      </c>
      <c r="C131" s="74">
        <v>49</v>
      </c>
      <c r="D131" s="77" t="s">
        <v>391</v>
      </c>
      <c r="E131" s="76">
        <v>19</v>
      </c>
      <c r="F131" s="77" t="s">
        <v>391</v>
      </c>
      <c r="G131" s="76">
        <v>48</v>
      </c>
      <c r="H131" s="77" t="s">
        <v>391</v>
      </c>
      <c r="I131" s="76">
        <v>22</v>
      </c>
      <c r="J131" s="77" t="s">
        <v>391</v>
      </c>
      <c r="K131" s="76">
        <v>40</v>
      </c>
      <c r="L131" s="77" t="s">
        <v>391</v>
      </c>
      <c r="M131" s="76">
        <v>17</v>
      </c>
      <c r="N131" s="77" t="s">
        <v>391</v>
      </c>
      <c r="O131" s="76">
        <v>19</v>
      </c>
      <c r="P131" s="77" t="s">
        <v>391</v>
      </c>
      <c r="Q131" s="76">
        <v>40</v>
      </c>
      <c r="R131" s="77" t="s">
        <v>391</v>
      </c>
      <c r="S131" s="76">
        <v>23</v>
      </c>
      <c r="T131" s="77" t="s">
        <v>391</v>
      </c>
      <c r="U131" s="76">
        <v>23</v>
      </c>
      <c r="V131" s="77" t="s">
        <v>391</v>
      </c>
      <c r="W131" s="76">
        <v>52</v>
      </c>
      <c r="X131" s="77" t="s">
        <v>391</v>
      </c>
      <c r="Y131" s="76">
        <v>21</v>
      </c>
      <c r="Z131" s="77" t="s">
        <v>391</v>
      </c>
      <c r="AA131" s="76">
        <v>20</v>
      </c>
      <c r="AB131" s="77" t="s">
        <v>391</v>
      </c>
      <c r="AC131" s="76">
        <v>45</v>
      </c>
      <c r="AD131" s="77" t="s">
        <v>391</v>
      </c>
      <c r="AE131" s="76">
        <v>23</v>
      </c>
      <c r="AF131" s="77" t="s">
        <v>391</v>
      </c>
      <c r="AG131" s="76">
        <v>20</v>
      </c>
      <c r="AH131" s="77" t="s">
        <v>391</v>
      </c>
      <c r="AI131" s="32">
        <v>481</v>
      </c>
      <c r="AJ131" s="83" t="s">
        <v>283</v>
      </c>
      <c r="AK131" s="29">
        <v>984</v>
      </c>
      <c r="AL131" s="29" t="s">
        <v>392</v>
      </c>
      <c r="AM131" s="30" t="s">
        <v>422</v>
      </c>
      <c r="AN131" s="2" t="s">
        <v>610</v>
      </c>
    </row>
    <row r="132" spans="1:40">
      <c r="A132" s="45">
        <v>134331</v>
      </c>
      <c r="B132" s="46" t="s">
        <v>154</v>
      </c>
      <c r="C132" s="74">
        <v>18</v>
      </c>
      <c r="D132" s="77" t="s">
        <v>398</v>
      </c>
      <c r="E132" s="76">
        <v>14</v>
      </c>
      <c r="F132" s="77" t="s">
        <v>397</v>
      </c>
      <c r="G132" s="76">
        <v>18</v>
      </c>
      <c r="H132" s="77" t="s">
        <v>398</v>
      </c>
      <c r="I132" s="76">
        <v>18</v>
      </c>
      <c r="J132" s="77" t="s">
        <v>397</v>
      </c>
      <c r="K132" s="76">
        <v>40</v>
      </c>
      <c r="L132" s="77" t="s">
        <v>397</v>
      </c>
      <c r="M132" s="76">
        <v>17</v>
      </c>
      <c r="N132" s="77" t="s">
        <v>397</v>
      </c>
      <c r="O132" s="76">
        <v>17</v>
      </c>
      <c r="P132" s="77" t="s">
        <v>397</v>
      </c>
      <c r="Q132" s="76">
        <v>27</v>
      </c>
      <c r="R132" s="77" t="s">
        <v>398</v>
      </c>
      <c r="S132" s="76">
        <v>18</v>
      </c>
      <c r="T132" s="77" t="s">
        <v>397</v>
      </c>
      <c r="U132" s="76">
        <v>19</v>
      </c>
      <c r="V132" s="77" t="s">
        <v>397</v>
      </c>
      <c r="W132" s="76">
        <v>40</v>
      </c>
      <c r="X132" s="77" t="s">
        <v>397</v>
      </c>
      <c r="Y132" s="76">
        <v>21</v>
      </c>
      <c r="Z132" s="77" t="s">
        <v>397</v>
      </c>
      <c r="AA132" s="76">
        <v>21</v>
      </c>
      <c r="AB132" s="77" t="s">
        <v>397</v>
      </c>
      <c r="AC132" s="76">
        <v>31</v>
      </c>
      <c r="AD132" s="77" t="s">
        <v>398</v>
      </c>
      <c r="AE132" s="76">
        <v>19</v>
      </c>
      <c r="AF132" s="77" t="s">
        <v>397</v>
      </c>
      <c r="AG132" s="76">
        <v>16</v>
      </c>
      <c r="AH132" s="77" t="s">
        <v>397</v>
      </c>
      <c r="AI132" s="32">
        <v>354</v>
      </c>
      <c r="AJ132" s="83" t="s">
        <v>531</v>
      </c>
      <c r="AK132" s="29">
        <v>354</v>
      </c>
      <c r="AL132" s="29" t="s">
        <v>399</v>
      </c>
      <c r="AM132" s="30" t="s">
        <v>400</v>
      </c>
      <c r="AN132" s="2" t="s">
        <v>488</v>
      </c>
    </row>
    <row r="133" spans="1:40">
      <c r="A133" s="45">
        <v>134332</v>
      </c>
      <c r="B133" s="46" t="s">
        <v>155</v>
      </c>
      <c r="C133" s="74">
        <v>40</v>
      </c>
      <c r="D133" s="77" t="s">
        <v>391</v>
      </c>
      <c r="E133" s="76">
        <v>13</v>
      </c>
      <c r="F133" s="77" t="s">
        <v>391</v>
      </c>
      <c r="G133" s="76">
        <v>60</v>
      </c>
      <c r="H133" s="77" t="s">
        <v>391</v>
      </c>
      <c r="I133" s="76">
        <v>19</v>
      </c>
      <c r="J133" s="77" t="s">
        <v>391</v>
      </c>
      <c r="K133" s="76">
        <v>55</v>
      </c>
      <c r="L133" s="77" t="s">
        <v>391</v>
      </c>
      <c r="M133" s="76">
        <v>16</v>
      </c>
      <c r="N133" s="77" t="s">
        <v>391</v>
      </c>
      <c r="O133" s="76">
        <v>17</v>
      </c>
      <c r="P133" s="77" t="s">
        <v>391</v>
      </c>
      <c r="Q133" s="76">
        <v>63</v>
      </c>
      <c r="R133" s="77" t="s">
        <v>391</v>
      </c>
      <c r="S133" s="76">
        <v>22</v>
      </c>
      <c r="T133" s="77" t="s">
        <v>391</v>
      </c>
      <c r="U133" s="76">
        <v>14</v>
      </c>
      <c r="V133" s="77" t="s">
        <v>391</v>
      </c>
      <c r="W133" s="76">
        <v>59</v>
      </c>
      <c r="X133" s="77" t="s">
        <v>391</v>
      </c>
      <c r="Y133" s="76">
        <v>21</v>
      </c>
      <c r="Z133" s="77" t="s">
        <v>391</v>
      </c>
      <c r="AA133" s="76">
        <v>21</v>
      </c>
      <c r="AB133" s="77" t="s">
        <v>391</v>
      </c>
      <c r="AC133" s="76">
        <v>52</v>
      </c>
      <c r="AD133" s="77" t="s">
        <v>391</v>
      </c>
      <c r="AE133" s="76">
        <v>21</v>
      </c>
      <c r="AF133" s="77" t="s">
        <v>391</v>
      </c>
      <c r="AG133" s="76">
        <v>15</v>
      </c>
      <c r="AH133" s="77" t="s">
        <v>391</v>
      </c>
      <c r="AI133" s="32">
        <v>508</v>
      </c>
      <c r="AJ133" s="83" t="s">
        <v>531</v>
      </c>
      <c r="AK133" s="29">
        <v>508</v>
      </c>
      <c r="AL133" s="29" t="s">
        <v>392</v>
      </c>
      <c r="AM133" s="30" t="s">
        <v>393</v>
      </c>
      <c r="AN133" s="2" t="s">
        <v>489</v>
      </c>
    </row>
    <row r="134" spans="1:40">
      <c r="A134" s="45">
        <v>134333</v>
      </c>
      <c r="B134" s="46" t="s">
        <v>156</v>
      </c>
      <c r="C134" s="43">
        <v>41</v>
      </c>
      <c r="D134" s="27" t="str">
        <f t="shared" ref="D134" ca="1" si="290">IF(IFERROR(FIND("+",C134),0)," ",
IF(C134="AB","",
IF(C134&lt;$D$27,"F",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E134" s="26">
        <v>20</v>
      </c>
      <c r="F134" s="27" t="str">
        <f t="shared" ref="F134" ca="1" si="291">IF(IFERROR(FIND("+",E134),0)," ",
IF(E134="AB","",
IF(E134&lt;$F$27,"F",
IF(AND(E134&gt;=$F$27,C134&gt;=$D$27,G134&gt;=$H$27,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G134" s="24">
        <v>40</v>
      </c>
      <c r="H134" s="27" t="str">
        <f t="shared" ref="H134" ca="1" si="292">IF(IFERROR(FIND("+",G134),0)," ",
IF(G134="AB","",
IF(G134&lt;$H$27,"F",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I134" s="26">
        <v>21</v>
      </c>
      <c r="J134" s="27" t="str">
        <f t="shared" ref="J134" ca="1" si="293">IF(IFERROR(FIND("+",I134),0)," ",
IF(I134="AB","",
IF(I134&lt;$J$27,"F",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K134" s="24">
        <v>43</v>
      </c>
      <c r="L134" s="27" t="str">
        <f t="shared" ref="L134" ca="1" si="294">IF(IFERROR(FIND("+",K134),0)," ",
IF(K134="AB","",
IF(K134&lt;$L$27,"F",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M134" s="26">
        <v>22</v>
      </c>
      <c r="N134" s="27" t="str">
        <f t="shared" ref="N134" ca="1" si="295">IF(IFERROR(FIND("+",M134),0)," ",
IF(M134="AB","",
IF(M134&lt;$N$27,"F",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AG134&lt;&gt;"AB"),"","E"))))</f>
        <v/>
      </c>
      <c r="O134" s="26">
        <v>22</v>
      </c>
      <c r="P134" s="27" t="str">
        <f t="shared" ref="P134" ca="1" si="296">IF(IFERROR(FIND("+",O134),0)," ",
IF(O134="AB","",
IF(O134&lt;$P$27,"F",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Q134" s="24">
        <v>43</v>
      </c>
      <c r="R134" s="27" t="str">
        <f t="shared" ref="R134" ca="1" si="297">IF(IFERROR(FIND("+",Q134),0)," ",
IF(Q134="AB","",
IF(Q134&lt;$R$27,"F",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S134" s="26">
        <v>22</v>
      </c>
      <c r="T134" s="27" t="str">
        <f t="shared" ref="T134" ca="1" si="298">IF(IFERROR(FIND("+",S134),0)," ",
IF(S134="AB","",
IF(S134&lt;$T$27,"F",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U134" s="26">
        <v>20</v>
      </c>
      <c r="V134" s="27" t="str">
        <f t="shared" ref="V134" ca="1" si="299">IF(IFERROR(FIND("+",U134),0)," ",
IF(U134="AB","",
IF(U134&lt;$V$27,"F",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W134" s="24">
        <v>54</v>
      </c>
      <c r="X134" s="27" t="str">
        <f t="shared" ref="X134" ca="1" si="300">IF(IFERROR(FIND("+",W134),0)," ",
IF(W134="AB","",
IF(W134&lt;$X$27,"F",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Y134" s="26">
        <v>21</v>
      </c>
      <c r="Z134" s="27" t="str">
        <f t="shared" ref="Z134" ca="1" si="301">IF(IFERROR(FIND("+",Y134),0)," ",
IF(Y134="AB","",
IF(Y134&lt;$Z$27,"F",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AA134" s="26">
        <v>21</v>
      </c>
      <c r="AB134" s="27" t="str">
        <f t="shared" ref="AB134" ca="1" si="302">IF(IFERROR(FIND("+",AA134),0)," ",
IF(AA134="AB","",
IF(AA134&lt;$AB$27,"F",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AC134" s="24">
        <v>43</v>
      </c>
      <c r="AD134" s="27" t="str">
        <f t="shared" ref="AD134" ca="1" si="303">IF(IFERROR(FIND("+",AC134),0)," ",
IF(AC134="AB","",
IF(AC134&lt;$AD$27,"F",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AE134" s="26">
        <v>18</v>
      </c>
      <c r="AF134" s="27" t="str">
        <f t="shared" ref="AF134" ca="1" si="304">IF(IFERROR(FIND("+",AE134),0)," ",
IF(AE134="AB","",IF(AE134&lt;$AF$27,"F",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AG134&lt;&gt;"AB",AH134&lt;&gt;"AB"),"","E"))))</f>
        <v/>
      </c>
      <c r="AG134" s="26">
        <v>18</v>
      </c>
      <c r="AH134" s="27" t="str">
        <f t="shared" ref="AH134" ca="1" si="305">IF(IFERROR(FIND("+",AG134),0)," ",
IF(AG134="AB","",
IF(AG134&lt;$AH$27,"F",
IF(AND(C134&gt;=$D$27,E134&gt;=$F$27,G134&gt;=$H$27,
I134&gt;=$J$27,K134&gt;=$L$27,
M134&gt;=$N$27,O134&gt;=$P$27,Q134&gt;=$R$27,S134&gt;=$T$27,U134&gt;=$V$27,
W134&gt;=$X$27,Y134&gt;=$Z$27,AA134&gt;=$AB$27,AC134&gt;=$AD$27,AE134&gt;=$AF$27,
AG134&gt;=$AH$27,C134&lt;&gt;"AB",E134&lt;&gt;"AB",G134&lt;&gt;"AB",
I134&lt;&gt;"AB",K134&lt;&gt;"AB",
M134&lt;&gt;"AB",O134&lt;&gt;"AB",Q134&lt;&gt;"AB",S134&lt;&gt;"AB",U134&lt;&gt;"AB",
W134&lt;&gt;"AB",Y134&lt;&gt;"AB",AA134&lt;&gt;"AB",AC134&lt;&gt;"AB",AE134&lt;&gt;"AB",
AG134&lt;&gt;"AB"),"","E"))))</f>
        <v/>
      </c>
      <c r="AI134" s="32">
        <f>IF(OR(AND(C134&gt;=31,C134&lt;40),AND(G134&gt;=31,G134&lt;40),AND(K134&gt;=31,K134&lt;40),AND(Q134&gt;=31,Q134&lt;40),AND(W134&gt;=31,W134&lt;40),AND(AC134&gt;=31,AC134&lt;40)),IF(AND(OR(COUNTIF(C134:AH134,"=31")&gt;=1,COUNTIF(C134:AH134,"=32")&gt;=1,COUNTIF(C134:AH134,"=33")&gt;=1,COUNTIF(C134:AH134,"=34")&gt;=1,COUNTIF(C134:AH134,"=35")&gt;=1,COUNTIF(C134:AH134,"=36")&gt;=1 ),COUNTIF(C134:AH134,"")=0,COUNTIF(C134:AH134," ")=0,COUNTIF(C134:AH134,"F")=1),CONCATENATE(SUM(EXTRACTNUMBER(C134),EXTRACTNUMBER(E134),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EXTRACTNUMBER(AC134),EXTRACTNUMBER(AG134),EXTRACTNUMBER(AE134)),"*"),IF(AND(COUNTIF(C134:AH134,"=34")&gt;=1,COUNTIF(C134:AH134,"=35")&gt;=1,COUNTIF(C134:AH134,"f")=2,COUNTIF(C134:AH134,"")=0,COUNTIF(C134:AH134," ")=0),CONCATENATE(SUM(EXTRACTNUMBER(C134),EXTRACTNUMBER(E134),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EXTRACTNUMBER(AC134),EXTRACTNUMBER(AG134),EXTRACTNUMBER(AE134)),"*"),IF(AND(COUNTIF(C134:AH134,"=36")&gt;=2,COUNTIF(C134:AH134,"f")=2,COUNTIF(C134:AH134,"")=0,COUNTIF(C134:AH134," ")=0),CONCATENATE(SUM(EXTRACTNUMBER(C134),EXTRACTNUMBER(E134),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EXTRACTNUMBER(AC134),EXTRACTNUMBER(AG134),EXTRACTNUMBER(AE134)),"*"),SUM(EXTRACTNUMBER(C134),EXTRACTNUMBER(E134),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EXTRACTNUMBER(AC134),EXTRACTNUMBER(AG134),EXTRACTNUMBER(AE134))))),SUM(EXTRACTNUMBER(C134),EXTRACTNUMBER(E134),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EXTRACTNUMBER(AC134),EXTRACTNUMBER(AG134),EXTRACTNUMBER(AE134)))</f>
        <v>469</v>
      </c>
      <c r="AJ134" s="94" t="s">
        <v>618</v>
      </c>
      <c r="AK134" s="29">
        <f t="shared" ref="AK134" si="306">IF(IFERROR(FIND("x",AJ134),0),SUM(EXTRACTNUMBER(AI134),EXTRACTNUMBER(AJ134)),IF(AND(SUM(EXTRACTNUMBER(AI134),EXTRACTNUMBER(AJ134))&gt;1009,SUM(EXTRACTNUMBER(AI134),EXTRACTNUMBER(AJ134))&lt;1020),
CONCATENATE(SUM(EXTRACTNUMBER(AI134),EXTRACTNUMBER(AJ134)),"@",1020-SUM(EXTRACTNUMBER(AI134),EXTRACTNUMBER(AJ134))),
IF(AND(SUM(EXTRACTNUMBER(AI134),EXTRACTNUMBER(AJ134))&gt;839,   SUM(EXTRACTNUMBER(AI134),EXTRACTNUMBER(AJ134))&lt;850),CONCATENATE(SUM(EXTRACTNUMBER(AI134),EXTRACTNUMBER(AJ134)),"@",850-SUM(EXTRACTNUMBER(AI134),EXTRACTNUMBER(AJ134))),
IF(AND(SUM(EXTRACTNUMBER(AI134),EXTRACTNUMBER(AJ134))&gt;669,        SUM(EXTRACTNUMBER(AI134),EXTRACTNUMBER(AJ134))&lt;680),
CONCATENATE(SUM(EXTRACTNUMBER(AI134),EXTRACTNUMBER(AJ134)),"@",680-SUM(EXTRACTNUMBER(AI134),EXTRACTNUMBER(AJ134))),
SUM(EXTRACTNUMBER(AI134),EXTRACTNUMBER(AJ134))))))</f>
        <v>963</v>
      </c>
      <c r="AL134" s="29" t="str">
        <f t="shared" ref="AL134" ca="1" si="307">IF(AND(COUNTIF(C134:AH134,"AB")&lt;16-COUNTIF(C134:AH134," "),
COUNTIF(C134:AH134,"AB")&lt;&gt;0),"FAIL",
IF(COUNTIF(C134:AH134,"AB")=16-COUNTIF(C134:AH134," "),"ABSENT",
IF(AND(COUNTIF(C134:AH134,"AB")=0,COUNTIF(C134:AH134,"F")=0),"PASS","FAIL")))</f>
        <v>PASS</v>
      </c>
      <c r="AM134" s="30" t="str">
        <f ca="1">IF(AL134="ABSENT","AB",IF(AL134="FAIL","--",
IF(AJ134=0,"RS 3",
IF(AND(SUM(EXTRACTNUMBER(AJ134),EXTRACTNUMBER(AI134))&gt;=1010,
        NOT(IFERROR(FIND("x",AJ134),0)),
        NOT(IFERROR(FIND("x",AI134),0))),"I",
IF(AND(SUM(EXTRACTNUMBER(AJ134),EXTRACTNUMBER(AI134))&gt;=850,
      SUM(EXTRACTNUMBER(AJ134),EXTRACTNUMBER(AI134))&lt;1010,
      NOT(IFERROR(FIND("x",AJ134),0)),
      NOT(IFERROR(FIND("x",AI134),0))),"II",
IF(OR(AND(SUM(EXTRACTNUMBER(AJ134),EXTRACTNUMBER(AI134))&lt;850,
SUM(EXTRACTNUMBER(AJ134),EXTRACTNUMBER(AI134))&gt;=670),
IFERROR(FIND("x",AJ134),0),IFERROR(FIND("x",AI134),0)),"P","--"))))))</f>
        <v>II</v>
      </c>
      <c r="AN134" s="2" t="str">
        <f t="shared" ref="AN134" si="308">spellnumber(AK134)</f>
        <v xml:space="preserve">Nine Hundred Sixty Three </v>
      </c>
    </row>
    <row r="135" spans="1:40">
      <c r="A135" s="45">
        <v>134334</v>
      </c>
      <c r="B135" s="46" t="s">
        <v>157</v>
      </c>
      <c r="C135" s="74" t="s">
        <v>305</v>
      </c>
      <c r="D135" s="77" t="s">
        <v>391</v>
      </c>
      <c r="E135" s="76">
        <v>16</v>
      </c>
      <c r="F135" s="77" t="s">
        <v>397</v>
      </c>
      <c r="G135" s="76">
        <v>40</v>
      </c>
      <c r="H135" s="77" t="s">
        <v>397</v>
      </c>
      <c r="I135" s="76">
        <v>20</v>
      </c>
      <c r="J135" s="77" t="s">
        <v>397</v>
      </c>
      <c r="K135" s="76">
        <v>24</v>
      </c>
      <c r="L135" s="77" t="s">
        <v>398</v>
      </c>
      <c r="M135" s="76">
        <v>17</v>
      </c>
      <c r="N135" s="77" t="s">
        <v>397</v>
      </c>
      <c r="O135" s="76">
        <v>19</v>
      </c>
      <c r="P135" s="77" t="s">
        <v>397</v>
      </c>
      <c r="Q135" s="76">
        <v>20</v>
      </c>
      <c r="R135" s="77" t="s">
        <v>398</v>
      </c>
      <c r="S135" s="76">
        <v>22</v>
      </c>
      <c r="T135" s="77" t="s">
        <v>397</v>
      </c>
      <c r="U135" s="76">
        <v>16</v>
      </c>
      <c r="V135" s="77" t="s">
        <v>397</v>
      </c>
      <c r="W135" s="76">
        <v>40</v>
      </c>
      <c r="X135" s="77" t="s">
        <v>397</v>
      </c>
      <c r="Y135" s="76">
        <v>21</v>
      </c>
      <c r="Z135" s="77" t="s">
        <v>397</v>
      </c>
      <c r="AA135" s="76">
        <v>20</v>
      </c>
      <c r="AB135" s="77" t="s">
        <v>397</v>
      </c>
      <c r="AC135" s="76">
        <v>40</v>
      </c>
      <c r="AD135" s="77" t="s">
        <v>397</v>
      </c>
      <c r="AE135" s="76">
        <v>20</v>
      </c>
      <c r="AF135" s="77" t="s">
        <v>397</v>
      </c>
      <c r="AG135" s="76">
        <v>16</v>
      </c>
      <c r="AH135" s="77" t="s">
        <v>397</v>
      </c>
      <c r="AI135" s="32">
        <v>351</v>
      </c>
      <c r="AJ135" s="83" t="s">
        <v>531</v>
      </c>
      <c r="AK135" s="29">
        <v>351</v>
      </c>
      <c r="AL135" s="29" t="s">
        <v>399</v>
      </c>
      <c r="AM135" s="30" t="s">
        <v>400</v>
      </c>
      <c r="AN135" s="2" t="s">
        <v>490</v>
      </c>
    </row>
    <row r="136" spans="1:40">
      <c r="A136" s="45">
        <v>134335</v>
      </c>
      <c r="B136" s="46" t="s">
        <v>620</v>
      </c>
      <c r="C136" s="74">
        <v>29</v>
      </c>
      <c r="D136" s="77" t="s">
        <v>398</v>
      </c>
      <c r="E136" s="76">
        <v>13</v>
      </c>
      <c r="F136" s="77" t="s">
        <v>397</v>
      </c>
      <c r="G136" s="76">
        <v>55</v>
      </c>
      <c r="H136" s="77" t="s">
        <v>397</v>
      </c>
      <c r="I136" s="76">
        <v>23</v>
      </c>
      <c r="J136" s="77" t="s">
        <v>397</v>
      </c>
      <c r="K136" s="76">
        <v>47</v>
      </c>
      <c r="L136" s="77" t="s">
        <v>397</v>
      </c>
      <c r="M136" s="76">
        <v>22</v>
      </c>
      <c r="N136" s="77" t="s">
        <v>397</v>
      </c>
      <c r="O136" s="76">
        <v>22</v>
      </c>
      <c r="P136" s="77" t="s">
        <v>397</v>
      </c>
      <c r="Q136" s="76">
        <v>41</v>
      </c>
      <c r="R136" s="77" t="s">
        <v>397</v>
      </c>
      <c r="S136" s="76">
        <v>23</v>
      </c>
      <c r="T136" s="77" t="s">
        <v>397</v>
      </c>
      <c r="U136" s="76">
        <v>16</v>
      </c>
      <c r="V136" s="77" t="s">
        <v>397</v>
      </c>
      <c r="W136" s="76">
        <v>45</v>
      </c>
      <c r="X136" s="77" t="s">
        <v>397</v>
      </c>
      <c r="Y136" s="76">
        <v>23</v>
      </c>
      <c r="Z136" s="77" t="s">
        <v>397</v>
      </c>
      <c r="AA136" s="76">
        <v>22</v>
      </c>
      <c r="AB136" s="77" t="s">
        <v>397</v>
      </c>
      <c r="AC136" s="76">
        <v>31</v>
      </c>
      <c r="AD136" s="77" t="s">
        <v>398</v>
      </c>
      <c r="AE136" s="76">
        <v>23</v>
      </c>
      <c r="AF136" s="77" t="s">
        <v>397</v>
      </c>
      <c r="AG136" s="76">
        <v>18</v>
      </c>
      <c r="AH136" s="77" t="s">
        <v>397</v>
      </c>
      <c r="AI136" s="32">
        <v>453</v>
      </c>
      <c r="AJ136" s="28" t="s">
        <v>298</v>
      </c>
      <c r="AK136" s="29">
        <v>914</v>
      </c>
      <c r="AL136" s="29" t="s">
        <v>399</v>
      </c>
      <c r="AM136" s="30" t="s">
        <v>400</v>
      </c>
      <c r="AN136" s="2" t="s">
        <v>491</v>
      </c>
    </row>
    <row r="137" spans="1:40">
      <c r="A137" s="45">
        <v>134336</v>
      </c>
      <c r="B137" s="46" t="s">
        <v>158</v>
      </c>
      <c r="C137" s="74">
        <v>24</v>
      </c>
      <c r="D137" s="77" t="s">
        <v>398</v>
      </c>
      <c r="E137" s="76">
        <v>15</v>
      </c>
      <c r="F137" s="77" t="s">
        <v>397</v>
      </c>
      <c r="G137" s="76">
        <v>40</v>
      </c>
      <c r="H137" s="77" t="s">
        <v>397</v>
      </c>
      <c r="I137" s="76">
        <v>17</v>
      </c>
      <c r="J137" s="77" t="s">
        <v>397</v>
      </c>
      <c r="K137" s="76">
        <v>44</v>
      </c>
      <c r="L137" s="77" t="s">
        <v>397</v>
      </c>
      <c r="M137" s="76">
        <v>14</v>
      </c>
      <c r="N137" s="77" t="s">
        <v>397</v>
      </c>
      <c r="O137" s="76">
        <v>16</v>
      </c>
      <c r="P137" s="77" t="s">
        <v>397</v>
      </c>
      <c r="Q137" s="76">
        <v>40</v>
      </c>
      <c r="R137" s="77" t="s">
        <v>397</v>
      </c>
      <c r="S137" s="76">
        <v>22</v>
      </c>
      <c r="T137" s="77" t="s">
        <v>397</v>
      </c>
      <c r="U137" s="76">
        <v>19</v>
      </c>
      <c r="V137" s="77" t="s">
        <v>397</v>
      </c>
      <c r="W137" s="76">
        <v>40</v>
      </c>
      <c r="X137" s="77" t="s">
        <v>397</v>
      </c>
      <c r="Y137" s="76">
        <v>22</v>
      </c>
      <c r="Z137" s="77" t="s">
        <v>397</v>
      </c>
      <c r="AA137" s="76">
        <v>22</v>
      </c>
      <c r="AB137" s="77" t="s">
        <v>397</v>
      </c>
      <c r="AC137" s="76">
        <v>40</v>
      </c>
      <c r="AD137" s="77" t="s">
        <v>397</v>
      </c>
      <c r="AE137" s="76">
        <v>19</v>
      </c>
      <c r="AF137" s="77" t="s">
        <v>397</v>
      </c>
      <c r="AG137" s="76">
        <v>17</v>
      </c>
      <c r="AH137" s="77" t="s">
        <v>397</v>
      </c>
      <c r="AI137" s="32">
        <v>411</v>
      </c>
      <c r="AJ137" s="83" t="s">
        <v>531</v>
      </c>
      <c r="AK137" s="29">
        <v>411</v>
      </c>
      <c r="AL137" s="29" t="s">
        <v>399</v>
      </c>
      <c r="AM137" s="30" t="s">
        <v>400</v>
      </c>
      <c r="AN137" s="2" t="s">
        <v>407</v>
      </c>
    </row>
    <row r="138" spans="1:40">
      <c r="A138" s="45">
        <v>134337</v>
      </c>
      <c r="B138" s="46" t="s">
        <v>159</v>
      </c>
      <c r="C138" s="74">
        <v>56</v>
      </c>
      <c r="D138" s="77" t="s">
        <v>391</v>
      </c>
      <c r="E138" s="76">
        <v>24</v>
      </c>
      <c r="F138" s="77" t="s">
        <v>391</v>
      </c>
      <c r="G138" s="76">
        <v>56</v>
      </c>
      <c r="H138" s="77" t="s">
        <v>391</v>
      </c>
      <c r="I138" s="76">
        <v>24</v>
      </c>
      <c r="J138" s="77" t="s">
        <v>391</v>
      </c>
      <c r="K138" s="76">
        <v>59</v>
      </c>
      <c r="L138" s="77" t="s">
        <v>391</v>
      </c>
      <c r="M138" s="76">
        <v>23</v>
      </c>
      <c r="N138" s="77" t="s">
        <v>391</v>
      </c>
      <c r="O138" s="76">
        <v>24</v>
      </c>
      <c r="P138" s="77" t="s">
        <v>391</v>
      </c>
      <c r="Q138" s="76">
        <v>49</v>
      </c>
      <c r="R138" s="77" t="s">
        <v>391</v>
      </c>
      <c r="S138" s="76">
        <v>24</v>
      </c>
      <c r="T138" s="77" t="s">
        <v>391</v>
      </c>
      <c r="U138" s="76">
        <v>24</v>
      </c>
      <c r="V138" s="77" t="s">
        <v>391</v>
      </c>
      <c r="W138" s="76">
        <v>58</v>
      </c>
      <c r="X138" s="77" t="s">
        <v>391</v>
      </c>
      <c r="Y138" s="76">
        <v>24</v>
      </c>
      <c r="Z138" s="77" t="s">
        <v>391</v>
      </c>
      <c r="AA138" s="76">
        <v>22</v>
      </c>
      <c r="AB138" s="77" t="s">
        <v>391</v>
      </c>
      <c r="AC138" s="76">
        <v>51</v>
      </c>
      <c r="AD138" s="77" t="s">
        <v>391</v>
      </c>
      <c r="AE138" s="76">
        <v>24</v>
      </c>
      <c r="AF138" s="77" t="s">
        <v>391</v>
      </c>
      <c r="AG138" s="76">
        <v>22</v>
      </c>
      <c r="AH138" s="77" t="s">
        <v>391</v>
      </c>
      <c r="AI138" s="32">
        <v>564</v>
      </c>
      <c r="AJ138" s="28" t="s">
        <v>287</v>
      </c>
      <c r="AK138" s="29">
        <v>1134</v>
      </c>
      <c r="AL138" s="29" t="s">
        <v>392</v>
      </c>
      <c r="AM138" s="30" t="s">
        <v>395</v>
      </c>
      <c r="AN138" s="2" t="s">
        <v>492</v>
      </c>
    </row>
    <row r="139" spans="1:40">
      <c r="A139" s="45">
        <v>134338</v>
      </c>
      <c r="B139" s="46" t="s">
        <v>160</v>
      </c>
      <c r="C139" s="74">
        <v>17</v>
      </c>
      <c r="D139" s="77" t="s">
        <v>398</v>
      </c>
      <c r="E139" s="76">
        <v>16</v>
      </c>
      <c r="F139" s="77" t="s">
        <v>397</v>
      </c>
      <c r="G139" s="76">
        <v>67</v>
      </c>
      <c r="H139" s="77" t="s">
        <v>397</v>
      </c>
      <c r="I139" s="76">
        <v>19</v>
      </c>
      <c r="J139" s="77" t="s">
        <v>397</v>
      </c>
      <c r="K139" s="76">
        <v>47</v>
      </c>
      <c r="L139" s="77" t="s">
        <v>397</v>
      </c>
      <c r="M139" s="76">
        <v>22</v>
      </c>
      <c r="N139" s="77" t="s">
        <v>397</v>
      </c>
      <c r="O139" s="76">
        <v>22</v>
      </c>
      <c r="P139" s="77" t="s">
        <v>397</v>
      </c>
      <c r="Q139" s="76">
        <v>41</v>
      </c>
      <c r="R139" s="77" t="s">
        <v>397</v>
      </c>
      <c r="S139" s="76">
        <v>22</v>
      </c>
      <c r="T139" s="77" t="s">
        <v>397</v>
      </c>
      <c r="U139" s="76">
        <v>16</v>
      </c>
      <c r="V139" s="77" t="s">
        <v>397</v>
      </c>
      <c r="W139" s="76">
        <v>43</v>
      </c>
      <c r="X139" s="77" t="s">
        <v>397</v>
      </c>
      <c r="Y139" s="76">
        <v>22</v>
      </c>
      <c r="Z139" s="77" t="s">
        <v>397</v>
      </c>
      <c r="AA139" s="76">
        <v>21</v>
      </c>
      <c r="AB139" s="77" t="s">
        <v>397</v>
      </c>
      <c r="AC139" s="76">
        <v>53</v>
      </c>
      <c r="AD139" s="77" t="s">
        <v>397</v>
      </c>
      <c r="AE139" s="76">
        <v>20</v>
      </c>
      <c r="AF139" s="77" t="s">
        <v>397</v>
      </c>
      <c r="AG139" s="76">
        <v>20</v>
      </c>
      <c r="AH139" s="77" t="s">
        <v>397</v>
      </c>
      <c r="AI139" s="32">
        <v>468</v>
      </c>
      <c r="AJ139" s="83" t="s">
        <v>531</v>
      </c>
      <c r="AK139" s="29">
        <v>468</v>
      </c>
      <c r="AL139" s="29" t="s">
        <v>399</v>
      </c>
      <c r="AM139" s="30" t="s">
        <v>400</v>
      </c>
      <c r="AN139" s="2" t="s">
        <v>493</v>
      </c>
    </row>
    <row r="140" spans="1:40">
      <c r="A140" s="45">
        <v>134339</v>
      </c>
      <c r="B140" s="46" t="s">
        <v>161</v>
      </c>
      <c r="C140" s="74">
        <v>19</v>
      </c>
      <c r="D140" s="77" t="s">
        <v>398</v>
      </c>
      <c r="E140" s="76">
        <v>14</v>
      </c>
      <c r="F140" s="77" t="s">
        <v>397</v>
      </c>
      <c r="G140" s="76">
        <v>65</v>
      </c>
      <c r="H140" s="77" t="s">
        <v>397</v>
      </c>
      <c r="I140" s="76">
        <v>23</v>
      </c>
      <c r="J140" s="77" t="s">
        <v>397</v>
      </c>
      <c r="K140" s="76">
        <v>51</v>
      </c>
      <c r="L140" s="77" t="s">
        <v>397</v>
      </c>
      <c r="M140" s="76">
        <v>22</v>
      </c>
      <c r="N140" s="77" t="s">
        <v>397</v>
      </c>
      <c r="O140" s="76">
        <v>22</v>
      </c>
      <c r="P140" s="77" t="s">
        <v>397</v>
      </c>
      <c r="Q140" s="76">
        <v>49</v>
      </c>
      <c r="R140" s="77" t="s">
        <v>397</v>
      </c>
      <c r="S140" s="76">
        <v>23</v>
      </c>
      <c r="T140" s="77" t="s">
        <v>397</v>
      </c>
      <c r="U140" s="76">
        <v>21</v>
      </c>
      <c r="V140" s="77" t="s">
        <v>397</v>
      </c>
      <c r="W140" s="76">
        <v>71</v>
      </c>
      <c r="X140" s="77" t="s">
        <v>397</v>
      </c>
      <c r="Y140" s="76">
        <v>23</v>
      </c>
      <c r="Z140" s="77" t="s">
        <v>397</v>
      </c>
      <c r="AA140" s="76">
        <v>21</v>
      </c>
      <c r="AB140" s="77" t="s">
        <v>397</v>
      </c>
      <c r="AC140" s="76">
        <v>49</v>
      </c>
      <c r="AD140" s="77" t="s">
        <v>397</v>
      </c>
      <c r="AE140" s="76">
        <v>23</v>
      </c>
      <c r="AF140" s="77" t="s">
        <v>397</v>
      </c>
      <c r="AG140" s="76">
        <v>22</v>
      </c>
      <c r="AH140" s="77" t="s">
        <v>397</v>
      </c>
      <c r="AI140" s="32">
        <v>518</v>
      </c>
      <c r="AJ140" s="83" t="s">
        <v>531</v>
      </c>
      <c r="AK140" s="29">
        <v>518</v>
      </c>
      <c r="AL140" s="29" t="s">
        <v>399</v>
      </c>
      <c r="AM140" s="30" t="s">
        <v>400</v>
      </c>
      <c r="AN140" s="2" t="s">
        <v>452</v>
      </c>
    </row>
    <row r="141" spans="1:40">
      <c r="A141" s="45">
        <v>134340</v>
      </c>
      <c r="B141" s="46" t="s">
        <v>162</v>
      </c>
      <c r="C141" s="43">
        <v>16</v>
      </c>
      <c r="D141" s="27" t="str">
        <f t="shared" ref="D141" ca="1" si="309">IF(IFERROR(FIND("+",C141),0)," ",
IF(C141="AB","",
IF(C141&lt;$D$27,"F",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F</v>
      </c>
      <c r="E141" s="26">
        <v>17</v>
      </c>
      <c r="F141" s="27" t="str">
        <f t="shared" ref="F141" ca="1" si="310">IF(IFERROR(FIND("+",E141),0)," ",
IF(E141="AB","",
IF(E141&lt;$F$27,"F",
IF(AND(E141&gt;=$F$27,C141&gt;=$D$27,G141&gt;=$H$27,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G141" s="24">
        <v>43</v>
      </c>
      <c r="H141" s="27" t="str">
        <f t="shared" ref="H141" ca="1" si="311">IF(IFERROR(FIND("+",G141),0)," ",
IF(G141="AB","",
IF(G141&lt;$H$27,"F",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I141" s="26">
        <v>19</v>
      </c>
      <c r="J141" s="27" t="str">
        <f t="shared" ref="J141" ca="1" si="312">IF(IFERROR(FIND("+",I141),0)," ",
IF(I141="AB","",
IF(I141&lt;$J$27,"F",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K141" s="24">
        <v>40</v>
      </c>
      <c r="L141" s="27" t="str">
        <f t="shared" ref="L141" ca="1" si="313">IF(IFERROR(FIND("+",K141),0)," ",
IF(K141="AB","",
IF(K141&lt;$L$27,"F",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M141" s="26">
        <v>17</v>
      </c>
      <c r="N141" s="27" t="str">
        <f t="shared" ref="N141" ca="1" si="314">IF(IFERROR(FIND("+",M141),0)," ",
IF(M141="AB","",
IF(M141&lt;$N$27,"F",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AG141&lt;&gt;"AB"),"","E"))))</f>
        <v>E</v>
      </c>
      <c r="O141" s="26">
        <v>18</v>
      </c>
      <c r="P141" s="27" t="str">
        <f t="shared" ref="P141" ca="1" si="315">IF(IFERROR(FIND("+",O141),0)," ",
IF(O141="AB","",
IF(O141&lt;$P$27,"F",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Q141" s="24">
        <v>15</v>
      </c>
      <c r="R141" s="27" t="str">
        <f t="shared" ref="R141" ca="1" si="316">IF(IFERROR(FIND("+",Q141),0)," ",
IF(Q141="AB","",
IF(Q141&lt;$R$27,"F",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F</v>
      </c>
      <c r="S141" s="26">
        <v>22</v>
      </c>
      <c r="T141" s="27" t="str">
        <f t="shared" ref="T141" ca="1" si="317">IF(IFERROR(FIND("+",S141),0)," ",
IF(S141="AB","",
IF(S141&lt;$T$27,"F",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U141" s="26">
        <v>16</v>
      </c>
      <c r="V141" s="27" t="str">
        <f t="shared" ref="V141" ca="1" si="318">IF(IFERROR(FIND("+",U141),0)," ",
IF(U141="AB","",
IF(U141&lt;$V$27,"F",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W141" s="24">
        <v>40</v>
      </c>
      <c r="X141" s="27" t="str">
        <f t="shared" ref="X141" ca="1" si="319">IF(IFERROR(FIND("+",W141),0)," ",
IF(W141="AB","",
IF(W141&lt;$X$27,"F",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Y141" s="26">
        <v>23</v>
      </c>
      <c r="Z141" s="27" t="str">
        <f t="shared" ref="Z141" ca="1" si="320">IF(IFERROR(FIND("+",Y141),0)," ",
IF(Y141="AB","",
IF(Y141&lt;$Z$27,"F",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AA141" s="26">
        <v>20</v>
      </c>
      <c r="AB141" s="27" t="str">
        <f t="shared" ref="AB141" ca="1" si="321">IF(IFERROR(FIND("+",AA141),0)," ",
IF(AA141="AB","",
IF(AA141&lt;$AB$27,"F",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AC141" s="24">
        <v>28</v>
      </c>
      <c r="AD141" s="27" t="str">
        <f t="shared" ref="AD141" ca="1" si="322">IF(IFERROR(FIND("+",AC141),0)," ",
IF(AC141="AB","",
IF(AC141&lt;$AD$27,"F",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F</v>
      </c>
      <c r="AE141" s="26">
        <v>20</v>
      </c>
      <c r="AF141" s="27" t="str">
        <f t="shared" ref="AF141" ca="1" si="323">IF(IFERROR(FIND("+",AE141),0)," ",
IF(AE141="AB","",IF(AE141&lt;$AF$27,"F",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AG141&lt;&gt;"AB",AH141&lt;&gt;"AB"),"","E"))))</f>
        <v>E</v>
      </c>
      <c r="AG141" s="26">
        <v>16</v>
      </c>
      <c r="AH141" s="27" t="str">
        <f t="shared" ref="AH141" ca="1" si="324">IF(IFERROR(FIND("+",AG141),0)," ",
IF(AG141="AB","",
IF(AG141&lt;$AH$27,"F",
IF(AND(C141&gt;=$D$27,E141&gt;=$F$27,G141&gt;=$H$27,
I141&gt;=$J$27,K141&gt;=$L$27,
M141&gt;=$N$27,O141&gt;=$P$27,Q141&gt;=$R$27,S141&gt;=$T$27,U141&gt;=$V$27,
W141&gt;=$X$27,Y141&gt;=$Z$27,AA141&gt;=$AB$27,AC141&gt;=$AD$27,AE141&gt;=$AF$27,
AG141&gt;=$AH$27,C141&lt;&gt;"AB",E141&lt;&gt;"AB",G141&lt;&gt;"AB",
I141&lt;&gt;"AB",K141&lt;&gt;"AB",
M141&lt;&gt;"AB",O141&lt;&gt;"AB",Q141&lt;&gt;"AB",S141&lt;&gt;"AB",U141&lt;&gt;"AB",
W141&lt;&gt;"AB",Y141&lt;&gt;"AB",AA141&lt;&gt;"AB",AC141&lt;&gt;"AB",AE141&lt;&gt;"AB",
AG141&lt;&gt;"AB"),"","E"))))</f>
        <v>E</v>
      </c>
      <c r="AI141" s="32">
        <f>IF(OR(AND(C141&gt;=31,C141&lt;40),AND(G141&gt;=31,G141&lt;40),AND(K141&gt;=31,K141&lt;40),AND(Q141&gt;=31,Q141&lt;40),AND(W141&gt;=31,W141&lt;40),AND(AC141&gt;=31,AC141&lt;40)),IF(AND(OR(COUNTIF(C141:AH141,"=31")&gt;=1,COUNTIF(C141:AH141,"=32")&gt;=1,COUNTIF(C141:AH141,"=33")&gt;=1,COUNTIF(C141:AH141,"=34")&gt;=1,COUNTIF(C141:AH141,"=35")&gt;=1,COUNTIF(C141:AH141,"=36")&gt;=1 ),COUNTIF(C141:AH141,"")=0,COUNTIF(C141:AH141," ")=0,COUNTIF(C141:AH141,"F")=1),CONCATENATE(SUM(EXTRACTNUMBER(C141),EXTRACTNUMBER(E141),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EXTRACTNUMBER(AC141),EXTRACTNUMBER(AG141),EXTRACTNUMBER(AE141)),"*"),IF(AND(COUNTIF(C141:AH141,"=34")&gt;=1,COUNTIF(C141:AH141,"=35")&gt;=1,COUNTIF(C141:AH141,"f")=2,COUNTIF(C141:AH141,"")=0,COUNTIF(C141:AH141," ")=0),CONCATENATE(SUM(EXTRACTNUMBER(C141),EXTRACTNUMBER(E141),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EXTRACTNUMBER(AC141),EXTRACTNUMBER(AG141),EXTRACTNUMBER(AE141)),"*"),IF(AND(COUNTIF(C141:AH141,"=36")&gt;=2,COUNTIF(C141:AH141,"f")=2,COUNTIF(C141:AH141,"")=0,COUNTIF(C141:AH141," ")=0),CONCATENATE(SUM(EXTRACTNUMBER(C141),EXTRACTNUMBER(E141),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EXTRACTNUMBER(AC141),EXTRACTNUMBER(AG141),EXTRACTNUMBER(AE141)),"*"),SUM(EXTRACTNUMBER(C141),EXTRACTNUMBER(E141),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EXTRACTNUMBER(AC141),EXTRACTNUMBER(AG141),EXTRACTNUMBER(AE141))))),SUM(EXTRACTNUMBER(C141),EXTRACTNUMBER(E141),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EXTRACTNUMBER(AC141),EXTRACTNUMBER(AG141),EXTRACTNUMBER(AE141)))</f>
        <v>370</v>
      </c>
      <c r="AJ141" s="28">
        <v>0</v>
      </c>
      <c r="AK141" s="29">
        <f t="shared" ref="AK141" si="325">IF(IFERROR(FIND("x",AJ141),0),SUM(EXTRACTNUMBER(AI141),EXTRACTNUMBER(AJ141)),IF(AND(SUM(EXTRACTNUMBER(AI141),EXTRACTNUMBER(AJ141))&gt;1009,SUM(EXTRACTNUMBER(AI141),EXTRACTNUMBER(AJ141))&lt;1020),
CONCATENATE(SUM(EXTRACTNUMBER(AI141),EXTRACTNUMBER(AJ141)),"@",1020-SUM(EXTRACTNUMBER(AI141),EXTRACTNUMBER(AJ141))),
IF(AND(SUM(EXTRACTNUMBER(AI141),EXTRACTNUMBER(AJ141))&gt;839,   SUM(EXTRACTNUMBER(AI141),EXTRACTNUMBER(AJ141))&lt;850),CONCATENATE(SUM(EXTRACTNUMBER(AI141),EXTRACTNUMBER(AJ141)),"@",850-SUM(EXTRACTNUMBER(AI141),EXTRACTNUMBER(AJ141))),
IF(AND(SUM(EXTRACTNUMBER(AI141),EXTRACTNUMBER(AJ141))&gt;669,        SUM(EXTRACTNUMBER(AI141),EXTRACTNUMBER(AJ141))&lt;680),
CONCATENATE(SUM(EXTRACTNUMBER(AI141),EXTRACTNUMBER(AJ141)),"@",680-SUM(EXTRACTNUMBER(AI141),EXTRACTNUMBER(AJ141))),
SUM(EXTRACTNUMBER(AI141),EXTRACTNUMBER(AJ141))))))</f>
        <v>370</v>
      </c>
      <c r="AL141" s="29" t="str">
        <f t="shared" ref="AL141" ca="1" si="326">IF(AND(COUNTIF(C141:AH141,"AB")&lt;16-COUNTIF(C141:AH141," "),
COUNTIF(C141:AH141,"AB")&lt;&gt;0),"FAIL",
IF(COUNTIF(C141:AH141,"AB")=16-COUNTIF(C141:AH141," "),"ABSENT",
IF(AND(COUNTIF(C141:AH141,"AB")=0,COUNTIF(C141:AH141,"F")=0),"PASS","FAIL")))</f>
        <v>FAIL</v>
      </c>
      <c r="AM141" s="30" t="str">
        <f ca="1">IF(AL141="ABSENT","AB",IF(AL141="FAIL","--",
IF(AJ141=0,"RS 3",
IF(AND(SUM(EXTRACTNUMBER(AJ141),EXTRACTNUMBER(AI141))&gt;=1010,
        NOT(IFERROR(FIND("x",AJ141),0)),
        NOT(IFERROR(FIND("x",AI141),0))),"I",
IF(AND(SUM(EXTRACTNUMBER(AJ141),EXTRACTNUMBER(AI141))&gt;=850,
      SUM(EXTRACTNUMBER(AJ141),EXTRACTNUMBER(AI141))&lt;1010,
      NOT(IFERROR(FIND("x",AJ141),0)),
      NOT(IFERROR(FIND("x",AI141),0))),"II",
IF(OR(AND(SUM(EXTRACTNUMBER(AJ141),EXTRACTNUMBER(AI141))&lt;850,
SUM(EXTRACTNUMBER(AJ141),EXTRACTNUMBER(AI141))&gt;=670),
IFERROR(FIND("x",AJ141),0),IFERROR(FIND("x",AI141),0)),"P","--"))))))</f>
        <v>--</v>
      </c>
      <c r="AN141" s="2" t="str">
        <f t="shared" ref="AN141" si="327">spellnumber(AK141)</f>
        <v xml:space="preserve">Three Hundred Seventy  </v>
      </c>
    </row>
    <row r="142" spans="1:40">
      <c r="A142" s="45">
        <v>134341</v>
      </c>
      <c r="B142" s="46" t="s">
        <v>163</v>
      </c>
      <c r="C142" s="74">
        <v>40</v>
      </c>
      <c r="D142" s="77" t="s">
        <v>391</v>
      </c>
      <c r="E142" s="76">
        <v>21</v>
      </c>
      <c r="F142" s="77" t="s">
        <v>391</v>
      </c>
      <c r="G142" s="76">
        <v>54</v>
      </c>
      <c r="H142" s="77" t="s">
        <v>391</v>
      </c>
      <c r="I142" s="76">
        <v>21</v>
      </c>
      <c r="J142" s="77" t="s">
        <v>391</v>
      </c>
      <c r="K142" s="76">
        <v>56</v>
      </c>
      <c r="L142" s="77" t="s">
        <v>391</v>
      </c>
      <c r="M142" s="76">
        <v>22</v>
      </c>
      <c r="N142" s="77" t="s">
        <v>391</v>
      </c>
      <c r="O142" s="76">
        <v>22</v>
      </c>
      <c r="P142" s="77" t="s">
        <v>391</v>
      </c>
      <c r="Q142" s="76">
        <v>52</v>
      </c>
      <c r="R142" s="77" t="s">
        <v>391</v>
      </c>
      <c r="S142" s="76">
        <v>23</v>
      </c>
      <c r="T142" s="77" t="s">
        <v>391</v>
      </c>
      <c r="U142" s="76">
        <v>19</v>
      </c>
      <c r="V142" s="77" t="s">
        <v>391</v>
      </c>
      <c r="W142" s="76">
        <v>62</v>
      </c>
      <c r="X142" s="77" t="s">
        <v>391</v>
      </c>
      <c r="Y142" s="76">
        <v>20</v>
      </c>
      <c r="Z142" s="77" t="s">
        <v>391</v>
      </c>
      <c r="AA142" s="76">
        <v>21</v>
      </c>
      <c r="AB142" s="77" t="s">
        <v>391</v>
      </c>
      <c r="AC142" s="76">
        <v>43</v>
      </c>
      <c r="AD142" s="77" t="s">
        <v>391</v>
      </c>
      <c r="AE142" s="76">
        <v>19</v>
      </c>
      <c r="AF142" s="77" t="s">
        <v>391</v>
      </c>
      <c r="AG142" s="76">
        <v>14</v>
      </c>
      <c r="AH142" s="77" t="s">
        <v>391</v>
      </c>
      <c r="AI142" s="32">
        <v>509</v>
      </c>
      <c r="AJ142" s="83" t="s">
        <v>531</v>
      </c>
      <c r="AK142" s="29">
        <v>509</v>
      </c>
      <c r="AL142" s="29" t="s">
        <v>392</v>
      </c>
      <c r="AM142" s="30" t="s">
        <v>393</v>
      </c>
      <c r="AN142" s="2" t="s">
        <v>494</v>
      </c>
    </row>
    <row r="143" spans="1:40">
      <c r="A143" s="45">
        <v>134342</v>
      </c>
      <c r="B143" s="46" t="s">
        <v>164</v>
      </c>
      <c r="C143" s="74">
        <v>40</v>
      </c>
      <c r="D143" s="77" t="s">
        <v>391</v>
      </c>
      <c r="E143" s="76">
        <v>23</v>
      </c>
      <c r="F143" s="77" t="s">
        <v>391</v>
      </c>
      <c r="G143" s="76">
        <v>40</v>
      </c>
      <c r="H143" s="77" t="s">
        <v>391</v>
      </c>
      <c r="I143" s="76">
        <v>21</v>
      </c>
      <c r="J143" s="77" t="s">
        <v>391</v>
      </c>
      <c r="K143" s="76">
        <v>44</v>
      </c>
      <c r="L143" s="77" t="s">
        <v>391</v>
      </c>
      <c r="M143" s="76">
        <v>22</v>
      </c>
      <c r="N143" s="77" t="s">
        <v>391</v>
      </c>
      <c r="O143" s="76">
        <v>22</v>
      </c>
      <c r="P143" s="77" t="s">
        <v>391</v>
      </c>
      <c r="Q143" s="78" t="s">
        <v>309</v>
      </c>
      <c r="R143" s="77" t="s">
        <v>391</v>
      </c>
      <c r="S143" s="76">
        <v>21</v>
      </c>
      <c r="T143" s="77" t="s">
        <v>391</v>
      </c>
      <c r="U143" s="76">
        <v>21</v>
      </c>
      <c r="V143" s="77" t="s">
        <v>391</v>
      </c>
      <c r="W143" s="76">
        <v>41</v>
      </c>
      <c r="X143" s="77" t="s">
        <v>391</v>
      </c>
      <c r="Y143" s="76">
        <v>22</v>
      </c>
      <c r="Z143" s="77" t="s">
        <v>391</v>
      </c>
      <c r="AA143" s="76">
        <v>20</v>
      </c>
      <c r="AB143" s="77" t="s">
        <v>391</v>
      </c>
      <c r="AC143" s="76">
        <v>40</v>
      </c>
      <c r="AD143" s="77" t="s">
        <v>391</v>
      </c>
      <c r="AE143" s="76">
        <v>21</v>
      </c>
      <c r="AF143" s="77" t="s">
        <v>391</v>
      </c>
      <c r="AG143" s="76">
        <v>19</v>
      </c>
      <c r="AH143" s="77" t="s">
        <v>391</v>
      </c>
      <c r="AI143" s="41" t="s">
        <v>310</v>
      </c>
      <c r="AJ143" s="83" t="s">
        <v>531</v>
      </c>
      <c r="AK143" s="29">
        <v>449</v>
      </c>
      <c r="AL143" s="29" t="s">
        <v>392</v>
      </c>
      <c r="AM143" s="30" t="s">
        <v>393</v>
      </c>
      <c r="AN143" s="2" t="s">
        <v>495</v>
      </c>
    </row>
    <row r="144" spans="1:40">
      <c r="A144" s="45">
        <v>134343</v>
      </c>
      <c r="B144" s="46" t="s">
        <v>165</v>
      </c>
      <c r="C144" s="82" t="s">
        <v>528</v>
      </c>
      <c r="D144" s="77" t="s">
        <v>398</v>
      </c>
      <c r="E144" s="76">
        <v>16</v>
      </c>
      <c r="F144" s="77" t="s">
        <v>397</v>
      </c>
      <c r="G144" s="76">
        <v>45</v>
      </c>
      <c r="H144" s="77" t="s">
        <v>397</v>
      </c>
      <c r="I144" s="76">
        <v>17</v>
      </c>
      <c r="J144" s="77" t="s">
        <v>397</v>
      </c>
      <c r="K144" s="76">
        <v>40</v>
      </c>
      <c r="L144" s="77" t="s">
        <v>397</v>
      </c>
      <c r="M144" s="76">
        <v>17</v>
      </c>
      <c r="N144" s="77" t="s">
        <v>397</v>
      </c>
      <c r="O144" s="76">
        <v>17</v>
      </c>
      <c r="P144" s="77" t="s">
        <v>397</v>
      </c>
      <c r="Q144" s="76">
        <v>23</v>
      </c>
      <c r="R144" s="77" t="s">
        <v>398</v>
      </c>
      <c r="S144" s="76">
        <v>15</v>
      </c>
      <c r="T144" s="77" t="s">
        <v>397</v>
      </c>
      <c r="U144" s="76">
        <v>16</v>
      </c>
      <c r="V144" s="77" t="s">
        <v>397</v>
      </c>
      <c r="W144" s="76">
        <v>40</v>
      </c>
      <c r="X144" s="77" t="s">
        <v>397</v>
      </c>
      <c r="Y144" s="76">
        <v>20</v>
      </c>
      <c r="Z144" s="77" t="s">
        <v>397</v>
      </c>
      <c r="AA144" s="76">
        <v>20</v>
      </c>
      <c r="AB144" s="77" t="s">
        <v>397</v>
      </c>
      <c r="AC144" s="76">
        <v>40</v>
      </c>
      <c r="AD144" s="77" t="s">
        <v>397</v>
      </c>
      <c r="AE144" s="76">
        <v>18</v>
      </c>
      <c r="AF144" s="77" t="s">
        <v>397</v>
      </c>
      <c r="AG144" s="76">
        <v>17</v>
      </c>
      <c r="AH144" s="77" t="s">
        <v>397</v>
      </c>
      <c r="AI144" s="32">
        <v>370</v>
      </c>
      <c r="AJ144" s="83" t="s">
        <v>531</v>
      </c>
      <c r="AK144" s="29">
        <v>370</v>
      </c>
      <c r="AL144" s="29" t="s">
        <v>399</v>
      </c>
      <c r="AM144" s="30" t="s">
        <v>400</v>
      </c>
      <c r="AN144" s="2" t="s">
        <v>496</v>
      </c>
    </row>
    <row r="145" spans="1:40">
      <c r="A145" s="45">
        <v>134344</v>
      </c>
      <c r="B145" s="46" t="s">
        <v>166</v>
      </c>
      <c r="C145" s="74" t="s">
        <v>305</v>
      </c>
      <c r="D145" s="77" t="s">
        <v>391</v>
      </c>
      <c r="E145" s="76">
        <v>14</v>
      </c>
      <c r="F145" s="77" t="s">
        <v>397</v>
      </c>
      <c r="G145" s="76" t="s">
        <v>305</v>
      </c>
      <c r="H145" s="77" t="s">
        <v>391</v>
      </c>
      <c r="I145" s="76">
        <v>20</v>
      </c>
      <c r="J145" s="77" t="s">
        <v>397</v>
      </c>
      <c r="K145" s="78" t="s">
        <v>524</v>
      </c>
      <c r="L145" s="77" t="s">
        <v>398</v>
      </c>
      <c r="M145" s="76">
        <v>16</v>
      </c>
      <c r="N145" s="77" t="s">
        <v>397</v>
      </c>
      <c r="O145" s="76">
        <v>17</v>
      </c>
      <c r="P145" s="77" t="s">
        <v>397</v>
      </c>
      <c r="Q145" s="76" t="s">
        <v>305</v>
      </c>
      <c r="R145" s="77" t="s">
        <v>391</v>
      </c>
      <c r="S145" s="76">
        <v>14</v>
      </c>
      <c r="T145" s="77" t="s">
        <v>397</v>
      </c>
      <c r="U145" s="76">
        <v>14</v>
      </c>
      <c r="V145" s="77" t="s">
        <v>397</v>
      </c>
      <c r="W145" s="76" t="s">
        <v>305</v>
      </c>
      <c r="X145" s="77" t="s">
        <v>391</v>
      </c>
      <c r="Y145" s="76">
        <v>21</v>
      </c>
      <c r="Z145" s="77" t="s">
        <v>397</v>
      </c>
      <c r="AA145" s="76">
        <v>20</v>
      </c>
      <c r="AB145" s="77" t="s">
        <v>397</v>
      </c>
      <c r="AC145" s="76" t="s">
        <v>305</v>
      </c>
      <c r="AD145" s="77" t="s">
        <v>391</v>
      </c>
      <c r="AE145" s="76">
        <v>23</v>
      </c>
      <c r="AF145" s="77" t="s">
        <v>397</v>
      </c>
      <c r="AG145" s="76">
        <v>15</v>
      </c>
      <c r="AH145" s="77" t="s">
        <v>397</v>
      </c>
      <c r="AI145" s="32">
        <v>181</v>
      </c>
      <c r="AJ145" s="83" t="s">
        <v>531</v>
      </c>
      <c r="AK145" s="29">
        <v>181</v>
      </c>
      <c r="AL145" s="29" t="s">
        <v>399</v>
      </c>
      <c r="AM145" s="30" t="s">
        <v>400</v>
      </c>
      <c r="AN145" s="2" t="s">
        <v>497</v>
      </c>
    </row>
    <row r="146" spans="1:40">
      <c r="A146" s="45">
        <v>134345</v>
      </c>
      <c r="B146" s="46" t="s">
        <v>167</v>
      </c>
      <c r="C146" s="74">
        <v>16</v>
      </c>
      <c r="D146" s="77" t="s">
        <v>398</v>
      </c>
      <c r="E146" s="76">
        <v>12</v>
      </c>
      <c r="F146" s="77" t="s">
        <v>397</v>
      </c>
      <c r="G146" s="76">
        <v>45</v>
      </c>
      <c r="H146" s="77" t="s">
        <v>397</v>
      </c>
      <c r="I146" s="76">
        <v>21</v>
      </c>
      <c r="J146" s="77" t="s">
        <v>397</v>
      </c>
      <c r="K146" s="76">
        <v>28</v>
      </c>
      <c r="L146" s="77" t="s">
        <v>398</v>
      </c>
      <c r="M146" s="76">
        <v>17</v>
      </c>
      <c r="N146" s="77" t="s">
        <v>397</v>
      </c>
      <c r="O146" s="76">
        <v>18</v>
      </c>
      <c r="P146" s="77" t="s">
        <v>397</v>
      </c>
      <c r="Q146" s="76">
        <v>17</v>
      </c>
      <c r="R146" s="77" t="s">
        <v>398</v>
      </c>
      <c r="S146" s="76">
        <v>24</v>
      </c>
      <c r="T146" s="77" t="s">
        <v>397</v>
      </c>
      <c r="U146" s="76">
        <v>16</v>
      </c>
      <c r="V146" s="77" t="s">
        <v>397</v>
      </c>
      <c r="W146" s="76">
        <v>29</v>
      </c>
      <c r="X146" s="77" t="s">
        <v>398</v>
      </c>
      <c r="Y146" s="76">
        <v>20</v>
      </c>
      <c r="Z146" s="77" t="s">
        <v>397</v>
      </c>
      <c r="AA146" s="76">
        <v>22</v>
      </c>
      <c r="AB146" s="77" t="s">
        <v>397</v>
      </c>
      <c r="AC146" s="76">
        <v>40</v>
      </c>
      <c r="AD146" s="77" t="s">
        <v>397</v>
      </c>
      <c r="AE146" s="76">
        <v>20</v>
      </c>
      <c r="AF146" s="77" t="s">
        <v>397</v>
      </c>
      <c r="AG146" s="76">
        <v>16</v>
      </c>
      <c r="AH146" s="77" t="s">
        <v>397</v>
      </c>
      <c r="AI146" s="32">
        <v>361</v>
      </c>
      <c r="AJ146" s="83" t="s">
        <v>531</v>
      </c>
      <c r="AK146" s="29">
        <v>361</v>
      </c>
      <c r="AL146" s="29" t="s">
        <v>399</v>
      </c>
      <c r="AM146" s="30" t="s">
        <v>400</v>
      </c>
      <c r="AN146" s="2" t="s">
        <v>410</v>
      </c>
    </row>
    <row r="147" spans="1:40">
      <c r="A147" s="45">
        <v>134346</v>
      </c>
      <c r="B147" s="46" t="s">
        <v>168</v>
      </c>
      <c r="C147" s="82" t="s">
        <v>529</v>
      </c>
      <c r="D147" s="77" t="s">
        <v>398</v>
      </c>
      <c r="E147" s="76">
        <v>13</v>
      </c>
      <c r="F147" s="77" t="s">
        <v>397</v>
      </c>
      <c r="G147" s="76">
        <v>40</v>
      </c>
      <c r="H147" s="77" t="s">
        <v>397</v>
      </c>
      <c r="I147" s="76">
        <v>17</v>
      </c>
      <c r="J147" s="77" t="s">
        <v>397</v>
      </c>
      <c r="K147" s="76">
        <v>11</v>
      </c>
      <c r="L147" s="77" t="s">
        <v>398</v>
      </c>
      <c r="M147" s="76">
        <v>14</v>
      </c>
      <c r="N147" s="77" t="s">
        <v>397</v>
      </c>
      <c r="O147" s="76">
        <v>16</v>
      </c>
      <c r="P147" s="77" t="s">
        <v>397</v>
      </c>
      <c r="Q147" s="78" t="s">
        <v>528</v>
      </c>
      <c r="R147" s="77" t="s">
        <v>398</v>
      </c>
      <c r="S147" s="76">
        <v>22</v>
      </c>
      <c r="T147" s="77" t="s">
        <v>397</v>
      </c>
      <c r="U147" s="76">
        <v>14</v>
      </c>
      <c r="V147" s="77" t="s">
        <v>397</v>
      </c>
      <c r="W147" s="76">
        <v>28</v>
      </c>
      <c r="X147" s="77" t="s">
        <v>398</v>
      </c>
      <c r="Y147" s="76">
        <v>22</v>
      </c>
      <c r="Z147" s="77" t="s">
        <v>397</v>
      </c>
      <c r="AA147" s="76">
        <v>22</v>
      </c>
      <c r="AB147" s="77" t="s">
        <v>397</v>
      </c>
      <c r="AC147" s="76">
        <v>25</v>
      </c>
      <c r="AD147" s="77" t="s">
        <v>398</v>
      </c>
      <c r="AE147" s="76">
        <v>19</v>
      </c>
      <c r="AF147" s="77" t="s">
        <v>397</v>
      </c>
      <c r="AG147" s="76">
        <v>14</v>
      </c>
      <c r="AH147" s="77" t="s">
        <v>397</v>
      </c>
      <c r="AI147" s="32">
        <v>286</v>
      </c>
      <c r="AJ147" s="83" t="s">
        <v>531</v>
      </c>
      <c r="AK147" s="29">
        <v>286</v>
      </c>
      <c r="AL147" s="29" t="s">
        <v>399</v>
      </c>
      <c r="AM147" s="30" t="s">
        <v>400</v>
      </c>
      <c r="AN147" s="2" t="s">
        <v>498</v>
      </c>
    </row>
    <row r="148" spans="1:40">
      <c r="A148" s="45">
        <v>134347</v>
      </c>
      <c r="B148" s="46" t="s">
        <v>169</v>
      </c>
      <c r="C148" s="74">
        <v>14</v>
      </c>
      <c r="D148" s="77" t="s">
        <v>398</v>
      </c>
      <c r="E148" s="76" t="s">
        <v>204</v>
      </c>
      <c r="F148" s="77" t="s">
        <v>499</v>
      </c>
      <c r="G148" s="76">
        <v>27</v>
      </c>
      <c r="H148" s="77" t="s">
        <v>398</v>
      </c>
      <c r="I148" s="76" t="s">
        <v>204</v>
      </c>
      <c r="J148" s="77" t="s">
        <v>499</v>
      </c>
      <c r="K148" s="76" t="s">
        <v>205</v>
      </c>
      <c r="L148" s="77" t="s">
        <v>499</v>
      </c>
      <c r="M148" s="76" t="s">
        <v>204</v>
      </c>
      <c r="N148" s="77" t="s">
        <v>499</v>
      </c>
      <c r="O148" s="76" t="s">
        <v>206</v>
      </c>
      <c r="P148" s="77" t="s">
        <v>499</v>
      </c>
      <c r="Q148" s="76" t="s">
        <v>207</v>
      </c>
      <c r="R148" s="77" t="s">
        <v>499</v>
      </c>
      <c r="S148" s="76" t="s">
        <v>208</v>
      </c>
      <c r="T148" s="77" t="s">
        <v>499</v>
      </c>
      <c r="U148" s="76" t="s">
        <v>204</v>
      </c>
      <c r="V148" s="77" t="s">
        <v>499</v>
      </c>
      <c r="W148" s="76" t="s">
        <v>209</v>
      </c>
      <c r="X148" s="77" t="s">
        <v>499</v>
      </c>
      <c r="Y148" s="76" t="s">
        <v>204</v>
      </c>
      <c r="Z148" s="77" t="s">
        <v>499</v>
      </c>
      <c r="AA148" s="76" t="s">
        <v>210</v>
      </c>
      <c r="AB148" s="77" t="s">
        <v>499</v>
      </c>
      <c r="AC148" s="76" t="s">
        <v>207</v>
      </c>
      <c r="AD148" s="77" t="s">
        <v>499</v>
      </c>
      <c r="AE148" s="76" t="s">
        <v>208</v>
      </c>
      <c r="AF148" s="77" t="s">
        <v>499</v>
      </c>
      <c r="AG148" s="76" t="s">
        <v>210</v>
      </c>
      <c r="AH148" s="77" t="s">
        <v>499</v>
      </c>
      <c r="AI148" s="32">
        <v>392</v>
      </c>
      <c r="AJ148" s="83" t="s">
        <v>531</v>
      </c>
      <c r="AK148" s="29">
        <v>392</v>
      </c>
      <c r="AL148" s="29" t="s">
        <v>399</v>
      </c>
      <c r="AM148" s="30" t="s">
        <v>400</v>
      </c>
      <c r="AN148" s="2" t="s">
        <v>500</v>
      </c>
    </row>
    <row r="149" spans="1:40">
      <c r="A149" s="45">
        <v>134348</v>
      </c>
      <c r="B149" s="46" t="s">
        <v>170</v>
      </c>
      <c r="C149" s="74">
        <v>22</v>
      </c>
      <c r="D149" s="77" t="s">
        <v>398</v>
      </c>
      <c r="E149" s="76" t="s">
        <v>211</v>
      </c>
      <c r="F149" s="77" t="s">
        <v>499</v>
      </c>
      <c r="G149" s="76">
        <v>44</v>
      </c>
      <c r="H149" s="77" t="s">
        <v>397</v>
      </c>
      <c r="I149" s="76" t="s">
        <v>208</v>
      </c>
      <c r="J149" s="77" t="s">
        <v>499</v>
      </c>
      <c r="K149" s="76" t="s">
        <v>205</v>
      </c>
      <c r="L149" s="77" t="s">
        <v>499</v>
      </c>
      <c r="M149" s="76" t="s">
        <v>212</v>
      </c>
      <c r="N149" s="77" t="s">
        <v>499</v>
      </c>
      <c r="O149" s="76" t="s">
        <v>212</v>
      </c>
      <c r="P149" s="77" t="s">
        <v>499</v>
      </c>
      <c r="Q149" s="76" t="s">
        <v>207</v>
      </c>
      <c r="R149" s="77" t="s">
        <v>499</v>
      </c>
      <c r="S149" s="76" t="s">
        <v>212</v>
      </c>
      <c r="T149" s="77" t="s">
        <v>499</v>
      </c>
      <c r="U149" s="76" t="s">
        <v>208</v>
      </c>
      <c r="V149" s="77" t="s">
        <v>499</v>
      </c>
      <c r="W149" s="76" t="s">
        <v>213</v>
      </c>
      <c r="X149" s="77" t="s">
        <v>499</v>
      </c>
      <c r="Y149" s="76" t="s">
        <v>212</v>
      </c>
      <c r="Z149" s="77" t="s">
        <v>499</v>
      </c>
      <c r="AA149" s="76" t="s">
        <v>206</v>
      </c>
      <c r="AB149" s="77" t="s">
        <v>499</v>
      </c>
      <c r="AC149" s="76" t="s">
        <v>207</v>
      </c>
      <c r="AD149" s="77" t="s">
        <v>499</v>
      </c>
      <c r="AE149" s="76" t="s">
        <v>204</v>
      </c>
      <c r="AF149" s="77" t="s">
        <v>499</v>
      </c>
      <c r="AG149" s="76" t="s">
        <v>214</v>
      </c>
      <c r="AH149" s="77" t="s">
        <v>499</v>
      </c>
      <c r="AI149" s="32">
        <v>445</v>
      </c>
      <c r="AJ149" s="83" t="s">
        <v>531</v>
      </c>
      <c r="AK149" s="29">
        <v>445</v>
      </c>
      <c r="AL149" s="29" t="s">
        <v>399</v>
      </c>
      <c r="AM149" s="30" t="s">
        <v>400</v>
      </c>
      <c r="AN149" s="2" t="s">
        <v>501</v>
      </c>
    </row>
    <row r="150" spans="1:40">
      <c r="A150" s="45">
        <v>134349</v>
      </c>
      <c r="B150" s="47" t="s">
        <v>171</v>
      </c>
      <c r="C150" s="74" t="s">
        <v>215</v>
      </c>
      <c r="D150" s="77" t="s">
        <v>499</v>
      </c>
      <c r="E150" s="76" t="s">
        <v>216</v>
      </c>
      <c r="F150" s="77" t="s">
        <v>499</v>
      </c>
      <c r="G150" s="76" t="s">
        <v>305</v>
      </c>
      <c r="H150" s="77" t="s">
        <v>391</v>
      </c>
      <c r="I150" s="76" t="s">
        <v>217</v>
      </c>
      <c r="J150" s="77" t="s">
        <v>499</v>
      </c>
      <c r="K150" s="76" t="s">
        <v>207</v>
      </c>
      <c r="L150" s="77" t="s">
        <v>499</v>
      </c>
      <c r="M150" s="76" t="s">
        <v>206</v>
      </c>
      <c r="N150" s="77" t="s">
        <v>499</v>
      </c>
      <c r="O150" s="76" t="s">
        <v>218</v>
      </c>
      <c r="P150" s="77" t="s">
        <v>499</v>
      </c>
      <c r="Q150" s="76" t="s">
        <v>219</v>
      </c>
      <c r="R150" s="77" t="s">
        <v>499</v>
      </c>
      <c r="S150" s="76" t="s">
        <v>206</v>
      </c>
      <c r="T150" s="77" t="s">
        <v>499</v>
      </c>
      <c r="U150" s="76" t="s">
        <v>214</v>
      </c>
      <c r="V150" s="77" t="s">
        <v>499</v>
      </c>
      <c r="W150" s="76" t="s">
        <v>305</v>
      </c>
      <c r="X150" s="77" t="s">
        <v>391</v>
      </c>
      <c r="Y150" s="76" t="s">
        <v>206</v>
      </c>
      <c r="Z150" s="77" t="s">
        <v>499</v>
      </c>
      <c r="AA150" s="76" t="s">
        <v>206</v>
      </c>
      <c r="AB150" s="77" t="s">
        <v>499</v>
      </c>
      <c r="AC150" s="76" t="s">
        <v>305</v>
      </c>
      <c r="AD150" s="77" t="s">
        <v>391</v>
      </c>
      <c r="AE150" s="76" t="s">
        <v>206</v>
      </c>
      <c r="AF150" s="77" t="s">
        <v>499</v>
      </c>
      <c r="AG150" s="76" t="s">
        <v>218</v>
      </c>
      <c r="AH150" s="77" t="s">
        <v>499</v>
      </c>
      <c r="AI150" s="32">
        <v>283</v>
      </c>
      <c r="AJ150" s="83" t="s">
        <v>531</v>
      </c>
      <c r="AK150" s="29">
        <v>283</v>
      </c>
      <c r="AL150" s="29" t="s">
        <v>502</v>
      </c>
      <c r="AM150" s="30" t="s">
        <v>305</v>
      </c>
      <c r="AN150" s="2" t="s">
        <v>503</v>
      </c>
    </row>
    <row r="151" spans="1:40">
      <c r="A151" s="45">
        <v>134350</v>
      </c>
      <c r="B151" s="46" t="s">
        <v>172</v>
      </c>
      <c r="C151" s="43">
        <v>40</v>
      </c>
      <c r="D151" s="27" t="str">
        <f t="shared" ref="D151" ca="1" si="328">IF(IFERROR(FIND("+",C151),0)," ",
IF(C151="AB","",
IF(C151&lt;$D$27,"F",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/>
      </c>
      <c r="E151" s="26" t="s">
        <v>208</v>
      </c>
      <c r="F151" s="27" t="str">
        <f t="shared" ref="F151" si="329">IF(IFERROR(FIND("+",E151),0)," ",
IF(E151="AB","",
IF(E151&lt;$F$27,"F",
IF(AND(E151&gt;=$F$27,C151&gt;=$D$27,G151&gt;=$H$27,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G151" s="24" t="s">
        <v>207</v>
      </c>
      <c r="H151" s="27" t="str">
        <f t="shared" ref="H151" si="330">IF(IFERROR(FIND("+",G151),0)," ",
IF(G151="AB","",
IF(G151&lt;$H$27,"F",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I151" s="26" t="s">
        <v>208</v>
      </c>
      <c r="J151" s="27" t="str">
        <f t="shared" ref="J151" si="331">IF(IFERROR(FIND("+",I151),0)," ",
IF(I151="AB","",
IF(I151&lt;$J$27,"F",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K151" s="24" t="s">
        <v>207</v>
      </c>
      <c r="L151" s="27" t="str">
        <f t="shared" ref="L151" si="332">IF(IFERROR(FIND("+",K151),0)," ",
IF(K151="AB","",
IF(K151&lt;$L$27,"F",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M151" s="26" t="s">
        <v>208</v>
      </c>
      <c r="N151" s="27" t="str">
        <f t="shared" ref="N151" si="333">IF(IFERROR(FIND("+",M151),0)," ",
IF(M151="AB","",
IF(M151&lt;$N$27,"F",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AG151&lt;&gt;"AB"),"","E"))))</f>
        <v xml:space="preserve"> </v>
      </c>
      <c r="O151" s="26" t="s">
        <v>208</v>
      </c>
      <c r="P151" s="27" t="str">
        <f t="shared" ref="P151" si="334">IF(IFERROR(FIND("+",O151),0)," ",
IF(O151="AB","",
IF(O151&lt;$P$27,"F",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Q151" s="24" t="s">
        <v>207</v>
      </c>
      <c r="R151" s="27" t="str">
        <f t="shared" ref="R151" si="335">IF(IFERROR(FIND("+",Q151),0)," ",
IF(Q151="AB","",
IF(Q151&lt;$R$27,"F",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S151" s="26" t="s">
        <v>208</v>
      </c>
      <c r="T151" s="27" t="str">
        <f t="shared" ref="T151" si="336">IF(IFERROR(FIND("+",S151),0)," ",
IF(S151="AB","",
IF(S151&lt;$T$27,"F",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U151" s="26" t="s">
        <v>212</v>
      </c>
      <c r="V151" s="27" t="str">
        <f t="shared" ref="V151" si="337">IF(IFERROR(FIND("+",U151),0)," ",
IF(U151="AB","",
IF(U151&lt;$V$27,"F",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W151" s="24" t="s">
        <v>207</v>
      </c>
      <c r="X151" s="27" t="str">
        <f t="shared" ref="X151" si="338">IF(IFERROR(FIND("+",W151),0)," ",
IF(W151="AB","",
IF(W151&lt;$X$27,"F",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Y151" s="26" t="s">
        <v>208</v>
      </c>
      <c r="Z151" s="27" t="str">
        <f t="shared" ref="Z151" si="339">IF(IFERROR(FIND("+",Y151),0)," ",
IF(Y151="AB","",
IF(Y151&lt;$Z$27,"F",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AA151" s="26" t="s">
        <v>206</v>
      </c>
      <c r="AB151" s="27" t="str">
        <f t="shared" ref="AB151" si="340">IF(IFERROR(FIND("+",AA151),0)," ",
IF(AA151="AB","",
IF(AA151&lt;$AB$27,"F",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AC151" s="24" t="s">
        <v>207</v>
      </c>
      <c r="AD151" s="27" t="str">
        <f t="shared" ref="AD151" si="341">IF(IFERROR(FIND("+",AC151),0)," ",
IF(AC151="AB","",
IF(AC151&lt;$AD$27,"F",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AE151" s="26" t="s">
        <v>204</v>
      </c>
      <c r="AF151" s="27" t="str">
        <f t="shared" ref="AF151" si="342">IF(IFERROR(FIND("+",AE151),0)," ",
IF(AE151="AB","",IF(AE151&lt;$AF$27,"F",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AG151&lt;&gt;"AB",AH151&lt;&gt;"AB"),"","E"))))</f>
        <v xml:space="preserve"> </v>
      </c>
      <c r="AG151" s="26" t="s">
        <v>214</v>
      </c>
      <c r="AH151" s="27" t="str">
        <f t="shared" ref="AH151" si="343">IF(IFERROR(FIND("+",AG151),0)," ",
IF(AG151="AB","",
IF(AG151&lt;$AH$27,"F",
IF(AND(C151&gt;=$D$27,E151&gt;=$F$27,G151&gt;=$H$27,
I151&gt;=$J$27,K151&gt;=$L$27,
M151&gt;=$N$27,O151&gt;=$P$27,Q151&gt;=$R$27,S151&gt;=$T$27,U151&gt;=$V$27,
W151&gt;=$X$27,Y151&gt;=$Z$27,AA151&gt;=$AB$27,AC151&gt;=$AD$27,AE151&gt;=$AF$27,
AG151&gt;=$AH$27,C151&lt;&gt;"AB",E151&lt;&gt;"AB",G151&lt;&gt;"AB",
I151&lt;&gt;"AB",K151&lt;&gt;"AB",
M151&lt;&gt;"AB",O151&lt;&gt;"AB",Q151&lt;&gt;"AB",S151&lt;&gt;"AB",U151&lt;&gt;"AB",
W151&lt;&gt;"AB",Y151&lt;&gt;"AB",AA151&lt;&gt;"AB",AC151&lt;&gt;"AB",AE151&lt;&gt;"AB",
AG151&lt;&gt;"AB"),"","E"))))</f>
        <v xml:space="preserve"> </v>
      </c>
      <c r="AI151" s="32">
        <f>IF(OR(AND(C151&gt;=31,C151&lt;40),AND(G151&gt;=31,G151&lt;40),AND(K151&gt;=31,K151&lt;40),AND(Q151&gt;=31,Q151&lt;40),AND(W151&gt;=31,W151&lt;40),AND(AC151&gt;=31,AC151&lt;40)),IF(AND(OR(COUNTIF(C151:AH151,"=31")&gt;=1,COUNTIF(C151:AH151,"=32")&gt;=1,COUNTIF(C151:AH151,"=33")&gt;=1,COUNTIF(C151:AH151,"=34")&gt;=1,COUNTIF(C151:AH151,"=35")&gt;=1,COUNTIF(C151:AH151,"=36")&gt;=1 ),COUNTIF(C151:AH151,"")=0,COUNTIF(C151:AH151," ")=0,COUNTIF(C151:AH151,"F")=1),CONCATENATE(SUM(EXTRACTNUMBER(C151),EXTRACTNUMBER(E151),
EXTRACTNUMBER(G151),EXTRACTNUMBER(I151),
EXTRACTNUMBER(K151),EXTRACTNUMBER(M151),
EXTRACTNUMBER(O151),EXTRACTNUMBER(Q151),
EXTRACTNUMBER(S151),EXTRACTNUMBER(U151),
EXTRACTNUMBER(W151),EXTRACTNUMBER(Y151),EXTRACTNUMBER(AA151),
EXTRACTNUMBER(AC151),EXTRACTNUMBER(AG151),EXTRACTNUMBER(AE151)),"*"),IF(AND(COUNTIF(C151:AH151,"=34")&gt;=1,COUNTIF(C151:AH151,"=35")&gt;=1,COUNTIF(C151:AH151,"f")=2,COUNTIF(C151:AH151,"")=0,COUNTIF(C151:AH151," ")=0),CONCATENATE(SUM(EXTRACTNUMBER(C151),EXTRACTNUMBER(E151),
EXTRACTNUMBER(G151),EXTRACTNUMBER(I151),
EXTRACTNUMBER(K151),EXTRACTNUMBER(M151),
EXTRACTNUMBER(O151),EXTRACTNUMBER(Q151),
EXTRACTNUMBER(S151),EXTRACTNUMBER(U151),
EXTRACTNUMBER(W151),EXTRACTNUMBER(Y151),EXTRACTNUMBER(AA151),
EXTRACTNUMBER(AC151),EXTRACTNUMBER(AG151),EXTRACTNUMBER(AE151)),"*"),IF(AND(COUNTIF(C151:AH151,"=36")&gt;=2,COUNTIF(C151:AH151,"f")=2,COUNTIF(C151:AH151,"")=0,COUNTIF(C151:AH151," ")=0),CONCATENATE(SUM(EXTRACTNUMBER(C151),EXTRACTNUMBER(E151),
EXTRACTNUMBER(G151),EXTRACTNUMBER(I151),
EXTRACTNUMBER(K151),EXTRACTNUMBER(M151),
EXTRACTNUMBER(O151),EXTRACTNUMBER(Q151),
EXTRACTNUMBER(S151),EXTRACTNUMBER(U151),
EXTRACTNUMBER(W151),EXTRACTNUMBER(Y151),EXTRACTNUMBER(AA151),
EXTRACTNUMBER(AC151),EXTRACTNUMBER(AG151),EXTRACTNUMBER(AE151)),"*"),SUM(EXTRACTNUMBER(C151),EXTRACTNUMBER(E151),
EXTRACTNUMBER(G151),EXTRACTNUMBER(I151),
EXTRACTNUMBER(K151),EXTRACTNUMBER(M151),
EXTRACTNUMBER(O151),EXTRACTNUMBER(Q151),
EXTRACTNUMBER(S151),EXTRACTNUMBER(U151),
EXTRACTNUMBER(W151),EXTRACTNUMBER(Y151),EXTRACTNUMBER(AA151),
EXTRACTNUMBER(AC151),EXTRACTNUMBER(AG151),EXTRACTNUMBER(AE151))))),SUM(EXTRACTNUMBER(C151),EXTRACTNUMBER(E151),
EXTRACTNUMBER(G151),EXTRACTNUMBER(I151),
EXTRACTNUMBER(K151),EXTRACTNUMBER(M151),
EXTRACTNUMBER(O151),EXTRACTNUMBER(Q151),
EXTRACTNUMBER(S151),EXTRACTNUMBER(U151),
EXTRACTNUMBER(W151),EXTRACTNUMBER(Y151),EXTRACTNUMBER(AA151),
EXTRACTNUMBER(AC151),EXTRACTNUMBER(AG151),EXTRACTNUMBER(AE151)))</f>
        <v>437</v>
      </c>
      <c r="AJ151" s="94" t="s">
        <v>568</v>
      </c>
      <c r="AK151" s="29">
        <f t="shared" ref="AK151" si="344">IF(IFERROR(FIND("x",AJ151),0),SUM(EXTRACTNUMBER(AI151),EXTRACTNUMBER(AJ151)),IF(AND(SUM(EXTRACTNUMBER(AI151),EXTRACTNUMBER(AJ151))&gt;1009,SUM(EXTRACTNUMBER(AI151),EXTRACTNUMBER(AJ151))&lt;1020),
CONCATENATE(SUM(EXTRACTNUMBER(AI151),EXTRACTNUMBER(AJ151)),"@",1020-SUM(EXTRACTNUMBER(AI151),EXTRACTNUMBER(AJ151))),
IF(AND(SUM(EXTRACTNUMBER(AI151),EXTRACTNUMBER(AJ151))&gt;839,   SUM(EXTRACTNUMBER(AI151),EXTRACTNUMBER(AJ151))&lt;850),CONCATENATE(SUM(EXTRACTNUMBER(AI151),EXTRACTNUMBER(AJ151)),"@",850-SUM(EXTRACTNUMBER(AI151),EXTRACTNUMBER(AJ151))),
IF(AND(SUM(EXTRACTNUMBER(AI151),EXTRACTNUMBER(AJ151))&gt;669,        SUM(EXTRACTNUMBER(AI151),EXTRACTNUMBER(AJ151))&lt;680),
CONCATENATE(SUM(EXTRACTNUMBER(AI151),EXTRACTNUMBER(AJ151)),"@",680-SUM(EXTRACTNUMBER(AI151),EXTRACTNUMBER(AJ151))),
SUM(EXTRACTNUMBER(AI151),EXTRACTNUMBER(AJ151))))))</f>
        <v>899</v>
      </c>
      <c r="AL151" s="29" t="str">
        <f t="shared" ref="AL151" ca="1" si="345">IF(AND(COUNTIF(C151:AH151,"AB")&lt;16-COUNTIF(C151:AH151," "),
COUNTIF(C151:AH151,"AB")&lt;&gt;0),"FAIL",
IF(COUNTIF(C151:AH151,"AB")=16-COUNTIF(C151:AH151," "),"ABSENT",
IF(AND(COUNTIF(C151:AH151,"AB")=0,COUNTIF(C151:AH151,"F")=0),"PASS","FAIL")))</f>
        <v>PASS</v>
      </c>
      <c r="AM151" s="30" t="str">
        <f ca="1">IF(AL151="ABSENT","AB",IF(AL151="FAIL","--",
IF(AJ151=0,"RS 3",
IF(AND(SUM(EXTRACTNUMBER(AJ151),EXTRACTNUMBER(AI151))&gt;=1010,
        NOT(IFERROR(FIND("x",AJ151),0)),
        NOT(IFERROR(FIND("x",AI151),0))),"I",
IF(AND(SUM(EXTRACTNUMBER(AJ151),EXTRACTNUMBER(AI151))&gt;=850,
      SUM(EXTRACTNUMBER(AJ151),EXTRACTNUMBER(AI151))&lt;1010,
      NOT(IFERROR(FIND("x",AJ151),0)),
      NOT(IFERROR(FIND("x",AI151),0))),"II",
IF(OR(AND(SUM(EXTRACTNUMBER(AJ151),EXTRACTNUMBER(AI151))&lt;850,
SUM(EXTRACTNUMBER(AJ151),EXTRACTNUMBER(AI151))&gt;=670),
IFERROR(FIND("x",AJ151),0),IFERROR(FIND("x",AI151),0)),"P","--"))))))</f>
        <v>P</v>
      </c>
      <c r="AN151" s="2" t="str">
        <f t="shared" ref="AN151" si="346">spellnumber(AK151)</f>
        <v xml:space="preserve">Eight Hundred NinetyNine </v>
      </c>
    </row>
    <row r="152" spans="1:40">
      <c r="A152" s="45">
        <v>134351</v>
      </c>
      <c r="B152" s="46" t="s">
        <v>173</v>
      </c>
      <c r="C152" s="74" t="s">
        <v>220</v>
      </c>
      <c r="D152" s="77" t="s">
        <v>499</v>
      </c>
      <c r="E152" s="76" t="s">
        <v>204</v>
      </c>
      <c r="F152" s="77" t="s">
        <v>499</v>
      </c>
      <c r="G152" s="76">
        <v>62</v>
      </c>
      <c r="H152" s="77" t="s">
        <v>391</v>
      </c>
      <c r="I152" s="76" t="s">
        <v>210</v>
      </c>
      <c r="J152" s="77" t="s">
        <v>499</v>
      </c>
      <c r="K152" s="76">
        <v>40</v>
      </c>
      <c r="L152" s="77" t="s">
        <v>391</v>
      </c>
      <c r="M152" s="76" t="s">
        <v>204</v>
      </c>
      <c r="N152" s="77" t="s">
        <v>499</v>
      </c>
      <c r="O152" s="76" t="s">
        <v>216</v>
      </c>
      <c r="P152" s="77" t="s">
        <v>499</v>
      </c>
      <c r="Q152" s="76" t="s">
        <v>221</v>
      </c>
      <c r="R152" s="77" t="s">
        <v>499</v>
      </c>
      <c r="S152" s="76" t="s">
        <v>222</v>
      </c>
      <c r="T152" s="77" t="s">
        <v>499</v>
      </c>
      <c r="U152" s="76" t="s">
        <v>212</v>
      </c>
      <c r="V152" s="77" t="s">
        <v>499</v>
      </c>
      <c r="W152" s="76" t="s">
        <v>223</v>
      </c>
      <c r="X152" s="77" t="s">
        <v>499</v>
      </c>
      <c r="Y152" s="76" t="s">
        <v>210</v>
      </c>
      <c r="Z152" s="77" t="s">
        <v>499</v>
      </c>
      <c r="AA152" s="76" t="s">
        <v>210</v>
      </c>
      <c r="AB152" s="77" t="s">
        <v>499</v>
      </c>
      <c r="AC152" s="76" t="s">
        <v>219</v>
      </c>
      <c r="AD152" s="77" t="s">
        <v>499</v>
      </c>
      <c r="AE152" s="76" t="s">
        <v>211</v>
      </c>
      <c r="AF152" s="77" t="s">
        <v>499</v>
      </c>
      <c r="AG152" s="76" t="s">
        <v>224</v>
      </c>
      <c r="AH152" s="77" t="s">
        <v>499</v>
      </c>
      <c r="AI152" s="32">
        <v>497</v>
      </c>
      <c r="AJ152" s="83" t="s">
        <v>638</v>
      </c>
      <c r="AK152" s="29">
        <v>979</v>
      </c>
      <c r="AL152" s="29" t="s">
        <v>392</v>
      </c>
      <c r="AM152" s="30" t="s">
        <v>15</v>
      </c>
      <c r="AN152" s="2" t="s">
        <v>639</v>
      </c>
    </row>
    <row r="153" spans="1:40">
      <c r="A153" s="45">
        <v>134352</v>
      </c>
      <c r="B153" s="46" t="s">
        <v>174</v>
      </c>
      <c r="C153" s="74" t="s">
        <v>225</v>
      </c>
      <c r="D153" s="77" t="s">
        <v>499</v>
      </c>
      <c r="E153" s="76" t="s">
        <v>222</v>
      </c>
      <c r="F153" s="77" t="s">
        <v>499</v>
      </c>
      <c r="G153" s="76">
        <v>62</v>
      </c>
      <c r="H153" s="77" t="s">
        <v>391</v>
      </c>
      <c r="I153" s="76" t="s">
        <v>208</v>
      </c>
      <c r="J153" s="77" t="s">
        <v>499</v>
      </c>
      <c r="K153" s="76" t="s">
        <v>209</v>
      </c>
      <c r="L153" s="77" t="s">
        <v>499</v>
      </c>
      <c r="M153" s="76" t="s">
        <v>208</v>
      </c>
      <c r="N153" s="77" t="s">
        <v>499</v>
      </c>
      <c r="O153" s="76" t="s">
        <v>222</v>
      </c>
      <c r="P153" s="77" t="s">
        <v>499</v>
      </c>
      <c r="Q153" s="76" t="s">
        <v>207</v>
      </c>
      <c r="R153" s="77" t="s">
        <v>499</v>
      </c>
      <c r="S153" s="76" t="s">
        <v>208</v>
      </c>
      <c r="T153" s="77" t="s">
        <v>499</v>
      </c>
      <c r="U153" s="76" t="s">
        <v>224</v>
      </c>
      <c r="V153" s="77" t="s">
        <v>499</v>
      </c>
      <c r="W153" s="76" t="s">
        <v>226</v>
      </c>
      <c r="X153" s="77" t="s">
        <v>499</v>
      </c>
      <c r="Y153" s="76" t="s">
        <v>208</v>
      </c>
      <c r="Z153" s="77" t="s">
        <v>499</v>
      </c>
      <c r="AA153" s="76" t="s">
        <v>208</v>
      </c>
      <c r="AB153" s="77" t="s">
        <v>499</v>
      </c>
      <c r="AC153" s="76" t="s">
        <v>205</v>
      </c>
      <c r="AD153" s="77" t="s">
        <v>499</v>
      </c>
      <c r="AE153" s="76" t="s">
        <v>204</v>
      </c>
      <c r="AF153" s="77" t="s">
        <v>499</v>
      </c>
      <c r="AG153" s="76" t="s">
        <v>206</v>
      </c>
      <c r="AH153" s="77" t="s">
        <v>499</v>
      </c>
      <c r="AI153" s="32">
        <v>499</v>
      </c>
      <c r="AJ153" s="28" t="s">
        <v>299</v>
      </c>
      <c r="AK153" s="29">
        <v>995</v>
      </c>
      <c r="AL153" s="29" t="s">
        <v>392</v>
      </c>
      <c r="AM153" s="30" t="s">
        <v>15</v>
      </c>
      <c r="AN153" s="2" t="s">
        <v>504</v>
      </c>
    </row>
    <row r="154" spans="1:40">
      <c r="A154" s="45">
        <v>134353</v>
      </c>
      <c r="B154" s="47" t="s">
        <v>175</v>
      </c>
      <c r="C154" s="82" t="s">
        <v>530</v>
      </c>
      <c r="D154" s="77" t="s">
        <v>398</v>
      </c>
      <c r="E154" s="76" t="s">
        <v>204</v>
      </c>
      <c r="F154" s="77" t="s">
        <v>499</v>
      </c>
      <c r="G154" s="78" t="s">
        <v>335</v>
      </c>
      <c r="H154" s="77" t="s">
        <v>398</v>
      </c>
      <c r="I154" s="76" t="s">
        <v>208</v>
      </c>
      <c r="J154" s="77" t="s">
        <v>499</v>
      </c>
      <c r="K154" s="76" t="s">
        <v>207</v>
      </c>
      <c r="L154" s="77" t="s">
        <v>499</v>
      </c>
      <c r="M154" s="76" t="s">
        <v>206</v>
      </c>
      <c r="N154" s="77" t="s">
        <v>499</v>
      </c>
      <c r="O154" s="76" t="s">
        <v>206</v>
      </c>
      <c r="P154" s="77" t="s">
        <v>499</v>
      </c>
      <c r="Q154" s="78" t="s">
        <v>526</v>
      </c>
      <c r="R154" s="77" t="s">
        <v>398</v>
      </c>
      <c r="S154" s="76" t="s">
        <v>206</v>
      </c>
      <c r="T154" s="77" t="s">
        <v>499</v>
      </c>
      <c r="U154" s="76" t="s">
        <v>222</v>
      </c>
      <c r="V154" s="77" t="s">
        <v>499</v>
      </c>
      <c r="W154" s="76">
        <v>31</v>
      </c>
      <c r="X154" s="77" t="s">
        <v>398</v>
      </c>
      <c r="Y154" s="76" t="s">
        <v>214</v>
      </c>
      <c r="Z154" s="77" t="s">
        <v>499</v>
      </c>
      <c r="AA154" s="76" t="s">
        <v>210</v>
      </c>
      <c r="AB154" s="77" t="s">
        <v>499</v>
      </c>
      <c r="AC154" s="76" t="s">
        <v>207</v>
      </c>
      <c r="AD154" s="77" t="s">
        <v>499</v>
      </c>
      <c r="AE154" s="76" t="s">
        <v>212</v>
      </c>
      <c r="AF154" s="77" t="s">
        <v>499</v>
      </c>
      <c r="AG154" s="76" t="s">
        <v>204</v>
      </c>
      <c r="AH154" s="77" t="s">
        <v>499</v>
      </c>
      <c r="AI154" s="32">
        <v>306</v>
      </c>
      <c r="AJ154" s="83" t="s">
        <v>531</v>
      </c>
      <c r="AK154" s="29">
        <v>306</v>
      </c>
      <c r="AL154" s="29" t="s">
        <v>399</v>
      </c>
      <c r="AM154" s="30" t="s">
        <v>400</v>
      </c>
      <c r="AN154" s="2" t="s">
        <v>505</v>
      </c>
    </row>
    <row r="155" spans="1:40">
      <c r="A155" s="45">
        <v>134354</v>
      </c>
      <c r="B155" s="47" t="s">
        <v>176</v>
      </c>
      <c r="C155" s="74">
        <v>17</v>
      </c>
      <c r="D155" s="77" t="s">
        <v>398</v>
      </c>
      <c r="E155" s="76" t="s">
        <v>217</v>
      </c>
      <c r="F155" s="77" t="s">
        <v>499</v>
      </c>
      <c r="G155" s="76" t="s">
        <v>209</v>
      </c>
      <c r="H155" s="77" t="s">
        <v>499</v>
      </c>
      <c r="I155" s="76" t="s">
        <v>204</v>
      </c>
      <c r="J155" s="77" t="s">
        <v>499</v>
      </c>
      <c r="K155" s="76" t="s">
        <v>207</v>
      </c>
      <c r="L155" s="77" t="s">
        <v>499</v>
      </c>
      <c r="M155" s="76" t="s">
        <v>227</v>
      </c>
      <c r="N155" s="77" t="s">
        <v>499</v>
      </c>
      <c r="O155" s="76" t="s">
        <v>217</v>
      </c>
      <c r="P155" s="77" t="s">
        <v>499</v>
      </c>
      <c r="Q155" s="76" t="s">
        <v>228</v>
      </c>
      <c r="R155" s="77" t="s">
        <v>499</v>
      </c>
      <c r="S155" s="76" t="s">
        <v>204</v>
      </c>
      <c r="T155" s="77" t="s">
        <v>499</v>
      </c>
      <c r="U155" s="76" t="s">
        <v>212</v>
      </c>
      <c r="V155" s="77" t="s">
        <v>499</v>
      </c>
      <c r="W155" s="76" t="s">
        <v>207</v>
      </c>
      <c r="X155" s="77" t="s">
        <v>499</v>
      </c>
      <c r="Y155" s="76" t="s">
        <v>206</v>
      </c>
      <c r="Z155" s="77" t="s">
        <v>499</v>
      </c>
      <c r="AA155" s="76" t="s">
        <v>212</v>
      </c>
      <c r="AB155" s="77" t="s">
        <v>499</v>
      </c>
      <c r="AC155" s="76" t="s">
        <v>207</v>
      </c>
      <c r="AD155" s="77" t="s">
        <v>499</v>
      </c>
      <c r="AE155" s="76" t="s">
        <v>208</v>
      </c>
      <c r="AF155" s="77" t="s">
        <v>499</v>
      </c>
      <c r="AG155" s="76" t="s">
        <v>210</v>
      </c>
      <c r="AH155" s="77" t="s">
        <v>499</v>
      </c>
      <c r="AI155" s="32">
        <v>397</v>
      </c>
      <c r="AJ155" s="83" t="s">
        <v>531</v>
      </c>
      <c r="AK155" s="29">
        <v>397</v>
      </c>
      <c r="AL155" s="29" t="s">
        <v>399</v>
      </c>
      <c r="AM155" s="30" t="s">
        <v>400</v>
      </c>
      <c r="AN155" s="2" t="s">
        <v>457</v>
      </c>
    </row>
    <row r="156" spans="1:40">
      <c r="A156" s="45">
        <v>134355</v>
      </c>
      <c r="B156" s="47" t="s">
        <v>177</v>
      </c>
      <c r="C156" s="74" t="s">
        <v>220</v>
      </c>
      <c r="D156" s="77" t="s">
        <v>499</v>
      </c>
      <c r="E156" s="76" t="s">
        <v>212</v>
      </c>
      <c r="F156" s="77" t="s">
        <v>499</v>
      </c>
      <c r="G156" s="76">
        <v>49</v>
      </c>
      <c r="H156" s="77" t="s">
        <v>391</v>
      </c>
      <c r="I156" s="76" t="s">
        <v>206</v>
      </c>
      <c r="J156" s="77" t="s">
        <v>499</v>
      </c>
      <c r="K156" s="76" t="s">
        <v>207</v>
      </c>
      <c r="L156" s="77" t="s">
        <v>499</v>
      </c>
      <c r="M156" s="76" t="s">
        <v>204</v>
      </c>
      <c r="N156" s="77" t="s">
        <v>499</v>
      </c>
      <c r="O156" s="76" t="s">
        <v>206</v>
      </c>
      <c r="P156" s="77" t="s">
        <v>499</v>
      </c>
      <c r="Q156" s="76" t="s">
        <v>219</v>
      </c>
      <c r="R156" s="77" t="s">
        <v>499</v>
      </c>
      <c r="S156" s="76" t="s">
        <v>212</v>
      </c>
      <c r="T156" s="77" t="s">
        <v>499</v>
      </c>
      <c r="U156" s="76" t="s">
        <v>206</v>
      </c>
      <c r="V156" s="77" t="s">
        <v>499</v>
      </c>
      <c r="W156" s="76" t="s">
        <v>229</v>
      </c>
      <c r="X156" s="77" t="s">
        <v>499</v>
      </c>
      <c r="Y156" s="76" t="s">
        <v>210</v>
      </c>
      <c r="Z156" s="77" t="s">
        <v>499</v>
      </c>
      <c r="AA156" s="76" t="s">
        <v>212</v>
      </c>
      <c r="AB156" s="77" t="s">
        <v>499</v>
      </c>
      <c r="AC156" s="76" t="s">
        <v>215</v>
      </c>
      <c r="AD156" s="77" t="s">
        <v>499</v>
      </c>
      <c r="AE156" s="76" t="s">
        <v>212</v>
      </c>
      <c r="AF156" s="77" t="s">
        <v>499</v>
      </c>
      <c r="AG156" s="76" t="s">
        <v>210</v>
      </c>
      <c r="AH156" s="77" t="s">
        <v>499</v>
      </c>
      <c r="AI156" s="32">
        <v>475</v>
      </c>
      <c r="AJ156" s="28" t="s">
        <v>300</v>
      </c>
      <c r="AK156" s="29">
        <v>918</v>
      </c>
      <c r="AL156" s="29" t="s">
        <v>392</v>
      </c>
      <c r="AM156" s="30" t="s">
        <v>15</v>
      </c>
      <c r="AN156" s="2" t="s">
        <v>506</v>
      </c>
    </row>
    <row r="157" spans="1:40">
      <c r="A157" s="45">
        <v>134356</v>
      </c>
      <c r="B157" s="46" t="s">
        <v>178</v>
      </c>
      <c r="C157" s="82" t="s">
        <v>525</v>
      </c>
      <c r="D157" s="77" t="s">
        <v>398</v>
      </c>
      <c r="E157" s="76" t="s">
        <v>212</v>
      </c>
      <c r="F157" s="77" t="s">
        <v>499</v>
      </c>
      <c r="G157" s="76">
        <v>30</v>
      </c>
      <c r="H157" s="77" t="s">
        <v>398</v>
      </c>
      <c r="I157" s="76" t="s">
        <v>206</v>
      </c>
      <c r="J157" s="77" t="s">
        <v>499</v>
      </c>
      <c r="K157" s="76">
        <v>12</v>
      </c>
      <c r="L157" s="77" t="s">
        <v>398</v>
      </c>
      <c r="M157" s="76" t="s">
        <v>204</v>
      </c>
      <c r="N157" s="77" t="s">
        <v>499</v>
      </c>
      <c r="O157" s="76" t="s">
        <v>206</v>
      </c>
      <c r="P157" s="77" t="s">
        <v>499</v>
      </c>
      <c r="Q157" s="76">
        <v>29</v>
      </c>
      <c r="R157" s="77" t="s">
        <v>398</v>
      </c>
      <c r="S157" s="76" t="s">
        <v>206</v>
      </c>
      <c r="T157" s="77" t="s">
        <v>499</v>
      </c>
      <c r="U157" s="76" t="s">
        <v>212</v>
      </c>
      <c r="V157" s="77" t="s">
        <v>499</v>
      </c>
      <c r="W157" s="76">
        <v>40</v>
      </c>
      <c r="X157" s="77" t="s">
        <v>397</v>
      </c>
      <c r="Y157" s="76" t="s">
        <v>204</v>
      </c>
      <c r="Z157" s="77" t="s">
        <v>499</v>
      </c>
      <c r="AA157" s="76" t="s">
        <v>206</v>
      </c>
      <c r="AB157" s="77" t="s">
        <v>499</v>
      </c>
      <c r="AC157" s="76">
        <v>20</v>
      </c>
      <c r="AD157" s="77" t="s">
        <v>398</v>
      </c>
      <c r="AE157" s="76" t="s">
        <v>204</v>
      </c>
      <c r="AF157" s="77" t="s">
        <v>499</v>
      </c>
      <c r="AG157" s="76" t="s">
        <v>206</v>
      </c>
      <c r="AH157" s="77" t="s">
        <v>499</v>
      </c>
      <c r="AI157" s="32">
        <v>314</v>
      </c>
      <c r="AJ157" s="83" t="s">
        <v>531</v>
      </c>
      <c r="AK157" s="29">
        <v>314</v>
      </c>
      <c r="AL157" s="29" t="s">
        <v>399</v>
      </c>
      <c r="AM157" s="30" t="s">
        <v>400</v>
      </c>
      <c r="AN157" s="2" t="s">
        <v>507</v>
      </c>
    </row>
    <row r="158" spans="1:40">
      <c r="A158" s="45">
        <v>134357</v>
      </c>
      <c r="B158" s="47" t="s">
        <v>179</v>
      </c>
      <c r="C158" s="43">
        <v>40</v>
      </c>
      <c r="D158" s="27" t="str">
        <f t="shared" ref="D158" ca="1" si="347">IF(IFERROR(FIND("+",C158),0)," ",
IF(C158="AB","",
IF(C158&lt;$D$27,"F",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/>
      </c>
      <c r="E158" s="26" t="s">
        <v>212</v>
      </c>
      <c r="F158" s="27" t="str">
        <f t="shared" ref="F158" si="348">IF(IFERROR(FIND("+",E158),0)," ",
IF(E158="AB","",
IF(E158&lt;$F$27,"F",
IF(AND(E158&gt;=$F$27,C158&gt;=$D$27,G158&gt;=$H$27,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G158" s="24" t="s">
        <v>207</v>
      </c>
      <c r="H158" s="27" t="str">
        <f t="shared" ref="H158" si="349">IF(IFERROR(FIND("+",G158),0)," ",
IF(G158="AB","",
IF(G158&lt;$H$27,"F",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I158" s="26" t="s">
        <v>212</v>
      </c>
      <c r="J158" s="27" t="str">
        <f t="shared" ref="J158" si="350">IF(IFERROR(FIND("+",I158),0)," ",
IF(I158="AB","",
IF(I158&lt;$J$27,"F",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K158" s="24" t="s">
        <v>207</v>
      </c>
      <c r="L158" s="27" t="str">
        <f t="shared" ref="L158" si="351">IF(IFERROR(FIND("+",K158),0)," ",
IF(K158="AB","",
IF(K158&lt;$L$27,"F",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M158" s="26" t="s">
        <v>208</v>
      </c>
      <c r="N158" s="27" t="str">
        <f t="shared" ref="N158" si="352">IF(IFERROR(FIND("+",M158),0)," ",
IF(M158="AB","",
IF(M158&lt;$N$27,"F",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AG158&lt;&gt;"AB"),"","E"))))</f>
        <v xml:space="preserve"> </v>
      </c>
      <c r="O158" s="26" t="s">
        <v>212</v>
      </c>
      <c r="P158" s="27" t="str">
        <f t="shared" ref="P158" si="353">IF(IFERROR(FIND("+",O158),0)," ",
IF(O158="AB","",
IF(O158&lt;$P$27,"F",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Q158" s="24" t="s">
        <v>226</v>
      </c>
      <c r="R158" s="27" t="str">
        <f t="shared" ref="R158" si="354">IF(IFERROR(FIND("+",Q158),0)," ",
IF(Q158="AB","",
IF(Q158&lt;$R$27,"F",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S158" s="26" t="s">
        <v>212</v>
      </c>
      <c r="T158" s="27" t="str">
        <f t="shared" ref="T158" si="355">IF(IFERROR(FIND("+",S158),0)," ",
IF(S158="AB","",
IF(S158&lt;$T$27,"F",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U158" s="26" t="s">
        <v>212</v>
      </c>
      <c r="V158" s="27" t="str">
        <f t="shared" ref="V158" si="356">IF(IFERROR(FIND("+",U158),0)," ",
IF(U158="AB","",
IF(U158&lt;$V$27,"F",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W158" s="24" t="s">
        <v>207</v>
      </c>
      <c r="X158" s="27" t="str">
        <f t="shared" ref="X158" si="357">IF(IFERROR(FIND("+",W158),0)," ",
IF(W158="AB","",
IF(W158&lt;$X$27,"F",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Y158" s="26" t="s">
        <v>222</v>
      </c>
      <c r="Z158" s="27" t="str">
        <f t="shared" ref="Z158" si="358">IF(IFERROR(FIND("+",Y158),0)," ",
IF(Y158="AB","",
IF(Y158&lt;$Z$27,"F",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AA158" s="26" t="s">
        <v>208</v>
      </c>
      <c r="AB158" s="27" t="str">
        <f t="shared" ref="AB158" si="359">IF(IFERROR(FIND("+",AA158),0)," ",
IF(AA158="AB","",
IF(AA158&lt;$AB$27,"F",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AC158" s="24" t="s">
        <v>209</v>
      </c>
      <c r="AD158" s="27" t="str">
        <f t="shared" ref="AD158" si="360">IF(IFERROR(FIND("+",AC158),0)," ",
IF(AC158="AB","",
IF(AC158&lt;$AD$27,"F",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AE158" s="26" t="s">
        <v>208</v>
      </c>
      <c r="AF158" s="27" t="str">
        <f t="shared" ref="AF158" si="361">IF(IFERROR(FIND("+",AE158),0)," ",
IF(AE158="AB","",IF(AE158&lt;$AF$27,"F",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AG158&lt;&gt;"AB",AH158&lt;&gt;"AB"),"","E"))))</f>
        <v xml:space="preserve"> </v>
      </c>
      <c r="AG158" s="26" t="s">
        <v>204</v>
      </c>
      <c r="AH158" s="27" t="str">
        <f t="shared" ref="AH158" si="362">IF(IFERROR(FIND("+",AG158),0)," ",
IF(AG158="AB","",
IF(AG158&lt;$AH$27,"F",
IF(AND(C158&gt;=$D$27,E158&gt;=$F$27,G158&gt;=$H$27,
I158&gt;=$J$27,K158&gt;=$L$27,
M158&gt;=$N$27,O158&gt;=$P$27,Q158&gt;=$R$27,S158&gt;=$T$27,U158&gt;=$V$27,
W158&gt;=$X$27,Y158&gt;=$Z$27,AA158&gt;=$AB$27,AC158&gt;=$AD$27,AE158&gt;=$AF$27,
AG158&gt;=$AH$27,C158&lt;&gt;"AB",E158&lt;&gt;"AB",G158&lt;&gt;"AB",
I158&lt;&gt;"AB",K158&lt;&gt;"AB",
M158&lt;&gt;"AB",O158&lt;&gt;"AB",Q158&lt;&gt;"AB",S158&lt;&gt;"AB",U158&lt;&gt;"AB",
W158&lt;&gt;"AB",Y158&lt;&gt;"AB",AA158&lt;&gt;"AB",AC158&lt;&gt;"AB",AE158&lt;&gt;"AB",
AG158&lt;&gt;"AB"),"","E"))))</f>
        <v xml:space="preserve"> </v>
      </c>
      <c r="AI158" s="32">
        <f>IF(OR(AND(C158&gt;=31,C158&lt;40),AND(G158&gt;=31,G158&lt;40),AND(K158&gt;=31,K158&lt;40),AND(Q158&gt;=31,Q158&lt;40),AND(W158&gt;=31,W158&lt;40),AND(AC158&gt;=31,AC158&lt;40)),IF(AND(OR(COUNTIF(C158:AH158,"=31")&gt;=1,COUNTIF(C158:AH158,"=32")&gt;=1,COUNTIF(C158:AH158,"=33")&gt;=1,COUNTIF(C158:AH158,"=34")&gt;=1,COUNTIF(C158:AH158,"=35")&gt;=1,COUNTIF(C158:AH158,"=36")&gt;=1 ),COUNTIF(C158:AH158,"")=0,COUNTIF(C158:AH158," ")=0,COUNTIF(C158:AH158,"F")=1),CONCATENATE(SUM(EXTRACTNUMBER(C158),EXTRACTNUMBER(E158),
EXTRACTNUMBER(G158),EXTRACTNUMBER(I158),
EXTRACTNUMBER(K158),EXTRACTNUMBER(M158),
EXTRACTNUMBER(O158),EXTRACTNUMBER(Q158),
EXTRACTNUMBER(S158),EXTRACTNUMBER(U158),
EXTRACTNUMBER(W158),EXTRACTNUMBER(Y158),EXTRACTNUMBER(AA158),
EXTRACTNUMBER(AC158),EXTRACTNUMBER(AG158),EXTRACTNUMBER(AE158)),"*"),IF(AND(COUNTIF(C158:AH158,"=34")&gt;=1,COUNTIF(C158:AH158,"=35")&gt;=1,COUNTIF(C158:AH158,"f")=2,COUNTIF(C158:AH158,"")=0,COUNTIF(C158:AH158," ")=0),CONCATENATE(SUM(EXTRACTNUMBER(C158),EXTRACTNUMBER(E158),
EXTRACTNUMBER(G158),EXTRACTNUMBER(I158),
EXTRACTNUMBER(K158),EXTRACTNUMBER(M158),
EXTRACTNUMBER(O158),EXTRACTNUMBER(Q158),
EXTRACTNUMBER(S158),EXTRACTNUMBER(U158),
EXTRACTNUMBER(W158),EXTRACTNUMBER(Y158),EXTRACTNUMBER(AA158),
EXTRACTNUMBER(AC158),EXTRACTNUMBER(AG158),EXTRACTNUMBER(AE158)),"*"),IF(AND(COUNTIF(C158:AH158,"=36")&gt;=2,COUNTIF(C158:AH158,"f")=2,COUNTIF(C158:AH158,"")=0,COUNTIF(C158:AH158," ")=0),CONCATENATE(SUM(EXTRACTNUMBER(C158),EXTRACTNUMBER(E158),
EXTRACTNUMBER(G158),EXTRACTNUMBER(I158),
EXTRACTNUMBER(K158),EXTRACTNUMBER(M158),
EXTRACTNUMBER(O158),EXTRACTNUMBER(Q158),
EXTRACTNUMBER(S158),EXTRACTNUMBER(U158),
EXTRACTNUMBER(W158),EXTRACTNUMBER(Y158),EXTRACTNUMBER(AA158),
EXTRACTNUMBER(AC158),EXTRACTNUMBER(AG158),EXTRACTNUMBER(AE158)),"*"),SUM(EXTRACTNUMBER(C158),EXTRACTNUMBER(E158),
EXTRACTNUMBER(G158),EXTRACTNUMBER(I158),
EXTRACTNUMBER(K158),EXTRACTNUMBER(M158),
EXTRACTNUMBER(O158),EXTRACTNUMBER(Q158),
EXTRACTNUMBER(S158),EXTRACTNUMBER(U158),
EXTRACTNUMBER(W158),EXTRACTNUMBER(Y158),EXTRACTNUMBER(AA158),
EXTRACTNUMBER(AC158),EXTRACTNUMBER(AG158),EXTRACTNUMBER(AE158))))),SUM(EXTRACTNUMBER(C158),EXTRACTNUMBER(E158),
EXTRACTNUMBER(G158),EXTRACTNUMBER(I158),
EXTRACTNUMBER(K158),EXTRACTNUMBER(M158),
EXTRACTNUMBER(O158),EXTRACTNUMBER(Q158),
EXTRACTNUMBER(S158),EXTRACTNUMBER(U158),
EXTRACTNUMBER(W158),EXTRACTNUMBER(Y158),EXTRACTNUMBER(AA158),
EXTRACTNUMBER(AC158),EXTRACTNUMBER(AG158),EXTRACTNUMBER(AE158)))</f>
        <v>455</v>
      </c>
      <c r="AJ158" s="28" t="s">
        <v>301</v>
      </c>
      <c r="AK158" s="29">
        <f t="shared" ref="AK158" si="363">IF(IFERROR(FIND("x",AJ158),0),SUM(EXTRACTNUMBER(AI158),EXTRACTNUMBER(AJ158)),IF(AND(SUM(EXTRACTNUMBER(AI158),EXTRACTNUMBER(AJ158))&gt;1009,SUM(EXTRACTNUMBER(AI158),EXTRACTNUMBER(AJ158))&lt;1020),
CONCATENATE(SUM(EXTRACTNUMBER(AI158),EXTRACTNUMBER(AJ158)),"@",1020-SUM(EXTRACTNUMBER(AI158),EXTRACTNUMBER(AJ158))),
IF(AND(SUM(EXTRACTNUMBER(AI158),EXTRACTNUMBER(AJ158))&gt;839,   SUM(EXTRACTNUMBER(AI158),EXTRACTNUMBER(AJ158))&lt;850),CONCATENATE(SUM(EXTRACTNUMBER(AI158),EXTRACTNUMBER(AJ158)),"@",850-SUM(EXTRACTNUMBER(AI158),EXTRACTNUMBER(AJ158))),
IF(AND(SUM(EXTRACTNUMBER(AI158),EXTRACTNUMBER(AJ158))&gt;669,        SUM(EXTRACTNUMBER(AI158),EXTRACTNUMBER(AJ158))&lt;680),
CONCATENATE(SUM(EXTRACTNUMBER(AI158),EXTRACTNUMBER(AJ158)),"@",680-SUM(EXTRACTNUMBER(AI158),EXTRACTNUMBER(AJ158))),
SUM(EXTRACTNUMBER(AI158),EXTRACTNUMBER(AJ158))))))</f>
        <v>938</v>
      </c>
      <c r="AL158" s="29" t="str">
        <f t="shared" ref="AL158" ca="1" si="364">IF(AND(COUNTIF(C158:AH158,"AB")&lt;16-COUNTIF(C158:AH158," "),
COUNTIF(C158:AH158,"AB")&lt;&gt;0),"FAIL",
IF(COUNTIF(C158:AH158,"AB")=16-COUNTIF(C158:AH158," "),"ABSENT",
IF(AND(COUNTIF(C158:AH158,"AB")=0,COUNTIF(C158:AH158,"F")=0),"PASS","FAIL")))</f>
        <v>PASS</v>
      </c>
      <c r="AM158" s="30" t="str">
        <f ca="1">IF(AL158="ABSENT","AB",IF(AL158="FAIL","--",
IF(AJ158=0,"RS 3",
IF(AND(SUM(EXTRACTNUMBER(AJ158),EXTRACTNUMBER(AI158))&gt;=1010,
        NOT(IFERROR(FIND("x",AJ158),0)),
        NOT(IFERROR(FIND("x",AI158),0))),"I",
IF(AND(SUM(EXTRACTNUMBER(AJ158),EXTRACTNUMBER(AI158))&gt;=850,
      SUM(EXTRACTNUMBER(AJ158),EXTRACTNUMBER(AI158))&lt;1010,
      NOT(IFERROR(FIND("x",AJ158),0)),
      NOT(IFERROR(FIND("x",AI158),0))),"II",
IF(OR(AND(SUM(EXTRACTNUMBER(AJ158),EXTRACTNUMBER(AI158))&lt;850,
SUM(EXTRACTNUMBER(AJ158),EXTRACTNUMBER(AI158))&gt;=670),
IFERROR(FIND("x",AJ158),0),IFERROR(FIND("x",AI158),0)),"P","--"))))))</f>
        <v>P</v>
      </c>
      <c r="AN158" s="2" t="str">
        <f t="shared" ref="AN158" si="365">spellnumber(AK158)</f>
        <v xml:space="preserve">Nine Hundred Thirty Eight </v>
      </c>
    </row>
    <row r="159" spans="1:40">
      <c r="A159" s="45">
        <v>134358</v>
      </c>
      <c r="B159" s="46" t="s">
        <v>180</v>
      </c>
      <c r="C159" s="74">
        <v>44</v>
      </c>
      <c r="D159" s="77" t="s">
        <v>391</v>
      </c>
      <c r="E159" s="76" t="s">
        <v>212</v>
      </c>
      <c r="F159" s="77" t="s">
        <v>499</v>
      </c>
      <c r="G159" s="76" t="s">
        <v>230</v>
      </c>
      <c r="H159" s="77" t="s">
        <v>499</v>
      </c>
      <c r="I159" s="76" t="s">
        <v>212</v>
      </c>
      <c r="J159" s="77" t="s">
        <v>499</v>
      </c>
      <c r="K159" s="76" t="s">
        <v>231</v>
      </c>
      <c r="L159" s="77" t="s">
        <v>499</v>
      </c>
      <c r="M159" s="76" t="s">
        <v>214</v>
      </c>
      <c r="N159" s="77" t="s">
        <v>499</v>
      </c>
      <c r="O159" s="76" t="s">
        <v>214</v>
      </c>
      <c r="P159" s="77" t="s">
        <v>499</v>
      </c>
      <c r="Q159" s="76" t="s">
        <v>207</v>
      </c>
      <c r="R159" s="77" t="s">
        <v>499</v>
      </c>
      <c r="S159" s="76" t="s">
        <v>216</v>
      </c>
      <c r="T159" s="77" t="s">
        <v>499</v>
      </c>
      <c r="U159" s="76" t="s">
        <v>217</v>
      </c>
      <c r="V159" s="77" t="s">
        <v>499</v>
      </c>
      <c r="W159" s="76" t="s">
        <v>228</v>
      </c>
      <c r="X159" s="77" t="s">
        <v>499</v>
      </c>
      <c r="Y159" s="76" t="s">
        <v>217</v>
      </c>
      <c r="Z159" s="77" t="s">
        <v>499</v>
      </c>
      <c r="AA159" s="76" t="s">
        <v>206</v>
      </c>
      <c r="AB159" s="77" t="s">
        <v>499</v>
      </c>
      <c r="AC159" s="76" t="s">
        <v>219</v>
      </c>
      <c r="AD159" s="77" t="s">
        <v>499</v>
      </c>
      <c r="AE159" s="76" t="s">
        <v>212</v>
      </c>
      <c r="AF159" s="77" t="s">
        <v>499</v>
      </c>
      <c r="AG159" s="76" t="s">
        <v>214</v>
      </c>
      <c r="AH159" s="77" t="s">
        <v>499</v>
      </c>
      <c r="AI159" s="32">
        <v>432</v>
      </c>
      <c r="AJ159" s="28" t="s">
        <v>232</v>
      </c>
      <c r="AK159" s="29">
        <v>935</v>
      </c>
      <c r="AL159" s="29" t="s">
        <v>392</v>
      </c>
      <c r="AM159" s="30" t="s">
        <v>15</v>
      </c>
      <c r="AN159" s="2" t="s">
        <v>508</v>
      </c>
    </row>
    <row r="160" spans="1:40">
      <c r="A160" s="45">
        <v>134359</v>
      </c>
      <c r="B160" s="46" t="s">
        <v>181</v>
      </c>
      <c r="C160" s="74" t="s">
        <v>207</v>
      </c>
      <c r="D160" s="77" t="s">
        <v>499</v>
      </c>
      <c r="E160" s="76" t="s">
        <v>212</v>
      </c>
      <c r="F160" s="77" t="s">
        <v>499</v>
      </c>
      <c r="G160" s="76">
        <v>28</v>
      </c>
      <c r="H160" s="77" t="s">
        <v>398</v>
      </c>
      <c r="I160" s="76" t="s">
        <v>212</v>
      </c>
      <c r="J160" s="77" t="s">
        <v>499</v>
      </c>
      <c r="K160" s="76" t="s">
        <v>223</v>
      </c>
      <c r="L160" s="77" t="s">
        <v>499</v>
      </c>
      <c r="M160" s="76" t="s">
        <v>210</v>
      </c>
      <c r="N160" s="77" t="s">
        <v>499</v>
      </c>
      <c r="O160" s="76" t="s">
        <v>204</v>
      </c>
      <c r="P160" s="77" t="s">
        <v>499</v>
      </c>
      <c r="Q160" s="76">
        <v>40</v>
      </c>
      <c r="R160" s="77" t="s">
        <v>397</v>
      </c>
      <c r="S160" s="76" t="s">
        <v>210</v>
      </c>
      <c r="T160" s="77" t="s">
        <v>499</v>
      </c>
      <c r="U160" s="76" t="s">
        <v>216</v>
      </c>
      <c r="V160" s="77" t="s">
        <v>499</v>
      </c>
      <c r="W160" s="76" t="s">
        <v>233</v>
      </c>
      <c r="X160" s="77" t="s">
        <v>499</v>
      </c>
      <c r="Y160" s="76" t="s">
        <v>204</v>
      </c>
      <c r="Z160" s="77" t="s">
        <v>499</v>
      </c>
      <c r="AA160" s="76" t="s">
        <v>208</v>
      </c>
      <c r="AB160" s="77" t="s">
        <v>499</v>
      </c>
      <c r="AC160" s="76" t="s">
        <v>207</v>
      </c>
      <c r="AD160" s="77" t="s">
        <v>499</v>
      </c>
      <c r="AE160" s="76" t="s">
        <v>208</v>
      </c>
      <c r="AF160" s="77" t="s">
        <v>499</v>
      </c>
      <c r="AG160" s="76" t="s">
        <v>214</v>
      </c>
      <c r="AH160" s="77" t="s">
        <v>499</v>
      </c>
      <c r="AI160" s="32">
        <v>437</v>
      </c>
      <c r="AJ160" s="83" t="s">
        <v>531</v>
      </c>
      <c r="AK160" s="29">
        <v>437</v>
      </c>
      <c r="AL160" s="29" t="s">
        <v>399</v>
      </c>
      <c r="AM160" s="30" t="s">
        <v>400</v>
      </c>
      <c r="AN160" s="2" t="s">
        <v>509</v>
      </c>
    </row>
    <row r="161" spans="1:40">
      <c r="A161" s="45">
        <v>134360</v>
      </c>
      <c r="B161" s="46" t="s">
        <v>182</v>
      </c>
      <c r="C161" s="74" t="s">
        <v>305</v>
      </c>
      <c r="D161" s="77" t="s">
        <v>391</v>
      </c>
      <c r="E161" s="76" t="s">
        <v>208</v>
      </c>
      <c r="F161" s="77" t="s">
        <v>499</v>
      </c>
      <c r="G161" s="76" t="s">
        <v>305</v>
      </c>
      <c r="H161" s="77" t="s">
        <v>391</v>
      </c>
      <c r="I161" s="76" t="s">
        <v>210</v>
      </c>
      <c r="J161" s="77" t="s">
        <v>499</v>
      </c>
      <c r="K161" s="76" t="s">
        <v>234</v>
      </c>
      <c r="L161" s="77" t="s">
        <v>499</v>
      </c>
      <c r="M161" s="76" t="s">
        <v>210</v>
      </c>
      <c r="N161" s="77" t="s">
        <v>499</v>
      </c>
      <c r="O161" s="76" t="s">
        <v>212</v>
      </c>
      <c r="P161" s="77" t="s">
        <v>499</v>
      </c>
      <c r="Q161" s="76" t="s">
        <v>305</v>
      </c>
      <c r="R161" s="77" t="s">
        <v>391</v>
      </c>
      <c r="S161" s="76" t="s">
        <v>212</v>
      </c>
      <c r="T161" s="77" t="s">
        <v>499</v>
      </c>
      <c r="U161" s="76" t="s">
        <v>212</v>
      </c>
      <c r="V161" s="77" t="s">
        <v>499</v>
      </c>
      <c r="W161" s="76" t="s">
        <v>207</v>
      </c>
      <c r="X161" s="77" t="s">
        <v>499</v>
      </c>
      <c r="Y161" s="76" t="s">
        <v>208</v>
      </c>
      <c r="Z161" s="77" t="s">
        <v>499</v>
      </c>
      <c r="AA161" s="76" t="s">
        <v>208</v>
      </c>
      <c r="AB161" s="77" t="s">
        <v>499</v>
      </c>
      <c r="AC161" s="76" t="s">
        <v>305</v>
      </c>
      <c r="AD161" s="77" t="s">
        <v>391</v>
      </c>
      <c r="AE161" s="76" t="s">
        <v>222</v>
      </c>
      <c r="AF161" s="77" t="s">
        <v>499</v>
      </c>
      <c r="AG161" s="76" t="s">
        <v>210</v>
      </c>
      <c r="AH161" s="77" t="s">
        <v>499</v>
      </c>
      <c r="AI161" s="32">
        <v>289</v>
      </c>
      <c r="AJ161" s="83" t="s">
        <v>531</v>
      </c>
      <c r="AK161" s="29">
        <v>289</v>
      </c>
      <c r="AL161" s="29" t="s">
        <v>502</v>
      </c>
      <c r="AM161" s="30" t="s">
        <v>305</v>
      </c>
      <c r="AN161" s="2" t="s">
        <v>510</v>
      </c>
    </row>
    <row r="162" spans="1:40">
      <c r="A162" s="45">
        <v>134361</v>
      </c>
      <c r="B162" s="46" t="s">
        <v>183</v>
      </c>
      <c r="C162" s="74">
        <v>21</v>
      </c>
      <c r="D162" s="77" t="s">
        <v>398</v>
      </c>
      <c r="E162" s="76" t="s">
        <v>224</v>
      </c>
      <c r="F162" s="77" t="s">
        <v>499</v>
      </c>
      <c r="G162" s="78" t="s">
        <v>530</v>
      </c>
      <c r="H162" s="77" t="s">
        <v>398</v>
      </c>
      <c r="I162" s="76" t="s">
        <v>217</v>
      </c>
      <c r="J162" s="77" t="s">
        <v>499</v>
      </c>
      <c r="K162" s="76">
        <v>40</v>
      </c>
      <c r="L162" s="77" t="s">
        <v>397</v>
      </c>
      <c r="M162" s="76" t="s">
        <v>214</v>
      </c>
      <c r="N162" s="77" t="s">
        <v>499</v>
      </c>
      <c r="O162" s="76" t="s">
        <v>214</v>
      </c>
      <c r="P162" s="77" t="s">
        <v>499</v>
      </c>
      <c r="Q162" s="76">
        <v>21</v>
      </c>
      <c r="R162" s="77" t="s">
        <v>398</v>
      </c>
      <c r="S162" s="76" t="s">
        <v>217</v>
      </c>
      <c r="T162" s="77" t="s">
        <v>499</v>
      </c>
      <c r="U162" s="76" t="s">
        <v>204</v>
      </c>
      <c r="V162" s="77" t="s">
        <v>499</v>
      </c>
      <c r="W162" s="76">
        <v>40</v>
      </c>
      <c r="X162" s="77" t="s">
        <v>397</v>
      </c>
      <c r="Y162" s="76" t="s">
        <v>217</v>
      </c>
      <c r="Z162" s="77" t="s">
        <v>499</v>
      </c>
      <c r="AA162" s="76" t="s">
        <v>210</v>
      </c>
      <c r="AB162" s="77" t="s">
        <v>499</v>
      </c>
      <c r="AC162" s="76">
        <v>27</v>
      </c>
      <c r="AD162" s="77" t="s">
        <v>398</v>
      </c>
      <c r="AE162" s="76" t="s">
        <v>212</v>
      </c>
      <c r="AF162" s="77" t="s">
        <v>499</v>
      </c>
      <c r="AG162" s="76" t="s">
        <v>217</v>
      </c>
      <c r="AH162" s="77" t="s">
        <v>499</v>
      </c>
      <c r="AI162" s="32">
        <v>316</v>
      </c>
      <c r="AJ162" s="83" t="s">
        <v>531</v>
      </c>
      <c r="AK162" s="29">
        <v>316</v>
      </c>
      <c r="AL162" s="29" t="s">
        <v>399</v>
      </c>
      <c r="AM162" s="30" t="s">
        <v>400</v>
      </c>
      <c r="AN162" s="2" t="s">
        <v>511</v>
      </c>
    </row>
    <row r="163" spans="1:40">
      <c r="A163" s="45">
        <v>134362</v>
      </c>
      <c r="B163" s="47" t="s">
        <v>184</v>
      </c>
      <c r="C163" s="74" t="s">
        <v>305</v>
      </c>
      <c r="D163" s="77" t="s">
        <v>391</v>
      </c>
      <c r="E163" s="76" t="s">
        <v>227</v>
      </c>
      <c r="F163" s="77" t="s">
        <v>499</v>
      </c>
      <c r="G163" s="76" t="s">
        <v>205</v>
      </c>
      <c r="H163" s="77" t="s">
        <v>499</v>
      </c>
      <c r="I163" s="76" t="s">
        <v>217</v>
      </c>
      <c r="J163" s="77" t="s">
        <v>499</v>
      </c>
      <c r="K163" s="76">
        <v>27</v>
      </c>
      <c r="L163" s="77" t="s">
        <v>398</v>
      </c>
      <c r="M163" s="76" t="s">
        <v>217</v>
      </c>
      <c r="N163" s="77" t="s">
        <v>499</v>
      </c>
      <c r="O163" s="76" t="s">
        <v>227</v>
      </c>
      <c r="P163" s="77" t="s">
        <v>499</v>
      </c>
      <c r="Q163" s="76" t="s">
        <v>207</v>
      </c>
      <c r="R163" s="77" t="s">
        <v>499</v>
      </c>
      <c r="S163" s="76" t="s">
        <v>206</v>
      </c>
      <c r="T163" s="77" t="s">
        <v>499</v>
      </c>
      <c r="U163" s="76" t="s">
        <v>206</v>
      </c>
      <c r="V163" s="77" t="s">
        <v>499</v>
      </c>
      <c r="W163" s="76">
        <v>59</v>
      </c>
      <c r="X163" s="77" t="s">
        <v>397</v>
      </c>
      <c r="Y163" s="76" t="s">
        <v>214</v>
      </c>
      <c r="Z163" s="77" t="s">
        <v>499</v>
      </c>
      <c r="AA163" s="76" t="s">
        <v>206</v>
      </c>
      <c r="AB163" s="77" t="s">
        <v>499</v>
      </c>
      <c r="AC163" s="76">
        <v>40</v>
      </c>
      <c r="AD163" s="77" t="s">
        <v>397</v>
      </c>
      <c r="AE163" s="76" t="s">
        <v>210</v>
      </c>
      <c r="AF163" s="77" t="s">
        <v>499</v>
      </c>
      <c r="AG163" s="76" t="s">
        <v>227</v>
      </c>
      <c r="AH163" s="77" t="s">
        <v>499</v>
      </c>
      <c r="AI163" s="32">
        <v>361</v>
      </c>
      <c r="AJ163" s="83" t="s">
        <v>531</v>
      </c>
      <c r="AK163" s="29">
        <v>361</v>
      </c>
      <c r="AL163" s="29" t="s">
        <v>399</v>
      </c>
      <c r="AM163" s="30" t="s">
        <v>400</v>
      </c>
      <c r="AN163" s="2" t="s">
        <v>410</v>
      </c>
    </row>
    <row r="164" spans="1:40">
      <c r="A164" s="45">
        <v>134363</v>
      </c>
      <c r="B164" s="46" t="s">
        <v>185</v>
      </c>
      <c r="C164" s="74">
        <v>11</v>
      </c>
      <c r="D164" s="77" t="s">
        <v>398</v>
      </c>
      <c r="E164" s="76" t="s">
        <v>212</v>
      </c>
      <c r="F164" s="77" t="s">
        <v>499</v>
      </c>
      <c r="G164" s="76">
        <v>44</v>
      </c>
      <c r="H164" s="77" t="s">
        <v>397</v>
      </c>
      <c r="I164" s="76" t="s">
        <v>208</v>
      </c>
      <c r="J164" s="77" t="s">
        <v>499</v>
      </c>
      <c r="K164" s="76" t="s">
        <v>207</v>
      </c>
      <c r="L164" s="77" t="s">
        <v>499</v>
      </c>
      <c r="M164" s="76" t="s">
        <v>208</v>
      </c>
      <c r="N164" s="77" t="s">
        <v>499</v>
      </c>
      <c r="O164" s="76" t="s">
        <v>212</v>
      </c>
      <c r="P164" s="77" t="s">
        <v>499</v>
      </c>
      <c r="Q164" s="76" t="s">
        <v>207</v>
      </c>
      <c r="R164" s="77" t="s">
        <v>499</v>
      </c>
      <c r="S164" s="76" t="s">
        <v>208</v>
      </c>
      <c r="T164" s="77" t="s">
        <v>499</v>
      </c>
      <c r="U164" s="76" t="s">
        <v>204</v>
      </c>
      <c r="V164" s="77" t="s">
        <v>499</v>
      </c>
      <c r="W164" s="76" t="s">
        <v>215</v>
      </c>
      <c r="X164" s="77" t="s">
        <v>499</v>
      </c>
      <c r="Y164" s="76" t="s">
        <v>208</v>
      </c>
      <c r="Z164" s="77" t="s">
        <v>499</v>
      </c>
      <c r="AA164" s="76" t="s">
        <v>208</v>
      </c>
      <c r="AB164" s="77" t="s">
        <v>499</v>
      </c>
      <c r="AC164" s="76" t="s">
        <v>207</v>
      </c>
      <c r="AD164" s="77" t="s">
        <v>499</v>
      </c>
      <c r="AE164" s="76" t="s">
        <v>212</v>
      </c>
      <c r="AF164" s="77" t="s">
        <v>499</v>
      </c>
      <c r="AG164" s="76" t="s">
        <v>217</v>
      </c>
      <c r="AH164" s="77" t="s">
        <v>499</v>
      </c>
      <c r="AI164" s="32">
        <v>422</v>
      </c>
      <c r="AJ164" s="28" t="s">
        <v>235</v>
      </c>
      <c r="AK164" s="29">
        <v>901</v>
      </c>
      <c r="AL164" s="29" t="s">
        <v>399</v>
      </c>
      <c r="AM164" s="30" t="s">
        <v>400</v>
      </c>
      <c r="AN164" s="2" t="s">
        <v>512</v>
      </c>
    </row>
    <row r="165" spans="1:40">
      <c r="A165" s="45">
        <v>134364</v>
      </c>
      <c r="B165" s="46" t="s">
        <v>186</v>
      </c>
      <c r="C165" s="74" t="s">
        <v>228</v>
      </c>
      <c r="D165" s="77" t="s">
        <v>499</v>
      </c>
      <c r="E165" s="76" t="s">
        <v>204</v>
      </c>
      <c r="F165" s="77" t="s">
        <v>499</v>
      </c>
      <c r="G165" s="76">
        <v>53</v>
      </c>
      <c r="H165" s="77" t="s">
        <v>391</v>
      </c>
      <c r="I165" s="76" t="s">
        <v>210</v>
      </c>
      <c r="J165" s="77" t="s">
        <v>499</v>
      </c>
      <c r="K165" s="76" t="s">
        <v>228</v>
      </c>
      <c r="L165" s="77" t="s">
        <v>499</v>
      </c>
      <c r="M165" s="76" t="s">
        <v>210</v>
      </c>
      <c r="N165" s="77" t="s">
        <v>499</v>
      </c>
      <c r="O165" s="76" t="s">
        <v>204</v>
      </c>
      <c r="P165" s="77" t="s">
        <v>499</v>
      </c>
      <c r="Q165" s="76" t="s">
        <v>228</v>
      </c>
      <c r="R165" s="77" t="s">
        <v>499</v>
      </c>
      <c r="S165" s="76" t="s">
        <v>204</v>
      </c>
      <c r="T165" s="77" t="s">
        <v>499</v>
      </c>
      <c r="U165" s="76" t="s">
        <v>208</v>
      </c>
      <c r="V165" s="77" t="s">
        <v>499</v>
      </c>
      <c r="W165" s="76" t="s">
        <v>207</v>
      </c>
      <c r="X165" s="77" t="s">
        <v>499</v>
      </c>
      <c r="Y165" s="76" t="s">
        <v>210</v>
      </c>
      <c r="Z165" s="77" t="s">
        <v>499</v>
      </c>
      <c r="AA165" s="76" t="s">
        <v>210</v>
      </c>
      <c r="AB165" s="77" t="s">
        <v>499</v>
      </c>
      <c r="AC165" s="76" t="s">
        <v>207</v>
      </c>
      <c r="AD165" s="77" t="s">
        <v>499</v>
      </c>
      <c r="AE165" s="76" t="s">
        <v>212</v>
      </c>
      <c r="AF165" s="77" t="s">
        <v>499</v>
      </c>
      <c r="AG165" s="76" t="s">
        <v>206</v>
      </c>
      <c r="AH165" s="77" t="s">
        <v>499</v>
      </c>
      <c r="AI165" s="32">
        <v>453</v>
      </c>
      <c r="AJ165" s="83" t="s">
        <v>531</v>
      </c>
      <c r="AK165" s="29">
        <v>453</v>
      </c>
      <c r="AL165" s="29" t="s">
        <v>392</v>
      </c>
      <c r="AM165" s="30" t="s">
        <v>393</v>
      </c>
      <c r="AN165" s="2" t="s">
        <v>513</v>
      </c>
    </row>
    <row r="166" spans="1:40">
      <c r="A166" s="45">
        <v>134365</v>
      </c>
      <c r="B166" s="47" t="s">
        <v>187</v>
      </c>
      <c r="C166" s="74">
        <v>40</v>
      </c>
      <c r="D166" s="77" t="s">
        <v>391</v>
      </c>
      <c r="E166" s="76" t="s">
        <v>211</v>
      </c>
      <c r="F166" s="77" t="s">
        <v>499</v>
      </c>
      <c r="G166" s="76" t="s">
        <v>234</v>
      </c>
      <c r="H166" s="77" t="s">
        <v>499</v>
      </c>
      <c r="I166" s="76" t="s">
        <v>210</v>
      </c>
      <c r="J166" s="77" t="s">
        <v>499</v>
      </c>
      <c r="K166" s="76">
        <v>41</v>
      </c>
      <c r="L166" s="77" t="s">
        <v>391</v>
      </c>
      <c r="M166" s="76" t="s">
        <v>212</v>
      </c>
      <c r="N166" s="77" t="s">
        <v>499</v>
      </c>
      <c r="O166" s="76" t="s">
        <v>210</v>
      </c>
      <c r="P166" s="77" t="s">
        <v>499</v>
      </c>
      <c r="Q166" s="76" t="s">
        <v>234</v>
      </c>
      <c r="R166" s="77" t="s">
        <v>499</v>
      </c>
      <c r="S166" s="76" t="s">
        <v>204</v>
      </c>
      <c r="T166" s="77" t="s">
        <v>499</v>
      </c>
      <c r="U166" s="76" t="s">
        <v>204</v>
      </c>
      <c r="V166" s="77" t="s">
        <v>499</v>
      </c>
      <c r="W166" s="76" t="s">
        <v>207</v>
      </c>
      <c r="X166" s="77" t="s">
        <v>499</v>
      </c>
      <c r="Y166" s="76" t="s">
        <v>210</v>
      </c>
      <c r="Z166" s="77" t="s">
        <v>499</v>
      </c>
      <c r="AA166" s="76" t="s">
        <v>206</v>
      </c>
      <c r="AB166" s="77" t="s">
        <v>499</v>
      </c>
      <c r="AC166" s="76">
        <v>43</v>
      </c>
      <c r="AD166" s="77" t="s">
        <v>391</v>
      </c>
      <c r="AE166" s="76" t="s">
        <v>212</v>
      </c>
      <c r="AF166" s="77" t="s">
        <v>499</v>
      </c>
      <c r="AG166" s="76" t="s">
        <v>214</v>
      </c>
      <c r="AH166" s="77" t="s">
        <v>499</v>
      </c>
      <c r="AI166" s="32">
        <v>447</v>
      </c>
      <c r="AJ166" s="83" t="s">
        <v>582</v>
      </c>
      <c r="AK166" s="29">
        <v>925</v>
      </c>
      <c r="AL166" s="29" t="s">
        <v>392</v>
      </c>
      <c r="AM166" s="30" t="s">
        <v>15</v>
      </c>
      <c r="AN166" s="2" t="s">
        <v>637</v>
      </c>
    </row>
    <row r="167" spans="1:40">
      <c r="A167" s="45">
        <v>134366</v>
      </c>
      <c r="B167" s="46" t="s">
        <v>188</v>
      </c>
      <c r="C167" s="74" t="s">
        <v>220</v>
      </c>
      <c r="D167" s="77" t="s">
        <v>499</v>
      </c>
      <c r="E167" s="76" t="s">
        <v>210</v>
      </c>
      <c r="F167" s="77" t="s">
        <v>499</v>
      </c>
      <c r="G167" s="76">
        <v>51</v>
      </c>
      <c r="H167" s="77" t="s">
        <v>391</v>
      </c>
      <c r="I167" s="76" t="s">
        <v>206</v>
      </c>
      <c r="J167" s="77" t="s">
        <v>499</v>
      </c>
      <c r="K167" s="76" t="s">
        <v>236</v>
      </c>
      <c r="L167" s="77" t="s">
        <v>499</v>
      </c>
      <c r="M167" s="76" t="s">
        <v>204</v>
      </c>
      <c r="N167" s="77" t="s">
        <v>499</v>
      </c>
      <c r="O167" s="76" t="s">
        <v>204</v>
      </c>
      <c r="P167" s="77" t="s">
        <v>499</v>
      </c>
      <c r="Q167" s="76" t="s">
        <v>207</v>
      </c>
      <c r="R167" s="77" t="s">
        <v>499</v>
      </c>
      <c r="S167" s="76" t="s">
        <v>206</v>
      </c>
      <c r="T167" s="77" t="s">
        <v>499</v>
      </c>
      <c r="U167" s="76" t="s">
        <v>210</v>
      </c>
      <c r="V167" s="77" t="s">
        <v>499</v>
      </c>
      <c r="W167" s="76" t="s">
        <v>228</v>
      </c>
      <c r="X167" s="77" t="s">
        <v>499</v>
      </c>
      <c r="Y167" s="76" t="s">
        <v>204</v>
      </c>
      <c r="Z167" s="77" t="s">
        <v>499</v>
      </c>
      <c r="AA167" s="76" t="s">
        <v>210</v>
      </c>
      <c r="AB167" s="77" t="s">
        <v>499</v>
      </c>
      <c r="AC167" s="76" t="s">
        <v>207</v>
      </c>
      <c r="AD167" s="77" t="s">
        <v>499</v>
      </c>
      <c r="AE167" s="76" t="s">
        <v>204</v>
      </c>
      <c r="AF167" s="77" t="s">
        <v>499</v>
      </c>
      <c r="AG167" s="76" t="s">
        <v>224</v>
      </c>
      <c r="AH167" s="77" t="s">
        <v>499</v>
      </c>
      <c r="AI167" s="32">
        <v>458</v>
      </c>
      <c r="AJ167" s="28" t="s">
        <v>302</v>
      </c>
      <c r="AK167" s="29">
        <v>969</v>
      </c>
      <c r="AL167" s="29" t="s">
        <v>392</v>
      </c>
      <c r="AM167" s="30" t="s">
        <v>15</v>
      </c>
      <c r="AN167" s="2" t="s">
        <v>514</v>
      </c>
    </row>
    <row r="168" spans="1:40">
      <c r="A168" s="45">
        <v>134367</v>
      </c>
      <c r="B168" s="46" t="s">
        <v>189</v>
      </c>
      <c r="C168" s="74" t="s">
        <v>205</v>
      </c>
      <c r="D168" s="77" t="s">
        <v>499</v>
      </c>
      <c r="E168" s="76" t="s">
        <v>210</v>
      </c>
      <c r="F168" s="77" t="s">
        <v>499</v>
      </c>
      <c r="G168" s="76">
        <v>30</v>
      </c>
      <c r="H168" s="77" t="s">
        <v>398</v>
      </c>
      <c r="I168" s="76" t="s">
        <v>206</v>
      </c>
      <c r="J168" s="77" t="s">
        <v>499</v>
      </c>
      <c r="K168" s="76" t="s">
        <v>230</v>
      </c>
      <c r="L168" s="77" t="s">
        <v>499</v>
      </c>
      <c r="M168" s="76" t="s">
        <v>208</v>
      </c>
      <c r="N168" s="77" t="s">
        <v>499</v>
      </c>
      <c r="O168" s="76" t="s">
        <v>212</v>
      </c>
      <c r="P168" s="77" t="s">
        <v>499</v>
      </c>
      <c r="Q168" s="76" t="s">
        <v>207</v>
      </c>
      <c r="R168" s="77" t="s">
        <v>499</v>
      </c>
      <c r="S168" s="76" t="s">
        <v>210</v>
      </c>
      <c r="T168" s="77" t="s">
        <v>499</v>
      </c>
      <c r="U168" s="76" t="s">
        <v>204</v>
      </c>
      <c r="V168" s="77" t="s">
        <v>499</v>
      </c>
      <c r="W168" s="76" t="s">
        <v>209</v>
      </c>
      <c r="X168" s="77" t="s">
        <v>499</v>
      </c>
      <c r="Y168" s="76" t="s">
        <v>222</v>
      </c>
      <c r="Z168" s="77" t="s">
        <v>499</v>
      </c>
      <c r="AA168" s="76" t="s">
        <v>206</v>
      </c>
      <c r="AB168" s="77" t="s">
        <v>499</v>
      </c>
      <c r="AC168" s="76" t="s">
        <v>209</v>
      </c>
      <c r="AD168" s="77" t="s">
        <v>499</v>
      </c>
      <c r="AE168" s="76" t="s">
        <v>204</v>
      </c>
      <c r="AF168" s="77" t="s">
        <v>499</v>
      </c>
      <c r="AG168" s="76" t="s">
        <v>216</v>
      </c>
      <c r="AH168" s="77" t="s">
        <v>499</v>
      </c>
      <c r="AI168" s="32">
        <v>425</v>
      </c>
      <c r="AJ168" s="83" t="s">
        <v>531</v>
      </c>
      <c r="AK168" s="29">
        <v>425</v>
      </c>
      <c r="AL168" s="29" t="s">
        <v>399</v>
      </c>
      <c r="AM168" s="30" t="s">
        <v>400</v>
      </c>
      <c r="AN168" s="2" t="s">
        <v>515</v>
      </c>
    </row>
    <row r="169" spans="1:40">
      <c r="A169" s="45">
        <v>134368</v>
      </c>
      <c r="B169" s="47" t="s">
        <v>190</v>
      </c>
      <c r="C169" s="43">
        <v>40</v>
      </c>
      <c r="D169" s="27" t="str">
        <f t="shared" ref="D169" ca="1" si="366">IF(IFERROR(FIND("+",C169),0)," ",
IF(C169="AB","",
IF(C169&lt;$D$27,"F",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/>
      </c>
      <c r="E169" s="26" t="s">
        <v>216</v>
      </c>
      <c r="F169" s="27" t="str">
        <f t="shared" ref="F169" si="367">IF(IFERROR(FIND("+",E169),0)," ",
IF(E169="AB","",
IF(E169&lt;$F$27,"F",
IF(AND(E169&gt;=$F$27,C169&gt;=$D$27,G169&gt;=$H$27,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G169" s="24" t="s">
        <v>207</v>
      </c>
      <c r="H169" s="27" t="str">
        <f t="shared" ref="H169" si="368">IF(IFERROR(FIND("+",G169),0)," ",
IF(G169="AB","",
IF(G169&lt;$H$27,"F",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I169" s="26" t="s">
        <v>210</v>
      </c>
      <c r="J169" s="27" t="str">
        <f t="shared" ref="J169" si="369">IF(IFERROR(FIND("+",I169),0)," ",
IF(I169="AB","",
IF(I169&lt;$J$27,"F",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K169" s="24" t="s">
        <v>219</v>
      </c>
      <c r="L169" s="27" t="str">
        <f t="shared" ref="L169" si="370">IF(IFERROR(FIND("+",K169),0)," ",
IF(K169="AB","",
IF(K169&lt;$L$27,"F",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M169" s="26" t="s">
        <v>214</v>
      </c>
      <c r="N169" s="27" t="str">
        <f t="shared" ref="N169" si="371">IF(IFERROR(FIND("+",M169),0)," ",
IF(M169="AB","",
IF(M169&lt;$N$27,"F",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AG169&lt;&gt;"AB"),"","E"))))</f>
        <v xml:space="preserve"> </v>
      </c>
      <c r="O169" s="26" t="s">
        <v>206</v>
      </c>
      <c r="P169" s="27" t="str">
        <f t="shared" ref="P169" si="372">IF(IFERROR(FIND("+",O169),0)," ",
IF(O169="AB","",
IF(O169&lt;$P$27,"F",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Q169" s="24" t="s">
        <v>207</v>
      </c>
      <c r="R169" s="27" t="str">
        <f t="shared" ref="R169" si="373">IF(IFERROR(FIND("+",Q169),0)," ",
IF(Q169="AB","",
IF(Q169&lt;$R$27,"F",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S169" s="26" t="s">
        <v>210</v>
      </c>
      <c r="T169" s="27" t="str">
        <f t="shared" ref="T169" si="374">IF(IFERROR(FIND("+",S169),0)," ",
IF(S169="AB","",
IF(S169&lt;$T$27,"F",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U169" s="26" t="s">
        <v>212</v>
      </c>
      <c r="V169" s="27" t="str">
        <f t="shared" ref="V169" si="375">IF(IFERROR(FIND("+",U169),0)," ",
IF(U169="AB","",
IF(U169&lt;$V$27,"F",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W169" s="24" t="s">
        <v>207</v>
      </c>
      <c r="X169" s="27" t="str">
        <f t="shared" ref="X169" si="376">IF(IFERROR(FIND("+",W169),0)," ",
IF(W169="AB","",
IF(W169&lt;$X$27,"F",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Y169" s="26" t="s">
        <v>210</v>
      </c>
      <c r="Z169" s="27" t="str">
        <f t="shared" ref="Z169" si="377">IF(IFERROR(FIND("+",Y169),0)," ",
IF(Y169="AB","",
IF(Y169&lt;$Z$27,"F",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AA169" s="26" t="s">
        <v>210</v>
      </c>
      <c r="AB169" s="27" t="str">
        <f t="shared" ref="AB169" si="378">IF(IFERROR(FIND("+",AA169),0)," ",
IF(AA169="AB","",
IF(AA169&lt;$AB$27,"F",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AC169" s="24" t="s">
        <v>237</v>
      </c>
      <c r="AD169" s="27" t="str">
        <f t="shared" ref="AD169" si="379">IF(IFERROR(FIND("+",AC169),0)," ",
IF(AC169="AB","",
IF(AC169&lt;$AD$27,"F",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AE169" s="26" t="s">
        <v>222</v>
      </c>
      <c r="AF169" s="27" t="str">
        <f t="shared" ref="AF169" si="380">IF(IFERROR(FIND("+",AE169),0)," ",
IF(AE169="AB","",IF(AE169&lt;$AF$27,"F",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AG169&lt;&gt;"AB",AH169&lt;&gt;"AB"),"","E"))))</f>
        <v xml:space="preserve"> </v>
      </c>
      <c r="AG169" s="26" t="s">
        <v>214</v>
      </c>
      <c r="AH169" s="27" t="str">
        <f t="shared" ref="AH169" si="381">IF(IFERROR(FIND("+",AG169),0)," ",
IF(AG169="AB","",
IF(AG169&lt;$AH$27,"F",
IF(AND(C169&gt;=$D$27,E169&gt;=$F$27,G169&gt;=$H$27,
I169&gt;=$J$27,K169&gt;=$L$27,
M169&gt;=$N$27,O169&gt;=$P$27,Q169&gt;=$R$27,S169&gt;=$T$27,U169&gt;=$V$27,
W169&gt;=$X$27,Y169&gt;=$Z$27,AA169&gt;=$AB$27,AC169&gt;=$AD$27,AE169&gt;=$AF$27,
AG169&gt;=$AH$27,C169&lt;&gt;"AB",E169&lt;&gt;"AB",G169&lt;&gt;"AB",
I169&lt;&gt;"AB",K169&lt;&gt;"AB",
M169&lt;&gt;"AB",O169&lt;&gt;"AB",Q169&lt;&gt;"AB",S169&lt;&gt;"AB",U169&lt;&gt;"AB",
W169&lt;&gt;"AB",Y169&lt;&gt;"AB",AA169&lt;&gt;"AB",AC169&lt;&gt;"AB",AE169&lt;&gt;"AB",
AG169&lt;&gt;"AB"),"","E"))))</f>
        <v xml:space="preserve"> </v>
      </c>
      <c r="AI169" s="32">
        <f>IF(OR(AND(C169&gt;=31,C169&lt;40),AND(G169&gt;=31,G169&lt;40),AND(K169&gt;=31,K169&lt;40),AND(Q169&gt;=31,Q169&lt;40),AND(W169&gt;=31,W169&lt;40),AND(AC169&gt;=31,AC169&lt;40)),IF(AND(OR(COUNTIF(C169:AH169,"=31")&gt;=1,COUNTIF(C169:AH169,"=32")&gt;=1,COUNTIF(C169:AH169,"=33")&gt;=1,COUNTIF(C169:AH169,"=34")&gt;=1,COUNTIF(C169:AH169,"=35")&gt;=1,COUNTIF(C169:AH169,"=36")&gt;=1 ),COUNTIF(C169:AH169,"")=0,COUNTIF(C169:AH169," ")=0,COUNTIF(C169:AH169,"F")=1),CONCATENATE(SUM(EXTRACTNUMBER(C169),EXTRACTNUMBER(E169),
EXTRACTNUMBER(G169),EXTRACTNUMBER(I169),
EXTRACTNUMBER(K169),EXTRACTNUMBER(M169),
EXTRACTNUMBER(O169),EXTRACTNUMBER(Q169),
EXTRACTNUMBER(S169),EXTRACTNUMBER(U169),
EXTRACTNUMBER(W169),EXTRACTNUMBER(Y169),EXTRACTNUMBER(AA169),
EXTRACTNUMBER(AC169),EXTRACTNUMBER(AG169),EXTRACTNUMBER(AE169)),"*"),IF(AND(COUNTIF(C169:AH169,"=34")&gt;=1,COUNTIF(C169:AH169,"=35")&gt;=1,COUNTIF(C169:AH169,"f")=2,COUNTIF(C169:AH169,"")=0,COUNTIF(C169:AH169," ")=0),CONCATENATE(SUM(EXTRACTNUMBER(C169),EXTRACTNUMBER(E169),
EXTRACTNUMBER(G169),EXTRACTNUMBER(I169),
EXTRACTNUMBER(K169),EXTRACTNUMBER(M169),
EXTRACTNUMBER(O169),EXTRACTNUMBER(Q169),
EXTRACTNUMBER(S169),EXTRACTNUMBER(U169),
EXTRACTNUMBER(W169),EXTRACTNUMBER(Y169),EXTRACTNUMBER(AA169),
EXTRACTNUMBER(AC169),EXTRACTNUMBER(AG169),EXTRACTNUMBER(AE169)),"*"),IF(AND(COUNTIF(C169:AH169,"=36")&gt;=2,COUNTIF(C169:AH169,"f")=2,COUNTIF(C169:AH169,"")=0,COUNTIF(C169:AH169," ")=0),CONCATENATE(SUM(EXTRACTNUMBER(C169),EXTRACTNUMBER(E169),
EXTRACTNUMBER(G169),EXTRACTNUMBER(I169),
EXTRACTNUMBER(K169),EXTRACTNUMBER(M169),
EXTRACTNUMBER(O169),EXTRACTNUMBER(Q169),
EXTRACTNUMBER(S169),EXTRACTNUMBER(U169),
EXTRACTNUMBER(W169),EXTRACTNUMBER(Y169),EXTRACTNUMBER(AA169),
EXTRACTNUMBER(AC169),EXTRACTNUMBER(AG169),EXTRACTNUMBER(AE169)),"*"),SUM(EXTRACTNUMBER(C169),EXTRACTNUMBER(E169),
EXTRACTNUMBER(G169),EXTRACTNUMBER(I169),
EXTRACTNUMBER(K169),EXTRACTNUMBER(M169),
EXTRACTNUMBER(O169),EXTRACTNUMBER(Q169),
EXTRACTNUMBER(S169),EXTRACTNUMBER(U169),
EXTRACTNUMBER(W169),EXTRACTNUMBER(Y169),EXTRACTNUMBER(AA169),
EXTRACTNUMBER(AC169),EXTRACTNUMBER(AG169),EXTRACTNUMBER(AE169))))),SUM(EXTRACTNUMBER(C169),EXTRACTNUMBER(E169),
EXTRACTNUMBER(G169),EXTRACTNUMBER(I169),
EXTRACTNUMBER(K169),EXTRACTNUMBER(M169),
EXTRACTNUMBER(O169),EXTRACTNUMBER(Q169),
EXTRACTNUMBER(S169),EXTRACTNUMBER(U169),
EXTRACTNUMBER(W169),EXTRACTNUMBER(Y169),EXTRACTNUMBER(AA169),
EXTRACTNUMBER(AC169),EXTRACTNUMBER(AG169),EXTRACTNUMBER(AE169)))</f>
        <v>433</v>
      </c>
      <c r="AJ169" s="94" t="s">
        <v>572</v>
      </c>
      <c r="AK169" s="29">
        <f t="shared" ref="AK169" si="382">IF(IFERROR(FIND("x",AJ169),0),SUM(EXTRACTNUMBER(AI169),EXTRACTNUMBER(AJ169)),IF(AND(SUM(EXTRACTNUMBER(AI169),EXTRACTNUMBER(AJ169))&gt;1009,SUM(EXTRACTNUMBER(AI169),EXTRACTNUMBER(AJ169))&lt;1020),
CONCATENATE(SUM(EXTRACTNUMBER(AI169),EXTRACTNUMBER(AJ169)),"@",1020-SUM(EXTRACTNUMBER(AI169),EXTRACTNUMBER(AJ169))),
IF(AND(SUM(EXTRACTNUMBER(AI169),EXTRACTNUMBER(AJ169))&gt;839,   SUM(EXTRACTNUMBER(AI169),EXTRACTNUMBER(AJ169))&lt;850),CONCATENATE(SUM(EXTRACTNUMBER(AI169),EXTRACTNUMBER(AJ169)),"@",850-SUM(EXTRACTNUMBER(AI169),EXTRACTNUMBER(AJ169))),
IF(AND(SUM(EXTRACTNUMBER(AI169),EXTRACTNUMBER(AJ169))&gt;669,        SUM(EXTRACTNUMBER(AI169),EXTRACTNUMBER(AJ169))&lt;680),
CONCATENATE(SUM(EXTRACTNUMBER(AI169),EXTRACTNUMBER(AJ169)),"@",680-SUM(EXTRACTNUMBER(AI169),EXTRACTNUMBER(AJ169))),
SUM(EXTRACTNUMBER(AI169),EXTRACTNUMBER(AJ169))))))</f>
        <v>880</v>
      </c>
      <c r="AL169" s="29" t="str">
        <f t="shared" ref="AL169" ca="1" si="383">IF(AND(COUNTIF(C169:AH169,"AB")&lt;16-COUNTIF(C169:AH169," "),
COUNTIF(C169:AH169,"AB")&lt;&gt;0),"FAIL",
IF(COUNTIF(C169:AH169,"AB")=16-COUNTIF(C169:AH169," "),"ABSENT",
IF(AND(COUNTIF(C169:AH169,"AB")=0,COUNTIF(C169:AH169,"F")=0),"PASS","FAIL")))</f>
        <v>PASS</v>
      </c>
      <c r="AM169" s="30" t="str">
        <f ca="1">IF(AL169="ABSENT","AB",IF(AL169="FAIL","--",
IF(AJ169=0,"RS 3",
IF(AND(SUM(EXTRACTNUMBER(AJ169),EXTRACTNUMBER(AI169))&gt;=1010,
        NOT(IFERROR(FIND("x",AJ169),0)),
        NOT(IFERROR(FIND("x",AI169),0))),"I",
IF(AND(SUM(EXTRACTNUMBER(AJ169),EXTRACTNUMBER(AI169))&gt;=850,
      SUM(EXTRACTNUMBER(AJ169),EXTRACTNUMBER(AI169))&lt;1010,
      NOT(IFERROR(FIND("x",AJ169),0)),
      NOT(IFERROR(FIND("x",AI169),0))),"II",
IF(OR(AND(SUM(EXTRACTNUMBER(AJ169),EXTRACTNUMBER(AI169))&lt;850,
SUM(EXTRACTNUMBER(AJ169),EXTRACTNUMBER(AI169))&gt;=670),
IFERROR(FIND("x",AJ169),0),IFERROR(FIND("x",AI169),0)),"P","--"))))))</f>
        <v>P</v>
      </c>
      <c r="AN169" s="2" t="str">
        <f t="shared" ref="AN169" si="384">spellnumber(AK169)</f>
        <v xml:space="preserve">Eight Hundred Eighty  </v>
      </c>
    </row>
    <row r="170" spans="1:40">
      <c r="A170" s="45">
        <v>134369</v>
      </c>
      <c r="B170" s="47" t="s">
        <v>191</v>
      </c>
      <c r="C170" s="74" t="s">
        <v>209</v>
      </c>
      <c r="D170" s="77" t="s">
        <v>499</v>
      </c>
      <c r="E170" s="76" t="s">
        <v>210</v>
      </c>
      <c r="F170" s="77" t="s">
        <v>499</v>
      </c>
      <c r="G170" s="76">
        <v>40</v>
      </c>
      <c r="H170" s="77" t="s">
        <v>397</v>
      </c>
      <c r="I170" s="76" t="s">
        <v>210</v>
      </c>
      <c r="J170" s="77" t="s">
        <v>499</v>
      </c>
      <c r="K170" s="76" t="s">
        <v>207</v>
      </c>
      <c r="L170" s="77" t="s">
        <v>499</v>
      </c>
      <c r="M170" s="76" t="s">
        <v>212</v>
      </c>
      <c r="N170" s="77" t="s">
        <v>499</v>
      </c>
      <c r="O170" s="76" t="s">
        <v>212</v>
      </c>
      <c r="P170" s="77" t="s">
        <v>499</v>
      </c>
      <c r="Q170" s="76">
        <v>14</v>
      </c>
      <c r="R170" s="77" t="s">
        <v>398</v>
      </c>
      <c r="S170" s="76" t="s">
        <v>206</v>
      </c>
      <c r="T170" s="77" t="s">
        <v>499</v>
      </c>
      <c r="U170" s="76" t="s">
        <v>217</v>
      </c>
      <c r="V170" s="77" t="s">
        <v>499</v>
      </c>
      <c r="W170" s="76" t="s">
        <v>207</v>
      </c>
      <c r="X170" s="77" t="s">
        <v>499</v>
      </c>
      <c r="Y170" s="76" t="s">
        <v>212</v>
      </c>
      <c r="Z170" s="77" t="s">
        <v>499</v>
      </c>
      <c r="AA170" s="76" t="s">
        <v>212</v>
      </c>
      <c r="AB170" s="77" t="s">
        <v>499</v>
      </c>
      <c r="AC170" s="76" t="s">
        <v>207</v>
      </c>
      <c r="AD170" s="77" t="s">
        <v>499</v>
      </c>
      <c r="AE170" s="76" t="s">
        <v>204</v>
      </c>
      <c r="AF170" s="77" t="s">
        <v>499</v>
      </c>
      <c r="AG170" s="76" t="s">
        <v>206</v>
      </c>
      <c r="AH170" s="77" t="s">
        <v>499</v>
      </c>
      <c r="AI170" s="32">
        <v>400</v>
      </c>
      <c r="AJ170" s="83" t="s">
        <v>531</v>
      </c>
      <c r="AK170" s="29">
        <v>400</v>
      </c>
      <c r="AL170" s="29" t="s">
        <v>399</v>
      </c>
      <c r="AM170" s="30" t="s">
        <v>400</v>
      </c>
      <c r="AN170" s="2" t="s">
        <v>456</v>
      </c>
    </row>
    <row r="171" spans="1:40">
      <c r="A171" s="45">
        <v>134370</v>
      </c>
      <c r="B171" s="47" t="s">
        <v>192</v>
      </c>
      <c r="C171" s="74" t="s">
        <v>234</v>
      </c>
      <c r="D171" s="77" t="s">
        <v>499</v>
      </c>
      <c r="E171" s="76" t="s">
        <v>210</v>
      </c>
      <c r="F171" s="77" t="s">
        <v>499</v>
      </c>
      <c r="G171" s="76">
        <v>46</v>
      </c>
      <c r="H171" s="77" t="s">
        <v>391</v>
      </c>
      <c r="I171" s="76" t="s">
        <v>212</v>
      </c>
      <c r="J171" s="77" t="s">
        <v>499</v>
      </c>
      <c r="K171" s="76" t="s">
        <v>237</v>
      </c>
      <c r="L171" s="77" t="s">
        <v>499</v>
      </c>
      <c r="M171" s="76" t="s">
        <v>210</v>
      </c>
      <c r="N171" s="77" t="s">
        <v>499</v>
      </c>
      <c r="O171" s="76" t="s">
        <v>206</v>
      </c>
      <c r="P171" s="77" t="s">
        <v>499</v>
      </c>
      <c r="Q171" s="76" t="s">
        <v>223</v>
      </c>
      <c r="R171" s="77" t="s">
        <v>499</v>
      </c>
      <c r="S171" s="76" t="s">
        <v>210</v>
      </c>
      <c r="T171" s="77" t="s">
        <v>499</v>
      </c>
      <c r="U171" s="76" t="s">
        <v>210</v>
      </c>
      <c r="V171" s="77" t="s">
        <v>499</v>
      </c>
      <c r="W171" s="76" t="s">
        <v>209</v>
      </c>
      <c r="X171" s="77" t="s">
        <v>499</v>
      </c>
      <c r="Y171" s="76" t="s">
        <v>212</v>
      </c>
      <c r="Z171" s="77" t="s">
        <v>499</v>
      </c>
      <c r="AA171" s="76" t="s">
        <v>204</v>
      </c>
      <c r="AB171" s="77" t="s">
        <v>499</v>
      </c>
      <c r="AC171" s="76" t="s">
        <v>230</v>
      </c>
      <c r="AD171" s="77" t="s">
        <v>499</v>
      </c>
      <c r="AE171" s="76" t="s">
        <v>212</v>
      </c>
      <c r="AF171" s="77" t="s">
        <v>499</v>
      </c>
      <c r="AG171" s="76" t="s">
        <v>214</v>
      </c>
      <c r="AH171" s="77" t="s">
        <v>499</v>
      </c>
      <c r="AI171" s="32">
        <v>462</v>
      </c>
      <c r="AJ171" s="28" t="s">
        <v>303</v>
      </c>
      <c r="AK171" s="29">
        <v>916</v>
      </c>
      <c r="AL171" s="29" t="s">
        <v>392</v>
      </c>
      <c r="AM171" s="30" t="s">
        <v>15</v>
      </c>
      <c r="AN171" s="2" t="s">
        <v>516</v>
      </c>
    </row>
    <row r="172" spans="1:40">
      <c r="A172" s="45">
        <v>134371</v>
      </c>
      <c r="B172" s="47" t="s">
        <v>193</v>
      </c>
      <c r="C172" s="74" t="s">
        <v>230</v>
      </c>
      <c r="D172" s="77" t="s">
        <v>499</v>
      </c>
      <c r="E172" s="76" t="s">
        <v>210</v>
      </c>
      <c r="F172" s="77" t="s">
        <v>499</v>
      </c>
      <c r="G172" s="76">
        <v>50</v>
      </c>
      <c r="H172" s="77" t="s">
        <v>391</v>
      </c>
      <c r="I172" s="76" t="s">
        <v>208</v>
      </c>
      <c r="J172" s="77" t="s">
        <v>499</v>
      </c>
      <c r="K172" s="76" t="s">
        <v>238</v>
      </c>
      <c r="L172" s="77" t="s">
        <v>499</v>
      </c>
      <c r="M172" s="76" t="s">
        <v>208</v>
      </c>
      <c r="N172" s="77" t="s">
        <v>499</v>
      </c>
      <c r="O172" s="76" t="s">
        <v>208</v>
      </c>
      <c r="P172" s="77" t="s">
        <v>499</v>
      </c>
      <c r="Q172" s="76" t="s">
        <v>228</v>
      </c>
      <c r="R172" s="77" t="s">
        <v>499</v>
      </c>
      <c r="S172" s="76" t="s">
        <v>208</v>
      </c>
      <c r="T172" s="77" t="s">
        <v>499</v>
      </c>
      <c r="U172" s="76" t="s">
        <v>208</v>
      </c>
      <c r="V172" s="77" t="s">
        <v>499</v>
      </c>
      <c r="W172" s="76" t="s">
        <v>209</v>
      </c>
      <c r="X172" s="77" t="s">
        <v>499</v>
      </c>
      <c r="Y172" s="76" t="s">
        <v>208</v>
      </c>
      <c r="Z172" s="77" t="s">
        <v>499</v>
      </c>
      <c r="AA172" s="76" t="s">
        <v>210</v>
      </c>
      <c r="AB172" s="77" t="s">
        <v>499</v>
      </c>
      <c r="AC172" s="76" t="s">
        <v>223</v>
      </c>
      <c r="AD172" s="77" t="s">
        <v>499</v>
      </c>
      <c r="AE172" s="76" t="s">
        <v>208</v>
      </c>
      <c r="AF172" s="77" t="s">
        <v>499</v>
      </c>
      <c r="AG172" s="76" t="s">
        <v>217</v>
      </c>
      <c r="AH172" s="77" t="s">
        <v>499</v>
      </c>
      <c r="AI172" s="32">
        <v>482</v>
      </c>
      <c r="AJ172" s="83" t="s">
        <v>574</v>
      </c>
      <c r="AK172" s="29">
        <v>981</v>
      </c>
      <c r="AL172" s="29" t="s">
        <v>392</v>
      </c>
      <c r="AM172" s="30" t="s">
        <v>15</v>
      </c>
      <c r="AN172" s="2" t="s">
        <v>641</v>
      </c>
    </row>
    <row r="173" spans="1:40">
      <c r="A173" s="45">
        <v>134372</v>
      </c>
      <c r="B173" s="47" t="s">
        <v>194</v>
      </c>
      <c r="C173" s="82" t="s">
        <v>527</v>
      </c>
      <c r="D173" s="77" t="s">
        <v>398</v>
      </c>
      <c r="E173" s="76" t="s">
        <v>204</v>
      </c>
      <c r="F173" s="77" t="s">
        <v>499</v>
      </c>
      <c r="G173" s="76">
        <v>40</v>
      </c>
      <c r="H173" s="77" t="s">
        <v>397</v>
      </c>
      <c r="I173" s="76" t="s">
        <v>210</v>
      </c>
      <c r="J173" s="77" t="s">
        <v>499</v>
      </c>
      <c r="K173" s="76" t="s">
        <v>207</v>
      </c>
      <c r="L173" s="77" t="s">
        <v>499</v>
      </c>
      <c r="M173" s="76" t="s">
        <v>204</v>
      </c>
      <c r="N173" s="77" t="s">
        <v>499</v>
      </c>
      <c r="O173" s="76" t="s">
        <v>206</v>
      </c>
      <c r="P173" s="77" t="s">
        <v>499</v>
      </c>
      <c r="Q173" s="76" t="s">
        <v>207</v>
      </c>
      <c r="R173" s="77" t="s">
        <v>499</v>
      </c>
      <c r="S173" s="76" t="s">
        <v>208</v>
      </c>
      <c r="T173" s="77" t="s">
        <v>499</v>
      </c>
      <c r="U173" s="76" t="s">
        <v>208</v>
      </c>
      <c r="V173" s="77" t="s">
        <v>499</v>
      </c>
      <c r="W173" s="76" t="s">
        <v>207</v>
      </c>
      <c r="X173" s="77" t="s">
        <v>499</v>
      </c>
      <c r="Y173" s="76" t="s">
        <v>212</v>
      </c>
      <c r="Z173" s="77" t="s">
        <v>499</v>
      </c>
      <c r="AA173" s="76" t="s">
        <v>204</v>
      </c>
      <c r="AB173" s="77" t="s">
        <v>499</v>
      </c>
      <c r="AC173" s="76" t="s">
        <v>207</v>
      </c>
      <c r="AD173" s="77" t="s">
        <v>499</v>
      </c>
      <c r="AE173" s="76" t="s">
        <v>212</v>
      </c>
      <c r="AF173" s="77" t="s">
        <v>499</v>
      </c>
      <c r="AG173" s="76" t="s">
        <v>204</v>
      </c>
      <c r="AH173" s="77" t="s">
        <v>499</v>
      </c>
      <c r="AI173" s="32">
        <v>398</v>
      </c>
      <c r="AJ173" s="83" t="s">
        <v>531</v>
      </c>
      <c r="AK173" s="29">
        <v>398</v>
      </c>
      <c r="AL173" s="29" t="s">
        <v>399</v>
      </c>
      <c r="AM173" s="30" t="s">
        <v>400</v>
      </c>
      <c r="AN173" s="2" t="s">
        <v>517</v>
      </c>
    </row>
    <row r="174" spans="1:40">
      <c r="A174" s="45">
        <v>134373</v>
      </c>
      <c r="B174" s="47" t="s">
        <v>195</v>
      </c>
      <c r="C174" s="74" t="s">
        <v>207</v>
      </c>
      <c r="D174" s="77" t="s">
        <v>499</v>
      </c>
      <c r="E174" s="76" t="s">
        <v>212</v>
      </c>
      <c r="F174" s="77" t="s">
        <v>499</v>
      </c>
      <c r="G174" s="76" t="s">
        <v>237</v>
      </c>
      <c r="H174" s="77" t="s">
        <v>499</v>
      </c>
      <c r="I174" s="76" t="s">
        <v>204</v>
      </c>
      <c r="J174" s="77" t="s">
        <v>499</v>
      </c>
      <c r="K174" s="76" t="s">
        <v>207</v>
      </c>
      <c r="L174" s="77" t="s">
        <v>499</v>
      </c>
      <c r="M174" s="76" t="s">
        <v>204</v>
      </c>
      <c r="N174" s="77" t="s">
        <v>499</v>
      </c>
      <c r="O174" s="76" t="s">
        <v>206</v>
      </c>
      <c r="P174" s="77" t="s">
        <v>499</v>
      </c>
      <c r="Q174" s="76" t="s">
        <v>207</v>
      </c>
      <c r="R174" s="77" t="s">
        <v>499</v>
      </c>
      <c r="S174" s="76" t="s">
        <v>208</v>
      </c>
      <c r="T174" s="77" t="s">
        <v>499</v>
      </c>
      <c r="U174" s="76" t="s">
        <v>204</v>
      </c>
      <c r="V174" s="77" t="s">
        <v>499</v>
      </c>
      <c r="W174" s="76" t="s">
        <v>207</v>
      </c>
      <c r="X174" s="77" t="s">
        <v>499</v>
      </c>
      <c r="Y174" s="76" t="s">
        <v>210</v>
      </c>
      <c r="Z174" s="77" t="s">
        <v>499</v>
      </c>
      <c r="AA174" s="76" t="s">
        <v>214</v>
      </c>
      <c r="AB174" s="77" t="s">
        <v>499</v>
      </c>
      <c r="AC174" s="76">
        <v>40</v>
      </c>
      <c r="AD174" s="77" t="s">
        <v>391</v>
      </c>
      <c r="AE174" s="76" t="s">
        <v>206</v>
      </c>
      <c r="AF174" s="77" t="s">
        <v>499</v>
      </c>
      <c r="AG174" s="76" t="s">
        <v>214</v>
      </c>
      <c r="AH174" s="77" t="s">
        <v>499</v>
      </c>
      <c r="AI174" s="32">
        <v>430</v>
      </c>
      <c r="AJ174" s="28" t="s">
        <v>239</v>
      </c>
      <c r="AK174" s="29">
        <v>887</v>
      </c>
      <c r="AL174" s="29" t="s">
        <v>392</v>
      </c>
      <c r="AM174" s="30" t="s">
        <v>15</v>
      </c>
      <c r="AN174" s="2" t="s">
        <v>518</v>
      </c>
    </row>
    <row r="175" spans="1:40">
      <c r="A175" s="45">
        <v>134374</v>
      </c>
      <c r="B175" s="46" t="s">
        <v>196</v>
      </c>
      <c r="C175" s="43" t="s">
        <v>207</v>
      </c>
      <c r="D175" s="27" t="str">
        <f t="shared" ref="D175" si="385">IF(IFERROR(FIND("+",C175),0)," ",
IF(C175="AB","",
IF(C175&lt;$D$27,"F",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E175" s="26" t="s">
        <v>204</v>
      </c>
      <c r="F175" s="27" t="str">
        <f t="shared" ref="F175" si="386">IF(IFERROR(FIND("+",E175),0)," ",
IF(E175="AB","",
IF(E175&lt;$F$27,"F",
IF(AND(E175&gt;=$F$27,C175&gt;=$D$27,G175&gt;=$H$27,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G175" s="24">
        <v>45</v>
      </c>
      <c r="H175" s="27" t="str">
        <f t="shared" ref="H175" ca="1" si="387">IF(IFERROR(FIND("+",G175),0)," ",
IF(G175="AB","",
IF(G175&lt;$H$27,"F",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/>
      </c>
      <c r="I175" s="26" t="s">
        <v>208</v>
      </c>
      <c r="J175" s="27" t="str">
        <f t="shared" ref="J175" si="388">IF(IFERROR(FIND("+",I175),0)," ",
IF(I175="AB","",
IF(I175&lt;$J$27,"F",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K175" s="24" t="s">
        <v>209</v>
      </c>
      <c r="L175" s="27" t="str">
        <f t="shared" ref="L175" si="389">IF(IFERROR(FIND("+",K175),0)," ",
IF(K175="AB","",
IF(K175&lt;$L$27,"F",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M175" s="26" t="s">
        <v>217</v>
      </c>
      <c r="N175" s="27" t="str">
        <f t="shared" ref="N175" si="390">IF(IFERROR(FIND("+",M175),0)," ",
IF(M175="AB","",
IF(M175&lt;$N$27,"F",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AG175&lt;&gt;"AB"),"","E"))))</f>
        <v xml:space="preserve"> </v>
      </c>
      <c r="O175" s="26" t="s">
        <v>206</v>
      </c>
      <c r="P175" s="27" t="str">
        <f t="shared" ref="P175" si="391">IF(IFERROR(FIND("+",O175),0)," ",
IF(O175="AB","",
IF(O175&lt;$P$27,"F",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Q175" s="24" t="s">
        <v>209</v>
      </c>
      <c r="R175" s="27" t="str">
        <f t="shared" ref="R175" si="392">IF(IFERROR(FIND("+",Q175),0)," ",
IF(Q175="AB","",
IF(Q175&lt;$R$27,"F",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S175" s="26" t="s">
        <v>216</v>
      </c>
      <c r="T175" s="27" t="str">
        <f t="shared" ref="T175" si="393">IF(IFERROR(FIND("+",S175),0)," ",
IF(S175="AB","",
IF(S175&lt;$T$27,"F",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U175" s="26" t="s">
        <v>214</v>
      </c>
      <c r="V175" s="27" t="str">
        <f t="shared" ref="V175" si="394">IF(IFERROR(FIND("+",U175),0)," ",
IF(U175="AB","",
IF(U175&lt;$V$27,"F",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W175" s="24">
        <v>40</v>
      </c>
      <c r="X175" s="27" t="str">
        <f t="shared" ref="X175" ca="1" si="395">IF(IFERROR(FIND("+",W175),0)," ",
IF(W175="AB","",
IF(W175&lt;$X$27,"F",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/>
      </c>
      <c r="Y175" s="26" t="s">
        <v>217</v>
      </c>
      <c r="Z175" s="27" t="str">
        <f t="shared" ref="Z175" si="396">IF(IFERROR(FIND("+",Y175),0)," ",
IF(Y175="AB","",
IF(Y175&lt;$Z$27,"F",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AA175" s="26" t="s">
        <v>206</v>
      </c>
      <c r="AB175" s="27" t="str">
        <f t="shared" ref="AB175" si="397">IF(IFERROR(FIND("+",AA175),0)," ",
IF(AA175="AB","",
IF(AA175&lt;$AB$27,"F",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AC175" s="24" t="s">
        <v>207</v>
      </c>
      <c r="AD175" s="27" t="str">
        <f t="shared" ref="AD175" si="398">IF(IFERROR(FIND("+",AC175),0)," ",
IF(AC175="AB","",
IF(AC175&lt;$AD$27,"F",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AE175" s="26" t="s">
        <v>212</v>
      </c>
      <c r="AF175" s="27" t="str">
        <f t="shared" ref="AF175" si="399">IF(IFERROR(FIND("+",AE175),0)," ",
IF(AE175="AB","",IF(AE175&lt;$AF$27,"F",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AG175&lt;&gt;"AB",AH175&lt;&gt;"AB"),"","E"))))</f>
        <v xml:space="preserve"> </v>
      </c>
      <c r="AG175" s="26" t="s">
        <v>216</v>
      </c>
      <c r="AH175" s="27" t="str">
        <f t="shared" ref="AH175" si="400">IF(IFERROR(FIND("+",AG175),0)," ",
IF(AG175="AB","",
IF(AG175&lt;$AH$27,"F",
IF(AND(C175&gt;=$D$27,E175&gt;=$F$27,G175&gt;=$H$27,
I175&gt;=$J$27,K175&gt;=$L$27,
M175&gt;=$N$27,O175&gt;=$P$27,Q175&gt;=$R$27,S175&gt;=$T$27,U175&gt;=$V$27,
W175&gt;=$X$27,Y175&gt;=$Z$27,AA175&gt;=$AB$27,AC175&gt;=$AD$27,AE175&gt;=$AF$27,
AG175&gt;=$AH$27,C175&lt;&gt;"AB",E175&lt;&gt;"AB",G175&lt;&gt;"AB",
I175&lt;&gt;"AB",K175&lt;&gt;"AB",
M175&lt;&gt;"AB",O175&lt;&gt;"AB",Q175&lt;&gt;"AB",S175&lt;&gt;"AB",U175&lt;&gt;"AB",
W175&lt;&gt;"AB",Y175&lt;&gt;"AB",AA175&lt;&gt;"AB",AC175&lt;&gt;"AB",AE175&lt;&gt;"AB",
AG175&lt;&gt;"AB"),"","E"))))</f>
        <v xml:space="preserve"> </v>
      </c>
      <c r="AI175" s="32">
        <f>IF(OR(AND(C175&gt;=31,C175&lt;40),AND(G175&gt;=31,G175&lt;40),AND(K175&gt;=31,K175&lt;40),AND(Q175&gt;=31,Q175&lt;40),AND(W175&gt;=31,W175&lt;40),AND(AC175&gt;=31,AC175&lt;40)),IF(AND(OR(COUNTIF(C175:AH175,"=31")&gt;=1,COUNTIF(C175:AH175,"=32")&gt;=1,COUNTIF(C175:AH175,"=33")&gt;=1,COUNTIF(C175:AH175,"=34")&gt;=1,COUNTIF(C175:AH175,"=35")&gt;=1,COUNTIF(C175:AH175,"=36")&gt;=1 ),COUNTIF(C175:AH175,"")=0,COUNTIF(C175:AH175," ")=0,COUNTIF(C175:AH175,"F")=1),CONCATENATE(SUM(EXTRACTNUMBER(C175),EXTRACTNUMBER(E175),
EXTRACTNUMBER(G175),EXTRACTNUMBER(I175),
EXTRACTNUMBER(K175),EXTRACTNUMBER(M175),
EXTRACTNUMBER(O175),EXTRACTNUMBER(Q175),
EXTRACTNUMBER(S175),EXTRACTNUMBER(U175),
EXTRACTNUMBER(W175),EXTRACTNUMBER(Y175),EXTRACTNUMBER(AA175),
EXTRACTNUMBER(AC175),EXTRACTNUMBER(AG175),EXTRACTNUMBER(AE175)),"*"),IF(AND(COUNTIF(C175:AH175,"=34")&gt;=1,COUNTIF(C175:AH175,"=35")&gt;=1,COUNTIF(C175:AH175,"f")=2,COUNTIF(C175:AH175,"")=0,COUNTIF(C175:AH175," ")=0),CONCATENATE(SUM(EXTRACTNUMBER(C175),EXTRACTNUMBER(E175),
EXTRACTNUMBER(G175),EXTRACTNUMBER(I175),
EXTRACTNUMBER(K175),EXTRACTNUMBER(M175),
EXTRACTNUMBER(O175),EXTRACTNUMBER(Q175),
EXTRACTNUMBER(S175),EXTRACTNUMBER(U175),
EXTRACTNUMBER(W175),EXTRACTNUMBER(Y175),EXTRACTNUMBER(AA175),
EXTRACTNUMBER(AC175),EXTRACTNUMBER(AG175),EXTRACTNUMBER(AE175)),"*"),IF(AND(COUNTIF(C175:AH175,"=36")&gt;=2,COUNTIF(C175:AH175,"f")=2,COUNTIF(C175:AH175,"")=0,COUNTIF(C175:AH175," ")=0),CONCATENATE(SUM(EXTRACTNUMBER(C175),EXTRACTNUMBER(E175),
EXTRACTNUMBER(G175),EXTRACTNUMBER(I175),
EXTRACTNUMBER(K175),EXTRACTNUMBER(M175),
EXTRACTNUMBER(O175),EXTRACTNUMBER(Q175),
EXTRACTNUMBER(S175),EXTRACTNUMBER(U175),
EXTRACTNUMBER(W175),EXTRACTNUMBER(Y175),EXTRACTNUMBER(AA175),
EXTRACTNUMBER(AC175),EXTRACTNUMBER(AG175),EXTRACTNUMBER(AE175)),"*"),SUM(EXTRACTNUMBER(C175),EXTRACTNUMBER(E175),
EXTRACTNUMBER(G175),EXTRACTNUMBER(I175),
EXTRACTNUMBER(K175),EXTRACTNUMBER(M175),
EXTRACTNUMBER(O175),EXTRACTNUMBER(Q175),
EXTRACTNUMBER(S175),EXTRACTNUMBER(U175),
EXTRACTNUMBER(W175),EXTRACTNUMBER(Y175),EXTRACTNUMBER(AA175),
EXTRACTNUMBER(AC175),EXTRACTNUMBER(AG175),EXTRACTNUMBER(AE175))))),SUM(EXTRACTNUMBER(C175),EXTRACTNUMBER(E175),
EXTRACTNUMBER(G175),EXTRACTNUMBER(I175),
EXTRACTNUMBER(K175),EXTRACTNUMBER(M175),
EXTRACTNUMBER(O175),EXTRACTNUMBER(Q175),
EXTRACTNUMBER(S175),EXTRACTNUMBER(U175),
EXTRACTNUMBER(W175),EXTRACTNUMBER(Y175),EXTRACTNUMBER(AA175),
EXTRACTNUMBER(AC175),EXTRACTNUMBER(AG175),EXTRACTNUMBER(AE175)))</f>
        <v>414</v>
      </c>
      <c r="AJ175" s="94" t="s">
        <v>586</v>
      </c>
      <c r="AK175" s="29">
        <f t="shared" ref="AK175" si="401">IF(IFERROR(FIND("x",AJ175),0),SUM(EXTRACTNUMBER(AI175),EXTRACTNUMBER(AJ175)),IF(AND(SUM(EXTRACTNUMBER(AI175),EXTRACTNUMBER(AJ175))&gt;1009,SUM(EXTRACTNUMBER(AI175),EXTRACTNUMBER(AJ175))&lt;1020),
CONCATENATE(SUM(EXTRACTNUMBER(AI175),EXTRACTNUMBER(AJ175)),"@",1020-SUM(EXTRACTNUMBER(AI175),EXTRACTNUMBER(AJ175))),
IF(AND(SUM(EXTRACTNUMBER(AI175),EXTRACTNUMBER(AJ175))&gt;839,   SUM(EXTRACTNUMBER(AI175),EXTRACTNUMBER(AJ175))&lt;850),CONCATENATE(SUM(EXTRACTNUMBER(AI175),EXTRACTNUMBER(AJ175)),"@",850-SUM(EXTRACTNUMBER(AI175),EXTRACTNUMBER(AJ175))),
IF(AND(SUM(EXTRACTNUMBER(AI175),EXTRACTNUMBER(AJ175))&gt;669,        SUM(EXTRACTNUMBER(AI175),EXTRACTNUMBER(AJ175))&lt;680),
CONCATENATE(SUM(EXTRACTNUMBER(AI175),EXTRACTNUMBER(AJ175)),"@",680-SUM(EXTRACTNUMBER(AI175),EXTRACTNUMBER(AJ175))),
SUM(EXTRACTNUMBER(AI175),EXTRACTNUMBER(AJ175))))))</f>
        <v>889</v>
      </c>
      <c r="AL175" s="29" t="str">
        <f t="shared" ref="AL175" ca="1" si="402">IF(AND(COUNTIF(C175:AH175,"AB")&lt;16-COUNTIF(C175:AH175," "),
COUNTIF(C175:AH175,"AB")&lt;&gt;0),"FAIL",
IF(COUNTIF(C175:AH175,"AB")=16-COUNTIF(C175:AH175," "),"ABSENT",
IF(AND(COUNTIF(C175:AH175,"AB")=0,COUNTIF(C175:AH175,"F")=0),"PASS","FAIL")))</f>
        <v>PASS</v>
      </c>
      <c r="AM175" s="30" t="str">
        <f ca="1">IF(AL175="ABSENT","AB",IF(AL175="FAIL","--",
IF(AJ175=0,"RS 3",
IF(AND(SUM(EXTRACTNUMBER(AJ175),EXTRACTNUMBER(AI175))&gt;=1010,
        NOT(IFERROR(FIND("x",AJ175),0)),
        NOT(IFERROR(FIND("x",AI175),0))),"I",
IF(AND(SUM(EXTRACTNUMBER(AJ175),EXTRACTNUMBER(AI175))&gt;=850,
      SUM(EXTRACTNUMBER(AJ175),EXTRACTNUMBER(AI175))&lt;1010,
      NOT(IFERROR(FIND("x",AJ175),0)),
      NOT(IFERROR(FIND("x",AI175),0))),"II",
IF(OR(AND(SUM(EXTRACTNUMBER(AJ175),EXTRACTNUMBER(AI175))&lt;850,
SUM(EXTRACTNUMBER(AJ175),EXTRACTNUMBER(AI175))&gt;=670),
IFERROR(FIND("x",AJ175),0),IFERROR(FIND("x",AI175),0)),"P","--"))))))</f>
        <v>P</v>
      </c>
      <c r="AN175" s="2" t="str">
        <f t="shared" ref="AN175" si="403">spellnumber(AK175)</f>
        <v xml:space="preserve">Eight Hundred Eighty Nine </v>
      </c>
    </row>
    <row r="176" spans="1:40">
      <c r="A176" s="45">
        <v>134375</v>
      </c>
      <c r="B176" s="46" t="s">
        <v>197</v>
      </c>
      <c r="C176" s="74" t="s">
        <v>207</v>
      </c>
      <c r="D176" s="77" t="s">
        <v>499</v>
      </c>
      <c r="E176" s="76" t="s">
        <v>212</v>
      </c>
      <c r="F176" s="77" t="s">
        <v>499</v>
      </c>
      <c r="G176" s="76">
        <v>40</v>
      </c>
      <c r="H176" s="77" t="s">
        <v>391</v>
      </c>
      <c r="I176" s="76" t="s">
        <v>208</v>
      </c>
      <c r="J176" s="77" t="s">
        <v>499</v>
      </c>
      <c r="K176" s="76" t="s">
        <v>236</v>
      </c>
      <c r="L176" s="77" t="s">
        <v>499</v>
      </c>
      <c r="M176" s="76" t="s">
        <v>208</v>
      </c>
      <c r="N176" s="77" t="s">
        <v>499</v>
      </c>
      <c r="O176" s="76" t="s">
        <v>208</v>
      </c>
      <c r="P176" s="77" t="s">
        <v>499</v>
      </c>
      <c r="Q176" s="76" t="s">
        <v>223</v>
      </c>
      <c r="R176" s="77" t="s">
        <v>499</v>
      </c>
      <c r="S176" s="76" t="s">
        <v>206</v>
      </c>
      <c r="T176" s="77" t="s">
        <v>499</v>
      </c>
      <c r="U176" s="76" t="s">
        <v>222</v>
      </c>
      <c r="V176" s="77" t="s">
        <v>499</v>
      </c>
      <c r="W176" s="76" t="s">
        <v>240</v>
      </c>
      <c r="X176" s="77" t="s">
        <v>499</v>
      </c>
      <c r="Y176" s="76" t="s">
        <v>212</v>
      </c>
      <c r="Z176" s="77" t="s">
        <v>499</v>
      </c>
      <c r="AA176" s="76" t="s">
        <v>212</v>
      </c>
      <c r="AB176" s="77" t="s">
        <v>499</v>
      </c>
      <c r="AC176" s="76" t="s">
        <v>207</v>
      </c>
      <c r="AD176" s="77" t="s">
        <v>499</v>
      </c>
      <c r="AE176" s="76" t="s">
        <v>212</v>
      </c>
      <c r="AF176" s="77" t="s">
        <v>499</v>
      </c>
      <c r="AG176" s="76" t="s">
        <v>206</v>
      </c>
      <c r="AH176" s="77" t="s">
        <v>499</v>
      </c>
      <c r="AI176" s="32">
        <v>471</v>
      </c>
      <c r="AJ176" s="28" t="s">
        <v>304</v>
      </c>
      <c r="AK176" s="29">
        <v>968</v>
      </c>
      <c r="AL176" s="29" t="s">
        <v>392</v>
      </c>
      <c r="AM176" s="30" t="s">
        <v>15</v>
      </c>
      <c r="AN176" s="2" t="s">
        <v>519</v>
      </c>
    </row>
    <row r="177" spans="1:40">
      <c r="A177" s="45">
        <v>134376</v>
      </c>
      <c r="B177" s="46" t="s">
        <v>198</v>
      </c>
      <c r="C177" s="74" t="s">
        <v>207</v>
      </c>
      <c r="D177" s="77" t="s">
        <v>499</v>
      </c>
      <c r="E177" s="76" t="s">
        <v>210</v>
      </c>
      <c r="F177" s="77" t="s">
        <v>499</v>
      </c>
      <c r="G177" s="76">
        <v>33</v>
      </c>
      <c r="H177" s="77" t="s">
        <v>398</v>
      </c>
      <c r="I177" s="76" t="s">
        <v>210</v>
      </c>
      <c r="J177" s="77" t="s">
        <v>499</v>
      </c>
      <c r="K177" s="76">
        <v>27</v>
      </c>
      <c r="L177" s="77" t="s">
        <v>398</v>
      </c>
      <c r="M177" s="76" t="s">
        <v>212</v>
      </c>
      <c r="N177" s="77" t="s">
        <v>499</v>
      </c>
      <c r="O177" s="76" t="s">
        <v>212</v>
      </c>
      <c r="P177" s="77" t="s">
        <v>499</v>
      </c>
      <c r="Q177" s="76" t="s">
        <v>207</v>
      </c>
      <c r="R177" s="77" t="s">
        <v>499</v>
      </c>
      <c r="S177" s="76" t="s">
        <v>212</v>
      </c>
      <c r="T177" s="77" t="s">
        <v>499</v>
      </c>
      <c r="U177" s="76" t="s">
        <v>210</v>
      </c>
      <c r="V177" s="77" t="s">
        <v>499</v>
      </c>
      <c r="W177" s="76" t="s">
        <v>207</v>
      </c>
      <c r="X177" s="77" t="s">
        <v>499</v>
      </c>
      <c r="Y177" s="76" t="s">
        <v>222</v>
      </c>
      <c r="Z177" s="77" t="s">
        <v>499</v>
      </c>
      <c r="AA177" s="76" t="s">
        <v>214</v>
      </c>
      <c r="AB177" s="77" t="s">
        <v>499</v>
      </c>
      <c r="AC177" s="76" t="s">
        <v>207</v>
      </c>
      <c r="AD177" s="77" t="s">
        <v>499</v>
      </c>
      <c r="AE177" s="76" t="s">
        <v>212</v>
      </c>
      <c r="AF177" s="77" t="s">
        <v>499</v>
      </c>
      <c r="AG177" s="76" t="s">
        <v>214</v>
      </c>
      <c r="AH177" s="77" t="s">
        <v>499</v>
      </c>
      <c r="AI177" s="32">
        <v>411</v>
      </c>
      <c r="AJ177" s="83" t="s">
        <v>531</v>
      </c>
      <c r="AK177" s="29">
        <v>411</v>
      </c>
      <c r="AL177" s="29" t="s">
        <v>399</v>
      </c>
      <c r="AM177" s="30" t="s">
        <v>400</v>
      </c>
      <c r="AN177" s="2" t="s">
        <v>407</v>
      </c>
    </row>
    <row r="178" spans="1:40" ht="15" customHeight="1">
      <c r="A178" s="45">
        <v>134377</v>
      </c>
      <c r="B178" s="46" t="s">
        <v>199</v>
      </c>
      <c r="C178" s="74" t="s">
        <v>305</v>
      </c>
      <c r="D178" s="77" t="s">
        <v>391</v>
      </c>
      <c r="E178" s="76" t="s">
        <v>227</v>
      </c>
      <c r="F178" s="77" t="s">
        <v>499</v>
      </c>
      <c r="G178" s="76" t="s">
        <v>305</v>
      </c>
      <c r="H178" s="77" t="s">
        <v>391</v>
      </c>
      <c r="I178" s="76" t="s">
        <v>206</v>
      </c>
      <c r="J178" s="77" t="s">
        <v>499</v>
      </c>
      <c r="K178" s="76" t="s">
        <v>305</v>
      </c>
      <c r="L178" s="77" t="s">
        <v>391</v>
      </c>
      <c r="M178" s="76" t="s">
        <v>217</v>
      </c>
      <c r="N178" s="77" t="s">
        <v>499</v>
      </c>
      <c r="O178" s="76" t="s">
        <v>218</v>
      </c>
      <c r="P178" s="77" t="s">
        <v>499</v>
      </c>
      <c r="Q178" s="76" t="s">
        <v>207</v>
      </c>
      <c r="R178" s="77" t="s">
        <v>499</v>
      </c>
      <c r="S178" s="76" t="s">
        <v>217</v>
      </c>
      <c r="T178" s="77" t="s">
        <v>499</v>
      </c>
      <c r="U178" s="76" t="s">
        <v>214</v>
      </c>
      <c r="V178" s="77" t="s">
        <v>499</v>
      </c>
      <c r="W178" s="76" t="s">
        <v>305</v>
      </c>
      <c r="X178" s="77" t="s">
        <v>391</v>
      </c>
      <c r="Y178" s="76" t="s">
        <v>217</v>
      </c>
      <c r="Z178" s="77" t="s">
        <v>499</v>
      </c>
      <c r="AA178" s="76" t="s">
        <v>206</v>
      </c>
      <c r="AB178" s="77" t="s">
        <v>499</v>
      </c>
      <c r="AC178" s="76" t="s">
        <v>209</v>
      </c>
      <c r="AD178" s="77" t="s">
        <v>499</v>
      </c>
      <c r="AE178" s="76" t="s">
        <v>217</v>
      </c>
      <c r="AF178" s="77" t="s">
        <v>499</v>
      </c>
      <c r="AG178" s="76" t="s">
        <v>218</v>
      </c>
      <c r="AH178" s="77" t="s">
        <v>499</v>
      </c>
      <c r="AI178" s="32">
        <v>225</v>
      </c>
      <c r="AJ178" s="83" t="s">
        <v>531</v>
      </c>
      <c r="AK178" s="29">
        <v>225</v>
      </c>
      <c r="AL178" s="29" t="s">
        <v>502</v>
      </c>
      <c r="AM178" s="30" t="s">
        <v>305</v>
      </c>
      <c r="AN178" s="2" t="s">
        <v>520</v>
      </c>
    </row>
    <row r="179" spans="1:40">
      <c r="A179" s="45">
        <v>134378</v>
      </c>
      <c r="B179" s="46" t="s">
        <v>200</v>
      </c>
      <c r="C179" s="74" t="s">
        <v>305</v>
      </c>
      <c r="D179" s="77" t="s">
        <v>391</v>
      </c>
      <c r="E179" s="76" t="s">
        <v>210</v>
      </c>
      <c r="F179" s="77" t="s">
        <v>499</v>
      </c>
      <c r="G179" s="76">
        <v>49</v>
      </c>
      <c r="H179" s="77" t="s">
        <v>397</v>
      </c>
      <c r="I179" s="76" t="s">
        <v>204</v>
      </c>
      <c r="J179" s="77" t="s">
        <v>499</v>
      </c>
      <c r="K179" s="76" t="s">
        <v>207</v>
      </c>
      <c r="L179" s="77" t="s">
        <v>499</v>
      </c>
      <c r="M179" s="76" t="s">
        <v>204</v>
      </c>
      <c r="N179" s="77" t="s">
        <v>499</v>
      </c>
      <c r="O179" s="76" t="s">
        <v>214</v>
      </c>
      <c r="P179" s="77" t="s">
        <v>499</v>
      </c>
      <c r="Q179" s="76" t="s">
        <v>207</v>
      </c>
      <c r="R179" s="77" t="s">
        <v>499</v>
      </c>
      <c r="S179" s="76" t="s">
        <v>208</v>
      </c>
      <c r="T179" s="77" t="s">
        <v>499</v>
      </c>
      <c r="U179" s="76" t="s">
        <v>224</v>
      </c>
      <c r="V179" s="77" t="s">
        <v>499</v>
      </c>
      <c r="W179" s="76" t="s">
        <v>207</v>
      </c>
      <c r="X179" s="77" t="s">
        <v>499</v>
      </c>
      <c r="Y179" s="76" t="s">
        <v>212</v>
      </c>
      <c r="Z179" s="77" t="s">
        <v>499</v>
      </c>
      <c r="AA179" s="76" t="s">
        <v>206</v>
      </c>
      <c r="AB179" s="77" t="s">
        <v>499</v>
      </c>
      <c r="AC179" s="76" t="s">
        <v>207</v>
      </c>
      <c r="AD179" s="77" t="s">
        <v>499</v>
      </c>
      <c r="AE179" s="76" t="s">
        <v>210</v>
      </c>
      <c r="AF179" s="77" t="s">
        <v>499</v>
      </c>
      <c r="AG179" s="76" t="s">
        <v>204</v>
      </c>
      <c r="AH179" s="77" t="s">
        <v>499</v>
      </c>
      <c r="AI179" s="32">
        <v>388</v>
      </c>
      <c r="AJ179" s="83" t="s">
        <v>531</v>
      </c>
      <c r="AK179" s="29">
        <v>388</v>
      </c>
      <c r="AL179" s="29" t="s">
        <v>399</v>
      </c>
      <c r="AM179" s="30" t="s">
        <v>400</v>
      </c>
      <c r="AN179" s="2" t="s">
        <v>521</v>
      </c>
    </row>
    <row r="180" spans="1:40">
      <c r="A180" s="45">
        <v>134379</v>
      </c>
      <c r="B180" s="46" t="s">
        <v>522</v>
      </c>
      <c r="C180" s="74">
        <v>12</v>
      </c>
      <c r="D180" s="77" t="s">
        <v>398</v>
      </c>
      <c r="E180" s="76" t="s">
        <v>212</v>
      </c>
      <c r="F180" s="77" t="s">
        <v>499</v>
      </c>
      <c r="G180" s="76" t="s">
        <v>207</v>
      </c>
      <c r="H180" s="77" t="s">
        <v>499</v>
      </c>
      <c r="I180" s="76" t="s">
        <v>210</v>
      </c>
      <c r="J180" s="77" t="s">
        <v>499</v>
      </c>
      <c r="K180" s="76" t="s">
        <v>207</v>
      </c>
      <c r="L180" s="77" t="s">
        <v>499</v>
      </c>
      <c r="M180" s="76" t="s">
        <v>222</v>
      </c>
      <c r="N180" s="77" t="s">
        <v>499</v>
      </c>
      <c r="O180" s="76" t="s">
        <v>208</v>
      </c>
      <c r="P180" s="77" t="s">
        <v>499</v>
      </c>
      <c r="Q180" s="76" t="s">
        <v>207</v>
      </c>
      <c r="R180" s="77" t="s">
        <v>499</v>
      </c>
      <c r="S180" s="76" t="s">
        <v>214</v>
      </c>
      <c r="T180" s="77" t="s">
        <v>499</v>
      </c>
      <c r="U180" s="76" t="s">
        <v>204</v>
      </c>
      <c r="V180" s="77" t="s">
        <v>499</v>
      </c>
      <c r="W180" s="76" t="s">
        <v>207</v>
      </c>
      <c r="X180" s="77" t="s">
        <v>499</v>
      </c>
      <c r="Y180" s="76" t="s">
        <v>212</v>
      </c>
      <c r="Z180" s="77" t="s">
        <v>499</v>
      </c>
      <c r="AA180" s="76" t="s">
        <v>206</v>
      </c>
      <c r="AB180" s="77" t="s">
        <v>499</v>
      </c>
      <c r="AC180" s="76" t="s">
        <v>207</v>
      </c>
      <c r="AD180" s="77" t="s">
        <v>499</v>
      </c>
      <c r="AE180" s="76" t="s">
        <v>212</v>
      </c>
      <c r="AF180" s="77" t="s">
        <v>499</v>
      </c>
      <c r="AG180" s="76" t="s">
        <v>214</v>
      </c>
      <c r="AH180" s="77" t="s">
        <v>499</v>
      </c>
      <c r="AI180" s="32">
        <v>401</v>
      </c>
      <c r="AJ180" s="83" t="s">
        <v>531</v>
      </c>
      <c r="AK180" s="29">
        <v>401</v>
      </c>
      <c r="AL180" s="29" t="s">
        <v>399</v>
      </c>
      <c r="AM180" s="30" t="s">
        <v>400</v>
      </c>
      <c r="AN180" s="2" t="s">
        <v>523</v>
      </c>
    </row>
    <row r="181" spans="1:40">
      <c r="A181" s="45">
        <v>134380</v>
      </c>
      <c r="B181" s="46" t="s">
        <v>201</v>
      </c>
      <c r="C181" s="74">
        <v>26</v>
      </c>
      <c r="D181" s="77" t="s">
        <v>398</v>
      </c>
      <c r="E181" s="76" t="s">
        <v>204</v>
      </c>
      <c r="F181" s="77" t="s">
        <v>499</v>
      </c>
      <c r="G181" s="76" t="s">
        <v>229</v>
      </c>
      <c r="H181" s="77" t="s">
        <v>499</v>
      </c>
      <c r="I181" s="76" t="s">
        <v>222</v>
      </c>
      <c r="J181" s="77" t="s">
        <v>499</v>
      </c>
      <c r="K181" s="76" t="s">
        <v>207</v>
      </c>
      <c r="L181" s="77" t="s">
        <v>499</v>
      </c>
      <c r="M181" s="76" t="s">
        <v>208</v>
      </c>
      <c r="N181" s="77" t="s">
        <v>499</v>
      </c>
      <c r="O181" s="76" t="s">
        <v>210</v>
      </c>
      <c r="P181" s="77" t="s">
        <v>499</v>
      </c>
      <c r="Q181" s="76" t="s">
        <v>226</v>
      </c>
      <c r="R181" s="77" t="s">
        <v>499</v>
      </c>
      <c r="S181" s="76" t="s">
        <v>208</v>
      </c>
      <c r="T181" s="77" t="s">
        <v>499</v>
      </c>
      <c r="U181" s="76" t="s">
        <v>204</v>
      </c>
      <c r="V181" s="77" t="s">
        <v>499</v>
      </c>
      <c r="W181" s="76" t="s">
        <v>230</v>
      </c>
      <c r="X181" s="77" t="s">
        <v>499</v>
      </c>
      <c r="Y181" s="76" t="s">
        <v>208</v>
      </c>
      <c r="Z181" s="77" t="s">
        <v>499</v>
      </c>
      <c r="AA181" s="76" t="s">
        <v>212</v>
      </c>
      <c r="AB181" s="77" t="s">
        <v>499</v>
      </c>
      <c r="AC181" s="76" t="s">
        <v>230</v>
      </c>
      <c r="AD181" s="77" t="s">
        <v>499</v>
      </c>
      <c r="AE181" s="76" t="s">
        <v>210</v>
      </c>
      <c r="AF181" s="77" t="s">
        <v>499</v>
      </c>
      <c r="AG181" s="76" t="s">
        <v>217</v>
      </c>
      <c r="AH181" s="77" t="s">
        <v>499</v>
      </c>
      <c r="AI181" s="32">
        <v>454</v>
      </c>
      <c r="AJ181" s="83" t="s">
        <v>531</v>
      </c>
      <c r="AK181" s="29">
        <v>454</v>
      </c>
      <c r="AL181" s="29" t="s">
        <v>399</v>
      </c>
      <c r="AM181" s="30" t="s">
        <v>400</v>
      </c>
      <c r="AN181" s="2" t="s">
        <v>484</v>
      </c>
    </row>
    <row r="182" spans="1:40">
      <c r="A182" s="45">
        <v>134381</v>
      </c>
      <c r="B182" s="46" t="s">
        <v>202</v>
      </c>
      <c r="C182" s="79">
        <v>12</v>
      </c>
      <c r="D182" s="80" t="s">
        <v>398</v>
      </c>
      <c r="E182" s="81" t="s">
        <v>206</v>
      </c>
      <c r="F182" s="80" t="s">
        <v>499</v>
      </c>
      <c r="G182" s="81" t="s">
        <v>205</v>
      </c>
      <c r="H182" s="80" t="s">
        <v>499</v>
      </c>
      <c r="I182" s="81" t="s">
        <v>206</v>
      </c>
      <c r="J182" s="80" t="s">
        <v>499</v>
      </c>
      <c r="K182" s="81" t="s">
        <v>226</v>
      </c>
      <c r="L182" s="80" t="s">
        <v>499</v>
      </c>
      <c r="M182" s="81" t="s">
        <v>214</v>
      </c>
      <c r="N182" s="80" t="s">
        <v>499</v>
      </c>
      <c r="O182" s="81" t="s">
        <v>227</v>
      </c>
      <c r="P182" s="80" t="s">
        <v>499</v>
      </c>
      <c r="Q182" s="81" t="s">
        <v>230</v>
      </c>
      <c r="R182" s="80" t="s">
        <v>499</v>
      </c>
      <c r="S182" s="81" t="s">
        <v>212</v>
      </c>
      <c r="T182" s="80" t="s">
        <v>499</v>
      </c>
      <c r="U182" s="81" t="s">
        <v>212</v>
      </c>
      <c r="V182" s="80" t="s">
        <v>499</v>
      </c>
      <c r="W182" s="81" t="s">
        <v>241</v>
      </c>
      <c r="X182" s="80" t="s">
        <v>499</v>
      </c>
      <c r="Y182" s="81" t="s">
        <v>204</v>
      </c>
      <c r="Z182" s="80" t="s">
        <v>499</v>
      </c>
      <c r="AA182" s="81" t="s">
        <v>204</v>
      </c>
      <c r="AB182" s="80" t="s">
        <v>499</v>
      </c>
      <c r="AC182" s="81" t="s">
        <v>242</v>
      </c>
      <c r="AD182" s="80" t="s">
        <v>499</v>
      </c>
      <c r="AE182" s="81" t="s">
        <v>216</v>
      </c>
      <c r="AF182" s="80" t="s">
        <v>499</v>
      </c>
      <c r="AG182" s="81" t="s">
        <v>224</v>
      </c>
      <c r="AH182" s="80" t="s">
        <v>499</v>
      </c>
      <c r="AI182" s="36">
        <v>449</v>
      </c>
      <c r="AJ182" s="83" t="s">
        <v>531</v>
      </c>
      <c r="AK182" s="38">
        <v>449</v>
      </c>
      <c r="AL182" s="38" t="s">
        <v>399</v>
      </c>
      <c r="AM182" s="30" t="s">
        <v>400</v>
      </c>
      <c r="AN182" s="2" t="s">
        <v>495</v>
      </c>
    </row>
    <row r="183" spans="1:40">
      <c r="A183" s="45">
        <v>134382</v>
      </c>
      <c r="B183" s="46" t="s">
        <v>203</v>
      </c>
      <c r="C183" s="82" t="s">
        <v>529</v>
      </c>
      <c r="D183" s="77" t="s">
        <v>398</v>
      </c>
      <c r="E183" s="76">
        <v>14</v>
      </c>
      <c r="F183" s="77" t="s">
        <v>397</v>
      </c>
      <c r="G183" s="76">
        <v>40</v>
      </c>
      <c r="H183" s="77" t="s">
        <v>397</v>
      </c>
      <c r="I183" s="76">
        <v>23</v>
      </c>
      <c r="J183" s="77" t="s">
        <v>397</v>
      </c>
      <c r="K183" s="76">
        <v>40</v>
      </c>
      <c r="L183" s="77" t="s">
        <v>397</v>
      </c>
      <c r="M183" s="76">
        <v>14</v>
      </c>
      <c r="N183" s="77" t="s">
        <v>397</v>
      </c>
      <c r="O183" s="76">
        <v>15</v>
      </c>
      <c r="P183" s="77" t="s">
        <v>397</v>
      </c>
      <c r="Q183" s="76">
        <v>11</v>
      </c>
      <c r="R183" s="77" t="s">
        <v>398</v>
      </c>
      <c r="S183" s="76">
        <v>22</v>
      </c>
      <c r="T183" s="77" t="s">
        <v>397</v>
      </c>
      <c r="U183" s="76">
        <v>16</v>
      </c>
      <c r="V183" s="77" t="s">
        <v>397</v>
      </c>
      <c r="W183" s="76">
        <v>47</v>
      </c>
      <c r="X183" s="77" t="s">
        <v>397</v>
      </c>
      <c r="Y183" s="76">
        <v>20</v>
      </c>
      <c r="Z183" s="77" t="s">
        <v>397</v>
      </c>
      <c r="AA183" s="76">
        <v>21</v>
      </c>
      <c r="AB183" s="77" t="s">
        <v>397</v>
      </c>
      <c r="AC183" s="76">
        <v>40</v>
      </c>
      <c r="AD183" s="77" t="s">
        <v>397</v>
      </c>
      <c r="AE183" s="76">
        <v>19</v>
      </c>
      <c r="AF183" s="77" t="s">
        <v>397</v>
      </c>
      <c r="AG183" s="76">
        <v>19</v>
      </c>
      <c r="AH183" s="77" t="s">
        <v>397</v>
      </c>
      <c r="AI183" s="32">
        <v>361</v>
      </c>
      <c r="AJ183" s="83" t="s">
        <v>531</v>
      </c>
      <c r="AK183" s="29">
        <v>361</v>
      </c>
      <c r="AL183" s="29" t="s">
        <v>399</v>
      </c>
      <c r="AM183" s="30" t="s">
        <v>400</v>
      </c>
      <c r="AN183" s="2" t="s">
        <v>410</v>
      </c>
    </row>
    <row r="184" spans="1:40" ht="15.75">
      <c r="A184" s="84" t="s">
        <v>532</v>
      </c>
      <c r="B184" s="85" t="s">
        <v>533</v>
      </c>
      <c r="C184" s="86">
        <v>40</v>
      </c>
      <c r="D184" s="87" t="s">
        <v>391</v>
      </c>
      <c r="E184" s="88">
        <v>16</v>
      </c>
      <c r="F184" s="89" t="s">
        <v>391</v>
      </c>
      <c r="G184" s="86">
        <v>49</v>
      </c>
      <c r="H184" s="87" t="s">
        <v>391</v>
      </c>
      <c r="I184" s="88">
        <v>18</v>
      </c>
      <c r="J184" s="89" t="s">
        <v>391</v>
      </c>
      <c r="K184" s="86">
        <v>40</v>
      </c>
      <c r="L184" s="87" t="s">
        <v>391</v>
      </c>
      <c r="M184" s="88">
        <v>18</v>
      </c>
      <c r="N184" s="89" t="s">
        <v>391</v>
      </c>
      <c r="O184" s="88">
        <v>18</v>
      </c>
      <c r="P184" s="89" t="s">
        <v>391</v>
      </c>
      <c r="Q184" s="86" t="s">
        <v>309</v>
      </c>
      <c r="R184" s="87" t="s">
        <v>391</v>
      </c>
      <c r="S184" s="88">
        <v>22</v>
      </c>
      <c r="T184" s="89" t="s">
        <v>391</v>
      </c>
      <c r="U184" s="88">
        <v>21</v>
      </c>
      <c r="V184" s="89" t="s">
        <v>391</v>
      </c>
      <c r="W184" s="86">
        <v>56</v>
      </c>
      <c r="X184" s="87" t="s">
        <v>391</v>
      </c>
      <c r="Y184" s="88">
        <v>20</v>
      </c>
      <c r="Z184" s="89" t="s">
        <v>391</v>
      </c>
      <c r="AA184" s="88">
        <v>21</v>
      </c>
      <c r="AB184" s="89" t="s">
        <v>391</v>
      </c>
      <c r="AC184" s="86">
        <v>40</v>
      </c>
      <c r="AD184" s="87" t="s">
        <v>391</v>
      </c>
      <c r="AE184" s="88">
        <v>19</v>
      </c>
      <c r="AF184" s="89" t="s">
        <v>391</v>
      </c>
      <c r="AG184" s="88">
        <v>15</v>
      </c>
      <c r="AH184" s="89" t="s">
        <v>391</v>
      </c>
      <c r="AI184" s="90" t="s">
        <v>534</v>
      </c>
      <c r="AJ184" s="91" t="s">
        <v>606</v>
      </c>
      <c r="AK184" s="92">
        <v>903</v>
      </c>
      <c r="AL184" s="93" t="s">
        <v>392</v>
      </c>
      <c r="AM184" s="92" t="s">
        <v>15</v>
      </c>
      <c r="AN184" s="72" t="s">
        <v>607</v>
      </c>
    </row>
    <row r="185" spans="1:40" ht="15.75">
      <c r="A185" s="84" t="s">
        <v>535</v>
      </c>
      <c r="B185" s="84" t="s">
        <v>536</v>
      </c>
      <c r="C185" s="86">
        <v>40</v>
      </c>
      <c r="D185" s="87" t="s">
        <v>391</v>
      </c>
      <c r="E185" s="88">
        <v>22</v>
      </c>
      <c r="F185" s="89" t="s">
        <v>391</v>
      </c>
      <c r="G185" s="86">
        <v>42</v>
      </c>
      <c r="H185" s="87" t="s">
        <v>391</v>
      </c>
      <c r="I185" s="88">
        <v>19</v>
      </c>
      <c r="J185" s="89" t="s">
        <v>391</v>
      </c>
      <c r="K185" s="86">
        <v>40</v>
      </c>
      <c r="L185" s="87" t="s">
        <v>391</v>
      </c>
      <c r="M185" s="88">
        <v>18</v>
      </c>
      <c r="N185" s="89" t="s">
        <v>391</v>
      </c>
      <c r="O185" s="88">
        <v>18</v>
      </c>
      <c r="P185" s="89" t="s">
        <v>391</v>
      </c>
      <c r="Q185" s="86" t="s">
        <v>309</v>
      </c>
      <c r="R185" s="87" t="s">
        <v>391</v>
      </c>
      <c r="S185" s="88">
        <v>21</v>
      </c>
      <c r="T185" s="89" t="s">
        <v>391</v>
      </c>
      <c r="U185" s="88">
        <v>16</v>
      </c>
      <c r="V185" s="89" t="s">
        <v>391</v>
      </c>
      <c r="W185" s="86">
        <v>40</v>
      </c>
      <c r="X185" s="87" t="s">
        <v>391</v>
      </c>
      <c r="Y185" s="88">
        <v>20</v>
      </c>
      <c r="Z185" s="89" t="s">
        <v>391</v>
      </c>
      <c r="AA185" s="88">
        <v>21</v>
      </c>
      <c r="AB185" s="89" t="s">
        <v>391</v>
      </c>
      <c r="AC185" s="86">
        <v>40</v>
      </c>
      <c r="AD185" s="87" t="s">
        <v>391</v>
      </c>
      <c r="AE185" s="88">
        <v>22</v>
      </c>
      <c r="AF185" s="89" t="s">
        <v>391</v>
      </c>
      <c r="AG185" s="88">
        <v>18</v>
      </c>
      <c r="AH185" s="89" t="s">
        <v>391</v>
      </c>
      <c r="AI185" s="90" t="s">
        <v>537</v>
      </c>
      <c r="AJ185" s="83" t="s">
        <v>606</v>
      </c>
      <c r="AK185" s="92">
        <v>887</v>
      </c>
      <c r="AL185" s="93" t="s">
        <v>392</v>
      </c>
      <c r="AM185" s="92" t="s">
        <v>15</v>
      </c>
      <c r="AN185" s="72" t="s">
        <v>518</v>
      </c>
    </row>
    <row r="186" spans="1:40" ht="15.75">
      <c r="A186" s="84" t="s">
        <v>538</v>
      </c>
      <c r="B186" s="84" t="s">
        <v>539</v>
      </c>
      <c r="C186" s="86">
        <v>2</v>
      </c>
      <c r="D186" s="87" t="s">
        <v>398</v>
      </c>
      <c r="E186" s="88">
        <v>17</v>
      </c>
      <c r="F186" s="89" t="s">
        <v>397</v>
      </c>
      <c r="G186" s="86">
        <v>45</v>
      </c>
      <c r="H186" s="87" t="s">
        <v>397</v>
      </c>
      <c r="I186" s="88">
        <v>19</v>
      </c>
      <c r="J186" s="89" t="s">
        <v>397</v>
      </c>
      <c r="K186" s="86">
        <v>40</v>
      </c>
      <c r="L186" s="87" t="s">
        <v>397</v>
      </c>
      <c r="M186" s="88">
        <v>20</v>
      </c>
      <c r="N186" s="89" t="s">
        <v>397</v>
      </c>
      <c r="O186" s="88">
        <v>21</v>
      </c>
      <c r="P186" s="89" t="s">
        <v>397</v>
      </c>
      <c r="Q186" s="86">
        <v>40</v>
      </c>
      <c r="R186" s="87" t="s">
        <v>397</v>
      </c>
      <c r="S186" s="88">
        <v>22</v>
      </c>
      <c r="T186" s="89" t="s">
        <v>397</v>
      </c>
      <c r="U186" s="88">
        <v>16</v>
      </c>
      <c r="V186" s="89" t="s">
        <v>397</v>
      </c>
      <c r="W186" s="86">
        <v>40</v>
      </c>
      <c r="X186" s="87" t="s">
        <v>397</v>
      </c>
      <c r="Y186" s="88">
        <v>21</v>
      </c>
      <c r="Z186" s="89" t="s">
        <v>397</v>
      </c>
      <c r="AA186" s="88">
        <v>21</v>
      </c>
      <c r="AB186" s="89" t="s">
        <v>397</v>
      </c>
      <c r="AC186" s="86">
        <v>40</v>
      </c>
      <c r="AD186" s="87" t="s">
        <v>397</v>
      </c>
      <c r="AE186" s="88">
        <v>19</v>
      </c>
      <c r="AF186" s="89" t="s">
        <v>397</v>
      </c>
      <c r="AG186" s="88">
        <v>16</v>
      </c>
      <c r="AH186" s="89" t="s">
        <v>397</v>
      </c>
      <c r="AI186" s="90">
        <v>399</v>
      </c>
      <c r="AJ186" s="83" t="s">
        <v>531</v>
      </c>
      <c r="AK186" s="92">
        <v>399</v>
      </c>
      <c r="AL186" s="93" t="s">
        <v>399</v>
      </c>
      <c r="AM186" s="92" t="s">
        <v>400</v>
      </c>
      <c r="AN186" s="72" t="s">
        <v>557</v>
      </c>
    </row>
    <row r="187" spans="1:40" ht="15.75">
      <c r="A187" s="84" t="s">
        <v>540</v>
      </c>
      <c r="B187" s="84" t="s">
        <v>541</v>
      </c>
      <c r="C187" s="86">
        <v>48</v>
      </c>
      <c r="D187" s="87"/>
      <c r="E187" s="88">
        <v>17</v>
      </c>
      <c r="F187" s="89"/>
      <c r="G187" s="86">
        <v>78</v>
      </c>
      <c r="H187" s="87"/>
      <c r="I187" s="88">
        <v>20</v>
      </c>
      <c r="J187" s="89"/>
      <c r="K187" s="86">
        <v>73</v>
      </c>
      <c r="L187" s="87"/>
      <c r="M187" s="88">
        <v>24</v>
      </c>
      <c r="N187" s="89"/>
      <c r="O187" s="88">
        <v>24</v>
      </c>
      <c r="P187" s="89"/>
      <c r="Q187" s="86">
        <v>71</v>
      </c>
      <c r="R187" s="87"/>
      <c r="S187" s="88">
        <v>21</v>
      </c>
      <c r="T187" s="89"/>
      <c r="U187" s="88">
        <v>21</v>
      </c>
      <c r="V187" s="89"/>
      <c r="W187" s="86">
        <v>64</v>
      </c>
      <c r="X187" s="87"/>
      <c r="Y187" s="88">
        <v>21</v>
      </c>
      <c r="Z187" s="89"/>
      <c r="AA187" s="88">
        <v>21</v>
      </c>
      <c r="AB187" s="89"/>
      <c r="AC187" s="86">
        <v>52</v>
      </c>
      <c r="AD187" s="87"/>
      <c r="AE187" s="88">
        <v>22</v>
      </c>
      <c r="AF187" s="89"/>
      <c r="AG187" s="88">
        <v>18</v>
      </c>
      <c r="AH187" s="89"/>
      <c r="AI187" s="90">
        <v>595</v>
      </c>
      <c r="AJ187" s="83" t="s">
        <v>622</v>
      </c>
      <c r="AK187" s="92">
        <v>1126</v>
      </c>
      <c r="AL187" s="93" t="s">
        <v>392</v>
      </c>
      <c r="AM187" s="92" t="s">
        <v>395</v>
      </c>
      <c r="AN187" s="72" t="s">
        <v>623</v>
      </c>
    </row>
    <row r="188" spans="1:40" ht="15.75">
      <c r="A188" s="84" t="s">
        <v>542</v>
      </c>
      <c r="B188" s="84" t="s">
        <v>543</v>
      </c>
      <c r="C188" s="86">
        <v>42</v>
      </c>
      <c r="D188" s="87" t="s">
        <v>397</v>
      </c>
      <c r="E188" s="88">
        <v>15</v>
      </c>
      <c r="F188" s="89" t="s">
        <v>397</v>
      </c>
      <c r="G188" s="86">
        <v>57</v>
      </c>
      <c r="H188" s="87" t="s">
        <v>397</v>
      </c>
      <c r="I188" s="88">
        <v>19</v>
      </c>
      <c r="J188" s="89" t="s">
        <v>397</v>
      </c>
      <c r="K188" s="86">
        <v>56</v>
      </c>
      <c r="L188" s="87" t="s">
        <v>397</v>
      </c>
      <c r="M188" s="88">
        <v>18</v>
      </c>
      <c r="N188" s="89" t="s">
        <v>397</v>
      </c>
      <c r="O188" s="88">
        <v>18</v>
      </c>
      <c r="P188" s="89" t="s">
        <v>397</v>
      </c>
      <c r="Q188" s="86">
        <v>61</v>
      </c>
      <c r="R188" s="87" t="s">
        <v>397</v>
      </c>
      <c r="S188" s="88">
        <v>22</v>
      </c>
      <c r="T188" s="89" t="s">
        <v>397</v>
      </c>
      <c r="U188" s="88">
        <v>21</v>
      </c>
      <c r="V188" s="89" t="s">
        <v>397</v>
      </c>
      <c r="W188" s="86">
        <v>31</v>
      </c>
      <c r="X188" s="87" t="s">
        <v>398</v>
      </c>
      <c r="Y188" s="88">
        <v>20</v>
      </c>
      <c r="Z188" s="89" t="s">
        <v>397</v>
      </c>
      <c r="AA188" s="88">
        <v>20</v>
      </c>
      <c r="AB188" s="89" t="s">
        <v>397</v>
      </c>
      <c r="AC188" s="86">
        <v>30</v>
      </c>
      <c r="AD188" s="87" t="s">
        <v>398</v>
      </c>
      <c r="AE188" s="88">
        <v>18</v>
      </c>
      <c r="AF188" s="89" t="s">
        <v>397</v>
      </c>
      <c r="AG188" s="88">
        <v>17</v>
      </c>
      <c r="AH188" s="89" t="s">
        <v>397</v>
      </c>
      <c r="AI188" s="90">
        <v>465</v>
      </c>
      <c r="AJ188" s="83" t="s">
        <v>531</v>
      </c>
      <c r="AK188" s="92">
        <v>465</v>
      </c>
      <c r="AL188" s="93" t="s">
        <v>399</v>
      </c>
      <c r="AM188" s="92" t="s">
        <v>400</v>
      </c>
      <c r="AN188" s="72" t="s">
        <v>433</v>
      </c>
    </row>
    <row r="189" spans="1:40" ht="15.75">
      <c r="A189" s="84" t="s">
        <v>544</v>
      </c>
      <c r="B189" s="84" t="s">
        <v>545</v>
      </c>
      <c r="C189" s="86">
        <v>40</v>
      </c>
      <c r="D189" s="87" t="s">
        <v>397</v>
      </c>
      <c r="E189" s="88">
        <v>17</v>
      </c>
      <c r="F189" s="89" t="s">
        <v>397</v>
      </c>
      <c r="G189" s="86">
        <v>46</v>
      </c>
      <c r="H189" s="87" t="s">
        <v>397</v>
      </c>
      <c r="I189" s="88">
        <v>20</v>
      </c>
      <c r="J189" s="89" t="s">
        <v>397</v>
      </c>
      <c r="K189" s="86">
        <v>40</v>
      </c>
      <c r="L189" s="87" t="s">
        <v>397</v>
      </c>
      <c r="M189" s="88">
        <v>21</v>
      </c>
      <c r="N189" s="89" t="s">
        <v>397</v>
      </c>
      <c r="O189" s="88">
        <v>22</v>
      </c>
      <c r="P189" s="89" t="s">
        <v>397</v>
      </c>
      <c r="Q189" s="86">
        <v>29</v>
      </c>
      <c r="R189" s="87" t="s">
        <v>398</v>
      </c>
      <c r="S189" s="88">
        <v>21</v>
      </c>
      <c r="T189" s="89" t="s">
        <v>397</v>
      </c>
      <c r="U189" s="88">
        <v>21</v>
      </c>
      <c r="V189" s="89" t="s">
        <v>397</v>
      </c>
      <c r="W189" s="86">
        <v>66</v>
      </c>
      <c r="X189" s="87" t="s">
        <v>397</v>
      </c>
      <c r="Y189" s="88">
        <v>22</v>
      </c>
      <c r="Z189" s="89" t="s">
        <v>397</v>
      </c>
      <c r="AA189" s="88">
        <v>22</v>
      </c>
      <c r="AB189" s="89" t="s">
        <v>397</v>
      </c>
      <c r="AC189" s="86">
        <v>28</v>
      </c>
      <c r="AD189" s="87" t="s">
        <v>398</v>
      </c>
      <c r="AE189" s="88">
        <v>22</v>
      </c>
      <c r="AF189" s="89" t="s">
        <v>397</v>
      </c>
      <c r="AG189" s="88">
        <v>18</v>
      </c>
      <c r="AH189" s="89" t="s">
        <v>397</v>
      </c>
      <c r="AI189" s="90">
        <v>455</v>
      </c>
      <c r="AJ189" s="83" t="s">
        <v>531</v>
      </c>
      <c r="AK189" s="92">
        <v>455</v>
      </c>
      <c r="AL189" s="93" t="s">
        <v>399</v>
      </c>
      <c r="AM189" s="92" t="s">
        <v>400</v>
      </c>
      <c r="AN189" s="72" t="s">
        <v>558</v>
      </c>
    </row>
    <row r="190" spans="1:40" ht="15.75">
      <c r="A190" s="96" t="s">
        <v>546</v>
      </c>
      <c r="B190" s="96" t="s">
        <v>547</v>
      </c>
      <c r="C190" s="97">
        <v>46</v>
      </c>
      <c r="D190" s="98"/>
      <c r="E190" s="99">
        <v>16</v>
      </c>
      <c r="F190" s="100"/>
      <c r="G190" s="97">
        <v>59</v>
      </c>
      <c r="H190" s="98"/>
      <c r="I190" s="99">
        <v>19</v>
      </c>
      <c r="J190" s="100"/>
      <c r="K190" s="97">
        <v>52</v>
      </c>
      <c r="L190" s="98"/>
      <c r="M190" s="99">
        <v>21</v>
      </c>
      <c r="N190" s="100"/>
      <c r="O190" s="99">
        <v>22</v>
      </c>
      <c r="P190" s="100"/>
      <c r="Q190" s="97">
        <v>42</v>
      </c>
      <c r="R190" s="98"/>
      <c r="S190" s="99">
        <v>22</v>
      </c>
      <c r="T190" s="100"/>
      <c r="U190" s="99">
        <v>21</v>
      </c>
      <c r="V190" s="100"/>
      <c r="W190" s="97">
        <v>60</v>
      </c>
      <c r="X190" s="98"/>
      <c r="Y190" s="99">
        <v>20</v>
      </c>
      <c r="Z190" s="100"/>
      <c r="AA190" s="99">
        <v>20</v>
      </c>
      <c r="AB190" s="100"/>
      <c r="AC190" s="97">
        <v>49</v>
      </c>
      <c r="AD190" s="98"/>
      <c r="AE190" s="99">
        <v>22</v>
      </c>
      <c r="AF190" s="100"/>
      <c r="AG190" s="99">
        <v>15</v>
      </c>
      <c r="AH190" s="100"/>
      <c r="AI190" s="101">
        <f>IF(OR(AND(C190&gt;=31,C190&lt;40),AND(G190&gt;=31,G190&lt;40),AND(K190&gt;=31,K190&lt;40),AND(Q190&gt;=31,Q190&lt;40),AND(W190&gt;=31,W190&lt;40),AND(AC190&gt;=31,AC190&lt;40)),IF(AND(OR(COUNTIF(C190:AH190,"=31")&gt;=1,COUNTIF(C190:AH190,"=32")&gt;=1,COUNTIF(C190:AH190,"=33")&gt;=1,COUNTIF(C190:AH190,"=34")&gt;=1,COUNTIF(C190:AH190,"=35")&gt;=1,COUNTIF(C190:AH190,"=36")&gt;=1 ),COUNTIF(C190:AH190,"")=0,COUNTIF(C190:AH190," ")=0,COUNTIF(C190:AH190,"F")=1),CONCATENATE(SUM(EXTRACTNUMBER(C190),EXTRACTNUMBER(E190),
EXTRACTNUMBER(G190),EXTRACTNUMBER(I190),
EXTRACTNUMBER(K190),EXTRACTNUMBER(M190),
EXTRACTNUMBER(O190),EXTRACTNUMBER(Q190),
EXTRACTNUMBER(S190),EXTRACTNUMBER(U190),
EXTRACTNUMBER(W190),EXTRACTNUMBER(Y190),EXTRACTNUMBER(AA190),
EXTRACTNUMBER(AC190),EXTRACTNUMBER(AG190),EXTRACTNUMBER(AE190)),"*"),IF(AND(COUNTIF(C190:AH190,"=34")&gt;=1,COUNTIF(C190:AH190,"=35")&gt;=1,COUNTIF(C190:AH190,"f")=2,COUNTIF(C190:AH190,"")=0,COUNTIF(C190:AH190," ")=0),CONCATENATE(SUM(EXTRACTNUMBER(C190),EXTRACTNUMBER(E190),
EXTRACTNUMBER(G190),EXTRACTNUMBER(I190),
EXTRACTNUMBER(K190),EXTRACTNUMBER(M190),
EXTRACTNUMBER(O190),EXTRACTNUMBER(Q190),
EXTRACTNUMBER(S190),EXTRACTNUMBER(U190),
EXTRACTNUMBER(W190),EXTRACTNUMBER(Y190),EXTRACTNUMBER(AA190),
EXTRACTNUMBER(AC190),EXTRACTNUMBER(AG190),EXTRACTNUMBER(AE190)),"*"),IF(AND(COUNTIF(C190:AH190,"=36")&gt;=2,COUNTIF(C190:AH190,"f")=2,COUNTIF(C190:AH190,"")=0,COUNTIF(C190:AH190," ")=0),CONCATENATE(SUM(EXTRACTNUMBER(C190),EXTRACTNUMBER(E190),
EXTRACTNUMBER(G190),EXTRACTNUMBER(I190),
EXTRACTNUMBER(K190),EXTRACTNUMBER(M190),
EXTRACTNUMBER(O190),EXTRACTNUMBER(Q190),
EXTRACTNUMBER(S190),EXTRACTNUMBER(U190),
EXTRACTNUMBER(W190),EXTRACTNUMBER(Y190),EXTRACTNUMBER(AA190),
EXTRACTNUMBER(AC190),EXTRACTNUMBER(AG190),EXTRACTNUMBER(AE190)),"*"),SUM(EXTRACTNUMBER(C190),EXTRACTNUMBER(E190),
EXTRACTNUMBER(G190),EXTRACTNUMBER(I190),
EXTRACTNUMBER(K190),EXTRACTNUMBER(M190),
EXTRACTNUMBER(O190),EXTRACTNUMBER(Q190),
EXTRACTNUMBER(S190),EXTRACTNUMBER(U190),
EXTRACTNUMBER(W190),EXTRACTNUMBER(Y190),EXTRACTNUMBER(AA190),
EXTRACTNUMBER(AC190),EXTRACTNUMBER(AG190),EXTRACTNUMBER(AE190))))),SUM(EXTRACTNUMBER(C190),EXTRACTNUMBER(E190),
EXTRACTNUMBER(G190),EXTRACTNUMBER(I190),
EXTRACTNUMBER(K190),EXTRACTNUMBER(M190),
EXTRACTNUMBER(O190),EXTRACTNUMBER(Q190),
EXTRACTNUMBER(S190),EXTRACTNUMBER(U190),
EXTRACTNUMBER(W190),EXTRACTNUMBER(Y190),EXTRACTNUMBER(AA190),
EXTRACTNUMBER(AC190),EXTRACTNUMBER(AG190),EXTRACTNUMBER(AE190)))</f>
        <v>506</v>
      </c>
      <c r="AJ190" s="102" t="s">
        <v>621</v>
      </c>
      <c r="AK190" s="103">
        <f t="shared" ref="AK190" si="404">IF(IFERROR(FIND("x",AJ190),0),SUM(EXTRACTNUMBER(AI190),EXTRACTNUMBER(AJ190)),IF(AND(SUM(EXTRACTNUMBER(AI190),EXTRACTNUMBER(AJ190))&gt;1009,SUM(EXTRACTNUMBER(AI190),EXTRACTNUMBER(AJ190))&lt;1020),
CONCATENATE(SUM(EXTRACTNUMBER(AI190),EXTRACTNUMBER(AJ190)),"@",1020-SUM(EXTRACTNUMBER(AI190),EXTRACTNUMBER(AJ190))),
IF(AND(SUM(EXTRACTNUMBER(AI190),EXTRACTNUMBER(AJ190))&gt;839,   SUM(EXTRACTNUMBER(AI190),EXTRACTNUMBER(AJ190))&lt;850),CONCATENATE(SUM(EXTRACTNUMBER(AI190),EXTRACTNUMBER(AJ190)),"@",850-SUM(EXTRACTNUMBER(AI190),EXTRACTNUMBER(AJ190))),
IF(AND(SUM(EXTRACTNUMBER(AI190),EXTRACTNUMBER(AJ190))&gt;669,        SUM(EXTRACTNUMBER(AI190),EXTRACTNUMBER(AJ190))&lt;680),
CONCATENATE(SUM(EXTRACTNUMBER(AI190),EXTRACTNUMBER(AJ190)),"@",680-SUM(EXTRACTNUMBER(AI190),EXTRACTNUMBER(AJ190))),
SUM(EXTRACTNUMBER(AI190),EXTRACTNUMBER(AJ190))))))</f>
        <v>1008</v>
      </c>
      <c r="AL190" s="104" t="s">
        <v>392</v>
      </c>
      <c r="AM190" s="105" t="str">
        <f>IF(AL190="ABSENT","AB",IF(AL190="FAIL","--",
IF(AJ190=0,"RS 3",
IF(AND(SUM(EXTRACTNUMBER(AJ190),EXTRACTNUMBER(AI190))&gt;=1010,
        NOT(IFERROR(FIND("x",AJ190),0)),
        NOT(IFERROR(FIND("x",AI190),0))),"I",
IF(AND(SUM(EXTRACTNUMBER(AJ190),EXTRACTNUMBER(AI190))&gt;=850,
      SUM(EXTRACTNUMBER(AJ190),EXTRACTNUMBER(AI190))&lt;1010,
      NOT(IFERROR(FIND("x",AJ190),0)),
      NOT(IFERROR(FIND("x",AI190),0))),"II",
IF(OR(AND(SUM(EXTRACTNUMBER(AJ190),EXTRACTNUMBER(AI190))&lt;850,
SUM(EXTRACTNUMBER(AJ190),EXTRACTNUMBER(AI190))&gt;=670),
IFERROR(FIND("x",AJ190),0),IFERROR(FIND("x",AI190),0)),"P","--"))))))</f>
        <v>P</v>
      </c>
      <c r="AN190" t="str">
        <f t="shared" ref="AN190" si="405">spellnumber(AK190)</f>
        <v xml:space="preserve">One Thousand Eight </v>
      </c>
    </row>
    <row r="191" spans="1:40" ht="15.75">
      <c r="A191" s="84" t="s">
        <v>548</v>
      </c>
      <c r="B191" s="84" t="s">
        <v>549</v>
      </c>
      <c r="C191" s="86">
        <v>28</v>
      </c>
      <c r="D191" s="87" t="s">
        <v>398</v>
      </c>
      <c r="E191" s="88">
        <v>17</v>
      </c>
      <c r="F191" s="89" t="s">
        <v>397</v>
      </c>
      <c r="G191" s="86">
        <v>50</v>
      </c>
      <c r="H191" s="87" t="s">
        <v>397</v>
      </c>
      <c r="I191" s="88">
        <v>18</v>
      </c>
      <c r="J191" s="89" t="s">
        <v>397</v>
      </c>
      <c r="K191" s="86">
        <v>22</v>
      </c>
      <c r="L191" s="87" t="s">
        <v>398</v>
      </c>
      <c r="M191" s="88">
        <v>16</v>
      </c>
      <c r="N191" s="89" t="s">
        <v>397</v>
      </c>
      <c r="O191" s="88">
        <v>17</v>
      </c>
      <c r="P191" s="89" t="s">
        <v>397</v>
      </c>
      <c r="Q191" s="86">
        <v>40</v>
      </c>
      <c r="R191" s="87" t="s">
        <v>397</v>
      </c>
      <c r="S191" s="88">
        <v>21</v>
      </c>
      <c r="T191" s="89" t="s">
        <v>397</v>
      </c>
      <c r="U191" s="88">
        <v>16</v>
      </c>
      <c r="V191" s="89" t="s">
        <v>397</v>
      </c>
      <c r="W191" s="86">
        <v>42</v>
      </c>
      <c r="X191" s="87" t="s">
        <v>397</v>
      </c>
      <c r="Y191" s="88">
        <v>20</v>
      </c>
      <c r="Z191" s="89" t="s">
        <v>397</v>
      </c>
      <c r="AA191" s="88">
        <v>20</v>
      </c>
      <c r="AB191" s="89" t="s">
        <v>397</v>
      </c>
      <c r="AC191" s="86">
        <v>40</v>
      </c>
      <c r="AD191" s="87" t="s">
        <v>397</v>
      </c>
      <c r="AE191" s="88">
        <v>19</v>
      </c>
      <c r="AF191" s="89" t="s">
        <v>397</v>
      </c>
      <c r="AG191" s="88">
        <v>19</v>
      </c>
      <c r="AH191" s="89" t="s">
        <v>397</v>
      </c>
      <c r="AI191" s="90">
        <v>405</v>
      </c>
      <c r="AJ191" s="83" t="s">
        <v>531</v>
      </c>
      <c r="AK191" s="92">
        <v>405</v>
      </c>
      <c r="AL191" s="93" t="s">
        <v>399</v>
      </c>
      <c r="AM191" s="92" t="s">
        <v>400</v>
      </c>
      <c r="AN191" s="72" t="s">
        <v>559</v>
      </c>
    </row>
    <row r="192" spans="1:40" ht="15.75">
      <c r="A192" s="84" t="s">
        <v>550</v>
      </c>
      <c r="B192" s="84" t="s">
        <v>551</v>
      </c>
      <c r="C192" s="86">
        <v>25</v>
      </c>
      <c r="D192" s="87" t="s">
        <v>398</v>
      </c>
      <c r="E192" s="88" t="s">
        <v>214</v>
      </c>
      <c r="F192" s="89" t="s">
        <v>499</v>
      </c>
      <c r="G192" s="86" t="s">
        <v>207</v>
      </c>
      <c r="H192" s="87" t="s">
        <v>499</v>
      </c>
      <c r="I192" s="88" t="s">
        <v>210</v>
      </c>
      <c r="J192" s="89" t="s">
        <v>499</v>
      </c>
      <c r="K192" s="86" t="s">
        <v>225</v>
      </c>
      <c r="L192" s="87" t="s">
        <v>499</v>
      </c>
      <c r="M192" s="88" t="s">
        <v>206</v>
      </c>
      <c r="N192" s="89" t="s">
        <v>499</v>
      </c>
      <c r="O192" s="88" t="s">
        <v>217</v>
      </c>
      <c r="P192" s="89" t="s">
        <v>499</v>
      </c>
      <c r="Q192" s="86" t="s">
        <v>219</v>
      </c>
      <c r="R192" s="87" t="s">
        <v>499</v>
      </c>
      <c r="S192" s="88" t="s">
        <v>217</v>
      </c>
      <c r="T192" s="89" t="s">
        <v>499</v>
      </c>
      <c r="U192" s="88" t="s">
        <v>214</v>
      </c>
      <c r="V192" s="89" t="s">
        <v>499</v>
      </c>
      <c r="W192" s="86" t="s">
        <v>207</v>
      </c>
      <c r="X192" s="87" t="s">
        <v>499</v>
      </c>
      <c r="Y192" s="88" t="s">
        <v>217</v>
      </c>
      <c r="Z192" s="89" t="s">
        <v>499</v>
      </c>
      <c r="AA192" s="88" t="s">
        <v>217</v>
      </c>
      <c r="AB192" s="89" t="s">
        <v>499</v>
      </c>
      <c r="AC192" s="86" t="s">
        <v>228</v>
      </c>
      <c r="AD192" s="87" t="s">
        <v>499</v>
      </c>
      <c r="AE192" s="88" t="s">
        <v>227</v>
      </c>
      <c r="AF192" s="89" t="s">
        <v>499</v>
      </c>
      <c r="AG192" s="88" t="s">
        <v>224</v>
      </c>
      <c r="AH192" s="89" t="s">
        <v>499</v>
      </c>
      <c r="AI192" s="90">
        <v>409</v>
      </c>
      <c r="AJ192" s="83" t="s">
        <v>531</v>
      </c>
      <c r="AK192" s="92">
        <v>409</v>
      </c>
      <c r="AL192" s="93" t="s">
        <v>399</v>
      </c>
      <c r="AM192" s="92" t="s">
        <v>400</v>
      </c>
      <c r="AN192" s="72" t="s">
        <v>560</v>
      </c>
    </row>
    <row r="193" spans="1:40" ht="15.75">
      <c r="A193" s="84" t="s">
        <v>552</v>
      </c>
      <c r="B193" s="84" t="s">
        <v>553</v>
      </c>
      <c r="C193" s="86">
        <v>18</v>
      </c>
      <c r="D193" s="87" t="s">
        <v>398</v>
      </c>
      <c r="E193" s="88" t="s">
        <v>206</v>
      </c>
      <c r="F193" s="89" t="s">
        <v>499</v>
      </c>
      <c r="G193" s="86">
        <v>58</v>
      </c>
      <c r="H193" s="87" t="s">
        <v>397</v>
      </c>
      <c r="I193" s="88" t="s">
        <v>204</v>
      </c>
      <c r="J193" s="89" t="s">
        <v>499</v>
      </c>
      <c r="K193" s="86" t="s">
        <v>231</v>
      </c>
      <c r="L193" s="87" t="s">
        <v>499</v>
      </c>
      <c r="M193" s="88" t="s">
        <v>204</v>
      </c>
      <c r="N193" s="89" t="s">
        <v>499</v>
      </c>
      <c r="O193" s="88" t="s">
        <v>204</v>
      </c>
      <c r="P193" s="89" t="s">
        <v>499</v>
      </c>
      <c r="Q193" s="86" t="s">
        <v>219</v>
      </c>
      <c r="R193" s="87" t="s">
        <v>499</v>
      </c>
      <c r="S193" s="88" t="s">
        <v>214</v>
      </c>
      <c r="T193" s="89" t="s">
        <v>499</v>
      </c>
      <c r="U193" s="88" t="s">
        <v>214</v>
      </c>
      <c r="V193" s="89" t="s">
        <v>499</v>
      </c>
      <c r="W193" s="86" t="s">
        <v>554</v>
      </c>
      <c r="X193" s="87" t="s">
        <v>499</v>
      </c>
      <c r="Y193" s="88" t="s">
        <v>216</v>
      </c>
      <c r="Z193" s="89" t="s">
        <v>499</v>
      </c>
      <c r="AA193" s="88" t="s">
        <v>217</v>
      </c>
      <c r="AB193" s="89" t="s">
        <v>499</v>
      </c>
      <c r="AC193" s="86" t="s">
        <v>215</v>
      </c>
      <c r="AD193" s="87" t="s">
        <v>499</v>
      </c>
      <c r="AE193" s="88" t="s">
        <v>206</v>
      </c>
      <c r="AF193" s="89" t="s">
        <v>499</v>
      </c>
      <c r="AG193" s="88" t="s">
        <v>218</v>
      </c>
      <c r="AH193" s="89" t="s">
        <v>499</v>
      </c>
      <c r="AI193" s="90">
        <v>436</v>
      </c>
      <c r="AJ193" s="83" t="s">
        <v>531</v>
      </c>
      <c r="AK193" s="92">
        <v>436</v>
      </c>
      <c r="AL193" s="93" t="s">
        <v>399</v>
      </c>
      <c r="AM193" s="92" t="s">
        <v>400</v>
      </c>
      <c r="AN193" s="72" t="s">
        <v>561</v>
      </c>
    </row>
    <row r="194" spans="1:40" ht="15.75">
      <c r="A194" s="84" t="s">
        <v>555</v>
      </c>
      <c r="B194" s="84" t="s">
        <v>556</v>
      </c>
      <c r="C194" s="86">
        <v>20</v>
      </c>
      <c r="D194" s="89" t="s">
        <v>398</v>
      </c>
      <c r="E194" s="88" t="s">
        <v>206</v>
      </c>
      <c r="F194" s="89" t="s">
        <v>499</v>
      </c>
      <c r="G194" s="86" t="s">
        <v>209</v>
      </c>
      <c r="H194" s="89" t="s">
        <v>499</v>
      </c>
      <c r="I194" s="88" t="s">
        <v>206</v>
      </c>
      <c r="J194" s="89" t="s">
        <v>499</v>
      </c>
      <c r="K194" s="86" t="s">
        <v>228</v>
      </c>
      <c r="L194" s="89" t="s">
        <v>499</v>
      </c>
      <c r="M194" s="88" t="s">
        <v>217</v>
      </c>
      <c r="N194" s="89" t="s">
        <v>499</v>
      </c>
      <c r="O194" s="88" t="s">
        <v>214</v>
      </c>
      <c r="P194" s="89" t="s">
        <v>499</v>
      </c>
      <c r="Q194" s="86" t="s">
        <v>207</v>
      </c>
      <c r="R194" s="89" t="s">
        <v>499</v>
      </c>
      <c r="S194" s="88" t="s">
        <v>217</v>
      </c>
      <c r="T194" s="89" t="s">
        <v>499</v>
      </c>
      <c r="U194" s="88" t="s">
        <v>224</v>
      </c>
      <c r="V194" s="89" t="s">
        <v>499</v>
      </c>
      <c r="W194" s="86" t="s">
        <v>207</v>
      </c>
      <c r="X194" s="89" t="s">
        <v>499</v>
      </c>
      <c r="Y194" s="88" t="s">
        <v>217</v>
      </c>
      <c r="Z194" s="89" t="s">
        <v>499</v>
      </c>
      <c r="AA194" s="88" t="s">
        <v>204</v>
      </c>
      <c r="AB194" s="89" t="s">
        <v>499</v>
      </c>
      <c r="AC194" s="86" t="s">
        <v>215</v>
      </c>
      <c r="AD194" s="89" t="s">
        <v>499</v>
      </c>
      <c r="AE194" s="88" t="s">
        <v>214</v>
      </c>
      <c r="AF194" s="89" t="s">
        <v>499</v>
      </c>
      <c r="AG194" s="88" t="s">
        <v>218</v>
      </c>
      <c r="AH194" s="89" t="s">
        <v>499</v>
      </c>
      <c r="AI194" s="90">
        <v>387</v>
      </c>
      <c r="AJ194" s="83" t="s">
        <v>531</v>
      </c>
      <c r="AK194" s="92">
        <v>387</v>
      </c>
      <c r="AL194" s="93" t="s">
        <v>399</v>
      </c>
      <c r="AM194" s="92" t="s">
        <v>400</v>
      </c>
      <c r="AN194" s="72" t="s">
        <v>562</v>
      </c>
    </row>
  </sheetData>
  <conditionalFormatting sqref="AD3:AD183 H3:H183 L3:L183 R3:R183 X3:X183 F3:F183 J3:J183 N3:N183 P3:P183 T3:T183 V3:V183 Z3:Z183 AB3:AB183 AF3:AF183 AH3:AI183 C2:C183 G2:G183 K2:K183 Q2:Q183 W2:W183 AC2:AC183">
    <cfRule type="cellIs" dxfId="161" priority="162" operator="lessThan">
      <formula>40</formula>
    </cfRule>
  </conditionalFormatting>
  <conditionalFormatting sqref="D2:D183 F2:F183 J2:J183 N2:N183 P2:P183 T2:T183 V2:V183 Z2:Z183 AB2:AB183 AF2:AF183 AH2:AH183 H2:H183 L2:L183 R2:R183 X2:X183 AD2:AD183">
    <cfRule type="cellIs" dxfId="160" priority="161" operator="equal">
      <formula>"F"</formula>
    </cfRule>
  </conditionalFormatting>
  <conditionalFormatting sqref="AL2:AL183">
    <cfRule type="cellIs" dxfId="159" priority="160" operator="equal">
      <formula>"FAIL"</formula>
    </cfRule>
  </conditionalFormatting>
  <conditionalFormatting sqref="O2:O183 U2:U183 AA2:AA183 AG2:AG183">
    <cfRule type="cellIs" dxfId="158" priority="159" operator="lessThan">
      <formula>10</formula>
    </cfRule>
  </conditionalFormatting>
  <conditionalFormatting sqref="C2:C183 E2:E183 I2:I183 M2:M183 O2:O183 S2:S183 U2:U183 Y2:Y183 AA2:AA183 AE2:AE183 AG2:AG183 G2:G183 K2:K183 Q2:Q183 W2:W183 AC2:AC183">
    <cfRule type="cellIs" dxfId="157" priority="158" operator="equal">
      <formula>"AB"</formula>
    </cfRule>
  </conditionalFormatting>
  <conditionalFormatting sqref="C184:C194 E184:E194 I184:I194 M184:M194 O184:O194 S184:S194 U184:U194 Y184:Y194 AA184:AA194 AE184:AE194 AG184:AG194 G184:G194 K184:K194 Q184:Q194 W184:W194 AC184:AC194">
    <cfRule type="cellIs" dxfId="156" priority="157" operator="equal">
      <formula>"AB"</formula>
    </cfRule>
  </conditionalFormatting>
  <conditionalFormatting sqref="C184:C194 G184:G194 K184:K194 Q184:Q194 W184:W194 AC184:AC194">
    <cfRule type="cellIs" dxfId="155" priority="156" operator="lessThan">
      <formula>40</formula>
    </cfRule>
  </conditionalFormatting>
  <conditionalFormatting sqref="E184:E194 I184:I194 M184:M194 O184:O194 S184:S194 U184:U194 Y184:Y194 AA184:AA194 AE184:AE194 AG184:AG194">
    <cfRule type="cellIs" dxfId="154" priority="155" operator="lessThan">
      <formula>10</formula>
    </cfRule>
  </conditionalFormatting>
  <conditionalFormatting sqref="AL184:AL194">
    <cfRule type="cellIs" dxfId="153" priority="154" operator="equal">
      <formula>"FAIL"</formula>
    </cfRule>
  </conditionalFormatting>
  <conditionalFormatting sqref="N11 T11 Z11 AF11 AH11:AI11 C11 F11:H11 J11:L11 P11:R11 V11:X11 AB11:AD11">
    <cfRule type="cellIs" dxfId="152" priority="153" operator="lessThan">
      <formula>40</formula>
    </cfRule>
  </conditionalFormatting>
  <conditionalFormatting sqref="D11 F11 J11 N11 P11 T11 V11 Z11 AB11 AF11 AH11 H11 L11 R11 X11 AD11">
    <cfRule type="cellIs" dxfId="151" priority="152" operator="equal">
      <formula>"F"</formula>
    </cfRule>
  </conditionalFormatting>
  <conditionalFormatting sqref="AL11">
    <cfRule type="cellIs" dxfId="150" priority="151" operator="equal">
      <formula>"FAIL"</formula>
    </cfRule>
  </conditionalFormatting>
  <conditionalFormatting sqref="O11 U11 AA11 AG11">
    <cfRule type="cellIs" dxfId="149" priority="150" operator="lessThan">
      <formula>10</formula>
    </cfRule>
  </conditionalFormatting>
  <conditionalFormatting sqref="C11 E11 I11 M11 O11 S11 U11 Y11 AA11 AE11 AG11 G11 K11 Q11 W11 AC11">
    <cfRule type="cellIs" dxfId="148" priority="149" operator="equal">
      <formula>"AB"</formula>
    </cfRule>
  </conditionalFormatting>
  <conditionalFormatting sqref="N42 T42 Z42 AF42 AH42:AI42 C42 F42:H42 J42:L42 P42:R42 V42:X42 AB42:AD42">
    <cfRule type="cellIs" dxfId="147" priority="148" operator="lessThan">
      <formula>40</formula>
    </cfRule>
  </conditionalFormatting>
  <conditionalFormatting sqref="D42 F42 J42 N42 P42 T42 V42 Z42 AB42 AF42 AH42 H42 L42 R42 X42 AD42">
    <cfRule type="cellIs" dxfId="146" priority="147" operator="equal">
      <formula>"F"</formula>
    </cfRule>
  </conditionalFormatting>
  <conditionalFormatting sqref="AL42">
    <cfRule type="cellIs" dxfId="145" priority="146" operator="equal">
      <formula>"FAIL"</formula>
    </cfRule>
  </conditionalFormatting>
  <conditionalFormatting sqref="O42 U42 AA42 AG42">
    <cfRule type="cellIs" dxfId="144" priority="145" operator="lessThan">
      <formula>10</formula>
    </cfRule>
  </conditionalFormatting>
  <conditionalFormatting sqref="C42 E42 I42 M42 O42 S42 U42 Y42 AA42 AE42 AG42 G42 K42 Q42 W42 AC42">
    <cfRule type="cellIs" dxfId="143" priority="144" operator="equal">
      <formula>"AB"</formula>
    </cfRule>
  </conditionalFormatting>
  <conditionalFormatting sqref="N27 T27 Z27 AF27 AH27:AI27 C27 F27:H27 J27:L27 P27:R27 V27:X27 AB27:AD27">
    <cfRule type="cellIs" dxfId="142" priority="143" operator="lessThan">
      <formula>40</formula>
    </cfRule>
  </conditionalFormatting>
  <conditionalFormatting sqref="D27 F27 J27 N27 P27 T27 V27 Z27 AB27 AF27 AH27 H27 L27 R27 X27 AD27">
    <cfRule type="cellIs" dxfId="141" priority="142" operator="equal">
      <formula>"F"</formula>
    </cfRule>
  </conditionalFormatting>
  <conditionalFormatting sqref="AL27">
    <cfRule type="cellIs" dxfId="140" priority="141" operator="equal">
      <formula>"FAIL"</formula>
    </cfRule>
  </conditionalFormatting>
  <conditionalFormatting sqref="O27 U27 AA27 AG27">
    <cfRule type="cellIs" dxfId="139" priority="140" operator="lessThan">
      <formula>10</formula>
    </cfRule>
  </conditionalFormatting>
  <conditionalFormatting sqref="C27 E27 I27 M27 O27 S27 U27 Y27 AA27 AE27 AG27 G27 K27 Q27 W27 AC27">
    <cfRule type="cellIs" dxfId="138" priority="139" operator="equal">
      <formula>"AB"</formula>
    </cfRule>
  </conditionalFormatting>
  <conditionalFormatting sqref="N66 T66 Z66 AF66 AH66:AI66 C66 F66:H66 J66:L66 P66:R66 V66:X66 AB66:AD66">
    <cfRule type="cellIs" dxfId="137" priority="138" operator="lessThan">
      <formula>40</formula>
    </cfRule>
  </conditionalFormatting>
  <conditionalFormatting sqref="D66 F66 J66 N66 P66 T66 V66 Z66 AB66 AF66 AH66 H66 L66 R66 X66 AD66">
    <cfRule type="cellIs" dxfId="136" priority="137" operator="equal">
      <formula>"F"</formula>
    </cfRule>
  </conditionalFormatting>
  <conditionalFormatting sqref="AL66">
    <cfRule type="cellIs" dxfId="135" priority="136" operator="equal">
      <formula>"FAIL"</formula>
    </cfRule>
  </conditionalFormatting>
  <conditionalFormatting sqref="O66 U66 AA66 AG66">
    <cfRule type="cellIs" dxfId="134" priority="135" operator="lessThan">
      <formula>10</formula>
    </cfRule>
  </conditionalFormatting>
  <conditionalFormatting sqref="C66 E66 I66 M66 O66 S66 U66 Y66 AA66 AE66 AG66 G66 K66 Q66 W66 AC66">
    <cfRule type="cellIs" dxfId="133" priority="134" operator="equal">
      <formula>"AB"</formula>
    </cfRule>
  </conditionalFormatting>
  <conditionalFormatting sqref="N134 T134 Z134 AF134 AH134:AI134 C134 F134:H134 J134:L134 P134:R134 V134:X134 AB134:AD134">
    <cfRule type="cellIs" dxfId="132" priority="133" operator="lessThan">
      <formula>40</formula>
    </cfRule>
  </conditionalFormatting>
  <conditionalFormatting sqref="D134 F134 J134 N134 P134 T134 V134 Z134 AB134 AF134 AH134 H134 L134 R134 X134 AD134">
    <cfRule type="cellIs" dxfId="131" priority="132" operator="equal">
      <formula>"F"</formula>
    </cfRule>
  </conditionalFormatting>
  <conditionalFormatting sqref="AL134">
    <cfRule type="cellIs" dxfId="130" priority="131" operator="equal">
      <formula>"FAIL"</formula>
    </cfRule>
  </conditionalFormatting>
  <conditionalFormatting sqref="O134 U134 AA134 AG134">
    <cfRule type="cellIs" dxfId="129" priority="130" operator="lessThan">
      <formula>10</formula>
    </cfRule>
  </conditionalFormatting>
  <conditionalFormatting sqref="C134 E134 I134 M134 O134 S134 U134 Y134 AA134 AE134 AG134 G134 K134 Q134 W134 AC134">
    <cfRule type="cellIs" dxfId="128" priority="129" operator="equal">
      <formula>"AB"</formula>
    </cfRule>
  </conditionalFormatting>
  <conditionalFormatting sqref="N75 T75 Z75 AF75 AH75:AI75 C75 F75:H75 J75:L75 P75:R75 V75:X75 AB75:AD75">
    <cfRule type="cellIs" dxfId="127" priority="128" operator="lessThan">
      <formula>40</formula>
    </cfRule>
  </conditionalFormatting>
  <conditionalFormatting sqref="D75 F75 J75 N75 P75 T75 V75 Z75 AB75 AF75 AH75 H75 L75 R75 X75 AD75">
    <cfRule type="cellIs" dxfId="126" priority="127" operator="equal">
      <formula>"F"</formula>
    </cfRule>
  </conditionalFormatting>
  <conditionalFormatting sqref="AL75">
    <cfRule type="cellIs" dxfId="125" priority="126" operator="equal">
      <formula>"FAIL"</formula>
    </cfRule>
  </conditionalFormatting>
  <conditionalFormatting sqref="O75 U75 AA75 AG75">
    <cfRule type="cellIs" dxfId="124" priority="125" operator="lessThan">
      <formula>10</formula>
    </cfRule>
  </conditionalFormatting>
  <conditionalFormatting sqref="C75 E75 I75 M75 O75 S75 U75 Y75 AA75 AE75 AG75 G75 K75 Q75 W75 AC75">
    <cfRule type="cellIs" dxfId="123" priority="124" operator="equal">
      <formula>"AB"</formula>
    </cfRule>
  </conditionalFormatting>
  <conditionalFormatting sqref="C190 E190 I190 M190 O190 S190 U190 Y190 AA190 AE190 AG190 G190 K190 Q190 W190 AC190">
    <cfRule type="cellIs" dxfId="122" priority="123" operator="equal">
      <formula>"AB"</formula>
    </cfRule>
  </conditionalFormatting>
  <conditionalFormatting sqref="C190 G190 K190 Q190 W190 AC190">
    <cfRule type="cellIs" dxfId="121" priority="122" operator="lessThan">
      <formula>40</formula>
    </cfRule>
  </conditionalFormatting>
  <conditionalFormatting sqref="E190 I190 M190 O190 S190 U190 Y190 AA190 AE190 AG190">
    <cfRule type="cellIs" dxfId="120" priority="121" operator="lessThan">
      <formula>10</formula>
    </cfRule>
  </conditionalFormatting>
  <conditionalFormatting sqref="AL190">
    <cfRule type="cellIs" dxfId="119" priority="120" operator="equal">
      <formula>"FAIL"</formula>
    </cfRule>
  </conditionalFormatting>
  <conditionalFormatting sqref="C190 E190 I190 M190 O190 S190 U190 Y190 AA190 AE190 AG190 G190 K190 Q190 W190 AC190">
    <cfRule type="cellIs" dxfId="118" priority="119" operator="equal">
      <formula>"AB"</formula>
    </cfRule>
  </conditionalFormatting>
  <conditionalFormatting sqref="C190 G190 K190 Q190 W190 AC190">
    <cfRule type="cellIs" dxfId="117" priority="118" operator="lessThan">
      <formula>40</formula>
    </cfRule>
  </conditionalFormatting>
  <conditionalFormatting sqref="E190 I190 M190 O190 S190 U190 Y190 AA190 AE190 AG190">
    <cfRule type="cellIs" dxfId="116" priority="117" operator="lessThan">
      <formula>10</formula>
    </cfRule>
  </conditionalFormatting>
  <conditionalFormatting sqref="AL190">
    <cfRule type="cellIs" dxfId="115" priority="116" operator="equal">
      <formula>"FAIL"</formula>
    </cfRule>
  </conditionalFormatting>
  <conditionalFormatting sqref="N65 T65 Z65 AF65 AH65:AI65 C65 F65:H65 J65:L65 P65:R65 V65:X65 AB65:AD65">
    <cfRule type="cellIs" dxfId="114" priority="115" operator="lessThan">
      <formula>40</formula>
    </cfRule>
  </conditionalFormatting>
  <conditionalFormatting sqref="D65 F65 J65 N65 P65 T65 V65 Z65 AB65 AF65 AH65 H65 L65 R65 X65 AD65">
    <cfRule type="cellIs" dxfId="113" priority="114" operator="equal">
      <formula>"F"</formula>
    </cfRule>
  </conditionalFormatting>
  <conditionalFormatting sqref="AL65">
    <cfRule type="cellIs" dxfId="112" priority="113" operator="equal">
      <formula>"FAIL"</formula>
    </cfRule>
  </conditionalFormatting>
  <conditionalFormatting sqref="O65 U65 AA65 AG65">
    <cfRule type="cellIs" dxfId="111" priority="112" operator="lessThan">
      <formula>10</formula>
    </cfRule>
  </conditionalFormatting>
  <conditionalFormatting sqref="C65 E65 I65 M65 O65 S65 U65 Y65 AA65 AE65 AG65 G65 K65 Q65 W65 AC65">
    <cfRule type="cellIs" dxfId="110" priority="111" operator="equal">
      <formula>"AB"</formula>
    </cfRule>
  </conditionalFormatting>
  <conditionalFormatting sqref="N65 T65 Z65 AF65 AH65:AI65 C65 F65:H65 J65:L65 P65:R65 V65:X65 AB65:AD65">
    <cfRule type="cellIs" dxfId="109" priority="110" operator="lessThan">
      <formula>40</formula>
    </cfRule>
  </conditionalFormatting>
  <conditionalFormatting sqref="D65 F65 J65 N65 P65 T65 V65 Z65 AB65 AF65 AH65 H65 L65 R65 X65 AD65">
    <cfRule type="cellIs" dxfId="108" priority="109" operator="equal">
      <formula>"F"</formula>
    </cfRule>
  </conditionalFormatting>
  <conditionalFormatting sqref="AL65">
    <cfRule type="cellIs" dxfId="107" priority="108" operator="equal">
      <formula>"FAIL"</formula>
    </cfRule>
  </conditionalFormatting>
  <conditionalFormatting sqref="O65 U65 AA65 AG65">
    <cfRule type="cellIs" dxfId="106" priority="107" operator="lessThan">
      <formula>10</formula>
    </cfRule>
  </conditionalFormatting>
  <conditionalFormatting sqref="C65 E65 I65 M65 O65 S65 U65 Y65 AA65 AE65 AG65 G65 K65 Q65 W65 AC65">
    <cfRule type="cellIs" dxfId="105" priority="106" operator="equal">
      <formula>"AB"</formula>
    </cfRule>
  </conditionalFormatting>
  <conditionalFormatting sqref="N175 T175 Z175 AF175 AH175:AI175 C175 F175:H175 J175:L175 P175:R175 V175:X175 AB175:AD175">
    <cfRule type="cellIs" dxfId="104" priority="105" operator="lessThan">
      <formula>40</formula>
    </cfRule>
  </conditionalFormatting>
  <conditionalFormatting sqref="D175 F175 J175 N175 P175 T175 V175 Z175 AB175 AF175 AH175 H175 L175 R175 X175 AD175">
    <cfRule type="cellIs" dxfId="103" priority="104" operator="equal">
      <formula>"F"</formula>
    </cfRule>
  </conditionalFormatting>
  <conditionalFormatting sqref="AL175">
    <cfRule type="cellIs" dxfId="102" priority="103" operator="equal">
      <formula>"FAIL"</formula>
    </cfRule>
  </conditionalFormatting>
  <conditionalFormatting sqref="O175 U175 AA175 AG175">
    <cfRule type="cellIs" dxfId="101" priority="102" operator="lessThan">
      <formula>10</formula>
    </cfRule>
  </conditionalFormatting>
  <conditionalFormatting sqref="C175 E175 I175 M175 O175 S175 U175 Y175 AA175 AE175 AG175 G175 K175 Q175 W175 AC175">
    <cfRule type="cellIs" dxfId="100" priority="101" operator="equal">
      <formula>"AB"</formula>
    </cfRule>
  </conditionalFormatting>
  <conditionalFormatting sqref="N169 T169 Z169 AF169 AH169:AI169 C169 F169:H169 J169:L169 P169:R169 V169:X169 AB169:AD169">
    <cfRule type="cellIs" dxfId="99" priority="100" operator="lessThan">
      <formula>40</formula>
    </cfRule>
  </conditionalFormatting>
  <conditionalFormatting sqref="D169 F169 J169 N169 P169 T169 V169 Z169 AB169 AF169 AH169 H169 L169 R169 X169 AD169">
    <cfRule type="cellIs" dxfId="98" priority="99" operator="equal">
      <formula>"F"</formula>
    </cfRule>
  </conditionalFormatting>
  <conditionalFormatting sqref="AL169">
    <cfRule type="cellIs" dxfId="97" priority="98" operator="equal">
      <formula>"FAIL"</formula>
    </cfRule>
  </conditionalFormatting>
  <conditionalFormatting sqref="O169 U169 AA169 AG169">
    <cfRule type="cellIs" dxfId="96" priority="97" operator="lessThan">
      <formula>10</formula>
    </cfRule>
  </conditionalFormatting>
  <conditionalFormatting sqref="C169 E169 I169 M169 O169 S169 U169 Y169 AA169 AE169 AG169 G169 K169 Q169 W169 AC169">
    <cfRule type="cellIs" dxfId="95" priority="96" operator="equal">
      <formula>"AB"</formula>
    </cfRule>
  </conditionalFormatting>
  <conditionalFormatting sqref="N77 T77 Z77 AF77 AH77:AI77 C77 F77:H77 J77:L77 P77:R77 V77:X77 AB77:AD77">
    <cfRule type="cellIs" dxfId="94" priority="95" operator="lessThan">
      <formula>40</formula>
    </cfRule>
  </conditionalFormatting>
  <conditionalFormatting sqref="D77 F77 J77 N77 P77 T77 V77 Z77 AB77 AF77 AH77 H77 L77 R77 X77 AD77">
    <cfRule type="cellIs" dxfId="93" priority="94" operator="equal">
      <formula>"F"</formula>
    </cfRule>
  </conditionalFormatting>
  <conditionalFormatting sqref="AL77">
    <cfRule type="cellIs" dxfId="92" priority="93" operator="equal">
      <formula>"FAIL"</formula>
    </cfRule>
  </conditionalFormatting>
  <conditionalFormatting sqref="O77 U77 AA77 AG77">
    <cfRule type="cellIs" dxfId="91" priority="92" operator="lessThan">
      <formula>10</formula>
    </cfRule>
  </conditionalFormatting>
  <conditionalFormatting sqref="C77 E77 I77 M77 O77 S77 U77 Y77 AA77 AE77 AG77 G77 K77 Q77 W77 AC77">
    <cfRule type="cellIs" dxfId="90" priority="91" operator="equal">
      <formula>"AB"</formula>
    </cfRule>
  </conditionalFormatting>
  <conditionalFormatting sqref="N158 T158 Z158 AF158 AH158:AI158 C158 F158:H158 J158:L158 P158:R158 V158:X158 AB158:AD158">
    <cfRule type="cellIs" dxfId="89" priority="90" operator="lessThan">
      <formula>40</formula>
    </cfRule>
  </conditionalFormatting>
  <conditionalFormatting sqref="D158 F158 J158 N158 P158 T158 V158 Z158 AB158 AF158 AH158 H158 L158 R158 X158 AD158">
    <cfRule type="cellIs" dxfId="88" priority="89" operator="equal">
      <formula>"F"</formula>
    </cfRule>
  </conditionalFormatting>
  <conditionalFormatting sqref="AL158">
    <cfRule type="cellIs" dxfId="87" priority="88" operator="equal">
      <formula>"FAIL"</formula>
    </cfRule>
  </conditionalFormatting>
  <conditionalFormatting sqref="O158 U158 AA158 AG158">
    <cfRule type="cellIs" dxfId="86" priority="87" operator="lessThan">
      <formula>10</formula>
    </cfRule>
  </conditionalFormatting>
  <conditionalFormatting sqref="C158 E158 I158 M158 O158 S158 U158 Y158 AA158 AE158 AG158 G158 K158 Q158 W158 AC158">
    <cfRule type="cellIs" dxfId="85" priority="86" operator="equal">
      <formula>"AB"</formula>
    </cfRule>
  </conditionalFormatting>
  <conditionalFormatting sqref="N71 T71 Z71 AF71 AH71:AI71 C71 F71:H71 J71:L71 P71:R71 V71:X71 AB71:AD71">
    <cfRule type="cellIs" dxfId="84" priority="85" operator="lessThan">
      <formula>40</formula>
    </cfRule>
  </conditionalFormatting>
  <conditionalFormatting sqref="D71 F71 J71 N71 P71 T71 V71 Z71 AB71 AF71 AH71 H71 L71 R71 X71 AD71">
    <cfRule type="cellIs" dxfId="83" priority="84" operator="equal">
      <formula>"F"</formula>
    </cfRule>
  </conditionalFormatting>
  <conditionalFormatting sqref="AL71">
    <cfRule type="cellIs" dxfId="82" priority="83" operator="equal">
      <formula>"FAIL"</formula>
    </cfRule>
  </conditionalFormatting>
  <conditionalFormatting sqref="O71 U71 AA71 AG71">
    <cfRule type="cellIs" dxfId="81" priority="82" operator="lessThan">
      <formula>10</formula>
    </cfRule>
  </conditionalFormatting>
  <conditionalFormatting sqref="C71 E71 I71 M71 O71 S71 U71 Y71 AA71 AE71 AG71 G71 K71 Q71 W71 AC71">
    <cfRule type="cellIs" dxfId="80" priority="81" operator="equal">
      <formula>"AB"</formula>
    </cfRule>
  </conditionalFormatting>
  <conditionalFormatting sqref="N70 T70 Z70 AF70 AH70:AI70 C70 F70:H70 J70:L70 P70:R70 V70:X70 AB70:AD70">
    <cfRule type="cellIs" dxfId="79" priority="80" operator="lessThan">
      <formula>40</formula>
    </cfRule>
  </conditionalFormatting>
  <conditionalFormatting sqref="D70 F70 J70 N70 P70 T70 V70 Z70 AB70 AF70 AH70 H70 L70 R70 X70 AD70">
    <cfRule type="cellIs" dxfId="78" priority="79" operator="equal">
      <formula>"F"</formula>
    </cfRule>
  </conditionalFormatting>
  <conditionalFormatting sqref="AL70">
    <cfRule type="cellIs" dxfId="77" priority="78" operator="equal">
      <formula>"FAIL"</formula>
    </cfRule>
  </conditionalFormatting>
  <conditionalFormatting sqref="O70 U70 AA70 AG70">
    <cfRule type="cellIs" dxfId="76" priority="77" operator="lessThan">
      <formula>10</formula>
    </cfRule>
  </conditionalFormatting>
  <conditionalFormatting sqref="C70 E70 I70 M70 O70 S70 U70 Y70 AA70 AE70 AG70 G70 K70 Q70 W70 AC70">
    <cfRule type="cellIs" dxfId="75" priority="76" operator="equal">
      <formula>"AB"</formula>
    </cfRule>
  </conditionalFormatting>
  <conditionalFormatting sqref="N6 T6 Z6 AF6 AH6:AI6 C6 F6:H6 J6:L6 P6:R6 V6:X6 AB6:AD6">
    <cfRule type="cellIs" dxfId="74" priority="75" operator="lessThan">
      <formula>40</formula>
    </cfRule>
  </conditionalFormatting>
  <conditionalFormatting sqref="D6 F6 J6 N6 P6 T6 V6 Z6 AB6 AF6 AH6 H6 L6 R6 X6 AD6">
    <cfRule type="cellIs" dxfId="73" priority="74" operator="equal">
      <formula>"F"</formula>
    </cfRule>
  </conditionalFormatting>
  <conditionalFormatting sqref="AL6">
    <cfRule type="cellIs" dxfId="72" priority="73" operator="equal">
      <formula>"FAIL"</formula>
    </cfRule>
  </conditionalFormatting>
  <conditionalFormatting sqref="O6 U6 AA6 AG6">
    <cfRule type="cellIs" dxfId="71" priority="72" operator="lessThan">
      <formula>10</formula>
    </cfRule>
  </conditionalFormatting>
  <conditionalFormatting sqref="C6 E6 I6 M6 O6 S6 U6 Y6 AA6 AE6 AG6 G6 K6 Q6 W6 AC6">
    <cfRule type="cellIs" dxfId="70" priority="71" operator="equal">
      <formula>"AB"</formula>
    </cfRule>
  </conditionalFormatting>
  <conditionalFormatting sqref="N97 T97 Z97 AF97 AH97:AI97 C97 F97:H97 J97:L97 P97:R97 V97:X97 AB97:AD97">
    <cfRule type="cellIs" dxfId="69" priority="70" operator="lessThan">
      <formula>40</formula>
    </cfRule>
  </conditionalFormatting>
  <conditionalFormatting sqref="D97 F97 J97 N97 P97 T97 V97 Z97 AB97 AF97 AH97 H97 L97 R97 X97 AD97">
    <cfRule type="cellIs" dxfId="68" priority="69" operator="equal">
      <formula>"F"</formula>
    </cfRule>
  </conditionalFormatting>
  <conditionalFormatting sqref="AL97">
    <cfRule type="cellIs" dxfId="67" priority="68" operator="equal">
      <formula>"FAIL"</formula>
    </cfRule>
  </conditionalFormatting>
  <conditionalFormatting sqref="O97 U97 AA97 AG97">
    <cfRule type="cellIs" dxfId="66" priority="67" operator="lessThan">
      <formula>10</formula>
    </cfRule>
  </conditionalFormatting>
  <conditionalFormatting sqref="C97 E97 I97 M97 O97 S97 U97 Y97 AA97 AE97 AG97 G97 K97 Q97 W97 AC97">
    <cfRule type="cellIs" dxfId="65" priority="66" operator="equal">
      <formula>"AB"</formula>
    </cfRule>
  </conditionalFormatting>
  <conditionalFormatting sqref="N127 T127 Z127 AF127 AH127:AI127 C127 F127:H127 J127:L127 P127:R127 V127:X127 AB127:AD127">
    <cfRule type="cellIs" dxfId="64" priority="65" operator="lessThan">
      <formula>40</formula>
    </cfRule>
  </conditionalFormatting>
  <conditionalFormatting sqref="D127 F127 J127 N127 P127 T127 V127 Z127 AB127 AF127 AH127 H127 L127 R127 X127 AD127">
    <cfRule type="cellIs" dxfId="63" priority="64" operator="equal">
      <formula>"F"</formula>
    </cfRule>
  </conditionalFormatting>
  <conditionalFormatting sqref="AL127">
    <cfRule type="cellIs" dxfId="62" priority="63" operator="equal">
      <formula>"FAIL"</formula>
    </cfRule>
  </conditionalFormatting>
  <conditionalFormatting sqref="O127 U127 AA127 AG127">
    <cfRule type="cellIs" dxfId="61" priority="62" operator="lessThan">
      <formula>10</formula>
    </cfRule>
  </conditionalFormatting>
  <conditionalFormatting sqref="C127 E127 I127 M127 O127 S127 U127 Y127 AA127 AE127 AG127 G127 K127 Q127 W127 AC127">
    <cfRule type="cellIs" dxfId="60" priority="61" operator="equal">
      <formula>"AB"</formula>
    </cfRule>
  </conditionalFormatting>
  <conditionalFormatting sqref="N141 T141 Z141 AF141 AH141:AI141 C141 F141:H141 J141:L141 P141:R141 V141:X141 AB141:AD141">
    <cfRule type="cellIs" dxfId="59" priority="60" operator="lessThan">
      <formula>40</formula>
    </cfRule>
  </conditionalFormatting>
  <conditionalFormatting sqref="D141 F141 J141 N141 P141 T141 V141 Z141 AB141 AF141 AH141 H141 L141 R141 X141 AD141">
    <cfRule type="cellIs" dxfId="58" priority="59" operator="equal">
      <formula>"F"</formula>
    </cfRule>
  </conditionalFormatting>
  <conditionalFormatting sqref="AL141">
    <cfRule type="cellIs" dxfId="57" priority="58" operator="equal">
      <formula>"FAIL"</formula>
    </cfRule>
  </conditionalFormatting>
  <conditionalFormatting sqref="O141 U141 AA141 AG141">
    <cfRule type="cellIs" dxfId="56" priority="57" operator="lessThan">
      <formula>10</formula>
    </cfRule>
  </conditionalFormatting>
  <conditionalFormatting sqref="C141 E141 I141 M141 O141 S141 U141 Y141 AA141 AE141 AG141 G141 K141 Q141 W141 AC141">
    <cfRule type="cellIs" dxfId="55" priority="56" operator="equal">
      <formula>"AB"</formula>
    </cfRule>
  </conditionalFormatting>
  <conditionalFormatting sqref="N58 T58 Z58 AF58 AH58:AI58 C58 F58:H58 J58:L58 P58:R58 V58:X58 AB58:AD58">
    <cfRule type="cellIs" dxfId="54" priority="55" operator="lessThan">
      <formula>40</formula>
    </cfRule>
  </conditionalFormatting>
  <conditionalFormatting sqref="D58 F58 J58 N58 P58 T58 V58 Z58 AB58 AF58 AH58 H58 L58 R58 X58 AD58">
    <cfRule type="cellIs" dxfId="53" priority="54" operator="equal">
      <formula>"F"</formula>
    </cfRule>
  </conditionalFormatting>
  <conditionalFormatting sqref="AL58">
    <cfRule type="cellIs" dxfId="52" priority="53" operator="equal">
      <formula>"FAIL"</formula>
    </cfRule>
  </conditionalFormatting>
  <conditionalFormatting sqref="O58 U58 AA58 AG58">
    <cfRule type="cellIs" dxfId="51" priority="52" operator="lessThan">
      <formula>10</formula>
    </cfRule>
  </conditionalFormatting>
  <conditionalFormatting sqref="C58 E58 I58 M58 O58 S58 U58 Y58 AA58 AE58 AG58 G58 K58 Q58 W58 AC58">
    <cfRule type="cellIs" dxfId="50" priority="51" operator="equal">
      <formula>"AB"</formula>
    </cfRule>
  </conditionalFormatting>
  <conditionalFormatting sqref="N58 T58 Z58 AF58 AH58:AI58 C58 F58:H58 J58:L58 P58:R58 V58:X58 AB58:AD58">
    <cfRule type="cellIs" dxfId="49" priority="50" operator="lessThan">
      <formula>40</formula>
    </cfRule>
  </conditionalFormatting>
  <conditionalFormatting sqref="D58 F58 J58 N58 P58 T58 V58 Z58 AB58 AF58 AH58 H58 L58 R58 X58 AD58">
    <cfRule type="cellIs" dxfId="48" priority="49" operator="equal">
      <formula>"F"</formula>
    </cfRule>
  </conditionalFormatting>
  <conditionalFormatting sqref="AL58">
    <cfRule type="cellIs" dxfId="47" priority="48" operator="equal">
      <formula>"FAIL"</formula>
    </cfRule>
  </conditionalFormatting>
  <conditionalFormatting sqref="O58 U58 AA58 AG58">
    <cfRule type="cellIs" dxfId="46" priority="47" operator="lessThan">
      <formula>10</formula>
    </cfRule>
  </conditionalFormatting>
  <conditionalFormatting sqref="C58 E58 I58 M58 O58 S58 U58 Y58 AA58 AE58 AG58 G58 K58 Q58 W58 AC58">
    <cfRule type="cellIs" dxfId="45" priority="46" operator="equal">
      <formula>"AB"</formula>
    </cfRule>
  </conditionalFormatting>
  <conditionalFormatting sqref="N58 T58 Z58 AF58 AH58:AI58 C58 F58:H58 J58:L58 P58:R58 V58:X58 AB58:AD58">
    <cfRule type="cellIs" dxfId="44" priority="45" operator="lessThan">
      <formula>40</formula>
    </cfRule>
  </conditionalFormatting>
  <conditionalFormatting sqref="D58 F58 J58 N58 P58 T58 V58 Z58 AB58 AF58 AH58 H58 L58 R58 X58 AD58">
    <cfRule type="cellIs" dxfId="43" priority="44" operator="equal">
      <formula>"F"</formula>
    </cfRule>
  </conditionalFormatting>
  <conditionalFormatting sqref="AL58">
    <cfRule type="cellIs" dxfId="42" priority="43" operator="equal">
      <formula>"FAIL"</formula>
    </cfRule>
  </conditionalFormatting>
  <conditionalFormatting sqref="O58 U58 AA58 AG58">
    <cfRule type="cellIs" dxfId="41" priority="42" operator="lessThan">
      <formula>10</formula>
    </cfRule>
  </conditionalFormatting>
  <conditionalFormatting sqref="C58 E58 I58 M58 O58 S58 U58 Y58 AA58 AE58 AG58 G58 K58 Q58 W58 AC58">
    <cfRule type="cellIs" dxfId="40" priority="41" operator="equal">
      <formula>"AB"</formula>
    </cfRule>
  </conditionalFormatting>
  <conditionalFormatting sqref="N124 T124 Z124 AF124 AH124:AI124 C124 F124:H124 J124:L124 P124:R124 V124:X124 AB124:AD124">
    <cfRule type="cellIs" dxfId="39" priority="40" operator="lessThan">
      <formula>40</formula>
    </cfRule>
  </conditionalFormatting>
  <conditionalFormatting sqref="D124 F124 J124 N124 P124 T124 V124 Z124 AB124 AF124 AH124 H124 L124 R124 X124 AD124">
    <cfRule type="cellIs" dxfId="38" priority="39" operator="equal">
      <formula>"F"</formula>
    </cfRule>
  </conditionalFormatting>
  <conditionalFormatting sqref="AL124">
    <cfRule type="cellIs" dxfId="37" priority="38" operator="equal">
      <formula>"FAIL"</formula>
    </cfRule>
  </conditionalFormatting>
  <conditionalFormatting sqref="O124 U124 AA124 AG124">
    <cfRule type="cellIs" dxfId="36" priority="37" operator="lessThan">
      <formula>10</formula>
    </cfRule>
  </conditionalFormatting>
  <conditionalFormatting sqref="C124 E124 I124 M124 O124 S124 U124 Y124 AA124 AE124 AG124 G124 K124 Q124 W124 AC124">
    <cfRule type="cellIs" dxfId="35" priority="36" operator="equal">
      <formula>"AB"</formula>
    </cfRule>
  </conditionalFormatting>
  <conditionalFormatting sqref="N151 T151 Z151 AF151 AH151:AI151 C151 F151:H151 J151:L151 P151:R151 V151:X151 AB151:AD151">
    <cfRule type="cellIs" dxfId="34" priority="35" operator="lessThan">
      <formula>40</formula>
    </cfRule>
  </conditionalFormatting>
  <conditionalFormatting sqref="D151 F151 J151 N151 P151 T151 V151 Z151 AB151 AF151 AH151 H151 L151 R151 X151 AD151">
    <cfRule type="cellIs" dxfId="33" priority="34" operator="equal">
      <formula>"F"</formula>
    </cfRule>
  </conditionalFormatting>
  <conditionalFormatting sqref="AL151">
    <cfRule type="cellIs" dxfId="32" priority="33" operator="equal">
      <formula>"FAIL"</formula>
    </cfRule>
  </conditionalFormatting>
  <conditionalFormatting sqref="O151 U151 AA151 AG151">
    <cfRule type="cellIs" dxfId="31" priority="32" operator="lessThan">
      <formula>10</formula>
    </cfRule>
  </conditionalFormatting>
  <conditionalFormatting sqref="C151 E151 I151 M151 O151 S151 U151 Y151 AA151 AE151 AG151 G151 K151 Q151 W151 AC151">
    <cfRule type="cellIs" dxfId="30" priority="31" operator="equal">
      <formula>"AB"</formula>
    </cfRule>
  </conditionalFormatting>
  <conditionalFormatting sqref="N109 T109 Z109 AF109 AH109:AI109 C109 F109:H109 J109:L109 P109:R109 V109:X109 AB109:AD109">
    <cfRule type="cellIs" dxfId="29" priority="30" operator="lessThan">
      <formula>40</formula>
    </cfRule>
  </conditionalFormatting>
  <conditionalFormatting sqref="D109 F109 J109 N109 P109 T109 V109 Z109 AB109 AF109 AH109 H109 L109 R109 X109 AD109">
    <cfRule type="cellIs" dxfId="28" priority="29" operator="equal">
      <formula>"F"</formula>
    </cfRule>
  </conditionalFormatting>
  <conditionalFormatting sqref="AL109">
    <cfRule type="cellIs" dxfId="27" priority="28" operator="equal">
      <formula>"FAIL"</formula>
    </cfRule>
  </conditionalFormatting>
  <conditionalFormatting sqref="O109 U109 AA109 AG109">
    <cfRule type="cellIs" dxfId="26" priority="27" operator="lessThan">
      <formula>10</formula>
    </cfRule>
  </conditionalFormatting>
  <conditionalFormatting sqref="C109 E109 I109 M109 O109 S109 U109 Y109 AA109 AE109 AG109 G109 K109 Q109 W109 AC109">
    <cfRule type="cellIs" dxfId="25" priority="26" operator="equal">
      <formula>"AB"</formula>
    </cfRule>
  </conditionalFormatting>
  <conditionalFormatting sqref="N95 T95 Z95 AF95 AH95:AI95 C95 F95:H95 J95:L95 P95:R95 V95:X95 AB95:AD95">
    <cfRule type="cellIs" dxfId="24" priority="25" operator="lessThan">
      <formula>40</formula>
    </cfRule>
  </conditionalFormatting>
  <conditionalFormatting sqref="D95 F95 J95 N95 P95 T95 V95 Z95 AB95 AF95 AH95 H95 L95 R95 X95 AD95">
    <cfRule type="cellIs" dxfId="23" priority="24" operator="equal">
      <formula>"F"</formula>
    </cfRule>
  </conditionalFormatting>
  <conditionalFormatting sqref="AL95">
    <cfRule type="cellIs" dxfId="22" priority="23" operator="equal">
      <formula>"FAIL"</formula>
    </cfRule>
  </conditionalFormatting>
  <conditionalFormatting sqref="O95 U95 AA95 AG95">
    <cfRule type="cellIs" dxfId="21" priority="22" operator="lessThan">
      <formula>10</formula>
    </cfRule>
  </conditionalFormatting>
  <conditionalFormatting sqref="C95 E95 I95 M95 O95 S95 U95 Y95 AA95 AE95 AG95 G95 K95 Q95 W95 AC95">
    <cfRule type="cellIs" dxfId="20" priority="21" operator="equal">
      <formula>"AB"</formula>
    </cfRule>
  </conditionalFormatting>
  <conditionalFormatting sqref="N94 T94 Z94 AF94 AH94:AI94 C94 F94:H94 J94:L94 P94:R94 V94:X94 AB94:AD94">
    <cfRule type="cellIs" dxfId="19" priority="20" operator="lessThan">
      <formula>40</formula>
    </cfRule>
  </conditionalFormatting>
  <conditionalFormatting sqref="D94 F94 J94 N94 P94 T94 V94 Z94 AB94 AF94 AH94 H94 L94 R94 X94 AD94">
    <cfRule type="cellIs" dxfId="18" priority="19" operator="equal">
      <formula>"F"</formula>
    </cfRule>
  </conditionalFormatting>
  <conditionalFormatting sqref="AL94">
    <cfRule type="cellIs" dxfId="17" priority="18" operator="equal">
      <formula>"FAIL"</formula>
    </cfRule>
  </conditionalFormatting>
  <conditionalFormatting sqref="O94 U94 AA94 AG94">
    <cfRule type="cellIs" dxfId="16" priority="17" operator="lessThan">
      <formula>10</formula>
    </cfRule>
  </conditionalFormatting>
  <conditionalFormatting sqref="C94 E94 I94 M94 O94 S94 U94 Y94 AA94 AE94 AG94 G94 K94 Q94 W94 AC94">
    <cfRule type="cellIs" dxfId="15" priority="16" operator="equal">
      <formula>"AB"</formula>
    </cfRule>
  </conditionalFormatting>
  <conditionalFormatting sqref="N94 T94 Z94 AF94 AH94:AI94 C94 F94:H94 J94:L94 P94:R94 V94:X94 AB94:AD94">
    <cfRule type="cellIs" dxfId="14" priority="15" operator="lessThan">
      <formula>40</formula>
    </cfRule>
  </conditionalFormatting>
  <conditionalFormatting sqref="D94 F94 J94 N94 P94 T94 V94 Z94 AB94 AF94 AH94 H94 L94 R94 X94 AD94">
    <cfRule type="cellIs" dxfId="13" priority="14" operator="equal">
      <formula>"F"</formula>
    </cfRule>
  </conditionalFormatting>
  <conditionalFormatting sqref="AL94">
    <cfRule type="cellIs" dxfId="12" priority="13" operator="equal">
      <formula>"FAIL"</formula>
    </cfRule>
  </conditionalFormatting>
  <conditionalFormatting sqref="O94 U94 AA94 AG94">
    <cfRule type="cellIs" dxfId="11" priority="12" operator="lessThan">
      <formula>10</formula>
    </cfRule>
  </conditionalFormatting>
  <conditionalFormatting sqref="C94 E94 I94 M94 O94 S94 U94 Y94 AA94 AE94 AG94 G94 K94 Q94 W94 AC94">
    <cfRule type="cellIs" dxfId="10" priority="11" operator="equal">
      <formula>"AB"</formula>
    </cfRule>
  </conditionalFormatting>
  <conditionalFormatting sqref="N50 T50 Z50 AF50 AH50:AI50 C50 F50:H50 J50:L50 P50:R50 V50:X50 AB50:AD50">
    <cfRule type="cellIs" dxfId="9" priority="10" operator="lessThan">
      <formula>40</formula>
    </cfRule>
  </conditionalFormatting>
  <conditionalFormatting sqref="D50 F50 J50 N50 P50 T50 V50 Z50 AB50 AF50 AH50 H50 L50 R50 X50 AD50">
    <cfRule type="cellIs" dxfId="8" priority="9" operator="equal">
      <formula>"F"</formula>
    </cfRule>
  </conditionalFormatting>
  <conditionalFormatting sqref="AL50">
    <cfRule type="cellIs" dxfId="7" priority="8" operator="equal">
      <formula>"FAIL"</formula>
    </cfRule>
  </conditionalFormatting>
  <conditionalFormatting sqref="O50 U50 AA50 AG50">
    <cfRule type="cellIs" dxfId="6" priority="7" operator="lessThan">
      <formula>10</formula>
    </cfRule>
  </conditionalFormatting>
  <conditionalFormatting sqref="C50 E50 I50 M50 O50 S50 U50 Y50 AA50 AE50 AG50 G50 K50 Q50 W50 AC50">
    <cfRule type="cellIs" dxfId="5" priority="6" operator="equal">
      <formula>"AB"</formula>
    </cfRule>
  </conditionalFormatting>
  <conditionalFormatting sqref="N128 T128 Z128 AF128 AH128:AI128 C128 F128:H128 J128:L128 P128:R128 V128:X128 AB128:AD128">
    <cfRule type="cellIs" dxfId="4" priority="5" operator="lessThan">
      <formula>40</formula>
    </cfRule>
  </conditionalFormatting>
  <conditionalFormatting sqref="D128 F128 J128 N128 P128 T128 V128 Z128 AB128 AF128 AH128 H128 L128 R128 X128 AD128">
    <cfRule type="cellIs" dxfId="3" priority="4" operator="equal">
      <formula>"F"</formula>
    </cfRule>
  </conditionalFormatting>
  <conditionalFormatting sqref="AL128">
    <cfRule type="cellIs" dxfId="2" priority="3" operator="equal">
      <formula>"FAIL"</formula>
    </cfRule>
  </conditionalFormatting>
  <conditionalFormatting sqref="O128 U128 AA128 AG128">
    <cfRule type="cellIs" dxfId="1" priority="2" operator="lessThan">
      <formula>10</formula>
    </cfRule>
  </conditionalFormatting>
  <conditionalFormatting sqref="C128 E128 I128 M128 O128 S128 U128 Y128 AA128 AE128 AG128 G128 K128 Q128 W128 AC128">
    <cfRule type="cellIs" dxfId="0" priority="1" operator="equal">
      <formula>"AB"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Guzet</vt:lpstr>
      <vt:lpstr>Sheet2</vt:lpstr>
      <vt:lpstr>Marksheet</vt:lpstr>
      <vt:lpstr>Guzet!Print_Area</vt:lpstr>
      <vt:lpstr>Guzet!Print_Titles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PARAG</dc:creator>
  <cp:lastModifiedBy>admin</cp:lastModifiedBy>
  <cp:lastPrinted>2013-08-01T04:28:16Z</cp:lastPrinted>
  <dcterms:created xsi:type="dcterms:W3CDTF">2012-04-17T05:31:38Z</dcterms:created>
  <dcterms:modified xsi:type="dcterms:W3CDTF">2014-11-05T07:18:19Z</dcterms:modified>
</cp:coreProperties>
</file>