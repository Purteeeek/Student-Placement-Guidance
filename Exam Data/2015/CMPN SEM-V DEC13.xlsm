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5195" windowHeight="8190" activeTab="2"/>
  </bookViews>
  <sheets>
    <sheet name="GAZET" sheetId="1" r:id="rId1"/>
    <sheet name="Analysis" sheetId="2" r:id="rId2"/>
    <sheet name="MarkSheet" sheetId="3" r:id="rId3"/>
    <sheet name="Sheet1" sheetId="4" r:id="rId4"/>
  </sheets>
  <functionGroups/>
  <definedNames>
    <definedName name="_xlnm.Print_Area" localSheetId="0">GAZET!$B$21:$AK$193</definedName>
    <definedName name="_xlnm.Print_Titles" localSheetId="0">GAZET!$16:$24</definedName>
  </definedNames>
  <calcPr calcId="124519"/>
</workbook>
</file>

<file path=xl/calcChain.xml><?xml version="1.0" encoding="utf-8"?>
<calcChain xmlns="http://schemas.openxmlformats.org/spreadsheetml/2006/main">
  <c r="AJ194" i="3"/>
  <c r="E88" i="1"/>
  <c r="AF9"/>
  <c r="AK26"/>
  <c r="AK27"/>
  <c r="AK28"/>
  <c r="AK29"/>
  <c r="AK30"/>
  <c r="AK31"/>
  <c r="AK32"/>
  <c r="AK33"/>
  <c r="AK34"/>
  <c r="AK35"/>
  <c r="AK36"/>
  <c r="AK37"/>
  <c r="AK38"/>
  <c r="AK41"/>
  <c r="AK43"/>
  <c r="AK44"/>
  <c r="AK45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6"/>
  <c r="AK87"/>
  <c r="AK88"/>
  <c r="AK90"/>
  <c r="AK91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9"/>
  <c r="AK130"/>
  <c r="AK131"/>
  <c r="AK132"/>
  <c r="AK133"/>
  <c r="AK134"/>
  <c r="AK135"/>
  <c r="AK136"/>
  <c r="AK137"/>
  <c r="AK138"/>
  <c r="AK139"/>
  <c r="AK141"/>
  <c r="AK142"/>
  <c r="AK143"/>
  <c r="AK144"/>
  <c r="AK145"/>
  <c r="AK146"/>
  <c r="AK147"/>
  <c r="AK148"/>
  <c r="AK149"/>
  <c r="AK151"/>
  <c r="AK152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1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M71"/>
  <c r="M72"/>
  <c r="M73"/>
  <c r="AL198"/>
  <c r="AL197"/>
  <c r="C199"/>
  <c r="AJ30"/>
  <c r="AJ38"/>
  <c r="AJ50"/>
  <c r="AJ58"/>
  <c r="AJ66"/>
  <c r="AJ74"/>
  <c r="AJ82"/>
  <c r="AJ94"/>
  <c r="AJ102"/>
  <c r="AJ112"/>
  <c r="AJ120"/>
  <c r="AJ131"/>
  <c r="AJ139"/>
  <c r="AJ148"/>
  <c r="AJ158"/>
  <c r="AJ166"/>
  <c r="AJ180"/>
  <c r="AJ188"/>
  <c r="AK131" i="4"/>
  <c r="AK72"/>
  <c r="AK100"/>
  <c r="AK77"/>
  <c r="AK50"/>
  <c r="AK31"/>
  <c r="AK99"/>
  <c r="AK90"/>
  <c r="AK132"/>
  <c r="AK158"/>
  <c r="AK162"/>
  <c r="AK34"/>
  <c r="AK126"/>
  <c r="AK127"/>
  <c r="AK75"/>
  <c r="AK168"/>
  <c r="AK96"/>
  <c r="AK85"/>
  <c r="AK73"/>
  <c r="AJ29" i="1"/>
  <c r="AJ37"/>
  <c r="AJ49"/>
  <c r="AJ57"/>
  <c r="AJ67"/>
  <c r="AJ75"/>
  <c r="AJ86"/>
  <c r="AJ95"/>
  <c r="AJ103"/>
  <c r="AJ115"/>
  <c r="AJ125"/>
  <c r="AJ136"/>
  <c r="AJ145"/>
  <c r="AJ155"/>
  <c r="AJ163"/>
  <c r="AJ173"/>
  <c r="AJ181"/>
  <c r="AJ189"/>
  <c r="AK14" i="4"/>
  <c r="AK95"/>
  <c r="AK97"/>
  <c r="AK24"/>
  <c r="AK192"/>
  <c r="AK108"/>
  <c r="AK110"/>
  <c r="AK166"/>
  <c r="AK43"/>
  <c r="AK19"/>
  <c r="AK151"/>
  <c r="AK51"/>
  <c r="AK49"/>
  <c r="AK116"/>
  <c r="AK42"/>
  <c r="AK181"/>
  <c r="AK174"/>
  <c r="AK147"/>
  <c r="AK184"/>
  <c r="AK138"/>
  <c r="AK109"/>
  <c r="AK66"/>
  <c r="AK30"/>
  <c r="AK87"/>
  <c r="AK9"/>
  <c r="AK118"/>
  <c r="AK188"/>
  <c r="AK153"/>
  <c r="AK117"/>
  <c r="AI95" i="3"/>
  <c r="AJ93" i="1"/>
  <c r="AJ105"/>
  <c r="AJ127"/>
  <c r="AJ147"/>
  <c r="AJ169"/>
  <c r="AJ183"/>
  <c r="AJ32"/>
  <c r="AJ43"/>
  <c r="AJ151"/>
  <c r="AJ174"/>
  <c r="AJ190"/>
  <c r="AJ41"/>
  <c r="AJ59"/>
  <c r="AJ81"/>
  <c r="AJ123"/>
  <c r="AJ143"/>
  <c r="AJ157"/>
  <c r="AJ191"/>
  <c r="AK5" i="4"/>
  <c r="AK136"/>
  <c r="AK189"/>
  <c r="AK141"/>
  <c r="AK114"/>
  <c r="AK142"/>
  <c r="AK163"/>
  <c r="AK65"/>
  <c r="AK148"/>
  <c r="AK3"/>
  <c r="AK76"/>
  <c r="AK2"/>
  <c r="AK122"/>
  <c r="AK8"/>
  <c r="AK150"/>
  <c r="AK46"/>
  <c r="AK179"/>
  <c r="AK69"/>
  <c r="AK10"/>
  <c r="AK125"/>
  <c r="AK38"/>
  <c r="AK20"/>
  <c r="AK64"/>
  <c r="AK146"/>
  <c r="AK123"/>
  <c r="AK56"/>
  <c r="AK115"/>
  <c r="AK107"/>
  <c r="AK41"/>
  <c r="AJ26" i="1"/>
  <c r="AJ34"/>
  <c r="AJ45"/>
  <c r="AJ54"/>
  <c r="AJ62"/>
  <c r="AJ70"/>
  <c r="AJ78"/>
  <c r="AJ87"/>
  <c r="AJ98"/>
  <c r="AJ106"/>
  <c r="AJ116"/>
  <c r="AJ126"/>
  <c r="AJ135"/>
  <c r="AJ144"/>
  <c r="AJ154"/>
  <c r="AJ162"/>
  <c r="AJ176"/>
  <c r="AJ184"/>
  <c r="AJ192"/>
  <c r="AK78" i="4"/>
  <c r="AK159"/>
  <c r="AK27"/>
  <c r="AK88"/>
  <c r="AK83"/>
  <c r="AK130"/>
  <c r="AK119"/>
  <c r="AK84"/>
  <c r="AK59"/>
  <c r="AK143"/>
  <c r="AK23"/>
  <c r="AK15"/>
  <c r="AK133"/>
  <c r="AK74"/>
  <c r="AK45"/>
  <c r="AK63"/>
  <c r="AK177"/>
  <c r="AK102"/>
  <c r="AK55"/>
  <c r="AJ33" i="1"/>
  <c r="AJ44"/>
  <c r="AJ53"/>
  <c r="AJ61"/>
  <c r="AJ71"/>
  <c r="AJ79"/>
  <c r="AJ90"/>
  <c r="AJ99"/>
  <c r="AJ107"/>
  <c r="AJ121"/>
  <c r="AJ132"/>
  <c r="AJ141"/>
  <c r="AJ149"/>
  <c r="AJ159"/>
  <c r="AJ167"/>
  <c r="AJ177"/>
  <c r="AJ185"/>
  <c r="AJ193"/>
  <c r="AK101" i="4"/>
  <c r="AK164"/>
  <c r="AK180"/>
  <c r="AK25"/>
  <c r="AK52"/>
  <c r="AK134"/>
  <c r="AK156"/>
  <c r="AK154"/>
  <c r="AK68"/>
  <c r="AK182"/>
  <c r="AK104"/>
  <c r="AK39"/>
  <c r="AK6"/>
  <c r="AK22"/>
  <c r="AK152"/>
  <c r="AK105"/>
  <c r="AK93"/>
  <c r="AK190"/>
  <c r="AK191"/>
  <c r="AK121"/>
  <c r="AK120"/>
  <c r="AK160"/>
  <c r="AK40"/>
  <c r="AK67"/>
  <c r="AK175"/>
  <c r="AK82"/>
  <c r="AK58"/>
  <c r="AK61"/>
  <c r="AK193"/>
  <c r="AJ77" i="1"/>
  <c r="AJ101"/>
  <c r="AJ111"/>
  <c r="AJ138"/>
  <c r="AJ161"/>
  <c r="AJ175"/>
  <c r="AJ28"/>
  <c r="AJ36"/>
  <c r="AJ48"/>
  <c r="AJ56"/>
  <c r="AJ64"/>
  <c r="AJ72"/>
  <c r="AJ80"/>
  <c r="AJ91"/>
  <c r="AJ100"/>
  <c r="AJ110"/>
  <c r="AJ118"/>
  <c r="AJ129"/>
  <c r="AJ137"/>
  <c r="AJ146"/>
  <c r="AJ156"/>
  <c r="AJ164"/>
  <c r="AJ178"/>
  <c r="AJ186"/>
  <c r="AK161" i="4"/>
  <c r="AK48"/>
  <c r="AK21"/>
  <c r="AK171"/>
  <c r="AI84" i="3"/>
  <c r="AK44" i="4"/>
  <c r="AK129"/>
  <c r="AK16"/>
  <c r="AK13"/>
  <c r="AK17"/>
  <c r="AK186"/>
  <c r="AK183"/>
  <c r="AK172"/>
  <c r="AK157"/>
  <c r="AK137"/>
  <c r="AK185"/>
  <c r="AK167"/>
  <c r="AK57"/>
  <c r="AK18"/>
  <c r="AJ27" i="1"/>
  <c r="AJ35"/>
  <c r="AJ47"/>
  <c r="AJ55"/>
  <c r="AJ63"/>
  <c r="AJ73"/>
  <c r="AJ88"/>
  <c r="AJ117"/>
  <c r="AJ134"/>
  <c r="AJ152"/>
  <c r="AJ165"/>
  <c r="AJ187"/>
  <c r="AK140" i="4"/>
  <c r="AK103"/>
  <c r="AK12"/>
  <c r="AK70"/>
  <c r="AK135"/>
  <c r="AK29"/>
  <c r="AK28"/>
  <c r="AK71"/>
  <c r="AK111"/>
  <c r="AK54"/>
  <c r="AK176"/>
  <c r="AK94"/>
  <c r="AK112"/>
  <c r="AK178"/>
  <c r="AK91"/>
  <c r="AK144"/>
  <c r="AK98"/>
  <c r="AK62"/>
  <c r="AK80"/>
  <c r="AK145"/>
  <c r="AK187"/>
  <c r="AK32"/>
  <c r="AK60"/>
  <c r="AK26"/>
  <c r="AK89"/>
  <c r="AK139"/>
  <c r="AK53"/>
  <c r="AK113"/>
  <c r="AK155"/>
  <c r="AK149"/>
  <c r="AJ52" i="1"/>
  <c r="AJ60"/>
  <c r="AJ68"/>
  <c r="AJ76"/>
  <c r="AJ84"/>
  <c r="AJ96"/>
  <c r="AJ104"/>
  <c r="AJ114"/>
  <c r="AJ124"/>
  <c r="AJ133"/>
  <c r="AJ142"/>
  <c r="AJ160"/>
  <c r="AJ182"/>
  <c r="AK37" i="4"/>
  <c r="AK106"/>
  <c r="AK169"/>
  <c r="AK79"/>
  <c r="AK11"/>
  <c r="AK35"/>
  <c r="AK92"/>
  <c r="AK47"/>
  <c r="AK7"/>
  <c r="AK165"/>
  <c r="AK86"/>
  <c r="AK33"/>
  <c r="AK128"/>
  <c r="AK81"/>
  <c r="AK170"/>
  <c r="AK173"/>
  <c r="AK124"/>
  <c r="AK36"/>
  <c r="AK4"/>
  <c r="AJ31" i="1"/>
  <c r="AJ51"/>
  <c r="AJ69"/>
  <c r="AJ97"/>
  <c r="AJ179"/>
  <c r="AK194" i="3"/>
  <c r="AJ95" l="1"/>
  <c r="AJ84"/>
  <c r="AF11" i="1"/>
  <c r="AF4" s="1"/>
  <c r="AF8"/>
  <c r="AF7"/>
  <c r="Z11"/>
  <c r="Z4" s="1"/>
  <c r="Z9"/>
  <c r="Z8"/>
  <c r="Z7"/>
  <c r="V11"/>
  <c r="V4" s="1"/>
  <c r="V9"/>
  <c r="V8"/>
  <c r="V7"/>
  <c r="P11"/>
  <c r="P4" s="1"/>
  <c r="P9"/>
  <c r="P8"/>
  <c r="P7"/>
  <c r="J11"/>
  <c r="J4" s="1"/>
  <c r="J9"/>
  <c r="J8"/>
  <c r="J7"/>
  <c r="D9"/>
  <c r="D8"/>
  <c r="D7"/>
  <c r="D11"/>
  <c r="D4" s="1"/>
  <c r="AK84" i="3"/>
  <c r="AK95"/>
  <c r="M70" i="1" l="1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E25"/>
  <c r="G25"/>
  <c r="I25"/>
  <c r="E12" i="2"/>
  <c r="E11"/>
  <c r="E10"/>
  <c r="E9"/>
  <c r="E8"/>
  <c r="E7"/>
  <c r="AJ172" i="1"/>
  <c r="AJ170"/>
  <c r="AJ109"/>
  <c r="AK89" l="1"/>
  <c r="AK172"/>
  <c r="AK170"/>
  <c r="AK109"/>
  <c r="AK153"/>
  <c r="AK150"/>
  <c r="AK140"/>
  <c r="AK128"/>
  <c r="AK92"/>
  <c r="AK85"/>
  <c r="D5"/>
  <c r="D6" s="1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AI25"/>
  <c r="AG25"/>
  <c r="AE25"/>
  <c r="AC25"/>
  <c r="AA25"/>
  <c r="Y25"/>
  <c r="W25"/>
  <c r="U25"/>
  <c r="S25"/>
  <c r="Q25"/>
  <c r="O25"/>
  <c r="M25"/>
  <c r="K25"/>
  <c r="AL101"/>
  <c r="AL179"/>
  <c r="AL106"/>
  <c r="AL107"/>
  <c r="AL88"/>
  <c r="AL166"/>
  <c r="AL80"/>
  <c r="AL111"/>
  <c r="AL134"/>
  <c r="AL110"/>
  <c r="AL124"/>
  <c r="AL98"/>
  <c r="AL86"/>
  <c r="AL121"/>
  <c r="AL105"/>
  <c r="AL72"/>
  <c r="AL81"/>
  <c r="AL73"/>
  <c r="AL178"/>
  <c r="AL71"/>
  <c r="AL87"/>
  <c r="AL192"/>
  <c r="AL140"/>
  <c r="AL108"/>
  <c r="AL75"/>
  <c r="AL96"/>
  <c r="AL95"/>
  <c r="AL163"/>
  <c r="AL155"/>
  <c r="AL100"/>
  <c r="AL82"/>
  <c r="AL193"/>
  <c r="AL191"/>
  <c r="AL151"/>
  <c r="AL85"/>
  <c r="AL112"/>
  <c r="AL138"/>
  <c r="AL102"/>
  <c r="AL83"/>
  <c r="AL135"/>
  <c r="AL74"/>
  <c r="AL93"/>
  <c r="AL103"/>
  <c r="AL90"/>
  <c r="AL94"/>
  <c r="AL79"/>
  <c r="AL89"/>
  <c r="AK46" l="1"/>
  <c r="AK42"/>
  <c r="AK40"/>
  <c r="AK39"/>
  <c r="V5"/>
  <c r="V6" s="1"/>
  <c r="V10" s="1"/>
  <c r="H10" i="2" s="1"/>
  <c r="Z5" i="1"/>
  <c r="Z6" s="1"/>
  <c r="Z10" s="1"/>
  <c r="AF5"/>
  <c r="AF6" s="1"/>
  <c r="AF10" s="1"/>
  <c r="P5"/>
  <c r="P6" s="1"/>
  <c r="P10" s="1"/>
  <c r="H9" i="2" s="1"/>
  <c r="J5" i="1"/>
  <c r="J6" s="1"/>
  <c r="J10" s="1"/>
  <c r="H8" i="2" s="1"/>
  <c r="F7"/>
  <c r="D10" i="1"/>
  <c r="H7" i="2" s="1"/>
  <c r="AK25" i="1"/>
  <c r="AL149"/>
  <c r="AL66"/>
  <c r="AL180"/>
  <c r="AL171"/>
  <c r="AL60"/>
  <c r="AL173"/>
  <c r="AL47"/>
  <c r="AL154"/>
  <c r="AL52"/>
  <c r="AL36"/>
  <c r="AL165"/>
  <c r="AL143"/>
  <c r="AL114"/>
  <c r="AL172"/>
  <c r="AL109"/>
  <c r="AL30"/>
  <c r="AL161"/>
  <c r="AL113"/>
  <c r="AL148"/>
  <c r="AL147"/>
  <c r="AL185"/>
  <c r="AL28"/>
  <c r="AL131"/>
  <c r="AL187"/>
  <c r="AL68"/>
  <c r="AL128"/>
  <c r="AL40"/>
  <c r="AL77"/>
  <c r="AL42"/>
  <c r="AL129"/>
  <c r="AL61"/>
  <c r="AL116"/>
  <c r="AL117"/>
  <c r="AL54"/>
  <c r="AL56"/>
  <c r="AL84"/>
  <c r="AL177"/>
  <c r="AL26"/>
  <c r="AL122"/>
  <c r="AL146"/>
  <c r="AL48"/>
  <c r="AL123"/>
  <c r="AL182"/>
  <c r="AL78"/>
  <c r="AL126"/>
  <c r="AL144"/>
  <c r="AL62"/>
  <c r="AL65"/>
  <c r="AL142"/>
  <c r="AL156"/>
  <c r="AL132"/>
  <c r="AL189"/>
  <c r="AL125"/>
  <c r="AL164"/>
  <c r="AL39"/>
  <c r="AL150"/>
  <c r="AL115"/>
  <c r="AL186"/>
  <c r="AL29"/>
  <c r="AL170"/>
  <c r="AL118"/>
  <c r="AL176"/>
  <c r="AL53"/>
  <c r="AL181"/>
  <c r="AL184"/>
  <c r="AL137"/>
  <c r="AL139"/>
  <c r="AL76"/>
  <c r="AL167"/>
  <c r="AL190"/>
  <c r="AL57"/>
  <c r="AL34"/>
  <c r="AL174"/>
  <c r="AL27"/>
  <c r="AL59"/>
  <c r="AL97"/>
  <c r="AL127"/>
  <c r="AL183"/>
  <c r="AL32"/>
  <c r="AL130"/>
  <c r="AL159"/>
  <c r="AL153"/>
  <c r="AL46"/>
  <c r="AL25"/>
  <c r="AL92"/>
  <c r="AL119"/>
  <c r="AL120"/>
  <c r="AL38"/>
  <c r="AL99"/>
  <c r="AL133"/>
  <c r="AL91"/>
  <c r="AL160"/>
  <c r="AL157"/>
  <c r="AL169"/>
  <c r="AL141"/>
  <c r="AL168"/>
  <c r="AL152"/>
  <c r="AL162"/>
  <c r="AL136"/>
  <c r="AL175"/>
  <c r="AL50"/>
  <c r="AL188"/>
  <c r="AL70"/>
  <c r="AL58"/>
  <c r="AL49"/>
  <c r="AL145"/>
  <c r="AL104"/>
  <c r="AL64"/>
  <c r="AL158"/>
  <c r="AL44"/>
  <c r="F12" i="2" l="1"/>
  <c r="G12" s="1"/>
  <c r="F11"/>
  <c r="G11" s="1"/>
  <c r="AK195" i="1"/>
  <c r="D14" i="2" s="1"/>
  <c r="AL195" i="1"/>
  <c r="AL196"/>
  <c r="AK196"/>
  <c r="H11" i="2"/>
  <c r="F8"/>
  <c r="I8" s="1"/>
  <c r="F9"/>
  <c r="I9" s="1"/>
  <c r="F10"/>
  <c r="G10" s="1"/>
  <c r="I7"/>
  <c r="G7"/>
  <c r="AL55" i="1"/>
  <c r="AL45"/>
  <c r="AL37"/>
  <c r="AL31"/>
  <c r="AL43"/>
  <c r="AL67"/>
  <c r="AL69"/>
  <c r="AL33"/>
  <c r="AL51"/>
  <c r="AM157"/>
  <c r="AL41"/>
  <c r="AL35"/>
  <c r="AL63"/>
  <c r="I11" i="2" l="1"/>
  <c r="G8"/>
  <c r="G9"/>
  <c r="I10"/>
  <c r="D15"/>
  <c r="AK197" i="1"/>
  <c r="D16" i="2" s="1"/>
</calcChain>
</file>

<file path=xl/comments1.xml><?xml version="1.0" encoding="utf-8"?>
<comments xmlns="http://schemas.openxmlformats.org/spreadsheetml/2006/main">
  <authors>
    <author>Student</author>
  </authors>
  <commentList>
    <comment ref="E6" authorId="0">
      <text>
        <r>
          <rPr>
            <b/>
            <sz val="8"/>
            <color indexed="81"/>
            <rFont val="Tahoma"/>
            <family val="2"/>
          </rPr>
          <t>Student: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AI2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<sst xmlns="http://schemas.openxmlformats.org/spreadsheetml/2006/main" count="8460" uniqueCount="665">
  <si>
    <t>CN</t>
  </si>
  <si>
    <t>ADS</t>
  </si>
  <si>
    <t>MP</t>
  </si>
  <si>
    <t>TCS</t>
  </si>
  <si>
    <t>WE</t>
  </si>
  <si>
    <t>EVS</t>
  </si>
  <si>
    <t>TOTAL</t>
  </si>
  <si>
    <t>REMARK</t>
  </si>
  <si>
    <t>NAME OF THE CANDIDATE</t>
  </si>
  <si>
    <t>TH</t>
  </si>
  <si>
    <t>TW</t>
  </si>
  <si>
    <t>P</t>
  </si>
  <si>
    <t xml:space="preserve">MAX </t>
  </si>
  <si>
    <t xml:space="preserve">MIN </t>
  </si>
  <si>
    <t>CN :- Computer Network</t>
  </si>
  <si>
    <t>ADS :- Advance Database Management System</t>
  </si>
  <si>
    <t>MP :- Microprocessor</t>
  </si>
  <si>
    <t>TCS :- Theory of Computer Science</t>
  </si>
  <si>
    <t>WE :- Web Engineering</t>
  </si>
  <si>
    <t>EVS :- Environment studies</t>
  </si>
  <si>
    <t>AJUGIYA VAIBHAV KANUBHAI</t>
  </si>
  <si>
    <t>DEVARKAR SANKALP HEMANT</t>
  </si>
  <si>
    <t>GAWAI SANDESH MADHUKAR</t>
  </si>
  <si>
    <t>KENI YATIN NARENDRA</t>
  </si>
  <si>
    <t>LOTANKAR AJINKYA ASHOK</t>
  </si>
  <si>
    <t>MEHTA CHINMAY HITESH</t>
  </si>
  <si>
    <t>MESHRAM ARCHIES SIDDHARTH</t>
  </si>
  <si>
    <t>PALAV ABHISHEK SITARAM</t>
  </si>
  <si>
    <t>PALKAR MOHIT PRAFULLA</t>
  </si>
  <si>
    <t>REVANDKAR MIHIR MADHUSUDAN</t>
  </si>
  <si>
    <t>SANAP AVINASH BABU</t>
  </si>
  <si>
    <t>SAWANT AMEYA AJIT</t>
  </si>
  <si>
    <t>SAWANT BHUSHAN SHARAD</t>
  </si>
  <si>
    <t>SHELAR TEJAS NARAYAN</t>
  </si>
  <si>
    <t>SHEVALE UMESH NAMDEV</t>
  </si>
  <si>
    <t>SHIRWADKAR ROHIT GAJANAN</t>
  </si>
  <si>
    <t>VALSE AMIT PRAKASH</t>
  </si>
  <si>
    <t>GHORPADE AMOL EKNATH</t>
  </si>
  <si>
    <t>47+</t>
  </si>
  <si>
    <t>52+</t>
  </si>
  <si>
    <t>40+</t>
  </si>
  <si>
    <t>53+</t>
  </si>
  <si>
    <t>46+</t>
  </si>
  <si>
    <t>42+</t>
  </si>
  <si>
    <t>44+</t>
  </si>
  <si>
    <t>43+</t>
  </si>
  <si>
    <t>23+</t>
  </si>
  <si>
    <t>18+</t>
  </si>
  <si>
    <t>19+</t>
  </si>
  <si>
    <t>20+</t>
  </si>
  <si>
    <t>12+</t>
  </si>
  <si>
    <t>22+</t>
  </si>
  <si>
    <t>21+</t>
  </si>
  <si>
    <t>15+</t>
  </si>
  <si>
    <t>34+</t>
  </si>
  <si>
    <t>38+</t>
  </si>
  <si>
    <t>37+</t>
  </si>
  <si>
    <t>35+</t>
  </si>
  <si>
    <t>41+</t>
  </si>
  <si>
    <t>39+</t>
  </si>
  <si>
    <t>54+</t>
  </si>
  <si>
    <t>57+</t>
  </si>
  <si>
    <t>55+</t>
  </si>
  <si>
    <t>45+</t>
  </si>
  <si>
    <t>16+</t>
  </si>
  <si>
    <t>17+</t>
  </si>
  <si>
    <t>36+</t>
  </si>
  <si>
    <t>51+</t>
  </si>
  <si>
    <t>11+</t>
  </si>
  <si>
    <t>33+</t>
  </si>
  <si>
    <t>32+</t>
  </si>
  <si>
    <t>28+</t>
  </si>
  <si>
    <t>31+</t>
  </si>
  <si>
    <t>27+</t>
  </si>
  <si>
    <t>25+</t>
  </si>
  <si>
    <t>AB</t>
  </si>
  <si>
    <t>How many Student Appeared</t>
  </si>
  <si>
    <t>How many student failed</t>
  </si>
  <si>
    <t>How Many students Passed</t>
  </si>
  <si>
    <t>Average Marks</t>
  </si>
  <si>
    <t>Maximum Marks</t>
  </si>
  <si>
    <t>Marks greater than  60</t>
  </si>
  <si>
    <t>Marks between 40 and 60</t>
  </si>
  <si>
    <t>Total No. of Students Appeared :</t>
  </si>
  <si>
    <t>Total No. of Students Passed :</t>
  </si>
  <si>
    <t>Overall Percentage of Passing  :</t>
  </si>
  <si>
    <t>Branch : Computer Engineering</t>
  </si>
  <si>
    <t>S NO.</t>
  </si>
  <si>
    <t>Subject Name</t>
  </si>
  <si>
    <t>Name of Examiner</t>
  </si>
  <si>
    <t>Total no of students appeared</t>
  </si>
  <si>
    <t>Total no of students passed</t>
  </si>
  <si>
    <t>% of Passing in the subjects</t>
  </si>
  <si>
    <t>No of grace marks awarded in the subject by examiner</t>
  </si>
  <si>
    <t>03</t>
  </si>
  <si>
    <t>Total no of students appeared:</t>
  </si>
  <si>
    <t>Total no of students passed:</t>
  </si>
  <si>
    <t>Overall Percentage of passing:</t>
  </si>
  <si>
    <t>Computer Network</t>
  </si>
  <si>
    <t xml:space="preserve"> Advance Database Management System</t>
  </si>
  <si>
    <t xml:space="preserve"> Microprocessor</t>
  </si>
  <si>
    <t>Theory of Computer Science</t>
  </si>
  <si>
    <t xml:space="preserve"> Web Engineering</t>
  </si>
  <si>
    <t xml:space="preserve"> Environment studies</t>
  </si>
  <si>
    <t>Prof.Rashmi Thakur (TCET)</t>
  </si>
  <si>
    <t>Prof.Neelima Pathak (ACE)</t>
  </si>
  <si>
    <t>Name of Moderator</t>
  </si>
  <si>
    <t>Candidates scored marks between 40 &amp; 60</t>
  </si>
  <si>
    <t>Number of candidates scored marks above 60</t>
  </si>
  <si>
    <t xml:space="preserve"> </t>
  </si>
  <si>
    <t>F</t>
  </si>
  <si>
    <t>FAIL</t>
  </si>
  <si>
    <t xml:space="preserve">Four Hundred Ninety </t>
  </si>
  <si>
    <t>E</t>
  </si>
  <si>
    <t/>
  </si>
  <si>
    <t xml:space="preserve">Four Hundred Forty  </t>
  </si>
  <si>
    <t xml:space="preserve">Four Hundred Seventy  </t>
  </si>
  <si>
    <t>PASS</t>
  </si>
  <si>
    <t xml:space="preserve">Four Hundred Nineteen </t>
  </si>
  <si>
    <t>ABSENT</t>
  </si>
  <si>
    <t xml:space="preserve">Four Hundred NinetyThree </t>
  </si>
  <si>
    <t xml:space="preserve">Four Hundred Fifty Eight </t>
  </si>
  <si>
    <t xml:space="preserve">Three Hundred Sixty Six </t>
  </si>
  <si>
    <t xml:space="preserve">Four Hundred Sixty Two </t>
  </si>
  <si>
    <t xml:space="preserve">Four Hundred Eighty Five </t>
  </si>
  <si>
    <t xml:space="preserve">Four Hundred Fifty Nine </t>
  </si>
  <si>
    <t xml:space="preserve">Four Hundred Eighty Nine </t>
  </si>
  <si>
    <t xml:space="preserve">Five Hundred Four </t>
  </si>
  <si>
    <t xml:space="preserve">Four Hundred Forty Seven </t>
  </si>
  <si>
    <t xml:space="preserve">Four Hundred Twenty Nine </t>
  </si>
  <si>
    <t xml:space="preserve">Four Hundred Eighty One </t>
  </si>
  <si>
    <t xml:space="preserve">Four Hundred Seventeen </t>
  </si>
  <si>
    <t>NUM</t>
  </si>
  <si>
    <t>NAME</t>
  </si>
  <si>
    <t>CN-TH</t>
  </si>
  <si>
    <t>CN-TW</t>
  </si>
  <si>
    <t>CN-P</t>
  </si>
  <si>
    <t>ADS-TH</t>
  </si>
  <si>
    <t>ADS-TW</t>
  </si>
  <si>
    <t>ADS-P</t>
  </si>
  <si>
    <t>MP-TH</t>
  </si>
  <si>
    <t>MP-TW</t>
  </si>
  <si>
    <t>MP-P</t>
  </si>
  <si>
    <t>TCS-TH</t>
  </si>
  <si>
    <t>TCS-TW</t>
  </si>
  <si>
    <t>WE-TH</t>
  </si>
  <si>
    <t>WE-TW</t>
  </si>
  <si>
    <t>WE-P</t>
  </si>
  <si>
    <t>EVS-TH</t>
  </si>
  <si>
    <t>EVS-TW</t>
  </si>
  <si>
    <t>TOT</t>
  </si>
  <si>
    <t>SPELLNUMBER</t>
  </si>
  <si>
    <t>ACHAREKAR RUTURAJ PRAMOD</t>
  </si>
  <si>
    <t>AMBRE ABHISHEK ARUN</t>
  </si>
  <si>
    <t>ANSARI ABEER AHMED</t>
  </si>
  <si>
    <t>AWARI ANESH SITARAM</t>
  </si>
  <si>
    <t>BADVE ADITYA SANJAY</t>
  </si>
  <si>
    <t>BAGKAR AARTI NARESH</t>
  </si>
  <si>
    <t>BARKE SAIPRASAD GOVIND ALKA</t>
  </si>
  <si>
    <t>BHANDARE RAJKUMAR NAGORAO</t>
  </si>
  <si>
    <t>BHARTI HARSHADA TUKARAM</t>
  </si>
  <si>
    <t>BHUPENDRA MAHENDRA SASWADE</t>
  </si>
  <si>
    <t>CASTELINO JAMES JOHN</t>
  </si>
  <si>
    <t>CHAUDHARI AJINKYA VIJAY</t>
  </si>
  <si>
    <t xml:space="preserve">CHAVAN  RUPALI VIJAY </t>
  </si>
  <si>
    <t>CHETTIER SANJAY GANESHAN</t>
  </si>
  <si>
    <t>CHINDARKAR ANIRUDDHA VISHNU</t>
  </si>
  <si>
    <t>CHOUDHARI YOGESH AJIT</t>
  </si>
  <si>
    <t>CHOUDHARY SHANKAR MAFATLAL</t>
  </si>
  <si>
    <t>DALVI SAGAR SANJAY</t>
  </si>
  <si>
    <t>DEDHIA SOHIL BHARAT</t>
  </si>
  <si>
    <t>DEOLE ADITYA VIKRAM</t>
  </si>
  <si>
    <t>DESHMUKH AMEYA CHANDRAKUMAR</t>
  </si>
  <si>
    <t>DHANEDHAR SNEHAL PRAKASH</t>
  </si>
  <si>
    <t>DHOTRE KUNAL RAMCHANDRA</t>
  </si>
  <si>
    <t>DIVYA RAJ</t>
  </si>
  <si>
    <t>DOSHI DIVYA DHIREN</t>
  </si>
  <si>
    <t>DUKHANDE PRASAD PRAKASH</t>
  </si>
  <si>
    <t>EDAVI PRATIK PRAKASH</t>
  </si>
  <si>
    <t>GAHANE KETAN DHANANJAY</t>
  </si>
  <si>
    <t>GAIKWAD NITISH RAVINDRA</t>
  </si>
  <si>
    <t>GHADGE ANUPAMA AVINASH</t>
  </si>
  <si>
    <t>GHARAT BHAGYASHREE ASHOK</t>
  </si>
  <si>
    <t>GHUNAVAT ATUL  ISHWAR</t>
  </si>
  <si>
    <t>GHUTUKADE GANESH SUBRAO SHALANA</t>
  </si>
  <si>
    <t>GILANI ANISA IQBAL</t>
  </si>
  <si>
    <t>GOHIL NAVAL PRAKASH BHAI</t>
  </si>
  <si>
    <t>GORAD SURAJ RAMESH</t>
  </si>
  <si>
    <t>GOSAVI MANJIRI DINKAR</t>
  </si>
  <si>
    <t>HARDIK NAVIN MISTRY</t>
  </si>
  <si>
    <t>HAROON NASSER KOTADIYA</t>
  </si>
  <si>
    <t>HARSHAVARDHAN PRABHAKARA POOJARY</t>
  </si>
  <si>
    <t>HOLAMB SHWETA DEEPAK</t>
  </si>
  <si>
    <t>HULYALKAR SAYALI SUHAS</t>
  </si>
  <si>
    <t>INGALE SINDHU VITTHALRAO</t>
  </si>
  <si>
    <t>JADHAV CHANDRAKANT ASHOK</t>
  </si>
  <si>
    <t>JADHAV NISHIGANDHA RAVINDRA</t>
  </si>
  <si>
    <t>JHAVERI SIDDHARTH PANKAJ</t>
  </si>
  <si>
    <t>JOSHI MANASI KISHORE</t>
  </si>
  <si>
    <t>JOSHI SAGAR RAMESH</t>
  </si>
  <si>
    <t>K SUCHITHA SURESH</t>
  </si>
  <si>
    <t>KADAM SACHIN ANKUSH</t>
  </si>
  <si>
    <t>KAMBLE PRIYANKA DILIP</t>
  </si>
  <si>
    <t>KATARE SUNITA DATTU</t>
  </si>
  <si>
    <t>KATARIYA SURYAKANT PREMJIBHAI</t>
  </si>
  <si>
    <t>KESARKAR SONALI SHAM</t>
  </si>
  <si>
    <t>KHAIRE AMEY SATYAWAN</t>
  </si>
  <si>
    <t>KHARSHIKAR TANMAY SUBODH</t>
  </si>
  <si>
    <t>KHOBRAGADE ASHISH MAHESH</t>
  </si>
  <si>
    <t>KOHLI AMANDEEP SINGH AMARPAL SINGH</t>
  </si>
  <si>
    <t>KUDTARKAR BHAKTI DEEPAK</t>
  </si>
  <si>
    <t>LAD OMKAR SURESH</t>
  </si>
  <si>
    <t>LADHE SNEHAL BHASKAR</t>
  </si>
  <si>
    <t>LOHAR SHIVKUMAR GHANSHYAM</t>
  </si>
  <si>
    <t>LONDHE SUNNY RAVINDRA</t>
  </si>
  <si>
    <t>MAHADIK OMKAR DHONDU</t>
  </si>
  <si>
    <t>MALLIK SHRUTI SARAT</t>
  </si>
  <si>
    <t>MARIGUDDI RAHUL MALLIKARJUN</t>
  </si>
  <si>
    <t>MEHTA JINESH JASWANTRAI</t>
  </si>
  <si>
    <t>MEHTA RADHI KETAN</t>
  </si>
  <si>
    <t>MHATRE SUMIT BHALCHANDRA</t>
  </si>
  <si>
    <t>MHATRE YASH PRABODH</t>
  </si>
  <si>
    <t>MISTRY YUVARAJ SHAILESH</t>
  </si>
  <si>
    <t>MOHAMMED MUSTAFA MOHAMMED HAROON</t>
  </si>
  <si>
    <t>MORE DEVANGI PRAKASH</t>
  </si>
  <si>
    <t>MORE SANKET CHANDRASHEKHAR</t>
  </si>
  <si>
    <t xml:space="preserve">MORE TANMAY MURLIDHAR </t>
  </si>
  <si>
    <t>MUNAVVAR AHMED</t>
  </si>
  <si>
    <t>NAIK KALPESH DILIP</t>
  </si>
  <si>
    <t>NANGARE PRATHAMESH RAMESH</t>
  </si>
  <si>
    <t>NARWATE ROHAN DILIP</t>
  </si>
  <si>
    <t>NARWEKAR KOMAL DEVENDRA</t>
  </si>
  <si>
    <t>NAVALE KETAN BHAUSAHEB</t>
  </si>
  <si>
    <t>NIKAM PRIYANKA SHANKAR</t>
  </si>
  <si>
    <t>PADAYA HARSHAD PANKAJ</t>
  </si>
  <si>
    <t>PAGARE KIRTI ULHAS</t>
  </si>
  <si>
    <t>PAL DEBJYOTI NARAYAN</t>
  </si>
  <si>
    <t>PALVE GANESH SUBHASH</t>
  </si>
  <si>
    <t>PANDEY NIRAJ RAMASHANKAR</t>
  </si>
  <si>
    <t>PARAB RUPALI RAMAKANT NEHA</t>
  </si>
  <si>
    <t>PARMITA SAR</t>
  </si>
  <si>
    <t>PAKHARE MAHESH MAHADEO</t>
  </si>
  <si>
    <t>PATIL PRACHITI CHANDRAKANT</t>
  </si>
  <si>
    <t>PATIL PRIYANKA RAMKRISHNA</t>
  </si>
  <si>
    <t>PATIL RAVINDRA YASHWANT</t>
  </si>
  <si>
    <t>PATIL ROHIT NARENDRA</t>
  </si>
  <si>
    <t>PATIL SANJALI SANDIP</t>
  </si>
  <si>
    <t>PATIL VISHAL SHRIKANT</t>
  </si>
  <si>
    <t>PATIL VRUSHALI KISHOR</t>
  </si>
  <si>
    <t>PATKAR DIPIKA SANTOSH</t>
  </si>
  <si>
    <t>PAWAR MINAKSHI SHATRU</t>
  </si>
  <si>
    <t>PEDNEKAR ROMIT GAUTAM</t>
  </si>
  <si>
    <t>PEVEKAR NEHA BALKRISHNA</t>
  </si>
  <si>
    <t>PIMPLE ROSHAN ASHOK</t>
  </si>
  <si>
    <t>POOJA BHARATKUMAR LAD</t>
  </si>
  <si>
    <t>PUJARI PUNEET SUNDAR</t>
  </si>
  <si>
    <t>PURALKAR TEJESH RAMAKANT</t>
  </si>
  <si>
    <t>RAHUL DEEPAK JADHAV</t>
  </si>
  <si>
    <t>RAHUL SOLANKI</t>
  </si>
  <si>
    <t>RANA VIVEK DIPAK</t>
  </si>
  <si>
    <t>RANE ANKITA UMESH</t>
  </si>
  <si>
    <t>RANE TEJAL SHANTA</t>
  </si>
  <si>
    <t>RATHOD SURABHI MANHAR</t>
  </si>
  <si>
    <t>RAUT PALASH RAVINDRA</t>
  </si>
  <si>
    <t>SAINDANE BHUSHAN GOPAL</t>
  </si>
  <si>
    <t xml:space="preserve">SAKARSUDHA JASPREET SINGH DARVINDERPAL SINGH </t>
  </si>
  <si>
    <t>SAKRE SUSHANT SURESH</t>
  </si>
  <si>
    <t>SALONI UJWAL KARNIK</t>
  </si>
  <si>
    <t>SANKHE TEJASVI BALARAM</t>
  </si>
  <si>
    <t>SARVAIYA HEENA RAMESHBHAI</t>
  </si>
  <si>
    <t>SATAM JIGNESH SURYAKANT</t>
  </si>
  <si>
    <t>SATVIK MADHAVA SHETTY</t>
  </si>
  <si>
    <t>SAWANT GAURAV SUDHIR</t>
  </si>
  <si>
    <t>SAWANT GAUTAM SUDHIR</t>
  </si>
  <si>
    <t>SAWANT SIDDHESH SHIVRAM</t>
  </si>
  <si>
    <t>SAWANT SWATI MADHAV</t>
  </si>
  <si>
    <t>SAWANT VIKRAM MARUTI</t>
  </si>
  <si>
    <t>SHAH AAKASH SUNIL</t>
  </si>
  <si>
    <t>SHAH AKSHAY RAJESH</t>
  </si>
  <si>
    <t>SHAH JAY PANKAJ</t>
  </si>
  <si>
    <t>SHAH NISHAL PARESH</t>
  </si>
  <si>
    <t>SHAH PARAG NISHITHKUMAR</t>
  </si>
  <si>
    <t>SHAIKH AAYSHA ABDUL QADIR</t>
  </si>
  <si>
    <t>SHETYE SONALI MUKUND</t>
  </si>
  <si>
    <t>SHINDE NISHAD RAMESH</t>
  </si>
  <si>
    <t>SHINDE SAMRUDDHI ABHAY</t>
  </si>
  <si>
    <t>SHINDE SARIKA NANDKISHORE</t>
  </si>
  <si>
    <t>SHIRSAT DHARMESH ANAND</t>
  </si>
  <si>
    <t>SHUKLA ABHISHEK</t>
  </si>
  <si>
    <t>SINGH DHIRAJ NARESH</t>
  </si>
  <si>
    <t>SINGH PRASHANT KUMAR GIRISHANKAR</t>
  </si>
  <si>
    <t>SONAR SUMIT RAMESH</t>
  </si>
  <si>
    <t>SUBHRIMA BHADURY</t>
  </si>
  <si>
    <t>SUCHETA RAVINDRA RAICHUR</t>
  </si>
  <si>
    <t>SURYAVANSHI VAISHALI MANRAJ</t>
  </si>
  <si>
    <t>SWAPNIL KR SINGH</t>
  </si>
  <si>
    <t>SWARNKAR SHASHIKESH SATISH</t>
  </si>
  <si>
    <t>TAILOR PURAV SANJAY</t>
  </si>
  <si>
    <t>TANEJA ROHIT SANTOSH</t>
  </si>
  <si>
    <t>THAKKAR JIGNAL NILESH</t>
  </si>
  <si>
    <t>THAKUR OMKAR PRALHAD</t>
  </si>
  <si>
    <t>TRIVEDI ADITYA DUSHYANT</t>
  </si>
  <si>
    <t>VANMALI SANKET DILIP</t>
  </si>
  <si>
    <t>VISHWAKARMA VIKASKUMAR RAJNATH</t>
  </si>
  <si>
    <t>VYAS MAHEK TUSHAR</t>
  </si>
  <si>
    <t>WARADE SONAL EKNATH</t>
  </si>
  <si>
    <t>YADAV AMIT KUMAR VIKRAMA PRASAD</t>
  </si>
  <si>
    <t>YADAV ASHISH KUMAR HEERALAL</t>
  </si>
  <si>
    <t>YADAV LALJI MUNIRAM</t>
  </si>
  <si>
    <t>YADAV NIKHIL BHARAT</t>
  </si>
  <si>
    <t>SHARMA SHIVAM SUBHASH</t>
  </si>
  <si>
    <t>BOLINJKAR SNEHA VIJAY</t>
  </si>
  <si>
    <t>PATWARDHAN ANIKET ASHOK</t>
  </si>
  <si>
    <t>BHOLE NILIMA SURESH</t>
  </si>
  <si>
    <t>GHUMAN RANJEET SINGH IQBAL SINGH</t>
  </si>
  <si>
    <t>PACHLOD BHAVISHYA MANOHAR</t>
  </si>
  <si>
    <t>PC5001</t>
  </si>
  <si>
    <t xml:space="preserve">BOLINJKAR  SNEHA </t>
  </si>
  <si>
    <t>PC5002</t>
  </si>
  <si>
    <t>CHANDGUDE  TEJAL</t>
  </si>
  <si>
    <t>PC5003</t>
  </si>
  <si>
    <t>CHAVAN RAVI BHIKAJI</t>
  </si>
  <si>
    <t>PC5004</t>
  </si>
  <si>
    <t>PALEKAR  AKSHAY</t>
  </si>
  <si>
    <t>PC5005</t>
  </si>
  <si>
    <t xml:space="preserve">RANE YUGANDHARA </t>
  </si>
  <si>
    <t>PC5006</t>
  </si>
  <si>
    <t xml:space="preserve">SABHALE DINESH </t>
  </si>
  <si>
    <t>PC5007</t>
  </si>
  <si>
    <t>SATARDEKAR SIDDHESH</t>
  </si>
  <si>
    <t>PC5008</t>
  </si>
  <si>
    <t>SHUKLA MANOJ</t>
  </si>
  <si>
    <t>PC5009</t>
  </si>
  <si>
    <t>SIDHAPURA  CHIRAG</t>
  </si>
  <si>
    <t>PC5010</t>
  </si>
  <si>
    <t>SURYAWANSHI PRIYANKA</t>
  </si>
  <si>
    <t>50+</t>
  </si>
  <si>
    <t>grace marks</t>
  </si>
  <si>
    <t>33*</t>
  </si>
  <si>
    <t>466*</t>
  </si>
  <si>
    <t>496*</t>
  </si>
  <si>
    <t>31*</t>
  </si>
  <si>
    <t>489*</t>
  </si>
  <si>
    <t>32*</t>
  </si>
  <si>
    <t>516*</t>
  </si>
  <si>
    <t>495*</t>
  </si>
  <si>
    <t>EXAM SEAT NO.</t>
  </si>
  <si>
    <t>Atharva College of Engineering, Malad (W)</t>
  </si>
  <si>
    <t>Name of the college:</t>
  </si>
  <si>
    <t>Date:</t>
  </si>
  <si>
    <t xml:space="preserve"> Prof. Roshni Padate (FRCRCE)</t>
  </si>
  <si>
    <t xml:space="preserve">Five Hundred Fifty Seven </t>
  </si>
  <si>
    <t xml:space="preserve">Four Hundred Twenty Two </t>
  </si>
  <si>
    <t xml:space="preserve">Four Hundred NinetyEight </t>
  </si>
  <si>
    <t xml:space="preserve">Six Hundred Fifty Nine </t>
  </si>
  <si>
    <t xml:space="preserve">Five Hundred Seventy Nine </t>
  </si>
  <si>
    <t xml:space="preserve">Six Hundred Three </t>
  </si>
  <si>
    <t xml:space="preserve">Two Hundred Forty Two </t>
  </si>
  <si>
    <t xml:space="preserve">Five Hundred Forty Two </t>
  </si>
  <si>
    <t xml:space="preserve">Four Hundred Eighty Eight </t>
  </si>
  <si>
    <t xml:space="preserve">Five Hundred Fifty  </t>
  </si>
  <si>
    <t xml:space="preserve">Four Hundred NinetyFour </t>
  </si>
  <si>
    <t xml:space="preserve">Five Hundred Eighteen </t>
  </si>
  <si>
    <t xml:space="preserve">Four Hundred Twenty Seven </t>
  </si>
  <si>
    <t xml:space="preserve">Five Hundred NinetyOne </t>
  </si>
  <si>
    <t xml:space="preserve">Four Hundred Eighty Seven </t>
  </si>
  <si>
    <t xml:space="preserve">Three Hundred NinetyOne </t>
  </si>
  <si>
    <t xml:space="preserve">Five Hundred Seventy  </t>
  </si>
  <si>
    <t xml:space="preserve">Five Hundred Thirteen </t>
  </si>
  <si>
    <t xml:space="preserve">Four Hundred Eighty  </t>
  </si>
  <si>
    <t xml:space="preserve">Three Hundred Twelve </t>
  </si>
  <si>
    <t xml:space="preserve">Five Hundred Eighty Five </t>
  </si>
  <si>
    <t xml:space="preserve">Five Hundred Twenty Six </t>
  </si>
  <si>
    <t xml:space="preserve">Six Hundred Twenty Three </t>
  </si>
  <si>
    <t xml:space="preserve">Five Hundred Thirty Four </t>
  </si>
  <si>
    <t xml:space="preserve">Six Hundred Thirty Nine </t>
  </si>
  <si>
    <t xml:space="preserve">Five Hundred Fifty Eight </t>
  </si>
  <si>
    <t xml:space="preserve">Six Hundred Thirty  </t>
  </si>
  <si>
    <t xml:space="preserve">Five Hundred Thirty Seven </t>
  </si>
  <si>
    <t xml:space="preserve">Five Hundred Fifteen </t>
  </si>
  <si>
    <t xml:space="preserve">Five Hundred Thirty Three </t>
  </si>
  <si>
    <t xml:space="preserve">Five Hundred NinetySix </t>
  </si>
  <si>
    <t xml:space="preserve">Five Hundred Fifty One </t>
  </si>
  <si>
    <t xml:space="preserve">Six Hundred Thirteen </t>
  </si>
  <si>
    <t xml:space="preserve">Four Hundred Seventy Three </t>
  </si>
  <si>
    <t xml:space="preserve">Four Hundred Sixty Six </t>
  </si>
  <si>
    <t xml:space="preserve">Six Hundred Forty One </t>
  </si>
  <si>
    <t xml:space="preserve">Five Hundred NinetyTwo </t>
  </si>
  <si>
    <t xml:space="preserve">Five Hundred Seventy One </t>
  </si>
  <si>
    <t xml:space="preserve">Five Hundred Forty Six </t>
  </si>
  <si>
    <t xml:space="preserve">Four Hundred Sixty One </t>
  </si>
  <si>
    <t xml:space="preserve">Four Hundred Thirty Two </t>
  </si>
  <si>
    <t xml:space="preserve">Four Hundred NinetySix </t>
  </si>
  <si>
    <t xml:space="preserve">Five Hundred Forty Four </t>
  </si>
  <si>
    <t xml:space="preserve">Five Hundred Twelve </t>
  </si>
  <si>
    <t xml:space="preserve">Five Hundred Sixteen </t>
  </si>
  <si>
    <t xml:space="preserve">Five Hundred Forty Five </t>
  </si>
  <si>
    <t xml:space="preserve">Five Hundred Thirty Six </t>
  </si>
  <si>
    <t xml:space="preserve">Five Hundred Twenty  </t>
  </si>
  <si>
    <t xml:space="preserve">Four Hundred NinetyTwo </t>
  </si>
  <si>
    <t xml:space="preserve">Five Hundred Thirty  </t>
  </si>
  <si>
    <t xml:space="preserve">Five Hundred Thirty Nine </t>
  </si>
  <si>
    <t xml:space="preserve">Five Hundred NinetyEight </t>
  </si>
  <si>
    <t xml:space="preserve">Five Hundred Three </t>
  </si>
  <si>
    <t xml:space="preserve">Five Hundred Forty Three </t>
  </si>
  <si>
    <t xml:space="preserve">Six Hundred  </t>
  </si>
  <si>
    <t xml:space="preserve">Five Hundred Seventeen </t>
  </si>
  <si>
    <t xml:space="preserve">Five Hundred Seventy Six </t>
  </si>
  <si>
    <t xml:space="preserve">Five Hundred Twenty Three </t>
  </si>
  <si>
    <t xml:space="preserve">Five Hundred Fifty Four </t>
  </si>
  <si>
    <t xml:space="preserve">Four Hundred NinetyFive </t>
  </si>
  <si>
    <t xml:space="preserve">Five Hundred Twenty One </t>
  </si>
  <si>
    <t xml:space="preserve">Five Hundred Seventy Five </t>
  </si>
  <si>
    <t xml:space="preserve">Five Hundred One </t>
  </si>
  <si>
    <t xml:space="preserve">Three Hundred Eighty Nine </t>
  </si>
  <si>
    <t xml:space="preserve">Four Hundred Sixty Eight </t>
  </si>
  <si>
    <t xml:space="preserve">Four Hundred Seventy Six </t>
  </si>
  <si>
    <t xml:space="preserve">Four Hundred Sixty Nine </t>
  </si>
  <si>
    <t xml:space="preserve">Five Hundred Twenty Nine </t>
  </si>
  <si>
    <t xml:space="preserve">Five Hundred Sixty Four </t>
  </si>
  <si>
    <t xml:space="preserve">Five Hundred Nineteen </t>
  </si>
  <si>
    <t xml:space="preserve">Six Hundred Twenty Six </t>
  </si>
  <si>
    <t xml:space="preserve">Five Hundred Eighty One </t>
  </si>
  <si>
    <t xml:space="preserve">Five Hundred Twenty Two </t>
  </si>
  <si>
    <t xml:space="preserve">Five Hundred Fifty Five </t>
  </si>
  <si>
    <t xml:space="preserve">Five Hundred Sixty  </t>
  </si>
  <si>
    <t xml:space="preserve">Five Hundred Eighty Six </t>
  </si>
  <si>
    <t xml:space="preserve">Five Hundred Sixty Five </t>
  </si>
  <si>
    <t xml:space="preserve">Five Hundred Twenty Five </t>
  </si>
  <si>
    <t xml:space="preserve">Four Hundred Seventy Five </t>
  </si>
  <si>
    <t xml:space="preserve">Five Hundred Forty Seven </t>
  </si>
  <si>
    <t xml:space="preserve">Five Hundred Twenty Eight </t>
  </si>
  <si>
    <t xml:space="preserve">Two Hundred Forty Five </t>
  </si>
  <si>
    <t xml:space="preserve">Five Hundred Two </t>
  </si>
  <si>
    <t xml:space="preserve">Five Hundred Fifty Nine </t>
  </si>
  <si>
    <t xml:space="preserve">Five Hundred NinetyNine </t>
  </si>
  <si>
    <t xml:space="preserve">Five Hundred Sixty Nine </t>
  </si>
  <si>
    <t xml:space="preserve">Five Hundred Fifty Three </t>
  </si>
  <si>
    <t xml:space="preserve">Five Hundred Ten </t>
  </si>
  <si>
    <t xml:space="preserve">Five Hundred Eleven </t>
  </si>
  <si>
    <t xml:space="preserve">Six Hundred Five </t>
  </si>
  <si>
    <t xml:space="preserve">Five Hundred Thirty One </t>
  </si>
  <si>
    <t xml:space="preserve">Three Hundred Eight </t>
  </si>
  <si>
    <t xml:space="preserve">Two Hundred Thirty Four </t>
  </si>
  <si>
    <t xml:space="preserve">Three Hundred Sixty Nine </t>
  </si>
  <si>
    <t xml:space="preserve">Three Hundred Eighty Eight </t>
  </si>
  <si>
    <t xml:space="preserve">Four Hundred Seventy Seven </t>
  </si>
  <si>
    <t xml:space="preserve">Four Hundred Six </t>
  </si>
  <si>
    <t xml:space="preserve">Three Hundred Forty Nine </t>
  </si>
  <si>
    <t xml:space="preserve">Four Hundred Thirty Seven </t>
  </si>
  <si>
    <t xml:space="preserve">Four Hundred Forty Eight </t>
  </si>
  <si>
    <t xml:space="preserve">Four Hundred Seventy Four </t>
  </si>
  <si>
    <t xml:space="preserve">Five Hundred  </t>
  </si>
  <si>
    <t xml:space="preserve">Four Hundred Fifty Six </t>
  </si>
  <si>
    <t xml:space="preserve">Four Hundred Twenty Six </t>
  </si>
  <si>
    <t xml:space="preserve">Two Hundred Thirty One </t>
  </si>
  <si>
    <t xml:space="preserve">Four Hundred Thirty Four </t>
  </si>
  <si>
    <t xml:space="preserve">Two Hundred Three </t>
  </si>
  <si>
    <t xml:space="preserve">Three Hundred Thirty Five </t>
  </si>
  <si>
    <t>000</t>
  </si>
  <si>
    <t>09</t>
  </si>
  <si>
    <t>02</t>
  </si>
  <si>
    <t>08</t>
  </si>
  <si>
    <t>06</t>
  </si>
  <si>
    <t>00</t>
  </si>
  <si>
    <t>05</t>
  </si>
  <si>
    <t>04</t>
  </si>
  <si>
    <t>537</t>
  </si>
  <si>
    <t xml:space="preserve">ADMANE PRADEEP VIDNYANRAO </t>
  </si>
  <si>
    <t>AHIRE NAMRATA ASHOK</t>
  </si>
  <si>
    <t>AMIN RISHITA VIJAYKUMAR</t>
  </si>
  <si>
    <t>AMRE PRITAM ANILKUMAR</t>
  </si>
  <si>
    <t>ANSAN SUNNY SALAMA</t>
  </si>
  <si>
    <t>ASRANI BHARTI LACHMAN</t>
  </si>
  <si>
    <t>BADE AMIT KERAMBA</t>
  </si>
  <si>
    <t>BAGWE KARAN VINAY</t>
  </si>
  <si>
    <t>BANDIVADEKAR RUTALI DILIP</t>
  </si>
  <si>
    <t>BARBHAYA RISHI DIVYESH</t>
  </si>
  <si>
    <t>BELWALKAR MANALI CHANDRAKANT</t>
  </si>
  <si>
    <t>BHAGAT DOLLY DEEPAK</t>
  </si>
  <si>
    <t>BHALERAO DEVENDRA SURESH</t>
  </si>
  <si>
    <t>BORSE KIRAN HILAL</t>
  </si>
  <si>
    <t>CHAUHAN ANJALI RAJU</t>
  </si>
  <si>
    <t>CHAVAN GAURAV SHRIDHAR</t>
  </si>
  <si>
    <t>CHAVAN KOMAL DATTATRAY</t>
  </si>
  <si>
    <t xml:space="preserve">CHAVAN RAVI BHIKAJI </t>
  </si>
  <si>
    <t>CHAVAN SHASHANK GAJANAN</t>
  </si>
  <si>
    <t>CHAVHAN AMOL SUBHASH</t>
  </si>
  <si>
    <t>CHILE AKSHAY VISHWANATH</t>
  </si>
  <si>
    <t>CHILKA PRIYANKA RAJENDRA</t>
  </si>
  <si>
    <t>CHONKAR SHRIKAR RAVINDRA</t>
  </si>
  <si>
    <t>DALVI NILESHA NANDKISHOR</t>
  </si>
  <si>
    <t>DANDE AKASH NARAYAN</t>
  </si>
  <si>
    <t>DAVE RAJENDRA AJAY</t>
  </si>
  <si>
    <t xml:space="preserve">DEORE SANKET GOVIND </t>
  </si>
  <si>
    <t>DESAI CHINMAY PRAKASH</t>
  </si>
  <si>
    <t>DEVLEKAR RAHUL PRAKASH</t>
  </si>
  <si>
    <t>DHULE AMEY YASHWANT</t>
  </si>
  <si>
    <t>ERANGALE VINIT MANOJ</t>
  </si>
  <si>
    <t>ERRAVONI MAHESH KUMAR BUCHAIAH</t>
  </si>
  <si>
    <t>GAJUL POOJA GOPAL</t>
  </si>
  <si>
    <t>GANDHI KAJOL VIJAY</t>
  </si>
  <si>
    <t>GAWADE MAHESH SHIVAJI</t>
  </si>
  <si>
    <t>GAWADE SHRADDHA SHRIKANT</t>
  </si>
  <si>
    <t>GAWAI SUPRIYA SUBHASH</t>
  </si>
  <si>
    <t>GOHIL VIRAL RAJESHBHAI</t>
  </si>
  <si>
    <t>GUPTA SHIVA AJAY</t>
  </si>
  <si>
    <t>GURABE MANISHA VISHNU</t>
  </si>
  <si>
    <t>GURAV ABHIJIT SHRIPAT</t>
  </si>
  <si>
    <t>GURAV KAMINEE PRAKASH</t>
  </si>
  <si>
    <t>HEGDE PARIKSHIT KRISHNA</t>
  </si>
  <si>
    <t>JADHAV SNEHA AMARSINGH</t>
  </si>
  <si>
    <t xml:space="preserve">JAIN SHARAD RAMESHKUMAR </t>
  </si>
  <si>
    <t>JETHAVA VIKRANT ASHOK BHAI</t>
  </si>
  <si>
    <t>JOSHI DIVYA ASHOK</t>
  </si>
  <si>
    <t>KADDI ASHUTOSH RAVINDRA</t>
  </si>
  <si>
    <t xml:space="preserve">KADIWALA REHAN KARIM </t>
  </si>
  <si>
    <t>KAMBLE ROHAN SUNIL</t>
  </si>
  <si>
    <t xml:space="preserve">KAMDAR  JINESH KUMAR </t>
  </si>
  <si>
    <t xml:space="preserve">KELUSKAR PRAVIN PURUSHOTTAM  </t>
  </si>
  <si>
    <t>KESARKAR ANKITA DILIP</t>
  </si>
  <si>
    <t>KEYAL ATULKUMAR SAJJANKUMAR</t>
  </si>
  <si>
    <t>KHANDARE ASHWINI DNYANDEO</t>
  </si>
  <si>
    <t xml:space="preserve">KHATRI CHINTAN BIPIN </t>
  </si>
  <si>
    <t xml:space="preserve">KHOT  DEEPALI GANPATI </t>
  </si>
  <si>
    <t xml:space="preserve">KODAM MANIKIRAN MADHUSUDHAN </t>
  </si>
  <si>
    <t>KOLI NEHA NANDU</t>
  </si>
  <si>
    <t>KUBAL PRIYANKA KAMALAKAR</t>
  </si>
  <si>
    <t>KUBAL SARIKA KAMALAKAR</t>
  </si>
  <si>
    <t>KUCHEKAR KARISHMA APPASAHEB</t>
  </si>
  <si>
    <t>KULKARNI NIKHIL NAGESH</t>
  </si>
  <si>
    <t>KUTTY ROHIT KRISHNAN</t>
  </si>
  <si>
    <t>LANDGE SNEHAL PRAKASH</t>
  </si>
  <si>
    <t xml:space="preserve">MADHWA TANUJ RADHEY SHYAM </t>
  </si>
  <si>
    <t xml:space="preserve">MANIAR KARAN BHARATBHAI </t>
  </si>
  <si>
    <t>MANJARE SAGAR RAMDAS</t>
  </si>
  <si>
    <t>MHATRE DEVIKA RAVINDRA</t>
  </si>
  <si>
    <t>MORE SAURABH SUDHIR</t>
  </si>
  <si>
    <t>NADKAR AAQUIB FAIYAZ</t>
  </si>
  <si>
    <t>NAGWEKAR DEVEN SUHAS</t>
  </si>
  <si>
    <t>NAIK MADHURA MILIND</t>
  </si>
  <si>
    <t>NEMAN PRATEEK DASHRATH</t>
  </si>
  <si>
    <t xml:space="preserve">OZA ADITYA SUNILKUMAR </t>
  </si>
  <si>
    <t>PADSALA CHIRAG GOKUL</t>
  </si>
  <si>
    <t>PAI SIDDHANT SUHAS</t>
  </si>
  <si>
    <t>PALAV ROHIT DHANANJAY</t>
  </si>
  <si>
    <t>PANCHAL KOMAL NITIN</t>
  </si>
  <si>
    <t>PANDEY KARISHMA AJEETKUMAR</t>
  </si>
  <si>
    <t>PANDEY SANTOSHKUMAR RAJKUMAR</t>
  </si>
  <si>
    <t xml:space="preserve">PARANDE MANDAR MANGESH </t>
  </si>
  <si>
    <t xml:space="preserve">PARKAR SIDDHANT RAJIV </t>
  </si>
  <si>
    <t>PARMAR ANKIT RAMNIKLAL</t>
  </si>
  <si>
    <t xml:space="preserve">PATEL JAY BIPIN </t>
  </si>
  <si>
    <t>PATHARE ROHIT SANJAY</t>
  </si>
  <si>
    <t>PATIL AADITYA SAKHARAM</t>
  </si>
  <si>
    <t>PATIL ABHILESH NITIN</t>
  </si>
  <si>
    <t>PATIL AKSHAY PRADEEP</t>
  </si>
  <si>
    <t xml:space="preserve">PATIL GAURAV BHAURAO </t>
  </si>
  <si>
    <t>PATIL MRUNAL SHASHIKANT</t>
  </si>
  <si>
    <t>PATIL SANKET SUNIL</t>
  </si>
  <si>
    <t>PATIL SNEHAL VASANT</t>
  </si>
  <si>
    <t>PAWAR SONALI BHIMSING</t>
  </si>
  <si>
    <t xml:space="preserve">PENDHARI DIPALI SAKHARAM </t>
  </si>
  <si>
    <t>PIMPLE SAYALI PRABHAKAR</t>
  </si>
  <si>
    <t>POOJARI DHANRAJ MUTHAYYA</t>
  </si>
  <si>
    <t>PRAJAPATI PRAMOD RAMJIT</t>
  </si>
  <si>
    <t>PURI NAMITA RAMDAS</t>
  </si>
  <si>
    <t>QAMAR JUNAID MOHD</t>
  </si>
  <si>
    <t>RANE YUGANDHARA CHANDRAMOHAN</t>
  </si>
  <si>
    <t>RAUT JUHI DILIP</t>
  </si>
  <si>
    <t>RAUT NEHA MOHAN</t>
  </si>
  <si>
    <t>SANKPAL KIRAN PRAKASH</t>
  </si>
  <si>
    <t>SAPLE NIKITA DILIP</t>
  </si>
  <si>
    <t>SATARDEKAR SIDDHESH  NANDKUMAR</t>
  </si>
  <si>
    <t xml:space="preserve">SAWANT  RIDHIMA  AJAY </t>
  </si>
  <si>
    <t>SAWANT ROHIT RAMCHANDRA</t>
  </si>
  <si>
    <t>SAWANT SHREYAS SUBHASH</t>
  </si>
  <si>
    <t xml:space="preserve">SETH SAURAV </t>
  </si>
  <si>
    <t xml:space="preserve">SHAH DIVYA MANGESH </t>
  </si>
  <si>
    <t>SHAH FIYANSH DINESH</t>
  </si>
  <si>
    <t>SHAH JITEN PARAG</t>
  </si>
  <si>
    <t>SHAH KARAN VIPULKUMAR</t>
  </si>
  <si>
    <t>SHAH KETUK PANKAJKUMAR</t>
  </si>
  <si>
    <t>SHAH KOMAL PARTH</t>
  </si>
  <si>
    <t>SHAH PARAS PANKAJ</t>
  </si>
  <si>
    <t>SHARMA PRADEEP RAMAJEET</t>
  </si>
  <si>
    <t xml:space="preserve">SHELKE DHANSHREE SUBHASH </t>
  </si>
  <si>
    <t>SHETTY CHAITRA BALAKRISHNA</t>
  </si>
  <si>
    <t>SHETTY RISHI CHANDRASHEKAR</t>
  </si>
  <si>
    <t>SHEWALE PALLAVI KALIDAS</t>
  </si>
  <si>
    <t>SHINDE ANIKET ANANT</t>
  </si>
  <si>
    <t>SHROFF RUCHIT RAJIV</t>
  </si>
  <si>
    <t>SHUKLA AKASHKUMAR LALITKUMAR</t>
  </si>
  <si>
    <t xml:space="preserve">SHUKLA MANOJ SHOBNATH </t>
  </si>
  <si>
    <t>SINGH SATISH SHARDA</t>
  </si>
  <si>
    <t>SINGH VIKRAM  RAVINDRA</t>
  </si>
  <si>
    <t>SINKAR VINIT PRADIP</t>
  </si>
  <si>
    <t>SOMAIYA JAINIM DILIP</t>
  </si>
  <si>
    <t>SONI RAINIK OMPRAKASH</t>
  </si>
  <si>
    <t>SRIKANTH RAVEE</t>
  </si>
  <si>
    <t>SUMAN  SIDDAHARTH SURESH</t>
  </si>
  <si>
    <t>SURVE NEHA VILAS</t>
  </si>
  <si>
    <t xml:space="preserve">SURYAWANSHI PRIYANKA MADHUKAR </t>
  </si>
  <si>
    <t>TANDEL LINA LAXMAN</t>
  </si>
  <si>
    <t xml:space="preserve">THAPLIYAL AJAY SHIVSHARAN </t>
  </si>
  <si>
    <t>UBALE SANCHI SANDEEP</t>
  </si>
  <si>
    <t>UPADHYAY PRASHANT VIJAY</t>
  </si>
  <si>
    <t>VARSHINI RAMARAJ</t>
  </si>
  <si>
    <t>VYAS SAGAR MAHENDRA</t>
  </si>
  <si>
    <t>WALINJKAR KRITIKA BHUSHAN</t>
  </si>
  <si>
    <t>ZEPLE PRIYANKA KESHAV</t>
  </si>
  <si>
    <t>GALANDE BHUSHAN RAMESH</t>
  </si>
  <si>
    <t>PARDHIYE PRATHMESH VIJAY</t>
  </si>
  <si>
    <t>WANI TEJAS VILAS</t>
  </si>
  <si>
    <t>GHUMAN RAJNEET SINGH IQBAL SINGH</t>
  </si>
  <si>
    <t>/ KOLHATKAR SONIYA JAGDISH</t>
  </si>
  <si>
    <t>PC5201</t>
  </si>
  <si>
    <t>SURVE ABHISHEK RAMAKANT</t>
  </si>
  <si>
    <t>PC5202</t>
  </si>
  <si>
    <t>SINGH NIKET NARENDRA KUMAR</t>
  </si>
  <si>
    <t>PC5203</t>
  </si>
  <si>
    <t>SHAH ZALAK NIPUL</t>
  </si>
  <si>
    <t>PC5204</t>
  </si>
  <si>
    <t>CHITRE ABHISHEK ANIL</t>
  </si>
  <si>
    <t>PC5205</t>
  </si>
  <si>
    <t>PALEKAR AKSHAY ANIL</t>
  </si>
  <si>
    <t>PC5206</t>
  </si>
  <si>
    <t>SALVI SANDESH DILIP</t>
  </si>
  <si>
    <t>PC5207</t>
  </si>
  <si>
    <t>SHINDE PRATIKSHA DNYANESHWAR</t>
  </si>
  <si>
    <t>PC5208</t>
  </si>
  <si>
    <t>BHOITE KISHORI PRABHAR</t>
  </si>
  <si>
    <t>PC5209</t>
  </si>
  <si>
    <t>BAJATHA GAURAV SINGH GOVIND</t>
  </si>
  <si>
    <t>58+</t>
  </si>
  <si>
    <t>14+</t>
  </si>
  <si>
    <t>56+</t>
  </si>
  <si>
    <t>26+</t>
  </si>
  <si>
    <t>48+</t>
  </si>
  <si>
    <t xml:space="preserve">Statistical Data in various subjects prescribed at the T.E. SEM. (V)  Second  Half of 2013 Examination held by college </t>
  </si>
  <si>
    <t>on behalf of the University in the month of  Nov/Dec 2013.</t>
  </si>
  <si>
    <t>Prof.Sonal Maskeen    (ACE)</t>
  </si>
  <si>
    <t>Prof.Vaishali Salvi    (ACE)</t>
  </si>
  <si>
    <t>Prof.Nazneen Ansari (SFIT)</t>
  </si>
  <si>
    <t>Prof.Neha Singh    (ACE)</t>
  </si>
  <si>
    <t>Prof.Vaibhav Gijare (TCET)</t>
  </si>
  <si>
    <t>Prof.Ajeet Ghodeswar     (ACE)</t>
  </si>
  <si>
    <t>Prof.Alka Srivastava    (ACE)</t>
  </si>
  <si>
    <t>Prof.H.P.Kasturiwale     (TCET)</t>
  </si>
  <si>
    <t>70                   (marks above 30)</t>
  </si>
  <si>
    <t>84        (marks between 20 &amp; 30)</t>
  </si>
  <si>
    <t>34*</t>
  </si>
  <si>
    <t>470*</t>
  </si>
  <si>
    <t>532*</t>
  </si>
  <si>
    <t>563*</t>
  </si>
  <si>
    <t>512*</t>
  </si>
  <si>
    <t>493*</t>
  </si>
  <si>
    <t>460*</t>
  </si>
  <si>
    <t>507*</t>
  </si>
  <si>
    <t>453*</t>
  </si>
  <si>
    <t>533*</t>
  </si>
  <si>
    <t>(Signature of principal with College seal)</t>
  </si>
  <si>
    <t>KHAIRNAR VAISHALI VIJAY</t>
  </si>
  <si>
    <t xml:space="preserve">SAKHALE NIMESH HEMANT  </t>
  </si>
  <si>
    <t>482*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</si>
</sst>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"/>
  </numFmts>
  <fonts count="29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Times New Roman"/>
      <family val="1"/>
    </font>
    <font>
      <sz val="12"/>
      <color indexed="8"/>
      <name val="Calibri"/>
      <family val="2"/>
    </font>
    <font>
      <b/>
      <sz val="12"/>
      <color rgb="FF000000"/>
      <name val="Calibri"/>
      <family val="2"/>
    </font>
    <font>
      <b/>
      <sz val="12"/>
      <color rgb="FF000000"/>
      <name val="Times New Roman"/>
      <family val="1"/>
    </font>
    <font>
      <b/>
      <sz val="12"/>
      <color indexed="8"/>
      <name val="Calibri"/>
      <family val="2"/>
    </font>
    <font>
      <b/>
      <sz val="10"/>
      <color indexed="8"/>
      <name val="Times New Roman"/>
      <family val="1"/>
    </font>
    <font>
      <sz val="10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Times New Roman"/>
      <family val="1"/>
    </font>
    <font>
      <sz val="11"/>
      <color theme="1"/>
      <name val="Times New Roman"/>
      <family val="1"/>
    </font>
    <font>
      <b/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0"/>
      <color rgb="FF000000"/>
      <name val="Times New Roman"/>
      <family val="1"/>
    </font>
    <font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/>
    <xf numFmtId="9" fontId="5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Protection="1">
      <protection locked="0"/>
    </xf>
    <xf numFmtId="16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0" fontId="0" fillId="0" borderId="0" xfId="0" applyBorder="1" applyAlignment="1" applyProtection="1">
      <alignment wrapText="1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164" fontId="3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164" fontId="2" fillId="0" borderId="0" xfId="0" applyNumberFormat="1" applyFont="1" applyFill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164" fontId="3" fillId="0" borderId="0" xfId="0" applyNumberFormat="1" applyFont="1" applyAlignment="1" applyProtection="1">
      <alignment horizontal="left"/>
      <protection locked="0"/>
    </xf>
    <xf numFmtId="0" fontId="1" fillId="0" borderId="4" xfId="0" applyFont="1" applyFill="1" applyBorder="1" applyAlignment="1" applyProtection="1">
      <alignment horizontal="right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10" fontId="0" fillId="0" borderId="0" xfId="2" applyNumberFormat="1" applyFont="1" applyBorder="1" applyAlignment="1" applyProtection="1">
      <alignment horizontal="center"/>
      <protection locked="0"/>
    </xf>
    <xf numFmtId="164" fontId="0" fillId="2" borderId="0" xfId="0" applyNumberFormat="1" applyFill="1" applyAlignment="1" applyProtection="1">
      <alignment horizontal="left"/>
      <protection locked="0"/>
    </xf>
    <xf numFmtId="0" fontId="12" fillId="0" borderId="0" xfId="0" applyFont="1" applyProtection="1">
      <protection locked="0"/>
    </xf>
    <xf numFmtId="165" fontId="12" fillId="0" borderId="1" xfId="0" applyNumberFormat="1" applyFont="1" applyBorder="1" applyAlignment="1" applyProtection="1">
      <alignment horizontal="center"/>
      <protection hidden="1"/>
    </xf>
    <xf numFmtId="0" fontId="12" fillId="0" borderId="1" xfId="0" applyFont="1" applyBorder="1" applyAlignment="1" applyProtection="1">
      <alignment horizontal="center"/>
      <protection hidden="1"/>
    </xf>
    <xf numFmtId="0" fontId="12" fillId="0" borderId="0" xfId="0" applyFont="1" applyProtection="1">
      <protection hidden="1"/>
    </xf>
    <xf numFmtId="0" fontId="12" fillId="0" borderId="0" xfId="0" applyFont="1" applyBorder="1" applyProtection="1"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0" borderId="6" xfId="0" applyFont="1" applyFill="1" applyBorder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vertical="center" wrapText="1"/>
      <protection locked="0"/>
    </xf>
    <xf numFmtId="0" fontId="7" fillId="0" borderId="1" xfId="0" applyFont="1" applyBorder="1" applyAlignment="1" applyProtection="1">
      <alignment vertical="center" wrapText="1"/>
      <protection locked="0"/>
    </xf>
    <xf numFmtId="0" fontId="17" fillId="0" borderId="1" xfId="0" applyFont="1" applyBorder="1" applyAlignment="1" applyProtection="1">
      <alignment vertical="center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164" fontId="15" fillId="0" borderId="13" xfId="1" applyNumberFormat="1" applyFont="1" applyFill="1" applyBorder="1" applyAlignment="1" applyProtection="1">
      <alignment horizontal="right" wrapText="1"/>
      <protection locked="0"/>
    </xf>
    <xf numFmtId="164" fontId="12" fillId="0" borderId="0" xfId="0" applyNumberFormat="1" applyFont="1" applyAlignment="1" applyProtection="1">
      <alignment horizontal="right"/>
      <protection locked="0"/>
    </xf>
    <xf numFmtId="164" fontId="12" fillId="0" borderId="2" xfId="0" applyNumberFormat="1" applyFont="1" applyBorder="1" applyAlignment="1" applyProtection="1">
      <alignment horizontal="right"/>
      <protection locked="0"/>
    </xf>
    <xf numFmtId="164" fontId="0" fillId="0" borderId="0" xfId="0" applyNumberFormat="1" applyAlignment="1" applyProtection="1">
      <alignment horizontal="right"/>
      <protection locked="0"/>
    </xf>
    <xf numFmtId="164" fontId="3" fillId="0" borderId="0" xfId="0" applyNumberFormat="1" applyFont="1" applyFill="1" applyBorder="1" applyAlignment="1" applyProtection="1">
      <alignment horizontal="right"/>
      <protection locked="0"/>
    </xf>
    <xf numFmtId="0" fontId="12" fillId="0" borderId="2" xfId="0" applyFont="1" applyBorder="1" applyAlignment="1" applyProtection="1">
      <alignment horizontal="right"/>
      <protection hidden="1"/>
    </xf>
    <xf numFmtId="164" fontId="3" fillId="0" borderId="0" xfId="0" applyNumberFormat="1" applyFont="1" applyAlignment="1" applyProtection="1">
      <alignment horizontal="right"/>
      <protection locked="0"/>
    </xf>
    <xf numFmtId="164" fontId="15" fillId="0" borderId="11" xfId="1" applyNumberFormat="1" applyFont="1" applyFill="1" applyBorder="1" applyAlignment="1" applyProtection="1">
      <alignment horizontal="right" wrapText="1"/>
      <protection locked="0"/>
    </xf>
    <xf numFmtId="164" fontId="15" fillId="0" borderId="2" xfId="1" applyNumberFormat="1" applyFont="1" applyFill="1" applyBorder="1" applyAlignment="1" applyProtection="1">
      <alignment horizontal="right" wrapText="1"/>
      <protection locked="0"/>
    </xf>
    <xf numFmtId="164" fontId="3" fillId="0" borderId="0" xfId="0" applyNumberFormat="1" applyFont="1" applyFill="1" applyBorder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right"/>
      <protection locked="0"/>
    </xf>
    <xf numFmtId="164" fontId="15" fillId="0" borderId="14" xfId="1" applyNumberFormat="1" applyFont="1" applyFill="1" applyBorder="1" applyAlignment="1" applyProtection="1">
      <alignment horizontal="right" wrapText="1"/>
      <protection locked="0"/>
    </xf>
    <xf numFmtId="0" fontId="8" fillId="0" borderId="0" xfId="0" applyFont="1" applyAlignment="1" applyProtection="1">
      <alignment horizontal="right"/>
      <protection locked="0"/>
    </xf>
    <xf numFmtId="164" fontId="0" fillId="0" borderId="0" xfId="0" applyNumberFormat="1" applyBorder="1" applyAlignment="1" applyProtection="1">
      <alignment horizontal="right"/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4" fontId="2" fillId="0" borderId="0" xfId="0" applyNumberFormat="1" applyFont="1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12" fillId="0" borderId="3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0" borderId="10" xfId="0" applyFont="1" applyFill="1" applyBorder="1" applyAlignment="1" applyProtection="1">
      <alignment horizontal="right" vertical="center"/>
      <protection locked="0"/>
    </xf>
    <xf numFmtId="0" fontId="1" fillId="0" borderId="0" xfId="0" applyFont="1"/>
    <xf numFmtId="0" fontId="1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12" fillId="0" borderId="1" xfId="0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10" fontId="12" fillId="0" borderId="1" xfId="2" applyNumberFormat="1" applyFont="1" applyBorder="1" applyAlignment="1">
      <alignment horizontal="center" vertical="center" wrapText="1"/>
    </xf>
    <xf numFmtId="164" fontId="12" fillId="0" borderId="1" xfId="0" applyNumberFormat="1" applyFont="1" applyBorder="1" applyAlignment="1">
      <alignment horizontal="center" vertical="center" wrapText="1"/>
    </xf>
    <xf numFmtId="0" fontId="12" fillId="0" borderId="0" xfId="0" applyFont="1"/>
    <xf numFmtId="0" fontId="12" fillId="0" borderId="0" xfId="0" applyFont="1" applyBorder="1" applyAlignment="1">
      <alignment horizontal="center" vertical="center" wrapText="1"/>
    </xf>
    <xf numFmtId="0" fontId="12" fillId="0" borderId="1" xfId="0" applyNumberFormat="1" applyFont="1" applyBorder="1" applyAlignment="1">
      <alignment horizontal="left" vertical="center" wrapText="1"/>
    </xf>
    <xf numFmtId="0" fontId="12" fillId="0" borderId="0" xfId="0" applyFont="1" applyAlignment="1">
      <alignment horizontal="left" vertical="top"/>
    </xf>
    <xf numFmtId="10" fontId="12" fillId="0" borderId="0" xfId="2" applyNumberFormat="1" applyFont="1" applyAlignment="1">
      <alignment horizontal="left" vertical="top"/>
    </xf>
    <xf numFmtId="14" fontId="12" fillId="0" borderId="0" xfId="0" applyNumberFormat="1" applyFont="1" applyAlignment="1">
      <alignment horizontal="left"/>
    </xf>
    <xf numFmtId="0" fontId="19" fillId="0" borderId="1" xfId="0" applyFont="1" applyBorder="1" applyAlignment="1">
      <alignment horizontal="center" vertical="center" wrapText="1"/>
    </xf>
    <xf numFmtId="0" fontId="20" fillId="0" borderId="0" xfId="0" applyFont="1" applyAlignment="1">
      <alignment vertical="center"/>
    </xf>
    <xf numFmtId="49" fontId="15" fillId="0" borderId="13" xfId="1" applyNumberFormat="1" applyFont="1" applyFill="1" applyBorder="1" applyAlignment="1" applyProtection="1">
      <alignment horizontal="right" wrapText="1"/>
      <protection locked="0"/>
    </xf>
    <xf numFmtId="49" fontId="12" fillId="0" borderId="3" xfId="0" applyNumberFormat="1" applyFont="1" applyBorder="1" applyAlignment="1" applyProtection="1">
      <alignment horizontal="left"/>
      <protection hidden="1"/>
    </xf>
    <xf numFmtId="49" fontId="12" fillId="0" borderId="2" xfId="0" applyNumberFormat="1" applyFont="1" applyBorder="1" applyAlignment="1" applyProtection="1">
      <alignment horizontal="right"/>
      <protection hidden="1"/>
    </xf>
    <xf numFmtId="49" fontId="12" fillId="0" borderId="4" xfId="0" applyNumberFormat="1" applyFont="1" applyBorder="1" applyAlignment="1" applyProtection="1">
      <alignment horizontal="left"/>
      <protection hidden="1"/>
    </xf>
    <xf numFmtId="49" fontId="15" fillId="0" borderId="11" xfId="1" applyNumberFormat="1" applyFont="1" applyFill="1" applyBorder="1" applyAlignment="1" applyProtection="1">
      <alignment horizontal="right" wrapText="1"/>
      <protection locked="0"/>
    </xf>
    <xf numFmtId="49" fontId="15" fillId="0" borderId="2" xfId="1" applyNumberFormat="1" applyFont="1" applyFill="1" applyBorder="1" applyAlignment="1" applyProtection="1">
      <alignment horizontal="right" wrapText="1"/>
      <protection locked="0"/>
    </xf>
    <xf numFmtId="49" fontId="15" fillId="0" borderId="14" xfId="1" applyNumberFormat="1" applyFont="1" applyFill="1" applyBorder="1" applyAlignment="1" applyProtection="1">
      <alignment horizontal="right" wrapText="1"/>
      <protection locked="0"/>
    </xf>
    <xf numFmtId="49" fontId="12" fillId="0" borderId="1" xfId="0" applyNumberFormat="1" applyFont="1" applyBorder="1" applyAlignment="1" applyProtection="1">
      <alignment horizontal="center"/>
      <protection hidden="1"/>
    </xf>
    <xf numFmtId="49" fontId="12" fillId="0" borderId="0" xfId="0" applyNumberFormat="1" applyFont="1" applyAlignment="1" applyProtection="1">
      <alignment horizontal="right"/>
      <protection locked="0"/>
    </xf>
    <xf numFmtId="49" fontId="12" fillId="0" borderId="2" xfId="0" applyNumberFormat="1" applyFont="1" applyBorder="1" applyAlignment="1" applyProtection="1">
      <alignment horizontal="right"/>
      <protection locked="0"/>
    </xf>
    <xf numFmtId="49" fontId="13" fillId="0" borderId="1" xfId="0" applyNumberFormat="1" applyFont="1" applyBorder="1" applyAlignment="1" applyProtection="1">
      <alignment horizontal="center" vertical="center" wrapText="1"/>
      <protection locked="0"/>
    </xf>
    <xf numFmtId="49" fontId="16" fillId="0" borderId="1" xfId="0" applyNumberFormat="1" applyFont="1" applyBorder="1" applyAlignment="1" applyProtection="1">
      <alignment horizontal="center" vertical="center" wrapText="1"/>
      <protection locked="0"/>
    </xf>
    <xf numFmtId="164" fontId="12" fillId="0" borderId="3" xfId="0" applyNumberFormat="1" applyFont="1" applyBorder="1" applyAlignment="1" applyProtection="1">
      <alignment horizontal="left"/>
      <protection hidden="1"/>
    </xf>
    <xf numFmtId="164" fontId="12" fillId="0" borderId="2" xfId="0" applyNumberFormat="1" applyFont="1" applyBorder="1" applyAlignment="1" applyProtection="1">
      <alignment horizontal="right"/>
      <protection hidden="1"/>
    </xf>
    <xf numFmtId="164" fontId="12" fillId="0" borderId="4" xfId="0" applyNumberFormat="1" applyFont="1" applyBorder="1" applyAlignment="1" applyProtection="1">
      <alignment horizontal="left"/>
      <protection hidden="1"/>
    </xf>
    <xf numFmtId="0" fontId="5" fillId="0" borderId="3" xfId="0" applyFont="1" applyBorder="1" applyAlignment="1" applyProtection="1">
      <alignment horizontal="left"/>
      <protection hidden="1"/>
    </xf>
    <xf numFmtId="0" fontId="5" fillId="0" borderId="4" xfId="0" applyFont="1" applyBorder="1" applyAlignment="1" applyProtection="1">
      <alignment horizontal="left"/>
      <protection hidden="1"/>
    </xf>
    <xf numFmtId="164" fontId="28" fillId="0" borderId="11" xfId="1" applyNumberFormat="1" applyFont="1" applyFill="1" applyBorder="1" applyAlignment="1" applyProtection="1">
      <alignment horizontal="right" wrapText="1"/>
      <protection locked="0"/>
    </xf>
    <xf numFmtId="164" fontId="28" fillId="0" borderId="2" xfId="1" applyNumberFormat="1" applyFont="1" applyFill="1" applyBorder="1" applyAlignment="1" applyProtection="1">
      <alignment horizontal="right" wrapText="1"/>
      <protection locked="0"/>
    </xf>
    <xf numFmtId="0" fontId="5" fillId="0" borderId="2" xfId="0" applyFont="1" applyBorder="1" applyAlignment="1" applyProtection="1">
      <alignment horizontal="right"/>
      <protection hidden="1"/>
    </xf>
    <xf numFmtId="0" fontId="5" fillId="0" borderId="2" xfId="0" applyFont="1" applyBorder="1" applyAlignment="1">
      <alignment horizontal="center" vertical="top" wrapText="1"/>
    </xf>
    <xf numFmtId="164" fontId="28" fillId="0" borderId="3" xfId="1" applyNumberFormat="1" applyFont="1" applyFill="1" applyBorder="1" applyAlignment="1" applyProtection="1">
      <alignment horizontal="right" wrapText="1"/>
      <protection locked="0"/>
    </xf>
    <xf numFmtId="164" fontId="5" fillId="0" borderId="3" xfId="0" applyNumberFormat="1" applyFont="1" applyBorder="1" applyAlignment="1" applyProtection="1">
      <alignment horizontal="right"/>
      <protection locked="0"/>
    </xf>
    <xf numFmtId="0" fontId="23" fillId="0" borderId="1" xfId="0" applyFont="1" applyBorder="1" applyAlignment="1">
      <alignment horizontal="center" wrapText="1"/>
    </xf>
    <xf numFmtId="0" fontId="23" fillId="0" borderId="1" xfId="0" applyFont="1" applyBorder="1" applyAlignment="1">
      <alignment wrapText="1"/>
    </xf>
    <xf numFmtId="0" fontId="24" fillId="0" borderId="1" xfId="0" applyFont="1" applyBorder="1" applyAlignment="1">
      <alignment vertical="top" wrapText="1"/>
    </xf>
    <xf numFmtId="0" fontId="25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wrapText="1"/>
    </xf>
    <xf numFmtId="0" fontId="26" fillId="0" borderId="1" xfId="0" applyFont="1" applyBorder="1" applyAlignment="1">
      <alignment wrapText="1"/>
    </xf>
    <xf numFmtId="0" fontId="27" fillId="0" borderId="1" xfId="0" applyFont="1" applyBorder="1" applyAlignment="1">
      <alignment wrapText="1"/>
    </xf>
    <xf numFmtId="0" fontId="23" fillId="0" borderId="1" xfId="0" applyFont="1" applyBorder="1" applyAlignment="1">
      <alignment horizontal="center" vertical="top" wrapText="1"/>
    </xf>
    <xf numFmtId="164" fontId="0" fillId="0" borderId="3" xfId="0" applyNumberFormat="1" applyBorder="1" applyAlignment="1" applyProtection="1">
      <alignment horizontal="right"/>
      <protection locked="0"/>
    </xf>
    <xf numFmtId="0" fontId="0" fillId="0" borderId="2" xfId="0" applyBorder="1" applyAlignment="1" applyProtection="1">
      <alignment horizontal="right"/>
      <protection hidden="1"/>
    </xf>
    <xf numFmtId="0" fontId="0" fillId="0" borderId="2" xfId="0" applyBorder="1" applyAlignment="1">
      <alignment horizontal="center" vertical="top" wrapText="1"/>
    </xf>
    <xf numFmtId="165" fontId="0" fillId="0" borderId="1" xfId="0" applyNumberFormat="1" applyFon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center"/>
      <protection hidden="1"/>
    </xf>
    <xf numFmtId="0" fontId="1" fillId="0" borderId="5" xfId="0" applyFont="1" applyFill="1" applyBorder="1" applyAlignment="1" applyProtection="1">
      <alignment horizontal="center"/>
      <protection locked="0"/>
    </xf>
    <xf numFmtId="0" fontId="1" fillId="0" borderId="4" xfId="0" applyFont="1" applyFill="1" applyBorder="1" applyAlignment="1" applyProtection="1">
      <alignment horizontal="center"/>
      <protection locked="0"/>
    </xf>
    <xf numFmtId="0" fontId="1" fillId="0" borderId="10" xfId="0" applyFont="1" applyFill="1" applyBorder="1" applyAlignment="1" applyProtection="1">
      <alignment horizontal="center"/>
      <protection locked="0"/>
    </xf>
    <xf numFmtId="0" fontId="1" fillId="0" borderId="2" xfId="0" applyFont="1" applyFill="1" applyBorder="1" applyAlignment="1" applyProtection="1">
      <alignment horizontal="center"/>
      <protection locked="0"/>
    </xf>
    <xf numFmtId="0" fontId="18" fillId="0" borderId="5" xfId="0" applyFont="1" applyFill="1" applyBorder="1" applyAlignment="1" applyProtection="1">
      <alignment horizontal="center" vertical="center"/>
      <protection locked="0"/>
    </xf>
    <xf numFmtId="0" fontId="18" fillId="0" borderId="6" xfId="0" applyFont="1" applyFill="1" applyBorder="1" applyAlignment="1" applyProtection="1">
      <alignment horizontal="center" vertical="center"/>
      <protection locked="0"/>
    </xf>
    <xf numFmtId="0" fontId="18" fillId="0" borderId="7" xfId="0" applyFont="1" applyFill="1" applyBorder="1" applyAlignment="1" applyProtection="1">
      <alignment horizontal="center" vertical="center"/>
      <protection locked="0"/>
    </xf>
    <xf numFmtId="0" fontId="18" fillId="0" borderId="2" xfId="0" applyFont="1" applyFill="1" applyBorder="1" applyAlignment="1" applyProtection="1">
      <alignment horizontal="center"/>
      <protection locked="0"/>
    </xf>
    <xf numFmtId="0" fontId="18" fillId="0" borderId="4" xfId="0" applyFont="1" applyFill="1" applyBorder="1" applyAlignment="1" applyProtection="1">
      <alignment horizontal="center"/>
      <protection locked="0"/>
    </xf>
    <xf numFmtId="0" fontId="1" fillId="0" borderId="3" xfId="0" applyFont="1" applyFill="1" applyBorder="1" applyAlignment="1" applyProtection="1">
      <alignment horizontal="center"/>
      <protection locked="0"/>
    </xf>
    <xf numFmtId="0" fontId="1" fillId="0" borderId="6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12" fillId="0" borderId="9" xfId="0" applyFont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_Sheet1" xfId="1"/>
    <cellStyle name="Percent" xfId="2" builtinId="5"/>
  </cellStyles>
  <dxfs count="48"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2314575</xdr:colOff>
      <xdr:row>22</xdr:row>
      <xdr:rowOff>9525</xdr:rowOff>
    </xdr:from>
    <xdr:to>
      <xdr:col>2</xdr:col>
      <xdr:colOff>2314575</xdr:colOff>
      <xdr:row>24</xdr:row>
      <xdr:rowOff>0</xdr:rowOff>
    </xdr:to>
    <xdr:cxnSp macro="">
      <xdr:nvCxnSpPr>
        <xdr:cNvPr id="3" name="Straight Connector 2"/>
        <xdr:cNvCxnSpPr/>
      </xdr:nvCxnSpPr>
      <xdr:spPr>
        <a:xfrm>
          <a:off x="3552825" y="4400550"/>
          <a:ext cx="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AM199"/>
  <sheetViews>
    <sheetView topLeftCell="A13" workbookViewId="0">
      <pane xSplit="3" ySplit="12" topLeftCell="D82" activePane="bottomRight" state="frozen"/>
      <selection activeCell="A13" sqref="A13"/>
      <selection pane="topRight" activeCell="D13" sqref="D13"/>
      <selection pane="bottomLeft" activeCell="A25" sqref="A25"/>
      <selection pane="bottomRight" activeCell="B89" sqref="B89:AL89"/>
    </sheetView>
  </sheetViews>
  <sheetFormatPr defaultColWidth="8.85546875" defaultRowHeight="15"/>
  <cols>
    <col min="1" max="1" width="8.85546875" style="1"/>
    <col min="2" max="2" width="9.7109375" style="1" customWidth="1"/>
    <col min="3" max="3" width="41.7109375" style="1" customWidth="1"/>
    <col min="4" max="4" width="4.140625" style="2" customWidth="1"/>
    <col min="5" max="5" width="3.28515625" style="50" customWidth="1"/>
    <col min="6" max="6" width="4.140625" style="37" customWidth="1"/>
    <col min="7" max="7" width="1.7109375" style="50" customWidth="1"/>
    <col min="8" max="8" width="4.140625" style="37" customWidth="1"/>
    <col min="9" max="9" width="1.5703125" style="50" customWidth="1"/>
    <col min="10" max="10" width="4.140625" style="37" customWidth="1"/>
    <col min="11" max="11" width="1.7109375" style="50" customWidth="1"/>
    <col min="12" max="12" width="4.140625" style="37" customWidth="1"/>
    <col min="13" max="13" width="1.7109375" style="50" customWidth="1"/>
    <col min="14" max="14" width="4.140625" style="37" customWidth="1"/>
    <col min="15" max="15" width="1.7109375" style="50" customWidth="1"/>
    <col min="16" max="16" width="4.140625" style="37" customWidth="1"/>
    <col min="17" max="17" width="1.7109375" style="50" customWidth="1"/>
    <col min="18" max="18" width="4.140625" style="37" customWidth="1"/>
    <col min="19" max="19" width="1.7109375" style="50" customWidth="1"/>
    <col min="20" max="20" width="4.140625" style="37" customWidth="1"/>
    <col min="21" max="21" width="1.7109375" style="50" customWidth="1"/>
    <col min="22" max="22" width="4.140625" style="37" customWidth="1"/>
    <col min="23" max="23" width="1.7109375" style="50" customWidth="1"/>
    <col min="24" max="24" width="4.140625" style="2" customWidth="1"/>
    <col min="25" max="25" width="1.5703125" style="50" customWidth="1"/>
    <col min="26" max="26" width="4.140625" style="37" customWidth="1"/>
    <col min="27" max="27" width="1.7109375" style="50" customWidth="1"/>
    <col min="28" max="28" width="4.140625" style="37" customWidth="1"/>
    <col min="29" max="29" width="1.7109375" style="50" customWidth="1"/>
    <col min="30" max="30" width="4.140625" style="37" customWidth="1"/>
    <col min="31" max="31" width="1.7109375" style="50" customWidth="1"/>
    <col min="32" max="32" width="4.140625" style="37" customWidth="1"/>
    <col min="33" max="33" width="1.7109375" style="50" customWidth="1"/>
    <col min="34" max="34" width="4.140625" style="37" customWidth="1"/>
    <col min="35" max="35" width="1.7109375" style="50" customWidth="1"/>
    <col min="36" max="37" width="9.140625" style="3" customWidth="1"/>
    <col min="38" max="38" width="20.28515625" style="1" customWidth="1"/>
    <col min="39" max="16384" width="8.85546875" style="1"/>
  </cols>
  <sheetData>
    <row r="3" spans="2:38">
      <c r="D3" s="2" t="s">
        <v>0</v>
      </c>
      <c r="J3" s="37" t="s">
        <v>1</v>
      </c>
      <c r="P3" s="37" t="s">
        <v>2</v>
      </c>
      <c r="V3" s="37" t="s">
        <v>3</v>
      </c>
      <c r="Z3" s="37" t="s">
        <v>4</v>
      </c>
      <c r="AF3" s="37" t="s">
        <v>5</v>
      </c>
    </row>
    <row r="4" spans="2:38">
      <c r="C4" s="4" t="s">
        <v>76</v>
      </c>
      <c r="D4" s="2">
        <f>COUNT(D25:D193)+D11</f>
        <v>157</v>
      </c>
      <c r="J4" s="2">
        <f>COUNT(J25:J193)+J11</f>
        <v>157</v>
      </c>
      <c r="P4" s="2">
        <f>COUNT(P25:P193)+P11</f>
        <v>158</v>
      </c>
      <c r="V4" s="2">
        <f>COUNT(V25:V193)+V11</f>
        <v>157</v>
      </c>
      <c r="Z4" s="2">
        <f>COUNT(Z25:Z193)+Z11</f>
        <v>153</v>
      </c>
      <c r="AF4" s="2">
        <f>COUNT(AF25:AF193)+AF11</f>
        <v>155</v>
      </c>
    </row>
    <row r="5" spans="2:38">
      <c r="C5" s="4" t="s">
        <v>77</v>
      </c>
      <c r="D5" s="2">
        <f>COUNTIF(E25:E193,"F")</f>
        <v>8</v>
      </c>
      <c r="J5" s="37">
        <f>COUNTIF(K25:K193,"F")</f>
        <v>8</v>
      </c>
      <c r="P5" s="37">
        <f>COUNTIF(Q25:Q193,"F")</f>
        <v>36</v>
      </c>
      <c r="V5" s="37">
        <f>COUNTIF(W25:W193,"F")</f>
        <v>43</v>
      </c>
      <c r="Z5" s="37">
        <f>COUNTIF(AA25:AA193,"F")</f>
        <v>16</v>
      </c>
      <c r="AF5" s="37">
        <f>COUNTIF(AG25:AG193,"F")</f>
        <v>1</v>
      </c>
    </row>
    <row r="6" spans="2:38">
      <c r="C6" s="4" t="s">
        <v>78</v>
      </c>
      <c r="D6" s="2">
        <f>D4-D5</f>
        <v>149</v>
      </c>
      <c r="J6" s="37">
        <f>J4-J5</f>
        <v>149</v>
      </c>
      <c r="P6" s="37">
        <f>P4-P5</f>
        <v>122</v>
      </c>
      <c r="V6" s="37">
        <f>V4-V5</f>
        <v>114</v>
      </c>
      <c r="Z6" s="37">
        <f>Z4-Z5</f>
        <v>137</v>
      </c>
      <c r="AF6" s="37">
        <f>AF4-AF5</f>
        <v>154</v>
      </c>
    </row>
    <row r="7" spans="2:38">
      <c r="C7" s="4" t="s">
        <v>79</v>
      </c>
      <c r="D7" s="2">
        <f>AVERAGE(D25:D193)</f>
        <v>54.305732484076437</v>
      </c>
      <c r="J7" s="37">
        <f>AVERAGE(J25:J193)</f>
        <v>47.794871794871796</v>
      </c>
      <c r="P7" s="37">
        <f>AVERAGE(P25:P193)</f>
        <v>41.596026490066222</v>
      </c>
      <c r="V7" s="37">
        <f>AVERAGE(V25:V193)</f>
        <v>41.862745098039213</v>
      </c>
      <c r="Z7" s="37">
        <f>AVERAGE(Z25:Z193)</f>
        <v>49.019607843137258</v>
      </c>
      <c r="AF7" s="37">
        <f>AVERAGE(AF25:AF193)</f>
        <v>28.793548387096774</v>
      </c>
    </row>
    <row r="8" spans="2:38">
      <c r="C8" s="4" t="s">
        <v>80</v>
      </c>
      <c r="D8" s="2">
        <f>MAX(D25:D193)</f>
        <v>84</v>
      </c>
      <c r="J8" s="37">
        <f>MAX(J25:J193)</f>
        <v>69</v>
      </c>
      <c r="P8" s="37">
        <f>MAX(P25:P193)</f>
        <v>76</v>
      </c>
      <c r="V8" s="37">
        <f>MAX(V25:V193)</f>
        <v>89</v>
      </c>
      <c r="Z8" s="37">
        <f>MAX(Z25:Z193)</f>
        <v>72</v>
      </c>
      <c r="AF8" s="37">
        <f>MAX(AF25:AF193)</f>
        <v>39</v>
      </c>
    </row>
    <row r="9" spans="2:38">
      <c r="C9" s="4" t="s">
        <v>81</v>
      </c>
      <c r="D9" s="2">
        <f>COUNTIF(D25:D193,"&gt;=60")</f>
        <v>55</v>
      </c>
      <c r="J9" s="37">
        <f>COUNTIF(J25:J193,"&gt;=60")</f>
        <v>14</v>
      </c>
      <c r="P9" s="37">
        <f>COUNTIF(P25:P193,"&gt;=60")</f>
        <v>7</v>
      </c>
      <c r="V9" s="37">
        <f>COUNTIF(V25:V193,"&gt;=60")</f>
        <v>22</v>
      </c>
      <c r="Z9" s="37">
        <f>COUNTIF(Z25:Z193,"&gt;=60")</f>
        <v>35</v>
      </c>
      <c r="AF9" s="37">
        <f>COUNTIF(AF25:AF193,"&gt;=30")</f>
        <v>70</v>
      </c>
    </row>
    <row r="10" spans="2:38">
      <c r="C10" s="5" t="s">
        <v>82</v>
      </c>
      <c r="D10" s="2">
        <f>D6-D9</f>
        <v>94</v>
      </c>
      <c r="J10" s="37">
        <f>J6-J9</f>
        <v>135</v>
      </c>
      <c r="P10" s="37">
        <f>P6-P9</f>
        <v>115</v>
      </c>
      <c r="V10" s="37">
        <f>V6-V9</f>
        <v>92</v>
      </c>
      <c r="Z10" s="37">
        <f>Z6-Z9</f>
        <v>102</v>
      </c>
      <c r="AF10" s="37">
        <f>AF6-AF9</f>
        <v>84</v>
      </c>
    </row>
    <row r="11" spans="2:38">
      <c r="C11" s="5" t="s">
        <v>337</v>
      </c>
      <c r="D11" s="2">
        <f>COUNTIF(D25:D193,"??~*")</f>
        <v>0</v>
      </c>
      <c r="J11" s="37">
        <f>COUNTIF(J25:J193,"??~*")</f>
        <v>1</v>
      </c>
      <c r="P11" s="37">
        <f>COUNTIF(P25:P193,"??~*")</f>
        <v>7</v>
      </c>
      <c r="V11" s="37">
        <f>COUNTIF(V25:V193,"??~*")</f>
        <v>4</v>
      </c>
      <c r="Z11" s="37">
        <f>COUNTIF(Z25:Z193,"??~*")</f>
        <v>0</v>
      </c>
      <c r="AF11" s="37">
        <f>COUNTIF(AF25:AF193,"??~*")</f>
        <v>0</v>
      </c>
    </row>
    <row r="12" spans="2:38">
      <c r="C12" s="5"/>
    </row>
    <row r="13" spans="2:38">
      <c r="C13" s="5"/>
    </row>
    <row r="14" spans="2:38">
      <c r="C14" s="5"/>
    </row>
    <row r="16" spans="2:38" ht="18.75">
      <c r="B16" s="6" t="s">
        <v>14</v>
      </c>
      <c r="C16" s="7"/>
      <c r="D16" s="8" t="s">
        <v>15</v>
      </c>
      <c r="E16" s="14"/>
      <c r="H16" s="38"/>
      <c r="J16" s="38"/>
      <c r="K16" s="54"/>
      <c r="M16" s="14"/>
      <c r="N16" s="38"/>
      <c r="P16" s="38"/>
      <c r="Q16" s="54"/>
      <c r="R16" s="38"/>
      <c r="S16" s="54"/>
      <c r="T16" s="38"/>
      <c r="U16" s="54"/>
      <c r="V16" s="38"/>
      <c r="W16" s="54"/>
      <c r="X16" s="10" t="s">
        <v>16</v>
      </c>
      <c r="Y16" s="51"/>
      <c r="Z16" s="38"/>
      <c r="AA16" s="55"/>
      <c r="AB16" s="43"/>
      <c r="AC16" s="12"/>
      <c r="AD16" s="43"/>
      <c r="AE16" s="12"/>
      <c r="AG16" s="54"/>
      <c r="AH16" s="48"/>
      <c r="AI16" s="14"/>
      <c r="AJ16" s="11"/>
      <c r="AK16" s="9"/>
      <c r="AL16" s="9"/>
    </row>
    <row r="17" spans="1:39" ht="18.75">
      <c r="A17" s="57"/>
      <c r="B17" s="6"/>
      <c r="C17" s="11"/>
      <c r="D17" s="8"/>
      <c r="E17" s="51"/>
      <c r="F17" s="38"/>
      <c r="G17" s="51"/>
      <c r="H17" s="38"/>
      <c r="I17" s="54"/>
      <c r="J17" s="38"/>
      <c r="K17" s="13"/>
      <c r="L17" s="38"/>
      <c r="M17" s="51"/>
      <c r="N17" s="38"/>
      <c r="O17" s="51"/>
      <c r="P17" s="38"/>
      <c r="Q17" s="51"/>
      <c r="R17" s="38"/>
      <c r="S17" s="51"/>
      <c r="T17" s="38"/>
      <c r="U17" s="51"/>
      <c r="V17" s="38"/>
      <c r="W17" s="51"/>
      <c r="X17" s="8"/>
      <c r="Y17" s="51"/>
      <c r="Z17" s="38"/>
      <c r="AA17" s="51"/>
      <c r="AB17" s="38"/>
      <c r="AC17" s="51"/>
      <c r="AD17" s="38"/>
      <c r="AE17" s="51"/>
      <c r="AF17" s="38"/>
      <c r="AG17" s="54"/>
      <c r="AH17" s="49"/>
      <c r="AI17" s="54"/>
      <c r="AJ17" s="11"/>
      <c r="AK17" s="9"/>
      <c r="AL17" s="9"/>
    </row>
    <row r="18" spans="1:39" ht="18.75">
      <c r="A18" s="57"/>
      <c r="B18" s="6" t="s">
        <v>17</v>
      </c>
      <c r="C18" s="14"/>
      <c r="D18" s="15" t="s">
        <v>18</v>
      </c>
      <c r="E18" s="14"/>
      <c r="G18" s="14"/>
      <c r="H18" s="40"/>
      <c r="I18" s="14"/>
      <c r="J18" s="40"/>
      <c r="K18" s="14"/>
      <c r="L18" s="40"/>
      <c r="M18" s="14"/>
      <c r="N18" s="40"/>
      <c r="O18" s="14"/>
      <c r="P18" s="40"/>
      <c r="Q18" s="14"/>
      <c r="R18" s="40"/>
      <c r="S18" s="14"/>
      <c r="T18" s="40"/>
      <c r="U18" s="14"/>
      <c r="V18" s="40"/>
      <c r="W18" s="14"/>
      <c r="X18" s="15" t="s">
        <v>19</v>
      </c>
      <c r="Y18" s="14"/>
      <c r="Z18" s="40"/>
      <c r="AA18" s="55"/>
      <c r="AB18" s="40"/>
      <c r="AC18" s="55"/>
      <c r="AD18" s="40"/>
      <c r="AE18" s="55"/>
      <c r="AG18" s="14"/>
      <c r="AH18" s="40"/>
      <c r="AI18" s="14"/>
      <c r="AJ18" s="7"/>
      <c r="AK18" s="7"/>
      <c r="AL18" s="14"/>
    </row>
    <row r="20" spans="1:39" ht="15.75" thickBot="1"/>
    <row r="21" spans="1:39" s="22" customFormat="1" ht="15.75">
      <c r="B21" s="124" t="s">
        <v>346</v>
      </c>
      <c r="C21" s="121" t="s">
        <v>8</v>
      </c>
      <c r="D21" s="113" t="s">
        <v>0</v>
      </c>
      <c r="E21" s="119"/>
      <c r="F21" s="119"/>
      <c r="G21" s="119"/>
      <c r="H21" s="119"/>
      <c r="I21" s="111"/>
      <c r="J21" s="113" t="s">
        <v>1</v>
      </c>
      <c r="K21" s="119"/>
      <c r="L21" s="119"/>
      <c r="M21" s="119"/>
      <c r="N21" s="119"/>
      <c r="O21" s="111"/>
      <c r="P21" s="113" t="s">
        <v>2</v>
      </c>
      <c r="Q21" s="119"/>
      <c r="R21" s="119"/>
      <c r="S21" s="119"/>
      <c r="T21" s="119"/>
      <c r="U21" s="111"/>
      <c r="V21" s="113" t="s">
        <v>3</v>
      </c>
      <c r="W21" s="119"/>
      <c r="X21" s="119"/>
      <c r="Y21" s="111"/>
      <c r="Z21" s="113" t="s">
        <v>4</v>
      </c>
      <c r="AA21" s="119"/>
      <c r="AB21" s="119"/>
      <c r="AC21" s="119"/>
      <c r="AD21" s="119"/>
      <c r="AE21" s="111"/>
      <c r="AF21" s="113" t="s">
        <v>5</v>
      </c>
      <c r="AG21" s="119"/>
      <c r="AH21" s="119"/>
      <c r="AI21" s="111"/>
      <c r="AJ21" s="27" t="s">
        <v>6</v>
      </c>
      <c r="AK21" s="121" t="s">
        <v>7</v>
      </c>
      <c r="AL21" s="28"/>
      <c r="AM21" s="126"/>
    </row>
    <row r="22" spans="1:39" s="22" customFormat="1" ht="15" customHeight="1">
      <c r="B22" s="125"/>
      <c r="C22" s="123"/>
      <c r="D22" s="117" t="s">
        <v>9</v>
      </c>
      <c r="E22" s="118"/>
      <c r="F22" s="117" t="s">
        <v>10</v>
      </c>
      <c r="G22" s="118"/>
      <c r="H22" s="117" t="s">
        <v>11</v>
      </c>
      <c r="I22" s="118"/>
      <c r="J22" s="117" t="s">
        <v>9</v>
      </c>
      <c r="K22" s="118"/>
      <c r="L22" s="117" t="s">
        <v>10</v>
      </c>
      <c r="M22" s="118"/>
      <c r="N22" s="117" t="s">
        <v>11</v>
      </c>
      <c r="O22" s="118"/>
      <c r="P22" s="117" t="s">
        <v>9</v>
      </c>
      <c r="Q22" s="118"/>
      <c r="R22" s="117" t="s">
        <v>10</v>
      </c>
      <c r="S22" s="118"/>
      <c r="T22" s="117" t="s">
        <v>11</v>
      </c>
      <c r="U22" s="118"/>
      <c r="V22" s="117" t="s">
        <v>9</v>
      </c>
      <c r="W22" s="118"/>
      <c r="X22" s="117" t="s">
        <v>10</v>
      </c>
      <c r="Y22" s="118"/>
      <c r="Z22" s="117" t="s">
        <v>9</v>
      </c>
      <c r="AA22" s="118"/>
      <c r="AB22" s="117" t="s">
        <v>10</v>
      </c>
      <c r="AC22" s="118"/>
      <c r="AD22" s="117" t="s">
        <v>11</v>
      </c>
      <c r="AE22" s="118"/>
      <c r="AF22" s="117" t="s">
        <v>9</v>
      </c>
      <c r="AG22" s="118"/>
      <c r="AH22" s="117" t="s">
        <v>10</v>
      </c>
      <c r="AI22" s="118"/>
      <c r="AJ22" s="114">
        <v>850</v>
      </c>
      <c r="AK22" s="122"/>
      <c r="AL22" s="120"/>
      <c r="AM22" s="126"/>
    </row>
    <row r="23" spans="1:39" s="22" customFormat="1" ht="15.75">
      <c r="B23" s="125"/>
      <c r="C23" s="16" t="s">
        <v>12</v>
      </c>
      <c r="D23" s="113">
        <v>100</v>
      </c>
      <c r="E23" s="111"/>
      <c r="F23" s="113">
        <v>25</v>
      </c>
      <c r="G23" s="111"/>
      <c r="H23" s="113">
        <v>50</v>
      </c>
      <c r="I23" s="111"/>
      <c r="J23" s="113">
        <v>100</v>
      </c>
      <c r="K23" s="111"/>
      <c r="L23" s="113">
        <v>25</v>
      </c>
      <c r="M23" s="111"/>
      <c r="N23" s="113">
        <v>50</v>
      </c>
      <c r="O23" s="111"/>
      <c r="P23" s="113">
        <v>100</v>
      </c>
      <c r="Q23" s="111"/>
      <c r="R23" s="113">
        <v>25</v>
      </c>
      <c r="S23" s="111"/>
      <c r="T23" s="113">
        <v>25</v>
      </c>
      <c r="U23" s="111"/>
      <c r="V23" s="113">
        <v>100</v>
      </c>
      <c r="W23" s="111"/>
      <c r="X23" s="113">
        <v>25</v>
      </c>
      <c r="Y23" s="111"/>
      <c r="Z23" s="113">
        <v>100</v>
      </c>
      <c r="AA23" s="111"/>
      <c r="AB23" s="113">
        <v>25</v>
      </c>
      <c r="AC23" s="111"/>
      <c r="AD23" s="113">
        <v>25</v>
      </c>
      <c r="AE23" s="111"/>
      <c r="AF23" s="113">
        <v>50</v>
      </c>
      <c r="AG23" s="111"/>
      <c r="AH23" s="113">
        <v>25</v>
      </c>
      <c r="AI23" s="111"/>
      <c r="AJ23" s="115"/>
      <c r="AK23" s="122"/>
      <c r="AL23" s="120"/>
      <c r="AM23" s="126"/>
    </row>
    <row r="24" spans="1:39" s="22" customFormat="1" ht="15" customHeight="1">
      <c r="B24" s="125"/>
      <c r="C24" s="58" t="s">
        <v>13</v>
      </c>
      <c r="D24" s="110">
        <v>40</v>
      </c>
      <c r="E24" s="111"/>
      <c r="F24" s="110">
        <v>10</v>
      </c>
      <c r="G24" s="111"/>
      <c r="H24" s="110">
        <v>20</v>
      </c>
      <c r="I24" s="112"/>
      <c r="J24" s="113">
        <v>40</v>
      </c>
      <c r="K24" s="111"/>
      <c r="L24" s="110">
        <v>10</v>
      </c>
      <c r="M24" s="111"/>
      <c r="N24" s="110">
        <v>20</v>
      </c>
      <c r="O24" s="111"/>
      <c r="P24" s="110">
        <v>40</v>
      </c>
      <c r="Q24" s="111"/>
      <c r="R24" s="110">
        <v>10</v>
      </c>
      <c r="S24" s="111"/>
      <c r="T24" s="110">
        <v>10</v>
      </c>
      <c r="U24" s="111"/>
      <c r="V24" s="110">
        <v>40</v>
      </c>
      <c r="W24" s="111"/>
      <c r="X24" s="110">
        <v>10</v>
      </c>
      <c r="Y24" s="111"/>
      <c r="Z24" s="113">
        <v>40</v>
      </c>
      <c r="AA24" s="111"/>
      <c r="AB24" s="110">
        <v>10</v>
      </c>
      <c r="AC24" s="111"/>
      <c r="AD24" s="110">
        <v>10</v>
      </c>
      <c r="AE24" s="111"/>
      <c r="AF24" s="110">
        <v>20</v>
      </c>
      <c r="AG24" s="111"/>
      <c r="AH24" s="110">
        <v>10</v>
      </c>
      <c r="AI24" s="111"/>
      <c r="AJ24" s="116"/>
      <c r="AK24" s="123"/>
      <c r="AL24" s="120"/>
      <c r="AM24" s="126"/>
    </row>
    <row r="25" spans="1:39" s="22" customFormat="1" ht="15.95" customHeight="1">
      <c r="B25" s="97">
        <v>235201</v>
      </c>
      <c r="C25" s="98" t="s">
        <v>468</v>
      </c>
      <c r="D25" s="95">
        <v>50</v>
      </c>
      <c r="E25" s="89" t="str">
        <f>IF(IFERROR(FIND("+",D25),0)," ",
IF(D25="AB","",
IF(D25&lt;$D$24,"F",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F25" s="94">
        <v>20</v>
      </c>
      <c r="G25" s="89" t="str">
        <f>IF(IFERROR(FIND("+",F25),0)," ",
IF(F25="AB","",
IF(F25&lt;$F$24,"F",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H25" s="94">
        <v>41</v>
      </c>
      <c r="I25" s="90" t="str">
        <f>IF(IFERROR(FIND("+",H25),0)," ",
IF(H25="AB","",
IF(H25&lt;$H$24,"F",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J25" s="95">
        <v>42</v>
      </c>
      <c r="K25" s="90" t="str">
        <f>IF(IFERROR(FIND("+",J25),0)," ",
IF(J25="AB","",
IF(J25&lt;$J$24,"F",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L25" s="94">
        <v>18</v>
      </c>
      <c r="M25" s="90" t="str">
        <f>IF(IFERROR(FIND("+",L25),0)," ",
IF(L25="AB","",
IF(L25&lt;$L$24,"F",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N25" s="94">
        <v>38</v>
      </c>
      <c r="O25" s="90" t="str">
        <f>IF(IFERROR(FIND("+",N25),0)," ",
IF(N25="AB","",
IF(N25&lt;$N$24,"F",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P25" s="92" t="s">
        <v>341</v>
      </c>
      <c r="Q25" s="90" t="str">
        <f>IF(IFERROR(FIND("+",P25),0)," ",
IF(P25="AB","",
IF(P25&lt;$P$24,"F",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R25" s="94">
        <v>20</v>
      </c>
      <c r="S25" s="90" t="str">
        <f>IF(IFERROR(FIND("+",R25),0)," ",
IF(R25="AB","",
IF(R25&lt;$R$24,"F",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T25" s="94">
        <v>20</v>
      </c>
      <c r="U25" s="90" t="str">
        <f>IF(IFERROR(FIND("+",T25),0)," ",
IF(T25="AB","",
IF(T25&lt;$T$24,"F",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V25" s="92">
        <v>40</v>
      </c>
      <c r="W25" s="90" t="str">
        <f>IF(IFERROR(FIND("+",V25),0)," ",
IF(V25="AB","",
IF(V25&lt;$V$24,"F",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X25" s="94">
        <v>20</v>
      </c>
      <c r="Y25" s="90" t="str">
        <f>IF(IFERROR(FIND("+",X25),0)," ",
IF(X25="AB","",
IF(X25&lt;$X$24,"F",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Z25" s="92">
        <v>40</v>
      </c>
      <c r="AA25" s="90" t="str">
        <f>IF(IFERROR(FIND("+",Z25),0)," ",
IF(Z25="AB","",
IF(Z25&lt;$Z$24,"F",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AB25" s="94">
        <v>20</v>
      </c>
      <c r="AC25" s="90" t="str">
        <f>IF(IFERROR(FIND("+",AB25),0)," ",
IF(AB25="AB","",
IF(AB25&lt;$AB$24,"F",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AD25" s="94">
        <v>19</v>
      </c>
      <c r="AE25" s="90" t="str">
        <f>IF(IFERROR(FIND("+",AD25),0)," ",
IF(AD25="AB","",
IF(AD25&lt;$AD$24,"F",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AF25" s="92">
        <v>28</v>
      </c>
      <c r="AG25" s="89" t="str">
        <f>IF(IFERROR(FIND("+",AF25),0)," ",
IF(AF25="AB","",
IF(AF25&lt;$AF$24,"F",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AH25" s="94">
        <v>23</v>
      </c>
      <c r="AI25" s="90" t="str">
        <f>IF(IFERROR(FIND("+",AH25),0)," ",
IF(AH25="AB","",
IF(AH25&lt;$AH$24,"F",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AJ25" s="109" t="s">
        <v>652</v>
      </c>
      <c r="AK25" s="24" t="str">
        <f>IF(AND(COUNTIF(D25:AI25,"AB")&lt;16-COUNTIF(D25:AI25," "),
COUNTIF(D25:AI25,"AB")&lt;&gt;0),"FAIL",
IF(COUNTIF(D25:AI25,"AB")=16-COUNTIF(D25:AI25," "),"ABSENT",
IF(AND(COUNTIF(D25:AI25,"AB")=0,COUNTIF(D25:AI25,"F")=0),"PASS","FAIL")))</f>
        <v>PASS</v>
      </c>
      <c r="AL25" s="25" t="str">
        <f>SPELLNUMBER(extractnumber_tot(AJ25))</f>
        <v xml:space="preserve">Four Hundred Seventy  </v>
      </c>
    </row>
    <row r="26" spans="1:39" s="22" customFormat="1" ht="15.95" customHeight="1">
      <c r="B26" s="97">
        <v>235202</v>
      </c>
      <c r="C26" s="98" t="s">
        <v>469</v>
      </c>
      <c r="D26" s="95">
        <v>41</v>
      </c>
      <c r="E26" s="89" t="str">
        <f t="shared" ref="E26:E89" si="0">IF(IFERROR(FIND("+",D26),0)," ",
IF(D26="AB","",
IF(D26&lt;$D$24,"F",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F26" s="94">
        <v>22</v>
      </c>
      <c r="G26" s="89" t="str">
        <f t="shared" ref="G26:G89" si="1">IF(IFERROR(FIND("+",F26),0)," ",
IF(F26="AB","",
IF(F26&lt;$F$24,"F",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H26" s="94">
        <v>44</v>
      </c>
      <c r="I26" s="90" t="str">
        <f t="shared" ref="I26:I89" si="2">IF(IFERROR(FIND("+",H26),0)," ",
IF(H26="AB","",
IF(H26&lt;$H$24,"F",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J26" s="92">
        <v>41</v>
      </c>
      <c r="K26" s="90" t="str">
        <f t="shared" ref="K26:K89" si="3">IF(IFERROR(FIND("+",J26),0)," ",
IF(J26="AB","",
IF(J26&lt;$J$24,"F",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L26" s="94">
        <v>19</v>
      </c>
      <c r="M26" s="90" t="str">
        <f t="shared" ref="M26:M88" si="4">IF(IFERROR(FIND("+",L26),0)," ",
IF(L26="AB","",
IF(L26&lt;$L$24,"F",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N26" s="94">
        <v>40</v>
      </c>
      <c r="O26" s="90" t="str">
        <f t="shared" ref="O26:O89" si="5">IF(IFERROR(FIND("+",N26),0)," ",
IF(N26="AB","",
IF(N26&lt;$N$24,"F",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P26" s="92">
        <v>43</v>
      </c>
      <c r="Q26" s="90" t="str">
        <f t="shared" ref="Q26:Q89" si="6">IF(IFERROR(FIND("+",P26),0)," ",
IF(P26="AB","",
IF(P26&lt;$P$24,"F",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R26" s="94">
        <v>22</v>
      </c>
      <c r="S26" s="90" t="str">
        <f t="shared" ref="S26:S89" si="7">IF(IFERROR(FIND("+",R26),0)," ",
IF(R26="AB","",
IF(R26&lt;$R$24,"F",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T26" s="94">
        <v>21</v>
      </c>
      <c r="U26" s="90" t="str">
        <f t="shared" ref="U26:U89" si="8">IF(IFERROR(FIND("+",T26),0)," ",
IF(T26="AB","",
IF(T26&lt;$T$24,"F",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V26" s="92">
        <v>63</v>
      </c>
      <c r="W26" s="90" t="str">
        <f t="shared" ref="W26:W89" si="9">IF(IFERROR(FIND("+",V26),0)," ",
IF(V26="AB","",
IF(V26&lt;$V$24,"F",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X26" s="94">
        <v>23</v>
      </c>
      <c r="Y26" s="90" t="str">
        <f t="shared" ref="Y26:Y89" si="10">IF(IFERROR(FIND("+",X26),0)," ",
IF(X26="AB","",
IF(X26&lt;$X$24,"F",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Z26" s="92">
        <v>62</v>
      </c>
      <c r="AA26" s="90" t="str">
        <f t="shared" ref="AA26:AA89" si="11">IF(IFERROR(FIND("+",Z26),0)," ",
IF(Z26="AB","",
IF(Z26&lt;$Z$24,"F",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AB26" s="94">
        <v>21</v>
      </c>
      <c r="AC26" s="90" t="str">
        <f t="shared" ref="AC26:AC89" si="12">IF(IFERROR(FIND("+",AB26),0)," ",
IF(AB26="AB","",
IF(AB26&lt;$AB$24,"F",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AD26" s="94">
        <v>21</v>
      </c>
      <c r="AE26" s="90" t="str">
        <f t="shared" ref="AE26:AE89" si="13">IF(IFERROR(FIND("+",AD26),0)," ",
IF(AD26="AB","",
IF(AD26&lt;$AD$24,"F",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AF26" s="92">
        <v>31</v>
      </c>
      <c r="AG26" s="89" t="str">
        <f t="shared" ref="AG26:AG89" si="14">IF(IFERROR(FIND("+",AF26),0)," ",
IF(AF26="AB","",
IF(AF26&lt;$AF$24,"F",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AH26" s="94">
        <v>20</v>
      </c>
      <c r="AI26" s="90" t="str">
        <f t="shared" ref="AI26:AI89" si="15">IF(IFERROR(FIND("+",AH26),0)," ",
IF(AH26="AB","",
IF(AH26&lt;$AH$24,"F",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/>
      </c>
      <c r="AJ26" s="108">
        <f>IF(AND(OR(COUNTIF(D26:AI26,"=31")&gt;=1,COUNTIF(D26:AI26,"=32")&gt;=1,COUNTIF(D26:AI26,"=33")&gt;=1,COUNTIF(D26:AI26,"=34")&gt;=1,COUNTIF(D26:AI26,"=35")=1,COUNTIF(D26:AI26,"=36")&gt;=1 ),COUNTIF(D26:AI26,"")=0,COUNTIF(D26:AI26," ")=0,COUNTIF(D26:AI26,"F")=1),CONCATENATE(SUM(EXTRACTNUMBER(D26),EXTRACTNUMBER(F26),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EXTRACTNUMBER(AD26),EXTRACTNUMBER(AF26),EXTRACTNUMBER(AH26)),"*"),IF(AND(COUNTIF(D26:AI26,"=34")&gt;=1,COUNTIF(D26:AI26,"=35")&gt;=1,COUNTIF(D26:AI26,"f")=2,COUNTIF(D26:AI26,"")=0,COUNTIF(D26:AI26," ")=0),CONCATENATE(SUM(EXTRACTNUMBER(D26),EXTRACTNUMBER(F26),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EXTRACTNUMBER(AD26),EXTRACTNUMBER(AF26),EXTRACTNUMBER(AH26)),"*"),IF(AND(COUNTIF(D26:AI26,"=36")&gt;=2,COUNTIF(D26:AI26,"f")=2,COUNTIF(D26:AI26,"")=0,COUNTIF(D26:AI26," ")=0),CONCATENATE(SUM(EXTRACTNUMBER(D26),EXTRACTNUMBER(F26),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EXTRACTNUMBER(AD26),EXTRACTNUMBER(AF26),EXTRACTNUMBER(AH26)),"*"),SUM(EXTRACTNUMBER(D26),EXTRACTNUMBER(F26),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EXTRACTNUMBER(AD26),EXTRACTNUMBER(AF26),EXTRACTNUMBER(AH26)))))</f>
        <v>534</v>
      </c>
      <c r="AK26" s="24" t="str">
        <f t="shared" ref="AK26:AK89" si="16">IF(AND(COUNTIF(D26:AI26,"AB")&lt;16-COUNTIF(D26:AI26," "),
COUNTIF(D26:AI26,"AB")&lt;&gt;0),"FAIL",
IF(COUNTIF(D26:AI26,"AB")=16-COUNTIF(D26:AI26," "),"ABSENT",
IF(AND(COUNTIF(D26:AI26,"AB")=0,COUNTIF(D26:AI26,"F")=0),"PASS","FAIL")))</f>
        <v>PASS</v>
      </c>
      <c r="AL26" s="25" t="str">
        <f>SPELLNUMBER(extractnumber_tot(AJ26))</f>
        <v xml:space="preserve">Five Hundred Thirty Four </v>
      </c>
    </row>
    <row r="27" spans="1:39" s="22" customFormat="1" ht="15.95" customHeight="1">
      <c r="B27" s="97">
        <v>235203</v>
      </c>
      <c r="C27" s="98" t="s">
        <v>470</v>
      </c>
      <c r="D27" s="95">
        <v>44</v>
      </c>
      <c r="E27" s="89" t="str">
        <f t="shared" si="0"/>
        <v/>
      </c>
      <c r="F27" s="94">
        <v>23</v>
      </c>
      <c r="G27" s="89" t="str">
        <f t="shared" si="1"/>
        <v/>
      </c>
      <c r="H27" s="94">
        <v>41</v>
      </c>
      <c r="I27" s="90" t="str">
        <f t="shared" si="2"/>
        <v/>
      </c>
      <c r="J27" s="92">
        <v>50</v>
      </c>
      <c r="K27" s="90" t="str">
        <f t="shared" si="3"/>
        <v/>
      </c>
      <c r="L27" s="94">
        <v>23</v>
      </c>
      <c r="M27" s="90" t="str">
        <f t="shared" si="4"/>
        <v/>
      </c>
      <c r="N27" s="94">
        <v>38</v>
      </c>
      <c r="O27" s="90" t="str">
        <f t="shared" si="5"/>
        <v/>
      </c>
      <c r="P27" s="92">
        <v>46</v>
      </c>
      <c r="Q27" s="90" t="str">
        <f t="shared" si="6"/>
        <v/>
      </c>
      <c r="R27" s="94">
        <v>23</v>
      </c>
      <c r="S27" s="90" t="str">
        <f t="shared" si="7"/>
        <v/>
      </c>
      <c r="T27" s="94">
        <v>22</v>
      </c>
      <c r="U27" s="90" t="str">
        <f t="shared" si="8"/>
        <v/>
      </c>
      <c r="V27" s="92">
        <v>70</v>
      </c>
      <c r="W27" s="90" t="str">
        <f t="shared" si="9"/>
        <v/>
      </c>
      <c r="X27" s="94">
        <v>23</v>
      </c>
      <c r="Y27" s="90" t="str">
        <f t="shared" si="10"/>
        <v/>
      </c>
      <c r="Z27" s="92">
        <v>65</v>
      </c>
      <c r="AA27" s="90" t="str">
        <f t="shared" si="11"/>
        <v/>
      </c>
      <c r="AB27" s="94">
        <v>22</v>
      </c>
      <c r="AC27" s="90" t="str">
        <f t="shared" si="12"/>
        <v/>
      </c>
      <c r="AD27" s="94">
        <v>20</v>
      </c>
      <c r="AE27" s="90" t="str">
        <f t="shared" si="13"/>
        <v/>
      </c>
      <c r="AF27" s="92">
        <v>25</v>
      </c>
      <c r="AG27" s="89" t="str">
        <f t="shared" si="14"/>
        <v/>
      </c>
      <c r="AH27" s="94">
        <v>23</v>
      </c>
      <c r="AI27" s="90" t="str">
        <f t="shared" si="15"/>
        <v/>
      </c>
      <c r="AJ27" s="108">
        <f>IF(AND(OR(COUNTIF(D27:AI27,"=31")&gt;=1,COUNTIF(D27:AI27,"=32")&gt;=1,COUNTIF(D27:AI27,"=33")&gt;=1,COUNTIF(D27:AI27,"=34")&gt;=1,COUNTIF(D27:AI27,"=35")=1,COUNTIF(D27:AI27,"=36")&gt;=1 ),COUNTIF(D27:AI27,"")=0,COUNTIF(D27:AI27," ")=0,COUNTIF(D27:AI27,"F")=1),CONCATENATE(SUM(EXTRACTNUMBER(D27),EXTRACTNUMBER(F27),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EXTRACTNUMBER(AD27),EXTRACTNUMBER(AF27),EXTRACTNUMBER(AH27)),"*"),IF(AND(COUNTIF(D27:AI27,"=34")&gt;=1,COUNTIF(D27:AI27,"=35")&gt;=1,COUNTIF(D27:AI27,"f")=2,COUNTIF(D27:AI27,"")=0,COUNTIF(D27:AI27," ")=0),CONCATENATE(SUM(EXTRACTNUMBER(D27),EXTRACTNUMBER(F27),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EXTRACTNUMBER(AD27),EXTRACTNUMBER(AF27),EXTRACTNUMBER(AH27)),"*"),IF(AND(COUNTIF(D27:AI27,"=36")&gt;=2,COUNTIF(D27:AI27,"f")=2,COUNTIF(D27:AI27,"")=0,COUNTIF(D27:AI27," ")=0),CONCATENATE(SUM(EXTRACTNUMBER(D27),EXTRACTNUMBER(F27),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EXTRACTNUMBER(AD27),EXTRACTNUMBER(AF27),EXTRACTNUMBER(AH27)),"*"),SUM(EXTRACTNUMBER(D27),EXTRACTNUMBER(F27),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EXTRACTNUMBER(AD27),EXTRACTNUMBER(AF27),EXTRACTNUMBER(AH27)))))</f>
        <v>558</v>
      </c>
      <c r="AK27" s="24" t="str">
        <f t="shared" si="16"/>
        <v>PASS</v>
      </c>
      <c r="AL27" s="25" t="str">
        <f>SPELLNUMBER(extractnumber_tot(AJ27))</f>
        <v xml:space="preserve">Five Hundred Fifty Eight </v>
      </c>
    </row>
    <row r="28" spans="1:39" s="22" customFormat="1" ht="15.95" customHeight="1">
      <c r="B28" s="97">
        <v>235204</v>
      </c>
      <c r="C28" s="98" t="s">
        <v>471</v>
      </c>
      <c r="D28" s="95">
        <v>63</v>
      </c>
      <c r="E28" s="89" t="str">
        <f t="shared" si="0"/>
        <v/>
      </c>
      <c r="F28" s="94">
        <v>23</v>
      </c>
      <c r="G28" s="89" t="str">
        <f t="shared" si="1"/>
        <v/>
      </c>
      <c r="H28" s="94">
        <v>45</v>
      </c>
      <c r="I28" s="90" t="str">
        <f t="shared" si="2"/>
        <v/>
      </c>
      <c r="J28" s="92">
        <v>45</v>
      </c>
      <c r="K28" s="90" t="str">
        <f t="shared" si="3"/>
        <v/>
      </c>
      <c r="L28" s="94">
        <v>20</v>
      </c>
      <c r="M28" s="90" t="str">
        <f t="shared" si="4"/>
        <v/>
      </c>
      <c r="N28" s="94">
        <v>42</v>
      </c>
      <c r="O28" s="90" t="str">
        <f t="shared" si="5"/>
        <v/>
      </c>
      <c r="P28" s="92">
        <v>46</v>
      </c>
      <c r="Q28" s="90" t="str">
        <f t="shared" si="6"/>
        <v/>
      </c>
      <c r="R28" s="94">
        <v>23</v>
      </c>
      <c r="S28" s="90" t="str">
        <f t="shared" si="7"/>
        <v/>
      </c>
      <c r="T28" s="94">
        <v>23</v>
      </c>
      <c r="U28" s="90" t="str">
        <f t="shared" si="8"/>
        <v/>
      </c>
      <c r="V28" s="92">
        <v>54</v>
      </c>
      <c r="W28" s="90" t="str">
        <f t="shared" si="9"/>
        <v/>
      </c>
      <c r="X28" s="94">
        <v>23</v>
      </c>
      <c r="Y28" s="90" t="str">
        <f t="shared" si="10"/>
        <v/>
      </c>
      <c r="Z28" s="92">
        <v>61</v>
      </c>
      <c r="AA28" s="90" t="str">
        <f t="shared" si="11"/>
        <v/>
      </c>
      <c r="AB28" s="94">
        <v>22</v>
      </c>
      <c r="AC28" s="90" t="str">
        <f t="shared" si="12"/>
        <v/>
      </c>
      <c r="AD28" s="94">
        <v>23</v>
      </c>
      <c r="AE28" s="90" t="str">
        <f t="shared" si="13"/>
        <v/>
      </c>
      <c r="AF28" s="92">
        <v>26</v>
      </c>
      <c r="AG28" s="89" t="str">
        <f t="shared" si="14"/>
        <v/>
      </c>
      <c r="AH28" s="94">
        <v>21</v>
      </c>
      <c r="AI28" s="90" t="str">
        <f t="shared" si="15"/>
        <v/>
      </c>
      <c r="AJ28" s="108">
        <f>IF(AND(OR(COUNTIF(D28:AI28,"=31")&gt;=1,COUNTIF(D28:AI28,"=32")&gt;=1,COUNTIF(D28:AI28,"=33")&gt;=1,COUNTIF(D28:AI28,"=34")&gt;=1,COUNTIF(D28:AI28,"=35")=1,COUNTIF(D28:AI28,"=36")&gt;=1 ),COUNTIF(D28:AI28,"")=0,COUNTIF(D28:AI28," ")=0,COUNTIF(D28:AI28,"F")=1),CONCATENATE(SUM(EXTRACTNUMBER(D28),EXTRACTNUMBER(F28),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EXTRACTNUMBER(AD28),EXTRACTNUMBER(AF28),EXTRACTNUMBER(AH28)),"*"),IF(AND(COUNTIF(D28:AI28,"=34")&gt;=1,COUNTIF(D28:AI28,"=35")&gt;=1,COUNTIF(D28:AI28,"f")=2,COUNTIF(D28:AI28,"")=0,COUNTIF(D28:AI28,"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EXTRACTNUMBER(AD28),EXTRACTNUMBER(AF28),EXTRACTNUMBER(AH28)),"*"),IF(AND(COUNTIF(D28:AI28,"=36")&gt;=2,COUNTIF(D28:AI28,"f")=2,COUNTIF(D28:AI28,"")=0,COUNTIF(D28:AI28,"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EXTRACTNUMBER(AD28),EXTRACTNUMBER(AF28),EXTRACTNUMBER(AH28)),"*"),SUM(EXTRACTNUMBER(D28),EXTRACTNUMBER(F28),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EXTRACTNUMBER(AD28),EXTRACTNUMBER(AF28),EXTRACTNUMBER(AH28)))))</f>
        <v>560</v>
      </c>
      <c r="AK28" s="24" t="str">
        <f t="shared" si="16"/>
        <v>PASS</v>
      </c>
      <c r="AL28" s="25" t="str">
        <f>SPELLNUMBER(extractnumber_tot(AJ28))</f>
        <v xml:space="preserve">Five Hundred Sixty  </v>
      </c>
    </row>
    <row r="29" spans="1:39" s="22" customFormat="1" ht="15.95" customHeight="1">
      <c r="B29" s="97">
        <v>235205</v>
      </c>
      <c r="C29" s="98" t="s">
        <v>472</v>
      </c>
      <c r="D29" s="95">
        <v>45</v>
      </c>
      <c r="E29" s="89" t="str">
        <f t="shared" si="0"/>
        <v>E</v>
      </c>
      <c r="F29" s="94">
        <v>21</v>
      </c>
      <c r="G29" s="89" t="str">
        <f t="shared" si="1"/>
        <v>E</v>
      </c>
      <c r="H29" s="94">
        <v>46</v>
      </c>
      <c r="I29" s="90" t="str">
        <f t="shared" si="2"/>
        <v>E</v>
      </c>
      <c r="J29" s="92">
        <v>40</v>
      </c>
      <c r="K29" s="90" t="str">
        <f t="shared" si="3"/>
        <v>E</v>
      </c>
      <c r="L29" s="94">
        <v>19</v>
      </c>
      <c r="M29" s="90" t="str">
        <f t="shared" si="4"/>
        <v>E</v>
      </c>
      <c r="N29" s="94">
        <v>41</v>
      </c>
      <c r="O29" s="90" t="str">
        <f t="shared" si="5"/>
        <v>E</v>
      </c>
      <c r="P29" s="92">
        <v>25</v>
      </c>
      <c r="Q29" s="90" t="str">
        <f t="shared" si="6"/>
        <v>F</v>
      </c>
      <c r="R29" s="94">
        <v>20</v>
      </c>
      <c r="S29" s="90" t="str">
        <f t="shared" si="7"/>
        <v>E</v>
      </c>
      <c r="T29" s="94">
        <v>21</v>
      </c>
      <c r="U29" s="90" t="str">
        <f t="shared" si="8"/>
        <v>E</v>
      </c>
      <c r="V29" s="92">
        <v>28</v>
      </c>
      <c r="W29" s="90" t="str">
        <f t="shared" si="9"/>
        <v>F</v>
      </c>
      <c r="X29" s="94">
        <v>18</v>
      </c>
      <c r="Y29" s="90" t="str">
        <f t="shared" si="10"/>
        <v>E</v>
      </c>
      <c r="Z29" s="92">
        <v>40</v>
      </c>
      <c r="AA29" s="90" t="str">
        <f t="shared" si="11"/>
        <v>E</v>
      </c>
      <c r="AB29" s="94">
        <v>21</v>
      </c>
      <c r="AC29" s="90" t="str">
        <f t="shared" si="12"/>
        <v>E</v>
      </c>
      <c r="AD29" s="94">
        <v>23</v>
      </c>
      <c r="AE29" s="90" t="str">
        <f t="shared" si="13"/>
        <v>E</v>
      </c>
      <c r="AF29" s="92">
        <v>26</v>
      </c>
      <c r="AG29" s="89" t="str">
        <f t="shared" si="14"/>
        <v>E</v>
      </c>
      <c r="AH29" s="94">
        <v>18</v>
      </c>
      <c r="AI29" s="90" t="str">
        <f t="shared" si="15"/>
        <v>E</v>
      </c>
      <c r="AJ29" s="108">
        <f>IF(AND(OR(COUNTIF(D29:AI29,"=31")&gt;=1,COUNTIF(D29:AI29,"=32")&gt;=1,COUNTIF(D29:AI29,"=33")&gt;=1,COUNTIF(D29:AI29,"=34")&gt;=1,COUNTIF(D29:AI29,"=35")=1,COUNTIF(D29:AI29,"=36")&gt;=1 ),COUNTIF(D29:AI29,"")=0,COUNTIF(D29:AI29," ")=0,COUNTIF(D29:AI29,"F")=1),CONCATENATE(SUM(EXTRACTNUMBER(D29),EXTRACTNUMBER(F29),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EXTRACTNUMBER(AD29),EXTRACTNUMBER(AF29),EXTRACTNUMBER(AH29)),"*"),IF(AND(COUNTIF(D29:AI29,"=34")&gt;=1,COUNTIF(D29:AI29,"=35")&gt;=1,COUNTIF(D29:AI29,"f")=2,COUNTIF(D29:AI29,"")=0,COUNTIF(D29:AI29,"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EXTRACTNUMBER(AD29),EXTRACTNUMBER(AF29),EXTRACTNUMBER(AH29)),"*"),IF(AND(COUNTIF(D29:AI29,"=36")&gt;=2,COUNTIF(D29:AI29,"f")=2,COUNTIF(D29:AI29,"")=0,COUNTIF(D29:AI29,"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EXTRACTNUMBER(AD29),EXTRACTNUMBER(AF29),EXTRACTNUMBER(AH29)),"*"),SUM(EXTRACTNUMBER(D29),EXTRACTNUMBER(F29),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EXTRACTNUMBER(AD29),EXTRACTNUMBER(AF29),EXTRACTNUMBER(AH29)))))</f>
        <v>452</v>
      </c>
      <c r="AK29" s="24" t="str">
        <f t="shared" si="16"/>
        <v>FAIL</v>
      </c>
      <c r="AL29" s="25" t="str">
        <f>SPELLNUMBER(extractnumber_tot(AJ29))</f>
        <v xml:space="preserve">Four Hundred Fifty Two </v>
      </c>
    </row>
    <row r="30" spans="1:39" s="22" customFormat="1" ht="15.95" customHeight="1">
      <c r="B30" s="97">
        <v>235206</v>
      </c>
      <c r="C30" s="98" t="s">
        <v>473</v>
      </c>
      <c r="D30" s="95">
        <v>56</v>
      </c>
      <c r="E30" s="89" t="str">
        <f t="shared" si="0"/>
        <v>E</v>
      </c>
      <c r="F30" s="94">
        <v>23</v>
      </c>
      <c r="G30" s="89" t="str">
        <f t="shared" si="1"/>
        <v>E</v>
      </c>
      <c r="H30" s="94">
        <v>43</v>
      </c>
      <c r="I30" s="90" t="str">
        <f t="shared" si="2"/>
        <v>E</v>
      </c>
      <c r="J30" s="92">
        <v>47</v>
      </c>
      <c r="K30" s="90" t="str">
        <f t="shared" si="3"/>
        <v>E</v>
      </c>
      <c r="L30" s="94">
        <v>23</v>
      </c>
      <c r="M30" s="90" t="str">
        <f t="shared" si="4"/>
        <v>E</v>
      </c>
      <c r="N30" s="94">
        <v>37</v>
      </c>
      <c r="O30" s="90" t="str">
        <f t="shared" si="5"/>
        <v>E</v>
      </c>
      <c r="P30" s="92">
        <v>27</v>
      </c>
      <c r="Q30" s="90" t="str">
        <f t="shared" si="6"/>
        <v>F</v>
      </c>
      <c r="R30" s="94">
        <v>23</v>
      </c>
      <c r="S30" s="90" t="str">
        <f t="shared" si="7"/>
        <v>E</v>
      </c>
      <c r="T30" s="94">
        <v>21</v>
      </c>
      <c r="U30" s="90" t="str">
        <f t="shared" si="8"/>
        <v>E</v>
      </c>
      <c r="V30" s="92">
        <v>48</v>
      </c>
      <c r="W30" s="90" t="str">
        <f t="shared" si="9"/>
        <v>E</v>
      </c>
      <c r="X30" s="94">
        <v>23</v>
      </c>
      <c r="Y30" s="90" t="str">
        <f t="shared" si="10"/>
        <v>E</v>
      </c>
      <c r="Z30" s="92">
        <v>53</v>
      </c>
      <c r="AA30" s="90" t="str">
        <f t="shared" si="11"/>
        <v>E</v>
      </c>
      <c r="AB30" s="94">
        <v>23</v>
      </c>
      <c r="AC30" s="90" t="str">
        <f t="shared" si="12"/>
        <v>E</v>
      </c>
      <c r="AD30" s="94">
        <v>22</v>
      </c>
      <c r="AE30" s="90" t="str">
        <f t="shared" si="13"/>
        <v>E</v>
      </c>
      <c r="AF30" s="92">
        <v>30</v>
      </c>
      <c r="AG30" s="89" t="str">
        <f t="shared" si="14"/>
        <v>E</v>
      </c>
      <c r="AH30" s="94">
        <v>23</v>
      </c>
      <c r="AI30" s="90" t="str">
        <f t="shared" si="15"/>
        <v>E</v>
      </c>
      <c r="AJ30" s="108">
        <f>IF(AND(OR(COUNTIF(D30:AI30,"=31")&gt;=1,COUNTIF(D30:AI30,"=32")&gt;=1,COUNTIF(D30:AI30,"=33")&gt;=1,COUNTIF(D30:AI30,"=34")&gt;=1,COUNTIF(D30:AI30,"=35")=1,COUNTIF(D30:AI30,"=36")&gt;=1 ),COUNTIF(D30:AI30,"")=0,COUNTIF(D30:AI30," ")=0,COUNTIF(D30:AI30,"F")=1),CONCATENATE(SUM(EXTRACTNUMBER(D30),EXTRACTNUMBER(F30),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EXTRACTNUMBER(AD30),EXTRACTNUMBER(AF30),EXTRACTNUMBER(AH30)),"*"),IF(AND(COUNTIF(D30:AI30,"=34")&gt;=1,COUNTIF(D30:AI30,"=35")&gt;=1,COUNTIF(D30:AI30,"f")=2,COUNTIF(D30:AI30,"")=0,COUNTIF(D30:AI30,"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EXTRACTNUMBER(AD30),EXTRACTNUMBER(AF30),EXTRACTNUMBER(AH30)),"*"),IF(AND(COUNTIF(D30:AI30,"=36")&gt;=2,COUNTIF(D30:AI30,"f")=2,COUNTIF(D30:AI30,"")=0,COUNTIF(D30:AI30,"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EXTRACTNUMBER(AD30),EXTRACTNUMBER(AF30),EXTRACTNUMBER(AH30)),"*"),SUM(EXTRACTNUMBER(D30),EXTRACTNUMBER(F30),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EXTRACTNUMBER(AD30),EXTRACTNUMBER(AF30),EXTRACTNUMBER(AH30)))))</f>
        <v>522</v>
      </c>
      <c r="AK30" s="24" t="str">
        <f t="shared" si="16"/>
        <v>FAIL</v>
      </c>
      <c r="AL30" s="25" t="str">
        <f>SPELLNUMBER(extractnumber_tot(AJ30))</f>
        <v xml:space="preserve">Five Hundred Twenty Two </v>
      </c>
    </row>
    <row r="31" spans="1:39" s="22" customFormat="1" ht="15.95" customHeight="1">
      <c r="B31" s="97">
        <v>235207</v>
      </c>
      <c r="C31" s="98" t="s">
        <v>474</v>
      </c>
      <c r="D31" s="95">
        <v>42</v>
      </c>
      <c r="E31" s="89" t="str">
        <f t="shared" si="0"/>
        <v>E</v>
      </c>
      <c r="F31" s="94">
        <v>20</v>
      </c>
      <c r="G31" s="89" t="str">
        <f t="shared" si="1"/>
        <v>E</v>
      </c>
      <c r="H31" s="94">
        <v>41</v>
      </c>
      <c r="I31" s="90" t="str">
        <f t="shared" si="2"/>
        <v>E</v>
      </c>
      <c r="J31" s="92">
        <v>40</v>
      </c>
      <c r="K31" s="90" t="str">
        <f t="shared" si="3"/>
        <v>E</v>
      </c>
      <c r="L31" s="94">
        <v>20</v>
      </c>
      <c r="M31" s="90" t="str">
        <f t="shared" si="4"/>
        <v>E</v>
      </c>
      <c r="N31" s="94">
        <v>38</v>
      </c>
      <c r="O31" s="90" t="str">
        <f t="shared" si="5"/>
        <v>E</v>
      </c>
      <c r="P31" s="92">
        <v>25</v>
      </c>
      <c r="Q31" s="90" t="str">
        <f t="shared" si="6"/>
        <v>F</v>
      </c>
      <c r="R31" s="94">
        <v>20</v>
      </c>
      <c r="S31" s="90" t="str">
        <f t="shared" si="7"/>
        <v>E</v>
      </c>
      <c r="T31" s="94">
        <v>22</v>
      </c>
      <c r="U31" s="90" t="str">
        <f t="shared" si="8"/>
        <v>E</v>
      </c>
      <c r="V31" s="92">
        <v>40</v>
      </c>
      <c r="W31" s="90" t="str">
        <f t="shared" si="9"/>
        <v>E</v>
      </c>
      <c r="X31" s="94">
        <v>24</v>
      </c>
      <c r="Y31" s="90" t="str">
        <f t="shared" si="10"/>
        <v>E</v>
      </c>
      <c r="Z31" s="92">
        <v>41</v>
      </c>
      <c r="AA31" s="90" t="str">
        <f t="shared" si="11"/>
        <v>E</v>
      </c>
      <c r="AB31" s="94">
        <v>20</v>
      </c>
      <c r="AC31" s="90" t="str">
        <f t="shared" si="12"/>
        <v>E</v>
      </c>
      <c r="AD31" s="94">
        <v>21</v>
      </c>
      <c r="AE31" s="90" t="str">
        <f t="shared" si="13"/>
        <v>E</v>
      </c>
      <c r="AF31" s="92">
        <v>24</v>
      </c>
      <c r="AG31" s="89" t="str">
        <f t="shared" si="14"/>
        <v>E</v>
      </c>
      <c r="AH31" s="94">
        <v>18</v>
      </c>
      <c r="AI31" s="90" t="str">
        <f t="shared" si="15"/>
        <v>E</v>
      </c>
      <c r="AJ31" s="108">
        <f>IF(AND(OR(COUNTIF(D31:AI31,"=31")&gt;=1,COUNTIF(D31:AI31,"=32")&gt;=1,COUNTIF(D31:AI31,"=33")&gt;=1,COUNTIF(D31:AI31,"=34")&gt;=1,COUNTIF(D31:AI31,"=35")=1,COUNTIF(D31:AI31,"=36")&gt;=1 ),COUNTIF(D31:AI31,"")=0,COUNTIF(D31:AI31," ")=0,COUNTIF(D31:AI31,"F")=1),CONCATENATE(SUM(EXTRACTNUMBER(D31),EXTRACTNUMBER(F31),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EXTRACTNUMBER(AD31),EXTRACTNUMBER(AF31),EXTRACTNUMBER(AH31)),"*"),IF(AND(COUNTIF(D31:AI31,"=34")&gt;=1,COUNTIF(D31:AI31,"=35")&gt;=1,COUNTIF(D31:AI31,"f")=2,COUNTIF(D31:AI31,"")=0,COUNTIF(D31:AI31,"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EXTRACTNUMBER(AD31),EXTRACTNUMBER(AF31),EXTRACTNUMBER(AH31)),"*"),IF(AND(COUNTIF(D31:AI31,"=36")&gt;=2,COUNTIF(D31:AI31,"f")=2,COUNTIF(D31:AI31,"")=0,COUNTIF(D31:AI31,"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EXTRACTNUMBER(AD31),EXTRACTNUMBER(AF31),EXTRACTNUMBER(AH31)),"*"),SUM(EXTRACTNUMBER(D31),EXTRACTNUMBER(F31),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EXTRACTNUMBER(AD31),EXTRACTNUMBER(AF31),EXTRACTNUMBER(AH31)))))</f>
        <v>456</v>
      </c>
      <c r="AK31" s="24" t="str">
        <f t="shared" si="16"/>
        <v>FAIL</v>
      </c>
      <c r="AL31" s="25" t="str">
        <f>SPELLNUMBER(extractnumber_tot(AJ31))</f>
        <v xml:space="preserve">Four Hundred Fifty Six </v>
      </c>
    </row>
    <row r="32" spans="1:39" s="22" customFormat="1" ht="15.95" customHeight="1">
      <c r="B32" s="97">
        <v>235208</v>
      </c>
      <c r="C32" s="98" t="s">
        <v>475</v>
      </c>
      <c r="D32" s="95">
        <v>74</v>
      </c>
      <c r="E32" s="89" t="str">
        <f t="shared" si="0"/>
        <v/>
      </c>
      <c r="F32" s="94">
        <v>20</v>
      </c>
      <c r="G32" s="89" t="str">
        <f t="shared" si="1"/>
        <v/>
      </c>
      <c r="H32" s="94">
        <v>38</v>
      </c>
      <c r="I32" s="90" t="str">
        <f t="shared" si="2"/>
        <v/>
      </c>
      <c r="J32" s="92">
        <v>69</v>
      </c>
      <c r="K32" s="90" t="str">
        <f t="shared" si="3"/>
        <v/>
      </c>
      <c r="L32" s="94">
        <v>20</v>
      </c>
      <c r="M32" s="90" t="str">
        <f t="shared" si="4"/>
        <v/>
      </c>
      <c r="N32" s="94">
        <v>40</v>
      </c>
      <c r="O32" s="90" t="str">
        <f t="shared" si="5"/>
        <v/>
      </c>
      <c r="P32" s="92">
        <v>48</v>
      </c>
      <c r="Q32" s="90" t="str">
        <f t="shared" si="6"/>
        <v/>
      </c>
      <c r="R32" s="94">
        <v>20</v>
      </c>
      <c r="S32" s="90" t="str">
        <f t="shared" si="7"/>
        <v/>
      </c>
      <c r="T32" s="94">
        <v>21</v>
      </c>
      <c r="U32" s="90" t="str">
        <f t="shared" si="8"/>
        <v/>
      </c>
      <c r="V32" s="92">
        <v>61</v>
      </c>
      <c r="W32" s="90" t="str">
        <f t="shared" si="9"/>
        <v/>
      </c>
      <c r="X32" s="94">
        <v>21</v>
      </c>
      <c r="Y32" s="90" t="str">
        <f t="shared" si="10"/>
        <v/>
      </c>
      <c r="Z32" s="92">
        <v>67</v>
      </c>
      <c r="AA32" s="90" t="str">
        <f t="shared" si="11"/>
        <v/>
      </c>
      <c r="AB32" s="94">
        <v>18</v>
      </c>
      <c r="AC32" s="90" t="str">
        <f t="shared" si="12"/>
        <v/>
      </c>
      <c r="AD32" s="94">
        <v>18</v>
      </c>
      <c r="AE32" s="90" t="str">
        <f t="shared" si="13"/>
        <v/>
      </c>
      <c r="AF32" s="92">
        <v>31</v>
      </c>
      <c r="AG32" s="89" t="str">
        <f t="shared" si="14"/>
        <v/>
      </c>
      <c r="AH32" s="94">
        <v>20</v>
      </c>
      <c r="AI32" s="90" t="str">
        <f t="shared" si="15"/>
        <v/>
      </c>
      <c r="AJ32" s="108">
        <f>IF(AND(OR(COUNTIF(D32:AI32,"=31")&gt;=1,COUNTIF(D32:AI32,"=32")&gt;=1,COUNTIF(D32:AI32,"=33")&gt;=1,COUNTIF(D32:AI32,"=34")&gt;=1,COUNTIF(D32:AI32,"=35")=1,COUNTIF(D32:AI32,"=36")&gt;=1 ),COUNTIF(D32:AI32,"")=0,COUNTIF(D32:AI32," ")=0,COUNTIF(D32:AI32,"F")=1),CONCATENATE(SUM(EXTRACTNUMBER(D32),EXTRACTNUMBER(F32),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EXTRACTNUMBER(AD32),EXTRACTNUMBER(AF32),EXTRACTNUMBER(AH32)),"*"),IF(AND(COUNTIF(D32:AI32,"=34")&gt;=1,COUNTIF(D32:AI32,"=35")&gt;=1,COUNTIF(D32:AI32,"f")=2,COUNTIF(D32:AI32,"")=0,COUNTIF(D32:AI32,"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EXTRACTNUMBER(AD32),EXTRACTNUMBER(AF32),EXTRACTNUMBER(AH32)),"*"),IF(AND(COUNTIF(D32:AI32,"=36")&gt;=2,COUNTIF(D32:AI32,"f")=2,COUNTIF(D32:AI32,"")=0,COUNTIF(D32:AI32,"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EXTRACTNUMBER(AD32),EXTRACTNUMBER(AF32),EXTRACTNUMBER(AH32)),"*"),SUM(EXTRACTNUMBER(D32),EXTRACTNUMBER(F32),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EXTRACTNUMBER(AD32),EXTRACTNUMBER(AF32),EXTRACTNUMBER(AH32)))))</f>
        <v>586</v>
      </c>
      <c r="AK32" s="24" t="str">
        <f t="shared" si="16"/>
        <v>PASS</v>
      </c>
      <c r="AL32" s="25" t="str">
        <f>SPELLNUMBER(extractnumber_tot(AJ32))</f>
        <v xml:space="preserve">Five Hundred Eighty Six </v>
      </c>
    </row>
    <row r="33" spans="2:38" s="22" customFormat="1" ht="15.95" customHeight="1">
      <c r="B33" s="97">
        <v>235209</v>
      </c>
      <c r="C33" s="98" t="s">
        <v>476</v>
      </c>
      <c r="D33" s="95">
        <v>72</v>
      </c>
      <c r="E33" s="89" t="str">
        <f t="shared" si="0"/>
        <v/>
      </c>
      <c r="F33" s="94">
        <v>23</v>
      </c>
      <c r="G33" s="89" t="str">
        <f t="shared" si="1"/>
        <v/>
      </c>
      <c r="H33" s="94">
        <v>42</v>
      </c>
      <c r="I33" s="90" t="str">
        <f t="shared" si="2"/>
        <v/>
      </c>
      <c r="J33" s="92">
        <v>56</v>
      </c>
      <c r="K33" s="90" t="str">
        <f t="shared" si="3"/>
        <v/>
      </c>
      <c r="L33" s="94">
        <v>23</v>
      </c>
      <c r="M33" s="90" t="str">
        <f t="shared" si="4"/>
        <v/>
      </c>
      <c r="N33" s="94">
        <v>43</v>
      </c>
      <c r="O33" s="90" t="str">
        <f t="shared" si="5"/>
        <v/>
      </c>
      <c r="P33" s="92">
        <v>63</v>
      </c>
      <c r="Q33" s="90" t="str">
        <f t="shared" si="6"/>
        <v/>
      </c>
      <c r="R33" s="94">
        <v>23</v>
      </c>
      <c r="S33" s="90" t="str">
        <f t="shared" si="7"/>
        <v/>
      </c>
      <c r="T33" s="94">
        <v>23</v>
      </c>
      <c r="U33" s="90" t="str">
        <f t="shared" si="8"/>
        <v/>
      </c>
      <c r="V33" s="92">
        <v>71</v>
      </c>
      <c r="W33" s="90" t="str">
        <f t="shared" si="9"/>
        <v/>
      </c>
      <c r="X33" s="94">
        <v>23</v>
      </c>
      <c r="Y33" s="90" t="str">
        <f t="shared" si="10"/>
        <v/>
      </c>
      <c r="Z33" s="92">
        <v>57</v>
      </c>
      <c r="AA33" s="90" t="str">
        <f t="shared" si="11"/>
        <v/>
      </c>
      <c r="AB33" s="94">
        <v>22</v>
      </c>
      <c r="AC33" s="90" t="str">
        <f t="shared" si="12"/>
        <v/>
      </c>
      <c r="AD33" s="94">
        <v>20</v>
      </c>
      <c r="AE33" s="90" t="str">
        <f t="shared" si="13"/>
        <v/>
      </c>
      <c r="AF33" s="92">
        <v>31</v>
      </c>
      <c r="AG33" s="89" t="str">
        <f t="shared" si="14"/>
        <v/>
      </c>
      <c r="AH33" s="94">
        <v>23</v>
      </c>
      <c r="AI33" s="90" t="str">
        <f t="shared" si="15"/>
        <v/>
      </c>
      <c r="AJ33" s="108">
        <f>IF(AND(OR(COUNTIF(D33:AI33,"=31")&gt;=1,COUNTIF(D33:AI33,"=32")&gt;=1,COUNTIF(D33:AI33,"=33")&gt;=1,COUNTIF(D33:AI33,"=34")&gt;=1,COUNTIF(D33:AI33,"=35")=1,COUNTIF(D33:AI33,"=36")&gt;=1 ),COUNTIF(D33:AI33,"")=0,COUNTIF(D33:AI33," ")=0,COUNTIF(D33:AI33,"F")=1),CONCATENATE(SUM(EXTRACTNUMBER(D33),EXTRACTNUMBER(F33),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EXTRACTNUMBER(AD33),EXTRACTNUMBER(AF33),EXTRACTNUMBER(AH33)),"*"),IF(AND(COUNTIF(D33:AI33,"=34")&gt;=1,COUNTIF(D33:AI33,"=35")&gt;=1,COUNTIF(D33:AI33,"f")=2,COUNTIF(D33:AI33,"")=0,COUNTIF(D33:AI33,"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EXTRACTNUMBER(AD33),EXTRACTNUMBER(AF33),EXTRACTNUMBER(AH33)),"*"),IF(AND(COUNTIF(D33:AI33,"=36")&gt;=2,COUNTIF(D33:AI33,"f")=2,COUNTIF(D33:AI33,"")=0,COUNTIF(D33:AI33,"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EXTRACTNUMBER(AD33),EXTRACTNUMBER(AF33),EXTRACTNUMBER(AH33)),"*"),SUM(EXTRACTNUMBER(D33),EXTRACTNUMBER(F33),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EXTRACTNUMBER(AD33),EXTRACTNUMBER(AF33),EXTRACTNUMBER(AH33)))))</f>
        <v>615</v>
      </c>
      <c r="AK33" s="24" t="str">
        <f t="shared" si="16"/>
        <v>PASS</v>
      </c>
      <c r="AL33" s="25" t="str">
        <f>SPELLNUMBER(extractnumber_tot(AJ33))</f>
        <v xml:space="preserve">Six Hundred Fifteen </v>
      </c>
    </row>
    <row r="34" spans="2:38" s="22" customFormat="1" ht="15.95" customHeight="1">
      <c r="B34" s="97">
        <v>235210</v>
      </c>
      <c r="C34" s="98" t="s">
        <v>477</v>
      </c>
      <c r="D34" s="95">
        <v>82</v>
      </c>
      <c r="E34" s="89" t="str">
        <f t="shared" si="0"/>
        <v/>
      </c>
      <c r="F34" s="94">
        <v>21</v>
      </c>
      <c r="G34" s="89" t="str">
        <f t="shared" si="1"/>
        <v/>
      </c>
      <c r="H34" s="94">
        <v>41</v>
      </c>
      <c r="I34" s="90" t="str">
        <f t="shared" si="2"/>
        <v/>
      </c>
      <c r="J34" s="92">
        <v>56</v>
      </c>
      <c r="K34" s="90" t="str">
        <f t="shared" si="3"/>
        <v/>
      </c>
      <c r="L34" s="94">
        <v>20</v>
      </c>
      <c r="M34" s="90" t="str">
        <f t="shared" si="4"/>
        <v/>
      </c>
      <c r="N34" s="94">
        <v>38</v>
      </c>
      <c r="O34" s="90" t="str">
        <f t="shared" si="5"/>
        <v/>
      </c>
      <c r="P34" s="92">
        <v>55</v>
      </c>
      <c r="Q34" s="90" t="str">
        <f t="shared" si="6"/>
        <v/>
      </c>
      <c r="R34" s="94">
        <v>18</v>
      </c>
      <c r="S34" s="90" t="str">
        <f t="shared" si="7"/>
        <v/>
      </c>
      <c r="T34" s="94">
        <v>20</v>
      </c>
      <c r="U34" s="90" t="str">
        <f t="shared" si="8"/>
        <v/>
      </c>
      <c r="V34" s="92">
        <v>47</v>
      </c>
      <c r="W34" s="90" t="str">
        <f t="shared" si="9"/>
        <v/>
      </c>
      <c r="X34" s="94">
        <v>18</v>
      </c>
      <c r="Y34" s="90" t="str">
        <f t="shared" si="10"/>
        <v/>
      </c>
      <c r="Z34" s="92">
        <v>60</v>
      </c>
      <c r="AA34" s="90" t="str">
        <f t="shared" si="11"/>
        <v/>
      </c>
      <c r="AB34" s="94">
        <v>21</v>
      </c>
      <c r="AC34" s="90" t="str">
        <f t="shared" si="12"/>
        <v/>
      </c>
      <c r="AD34" s="94">
        <v>21</v>
      </c>
      <c r="AE34" s="90" t="str">
        <f t="shared" si="13"/>
        <v/>
      </c>
      <c r="AF34" s="92">
        <v>25</v>
      </c>
      <c r="AG34" s="89" t="str">
        <f t="shared" si="14"/>
        <v/>
      </c>
      <c r="AH34" s="94">
        <v>19</v>
      </c>
      <c r="AI34" s="90" t="str">
        <f t="shared" si="15"/>
        <v/>
      </c>
      <c r="AJ34" s="108">
        <f>IF(AND(OR(COUNTIF(D34:AI34,"=31")&gt;=1,COUNTIF(D34:AI34,"=32")&gt;=1,COUNTIF(D34:AI34,"=33")&gt;=1,COUNTIF(D34:AI34,"=34")&gt;=1,COUNTIF(D34:AI34,"=35")=1,COUNTIF(D34:AI34,"=36")&gt;=1 ),COUNTIF(D34:AI34,"")=0,COUNTIF(D34:AI34," ")=0,COUNTIF(D34:AI34,"F")=1),CONCATENATE(SUM(EXTRACTNUMBER(D34),EXTRACTNUMBER(F34),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EXTRACTNUMBER(AD34),EXTRACTNUMBER(AF34),EXTRACTNUMBER(AH34)),"*"),IF(AND(COUNTIF(D34:AI34,"=34")&gt;=1,COUNTIF(D34:AI34,"=35")&gt;=1,COUNTIF(D34:AI34,"f")=2,COUNTIF(D34:AI34,"")=0,COUNTIF(D34:AI34,"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EXTRACTNUMBER(AD34),EXTRACTNUMBER(AF34),EXTRACTNUMBER(AH34)),"*"),IF(AND(COUNTIF(D34:AI34,"=36")&gt;=2,COUNTIF(D34:AI34,"f")=2,COUNTIF(D34:AI34,"")=0,COUNTIF(D34:AI34,"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EXTRACTNUMBER(AD34),EXTRACTNUMBER(AF34),EXTRACTNUMBER(AH34)),"*"),SUM(EXTRACTNUMBER(D34),EXTRACTNUMBER(F34),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EXTRACTNUMBER(AD34),EXTRACTNUMBER(AF34),EXTRACTNUMBER(AH34)))))</f>
        <v>562</v>
      </c>
      <c r="AK34" s="24" t="str">
        <f t="shared" si="16"/>
        <v>PASS</v>
      </c>
      <c r="AL34" s="25" t="str">
        <f>SPELLNUMBER(extractnumber_tot(AJ34))</f>
        <v xml:space="preserve">Five Hundred Sixty Two </v>
      </c>
    </row>
    <row r="35" spans="2:38" s="22" customFormat="1" ht="15.95" customHeight="1">
      <c r="B35" s="97">
        <v>235211</v>
      </c>
      <c r="C35" s="98" t="s">
        <v>478</v>
      </c>
      <c r="D35" s="95">
        <v>56</v>
      </c>
      <c r="E35" s="89" t="str">
        <f t="shared" si="0"/>
        <v/>
      </c>
      <c r="F35" s="94">
        <v>23</v>
      </c>
      <c r="G35" s="89" t="str">
        <f t="shared" si="1"/>
        <v/>
      </c>
      <c r="H35" s="94">
        <v>40</v>
      </c>
      <c r="I35" s="90" t="str">
        <f t="shared" si="2"/>
        <v/>
      </c>
      <c r="J35" s="92">
        <v>54</v>
      </c>
      <c r="K35" s="90" t="str">
        <f t="shared" si="3"/>
        <v/>
      </c>
      <c r="L35" s="94">
        <v>23</v>
      </c>
      <c r="M35" s="90" t="str">
        <f t="shared" si="4"/>
        <v/>
      </c>
      <c r="N35" s="94">
        <v>39</v>
      </c>
      <c r="O35" s="90" t="str">
        <f t="shared" si="5"/>
        <v/>
      </c>
      <c r="P35" s="92">
        <v>45</v>
      </c>
      <c r="Q35" s="90" t="str">
        <f t="shared" si="6"/>
        <v/>
      </c>
      <c r="R35" s="94">
        <v>23</v>
      </c>
      <c r="S35" s="90" t="str">
        <f t="shared" si="7"/>
        <v/>
      </c>
      <c r="T35" s="94">
        <v>21</v>
      </c>
      <c r="U35" s="90" t="str">
        <f t="shared" si="8"/>
        <v/>
      </c>
      <c r="V35" s="92">
        <v>71</v>
      </c>
      <c r="W35" s="90" t="str">
        <f t="shared" si="9"/>
        <v/>
      </c>
      <c r="X35" s="94">
        <v>23</v>
      </c>
      <c r="Y35" s="90" t="str">
        <f t="shared" si="10"/>
        <v/>
      </c>
      <c r="Z35" s="92">
        <v>45</v>
      </c>
      <c r="AA35" s="90" t="str">
        <f t="shared" si="11"/>
        <v/>
      </c>
      <c r="AB35" s="94">
        <v>22</v>
      </c>
      <c r="AC35" s="90" t="str">
        <f t="shared" si="12"/>
        <v/>
      </c>
      <c r="AD35" s="94">
        <v>21</v>
      </c>
      <c r="AE35" s="90" t="str">
        <f t="shared" si="13"/>
        <v/>
      </c>
      <c r="AF35" s="92">
        <v>22</v>
      </c>
      <c r="AG35" s="89" t="str">
        <f t="shared" si="14"/>
        <v/>
      </c>
      <c r="AH35" s="94">
        <v>23</v>
      </c>
      <c r="AI35" s="90" t="str">
        <f t="shared" si="15"/>
        <v/>
      </c>
      <c r="AJ35" s="108">
        <f>IF(AND(OR(COUNTIF(D35:AI35,"=31")&gt;=1,COUNTIF(D35:AI35,"=32")&gt;=1,COUNTIF(D35:AI35,"=33")&gt;=1,COUNTIF(D35:AI35,"=34")&gt;=1,COUNTIF(D35:AI35,"=35")=1,COUNTIF(D35:AI35,"=36")&gt;=1 ),COUNTIF(D35:AI35,"")=0,COUNTIF(D35:AI35," ")=0,COUNTIF(D35:AI35,"F")=1),CONCATENATE(SUM(EXTRACTNUMBER(D35),EXTRACTNUMBER(F35),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EXTRACTNUMBER(AD35),EXTRACTNUMBER(AF35),EXTRACTNUMBER(AH35)),"*"),IF(AND(COUNTIF(D35:AI35,"=34")&gt;=1,COUNTIF(D35:AI35,"=35")&gt;=1,COUNTIF(D35:AI35,"f")=2,COUNTIF(D35:AI35,"")=0,COUNTIF(D35:AI35," ")=0),CONCATENATE(SUM(EXTRACTNUMBER(D35),EXTRACTNUMBER(F35),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EXTRACTNUMBER(AD35),EXTRACTNUMBER(AF35),EXTRACTNUMBER(AH35)),"*"),IF(AND(COUNTIF(D35:AI35,"=36")&gt;=2,COUNTIF(D35:AI35,"f")=2,COUNTIF(D35:AI35,"")=0,COUNTIF(D35:AI35," ")=0),CONCATENATE(SUM(EXTRACTNUMBER(D35),EXTRACTNUMBER(F35),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EXTRACTNUMBER(AD35),EXTRACTNUMBER(AF35),EXTRACTNUMBER(AH35)),"*"),SUM(EXTRACTNUMBER(D35),EXTRACTNUMBER(F35),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EXTRACTNUMBER(AD35),EXTRACTNUMBER(AF35),EXTRACTNUMBER(AH35)))))</f>
        <v>551</v>
      </c>
      <c r="AK35" s="24" t="str">
        <f t="shared" si="16"/>
        <v>PASS</v>
      </c>
      <c r="AL35" s="25" t="str">
        <f>SPELLNUMBER(extractnumber_tot(AJ35))</f>
        <v xml:space="preserve">Five Hundred Fifty One </v>
      </c>
    </row>
    <row r="36" spans="2:38" s="22" customFormat="1" ht="15.95" customHeight="1">
      <c r="B36" s="97">
        <v>235212</v>
      </c>
      <c r="C36" s="98" t="s">
        <v>479</v>
      </c>
      <c r="D36" s="95">
        <v>52</v>
      </c>
      <c r="E36" s="89" t="str">
        <f t="shared" si="0"/>
        <v/>
      </c>
      <c r="F36" s="94">
        <v>23</v>
      </c>
      <c r="G36" s="89" t="str">
        <f t="shared" si="1"/>
        <v/>
      </c>
      <c r="H36" s="94">
        <v>45</v>
      </c>
      <c r="I36" s="90" t="str">
        <f t="shared" si="2"/>
        <v/>
      </c>
      <c r="J36" s="92">
        <v>44</v>
      </c>
      <c r="K36" s="90" t="str">
        <f t="shared" si="3"/>
        <v/>
      </c>
      <c r="L36" s="94">
        <v>22</v>
      </c>
      <c r="M36" s="90" t="str">
        <f t="shared" si="4"/>
        <v/>
      </c>
      <c r="N36" s="94">
        <v>42</v>
      </c>
      <c r="O36" s="90" t="str">
        <f t="shared" si="5"/>
        <v/>
      </c>
      <c r="P36" s="92">
        <v>41</v>
      </c>
      <c r="Q36" s="90" t="str">
        <f t="shared" si="6"/>
        <v/>
      </c>
      <c r="R36" s="94">
        <v>23</v>
      </c>
      <c r="S36" s="90" t="str">
        <f t="shared" si="7"/>
        <v/>
      </c>
      <c r="T36" s="94">
        <v>23</v>
      </c>
      <c r="U36" s="90" t="str">
        <f t="shared" si="8"/>
        <v/>
      </c>
      <c r="V36" s="92">
        <v>40</v>
      </c>
      <c r="W36" s="90" t="str">
        <f t="shared" si="9"/>
        <v/>
      </c>
      <c r="X36" s="94">
        <v>22</v>
      </c>
      <c r="Y36" s="90" t="str">
        <f t="shared" si="10"/>
        <v/>
      </c>
      <c r="Z36" s="92">
        <v>49</v>
      </c>
      <c r="AA36" s="90" t="str">
        <f t="shared" si="11"/>
        <v/>
      </c>
      <c r="AB36" s="94">
        <v>23</v>
      </c>
      <c r="AC36" s="90" t="str">
        <f t="shared" si="12"/>
        <v/>
      </c>
      <c r="AD36" s="94">
        <v>21</v>
      </c>
      <c r="AE36" s="90" t="str">
        <f t="shared" si="13"/>
        <v/>
      </c>
      <c r="AF36" s="92">
        <v>22</v>
      </c>
      <c r="AG36" s="89" t="str">
        <f t="shared" si="14"/>
        <v/>
      </c>
      <c r="AH36" s="94">
        <v>18</v>
      </c>
      <c r="AI36" s="90" t="str">
        <f t="shared" si="15"/>
        <v/>
      </c>
      <c r="AJ36" s="108">
        <f>IF(AND(OR(COUNTIF(D36:AI36,"=31")&gt;=1,COUNTIF(D36:AI36,"=32")&gt;=1,COUNTIF(D36:AI36,"=33")&gt;=1,COUNTIF(D36:AI36,"=34")&gt;=1,COUNTIF(D36:AI36,"=35")=1,COUNTIF(D36:AI36,"=36")&gt;=1 ),COUNTIF(D36:AI36,"")=0,COUNTIF(D36:AI36," ")=0,COUNTIF(D36:AI36,"F")=1),CONCATENATE(SUM(EXTRACTNUMBER(D36),EXTRACTNUMBER(F36),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EXTRACTNUMBER(AD36),EXTRACTNUMBER(AF36),EXTRACTNUMBER(AH36)),"*"),IF(AND(COUNTIF(D36:AI36,"=34")&gt;=1,COUNTIF(D36:AI36,"=35")&gt;=1,COUNTIF(D36:AI36,"f")=2,COUNTIF(D36:AI36,"")=0,COUNTIF(D36:AI36," ")=0),CONCATENATE(SUM(EXTRACTNUMBER(D36),EXTRACTNUMBER(F36),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EXTRACTNUMBER(AD36),EXTRACTNUMBER(AF36),EXTRACTNUMBER(AH36)),"*"),IF(AND(COUNTIF(D36:AI36,"=36")&gt;=2,COUNTIF(D36:AI36,"f")=2,COUNTIF(D36:AI36,"")=0,COUNTIF(D36:AI36," ")=0),CONCATENATE(SUM(EXTRACTNUMBER(D36),EXTRACTNUMBER(F36),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EXTRACTNUMBER(AD36),EXTRACTNUMBER(AF36),EXTRACTNUMBER(AH36)),"*"),SUM(EXTRACTNUMBER(D36),EXTRACTNUMBER(F36),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EXTRACTNUMBER(AD36),EXTRACTNUMBER(AF36),EXTRACTNUMBER(AH36)))))</f>
        <v>510</v>
      </c>
      <c r="AK36" s="24" t="str">
        <f t="shared" si="16"/>
        <v>PASS</v>
      </c>
      <c r="AL36" s="25" t="str">
        <f>SPELLNUMBER(extractnumber_tot(AJ36))</f>
        <v xml:space="preserve">Five Hundred Ten </v>
      </c>
    </row>
    <row r="37" spans="2:38" s="22" customFormat="1" ht="15.95" customHeight="1">
      <c r="B37" s="97">
        <v>235213</v>
      </c>
      <c r="C37" s="98" t="s">
        <v>480</v>
      </c>
      <c r="D37" s="95">
        <v>53</v>
      </c>
      <c r="E37" s="89" t="str">
        <f t="shared" si="0"/>
        <v>E</v>
      </c>
      <c r="F37" s="94">
        <v>21</v>
      </c>
      <c r="G37" s="89" t="str">
        <f t="shared" si="1"/>
        <v>E</v>
      </c>
      <c r="H37" s="94">
        <v>41</v>
      </c>
      <c r="I37" s="90" t="str">
        <f t="shared" si="2"/>
        <v>E</v>
      </c>
      <c r="J37" s="92">
        <v>49</v>
      </c>
      <c r="K37" s="90" t="str">
        <f t="shared" si="3"/>
        <v>E</v>
      </c>
      <c r="L37" s="94">
        <v>20</v>
      </c>
      <c r="M37" s="90" t="str">
        <f t="shared" si="4"/>
        <v>E</v>
      </c>
      <c r="N37" s="94">
        <v>39</v>
      </c>
      <c r="O37" s="90" t="str">
        <f t="shared" si="5"/>
        <v>E</v>
      </c>
      <c r="P37" s="92">
        <v>48</v>
      </c>
      <c r="Q37" s="90" t="str">
        <f t="shared" si="6"/>
        <v>E</v>
      </c>
      <c r="R37" s="94">
        <v>20</v>
      </c>
      <c r="S37" s="90" t="str">
        <f t="shared" si="7"/>
        <v>E</v>
      </c>
      <c r="T37" s="94">
        <v>21</v>
      </c>
      <c r="U37" s="90" t="str">
        <f t="shared" si="8"/>
        <v>E</v>
      </c>
      <c r="V37" s="92">
        <v>28</v>
      </c>
      <c r="W37" s="90" t="str">
        <f t="shared" si="9"/>
        <v>F</v>
      </c>
      <c r="X37" s="94">
        <v>22</v>
      </c>
      <c r="Y37" s="90" t="str">
        <f t="shared" si="10"/>
        <v>E</v>
      </c>
      <c r="Z37" s="92">
        <v>51</v>
      </c>
      <c r="AA37" s="90" t="str">
        <f t="shared" si="11"/>
        <v>E</v>
      </c>
      <c r="AB37" s="94">
        <v>18</v>
      </c>
      <c r="AC37" s="90" t="str">
        <f t="shared" si="12"/>
        <v>E</v>
      </c>
      <c r="AD37" s="94">
        <v>18</v>
      </c>
      <c r="AE37" s="90" t="str">
        <f t="shared" si="13"/>
        <v>E</v>
      </c>
      <c r="AF37" s="92">
        <v>23</v>
      </c>
      <c r="AG37" s="89" t="str">
        <f t="shared" si="14"/>
        <v>E</v>
      </c>
      <c r="AH37" s="94">
        <v>19</v>
      </c>
      <c r="AI37" s="90" t="str">
        <f t="shared" si="15"/>
        <v>E</v>
      </c>
      <c r="AJ37" s="108">
        <f>IF(AND(OR(COUNTIF(D37:AI37,"=31")&gt;=1,COUNTIF(D37:AI37,"=32")&gt;=1,COUNTIF(D37:AI37,"=33")&gt;=1,COUNTIF(D37:AI37,"=34")&gt;=1,COUNTIF(D37:AI37,"=35")=1,COUNTIF(D37:AI37,"=36")&gt;=1 ),COUNTIF(D37:AI37,"")=0,COUNTIF(D37:AI37," ")=0,COUNTIF(D37:AI37,"F")=1),CONCATENATE(SUM(EXTRACTNUMBER(D37),EXTRACTNUMBER(F37),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EXTRACTNUMBER(AD37),EXTRACTNUMBER(AF37),EXTRACTNUMBER(AH37)),"*"),IF(AND(COUNTIF(D37:AI37,"=34")&gt;=1,COUNTIF(D37:AI37,"=35")&gt;=1,COUNTIF(D37:AI37,"f")=2,COUNTIF(D37:AI37,"")=0,COUNTIF(D37:AI37," ")=0),CONCATENATE(SUM(EXTRACTNUMBER(D37),EXTRACTNUMBER(F37),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EXTRACTNUMBER(AD37),EXTRACTNUMBER(AF37),EXTRACTNUMBER(AH37)),"*"),IF(AND(COUNTIF(D37:AI37,"=36")&gt;=2,COUNTIF(D37:AI37,"f")=2,COUNTIF(D37:AI37,"")=0,COUNTIF(D37:AI37," ")=0),CONCATENATE(SUM(EXTRACTNUMBER(D37),EXTRACTNUMBER(F37),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EXTRACTNUMBER(AD37),EXTRACTNUMBER(AF37),EXTRACTNUMBER(AH37)),"*"),SUM(EXTRACTNUMBER(D37),EXTRACTNUMBER(F37),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EXTRACTNUMBER(AD37),EXTRACTNUMBER(AF37),EXTRACTNUMBER(AH37)))))</f>
        <v>491</v>
      </c>
      <c r="AK37" s="24" t="str">
        <f t="shared" si="16"/>
        <v>FAIL</v>
      </c>
      <c r="AL37" s="25" t="str">
        <f>SPELLNUMBER(extractnumber_tot(AJ37))</f>
        <v xml:space="preserve">Four Hundred NinetyOne </v>
      </c>
    </row>
    <row r="38" spans="2:38" s="22" customFormat="1" ht="15.95" customHeight="1">
      <c r="B38" s="97">
        <v>235214</v>
      </c>
      <c r="C38" s="98" t="s">
        <v>481</v>
      </c>
      <c r="D38" s="95">
        <v>48</v>
      </c>
      <c r="E38" s="89" t="str">
        <f t="shared" si="0"/>
        <v/>
      </c>
      <c r="F38" s="94">
        <v>20</v>
      </c>
      <c r="G38" s="89" t="str">
        <f t="shared" si="1"/>
        <v/>
      </c>
      <c r="H38" s="94">
        <v>41</v>
      </c>
      <c r="I38" s="90" t="str">
        <f t="shared" si="2"/>
        <v/>
      </c>
      <c r="J38" s="92">
        <v>40</v>
      </c>
      <c r="K38" s="90" t="str">
        <f t="shared" si="3"/>
        <v/>
      </c>
      <c r="L38" s="94">
        <v>22</v>
      </c>
      <c r="M38" s="90" t="str">
        <f t="shared" si="4"/>
        <v/>
      </c>
      <c r="N38" s="94">
        <v>37</v>
      </c>
      <c r="O38" s="90" t="str">
        <f t="shared" si="5"/>
        <v/>
      </c>
      <c r="P38" s="92">
        <v>40</v>
      </c>
      <c r="Q38" s="90" t="str">
        <f t="shared" si="6"/>
        <v/>
      </c>
      <c r="R38" s="94">
        <v>22</v>
      </c>
      <c r="S38" s="90" t="str">
        <f t="shared" si="7"/>
        <v/>
      </c>
      <c r="T38" s="94">
        <v>20</v>
      </c>
      <c r="U38" s="90" t="str">
        <f t="shared" si="8"/>
        <v/>
      </c>
      <c r="V38" s="92">
        <v>40</v>
      </c>
      <c r="W38" s="90" t="str">
        <f t="shared" si="9"/>
        <v/>
      </c>
      <c r="X38" s="94">
        <v>21</v>
      </c>
      <c r="Y38" s="90" t="str">
        <f t="shared" si="10"/>
        <v/>
      </c>
      <c r="Z38" s="92">
        <v>47</v>
      </c>
      <c r="AA38" s="90" t="str">
        <f t="shared" si="11"/>
        <v/>
      </c>
      <c r="AB38" s="94">
        <v>20</v>
      </c>
      <c r="AC38" s="90" t="str">
        <f t="shared" si="12"/>
        <v/>
      </c>
      <c r="AD38" s="94">
        <v>20</v>
      </c>
      <c r="AE38" s="90" t="str">
        <f t="shared" si="13"/>
        <v/>
      </c>
      <c r="AF38" s="92">
        <v>28</v>
      </c>
      <c r="AG38" s="89" t="str">
        <f t="shared" si="14"/>
        <v/>
      </c>
      <c r="AH38" s="94">
        <v>20</v>
      </c>
      <c r="AI38" s="90" t="str">
        <f t="shared" si="15"/>
        <v/>
      </c>
      <c r="AJ38" s="108">
        <f>IF(AND(OR(COUNTIF(D38:AI38,"=31")&gt;=1,COUNTIF(D38:AI38,"=32")&gt;=1,COUNTIF(D38:AI38,"=33")&gt;=1,COUNTIF(D38:AI38,"=34")&gt;=1,COUNTIF(D38:AI38,"=35")=1,COUNTIF(D38:AI38,"=36")&gt;=1 ),COUNTIF(D38:AI38,"")=0,COUNTIF(D38:AI38," ")=0,COUNTIF(D38:AI38,"F")=1),CONCATENATE(SUM(EXTRACTNUMBER(D38),EXTRACTNUMBER(F38),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EXTRACTNUMBER(AD38),EXTRACTNUMBER(AF38),EXTRACTNUMBER(AH38)),"*"),IF(AND(COUNTIF(D38:AI38,"=34")&gt;=1,COUNTIF(D38:AI38,"=35")&gt;=1,COUNTIF(D38:AI38,"f")=2,COUNTIF(D38:AI38,"")=0,COUNTIF(D38:AI38," ")=0),CONCATENATE(SUM(EXTRACTNUMBER(D38),EXTRACTNUMBER(F38),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EXTRACTNUMBER(AD38),EXTRACTNUMBER(AF38),EXTRACTNUMBER(AH38)),"*"),IF(AND(COUNTIF(D38:AI38,"=36")&gt;=2,COUNTIF(D38:AI38,"f")=2,COUNTIF(D38:AI38,"")=0,COUNTIF(D38:AI38," ")=0),CONCATENATE(SUM(EXTRACTNUMBER(D38),EXTRACTNUMBER(F38),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EXTRACTNUMBER(AD38),EXTRACTNUMBER(AF38),EXTRACTNUMBER(AH38)),"*"),SUM(EXTRACTNUMBER(D38),EXTRACTNUMBER(F38),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EXTRACTNUMBER(AD38),EXTRACTNUMBER(AF38),EXTRACTNUMBER(AH38)))))</f>
        <v>486</v>
      </c>
      <c r="AK38" s="24" t="str">
        <f t="shared" si="16"/>
        <v>PASS</v>
      </c>
      <c r="AL38" s="25" t="str">
        <f>SPELLNUMBER(extractnumber_tot(AJ38))</f>
        <v xml:space="preserve">Four Hundred Eighty Six </v>
      </c>
    </row>
    <row r="39" spans="2:38" s="22" customFormat="1" ht="15.95" customHeight="1">
      <c r="B39" s="97">
        <v>235215</v>
      </c>
      <c r="C39" s="98" t="s">
        <v>482</v>
      </c>
      <c r="D39" s="95">
        <v>51</v>
      </c>
      <c r="E39" s="89" t="str">
        <f t="shared" si="0"/>
        <v/>
      </c>
      <c r="F39" s="94">
        <v>23</v>
      </c>
      <c r="G39" s="89" t="str">
        <f t="shared" si="1"/>
        <v/>
      </c>
      <c r="H39" s="94">
        <v>40</v>
      </c>
      <c r="I39" s="90" t="str">
        <f t="shared" si="2"/>
        <v/>
      </c>
      <c r="J39" s="92">
        <v>41</v>
      </c>
      <c r="K39" s="90" t="str">
        <f t="shared" si="3"/>
        <v/>
      </c>
      <c r="L39" s="94">
        <v>23</v>
      </c>
      <c r="M39" s="90" t="str">
        <f t="shared" si="4"/>
        <v/>
      </c>
      <c r="N39" s="94">
        <v>38</v>
      </c>
      <c r="O39" s="90" t="str">
        <f t="shared" si="5"/>
        <v/>
      </c>
      <c r="P39" s="92" t="s">
        <v>341</v>
      </c>
      <c r="Q39" s="90" t="str">
        <f t="shared" si="6"/>
        <v/>
      </c>
      <c r="R39" s="94">
        <v>23</v>
      </c>
      <c r="S39" s="90" t="str">
        <f t="shared" si="7"/>
        <v/>
      </c>
      <c r="T39" s="94">
        <v>20</v>
      </c>
      <c r="U39" s="90" t="str">
        <f t="shared" si="8"/>
        <v/>
      </c>
      <c r="V39" s="92">
        <v>40</v>
      </c>
      <c r="W39" s="90" t="str">
        <f t="shared" si="9"/>
        <v/>
      </c>
      <c r="X39" s="94">
        <v>23</v>
      </c>
      <c r="Y39" s="90" t="str">
        <f t="shared" si="10"/>
        <v/>
      </c>
      <c r="Z39" s="92">
        <v>45</v>
      </c>
      <c r="AA39" s="90" t="str">
        <f t="shared" si="11"/>
        <v/>
      </c>
      <c r="AB39" s="94">
        <v>23</v>
      </c>
      <c r="AC39" s="90" t="str">
        <f t="shared" si="12"/>
        <v/>
      </c>
      <c r="AD39" s="94">
        <v>20</v>
      </c>
      <c r="AE39" s="90" t="str">
        <f t="shared" si="13"/>
        <v/>
      </c>
      <c r="AF39" s="92">
        <v>32</v>
      </c>
      <c r="AG39" s="89" t="str">
        <f t="shared" si="14"/>
        <v/>
      </c>
      <c r="AH39" s="94">
        <v>22</v>
      </c>
      <c r="AI39" s="90" t="str">
        <f t="shared" si="15"/>
        <v/>
      </c>
      <c r="AJ39" s="109" t="s">
        <v>345</v>
      </c>
      <c r="AK39" s="24" t="str">
        <f t="shared" si="16"/>
        <v>PASS</v>
      </c>
      <c r="AL39" s="25" t="str">
        <f>SPELLNUMBER(extractnumber_tot(AJ39))</f>
        <v xml:space="preserve">Four Hundred NinetyFive </v>
      </c>
    </row>
    <row r="40" spans="2:38" s="22" customFormat="1" ht="15.95" customHeight="1">
      <c r="B40" s="97">
        <v>235216</v>
      </c>
      <c r="C40" s="98" t="s">
        <v>483</v>
      </c>
      <c r="D40" s="95">
        <v>62</v>
      </c>
      <c r="E40" s="89" t="str">
        <f t="shared" si="0"/>
        <v/>
      </c>
      <c r="F40" s="94">
        <v>23</v>
      </c>
      <c r="G40" s="89" t="str">
        <f t="shared" si="1"/>
        <v/>
      </c>
      <c r="H40" s="94">
        <v>46</v>
      </c>
      <c r="I40" s="90" t="str">
        <f t="shared" si="2"/>
        <v/>
      </c>
      <c r="J40" s="92">
        <v>52</v>
      </c>
      <c r="K40" s="90" t="str">
        <f t="shared" si="3"/>
        <v/>
      </c>
      <c r="L40" s="94">
        <v>23</v>
      </c>
      <c r="M40" s="90" t="str">
        <f t="shared" si="4"/>
        <v/>
      </c>
      <c r="N40" s="94">
        <v>39</v>
      </c>
      <c r="O40" s="90" t="str">
        <f t="shared" si="5"/>
        <v/>
      </c>
      <c r="P40" s="92">
        <v>47</v>
      </c>
      <c r="Q40" s="90" t="str">
        <f t="shared" si="6"/>
        <v/>
      </c>
      <c r="R40" s="94">
        <v>23</v>
      </c>
      <c r="S40" s="90" t="str">
        <f t="shared" si="7"/>
        <v/>
      </c>
      <c r="T40" s="94">
        <v>23</v>
      </c>
      <c r="U40" s="90" t="str">
        <f t="shared" si="8"/>
        <v/>
      </c>
      <c r="V40" s="92" t="s">
        <v>343</v>
      </c>
      <c r="W40" s="90" t="str">
        <f t="shared" si="9"/>
        <v/>
      </c>
      <c r="X40" s="94">
        <v>23</v>
      </c>
      <c r="Y40" s="90" t="str">
        <f t="shared" si="10"/>
        <v/>
      </c>
      <c r="Z40" s="92">
        <v>47</v>
      </c>
      <c r="AA40" s="90" t="str">
        <f t="shared" si="11"/>
        <v/>
      </c>
      <c r="AB40" s="94">
        <v>22</v>
      </c>
      <c r="AC40" s="90" t="str">
        <f t="shared" si="12"/>
        <v/>
      </c>
      <c r="AD40" s="94">
        <v>20</v>
      </c>
      <c r="AE40" s="90" t="str">
        <f t="shared" si="13"/>
        <v/>
      </c>
      <c r="AF40" s="92">
        <v>28</v>
      </c>
      <c r="AG40" s="89" t="str">
        <f t="shared" si="14"/>
        <v/>
      </c>
      <c r="AH40" s="94">
        <v>22</v>
      </c>
      <c r="AI40" s="90" t="str">
        <f t="shared" si="15"/>
        <v/>
      </c>
      <c r="AJ40" s="109" t="s">
        <v>653</v>
      </c>
      <c r="AK40" s="24" t="str">
        <f t="shared" si="16"/>
        <v>PASS</v>
      </c>
      <c r="AL40" s="25" t="str">
        <f>SPELLNUMBER(extractnumber_tot(AJ40))</f>
        <v xml:space="preserve">Five Hundred Thirty Two </v>
      </c>
    </row>
    <row r="41" spans="2:38" s="22" customFormat="1" ht="15.95" customHeight="1">
      <c r="B41" s="97">
        <v>235217</v>
      </c>
      <c r="C41" s="98" t="s">
        <v>484</v>
      </c>
      <c r="D41" s="95">
        <v>49</v>
      </c>
      <c r="E41" s="89" t="str">
        <f t="shared" si="0"/>
        <v>E</v>
      </c>
      <c r="F41" s="94">
        <v>21</v>
      </c>
      <c r="G41" s="89" t="str">
        <f t="shared" si="1"/>
        <v>E</v>
      </c>
      <c r="H41" s="94">
        <v>40</v>
      </c>
      <c r="I41" s="90" t="str">
        <f t="shared" si="2"/>
        <v>E</v>
      </c>
      <c r="J41" s="92">
        <v>59</v>
      </c>
      <c r="K41" s="90" t="str">
        <f t="shared" si="3"/>
        <v>E</v>
      </c>
      <c r="L41" s="94">
        <v>20</v>
      </c>
      <c r="M41" s="90" t="str">
        <f t="shared" si="4"/>
        <v>E</v>
      </c>
      <c r="N41" s="94">
        <v>37</v>
      </c>
      <c r="O41" s="90" t="str">
        <f t="shared" si="5"/>
        <v>E</v>
      </c>
      <c r="P41" s="92">
        <v>40</v>
      </c>
      <c r="Q41" s="90" t="str">
        <f t="shared" si="6"/>
        <v>E</v>
      </c>
      <c r="R41" s="94">
        <v>21</v>
      </c>
      <c r="S41" s="90" t="str">
        <f t="shared" si="7"/>
        <v>E</v>
      </c>
      <c r="T41" s="94">
        <v>21</v>
      </c>
      <c r="U41" s="90" t="str">
        <f t="shared" si="8"/>
        <v>E</v>
      </c>
      <c r="V41" s="92">
        <v>4</v>
      </c>
      <c r="W41" s="90" t="str">
        <f t="shared" si="9"/>
        <v>F</v>
      </c>
      <c r="X41" s="94">
        <v>24</v>
      </c>
      <c r="Y41" s="90" t="str">
        <f t="shared" si="10"/>
        <v>E</v>
      </c>
      <c r="Z41" s="92">
        <v>43</v>
      </c>
      <c r="AA41" s="90" t="str">
        <f t="shared" si="11"/>
        <v>E</v>
      </c>
      <c r="AB41" s="94">
        <v>19</v>
      </c>
      <c r="AC41" s="90" t="str">
        <f t="shared" si="12"/>
        <v>E</v>
      </c>
      <c r="AD41" s="94">
        <v>21</v>
      </c>
      <c r="AE41" s="90" t="str">
        <f t="shared" si="13"/>
        <v>E</v>
      </c>
      <c r="AF41" s="92">
        <v>30</v>
      </c>
      <c r="AG41" s="89" t="str">
        <f t="shared" si="14"/>
        <v>E</v>
      </c>
      <c r="AH41" s="94">
        <v>21</v>
      </c>
      <c r="AI41" s="90" t="str">
        <f t="shared" si="15"/>
        <v>E</v>
      </c>
      <c r="AJ41" s="108">
        <f>IF(AND(OR(COUNTIF(D41:AI41,"=31")&gt;=1,COUNTIF(D41:AI41,"=32")&gt;=1,COUNTIF(D41:AI41,"=33")&gt;=1,COUNTIF(D41:AI41,"=34")&gt;=1,COUNTIF(D41:AI41,"=35")=1,COUNTIF(D41:AI41,"=36")&gt;=1 ),COUNTIF(D41:AI41,"")=0,COUNTIF(D41:AI41," ")=0,COUNTIF(D41:AI41,"F")=1),CONCATENATE(SUM(EXTRACTNUMBER(D41),EXTRACTNUMBER(F41),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EXTRACTNUMBER(AD41),EXTRACTNUMBER(AF41),EXTRACTNUMBER(AH41)),"*"),IF(AND(COUNTIF(D41:AI41,"=34")&gt;=1,COUNTIF(D41:AI41,"=35")&gt;=1,COUNTIF(D41:AI41,"f")=2,COUNTIF(D41:AI41,"")=0,COUNTIF(D41:AI41," ")=0),CONCATENATE(SUM(EXTRACTNUMBER(D41),EXTRACTNUMBER(F41),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EXTRACTNUMBER(AD41),EXTRACTNUMBER(AF41),EXTRACTNUMBER(AH41)),"*"),IF(AND(COUNTIF(D41:AI41,"=36")&gt;=2,COUNTIF(D41:AI41,"f")=2,COUNTIF(D41:AI41,"")=0,COUNTIF(D41:AI41," ")=0),CONCATENATE(SUM(EXTRACTNUMBER(D41),EXTRACTNUMBER(F41),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EXTRACTNUMBER(AD41),EXTRACTNUMBER(AF41),EXTRACTNUMBER(AH41)),"*"),SUM(EXTRACTNUMBER(D41),EXTRACTNUMBER(F41),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EXTRACTNUMBER(AD41),EXTRACTNUMBER(AF41),EXTRACTNUMBER(AH41)))))</f>
        <v>470</v>
      </c>
      <c r="AK41" s="24" t="str">
        <f t="shared" si="16"/>
        <v>FAIL</v>
      </c>
      <c r="AL41" s="25" t="str">
        <f>SPELLNUMBER(extractnumber_tot(AJ41))</f>
        <v xml:space="preserve">Four Hundred Seventy  </v>
      </c>
    </row>
    <row r="42" spans="2:38" s="22" customFormat="1" ht="15.95" customHeight="1">
      <c r="B42" s="97">
        <v>235218</v>
      </c>
      <c r="C42" s="98" t="s">
        <v>485</v>
      </c>
      <c r="D42" s="95">
        <v>41</v>
      </c>
      <c r="E42" s="89" t="str">
        <f t="shared" si="0"/>
        <v/>
      </c>
      <c r="F42" s="94">
        <v>22</v>
      </c>
      <c r="G42" s="89" t="str">
        <f t="shared" si="1"/>
        <v/>
      </c>
      <c r="H42" s="94">
        <v>35</v>
      </c>
      <c r="I42" s="90" t="str">
        <f t="shared" si="2"/>
        <v/>
      </c>
      <c r="J42" s="92">
        <v>46</v>
      </c>
      <c r="K42" s="90" t="str">
        <f t="shared" si="3"/>
        <v/>
      </c>
      <c r="L42" s="94">
        <v>18</v>
      </c>
      <c r="M42" s="90" t="str">
        <f t="shared" si="4"/>
        <v/>
      </c>
      <c r="N42" s="94">
        <v>35</v>
      </c>
      <c r="O42" s="90" t="str">
        <f t="shared" si="5"/>
        <v/>
      </c>
      <c r="P42" s="92">
        <v>40</v>
      </c>
      <c r="Q42" s="90" t="str">
        <f t="shared" si="6"/>
        <v/>
      </c>
      <c r="R42" s="94">
        <v>15</v>
      </c>
      <c r="S42" s="90" t="str">
        <f t="shared" si="7"/>
        <v/>
      </c>
      <c r="T42" s="94">
        <v>16</v>
      </c>
      <c r="U42" s="90" t="str">
        <f t="shared" si="8"/>
        <v/>
      </c>
      <c r="V42" s="92" t="s">
        <v>651</v>
      </c>
      <c r="W42" s="90" t="str">
        <f t="shared" si="9"/>
        <v/>
      </c>
      <c r="X42" s="94">
        <v>16</v>
      </c>
      <c r="Y42" s="90" t="str">
        <f t="shared" si="10"/>
        <v/>
      </c>
      <c r="Z42" s="92">
        <v>53</v>
      </c>
      <c r="AA42" s="90" t="str">
        <f t="shared" si="11"/>
        <v/>
      </c>
      <c r="AB42" s="94">
        <v>19</v>
      </c>
      <c r="AC42" s="90" t="str">
        <f t="shared" si="12"/>
        <v/>
      </c>
      <c r="AD42" s="94">
        <v>19</v>
      </c>
      <c r="AE42" s="90" t="str">
        <f t="shared" si="13"/>
        <v/>
      </c>
      <c r="AF42" s="92">
        <v>28</v>
      </c>
      <c r="AG42" s="89" t="str">
        <f t="shared" si="14"/>
        <v/>
      </c>
      <c r="AH42" s="94">
        <v>16</v>
      </c>
      <c r="AI42" s="90" t="str">
        <f t="shared" si="15"/>
        <v/>
      </c>
      <c r="AJ42" s="109" t="s">
        <v>659</v>
      </c>
      <c r="AK42" s="24" t="str">
        <f t="shared" si="16"/>
        <v>PASS</v>
      </c>
      <c r="AL42" s="25" t="str">
        <f>SPELLNUMBER(extractnumber_tot(AJ42))</f>
        <v xml:space="preserve">Four Hundred Fifty Three </v>
      </c>
    </row>
    <row r="43" spans="2:38" s="22" customFormat="1" ht="15.95" customHeight="1">
      <c r="B43" s="97">
        <v>235219</v>
      </c>
      <c r="C43" s="98" t="s">
        <v>486</v>
      </c>
      <c r="D43" s="95">
        <v>68</v>
      </c>
      <c r="E43" s="89" t="str">
        <f t="shared" si="0"/>
        <v/>
      </c>
      <c r="F43" s="94">
        <v>23</v>
      </c>
      <c r="G43" s="89" t="str">
        <f t="shared" si="1"/>
        <v/>
      </c>
      <c r="H43" s="94">
        <v>46</v>
      </c>
      <c r="I43" s="90" t="str">
        <f t="shared" si="2"/>
        <v/>
      </c>
      <c r="J43" s="92">
        <v>54</v>
      </c>
      <c r="K43" s="90" t="str">
        <f t="shared" si="3"/>
        <v/>
      </c>
      <c r="L43" s="94">
        <v>23</v>
      </c>
      <c r="M43" s="90" t="str">
        <f t="shared" si="4"/>
        <v/>
      </c>
      <c r="N43" s="94">
        <v>38</v>
      </c>
      <c r="O43" s="90" t="str">
        <f t="shared" si="5"/>
        <v/>
      </c>
      <c r="P43" s="92">
        <v>44</v>
      </c>
      <c r="Q43" s="90" t="str">
        <f t="shared" si="6"/>
        <v/>
      </c>
      <c r="R43" s="94">
        <v>23</v>
      </c>
      <c r="S43" s="90" t="str">
        <f t="shared" si="7"/>
        <v/>
      </c>
      <c r="T43" s="94">
        <v>23</v>
      </c>
      <c r="U43" s="90" t="str">
        <f t="shared" si="8"/>
        <v/>
      </c>
      <c r="V43" s="92">
        <v>48</v>
      </c>
      <c r="W43" s="90" t="str">
        <f t="shared" si="9"/>
        <v/>
      </c>
      <c r="X43" s="94">
        <v>23</v>
      </c>
      <c r="Y43" s="90" t="str">
        <f t="shared" si="10"/>
        <v/>
      </c>
      <c r="Z43" s="92">
        <v>52</v>
      </c>
      <c r="AA43" s="90" t="str">
        <f t="shared" si="11"/>
        <v/>
      </c>
      <c r="AB43" s="94">
        <v>22</v>
      </c>
      <c r="AC43" s="90" t="str">
        <f t="shared" si="12"/>
        <v/>
      </c>
      <c r="AD43" s="94">
        <v>20</v>
      </c>
      <c r="AE43" s="90" t="str">
        <f t="shared" si="13"/>
        <v/>
      </c>
      <c r="AF43" s="92">
        <v>29</v>
      </c>
      <c r="AG43" s="89" t="str">
        <f t="shared" si="14"/>
        <v/>
      </c>
      <c r="AH43" s="94">
        <v>23</v>
      </c>
      <c r="AI43" s="90" t="str">
        <f t="shared" si="15"/>
        <v/>
      </c>
      <c r="AJ43" s="108">
        <f>IF(AND(OR(COUNTIF(D43:AI43,"=31")&gt;=1,COUNTIF(D43:AI43,"=32")&gt;=1,COUNTIF(D43:AI43,"=33")&gt;=1,COUNTIF(D43:AI43,"=34")&gt;=1,COUNTIF(D43:AI43,"=35")=1,COUNTIF(D43:AI43,"=36")&gt;=1 ),COUNTIF(D43:AI43,"")=0,COUNTIF(D43:AI43," ")=0,COUNTIF(D43:AI43,"F")=1),CONCATENATE(SUM(EXTRACTNUMBER(D43),EXTRACTNUMBER(F43),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EXTRACTNUMBER(AD43),EXTRACTNUMBER(AF43),EXTRACTNUMBER(AH43)),"*"),IF(AND(COUNTIF(D43:AI43,"=34")&gt;=1,COUNTIF(D43:AI43,"=35")&gt;=1,COUNTIF(D43:AI43,"f")=2,COUNTIF(D43:AI43,"")=0,COUNTIF(D43:AI43," ")=0),CONCATENATE(SUM(EXTRACTNUMBER(D43),EXTRACTNUMBER(F43),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EXTRACTNUMBER(AD43),EXTRACTNUMBER(AF43),EXTRACTNUMBER(AH43)),"*"),IF(AND(COUNTIF(D43:AI43,"=36")&gt;=2,COUNTIF(D43:AI43,"f")=2,COUNTIF(D43:AI43,"")=0,COUNTIF(D43:AI43," ")=0),CONCATENATE(SUM(EXTRACTNUMBER(D43),EXTRACTNUMBER(F43),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EXTRACTNUMBER(AD43),EXTRACTNUMBER(AF43),EXTRACTNUMBER(AH43)),"*"),SUM(EXTRACTNUMBER(D43),EXTRACTNUMBER(F43),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EXTRACTNUMBER(AD43),EXTRACTNUMBER(AF43),EXTRACTNUMBER(AH43)))))</f>
        <v>559</v>
      </c>
      <c r="AK43" s="24" t="str">
        <f t="shared" si="16"/>
        <v>PASS</v>
      </c>
      <c r="AL43" s="25" t="str">
        <f>SPELLNUMBER(extractnumber_tot(AJ43))</f>
        <v xml:space="preserve">Five Hundred Fifty Nine </v>
      </c>
    </row>
    <row r="44" spans="2:38" s="22" customFormat="1" ht="15.95" customHeight="1">
      <c r="B44" s="97">
        <v>235220</v>
      </c>
      <c r="C44" s="98" t="s">
        <v>487</v>
      </c>
      <c r="D44" s="95">
        <v>42</v>
      </c>
      <c r="E44" s="89" t="str">
        <f t="shared" si="0"/>
        <v>E</v>
      </c>
      <c r="F44" s="94">
        <v>23</v>
      </c>
      <c r="G44" s="89" t="str">
        <f t="shared" si="1"/>
        <v>E</v>
      </c>
      <c r="H44" s="94">
        <v>41</v>
      </c>
      <c r="I44" s="90" t="str">
        <f t="shared" si="2"/>
        <v>E</v>
      </c>
      <c r="J44" s="92">
        <v>40</v>
      </c>
      <c r="K44" s="90" t="str">
        <f t="shared" si="3"/>
        <v>E</v>
      </c>
      <c r="L44" s="94">
        <v>23</v>
      </c>
      <c r="M44" s="90" t="str">
        <f t="shared" si="4"/>
        <v>E</v>
      </c>
      <c r="N44" s="94">
        <v>39</v>
      </c>
      <c r="O44" s="90" t="str">
        <f t="shared" si="5"/>
        <v>E</v>
      </c>
      <c r="P44" s="92">
        <v>33</v>
      </c>
      <c r="Q44" s="90" t="str">
        <f t="shared" si="6"/>
        <v>F</v>
      </c>
      <c r="R44" s="94">
        <v>23</v>
      </c>
      <c r="S44" s="90" t="str">
        <f t="shared" si="7"/>
        <v>E</v>
      </c>
      <c r="T44" s="94">
        <v>20</v>
      </c>
      <c r="U44" s="90" t="str">
        <f t="shared" si="8"/>
        <v>E</v>
      </c>
      <c r="V44" s="92">
        <v>29</v>
      </c>
      <c r="W44" s="90" t="str">
        <f t="shared" si="9"/>
        <v>F</v>
      </c>
      <c r="X44" s="94">
        <v>23</v>
      </c>
      <c r="Y44" s="90" t="str">
        <f t="shared" si="10"/>
        <v>E</v>
      </c>
      <c r="Z44" s="92">
        <v>41</v>
      </c>
      <c r="AA44" s="90" t="str">
        <f t="shared" si="11"/>
        <v>E</v>
      </c>
      <c r="AB44" s="94">
        <v>22</v>
      </c>
      <c r="AC44" s="90" t="str">
        <f t="shared" si="12"/>
        <v>E</v>
      </c>
      <c r="AD44" s="94">
        <v>19</v>
      </c>
      <c r="AE44" s="90" t="str">
        <f t="shared" si="13"/>
        <v>E</v>
      </c>
      <c r="AF44" s="92">
        <v>31</v>
      </c>
      <c r="AG44" s="89" t="str">
        <f t="shared" si="14"/>
        <v>E</v>
      </c>
      <c r="AH44" s="94">
        <v>23</v>
      </c>
      <c r="AI44" s="90" t="str">
        <f t="shared" si="15"/>
        <v>E</v>
      </c>
      <c r="AJ44" s="108">
        <f>IF(AND(OR(COUNTIF(D44:AI44,"=31")&gt;=1,COUNTIF(D44:AI44,"=32")&gt;=1,COUNTIF(D44:AI44,"=33")&gt;=1,COUNTIF(D44:AI44,"=34")&gt;=1,COUNTIF(D44:AI44,"=35")=1,COUNTIF(D44:AI44,"=36")&gt;=1 ),COUNTIF(D44:AI44,"")=0,COUNTIF(D44:AI44," ")=0,COUNTIF(D44:AI44,"F")=1),CONCATENATE(SUM(EXTRACTNUMBER(D44),EXTRACTNUMBER(F44),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EXTRACTNUMBER(AD44),EXTRACTNUMBER(AF44),EXTRACTNUMBER(AH44)),"*"),IF(AND(COUNTIF(D44:AI44,"=34")&gt;=1,COUNTIF(D44:AI44,"=35")&gt;=1,COUNTIF(D44:AI44,"f")=2,COUNTIF(D44:AI44,"")=0,COUNTIF(D44:AI44," ")=0),CONCATENATE(SUM(EXTRACTNUMBER(D44),EXTRACTNUMBER(F44),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EXTRACTNUMBER(AD44),EXTRACTNUMBER(AF44),EXTRACTNUMBER(AH44)),"*"),IF(AND(COUNTIF(D44:AI44,"=36")&gt;=2,COUNTIF(D44:AI44,"f")=2,COUNTIF(D44:AI44,"")=0,COUNTIF(D44:AI44," ")=0),CONCATENATE(SUM(EXTRACTNUMBER(D44),EXTRACTNUMBER(F44),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EXTRACTNUMBER(AD44),EXTRACTNUMBER(AF44),EXTRACTNUMBER(AH44)),"*"),SUM(EXTRACTNUMBER(D44),EXTRACTNUMBER(F44),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EXTRACTNUMBER(AD44),EXTRACTNUMBER(AF44),EXTRACTNUMBER(AH44)))))</f>
        <v>472</v>
      </c>
      <c r="AK44" s="24" t="str">
        <f t="shared" si="16"/>
        <v>FAIL</v>
      </c>
      <c r="AL44" s="25" t="str">
        <f>SPELLNUMBER(extractnumber_tot(AJ44))</f>
        <v xml:space="preserve">Four Hundred Seventy Two </v>
      </c>
    </row>
    <row r="45" spans="2:38" s="22" customFormat="1" ht="15.95" customHeight="1">
      <c r="B45" s="97">
        <v>235221</v>
      </c>
      <c r="C45" s="98" t="s">
        <v>488</v>
      </c>
      <c r="D45" s="95">
        <v>51</v>
      </c>
      <c r="E45" s="89" t="str">
        <f t="shared" si="0"/>
        <v/>
      </c>
      <c r="F45" s="94">
        <v>21</v>
      </c>
      <c r="G45" s="89" t="str">
        <f t="shared" si="1"/>
        <v/>
      </c>
      <c r="H45" s="94">
        <v>43</v>
      </c>
      <c r="I45" s="90" t="str">
        <f t="shared" si="2"/>
        <v/>
      </c>
      <c r="J45" s="92">
        <v>46</v>
      </c>
      <c r="K45" s="90" t="str">
        <f t="shared" si="3"/>
        <v/>
      </c>
      <c r="L45" s="94">
        <v>20</v>
      </c>
      <c r="M45" s="90" t="str">
        <f t="shared" si="4"/>
        <v/>
      </c>
      <c r="N45" s="94">
        <v>40</v>
      </c>
      <c r="O45" s="90" t="str">
        <f t="shared" si="5"/>
        <v/>
      </c>
      <c r="P45" s="92">
        <v>40</v>
      </c>
      <c r="Q45" s="90" t="str">
        <f t="shared" si="6"/>
        <v/>
      </c>
      <c r="R45" s="94">
        <v>21</v>
      </c>
      <c r="S45" s="90" t="str">
        <f t="shared" si="7"/>
        <v/>
      </c>
      <c r="T45" s="94">
        <v>21</v>
      </c>
      <c r="U45" s="90" t="str">
        <f t="shared" si="8"/>
        <v/>
      </c>
      <c r="V45" s="92">
        <v>43</v>
      </c>
      <c r="W45" s="90" t="str">
        <f t="shared" si="9"/>
        <v/>
      </c>
      <c r="X45" s="94">
        <v>21</v>
      </c>
      <c r="Y45" s="90" t="str">
        <f t="shared" si="10"/>
        <v/>
      </c>
      <c r="Z45" s="92">
        <v>54</v>
      </c>
      <c r="AA45" s="90" t="str">
        <f t="shared" si="11"/>
        <v/>
      </c>
      <c r="AB45" s="94">
        <v>20</v>
      </c>
      <c r="AC45" s="90" t="str">
        <f t="shared" si="12"/>
        <v/>
      </c>
      <c r="AD45" s="94">
        <v>19</v>
      </c>
      <c r="AE45" s="90" t="str">
        <f t="shared" si="13"/>
        <v/>
      </c>
      <c r="AF45" s="92">
        <v>27</v>
      </c>
      <c r="AG45" s="89" t="str">
        <f t="shared" si="14"/>
        <v/>
      </c>
      <c r="AH45" s="94">
        <v>22</v>
      </c>
      <c r="AI45" s="90" t="str">
        <f t="shared" si="15"/>
        <v/>
      </c>
      <c r="AJ45" s="108">
        <f>IF(AND(OR(COUNTIF(D45:AI45,"=31")&gt;=1,COUNTIF(D45:AI45,"=32")&gt;=1,COUNTIF(D45:AI45,"=33")&gt;=1,COUNTIF(D45:AI45,"=34")&gt;=1,COUNTIF(D45:AI45,"=35")=1,COUNTIF(D45:AI45,"=36")&gt;=1 ),COUNTIF(D45:AI45,"")=0,COUNTIF(D45:AI45," ")=0,COUNTIF(D45:AI45,"F")=1),CONCATENATE(SUM(EXTRACTNUMBER(D45),EXTRACTNUMBER(F45),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EXTRACTNUMBER(AD45),EXTRACTNUMBER(AF45),EXTRACTNUMBER(AH45)),"*"),IF(AND(COUNTIF(D45:AI45,"=34")&gt;=1,COUNTIF(D45:AI45,"=35")&gt;=1,COUNTIF(D45:AI45,"f")=2,COUNTIF(D45:AI45,"")=0,COUNTIF(D45:AI45," ")=0),CONCATENATE(SUM(EXTRACTNUMBER(D45),EXTRACTNUMBER(F45),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EXTRACTNUMBER(AD45),EXTRACTNUMBER(AF45),EXTRACTNUMBER(AH45)),"*"),IF(AND(COUNTIF(D45:AI45,"=36")&gt;=2,COUNTIF(D45:AI45,"f")=2,COUNTIF(D45:AI45,"")=0,COUNTIF(D45:AI45," ")=0),CONCATENATE(SUM(EXTRACTNUMBER(D45),EXTRACTNUMBER(F45),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EXTRACTNUMBER(AD45),EXTRACTNUMBER(AF45),EXTRACTNUMBER(AH45)),"*"),SUM(EXTRACTNUMBER(D45),EXTRACTNUMBER(F45),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EXTRACTNUMBER(AD45),EXTRACTNUMBER(AF45),EXTRACTNUMBER(AH45)))))</f>
        <v>509</v>
      </c>
      <c r="AK45" s="24" t="str">
        <f t="shared" si="16"/>
        <v>PASS</v>
      </c>
      <c r="AL45" s="25" t="str">
        <f>SPELLNUMBER(extractnumber_tot(AJ45))</f>
        <v xml:space="preserve">Five Hundred Nine </v>
      </c>
    </row>
    <row r="46" spans="2:38" s="22" customFormat="1" ht="15.95" customHeight="1">
      <c r="B46" s="97">
        <v>235222</v>
      </c>
      <c r="C46" s="98" t="s">
        <v>489</v>
      </c>
      <c r="D46" s="95">
        <v>57</v>
      </c>
      <c r="E46" s="89" t="str">
        <f t="shared" si="0"/>
        <v/>
      </c>
      <c r="F46" s="94">
        <v>23</v>
      </c>
      <c r="G46" s="89" t="str">
        <f t="shared" si="1"/>
        <v/>
      </c>
      <c r="H46" s="94">
        <v>44</v>
      </c>
      <c r="I46" s="90" t="str">
        <f t="shared" si="2"/>
        <v/>
      </c>
      <c r="J46" s="92">
        <v>40</v>
      </c>
      <c r="K46" s="90" t="str">
        <f t="shared" si="3"/>
        <v/>
      </c>
      <c r="L46" s="94">
        <v>23</v>
      </c>
      <c r="M46" s="90" t="str">
        <f t="shared" si="4"/>
        <v/>
      </c>
      <c r="N46" s="94">
        <v>41</v>
      </c>
      <c r="O46" s="90" t="str">
        <f t="shared" si="5"/>
        <v/>
      </c>
      <c r="P46" s="92" t="s">
        <v>338</v>
      </c>
      <c r="Q46" s="90" t="str">
        <f t="shared" si="6"/>
        <v/>
      </c>
      <c r="R46" s="94">
        <v>23</v>
      </c>
      <c r="S46" s="90" t="str">
        <f t="shared" si="7"/>
        <v/>
      </c>
      <c r="T46" s="94">
        <v>23</v>
      </c>
      <c r="U46" s="90" t="str">
        <f t="shared" si="8"/>
        <v/>
      </c>
      <c r="V46" s="92">
        <v>69</v>
      </c>
      <c r="W46" s="90" t="str">
        <f t="shared" si="9"/>
        <v/>
      </c>
      <c r="X46" s="94">
        <v>23</v>
      </c>
      <c r="Y46" s="90" t="str">
        <f t="shared" si="10"/>
        <v/>
      </c>
      <c r="Z46" s="92">
        <v>40</v>
      </c>
      <c r="AA46" s="90" t="str">
        <f t="shared" si="11"/>
        <v/>
      </c>
      <c r="AB46" s="94">
        <v>22</v>
      </c>
      <c r="AC46" s="90" t="str">
        <f t="shared" si="12"/>
        <v/>
      </c>
      <c r="AD46" s="94">
        <v>21</v>
      </c>
      <c r="AE46" s="90" t="str">
        <f t="shared" si="13"/>
        <v/>
      </c>
      <c r="AF46" s="92">
        <v>27</v>
      </c>
      <c r="AG46" s="89" t="str">
        <f t="shared" si="14"/>
        <v/>
      </c>
      <c r="AH46" s="94">
        <v>23</v>
      </c>
      <c r="AI46" s="90" t="str">
        <f t="shared" si="15"/>
        <v/>
      </c>
      <c r="AJ46" s="109" t="s">
        <v>653</v>
      </c>
      <c r="AK46" s="24" t="str">
        <f t="shared" si="16"/>
        <v>PASS</v>
      </c>
      <c r="AL46" s="25" t="str">
        <f>SPELLNUMBER(extractnumber_tot(AJ46))</f>
        <v xml:space="preserve">Five Hundred Thirty Two </v>
      </c>
    </row>
    <row r="47" spans="2:38" s="22" customFormat="1" ht="15.95" customHeight="1">
      <c r="B47" s="97">
        <v>235223</v>
      </c>
      <c r="C47" s="98" t="s">
        <v>490</v>
      </c>
      <c r="D47" s="95">
        <v>52</v>
      </c>
      <c r="E47" s="89" t="str">
        <f t="shared" si="0"/>
        <v/>
      </c>
      <c r="F47" s="94">
        <v>23</v>
      </c>
      <c r="G47" s="89" t="str">
        <f t="shared" si="1"/>
        <v/>
      </c>
      <c r="H47" s="94">
        <v>44</v>
      </c>
      <c r="I47" s="90" t="str">
        <f t="shared" si="2"/>
        <v/>
      </c>
      <c r="J47" s="92">
        <v>45</v>
      </c>
      <c r="K47" s="90" t="str">
        <f t="shared" si="3"/>
        <v/>
      </c>
      <c r="L47" s="94">
        <v>23</v>
      </c>
      <c r="M47" s="90" t="str">
        <f t="shared" si="4"/>
        <v/>
      </c>
      <c r="N47" s="94">
        <v>42</v>
      </c>
      <c r="O47" s="90" t="str">
        <f t="shared" si="5"/>
        <v/>
      </c>
      <c r="P47" s="92">
        <v>43</v>
      </c>
      <c r="Q47" s="90" t="str">
        <f t="shared" si="6"/>
        <v/>
      </c>
      <c r="R47" s="94">
        <v>23</v>
      </c>
      <c r="S47" s="90" t="str">
        <f t="shared" si="7"/>
        <v/>
      </c>
      <c r="T47" s="94">
        <v>22</v>
      </c>
      <c r="U47" s="90" t="str">
        <f t="shared" si="8"/>
        <v/>
      </c>
      <c r="V47" s="92">
        <v>41</v>
      </c>
      <c r="W47" s="90" t="str">
        <f t="shared" si="9"/>
        <v/>
      </c>
      <c r="X47" s="94">
        <v>23</v>
      </c>
      <c r="Y47" s="90" t="str">
        <f t="shared" si="10"/>
        <v/>
      </c>
      <c r="Z47" s="92">
        <v>57</v>
      </c>
      <c r="AA47" s="90" t="str">
        <f t="shared" si="11"/>
        <v/>
      </c>
      <c r="AB47" s="94">
        <v>24</v>
      </c>
      <c r="AC47" s="90" t="str">
        <f t="shared" si="12"/>
        <v/>
      </c>
      <c r="AD47" s="94">
        <v>24</v>
      </c>
      <c r="AE47" s="90" t="str">
        <f t="shared" si="13"/>
        <v/>
      </c>
      <c r="AF47" s="92">
        <v>30</v>
      </c>
      <c r="AG47" s="89" t="str">
        <f t="shared" si="14"/>
        <v/>
      </c>
      <c r="AH47" s="94">
        <v>22</v>
      </c>
      <c r="AI47" s="90" t="str">
        <f t="shared" si="15"/>
        <v/>
      </c>
      <c r="AJ47" s="108">
        <f>IF(AND(OR(COUNTIF(D47:AI47,"=31")&gt;=1,COUNTIF(D47:AI47,"=32")&gt;=1,COUNTIF(D47:AI47,"=33")&gt;=1,COUNTIF(D47:AI47,"=34")&gt;=1,COUNTIF(D47:AI47,"=35")=1,COUNTIF(D47:AI47,"=36")&gt;=1 ),COUNTIF(D47:AI47,"")=0,COUNTIF(D47:AI47," ")=0,COUNTIF(D47:AI47,"F")=1),CONCATENATE(SUM(EXTRACTNUMBER(D47),EXTRACTNUMBER(F47),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EXTRACTNUMBER(AD47),EXTRACTNUMBER(AF47),EXTRACTNUMBER(AH47)),"*"),IF(AND(COUNTIF(D47:AI47,"=34")&gt;=1,COUNTIF(D47:AI47,"=35")&gt;=1,COUNTIF(D47:AI47,"f")=2,COUNTIF(D47:AI47,"")=0,COUNTIF(D47:AI47," ")=0),CONCATENATE(SUM(EXTRACTNUMBER(D47),EXTRACTNUMBER(F47),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EXTRACTNUMBER(AD47),EXTRACTNUMBER(AF47),EXTRACTNUMBER(AH47)),"*"),IF(AND(COUNTIF(D47:AI47,"=36")&gt;=2,COUNTIF(D47:AI47,"f")=2,COUNTIF(D47:AI47,"")=0,COUNTIF(D47:AI47," ")=0),CONCATENATE(SUM(EXTRACTNUMBER(D47),EXTRACTNUMBER(F47),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EXTRACTNUMBER(AD47),EXTRACTNUMBER(AF47),EXTRACTNUMBER(AH47)),"*"),SUM(EXTRACTNUMBER(D47),EXTRACTNUMBER(F47),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EXTRACTNUMBER(AD47),EXTRACTNUMBER(AF47),EXTRACTNUMBER(AH47)))))</f>
        <v>538</v>
      </c>
      <c r="AK47" s="24" t="str">
        <f t="shared" si="16"/>
        <v>PASS</v>
      </c>
      <c r="AL47" s="25" t="str">
        <f>SPELLNUMBER(extractnumber_tot(AJ47))</f>
        <v xml:space="preserve">Five Hundred Thirty Eight </v>
      </c>
    </row>
    <row r="48" spans="2:38" s="22" customFormat="1" ht="15.95" customHeight="1">
      <c r="B48" s="97">
        <v>235224</v>
      </c>
      <c r="C48" s="98" t="s">
        <v>491</v>
      </c>
      <c r="D48" s="95">
        <v>49</v>
      </c>
      <c r="E48" s="89" t="str">
        <f t="shared" si="0"/>
        <v/>
      </c>
      <c r="F48" s="94">
        <v>23</v>
      </c>
      <c r="G48" s="89" t="str">
        <f t="shared" si="1"/>
        <v/>
      </c>
      <c r="H48" s="94">
        <v>41</v>
      </c>
      <c r="I48" s="90" t="str">
        <f t="shared" si="2"/>
        <v/>
      </c>
      <c r="J48" s="92">
        <v>40</v>
      </c>
      <c r="K48" s="90" t="str">
        <f t="shared" si="3"/>
        <v/>
      </c>
      <c r="L48" s="94">
        <v>23</v>
      </c>
      <c r="M48" s="90" t="str">
        <f t="shared" si="4"/>
        <v/>
      </c>
      <c r="N48" s="94">
        <v>38</v>
      </c>
      <c r="O48" s="90" t="str">
        <f t="shared" si="5"/>
        <v/>
      </c>
      <c r="P48" s="92">
        <v>40</v>
      </c>
      <c r="Q48" s="90" t="str">
        <f t="shared" si="6"/>
        <v/>
      </c>
      <c r="R48" s="94">
        <v>23</v>
      </c>
      <c r="S48" s="90" t="str">
        <f t="shared" si="7"/>
        <v/>
      </c>
      <c r="T48" s="94">
        <v>23</v>
      </c>
      <c r="U48" s="90" t="str">
        <f t="shared" si="8"/>
        <v/>
      </c>
      <c r="V48" s="92">
        <v>64</v>
      </c>
      <c r="W48" s="90" t="str">
        <f t="shared" si="9"/>
        <v/>
      </c>
      <c r="X48" s="94">
        <v>23</v>
      </c>
      <c r="Y48" s="90" t="str">
        <f t="shared" si="10"/>
        <v/>
      </c>
      <c r="Z48" s="92">
        <v>40</v>
      </c>
      <c r="AA48" s="90" t="str">
        <f t="shared" si="11"/>
        <v/>
      </c>
      <c r="AB48" s="94">
        <v>23</v>
      </c>
      <c r="AC48" s="90" t="str">
        <f t="shared" si="12"/>
        <v/>
      </c>
      <c r="AD48" s="94">
        <v>19</v>
      </c>
      <c r="AE48" s="90" t="str">
        <f t="shared" si="13"/>
        <v/>
      </c>
      <c r="AF48" s="92">
        <v>25</v>
      </c>
      <c r="AG48" s="89" t="str">
        <f t="shared" si="14"/>
        <v/>
      </c>
      <c r="AH48" s="94">
        <v>23</v>
      </c>
      <c r="AI48" s="90" t="str">
        <f t="shared" si="15"/>
        <v/>
      </c>
      <c r="AJ48" s="108">
        <f>IF(AND(OR(COUNTIF(D48:AI48,"=31")&gt;=1,COUNTIF(D48:AI48,"=32")&gt;=1,COUNTIF(D48:AI48,"=33")&gt;=1,COUNTIF(D48:AI48,"=34")&gt;=1,COUNTIF(D48:AI48,"=35")=1,COUNTIF(D48:AI48,"=36")&gt;=1 ),COUNTIF(D48:AI48,"")=0,COUNTIF(D48:AI48," ")=0,COUNTIF(D48:AI48,"F")=1),CONCATENATE(SUM(EXTRACTNUMBER(D48),EXTRACTNUMBER(F48),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EXTRACTNUMBER(AD48),EXTRACTNUMBER(AF48),EXTRACTNUMBER(AH48)),"*"),IF(AND(COUNTIF(D48:AI48,"=34")&gt;=1,COUNTIF(D48:AI48,"=35")&gt;=1,COUNTIF(D48:AI48,"f")=2,COUNTIF(D48:AI48,"")=0,COUNTIF(D48:AI48," ")=0),CONCATENATE(SUM(EXTRACTNUMBER(D48),EXTRACTNUMBER(F48),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EXTRACTNUMBER(AD48),EXTRACTNUMBER(AF48),EXTRACTNUMBER(AH48)),"*"),IF(AND(COUNTIF(D48:AI48,"=36")&gt;=2,COUNTIF(D48:AI48,"f")=2,COUNTIF(D48:AI48,"")=0,COUNTIF(D48:AI48," ")=0),CONCATENATE(SUM(EXTRACTNUMBER(D48),EXTRACTNUMBER(F48),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EXTRACTNUMBER(AD48),EXTRACTNUMBER(AF48),EXTRACTNUMBER(AH48)),"*"),SUM(EXTRACTNUMBER(D48),EXTRACTNUMBER(F48),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EXTRACTNUMBER(AD48),EXTRACTNUMBER(AF48),EXTRACTNUMBER(AH48)))))</f>
        <v>517</v>
      </c>
      <c r="AK48" s="24" t="str">
        <f t="shared" si="16"/>
        <v>PASS</v>
      </c>
      <c r="AL48" s="25" t="str">
        <f>SPELLNUMBER(extractnumber_tot(AJ48))</f>
        <v xml:space="preserve">Five Hundred Seventeen </v>
      </c>
    </row>
    <row r="49" spans="2:38" s="22" customFormat="1" ht="15.95" customHeight="1">
      <c r="B49" s="97">
        <v>235225</v>
      </c>
      <c r="C49" s="98" t="s">
        <v>492</v>
      </c>
      <c r="D49" s="95">
        <v>65</v>
      </c>
      <c r="E49" s="89" t="str">
        <f t="shared" si="0"/>
        <v/>
      </c>
      <c r="F49" s="94">
        <v>23</v>
      </c>
      <c r="G49" s="89" t="str">
        <f t="shared" si="1"/>
        <v/>
      </c>
      <c r="H49" s="94">
        <v>44</v>
      </c>
      <c r="I49" s="90" t="str">
        <f t="shared" si="2"/>
        <v/>
      </c>
      <c r="J49" s="92">
        <v>52</v>
      </c>
      <c r="K49" s="90" t="str">
        <f t="shared" si="3"/>
        <v/>
      </c>
      <c r="L49" s="94">
        <v>23</v>
      </c>
      <c r="M49" s="90" t="str">
        <f t="shared" si="4"/>
        <v/>
      </c>
      <c r="N49" s="94">
        <v>39</v>
      </c>
      <c r="O49" s="90" t="str">
        <f t="shared" si="5"/>
        <v/>
      </c>
      <c r="P49" s="92">
        <v>68</v>
      </c>
      <c r="Q49" s="90" t="str">
        <f t="shared" si="6"/>
        <v/>
      </c>
      <c r="R49" s="94">
        <v>23</v>
      </c>
      <c r="S49" s="90" t="str">
        <f t="shared" si="7"/>
        <v/>
      </c>
      <c r="T49" s="94">
        <v>23</v>
      </c>
      <c r="U49" s="90" t="str">
        <f t="shared" si="8"/>
        <v/>
      </c>
      <c r="V49" s="92">
        <v>55</v>
      </c>
      <c r="W49" s="90" t="str">
        <f t="shared" si="9"/>
        <v/>
      </c>
      <c r="X49" s="94">
        <v>23</v>
      </c>
      <c r="Y49" s="90" t="str">
        <f t="shared" si="10"/>
        <v/>
      </c>
      <c r="Z49" s="92">
        <v>52</v>
      </c>
      <c r="AA49" s="90" t="str">
        <f t="shared" si="11"/>
        <v/>
      </c>
      <c r="AB49" s="94">
        <v>22</v>
      </c>
      <c r="AC49" s="90" t="str">
        <f t="shared" si="12"/>
        <v/>
      </c>
      <c r="AD49" s="94">
        <v>20</v>
      </c>
      <c r="AE49" s="90" t="str">
        <f t="shared" si="13"/>
        <v/>
      </c>
      <c r="AF49" s="92">
        <v>30</v>
      </c>
      <c r="AG49" s="89" t="str">
        <f t="shared" si="14"/>
        <v/>
      </c>
      <c r="AH49" s="94">
        <v>23</v>
      </c>
      <c r="AI49" s="90" t="str">
        <f t="shared" si="15"/>
        <v/>
      </c>
      <c r="AJ49" s="108">
        <f>IF(AND(OR(COUNTIF(D49:AI49,"=31")&gt;=1,COUNTIF(D49:AI49,"=32")&gt;=1,COUNTIF(D49:AI49,"=33")&gt;=1,COUNTIF(D49:AI49,"=34")&gt;=1,COUNTIF(D49:AI49,"=35")=1,COUNTIF(D49:AI49,"=36")&gt;=1 ),COUNTIF(D49:AI49,"")=0,COUNTIF(D49:AI49," ")=0,COUNTIF(D49:AI49,"F")=1),CONCATENATE(SUM(EXTRACTNUMBER(D49),EXTRACTNUMBER(F49),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EXTRACTNUMBER(AD49),EXTRACTNUMBER(AF49),EXTRACTNUMBER(AH49)),"*"),IF(AND(COUNTIF(D49:AI49,"=34")&gt;=1,COUNTIF(D49:AI49,"=35")&gt;=1,COUNTIF(D49:AI49,"f")=2,COUNTIF(D49:AI49,"")=0,COUNTIF(D49:AI49," ")=0),CONCATENATE(SUM(EXTRACTNUMBER(D49),EXTRACTNUMBER(F49),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EXTRACTNUMBER(AD49),EXTRACTNUMBER(AF49),EXTRACTNUMBER(AH49)),"*"),IF(AND(COUNTIF(D49:AI49,"=36")&gt;=2,COUNTIF(D49:AI49,"f")=2,COUNTIF(D49:AI49,"")=0,COUNTIF(D49:AI49," ")=0),CONCATENATE(SUM(EXTRACTNUMBER(D49),EXTRACTNUMBER(F49),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EXTRACTNUMBER(AD49),EXTRACTNUMBER(AF49),EXTRACTNUMBER(AH49)),"*"),SUM(EXTRACTNUMBER(D49),EXTRACTNUMBER(F49),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EXTRACTNUMBER(AD49),EXTRACTNUMBER(AF49),EXTRACTNUMBER(AH49)))))</f>
        <v>585</v>
      </c>
      <c r="AK49" s="24" t="str">
        <f t="shared" si="16"/>
        <v>PASS</v>
      </c>
      <c r="AL49" s="25" t="str">
        <f>SPELLNUMBER(extractnumber_tot(AJ49))</f>
        <v xml:space="preserve">Five Hundred Eighty Five </v>
      </c>
    </row>
    <row r="50" spans="2:38" s="22" customFormat="1" ht="15.95" customHeight="1">
      <c r="B50" s="97">
        <v>235226</v>
      </c>
      <c r="C50" s="98" t="s">
        <v>493</v>
      </c>
      <c r="D50" s="95">
        <v>71</v>
      </c>
      <c r="E50" s="89" t="str">
        <f t="shared" si="0"/>
        <v/>
      </c>
      <c r="F50" s="94">
        <v>24</v>
      </c>
      <c r="G50" s="89" t="str">
        <f t="shared" si="1"/>
        <v/>
      </c>
      <c r="H50" s="94">
        <v>46</v>
      </c>
      <c r="I50" s="90" t="str">
        <f t="shared" si="2"/>
        <v/>
      </c>
      <c r="J50" s="92">
        <v>56</v>
      </c>
      <c r="K50" s="90" t="str">
        <f t="shared" si="3"/>
        <v/>
      </c>
      <c r="L50" s="94">
        <v>22</v>
      </c>
      <c r="M50" s="90" t="str">
        <f t="shared" si="4"/>
        <v/>
      </c>
      <c r="N50" s="94">
        <v>39</v>
      </c>
      <c r="O50" s="90" t="str">
        <f t="shared" si="5"/>
        <v/>
      </c>
      <c r="P50" s="92">
        <v>55</v>
      </c>
      <c r="Q50" s="90" t="str">
        <f t="shared" si="6"/>
        <v/>
      </c>
      <c r="R50" s="94">
        <v>23</v>
      </c>
      <c r="S50" s="90" t="str">
        <f t="shared" si="7"/>
        <v/>
      </c>
      <c r="T50" s="94">
        <v>23</v>
      </c>
      <c r="U50" s="90" t="str">
        <f t="shared" si="8"/>
        <v/>
      </c>
      <c r="V50" s="92">
        <v>42</v>
      </c>
      <c r="W50" s="90" t="str">
        <f t="shared" si="9"/>
        <v/>
      </c>
      <c r="X50" s="94">
        <v>22</v>
      </c>
      <c r="Y50" s="90" t="str">
        <f t="shared" si="10"/>
        <v/>
      </c>
      <c r="Z50" s="92">
        <v>63</v>
      </c>
      <c r="AA50" s="90" t="str">
        <f t="shared" si="11"/>
        <v/>
      </c>
      <c r="AB50" s="94">
        <v>21</v>
      </c>
      <c r="AC50" s="90" t="str">
        <f t="shared" si="12"/>
        <v/>
      </c>
      <c r="AD50" s="94">
        <v>23</v>
      </c>
      <c r="AE50" s="90" t="str">
        <f t="shared" si="13"/>
        <v/>
      </c>
      <c r="AF50" s="92">
        <v>31</v>
      </c>
      <c r="AG50" s="89" t="str">
        <f t="shared" si="14"/>
        <v/>
      </c>
      <c r="AH50" s="94">
        <v>19</v>
      </c>
      <c r="AI50" s="90" t="str">
        <f t="shared" si="15"/>
        <v/>
      </c>
      <c r="AJ50" s="108">
        <f>IF(AND(OR(COUNTIF(D50:AI50,"=31")&gt;=1,COUNTIF(D50:AI50,"=32")&gt;=1,COUNTIF(D50:AI50,"=33")&gt;=1,COUNTIF(D50:AI50,"=34")&gt;=1,COUNTIF(D50:AI50,"=35")=1,COUNTIF(D50:AI50,"=36")&gt;=1 ),COUNTIF(D50:AI50,"")=0,COUNTIF(D50:AI50," ")=0,COUNTIF(D50:AI50,"F")=1),CONCATENATE(SUM(EXTRACTNUMBER(D50),EXTRACTNUMBER(F50),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EXTRACTNUMBER(AD50),EXTRACTNUMBER(AF50),EXTRACTNUMBER(AH50)),"*"),IF(AND(COUNTIF(D50:AI50,"=34")&gt;=1,COUNTIF(D50:AI50,"=35")&gt;=1,COUNTIF(D50:AI50,"f")=2,COUNTIF(D50:AI50,"")=0,COUNTIF(D50:AI50," ")=0),CONCATENATE(SUM(EXTRACTNUMBER(D50),EXTRACTNUMBER(F50),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EXTRACTNUMBER(AD50),EXTRACTNUMBER(AF50),EXTRACTNUMBER(AH50)),"*"),IF(AND(COUNTIF(D50:AI50,"=36")&gt;=2,COUNTIF(D50:AI50,"f")=2,COUNTIF(D50:AI50,"")=0,COUNTIF(D50:AI50," ")=0),CONCATENATE(SUM(EXTRACTNUMBER(D50),EXTRACTNUMBER(F50),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EXTRACTNUMBER(AD50),EXTRACTNUMBER(AF50),EXTRACTNUMBER(AH50)),"*"),SUM(EXTRACTNUMBER(D50),EXTRACTNUMBER(F50),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EXTRACTNUMBER(AD50),EXTRACTNUMBER(AF50),EXTRACTNUMBER(AH50)))))</f>
        <v>580</v>
      </c>
      <c r="AK50" s="24" t="str">
        <f t="shared" si="16"/>
        <v>PASS</v>
      </c>
      <c r="AL50" s="25" t="str">
        <f>SPELLNUMBER(extractnumber_tot(AJ50))</f>
        <v xml:space="preserve">Five Hundred Eighty  </v>
      </c>
    </row>
    <row r="51" spans="2:38" s="22" customFormat="1" ht="15.95" customHeight="1">
      <c r="B51" s="97">
        <v>235227</v>
      </c>
      <c r="C51" s="98" t="s">
        <v>494</v>
      </c>
      <c r="D51" s="95">
        <v>27</v>
      </c>
      <c r="E51" s="89" t="str">
        <f t="shared" si="0"/>
        <v>F</v>
      </c>
      <c r="F51" s="94">
        <v>20</v>
      </c>
      <c r="G51" s="89" t="str">
        <f t="shared" si="1"/>
        <v>E</v>
      </c>
      <c r="H51" s="94">
        <v>39</v>
      </c>
      <c r="I51" s="90" t="str">
        <f t="shared" si="2"/>
        <v>E</v>
      </c>
      <c r="J51" s="92">
        <v>31</v>
      </c>
      <c r="K51" s="90" t="str">
        <f t="shared" si="3"/>
        <v>F</v>
      </c>
      <c r="L51" s="94">
        <v>18</v>
      </c>
      <c r="M51" s="90" t="str">
        <f t="shared" si="4"/>
        <v>E</v>
      </c>
      <c r="N51" s="94">
        <v>38</v>
      </c>
      <c r="O51" s="90" t="str">
        <f t="shared" si="5"/>
        <v>E</v>
      </c>
      <c r="P51" s="92">
        <v>24</v>
      </c>
      <c r="Q51" s="90" t="str">
        <f t="shared" si="6"/>
        <v>F</v>
      </c>
      <c r="R51" s="94">
        <v>20</v>
      </c>
      <c r="S51" s="90" t="str">
        <f t="shared" si="7"/>
        <v>E</v>
      </c>
      <c r="T51" s="94">
        <v>22</v>
      </c>
      <c r="U51" s="90" t="str">
        <f t="shared" si="8"/>
        <v>E</v>
      </c>
      <c r="V51" s="92">
        <v>28</v>
      </c>
      <c r="W51" s="90" t="str">
        <f t="shared" si="9"/>
        <v>F</v>
      </c>
      <c r="X51" s="94">
        <v>16</v>
      </c>
      <c r="Y51" s="90" t="str">
        <f t="shared" si="10"/>
        <v>E</v>
      </c>
      <c r="Z51" s="92">
        <v>40</v>
      </c>
      <c r="AA51" s="90" t="str">
        <f t="shared" si="11"/>
        <v>E</v>
      </c>
      <c r="AB51" s="94">
        <v>18</v>
      </c>
      <c r="AC51" s="90" t="str">
        <f t="shared" si="12"/>
        <v>E</v>
      </c>
      <c r="AD51" s="94">
        <v>17</v>
      </c>
      <c r="AE51" s="90" t="str">
        <f t="shared" si="13"/>
        <v>E</v>
      </c>
      <c r="AF51" s="92">
        <v>22</v>
      </c>
      <c r="AG51" s="89" t="str">
        <f t="shared" si="14"/>
        <v>E</v>
      </c>
      <c r="AH51" s="94">
        <v>16</v>
      </c>
      <c r="AI51" s="90" t="str">
        <f t="shared" si="15"/>
        <v>E</v>
      </c>
      <c r="AJ51" s="108">
        <f>IF(AND(OR(COUNTIF(D51:AI51,"=31")&gt;=1,COUNTIF(D51:AI51,"=32")&gt;=1,COUNTIF(D51:AI51,"=33")&gt;=1,COUNTIF(D51:AI51,"=34")&gt;=1,COUNTIF(D51:AI51,"=35")=1,COUNTIF(D51:AI51,"=36")&gt;=1 ),COUNTIF(D51:AI51,"")=0,COUNTIF(D51:AI51," ")=0,COUNTIF(D51:AI51,"F")=1),CONCATENATE(SUM(EXTRACTNUMBER(D51),EXTRACTNUMBER(F51),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EXTRACTNUMBER(AD51),EXTRACTNUMBER(AF51),EXTRACTNUMBER(AH51)),"*"),IF(AND(COUNTIF(D51:AI51,"=34")&gt;=1,COUNTIF(D51:AI51,"=35")&gt;=1,COUNTIF(D51:AI51,"f")=2,COUNTIF(D51:AI51,"")=0,COUNTIF(D51:AI51," ")=0),CONCATENATE(SUM(EXTRACTNUMBER(D51),EXTRACTNUMBER(F51),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EXTRACTNUMBER(AD51),EXTRACTNUMBER(AF51),EXTRACTNUMBER(AH51)),"*"),IF(AND(COUNTIF(D51:AI51,"=36")&gt;=2,COUNTIF(D51:AI51,"f")=2,COUNTIF(D51:AI51,"")=0,COUNTIF(D51:AI51," ")=0),CONCATENATE(SUM(EXTRACTNUMBER(D51),EXTRACTNUMBER(F51),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EXTRACTNUMBER(AD51),EXTRACTNUMBER(AF51),EXTRACTNUMBER(AH51)),"*"),SUM(EXTRACTNUMBER(D51),EXTRACTNUMBER(F51),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EXTRACTNUMBER(AD51),EXTRACTNUMBER(AF51),EXTRACTNUMBER(AH51)))))</f>
        <v>396</v>
      </c>
      <c r="AK51" s="24" t="str">
        <f t="shared" si="16"/>
        <v>FAIL</v>
      </c>
      <c r="AL51" s="25" t="str">
        <f>SPELLNUMBER(extractnumber_tot(AJ51))</f>
        <v xml:space="preserve">Three Hundred NinetySix </v>
      </c>
    </row>
    <row r="52" spans="2:38" s="22" customFormat="1" ht="15.95" customHeight="1">
      <c r="B52" s="97">
        <v>235228</v>
      </c>
      <c r="C52" s="98" t="s">
        <v>495</v>
      </c>
      <c r="D52" s="95">
        <v>58</v>
      </c>
      <c r="E52" s="89" t="str">
        <f t="shared" si="0"/>
        <v>E</v>
      </c>
      <c r="F52" s="94">
        <v>21</v>
      </c>
      <c r="G52" s="89" t="str">
        <f t="shared" si="1"/>
        <v>E</v>
      </c>
      <c r="H52" s="94">
        <v>39</v>
      </c>
      <c r="I52" s="90" t="str">
        <f t="shared" si="2"/>
        <v>E</v>
      </c>
      <c r="J52" s="92">
        <v>43</v>
      </c>
      <c r="K52" s="90" t="str">
        <f t="shared" si="3"/>
        <v>E</v>
      </c>
      <c r="L52" s="94">
        <v>18</v>
      </c>
      <c r="M52" s="90" t="str">
        <f t="shared" si="4"/>
        <v>E</v>
      </c>
      <c r="N52" s="94">
        <v>37</v>
      </c>
      <c r="O52" s="90" t="str">
        <f t="shared" si="5"/>
        <v>E</v>
      </c>
      <c r="P52" s="92">
        <v>41</v>
      </c>
      <c r="Q52" s="90" t="str">
        <f t="shared" si="6"/>
        <v>E</v>
      </c>
      <c r="R52" s="94">
        <v>18</v>
      </c>
      <c r="S52" s="90" t="str">
        <f t="shared" si="7"/>
        <v>E</v>
      </c>
      <c r="T52" s="94">
        <v>21</v>
      </c>
      <c r="U52" s="90" t="str">
        <f t="shared" si="8"/>
        <v>E</v>
      </c>
      <c r="V52" s="92">
        <v>25</v>
      </c>
      <c r="W52" s="90" t="str">
        <f t="shared" si="9"/>
        <v>F</v>
      </c>
      <c r="X52" s="94">
        <v>17</v>
      </c>
      <c r="Y52" s="90" t="str">
        <f t="shared" si="10"/>
        <v>E</v>
      </c>
      <c r="Z52" s="92">
        <v>26</v>
      </c>
      <c r="AA52" s="90" t="str">
        <f t="shared" si="11"/>
        <v>F</v>
      </c>
      <c r="AB52" s="94">
        <v>18</v>
      </c>
      <c r="AC52" s="90" t="str">
        <f t="shared" si="12"/>
        <v>E</v>
      </c>
      <c r="AD52" s="94">
        <v>17</v>
      </c>
      <c r="AE52" s="90" t="str">
        <f t="shared" si="13"/>
        <v>E</v>
      </c>
      <c r="AF52" s="92">
        <v>24</v>
      </c>
      <c r="AG52" s="89" t="str">
        <f t="shared" si="14"/>
        <v>E</v>
      </c>
      <c r="AH52" s="94">
        <v>19</v>
      </c>
      <c r="AI52" s="90" t="str">
        <f t="shared" si="15"/>
        <v>E</v>
      </c>
      <c r="AJ52" s="108">
        <f>IF(AND(OR(COUNTIF(D52:AI52,"=31")&gt;=1,COUNTIF(D52:AI52,"=32")&gt;=1,COUNTIF(D52:AI52,"=33")&gt;=1,COUNTIF(D52:AI52,"=34")&gt;=1,COUNTIF(D52:AI52,"=35")=1,COUNTIF(D52:AI52,"=36")&gt;=1 ),COUNTIF(D52:AI52,"")=0,COUNTIF(D52:AI52," ")=0,COUNTIF(D52:AI52,"F")=1),CONCATENATE(SUM(EXTRACTNUMBER(D52),EXTRACTNUMBER(F52),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EXTRACTNUMBER(AD52),EXTRACTNUMBER(AF52),EXTRACTNUMBER(AH52)),"*"),IF(AND(COUNTIF(D52:AI52,"=34")&gt;=1,COUNTIF(D52:AI52,"=35")&gt;=1,COUNTIF(D52:AI52,"f")=2,COUNTIF(D52:AI52,"")=0,COUNTIF(D52:AI52," ")=0),CONCATENATE(SUM(EXTRACTNUMBER(D52),EXTRACTNUMBER(F52),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EXTRACTNUMBER(AD52),EXTRACTNUMBER(AF52),EXTRACTNUMBER(AH52)),"*"),IF(AND(COUNTIF(D52:AI52,"=36")&gt;=2,COUNTIF(D52:AI52,"f")=2,COUNTIF(D52:AI52,"")=0,COUNTIF(D52:AI52," ")=0),CONCATENATE(SUM(EXTRACTNUMBER(D52),EXTRACTNUMBER(F52),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EXTRACTNUMBER(AD52),EXTRACTNUMBER(AF52),EXTRACTNUMBER(AH52)),"*"),SUM(EXTRACTNUMBER(D52),EXTRACTNUMBER(F52),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EXTRACTNUMBER(AD52),EXTRACTNUMBER(AF52),EXTRACTNUMBER(AH52)))))</f>
        <v>442</v>
      </c>
      <c r="AK52" s="24" t="str">
        <f t="shared" si="16"/>
        <v>FAIL</v>
      </c>
      <c r="AL52" s="25" t="str">
        <f>SPELLNUMBER(extractnumber_tot(AJ52))</f>
        <v xml:space="preserve">Four Hundred Forty Two </v>
      </c>
    </row>
    <row r="53" spans="2:38" s="22" customFormat="1" ht="15.95" customHeight="1">
      <c r="B53" s="97">
        <v>235229</v>
      </c>
      <c r="C53" s="98" t="s">
        <v>496</v>
      </c>
      <c r="D53" s="95">
        <v>50</v>
      </c>
      <c r="E53" s="89" t="str">
        <f t="shared" si="0"/>
        <v/>
      </c>
      <c r="F53" s="94">
        <v>23</v>
      </c>
      <c r="G53" s="89" t="str">
        <f t="shared" si="1"/>
        <v/>
      </c>
      <c r="H53" s="94">
        <v>43</v>
      </c>
      <c r="I53" s="90" t="str">
        <f t="shared" si="2"/>
        <v/>
      </c>
      <c r="J53" s="92">
        <v>51</v>
      </c>
      <c r="K53" s="90" t="str">
        <f t="shared" si="3"/>
        <v/>
      </c>
      <c r="L53" s="94">
        <v>23</v>
      </c>
      <c r="M53" s="90" t="str">
        <f t="shared" si="4"/>
        <v/>
      </c>
      <c r="N53" s="94">
        <v>39</v>
      </c>
      <c r="O53" s="90" t="str">
        <f t="shared" si="5"/>
        <v/>
      </c>
      <c r="P53" s="92">
        <v>40</v>
      </c>
      <c r="Q53" s="90" t="str">
        <f t="shared" si="6"/>
        <v/>
      </c>
      <c r="R53" s="94">
        <v>23</v>
      </c>
      <c r="S53" s="90" t="str">
        <f t="shared" si="7"/>
        <v/>
      </c>
      <c r="T53" s="94">
        <v>21</v>
      </c>
      <c r="U53" s="90" t="str">
        <f t="shared" si="8"/>
        <v/>
      </c>
      <c r="V53" s="92">
        <v>40</v>
      </c>
      <c r="W53" s="90" t="str">
        <f t="shared" si="9"/>
        <v/>
      </c>
      <c r="X53" s="94">
        <v>23</v>
      </c>
      <c r="Y53" s="90" t="str">
        <f t="shared" si="10"/>
        <v/>
      </c>
      <c r="Z53" s="92">
        <v>50</v>
      </c>
      <c r="AA53" s="90" t="str">
        <f t="shared" si="11"/>
        <v/>
      </c>
      <c r="AB53" s="94">
        <v>23</v>
      </c>
      <c r="AC53" s="90" t="str">
        <f t="shared" si="12"/>
        <v/>
      </c>
      <c r="AD53" s="94">
        <v>19</v>
      </c>
      <c r="AE53" s="90" t="str">
        <f t="shared" si="13"/>
        <v/>
      </c>
      <c r="AF53" s="92">
        <v>28</v>
      </c>
      <c r="AG53" s="89" t="str">
        <f t="shared" si="14"/>
        <v/>
      </c>
      <c r="AH53" s="94">
        <v>23</v>
      </c>
      <c r="AI53" s="90" t="str">
        <f t="shared" si="15"/>
        <v/>
      </c>
      <c r="AJ53" s="108">
        <f>IF(AND(OR(COUNTIF(D53:AI53,"=31")&gt;=1,COUNTIF(D53:AI53,"=32")&gt;=1,COUNTIF(D53:AI53,"=33")&gt;=1,COUNTIF(D53:AI53,"=34")&gt;=1,COUNTIF(D53:AI53,"=35")=1,COUNTIF(D53:AI53,"=36")&gt;=1 ),COUNTIF(D53:AI53,"")=0,COUNTIF(D53:AI53," ")=0,COUNTIF(D53:AI53,"F")=1),CONCATENATE(SUM(EXTRACTNUMBER(D53),EXTRACTNUMBER(F53),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EXTRACTNUMBER(AD53),EXTRACTNUMBER(AF53),EXTRACTNUMBER(AH53)),"*"),IF(AND(COUNTIF(D53:AI53,"=34")&gt;=1,COUNTIF(D53:AI53,"=35")&gt;=1,COUNTIF(D53:AI53,"f")=2,COUNTIF(D53:AI53,"")=0,COUNTIF(D53:AI53," ")=0),CONCATENATE(SUM(EXTRACTNUMBER(D53),EXTRACTNUMBER(F53),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EXTRACTNUMBER(AD53),EXTRACTNUMBER(AF53),EXTRACTNUMBER(AH53)),"*"),IF(AND(COUNTIF(D53:AI53,"=36")&gt;=2,COUNTIF(D53:AI53,"f")=2,COUNTIF(D53:AI53,"")=0,COUNTIF(D53:AI53," ")=0),CONCATENATE(SUM(EXTRACTNUMBER(D53),EXTRACTNUMBER(F53),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EXTRACTNUMBER(AD53),EXTRACTNUMBER(AF53),EXTRACTNUMBER(AH53)),"*"),SUM(EXTRACTNUMBER(D53),EXTRACTNUMBER(F53),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EXTRACTNUMBER(AD53),EXTRACTNUMBER(AF53),EXTRACTNUMBER(AH53)))))</f>
        <v>519</v>
      </c>
      <c r="AK53" s="24" t="str">
        <f t="shared" si="16"/>
        <v>PASS</v>
      </c>
      <c r="AL53" s="25" t="str">
        <f>SPELLNUMBER(extractnumber_tot(AJ53))</f>
        <v xml:space="preserve">Five Hundred Nineteen </v>
      </c>
    </row>
    <row r="54" spans="2:38" s="22" customFormat="1" ht="15.95" customHeight="1">
      <c r="B54" s="97">
        <v>235230</v>
      </c>
      <c r="C54" s="98" t="s">
        <v>497</v>
      </c>
      <c r="D54" s="95">
        <v>58</v>
      </c>
      <c r="E54" s="89" t="str">
        <f t="shared" si="0"/>
        <v/>
      </c>
      <c r="F54" s="94">
        <v>21</v>
      </c>
      <c r="G54" s="89" t="str">
        <f t="shared" si="1"/>
        <v/>
      </c>
      <c r="H54" s="94">
        <v>43</v>
      </c>
      <c r="I54" s="90" t="str">
        <f t="shared" si="2"/>
        <v/>
      </c>
      <c r="J54" s="92">
        <v>48</v>
      </c>
      <c r="K54" s="90" t="str">
        <f t="shared" si="3"/>
        <v/>
      </c>
      <c r="L54" s="94">
        <v>18</v>
      </c>
      <c r="M54" s="90" t="str">
        <f t="shared" si="4"/>
        <v/>
      </c>
      <c r="N54" s="94">
        <v>41</v>
      </c>
      <c r="O54" s="90" t="str">
        <f t="shared" si="5"/>
        <v/>
      </c>
      <c r="P54" s="92">
        <v>41</v>
      </c>
      <c r="Q54" s="90" t="str">
        <f t="shared" si="6"/>
        <v/>
      </c>
      <c r="R54" s="94">
        <v>21</v>
      </c>
      <c r="S54" s="90" t="str">
        <f t="shared" si="7"/>
        <v/>
      </c>
      <c r="T54" s="94">
        <v>21</v>
      </c>
      <c r="U54" s="90" t="str">
        <f t="shared" si="8"/>
        <v/>
      </c>
      <c r="V54" s="92">
        <v>46</v>
      </c>
      <c r="W54" s="90" t="str">
        <f t="shared" si="9"/>
        <v/>
      </c>
      <c r="X54" s="94">
        <v>23</v>
      </c>
      <c r="Y54" s="90" t="str">
        <f t="shared" si="10"/>
        <v/>
      </c>
      <c r="Z54" s="92">
        <v>53</v>
      </c>
      <c r="AA54" s="90" t="str">
        <f t="shared" si="11"/>
        <v/>
      </c>
      <c r="AB54" s="94">
        <v>20</v>
      </c>
      <c r="AC54" s="90" t="str">
        <f t="shared" si="12"/>
        <v/>
      </c>
      <c r="AD54" s="94">
        <v>21</v>
      </c>
      <c r="AE54" s="90" t="str">
        <f t="shared" si="13"/>
        <v/>
      </c>
      <c r="AF54" s="92">
        <v>29</v>
      </c>
      <c r="AG54" s="89" t="str">
        <f t="shared" si="14"/>
        <v/>
      </c>
      <c r="AH54" s="94">
        <v>21</v>
      </c>
      <c r="AI54" s="90" t="str">
        <f t="shared" si="15"/>
        <v/>
      </c>
      <c r="AJ54" s="108">
        <f>IF(AND(OR(COUNTIF(D54:AI54,"=31")&gt;=1,COUNTIF(D54:AI54,"=32")&gt;=1,COUNTIF(D54:AI54,"=33")&gt;=1,COUNTIF(D54:AI54,"=34")&gt;=1,COUNTIF(D54:AI54,"=35")=1,COUNTIF(D54:AI54,"=36")&gt;=1 ),COUNTIF(D54:AI54,"")=0,COUNTIF(D54:AI54," ")=0,COUNTIF(D54:AI54,"F")=1),CONCATENATE(SUM(EXTRACTNUMBER(D54),EXTRACTNUMBER(F54),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EXTRACTNUMBER(AD54),EXTRACTNUMBER(AF54),EXTRACTNUMBER(AH54)),"*"),IF(AND(COUNTIF(D54:AI54,"=34")&gt;=1,COUNTIF(D54:AI54,"=35")&gt;=1,COUNTIF(D54:AI54,"f")=2,COUNTIF(D54:AI54,"")=0,COUNTIF(D54:AI54," ")=0),CONCATENATE(SUM(EXTRACTNUMBER(D54),EXTRACTNUMBER(F54),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EXTRACTNUMBER(AD54),EXTRACTNUMBER(AF54),EXTRACTNUMBER(AH54)),"*"),IF(AND(COUNTIF(D54:AI54,"=36")&gt;=2,COUNTIF(D54:AI54,"f")=2,COUNTIF(D54:AI54,"")=0,COUNTIF(D54:AI54," ")=0),CONCATENATE(SUM(EXTRACTNUMBER(D54),EXTRACTNUMBER(F54),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EXTRACTNUMBER(AD54),EXTRACTNUMBER(AF54),EXTRACTNUMBER(AH54)),"*"),SUM(EXTRACTNUMBER(D54),EXTRACTNUMBER(F54),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EXTRACTNUMBER(AD54),EXTRACTNUMBER(AF54),EXTRACTNUMBER(AH54)))))</f>
        <v>525</v>
      </c>
      <c r="AK54" s="24" t="str">
        <f t="shared" si="16"/>
        <v>PASS</v>
      </c>
      <c r="AL54" s="25" t="str">
        <f>SPELLNUMBER(extractnumber_tot(AJ54))</f>
        <v xml:space="preserve">Five Hundred Twenty Five </v>
      </c>
    </row>
    <row r="55" spans="2:38" s="22" customFormat="1" ht="15.95" customHeight="1">
      <c r="B55" s="97">
        <v>235231</v>
      </c>
      <c r="C55" s="98" t="s">
        <v>498</v>
      </c>
      <c r="D55" s="95">
        <v>50</v>
      </c>
      <c r="E55" s="89" t="str">
        <f t="shared" si="0"/>
        <v/>
      </c>
      <c r="F55" s="94">
        <v>23</v>
      </c>
      <c r="G55" s="89" t="str">
        <f t="shared" si="1"/>
        <v/>
      </c>
      <c r="H55" s="94">
        <v>42</v>
      </c>
      <c r="I55" s="90" t="str">
        <f t="shared" si="2"/>
        <v/>
      </c>
      <c r="J55" s="92">
        <v>52</v>
      </c>
      <c r="K55" s="90" t="str">
        <f t="shared" si="3"/>
        <v/>
      </c>
      <c r="L55" s="94">
        <v>23</v>
      </c>
      <c r="M55" s="90" t="str">
        <f t="shared" si="4"/>
        <v/>
      </c>
      <c r="N55" s="94">
        <v>38</v>
      </c>
      <c r="O55" s="90" t="str">
        <f t="shared" si="5"/>
        <v/>
      </c>
      <c r="P55" s="92">
        <v>41</v>
      </c>
      <c r="Q55" s="90" t="str">
        <f t="shared" si="6"/>
        <v/>
      </c>
      <c r="R55" s="94">
        <v>23</v>
      </c>
      <c r="S55" s="90" t="str">
        <f t="shared" si="7"/>
        <v/>
      </c>
      <c r="T55" s="94">
        <v>19</v>
      </c>
      <c r="U55" s="90" t="str">
        <f t="shared" si="8"/>
        <v/>
      </c>
      <c r="V55" s="92">
        <v>57</v>
      </c>
      <c r="W55" s="90" t="str">
        <f t="shared" si="9"/>
        <v/>
      </c>
      <c r="X55" s="94">
        <v>23</v>
      </c>
      <c r="Y55" s="90" t="str">
        <f t="shared" si="10"/>
        <v/>
      </c>
      <c r="Z55" s="92">
        <v>59</v>
      </c>
      <c r="AA55" s="90" t="str">
        <f t="shared" si="11"/>
        <v/>
      </c>
      <c r="AB55" s="94">
        <v>22</v>
      </c>
      <c r="AC55" s="90" t="str">
        <f t="shared" si="12"/>
        <v/>
      </c>
      <c r="AD55" s="94">
        <v>21</v>
      </c>
      <c r="AE55" s="90" t="str">
        <f t="shared" si="13"/>
        <v/>
      </c>
      <c r="AF55" s="92">
        <v>27</v>
      </c>
      <c r="AG55" s="89" t="str">
        <f t="shared" si="14"/>
        <v/>
      </c>
      <c r="AH55" s="94">
        <v>23</v>
      </c>
      <c r="AI55" s="90" t="str">
        <f t="shared" si="15"/>
        <v/>
      </c>
      <c r="AJ55" s="108">
        <f>IF(AND(OR(COUNTIF(D55:AI55,"=31")&gt;=1,COUNTIF(D55:AI55,"=32")&gt;=1,COUNTIF(D55:AI55,"=33")&gt;=1,COUNTIF(D55:AI55,"=34")&gt;=1,COUNTIF(D55:AI55,"=35")=1,COUNTIF(D55:AI55,"=36")&gt;=1 ),COUNTIF(D55:AI55,"")=0,COUNTIF(D55:AI55," ")=0,COUNTIF(D55:AI55,"F")=1),CONCATENATE(SUM(EXTRACTNUMBER(D55),EXTRACTNUMBER(F55),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EXTRACTNUMBER(AD55),EXTRACTNUMBER(AF55),EXTRACTNUMBER(AH55)),"*"),IF(AND(COUNTIF(D55:AI55,"=34")&gt;=1,COUNTIF(D55:AI55,"=35")&gt;=1,COUNTIF(D55:AI55,"f")=2,COUNTIF(D55:AI55,"")=0,COUNTIF(D55:AI55," ")=0),CONCATENATE(SUM(EXTRACTNUMBER(D55),EXTRACTNUMBER(F55),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EXTRACTNUMBER(AD55),EXTRACTNUMBER(AF55),EXTRACTNUMBER(AH55)),"*"),IF(AND(COUNTIF(D55:AI55,"=36")&gt;=2,COUNTIF(D55:AI55,"f")=2,COUNTIF(D55:AI55,"")=0,COUNTIF(D55:AI55," ")=0),CONCATENATE(SUM(EXTRACTNUMBER(D55),EXTRACTNUMBER(F55),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EXTRACTNUMBER(AD55),EXTRACTNUMBER(AF55),EXTRACTNUMBER(AH55)),"*"),SUM(EXTRACTNUMBER(D55),EXTRACTNUMBER(F55),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EXTRACTNUMBER(AD55),EXTRACTNUMBER(AF55),EXTRACTNUMBER(AH55)))))</f>
        <v>543</v>
      </c>
      <c r="AK55" s="24" t="str">
        <f t="shared" si="16"/>
        <v>PASS</v>
      </c>
      <c r="AL55" s="25" t="str">
        <f>SPELLNUMBER(extractnumber_tot(AJ55))</f>
        <v xml:space="preserve">Five Hundred Forty Three </v>
      </c>
    </row>
    <row r="56" spans="2:38" s="22" customFormat="1" ht="15.95" customHeight="1">
      <c r="B56" s="97">
        <v>235232</v>
      </c>
      <c r="C56" s="98" t="s">
        <v>499</v>
      </c>
      <c r="D56" s="95">
        <v>59</v>
      </c>
      <c r="E56" s="89" t="str">
        <f t="shared" si="0"/>
        <v/>
      </c>
      <c r="F56" s="94">
        <v>20</v>
      </c>
      <c r="G56" s="89" t="str">
        <f t="shared" si="1"/>
        <v/>
      </c>
      <c r="H56" s="94">
        <v>42</v>
      </c>
      <c r="I56" s="90" t="str">
        <f t="shared" si="2"/>
        <v/>
      </c>
      <c r="J56" s="92">
        <v>44</v>
      </c>
      <c r="K56" s="90" t="str">
        <f t="shared" si="3"/>
        <v/>
      </c>
      <c r="L56" s="94">
        <v>22</v>
      </c>
      <c r="M56" s="90" t="str">
        <f t="shared" si="4"/>
        <v/>
      </c>
      <c r="N56" s="94">
        <v>38</v>
      </c>
      <c r="O56" s="90" t="str">
        <f t="shared" si="5"/>
        <v/>
      </c>
      <c r="P56" s="92">
        <v>50</v>
      </c>
      <c r="Q56" s="90" t="str">
        <f t="shared" si="6"/>
        <v/>
      </c>
      <c r="R56" s="94">
        <v>19</v>
      </c>
      <c r="S56" s="90" t="str">
        <f t="shared" si="7"/>
        <v/>
      </c>
      <c r="T56" s="94">
        <v>22</v>
      </c>
      <c r="U56" s="90" t="str">
        <f t="shared" si="8"/>
        <v/>
      </c>
      <c r="V56" s="92">
        <v>63</v>
      </c>
      <c r="W56" s="90" t="str">
        <f t="shared" si="9"/>
        <v/>
      </c>
      <c r="X56" s="94">
        <v>19</v>
      </c>
      <c r="Y56" s="90" t="str">
        <f t="shared" si="10"/>
        <v/>
      </c>
      <c r="Z56" s="92">
        <v>56</v>
      </c>
      <c r="AA56" s="90" t="str">
        <f t="shared" si="11"/>
        <v/>
      </c>
      <c r="AB56" s="94">
        <v>20</v>
      </c>
      <c r="AC56" s="90" t="str">
        <f t="shared" si="12"/>
        <v/>
      </c>
      <c r="AD56" s="94">
        <v>20</v>
      </c>
      <c r="AE56" s="90" t="str">
        <f t="shared" si="13"/>
        <v/>
      </c>
      <c r="AF56" s="92">
        <v>25</v>
      </c>
      <c r="AG56" s="89" t="str">
        <f t="shared" si="14"/>
        <v/>
      </c>
      <c r="AH56" s="94">
        <v>20</v>
      </c>
      <c r="AI56" s="90" t="str">
        <f t="shared" si="15"/>
        <v/>
      </c>
      <c r="AJ56" s="108">
        <f>IF(AND(OR(COUNTIF(D56:AI56,"=31")&gt;=1,COUNTIF(D56:AI56,"=32")&gt;=1,COUNTIF(D56:AI56,"=33")&gt;=1,COUNTIF(D56:AI56,"=34")&gt;=1,COUNTIF(D56:AI56,"=35")=1,COUNTIF(D56:AI56,"=36")&gt;=1 ),COUNTIF(D56:AI56,"")=0,COUNTIF(D56:AI56," ")=0,COUNTIF(D56:AI56,"F")=1),CONCATENATE(SUM(EXTRACTNUMBER(D56),EXTRACTNUMBER(F56),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EXTRACTNUMBER(AD56),EXTRACTNUMBER(AF56),EXTRACTNUMBER(AH56)),"*"),IF(AND(COUNTIF(D56:AI56,"=34")&gt;=1,COUNTIF(D56:AI56,"=35")&gt;=1,COUNTIF(D56:AI56,"f")=2,COUNTIF(D56:AI56,"")=0,COUNTIF(D56:AI56," ")=0),CONCATENATE(SUM(EXTRACTNUMBER(D56),EXTRACTNUMBER(F56),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EXTRACTNUMBER(AD56),EXTRACTNUMBER(AF56),EXTRACTNUMBER(AH56)),"*"),IF(AND(COUNTIF(D56:AI56,"=36")&gt;=2,COUNTIF(D56:AI56,"f")=2,COUNTIF(D56:AI56,"")=0,COUNTIF(D56:AI56," ")=0),CONCATENATE(SUM(EXTRACTNUMBER(D56),EXTRACTNUMBER(F56),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EXTRACTNUMBER(AD56),EXTRACTNUMBER(AF56),EXTRACTNUMBER(AH56)),"*"),SUM(EXTRACTNUMBER(D56),EXTRACTNUMBER(F56),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EXTRACTNUMBER(AD56),EXTRACTNUMBER(AF56),EXTRACTNUMBER(AH56)))))</f>
        <v>539</v>
      </c>
      <c r="AK56" s="24" t="str">
        <f t="shared" si="16"/>
        <v>PASS</v>
      </c>
      <c r="AL56" s="25" t="str">
        <f>SPELLNUMBER(extractnumber_tot(AJ56))</f>
        <v xml:space="preserve">Five Hundred Thirty Nine </v>
      </c>
    </row>
    <row r="57" spans="2:38" s="22" customFormat="1" ht="15.95" customHeight="1">
      <c r="B57" s="97">
        <v>235233</v>
      </c>
      <c r="C57" s="98" t="s">
        <v>500</v>
      </c>
      <c r="D57" s="95">
        <v>54</v>
      </c>
      <c r="E57" s="89" t="str">
        <f t="shared" si="0"/>
        <v/>
      </c>
      <c r="F57" s="94">
        <v>21</v>
      </c>
      <c r="G57" s="89" t="str">
        <f t="shared" si="1"/>
        <v/>
      </c>
      <c r="H57" s="94">
        <v>43</v>
      </c>
      <c r="I57" s="90" t="str">
        <f t="shared" si="2"/>
        <v/>
      </c>
      <c r="J57" s="92">
        <v>54</v>
      </c>
      <c r="K57" s="90" t="str">
        <f t="shared" si="3"/>
        <v/>
      </c>
      <c r="L57" s="94">
        <v>19</v>
      </c>
      <c r="M57" s="90" t="str">
        <f t="shared" si="4"/>
        <v/>
      </c>
      <c r="N57" s="94">
        <v>38</v>
      </c>
      <c r="O57" s="90" t="str">
        <f t="shared" si="5"/>
        <v/>
      </c>
      <c r="P57" s="92">
        <v>50</v>
      </c>
      <c r="Q57" s="90" t="str">
        <f t="shared" si="6"/>
        <v/>
      </c>
      <c r="R57" s="94">
        <v>21</v>
      </c>
      <c r="S57" s="90" t="str">
        <f t="shared" si="7"/>
        <v/>
      </c>
      <c r="T57" s="94">
        <v>22</v>
      </c>
      <c r="U57" s="90" t="str">
        <f t="shared" si="8"/>
        <v/>
      </c>
      <c r="V57" s="92">
        <v>54</v>
      </c>
      <c r="W57" s="90" t="str">
        <f t="shared" si="9"/>
        <v/>
      </c>
      <c r="X57" s="94">
        <v>22</v>
      </c>
      <c r="Y57" s="90" t="str">
        <f t="shared" si="10"/>
        <v/>
      </c>
      <c r="Z57" s="92">
        <v>53</v>
      </c>
      <c r="AA57" s="90" t="str">
        <f t="shared" si="11"/>
        <v/>
      </c>
      <c r="AB57" s="94">
        <v>21</v>
      </c>
      <c r="AC57" s="90" t="str">
        <f t="shared" si="12"/>
        <v/>
      </c>
      <c r="AD57" s="94">
        <v>17</v>
      </c>
      <c r="AE57" s="90" t="str">
        <f t="shared" si="13"/>
        <v/>
      </c>
      <c r="AF57" s="92">
        <v>33</v>
      </c>
      <c r="AG57" s="89" t="str">
        <f t="shared" si="14"/>
        <v/>
      </c>
      <c r="AH57" s="94">
        <v>22</v>
      </c>
      <c r="AI57" s="90" t="str">
        <f t="shared" si="15"/>
        <v/>
      </c>
      <c r="AJ57" s="108">
        <f>IF(AND(OR(COUNTIF(D57:AI57,"=31")&gt;=1,COUNTIF(D57:AI57,"=32")&gt;=1,COUNTIF(D57:AI57,"=33")&gt;=1,COUNTIF(D57:AI57,"=34")&gt;=1,COUNTIF(D57:AI57,"=35")=1,COUNTIF(D57:AI57,"=36")&gt;=1 ),COUNTIF(D57:AI57,"")=0,COUNTIF(D57:AI57," ")=0,COUNTIF(D57:AI57,"F")=1),CONCATENATE(SUM(EXTRACTNUMBER(D57),EXTRACTNUMBER(F57),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EXTRACTNUMBER(AD57),EXTRACTNUMBER(AF57),EXTRACTNUMBER(AH57)),"*"),IF(AND(COUNTIF(D57:AI57,"=34")&gt;=1,COUNTIF(D57:AI57,"=35")&gt;=1,COUNTIF(D57:AI57,"f")=2,COUNTIF(D57:AI57,"")=0,COUNTIF(D57:AI57," ")=0),CONCATENATE(SUM(EXTRACTNUMBER(D57),EXTRACTNUMBER(F57),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EXTRACTNUMBER(AD57),EXTRACTNUMBER(AF57),EXTRACTNUMBER(AH57)),"*"),IF(AND(COUNTIF(D57:AI57,"=36")&gt;=2,COUNTIF(D57:AI57,"f")=2,COUNTIF(D57:AI57,"")=0,COUNTIF(D57:AI57," ")=0),CONCATENATE(SUM(EXTRACTNUMBER(D57),EXTRACTNUMBER(F57),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EXTRACTNUMBER(AD57),EXTRACTNUMBER(AF57),EXTRACTNUMBER(AH57)),"*"),SUM(EXTRACTNUMBER(D57),EXTRACTNUMBER(F57),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EXTRACTNUMBER(AD57),EXTRACTNUMBER(AF57),EXTRACTNUMBER(AH57)))))</f>
        <v>544</v>
      </c>
      <c r="AK57" s="24" t="str">
        <f t="shared" si="16"/>
        <v>PASS</v>
      </c>
      <c r="AL57" s="25" t="str">
        <f>SPELLNUMBER(extractnumber_tot(AJ57))</f>
        <v xml:space="preserve">Five Hundred Forty Four </v>
      </c>
    </row>
    <row r="58" spans="2:38" s="22" customFormat="1" ht="15.95" customHeight="1">
      <c r="B58" s="97">
        <v>235234</v>
      </c>
      <c r="C58" s="98" t="s">
        <v>501</v>
      </c>
      <c r="D58" s="95">
        <v>65</v>
      </c>
      <c r="E58" s="89" t="str">
        <f t="shared" si="0"/>
        <v/>
      </c>
      <c r="F58" s="94">
        <v>23</v>
      </c>
      <c r="G58" s="89" t="str">
        <f t="shared" si="1"/>
        <v/>
      </c>
      <c r="H58" s="94">
        <v>44</v>
      </c>
      <c r="I58" s="90" t="str">
        <f t="shared" si="2"/>
        <v/>
      </c>
      <c r="J58" s="92">
        <v>64</v>
      </c>
      <c r="K58" s="90" t="str">
        <f t="shared" si="3"/>
        <v/>
      </c>
      <c r="L58" s="94">
        <v>22</v>
      </c>
      <c r="M58" s="90" t="str">
        <f t="shared" si="4"/>
        <v/>
      </c>
      <c r="N58" s="94">
        <v>38</v>
      </c>
      <c r="O58" s="90" t="str">
        <f t="shared" si="5"/>
        <v/>
      </c>
      <c r="P58" s="92">
        <v>43</v>
      </c>
      <c r="Q58" s="90" t="str">
        <f t="shared" si="6"/>
        <v/>
      </c>
      <c r="R58" s="94">
        <v>23</v>
      </c>
      <c r="S58" s="90" t="str">
        <f t="shared" si="7"/>
        <v/>
      </c>
      <c r="T58" s="94">
        <v>22</v>
      </c>
      <c r="U58" s="90" t="str">
        <f t="shared" si="8"/>
        <v/>
      </c>
      <c r="V58" s="92">
        <v>78</v>
      </c>
      <c r="W58" s="90" t="str">
        <f t="shared" si="9"/>
        <v/>
      </c>
      <c r="X58" s="94">
        <v>22</v>
      </c>
      <c r="Y58" s="90" t="str">
        <f t="shared" si="10"/>
        <v/>
      </c>
      <c r="Z58" s="92">
        <v>53</v>
      </c>
      <c r="AA58" s="90" t="str">
        <f t="shared" si="11"/>
        <v/>
      </c>
      <c r="AB58" s="94">
        <v>20</v>
      </c>
      <c r="AC58" s="90" t="str">
        <f t="shared" si="12"/>
        <v/>
      </c>
      <c r="AD58" s="94">
        <v>18</v>
      </c>
      <c r="AE58" s="90" t="str">
        <f t="shared" si="13"/>
        <v/>
      </c>
      <c r="AF58" s="92">
        <v>32</v>
      </c>
      <c r="AG58" s="89" t="str">
        <f t="shared" si="14"/>
        <v/>
      </c>
      <c r="AH58" s="94">
        <v>18</v>
      </c>
      <c r="AI58" s="90" t="str">
        <f t="shared" si="15"/>
        <v/>
      </c>
      <c r="AJ58" s="108">
        <f>IF(AND(OR(COUNTIF(D58:AI58,"=31")&gt;=1,COUNTIF(D58:AI58,"=32")&gt;=1,COUNTIF(D58:AI58,"=33")&gt;=1,COUNTIF(D58:AI58,"=34")&gt;=1,COUNTIF(D58:AI58,"=35")=1,COUNTIF(D58:AI58,"=36")&gt;=1 ),COUNTIF(D58:AI58,"")=0,COUNTIF(D58:AI58," ")=0,COUNTIF(D58:AI58,"F")=1),CONCATENATE(SUM(EXTRACTNUMBER(D58),EXTRACTNUMBER(F58),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EXTRACTNUMBER(AD58),EXTRACTNUMBER(AF58),EXTRACTNUMBER(AH58)),"*"),IF(AND(COUNTIF(D58:AI58,"=34")&gt;=1,COUNTIF(D58:AI58,"=35")&gt;=1,COUNTIF(D58:AI58,"f")=2,COUNTIF(D58:AI58,"")=0,COUNTIF(D58:AI58," ")=0),CONCATENATE(SUM(EXTRACTNUMBER(D58),EXTRACTNUMBER(F58),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EXTRACTNUMBER(AD58),EXTRACTNUMBER(AF58),EXTRACTNUMBER(AH58)),"*"),IF(AND(COUNTIF(D58:AI58,"=36")&gt;=2,COUNTIF(D58:AI58,"f")=2,COUNTIF(D58:AI58,"")=0,COUNTIF(D58:AI58," ")=0),CONCATENATE(SUM(EXTRACTNUMBER(D58),EXTRACTNUMBER(F58),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EXTRACTNUMBER(AD58),EXTRACTNUMBER(AF58),EXTRACTNUMBER(AH58)),"*"),SUM(EXTRACTNUMBER(D58),EXTRACTNUMBER(F58),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EXTRACTNUMBER(AD58),EXTRACTNUMBER(AF58),EXTRACTNUMBER(AH58)))))</f>
        <v>585</v>
      </c>
      <c r="AK58" s="24" t="str">
        <f t="shared" si="16"/>
        <v>PASS</v>
      </c>
      <c r="AL58" s="25" t="str">
        <f>SPELLNUMBER(extractnumber_tot(AJ58))</f>
        <v xml:space="preserve">Five Hundred Eighty Five </v>
      </c>
    </row>
    <row r="59" spans="2:38" s="22" customFormat="1" ht="15.95" customHeight="1">
      <c r="B59" s="97">
        <v>235235</v>
      </c>
      <c r="C59" s="98" t="s">
        <v>502</v>
      </c>
      <c r="D59" s="95">
        <v>63</v>
      </c>
      <c r="E59" s="89" t="str">
        <f t="shared" si="0"/>
        <v/>
      </c>
      <c r="F59" s="94">
        <v>24</v>
      </c>
      <c r="G59" s="89" t="str">
        <f t="shared" si="1"/>
        <v/>
      </c>
      <c r="H59" s="94">
        <v>45</v>
      </c>
      <c r="I59" s="90" t="str">
        <f t="shared" si="2"/>
        <v/>
      </c>
      <c r="J59" s="92">
        <v>51</v>
      </c>
      <c r="K59" s="90" t="str">
        <f t="shared" si="3"/>
        <v/>
      </c>
      <c r="L59" s="94">
        <v>22</v>
      </c>
      <c r="M59" s="90" t="str">
        <f t="shared" si="4"/>
        <v/>
      </c>
      <c r="N59" s="94">
        <v>40</v>
      </c>
      <c r="O59" s="90" t="str">
        <f t="shared" si="5"/>
        <v/>
      </c>
      <c r="P59" s="92">
        <v>55</v>
      </c>
      <c r="Q59" s="90" t="str">
        <f t="shared" si="6"/>
        <v/>
      </c>
      <c r="R59" s="94">
        <v>23</v>
      </c>
      <c r="S59" s="90" t="str">
        <f t="shared" si="7"/>
        <v/>
      </c>
      <c r="T59" s="94">
        <v>22</v>
      </c>
      <c r="U59" s="90" t="str">
        <f t="shared" si="8"/>
        <v/>
      </c>
      <c r="V59" s="92">
        <v>52</v>
      </c>
      <c r="W59" s="90" t="str">
        <f t="shared" si="9"/>
        <v/>
      </c>
      <c r="X59" s="94">
        <v>24</v>
      </c>
      <c r="Y59" s="90" t="str">
        <f t="shared" si="10"/>
        <v/>
      </c>
      <c r="Z59" s="92">
        <v>65</v>
      </c>
      <c r="AA59" s="90" t="str">
        <f t="shared" si="11"/>
        <v/>
      </c>
      <c r="AB59" s="94">
        <v>21</v>
      </c>
      <c r="AC59" s="90" t="str">
        <f t="shared" si="12"/>
        <v/>
      </c>
      <c r="AD59" s="94">
        <v>18</v>
      </c>
      <c r="AE59" s="90" t="str">
        <f t="shared" si="13"/>
        <v/>
      </c>
      <c r="AF59" s="92">
        <v>31</v>
      </c>
      <c r="AG59" s="89" t="str">
        <f t="shared" si="14"/>
        <v/>
      </c>
      <c r="AH59" s="94">
        <v>19</v>
      </c>
      <c r="AI59" s="90" t="str">
        <f t="shared" si="15"/>
        <v/>
      </c>
      <c r="AJ59" s="108">
        <f>IF(AND(OR(COUNTIF(D59:AI59,"=31")&gt;=1,COUNTIF(D59:AI59,"=32")&gt;=1,COUNTIF(D59:AI59,"=33")&gt;=1,COUNTIF(D59:AI59,"=34")&gt;=1,COUNTIF(D59:AI59,"=35")=1,COUNTIF(D59:AI59,"=36")&gt;=1 ),COUNTIF(D59:AI59,"")=0,COUNTIF(D59:AI59," ")=0,COUNTIF(D59:AI59,"F")=1),CONCATENATE(SUM(EXTRACTNUMBER(D59),EXTRACTNUMBER(F59),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EXTRACTNUMBER(AD59),EXTRACTNUMBER(AF59),EXTRACTNUMBER(AH59)),"*"),IF(AND(COUNTIF(D59:AI59,"=34")&gt;=1,COUNTIF(D59:AI59,"=35")&gt;=1,COUNTIF(D59:AI59,"f")=2,COUNTIF(D59:AI59,"")=0,COUNTIF(D59:AI59," ")=0),CONCATENATE(SUM(EXTRACTNUMBER(D59),EXTRACTNUMBER(F59),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EXTRACTNUMBER(AD59),EXTRACTNUMBER(AF59),EXTRACTNUMBER(AH59)),"*"),IF(AND(COUNTIF(D59:AI59,"=36")&gt;=2,COUNTIF(D59:AI59,"f")=2,COUNTIF(D59:AI59,"")=0,COUNTIF(D59:AI59," ")=0),CONCATENATE(SUM(EXTRACTNUMBER(D59),EXTRACTNUMBER(F59),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EXTRACTNUMBER(AD59),EXTRACTNUMBER(AF59),EXTRACTNUMBER(AH59)),"*"),SUM(EXTRACTNUMBER(D59),EXTRACTNUMBER(F59),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EXTRACTNUMBER(AD59),EXTRACTNUMBER(AF59),EXTRACTNUMBER(AH59)))))</f>
        <v>575</v>
      </c>
      <c r="AK59" s="24" t="str">
        <f t="shared" si="16"/>
        <v>PASS</v>
      </c>
      <c r="AL59" s="25" t="str">
        <f>SPELLNUMBER(extractnumber_tot(AJ59))</f>
        <v xml:space="preserve">Five Hundred Seventy Five </v>
      </c>
    </row>
    <row r="60" spans="2:38" s="22" customFormat="1" ht="15.95" customHeight="1">
      <c r="B60" s="97">
        <v>235236</v>
      </c>
      <c r="C60" s="98" t="s">
        <v>503</v>
      </c>
      <c r="D60" s="95">
        <v>63</v>
      </c>
      <c r="E60" s="89" t="str">
        <f t="shared" si="0"/>
        <v/>
      </c>
      <c r="F60" s="94">
        <v>20</v>
      </c>
      <c r="G60" s="89" t="str">
        <f t="shared" si="1"/>
        <v/>
      </c>
      <c r="H60" s="94">
        <v>44</v>
      </c>
      <c r="I60" s="90" t="str">
        <f t="shared" si="2"/>
        <v/>
      </c>
      <c r="J60" s="92">
        <v>63</v>
      </c>
      <c r="K60" s="90" t="str">
        <f t="shared" si="3"/>
        <v/>
      </c>
      <c r="L60" s="94">
        <v>22</v>
      </c>
      <c r="M60" s="90" t="str">
        <f t="shared" si="4"/>
        <v/>
      </c>
      <c r="N60" s="94">
        <v>42</v>
      </c>
      <c r="O60" s="90" t="str">
        <f t="shared" si="5"/>
        <v/>
      </c>
      <c r="P60" s="92">
        <v>68</v>
      </c>
      <c r="Q60" s="90" t="str">
        <f t="shared" si="6"/>
        <v/>
      </c>
      <c r="R60" s="94">
        <v>20</v>
      </c>
      <c r="S60" s="90" t="str">
        <f t="shared" si="7"/>
        <v/>
      </c>
      <c r="T60" s="94">
        <v>23</v>
      </c>
      <c r="U60" s="90" t="str">
        <f t="shared" si="8"/>
        <v/>
      </c>
      <c r="V60" s="92">
        <v>76</v>
      </c>
      <c r="W60" s="90" t="str">
        <f t="shared" si="9"/>
        <v/>
      </c>
      <c r="X60" s="94">
        <v>24</v>
      </c>
      <c r="Y60" s="90" t="str">
        <f t="shared" si="10"/>
        <v/>
      </c>
      <c r="Z60" s="92">
        <v>69</v>
      </c>
      <c r="AA60" s="90" t="str">
        <f t="shared" si="11"/>
        <v/>
      </c>
      <c r="AB60" s="94">
        <v>22</v>
      </c>
      <c r="AC60" s="90" t="str">
        <f t="shared" si="12"/>
        <v/>
      </c>
      <c r="AD60" s="94">
        <v>21</v>
      </c>
      <c r="AE60" s="90" t="str">
        <f t="shared" si="13"/>
        <v/>
      </c>
      <c r="AF60" s="92">
        <v>34</v>
      </c>
      <c r="AG60" s="89" t="str">
        <f t="shared" si="14"/>
        <v/>
      </c>
      <c r="AH60" s="94">
        <v>19</v>
      </c>
      <c r="AI60" s="90" t="str">
        <f t="shared" si="15"/>
        <v/>
      </c>
      <c r="AJ60" s="108">
        <f>IF(AND(OR(COUNTIF(D60:AI60,"=31")&gt;=1,COUNTIF(D60:AI60,"=32")&gt;=1,COUNTIF(D60:AI60,"=33")&gt;=1,COUNTIF(D60:AI60,"=34")&gt;=1,COUNTIF(D60:AI60,"=35")=1,COUNTIF(D60:AI60,"=36")&gt;=1 ),COUNTIF(D60:AI60,"")=0,COUNTIF(D60:AI60," ")=0,COUNTIF(D60:AI60,"F")=1),CONCATENATE(SUM(EXTRACTNUMBER(D60),EXTRACTNUMBER(F60),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EXTRACTNUMBER(AD60),EXTRACTNUMBER(AF60),EXTRACTNUMBER(AH60)),"*"),IF(AND(COUNTIF(D60:AI60,"=34")&gt;=1,COUNTIF(D60:AI60,"=35")&gt;=1,COUNTIF(D60:AI60,"f")=2,COUNTIF(D60:AI60,"")=0,COUNTIF(D60:AI60," ")=0),CONCATENATE(SUM(EXTRACTNUMBER(D60),EXTRACTNUMBER(F60),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EXTRACTNUMBER(AD60),EXTRACTNUMBER(AF60),EXTRACTNUMBER(AH60)),"*"),IF(AND(COUNTIF(D60:AI60,"=36")&gt;=2,COUNTIF(D60:AI60,"f")=2,COUNTIF(D60:AI60,"")=0,COUNTIF(D60:AI60," ")=0),CONCATENATE(SUM(EXTRACTNUMBER(D60),EXTRACTNUMBER(F60),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EXTRACTNUMBER(AD60),EXTRACTNUMBER(AF60),EXTRACTNUMBER(AH60)),"*"),SUM(EXTRACTNUMBER(D60),EXTRACTNUMBER(F60),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EXTRACTNUMBER(AD60),EXTRACTNUMBER(AF60),EXTRACTNUMBER(AH60)))))</f>
        <v>630</v>
      </c>
      <c r="AK60" s="24" t="str">
        <f t="shared" si="16"/>
        <v>PASS</v>
      </c>
      <c r="AL60" s="25" t="str">
        <f>SPELLNUMBER(extractnumber_tot(AJ60))</f>
        <v xml:space="preserve">Six Hundred Thirty  </v>
      </c>
    </row>
    <row r="61" spans="2:38" s="22" customFormat="1" ht="15.95" customHeight="1">
      <c r="B61" s="97">
        <v>235237</v>
      </c>
      <c r="C61" s="98" t="s">
        <v>504</v>
      </c>
      <c r="D61" s="95">
        <v>47</v>
      </c>
      <c r="E61" s="89" t="str">
        <f t="shared" si="0"/>
        <v/>
      </c>
      <c r="F61" s="94">
        <v>21</v>
      </c>
      <c r="G61" s="89" t="str">
        <f t="shared" si="1"/>
        <v/>
      </c>
      <c r="H61" s="94">
        <v>41</v>
      </c>
      <c r="I61" s="90" t="str">
        <f t="shared" si="2"/>
        <v/>
      </c>
      <c r="J61" s="92">
        <v>57</v>
      </c>
      <c r="K61" s="90" t="str">
        <f t="shared" si="3"/>
        <v/>
      </c>
      <c r="L61" s="94">
        <v>20</v>
      </c>
      <c r="M61" s="90" t="str">
        <f t="shared" si="4"/>
        <v/>
      </c>
      <c r="N61" s="94">
        <v>43</v>
      </c>
      <c r="O61" s="90" t="str">
        <f t="shared" si="5"/>
        <v/>
      </c>
      <c r="P61" s="92">
        <v>54</v>
      </c>
      <c r="Q61" s="90" t="str">
        <f t="shared" si="6"/>
        <v/>
      </c>
      <c r="R61" s="94">
        <v>21</v>
      </c>
      <c r="S61" s="90" t="str">
        <f t="shared" si="7"/>
        <v/>
      </c>
      <c r="T61" s="94">
        <v>22</v>
      </c>
      <c r="U61" s="90" t="str">
        <f t="shared" si="8"/>
        <v/>
      </c>
      <c r="V61" s="92">
        <v>81</v>
      </c>
      <c r="W61" s="90" t="str">
        <f t="shared" si="9"/>
        <v/>
      </c>
      <c r="X61" s="94">
        <v>22</v>
      </c>
      <c r="Y61" s="90" t="str">
        <f t="shared" si="10"/>
        <v/>
      </c>
      <c r="Z61" s="92">
        <v>61</v>
      </c>
      <c r="AA61" s="90" t="str">
        <f t="shared" si="11"/>
        <v/>
      </c>
      <c r="AB61" s="94">
        <v>19</v>
      </c>
      <c r="AC61" s="90" t="str">
        <f t="shared" si="12"/>
        <v/>
      </c>
      <c r="AD61" s="94">
        <v>20</v>
      </c>
      <c r="AE61" s="90" t="str">
        <f t="shared" si="13"/>
        <v/>
      </c>
      <c r="AF61" s="92">
        <v>29</v>
      </c>
      <c r="AG61" s="89" t="str">
        <f t="shared" si="14"/>
        <v/>
      </c>
      <c r="AH61" s="94">
        <v>22</v>
      </c>
      <c r="AI61" s="90" t="str">
        <f t="shared" si="15"/>
        <v/>
      </c>
      <c r="AJ61" s="108">
        <f>IF(AND(OR(COUNTIF(D61:AI61,"=31")&gt;=1,COUNTIF(D61:AI61,"=32")&gt;=1,COUNTIF(D61:AI61,"=33")&gt;=1,COUNTIF(D61:AI61,"=34")&gt;=1,COUNTIF(D61:AI61,"=35")=1,COUNTIF(D61:AI61,"=36")&gt;=1 ),COUNTIF(D61:AI61,"")=0,COUNTIF(D61:AI61," ")=0,COUNTIF(D61:AI61,"F")=1),CONCATENATE(SUM(EXTRACTNUMBER(D61),EXTRACTNUMBER(F61),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EXTRACTNUMBER(AD61),EXTRACTNUMBER(AF61),EXTRACTNUMBER(AH61)),"*"),IF(AND(COUNTIF(D61:AI61,"=34")&gt;=1,COUNTIF(D61:AI61,"=35")&gt;=1,COUNTIF(D61:AI61,"f")=2,COUNTIF(D61:AI61,"")=0,COUNTIF(D61:AI61," ")=0),CONCATENATE(SUM(EXTRACTNUMBER(D61),EXTRACTNUMBER(F61),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EXTRACTNUMBER(AD61),EXTRACTNUMBER(AF61),EXTRACTNUMBER(AH61)),"*"),IF(AND(COUNTIF(D61:AI61,"=36")&gt;=2,COUNTIF(D61:AI61,"f")=2,COUNTIF(D61:AI61,"")=0,COUNTIF(D61:AI61," ")=0),CONCATENATE(SUM(EXTRACTNUMBER(D61),EXTRACTNUMBER(F61),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EXTRACTNUMBER(AD61),EXTRACTNUMBER(AF61),EXTRACTNUMBER(AH61)),"*"),SUM(EXTRACTNUMBER(D61),EXTRACTNUMBER(F61),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EXTRACTNUMBER(AD61),EXTRACTNUMBER(AF61),EXTRACTNUMBER(AH61)))))</f>
        <v>580</v>
      </c>
      <c r="AK61" s="24" t="str">
        <f t="shared" si="16"/>
        <v>PASS</v>
      </c>
      <c r="AL61" s="25" t="str">
        <f>SPELLNUMBER(extractnumber_tot(AJ61))</f>
        <v xml:space="preserve">Five Hundred Eighty  </v>
      </c>
    </row>
    <row r="62" spans="2:38" s="22" customFormat="1" ht="15.95" customHeight="1">
      <c r="B62" s="97">
        <v>235238</v>
      </c>
      <c r="C62" s="98" t="s">
        <v>505</v>
      </c>
      <c r="D62" s="95">
        <v>71</v>
      </c>
      <c r="E62" s="89" t="str">
        <f t="shared" si="0"/>
        <v/>
      </c>
      <c r="F62" s="94">
        <v>24</v>
      </c>
      <c r="G62" s="89" t="str">
        <f t="shared" si="1"/>
        <v/>
      </c>
      <c r="H62" s="94">
        <v>47</v>
      </c>
      <c r="I62" s="90" t="str">
        <f t="shared" si="2"/>
        <v/>
      </c>
      <c r="J62" s="92">
        <v>62</v>
      </c>
      <c r="K62" s="90" t="str">
        <f t="shared" si="3"/>
        <v/>
      </c>
      <c r="L62" s="94">
        <v>22</v>
      </c>
      <c r="M62" s="90" t="str">
        <f t="shared" si="4"/>
        <v/>
      </c>
      <c r="N62" s="94">
        <v>39</v>
      </c>
      <c r="O62" s="90" t="str">
        <f t="shared" si="5"/>
        <v/>
      </c>
      <c r="P62" s="92">
        <v>76</v>
      </c>
      <c r="Q62" s="90" t="str">
        <f t="shared" si="6"/>
        <v/>
      </c>
      <c r="R62" s="94">
        <v>23</v>
      </c>
      <c r="S62" s="90" t="str">
        <f t="shared" si="7"/>
        <v/>
      </c>
      <c r="T62" s="94">
        <v>22</v>
      </c>
      <c r="U62" s="90" t="str">
        <f t="shared" si="8"/>
        <v/>
      </c>
      <c r="V62" s="92">
        <v>60</v>
      </c>
      <c r="W62" s="90" t="str">
        <f t="shared" si="9"/>
        <v/>
      </c>
      <c r="X62" s="94">
        <v>23</v>
      </c>
      <c r="Y62" s="90" t="str">
        <f t="shared" si="10"/>
        <v/>
      </c>
      <c r="Z62" s="92">
        <v>63</v>
      </c>
      <c r="AA62" s="90" t="str">
        <f t="shared" si="11"/>
        <v/>
      </c>
      <c r="AB62" s="94">
        <v>22</v>
      </c>
      <c r="AC62" s="90" t="str">
        <f t="shared" si="12"/>
        <v/>
      </c>
      <c r="AD62" s="94">
        <v>19</v>
      </c>
      <c r="AE62" s="90" t="str">
        <f t="shared" si="13"/>
        <v/>
      </c>
      <c r="AF62" s="92">
        <v>33</v>
      </c>
      <c r="AG62" s="89" t="str">
        <f t="shared" si="14"/>
        <v/>
      </c>
      <c r="AH62" s="94">
        <v>19</v>
      </c>
      <c r="AI62" s="90" t="str">
        <f t="shared" si="15"/>
        <v/>
      </c>
      <c r="AJ62" s="108">
        <f>IF(AND(OR(COUNTIF(D62:AI62,"=31")&gt;=1,COUNTIF(D62:AI62,"=32")&gt;=1,COUNTIF(D62:AI62,"=33")&gt;=1,COUNTIF(D62:AI62,"=34")&gt;=1,COUNTIF(D62:AI62,"=35")=1,COUNTIF(D62:AI62,"=36")&gt;=1 ),COUNTIF(D62:AI62,"")=0,COUNTIF(D62:AI62," ")=0,COUNTIF(D62:AI62,"F")=1),CONCATENATE(SUM(EXTRACTNUMBER(D62),EXTRACTNUMBER(F62),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EXTRACTNUMBER(AD62),EXTRACTNUMBER(AF62),EXTRACTNUMBER(AH62)),"*"),IF(AND(COUNTIF(D62:AI62,"=34")&gt;=1,COUNTIF(D62:AI62,"=35")&gt;=1,COUNTIF(D62:AI62,"f")=2,COUNTIF(D62:AI62,"")=0,COUNTIF(D62:AI62," ")=0),CONCATENATE(SUM(EXTRACTNUMBER(D62),EXTRACTNUMBER(F62),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EXTRACTNUMBER(AD62),EXTRACTNUMBER(AF62),EXTRACTNUMBER(AH62)),"*"),IF(AND(COUNTIF(D62:AI62,"=36")&gt;=2,COUNTIF(D62:AI62,"f")=2,COUNTIF(D62:AI62,"")=0,COUNTIF(D62:AI62," ")=0),CONCATENATE(SUM(EXTRACTNUMBER(D62),EXTRACTNUMBER(F62),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EXTRACTNUMBER(AD62),EXTRACTNUMBER(AF62),EXTRACTNUMBER(AH62)),"*"),SUM(EXTRACTNUMBER(D62),EXTRACTNUMBER(F62),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EXTRACTNUMBER(AD62),EXTRACTNUMBER(AF62),EXTRACTNUMBER(AH62)))))</f>
        <v>625</v>
      </c>
      <c r="AK62" s="24" t="str">
        <f t="shared" si="16"/>
        <v>PASS</v>
      </c>
      <c r="AL62" s="25" t="str">
        <f>SPELLNUMBER(extractnumber_tot(AJ62))</f>
        <v xml:space="preserve">Six Hundred Twenty Five </v>
      </c>
    </row>
    <row r="63" spans="2:38" s="22" customFormat="1" ht="15.95" customHeight="1">
      <c r="B63" s="97">
        <v>235239</v>
      </c>
      <c r="C63" s="98" t="s">
        <v>506</v>
      </c>
      <c r="D63" s="95">
        <v>67</v>
      </c>
      <c r="E63" s="89" t="str">
        <f t="shared" si="0"/>
        <v/>
      </c>
      <c r="F63" s="94">
        <v>24</v>
      </c>
      <c r="G63" s="89" t="str">
        <f t="shared" si="1"/>
        <v/>
      </c>
      <c r="H63" s="94">
        <v>45</v>
      </c>
      <c r="I63" s="90" t="str">
        <f t="shared" si="2"/>
        <v/>
      </c>
      <c r="J63" s="92">
        <v>64</v>
      </c>
      <c r="K63" s="90" t="str">
        <f t="shared" si="3"/>
        <v/>
      </c>
      <c r="L63" s="94">
        <v>23</v>
      </c>
      <c r="M63" s="90" t="str">
        <f t="shared" si="4"/>
        <v/>
      </c>
      <c r="N63" s="94">
        <v>46</v>
      </c>
      <c r="O63" s="90" t="str">
        <f t="shared" si="5"/>
        <v/>
      </c>
      <c r="P63" s="92">
        <v>55</v>
      </c>
      <c r="Q63" s="90" t="str">
        <f t="shared" si="6"/>
        <v/>
      </c>
      <c r="R63" s="94">
        <v>23</v>
      </c>
      <c r="S63" s="90" t="str">
        <f t="shared" si="7"/>
        <v/>
      </c>
      <c r="T63" s="94">
        <v>22</v>
      </c>
      <c r="U63" s="90" t="str">
        <f t="shared" si="8"/>
        <v/>
      </c>
      <c r="V63" s="92">
        <v>76</v>
      </c>
      <c r="W63" s="90" t="str">
        <f t="shared" si="9"/>
        <v/>
      </c>
      <c r="X63" s="94">
        <v>24</v>
      </c>
      <c r="Y63" s="90" t="str">
        <f t="shared" si="10"/>
        <v/>
      </c>
      <c r="Z63" s="92">
        <v>72</v>
      </c>
      <c r="AA63" s="90" t="str">
        <f t="shared" si="11"/>
        <v/>
      </c>
      <c r="AB63" s="94">
        <v>23</v>
      </c>
      <c r="AC63" s="90" t="str">
        <f t="shared" si="12"/>
        <v/>
      </c>
      <c r="AD63" s="94">
        <v>24</v>
      </c>
      <c r="AE63" s="90" t="str">
        <f t="shared" si="13"/>
        <v/>
      </c>
      <c r="AF63" s="92">
        <v>28</v>
      </c>
      <c r="AG63" s="89" t="str">
        <f t="shared" si="14"/>
        <v/>
      </c>
      <c r="AH63" s="94">
        <v>22</v>
      </c>
      <c r="AI63" s="90" t="str">
        <f t="shared" si="15"/>
        <v/>
      </c>
      <c r="AJ63" s="108">
        <f>IF(AND(OR(COUNTIF(D63:AI63,"=31")&gt;=1,COUNTIF(D63:AI63,"=32")&gt;=1,COUNTIF(D63:AI63,"=33")&gt;=1,COUNTIF(D63:AI63,"=34")&gt;=1,COUNTIF(D63:AI63,"=35")=1,COUNTIF(D63:AI63,"=36")&gt;=1 ),COUNTIF(D63:AI63,"")=0,COUNTIF(D63:AI63," ")=0,COUNTIF(D63:AI63,"F")=1),CONCATENATE(SUM(EXTRACTNUMBER(D63),EXTRACTNUMBER(F63),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EXTRACTNUMBER(AD63),EXTRACTNUMBER(AF63),EXTRACTNUMBER(AH63)),"*"),IF(AND(COUNTIF(D63:AI63,"=34")&gt;=1,COUNTIF(D63:AI63,"=35")&gt;=1,COUNTIF(D63:AI63,"f")=2,COUNTIF(D63:AI63,"")=0,COUNTIF(D63:AI63," ")=0),CONCATENATE(SUM(EXTRACTNUMBER(D63),EXTRACTNUMBER(F63),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EXTRACTNUMBER(AD63),EXTRACTNUMBER(AF63),EXTRACTNUMBER(AH63)),"*"),IF(AND(COUNTIF(D63:AI63,"=36")&gt;=2,COUNTIF(D63:AI63,"f")=2,COUNTIF(D63:AI63,"")=0,COUNTIF(D63:AI63," ")=0),CONCATENATE(SUM(EXTRACTNUMBER(D63),EXTRACTNUMBER(F63),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EXTRACTNUMBER(AD63),EXTRACTNUMBER(AF63),EXTRACTNUMBER(AH63)),"*"),SUM(EXTRACTNUMBER(D63),EXTRACTNUMBER(F63),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EXTRACTNUMBER(AD63),EXTRACTNUMBER(AF63),EXTRACTNUMBER(AH63)))))</f>
        <v>638</v>
      </c>
      <c r="AK63" s="24" t="str">
        <f t="shared" si="16"/>
        <v>PASS</v>
      </c>
      <c r="AL63" s="25" t="str">
        <f>SPELLNUMBER(extractnumber_tot(AJ63))</f>
        <v xml:space="preserve">Six Hundred Thirty Eight </v>
      </c>
    </row>
    <row r="64" spans="2:38" s="22" customFormat="1" ht="15.95" customHeight="1">
      <c r="B64" s="97">
        <v>235240</v>
      </c>
      <c r="C64" s="98" t="s">
        <v>507</v>
      </c>
      <c r="D64" s="95">
        <v>63</v>
      </c>
      <c r="E64" s="89" t="str">
        <f t="shared" si="0"/>
        <v/>
      </c>
      <c r="F64" s="94">
        <v>21</v>
      </c>
      <c r="G64" s="89" t="str">
        <f t="shared" si="1"/>
        <v/>
      </c>
      <c r="H64" s="94">
        <v>41</v>
      </c>
      <c r="I64" s="90" t="str">
        <f t="shared" si="2"/>
        <v/>
      </c>
      <c r="J64" s="92">
        <v>53</v>
      </c>
      <c r="K64" s="90" t="str">
        <f t="shared" si="3"/>
        <v/>
      </c>
      <c r="L64" s="94">
        <v>19</v>
      </c>
      <c r="M64" s="90" t="str">
        <f t="shared" si="4"/>
        <v/>
      </c>
      <c r="N64" s="94">
        <v>38</v>
      </c>
      <c r="O64" s="90" t="str">
        <f t="shared" si="5"/>
        <v/>
      </c>
      <c r="P64" s="92">
        <v>53</v>
      </c>
      <c r="Q64" s="90" t="str">
        <f t="shared" si="6"/>
        <v/>
      </c>
      <c r="R64" s="94">
        <v>21</v>
      </c>
      <c r="S64" s="90" t="str">
        <f t="shared" si="7"/>
        <v/>
      </c>
      <c r="T64" s="94">
        <v>22</v>
      </c>
      <c r="U64" s="90" t="str">
        <f t="shared" si="8"/>
        <v/>
      </c>
      <c r="V64" s="92">
        <v>89</v>
      </c>
      <c r="W64" s="90" t="str">
        <f t="shared" si="9"/>
        <v/>
      </c>
      <c r="X64" s="94">
        <v>22</v>
      </c>
      <c r="Y64" s="90" t="str">
        <f t="shared" si="10"/>
        <v/>
      </c>
      <c r="Z64" s="92">
        <v>65</v>
      </c>
      <c r="AA64" s="90" t="str">
        <f t="shared" si="11"/>
        <v/>
      </c>
      <c r="AB64" s="94">
        <v>19</v>
      </c>
      <c r="AC64" s="90" t="str">
        <f t="shared" si="12"/>
        <v/>
      </c>
      <c r="AD64" s="94">
        <v>19</v>
      </c>
      <c r="AE64" s="90" t="str">
        <f t="shared" si="13"/>
        <v/>
      </c>
      <c r="AF64" s="92">
        <v>31</v>
      </c>
      <c r="AG64" s="89" t="str">
        <f t="shared" si="14"/>
        <v/>
      </c>
      <c r="AH64" s="94">
        <v>23</v>
      </c>
      <c r="AI64" s="90" t="str">
        <f t="shared" si="15"/>
        <v/>
      </c>
      <c r="AJ64" s="108">
        <f>IF(AND(OR(COUNTIF(D64:AI64,"=31")&gt;=1,COUNTIF(D64:AI64,"=32")&gt;=1,COUNTIF(D64:AI64,"=33")&gt;=1,COUNTIF(D64:AI64,"=34")&gt;=1,COUNTIF(D64:AI64,"=35")=1,COUNTIF(D64:AI64,"=36")&gt;=1 ),COUNTIF(D64:AI64,"")=0,COUNTIF(D64:AI64," ")=0,COUNTIF(D64:AI64,"F")=1),CONCATENATE(SUM(EXTRACTNUMBER(D64),EXTRACTNUMBER(F64),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EXTRACTNUMBER(AD64),EXTRACTNUMBER(AF64),EXTRACTNUMBER(AH64)),"*"),IF(AND(COUNTIF(D64:AI64,"=34")&gt;=1,COUNTIF(D64:AI64,"=35")&gt;=1,COUNTIF(D64:AI64,"f")=2,COUNTIF(D64:AI64,"")=0,COUNTIF(D64:AI64," ")=0),CONCATENATE(SUM(EXTRACTNUMBER(D64),EXTRACTNUMBER(F64),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EXTRACTNUMBER(AD64),EXTRACTNUMBER(AF64),EXTRACTNUMBER(AH64)),"*"),IF(AND(COUNTIF(D64:AI64,"=36")&gt;=2,COUNTIF(D64:AI64,"f")=2,COUNTIF(D64:AI64,"")=0,COUNTIF(D64:AI64," ")=0),CONCATENATE(SUM(EXTRACTNUMBER(D64),EXTRACTNUMBER(F64),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EXTRACTNUMBER(AD64),EXTRACTNUMBER(AF64),EXTRACTNUMBER(AH64)),"*"),SUM(EXTRACTNUMBER(D64),EXTRACTNUMBER(F64),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EXTRACTNUMBER(AD64),EXTRACTNUMBER(AF64),EXTRACTNUMBER(AH64)))))</f>
        <v>599</v>
      </c>
      <c r="AK64" s="24" t="str">
        <f t="shared" si="16"/>
        <v>PASS</v>
      </c>
      <c r="AL64" s="25" t="str">
        <f>SPELLNUMBER(extractnumber_tot(AJ64))</f>
        <v xml:space="preserve">Five Hundred NinetyNine </v>
      </c>
    </row>
    <row r="65" spans="2:38" s="22" customFormat="1" ht="15.95" customHeight="1">
      <c r="B65" s="97">
        <v>235241</v>
      </c>
      <c r="C65" s="98" t="s">
        <v>508</v>
      </c>
      <c r="D65" s="95">
        <v>59</v>
      </c>
      <c r="E65" s="89" t="str">
        <f t="shared" si="0"/>
        <v>E</v>
      </c>
      <c r="F65" s="94">
        <v>21</v>
      </c>
      <c r="G65" s="89" t="str">
        <f t="shared" si="1"/>
        <v>E</v>
      </c>
      <c r="H65" s="94">
        <v>41</v>
      </c>
      <c r="I65" s="90" t="str">
        <f t="shared" si="2"/>
        <v>E</v>
      </c>
      <c r="J65" s="92">
        <v>48</v>
      </c>
      <c r="K65" s="90" t="str">
        <f t="shared" si="3"/>
        <v>E</v>
      </c>
      <c r="L65" s="94">
        <v>22</v>
      </c>
      <c r="M65" s="90" t="str">
        <f t="shared" si="4"/>
        <v>E</v>
      </c>
      <c r="N65" s="94">
        <v>40</v>
      </c>
      <c r="O65" s="90" t="str">
        <f t="shared" si="5"/>
        <v>E</v>
      </c>
      <c r="P65" s="92">
        <v>44</v>
      </c>
      <c r="Q65" s="90" t="str">
        <f t="shared" si="6"/>
        <v>E</v>
      </c>
      <c r="R65" s="94">
        <v>20</v>
      </c>
      <c r="S65" s="90" t="str">
        <f t="shared" si="7"/>
        <v>E</v>
      </c>
      <c r="T65" s="94">
        <v>23</v>
      </c>
      <c r="U65" s="90" t="str">
        <f t="shared" si="8"/>
        <v>E</v>
      </c>
      <c r="V65" s="92">
        <v>24</v>
      </c>
      <c r="W65" s="90" t="str">
        <f t="shared" si="9"/>
        <v>F</v>
      </c>
      <c r="X65" s="94">
        <v>22</v>
      </c>
      <c r="Y65" s="90" t="str">
        <f t="shared" si="10"/>
        <v>E</v>
      </c>
      <c r="Z65" s="92">
        <v>57</v>
      </c>
      <c r="AA65" s="90" t="str">
        <f t="shared" si="11"/>
        <v>E</v>
      </c>
      <c r="AB65" s="94">
        <v>19</v>
      </c>
      <c r="AC65" s="90" t="str">
        <f t="shared" si="12"/>
        <v>E</v>
      </c>
      <c r="AD65" s="94">
        <v>19</v>
      </c>
      <c r="AE65" s="90" t="str">
        <f t="shared" si="13"/>
        <v>E</v>
      </c>
      <c r="AF65" s="92">
        <v>31</v>
      </c>
      <c r="AG65" s="89" t="str">
        <f t="shared" si="14"/>
        <v>E</v>
      </c>
      <c r="AH65" s="94">
        <v>21</v>
      </c>
      <c r="AI65" s="90" t="str">
        <f t="shared" si="15"/>
        <v>E</v>
      </c>
      <c r="AJ65" s="108">
        <v>511</v>
      </c>
      <c r="AK65" s="24" t="str">
        <f t="shared" si="16"/>
        <v>FAIL</v>
      </c>
      <c r="AL65" s="25" t="str">
        <f>SPELLNUMBER(extractnumber_tot(AJ65))</f>
        <v xml:space="preserve">Five Hundred Eleven </v>
      </c>
    </row>
    <row r="66" spans="2:38" s="22" customFormat="1" ht="15.95" customHeight="1">
      <c r="B66" s="97">
        <v>235242</v>
      </c>
      <c r="C66" s="98" t="s">
        <v>509</v>
      </c>
      <c r="D66" s="95">
        <v>73</v>
      </c>
      <c r="E66" s="89" t="str">
        <f t="shared" si="0"/>
        <v/>
      </c>
      <c r="F66" s="94">
        <v>22</v>
      </c>
      <c r="G66" s="89" t="str">
        <f t="shared" si="1"/>
        <v/>
      </c>
      <c r="H66" s="94">
        <v>41</v>
      </c>
      <c r="I66" s="90" t="str">
        <f t="shared" si="2"/>
        <v/>
      </c>
      <c r="J66" s="92">
        <v>50</v>
      </c>
      <c r="K66" s="90" t="str">
        <f t="shared" si="3"/>
        <v/>
      </c>
      <c r="L66" s="94">
        <v>19</v>
      </c>
      <c r="M66" s="90" t="str">
        <f t="shared" si="4"/>
        <v/>
      </c>
      <c r="N66" s="94">
        <v>41</v>
      </c>
      <c r="O66" s="90" t="str">
        <f t="shared" si="5"/>
        <v/>
      </c>
      <c r="P66" s="92">
        <v>52</v>
      </c>
      <c r="Q66" s="90" t="str">
        <f t="shared" si="6"/>
        <v/>
      </c>
      <c r="R66" s="94">
        <v>21</v>
      </c>
      <c r="S66" s="90" t="str">
        <f t="shared" si="7"/>
        <v/>
      </c>
      <c r="T66" s="94">
        <v>22</v>
      </c>
      <c r="U66" s="90" t="str">
        <f t="shared" si="8"/>
        <v/>
      </c>
      <c r="V66" s="92">
        <v>67</v>
      </c>
      <c r="W66" s="90" t="str">
        <f t="shared" si="9"/>
        <v/>
      </c>
      <c r="X66" s="94">
        <v>22</v>
      </c>
      <c r="Y66" s="90" t="str">
        <f t="shared" si="10"/>
        <v/>
      </c>
      <c r="Z66" s="92">
        <v>61</v>
      </c>
      <c r="AA66" s="90" t="str">
        <f t="shared" si="11"/>
        <v/>
      </c>
      <c r="AB66" s="94">
        <v>19</v>
      </c>
      <c r="AC66" s="90" t="str">
        <f t="shared" si="12"/>
        <v/>
      </c>
      <c r="AD66" s="94">
        <v>18</v>
      </c>
      <c r="AE66" s="90" t="str">
        <f t="shared" si="13"/>
        <v/>
      </c>
      <c r="AF66" s="92">
        <v>27</v>
      </c>
      <c r="AG66" s="89" t="str">
        <f t="shared" si="14"/>
        <v/>
      </c>
      <c r="AH66" s="94">
        <v>21</v>
      </c>
      <c r="AI66" s="90" t="str">
        <f t="shared" si="15"/>
        <v/>
      </c>
      <c r="AJ66" s="108">
        <f>IF(AND(OR(COUNTIF(D66:AI66,"=31")&gt;=1,COUNTIF(D66:AI66,"=32")&gt;=1,COUNTIF(D66:AI66,"=33")&gt;=1,COUNTIF(D66:AI66,"=34")&gt;=1,COUNTIF(D66:AI66,"=35")=1,COUNTIF(D66:AI66,"=36")&gt;=1 ),COUNTIF(D66:AI66,"")=0,COUNTIF(D66:AI66," ")=0,COUNTIF(D66:AI66,"F")=1),CONCATENATE(SUM(EXTRACTNUMBER(D66),EXTRACTNUMBER(F66),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EXTRACTNUMBER(AD66),EXTRACTNUMBER(AF66),EXTRACTNUMBER(AH66)),"*"),IF(AND(COUNTIF(D66:AI66,"=34")&gt;=1,COUNTIF(D66:AI66,"=35")&gt;=1,COUNTIF(D66:AI66,"f")=2,COUNTIF(D66:AI66,"")=0,COUNTIF(D66:AI66," ")=0),CONCATENATE(SUM(EXTRACTNUMBER(D66),EXTRACTNUMBER(F66),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EXTRACTNUMBER(AD66),EXTRACTNUMBER(AF66),EXTRACTNUMBER(AH66)),"*"),IF(AND(COUNTIF(D66:AI66,"=36")&gt;=2,COUNTIF(D66:AI66,"f")=2,COUNTIF(D66:AI66,"")=0,COUNTIF(D66:AI66," ")=0),CONCATENATE(SUM(EXTRACTNUMBER(D66),EXTRACTNUMBER(F66),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EXTRACTNUMBER(AD66),EXTRACTNUMBER(AF66),EXTRACTNUMBER(AH66)),"*"),SUM(EXTRACTNUMBER(D66),EXTRACTNUMBER(F66),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EXTRACTNUMBER(AD66),EXTRACTNUMBER(AF66),EXTRACTNUMBER(AH66)))))</f>
        <v>576</v>
      </c>
      <c r="AK66" s="24" t="str">
        <f t="shared" si="16"/>
        <v>PASS</v>
      </c>
      <c r="AL66" s="25" t="str">
        <f>SPELLNUMBER(extractnumber_tot(AJ66))</f>
        <v xml:space="preserve">Five Hundred Seventy Six </v>
      </c>
    </row>
    <row r="67" spans="2:38" s="22" customFormat="1" ht="15.95" customHeight="1">
      <c r="B67" s="97">
        <v>235243</v>
      </c>
      <c r="C67" s="98" t="s">
        <v>510</v>
      </c>
      <c r="D67" s="95">
        <v>64</v>
      </c>
      <c r="E67" s="89" t="str">
        <f t="shared" si="0"/>
        <v/>
      </c>
      <c r="F67" s="94">
        <v>21</v>
      </c>
      <c r="G67" s="89" t="str">
        <f t="shared" si="1"/>
        <v/>
      </c>
      <c r="H67" s="94">
        <v>46</v>
      </c>
      <c r="I67" s="90" t="str">
        <f t="shared" si="2"/>
        <v/>
      </c>
      <c r="J67" s="92">
        <v>52</v>
      </c>
      <c r="K67" s="90" t="str">
        <f t="shared" si="3"/>
        <v/>
      </c>
      <c r="L67" s="94">
        <v>19</v>
      </c>
      <c r="M67" s="90" t="str">
        <f t="shared" si="4"/>
        <v/>
      </c>
      <c r="N67" s="94">
        <v>38</v>
      </c>
      <c r="O67" s="90" t="str">
        <f t="shared" si="5"/>
        <v/>
      </c>
      <c r="P67" s="92">
        <v>44</v>
      </c>
      <c r="Q67" s="90" t="str">
        <f t="shared" si="6"/>
        <v/>
      </c>
      <c r="R67" s="94">
        <v>21</v>
      </c>
      <c r="S67" s="90" t="str">
        <f t="shared" si="7"/>
        <v/>
      </c>
      <c r="T67" s="94">
        <v>22</v>
      </c>
      <c r="U67" s="90" t="str">
        <f t="shared" si="8"/>
        <v/>
      </c>
      <c r="V67" s="92">
        <v>59</v>
      </c>
      <c r="W67" s="90" t="str">
        <f t="shared" si="9"/>
        <v/>
      </c>
      <c r="X67" s="94">
        <v>24</v>
      </c>
      <c r="Y67" s="90" t="str">
        <f t="shared" si="10"/>
        <v/>
      </c>
      <c r="Z67" s="92">
        <v>58</v>
      </c>
      <c r="AA67" s="90" t="str">
        <f t="shared" si="11"/>
        <v/>
      </c>
      <c r="AB67" s="94">
        <v>22</v>
      </c>
      <c r="AC67" s="90" t="str">
        <f t="shared" si="12"/>
        <v/>
      </c>
      <c r="AD67" s="94">
        <v>21</v>
      </c>
      <c r="AE67" s="90" t="str">
        <f t="shared" si="13"/>
        <v/>
      </c>
      <c r="AF67" s="92">
        <v>28</v>
      </c>
      <c r="AG67" s="89" t="str">
        <f t="shared" si="14"/>
        <v/>
      </c>
      <c r="AH67" s="94">
        <v>22</v>
      </c>
      <c r="AI67" s="90" t="str">
        <f t="shared" si="15"/>
        <v/>
      </c>
      <c r="AJ67" s="108">
        <f>IF(AND(OR(COUNTIF(D67:AI67,"=31")&gt;=1,COUNTIF(D67:AI67,"=32")&gt;=1,COUNTIF(D67:AI67,"=33")&gt;=1,COUNTIF(D67:AI67,"=34")&gt;=1,COUNTIF(D67:AI67,"=35")=1,COUNTIF(D67:AI67,"=36")&gt;=1 ),COUNTIF(D67:AI67,"")=0,COUNTIF(D67:AI67," ")=0,COUNTIF(D67:AI67,"F")=1),CONCATENATE(SUM(EXTRACTNUMBER(D67),EXTRACTNUMBER(F67),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EXTRACTNUMBER(AD67),EXTRACTNUMBER(AF67),EXTRACTNUMBER(AH67)),"*"),IF(AND(COUNTIF(D67:AI67,"=34")&gt;=1,COUNTIF(D67:AI67,"=35")&gt;=1,COUNTIF(D67:AI67,"f")=2,COUNTIF(D67:AI67,"")=0,COUNTIF(D67:AI67," ")=0),CONCATENATE(SUM(EXTRACTNUMBER(D67),EXTRACTNUMBER(F67),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EXTRACTNUMBER(AD67),EXTRACTNUMBER(AF67),EXTRACTNUMBER(AH67)),"*"),IF(AND(COUNTIF(D67:AI67,"=36")&gt;=2,COUNTIF(D67:AI67,"f")=2,COUNTIF(D67:AI67,"")=0,COUNTIF(D67:AI67," ")=0),CONCATENATE(SUM(EXTRACTNUMBER(D67),EXTRACTNUMBER(F67),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EXTRACTNUMBER(AD67),EXTRACTNUMBER(AF67),EXTRACTNUMBER(AH67)),"*"),SUM(EXTRACTNUMBER(D67),EXTRACTNUMBER(F67),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EXTRACTNUMBER(AD67),EXTRACTNUMBER(AF67),EXTRACTNUMBER(AH67)))))</f>
        <v>561</v>
      </c>
      <c r="AK67" s="24" t="str">
        <f t="shared" si="16"/>
        <v>PASS</v>
      </c>
      <c r="AL67" s="25" t="str">
        <f>SPELLNUMBER(extractnumber_tot(AJ67))</f>
        <v xml:space="preserve">Five Hundred Sixty One </v>
      </c>
    </row>
    <row r="68" spans="2:38" s="22" customFormat="1" ht="15.95" customHeight="1">
      <c r="B68" s="97">
        <v>235244</v>
      </c>
      <c r="C68" s="98" t="s">
        <v>511</v>
      </c>
      <c r="D68" s="95">
        <v>59</v>
      </c>
      <c r="E68" s="89" t="str">
        <f t="shared" si="0"/>
        <v/>
      </c>
      <c r="F68" s="94">
        <v>23</v>
      </c>
      <c r="G68" s="89" t="str">
        <f t="shared" si="1"/>
        <v/>
      </c>
      <c r="H68" s="94">
        <v>44</v>
      </c>
      <c r="I68" s="90" t="str">
        <f t="shared" si="2"/>
        <v/>
      </c>
      <c r="J68" s="92">
        <v>44</v>
      </c>
      <c r="K68" s="90" t="str">
        <f t="shared" si="3"/>
        <v/>
      </c>
      <c r="L68" s="94">
        <v>23</v>
      </c>
      <c r="M68" s="90" t="str">
        <f t="shared" si="4"/>
        <v/>
      </c>
      <c r="N68" s="94">
        <v>42</v>
      </c>
      <c r="O68" s="90" t="str">
        <f t="shared" si="5"/>
        <v/>
      </c>
      <c r="P68" s="92">
        <v>40</v>
      </c>
      <c r="Q68" s="90" t="str">
        <f t="shared" si="6"/>
        <v/>
      </c>
      <c r="R68" s="94">
        <v>23</v>
      </c>
      <c r="S68" s="90" t="str">
        <f t="shared" si="7"/>
        <v/>
      </c>
      <c r="T68" s="94">
        <v>22</v>
      </c>
      <c r="U68" s="90" t="str">
        <f t="shared" si="8"/>
        <v/>
      </c>
      <c r="V68" s="92">
        <v>40</v>
      </c>
      <c r="W68" s="90" t="str">
        <f t="shared" si="9"/>
        <v/>
      </c>
      <c r="X68" s="94">
        <v>23</v>
      </c>
      <c r="Y68" s="90" t="str">
        <f t="shared" si="10"/>
        <v/>
      </c>
      <c r="Z68" s="92">
        <v>56</v>
      </c>
      <c r="AA68" s="90" t="str">
        <f t="shared" si="11"/>
        <v/>
      </c>
      <c r="AB68" s="94">
        <v>23</v>
      </c>
      <c r="AC68" s="90" t="str">
        <f t="shared" si="12"/>
        <v/>
      </c>
      <c r="AD68" s="94">
        <v>20</v>
      </c>
      <c r="AE68" s="90" t="str">
        <f t="shared" si="13"/>
        <v/>
      </c>
      <c r="AF68" s="92">
        <v>30</v>
      </c>
      <c r="AG68" s="89" t="str">
        <f t="shared" si="14"/>
        <v/>
      </c>
      <c r="AH68" s="94">
        <v>23</v>
      </c>
      <c r="AI68" s="90" t="str">
        <f t="shared" si="15"/>
        <v/>
      </c>
      <c r="AJ68" s="108">
        <f>IF(AND(OR(COUNTIF(D68:AI68,"=31")&gt;=1,COUNTIF(D68:AI68,"=32")&gt;=1,COUNTIF(D68:AI68,"=33")&gt;=1,COUNTIF(D68:AI68,"=34")&gt;=1,COUNTIF(D68:AI68,"=35")=1,COUNTIF(D68:AI68,"=36")&gt;=1 ),COUNTIF(D68:AI68,"")=0,COUNTIF(D68:AI68," ")=0,COUNTIF(D68:AI68,"F")=1),CONCATENATE(SUM(EXTRACTNUMBER(D68),EXTRACTNUMBER(F68),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EXTRACTNUMBER(AD68),EXTRACTNUMBER(AF68),EXTRACTNUMBER(AH68)),"*"),IF(AND(COUNTIF(D68:AI68,"=34")&gt;=1,COUNTIF(D68:AI68,"=35")&gt;=1,COUNTIF(D68:AI68,"f")=2,COUNTIF(D68:AI68,"")=0,COUNTIF(D68:AI68," ")=0),CONCATENATE(SUM(EXTRACTNUMBER(D68),EXTRACTNUMBER(F68),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EXTRACTNUMBER(AD68),EXTRACTNUMBER(AF68),EXTRACTNUMBER(AH68)),"*"),IF(AND(COUNTIF(D68:AI68,"=36")&gt;=2,COUNTIF(D68:AI68,"f")=2,COUNTIF(D68:AI68,"")=0,COUNTIF(D68:AI68," ")=0),CONCATENATE(SUM(EXTRACTNUMBER(D68),EXTRACTNUMBER(F68),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EXTRACTNUMBER(AD68),EXTRACTNUMBER(AF68),EXTRACTNUMBER(AH68)),"*"),SUM(EXTRACTNUMBER(D68),EXTRACTNUMBER(F68),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EXTRACTNUMBER(AD68),EXTRACTNUMBER(AF68),EXTRACTNUMBER(AH68)))))</f>
        <v>535</v>
      </c>
      <c r="AK68" s="24" t="str">
        <f t="shared" si="16"/>
        <v>PASS</v>
      </c>
      <c r="AL68" s="25" t="str">
        <f>SPELLNUMBER(extractnumber_tot(AJ68))</f>
        <v xml:space="preserve">Five Hundred Thirty Five </v>
      </c>
    </row>
    <row r="69" spans="2:38" s="22" customFormat="1" ht="15.95" customHeight="1">
      <c r="B69" s="97">
        <v>235245</v>
      </c>
      <c r="C69" s="98" t="s">
        <v>512</v>
      </c>
      <c r="D69" s="95">
        <v>54</v>
      </c>
      <c r="E69" s="89" t="str">
        <f t="shared" si="0"/>
        <v/>
      </c>
      <c r="F69" s="94">
        <v>21</v>
      </c>
      <c r="G69" s="89" t="str">
        <f t="shared" si="1"/>
        <v/>
      </c>
      <c r="H69" s="94">
        <v>43</v>
      </c>
      <c r="I69" s="90" t="str">
        <f t="shared" si="2"/>
        <v/>
      </c>
      <c r="J69" s="92">
        <v>46</v>
      </c>
      <c r="K69" s="90" t="str">
        <f t="shared" si="3"/>
        <v/>
      </c>
      <c r="L69" s="94">
        <v>20</v>
      </c>
      <c r="M69" s="90" t="str">
        <f t="shared" si="4"/>
        <v/>
      </c>
      <c r="N69" s="94">
        <v>37</v>
      </c>
      <c r="O69" s="90" t="str">
        <f t="shared" si="5"/>
        <v/>
      </c>
      <c r="P69" s="92">
        <v>45</v>
      </c>
      <c r="Q69" s="90" t="str">
        <f t="shared" si="6"/>
        <v/>
      </c>
      <c r="R69" s="94">
        <v>17</v>
      </c>
      <c r="S69" s="90" t="str">
        <f t="shared" si="7"/>
        <v/>
      </c>
      <c r="T69" s="94">
        <v>21</v>
      </c>
      <c r="U69" s="90" t="str">
        <f t="shared" si="8"/>
        <v/>
      </c>
      <c r="V69" s="92">
        <v>42</v>
      </c>
      <c r="W69" s="90" t="str">
        <f t="shared" si="9"/>
        <v/>
      </c>
      <c r="X69" s="94">
        <v>22</v>
      </c>
      <c r="Y69" s="90" t="str">
        <f t="shared" si="10"/>
        <v/>
      </c>
      <c r="Z69" s="92">
        <v>46</v>
      </c>
      <c r="AA69" s="90" t="str">
        <f t="shared" si="11"/>
        <v/>
      </c>
      <c r="AB69" s="94">
        <v>20</v>
      </c>
      <c r="AC69" s="90" t="str">
        <f t="shared" si="12"/>
        <v/>
      </c>
      <c r="AD69" s="94">
        <v>18</v>
      </c>
      <c r="AE69" s="90" t="str">
        <f t="shared" si="13"/>
        <v/>
      </c>
      <c r="AF69" s="92">
        <v>35</v>
      </c>
      <c r="AG69" s="89" t="str">
        <f t="shared" si="14"/>
        <v/>
      </c>
      <c r="AH69" s="94">
        <v>18</v>
      </c>
      <c r="AI69" s="90" t="str">
        <f t="shared" si="15"/>
        <v/>
      </c>
      <c r="AJ69" s="108">
        <f>IF(AND(OR(COUNTIF(D69:AI69,"=31")&gt;=1,COUNTIF(D69:AI69,"=32")&gt;=1,COUNTIF(D69:AI69,"=33")&gt;=1,COUNTIF(D69:AI69,"=34")&gt;=1,COUNTIF(D69:AI69,"=35")=1,COUNTIF(D69:AI69,"=36")&gt;=1 ),COUNTIF(D69:AI69,"")=0,COUNTIF(D69:AI69," ")=0,COUNTIF(D69:AI69,"F")=1),CONCATENATE(SUM(EXTRACTNUMBER(D69),EXTRACTNUMBER(F69),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EXTRACTNUMBER(AD69),EXTRACTNUMBER(AF69),EXTRACTNUMBER(AH69)),"*"),IF(AND(COUNTIF(D69:AI69,"=34")&gt;=1,COUNTIF(D69:AI69,"=35")&gt;=1,COUNTIF(D69:AI69,"f")=2,COUNTIF(D69:AI69,"")=0,COUNTIF(D69:AI69," ")=0),CONCATENATE(SUM(EXTRACTNUMBER(D69),EXTRACTNUMBER(F69),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EXTRACTNUMBER(AD69),EXTRACTNUMBER(AF69),EXTRACTNUMBER(AH69)),"*"),IF(AND(COUNTIF(D69:AI69,"=36")&gt;=2,COUNTIF(D69:AI69,"f")=2,COUNTIF(D69:AI69,"")=0,COUNTIF(D69:AI69," ")=0),CONCATENATE(SUM(EXTRACTNUMBER(D69),EXTRACTNUMBER(F69),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EXTRACTNUMBER(AD69),EXTRACTNUMBER(AF69),EXTRACTNUMBER(AH69)),"*"),SUM(EXTRACTNUMBER(D69),EXTRACTNUMBER(F69),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EXTRACTNUMBER(AD69),EXTRACTNUMBER(AF69),EXTRACTNUMBER(AH69)))))</f>
        <v>505</v>
      </c>
      <c r="AK69" s="24" t="str">
        <f t="shared" si="16"/>
        <v>PASS</v>
      </c>
      <c r="AL69" s="25" t="str">
        <f>SPELLNUMBER(extractnumber_tot(AJ69))</f>
        <v xml:space="preserve">Five Hundred Five </v>
      </c>
    </row>
    <row r="70" spans="2:38" s="26" customFormat="1" ht="15.95" customHeight="1">
      <c r="B70" s="97">
        <v>235246</v>
      </c>
      <c r="C70" s="98" t="s">
        <v>513</v>
      </c>
      <c r="D70" s="95">
        <v>27</v>
      </c>
      <c r="E70" s="89" t="str">
        <f t="shared" si="0"/>
        <v>F</v>
      </c>
      <c r="F70" s="94">
        <v>20</v>
      </c>
      <c r="G70" s="89" t="str">
        <f t="shared" si="1"/>
        <v>E</v>
      </c>
      <c r="H70" s="94">
        <v>42</v>
      </c>
      <c r="I70" s="90" t="str">
        <f t="shared" si="2"/>
        <v>E</v>
      </c>
      <c r="J70" s="92">
        <v>29</v>
      </c>
      <c r="K70" s="90" t="str">
        <f t="shared" si="3"/>
        <v>F</v>
      </c>
      <c r="L70" s="94">
        <v>22</v>
      </c>
      <c r="M70" s="90" t="str">
        <f t="shared" si="4"/>
        <v>E</v>
      </c>
      <c r="N70" s="94">
        <v>38</v>
      </c>
      <c r="O70" s="90" t="str">
        <f t="shared" si="5"/>
        <v>E</v>
      </c>
      <c r="P70" s="92">
        <v>24</v>
      </c>
      <c r="Q70" s="90" t="str">
        <f t="shared" si="6"/>
        <v>F</v>
      </c>
      <c r="R70" s="94">
        <v>21</v>
      </c>
      <c r="S70" s="90" t="str">
        <f t="shared" si="7"/>
        <v>E</v>
      </c>
      <c r="T70" s="94">
        <v>22</v>
      </c>
      <c r="U70" s="90" t="str">
        <f t="shared" si="8"/>
        <v>E</v>
      </c>
      <c r="V70" s="92">
        <v>18</v>
      </c>
      <c r="W70" s="90" t="str">
        <f t="shared" si="9"/>
        <v>F</v>
      </c>
      <c r="X70" s="94">
        <v>23</v>
      </c>
      <c r="Y70" s="90" t="str">
        <f t="shared" si="10"/>
        <v>E</v>
      </c>
      <c r="Z70" s="92">
        <v>22</v>
      </c>
      <c r="AA70" s="90" t="str">
        <f t="shared" si="11"/>
        <v>F</v>
      </c>
      <c r="AB70" s="94">
        <v>20</v>
      </c>
      <c r="AC70" s="90" t="str">
        <f t="shared" si="12"/>
        <v>E</v>
      </c>
      <c r="AD70" s="94">
        <v>20</v>
      </c>
      <c r="AE70" s="90" t="str">
        <f t="shared" si="13"/>
        <v>E</v>
      </c>
      <c r="AF70" s="92">
        <v>21</v>
      </c>
      <c r="AG70" s="89" t="str">
        <f t="shared" si="14"/>
        <v>E</v>
      </c>
      <c r="AH70" s="94">
        <v>18</v>
      </c>
      <c r="AI70" s="90" t="str">
        <f t="shared" si="15"/>
        <v>E</v>
      </c>
      <c r="AJ70" s="108">
        <f>IF(AND(OR(COUNTIF(D70:AI70,"=31")&gt;=1,COUNTIF(D70:AI70,"=32")&gt;=1,COUNTIF(D70:AI70,"=33")&gt;=1,COUNTIF(D70:AI70,"=34")&gt;=1,COUNTIF(D70:AI70,"=35")=1,COUNTIF(D70:AI70,"=36")&gt;=1 ),COUNTIF(D70:AI70,"")=0,COUNTIF(D70:AI70," ")=0,COUNTIF(D70:AI70,"F")=1),CONCATENATE(SUM(EXTRACTNUMBER(D70),EXTRACTNUMBER(F70),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EXTRACTNUMBER(AD70),EXTRACTNUMBER(AF70),EXTRACTNUMBER(AH70)),"*"),IF(AND(COUNTIF(D70:AI70,"=34")&gt;=1,COUNTIF(D70:AI70,"=35")&gt;=1,COUNTIF(D70:AI70,"f")=2,COUNTIF(D70:AI70,"")=0,COUNTIF(D70:AI70," ")=0),CONCATENATE(SUM(EXTRACTNUMBER(D70),EXTRACTNUMBER(F70),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EXTRACTNUMBER(AD70),EXTRACTNUMBER(AF70),EXTRACTNUMBER(AH70)),"*"),IF(AND(COUNTIF(D70:AI70,"=36")&gt;=2,COUNTIF(D70:AI70,"f")=2,COUNTIF(D70:AI70,"")=0,COUNTIF(D70:AI70," ")=0),CONCATENATE(SUM(EXTRACTNUMBER(D70),EXTRACTNUMBER(F70),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EXTRACTNUMBER(AD70),EXTRACTNUMBER(AF70),EXTRACTNUMBER(AH70)),"*"),SUM(EXTRACTNUMBER(D70),EXTRACTNUMBER(F70),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EXTRACTNUMBER(AD70),EXTRACTNUMBER(AF70),EXTRACTNUMBER(AH70)))))</f>
        <v>387</v>
      </c>
      <c r="AK70" s="24" t="str">
        <f t="shared" si="16"/>
        <v>FAIL</v>
      </c>
      <c r="AL70" s="25" t="str">
        <f>SPELLNUMBER(extractnumber_tot(AJ70))</f>
        <v xml:space="preserve">Three Hundred Eighty Seven </v>
      </c>
    </row>
    <row r="71" spans="2:38" s="26" customFormat="1" ht="15.95" customHeight="1">
      <c r="B71" s="97">
        <v>235247</v>
      </c>
      <c r="C71" s="98" t="s">
        <v>514</v>
      </c>
      <c r="D71" s="95">
        <v>65</v>
      </c>
      <c r="E71" s="89" t="str">
        <f t="shared" si="0"/>
        <v/>
      </c>
      <c r="F71" s="94">
        <v>20</v>
      </c>
      <c r="G71" s="89" t="str">
        <f t="shared" si="1"/>
        <v/>
      </c>
      <c r="H71" s="94">
        <v>43</v>
      </c>
      <c r="I71" s="90" t="str">
        <f t="shared" si="2"/>
        <v/>
      </c>
      <c r="J71" s="92">
        <v>52</v>
      </c>
      <c r="K71" s="90" t="str">
        <f t="shared" si="3"/>
        <v/>
      </c>
      <c r="L71" s="94">
        <v>18</v>
      </c>
      <c r="M71" s="90" t="str">
        <f t="shared" si="4"/>
        <v/>
      </c>
      <c r="N71" s="94">
        <v>40</v>
      </c>
      <c r="O71" s="90" t="str">
        <f t="shared" si="5"/>
        <v/>
      </c>
      <c r="P71" s="92">
        <v>51</v>
      </c>
      <c r="Q71" s="90" t="str">
        <f t="shared" si="6"/>
        <v/>
      </c>
      <c r="R71" s="94">
        <v>21</v>
      </c>
      <c r="S71" s="90" t="str">
        <f t="shared" si="7"/>
        <v/>
      </c>
      <c r="T71" s="94">
        <v>23</v>
      </c>
      <c r="U71" s="90" t="str">
        <f t="shared" si="8"/>
        <v/>
      </c>
      <c r="V71" s="92">
        <v>59</v>
      </c>
      <c r="W71" s="90" t="str">
        <f t="shared" si="9"/>
        <v/>
      </c>
      <c r="X71" s="94">
        <v>20</v>
      </c>
      <c r="Y71" s="90" t="str">
        <f t="shared" si="10"/>
        <v/>
      </c>
      <c r="Z71" s="92">
        <v>47</v>
      </c>
      <c r="AA71" s="90" t="str">
        <f t="shared" si="11"/>
        <v/>
      </c>
      <c r="AB71" s="94">
        <v>20</v>
      </c>
      <c r="AC71" s="90" t="str">
        <f t="shared" si="12"/>
        <v/>
      </c>
      <c r="AD71" s="94">
        <v>21</v>
      </c>
      <c r="AE71" s="90" t="str">
        <f t="shared" si="13"/>
        <v/>
      </c>
      <c r="AF71" s="92">
        <v>32</v>
      </c>
      <c r="AG71" s="89" t="str">
        <f t="shared" si="14"/>
        <v/>
      </c>
      <c r="AH71" s="94">
        <v>21</v>
      </c>
      <c r="AI71" s="90" t="str">
        <f t="shared" si="15"/>
        <v/>
      </c>
      <c r="AJ71" s="108">
        <f>IF(AND(OR(COUNTIF(D71:AI71,"=31")&gt;=1,COUNTIF(D71:AI71,"=32")&gt;=1,COUNTIF(D71:AI71,"=33")&gt;=1,COUNTIF(D71:AI71,"=34")&gt;=1,COUNTIF(D71:AI71,"=35")=1,COUNTIF(D71:AI71,"=36")&gt;=1 ),COUNTIF(D71:AI71,"")=0,COUNTIF(D71:AI71," ")=0,COUNTIF(D71:AI71,"F")=1),CONCATENATE(SUM(EXTRACTNUMBER(D71),EXTRACTNUMBER(F71),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EXTRACTNUMBER(AD71),EXTRACTNUMBER(AF71),EXTRACTNUMBER(AH71)),"*"),IF(AND(COUNTIF(D71:AI71,"=34")&gt;=1,COUNTIF(D71:AI71,"=35")&gt;=1,COUNTIF(D71:AI71,"f")=2,COUNTIF(D71:AI71,"")=0,COUNTIF(D71:AI71," ")=0),CONCATENATE(SUM(EXTRACTNUMBER(D71),EXTRACTNUMBER(F71),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EXTRACTNUMBER(AD71),EXTRACTNUMBER(AF71),EXTRACTNUMBER(AH71)),"*"),IF(AND(COUNTIF(D71:AI71,"=36")&gt;=2,COUNTIF(D71:AI71,"f")=2,COUNTIF(D71:AI71,"")=0,COUNTIF(D71:AI71," ")=0),CONCATENATE(SUM(EXTRACTNUMBER(D71),EXTRACTNUMBER(F71),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EXTRACTNUMBER(AD71),EXTRACTNUMBER(AF71),EXTRACTNUMBER(AH71)),"*"),SUM(EXTRACTNUMBER(D71),EXTRACTNUMBER(F71),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EXTRACTNUMBER(AD71),EXTRACTNUMBER(AF71),EXTRACTNUMBER(AH71)))))</f>
        <v>553</v>
      </c>
      <c r="AK71" s="24" t="str">
        <f t="shared" si="16"/>
        <v>PASS</v>
      </c>
      <c r="AL71" s="25" t="str">
        <f>SPELLNUMBER(extractnumber_tot(AJ71))</f>
        <v xml:space="preserve">Five Hundred Fifty Three </v>
      </c>
    </row>
    <row r="72" spans="2:38" s="26" customFormat="1" ht="15.95" customHeight="1">
      <c r="B72" s="97">
        <v>235248</v>
      </c>
      <c r="C72" s="98" t="s">
        <v>515</v>
      </c>
      <c r="D72" s="95">
        <v>56</v>
      </c>
      <c r="E72" s="89" t="str">
        <f t="shared" si="0"/>
        <v/>
      </c>
      <c r="F72" s="94">
        <v>23</v>
      </c>
      <c r="G72" s="89" t="str">
        <f t="shared" si="1"/>
        <v/>
      </c>
      <c r="H72" s="94">
        <v>43</v>
      </c>
      <c r="I72" s="90" t="str">
        <f t="shared" si="2"/>
        <v/>
      </c>
      <c r="J72" s="92">
        <v>53</v>
      </c>
      <c r="K72" s="90" t="str">
        <f t="shared" si="3"/>
        <v/>
      </c>
      <c r="L72" s="94">
        <v>23</v>
      </c>
      <c r="M72" s="90" t="str">
        <f t="shared" si="4"/>
        <v/>
      </c>
      <c r="N72" s="94">
        <v>39</v>
      </c>
      <c r="O72" s="90" t="str">
        <f t="shared" si="5"/>
        <v/>
      </c>
      <c r="P72" s="92">
        <v>40</v>
      </c>
      <c r="Q72" s="90" t="str">
        <f t="shared" si="6"/>
        <v/>
      </c>
      <c r="R72" s="94">
        <v>23</v>
      </c>
      <c r="S72" s="90" t="str">
        <f t="shared" si="7"/>
        <v/>
      </c>
      <c r="T72" s="94">
        <v>23</v>
      </c>
      <c r="U72" s="90" t="str">
        <f t="shared" si="8"/>
        <v/>
      </c>
      <c r="V72" s="92">
        <v>41</v>
      </c>
      <c r="W72" s="90" t="str">
        <f t="shared" si="9"/>
        <v/>
      </c>
      <c r="X72" s="94">
        <v>23</v>
      </c>
      <c r="Y72" s="90" t="str">
        <f t="shared" si="10"/>
        <v/>
      </c>
      <c r="Z72" s="92">
        <v>48</v>
      </c>
      <c r="AA72" s="90" t="str">
        <f t="shared" si="11"/>
        <v/>
      </c>
      <c r="AB72" s="94">
        <v>23</v>
      </c>
      <c r="AC72" s="90" t="str">
        <f t="shared" si="12"/>
        <v/>
      </c>
      <c r="AD72" s="94">
        <v>20</v>
      </c>
      <c r="AE72" s="90" t="str">
        <f t="shared" si="13"/>
        <v/>
      </c>
      <c r="AF72" s="92">
        <v>35</v>
      </c>
      <c r="AG72" s="89" t="str">
        <f t="shared" si="14"/>
        <v/>
      </c>
      <c r="AH72" s="94">
        <v>23</v>
      </c>
      <c r="AI72" s="90" t="str">
        <f t="shared" si="15"/>
        <v/>
      </c>
      <c r="AJ72" s="108">
        <f>IF(AND(OR(COUNTIF(D72:AI72,"=31")&gt;=1,COUNTIF(D72:AI72,"=32")&gt;=1,COUNTIF(D72:AI72,"=33")&gt;=1,COUNTIF(D72:AI72,"=34")&gt;=1,COUNTIF(D72:AI72,"=35")=1,COUNTIF(D72:AI72,"=36")&gt;=1 ),COUNTIF(D72:AI72,"")=0,COUNTIF(D72:AI72," ")=0,COUNTIF(D72:AI72,"F")=1),CONCATENATE(SUM(EXTRACTNUMBER(D72),EXTRACTNUMBER(F72),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EXTRACTNUMBER(AD72),EXTRACTNUMBER(AF72),EXTRACTNUMBER(AH72)),"*"),IF(AND(COUNTIF(D72:AI72,"=34")&gt;=1,COUNTIF(D72:AI72,"=35")&gt;=1,COUNTIF(D72:AI72,"f")=2,COUNTIF(D72:AI72,"")=0,COUNTIF(D72:AI72," ")=0),CONCATENATE(SUM(EXTRACTNUMBER(D72),EXTRACTNUMBER(F72),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EXTRACTNUMBER(AD72),EXTRACTNUMBER(AF72),EXTRACTNUMBER(AH72)),"*"),IF(AND(COUNTIF(D72:AI72,"=36")&gt;=2,COUNTIF(D72:AI72,"f")=2,COUNTIF(D72:AI72,"")=0,COUNTIF(D72:AI72," ")=0),CONCATENATE(SUM(EXTRACTNUMBER(D72),EXTRACTNUMBER(F72),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EXTRACTNUMBER(AD72),EXTRACTNUMBER(AF72),EXTRACTNUMBER(AH72)),"*"),SUM(EXTRACTNUMBER(D72),EXTRACTNUMBER(F72),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EXTRACTNUMBER(AD72),EXTRACTNUMBER(AF72),EXTRACTNUMBER(AH72)))))</f>
        <v>536</v>
      </c>
      <c r="AK72" s="24" t="str">
        <f t="shared" si="16"/>
        <v>PASS</v>
      </c>
      <c r="AL72" s="25" t="str">
        <f>SPELLNUMBER(extractnumber_tot(AJ72))</f>
        <v xml:space="preserve">Five Hundred Thirty Six </v>
      </c>
    </row>
    <row r="73" spans="2:38" s="26" customFormat="1" ht="15.95" customHeight="1">
      <c r="B73" s="97">
        <v>235249</v>
      </c>
      <c r="C73" s="98" t="s">
        <v>516</v>
      </c>
      <c r="D73" s="95">
        <v>40</v>
      </c>
      <c r="E73" s="89" t="str">
        <f t="shared" si="0"/>
        <v>E</v>
      </c>
      <c r="F73" s="94">
        <v>23</v>
      </c>
      <c r="G73" s="89" t="str">
        <f t="shared" si="1"/>
        <v>E</v>
      </c>
      <c r="H73" s="94">
        <v>39</v>
      </c>
      <c r="I73" s="90" t="str">
        <f t="shared" si="2"/>
        <v>E</v>
      </c>
      <c r="J73" s="92">
        <v>40</v>
      </c>
      <c r="K73" s="90" t="str">
        <f t="shared" si="3"/>
        <v>E</v>
      </c>
      <c r="L73" s="94">
        <v>23</v>
      </c>
      <c r="M73" s="90" t="str">
        <f t="shared" si="4"/>
        <v>E</v>
      </c>
      <c r="N73" s="94">
        <v>37</v>
      </c>
      <c r="O73" s="90" t="str">
        <f t="shared" si="5"/>
        <v>E</v>
      </c>
      <c r="P73" s="92">
        <v>40</v>
      </c>
      <c r="Q73" s="90" t="str">
        <f t="shared" si="6"/>
        <v>E</v>
      </c>
      <c r="R73" s="94">
        <v>23</v>
      </c>
      <c r="S73" s="90" t="str">
        <f t="shared" si="7"/>
        <v>E</v>
      </c>
      <c r="T73" s="94">
        <v>22</v>
      </c>
      <c r="U73" s="90" t="str">
        <f t="shared" si="8"/>
        <v>E</v>
      </c>
      <c r="V73" s="92">
        <v>26</v>
      </c>
      <c r="W73" s="90" t="str">
        <f t="shared" si="9"/>
        <v>F</v>
      </c>
      <c r="X73" s="94">
        <v>23</v>
      </c>
      <c r="Y73" s="90" t="str">
        <f t="shared" si="10"/>
        <v>E</v>
      </c>
      <c r="Z73" s="92">
        <v>40</v>
      </c>
      <c r="AA73" s="90" t="str">
        <f t="shared" si="11"/>
        <v>E</v>
      </c>
      <c r="AB73" s="94">
        <v>22</v>
      </c>
      <c r="AC73" s="90" t="str">
        <f t="shared" si="12"/>
        <v>E</v>
      </c>
      <c r="AD73" s="94">
        <v>20</v>
      </c>
      <c r="AE73" s="90" t="str">
        <f t="shared" si="13"/>
        <v>E</v>
      </c>
      <c r="AF73" s="92">
        <v>30</v>
      </c>
      <c r="AG73" s="89" t="str">
        <f t="shared" si="14"/>
        <v>E</v>
      </c>
      <c r="AH73" s="94">
        <v>23</v>
      </c>
      <c r="AI73" s="90" t="str">
        <f t="shared" si="15"/>
        <v>E</v>
      </c>
      <c r="AJ73" s="108">
        <f>IF(AND(OR(COUNTIF(D73:AI73,"=31")&gt;=1,COUNTIF(D73:AI73,"=32")&gt;=1,COUNTIF(D73:AI73,"=33")&gt;=1,COUNTIF(D73:AI73,"=34")&gt;=1,COUNTIF(D73:AI73,"=35")=1,COUNTIF(D73:AI73,"=36")&gt;=1 ),COUNTIF(D73:AI73,"")=0,COUNTIF(D73:AI73," ")=0,COUNTIF(D73:AI73,"F")=1),CONCATENATE(SUM(EXTRACTNUMBER(D73),EXTRACTNUMBER(F73),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EXTRACTNUMBER(AD73),EXTRACTNUMBER(AF73),EXTRACTNUMBER(AH73)),"*"),IF(AND(COUNTIF(D73:AI73,"=34")&gt;=1,COUNTIF(D73:AI73,"=35")&gt;=1,COUNTIF(D73:AI73,"f")=2,COUNTIF(D73:AI73,"")=0,COUNTIF(D73:AI73," ")=0),CONCATENATE(SUM(EXTRACTNUMBER(D73),EXTRACTNUMBER(F73),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EXTRACTNUMBER(AD73),EXTRACTNUMBER(AF73),EXTRACTNUMBER(AH73)),"*"),IF(AND(COUNTIF(D73:AI73,"=36")&gt;=2,COUNTIF(D73:AI73,"f")=2,COUNTIF(D73:AI73,"")=0,COUNTIF(D73:AI73," ")=0),CONCATENATE(SUM(EXTRACTNUMBER(D73),EXTRACTNUMBER(F73),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EXTRACTNUMBER(AD73),EXTRACTNUMBER(AF73),EXTRACTNUMBER(AH73)),"*"),SUM(EXTRACTNUMBER(D73),EXTRACTNUMBER(F73),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EXTRACTNUMBER(AD73),EXTRACTNUMBER(AF73),EXTRACTNUMBER(AH73)))))</f>
        <v>471</v>
      </c>
      <c r="AK73" s="24" t="str">
        <f t="shared" si="16"/>
        <v>FAIL</v>
      </c>
      <c r="AL73" s="25" t="str">
        <f>SPELLNUMBER(extractnumber_tot(AJ73))</f>
        <v xml:space="preserve">Four Hundred Seventy One </v>
      </c>
    </row>
    <row r="74" spans="2:38" s="26" customFormat="1" ht="15.95" customHeight="1">
      <c r="B74" s="97">
        <v>235250</v>
      </c>
      <c r="C74" s="98" t="s">
        <v>517</v>
      </c>
      <c r="D74" s="95">
        <v>58</v>
      </c>
      <c r="E74" s="89" t="str">
        <f t="shared" si="0"/>
        <v/>
      </c>
      <c r="F74" s="94">
        <v>20</v>
      </c>
      <c r="G74" s="89" t="str">
        <f t="shared" si="1"/>
        <v/>
      </c>
      <c r="H74" s="94">
        <v>42</v>
      </c>
      <c r="I74" s="90" t="str">
        <f t="shared" si="2"/>
        <v/>
      </c>
      <c r="J74" s="92">
        <v>56</v>
      </c>
      <c r="K74" s="90" t="str">
        <f t="shared" si="3"/>
        <v/>
      </c>
      <c r="L74" s="94">
        <v>18</v>
      </c>
      <c r="M74" s="90" t="str">
        <f t="shared" si="4"/>
        <v/>
      </c>
      <c r="N74" s="94">
        <v>37</v>
      </c>
      <c r="O74" s="90" t="str">
        <f t="shared" si="5"/>
        <v/>
      </c>
      <c r="P74" s="92">
        <v>44</v>
      </c>
      <c r="Q74" s="90" t="str">
        <f t="shared" si="6"/>
        <v/>
      </c>
      <c r="R74" s="94">
        <v>20</v>
      </c>
      <c r="S74" s="90" t="str">
        <f t="shared" si="7"/>
        <v/>
      </c>
      <c r="T74" s="94">
        <v>20</v>
      </c>
      <c r="U74" s="90" t="str">
        <f t="shared" si="8"/>
        <v/>
      </c>
      <c r="V74" s="92">
        <v>40</v>
      </c>
      <c r="W74" s="90" t="str">
        <f t="shared" si="9"/>
        <v/>
      </c>
      <c r="X74" s="94">
        <v>19</v>
      </c>
      <c r="Y74" s="90" t="str">
        <f t="shared" si="10"/>
        <v/>
      </c>
      <c r="Z74" s="92">
        <v>54</v>
      </c>
      <c r="AA74" s="90" t="str">
        <f t="shared" si="11"/>
        <v/>
      </c>
      <c r="AB74" s="94">
        <v>19</v>
      </c>
      <c r="AC74" s="90" t="str">
        <f t="shared" si="12"/>
        <v/>
      </c>
      <c r="AD74" s="94">
        <v>20</v>
      </c>
      <c r="AE74" s="90" t="str">
        <f t="shared" si="13"/>
        <v/>
      </c>
      <c r="AF74" s="92">
        <v>29</v>
      </c>
      <c r="AG74" s="89" t="str">
        <f t="shared" si="14"/>
        <v/>
      </c>
      <c r="AH74" s="94">
        <v>19</v>
      </c>
      <c r="AI74" s="90" t="str">
        <f t="shared" si="15"/>
        <v/>
      </c>
      <c r="AJ74" s="108">
        <f>IF(AND(OR(COUNTIF(D74:AI74,"=31")&gt;=1,COUNTIF(D74:AI74,"=32")&gt;=1,COUNTIF(D74:AI74,"=33")&gt;=1,COUNTIF(D74:AI74,"=34")&gt;=1,COUNTIF(D74:AI74,"=35")=1,COUNTIF(D74:AI74,"=36")&gt;=1 ),COUNTIF(D74:AI74,"")=0,COUNTIF(D74:AI74," ")=0,COUNTIF(D74:AI74,"F")=1),CONCATENATE(SUM(EXTRACTNUMBER(D74),EXTRACTNUMBER(F74),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EXTRACTNUMBER(AD74),EXTRACTNUMBER(AF74),EXTRACTNUMBER(AH74)),"*"),IF(AND(COUNTIF(D74:AI74,"=34")&gt;=1,COUNTIF(D74:AI74,"=35")&gt;=1,COUNTIF(D74:AI74,"f")=2,COUNTIF(D74:AI74,"")=0,COUNTIF(D74:AI74," ")=0),CONCATENATE(SUM(EXTRACTNUMBER(D74),EXTRACTNUMBER(F74),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EXTRACTNUMBER(AD74),EXTRACTNUMBER(AF74),EXTRACTNUMBER(AH74)),"*"),IF(AND(COUNTIF(D74:AI74,"=36")&gt;=2,COUNTIF(D74:AI74,"f")=2,COUNTIF(D74:AI74,"")=0,COUNTIF(D74:AI74," ")=0),CONCATENATE(SUM(EXTRACTNUMBER(D74),EXTRACTNUMBER(F74),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EXTRACTNUMBER(AD74),EXTRACTNUMBER(AF74),EXTRACTNUMBER(AH74)),"*"),SUM(EXTRACTNUMBER(D74),EXTRACTNUMBER(F74),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EXTRACTNUMBER(AD74),EXTRACTNUMBER(AF74),EXTRACTNUMBER(AH74)))))</f>
        <v>515</v>
      </c>
      <c r="AK74" s="24" t="str">
        <f t="shared" si="16"/>
        <v>PASS</v>
      </c>
      <c r="AL74" s="25" t="str">
        <f>SPELLNUMBER(extractnumber_tot(AJ74))</f>
        <v xml:space="preserve">Five Hundred Fifteen </v>
      </c>
    </row>
    <row r="75" spans="2:38" s="26" customFormat="1" ht="15.95" customHeight="1">
      <c r="B75" s="97">
        <v>235251</v>
      </c>
      <c r="C75" s="98" t="s">
        <v>518</v>
      </c>
      <c r="D75" s="95">
        <v>69</v>
      </c>
      <c r="E75" s="89" t="str">
        <f t="shared" si="0"/>
        <v>E</v>
      </c>
      <c r="F75" s="94">
        <v>23</v>
      </c>
      <c r="G75" s="89" t="str">
        <f t="shared" si="1"/>
        <v>E</v>
      </c>
      <c r="H75" s="94">
        <v>43</v>
      </c>
      <c r="I75" s="90" t="str">
        <f t="shared" si="2"/>
        <v>E</v>
      </c>
      <c r="J75" s="92">
        <v>59</v>
      </c>
      <c r="K75" s="90" t="str">
        <f t="shared" si="3"/>
        <v>E</v>
      </c>
      <c r="L75" s="94">
        <v>23</v>
      </c>
      <c r="M75" s="90" t="str">
        <f t="shared" si="4"/>
        <v>E</v>
      </c>
      <c r="N75" s="94">
        <v>44</v>
      </c>
      <c r="O75" s="90" t="str">
        <f t="shared" si="5"/>
        <v>E</v>
      </c>
      <c r="P75" s="92">
        <v>43</v>
      </c>
      <c r="Q75" s="90" t="str">
        <f t="shared" si="6"/>
        <v>E</v>
      </c>
      <c r="R75" s="94">
        <v>23</v>
      </c>
      <c r="S75" s="90" t="str">
        <f t="shared" si="7"/>
        <v>E</v>
      </c>
      <c r="T75" s="94">
        <v>20</v>
      </c>
      <c r="U75" s="90" t="str">
        <f t="shared" si="8"/>
        <v>E</v>
      </c>
      <c r="V75" s="92">
        <v>23</v>
      </c>
      <c r="W75" s="90" t="str">
        <f t="shared" si="9"/>
        <v>F</v>
      </c>
      <c r="X75" s="94">
        <v>23</v>
      </c>
      <c r="Y75" s="90" t="str">
        <f t="shared" si="10"/>
        <v>E</v>
      </c>
      <c r="Z75" s="92">
        <v>58</v>
      </c>
      <c r="AA75" s="90" t="str">
        <f t="shared" si="11"/>
        <v>E</v>
      </c>
      <c r="AB75" s="94">
        <v>23</v>
      </c>
      <c r="AC75" s="90" t="str">
        <f t="shared" si="12"/>
        <v>E</v>
      </c>
      <c r="AD75" s="94">
        <v>24</v>
      </c>
      <c r="AE75" s="90" t="str">
        <f t="shared" si="13"/>
        <v>E</v>
      </c>
      <c r="AF75" s="92">
        <v>29</v>
      </c>
      <c r="AG75" s="89" t="str">
        <f t="shared" si="14"/>
        <v>E</v>
      </c>
      <c r="AH75" s="94">
        <v>20</v>
      </c>
      <c r="AI75" s="90" t="str">
        <f t="shared" si="15"/>
        <v>E</v>
      </c>
      <c r="AJ75" s="108">
        <f>IF(AND(OR(COUNTIF(D75:AI75,"=31")&gt;=1,COUNTIF(D75:AI75,"=32")&gt;=1,COUNTIF(D75:AI75,"=33")&gt;=1,COUNTIF(D75:AI75,"=34")&gt;=1,COUNTIF(D75:AI75,"=35")=1,COUNTIF(D75:AI75,"=36")&gt;=1 ),COUNTIF(D75:AI75,"")=0,COUNTIF(D75:AI75," ")=0,COUNTIF(D75:AI75,"F")=1),CONCATENATE(SUM(EXTRACTNUMBER(D75),EXTRACTNUMBER(F75),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EXTRACTNUMBER(AD75),EXTRACTNUMBER(AF75),EXTRACTNUMBER(AH75)),"*"),IF(AND(COUNTIF(D75:AI75,"=34")&gt;=1,COUNTIF(D75:AI75,"=35")&gt;=1,COUNTIF(D75:AI75,"f")=2,COUNTIF(D75:AI75,"")=0,COUNTIF(D75:AI75," ")=0),CONCATENATE(SUM(EXTRACTNUMBER(D75),EXTRACTNUMBER(F75),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EXTRACTNUMBER(AD75),EXTRACTNUMBER(AF75),EXTRACTNUMBER(AH75)),"*"),IF(AND(COUNTIF(D75:AI75,"=36")&gt;=2,COUNTIF(D75:AI75,"f")=2,COUNTIF(D75:AI75,"")=0,COUNTIF(D75:AI75," ")=0),CONCATENATE(SUM(EXTRACTNUMBER(D75),EXTRACTNUMBER(F75),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EXTRACTNUMBER(AD75),EXTRACTNUMBER(AF75),EXTRACTNUMBER(AH75)),"*"),SUM(EXTRACTNUMBER(D75),EXTRACTNUMBER(F75),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EXTRACTNUMBER(AD75),EXTRACTNUMBER(AF75),EXTRACTNUMBER(AH75)))))</f>
        <v>547</v>
      </c>
      <c r="AK75" s="24" t="str">
        <f t="shared" si="16"/>
        <v>FAIL</v>
      </c>
      <c r="AL75" s="25" t="str">
        <f>SPELLNUMBER(extractnumber_tot(AJ75))</f>
        <v xml:space="preserve">Five Hundred Forty Seven </v>
      </c>
    </row>
    <row r="76" spans="2:38" s="26" customFormat="1" ht="15.95" customHeight="1">
      <c r="B76" s="97">
        <v>235252</v>
      </c>
      <c r="C76" s="98" t="s">
        <v>519</v>
      </c>
      <c r="D76" s="95">
        <v>47</v>
      </c>
      <c r="E76" s="89" t="str">
        <f t="shared" si="0"/>
        <v>E</v>
      </c>
      <c r="F76" s="94">
        <v>22</v>
      </c>
      <c r="G76" s="89" t="str">
        <f t="shared" si="1"/>
        <v>E</v>
      </c>
      <c r="H76" s="94">
        <v>40</v>
      </c>
      <c r="I76" s="90" t="str">
        <f t="shared" si="2"/>
        <v>E</v>
      </c>
      <c r="J76" s="92">
        <v>40</v>
      </c>
      <c r="K76" s="90" t="str">
        <f t="shared" si="3"/>
        <v>E</v>
      </c>
      <c r="L76" s="94">
        <v>20</v>
      </c>
      <c r="M76" s="90" t="str">
        <f t="shared" si="4"/>
        <v>E</v>
      </c>
      <c r="N76" s="94">
        <v>37</v>
      </c>
      <c r="O76" s="90" t="str">
        <f t="shared" si="5"/>
        <v>E</v>
      </c>
      <c r="P76" s="92">
        <v>32</v>
      </c>
      <c r="Q76" s="90" t="str">
        <f t="shared" si="6"/>
        <v>F</v>
      </c>
      <c r="R76" s="94">
        <v>22</v>
      </c>
      <c r="S76" s="90" t="str">
        <f t="shared" si="7"/>
        <v>E</v>
      </c>
      <c r="T76" s="94">
        <v>22</v>
      </c>
      <c r="U76" s="90" t="str">
        <f t="shared" si="8"/>
        <v>E</v>
      </c>
      <c r="V76" s="92">
        <v>18</v>
      </c>
      <c r="W76" s="90" t="str">
        <f t="shared" si="9"/>
        <v>F</v>
      </c>
      <c r="X76" s="94">
        <v>21</v>
      </c>
      <c r="Y76" s="90" t="str">
        <f t="shared" si="10"/>
        <v>E</v>
      </c>
      <c r="Z76" s="92">
        <v>25</v>
      </c>
      <c r="AA76" s="90" t="str">
        <f t="shared" si="11"/>
        <v>F</v>
      </c>
      <c r="AB76" s="94">
        <v>20</v>
      </c>
      <c r="AC76" s="90" t="str">
        <f t="shared" si="12"/>
        <v>E</v>
      </c>
      <c r="AD76" s="94">
        <v>18</v>
      </c>
      <c r="AE76" s="90" t="str">
        <f t="shared" si="13"/>
        <v>E</v>
      </c>
      <c r="AF76" s="92">
        <v>22</v>
      </c>
      <c r="AG76" s="89" t="str">
        <f t="shared" si="14"/>
        <v>E</v>
      </c>
      <c r="AH76" s="94">
        <v>18</v>
      </c>
      <c r="AI76" s="90" t="str">
        <f t="shared" si="15"/>
        <v>E</v>
      </c>
      <c r="AJ76" s="108">
        <f>IF(AND(OR(COUNTIF(D76:AI76,"=31")&gt;=1,COUNTIF(D76:AI76,"=32")&gt;=1,COUNTIF(D76:AI76,"=33")&gt;=1,COUNTIF(D76:AI76,"=34")&gt;=1,COUNTIF(D76:AI76,"=35")=1,COUNTIF(D76:AI76,"=36")&gt;=1 ),COUNTIF(D76:AI76,"")=0,COUNTIF(D76:AI76," ")=0,COUNTIF(D76:AI76,"F")=1),CONCATENATE(SUM(EXTRACTNUMBER(D76),EXTRACTNUMBER(F76),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EXTRACTNUMBER(AD76),EXTRACTNUMBER(AF76),EXTRACTNUMBER(AH76)),"*"),IF(AND(COUNTIF(D76:AI76,"=34")&gt;=1,COUNTIF(D76:AI76,"=35")&gt;=1,COUNTIF(D76:AI76,"f")=2,COUNTIF(D76:AI76,"")=0,COUNTIF(D76:AI76," ")=0),CONCATENATE(SUM(EXTRACTNUMBER(D76),EXTRACTNUMBER(F76),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EXTRACTNUMBER(AD76),EXTRACTNUMBER(AF76),EXTRACTNUMBER(AH76)),"*"),IF(AND(COUNTIF(D76:AI76,"=36")&gt;=2,COUNTIF(D76:AI76,"f")=2,COUNTIF(D76:AI76,"")=0,COUNTIF(D76:AI76," ")=0),CONCATENATE(SUM(EXTRACTNUMBER(D76),EXTRACTNUMBER(F76),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EXTRACTNUMBER(AD76),EXTRACTNUMBER(AF76),EXTRACTNUMBER(AH76)),"*"),SUM(EXTRACTNUMBER(D76),EXTRACTNUMBER(F76),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EXTRACTNUMBER(AD76),EXTRACTNUMBER(AF76),EXTRACTNUMBER(AH76)))))</f>
        <v>424</v>
      </c>
      <c r="AK76" s="24" t="str">
        <f t="shared" si="16"/>
        <v>FAIL</v>
      </c>
      <c r="AL76" s="25" t="str">
        <f>SPELLNUMBER(extractnumber_tot(AJ76))</f>
        <v xml:space="preserve">Four Hundred Twenty Four </v>
      </c>
    </row>
    <row r="77" spans="2:38" s="26" customFormat="1" ht="15.95" customHeight="1">
      <c r="B77" s="97">
        <v>235253</v>
      </c>
      <c r="C77" s="98" t="s">
        <v>520</v>
      </c>
      <c r="D77" s="95">
        <v>75</v>
      </c>
      <c r="E77" s="89" t="str">
        <f t="shared" si="0"/>
        <v>E</v>
      </c>
      <c r="F77" s="94">
        <v>21</v>
      </c>
      <c r="G77" s="89" t="str">
        <f t="shared" si="1"/>
        <v>E</v>
      </c>
      <c r="H77" s="94">
        <v>39</v>
      </c>
      <c r="I77" s="90" t="str">
        <f t="shared" si="2"/>
        <v>E</v>
      </c>
      <c r="J77" s="92">
        <v>29</v>
      </c>
      <c r="K77" s="90" t="str">
        <f t="shared" si="3"/>
        <v>F</v>
      </c>
      <c r="L77" s="94">
        <v>21</v>
      </c>
      <c r="M77" s="90" t="str">
        <f t="shared" si="4"/>
        <v>E</v>
      </c>
      <c r="N77" s="94">
        <v>38</v>
      </c>
      <c r="O77" s="90" t="str">
        <f t="shared" si="5"/>
        <v>E</v>
      </c>
      <c r="P77" s="92">
        <v>57</v>
      </c>
      <c r="Q77" s="90" t="str">
        <f t="shared" si="6"/>
        <v>E</v>
      </c>
      <c r="R77" s="94">
        <v>19</v>
      </c>
      <c r="S77" s="90" t="str">
        <f t="shared" si="7"/>
        <v>E</v>
      </c>
      <c r="T77" s="94">
        <v>20</v>
      </c>
      <c r="U77" s="90" t="str">
        <f t="shared" si="8"/>
        <v>E</v>
      </c>
      <c r="V77" s="92">
        <v>32</v>
      </c>
      <c r="W77" s="90" t="str">
        <f t="shared" si="9"/>
        <v>F</v>
      </c>
      <c r="X77" s="94">
        <v>21</v>
      </c>
      <c r="Y77" s="90" t="str">
        <f t="shared" si="10"/>
        <v>E</v>
      </c>
      <c r="Z77" s="92">
        <v>44</v>
      </c>
      <c r="AA77" s="90" t="str">
        <f t="shared" si="11"/>
        <v>E</v>
      </c>
      <c r="AB77" s="94">
        <v>19</v>
      </c>
      <c r="AC77" s="90" t="str">
        <f t="shared" si="12"/>
        <v>E</v>
      </c>
      <c r="AD77" s="94">
        <v>22</v>
      </c>
      <c r="AE77" s="90" t="str">
        <f t="shared" si="13"/>
        <v>E</v>
      </c>
      <c r="AF77" s="92">
        <v>25</v>
      </c>
      <c r="AG77" s="89" t="str">
        <f t="shared" si="14"/>
        <v>E</v>
      </c>
      <c r="AH77" s="94">
        <v>18</v>
      </c>
      <c r="AI77" s="90" t="str">
        <f t="shared" si="15"/>
        <v>E</v>
      </c>
      <c r="AJ77" s="108">
        <f>IF(AND(OR(COUNTIF(D77:AI77,"=31")&gt;=1,COUNTIF(D77:AI77,"=32")&gt;=1,COUNTIF(D77:AI77,"=33")&gt;=1,COUNTIF(D77:AI77,"=34")&gt;=1,COUNTIF(D77:AI77,"=35")=1,COUNTIF(D77:AI77,"=36")&gt;=1 ),COUNTIF(D77:AI77,"")=0,COUNTIF(D77:AI77," ")=0,COUNTIF(D77:AI77,"F")=1),CONCATENATE(SUM(EXTRACTNUMBER(D77),EXTRACTNUMBER(F77),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EXTRACTNUMBER(AD77),EXTRACTNUMBER(AF77),EXTRACTNUMBER(AH77)),"*"),IF(AND(COUNTIF(D77:AI77,"=34")&gt;=1,COUNTIF(D77:AI77,"=35")&gt;=1,COUNTIF(D77:AI77,"f")=2,COUNTIF(D77:AI77,"")=0,COUNTIF(D77:AI77," ")=0),CONCATENATE(SUM(EXTRACTNUMBER(D77),EXTRACTNUMBER(F77),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EXTRACTNUMBER(AD77),EXTRACTNUMBER(AF77),EXTRACTNUMBER(AH77)),"*"),IF(AND(COUNTIF(D77:AI77,"=36")&gt;=2,COUNTIF(D77:AI77,"f")=2,COUNTIF(D77:AI77,"")=0,COUNTIF(D77:AI77," ")=0),CONCATENATE(SUM(EXTRACTNUMBER(D77),EXTRACTNUMBER(F77),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EXTRACTNUMBER(AD77),EXTRACTNUMBER(AF77),EXTRACTNUMBER(AH77)),"*"),SUM(EXTRACTNUMBER(D77),EXTRACTNUMBER(F77),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EXTRACTNUMBER(AD77),EXTRACTNUMBER(AF77),EXTRACTNUMBER(AH77)))))</f>
        <v>500</v>
      </c>
      <c r="AK77" s="24" t="str">
        <f t="shared" si="16"/>
        <v>FAIL</v>
      </c>
      <c r="AL77" s="25" t="str">
        <f>SPELLNUMBER(extractnumber_tot(AJ77))</f>
        <v xml:space="preserve">Five Hundred  </v>
      </c>
    </row>
    <row r="78" spans="2:38" s="26" customFormat="1" ht="15.95" customHeight="1">
      <c r="B78" s="97">
        <v>235254</v>
      </c>
      <c r="C78" s="98" t="s">
        <v>521</v>
      </c>
      <c r="D78" s="95">
        <v>82</v>
      </c>
      <c r="E78" s="89" t="str">
        <f t="shared" si="0"/>
        <v/>
      </c>
      <c r="F78" s="94">
        <v>22</v>
      </c>
      <c r="G78" s="89" t="str">
        <f t="shared" si="1"/>
        <v/>
      </c>
      <c r="H78" s="94">
        <v>48</v>
      </c>
      <c r="I78" s="90" t="str">
        <f t="shared" si="2"/>
        <v/>
      </c>
      <c r="J78" s="92">
        <v>64</v>
      </c>
      <c r="K78" s="90" t="str">
        <f t="shared" si="3"/>
        <v/>
      </c>
      <c r="L78" s="94">
        <v>22</v>
      </c>
      <c r="M78" s="90" t="str">
        <f t="shared" si="4"/>
        <v/>
      </c>
      <c r="N78" s="94">
        <v>38</v>
      </c>
      <c r="O78" s="90" t="str">
        <f t="shared" si="5"/>
        <v/>
      </c>
      <c r="P78" s="92">
        <v>59</v>
      </c>
      <c r="Q78" s="90" t="str">
        <f t="shared" si="6"/>
        <v/>
      </c>
      <c r="R78" s="94">
        <v>22</v>
      </c>
      <c r="S78" s="90" t="str">
        <f t="shared" si="7"/>
        <v/>
      </c>
      <c r="T78" s="94">
        <v>21</v>
      </c>
      <c r="U78" s="90" t="str">
        <f t="shared" si="8"/>
        <v/>
      </c>
      <c r="V78" s="92">
        <v>60</v>
      </c>
      <c r="W78" s="90" t="str">
        <f t="shared" si="9"/>
        <v/>
      </c>
      <c r="X78" s="94">
        <v>22</v>
      </c>
      <c r="Y78" s="90" t="str">
        <f t="shared" si="10"/>
        <v/>
      </c>
      <c r="Z78" s="92">
        <v>58</v>
      </c>
      <c r="AA78" s="90" t="str">
        <f t="shared" si="11"/>
        <v/>
      </c>
      <c r="AB78" s="94">
        <v>20</v>
      </c>
      <c r="AC78" s="90" t="str">
        <f t="shared" si="12"/>
        <v/>
      </c>
      <c r="AD78" s="94">
        <v>20</v>
      </c>
      <c r="AE78" s="90" t="str">
        <f t="shared" si="13"/>
        <v/>
      </c>
      <c r="AF78" s="92">
        <v>30</v>
      </c>
      <c r="AG78" s="89" t="str">
        <f t="shared" si="14"/>
        <v/>
      </c>
      <c r="AH78" s="94">
        <v>21</v>
      </c>
      <c r="AI78" s="90" t="str">
        <f t="shared" si="15"/>
        <v/>
      </c>
      <c r="AJ78" s="108">
        <f>IF(AND(OR(COUNTIF(D78:AI78,"=31")&gt;=1,COUNTIF(D78:AI78,"=32")&gt;=1,COUNTIF(D78:AI78,"=33")&gt;=1,COUNTIF(D78:AI78,"=34")&gt;=1,COUNTIF(D78:AI78,"=35")=1,COUNTIF(D78:AI78,"=36")&gt;=1 ),COUNTIF(D78:AI78,"")=0,COUNTIF(D78:AI78," ")=0,COUNTIF(D78:AI78,"F")=1),CONCATENATE(SUM(EXTRACTNUMBER(D78),EXTRACTNUMBER(F78),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EXTRACTNUMBER(AD78),EXTRACTNUMBER(AF78),EXTRACTNUMBER(AH78)),"*"),IF(AND(COUNTIF(D78:AI78,"=34")&gt;=1,COUNTIF(D78:AI78,"=35")&gt;=1,COUNTIF(D78:AI78,"f")=2,COUNTIF(D78:AI78,"")=0,COUNTIF(D78:AI78," ")=0),CONCATENATE(SUM(EXTRACTNUMBER(D78),EXTRACTNUMBER(F78),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EXTRACTNUMBER(AD78),EXTRACTNUMBER(AF78),EXTRACTNUMBER(AH78)),"*"),IF(AND(COUNTIF(D78:AI78,"=36")&gt;=2,COUNTIF(D78:AI78,"f")=2,COUNTIF(D78:AI78,"")=0,COUNTIF(D78:AI78," ")=0),CONCATENATE(SUM(EXTRACTNUMBER(D78),EXTRACTNUMBER(F78),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EXTRACTNUMBER(AD78),EXTRACTNUMBER(AF78),EXTRACTNUMBER(AH78)),"*"),SUM(EXTRACTNUMBER(D78),EXTRACTNUMBER(F78),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EXTRACTNUMBER(AD78),EXTRACTNUMBER(AF78),EXTRACTNUMBER(AH78)))))</f>
        <v>609</v>
      </c>
      <c r="AK78" s="24" t="str">
        <f t="shared" si="16"/>
        <v>PASS</v>
      </c>
      <c r="AL78" s="25" t="str">
        <f>SPELLNUMBER(extractnumber_tot(AJ78))</f>
        <v xml:space="preserve">Six Hundred Nine </v>
      </c>
    </row>
    <row r="79" spans="2:38" s="26" customFormat="1" ht="15.95" customHeight="1">
      <c r="B79" s="97">
        <v>235255</v>
      </c>
      <c r="C79" s="98" t="s">
        <v>662</v>
      </c>
      <c r="D79" s="95">
        <v>56</v>
      </c>
      <c r="E79" s="89" t="str">
        <f t="shared" si="0"/>
        <v/>
      </c>
      <c r="F79" s="94">
        <v>19</v>
      </c>
      <c r="G79" s="89" t="str">
        <f t="shared" si="1"/>
        <v/>
      </c>
      <c r="H79" s="94">
        <v>42</v>
      </c>
      <c r="I79" s="90" t="str">
        <f t="shared" si="2"/>
        <v/>
      </c>
      <c r="J79" s="92">
        <v>49</v>
      </c>
      <c r="K79" s="90" t="str">
        <f t="shared" si="3"/>
        <v/>
      </c>
      <c r="L79" s="94">
        <v>22</v>
      </c>
      <c r="M79" s="90" t="str">
        <f t="shared" si="4"/>
        <v/>
      </c>
      <c r="N79" s="94">
        <v>42</v>
      </c>
      <c r="O79" s="90" t="str">
        <f t="shared" si="5"/>
        <v/>
      </c>
      <c r="P79" s="92">
        <v>40</v>
      </c>
      <c r="Q79" s="90" t="str">
        <f t="shared" si="6"/>
        <v/>
      </c>
      <c r="R79" s="94">
        <v>19</v>
      </c>
      <c r="S79" s="90" t="str">
        <f t="shared" si="7"/>
        <v/>
      </c>
      <c r="T79" s="94">
        <v>23</v>
      </c>
      <c r="U79" s="90" t="str">
        <f t="shared" si="8"/>
        <v/>
      </c>
      <c r="V79" s="92">
        <v>40</v>
      </c>
      <c r="W79" s="90" t="str">
        <f t="shared" si="9"/>
        <v/>
      </c>
      <c r="X79" s="94">
        <v>23</v>
      </c>
      <c r="Y79" s="90" t="str">
        <f t="shared" si="10"/>
        <v/>
      </c>
      <c r="Z79" s="92">
        <v>43</v>
      </c>
      <c r="AA79" s="90" t="str">
        <f t="shared" si="11"/>
        <v/>
      </c>
      <c r="AB79" s="94">
        <v>20</v>
      </c>
      <c r="AC79" s="90" t="str">
        <f t="shared" si="12"/>
        <v/>
      </c>
      <c r="AD79" s="94">
        <v>21</v>
      </c>
      <c r="AE79" s="90" t="str">
        <f t="shared" si="13"/>
        <v/>
      </c>
      <c r="AF79" s="92">
        <v>31</v>
      </c>
      <c r="AG79" s="89" t="str">
        <f t="shared" si="14"/>
        <v/>
      </c>
      <c r="AH79" s="94">
        <v>22</v>
      </c>
      <c r="AI79" s="90" t="str">
        <f t="shared" si="15"/>
        <v/>
      </c>
      <c r="AJ79" s="108">
        <f>IF(AND(OR(COUNTIF(D79:AI79,"=31")&gt;=1,COUNTIF(D79:AI79,"=32")&gt;=1,COUNTIF(D79:AI79,"=33")&gt;=1,COUNTIF(D79:AI79,"=34")&gt;=1,COUNTIF(D79:AI79,"=35")=1,COUNTIF(D79:AI79,"=36")&gt;=1 ),COUNTIF(D79:AI79,"")=0,COUNTIF(D79:AI79," ")=0,COUNTIF(D79:AI79,"F")=1),CONCATENATE(SUM(EXTRACTNUMBER(D79),EXTRACTNUMBER(F79),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EXTRACTNUMBER(AD79),EXTRACTNUMBER(AF79),EXTRACTNUMBER(AH79)),"*"),IF(AND(COUNTIF(D79:AI79,"=34")&gt;=1,COUNTIF(D79:AI79,"=35")&gt;=1,COUNTIF(D79:AI79,"f")=2,COUNTIF(D79:AI79,"")=0,COUNTIF(D79:AI79," ")=0),CONCATENATE(SUM(EXTRACTNUMBER(D79),EXTRACTNUMBER(F79),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EXTRACTNUMBER(AD79),EXTRACTNUMBER(AF79),EXTRACTNUMBER(AH79)),"*"),IF(AND(COUNTIF(D79:AI79,"=36")&gt;=2,COUNTIF(D79:AI79,"f")=2,COUNTIF(D79:AI79,"")=0,COUNTIF(D79:AI79," ")=0),CONCATENATE(SUM(EXTRACTNUMBER(D79),EXTRACTNUMBER(F79),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EXTRACTNUMBER(AD79),EXTRACTNUMBER(AF79),EXTRACTNUMBER(AH79)),"*"),SUM(EXTRACTNUMBER(D79),EXTRACTNUMBER(F79),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EXTRACTNUMBER(AD79),EXTRACTNUMBER(AF79),EXTRACTNUMBER(AH79)))))</f>
        <v>512</v>
      </c>
      <c r="AK79" s="24" t="str">
        <f t="shared" si="16"/>
        <v>PASS</v>
      </c>
      <c r="AL79" s="25" t="str">
        <f>SPELLNUMBER(extractnumber_tot(AJ79))</f>
        <v xml:space="preserve">Five Hundred Twelve </v>
      </c>
    </row>
    <row r="80" spans="2:38" s="26" customFormat="1" ht="15.95" customHeight="1">
      <c r="B80" s="97">
        <v>235256</v>
      </c>
      <c r="C80" s="98" t="s">
        <v>522</v>
      </c>
      <c r="D80" s="95">
        <v>60</v>
      </c>
      <c r="E80" s="89" t="str">
        <f t="shared" si="0"/>
        <v/>
      </c>
      <c r="F80" s="94">
        <v>20</v>
      </c>
      <c r="G80" s="89" t="str">
        <f t="shared" si="1"/>
        <v/>
      </c>
      <c r="H80" s="94">
        <v>43</v>
      </c>
      <c r="I80" s="90" t="str">
        <f t="shared" si="2"/>
        <v/>
      </c>
      <c r="J80" s="92">
        <v>64</v>
      </c>
      <c r="K80" s="90" t="str">
        <f t="shared" si="3"/>
        <v/>
      </c>
      <c r="L80" s="94">
        <v>20</v>
      </c>
      <c r="M80" s="90" t="str">
        <f t="shared" si="4"/>
        <v/>
      </c>
      <c r="N80" s="94">
        <v>40</v>
      </c>
      <c r="O80" s="90" t="str">
        <f t="shared" si="5"/>
        <v/>
      </c>
      <c r="P80" s="92">
        <v>42</v>
      </c>
      <c r="Q80" s="90" t="str">
        <f t="shared" si="6"/>
        <v/>
      </c>
      <c r="R80" s="94">
        <v>20</v>
      </c>
      <c r="S80" s="90" t="str">
        <f t="shared" si="7"/>
        <v/>
      </c>
      <c r="T80" s="94">
        <v>23</v>
      </c>
      <c r="U80" s="90" t="str">
        <f t="shared" si="8"/>
        <v/>
      </c>
      <c r="V80" s="92">
        <v>70</v>
      </c>
      <c r="W80" s="90" t="str">
        <f t="shared" si="9"/>
        <v/>
      </c>
      <c r="X80" s="94">
        <v>21</v>
      </c>
      <c r="Y80" s="90" t="str">
        <f t="shared" si="10"/>
        <v/>
      </c>
      <c r="Z80" s="92">
        <v>68</v>
      </c>
      <c r="AA80" s="90" t="str">
        <f t="shared" si="11"/>
        <v/>
      </c>
      <c r="AB80" s="94">
        <v>21</v>
      </c>
      <c r="AC80" s="90" t="str">
        <f t="shared" si="12"/>
        <v/>
      </c>
      <c r="AD80" s="94">
        <v>20</v>
      </c>
      <c r="AE80" s="90" t="str">
        <f t="shared" si="13"/>
        <v/>
      </c>
      <c r="AF80" s="92">
        <v>30</v>
      </c>
      <c r="AG80" s="89" t="str">
        <f t="shared" si="14"/>
        <v/>
      </c>
      <c r="AH80" s="94">
        <v>20</v>
      </c>
      <c r="AI80" s="90" t="str">
        <f t="shared" si="15"/>
        <v/>
      </c>
      <c r="AJ80" s="108">
        <f>IF(AND(OR(COUNTIF(D80:AI80,"=31")&gt;=1,COUNTIF(D80:AI80,"=32")&gt;=1,COUNTIF(D80:AI80,"=33")&gt;=1,COUNTIF(D80:AI80,"=34")&gt;=1,COUNTIF(D80:AI80,"=35")=1,COUNTIF(D80:AI80,"=36")&gt;=1 ),COUNTIF(D80:AI80,"")=0,COUNTIF(D80:AI80," ")=0,COUNTIF(D80:AI80,"F")=1),CONCATENATE(SUM(EXTRACTNUMBER(D80),EXTRACTNUMBER(F80),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EXTRACTNUMBER(AD80),EXTRACTNUMBER(AF80),EXTRACTNUMBER(AH80)),"*"),IF(AND(COUNTIF(D80:AI80,"=34")&gt;=1,COUNTIF(D80:AI80,"=35")&gt;=1,COUNTIF(D80:AI80,"f")=2,COUNTIF(D80:AI80,"")=0,COUNTIF(D80:AI80," ")=0),CONCATENATE(SUM(EXTRACTNUMBER(D80),EXTRACTNUMBER(F80),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EXTRACTNUMBER(AD80),EXTRACTNUMBER(AF80),EXTRACTNUMBER(AH80)),"*"),IF(AND(COUNTIF(D80:AI80,"=36")&gt;=2,COUNTIF(D80:AI80,"f")=2,COUNTIF(D80:AI80,"")=0,COUNTIF(D80:AI80," ")=0),CONCATENATE(SUM(EXTRACTNUMBER(D80),EXTRACTNUMBER(F80),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EXTRACTNUMBER(AD80),EXTRACTNUMBER(AF80),EXTRACTNUMBER(AH80)),"*"),SUM(EXTRACTNUMBER(D80),EXTRACTNUMBER(F80),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EXTRACTNUMBER(AD80),EXTRACTNUMBER(AF80),EXTRACTNUMBER(AH80)))))</f>
        <v>582</v>
      </c>
      <c r="AK80" s="24" t="str">
        <f t="shared" si="16"/>
        <v>PASS</v>
      </c>
      <c r="AL80" s="25" t="str">
        <f>SPELLNUMBER(extractnumber_tot(AJ80))</f>
        <v xml:space="preserve">Five Hundred Eighty Two </v>
      </c>
    </row>
    <row r="81" spans="2:38" s="22" customFormat="1" ht="15.95" customHeight="1">
      <c r="B81" s="97">
        <v>235257</v>
      </c>
      <c r="C81" s="98" t="s">
        <v>523</v>
      </c>
      <c r="D81" s="95">
        <v>69</v>
      </c>
      <c r="E81" s="89" t="str">
        <f t="shared" si="0"/>
        <v/>
      </c>
      <c r="F81" s="94">
        <v>23</v>
      </c>
      <c r="G81" s="89" t="str">
        <f t="shared" si="1"/>
        <v/>
      </c>
      <c r="H81" s="94">
        <v>43</v>
      </c>
      <c r="I81" s="90" t="str">
        <f t="shared" si="2"/>
        <v/>
      </c>
      <c r="J81" s="92">
        <v>41</v>
      </c>
      <c r="K81" s="90" t="str">
        <f t="shared" si="3"/>
        <v/>
      </c>
      <c r="L81" s="94">
        <v>23</v>
      </c>
      <c r="M81" s="90" t="str">
        <f t="shared" si="4"/>
        <v/>
      </c>
      <c r="N81" s="94">
        <v>38</v>
      </c>
      <c r="O81" s="90" t="str">
        <f t="shared" si="5"/>
        <v/>
      </c>
      <c r="P81" s="92">
        <v>55</v>
      </c>
      <c r="Q81" s="90" t="str">
        <f t="shared" si="6"/>
        <v/>
      </c>
      <c r="R81" s="94">
        <v>23</v>
      </c>
      <c r="S81" s="90" t="str">
        <f t="shared" si="7"/>
        <v/>
      </c>
      <c r="T81" s="94">
        <v>23</v>
      </c>
      <c r="U81" s="90" t="str">
        <f t="shared" si="8"/>
        <v/>
      </c>
      <c r="V81" s="92">
        <v>40</v>
      </c>
      <c r="W81" s="90" t="str">
        <f t="shared" si="9"/>
        <v/>
      </c>
      <c r="X81" s="94">
        <v>23</v>
      </c>
      <c r="Y81" s="90" t="str">
        <f t="shared" si="10"/>
        <v/>
      </c>
      <c r="Z81" s="92">
        <v>50</v>
      </c>
      <c r="AA81" s="90" t="str">
        <f t="shared" si="11"/>
        <v/>
      </c>
      <c r="AB81" s="94">
        <v>22</v>
      </c>
      <c r="AC81" s="90" t="str">
        <f t="shared" si="12"/>
        <v/>
      </c>
      <c r="AD81" s="94">
        <v>22</v>
      </c>
      <c r="AE81" s="90" t="str">
        <f t="shared" si="13"/>
        <v/>
      </c>
      <c r="AF81" s="92">
        <v>33</v>
      </c>
      <c r="AG81" s="89" t="str">
        <f t="shared" si="14"/>
        <v/>
      </c>
      <c r="AH81" s="94">
        <v>23</v>
      </c>
      <c r="AI81" s="90" t="str">
        <f t="shared" si="15"/>
        <v/>
      </c>
      <c r="AJ81" s="108">
        <f>IF(AND(OR(COUNTIF(D81:AI81,"=31")&gt;=1,COUNTIF(D81:AI81,"=32")&gt;=1,COUNTIF(D81:AI81,"=33")&gt;=1,COUNTIF(D81:AI81,"=34")&gt;=1,COUNTIF(D81:AI81,"=35")=1,COUNTIF(D81:AI81,"=36")&gt;=1 ),COUNTIF(D81:AI81,"")=0,COUNTIF(D81:AI81," ")=0,COUNTIF(D81:AI81,"F")=1),CONCATENATE(SUM(EXTRACTNUMBER(D81),EXTRACTNUMBER(F81),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EXTRACTNUMBER(AD81),EXTRACTNUMBER(AF81),EXTRACTNUMBER(AH81)),"*"),IF(AND(COUNTIF(D81:AI81,"=34")&gt;=1,COUNTIF(D81:AI81,"=35")&gt;=1,COUNTIF(D81:AI81,"f")=2,COUNTIF(D81:AI81,"")=0,COUNTIF(D81:AI81," ")=0),CONCATENATE(SUM(EXTRACTNUMBER(D81),EXTRACTNUMBER(F81),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EXTRACTNUMBER(AD81),EXTRACTNUMBER(AF81),EXTRACTNUMBER(AH81)),"*"),IF(AND(COUNTIF(D81:AI81,"=36")&gt;=2,COUNTIF(D81:AI81,"f")=2,COUNTIF(D81:AI81,"")=0,COUNTIF(D81:AI81," ")=0),CONCATENATE(SUM(EXTRACTNUMBER(D81),EXTRACTNUMBER(F81),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EXTRACTNUMBER(AD81),EXTRACTNUMBER(AF81),EXTRACTNUMBER(AH81)),"*"),SUM(EXTRACTNUMBER(D81),EXTRACTNUMBER(F81),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EXTRACTNUMBER(AD81),EXTRACTNUMBER(AF81),EXTRACTNUMBER(AH81)))))</f>
        <v>551</v>
      </c>
      <c r="AK81" s="24" t="str">
        <f t="shared" si="16"/>
        <v>PASS</v>
      </c>
      <c r="AL81" s="25" t="str">
        <f>SPELLNUMBER(extractnumber_tot(AJ81))</f>
        <v xml:space="preserve">Five Hundred Fifty One </v>
      </c>
    </row>
    <row r="82" spans="2:38" s="22" customFormat="1" ht="15.95" customHeight="1">
      <c r="B82" s="97">
        <v>235258</v>
      </c>
      <c r="C82" s="98" t="s">
        <v>524</v>
      </c>
      <c r="D82" s="95">
        <v>62</v>
      </c>
      <c r="E82" s="89" t="str">
        <f t="shared" si="0"/>
        <v/>
      </c>
      <c r="F82" s="94">
        <v>21</v>
      </c>
      <c r="G82" s="89" t="str">
        <f t="shared" si="1"/>
        <v/>
      </c>
      <c r="H82" s="94">
        <v>41</v>
      </c>
      <c r="I82" s="90" t="str">
        <f t="shared" si="2"/>
        <v/>
      </c>
      <c r="J82" s="92">
        <v>43</v>
      </c>
      <c r="K82" s="90" t="str">
        <f t="shared" si="3"/>
        <v/>
      </c>
      <c r="L82" s="94">
        <v>21</v>
      </c>
      <c r="M82" s="90" t="str">
        <f t="shared" si="4"/>
        <v/>
      </c>
      <c r="N82" s="94">
        <v>44</v>
      </c>
      <c r="O82" s="90" t="str">
        <f t="shared" si="5"/>
        <v/>
      </c>
      <c r="P82" s="92">
        <v>47</v>
      </c>
      <c r="Q82" s="90" t="str">
        <f t="shared" si="6"/>
        <v/>
      </c>
      <c r="R82" s="94">
        <v>21</v>
      </c>
      <c r="S82" s="90" t="str">
        <f t="shared" si="7"/>
        <v/>
      </c>
      <c r="T82" s="94">
        <v>22</v>
      </c>
      <c r="U82" s="90" t="str">
        <f t="shared" si="8"/>
        <v/>
      </c>
      <c r="V82" s="92">
        <v>49</v>
      </c>
      <c r="W82" s="90" t="str">
        <f t="shared" si="9"/>
        <v/>
      </c>
      <c r="X82" s="94">
        <v>23</v>
      </c>
      <c r="Y82" s="90" t="str">
        <f t="shared" si="10"/>
        <v/>
      </c>
      <c r="Z82" s="92">
        <v>64</v>
      </c>
      <c r="AA82" s="90" t="str">
        <f t="shared" si="11"/>
        <v/>
      </c>
      <c r="AB82" s="94">
        <v>22</v>
      </c>
      <c r="AC82" s="90" t="str">
        <f t="shared" si="12"/>
        <v/>
      </c>
      <c r="AD82" s="94">
        <v>20</v>
      </c>
      <c r="AE82" s="90" t="str">
        <f t="shared" si="13"/>
        <v/>
      </c>
      <c r="AF82" s="92">
        <v>33</v>
      </c>
      <c r="AG82" s="89" t="str">
        <f t="shared" si="14"/>
        <v/>
      </c>
      <c r="AH82" s="94">
        <v>21</v>
      </c>
      <c r="AI82" s="90" t="str">
        <f t="shared" si="15"/>
        <v/>
      </c>
      <c r="AJ82" s="108">
        <f>IF(AND(OR(COUNTIF(D82:AI82,"=31")&gt;=1,COUNTIF(D82:AI82,"=32")&gt;=1,COUNTIF(D82:AI82,"=33")&gt;=1,COUNTIF(D82:AI82,"=34")&gt;=1,COUNTIF(D82:AI82,"=35")=1,COUNTIF(D82:AI82,"=36")&gt;=1 ),COUNTIF(D82:AI82,"")=0,COUNTIF(D82:AI82," ")=0,COUNTIF(D82:AI82,"F")=1),CONCATENATE(SUM(EXTRACTNUMBER(D82),EXTRACTNUMBER(F82),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EXTRACTNUMBER(AD82),EXTRACTNUMBER(AF82),EXTRACTNUMBER(AH82)),"*"),IF(AND(COUNTIF(D82:AI82,"=34")&gt;=1,COUNTIF(D82:AI82,"=35")&gt;=1,COUNTIF(D82:AI82,"f")=2,COUNTIF(D82:AI82,"")=0,COUNTIF(D82:AI82," ")=0),CONCATENATE(SUM(EXTRACTNUMBER(D82),EXTRACTNUMBER(F82),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EXTRACTNUMBER(AD82),EXTRACTNUMBER(AF82),EXTRACTNUMBER(AH82)),"*"),IF(AND(COUNTIF(D82:AI82,"=36")&gt;=2,COUNTIF(D82:AI82,"f")=2,COUNTIF(D82:AI82,"")=0,COUNTIF(D82:AI82," ")=0),CONCATENATE(SUM(EXTRACTNUMBER(D82),EXTRACTNUMBER(F82),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EXTRACTNUMBER(AD82),EXTRACTNUMBER(AF82),EXTRACTNUMBER(AH82)),"*"),SUM(EXTRACTNUMBER(D82),EXTRACTNUMBER(F82),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EXTRACTNUMBER(AD82),EXTRACTNUMBER(AF82),EXTRACTNUMBER(AH82)))))</f>
        <v>554</v>
      </c>
      <c r="AK82" s="24" t="str">
        <f t="shared" si="16"/>
        <v>PASS</v>
      </c>
      <c r="AL82" s="25" t="str">
        <f>SPELLNUMBER(extractnumber_tot(AJ82))</f>
        <v xml:space="preserve">Five Hundred Fifty Four </v>
      </c>
    </row>
    <row r="83" spans="2:38" s="22" customFormat="1" ht="15.95" customHeight="1">
      <c r="B83" s="97">
        <v>235259</v>
      </c>
      <c r="C83" s="98" t="s">
        <v>525</v>
      </c>
      <c r="D83" s="95">
        <v>62</v>
      </c>
      <c r="E83" s="89" t="str">
        <f t="shared" si="0"/>
        <v>E</v>
      </c>
      <c r="F83" s="94">
        <v>20</v>
      </c>
      <c r="G83" s="89" t="str">
        <f t="shared" si="1"/>
        <v>E</v>
      </c>
      <c r="H83" s="94">
        <v>47</v>
      </c>
      <c r="I83" s="90" t="str">
        <f t="shared" si="2"/>
        <v>E</v>
      </c>
      <c r="J83" s="92">
        <v>45</v>
      </c>
      <c r="K83" s="90" t="str">
        <f t="shared" si="3"/>
        <v>E</v>
      </c>
      <c r="L83" s="94">
        <v>18</v>
      </c>
      <c r="M83" s="90" t="str">
        <f t="shared" si="4"/>
        <v>E</v>
      </c>
      <c r="N83" s="94">
        <v>38</v>
      </c>
      <c r="O83" s="90" t="str">
        <f t="shared" si="5"/>
        <v>E</v>
      </c>
      <c r="P83" s="92">
        <v>20</v>
      </c>
      <c r="Q83" s="90" t="str">
        <f t="shared" si="6"/>
        <v>F</v>
      </c>
      <c r="R83" s="94">
        <v>20</v>
      </c>
      <c r="S83" s="90" t="str">
        <f t="shared" si="7"/>
        <v>E</v>
      </c>
      <c r="T83" s="94">
        <v>21</v>
      </c>
      <c r="U83" s="90" t="str">
        <f t="shared" si="8"/>
        <v>E</v>
      </c>
      <c r="V83" s="92">
        <v>48</v>
      </c>
      <c r="W83" s="90" t="str">
        <f t="shared" si="9"/>
        <v>E</v>
      </c>
      <c r="X83" s="94">
        <v>21</v>
      </c>
      <c r="Y83" s="90" t="str">
        <f t="shared" si="10"/>
        <v>E</v>
      </c>
      <c r="Z83" s="92">
        <v>52</v>
      </c>
      <c r="AA83" s="90" t="str">
        <f t="shared" si="11"/>
        <v>E</v>
      </c>
      <c r="AB83" s="94">
        <v>23</v>
      </c>
      <c r="AC83" s="90" t="str">
        <f t="shared" si="12"/>
        <v>E</v>
      </c>
      <c r="AD83" s="94">
        <v>20</v>
      </c>
      <c r="AE83" s="90" t="str">
        <f t="shared" si="13"/>
        <v>E</v>
      </c>
      <c r="AF83" s="92">
        <v>31</v>
      </c>
      <c r="AG83" s="89" t="str">
        <f t="shared" si="14"/>
        <v>E</v>
      </c>
      <c r="AH83" s="94">
        <v>22</v>
      </c>
      <c r="AI83" s="90" t="str">
        <f t="shared" si="15"/>
        <v>E</v>
      </c>
      <c r="AJ83" s="108">
        <v>508</v>
      </c>
      <c r="AK83" s="24" t="str">
        <f t="shared" si="16"/>
        <v>FAIL</v>
      </c>
      <c r="AL83" s="25" t="str">
        <f>SPELLNUMBER(extractnumber_tot(AJ83))</f>
        <v xml:space="preserve">Five Hundred Eight </v>
      </c>
    </row>
    <row r="84" spans="2:38" s="22" customFormat="1" ht="15.95" customHeight="1">
      <c r="B84" s="97">
        <v>235260</v>
      </c>
      <c r="C84" s="98" t="s">
        <v>526</v>
      </c>
      <c r="D84" s="95">
        <v>66</v>
      </c>
      <c r="E84" s="89" t="str">
        <f t="shared" si="0"/>
        <v/>
      </c>
      <c r="F84" s="94">
        <v>19</v>
      </c>
      <c r="G84" s="89" t="str">
        <f t="shared" si="1"/>
        <v/>
      </c>
      <c r="H84" s="94">
        <v>46</v>
      </c>
      <c r="I84" s="90" t="str">
        <f t="shared" si="2"/>
        <v/>
      </c>
      <c r="J84" s="92">
        <v>51</v>
      </c>
      <c r="K84" s="90" t="str">
        <f t="shared" si="3"/>
        <v/>
      </c>
      <c r="L84" s="94">
        <v>21</v>
      </c>
      <c r="M84" s="90" t="str">
        <f t="shared" si="4"/>
        <v/>
      </c>
      <c r="N84" s="94">
        <v>40</v>
      </c>
      <c r="O84" s="90" t="str">
        <f t="shared" si="5"/>
        <v/>
      </c>
      <c r="P84" s="92">
        <v>49</v>
      </c>
      <c r="Q84" s="90" t="str">
        <f t="shared" si="6"/>
        <v/>
      </c>
      <c r="R84" s="94">
        <v>20</v>
      </c>
      <c r="S84" s="90" t="str">
        <f t="shared" si="7"/>
        <v/>
      </c>
      <c r="T84" s="94">
        <v>21</v>
      </c>
      <c r="U84" s="90" t="str">
        <f t="shared" si="8"/>
        <v/>
      </c>
      <c r="V84" s="92">
        <v>55</v>
      </c>
      <c r="W84" s="90" t="str">
        <f t="shared" si="9"/>
        <v/>
      </c>
      <c r="X84" s="94">
        <v>21</v>
      </c>
      <c r="Y84" s="90" t="str">
        <f t="shared" si="10"/>
        <v/>
      </c>
      <c r="Z84" s="92">
        <v>54</v>
      </c>
      <c r="AA84" s="90" t="str">
        <f t="shared" si="11"/>
        <v/>
      </c>
      <c r="AB84" s="94">
        <v>20</v>
      </c>
      <c r="AC84" s="90" t="str">
        <f t="shared" si="12"/>
        <v/>
      </c>
      <c r="AD84" s="94">
        <v>20</v>
      </c>
      <c r="AE84" s="90" t="str">
        <f t="shared" si="13"/>
        <v/>
      </c>
      <c r="AF84" s="92">
        <v>34</v>
      </c>
      <c r="AG84" s="89" t="str">
        <f t="shared" si="14"/>
        <v/>
      </c>
      <c r="AH84" s="94">
        <v>21</v>
      </c>
      <c r="AI84" s="90" t="str">
        <f t="shared" si="15"/>
        <v/>
      </c>
      <c r="AJ84" s="108">
        <f>IF(AND(OR(COUNTIF(D84:AI84,"=31")&gt;=1,COUNTIF(D84:AI84,"=32")&gt;=1,COUNTIF(D84:AI84,"=33")&gt;=1,COUNTIF(D84:AI84,"=34")&gt;=1,COUNTIF(D84:AI84,"=35")=1,COUNTIF(D84:AI84,"=36")&gt;=1 ),COUNTIF(D84:AI84,"")=0,COUNTIF(D84:AI84," ")=0,COUNTIF(D84:AI84,"F")=1),CONCATENATE(SUM(EXTRACTNUMBER(D84),EXTRACTNUMBER(F84),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EXTRACTNUMBER(AD84),EXTRACTNUMBER(AF84),EXTRACTNUMBER(AH84)),"*"),IF(AND(COUNTIF(D84:AI84,"=34")&gt;=1,COUNTIF(D84:AI84,"=35")&gt;=1,COUNTIF(D84:AI84,"f")=2,COUNTIF(D84:AI84,"")=0,COUNTIF(D84:AI84," ")=0),CONCATENATE(SUM(EXTRACTNUMBER(D84),EXTRACTNUMBER(F84),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EXTRACTNUMBER(AD84),EXTRACTNUMBER(AF84),EXTRACTNUMBER(AH84)),"*"),IF(AND(COUNTIF(D84:AI84,"=36")&gt;=2,COUNTIF(D84:AI84,"f")=2,COUNTIF(D84:AI84,"")=0,COUNTIF(D84:AI84," ")=0),CONCATENATE(SUM(EXTRACTNUMBER(D84),EXTRACTNUMBER(F84),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EXTRACTNUMBER(AD84),EXTRACTNUMBER(AF84),EXTRACTNUMBER(AH84)),"*"),SUM(EXTRACTNUMBER(D84),EXTRACTNUMBER(F84),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EXTRACTNUMBER(AD84),EXTRACTNUMBER(AF84),EXTRACTNUMBER(AH84)))))</f>
        <v>558</v>
      </c>
      <c r="AK84" s="24" t="str">
        <f t="shared" si="16"/>
        <v>PASS</v>
      </c>
      <c r="AL84" s="25" t="str">
        <f>SPELLNUMBER(extractnumber_tot(AJ84))</f>
        <v xml:space="preserve">Five Hundred Fifty Eight </v>
      </c>
    </row>
    <row r="85" spans="2:38" s="22" customFormat="1" ht="15.95" customHeight="1">
      <c r="B85" s="97">
        <v>235261</v>
      </c>
      <c r="C85" s="98" t="s">
        <v>527</v>
      </c>
      <c r="D85" s="95">
        <v>60</v>
      </c>
      <c r="E85" s="89" t="str">
        <f t="shared" si="0"/>
        <v/>
      </c>
      <c r="F85" s="94">
        <v>24</v>
      </c>
      <c r="G85" s="89" t="str">
        <f t="shared" si="1"/>
        <v/>
      </c>
      <c r="H85" s="94">
        <v>42</v>
      </c>
      <c r="I85" s="90" t="str">
        <f t="shared" si="2"/>
        <v/>
      </c>
      <c r="J85" s="92">
        <v>48</v>
      </c>
      <c r="K85" s="90" t="str">
        <f t="shared" si="3"/>
        <v/>
      </c>
      <c r="L85" s="94">
        <v>22</v>
      </c>
      <c r="M85" s="90" t="str">
        <f t="shared" si="4"/>
        <v/>
      </c>
      <c r="N85" s="94">
        <v>42</v>
      </c>
      <c r="O85" s="90" t="str">
        <f t="shared" si="5"/>
        <v/>
      </c>
      <c r="P85" s="92" t="s">
        <v>343</v>
      </c>
      <c r="Q85" s="90" t="str">
        <f t="shared" si="6"/>
        <v/>
      </c>
      <c r="R85" s="94">
        <v>21</v>
      </c>
      <c r="S85" s="90" t="str">
        <f t="shared" si="7"/>
        <v/>
      </c>
      <c r="T85" s="94">
        <v>21</v>
      </c>
      <c r="U85" s="90" t="str">
        <f t="shared" si="8"/>
        <v/>
      </c>
      <c r="V85" s="92">
        <v>50</v>
      </c>
      <c r="W85" s="90" t="str">
        <f t="shared" si="9"/>
        <v/>
      </c>
      <c r="X85" s="94">
        <v>24</v>
      </c>
      <c r="Y85" s="90" t="str">
        <f t="shared" si="10"/>
        <v/>
      </c>
      <c r="Z85" s="92">
        <v>57</v>
      </c>
      <c r="AA85" s="90" t="str">
        <f t="shared" si="11"/>
        <v/>
      </c>
      <c r="AB85" s="94">
        <v>23</v>
      </c>
      <c r="AC85" s="90" t="str">
        <f t="shared" si="12"/>
        <v/>
      </c>
      <c r="AD85" s="94">
        <v>22</v>
      </c>
      <c r="AE85" s="90" t="str">
        <f t="shared" si="13"/>
        <v/>
      </c>
      <c r="AF85" s="92">
        <v>26</v>
      </c>
      <c r="AG85" s="89" t="str">
        <f t="shared" si="14"/>
        <v/>
      </c>
      <c r="AH85" s="94">
        <v>19</v>
      </c>
      <c r="AI85" s="90" t="str">
        <f t="shared" si="15"/>
        <v/>
      </c>
      <c r="AJ85" s="109" t="s">
        <v>660</v>
      </c>
      <c r="AK85" s="24" t="str">
        <f t="shared" si="16"/>
        <v>PASS</v>
      </c>
      <c r="AL85" s="25" t="str">
        <f>SPELLNUMBER(extractnumber_tot(AJ85))</f>
        <v xml:space="preserve">Five Hundred Thirty Three </v>
      </c>
    </row>
    <row r="86" spans="2:38" s="22" customFormat="1" ht="15.95" customHeight="1">
      <c r="B86" s="97">
        <v>235262</v>
      </c>
      <c r="C86" s="98" t="s">
        <v>528</v>
      </c>
      <c r="D86" s="95">
        <v>63</v>
      </c>
      <c r="E86" s="89" t="str">
        <f t="shared" si="0"/>
        <v/>
      </c>
      <c r="F86" s="94">
        <v>24</v>
      </c>
      <c r="G86" s="89" t="str">
        <f t="shared" si="1"/>
        <v/>
      </c>
      <c r="H86" s="94">
        <v>44</v>
      </c>
      <c r="I86" s="90" t="str">
        <f t="shared" si="2"/>
        <v/>
      </c>
      <c r="J86" s="92">
        <v>40</v>
      </c>
      <c r="K86" s="90" t="str">
        <f t="shared" si="3"/>
        <v/>
      </c>
      <c r="L86" s="94">
        <v>22</v>
      </c>
      <c r="M86" s="90" t="str">
        <f t="shared" si="4"/>
        <v/>
      </c>
      <c r="N86" s="94">
        <v>42</v>
      </c>
      <c r="O86" s="90" t="str">
        <f t="shared" si="5"/>
        <v/>
      </c>
      <c r="P86" s="92">
        <v>42</v>
      </c>
      <c r="Q86" s="90" t="str">
        <f t="shared" si="6"/>
        <v/>
      </c>
      <c r="R86" s="94">
        <v>21</v>
      </c>
      <c r="S86" s="90" t="str">
        <f t="shared" si="7"/>
        <v/>
      </c>
      <c r="T86" s="94">
        <v>22</v>
      </c>
      <c r="U86" s="90" t="str">
        <f t="shared" si="8"/>
        <v/>
      </c>
      <c r="V86" s="92">
        <v>40</v>
      </c>
      <c r="W86" s="90" t="str">
        <f t="shared" si="9"/>
        <v/>
      </c>
      <c r="X86" s="94">
        <v>24</v>
      </c>
      <c r="Y86" s="90" t="str">
        <f t="shared" si="10"/>
        <v/>
      </c>
      <c r="Z86" s="92">
        <v>50</v>
      </c>
      <c r="AA86" s="90" t="str">
        <f t="shared" si="11"/>
        <v/>
      </c>
      <c r="AB86" s="94">
        <v>23</v>
      </c>
      <c r="AC86" s="90" t="str">
        <f t="shared" si="12"/>
        <v/>
      </c>
      <c r="AD86" s="94">
        <v>22</v>
      </c>
      <c r="AE86" s="90" t="str">
        <f t="shared" si="13"/>
        <v/>
      </c>
      <c r="AF86" s="92">
        <v>28</v>
      </c>
      <c r="AG86" s="89" t="str">
        <f t="shared" si="14"/>
        <v/>
      </c>
      <c r="AH86" s="94">
        <v>20</v>
      </c>
      <c r="AI86" s="90" t="str">
        <f t="shared" si="15"/>
        <v/>
      </c>
      <c r="AJ86" s="108">
        <f>IF(AND(OR(COUNTIF(D86:AI86,"=31")&gt;=1,COUNTIF(D86:AI86,"=32")&gt;=1,COUNTIF(D86:AI86,"=33")&gt;=1,COUNTIF(D86:AI86,"=34")&gt;=1,COUNTIF(D86:AI86,"=35")=1,COUNTIF(D86:AI86,"=36")&gt;=1 ),COUNTIF(D86:AI86,"")=0,COUNTIF(D86:AI86," ")=0,COUNTIF(D86:AI86,"F")=1),CONCATENATE(SUM(EXTRACTNUMBER(D86),EXTRACTNUMBER(F86),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EXTRACTNUMBER(AD86),EXTRACTNUMBER(AF86),EXTRACTNUMBER(AH86)),"*"),IF(AND(COUNTIF(D86:AI86,"=34")&gt;=1,COUNTIF(D86:AI86,"=35")&gt;=1,COUNTIF(D86:AI86,"f")=2,COUNTIF(D86:AI86,"")=0,COUNTIF(D86:AI86," ")=0),CONCATENATE(SUM(EXTRACTNUMBER(D86),EXTRACTNUMBER(F86),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EXTRACTNUMBER(AD86),EXTRACTNUMBER(AF86),EXTRACTNUMBER(AH86)),"*"),IF(AND(COUNTIF(D86:AI86,"=36")&gt;=2,COUNTIF(D86:AI86,"f")=2,COUNTIF(D86:AI86,"")=0,COUNTIF(D86:AI86," ")=0),CONCATENATE(SUM(EXTRACTNUMBER(D86),EXTRACTNUMBER(F86),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EXTRACTNUMBER(AD86),EXTRACTNUMBER(AF86),EXTRACTNUMBER(AH86)),"*"),SUM(EXTRACTNUMBER(D86),EXTRACTNUMBER(F86),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EXTRACTNUMBER(AD86),EXTRACTNUMBER(AF86),EXTRACTNUMBER(AH86)))))</f>
        <v>527</v>
      </c>
      <c r="AK86" s="24" t="str">
        <f t="shared" si="16"/>
        <v>PASS</v>
      </c>
      <c r="AL86" s="25" t="str">
        <f>SPELLNUMBER(extractnumber_tot(AJ86))</f>
        <v xml:space="preserve">Five Hundred Twenty Seven </v>
      </c>
    </row>
    <row r="87" spans="2:38" s="22" customFormat="1" ht="15.95" customHeight="1">
      <c r="B87" s="97">
        <v>235263</v>
      </c>
      <c r="C87" s="98" t="s">
        <v>529</v>
      </c>
      <c r="D87" s="95">
        <v>61</v>
      </c>
      <c r="E87" s="89" t="str">
        <f t="shared" si="0"/>
        <v>E</v>
      </c>
      <c r="F87" s="94">
        <v>24</v>
      </c>
      <c r="G87" s="89" t="str">
        <f t="shared" si="1"/>
        <v>E</v>
      </c>
      <c r="H87" s="94">
        <v>38</v>
      </c>
      <c r="I87" s="90" t="str">
        <f t="shared" si="2"/>
        <v>E</v>
      </c>
      <c r="J87" s="92">
        <v>43</v>
      </c>
      <c r="K87" s="90" t="str">
        <f t="shared" si="3"/>
        <v>E</v>
      </c>
      <c r="L87" s="94">
        <v>20</v>
      </c>
      <c r="M87" s="90" t="str">
        <f t="shared" si="4"/>
        <v>E</v>
      </c>
      <c r="N87" s="94">
        <v>38</v>
      </c>
      <c r="O87" s="90" t="str">
        <f t="shared" si="5"/>
        <v>E</v>
      </c>
      <c r="P87" s="92">
        <v>40</v>
      </c>
      <c r="Q87" s="90" t="str">
        <f t="shared" si="6"/>
        <v>E</v>
      </c>
      <c r="R87" s="94">
        <v>20</v>
      </c>
      <c r="S87" s="90" t="str">
        <f t="shared" si="7"/>
        <v>E</v>
      </c>
      <c r="T87" s="94">
        <v>21</v>
      </c>
      <c r="U87" s="90" t="str">
        <f t="shared" si="8"/>
        <v>E</v>
      </c>
      <c r="V87" s="92">
        <v>25</v>
      </c>
      <c r="W87" s="90" t="str">
        <f t="shared" si="9"/>
        <v>F</v>
      </c>
      <c r="X87" s="94">
        <v>21</v>
      </c>
      <c r="Y87" s="90" t="str">
        <f t="shared" si="10"/>
        <v>E</v>
      </c>
      <c r="Z87" s="92">
        <v>13</v>
      </c>
      <c r="AA87" s="90" t="str">
        <f t="shared" si="11"/>
        <v>F</v>
      </c>
      <c r="AB87" s="94">
        <v>20</v>
      </c>
      <c r="AC87" s="90" t="str">
        <f t="shared" si="12"/>
        <v>E</v>
      </c>
      <c r="AD87" s="94">
        <v>20</v>
      </c>
      <c r="AE87" s="90" t="str">
        <f t="shared" si="13"/>
        <v>E</v>
      </c>
      <c r="AF87" s="92">
        <v>28</v>
      </c>
      <c r="AG87" s="89" t="str">
        <f t="shared" si="14"/>
        <v>E</v>
      </c>
      <c r="AH87" s="94">
        <v>19</v>
      </c>
      <c r="AI87" s="90" t="str">
        <f t="shared" si="15"/>
        <v>E</v>
      </c>
      <c r="AJ87" s="108">
        <f>IF(AND(OR(COUNTIF(D87:AI87,"=31")&gt;=1,COUNTIF(D87:AI87,"=32")&gt;=1,COUNTIF(D87:AI87,"=33")&gt;=1,COUNTIF(D87:AI87,"=34")&gt;=1,COUNTIF(D87:AI87,"=35")=1,COUNTIF(D87:AI87,"=36")&gt;=1 ),COUNTIF(D87:AI87,"")=0,COUNTIF(D87:AI87," ")=0,COUNTIF(D87:AI87,"F")=1),CONCATENATE(SUM(EXTRACTNUMBER(D87),EXTRACTNUMBER(F87),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EXTRACTNUMBER(AD87),EXTRACTNUMBER(AF87),EXTRACTNUMBER(AH87)),"*"),IF(AND(COUNTIF(D87:AI87,"=34")&gt;=1,COUNTIF(D87:AI87,"=35")&gt;=1,COUNTIF(D87:AI87,"f")=2,COUNTIF(D87:AI87,"")=0,COUNTIF(D87:AI87," ")=0),CONCATENATE(SUM(EXTRACTNUMBER(D87),EXTRACTNUMBER(F87),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EXTRACTNUMBER(AD87),EXTRACTNUMBER(AF87),EXTRACTNUMBER(AH87)),"*"),IF(AND(COUNTIF(D87:AI87,"=36")&gt;=2,COUNTIF(D87:AI87,"f")=2,COUNTIF(D87:AI87,"")=0,COUNTIF(D87:AI87," ")=0),CONCATENATE(SUM(EXTRACTNUMBER(D87),EXTRACTNUMBER(F87),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EXTRACTNUMBER(AD87),EXTRACTNUMBER(AF87),EXTRACTNUMBER(AH87)),"*"),SUM(EXTRACTNUMBER(D87),EXTRACTNUMBER(F87),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EXTRACTNUMBER(AD87),EXTRACTNUMBER(AF87),EXTRACTNUMBER(AH87)))))</f>
        <v>451</v>
      </c>
      <c r="AK87" s="24" t="str">
        <f t="shared" si="16"/>
        <v>FAIL</v>
      </c>
      <c r="AL87" s="25" t="str">
        <f>SPELLNUMBER(extractnumber_tot(AJ87))</f>
        <v xml:space="preserve">Four Hundred Fifty One </v>
      </c>
    </row>
    <row r="88" spans="2:38" s="22" customFormat="1" ht="15.95" customHeight="1">
      <c r="B88" s="97">
        <v>235264</v>
      </c>
      <c r="C88" s="98" t="s">
        <v>530</v>
      </c>
      <c r="D88" s="95">
        <v>68</v>
      </c>
      <c r="E88" s="89" t="str">
        <f>IF(IFERROR(FIND("+",D88),0)," ",
IF(D88="AB","",
IF(D88&lt;$D$24,"F",
IF(AND(D88&gt;=$D$24,F88&gt;=$F$24,H88&gt;=$H$24,
J88&gt;=$J$24,L88&gt;=$L$24,
N88&gt;=$N$24,P88&gt;=$P$24,R88&gt;=$R$24,T88&gt;=$T$24,V88&gt;=$V$24,
X88&gt;=$X$24,Z88&gt;=$Z$24,AB88&gt;=$AB$24,AD88&gt;=$AD$24,AF88&gt;=$AF$24,
AH88&gt;=$AH$24,D88&lt;&gt;"AB",F88&lt;&gt;"AB",H88&lt;&gt;"AB",
J88&lt;&gt;"AB",L88&lt;&gt;"AB",
N88&lt;&gt;"AB",P88&lt;&gt;"AB",R88&lt;&gt;"AB",T88&lt;&gt;"AB",V88&lt;&gt;"AB",
X88&lt;&gt;"AB",Z88&lt;&gt;"AB",AB88&lt;&gt;"AB",AD88&lt;&gt;"AB",AF88&lt;&gt;"AB",
AH88&lt;&gt;"AB"),"","E"))))</f>
        <v/>
      </c>
      <c r="F88" s="94">
        <v>22</v>
      </c>
      <c r="G88" s="89" t="str">
        <f t="shared" si="1"/>
        <v/>
      </c>
      <c r="H88" s="94">
        <v>46</v>
      </c>
      <c r="I88" s="90" t="str">
        <f t="shared" si="2"/>
        <v/>
      </c>
      <c r="J88" s="92">
        <v>60</v>
      </c>
      <c r="K88" s="90" t="str">
        <f t="shared" si="3"/>
        <v/>
      </c>
      <c r="L88" s="94">
        <v>18</v>
      </c>
      <c r="M88" s="90" t="str">
        <f t="shared" si="4"/>
        <v/>
      </c>
      <c r="N88" s="94">
        <v>42</v>
      </c>
      <c r="O88" s="90" t="str">
        <f t="shared" si="5"/>
        <v/>
      </c>
      <c r="P88" s="92">
        <v>48</v>
      </c>
      <c r="Q88" s="90" t="str">
        <f t="shared" si="6"/>
        <v/>
      </c>
      <c r="R88" s="94">
        <v>22</v>
      </c>
      <c r="S88" s="90" t="str">
        <f t="shared" si="7"/>
        <v/>
      </c>
      <c r="T88" s="94">
        <v>21</v>
      </c>
      <c r="U88" s="90" t="str">
        <f t="shared" si="8"/>
        <v/>
      </c>
      <c r="V88" s="92">
        <v>42</v>
      </c>
      <c r="W88" s="90" t="str">
        <f t="shared" si="9"/>
        <v/>
      </c>
      <c r="X88" s="94">
        <v>21</v>
      </c>
      <c r="Y88" s="90" t="str">
        <f t="shared" si="10"/>
        <v/>
      </c>
      <c r="Z88" s="92">
        <v>64</v>
      </c>
      <c r="AA88" s="90" t="str">
        <f t="shared" si="11"/>
        <v/>
      </c>
      <c r="AB88" s="94">
        <v>22</v>
      </c>
      <c r="AC88" s="90" t="str">
        <f t="shared" si="12"/>
        <v/>
      </c>
      <c r="AD88" s="94">
        <v>21</v>
      </c>
      <c r="AE88" s="90" t="str">
        <f t="shared" si="13"/>
        <v/>
      </c>
      <c r="AF88" s="92">
        <v>30</v>
      </c>
      <c r="AG88" s="89" t="str">
        <f t="shared" si="14"/>
        <v/>
      </c>
      <c r="AH88" s="94">
        <v>20</v>
      </c>
      <c r="AI88" s="90" t="str">
        <f t="shared" si="15"/>
        <v/>
      </c>
      <c r="AJ88" s="108">
        <f>IF(AND(OR(COUNTIF(D88:AI88,"=31")&gt;=1,COUNTIF(D88:AI88,"=32")&gt;=1,COUNTIF(D88:AI88,"=33")&gt;=1,COUNTIF(D88:AI88,"=34")&gt;=1,COUNTIF(D88:AI88,"=35")=1,COUNTIF(D88:AI88,"=36")&gt;=1 ),COUNTIF(D88:AI88,"")=0,COUNTIF(D88:AI88," ")=0,COUNTIF(D88:AI88,"F")=1),CONCATENATE(SUM(EXTRACTNUMBER(D88),EXTRACTNUMBER(F88),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EXTRACTNUMBER(AD88),EXTRACTNUMBER(AF88),EXTRACTNUMBER(AH88)),"*"),IF(AND(COUNTIF(D88:AI88,"=34")&gt;=1,COUNTIF(D88:AI88,"=35")&gt;=1,COUNTIF(D88:AI88,"f")=2,COUNTIF(D88:AI88,"")=0,COUNTIF(D88:AI88," ")=0),CONCATENATE(SUM(EXTRACTNUMBER(D88),EXTRACTNUMBER(F88),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EXTRACTNUMBER(AD88),EXTRACTNUMBER(AF88),EXTRACTNUMBER(AH88)),"*"),IF(AND(COUNTIF(D88:AI88,"=36")&gt;=2,COUNTIF(D88:AI88,"f")=2,COUNTIF(D88:AI88,"")=0,COUNTIF(D88:AI88," ")=0),CONCATENATE(SUM(EXTRACTNUMBER(D88),EXTRACTNUMBER(F88),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EXTRACTNUMBER(AD88),EXTRACTNUMBER(AF88),EXTRACTNUMBER(AH88)),"*"),SUM(EXTRACTNUMBER(D88),EXTRACTNUMBER(F88),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EXTRACTNUMBER(AD88),EXTRACTNUMBER(AF88),EXTRACTNUMBER(AH88)))))</f>
        <v>567</v>
      </c>
      <c r="AK88" s="24" t="str">
        <f t="shared" si="16"/>
        <v>PASS</v>
      </c>
      <c r="AL88" s="25" t="str">
        <f>SPELLNUMBER(extractnumber_tot(AJ88))</f>
        <v xml:space="preserve">Five Hundred Sixty Seven </v>
      </c>
    </row>
    <row r="89" spans="2:38" s="22" customFormat="1" ht="15.95" customHeight="1">
      <c r="B89" s="97">
        <v>235265</v>
      </c>
      <c r="C89" s="98" t="s">
        <v>531</v>
      </c>
      <c r="D89" s="95">
        <v>44</v>
      </c>
      <c r="E89" s="89" t="str">
        <f t="shared" si="0"/>
        <v/>
      </c>
      <c r="F89" s="94">
        <v>21</v>
      </c>
      <c r="G89" s="89" t="str">
        <f t="shared" si="1"/>
        <v/>
      </c>
      <c r="H89" s="94">
        <v>41</v>
      </c>
      <c r="I89" s="90" t="str">
        <f t="shared" si="2"/>
        <v/>
      </c>
      <c r="J89" s="92">
        <v>43</v>
      </c>
      <c r="K89" s="90" t="str">
        <f t="shared" si="3"/>
        <v/>
      </c>
      <c r="L89" s="94">
        <v>22</v>
      </c>
      <c r="M89" s="90" t="str">
        <f t="shared" ref="M89:M120" si="17">IF(IFERROR(FIND("+",L89),0)," ",
IF(L89="AB","",
IF(L89&lt;$L$24,"F",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N89" s="94">
        <v>37</v>
      </c>
      <c r="O89" s="90" t="str">
        <f t="shared" si="5"/>
        <v/>
      </c>
      <c r="P89" s="92">
        <v>40</v>
      </c>
      <c r="Q89" s="90" t="str">
        <f t="shared" si="6"/>
        <v/>
      </c>
      <c r="R89" s="94">
        <v>21</v>
      </c>
      <c r="S89" s="90" t="str">
        <f t="shared" si="7"/>
        <v/>
      </c>
      <c r="T89" s="94">
        <v>21</v>
      </c>
      <c r="U89" s="90" t="str">
        <f t="shared" si="8"/>
        <v/>
      </c>
      <c r="V89" s="92" t="s">
        <v>343</v>
      </c>
      <c r="W89" s="90" t="str">
        <f t="shared" si="9"/>
        <v/>
      </c>
      <c r="X89" s="94">
        <v>23</v>
      </c>
      <c r="Y89" s="90" t="str">
        <f t="shared" si="10"/>
        <v/>
      </c>
      <c r="Z89" s="92">
        <v>45</v>
      </c>
      <c r="AA89" s="90" t="str">
        <f t="shared" si="11"/>
        <v/>
      </c>
      <c r="AB89" s="94">
        <v>20</v>
      </c>
      <c r="AC89" s="90" t="str">
        <f t="shared" si="12"/>
        <v/>
      </c>
      <c r="AD89" s="94">
        <v>21</v>
      </c>
      <c r="AE89" s="90" t="str">
        <f t="shared" si="13"/>
        <v/>
      </c>
      <c r="AF89" s="92">
        <v>28</v>
      </c>
      <c r="AG89" s="89" t="str">
        <f t="shared" si="14"/>
        <v/>
      </c>
      <c r="AH89" s="94">
        <v>23</v>
      </c>
      <c r="AI89" s="90" t="str">
        <f t="shared" si="15"/>
        <v/>
      </c>
      <c r="AJ89" s="109" t="s">
        <v>664</v>
      </c>
      <c r="AK89" s="24" t="str">
        <f t="shared" si="16"/>
        <v>PASS</v>
      </c>
      <c r="AL89" s="25" t="str">
        <f>SPELLNUMBER(extractnumber_tot(AJ89))</f>
        <v xml:space="preserve">Four Hundred Eighty Two </v>
      </c>
    </row>
    <row r="90" spans="2:38" s="22" customFormat="1" ht="15.95" customHeight="1">
      <c r="B90" s="97">
        <v>235266</v>
      </c>
      <c r="C90" s="98" t="s">
        <v>532</v>
      </c>
      <c r="D90" s="95">
        <v>41</v>
      </c>
      <c r="E90" s="89" t="str">
        <f t="shared" ref="E90:E153" si="18">IF(IFERROR(FIND("+",D90),0)," ",
IF(D90="AB","",
IF(D90&lt;$D$24,"F",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F90" s="94">
        <v>22</v>
      </c>
      <c r="G90" s="89" t="str">
        <f t="shared" ref="G90:G153" si="19">IF(IFERROR(FIND("+",F90),0)," ",
IF(F90="AB","",
IF(F90&lt;$F$24,"F",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H90" s="94">
        <v>37</v>
      </c>
      <c r="I90" s="90" t="str">
        <f t="shared" ref="I90:I153" si="20">IF(IFERROR(FIND("+",H90),0)," ",
IF(H90="AB","",
IF(H90&lt;$H$24,"F",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J90" s="92">
        <v>50</v>
      </c>
      <c r="K90" s="90" t="str">
        <f t="shared" ref="K90:K153" si="21">IF(IFERROR(FIND("+",J90),0)," ",
IF(J90="AB","",
IF(J90&lt;$J$24,"F",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L90" s="94">
        <v>22</v>
      </c>
      <c r="M90" s="90" t="str">
        <f t="shared" si="17"/>
        <v>E</v>
      </c>
      <c r="N90" s="94">
        <v>39</v>
      </c>
      <c r="O90" s="90" t="str">
        <f t="shared" ref="O90:O153" si="22">IF(IFERROR(FIND("+",N90),0)," ",
IF(N90="AB","",
IF(N90&lt;$N$24,"F",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P90" s="92">
        <v>40</v>
      </c>
      <c r="Q90" s="90" t="str">
        <f t="shared" ref="Q90:Q153" si="23">IF(IFERROR(FIND("+",P90),0)," ",
IF(P90="AB","",
IF(P90&lt;$P$24,"F",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R90" s="94">
        <v>21</v>
      </c>
      <c r="S90" s="90" t="str">
        <f t="shared" ref="S90:S153" si="24">IF(IFERROR(FIND("+",R90),0)," ",
IF(R90="AB","",
IF(R90&lt;$R$24,"F",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T90" s="94">
        <v>22</v>
      </c>
      <c r="U90" s="90" t="str">
        <f t="shared" ref="U90:U153" si="25">IF(IFERROR(FIND("+",T90),0)," ",
IF(T90="AB","",
IF(T90&lt;$T$24,"F",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V90" s="92">
        <v>28</v>
      </c>
      <c r="W90" s="90" t="str">
        <f t="shared" ref="W90:W153" si="26">IF(IFERROR(FIND("+",V90),0)," ",
IF(V90="AB","",
IF(V90&lt;$V$24,"F",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F</v>
      </c>
      <c r="X90" s="94">
        <v>22</v>
      </c>
      <c r="Y90" s="90" t="str">
        <f t="shared" ref="Y90:Y153" si="27">IF(IFERROR(FIND("+",X90),0)," ",
IF(X90="AB","",
IF(X90&lt;$X$24,"F",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Z90" s="92">
        <v>51</v>
      </c>
      <c r="AA90" s="90" t="str">
        <f t="shared" ref="AA90:AA153" si="28">IF(IFERROR(FIND("+",Z90),0)," ",
IF(Z90="AB","",
IF(Z90&lt;$Z$24,"F",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AB90" s="94">
        <v>22</v>
      </c>
      <c r="AC90" s="90" t="str">
        <f t="shared" ref="AC90:AC153" si="29">IF(IFERROR(FIND("+",AB90),0)," ",
IF(AB90="AB","",
IF(AB90&lt;$AB$24,"F",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AD90" s="94">
        <v>21</v>
      </c>
      <c r="AE90" s="90" t="str">
        <f t="shared" ref="AE90:AE153" si="30">IF(IFERROR(FIND("+",AD90),0)," ",
IF(AD90="AB","",
IF(AD90&lt;$AD$24,"F",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AF90" s="92">
        <v>28</v>
      </c>
      <c r="AG90" s="89" t="str">
        <f t="shared" ref="AG90:AG153" si="31">IF(IFERROR(FIND("+",AF90),0)," ",
IF(AF90="AB","",
IF(AF90&lt;$AF$24,"F",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AH90" s="94">
        <v>22</v>
      </c>
      <c r="AI90" s="90" t="str">
        <f t="shared" ref="AI90:AI153" si="32">IF(IFERROR(FIND("+",AH90),0)," ",
IF(AH90="AB","",
IF(AH90&lt;$AH$24,"F",
IF(AND(D90&gt;=$D$24,F90&gt;=$F$24,H90&gt;=$H$24,
J90&gt;=$J$24,L90&gt;=$L$24,
N90&gt;=$N$24,P90&gt;=$P$24,R90&gt;=$R$24,T90&gt;=$T$24,V90&gt;=$V$24,
X90&gt;=$X$24,Z90&gt;=$Z$24,AB90&gt;=$AB$24,AD90&gt;=$AD$24,AF90&gt;=$AF$24,
AH90&gt;=$AH$24,D90&lt;&gt;"AB",F90&lt;&gt;"AB",H90&lt;&gt;"AB",
J90&lt;&gt;"AB",L90&lt;&gt;"AB",
N90&lt;&gt;"AB",P90&lt;&gt;"AB",R90&lt;&gt;"AB",T90&lt;&gt;"AB",V90&lt;&gt;"AB",
X90&lt;&gt;"AB",Z90&lt;&gt;"AB",AB90&lt;&gt;"AB",AD90&lt;&gt;"AB",AF90&lt;&gt;"AB",
AH90&lt;&gt;"AB"),"","E"))))</f>
        <v>E</v>
      </c>
      <c r="AJ90" s="108">
        <f>IF(AND(OR(COUNTIF(D90:AI90,"=31")&gt;=1,COUNTIF(D90:AI90,"=32")&gt;=1,COUNTIF(D90:AI90,"=33")&gt;=1,COUNTIF(D90:AI90,"=34")&gt;=1,COUNTIF(D90:AI90,"=35")=1,COUNTIF(D90:AI90,"=36")&gt;=1 ),COUNTIF(D90:AI90,"")=0,COUNTIF(D90:AI90," ")=0,COUNTIF(D90:AI90,"F")=1),CONCATENATE(SUM(EXTRACTNUMBER(D90),EXTRACTNUMBER(F90),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EXTRACTNUMBER(AD90),EXTRACTNUMBER(AF90),EXTRACTNUMBER(AH90)),"*"),IF(AND(COUNTIF(D90:AI90,"=34")&gt;=1,COUNTIF(D90:AI90,"=35")&gt;=1,COUNTIF(D90:AI90,"f")=2,COUNTIF(D90:AI90,"")=0,COUNTIF(D90:AI90," ")=0),CONCATENATE(SUM(EXTRACTNUMBER(D90),EXTRACTNUMBER(F90),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EXTRACTNUMBER(AD90),EXTRACTNUMBER(AF90),EXTRACTNUMBER(AH90)),"*"),IF(AND(COUNTIF(D90:AI90,"=36")&gt;=2,COUNTIF(D90:AI90,"f")=2,COUNTIF(D90:AI90,"")=0,COUNTIF(D90:AI90," ")=0),CONCATENATE(SUM(EXTRACTNUMBER(D90),EXTRACTNUMBER(F90),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EXTRACTNUMBER(AD90),EXTRACTNUMBER(AF90),EXTRACTNUMBER(AH90)),"*"),SUM(EXTRACTNUMBER(D90),EXTRACTNUMBER(F90),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EXTRACTNUMBER(AD90),EXTRACTNUMBER(AF90),EXTRACTNUMBER(AH90)))))</f>
        <v>488</v>
      </c>
      <c r="AK90" s="24" t="str">
        <f t="shared" ref="AK90:AK153" si="33">IF(AND(COUNTIF(D90:AI90,"AB")&lt;16-COUNTIF(D90:AI90," "),
COUNTIF(D90:AI90,"AB")&lt;&gt;0),"FAIL",
IF(COUNTIF(D90:AI90,"AB")=16-COUNTIF(D90:AI90," "),"ABSENT",
IF(AND(COUNTIF(D90:AI90,"AB")=0,COUNTIF(D90:AI90,"F")=0),"PASS","FAIL")))</f>
        <v>FAIL</v>
      </c>
      <c r="AL90" s="25" t="str">
        <f>SPELLNUMBER(extractnumber_tot(AJ90))</f>
        <v xml:space="preserve">Four Hundred Eighty Eight </v>
      </c>
    </row>
    <row r="91" spans="2:38" s="22" customFormat="1" ht="15.95" customHeight="1">
      <c r="B91" s="97">
        <v>235267</v>
      </c>
      <c r="C91" s="98" t="s">
        <v>533</v>
      </c>
      <c r="D91" s="95">
        <v>43</v>
      </c>
      <c r="E91" s="89" t="str">
        <f t="shared" si="18"/>
        <v>E</v>
      </c>
      <c r="F91" s="94">
        <v>20</v>
      </c>
      <c r="G91" s="89" t="str">
        <f t="shared" si="19"/>
        <v>E</v>
      </c>
      <c r="H91" s="94">
        <v>39</v>
      </c>
      <c r="I91" s="90" t="str">
        <f t="shared" si="20"/>
        <v>E</v>
      </c>
      <c r="J91" s="92">
        <v>41</v>
      </c>
      <c r="K91" s="90" t="str">
        <f t="shared" si="21"/>
        <v>E</v>
      </c>
      <c r="L91" s="94">
        <v>18</v>
      </c>
      <c r="M91" s="90" t="str">
        <f t="shared" si="17"/>
        <v>E</v>
      </c>
      <c r="N91" s="94">
        <v>37</v>
      </c>
      <c r="O91" s="90" t="str">
        <f t="shared" si="22"/>
        <v>E</v>
      </c>
      <c r="P91" s="92">
        <v>3</v>
      </c>
      <c r="Q91" s="90" t="str">
        <f t="shared" si="23"/>
        <v>F</v>
      </c>
      <c r="R91" s="94">
        <v>20</v>
      </c>
      <c r="S91" s="90" t="str">
        <f t="shared" si="24"/>
        <v>E</v>
      </c>
      <c r="T91" s="94">
        <v>20</v>
      </c>
      <c r="U91" s="90" t="str">
        <f t="shared" si="25"/>
        <v>E</v>
      </c>
      <c r="V91" s="92">
        <v>3</v>
      </c>
      <c r="W91" s="90" t="str">
        <f t="shared" si="26"/>
        <v>F</v>
      </c>
      <c r="X91" s="94">
        <v>16</v>
      </c>
      <c r="Y91" s="90" t="str">
        <f t="shared" si="27"/>
        <v>E</v>
      </c>
      <c r="Z91" s="92">
        <v>13</v>
      </c>
      <c r="AA91" s="90" t="str">
        <f t="shared" si="28"/>
        <v>F</v>
      </c>
      <c r="AB91" s="94">
        <v>19</v>
      </c>
      <c r="AC91" s="90" t="str">
        <f t="shared" si="29"/>
        <v>E</v>
      </c>
      <c r="AD91" s="94">
        <v>18</v>
      </c>
      <c r="AE91" s="90" t="str">
        <f t="shared" si="30"/>
        <v>E</v>
      </c>
      <c r="AF91" s="92">
        <v>31</v>
      </c>
      <c r="AG91" s="89" t="str">
        <f t="shared" si="31"/>
        <v>E</v>
      </c>
      <c r="AH91" s="94">
        <v>20</v>
      </c>
      <c r="AI91" s="90" t="str">
        <f t="shared" si="32"/>
        <v>E</v>
      </c>
      <c r="AJ91" s="108">
        <f>IF(AND(OR(COUNTIF(D91:AI91,"=31")&gt;=1,COUNTIF(D91:AI91,"=32")&gt;=1,COUNTIF(D91:AI91,"=33")&gt;=1,COUNTIF(D91:AI91,"=34")&gt;=1,COUNTIF(D91:AI91,"=35")=1,COUNTIF(D91:AI91,"=36")&gt;=1 ),COUNTIF(D91:AI91,"")=0,COUNTIF(D91:AI91," ")=0,COUNTIF(D91:AI91,"F")=1),CONCATENATE(SUM(EXTRACTNUMBER(D91),EXTRACTNUMBER(F91),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EXTRACTNUMBER(AD91),EXTRACTNUMBER(AF91),EXTRACTNUMBER(AH91)),"*"),IF(AND(COUNTIF(D91:AI91,"=34")&gt;=1,COUNTIF(D91:AI91,"=35")&gt;=1,COUNTIF(D91:AI91,"f")=2,COUNTIF(D91:AI91,"")=0,COUNTIF(D91:AI91," ")=0),CONCATENATE(SUM(EXTRACTNUMBER(D91),EXTRACTNUMBER(F91),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EXTRACTNUMBER(AD91),EXTRACTNUMBER(AF91),EXTRACTNUMBER(AH91)),"*"),IF(AND(COUNTIF(D91:AI91,"=36")&gt;=2,COUNTIF(D91:AI91,"f")=2,COUNTIF(D91:AI91,"")=0,COUNTIF(D91:AI91," ")=0),CONCATENATE(SUM(EXTRACTNUMBER(D91),EXTRACTNUMBER(F91),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EXTRACTNUMBER(AD91),EXTRACTNUMBER(AF91),EXTRACTNUMBER(AH91)),"*"),SUM(EXTRACTNUMBER(D91),EXTRACTNUMBER(F91),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EXTRACTNUMBER(AD91),EXTRACTNUMBER(AF91),EXTRACTNUMBER(AH91)))))</f>
        <v>361</v>
      </c>
      <c r="AK91" s="24" t="str">
        <f t="shared" si="33"/>
        <v>FAIL</v>
      </c>
      <c r="AL91" s="25" t="str">
        <f>SPELLNUMBER(extractnumber_tot(AJ91))</f>
        <v xml:space="preserve">Three Hundred Sixty One </v>
      </c>
    </row>
    <row r="92" spans="2:38" s="22" customFormat="1" ht="15.95" customHeight="1">
      <c r="B92" s="97">
        <v>235268</v>
      </c>
      <c r="C92" s="98" t="s">
        <v>534</v>
      </c>
      <c r="D92" s="95">
        <v>75</v>
      </c>
      <c r="E92" s="89" t="str">
        <f t="shared" si="18"/>
        <v/>
      </c>
      <c r="F92" s="94">
        <v>21</v>
      </c>
      <c r="G92" s="89" t="str">
        <f t="shared" si="19"/>
        <v/>
      </c>
      <c r="H92" s="94">
        <v>43</v>
      </c>
      <c r="I92" s="90" t="str">
        <f t="shared" si="20"/>
        <v/>
      </c>
      <c r="J92" s="92">
        <v>60</v>
      </c>
      <c r="K92" s="90" t="str">
        <f t="shared" si="21"/>
        <v/>
      </c>
      <c r="L92" s="94">
        <v>19</v>
      </c>
      <c r="M92" s="90" t="str">
        <f t="shared" si="17"/>
        <v/>
      </c>
      <c r="N92" s="94">
        <v>43</v>
      </c>
      <c r="O92" s="90" t="str">
        <f t="shared" si="22"/>
        <v/>
      </c>
      <c r="P92" s="92">
        <v>49</v>
      </c>
      <c r="Q92" s="90" t="str">
        <f t="shared" si="23"/>
        <v/>
      </c>
      <c r="R92" s="94">
        <v>21</v>
      </c>
      <c r="S92" s="90" t="str">
        <f t="shared" si="24"/>
        <v/>
      </c>
      <c r="T92" s="94">
        <v>22</v>
      </c>
      <c r="U92" s="90" t="str">
        <f t="shared" si="25"/>
        <v/>
      </c>
      <c r="V92" s="92" t="s">
        <v>343</v>
      </c>
      <c r="W92" s="90" t="str">
        <f t="shared" si="26"/>
        <v/>
      </c>
      <c r="X92" s="94">
        <v>23</v>
      </c>
      <c r="Y92" s="90" t="str">
        <f t="shared" si="27"/>
        <v/>
      </c>
      <c r="Z92" s="92">
        <v>59</v>
      </c>
      <c r="AA92" s="90" t="str">
        <f t="shared" si="28"/>
        <v/>
      </c>
      <c r="AB92" s="94">
        <v>22</v>
      </c>
      <c r="AC92" s="90" t="str">
        <f t="shared" si="29"/>
        <v/>
      </c>
      <c r="AD92" s="94">
        <v>22</v>
      </c>
      <c r="AE92" s="90" t="str">
        <f t="shared" si="30"/>
        <v/>
      </c>
      <c r="AF92" s="92">
        <v>32</v>
      </c>
      <c r="AG92" s="89" t="str">
        <f t="shared" si="31"/>
        <v/>
      </c>
      <c r="AH92" s="94">
        <v>20</v>
      </c>
      <c r="AI92" s="90" t="str">
        <f t="shared" si="32"/>
        <v/>
      </c>
      <c r="AJ92" s="109" t="s">
        <v>654</v>
      </c>
      <c r="AK92" s="24" t="str">
        <f t="shared" si="33"/>
        <v>PASS</v>
      </c>
      <c r="AL92" s="25" t="str">
        <f>SPELLNUMBER(extractnumber_tot(AJ92))</f>
        <v xml:space="preserve">Five Hundred Sixty Three </v>
      </c>
    </row>
    <row r="93" spans="2:38" s="22" customFormat="1" ht="15.95" customHeight="1">
      <c r="B93" s="97">
        <v>235269</v>
      </c>
      <c r="C93" s="98" t="s">
        <v>535</v>
      </c>
      <c r="D93" s="95">
        <v>64</v>
      </c>
      <c r="E93" s="89" t="str">
        <f t="shared" si="18"/>
        <v/>
      </c>
      <c r="F93" s="94">
        <v>23</v>
      </c>
      <c r="G93" s="89" t="str">
        <f t="shared" si="19"/>
        <v/>
      </c>
      <c r="H93" s="94">
        <v>48</v>
      </c>
      <c r="I93" s="90" t="str">
        <f t="shared" si="20"/>
        <v/>
      </c>
      <c r="J93" s="92">
        <v>52</v>
      </c>
      <c r="K93" s="90" t="str">
        <f t="shared" si="21"/>
        <v/>
      </c>
      <c r="L93" s="94">
        <v>23</v>
      </c>
      <c r="M93" s="90" t="str">
        <f t="shared" si="17"/>
        <v/>
      </c>
      <c r="N93" s="94">
        <v>44</v>
      </c>
      <c r="O93" s="90" t="str">
        <f t="shared" si="22"/>
        <v/>
      </c>
      <c r="P93" s="92">
        <v>42</v>
      </c>
      <c r="Q93" s="90" t="str">
        <f t="shared" si="23"/>
        <v/>
      </c>
      <c r="R93" s="94">
        <v>23</v>
      </c>
      <c r="S93" s="90" t="str">
        <f t="shared" si="24"/>
        <v/>
      </c>
      <c r="T93" s="94">
        <v>23</v>
      </c>
      <c r="U93" s="90" t="str">
        <f t="shared" si="25"/>
        <v/>
      </c>
      <c r="V93" s="92">
        <v>57</v>
      </c>
      <c r="W93" s="90" t="str">
        <f t="shared" si="26"/>
        <v/>
      </c>
      <c r="X93" s="94">
        <v>24</v>
      </c>
      <c r="Y93" s="90" t="str">
        <f t="shared" si="27"/>
        <v/>
      </c>
      <c r="Z93" s="92">
        <v>52</v>
      </c>
      <c r="AA93" s="90" t="str">
        <f t="shared" si="28"/>
        <v/>
      </c>
      <c r="AB93" s="94">
        <v>23</v>
      </c>
      <c r="AC93" s="90" t="str">
        <f t="shared" si="29"/>
        <v/>
      </c>
      <c r="AD93" s="94">
        <v>24</v>
      </c>
      <c r="AE93" s="90" t="str">
        <f t="shared" si="30"/>
        <v/>
      </c>
      <c r="AF93" s="92">
        <v>29</v>
      </c>
      <c r="AG93" s="89" t="str">
        <f t="shared" si="31"/>
        <v/>
      </c>
      <c r="AH93" s="94">
        <v>23</v>
      </c>
      <c r="AI93" s="90" t="str">
        <f t="shared" si="32"/>
        <v/>
      </c>
      <c r="AJ93" s="108">
        <f>IF(AND(OR(COUNTIF(D93:AI93,"=31")&gt;=1,COUNTIF(D93:AI93,"=32")&gt;=1,COUNTIF(D93:AI93,"=33")&gt;=1,COUNTIF(D93:AI93,"=34")&gt;=1,COUNTIF(D93:AI93,"=35")=1,COUNTIF(D93:AI93,"=36")&gt;=1 ),COUNTIF(D93:AI93,"")=0,COUNTIF(D93:AI93," ")=0,COUNTIF(D93:AI93,"F")=1),CONCATENATE(SUM(EXTRACTNUMBER(D93),EXTRACTNUMBER(F93),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EXTRACTNUMBER(AD93),EXTRACTNUMBER(AF93),EXTRACTNUMBER(AH93)),"*"),IF(AND(COUNTIF(D93:AI93,"=34")&gt;=1,COUNTIF(D93:AI93,"=35")&gt;=1,COUNTIF(D93:AI93,"f")=2,COUNTIF(D93:AI93,"")=0,COUNTIF(D93:AI93," ")=0),CONCATENATE(SUM(EXTRACTNUMBER(D93),EXTRACTNUMBER(F93),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EXTRACTNUMBER(AD93),EXTRACTNUMBER(AF93),EXTRACTNUMBER(AH93)),"*"),IF(AND(COUNTIF(D93:AI93,"=36")&gt;=2,COUNTIF(D93:AI93,"f")=2,COUNTIF(D93:AI93,"")=0,COUNTIF(D93:AI93," ")=0),CONCATENATE(SUM(EXTRACTNUMBER(D93),EXTRACTNUMBER(F93),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EXTRACTNUMBER(AD93),EXTRACTNUMBER(AF93),EXTRACTNUMBER(AH93)),"*"),SUM(EXTRACTNUMBER(D93),EXTRACTNUMBER(F93),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EXTRACTNUMBER(AD93),EXTRACTNUMBER(AF93),EXTRACTNUMBER(AH93)))))</f>
        <v>574</v>
      </c>
      <c r="AK93" s="24" t="str">
        <f t="shared" si="33"/>
        <v>PASS</v>
      </c>
      <c r="AL93" s="25" t="str">
        <f>SPELLNUMBER(extractnumber_tot(AJ93))</f>
        <v xml:space="preserve">Five Hundred Seventy Four </v>
      </c>
    </row>
    <row r="94" spans="2:38" s="22" customFormat="1" ht="15.95" customHeight="1">
      <c r="B94" s="97">
        <v>235270</v>
      </c>
      <c r="C94" s="98" t="s">
        <v>536</v>
      </c>
      <c r="D94" s="95">
        <v>54</v>
      </c>
      <c r="E94" s="89" t="str">
        <f t="shared" si="18"/>
        <v/>
      </c>
      <c r="F94" s="94">
        <v>20</v>
      </c>
      <c r="G94" s="89" t="str">
        <f t="shared" si="19"/>
        <v/>
      </c>
      <c r="H94" s="94">
        <v>38</v>
      </c>
      <c r="I94" s="90" t="str">
        <f t="shared" si="20"/>
        <v/>
      </c>
      <c r="J94" s="92">
        <v>50</v>
      </c>
      <c r="K94" s="90" t="str">
        <f t="shared" si="21"/>
        <v/>
      </c>
      <c r="L94" s="94">
        <v>18</v>
      </c>
      <c r="M94" s="90" t="str">
        <f t="shared" si="17"/>
        <v/>
      </c>
      <c r="N94" s="94">
        <v>40</v>
      </c>
      <c r="O94" s="90" t="str">
        <f t="shared" si="22"/>
        <v/>
      </c>
      <c r="P94" s="92">
        <v>59</v>
      </c>
      <c r="Q94" s="90" t="str">
        <f t="shared" si="23"/>
        <v/>
      </c>
      <c r="R94" s="94">
        <v>20</v>
      </c>
      <c r="S94" s="90" t="str">
        <f t="shared" si="24"/>
        <v/>
      </c>
      <c r="T94" s="94">
        <v>19</v>
      </c>
      <c r="U94" s="90" t="str">
        <f t="shared" si="25"/>
        <v/>
      </c>
      <c r="V94" s="92">
        <v>40</v>
      </c>
      <c r="W94" s="90" t="str">
        <f t="shared" si="26"/>
        <v/>
      </c>
      <c r="X94" s="94">
        <v>21</v>
      </c>
      <c r="Y94" s="90" t="str">
        <f t="shared" si="27"/>
        <v/>
      </c>
      <c r="Z94" s="92">
        <v>54</v>
      </c>
      <c r="AA94" s="90" t="str">
        <f t="shared" si="28"/>
        <v/>
      </c>
      <c r="AB94" s="94">
        <v>19</v>
      </c>
      <c r="AC94" s="90" t="str">
        <f t="shared" si="29"/>
        <v/>
      </c>
      <c r="AD94" s="94">
        <v>20</v>
      </c>
      <c r="AE94" s="90" t="str">
        <f t="shared" si="30"/>
        <v/>
      </c>
      <c r="AF94" s="92">
        <v>34</v>
      </c>
      <c r="AG94" s="89" t="str">
        <f t="shared" si="31"/>
        <v/>
      </c>
      <c r="AH94" s="94">
        <v>24</v>
      </c>
      <c r="AI94" s="90" t="str">
        <f t="shared" si="32"/>
        <v/>
      </c>
      <c r="AJ94" s="108">
        <f>IF(AND(OR(COUNTIF(D94:AI94,"=31")&gt;=1,COUNTIF(D94:AI94,"=32")&gt;=1,COUNTIF(D94:AI94,"=33")&gt;=1,COUNTIF(D94:AI94,"=34")&gt;=1,COUNTIF(D94:AI94,"=35")=1,COUNTIF(D94:AI94,"=36")&gt;=1 ),COUNTIF(D94:AI94,"")=0,COUNTIF(D94:AI94," ")=0,COUNTIF(D94:AI94,"F")=1),CONCATENATE(SUM(EXTRACTNUMBER(D94),EXTRACTNUMBER(F94),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EXTRACTNUMBER(AD94),EXTRACTNUMBER(AF94),EXTRACTNUMBER(AH94)),"*"),IF(AND(COUNTIF(D94:AI94,"=34")&gt;=1,COUNTIF(D94:AI94,"=35")&gt;=1,COUNTIF(D94:AI94,"f")=2,COUNTIF(D94:AI94,"")=0,COUNTIF(D94:AI94," ")=0),CONCATENATE(SUM(EXTRACTNUMBER(D94),EXTRACTNUMBER(F94),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EXTRACTNUMBER(AD94),EXTRACTNUMBER(AF94),EXTRACTNUMBER(AH94)),"*"),IF(AND(COUNTIF(D94:AI94,"=36")&gt;=2,COUNTIF(D94:AI94,"f")=2,COUNTIF(D94:AI94,"")=0,COUNTIF(D94:AI94," ")=0),CONCATENATE(SUM(EXTRACTNUMBER(D94),EXTRACTNUMBER(F94),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EXTRACTNUMBER(AD94),EXTRACTNUMBER(AF94),EXTRACTNUMBER(AH94)),"*"),SUM(EXTRACTNUMBER(D94),EXTRACTNUMBER(F94),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EXTRACTNUMBER(AD94),EXTRACTNUMBER(AF94),EXTRACTNUMBER(AH94)))))</f>
        <v>530</v>
      </c>
      <c r="AK94" s="24" t="str">
        <f t="shared" si="33"/>
        <v>PASS</v>
      </c>
      <c r="AL94" s="25" t="str">
        <f>SPELLNUMBER(extractnumber_tot(AJ94))</f>
        <v xml:space="preserve">Five Hundred Thirty  </v>
      </c>
    </row>
    <row r="95" spans="2:38" s="22" customFormat="1" ht="15.95" customHeight="1">
      <c r="B95" s="97">
        <v>235271</v>
      </c>
      <c r="C95" s="98" t="s">
        <v>537</v>
      </c>
      <c r="D95" s="95">
        <v>53</v>
      </c>
      <c r="E95" s="89" t="str">
        <f t="shared" si="18"/>
        <v/>
      </c>
      <c r="F95" s="94">
        <v>19</v>
      </c>
      <c r="G95" s="89" t="str">
        <f t="shared" si="19"/>
        <v/>
      </c>
      <c r="H95" s="94">
        <v>41</v>
      </c>
      <c r="I95" s="90" t="str">
        <f t="shared" si="20"/>
        <v/>
      </c>
      <c r="J95" s="92">
        <v>50</v>
      </c>
      <c r="K95" s="90" t="str">
        <f t="shared" si="21"/>
        <v/>
      </c>
      <c r="L95" s="94">
        <v>19</v>
      </c>
      <c r="M95" s="90" t="str">
        <f t="shared" si="17"/>
        <v/>
      </c>
      <c r="N95" s="94">
        <v>38</v>
      </c>
      <c r="O95" s="90" t="str">
        <f t="shared" si="22"/>
        <v/>
      </c>
      <c r="P95" s="92">
        <v>41</v>
      </c>
      <c r="Q95" s="90" t="str">
        <f t="shared" si="23"/>
        <v/>
      </c>
      <c r="R95" s="94">
        <v>19</v>
      </c>
      <c r="S95" s="90" t="str">
        <f t="shared" si="24"/>
        <v/>
      </c>
      <c r="T95" s="94">
        <v>22</v>
      </c>
      <c r="U95" s="90" t="str">
        <f t="shared" si="25"/>
        <v/>
      </c>
      <c r="V95" s="92">
        <v>44</v>
      </c>
      <c r="W95" s="90" t="str">
        <f t="shared" si="26"/>
        <v/>
      </c>
      <c r="X95" s="94">
        <v>20</v>
      </c>
      <c r="Y95" s="90" t="str">
        <f t="shared" si="27"/>
        <v/>
      </c>
      <c r="Z95" s="92">
        <v>56</v>
      </c>
      <c r="AA95" s="90" t="str">
        <f t="shared" si="28"/>
        <v/>
      </c>
      <c r="AB95" s="94">
        <v>20</v>
      </c>
      <c r="AC95" s="90" t="str">
        <f t="shared" si="29"/>
        <v/>
      </c>
      <c r="AD95" s="94">
        <v>22</v>
      </c>
      <c r="AE95" s="90" t="str">
        <f t="shared" si="30"/>
        <v/>
      </c>
      <c r="AF95" s="92">
        <v>30</v>
      </c>
      <c r="AG95" s="89" t="str">
        <f t="shared" si="31"/>
        <v/>
      </c>
      <c r="AH95" s="94">
        <v>20</v>
      </c>
      <c r="AI95" s="90" t="str">
        <f t="shared" si="32"/>
        <v/>
      </c>
      <c r="AJ95" s="108">
        <f>IF(AND(OR(COUNTIF(D95:AI95,"=31")&gt;=1,COUNTIF(D95:AI95,"=32")&gt;=1,COUNTIF(D95:AI95,"=33")&gt;=1,COUNTIF(D95:AI95,"=34")&gt;=1,COUNTIF(D95:AI95,"=35")=1,COUNTIF(D95:AI95,"=36")&gt;=1 ),COUNTIF(D95:AI95,"")=0,COUNTIF(D95:AI95," ")=0,COUNTIF(D95:AI95,"F")=1),CONCATENATE(SUM(EXTRACTNUMBER(D95),EXTRACTNUMBER(F95),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EXTRACTNUMBER(AD95),EXTRACTNUMBER(AF95),EXTRACTNUMBER(AH95)),"*"),IF(AND(COUNTIF(D95:AI95,"=34")&gt;=1,COUNTIF(D95:AI95,"=35")&gt;=1,COUNTIF(D95:AI95,"f")=2,COUNTIF(D95:AI95,"")=0,COUNTIF(D95:AI95," ")=0),CONCATENATE(SUM(EXTRACTNUMBER(D95),EXTRACTNUMBER(F95),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EXTRACTNUMBER(AD95),EXTRACTNUMBER(AF95),EXTRACTNUMBER(AH95)),"*"),IF(AND(COUNTIF(D95:AI95,"=36")&gt;=2,COUNTIF(D95:AI95,"f")=2,COUNTIF(D95:AI95,"")=0,COUNTIF(D95:AI95," ")=0),CONCATENATE(SUM(EXTRACTNUMBER(D95),EXTRACTNUMBER(F95),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EXTRACTNUMBER(AD95),EXTRACTNUMBER(AF95),EXTRACTNUMBER(AH95)),"*"),SUM(EXTRACTNUMBER(D95),EXTRACTNUMBER(F95),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EXTRACTNUMBER(AD95),EXTRACTNUMBER(AF95),EXTRACTNUMBER(AH95)))))</f>
        <v>514</v>
      </c>
      <c r="AK95" s="24" t="str">
        <f t="shared" si="33"/>
        <v>PASS</v>
      </c>
      <c r="AL95" s="25" t="str">
        <f>SPELLNUMBER(extractnumber_tot(AJ95))</f>
        <v xml:space="preserve">Five Hundred Fourteen </v>
      </c>
    </row>
    <row r="96" spans="2:38" s="22" customFormat="1" ht="15.95" customHeight="1">
      <c r="B96" s="97">
        <v>235272</v>
      </c>
      <c r="C96" s="98" t="s">
        <v>538</v>
      </c>
      <c r="D96" s="95">
        <v>52</v>
      </c>
      <c r="E96" s="89" t="str">
        <f t="shared" si="18"/>
        <v/>
      </c>
      <c r="F96" s="94">
        <v>22</v>
      </c>
      <c r="G96" s="89" t="str">
        <f t="shared" si="19"/>
        <v/>
      </c>
      <c r="H96" s="94">
        <v>42</v>
      </c>
      <c r="I96" s="90" t="str">
        <f t="shared" si="20"/>
        <v/>
      </c>
      <c r="J96" s="92">
        <v>43</v>
      </c>
      <c r="K96" s="90" t="str">
        <f t="shared" si="21"/>
        <v/>
      </c>
      <c r="L96" s="94">
        <v>19</v>
      </c>
      <c r="M96" s="90" t="str">
        <f t="shared" si="17"/>
        <v/>
      </c>
      <c r="N96" s="94">
        <v>38</v>
      </c>
      <c r="O96" s="90" t="str">
        <f t="shared" si="22"/>
        <v/>
      </c>
      <c r="P96" s="92">
        <v>40</v>
      </c>
      <c r="Q96" s="90" t="str">
        <f t="shared" si="23"/>
        <v/>
      </c>
      <c r="R96" s="94">
        <v>22</v>
      </c>
      <c r="S96" s="90" t="str">
        <f t="shared" si="24"/>
        <v/>
      </c>
      <c r="T96" s="94">
        <v>20</v>
      </c>
      <c r="U96" s="90" t="str">
        <f t="shared" si="25"/>
        <v/>
      </c>
      <c r="V96" s="92">
        <v>51</v>
      </c>
      <c r="W96" s="90" t="str">
        <f t="shared" si="26"/>
        <v/>
      </c>
      <c r="X96" s="94">
        <v>20</v>
      </c>
      <c r="Y96" s="90" t="str">
        <f t="shared" si="27"/>
        <v/>
      </c>
      <c r="Z96" s="92">
        <v>57</v>
      </c>
      <c r="AA96" s="90" t="str">
        <f t="shared" si="28"/>
        <v/>
      </c>
      <c r="AB96" s="94">
        <v>20</v>
      </c>
      <c r="AC96" s="90" t="str">
        <f t="shared" si="29"/>
        <v/>
      </c>
      <c r="AD96" s="94">
        <v>20</v>
      </c>
      <c r="AE96" s="90" t="str">
        <f t="shared" si="30"/>
        <v/>
      </c>
      <c r="AF96" s="92">
        <v>24</v>
      </c>
      <c r="AG96" s="89" t="str">
        <f t="shared" si="31"/>
        <v/>
      </c>
      <c r="AH96" s="94">
        <v>19</v>
      </c>
      <c r="AI96" s="90" t="str">
        <f t="shared" si="32"/>
        <v/>
      </c>
      <c r="AJ96" s="108">
        <f>IF(AND(OR(COUNTIF(D96:AI96,"=31")&gt;=1,COUNTIF(D96:AI96,"=32")&gt;=1,COUNTIF(D96:AI96,"=33")&gt;=1,COUNTIF(D96:AI96,"=34")&gt;=1,COUNTIF(D96:AI96,"=35")=1,COUNTIF(D96:AI96,"=36")&gt;=1 ),COUNTIF(D96:AI96,"")=0,COUNTIF(D96:AI96," ")=0,COUNTIF(D96:AI96,"F")=1),CONCATENATE(SUM(EXTRACTNUMBER(D96),EXTRACTNUMBER(F96),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EXTRACTNUMBER(AD96),EXTRACTNUMBER(AF96),EXTRACTNUMBER(AH96)),"*"),IF(AND(COUNTIF(D96:AI96,"=34")&gt;=1,COUNTIF(D96:AI96,"=35")&gt;=1,COUNTIF(D96:AI96,"f")=2,COUNTIF(D96:AI96,"")=0,COUNTIF(D96:AI96," ")=0),CONCATENATE(SUM(EXTRACTNUMBER(D96),EXTRACTNUMBER(F96),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EXTRACTNUMBER(AD96),EXTRACTNUMBER(AF96),EXTRACTNUMBER(AH96)),"*"),IF(AND(COUNTIF(D96:AI96,"=36")&gt;=2,COUNTIF(D96:AI96,"f")=2,COUNTIF(D96:AI96,"")=0,COUNTIF(D96:AI96," ")=0),CONCATENATE(SUM(EXTRACTNUMBER(D96),EXTRACTNUMBER(F96),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EXTRACTNUMBER(AD96),EXTRACTNUMBER(AF96),EXTRACTNUMBER(AH96)),"*"),SUM(EXTRACTNUMBER(D96),EXTRACTNUMBER(F96),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EXTRACTNUMBER(AD96),EXTRACTNUMBER(AF96),EXTRACTNUMBER(AH96)))))</f>
        <v>509</v>
      </c>
      <c r="AK96" s="24" t="str">
        <f t="shared" si="33"/>
        <v>PASS</v>
      </c>
      <c r="AL96" s="25" t="str">
        <f>SPELLNUMBER(extractnumber_tot(AJ96))</f>
        <v xml:space="preserve">Five Hundred Nine </v>
      </c>
    </row>
    <row r="97" spans="2:38" s="22" customFormat="1" ht="15.95" customHeight="1">
      <c r="B97" s="97">
        <v>235273</v>
      </c>
      <c r="C97" s="98" t="s">
        <v>539</v>
      </c>
      <c r="D97" s="95">
        <v>48</v>
      </c>
      <c r="E97" s="89" t="str">
        <f t="shared" si="18"/>
        <v>E</v>
      </c>
      <c r="F97" s="94">
        <v>21</v>
      </c>
      <c r="G97" s="89" t="str">
        <f t="shared" si="19"/>
        <v>E</v>
      </c>
      <c r="H97" s="94">
        <v>38</v>
      </c>
      <c r="I97" s="90" t="str">
        <f t="shared" si="20"/>
        <v>E</v>
      </c>
      <c r="J97" s="92">
        <v>40</v>
      </c>
      <c r="K97" s="90" t="str">
        <f t="shared" si="21"/>
        <v>E</v>
      </c>
      <c r="L97" s="94">
        <v>18</v>
      </c>
      <c r="M97" s="90" t="str">
        <f t="shared" si="17"/>
        <v>E</v>
      </c>
      <c r="N97" s="94">
        <v>37</v>
      </c>
      <c r="O97" s="90" t="str">
        <f t="shared" si="22"/>
        <v>E</v>
      </c>
      <c r="P97" s="92">
        <v>32</v>
      </c>
      <c r="Q97" s="90" t="str">
        <f t="shared" si="23"/>
        <v>F</v>
      </c>
      <c r="R97" s="94">
        <v>21</v>
      </c>
      <c r="S97" s="90" t="str">
        <f t="shared" si="24"/>
        <v>E</v>
      </c>
      <c r="T97" s="94">
        <v>20</v>
      </c>
      <c r="U97" s="90" t="str">
        <f t="shared" si="25"/>
        <v>E</v>
      </c>
      <c r="V97" s="92">
        <v>15</v>
      </c>
      <c r="W97" s="90" t="str">
        <f t="shared" si="26"/>
        <v>F</v>
      </c>
      <c r="X97" s="94">
        <v>20</v>
      </c>
      <c r="Y97" s="90" t="str">
        <f t="shared" si="27"/>
        <v>E</v>
      </c>
      <c r="Z97" s="92">
        <v>17</v>
      </c>
      <c r="AA97" s="90" t="str">
        <f t="shared" si="28"/>
        <v>F</v>
      </c>
      <c r="AB97" s="94">
        <v>21</v>
      </c>
      <c r="AC97" s="90" t="str">
        <f t="shared" si="29"/>
        <v>E</v>
      </c>
      <c r="AD97" s="94">
        <v>20</v>
      </c>
      <c r="AE97" s="90" t="str">
        <f t="shared" si="30"/>
        <v>E</v>
      </c>
      <c r="AF97" s="92">
        <v>24</v>
      </c>
      <c r="AG97" s="89" t="str">
        <f t="shared" si="31"/>
        <v>E</v>
      </c>
      <c r="AH97" s="94">
        <v>17</v>
      </c>
      <c r="AI97" s="90" t="str">
        <f t="shared" si="32"/>
        <v>E</v>
      </c>
      <c r="AJ97" s="108">
        <f>IF(AND(OR(COUNTIF(D97:AI97,"=31")&gt;=1,COUNTIF(D97:AI97,"=32")&gt;=1,COUNTIF(D97:AI97,"=33")&gt;=1,COUNTIF(D97:AI97,"=34")&gt;=1,COUNTIF(D97:AI97,"=35")=1,COUNTIF(D97:AI97,"=36")&gt;=1 ),COUNTIF(D97:AI97,"")=0,COUNTIF(D97:AI97," ")=0,COUNTIF(D97:AI97,"F")=1),CONCATENATE(SUM(EXTRACTNUMBER(D97),EXTRACTNUMBER(F97),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EXTRACTNUMBER(AD97),EXTRACTNUMBER(AF97),EXTRACTNUMBER(AH97)),"*"),IF(AND(COUNTIF(D97:AI97,"=34")&gt;=1,COUNTIF(D97:AI97,"=35")&gt;=1,COUNTIF(D97:AI97,"f")=2,COUNTIF(D97:AI97,"")=0,COUNTIF(D97:AI97," ")=0),CONCATENATE(SUM(EXTRACTNUMBER(D97),EXTRACTNUMBER(F97),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EXTRACTNUMBER(AD97),EXTRACTNUMBER(AF97),EXTRACTNUMBER(AH97)),"*"),IF(AND(COUNTIF(D97:AI97,"=36")&gt;=2,COUNTIF(D97:AI97,"f")=2,COUNTIF(D97:AI97,"")=0,COUNTIF(D97:AI97," ")=0),CONCATENATE(SUM(EXTRACTNUMBER(D97),EXTRACTNUMBER(F97),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EXTRACTNUMBER(AD97),EXTRACTNUMBER(AF97),EXTRACTNUMBER(AH97)),"*"),SUM(EXTRACTNUMBER(D97),EXTRACTNUMBER(F97),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EXTRACTNUMBER(AD97),EXTRACTNUMBER(AF97),EXTRACTNUMBER(AH97)))))</f>
        <v>409</v>
      </c>
      <c r="AK97" s="24" t="str">
        <f t="shared" si="33"/>
        <v>FAIL</v>
      </c>
      <c r="AL97" s="25" t="str">
        <f>SPELLNUMBER(extractnumber_tot(AJ97))</f>
        <v xml:space="preserve">Four Hundred Nine </v>
      </c>
    </row>
    <row r="98" spans="2:38" s="22" customFormat="1" ht="15.95" customHeight="1">
      <c r="B98" s="97">
        <v>235274</v>
      </c>
      <c r="C98" s="98" t="s">
        <v>540</v>
      </c>
      <c r="D98" s="95">
        <v>67</v>
      </c>
      <c r="E98" s="89" t="str">
        <f t="shared" si="18"/>
        <v/>
      </c>
      <c r="F98" s="94">
        <v>23</v>
      </c>
      <c r="G98" s="89" t="str">
        <f t="shared" si="19"/>
        <v/>
      </c>
      <c r="H98" s="94">
        <v>46</v>
      </c>
      <c r="I98" s="90" t="str">
        <f t="shared" si="20"/>
        <v/>
      </c>
      <c r="J98" s="92">
        <v>40</v>
      </c>
      <c r="K98" s="90" t="str">
        <f t="shared" si="21"/>
        <v/>
      </c>
      <c r="L98" s="94">
        <v>21</v>
      </c>
      <c r="M98" s="90" t="str">
        <f t="shared" si="17"/>
        <v/>
      </c>
      <c r="N98" s="94">
        <v>36</v>
      </c>
      <c r="O98" s="90" t="str">
        <f t="shared" si="22"/>
        <v/>
      </c>
      <c r="P98" s="92">
        <v>45</v>
      </c>
      <c r="Q98" s="90" t="str">
        <f t="shared" si="23"/>
        <v/>
      </c>
      <c r="R98" s="94">
        <v>23</v>
      </c>
      <c r="S98" s="90" t="str">
        <f t="shared" si="24"/>
        <v/>
      </c>
      <c r="T98" s="94">
        <v>23</v>
      </c>
      <c r="U98" s="90" t="str">
        <f t="shared" si="25"/>
        <v/>
      </c>
      <c r="V98" s="92">
        <v>40</v>
      </c>
      <c r="W98" s="90" t="str">
        <f t="shared" si="26"/>
        <v/>
      </c>
      <c r="X98" s="94">
        <v>23</v>
      </c>
      <c r="Y98" s="90" t="str">
        <f t="shared" si="27"/>
        <v/>
      </c>
      <c r="Z98" s="92">
        <v>40</v>
      </c>
      <c r="AA98" s="90" t="str">
        <f t="shared" si="28"/>
        <v/>
      </c>
      <c r="AB98" s="94">
        <v>21</v>
      </c>
      <c r="AC98" s="90" t="str">
        <f t="shared" si="29"/>
        <v/>
      </c>
      <c r="AD98" s="94">
        <v>22</v>
      </c>
      <c r="AE98" s="90" t="str">
        <f t="shared" si="30"/>
        <v/>
      </c>
      <c r="AF98" s="92">
        <v>30</v>
      </c>
      <c r="AG98" s="89" t="str">
        <f t="shared" si="31"/>
        <v/>
      </c>
      <c r="AH98" s="94">
        <v>21</v>
      </c>
      <c r="AI98" s="90" t="str">
        <f t="shared" si="32"/>
        <v/>
      </c>
      <c r="AJ98" s="108">
        <f>IF(AND(OR(COUNTIF(D98:AI98,"=31")&gt;=1,COUNTIF(D98:AI98,"=32")&gt;=1,COUNTIF(D98:AI98,"=33")&gt;=1,COUNTIF(D98:AI98,"=34")&gt;=1,COUNTIF(D98:AI98,"=35")=1,COUNTIF(D98:AI98,"=36")&gt;=1 ),COUNTIF(D98:AI98,"")=0,COUNTIF(D98:AI98," ")=0,COUNTIF(D98:AI98,"F")=1),CONCATENATE(SUM(EXTRACTNUMBER(D98),EXTRACTNUMBER(F98),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EXTRACTNUMBER(AD98),EXTRACTNUMBER(AF98),EXTRACTNUMBER(AH98)),"*"),IF(AND(COUNTIF(D98:AI98,"=34")&gt;=1,COUNTIF(D98:AI98,"=35")&gt;=1,COUNTIF(D98:AI98,"f")=2,COUNTIF(D98:AI98,"")=0,COUNTIF(D98:AI98," ")=0),CONCATENATE(SUM(EXTRACTNUMBER(D98),EXTRACTNUMBER(F98),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EXTRACTNUMBER(AD98),EXTRACTNUMBER(AF98),EXTRACTNUMBER(AH98)),"*"),IF(AND(COUNTIF(D98:AI98,"=36")&gt;=2,COUNTIF(D98:AI98,"f")=2,COUNTIF(D98:AI98,"")=0,COUNTIF(D98:AI98," ")=0),CONCATENATE(SUM(EXTRACTNUMBER(D98),EXTRACTNUMBER(F98),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EXTRACTNUMBER(AD98),EXTRACTNUMBER(AF98),EXTRACTNUMBER(AH98)),"*"),SUM(EXTRACTNUMBER(D98),EXTRACTNUMBER(F98),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EXTRACTNUMBER(AD98),EXTRACTNUMBER(AF98),EXTRACTNUMBER(AH98)))))</f>
        <v>521</v>
      </c>
      <c r="AK98" s="24" t="str">
        <f t="shared" si="33"/>
        <v>PASS</v>
      </c>
      <c r="AL98" s="25" t="str">
        <f>SPELLNUMBER(extractnumber_tot(AJ98))</f>
        <v xml:space="preserve">Five Hundred Twenty One </v>
      </c>
    </row>
    <row r="99" spans="2:38" s="22" customFormat="1" ht="15.95" customHeight="1">
      <c r="B99" s="97">
        <v>235275</v>
      </c>
      <c r="C99" s="98" t="s">
        <v>541</v>
      </c>
      <c r="D99" s="95">
        <v>65</v>
      </c>
      <c r="E99" s="89" t="str">
        <f t="shared" si="18"/>
        <v/>
      </c>
      <c r="F99" s="94">
        <v>20</v>
      </c>
      <c r="G99" s="89" t="str">
        <f t="shared" si="19"/>
        <v/>
      </c>
      <c r="H99" s="94">
        <v>45</v>
      </c>
      <c r="I99" s="90" t="str">
        <f t="shared" si="20"/>
        <v/>
      </c>
      <c r="J99" s="92">
        <v>54</v>
      </c>
      <c r="K99" s="90" t="str">
        <f t="shared" si="21"/>
        <v/>
      </c>
      <c r="L99" s="94">
        <v>18</v>
      </c>
      <c r="M99" s="90" t="str">
        <f t="shared" si="17"/>
        <v/>
      </c>
      <c r="N99" s="94">
        <v>42</v>
      </c>
      <c r="O99" s="90" t="str">
        <f t="shared" si="22"/>
        <v/>
      </c>
      <c r="P99" s="92">
        <v>47</v>
      </c>
      <c r="Q99" s="90" t="str">
        <f t="shared" si="23"/>
        <v/>
      </c>
      <c r="R99" s="94">
        <v>20</v>
      </c>
      <c r="S99" s="90" t="str">
        <f t="shared" si="24"/>
        <v/>
      </c>
      <c r="T99" s="94">
        <v>22</v>
      </c>
      <c r="U99" s="90" t="str">
        <f t="shared" si="25"/>
        <v/>
      </c>
      <c r="V99" s="92">
        <v>51</v>
      </c>
      <c r="W99" s="90" t="str">
        <f t="shared" si="26"/>
        <v/>
      </c>
      <c r="X99" s="94">
        <v>19</v>
      </c>
      <c r="Y99" s="90" t="str">
        <f t="shared" si="27"/>
        <v/>
      </c>
      <c r="Z99" s="92">
        <v>60</v>
      </c>
      <c r="AA99" s="90" t="str">
        <f t="shared" si="28"/>
        <v/>
      </c>
      <c r="AB99" s="94">
        <v>20</v>
      </c>
      <c r="AC99" s="90" t="str">
        <f t="shared" si="29"/>
        <v/>
      </c>
      <c r="AD99" s="94">
        <v>20</v>
      </c>
      <c r="AE99" s="90" t="str">
        <f t="shared" si="30"/>
        <v/>
      </c>
      <c r="AF99" s="92">
        <v>32</v>
      </c>
      <c r="AG99" s="89" t="str">
        <f t="shared" si="31"/>
        <v/>
      </c>
      <c r="AH99" s="94">
        <v>18</v>
      </c>
      <c r="AI99" s="90" t="str">
        <f t="shared" si="32"/>
        <v/>
      </c>
      <c r="AJ99" s="108">
        <f>IF(AND(OR(COUNTIF(D99:AI99,"=31")&gt;=1,COUNTIF(D99:AI99,"=32")&gt;=1,COUNTIF(D99:AI99,"=33")&gt;=1,COUNTIF(D99:AI99,"=34")&gt;=1,COUNTIF(D99:AI99,"=35")=1,COUNTIF(D99:AI99,"=36")&gt;=1 ),COUNTIF(D99:AI99,"")=0,COUNTIF(D99:AI99," ")=0,COUNTIF(D99:AI99,"F")=1),CONCATENATE(SUM(EXTRACTNUMBER(D99),EXTRACTNUMBER(F99),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EXTRACTNUMBER(AD99),EXTRACTNUMBER(AF99),EXTRACTNUMBER(AH99)),"*"),IF(AND(COUNTIF(D99:AI99,"=34")&gt;=1,COUNTIF(D99:AI99,"=35")&gt;=1,COUNTIF(D99:AI99,"f")=2,COUNTIF(D99:AI99,"")=0,COUNTIF(D99:AI99," ")=0),CONCATENATE(SUM(EXTRACTNUMBER(D99),EXTRACTNUMBER(F99),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EXTRACTNUMBER(AD99),EXTRACTNUMBER(AF99),EXTRACTNUMBER(AH99)),"*"),IF(AND(COUNTIF(D99:AI99,"=36")&gt;=2,COUNTIF(D99:AI99,"f")=2,COUNTIF(D99:AI99,"")=0,COUNTIF(D99:AI99," ")=0),CONCATENATE(SUM(EXTRACTNUMBER(D99),EXTRACTNUMBER(F99),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EXTRACTNUMBER(AD99),EXTRACTNUMBER(AF99),EXTRACTNUMBER(AH99)),"*"),SUM(EXTRACTNUMBER(D99),EXTRACTNUMBER(F99),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EXTRACTNUMBER(AD99),EXTRACTNUMBER(AF99),EXTRACTNUMBER(AH99)))))</f>
        <v>553</v>
      </c>
      <c r="AK99" s="24" t="str">
        <f t="shared" si="33"/>
        <v>PASS</v>
      </c>
      <c r="AL99" s="25" t="str">
        <f>SPELLNUMBER(extractnumber_tot(AJ99))</f>
        <v xml:space="preserve">Five Hundred Fifty Three </v>
      </c>
    </row>
    <row r="100" spans="2:38" s="22" customFormat="1" ht="15.95" customHeight="1">
      <c r="B100" s="97">
        <v>235276</v>
      </c>
      <c r="C100" s="98" t="s">
        <v>542</v>
      </c>
      <c r="D100" s="105" t="s">
        <v>75</v>
      </c>
      <c r="E100" s="89" t="str">
        <f t="shared" si="18"/>
        <v/>
      </c>
      <c r="F100" s="94">
        <v>21</v>
      </c>
      <c r="G100" s="89" t="str">
        <f t="shared" si="19"/>
        <v>E</v>
      </c>
      <c r="H100" s="94">
        <v>37</v>
      </c>
      <c r="I100" s="90" t="str">
        <f t="shared" si="20"/>
        <v>E</v>
      </c>
      <c r="J100" s="91" t="s">
        <v>75</v>
      </c>
      <c r="K100" s="90" t="str">
        <f t="shared" si="21"/>
        <v/>
      </c>
      <c r="L100" s="94">
        <v>18</v>
      </c>
      <c r="M100" s="90" t="str">
        <f t="shared" si="17"/>
        <v>E</v>
      </c>
      <c r="N100" s="94">
        <v>37</v>
      </c>
      <c r="O100" s="90" t="str">
        <f t="shared" si="22"/>
        <v>E</v>
      </c>
      <c r="P100" s="92" t="s">
        <v>75</v>
      </c>
      <c r="Q100" s="90" t="str">
        <f t="shared" si="23"/>
        <v/>
      </c>
      <c r="R100" s="94">
        <v>21</v>
      </c>
      <c r="S100" s="90" t="str">
        <f t="shared" si="24"/>
        <v>E</v>
      </c>
      <c r="T100" s="94">
        <v>19</v>
      </c>
      <c r="U100" s="90" t="str">
        <f t="shared" si="25"/>
        <v>E</v>
      </c>
      <c r="V100" s="92" t="s">
        <v>75</v>
      </c>
      <c r="W100" s="90" t="str">
        <f t="shared" si="26"/>
        <v/>
      </c>
      <c r="X100" s="94">
        <v>16</v>
      </c>
      <c r="Y100" s="90" t="str">
        <f t="shared" si="27"/>
        <v>E</v>
      </c>
      <c r="Z100" s="92" t="s">
        <v>75</v>
      </c>
      <c r="AA100" s="90" t="str">
        <f t="shared" si="28"/>
        <v/>
      </c>
      <c r="AB100" s="94">
        <v>19</v>
      </c>
      <c r="AC100" s="90" t="str">
        <f t="shared" si="29"/>
        <v>E</v>
      </c>
      <c r="AD100" s="94">
        <v>18</v>
      </c>
      <c r="AE100" s="90" t="str">
        <f t="shared" si="30"/>
        <v>E</v>
      </c>
      <c r="AF100" s="92">
        <v>25</v>
      </c>
      <c r="AG100" s="89" t="str">
        <f t="shared" si="31"/>
        <v>E</v>
      </c>
      <c r="AH100" s="94">
        <v>17</v>
      </c>
      <c r="AI100" s="90" t="str">
        <f t="shared" si="32"/>
        <v>E</v>
      </c>
      <c r="AJ100" s="108">
        <f>IF(AND(OR(COUNTIF(D100:AI100,"=31")&gt;=1,COUNTIF(D100:AI100,"=32")&gt;=1,COUNTIF(D100:AI100,"=33")&gt;=1,COUNTIF(D100:AI100,"=34")&gt;=1,COUNTIF(D100:AI100,"=35")=1,COUNTIF(D100:AI100,"=36")&gt;=1 ),COUNTIF(D100:AI100,"")=0,COUNTIF(D100:AI100," ")=0,COUNTIF(D100:AI100,"F")=1),CONCATENATE(SUM(EXTRACTNUMBER(D100),EXTRACTNUMBER(F100),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EXTRACTNUMBER(AD100),EXTRACTNUMBER(AF100),EXTRACTNUMBER(AH100)),"*"),IF(AND(COUNTIF(D100:AI100,"=34")&gt;=1,COUNTIF(D100:AI100,"=35")&gt;=1,COUNTIF(D100:AI100,"f")=2,COUNTIF(D100:AI100,"")=0,COUNTIF(D100:AI100," ")=0),CONCATENATE(SUM(EXTRACTNUMBER(D100),EXTRACTNUMBER(F100),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EXTRACTNUMBER(AD100),EXTRACTNUMBER(AF100),EXTRACTNUMBER(AH100)),"*"),IF(AND(COUNTIF(D100:AI100,"=36")&gt;=2,COUNTIF(D100:AI100,"f")=2,COUNTIF(D100:AI100,"")=0,COUNTIF(D100:AI100," ")=0),CONCATENATE(SUM(EXTRACTNUMBER(D100),EXTRACTNUMBER(F100),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EXTRACTNUMBER(AD100),EXTRACTNUMBER(AF100),EXTRACTNUMBER(AH100)),"*"),SUM(EXTRACTNUMBER(D100),EXTRACTNUMBER(F100),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EXTRACTNUMBER(AD100),EXTRACTNUMBER(AF100),EXTRACTNUMBER(AH100)))))</f>
        <v>248</v>
      </c>
      <c r="AK100" s="24" t="str">
        <f t="shared" si="33"/>
        <v>FAIL</v>
      </c>
      <c r="AL100" s="25" t="str">
        <f>SPELLNUMBER(extractnumber_tot(AJ100))</f>
        <v xml:space="preserve">Two Hundred Forty Eight </v>
      </c>
    </row>
    <row r="101" spans="2:38" s="22" customFormat="1" ht="15.95" customHeight="1">
      <c r="B101" s="97">
        <v>235277</v>
      </c>
      <c r="C101" s="98" t="s">
        <v>543</v>
      </c>
      <c r="D101" s="96">
        <v>75</v>
      </c>
      <c r="E101" s="89" t="str">
        <f t="shared" si="18"/>
        <v/>
      </c>
      <c r="F101" s="94">
        <v>23</v>
      </c>
      <c r="G101" s="89" t="str">
        <f t="shared" si="19"/>
        <v/>
      </c>
      <c r="H101" s="94">
        <v>44</v>
      </c>
      <c r="I101" s="90" t="str">
        <f t="shared" si="20"/>
        <v/>
      </c>
      <c r="J101" s="91">
        <v>61</v>
      </c>
      <c r="K101" s="90" t="str">
        <f t="shared" si="21"/>
        <v/>
      </c>
      <c r="L101" s="94">
        <v>23</v>
      </c>
      <c r="M101" s="90" t="str">
        <f t="shared" si="17"/>
        <v/>
      </c>
      <c r="N101" s="94">
        <v>37</v>
      </c>
      <c r="O101" s="90" t="str">
        <f t="shared" si="22"/>
        <v/>
      </c>
      <c r="P101" s="92">
        <v>54</v>
      </c>
      <c r="Q101" s="90" t="str">
        <f t="shared" si="23"/>
        <v/>
      </c>
      <c r="R101" s="94">
        <v>23</v>
      </c>
      <c r="S101" s="90" t="str">
        <f t="shared" si="24"/>
        <v/>
      </c>
      <c r="T101" s="94">
        <v>19</v>
      </c>
      <c r="U101" s="90" t="str">
        <f t="shared" si="25"/>
        <v/>
      </c>
      <c r="V101" s="92">
        <v>56</v>
      </c>
      <c r="W101" s="90" t="str">
        <f t="shared" si="26"/>
        <v/>
      </c>
      <c r="X101" s="94">
        <v>23</v>
      </c>
      <c r="Y101" s="90" t="str">
        <f t="shared" si="27"/>
        <v/>
      </c>
      <c r="Z101" s="92">
        <v>63</v>
      </c>
      <c r="AA101" s="90" t="str">
        <f t="shared" si="28"/>
        <v/>
      </c>
      <c r="AB101" s="94">
        <v>23</v>
      </c>
      <c r="AC101" s="90" t="str">
        <f t="shared" si="29"/>
        <v/>
      </c>
      <c r="AD101" s="94">
        <v>22</v>
      </c>
      <c r="AE101" s="90" t="str">
        <f t="shared" si="30"/>
        <v/>
      </c>
      <c r="AF101" s="92">
        <v>34</v>
      </c>
      <c r="AG101" s="89" t="str">
        <f t="shared" si="31"/>
        <v/>
      </c>
      <c r="AH101" s="94">
        <v>23</v>
      </c>
      <c r="AI101" s="90" t="str">
        <f t="shared" si="32"/>
        <v/>
      </c>
      <c r="AJ101" s="108">
        <f>IF(AND(OR(COUNTIF(D101:AI101,"=31")&gt;=1,COUNTIF(D101:AI101,"=32")&gt;=1,COUNTIF(D101:AI101,"=33")&gt;=1,COUNTIF(D101:AI101,"=34")&gt;=1,COUNTIF(D101:AI101,"=35")=1,COUNTIF(D101:AI101,"=36")&gt;=1 ),COUNTIF(D101:AI101,"")=0,COUNTIF(D101:AI101," ")=0,COUNTIF(D101:AI101,"F")=1),CONCATENATE(SUM(EXTRACTNUMBER(D101),EXTRACTNUMBER(F101),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EXTRACTNUMBER(AD101),EXTRACTNUMBER(AF101),EXTRACTNUMBER(AH101)),"*"),IF(AND(COUNTIF(D101:AI101,"=34")&gt;=1,COUNTIF(D101:AI101,"=35")&gt;=1,COUNTIF(D101:AI101,"f")=2,COUNTIF(D101:AI101,"")=0,COUNTIF(D101:AI101," ")=0),CONCATENATE(SUM(EXTRACTNUMBER(D101),EXTRACTNUMBER(F101),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EXTRACTNUMBER(AD101),EXTRACTNUMBER(AF101),EXTRACTNUMBER(AH101)),"*"),IF(AND(COUNTIF(D101:AI101,"=36")&gt;=2,COUNTIF(D101:AI101,"f")=2,COUNTIF(D101:AI101,"")=0,COUNTIF(D101:AI101," ")=0),CONCATENATE(SUM(EXTRACTNUMBER(D101),EXTRACTNUMBER(F101),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EXTRACTNUMBER(AD101),EXTRACTNUMBER(AF101),EXTRACTNUMBER(AH101)),"*"),SUM(EXTRACTNUMBER(D101),EXTRACTNUMBER(F101),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EXTRACTNUMBER(AD101),EXTRACTNUMBER(AF101),EXTRACTNUMBER(AH101)))))</f>
        <v>603</v>
      </c>
      <c r="AK101" s="24" t="str">
        <f t="shared" si="33"/>
        <v>PASS</v>
      </c>
      <c r="AL101" s="25" t="str">
        <f>SPELLNUMBER(extractnumber_tot(AJ101))</f>
        <v xml:space="preserve">Six Hundred Three </v>
      </c>
    </row>
    <row r="102" spans="2:38" s="22" customFormat="1" ht="15.95" customHeight="1">
      <c r="B102" s="97">
        <v>235278</v>
      </c>
      <c r="C102" s="98" t="s">
        <v>544</v>
      </c>
      <c r="D102" s="96">
        <v>63</v>
      </c>
      <c r="E102" s="89" t="str">
        <f t="shared" si="18"/>
        <v/>
      </c>
      <c r="F102" s="94">
        <v>20</v>
      </c>
      <c r="G102" s="89" t="str">
        <f t="shared" si="19"/>
        <v/>
      </c>
      <c r="H102" s="94">
        <v>43</v>
      </c>
      <c r="I102" s="90" t="str">
        <f t="shared" si="20"/>
        <v/>
      </c>
      <c r="J102" s="91">
        <v>60</v>
      </c>
      <c r="K102" s="90" t="str">
        <f t="shared" si="21"/>
        <v/>
      </c>
      <c r="L102" s="94">
        <v>22</v>
      </c>
      <c r="M102" s="90" t="str">
        <f t="shared" si="17"/>
        <v/>
      </c>
      <c r="N102" s="94">
        <v>40</v>
      </c>
      <c r="O102" s="90" t="str">
        <f t="shared" si="22"/>
        <v/>
      </c>
      <c r="P102" s="92">
        <v>49</v>
      </c>
      <c r="Q102" s="90" t="str">
        <f t="shared" si="23"/>
        <v/>
      </c>
      <c r="R102" s="94">
        <v>20</v>
      </c>
      <c r="S102" s="90" t="str">
        <f t="shared" si="24"/>
        <v/>
      </c>
      <c r="T102" s="94">
        <v>20</v>
      </c>
      <c r="U102" s="90" t="str">
        <f t="shared" si="25"/>
        <v/>
      </c>
      <c r="V102" s="92">
        <v>47</v>
      </c>
      <c r="W102" s="90" t="str">
        <f t="shared" si="26"/>
        <v/>
      </c>
      <c r="X102" s="94">
        <v>23</v>
      </c>
      <c r="Y102" s="90" t="str">
        <f t="shared" si="27"/>
        <v/>
      </c>
      <c r="Z102" s="92">
        <v>59</v>
      </c>
      <c r="AA102" s="90" t="str">
        <f t="shared" si="28"/>
        <v/>
      </c>
      <c r="AB102" s="94">
        <v>21</v>
      </c>
      <c r="AC102" s="90" t="str">
        <f t="shared" si="29"/>
        <v/>
      </c>
      <c r="AD102" s="94">
        <v>22</v>
      </c>
      <c r="AE102" s="90" t="str">
        <f t="shared" si="30"/>
        <v/>
      </c>
      <c r="AF102" s="92">
        <v>32</v>
      </c>
      <c r="AG102" s="89" t="str">
        <f t="shared" si="31"/>
        <v/>
      </c>
      <c r="AH102" s="94">
        <v>22</v>
      </c>
      <c r="AI102" s="90" t="str">
        <f t="shared" si="32"/>
        <v/>
      </c>
      <c r="AJ102" s="108">
        <f>IF(AND(OR(COUNTIF(D102:AI102,"=31")&gt;=1,COUNTIF(D102:AI102,"=32")&gt;=1,COUNTIF(D102:AI102,"=33")&gt;=1,COUNTIF(D102:AI102,"=34")&gt;=1,COUNTIF(D102:AI102,"=35")=1,COUNTIF(D102:AI102,"=36")&gt;=1 ),COUNTIF(D102:AI102,"")=0,COUNTIF(D102:AI102," ")=0,COUNTIF(D102:AI102,"F")=1),CONCATENATE(SUM(EXTRACTNUMBER(D102),EXTRACTNUMBER(F102),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EXTRACTNUMBER(AD102),EXTRACTNUMBER(AF102),EXTRACTNUMBER(AH102)),"*"),IF(AND(COUNTIF(D102:AI102,"=34")&gt;=1,COUNTIF(D102:AI102,"=35")&gt;=1,COUNTIF(D102:AI102,"f")=2,COUNTIF(D102:AI102,"")=0,COUNTIF(D102:AI102," ")=0),CONCATENATE(SUM(EXTRACTNUMBER(D102),EXTRACTNUMBER(F102),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EXTRACTNUMBER(AD102),EXTRACTNUMBER(AF102),EXTRACTNUMBER(AH102)),"*"),IF(AND(COUNTIF(D102:AI102,"=36")&gt;=2,COUNTIF(D102:AI102,"f")=2,COUNTIF(D102:AI102,"")=0,COUNTIF(D102:AI102," ")=0),CONCATENATE(SUM(EXTRACTNUMBER(D102),EXTRACTNUMBER(F102),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EXTRACTNUMBER(AD102),EXTRACTNUMBER(AF102),EXTRACTNUMBER(AH102)),"*"),SUM(EXTRACTNUMBER(D102),EXTRACTNUMBER(F102),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EXTRACTNUMBER(AD102),EXTRACTNUMBER(AF102),EXTRACTNUMBER(AH102)))))</f>
        <v>563</v>
      </c>
      <c r="AK102" s="24" t="str">
        <f t="shared" si="33"/>
        <v>PASS</v>
      </c>
      <c r="AL102" s="25" t="str">
        <f>SPELLNUMBER(extractnumber_tot(AJ102))</f>
        <v xml:space="preserve">Five Hundred Sixty Three </v>
      </c>
    </row>
    <row r="103" spans="2:38" s="22" customFormat="1" ht="15.95" customHeight="1">
      <c r="B103" s="97">
        <v>235279</v>
      </c>
      <c r="C103" s="98" t="s">
        <v>545</v>
      </c>
      <c r="D103" s="96">
        <v>84</v>
      </c>
      <c r="E103" s="89" t="str">
        <f t="shared" si="18"/>
        <v/>
      </c>
      <c r="F103" s="94">
        <v>23</v>
      </c>
      <c r="G103" s="89" t="str">
        <f t="shared" si="19"/>
        <v/>
      </c>
      <c r="H103" s="94">
        <v>44</v>
      </c>
      <c r="I103" s="90" t="str">
        <f t="shared" si="20"/>
        <v/>
      </c>
      <c r="J103" s="91">
        <v>60</v>
      </c>
      <c r="K103" s="90" t="str">
        <f t="shared" si="21"/>
        <v/>
      </c>
      <c r="L103" s="94">
        <v>23</v>
      </c>
      <c r="M103" s="90" t="str">
        <f t="shared" si="17"/>
        <v/>
      </c>
      <c r="N103" s="94">
        <v>43</v>
      </c>
      <c r="O103" s="90" t="str">
        <f t="shared" si="22"/>
        <v/>
      </c>
      <c r="P103" s="92">
        <v>47</v>
      </c>
      <c r="Q103" s="90" t="str">
        <f t="shared" si="23"/>
        <v/>
      </c>
      <c r="R103" s="94">
        <v>23</v>
      </c>
      <c r="S103" s="90" t="str">
        <f t="shared" si="24"/>
        <v/>
      </c>
      <c r="T103" s="94">
        <v>21</v>
      </c>
      <c r="U103" s="90" t="str">
        <f t="shared" si="25"/>
        <v/>
      </c>
      <c r="V103" s="92">
        <v>71</v>
      </c>
      <c r="W103" s="90" t="str">
        <f t="shared" si="26"/>
        <v/>
      </c>
      <c r="X103" s="94">
        <v>23</v>
      </c>
      <c r="Y103" s="90" t="str">
        <f t="shared" si="27"/>
        <v/>
      </c>
      <c r="Z103" s="92">
        <v>60</v>
      </c>
      <c r="AA103" s="90" t="str">
        <f t="shared" si="28"/>
        <v/>
      </c>
      <c r="AB103" s="94">
        <v>22</v>
      </c>
      <c r="AC103" s="90" t="str">
        <f t="shared" si="29"/>
        <v/>
      </c>
      <c r="AD103" s="94">
        <v>22</v>
      </c>
      <c r="AE103" s="90" t="str">
        <f t="shared" si="30"/>
        <v/>
      </c>
      <c r="AF103" s="92">
        <v>36</v>
      </c>
      <c r="AG103" s="89" t="str">
        <f t="shared" si="31"/>
        <v/>
      </c>
      <c r="AH103" s="94">
        <v>23</v>
      </c>
      <c r="AI103" s="90" t="str">
        <f t="shared" si="32"/>
        <v/>
      </c>
      <c r="AJ103" s="108">
        <f>IF(AND(OR(COUNTIF(D103:AI103,"=31")&gt;=1,COUNTIF(D103:AI103,"=32")&gt;=1,COUNTIF(D103:AI103,"=33")&gt;=1,COUNTIF(D103:AI103,"=34")&gt;=1,COUNTIF(D103:AI103,"=35")=1,COUNTIF(D103:AI103,"=36")&gt;=1 ),COUNTIF(D103:AI103,"")=0,COUNTIF(D103:AI103," ")=0,COUNTIF(D103:AI103,"F")=1),CONCATENATE(SUM(EXTRACTNUMBER(D103),EXTRACTNUMBER(F103),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EXTRACTNUMBER(AD103),EXTRACTNUMBER(AF103),EXTRACTNUMBER(AH103)),"*"),IF(AND(COUNTIF(D103:AI103,"=34")&gt;=1,COUNTIF(D103:AI103,"=35")&gt;=1,COUNTIF(D103:AI103,"f")=2,COUNTIF(D103:AI103,"")=0,COUNTIF(D103:AI103," ")=0),CONCATENATE(SUM(EXTRACTNUMBER(D103),EXTRACTNUMBER(F103),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EXTRACTNUMBER(AD103),EXTRACTNUMBER(AF103),EXTRACTNUMBER(AH103)),"*"),IF(AND(COUNTIF(D103:AI103,"=36")&gt;=2,COUNTIF(D103:AI103,"f")=2,COUNTIF(D103:AI103,"")=0,COUNTIF(D103:AI103," ")=0),CONCATENATE(SUM(EXTRACTNUMBER(D103),EXTRACTNUMBER(F103),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EXTRACTNUMBER(AD103),EXTRACTNUMBER(AF103),EXTRACTNUMBER(AH103)),"*"),SUM(EXTRACTNUMBER(D103),EXTRACTNUMBER(F103),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EXTRACTNUMBER(AD103),EXTRACTNUMBER(AF103),EXTRACTNUMBER(AH103)))))</f>
        <v>625</v>
      </c>
      <c r="AK103" s="24" t="str">
        <f t="shared" si="33"/>
        <v>PASS</v>
      </c>
      <c r="AL103" s="25" t="str">
        <f>SPELLNUMBER(extractnumber_tot(AJ103))</f>
        <v xml:space="preserve">Six Hundred Twenty Five </v>
      </c>
    </row>
    <row r="104" spans="2:38" s="22" customFormat="1" ht="15.95" customHeight="1">
      <c r="B104" s="97">
        <v>235280</v>
      </c>
      <c r="C104" s="98" t="s">
        <v>546</v>
      </c>
      <c r="D104" s="96">
        <v>11</v>
      </c>
      <c r="E104" s="89" t="str">
        <f t="shared" si="18"/>
        <v>F</v>
      </c>
      <c r="F104" s="94">
        <v>22</v>
      </c>
      <c r="G104" s="89" t="str">
        <f t="shared" si="19"/>
        <v>E</v>
      </c>
      <c r="H104" s="94">
        <v>42</v>
      </c>
      <c r="I104" s="90" t="str">
        <f t="shared" si="20"/>
        <v>E</v>
      </c>
      <c r="J104" s="91">
        <v>43</v>
      </c>
      <c r="K104" s="90" t="str">
        <f t="shared" si="21"/>
        <v>E</v>
      </c>
      <c r="L104" s="94">
        <v>20</v>
      </c>
      <c r="M104" s="90" t="str">
        <f t="shared" si="17"/>
        <v>E</v>
      </c>
      <c r="N104" s="94">
        <v>39</v>
      </c>
      <c r="O104" s="90" t="str">
        <f t="shared" si="22"/>
        <v>E</v>
      </c>
      <c r="P104" s="92">
        <v>32</v>
      </c>
      <c r="Q104" s="90" t="str">
        <f t="shared" si="23"/>
        <v>F</v>
      </c>
      <c r="R104" s="94">
        <v>19</v>
      </c>
      <c r="S104" s="90" t="str">
        <f t="shared" si="24"/>
        <v>E</v>
      </c>
      <c r="T104" s="94">
        <v>20</v>
      </c>
      <c r="U104" s="90" t="str">
        <f t="shared" si="25"/>
        <v>E</v>
      </c>
      <c r="V104" s="92" t="s">
        <v>75</v>
      </c>
      <c r="W104" s="90" t="str">
        <f t="shared" si="26"/>
        <v/>
      </c>
      <c r="X104" s="94">
        <v>16</v>
      </c>
      <c r="Y104" s="90" t="str">
        <f t="shared" si="27"/>
        <v>E</v>
      </c>
      <c r="Z104" s="92" t="s">
        <v>75</v>
      </c>
      <c r="AA104" s="90" t="str">
        <f t="shared" si="28"/>
        <v/>
      </c>
      <c r="AB104" s="94">
        <v>20</v>
      </c>
      <c r="AC104" s="90" t="str">
        <f t="shared" si="29"/>
        <v>E</v>
      </c>
      <c r="AD104" s="94">
        <v>20</v>
      </c>
      <c r="AE104" s="90" t="str">
        <f t="shared" si="30"/>
        <v>E</v>
      </c>
      <c r="AF104" s="92">
        <v>29</v>
      </c>
      <c r="AG104" s="89" t="str">
        <f t="shared" si="31"/>
        <v>E</v>
      </c>
      <c r="AH104" s="94">
        <v>16</v>
      </c>
      <c r="AI104" s="90" t="str">
        <f t="shared" si="32"/>
        <v>E</v>
      </c>
      <c r="AJ104" s="108">
        <f>IF(AND(OR(COUNTIF(D104:AI104,"=31")&gt;=1,COUNTIF(D104:AI104,"=32")&gt;=1,COUNTIF(D104:AI104,"=33")&gt;=1,COUNTIF(D104:AI104,"=34")&gt;=1,COUNTIF(D104:AI104,"=35")=1,COUNTIF(D104:AI104,"=36")&gt;=1 ),COUNTIF(D104:AI104,"")=0,COUNTIF(D104:AI104," ")=0,COUNTIF(D104:AI104,"F")=1),CONCATENATE(SUM(EXTRACTNUMBER(D104),EXTRACTNUMBER(F104),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EXTRACTNUMBER(AD104),EXTRACTNUMBER(AF104),EXTRACTNUMBER(AH104)),"*"),IF(AND(COUNTIF(D104:AI104,"=34")&gt;=1,COUNTIF(D104:AI104,"=35")&gt;=1,COUNTIF(D104:AI104,"f")=2,COUNTIF(D104:AI104,"")=0,COUNTIF(D104:AI104," ")=0),CONCATENATE(SUM(EXTRACTNUMBER(D104),EXTRACTNUMBER(F104),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EXTRACTNUMBER(AD104),EXTRACTNUMBER(AF104),EXTRACTNUMBER(AH104)),"*"),IF(AND(COUNTIF(D104:AI104,"=36")&gt;=2,COUNTIF(D104:AI104,"f")=2,COUNTIF(D104:AI104,"")=0,COUNTIF(D104:AI104," ")=0),CONCATENATE(SUM(EXTRACTNUMBER(D104),EXTRACTNUMBER(F104),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EXTRACTNUMBER(AD104),EXTRACTNUMBER(AF104),EXTRACTNUMBER(AH104)),"*"),SUM(EXTRACTNUMBER(D104),EXTRACTNUMBER(F104),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EXTRACTNUMBER(AD104),EXTRACTNUMBER(AF104),EXTRACTNUMBER(AH104)))))</f>
        <v>349</v>
      </c>
      <c r="AK104" s="24" t="str">
        <f t="shared" si="33"/>
        <v>FAIL</v>
      </c>
      <c r="AL104" s="25" t="str">
        <f>SPELLNUMBER(extractnumber_tot(AJ104))</f>
        <v xml:space="preserve">Three Hundred Forty Nine </v>
      </c>
    </row>
    <row r="105" spans="2:38" s="22" customFormat="1" ht="15.95" customHeight="1">
      <c r="B105" s="97">
        <v>235281</v>
      </c>
      <c r="C105" s="98" t="s">
        <v>547</v>
      </c>
      <c r="D105" s="96">
        <v>68</v>
      </c>
      <c r="E105" s="89" t="str">
        <f t="shared" si="18"/>
        <v/>
      </c>
      <c r="F105" s="94">
        <v>24</v>
      </c>
      <c r="G105" s="89" t="str">
        <f t="shared" si="19"/>
        <v/>
      </c>
      <c r="H105" s="94">
        <v>46</v>
      </c>
      <c r="I105" s="90" t="str">
        <f t="shared" si="20"/>
        <v/>
      </c>
      <c r="J105" s="91">
        <v>49</v>
      </c>
      <c r="K105" s="90" t="str">
        <f t="shared" si="21"/>
        <v/>
      </c>
      <c r="L105" s="94">
        <v>23</v>
      </c>
      <c r="M105" s="90" t="str">
        <f t="shared" si="17"/>
        <v/>
      </c>
      <c r="N105" s="94">
        <v>46</v>
      </c>
      <c r="O105" s="90" t="str">
        <f t="shared" si="22"/>
        <v/>
      </c>
      <c r="P105" s="92">
        <v>53</v>
      </c>
      <c r="Q105" s="90" t="str">
        <f t="shared" si="23"/>
        <v/>
      </c>
      <c r="R105" s="94">
        <v>24</v>
      </c>
      <c r="S105" s="90" t="str">
        <f t="shared" si="24"/>
        <v/>
      </c>
      <c r="T105" s="94">
        <v>22</v>
      </c>
      <c r="U105" s="90" t="str">
        <f t="shared" si="25"/>
        <v/>
      </c>
      <c r="V105" s="92">
        <v>42</v>
      </c>
      <c r="W105" s="90" t="str">
        <f t="shared" si="26"/>
        <v/>
      </c>
      <c r="X105" s="94">
        <v>24</v>
      </c>
      <c r="Y105" s="90" t="str">
        <f t="shared" si="27"/>
        <v/>
      </c>
      <c r="Z105" s="92">
        <v>62</v>
      </c>
      <c r="AA105" s="90" t="str">
        <f t="shared" si="28"/>
        <v/>
      </c>
      <c r="AB105" s="94">
        <v>22</v>
      </c>
      <c r="AC105" s="90" t="str">
        <f t="shared" si="29"/>
        <v/>
      </c>
      <c r="AD105" s="94">
        <v>23</v>
      </c>
      <c r="AE105" s="90" t="str">
        <f t="shared" si="30"/>
        <v/>
      </c>
      <c r="AF105" s="92">
        <v>34</v>
      </c>
      <c r="AG105" s="89" t="str">
        <f t="shared" si="31"/>
        <v/>
      </c>
      <c r="AH105" s="94">
        <v>22</v>
      </c>
      <c r="AI105" s="90" t="str">
        <f t="shared" si="32"/>
        <v/>
      </c>
      <c r="AJ105" s="108">
        <f>IF(AND(OR(COUNTIF(D105:AI105,"=31")&gt;=1,COUNTIF(D105:AI105,"=32")&gt;=1,COUNTIF(D105:AI105,"=33")&gt;=1,COUNTIF(D105:AI105,"=34")&gt;=1,COUNTIF(D105:AI105,"=35")=1,COUNTIF(D105:AI105,"=36")&gt;=1 ),COUNTIF(D105:AI105,"")=0,COUNTIF(D105:AI105," ")=0,COUNTIF(D105:AI105,"F")=1),CONCATENATE(SUM(EXTRACTNUMBER(D105),EXTRACTNUMBER(F105),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EXTRACTNUMBER(AD105),EXTRACTNUMBER(AF105),EXTRACTNUMBER(AH105)),"*"),IF(AND(COUNTIF(D105:AI105,"=34")&gt;=1,COUNTIF(D105:AI105,"=35")&gt;=1,COUNTIF(D105:AI105,"f")=2,COUNTIF(D105:AI105,"")=0,COUNTIF(D105:AI105," ")=0),CONCATENATE(SUM(EXTRACTNUMBER(D105),EXTRACTNUMBER(F105),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EXTRACTNUMBER(AD105),EXTRACTNUMBER(AF105),EXTRACTNUMBER(AH105)),"*"),IF(AND(COUNTIF(D105:AI105,"=36")&gt;=2,COUNTIF(D105:AI105,"f")=2,COUNTIF(D105:AI105,"")=0,COUNTIF(D105:AI105," ")=0),CONCATENATE(SUM(EXTRACTNUMBER(D105),EXTRACTNUMBER(F105),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EXTRACTNUMBER(AD105),EXTRACTNUMBER(AF105),EXTRACTNUMBER(AH105)),"*"),SUM(EXTRACTNUMBER(D105),EXTRACTNUMBER(F105),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EXTRACTNUMBER(AD105),EXTRACTNUMBER(AF105),EXTRACTNUMBER(AH105)))))</f>
        <v>584</v>
      </c>
      <c r="AK105" s="24" t="str">
        <f t="shared" si="33"/>
        <v>PASS</v>
      </c>
      <c r="AL105" s="25" t="str">
        <f>SPELLNUMBER(extractnumber_tot(AJ105))</f>
        <v xml:space="preserve">Five Hundred Eighty Four </v>
      </c>
    </row>
    <row r="106" spans="2:38" s="22" customFormat="1" ht="15.95" customHeight="1">
      <c r="B106" s="97">
        <v>235282</v>
      </c>
      <c r="C106" s="98" t="s">
        <v>548</v>
      </c>
      <c r="D106" s="96">
        <v>46</v>
      </c>
      <c r="E106" s="89" t="str">
        <f t="shared" si="18"/>
        <v>E</v>
      </c>
      <c r="F106" s="94">
        <v>22</v>
      </c>
      <c r="G106" s="89" t="str">
        <f t="shared" si="19"/>
        <v>E</v>
      </c>
      <c r="H106" s="94">
        <v>41</v>
      </c>
      <c r="I106" s="90" t="str">
        <f t="shared" si="20"/>
        <v>E</v>
      </c>
      <c r="J106" s="91">
        <v>50</v>
      </c>
      <c r="K106" s="90" t="str">
        <f t="shared" si="21"/>
        <v>E</v>
      </c>
      <c r="L106" s="94">
        <v>18</v>
      </c>
      <c r="M106" s="90" t="str">
        <f t="shared" si="17"/>
        <v>E</v>
      </c>
      <c r="N106" s="94">
        <v>38</v>
      </c>
      <c r="O106" s="90" t="str">
        <f t="shared" si="22"/>
        <v>E</v>
      </c>
      <c r="P106" s="92">
        <v>32</v>
      </c>
      <c r="Q106" s="90" t="str">
        <f t="shared" si="23"/>
        <v>F</v>
      </c>
      <c r="R106" s="94">
        <v>22</v>
      </c>
      <c r="S106" s="90" t="str">
        <f t="shared" si="24"/>
        <v>E</v>
      </c>
      <c r="T106" s="94">
        <v>21</v>
      </c>
      <c r="U106" s="90" t="str">
        <f t="shared" si="25"/>
        <v>E</v>
      </c>
      <c r="V106" s="92">
        <v>33</v>
      </c>
      <c r="W106" s="90" t="str">
        <f t="shared" si="26"/>
        <v>F</v>
      </c>
      <c r="X106" s="94">
        <v>22</v>
      </c>
      <c r="Y106" s="90" t="str">
        <f t="shared" si="27"/>
        <v>E</v>
      </c>
      <c r="Z106" s="92">
        <v>49</v>
      </c>
      <c r="AA106" s="90" t="str">
        <f t="shared" si="28"/>
        <v>E</v>
      </c>
      <c r="AB106" s="94">
        <v>19</v>
      </c>
      <c r="AC106" s="90" t="str">
        <f t="shared" si="29"/>
        <v>E</v>
      </c>
      <c r="AD106" s="94">
        <v>18</v>
      </c>
      <c r="AE106" s="90" t="str">
        <f t="shared" si="30"/>
        <v>E</v>
      </c>
      <c r="AF106" s="92">
        <v>29</v>
      </c>
      <c r="AG106" s="89" t="str">
        <f t="shared" si="31"/>
        <v>E</v>
      </c>
      <c r="AH106" s="94">
        <v>19</v>
      </c>
      <c r="AI106" s="90" t="str">
        <f t="shared" si="32"/>
        <v>E</v>
      </c>
      <c r="AJ106" s="108">
        <f>IF(AND(OR(COUNTIF(D106:AI106,"=31")&gt;=1,COUNTIF(D106:AI106,"=32")&gt;=1,COUNTIF(D106:AI106,"=33")&gt;=1,COUNTIF(D106:AI106,"=34")&gt;=1,COUNTIF(D106:AI106,"=35")=1,COUNTIF(D106:AI106,"=36")&gt;=1 ),COUNTIF(D106:AI106,"")=0,COUNTIF(D106:AI106," ")=0,COUNTIF(D106:AI106,"F")=1),CONCATENATE(SUM(EXTRACTNUMBER(D106),EXTRACTNUMBER(F106),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EXTRACTNUMBER(AD106),EXTRACTNUMBER(AF106),EXTRACTNUMBER(AH106)),"*"),IF(AND(COUNTIF(D106:AI106,"=34")&gt;=1,COUNTIF(D106:AI106,"=35")&gt;=1,COUNTIF(D106:AI106,"f")=2,COUNTIF(D106:AI106,"")=0,COUNTIF(D106:AI106," ")=0),CONCATENATE(SUM(EXTRACTNUMBER(D106),EXTRACTNUMBER(F106),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EXTRACTNUMBER(AD106),EXTRACTNUMBER(AF106),EXTRACTNUMBER(AH106)),"*"),IF(AND(COUNTIF(D106:AI106,"=36")&gt;=2,COUNTIF(D106:AI106,"f")=2,COUNTIF(D106:AI106,"")=0,COUNTIF(D106:AI106," ")=0),CONCATENATE(SUM(EXTRACTNUMBER(D106),EXTRACTNUMBER(F106),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EXTRACTNUMBER(AD106),EXTRACTNUMBER(AF106),EXTRACTNUMBER(AH106)),"*"),SUM(EXTRACTNUMBER(D106),EXTRACTNUMBER(F106),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EXTRACTNUMBER(AD106),EXTRACTNUMBER(AF106),EXTRACTNUMBER(AH106)))))</f>
        <v>479</v>
      </c>
      <c r="AK106" s="24" t="str">
        <f t="shared" si="33"/>
        <v>FAIL</v>
      </c>
      <c r="AL106" s="25" t="str">
        <f>SPELLNUMBER(extractnumber_tot(AJ106))</f>
        <v xml:space="preserve">Four Hundred Seventy Nine </v>
      </c>
    </row>
    <row r="107" spans="2:38" s="22" customFormat="1" ht="15.95" customHeight="1">
      <c r="B107" s="97">
        <v>235283</v>
      </c>
      <c r="C107" s="98" t="s">
        <v>549</v>
      </c>
      <c r="D107" s="96">
        <v>50</v>
      </c>
      <c r="E107" s="89" t="str">
        <f t="shared" si="18"/>
        <v>E</v>
      </c>
      <c r="F107" s="94">
        <v>21</v>
      </c>
      <c r="G107" s="89" t="str">
        <f t="shared" si="19"/>
        <v>E</v>
      </c>
      <c r="H107" s="94">
        <v>38</v>
      </c>
      <c r="I107" s="90" t="str">
        <f t="shared" si="20"/>
        <v>E</v>
      </c>
      <c r="J107" s="91">
        <v>52</v>
      </c>
      <c r="K107" s="90" t="str">
        <f t="shared" si="21"/>
        <v>E</v>
      </c>
      <c r="L107" s="94">
        <v>18</v>
      </c>
      <c r="M107" s="90" t="str">
        <f t="shared" si="17"/>
        <v>E</v>
      </c>
      <c r="N107" s="94">
        <v>40</v>
      </c>
      <c r="O107" s="90" t="str">
        <f t="shared" si="22"/>
        <v>E</v>
      </c>
      <c r="P107" s="92">
        <v>45</v>
      </c>
      <c r="Q107" s="90" t="str">
        <f t="shared" si="23"/>
        <v>E</v>
      </c>
      <c r="R107" s="94">
        <v>21</v>
      </c>
      <c r="S107" s="90" t="str">
        <f t="shared" si="24"/>
        <v>E</v>
      </c>
      <c r="T107" s="94">
        <v>20</v>
      </c>
      <c r="U107" s="90" t="str">
        <f t="shared" si="25"/>
        <v>E</v>
      </c>
      <c r="V107" s="92">
        <v>24</v>
      </c>
      <c r="W107" s="90" t="str">
        <f t="shared" si="26"/>
        <v>F</v>
      </c>
      <c r="X107" s="94">
        <v>19</v>
      </c>
      <c r="Y107" s="90" t="str">
        <f t="shared" si="27"/>
        <v>E</v>
      </c>
      <c r="Z107" s="92">
        <v>40</v>
      </c>
      <c r="AA107" s="90" t="str">
        <f t="shared" si="28"/>
        <v>E</v>
      </c>
      <c r="AB107" s="94">
        <v>18</v>
      </c>
      <c r="AC107" s="90" t="str">
        <f t="shared" si="29"/>
        <v>E</v>
      </c>
      <c r="AD107" s="94">
        <v>19</v>
      </c>
      <c r="AE107" s="90" t="str">
        <f t="shared" si="30"/>
        <v>E</v>
      </c>
      <c r="AF107" s="92">
        <v>39</v>
      </c>
      <c r="AG107" s="89" t="str">
        <f t="shared" si="31"/>
        <v>E</v>
      </c>
      <c r="AH107" s="94">
        <v>16</v>
      </c>
      <c r="AI107" s="90" t="str">
        <f t="shared" si="32"/>
        <v>E</v>
      </c>
      <c r="AJ107" s="108">
        <f>IF(AND(OR(COUNTIF(D107:AI107,"=31")&gt;=1,COUNTIF(D107:AI107,"=32")&gt;=1,COUNTIF(D107:AI107,"=33")&gt;=1,COUNTIF(D107:AI107,"=34")&gt;=1,COUNTIF(D107:AI107,"=35")=1,COUNTIF(D107:AI107,"=36")&gt;=1 ),COUNTIF(D107:AI107,"")=0,COUNTIF(D107:AI107," ")=0,COUNTIF(D107:AI107,"F")=1),CONCATENATE(SUM(EXTRACTNUMBER(D107),EXTRACTNUMBER(F107),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EXTRACTNUMBER(AD107),EXTRACTNUMBER(AF107),EXTRACTNUMBER(AH107)),"*"),IF(AND(COUNTIF(D107:AI107,"=34")&gt;=1,COUNTIF(D107:AI107,"=35")&gt;=1,COUNTIF(D107:AI107,"f")=2,COUNTIF(D107:AI107,"")=0,COUNTIF(D107:AI107," ")=0),CONCATENATE(SUM(EXTRACTNUMBER(D107),EXTRACTNUMBER(F107),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EXTRACTNUMBER(AD107),EXTRACTNUMBER(AF107),EXTRACTNUMBER(AH107)),"*"),IF(AND(COUNTIF(D107:AI107,"=36")&gt;=2,COUNTIF(D107:AI107,"f")=2,COUNTIF(D107:AI107,"")=0,COUNTIF(D107:AI107," ")=0),CONCATENATE(SUM(EXTRACTNUMBER(D107),EXTRACTNUMBER(F107),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EXTRACTNUMBER(AD107),EXTRACTNUMBER(AF107),EXTRACTNUMBER(AH107)),"*"),SUM(EXTRACTNUMBER(D107),EXTRACTNUMBER(F107),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EXTRACTNUMBER(AD107),EXTRACTNUMBER(AF107),EXTRACTNUMBER(AH107)))))</f>
        <v>480</v>
      </c>
      <c r="AK107" s="24" t="str">
        <f t="shared" si="33"/>
        <v>FAIL</v>
      </c>
      <c r="AL107" s="25" t="str">
        <f>SPELLNUMBER(extractnumber_tot(AJ107))</f>
        <v xml:space="preserve">Four Hundred Eighty  </v>
      </c>
    </row>
    <row r="108" spans="2:38" s="22" customFormat="1" ht="15.95" customHeight="1">
      <c r="B108" s="97">
        <v>235284</v>
      </c>
      <c r="C108" s="98" t="s">
        <v>550</v>
      </c>
      <c r="D108" s="96">
        <v>62</v>
      </c>
      <c r="E108" s="89" t="str">
        <f t="shared" si="18"/>
        <v>E</v>
      </c>
      <c r="F108" s="94">
        <v>20</v>
      </c>
      <c r="G108" s="89" t="str">
        <f t="shared" si="19"/>
        <v>E</v>
      </c>
      <c r="H108" s="94">
        <v>42</v>
      </c>
      <c r="I108" s="90" t="str">
        <f t="shared" si="20"/>
        <v>E</v>
      </c>
      <c r="J108" s="91">
        <v>56</v>
      </c>
      <c r="K108" s="90" t="str">
        <f t="shared" si="21"/>
        <v>E</v>
      </c>
      <c r="L108" s="94">
        <v>18</v>
      </c>
      <c r="M108" s="90" t="str">
        <f t="shared" si="17"/>
        <v>E</v>
      </c>
      <c r="N108" s="94">
        <v>39</v>
      </c>
      <c r="O108" s="90" t="str">
        <f t="shared" si="22"/>
        <v>E</v>
      </c>
      <c r="P108" s="92">
        <v>41</v>
      </c>
      <c r="Q108" s="90" t="str">
        <f t="shared" si="23"/>
        <v>E</v>
      </c>
      <c r="R108" s="94">
        <v>20</v>
      </c>
      <c r="S108" s="90" t="str">
        <f t="shared" si="24"/>
        <v>E</v>
      </c>
      <c r="T108" s="94">
        <v>21</v>
      </c>
      <c r="U108" s="90" t="str">
        <f t="shared" si="25"/>
        <v>E</v>
      </c>
      <c r="V108" s="92">
        <v>28</v>
      </c>
      <c r="W108" s="90" t="str">
        <f t="shared" si="26"/>
        <v>F</v>
      </c>
      <c r="X108" s="94">
        <v>23</v>
      </c>
      <c r="Y108" s="90" t="str">
        <f t="shared" si="27"/>
        <v>E</v>
      </c>
      <c r="Z108" s="92">
        <v>59</v>
      </c>
      <c r="AA108" s="90" t="str">
        <f t="shared" si="28"/>
        <v>E</v>
      </c>
      <c r="AB108" s="94">
        <v>21</v>
      </c>
      <c r="AC108" s="90" t="str">
        <f t="shared" si="29"/>
        <v>E</v>
      </c>
      <c r="AD108" s="94">
        <v>21</v>
      </c>
      <c r="AE108" s="90" t="str">
        <f t="shared" si="30"/>
        <v>E</v>
      </c>
      <c r="AF108" s="92">
        <v>36</v>
      </c>
      <c r="AG108" s="89" t="str">
        <f t="shared" si="31"/>
        <v>E</v>
      </c>
      <c r="AH108" s="94">
        <v>17</v>
      </c>
      <c r="AI108" s="90" t="str">
        <f t="shared" si="32"/>
        <v>E</v>
      </c>
      <c r="AJ108" s="108">
        <v>524</v>
      </c>
      <c r="AK108" s="24" t="str">
        <f t="shared" si="33"/>
        <v>FAIL</v>
      </c>
      <c r="AL108" s="25" t="str">
        <f>SPELLNUMBER(extractnumber_tot(AJ108))</f>
        <v xml:space="preserve">Five Hundred Twenty Four </v>
      </c>
    </row>
    <row r="109" spans="2:38" s="22" customFormat="1" ht="15.95" customHeight="1">
      <c r="B109" s="97">
        <v>235285</v>
      </c>
      <c r="C109" s="98" t="s">
        <v>551</v>
      </c>
      <c r="D109" s="96">
        <v>54</v>
      </c>
      <c r="E109" s="89" t="str">
        <f t="shared" si="18"/>
        <v/>
      </c>
      <c r="F109" s="94">
        <v>23</v>
      </c>
      <c r="G109" s="89" t="str">
        <f t="shared" si="19"/>
        <v/>
      </c>
      <c r="H109" s="94">
        <v>44</v>
      </c>
      <c r="I109" s="90" t="str">
        <f t="shared" si="20"/>
        <v/>
      </c>
      <c r="J109" s="91">
        <v>46</v>
      </c>
      <c r="K109" s="90" t="str">
        <f t="shared" si="21"/>
        <v/>
      </c>
      <c r="L109" s="94">
        <v>23</v>
      </c>
      <c r="M109" s="90" t="str">
        <f t="shared" si="17"/>
        <v/>
      </c>
      <c r="N109" s="94">
        <v>43</v>
      </c>
      <c r="O109" s="90" t="str">
        <f t="shared" si="22"/>
        <v/>
      </c>
      <c r="P109" s="92">
        <v>40</v>
      </c>
      <c r="Q109" s="90" t="str">
        <f t="shared" si="23"/>
        <v/>
      </c>
      <c r="R109" s="94">
        <v>23</v>
      </c>
      <c r="S109" s="90" t="str">
        <f t="shared" si="24"/>
        <v/>
      </c>
      <c r="T109" s="94">
        <v>23</v>
      </c>
      <c r="U109" s="90" t="str">
        <f t="shared" si="25"/>
        <v/>
      </c>
      <c r="V109" s="92">
        <v>40</v>
      </c>
      <c r="W109" s="90" t="str">
        <f t="shared" si="26"/>
        <v/>
      </c>
      <c r="X109" s="94">
        <v>23</v>
      </c>
      <c r="Y109" s="90" t="str">
        <f t="shared" si="27"/>
        <v/>
      </c>
      <c r="Z109" s="92">
        <v>40</v>
      </c>
      <c r="AA109" s="90" t="str">
        <f t="shared" si="28"/>
        <v/>
      </c>
      <c r="AB109" s="94">
        <v>22</v>
      </c>
      <c r="AC109" s="90" t="str">
        <f t="shared" si="29"/>
        <v/>
      </c>
      <c r="AD109" s="94">
        <v>19</v>
      </c>
      <c r="AE109" s="90" t="str">
        <f t="shared" si="30"/>
        <v/>
      </c>
      <c r="AF109" s="92">
        <v>36</v>
      </c>
      <c r="AG109" s="89" t="str">
        <f t="shared" si="31"/>
        <v/>
      </c>
      <c r="AH109" s="94">
        <v>23</v>
      </c>
      <c r="AI109" s="90" t="str">
        <f t="shared" si="32"/>
        <v/>
      </c>
      <c r="AJ109" s="108">
        <f>IF(AND(OR(COUNTIF(D109:AI109,"=31")&gt;=1,COUNTIF(D109:AI109,"=32")&gt;=1,COUNTIF(D109:AI109,"=33")&gt;=1,COUNTIF(D109:AI109,"=34")&gt;=1,COUNTIF(D109:AI109,"=35")=1,COUNTIF(D109:AI109,"=36")&gt;=1 ),COUNTIF(D109:AI109,"")=0,COUNTIF(D109:AI109," ")=0,COUNTIF(D109:AI109,"F")=1),CONCATENATE(SUM(EXTRACTNUMBER(D109),EXTRACTNUMBER(F109),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EXTRACTNUMBER(AD109),EXTRACTNUMBER(AF109),EXTRACTNUMBER(AH109)),"*"),IF(AND(COUNTIF(D109:AI109,"=34")&gt;=1,COUNTIF(D109:AI109,"=35")&gt;=1,COUNTIF(D109:AI109,"f")=2,COUNTIF(D109:AI109,"")=0,COUNTIF(D109:AI109," ")=0),CONCATENATE(SUM(EXTRACTNUMBER(D109),EXTRACTNUMBER(F109),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EXTRACTNUMBER(AD109),EXTRACTNUMBER(AF109),EXTRACTNUMBER(AH109)),"*"),IF(AND(COUNTIF(D109:AI109,"=36")&gt;=2,COUNTIF(D109:AI109,"f")=2,COUNTIF(D109:AI109,"")=0,COUNTIF(D109:AI109," ")=0),CONCATENATE(SUM(EXTRACTNUMBER(D109),EXTRACTNUMBER(F109),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EXTRACTNUMBER(AD109),EXTRACTNUMBER(AF109),EXTRACTNUMBER(AH109)),"*"),SUM(EXTRACTNUMBER(D109),EXTRACTNUMBER(F109),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EXTRACTNUMBER(AD109),EXTRACTNUMBER(AF109),EXTRACTNUMBER(AH109)))))</f>
        <v>522</v>
      </c>
      <c r="AK109" s="24" t="str">
        <f t="shared" si="33"/>
        <v>PASS</v>
      </c>
      <c r="AL109" s="25" t="str">
        <f>SPELLNUMBER(extractnumber_tot(AJ109))</f>
        <v xml:space="preserve">Five Hundred Twenty Two </v>
      </c>
    </row>
    <row r="110" spans="2:38" s="22" customFormat="1" ht="15.95" customHeight="1">
      <c r="B110" s="97">
        <v>235286</v>
      </c>
      <c r="C110" s="98" t="s">
        <v>552</v>
      </c>
      <c r="D110" s="96">
        <v>54</v>
      </c>
      <c r="E110" s="89" t="str">
        <f t="shared" si="18"/>
        <v>E</v>
      </c>
      <c r="F110" s="94">
        <v>20</v>
      </c>
      <c r="G110" s="89" t="str">
        <f t="shared" si="19"/>
        <v>E</v>
      </c>
      <c r="H110" s="94">
        <v>38</v>
      </c>
      <c r="I110" s="90" t="str">
        <f t="shared" si="20"/>
        <v>E</v>
      </c>
      <c r="J110" s="91">
        <v>45</v>
      </c>
      <c r="K110" s="90" t="str">
        <f t="shared" si="21"/>
        <v>E</v>
      </c>
      <c r="L110" s="94">
        <v>18</v>
      </c>
      <c r="M110" s="90" t="str">
        <f t="shared" si="17"/>
        <v>E</v>
      </c>
      <c r="N110" s="94">
        <v>36</v>
      </c>
      <c r="O110" s="90" t="str">
        <f t="shared" si="22"/>
        <v>E</v>
      </c>
      <c r="P110" s="92">
        <v>26</v>
      </c>
      <c r="Q110" s="90" t="str">
        <f t="shared" si="23"/>
        <v>F</v>
      </c>
      <c r="R110" s="94">
        <v>20</v>
      </c>
      <c r="S110" s="90" t="str">
        <f t="shared" si="24"/>
        <v>E</v>
      </c>
      <c r="T110" s="94">
        <v>20</v>
      </c>
      <c r="U110" s="90" t="str">
        <f t="shared" si="25"/>
        <v>E</v>
      </c>
      <c r="V110" s="92">
        <v>25</v>
      </c>
      <c r="W110" s="90" t="str">
        <f t="shared" si="26"/>
        <v>F</v>
      </c>
      <c r="X110" s="94">
        <v>19</v>
      </c>
      <c r="Y110" s="90" t="str">
        <f t="shared" si="27"/>
        <v>E</v>
      </c>
      <c r="Z110" s="92">
        <v>45</v>
      </c>
      <c r="AA110" s="90" t="str">
        <f t="shared" si="28"/>
        <v>E</v>
      </c>
      <c r="AB110" s="94">
        <v>19</v>
      </c>
      <c r="AC110" s="90" t="str">
        <f t="shared" si="29"/>
        <v>E</v>
      </c>
      <c r="AD110" s="94">
        <v>19</v>
      </c>
      <c r="AE110" s="90" t="str">
        <f t="shared" si="30"/>
        <v>E</v>
      </c>
      <c r="AF110" s="92">
        <v>25</v>
      </c>
      <c r="AG110" s="89" t="str">
        <f t="shared" si="31"/>
        <v>E</v>
      </c>
      <c r="AH110" s="94">
        <v>16</v>
      </c>
      <c r="AI110" s="90" t="str">
        <f t="shared" si="32"/>
        <v>E</v>
      </c>
      <c r="AJ110" s="108">
        <f>IF(AND(OR(COUNTIF(D110:AI110,"=31")&gt;=1,COUNTIF(D110:AI110,"=32")&gt;=1,COUNTIF(D110:AI110,"=33")&gt;=1,COUNTIF(D110:AI110,"=34")&gt;=1,COUNTIF(D110:AI110,"=35")=1,COUNTIF(D110:AI110,"=36")&gt;=1 ),COUNTIF(D110:AI110,"")=0,COUNTIF(D110:AI110," ")=0,COUNTIF(D110:AI110,"F")=1),CONCATENATE(SUM(EXTRACTNUMBER(D110),EXTRACTNUMBER(F110),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EXTRACTNUMBER(AD110),EXTRACTNUMBER(AF110),EXTRACTNUMBER(AH110)),"*"),IF(AND(COUNTIF(D110:AI110,"=34")&gt;=1,COUNTIF(D110:AI110,"=35")&gt;=1,COUNTIF(D110:AI110,"f")=2,COUNTIF(D110:AI110,"")=0,COUNTIF(D110:AI110," ")=0),CONCATENATE(SUM(EXTRACTNUMBER(D110),EXTRACTNUMBER(F110),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EXTRACTNUMBER(AD110),EXTRACTNUMBER(AF110),EXTRACTNUMBER(AH110)),"*"),IF(AND(COUNTIF(D110:AI110,"=36")&gt;=2,COUNTIF(D110:AI110,"f")=2,COUNTIF(D110:AI110,"")=0,COUNTIF(D110:AI110," ")=0),CONCATENATE(SUM(EXTRACTNUMBER(D110),EXTRACTNUMBER(F110),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EXTRACTNUMBER(AD110),EXTRACTNUMBER(AF110),EXTRACTNUMBER(AH110)),"*"),SUM(EXTRACTNUMBER(D110),EXTRACTNUMBER(F110),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EXTRACTNUMBER(AD110),EXTRACTNUMBER(AF110),EXTRACTNUMBER(AH110)))))</f>
        <v>445</v>
      </c>
      <c r="AK110" s="24" t="str">
        <f t="shared" si="33"/>
        <v>FAIL</v>
      </c>
      <c r="AL110" s="25" t="str">
        <f>SPELLNUMBER(extractnumber_tot(AJ110))</f>
        <v xml:space="preserve">Four Hundred Forty Five </v>
      </c>
    </row>
    <row r="111" spans="2:38" s="22" customFormat="1" ht="15.95" customHeight="1">
      <c r="B111" s="97">
        <v>235287</v>
      </c>
      <c r="C111" s="98" t="s">
        <v>553</v>
      </c>
      <c r="D111" s="96">
        <v>61</v>
      </c>
      <c r="E111" s="89" t="str">
        <f t="shared" si="18"/>
        <v>E</v>
      </c>
      <c r="F111" s="94">
        <v>21</v>
      </c>
      <c r="G111" s="89" t="str">
        <f t="shared" si="19"/>
        <v>E</v>
      </c>
      <c r="H111" s="94">
        <v>38</v>
      </c>
      <c r="I111" s="90" t="str">
        <f t="shared" si="20"/>
        <v>E</v>
      </c>
      <c r="J111" s="91">
        <v>54</v>
      </c>
      <c r="K111" s="90" t="str">
        <f t="shared" si="21"/>
        <v>E</v>
      </c>
      <c r="L111" s="94">
        <v>19</v>
      </c>
      <c r="M111" s="90" t="str">
        <f t="shared" si="17"/>
        <v>E</v>
      </c>
      <c r="N111" s="94">
        <v>38</v>
      </c>
      <c r="O111" s="90" t="str">
        <f t="shared" si="22"/>
        <v>E</v>
      </c>
      <c r="P111" s="92">
        <v>5</v>
      </c>
      <c r="Q111" s="90" t="str">
        <f t="shared" si="23"/>
        <v>F</v>
      </c>
      <c r="R111" s="94">
        <v>20</v>
      </c>
      <c r="S111" s="90" t="str">
        <f t="shared" si="24"/>
        <v>E</v>
      </c>
      <c r="T111" s="94">
        <v>20</v>
      </c>
      <c r="U111" s="90" t="str">
        <f t="shared" si="25"/>
        <v>E</v>
      </c>
      <c r="V111" s="92">
        <v>5</v>
      </c>
      <c r="W111" s="90" t="str">
        <f t="shared" si="26"/>
        <v>F</v>
      </c>
      <c r="X111" s="94">
        <v>19</v>
      </c>
      <c r="Y111" s="90" t="str">
        <f t="shared" si="27"/>
        <v>E</v>
      </c>
      <c r="Z111" s="92">
        <v>24</v>
      </c>
      <c r="AA111" s="90" t="str">
        <f t="shared" si="28"/>
        <v>F</v>
      </c>
      <c r="AB111" s="94">
        <v>18</v>
      </c>
      <c r="AC111" s="90" t="str">
        <f t="shared" si="29"/>
        <v>E</v>
      </c>
      <c r="AD111" s="94">
        <v>18</v>
      </c>
      <c r="AE111" s="90" t="str">
        <f t="shared" si="30"/>
        <v>E</v>
      </c>
      <c r="AF111" s="92">
        <v>26</v>
      </c>
      <c r="AG111" s="89" t="str">
        <f t="shared" si="31"/>
        <v>E</v>
      </c>
      <c r="AH111" s="94">
        <v>17</v>
      </c>
      <c r="AI111" s="90" t="str">
        <f t="shared" si="32"/>
        <v>E</v>
      </c>
      <c r="AJ111" s="108">
        <f>IF(AND(OR(COUNTIF(D111:AI111,"=31")&gt;=1,COUNTIF(D111:AI111,"=32")&gt;=1,COUNTIF(D111:AI111,"=33")&gt;=1,COUNTIF(D111:AI111,"=34")&gt;=1,COUNTIF(D111:AI111,"=35")=1,COUNTIF(D111:AI111,"=36")&gt;=1 ),COUNTIF(D111:AI111,"")=0,COUNTIF(D111:AI111," ")=0,COUNTIF(D111:AI111,"F")=1),CONCATENATE(SUM(EXTRACTNUMBER(D111),EXTRACTNUMBER(F111),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EXTRACTNUMBER(AD111),EXTRACTNUMBER(AF111),EXTRACTNUMBER(AH111)),"*"),IF(AND(COUNTIF(D111:AI111,"=34")&gt;=1,COUNTIF(D111:AI111,"=35")&gt;=1,COUNTIF(D111:AI111,"f")=2,COUNTIF(D111:AI111,"")=0,COUNTIF(D111:AI111," ")=0),CONCATENATE(SUM(EXTRACTNUMBER(D111),EXTRACTNUMBER(F111),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EXTRACTNUMBER(AD111),EXTRACTNUMBER(AF111),EXTRACTNUMBER(AH111)),"*"),IF(AND(COUNTIF(D111:AI111,"=36")&gt;=2,COUNTIF(D111:AI111,"f")=2,COUNTIF(D111:AI111,"")=0,COUNTIF(D111:AI111," ")=0),CONCATENATE(SUM(EXTRACTNUMBER(D111),EXTRACTNUMBER(F111),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EXTRACTNUMBER(AD111),EXTRACTNUMBER(AF111),EXTRACTNUMBER(AH111)),"*"),SUM(EXTRACTNUMBER(D111),EXTRACTNUMBER(F111),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EXTRACTNUMBER(AD111),EXTRACTNUMBER(AF111),EXTRACTNUMBER(AH111)))))</f>
        <v>403</v>
      </c>
      <c r="AK111" s="24" t="str">
        <f t="shared" si="33"/>
        <v>FAIL</v>
      </c>
      <c r="AL111" s="25" t="str">
        <f>SPELLNUMBER(extractnumber_tot(AJ111))</f>
        <v xml:space="preserve">Four Hundred Three </v>
      </c>
    </row>
    <row r="112" spans="2:38" s="22" customFormat="1" ht="15.95" customHeight="1">
      <c r="B112" s="97">
        <v>235288</v>
      </c>
      <c r="C112" s="98" t="s">
        <v>554</v>
      </c>
      <c r="D112" s="96">
        <v>59</v>
      </c>
      <c r="E112" s="89" t="str">
        <f t="shared" si="18"/>
        <v/>
      </c>
      <c r="F112" s="94">
        <v>23</v>
      </c>
      <c r="G112" s="89" t="str">
        <f t="shared" si="19"/>
        <v/>
      </c>
      <c r="H112" s="94">
        <v>45</v>
      </c>
      <c r="I112" s="90" t="str">
        <f t="shared" si="20"/>
        <v/>
      </c>
      <c r="J112" s="91">
        <v>46</v>
      </c>
      <c r="K112" s="90" t="str">
        <f t="shared" si="21"/>
        <v/>
      </c>
      <c r="L112" s="94">
        <v>23</v>
      </c>
      <c r="M112" s="90" t="str">
        <f t="shared" si="17"/>
        <v/>
      </c>
      <c r="N112" s="94">
        <v>38</v>
      </c>
      <c r="O112" s="90" t="str">
        <f t="shared" si="22"/>
        <v/>
      </c>
      <c r="P112" s="92">
        <v>43</v>
      </c>
      <c r="Q112" s="90" t="str">
        <f t="shared" si="23"/>
        <v/>
      </c>
      <c r="R112" s="94">
        <v>23</v>
      </c>
      <c r="S112" s="90" t="str">
        <f t="shared" si="24"/>
        <v/>
      </c>
      <c r="T112" s="94">
        <v>20</v>
      </c>
      <c r="U112" s="90" t="str">
        <f t="shared" si="25"/>
        <v/>
      </c>
      <c r="V112" s="92">
        <v>40</v>
      </c>
      <c r="W112" s="90" t="str">
        <f t="shared" si="26"/>
        <v/>
      </c>
      <c r="X112" s="94">
        <v>23</v>
      </c>
      <c r="Y112" s="90" t="str">
        <f t="shared" si="27"/>
        <v/>
      </c>
      <c r="Z112" s="92">
        <v>40</v>
      </c>
      <c r="AA112" s="90" t="str">
        <f t="shared" si="28"/>
        <v/>
      </c>
      <c r="AB112" s="94">
        <v>23</v>
      </c>
      <c r="AC112" s="90" t="str">
        <f t="shared" si="29"/>
        <v/>
      </c>
      <c r="AD112" s="94">
        <v>22</v>
      </c>
      <c r="AE112" s="90" t="str">
        <f t="shared" si="30"/>
        <v/>
      </c>
      <c r="AF112" s="92">
        <v>34</v>
      </c>
      <c r="AG112" s="89" t="str">
        <f t="shared" si="31"/>
        <v/>
      </c>
      <c r="AH112" s="94">
        <v>23</v>
      </c>
      <c r="AI112" s="90" t="str">
        <f t="shared" si="32"/>
        <v/>
      </c>
      <c r="AJ112" s="108">
        <f>IF(AND(OR(COUNTIF(D112:AI112,"=31")&gt;=1,COUNTIF(D112:AI112,"=32")&gt;=1,COUNTIF(D112:AI112,"=33")&gt;=1,COUNTIF(D112:AI112,"=34")&gt;=1,COUNTIF(D112:AI112,"=35")=1,COUNTIF(D112:AI112,"=36")&gt;=1 ),COUNTIF(D112:AI112,"")=0,COUNTIF(D112:AI112," ")=0,COUNTIF(D112:AI112,"F")=1),CONCATENATE(SUM(EXTRACTNUMBER(D112),EXTRACTNUMBER(F112),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EXTRACTNUMBER(AD112),EXTRACTNUMBER(AF112),EXTRACTNUMBER(AH112)),"*"),IF(AND(COUNTIF(D112:AI112,"=34")&gt;=1,COUNTIF(D112:AI112,"=35")&gt;=1,COUNTIF(D112:AI112,"f")=2,COUNTIF(D112:AI112,"")=0,COUNTIF(D112:AI112," ")=0),CONCATENATE(SUM(EXTRACTNUMBER(D112),EXTRACTNUMBER(F112),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EXTRACTNUMBER(AD112),EXTRACTNUMBER(AF112),EXTRACTNUMBER(AH112)),"*"),IF(AND(COUNTIF(D112:AI112,"=36")&gt;=2,COUNTIF(D112:AI112,"f")=2,COUNTIF(D112:AI112,"")=0,COUNTIF(D112:AI112," ")=0),CONCATENATE(SUM(EXTRACTNUMBER(D112),EXTRACTNUMBER(F112),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EXTRACTNUMBER(AD112),EXTRACTNUMBER(AF112),EXTRACTNUMBER(AH112)),"*"),SUM(EXTRACTNUMBER(D112),EXTRACTNUMBER(F112),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EXTRACTNUMBER(AD112),EXTRACTNUMBER(AF112),EXTRACTNUMBER(AH112)))))</f>
        <v>525</v>
      </c>
      <c r="AK112" s="24" t="str">
        <f t="shared" si="33"/>
        <v>PASS</v>
      </c>
      <c r="AL112" s="25" t="str">
        <f>SPELLNUMBER(extractnumber_tot(AJ112))</f>
        <v xml:space="preserve">Five Hundred Twenty Five </v>
      </c>
    </row>
    <row r="113" spans="2:38" s="22" customFormat="1" ht="15.95" customHeight="1">
      <c r="B113" s="97">
        <v>235289</v>
      </c>
      <c r="C113" s="98" t="s">
        <v>555</v>
      </c>
      <c r="D113" s="96">
        <v>52</v>
      </c>
      <c r="E113" s="89" t="str">
        <f t="shared" si="18"/>
        <v>E</v>
      </c>
      <c r="F113" s="94">
        <v>23</v>
      </c>
      <c r="G113" s="89" t="str">
        <f t="shared" si="19"/>
        <v>E</v>
      </c>
      <c r="H113" s="94">
        <v>38</v>
      </c>
      <c r="I113" s="90" t="str">
        <f t="shared" si="20"/>
        <v>E</v>
      </c>
      <c r="J113" s="91">
        <v>40</v>
      </c>
      <c r="K113" s="90" t="str">
        <f t="shared" si="21"/>
        <v>E</v>
      </c>
      <c r="L113" s="94">
        <v>23</v>
      </c>
      <c r="M113" s="90" t="str">
        <f t="shared" si="17"/>
        <v>E</v>
      </c>
      <c r="N113" s="94">
        <v>39</v>
      </c>
      <c r="O113" s="90" t="str">
        <f t="shared" si="22"/>
        <v>E</v>
      </c>
      <c r="P113" s="92">
        <v>45</v>
      </c>
      <c r="Q113" s="90" t="str">
        <f t="shared" si="23"/>
        <v>E</v>
      </c>
      <c r="R113" s="94">
        <v>23</v>
      </c>
      <c r="S113" s="90" t="str">
        <f t="shared" si="24"/>
        <v>E</v>
      </c>
      <c r="T113" s="94">
        <v>23</v>
      </c>
      <c r="U113" s="90" t="str">
        <f t="shared" si="25"/>
        <v>E</v>
      </c>
      <c r="V113" s="92">
        <v>24</v>
      </c>
      <c r="W113" s="90" t="str">
        <f t="shared" si="26"/>
        <v>F</v>
      </c>
      <c r="X113" s="94">
        <v>23</v>
      </c>
      <c r="Y113" s="90" t="str">
        <f t="shared" si="27"/>
        <v>E</v>
      </c>
      <c r="Z113" s="92">
        <v>40</v>
      </c>
      <c r="AA113" s="90" t="str">
        <f t="shared" si="28"/>
        <v>E</v>
      </c>
      <c r="AB113" s="94">
        <v>22</v>
      </c>
      <c r="AC113" s="90" t="str">
        <f t="shared" si="29"/>
        <v>E</v>
      </c>
      <c r="AD113" s="94">
        <v>19</v>
      </c>
      <c r="AE113" s="90" t="str">
        <f t="shared" si="30"/>
        <v>E</v>
      </c>
      <c r="AF113" s="92">
        <v>31</v>
      </c>
      <c r="AG113" s="89" t="str">
        <f t="shared" si="31"/>
        <v>E</v>
      </c>
      <c r="AH113" s="94">
        <v>23</v>
      </c>
      <c r="AI113" s="90" t="str">
        <f t="shared" si="32"/>
        <v>E</v>
      </c>
      <c r="AJ113" s="108">
        <v>488</v>
      </c>
      <c r="AK113" s="24" t="str">
        <f t="shared" si="33"/>
        <v>FAIL</v>
      </c>
      <c r="AL113" s="25" t="str">
        <f>SPELLNUMBER(extractnumber_tot(AJ113))</f>
        <v xml:space="preserve">Four Hundred Eighty Eight </v>
      </c>
    </row>
    <row r="114" spans="2:38" s="22" customFormat="1" ht="15.95" customHeight="1">
      <c r="B114" s="97">
        <v>235290</v>
      </c>
      <c r="C114" s="98" t="s">
        <v>556</v>
      </c>
      <c r="D114" s="96">
        <v>41</v>
      </c>
      <c r="E114" s="89" t="str">
        <f t="shared" si="18"/>
        <v>E</v>
      </c>
      <c r="F114" s="94">
        <v>20</v>
      </c>
      <c r="G114" s="89" t="str">
        <f t="shared" si="19"/>
        <v>E</v>
      </c>
      <c r="H114" s="94">
        <v>39</v>
      </c>
      <c r="I114" s="90" t="str">
        <f t="shared" si="20"/>
        <v>E</v>
      </c>
      <c r="J114" s="91">
        <v>40</v>
      </c>
      <c r="K114" s="90" t="str">
        <f t="shared" si="21"/>
        <v>E</v>
      </c>
      <c r="L114" s="94">
        <v>20</v>
      </c>
      <c r="M114" s="90" t="str">
        <f t="shared" si="17"/>
        <v>E</v>
      </c>
      <c r="N114" s="94">
        <v>39</v>
      </c>
      <c r="O114" s="90" t="str">
        <f t="shared" si="22"/>
        <v>E</v>
      </c>
      <c r="P114" s="92">
        <v>30</v>
      </c>
      <c r="Q114" s="90" t="str">
        <f t="shared" si="23"/>
        <v>F</v>
      </c>
      <c r="R114" s="94">
        <v>21</v>
      </c>
      <c r="S114" s="90" t="str">
        <f t="shared" si="24"/>
        <v>E</v>
      </c>
      <c r="T114" s="94">
        <v>22</v>
      </c>
      <c r="U114" s="90" t="str">
        <f t="shared" si="25"/>
        <v>E</v>
      </c>
      <c r="V114" s="92">
        <v>29</v>
      </c>
      <c r="W114" s="90" t="str">
        <f t="shared" si="26"/>
        <v>F</v>
      </c>
      <c r="X114" s="94">
        <v>21</v>
      </c>
      <c r="Y114" s="90" t="str">
        <f t="shared" si="27"/>
        <v>E</v>
      </c>
      <c r="Z114" s="92">
        <v>40</v>
      </c>
      <c r="AA114" s="90" t="str">
        <f t="shared" si="28"/>
        <v>E</v>
      </c>
      <c r="AB114" s="94">
        <v>19</v>
      </c>
      <c r="AC114" s="90" t="str">
        <f t="shared" si="29"/>
        <v>E</v>
      </c>
      <c r="AD114" s="94">
        <v>18</v>
      </c>
      <c r="AE114" s="90" t="str">
        <f t="shared" si="30"/>
        <v>E</v>
      </c>
      <c r="AF114" s="92">
        <v>31</v>
      </c>
      <c r="AG114" s="89" t="str">
        <f t="shared" si="31"/>
        <v>E</v>
      </c>
      <c r="AH114" s="94">
        <v>19</v>
      </c>
      <c r="AI114" s="90" t="str">
        <f t="shared" si="32"/>
        <v>E</v>
      </c>
      <c r="AJ114" s="108">
        <f>IF(AND(OR(COUNTIF(D114:AI114,"=31")&gt;=1,COUNTIF(D114:AI114,"=32")&gt;=1,COUNTIF(D114:AI114,"=33")&gt;=1,COUNTIF(D114:AI114,"=34")&gt;=1,COUNTIF(D114:AI114,"=35")=1,COUNTIF(D114:AI114,"=36")&gt;=1 ),COUNTIF(D114:AI114,"")=0,COUNTIF(D114:AI114," ")=0,COUNTIF(D114:AI114,"F")=1),CONCATENATE(SUM(EXTRACTNUMBER(D114),EXTRACTNUMBER(F114),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EXTRACTNUMBER(AD114),EXTRACTNUMBER(AF114),EXTRACTNUMBER(AH114)),"*"),IF(AND(COUNTIF(D114:AI114,"=34")&gt;=1,COUNTIF(D114:AI114,"=35")&gt;=1,COUNTIF(D114:AI114,"f")=2,COUNTIF(D114:AI114,"")=0,COUNTIF(D114:AI114," ")=0),CONCATENATE(SUM(EXTRACTNUMBER(D114),EXTRACTNUMBER(F114),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EXTRACTNUMBER(AD114),EXTRACTNUMBER(AF114),EXTRACTNUMBER(AH114)),"*"),IF(AND(COUNTIF(D114:AI114,"=36")&gt;=2,COUNTIF(D114:AI114,"f")=2,COUNTIF(D114:AI114,"")=0,COUNTIF(D114:AI114," ")=0),CONCATENATE(SUM(EXTRACTNUMBER(D114),EXTRACTNUMBER(F114),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EXTRACTNUMBER(AD114),EXTRACTNUMBER(AF114),EXTRACTNUMBER(AH114)),"*"),SUM(EXTRACTNUMBER(D114),EXTRACTNUMBER(F114),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EXTRACTNUMBER(AD114),EXTRACTNUMBER(AF114),EXTRACTNUMBER(AH114)))))</f>
        <v>449</v>
      </c>
      <c r="AK114" s="24" t="str">
        <f t="shared" si="33"/>
        <v>FAIL</v>
      </c>
      <c r="AL114" s="25" t="str">
        <f>SPELLNUMBER(extractnumber_tot(AJ114))</f>
        <v xml:space="preserve">Four Hundred Forty Nine </v>
      </c>
    </row>
    <row r="115" spans="2:38" s="22" customFormat="1" ht="15.95" customHeight="1">
      <c r="B115" s="97">
        <v>235291</v>
      </c>
      <c r="C115" s="98" t="s">
        <v>557</v>
      </c>
      <c r="D115" s="96">
        <v>25</v>
      </c>
      <c r="E115" s="89" t="str">
        <f t="shared" si="18"/>
        <v>F</v>
      </c>
      <c r="F115" s="94">
        <v>23</v>
      </c>
      <c r="G115" s="89" t="str">
        <f t="shared" si="19"/>
        <v>E</v>
      </c>
      <c r="H115" s="94">
        <v>40</v>
      </c>
      <c r="I115" s="90" t="str">
        <f t="shared" si="20"/>
        <v>E</v>
      </c>
      <c r="J115" s="91">
        <v>40</v>
      </c>
      <c r="K115" s="90" t="str">
        <f t="shared" si="21"/>
        <v>E</v>
      </c>
      <c r="L115" s="94">
        <v>23</v>
      </c>
      <c r="M115" s="90" t="str">
        <f t="shared" si="17"/>
        <v>E</v>
      </c>
      <c r="N115" s="94">
        <v>36</v>
      </c>
      <c r="O115" s="90" t="str">
        <f t="shared" si="22"/>
        <v>E</v>
      </c>
      <c r="P115" s="92">
        <v>42</v>
      </c>
      <c r="Q115" s="90" t="str">
        <f t="shared" si="23"/>
        <v>E</v>
      </c>
      <c r="R115" s="94">
        <v>23</v>
      </c>
      <c r="S115" s="90" t="str">
        <f t="shared" si="24"/>
        <v>E</v>
      </c>
      <c r="T115" s="94">
        <v>23</v>
      </c>
      <c r="U115" s="90" t="str">
        <f t="shared" si="25"/>
        <v>E</v>
      </c>
      <c r="V115" s="92">
        <v>8</v>
      </c>
      <c r="W115" s="90" t="str">
        <f t="shared" si="26"/>
        <v>F</v>
      </c>
      <c r="X115" s="94">
        <v>23</v>
      </c>
      <c r="Y115" s="90" t="str">
        <f t="shared" si="27"/>
        <v>E</v>
      </c>
      <c r="Z115" s="92">
        <v>45</v>
      </c>
      <c r="AA115" s="90" t="str">
        <f t="shared" si="28"/>
        <v>E</v>
      </c>
      <c r="AB115" s="94">
        <v>22</v>
      </c>
      <c r="AC115" s="90" t="str">
        <f t="shared" si="29"/>
        <v>E</v>
      </c>
      <c r="AD115" s="94">
        <v>18</v>
      </c>
      <c r="AE115" s="90" t="str">
        <f t="shared" si="30"/>
        <v>E</v>
      </c>
      <c r="AF115" s="92">
        <v>29</v>
      </c>
      <c r="AG115" s="89" t="str">
        <f t="shared" si="31"/>
        <v>E</v>
      </c>
      <c r="AH115" s="94">
        <v>23</v>
      </c>
      <c r="AI115" s="90" t="str">
        <f t="shared" si="32"/>
        <v>E</v>
      </c>
      <c r="AJ115" s="108">
        <f>IF(AND(OR(COUNTIF(D115:AI115,"=31")&gt;=1,COUNTIF(D115:AI115,"=32")&gt;=1,COUNTIF(D115:AI115,"=33")&gt;=1,COUNTIF(D115:AI115,"=34")&gt;=1,COUNTIF(D115:AI115,"=35")=1,COUNTIF(D115:AI115,"=36")&gt;=1 ),COUNTIF(D115:AI115,"")=0,COUNTIF(D115:AI115," ")=0,COUNTIF(D115:AI115,"F")=1),CONCATENATE(SUM(EXTRACTNUMBER(D115),EXTRACTNUMBER(F115),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EXTRACTNUMBER(AD115),EXTRACTNUMBER(AF115),EXTRACTNUMBER(AH115)),"*"),IF(AND(COUNTIF(D115:AI115,"=34")&gt;=1,COUNTIF(D115:AI115,"=35")&gt;=1,COUNTIF(D115:AI115,"f")=2,COUNTIF(D115:AI115,"")=0,COUNTIF(D115:AI115," ")=0),CONCATENATE(SUM(EXTRACTNUMBER(D115),EXTRACTNUMBER(F115),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EXTRACTNUMBER(AD115),EXTRACTNUMBER(AF115),EXTRACTNUMBER(AH115)),"*"),IF(AND(COUNTIF(D115:AI115,"=36")&gt;=2,COUNTIF(D115:AI115,"f")=2,COUNTIF(D115:AI115,"")=0,COUNTIF(D115:AI115," ")=0),CONCATENATE(SUM(EXTRACTNUMBER(D115),EXTRACTNUMBER(F115),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EXTRACTNUMBER(AD115),EXTRACTNUMBER(AF115),EXTRACTNUMBER(AH115)),"*"),SUM(EXTRACTNUMBER(D115),EXTRACTNUMBER(F115),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EXTRACTNUMBER(AD115),EXTRACTNUMBER(AF115),EXTRACTNUMBER(AH115)))))</f>
        <v>443</v>
      </c>
      <c r="AK115" s="24" t="str">
        <f t="shared" si="33"/>
        <v>FAIL</v>
      </c>
      <c r="AL115" s="25" t="str">
        <f>SPELLNUMBER(extractnumber_tot(AJ115))</f>
        <v xml:space="preserve">Four Hundred Forty Three </v>
      </c>
    </row>
    <row r="116" spans="2:38" s="22" customFormat="1" ht="15.95" customHeight="1">
      <c r="B116" s="97">
        <v>235292</v>
      </c>
      <c r="C116" s="98" t="s">
        <v>558</v>
      </c>
      <c r="D116" s="96">
        <v>40</v>
      </c>
      <c r="E116" s="89" t="str">
        <f t="shared" si="18"/>
        <v/>
      </c>
      <c r="F116" s="94">
        <v>21</v>
      </c>
      <c r="G116" s="89" t="str">
        <f t="shared" si="19"/>
        <v/>
      </c>
      <c r="H116" s="94">
        <v>44</v>
      </c>
      <c r="I116" s="90" t="str">
        <f t="shared" si="20"/>
        <v/>
      </c>
      <c r="J116" s="91">
        <v>40</v>
      </c>
      <c r="K116" s="90" t="str">
        <f t="shared" si="21"/>
        <v/>
      </c>
      <c r="L116" s="94">
        <v>20</v>
      </c>
      <c r="M116" s="90" t="str">
        <f t="shared" si="17"/>
        <v/>
      </c>
      <c r="N116" s="94">
        <v>36</v>
      </c>
      <c r="O116" s="90" t="str">
        <f t="shared" si="22"/>
        <v/>
      </c>
      <c r="P116" s="92">
        <v>40</v>
      </c>
      <c r="Q116" s="90" t="str">
        <f t="shared" si="23"/>
        <v/>
      </c>
      <c r="R116" s="94">
        <v>21</v>
      </c>
      <c r="S116" s="90" t="str">
        <f t="shared" si="24"/>
        <v/>
      </c>
      <c r="T116" s="94">
        <v>21</v>
      </c>
      <c r="U116" s="90" t="str">
        <f t="shared" si="25"/>
        <v/>
      </c>
      <c r="V116" s="92">
        <v>40</v>
      </c>
      <c r="W116" s="90" t="str">
        <f t="shared" si="26"/>
        <v/>
      </c>
      <c r="X116" s="94">
        <v>23</v>
      </c>
      <c r="Y116" s="90" t="str">
        <f t="shared" si="27"/>
        <v/>
      </c>
      <c r="Z116" s="92">
        <v>40</v>
      </c>
      <c r="AA116" s="90" t="str">
        <f t="shared" si="28"/>
        <v/>
      </c>
      <c r="AB116" s="94">
        <v>22</v>
      </c>
      <c r="AC116" s="90" t="str">
        <f t="shared" si="29"/>
        <v/>
      </c>
      <c r="AD116" s="94">
        <v>18</v>
      </c>
      <c r="AE116" s="90" t="str">
        <f t="shared" si="30"/>
        <v/>
      </c>
      <c r="AF116" s="92">
        <v>35</v>
      </c>
      <c r="AG116" s="89" t="str">
        <f t="shared" si="31"/>
        <v/>
      </c>
      <c r="AH116" s="94">
        <v>20</v>
      </c>
      <c r="AI116" s="90" t="str">
        <f t="shared" si="32"/>
        <v/>
      </c>
      <c r="AJ116" s="108">
        <f>IF(AND(OR(COUNTIF(D116:AI116,"=31")&gt;=1,COUNTIF(D116:AI116,"=32")&gt;=1,COUNTIF(D116:AI116,"=33")&gt;=1,COUNTIF(D116:AI116,"=34")&gt;=1,COUNTIF(D116:AI116,"=35")=1,COUNTIF(D116:AI116,"=36")&gt;=1 ),COUNTIF(D116:AI116,"")=0,COUNTIF(D116:AI116," ")=0,COUNTIF(D116:AI116,"F")=1),CONCATENATE(SUM(EXTRACTNUMBER(D116),EXTRACTNUMBER(F116),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EXTRACTNUMBER(AD116),EXTRACTNUMBER(AF116),EXTRACTNUMBER(AH116)),"*"),IF(AND(COUNTIF(D116:AI116,"=34")&gt;=1,COUNTIF(D116:AI116,"=35")&gt;=1,COUNTIF(D116:AI116,"f")=2,COUNTIF(D116:AI116,"")=0,COUNTIF(D116:AI116," ")=0),CONCATENATE(SUM(EXTRACTNUMBER(D116),EXTRACTNUMBER(F116),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EXTRACTNUMBER(AD116),EXTRACTNUMBER(AF116),EXTRACTNUMBER(AH116)),"*"),IF(AND(COUNTIF(D116:AI116,"=36")&gt;=2,COUNTIF(D116:AI116,"f")=2,COUNTIF(D116:AI116,"")=0,COUNTIF(D116:AI116," ")=0),CONCATENATE(SUM(EXTRACTNUMBER(D116),EXTRACTNUMBER(F116),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EXTRACTNUMBER(AD116),EXTRACTNUMBER(AF116),EXTRACTNUMBER(AH116)),"*"),SUM(EXTRACTNUMBER(D116),EXTRACTNUMBER(F116),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EXTRACTNUMBER(AD116),EXTRACTNUMBER(AF116),EXTRACTNUMBER(AH116)))))</f>
        <v>481</v>
      </c>
      <c r="AK116" s="24" t="str">
        <f t="shared" si="33"/>
        <v>PASS</v>
      </c>
      <c r="AL116" s="25" t="str">
        <f>SPELLNUMBER(extractnumber_tot(AJ116))</f>
        <v xml:space="preserve">Four Hundred Eighty One </v>
      </c>
    </row>
    <row r="117" spans="2:38" s="22" customFormat="1" ht="15.95" customHeight="1">
      <c r="B117" s="97">
        <v>235293</v>
      </c>
      <c r="C117" s="98" t="s">
        <v>559</v>
      </c>
      <c r="D117" s="96">
        <v>60</v>
      </c>
      <c r="E117" s="89" t="str">
        <f t="shared" si="18"/>
        <v>E</v>
      </c>
      <c r="F117" s="94">
        <v>20</v>
      </c>
      <c r="G117" s="89" t="str">
        <f t="shared" si="19"/>
        <v>E</v>
      </c>
      <c r="H117" s="94">
        <v>45</v>
      </c>
      <c r="I117" s="90" t="str">
        <f t="shared" si="20"/>
        <v>E</v>
      </c>
      <c r="J117" s="91">
        <v>51</v>
      </c>
      <c r="K117" s="90" t="str">
        <f t="shared" si="21"/>
        <v>E</v>
      </c>
      <c r="L117" s="94">
        <v>19</v>
      </c>
      <c r="M117" s="90" t="str">
        <f t="shared" si="17"/>
        <v>E</v>
      </c>
      <c r="N117" s="94">
        <v>38</v>
      </c>
      <c r="O117" s="90" t="str">
        <f t="shared" si="22"/>
        <v>E</v>
      </c>
      <c r="P117" s="92">
        <v>30</v>
      </c>
      <c r="Q117" s="90" t="str">
        <f t="shared" si="23"/>
        <v>F</v>
      </c>
      <c r="R117" s="94">
        <v>20</v>
      </c>
      <c r="S117" s="90" t="str">
        <f t="shared" si="24"/>
        <v>E</v>
      </c>
      <c r="T117" s="94">
        <v>21</v>
      </c>
      <c r="U117" s="90" t="str">
        <f t="shared" si="25"/>
        <v>E</v>
      </c>
      <c r="V117" s="92">
        <v>24</v>
      </c>
      <c r="W117" s="90" t="str">
        <f t="shared" si="26"/>
        <v>F</v>
      </c>
      <c r="X117" s="94">
        <v>21</v>
      </c>
      <c r="Y117" s="90" t="str">
        <f t="shared" si="27"/>
        <v>E</v>
      </c>
      <c r="Z117" s="92">
        <v>43</v>
      </c>
      <c r="AA117" s="90" t="str">
        <f t="shared" si="28"/>
        <v>E</v>
      </c>
      <c r="AB117" s="94">
        <v>22</v>
      </c>
      <c r="AC117" s="90" t="str">
        <f t="shared" si="29"/>
        <v>E</v>
      </c>
      <c r="AD117" s="94">
        <v>18</v>
      </c>
      <c r="AE117" s="90" t="str">
        <f t="shared" si="30"/>
        <v>E</v>
      </c>
      <c r="AF117" s="92">
        <v>30</v>
      </c>
      <c r="AG117" s="89" t="str">
        <f t="shared" si="31"/>
        <v>E</v>
      </c>
      <c r="AH117" s="94">
        <v>19</v>
      </c>
      <c r="AI117" s="90" t="str">
        <f t="shared" si="32"/>
        <v>E</v>
      </c>
      <c r="AJ117" s="108">
        <f>IF(AND(OR(COUNTIF(D117:AI117,"=31")&gt;=1,COUNTIF(D117:AI117,"=32")&gt;=1,COUNTIF(D117:AI117,"=33")&gt;=1,COUNTIF(D117:AI117,"=34")&gt;=1,COUNTIF(D117:AI117,"=35")=1,COUNTIF(D117:AI117,"=36")&gt;=1 ),COUNTIF(D117:AI117,"")=0,COUNTIF(D117:AI117," ")=0,COUNTIF(D117:AI117,"F")=1),CONCATENATE(SUM(EXTRACTNUMBER(D117),EXTRACTNUMBER(F117),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EXTRACTNUMBER(AD117),EXTRACTNUMBER(AF117),EXTRACTNUMBER(AH117)),"*"),IF(AND(COUNTIF(D117:AI117,"=34")&gt;=1,COUNTIF(D117:AI117,"=35")&gt;=1,COUNTIF(D117:AI117,"f")=2,COUNTIF(D117:AI117,"")=0,COUNTIF(D117:AI117," ")=0),CONCATENATE(SUM(EXTRACTNUMBER(D117),EXTRACTNUMBER(F117),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EXTRACTNUMBER(AD117),EXTRACTNUMBER(AF117),EXTRACTNUMBER(AH117)),"*"),IF(AND(COUNTIF(D117:AI117,"=36")&gt;=2,COUNTIF(D117:AI117,"f")=2,COUNTIF(D117:AI117,"")=0,COUNTIF(D117:AI117," ")=0),CONCATENATE(SUM(EXTRACTNUMBER(D117),EXTRACTNUMBER(F117),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EXTRACTNUMBER(AD117),EXTRACTNUMBER(AF117),EXTRACTNUMBER(AH117)),"*"),SUM(EXTRACTNUMBER(D117),EXTRACTNUMBER(F117),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EXTRACTNUMBER(AD117),EXTRACTNUMBER(AF117),EXTRACTNUMBER(AH117)))))</f>
        <v>481</v>
      </c>
      <c r="AK117" s="24" t="str">
        <f t="shared" si="33"/>
        <v>FAIL</v>
      </c>
      <c r="AL117" s="25" t="str">
        <f>SPELLNUMBER(extractnumber_tot(AJ117))</f>
        <v xml:space="preserve">Four Hundred Eighty One </v>
      </c>
    </row>
    <row r="118" spans="2:38" s="22" customFormat="1" ht="15.95" customHeight="1">
      <c r="B118" s="97">
        <v>235294</v>
      </c>
      <c r="C118" s="98" t="s">
        <v>560</v>
      </c>
      <c r="D118" s="96">
        <v>44</v>
      </c>
      <c r="E118" s="89" t="str">
        <f t="shared" si="18"/>
        <v>E</v>
      </c>
      <c r="F118" s="94">
        <v>21</v>
      </c>
      <c r="G118" s="89" t="str">
        <f t="shared" si="19"/>
        <v>E</v>
      </c>
      <c r="H118" s="94">
        <v>47</v>
      </c>
      <c r="I118" s="90" t="str">
        <f t="shared" si="20"/>
        <v>E</v>
      </c>
      <c r="J118" s="91">
        <v>46</v>
      </c>
      <c r="K118" s="90" t="str">
        <f t="shared" si="21"/>
        <v>E</v>
      </c>
      <c r="L118" s="94">
        <v>23</v>
      </c>
      <c r="M118" s="90" t="str">
        <f t="shared" si="17"/>
        <v>E</v>
      </c>
      <c r="N118" s="94">
        <v>37</v>
      </c>
      <c r="O118" s="90" t="str">
        <f t="shared" si="22"/>
        <v>E</v>
      </c>
      <c r="P118" s="92">
        <v>30</v>
      </c>
      <c r="Q118" s="90" t="str">
        <f t="shared" si="23"/>
        <v>F</v>
      </c>
      <c r="R118" s="94">
        <v>21</v>
      </c>
      <c r="S118" s="90" t="str">
        <f t="shared" si="24"/>
        <v>E</v>
      </c>
      <c r="T118" s="94">
        <v>23</v>
      </c>
      <c r="U118" s="90" t="str">
        <f t="shared" si="25"/>
        <v>E</v>
      </c>
      <c r="V118" s="92">
        <v>48</v>
      </c>
      <c r="W118" s="90" t="str">
        <f t="shared" si="26"/>
        <v>E</v>
      </c>
      <c r="X118" s="94">
        <v>24</v>
      </c>
      <c r="Y118" s="90" t="str">
        <f t="shared" si="27"/>
        <v>E</v>
      </c>
      <c r="Z118" s="92">
        <v>40</v>
      </c>
      <c r="AA118" s="90" t="str">
        <f t="shared" si="28"/>
        <v>E</v>
      </c>
      <c r="AB118" s="94">
        <v>23</v>
      </c>
      <c r="AC118" s="90" t="str">
        <f t="shared" si="29"/>
        <v>E</v>
      </c>
      <c r="AD118" s="94">
        <v>20</v>
      </c>
      <c r="AE118" s="90" t="str">
        <f t="shared" si="30"/>
        <v>E</v>
      </c>
      <c r="AF118" s="92">
        <v>24</v>
      </c>
      <c r="AG118" s="89" t="str">
        <f t="shared" si="31"/>
        <v>E</v>
      </c>
      <c r="AH118" s="94">
        <v>18</v>
      </c>
      <c r="AI118" s="90" t="str">
        <f t="shared" si="32"/>
        <v>E</v>
      </c>
      <c r="AJ118" s="108">
        <f>IF(AND(OR(COUNTIF(D118:AI118,"=31")&gt;=1,COUNTIF(D118:AI118,"=32")&gt;=1,COUNTIF(D118:AI118,"=33")&gt;=1,COUNTIF(D118:AI118,"=34")&gt;=1,COUNTIF(D118:AI118,"=35")=1,COUNTIF(D118:AI118,"=36")&gt;=1 ),COUNTIF(D118:AI118,"")=0,COUNTIF(D118:AI118," ")=0,COUNTIF(D118:AI118,"F")=1),CONCATENATE(SUM(EXTRACTNUMBER(D118),EXTRACTNUMBER(F118),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EXTRACTNUMBER(AD118),EXTRACTNUMBER(AF118),EXTRACTNUMBER(AH118)),"*"),IF(AND(COUNTIF(D118:AI118,"=34")&gt;=1,COUNTIF(D118:AI118,"=35")&gt;=1,COUNTIF(D118:AI118,"f")=2,COUNTIF(D118:AI118,"")=0,COUNTIF(D118:AI118," ")=0),CONCATENATE(SUM(EXTRACTNUMBER(D118),EXTRACTNUMBER(F118),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EXTRACTNUMBER(AD118),EXTRACTNUMBER(AF118),EXTRACTNUMBER(AH118)),"*"),IF(AND(COUNTIF(D118:AI118,"=36")&gt;=2,COUNTIF(D118:AI118,"f")=2,COUNTIF(D118:AI118,"")=0,COUNTIF(D118:AI118," ")=0),CONCATENATE(SUM(EXTRACTNUMBER(D118),EXTRACTNUMBER(F118),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EXTRACTNUMBER(AD118),EXTRACTNUMBER(AF118),EXTRACTNUMBER(AH118)),"*"),SUM(EXTRACTNUMBER(D118),EXTRACTNUMBER(F118),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EXTRACTNUMBER(AD118),EXTRACTNUMBER(AF118),EXTRACTNUMBER(AH118)))))</f>
        <v>489</v>
      </c>
      <c r="AK118" s="24" t="str">
        <f t="shared" si="33"/>
        <v>FAIL</v>
      </c>
      <c r="AL118" s="25" t="str">
        <f>SPELLNUMBER(extractnumber_tot(AJ118))</f>
        <v xml:space="preserve">Four Hundred Eighty Nine </v>
      </c>
    </row>
    <row r="119" spans="2:38" s="22" customFormat="1" ht="15.95" customHeight="1">
      <c r="B119" s="97">
        <v>235295</v>
      </c>
      <c r="C119" s="98" t="s">
        <v>561</v>
      </c>
      <c r="D119" s="96">
        <v>57</v>
      </c>
      <c r="E119" s="89" t="str">
        <f t="shared" si="18"/>
        <v>E</v>
      </c>
      <c r="F119" s="94">
        <v>23</v>
      </c>
      <c r="G119" s="89" t="str">
        <f t="shared" si="19"/>
        <v>E</v>
      </c>
      <c r="H119" s="94">
        <v>40</v>
      </c>
      <c r="I119" s="90" t="str">
        <f t="shared" si="20"/>
        <v>E</v>
      </c>
      <c r="J119" s="91">
        <v>58</v>
      </c>
      <c r="K119" s="90" t="str">
        <f t="shared" si="21"/>
        <v>E</v>
      </c>
      <c r="L119" s="94">
        <v>18</v>
      </c>
      <c r="M119" s="90" t="str">
        <f t="shared" si="17"/>
        <v>E</v>
      </c>
      <c r="N119" s="94">
        <v>39</v>
      </c>
      <c r="O119" s="90" t="str">
        <f t="shared" si="22"/>
        <v>E</v>
      </c>
      <c r="P119" s="92">
        <v>25</v>
      </c>
      <c r="Q119" s="90" t="str">
        <f t="shared" si="23"/>
        <v>F</v>
      </c>
      <c r="R119" s="94">
        <v>23</v>
      </c>
      <c r="S119" s="90" t="str">
        <f t="shared" si="24"/>
        <v>E</v>
      </c>
      <c r="T119" s="94">
        <v>21</v>
      </c>
      <c r="U119" s="90" t="str">
        <f t="shared" si="25"/>
        <v>E</v>
      </c>
      <c r="V119" s="92">
        <v>41</v>
      </c>
      <c r="W119" s="90" t="str">
        <f t="shared" si="26"/>
        <v>E</v>
      </c>
      <c r="X119" s="94">
        <v>23</v>
      </c>
      <c r="Y119" s="90" t="str">
        <f t="shared" si="27"/>
        <v>E</v>
      </c>
      <c r="Z119" s="92">
        <v>40</v>
      </c>
      <c r="AA119" s="90" t="str">
        <f t="shared" si="28"/>
        <v>E</v>
      </c>
      <c r="AB119" s="94">
        <v>22</v>
      </c>
      <c r="AC119" s="90" t="str">
        <f t="shared" si="29"/>
        <v>E</v>
      </c>
      <c r="AD119" s="94">
        <v>22</v>
      </c>
      <c r="AE119" s="90" t="str">
        <f t="shared" si="30"/>
        <v>E</v>
      </c>
      <c r="AF119" s="92">
        <v>33</v>
      </c>
      <c r="AG119" s="89" t="str">
        <f t="shared" si="31"/>
        <v>E</v>
      </c>
      <c r="AH119" s="94">
        <v>22</v>
      </c>
      <c r="AI119" s="90" t="str">
        <f t="shared" si="32"/>
        <v>E</v>
      </c>
      <c r="AJ119" s="108">
        <v>507</v>
      </c>
      <c r="AK119" s="24" t="str">
        <f t="shared" si="33"/>
        <v>FAIL</v>
      </c>
      <c r="AL119" s="25" t="str">
        <f>SPELLNUMBER(extractnumber_tot(AJ119))</f>
        <v xml:space="preserve">Five Hundred Seven </v>
      </c>
    </row>
    <row r="120" spans="2:38" s="22" customFormat="1" ht="15.95" customHeight="1">
      <c r="B120" s="97">
        <v>235296</v>
      </c>
      <c r="C120" s="98" t="s">
        <v>562</v>
      </c>
      <c r="D120" s="96">
        <v>62</v>
      </c>
      <c r="E120" s="89" t="str">
        <f t="shared" si="18"/>
        <v/>
      </c>
      <c r="F120" s="94">
        <v>24</v>
      </c>
      <c r="G120" s="89" t="str">
        <f t="shared" si="19"/>
        <v/>
      </c>
      <c r="H120" s="94">
        <v>48</v>
      </c>
      <c r="I120" s="90" t="str">
        <f t="shared" si="20"/>
        <v/>
      </c>
      <c r="J120" s="91">
        <v>57</v>
      </c>
      <c r="K120" s="90" t="str">
        <f t="shared" si="21"/>
        <v/>
      </c>
      <c r="L120" s="94">
        <v>23</v>
      </c>
      <c r="M120" s="90" t="str">
        <f t="shared" si="17"/>
        <v/>
      </c>
      <c r="N120" s="94">
        <v>45</v>
      </c>
      <c r="O120" s="90" t="str">
        <f t="shared" si="22"/>
        <v/>
      </c>
      <c r="P120" s="92">
        <v>70</v>
      </c>
      <c r="Q120" s="90" t="str">
        <f t="shared" si="23"/>
        <v/>
      </c>
      <c r="R120" s="94">
        <v>24</v>
      </c>
      <c r="S120" s="90" t="str">
        <f t="shared" si="24"/>
        <v/>
      </c>
      <c r="T120" s="94">
        <v>22</v>
      </c>
      <c r="U120" s="90" t="str">
        <f t="shared" si="25"/>
        <v/>
      </c>
      <c r="V120" s="92">
        <v>40</v>
      </c>
      <c r="W120" s="90" t="str">
        <f t="shared" si="26"/>
        <v/>
      </c>
      <c r="X120" s="94">
        <v>24</v>
      </c>
      <c r="Y120" s="90" t="str">
        <f t="shared" si="27"/>
        <v/>
      </c>
      <c r="Z120" s="92">
        <v>62</v>
      </c>
      <c r="AA120" s="90" t="str">
        <f t="shared" si="28"/>
        <v/>
      </c>
      <c r="AB120" s="94">
        <v>23</v>
      </c>
      <c r="AC120" s="90" t="str">
        <f t="shared" si="29"/>
        <v/>
      </c>
      <c r="AD120" s="94">
        <v>21</v>
      </c>
      <c r="AE120" s="90" t="str">
        <f t="shared" si="30"/>
        <v/>
      </c>
      <c r="AF120" s="92">
        <v>36</v>
      </c>
      <c r="AG120" s="89" t="str">
        <f t="shared" si="31"/>
        <v/>
      </c>
      <c r="AH120" s="94">
        <v>24</v>
      </c>
      <c r="AI120" s="90" t="str">
        <f t="shared" si="32"/>
        <v/>
      </c>
      <c r="AJ120" s="108">
        <f>IF(AND(OR(COUNTIF(D120:AI120,"=31")&gt;=1,COUNTIF(D120:AI120,"=32")&gt;=1,COUNTIF(D120:AI120,"=33")&gt;=1,COUNTIF(D120:AI120,"=34")&gt;=1,COUNTIF(D120:AI120,"=35")=1,COUNTIF(D120:AI120,"=36")&gt;=1 ),COUNTIF(D120:AI120,"")=0,COUNTIF(D120:AI120," ")=0,COUNTIF(D120:AI120,"F")=1),CONCATENATE(SUM(EXTRACTNUMBER(D120),EXTRACTNUMBER(F120),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EXTRACTNUMBER(AD120),EXTRACTNUMBER(AF120),EXTRACTNUMBER(AH120)),"*"),IF(AND(COUNTIF(D120:AI120,"=34")&gt;=1,COUNTIF(D120:AI120,"=35")&gt;=1,COUNTIF(D120:AI120,"f")=2,COUNTIF(D120:AI120,"")=0,COUNTIF(D120:AI120," ")=0),CONCATENATE(SUM(EXTRACTNUMBER(D120),EXTRACTNUMBER(F120),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EXTRACTNUMBER(AD120),EXTRACTNUMBER(AF120),EXTRACTNUMBER(AH120)),"*"),IF(AND(COUNTIF(D120:AI120,"=36")&gt;=2,COUNTIF(D120:AI120,"f")=2,COUNTIF(D120:AI120,"")=0,COUNTIF(D120:AI120," ")=0),CONCATENATE(SUM(EXTRACTNUMBER(D120),EXTRACTNUMBER(F120),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EXTRACTNUMBER(AD120),EXTRACTNUMBER(AF120),EXTRACTNUMBER(AH120)),"*"),SUM(EXTRACTNUMBER(D120),EXTRACTNUMBER(F120),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EXTRACTNUMBER(AD120),EXTRACTNUMBER(AF120),EXTRACTNUMBER(AH120)))))</f>
        <v>605</v>
      </c>
      <c r="AK120" s="24" t="str">
        <f t="shared" si="33"/>
        <v>PASS</v>
      </c>
      <c r="AL120" s="25" t="str">
        <f>SPELLNUMBER(extractnumber_tot(AJ120))</f>
        <v xml:space="preserve">Six Hundred Five </v>
      </c>
    </row>
    <row r="121" spans="2:38" s="22" customFormat="1" ht="15.95" customHeight="1">
      <c r="B121" s="97">
        <v>235297</v>
      </c>
      <c r="C121" s="98" t="s">
        <v>563</v>
      </c>
      <c r="D121" s="96">
        <v>51</v>
      </c>
      <c r="E121" s="89" t="str">
        <f t="shared" si="18"/>
        <v/>
      </c>
      <c r="F121" s="94">
        <v>22</v>
      </c>
      <c r="G121" s="89" t="str">
        <f t="shared" si="19"/>
        <v/>
      </c>
      <c r="H121" s="94">
        <v>41</v>
      </c>
      <c r="I121" s="90" t="str">
        <f t="shared" si="20"/>
        <v/>
      </c>
      <c r="J121" s="91">
        <v>42</v>
      </c>
      <c r="K121" s="90" t="str">
        <f t="shared" si="21"/>
        <v/>
      </c>
      <c r="L121" s="94">
        <v>18</v>
      </c>
      <c r="M121" s="90" t="str">
        <f t="shared" ref="M121:M151" si="34">IF(IFERROR(FIND("+",L121),0)," ",
IF(L121="AB","",
IF(L121&lt;$L$24,"F",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N121" s="94">
        <v>40</v>
      </c>
      <c r="O121" s="90" t="str">
        <f t="shared" si="22"/>
        <v/>
      </c>
      <c r="P121" s="92">
        <v>49</v>
      </c>
      <c r="Q121" s="90" t="str">
        <f t="shared" si="23"/>
        <v/>
      </c>
      <c r="R121" s="94">
        <v>19</v>
      </c>
      <c r="S121" s="90" t="str">
        <f t="shared" si="24"/>
        <v/>
      </c>
      <c r="T121" s="94">
        <v>22</v>
      </c>
      <c r="U121" s="90" t="str">
        <f t="shared" si="25"/>
        <v/>
      </c>
      <c r="V121" s="92">
        <v>51</v>
      </c>
      <c r="W121" s="90" t="str">
        <f t="shared" si="26"/>
        <v/>
      </c>
      <c r="X121" s="94">
        <v>17</v>
      </c>
      <c r="Y121" s="90" t="str">
        <f t="shared" si="27"/>
        <v/>
      </c>
      <c r="Z121" s="92">
        <v>60</v>
      </c>
      <c r="AA121" s="90" t="str">
        <f t="shared" si="28"/>
        <v/>
      </c>
      <c r="AB121" s="94">
        <v>18</v>
      </c>
      <c r="AC121" s="90" t="str">
        <f t="shared" si="29"/>
        <v/>
      </c>
      <c r="AD121" s="94">
        <v>20</v>
      </c>
      <c r="AE121" s="90" t="str">
        <f t="shared" si="30"/>
        <v/>
      </c>
      <c r="AF121" s="92">
        <v>29</v>
      </c>
      <c r="AG121" s="89" t="str">
        <f t="shared" si="31"/>
        <v/>
      </c>
      <c r="AH121" s="94">
        <v>21</v>
      </c>
      <c r="AI121" s="90" t="str">
        <f t="shared" si="32"/>
        <v/>
      </c>
      <c r="AJ121" s="108">
        <f>IF(AND(OR(COUNTIF(D121:AI121,"=31")&gt;=1,COUNTIF(D121:AI121,"=32")&gt;=1,COUNTIF(D121:AI121,"=33")&gt;=1,COUNTIF(D121:AI121,"=34")&gt;=1,COUNTIF(D121:AI121,"=35")=1,COUNTIF(D121:AI121,"=36")&gt;=1 ),COUNTIF(D121:AI121,"")=0,COUNTIF(D121:AI121," ")=0,COUNTIF(D121:AI121,"F")=1),CONCATENATE(SUM(EXTRACTNUMBER(D121),EXTRACTNUMBER(F121),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EXTRACTNUMBER(AD121),EXTRACTNUMBER(AF121),EXTRACTNUMBER(AH121)),"*"),IF(AND(COUNTIF(D121:AI121,"=34")&gt;=1,COUNTIF(D121:AI121,"=35")&gt;=1,COUNTIF(D121:AI121,"f")=2,COUNTIF(D121:AI121,"")=0,COUNTIF(D121:AI121," ")=0),CONCATENATE(SUM(EXTRACTNUMBER(D121),EXTRACTNUMBER(F121),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EXTRACTNUMBER(AD121),EXTRACTNUMBER(AF121),EXTRACTNUMBER(AH121)),"*"),IF(AND(COUNTIF(D121:AI121,"=36")&gt;=2,COUNTIF(D121:AI121,"f")=2,COUNTIF(D121:AI121,"")=0,COUNTIF(D121:AI121," ")=0),CONCATENATE(SUM(EXTRACTNUMBER(D121),EXTRACTNUMBER(F121),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EXTRACTNUMBER(AD121),EXTRACTNUMBER(AF121),EXTRACTNUMBER(AH121)),"*"),SUM(EXTRACTNUMBER(D121),EXTRACTNUMBER(F121),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EXTRACTNUMBER(AD121),EXTRACTNUMBER(AF121),EXTRACTNUMBER(AH121)))))</f>
        <v>520</v>
      </c>
      <c r="AK121" s="24" t="str">
        <f t="shared" si="33"/>
        <v>PASS</v>
      </c>
      <c r="AL121" s="25" t="str">
        <f>SPELLNUMBER(extractnumber_tot(AJ121))</f>
        <v xml:space="preserve">Five Hundred Twenty  </v>
      </c>
    </row>
    <row r="122" spans="2:38" s="22" customFormat="1" ht="15.95" customHeight="1">
      <c r="B122" s="97">
        <v>235298</v>
      </c>
      <c r="C122" s="98" t="s">
        <v>564</v>
      </c>
      <c r="D122" s="96">
        <v>55</v>
      </c>
      <c r="E122" s="89" t="str">
        <f t="shared" si="18"/>
        <v>E</v>
      </c>
      <c r="F122" s="94">
        <v>21</v>
      </c>
      <c r="G122" s="89" t="str">
        <f t="shared" si="19"/>
        <v>E</v>
      </c>
      <c r="H122" s="94">
        <v>39</v>
      </c>
      <c r="I122" s="90" t="str">
        <f t="shared" si="20"/>
        <v>E</v>
      </c>
      <c r="J122" s="91">
        <v>51</v>
      </c>
      <c r="K122" s="90" t="str">
        <f t="shared" si="21"/>
        <v>E</v>
      </c>
      <c r="L122" s="94">
        <v>21</v>
      </c>
      <c r="M122" s="90" t="str">
        <f t="shared" si="34"/>
        <v>E</v>
      </c>
      <c r="N122" s="94">
        <v>40</v>
      </c>
      <c r="O122" s="90" t="str">
        <f t="shared" si="22"/>
        <v>E</v>
      </c>
      <c r="P122" s="92">
        <v>24</v>
      </c>
      <c r="Q122" s="90" t="str">
        <f t="shared" si="23"/>
        <v>F</v>
      </c>
      <c r="R122" s="94">
        <v>21</v>
      </c>
      <c r="S122" s="90" t="str">
        <f t="shared" si="24"/>
        <v>E</v>
      </c>
      <c r="T122" s="94">
        <v>22</v>
      </c>
      <c r="U122" s="90" t="str">
        <f t="shared" si="25"/>
        <v>E</v>
      </c>
      <c r="V122" s="92">
        <v>46</v>
      </c>
      <c r="W122" s="90" t="str">
        <f t="shared" si="26"/>
        <v>E</v>
      </c>
      <c r="X122" s="94">
        <v>18</v>
      </c>
      <c r="Y122" s="90" t="str">
        <f t="shared" si="27"/>
        <v>E</v>
      </c>
      <c r="Z122" s="92">
        <v>65</v>
      </c>
      <c r="AA122" s="90" t="str">
        <f t="shared" si="28"/>
        <v>E</v>
      </c>
      <c r="AB122" s="94">
        <v>16</v>
      </c>
      <c r="AC122" s="90" t="str">
        <f t="shared" si="29"/>
        <v>E</v>
      </c>
      <c r="AD122" s="94">
        <v>18</v>
      </c>
      <c r="AE122" s="90" t="str">
        <f t="shared" si="30"/>
        <v>E</v>
      </c>
      <c r="AF122" s="92">
        <v>36</v>
      </c>
      <c r="AG122" s="89" t="str">
        <f t="shared" si="31"/>
        <v>E</v>
      </c>
      <c r="AH122" s="94">
        <v>22</v>
      </c>
      <c r="AI122" s="90" t="str">
        <f t="shared" si="32"/>
        <v>E</v>
      </c>
      <c r="AJ122" s="108">
        <v>515</v>
      </c>
      <c r="AK122" s="24" t="str">
        <f t="shared" si="33"/>
        <v>FAIL</v>
      </c>
      <c r="AL122" s="25" t="str">
        <f>SPELLNUMBER(extractnumber_tot(AJ122))</f>
        <v xml:space="preserve">Five Hundred Fifteen </v>
      </c>
    </row>
    <row r="123" spans="2:38" s="22" customFormat="1" ht="15.95" customHeight="1">
      <c r="B123" s="97">
        <v>235299</v>
      </c>
      <c r="C123" s="98" t="s">
        <v>565</v>
      </c>
      <c r="D123" s="96">
        <v>52</v>
      </c>
      <c r="E123" s="89" t="str">
        <f t="shared" si="18"/>
        <v/>
      </c>
      <c r="F123" s="94">
        <v>21</v>
      </c>
      <c r="G123" s="89" t="str">
        <f t="shared" si="19"/>
        <v/>
      </c>
      <c r="H123" s="94">
        <v>39</v>
      </c>
      <c r="I123" s="90" t="str">
        <f t="shared" si="20"/>
        <v/>
      </c>
      <c r="J123" s="91">
        <v>44</v>
      </c>
      <c r="K123" s="90" t="str">
        <f t="shared" si="21"/>
        <v/>
      </c>
      <c r="L123" s="94">
        <v>22</v>
      </c>
      <c r="M123" s="90" t="str">
        <f t="shared" si="34"/>
        <v/>
      </c>
      <c r="N123" s="94">
        <v>37</v>
      </c>
      <c r="O123" s="90" t="str">
        <f t="shared" si="22"/>
        <v/>
      </c>
      <c r="P123" s="92">
        <v>43</v>
      </c>
      <c r="Q123" s="90" t="str">
        <f t="shared" si="23"/>
        <v/>
      </c>
      <c r="R123" s="94">
        <v>21</v>
      </c>
      <c r="S123" s="90" t="str">
        <f t="shared" si="24"/>
        <v/>
      </c>
      <c r="T123" s="94">
        <v>21</v>
      </c>
      <c r="U123" s="90" t="str">
        <f t="shared" si="25"/>
        <v/>
      </c>
      <c r="V123" s="92">
        <v>40</v>
      </c>
      <c r="W123" s="90" t="str">
        <f t="shared" si="26"/>
        <v/>
      </c>
      <c r="X123" s="94">
        <v>22</v>
      </c>
      <c r="Y123" s="90" t="str">
        <f t="shared" si="27"/>
        <v/>
      </c>
      <c r="Z123" s="92">
        <v>43</v>
      </c>
      <c r="AA123" s="90" t="str">
        <f t="shared" si="28"/>
        <v/>
      </c>
      <c r="AB123" s="94">
        <v>20</v>
      </c>
      <c r="AC123" s="90" t="str">
        <f t="shared" si="29"/>
        <v/>
      </c>
      <c r="AD123" s="94">
        <v>19</v>
      </c>
      <c r="AE123" s="90" t="str">
        <f t="shared" si="30"/>
        <v/>
      </c>
      <c r="AF123" s="92">
        <v>25</v>
      </c>
      <c r="AG123" s="89" t="str">
        <f t="shared" si="31"/>
        <v/>
      </c>
      <c r="AH123" s="94">
        <v>20</v>
      </c>
      <c r="AI123" s="90" t="str">
        <f t="shared" si="32"/>
        <v/>
      </c>
      <c r="AJ123" s="108">
        <f>IF(AND(OR(COUNTIF(D123:AI123,"=31")&gt;=1,COUNTIF(D123:AI123,"=32")&gt;=1,COUNTIF(D123:AI123,"=33")&gt;=1,COUNTIF(D123:AI123,"=34")&gt;=1,COUNTIF(D123:AI123,"=35")=1,COUNTIF(D123:AI123,"=36")&gt;=1 ),COUNTIF(D123:AI123,"")=0,COUNTIF(D123:AI123," ")=0,COUNTIF(D123:AI123,"F")=1),CONCATENATE(SUM(EXTRACTNUMBER(D123),EXTRACTNUMBER(F123),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EXTRACTNUMBER(AD123),EXTRACTNUMBER(AF123),EXTRACTNUMBER(AH123)),"*"),IF(AND(COUNTIF(D123:AI123,"=34")&gt;=1,COUNTIF(D123:AI123,"=35")&gt;=1,COUNTIF(D123:AI123,"f")=2,COUNTIF(D123:AI123,"")=0,COUNTIF(D123:AI123," ")=0),CONCATENATE(SUM(EXTRACTNUMBER(D123),EXTRACTNUMBER(F123),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EXTRACTNUMBER(AD123),EXTRACTNUMBER(AF123),EXTRACTNUMBER(AH123)),"*"),IF(AND(COUNTIF(D123:AI123,"=36")&gt;=2,COUNTIF(D123:AI123,"f")=2,COUNTIF(D123:AI123,"")=0,COUNTIF(D123:AI123," ")=0),CONCATENATE(SUM(EXTRACTNUMBER(D123),EXTRACTNUMBER(F123),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EXTRACTNUMBER(AD123),EXTRACTNUMBER(AF123),EXTRACTNUMBER(AH123)),"*"),SUM(EXTRACTNUMBER(D123),EXTRACTNUMBER(F123),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EXTRACTNUMBER(AD123),EXTRACTNUMBER(AF123),EXTRACTNUMBER(AH123)))))</f>
        <v>489</v>
      </c>
      <c r="AK123" s="24" t="str">
        <f t="shared" si="33"/>
        <v>PASS</v>
      </c>
      <c r="AL123" s="25" t="str">
        <f>SPELLNUMBER(extractnumber_tot(AJ123))</f>
        <v xml:space="preserve">Four Hundred Eighty Nine </v>
      </c>
    </row>
    <row r="124" spans="2:38" s="22" customFormat="1" ht="15.95" customHeight="1">
      <c r="B124" s="97">
        <v>235300</v>
      </c>
      <c r="C124" s="98" t="s">
        <v>566</v>
      </c>
      <c r="D124" s="96">
        <v>58</v>
      </c>
      <c r="E124" s="89" t="str">
        <f t="shared" si="18"/>
        <v/>
      </c>
      <c r="F124" s="94">
        <v>24</v>
      </c>
      <c r="G124" s="89" t="str">
        <f t="shared" si="19"/>
        <v/>
      </c>
      <c r="H124" s="94">
        <v>46</v>
      </c>
      <c r="I124" s="90" t="str">
        <f t="shared" si="20"/>
        <v/>
      </c>
      <c r="J124" s="91">
        <v>52</v>
      </c>
      <c r="K124" s="90" t="str">
        <f t="shared" si="21"/>
        <v/>
      </c>
      <c r="L124" s="94">
        <v>21</v>
      </c>
      <c r="M124" s="90" t="str">
        <f t="shared" si="34"/>
        <v/>
      </c>
      <c r="N124" s="94">
        <v>37</v>
      </c>
      <c r="O124" s="90" t="str">
        <f t="shared" si="22"/>
        <v/>
      </c>
      <c r="P124" s="92">
        <v>54</v>
      </c>
      <c r="Q124" s="90" t="str">
        <f t="shared" si="23"/>
        <v/>
      </c>
      <c r="R124" s="94">
        <v>23</v>
      </c>
      <c r="S124" s="90" t="str">
        <f t="shared" si="24"/>
        <v/>
      </c>
      <c r="T124" s="94">
        <v>23</v>
      </c>
      <c r="U124" s="90" t="str">
        <f t="shared" si="25"/>
        <v/>
      </c>
      <c r="V124" s="92">
        <v>74</v>
      </c>
      <c r="W124" s="90" t="str">
        <f t="shared" si="26"/>
        <v/>
      </c>
      <c r="X124" s="94">
        <v>24</v>
      </c>
      <c r="Y124" s="90" t="str">
        <f t="shared" si="27"/>
        <v/>
      </c>
      <c r="Z124" s="92">
        <v>72</v>
      </c>
      <c r="AA124" s="90" t="str">
        <f t="shared" si="28"/>
        <v/>
      </c>
      <c r="AB124" s="94">
        <v>20</v>
      </c>
      <c r="AC124" s="90" t="str">
        <f t="shared" si="29"/>
        <v/>
      </c>
      <c r="AD124" s="94">
        <v>19</v>
      </c>
      <c r="AE124" s="90" t="str">
        <f t="shared" si="30"/>
        <v/>
      </c>
      <c r="AF124" s="92">
        <v>34</v>
      </c>
      <c r="AG124" s="89" t="str">
        <f t="shared" si="31"/>
        <v/>
      </c>
      <c r="AH124" s="94">
        <v>22</v>
      </c>
      <c r="AI124" s="90" t="str">
        <f t="shared" si="32"/>
        <v/>
      </c>
      <c r="AJ124" s="108">
        <f>IF(AND(OR(COUNTIF(D124:AI124,"=31")&gt;=1,COUNTIF(D124:AI124,"=32")&gt;=1,COUNTIF(D124:AI124,"=33")&gt;=1,COUNTIF(D124:AI124,"=34")&gt;=1,COUNTIF(D124:AI124,"=35")=1,COUNTIF(D124:AI124,"=36")&gt;=1 ),COUNTIF(D124:AI124,"")=0,COUNTIF(D124:AI124," ")=0,COUNTIF(D124:AI124,"F")=1),CONCATENATE(SUM(EXTRACTNUMBER(D124),EXTRACTNUMBER(F124),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EXTRACTNUMBER(AD124),EXTRACTNUMBER(AF124),EXTRACTNUMBER(AH124)),"*"),IF(AND(COUNTIF(D124:AI124,"=34")&gt;=1,COUNTIF(D124:AI124,"=35")&gt;=1,COUNTIF(D124:AI124,"f")=2,COUNTIF(D124:AI124,"")=0,COUNTIF(D124:AI124," ")=0),CONCATENATE(SUM(EXTRACTNUMBER(D124),EXTRACTNUMBER(F124),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EXTRACTNUMBER(AD124),EXTRACTNUMBER(AF124),EXTRACTNUMBER(AH124)),"*"),IF(AND(COUNTIF(D124:AI124,"=36")&gt;=2,COUNTIF(D124:AI124,"f")=2,COUNTIF(D124:AI124,"")=0,COUNTIF(D124:AI124," ")=0),CONCATENATE(SUM(EXTRACTNUMBER(D124),EXTRACTNUMBER(F124),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EXTRACTNUMBER(AD124),EXTRACTNUMBER(AF124),EXTRACTNUMBER(AH124)),"*"),SUM(EXTRACTNUMBER(D124),EXTRACTNUMBER(F124),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EXTRACTNUMBER(AD124),EXTRACTNUMBER(AF124),EXTRACTNUMBER(AH124)))))</f>
        <v>603</v>
      </c>
      <c r="AK124" s="24" t="str">
        <f t="shared" si="33"/>
        <v>PASS</v>
      </c>
      <c r="AL124" s="25" t="str">
        <f>SPELLNUMBER(extractnumber_tot(AJ124))</f>
        <v xml:space="preserve">Six Hundred Three </v>
      </c>
    </row>
    <row r="125" spans="2:38" s="22" customFormat="1" ht="15.95" customHeight="1">
      <c r="B125" s="97">
        <v>235301</v>
      </c>
      <c r="C125" s="98" t="s">
        <v>567</v>
      </c>
      <c r="D125" s="96">
        <v>50</v>
      </c>
      <c r="E125" s="89" t="str">
        <f t="shared" si="18"/>
        <v/>
      </c>
      <c r="F125" s="94">
        <v>23</v>
      </c>
      <c r="G125" s="89" t="str">
        <f t="shared" si="19"/>
        <v/>
      </c>
      <c r="H125" s="94">
        <v>46</v>
      </c>
      <c r="I125" s="90" t="str">
        <f t="shared" si="20"/>
        <v/>
      </c>
      <c r="J125" s="91">
        <v>45</v>
      </c>
      <c r="K125" s="90" t="str">
        <f t="shared" si="21"/>
        <v/>
      </c>
      <c r="L125" s="94">
        <v>20</v>
      </c>
      <c r="M125" s="90" t="str">
        <f t="shared" si="34"/>
        <v/>
      </c>
      <c r="N125" s="94">
        <v>41</v>
      </c>
      <c r="O125" s="90" t="str">
        <f t="shared" si="22"/>
        <v/>
      </c>
      <c r="P125" s="92">
        <v>45</v>
      </c>
      <c r="Q125" s="90" t="str">
        <f t="shared" si="23"/>
        <v/>
      </c>
      <c r="R125" s="94">
        <v>23</v>
      </c>
      <c r="S125" s="90" t="str">
        <f t="shared" si="24"/>
        <v/>
      </c>
      <c r="T125" s="94">
        <v>23</v>
      </c>
      <c r="U125" s="90" t="str">
        <f t="shared" si="25"/>
        <v/>
      </c>
      <c r="V125" s="92">
        <v>40</v>
      </c>
      <c r="W125" s="90" t="str">
        <f t="shared" si="26"/>
        <v/>
      </c>
      <c r="X125" s="94">
        <v>21</v>
      </c>
      <c r="Y125" s="90" t="str">
        <f t="shared" si="27"/>
        <v/>
      </c>
      <c r="Z125" s="92">
        <v>67</v>
      </c>
      <c r="AA125" s="90" t="str">
        <f t="shared" si="28"/>
        <v/>
      </c>
      <c r="AB125" s="94">
        <v>21</v>
      </c>
      <c r="AC125" s="90" t="str">
        <f t="shared" si="29"/>
        <v/>
      </c>
      <c r="AD125" s="94">
        <v>23</v>
      </c>
      <c r="AE125" s="90" t="str">
        <f t="shared" si="30"/>
        <v/>
      </c>
      <c r="AF125" s="92">
        <v>29</v>
      </c>
      <c r="AG125" s="89" t="str">
        <f t="shared" si="31"/>
        <v/>
      </c>
      <c r="AH125" s="94">
        <v>18</v>
      </c>
      <c r="AI125" s="90" t="str">
        <f t="shared" si="32"/>
        <v/>
      </c>
      <c r="AJ125" s="108">
        <f>IF(AND(OR(COUNTIF(D125:AI125,"=31")&gt;=1,COUNTIF(D125:AI125,"=32")&gt;=1,COUNTIF(D125:AI125,"=33")&gt;=1,COUNTIF(D125:AI125,"=34")&gt;=1,COUNTIF(D125:AI125,"=35")=1,COUNTIF(D125:AI125,"=36")&gt;=1 ),COUNTIF(D125:AI125,"")=0,COUNTIF(D125:AI125," ")=0,COUNTIF(D125:AI125,"F")=1),CONCATENATE(SUM(EXTRACTNUMBER(D125),EXTRACTNUMBER(F125),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EXTRACTNUMBER(AD125),EXTRACTNUMBER(AF125),EXTRACTNUMBER(AH125)),"*"),IF(AND(COUNTIF(D125:AI125,"=34")&gt;=1,COUNTIF(D125:AI125,"=35")&gt;=1,COUNTIF(D125:AI125,"f")=2,COUNTIF(D125:AI125,"")=0,COUNTIF(D125:AI125," ")=0),CONCATENATE(SUM(EXTRACTNUMBER(D125),EXTRACTNUMBER(F125),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EXTRACTNUMBER(AD125),EXTRACTNUMBER(AF125),EXTRACTNUMBER(AH125)),"*"),IF(AND(COUNTIF(D125:AI125,"=36")&gt;=2,COUNTIF(D125:AI125,"f")=2,COUNTIF(D125:AI125,"")=0,COUNTIF(D125:AI125," ")=0),CONCATENATE(SUM(EXTRACTNUMBER(D125),EXTRACTNUMBER(F125),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EXTRACTNUMBER(AD125),EXTRACTNUMBER(AF125),EXTRACTNUMBER(AH125)),"*"),SUM(EXTRACTNUMBER(D125),EXTRACTNUMBER(F125),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EXTRACTNUMBER(AD125),EXTRACTNUMBER(AF125),EXTRACTNUMBER(AH125)))))</f>
        <v>535</v>
      </c>
      <c r="AK125" s="24" t="str">
        <f t="shared" si="33"/>
        <v>PASS</v>
      </c>
      <c r="AL125" s="25" t="str">
        <f>SPELLNUMBER(extractnumber_tot(AJ125))</f>
        <v xml:space="preserve">Five Hundred Thirty Five </v>
      </c>
    </row>
    <row r="126" spans="2:38" s="22" customFormat="1" ht="15.95" customHeight="1">
      <c r="B126" s="97">
        <v>235302</v>
      </c>
      <c r="C126" s="98" t="s">
        <v>568</v>
      </c>
      <c r="D126" s="96">
        <v>55</v>
      </c>
      <c r="E126" s="89" t="str">
        <f t="shared" si="18"/>
        <v/>
      </c>
      <c r="F126" s="94">
        <v>19</v>
      </c>
      <c r="G126" s="89" t="str">
        <f t="shared" si="19"/>
        <v/>
      </c>
      <c r="H126" s="94">
        <v>39</v>
      </c>
      <c r="I126" s="90" t="str">
        <f t="shared" si="20"/>
        <v/>
      </c>
      <c r="J126" s="91">
        <v>40</v>
      </c>
      <c r="K126" s="90" t="str">
        <f t="shared" si="21"/>
        <v/>
      </c>
      <c r="L126" s="94">
        <v>19</v>
      </c>
      <c r="M126" s="90" t="str">
        <f t="shared" si="34"/>
        <v/>
      </c>
      <c r="N126" s="94">
        <v>38</v>
      </c>
      <c r="O126" s="90" t="str">
        <f t="shared" si="22"/>
        <v/>
      </c>
      <c r="P126" s="92">
        <v>43</v>
      </c>
      <c r="Q126" s="90" t="str">
        <f t="shared" si="23"/>
        <v/>
      </c>
      <c r="R126" s="94">
        <v>19</v>
      </c>
      <c r="S126" s="90" t="str">
        <f t="shared" si="24"/>
        <v/>
      </c>
      <c r="T126" s="94">
        <v>22</v>
      </c>
      <c r="U126" s="90" t="str">
        <f t="shared" si="25"/>
        <v/>
      </c>
      <c r="V126" s="92">
        <v>40</v>
      </c>
      <c r="W126" s="90" t="str">
        <f t="shared" si="26"/>
        <v/>
      </c>
      <c r="X126" s="94">
        <v>16</v>
      </c>
      <c r="Y126" s="90" t="str">
        <f t="shared" si="27"/>
        <v/>
      </c>
      <c r="Z126" s="92">
        <v>42</v>
      </c>
      <c r="AA126" s="90" t="str">
        <f t="shared" si="28"/>
        <v/>
      </c>
      <c r="AB126" s="94">
        <v>20</v>
      </c>
      <c r="AC126" s="90" t="str">
        <f t="shared" si="29"/>
        <v/>
      </c>
      <c r="AD126" s="94">
        <v>19</v>
      </c>
      <c r="AE126" s="90" t="str">
        <f t="shared" si="30"/>
        <v/>
      </c>
      <c r="AF126" s="92">
        <v>27</v>
      </c>
      <c r="AG126" s="89" t="str">
        <f t="shared" si="31"/>
        <v/>
      </c>
      <c r="AH126" s="94">
        <v>17</v>
      </c>
      <c r="AI126" s="90" t="str">
        <f t="shared" si="32"/>
        <v/>
      </c>
      <c r="AJ126" s="108">
        <f>IF(AND(OR(COUNTIF(D126:AI126,"=31")&gt;=1,COUNTIF(D126:AI126,"=32")&gt;=1,COUNTIF(D126:AI126,"=33")&gt;=1,COUNTIF(D126:AI126,"=34")&gt;=1,COUNTIF(D126:AI126,"=35")=1,COUNTIF(D126:AI126,"=36")&gt;=1 ),COUNTIF(D126:AI126,"")=0,COUNTIF(D126:AI126," ")=0,COUNTIF(D126:AI126,"F")=1),CONCATENATE(SUM(EXTRACTNUMBER(D126),EXTRACTNUMBER(F126),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EXTRACTNUMBER(AD126),EXTRACTNUMBER(AF126),EXTRACTNUMBER(AH126)),"*"),IF(AND(COUNTIF(D126:AI126,"=34")&gt;=1,COUNTIF(D126:AI126,"=35")&gt;=1,COUNTIF(D126:AI126,"f")=2,COUNTIF(D126:AI126,"")=0,COUNTIF(D126:AI126," ")=0),CONCATENATE(SUM(EXTRACTNUMBER(D126),EXTRACTNUMBER(F126),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EXTRACTNUMBER(AD126),EXTRACTNUMBER(AF126),EXTRACTNUMBER(AH126)),"*"),IF(AND(COUNTIF(D126:AI126,"=36")&gt;=2,COUNTIF(D126:AI126,"f")=2,COUNTIF(D126:AI126,"")=0,COUNTIF(D126:AI126," ")=0),CONCATENATE(SUM(EXTRACTNUMBER(D126),EXTRACTNUMBER(F126),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EXTRACTNUMBER(AD126),EXTRACTNUMBER(AF126),EXTRACTNUMBER(AH126)),"*"),SUM(EXTRACTNUMBER(D126),EXTRACTNUMBER(F126),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EXTRACTNUMBER(AD126),EXTRACTNUMBER(AF126),EXTRACTNUMBER(AH126)))))</f>
        <v>475</v>
      </c>
      <c r="AK126" s="24" t="str">
        <f t="shared" si="33"/>
        <v>PASS</v>
      </c>
      <c r="AL126" s="25" t="str">
        <f>SPELLNUMBER(extractnumber_tot(AJ126))</f>
        <v xml:space="preserve">Four Hundred Seventy Five </v>
      </c>
    </row>
    <row r="127" spans="2:38" s="22" customFormat="1" ht="15.95" customHeight="1">
      <c r="B127" s="97">
        <v>235303</v>
      </c>
      <c r="C127" s="98" t="s">
        <v>569</v>
      </c>
      <c r="D127" s="96">
        <v>58</v>
      </c>
      <c r="E127" s="89" t="str">
        <f t="shared" si="18"/>
        <v/>
      </c>
      <c r="F127" s="94">
        <v>24</v>
      </c>
      <c r="G127" s="89" t="str">
        <f t="shared" si="19"/>
        <v/>
      </c>
      <c r="H127" s="94">
        <v>45</v>
      </c>
      <c r="I127" s="90" t="str">
        <f t="shared" si="20"/>
        <v/>
      </c>
      <c r="J127" s="91">
        <v>52</v>
      </c>
      <c r="K127" s="90" t="str">
        <f t="shared" si="21"/>
        <v/>
      </c>
      <c r="L127" s="94">
        <v>23</v>
      </c>
      <c r="M127" s="90" t="str">
        <f t="shared" si="34"/>
        <v/>
      </c>
      <c r="N127" s="94">
        <v>41</v>
      </c>
      <c r="O127" s="90" t="str">
        <f t="shared" si="22"/>
        <v/>
      </c>
      <c r="P127" s="92">
        <v>43</v>
      </c>
      <c r="Q127" s="90" t="str">
        <f t="shared" si="23"/>
        <v/>
      </c>
      <c r="R127" s="94">
        <v>24</v>
      </c>
      <c r="S127" s="90" t="str">
        <f t="shared" si="24"/>
        <v/>
      </c>
      <c r="T127" s="94">
        <v>22</v>
      </c>
      <c r="U127" s="90" t="str">
        <f t="shared" si="25"/>
        <v/>
      </c>
      <c r="V127" s="92">
        <v>40</v>
      </c>
      <c r="W127" s="90" t="str">
        <f t="shared" si="26"/>
        <v/>
      </c>
      <c r="X127" s="94">
        <v>24</v>
      </c>
      <c r="Y127" s="90" t="str">
        <f t="shared" si="27"/>
        <v/>
      </c>
      <c r="Z127" s="92">
        <v>40</v>
      </c>
      <c r="AA127" s="90" t="str">
        <f t="shared" si="28"/>
        <v/>
      </c>
      <c r="AB127" s="94">
        <v>22</v>
      </c>
      <c r="AC127" s="90" t="str">
        <f t="shared" si="29"/>
        <v/>
      </c>
      <c r="AD127" s="94">
        <v>21</v>
      </c>
      <c r="AE127" s="90" t="str">
        <f t="shared" si="30"/>
        <v/>
      </c>
      <c r="AF127" s="92">
        <v>29</v>
      </c>
      <c r="AG127" s="89" t="str">
        <f t="shared" si="31"/>
        <v/>
      </c>
      <c r="AH127" s="94">
        <v>19</v>
      </c>
      <c r="AI127" s="90" t="str">
        <f t="shared" si="32"/>
        <v/>
      </c>
      <c r="AJ127" s="108">
        <f>IF(AND(OR(COUNTIF(D127:AI127,"=31")&gt;=1,COUNTIF(D127:AI127,"=32")&gt;=1,COUNTIF(D127:AI127,"=33")&gt;=1,COUNTIF(D127:AI127,"=34")&gt;=1,COUNTIF(D127:AI127,"=35")=1,COUNTIF(D127:AI127,"=36")&gt;=1 ),COUNTIF(D127:AI127,"")=0,COUNTIF(D127:AI127," ")=0,COUNTIF(D127:AI127,"F")=1),CONCATENATE(SUM(EXTRACTNUMBER(D127),EXTRACTNUMBER(F127),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EXTRACTNUMBER(AD127),EXTRACTNUMBER(AF127),EXTRACTNUMBER(AH127)),"*"),IF(AND(COUNTIF(D127:AI127,"=34")&gt;=1,COUNTIF(D127:AI127,"=35")&gt;=1,COUNTIF(D127:AI127,"f")=2,COUNTIF(D127:AI127,"")=0,COUNTIF(D127:AI127," ")=0),CONCATENATE(SUM(EXTRACTNUMBER(D127),EXTRACTNUMBER(F127),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EXTRACTNUMBER(AD127),EXTRACTNUMBER(AF127),EXTRACTNUMBER(AH127)),"*"),IF(AND(COUNTIF(D127:AI127,"=36")&gt;=2,COUNTIF(D127:AI127,"f")=2,COUNTIF(D127:AI127,"")=0,COUNTIF(D127:AI127," ")=0),CONCATENATE(SUM(EXTRACTNUMBER(D127),EXTRACTNUMBER(F127),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EXTRACTNUMBER(AD127),EXTRACTNUMBER(AF127),EXTRACTNUMBER(AH127)),"*"),SUM(EXTRACTNUMBER(D127),EXTRACTNUMBER(F127),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EXTRACTNUMBER(AD127),EXTRACTNUMBER(AF127),EXTRACTNUMBER(AH127)))))</f>
        <v>527</v>
      </c>
      <c r="AK127" s="24" t="str">
        <f t="shared" si="33"/>
        <v>PASS</v>
      </c>
      <c r="AL127" s="25" t="str">
        <f>SPELLNUMBER(extractnumber_tot(AJ127))</f>
        <v xml:space="preserve">Five Hundred Twenty Seven </v>
      </c>
    </row>
    <row r="128" spans="2:38" s="22" customFormat="1" ht="15.95" customHeight="1">
      <c r="B128" s="97">
        <v>235304</v>
      </c>
      <c r="C128" s="98" t="s">
        <v>570</v>
      </c>
      <c r="D128" s="96">
        <v>49</v>
      </c>
      <c r="E128" s="89" t="str">
        <f t="shared" si="18"/>
        <v/>
      </c>
      <c r="F128" s="94">
        <v>23</v>
      </c>
      <c r="G128" s="89" t="str">
        <f t="shared" si="19"/>
        <v/>
      </c>
      <c r="H128" s="94">
        <v>44</v>
      </c>
      <c r="I128" s="90" t="str">
        <f t="shared" si="20"/>
        <v/>
      </c>
      <c r="J128" s="91">
        <v>41</v>
      </c>
      <c r="K128" s="90" t="str">
        <f t="shared" si="21"/>
        <v/>
      </c>
      <c r="L128" s="94">
        <v>19</v>
      </c>
      <c r="M128" s="90" t="str">
        <f t="shared" si="34"/>
        <v/>
      </c>
      <c r="N128" s="94">
        <v>40</v>
      </c>
      <c r="O128" s="90" t="str">
        <f t="shared" si="22"/>
        <v/>
      </c>
      <c r="P128" s="92" t="s">
        <v>338</v>
      </c>
      <c r="Q128" s="90" t="str">
        <f t="shared" si="23"/>
        <v/>
      </c>
      <c r="R128" s="94">
        <v>20</v>
      </c>
      <c r="S128" s="90" t="str">
        <f t="shared" si="24"/>
        <v/>
      </c>
      <c r="T128" s="94">
        <v>22</v>
      </c>
      <c r="U128" s="90" t="str">
        <f t="shared" si="25"/>
        <v/>
      </c>
      <c r="V128" s="92">
        <v>51</v>
      </c>
      <c r="W128" s="90" t="str">
        <f t="shared" si="26"/>
        <v/>
      </c>
      <c r="X128" s="94">
        <v>20</v>
      </c>
      <c r="Y128" s="90" t="str">
        <f t="shared" si="27"/>
        <v/>
      </c>
      <c r="Z128" s="92">
        <v>40</v>
      </c>
      <c r="AA128" s="90" t="str">
        <f t="shared" si="28"/>
        <v/>
      </c>
      <c r="AB128" s="94">
        <v>19</v>
      </c>
      <c r="AC128" s="90" t="str">
        <f t="shared" si="29"/>
        <v/>
      </c>
      <c r="AD128" s="94">
        <v>19</v>
      </c>
      <c r="AE128" s="90" t="str">
        <f t="shared" si="30"/>
        <v/>
      </c>
      <c r="AF128" s="92">
        <v>31</v>
      </c>
      <c r="AG128" s="89" t="str">
        <f t="shared" si="31"/>
        <v/>
      </c>
      <c r="AH128" s="94">
        <v>22</v>
      </c>
      <c r="AI128" s="90" t="str">
        <f t="shared" si="32"/>
        <v/>
      </c>
      <c r="AJ128" s="109" t="s">
        <v>656</v>
      </c>
      <c r="AK128" s="24" t="str">
        <f t="shared" si="33"/>
        <v>PASS</v>
      </c>
      <c r="AL128" s="25" t="str">
        <f>SPELLNUMBER(extractnumber_tot(AJ128))</f>
        <v xml:space="preserve">Four Hundred NinetyThree </v>
      </c>
    </row>
    <row r="129" spans="2:38" s="22" customFormat="1" ht="15.95" customHeight="1">
      <c r="B129" s="97">
        <v>235305</v>
      </c>
      <c r="C129" s="98" t="s">
        <v>663</v>
      </c>
      <c r="D129" s="96">
        <v>42</v>
      </c>
      <c r="E129" s="89" t="str">
        <f t="shared" si="18"/>
        <v>E</v>
      </c>
      <c r="F129" s="94">
        <v>21</v>
      </c>
      <c r="G129" s="89" t="str">
        <f t="shared" si="19"/>
        <v>E</v>
      </c>
      <c r="H129" s="94">
        <v>40</v>
      </c>
      <c r="I129" s="90" t="str">
        <f t="shared" si="20"/>
        <v>E</v>
      </c>
      <c r="J129" s="91">
        <v>29</v>
      </c>
      <c r="K129" s="90" t="str">
        <f t="shared" si="21"/>
        <v>F</v>
      </c>
      <c r="L129" s="94">
        <v>18</v>
      </c>
      <c r="M129" s="90" t="str">
        <f t="shared" si="34"/>
        <v>E</v>
      </c>
      <c r="N129" s="94">
        <v>37</v>
      </c>
      <c r="O129" s="90" t="str">
        <f t="shared" si="22"/>
        <v>E</v>
      </c>
      <c r="P129" s="92">
        <v>21</v>
      </c>
      <c r="Q129" s="90" t="str">
        <f t="shared" si="23"/>
        <v>F</v>
      </c>
      <c r="R129" s="94">
        <v>21</v>
      </c>
      <c r="S129" s="90" t="str">
        <f t="shared" si="24"/>
        <v>E</v>
      </c>
      <c r="T129" s="94">
        <v>21</v>
      </c>
      <c r="U129" s="90" t="str">
        <f t="shared" si="25"/>
        <v>E</v>
      </c>
      <c r="V129" s="92">
        <v>21</v>
      </c>
      <c r="W129" s="90" t="str">
        <f t="shared" si="26"/>
        <v>F</v>
      </c>
      <c r="X129" s="94">
        <v>17</v>
      </c>
      <c r="Y129" s="90" t="str">
        <f t="shared" si="27"/>
        <v>E</v>
      </c>
      <c r="Z129" s="92">
        <v>40</v>
      </c>
      <c r="AA129" s="90" t="str">
        <f t="shared" si="28"/>
        <v>E</v>
      </c>
      <c r="AB129" s="94">
        <v>19</v>
      </c>
      <c r="AC129" s="90" t="str">
        <f t="shared" si="29"/>
        <v>E</v>
      </c>
      <c r="AD129" s="94">
        <v>19</v>
      </c>
      <c r="AE129" s="90" t="str">
        <f t="shared" si="30"/>
        <v>E</v>
      </c>
      <c r="AF129" s="92">
        <v>24</v>
      </c>
      <c r="AG129" s="89" t="str">
        <f t="shared" si="31"/>
        <v>E</v>
      </c>
      <c r="AH129" s="94">
        <v>18</v>
      </c>
      <c r="AI129" s="90" t="str">
        <f t="shared" si="32"/>
        <v>E</v>
      </c>
      <c r="AJ129" s="108">
        <f>IF(AND(OR(COUNTIF(D129:AI129,"=31")&gt;=1,COUNTIF(D129:AI129,"=32")&gt;=1,COUNTIF(D129:AI129,"=33")&gt;=1,COUNTIF(D129:AI129,"=34")&gt;=1,COUNTIF(D129:AI129,"=35")=1,COUNTIF(D129:AI129,"=36")&gt;=1 ),COUNTIF(D129:AI129,"")=0,COUNTIF(D129:AI129," ")=0,COUNTIF(D129:AI129,"F")=1),CONCATENATE(SUM(EXTRACTNUMBER(D129),EXTRACTNUMBER(F129),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EXTRACTNUMBER(AD129),EXTRACTNUMBER(AF129),EXTRACTNUMBER(AH129)),"*"),IF(AND(COUNTIF(D129:AI129,"=34")&gt;=1,COUNTIF(D129:AI129,"=35")&gt;=1,COUNTIF(D129:AI129,"f")=2,COUNTIF(D129:AI129,"")=0,COUNTIF(D129:AI129," ")=0),CONCATENATE(SUM(EXTRACTNUMBER(D129),EXTRACTNUMBER(F129),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EXTRACTNUMBER(AD129),EXTRACTNUMBER(AF129),EXTRACTNUMBER(AH129)),"*"),IF(AND(COUNTIF(D129:AI129,"=36")&gt;=2,COUNTIF(D129:AI129,"f")=2,COUNTIF(D129:AI129,"")=0,COUNTIF(D129:AI129," ")=0),CONCATENATE(SUM(EXTRACTNUMBER(D129),EXTRACTNUMBER(F129),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EXTRACTNUMBER(AD129),EXTRACTNUMBER(AF129),EXTRACTNUMBER(AH129)),"*"),SUM(EXTRACTNUMBER(D129),EXTRACTNUMBER(F129),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EXTRACTNUMBER(AD129),EXTRACTNUMBER(AF129),EXTRACTNUMBER(AH129)))))</f>
        <v>408</v>
      </c>
      <c r="AK129" s="24" t="str">
        <f t="shared" si="33"/>
        <v>FAIL</v>
      </c>
      <c r="AL129" s="25" t="str">
        <f>SPELLNUMBER(extractnumber_tot(AJ129))</f>
        <v xml:space="preserve">Four Hundred Eight </v>
      </c>
    </row>
    <row r="130" spans="2:38" s="22" customFormat="1" ht="15.95" customHeight="1">
      <c r="B130" s="97">
        <v>235306</v>
      </c>
      <c r="C130" s="98" t="s">
        <v>571</v>
      </c>
      <c r="D130" s="96">
        <v>56</v>
      </c>
      <c r="E130" s="89" t="str">
        <f t="shared" si="18"/>
        <v>E</v>
      </c>
      <c r="F130" s="94">
        <v>22</v>
      </c>
      <c r="G130" s="89" t="str">
        <f t="shared" si="19"/>
        <v>E</v>
      </c>
      <c r="H130" s="94">
        <v>38</v>
      </c>
      <c r="I130" s="90" t="str">
        <f t="shared" si="20"/>
        <v>E</v>
      </c>
      <c r="J130" s="91">
        <v>52</v>
      </c>
      <c r="K130" s="90" t="str">
        <f t="shared" si="21"/>
        <v>E</v>
      </c>
      <c r="L130" s="94">
        <v>21</v>
      </c>
      <c r="M130" s="90" t="str">
        <f t="shared" si="34"/>
        <v>E</v>
      </c>
      <c r="N130" s="94">
        <v>40</v>
      </c>
      <c r="O130" s="90" t="str">
        <f t="shared" si="22"/>
        <v>E</v>
      </c>
      <c r="P130" s="92">
        <v>40</v>
      </c>
      <c r="Q130" s="90" t="str">
        <f t="shared" si="23"/>
        <v>E</v>
      </c>
      <c r="R130" s="94">
        <v>20</v>
      </c>
      <c r="S130" s="90" t="str">
        <f t="shared" si="24"/>
        <v>E</v>
      </c>
      <c r="T130" s="94">
        <v>20</v>
      </c>
      <c r="U130" s="90" t="str">
        <f t="shared" si="25"/>
        <v>E</v>
      </c>
      <c r="V130" s="92">
        <v>28</v>
      </c>
      <c r="W130" s="90" t="str">
        <f t="shared" si="26"/>
        <v>F</v>
      </c>
      <c r="X130" s="94">
        <v>22</v>
      </c>
      <c r="Y130" s="90" t="str">
        <f t="shared" si="27"/>
        <v>E</v>
      </c>
      <c r="Z130" s="92">
        <v>59</v>
      </c>
      <c r="AA130" s="90" t="str">
        <f t="shared" si="28"/>
        <v>E</v>
      </c>
      <c r="AB130" s="94">
        <v>20</v>
      </c>
      <c r="AC130" s="90" t="str">
        <f t="shared" si="29"/>
        <v>E</v>
      </c>
      <c r="AD130" s="94">
        <v>19</v>
      </c>
      <c r="AE130" s="90" t="str">
        <f t="shared" si="30"/>
        <v>E</v>
      </c>
      <c r="AF130" s="92">
        <v>33</v>
      </c>
      <c r="AG130" s="89" t="str">
        <f t="shared" si="31"/>
        <v>E</v>
      </c>
      <c r="AH130" s="94">
        <v>19</v>
      </c>
      <c r="AI130" s="90" t="str">
        <f t="shared" si="32"/>
        <v>E</v>
      </c>
      <c r="AJ130" s="108">
        <v>509</v>
      </c>
      <c r="AK130" s="24" t="str">
        <f t="shared" si="33"/>
        <v>FAIL</v>
      </c>
      <c r="AL130" s="25" t="str">
        <f>SPELLNUMBER(extractnumber_tot(AJ130))</f>
        <v xml:space="preserve">Five Hundred Nine </v>
      </c>
    </row>
    <row r="131" spans="2:38" s="22" customFormat="1" ht="15.95" customHeight="1">
      <c r="B131" s="97">
        <v>235307</v>
      </c>
      <c r="C131" s="98" t="s">
        <v>572</v>
      </c>
      <c r="D131" s="96">
        <v>63</v>
      </c>
      <c r="E131" s="89" t="str">
        <f t="shared" si="18"/>
        <v/>
      </c>
      <c r="F131" s="94">
        <v>24</v>
      </c>
      <c r="G131" s="89" t="str">
        <f t="shared" si="19"/>
        <v/>
      </c>
      <c r="H131" s="94">
        <v>46</v>
      </c>
      <c r="I131" s="90" t="str">
        <f t="shared" si="20"/>
        <v/>
      </c>
      <c r="J131" s="91">
        <v>47</v>
      </c>
      <c r="K131" s="90" t="str">
        <f t="shared" si="21"/>
        <v/>
      </c>
      <c r="L131" s="94">
        <v>20</v>
      </c>
      <c r="M131" s="90" t="str">
        <f t="shared" si="34"/>
        <v/>
      </c>
      <c r="N131" s="94">
        <v>44</v>
      </c>
      <c r="O131" s="90" t="str">
        <f t="shared" si="22"/>
        <v/>
      </c>
      <c r="P131" s="92">
        <v>42</v>
      </c>
      <c r="Q131" s="90" t="str">
        <f t="shared" si="23"/>
        <v/>
      </c>
      <c r="R131" s="94">
        <v>22</v>
      </c>
      <c r="S131" s="90" t="str">
        <f t="shared" si="24"/>
        <v/>
      </c>
      <c r="T131" s="94">
        <v>23</v>
      </c>
      <c r="U131" s="90" t="str">
        <f t="shared" si="25"/>
        <v/>
      </c>
      <c r="V131" s="92">
        <v>41</v>
      </c>
      <c r="W131" s="90" t="str">
        <f t="shared" si="26"/>
        <v/>
      </c>
      <c r="X131" s="94">
        <v>22</v>
      </c>
      <c r="Y131" s="90" t="str">
        <f t="shared" si="27"/>
        <v/>
      </c>
      <c r="Z131" s="92">
        <v>44</v>
      </c>
      <c r="AA131" s="90" t="str">
        <f t="shared" si="28"/>
        <v/>
      </c>
      <c r="AB131" s="94">
        <v>19</v>
      </c>
      <c r="AC131" s="90" t="str">
        <f t="shared" si="29"/>
        <v/>
      </c>
      <c r="AD131" s="94">
        <v>20</v>
      </c>
      <c r="AE131" s="90" t="str">
        <f t="shared" si="30"/>
        <v/>
      </c>
      <c r="AF131" s="92">
        <v>32</v>
      </c>
      <c r="AG131" s="89" t="str">
        <f t="shared" si="31"/>
        <v/>
      </c>
      <c r="AH131" s="94">
        <v>20</v>
      </c>
      <c r="AI131" s="90" t="str">
        <f t="shared" si="32"/>
        <v/>
      </c>
      <c r="AJ131" s="108">
        <f>IF(AND(OR(COUNTIF(D131:AI131,"=31")&gt;=1,COUNTIF(D131:AI131,"=32")&gt;=1,COUNTIF(D131:AI131,"=33")&gt;=1,COUNTIF(D131:AI131,"=34")&gt;=1,COUNTIF(D131:AI131,"=35")=1,COUNTIF(D131:AI131,"=36")&gt;=1 ),COUNTIF(D131:AI131,"")=0,COUNTIF(D131:AI131," ")=0,COUNTIF(D131:AI131,"F")=1),CONCATENATE(SUM(EXTRACTNUMBER(D131),EXTRACTNUMBER(F131),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EXTRACTNUMBER(AD131),EXTRACTNUMBER(AF131),EXTRACTNUMBER(AH131)),"*"),IF(AND(COUNTIF(D131:AI131,"=34")&gt;=1,COUNTIF(D131:AI131,"=35")&gt;=1,COUNTIF(D131:AI131,"f")=2,COUNTIF(D131:AI131,"")=0,COUNTIF(D131:AI131," ")=0),CONCATENATE(SUM(EXTRACTNUMBER(D131),EXTRACTNUMBER(F131),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EXTRACTNUMBER(AD131),EXTRACTNUMBER(AF131),EXTRACTNUMBER(AH131)),"*"),IF(AND(COUNTIF(D131:AI131,"=36")&gt;=2,COUNTIF(D131:AI131,"f")=2,COUNTIF(D131:AI131,"")=0,COUNTIF(D131:AI131," ")=0),CONCATENATE(SUM(EXTRACTNUMBER(D131),EXTRACTNUMBER(F131),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EXTRACTNUMBER(AD131),EXTRACTNUMBER(AF131),EXTRACTNUMBER(AH131)),"*"),SUM(EXTRACTNUMBER(D131),EXTRACTNUMBER(F131),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EXTRACTNUMBER(AD131),EXTRACTNUMBER(AF131),EXTRACTNUMBER(AH131)))))</f>
        <v>529</v>
      </c>
      <c r="AK131" s="24" t="str">
        <f t="shared" si="33"/>
        <v>PASS</v>
      </c>
      <c r="AL131" s="25" t="str">
        <f>SPELLNUMBER(extractnumber_tot(AJ131))</f>
        <v xml:space="preserve">Five Hundred Twenty Nine </v>
      </c>
    </row>
    <row r="132" spans="2:38" s="22" customFormat="1" ht="15.95" customHeight="1">
      <c r="B132" s="97">
        <v>235308</v>
      </c>
      <c r="C132" s="98" t="s">
        <v>573</v>
      </c>
      <c r="D132" s="96">
        <v>41</v>
      </c>
      <c r="E132" s="89" t="str">
        <f t="shared" si="18"/>
        <v/>
      </c>
      <c r="F132" s="94">
        <v>21</v>
      </c>
      <c r="G132" s="89" t="str">
        <f t="shared" si="19"/>
        <v/>
      </c>
      <c r="H132" s="94">
        <v>40</v>
      </c>
      <c r="I132" s="90" t="str">
        <f t="shared" si="20"/>
        <v/>
      </c>
      <c r="J132" s="91">
        <v>40</v>
      </c>
      <c r="K132" s="90" t="str">
        <f t="shared" si="21"/>
        <v/>
      </c>
      <c r="L132" s="94">
        <v>19</v>
      </c>
      <c r="M132" s="90" t="str">
        <f t="shared" si="34"/>
        <v/>
      </c>
      <c r="N132" s="94">
        <v>40</v>
      </c>
      <c r="O132" s="90" t="str">
        <f t="shared" si="22"/>
        <v/>
      </c>
      <c r="P132" s="92">
        <v>43</v>
      </c>
      <c r="Q132" s="90" t="str">
        <f t="shared" si="23"/>
        <v/>
      </c>
      <c r="R132" s="94">
        <v>21</v>
      </c>
      <c r="S132" s="90" t="str">
        <f t="shared" si="24"/>
        <v/>
      </c>
      <c r="T132" s="94">
        <v>23</v>
      </c>
      <c r="U132" s="90" t="str">
        <f t="shared" si="25"/>
        <v/>
      </c>
      <c r="V132" s="92">
        <v>51</v>
      </c>
      <c r="W132" s="90" t="str">
        <f t="shared" si="26"/>
        <v/>
      </c>
      <c r="X132" s="94">
        <v>18</v>
      </c>
      <c r="Y132" s="90" t="str">
        <f t="shared" si="27"/>
        <v/>
      </c>
      <c r="Z132" s="92">
        <v>40</v>
      </c>
      <c r="AA132" s="90" t="str">
        <f t="shared" si="28"/>
        <v/>
      </c>
      <c r="AB132" s="94">
        <v>19</v>
      </c>
      <c r="AC132" s="90" t="str">
        <f t="shared" si="29"/>
        <v/>
      </c>
      <c r="AD132" s="94">
        <v>18</v>
      </c>
      <c r="AE132" s="90" t="str">
        <f t="shared" si="30"/>
        <v/>
      </c>
      <c r="AF132" s="92">
        <v>26</v>
      </c>
      <c r="AG132" s="89" t="str">
        <f t="shared" si="31"/>
        <v/>
      </c>
      <c r="AH132" s="94">
        <v>18</v>
      </c>
      <c r="AI132" s="90" t="str">
        <f t="shared" si="32"/>
        <v/>
      </c>
      <c r="AJ132" s="108">
        <f>IF(AND(OR(COUNTIF(D132:AI132,"=31")&gt;=1,COUNTIF(D132:AI132,"=32")&gt;=1,COUNTIF(D132:AI132,"=33")&gt;=1,COUNTIF(D132:AI132,"=34")&gt;=1,COUNTIF(D132:AI132,"=35")=1,COUNTIF(D132:AI132,"=36")&gt;=1 ),COUNTIF(D132:AI132,"")=0,COUNTIF(D132:AI132," ")=0,COUNTIF(D132:AI132,"F")=1),CONCATENATE(SUM(EXTRACTNUMBER(D132),EXTRACTNUMBER(F132),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EXTRACTNUMBER(AD132),EXTRACTNUMBER(AF132),EXTRACTNUMBER(AH132)),"*"),IF(AND(COUNTIF(D132:AI132,"=34")&gt;=1,COUNTIF(D132:AI132,"=35")&gt;=1,COUNTIF(D132:AI132,"f")=2,COUNTIF(D132:AI132,"")=0,COUNTIF(D132:AI132," ")=0),CONCATENATE(SUM(EXTRACTNUMBER(D132),EXTRACTNUMBER(F132),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EXTRACTNUMBER(AD132),EXTRACTNUMBER(AF132),EXTRACTNUMBER(AH132)),"*"),IF(AND(COUNTIF(D132:AI132,"=36")&gt;=2,COUNTIF(D132:AI132,"f")=2,COUNTIF(D132:AI132,"")=0,COUNTIF(D132:AI132," ")=0),CONCATENATE(SUM(EXTRACTNUMBER(D132),EXTRACTNUMBER(F132),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EXTRACTNUMBER(AD132),EXTRACTNUMBER(AF132),EXTRACTNUMBER(AH132)),"*"),SUM(EXTRACTNUMBER(D132),EXTRACTNUMBER(F132),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EXTRACTNUMBER(AD132),EXTRACTNUMBER(AF132),EXTRACTNUMBER(AH132)))))</f>
        <v>478</v>
      </c>
      <c r="AK132" s="24" t="str">
        <f t="shared" si="33"/>
        <v>PASS</v>
      </c>
      <c r="AL132" s="25" t="str">
        <f>SPELLNUMBER(extractnumber_tot(AJ132))</f>
        <v xml:space="preserve">Four Hundred Seventy Eight </v>
      </c>
    </row>
    <row r="133" spans="2:38" s="22" customFormat="1" ht="15.95" customHeight="1">
      <c r="B133" s="97">
        <v>235309</v>
      </c>
      <c r="C133" s="98" t="s">
        <v>574</v>
      </c>
      <c r="D133" s="96">
        <v>62</v>
      </c>
      <c r="E133" s="89" t="str">
        <f t="shared" si="18"/>
        <v/>
      </c>
      <c r="F133" s="94">
        <v>24</v>
      </c>
      <c r="G133" s="89" t="str">
        <f t="shared" si="19"/>
        <v/>
      </c>
      <c r="H133" s="94">
        <v>48</v>
      </c>
      <c r="I133" s="90" t="str">
        <f t="shared" si="20"/>
        <v/>
      </c>
      <c r="J133" s="91">
        <v>59</v>
      </c>
      <c r="K133" s="90" t="str">
        <f t="shared" si="21"/>
        <v/>
      </c>
      <c r="L133" s="94">
        <v>23</v>
      </c>
      <c r="M133" s="90" t="str">
        <f t="shared" si="34"/>
        <v/>
      </c>
      <c r="N133" s="94">
        <v>46</v>
      </c>
      <c r="O133" s="90" t="str">
        <f t="shared" si="22"/>
        <v/>
      </c>
      <c r="P133" s="92">
        <v>50</v>
      </c>
      <c r="Q133" s="90" t="str">
        <f t="shared" si="23"/>
        <v/>
      </c>
      <c r="R133" s="94">
        <v>24</v>
      </c>
      <c r="S133" s="90" t="str">
        <f t="shared" si="24"/>
        <v/>
      </c>
      <c r="T133" s="94">
        <v>23</v>
      </c>
      <c r="U133" s="90" t="str">
        <f t="shared" si="25"/>
        <v/>
      </c>
      <c r="V133" s="92">
        <v>50</v>
      </c>
      <c r="W133" s="90" t="str">
        <f t="shared" si="26"/>
        <v/>
      </c>
      <c r="X133" s="94">
        <v>24</v>
      </c>
      <c r="Y133" s="90" t="str">
        <f t="shared" si="27"/>
        <v/>
      </c>
      <c r="Z133" s="92">
        <v>61</v>
      </c>
      <c r="AA133" s="90" t="str">
        <f t="shared" si="28"/>
        <v/>
      </c>
      <c r="AB133" s="94">
        <v>23</v>
      </c>
      <c r="AC133" s="90" t="str">
        <f t="shared" si="29"/>
        <v/>
      </c>
      <c r="AD133" s="94">
        <v>23</v>
      </c>
      <c r="AE133" s="90" t="str">
        <f t="shared" si="30"/>
        <v/>
      </c>
      <c r="AF133" s="92">
        <v>36</v>
      </c>
      <c r="AG133" s="89" t="str">
        <f t="shared" si="31"/>
        <v/>
      </c>
      <c r="AH133" s="94">
        <v>23</v>
      </c>
      <c r="AI133" s="90" t="str">
        <f t="shared" si="32"/>
        <v/>
      </c>
      <c r="AJ133" s="108">
        <f>IF(AND(OR(COUNTIF(D133:AI133,"=31")&gt;=1,COUNTIF(D133:AI133,"=32")&gt;=1,COUNTIF(D133:AI133,"=33")&gt;=1,COUNTIF(D133:AI133,"=34")&gt;=1,COUNTIF(D133:AI133,"=35")=1,COUNTIF(D133:AI133,"=36")&gt;=1 ),COUNTIF(D133:AI133,"")=0,COUNTIF(D133:AI133," ")=0,COUNTIF(D133:AI133,"F")=1),CONCATENATE(SUM(EXTRACTNUMBER(D133),EXTRACTNUMBER(F133),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EXTRACTNUMBER(AD133),EXTRACTNUMBER(AF133),EXTRACTNUMBER(AH133)),"*"),IF(AND(COUNTIF(D133:AI133,"=34")&gt;=1,COUNTIF(D133:AI133,"=35")&gt;=1,COUNTIF(D133:AI133,"f")=2,COUNTIF(D133:AI133,"")=0,COUNTIF(D133:AI133," ")=0),CONCATENATE(SUM(EXTRACTNUMBER(D133),EXTRACTNUMBER(F133),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EXTRACTNUMBER(AD133),EXTRACTNUMBER(AF133),EXTRACTNUMBER(AH133)),"*"),IF(AND(COUNTIF(D133:AI133,"=36")&gt;=2,COUNTIF(D133:AI133,"f")=2,COUNTIF(D133:AI133,"")=0,COUNTIF(D133:AI133," ")=0),CONCATENATE(SUM(EXTRACTNUMBER(D133),EXTRACTNUMBER(F133),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EXTRACTNUMBER(AD133),EXTRACTNUMBER(AF133),EXTRACTNUMBER(AH133)),"*"),SUM(EXTRACTNUMBER(D133),EXTRACTNUMBER(F133),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EXTRACTNUMBER(AD133),EXTRACTNUMBER(AF133),EXTRACTNUMBER(AH133)))))</f>
        <v>599</v>
      </c>
      <c r="AK133" s="24" t="str">
        <f t="shared" si="33"/>
        <v>PASS</v>
      </c>
      <c r="AL133" s="25" t="str">
        <f>SPELLNUMBER(extractnumber_tot(AJ133))</f>
        <v xml:space="preserve">Five Hundred NinetyNine </v>
      </c>
    </row>
    <row r="134" spans="2:38" s="22" customFormat="1" ht="15.95" customHeight="1">
      <c r="B134" s="97">
        <v>235310</v>
      </c>
      <c r="C134" s="98" t="s">
        <v>575</v>
      </c>
      <c r="D134" s="96">
        <v>57</v>
      </c>
      <c r="E134" s="89" t="str">
        <f t="shared" si="18"/>
        <v/>
      </c>
      <c r="F134" s="94">
        <v>23</v>
      </c>
      <c r="G134" s="89" t="str">
        <f t="shared" si="19"/>
        <v/>
      </c>
      <c r="H134" s="94">
        <v>41</v>
      </c>
      <c r="I134" s="90" t="str">
        <f t="shared" si="20"/>
        <v/>
      </c>
      <c r="J134" s="91">
        <v>56</v>
      </c>
      <c r="K134" s="90" t="str">
        <f t="shared" si="21"/>
        <v/>
      </c>
      <c r="L134" s="94">
        <v>23</v>
      </c>
      <c r="M134" s="90" t="str">
        <f t="shared" si="34"/>
        <v/>
      </c>
      <c r="N134" s="94">
        <v>37</v>
      </c>
      <c r="O134" s="90" t="str">
        <f t="shared" si="22"/>
        <v/>
      </c>
      <c r="P134" s="92">
        <v>50</v>
      </c>
      <c r="Q134" s="90" t="str">
        <f t="shared" si="23"/>
        <v/>
      </c>
      <c r="R134" s="94">
        <v>23</v>
      </c>
      <c r="S134" s="90" t="str">
        <f t="shared" si="24"/>
        <v/>
      </c>
      <c r="T134" s="94">
        <v>23</v>
      </c>
      <c r="U134" s="90" t="str">
        <f t="shared" si="25"/>
        <v/>
      </c>
      <c r="V134" s="92">
        <v>53</v>
      </c>
      <c r="W134" s="90" t="str">
        <f t="shared" si="26"/>
        <v/>
      </c>
      <c r="X134" s="94">
        <v>23</v>
      </c>
      <c r="Y134" s="90" t="str">
        <f t="shared" si="27"/>
        <v/>
      </c>
      <c r="Z134" s="92">
        <v>58</v>
      </c>
      <c r="AA134" s="90" t="str">
        <f t="shared" si="28"/>
        <v/>
      </c>
      <c r="AB134" s="94">
        <v>22</v>
      </c>
      <c r="AC134" s="90" t="str">
        <f t="shared" si="29"/>
        <v/>
      </c>
      <c r="AD134" s="94">
        <v>20</v>
      </c>
      <c r="AE134" s="90" t="str">
        <f t="shared" si="30"/>
        <v/>
      </c>
      <c r="AF134" s="92">
        <v>35</v>
      </c>
      <c r="AG134" s="89" t="str">
        <f t="shared" si="31"/>
        <v/>
      </c>
      <c r="AH134" s="94">
        <v>23</v>
      </c>
      <c r="AI134" s="90" t="str">
        <f t="shared" si="32"/>
        <v/>
      </c>
      <c r="AJ134" s="108">
        <f>IF(AND(OR(COUNTIF(D134:AI134,"=31")&gt;=1,COUNTIF(D134:AI134,"=32")&gt;=1,COUNTIF(D134:AI134,"=33")&gt;=1,COUNTIF(D134:AI134,"=34")&gt;=1,COUNTIF(D134:AI134,"=35")=1,COUNTIF(D134:AI134,"=36")&gt;=1 ),COUNTIF(D134:AI134,"")=0,COUNTIF(D134:AI134," ")=0,COUNTIF(D134:AI134,"F")=1),CONCATENATE(SUM(EXTRACTNUMBER(D134),EXTRACTNUMBER(F134),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EXTRACTNUMBER(AD134),EXTRACTNUMBER(AF134),EXTRACTNUMBER(AH134)),"*"),IF(AND(COUNTIF(D134:AI134,"=34")&gt;=1,COUNTIF(D134:AI134,"=35")&gt;=1,COUNTIF(D134:AI134,"f")=2,COUNTIF(D134:AI134,"")=0,COUNTIF(D134:AI134," ")=0),CONCATENATE(SUM(EXTRACTNUMBER(D134),EXTRACTNUMBER(F134),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EXTRACTNUMBER(AD134),EXTRACTNUMBER(AF134),EXTRACTNUMBER(AH134)),"*"),IF(AND(COUNTIF(D134:AI134,"=36")&gt;=2,COUNTIF(D134:AI134,"f")=2,COUNTIF(D134:AI134,"")=0,COUNTIF(D134:AI134," ")=0),CONCATENATE(SUM(EXTRACTNUMBER(D134),EXTRACTNUMBER(F134),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EXTRACTNUMBER(AD134),EXTRACTNUMBER(AF134),EXTRACTNUMBER(AH134)),"*"),SUM(EXTRACTNUMBER(D134),EXTRACTNUMBER(F134),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EXTRACTNUMBER(AD134),EXTRACTNUMBER(AF134),EXTRACTNUMBER(AH134)))))</f>
        <v>567</v>
      </c>
      <c r="AK134" s="24" t="str">
        <f t="shared" si="33"/>
        <v>PASS</v>
      </c>
      <c r="AL134" s="25" t="str">
        <f>SPELLNUMBER(extractnumber_tot(AJ134))</f>
        <v xml:space="preserve">Five Hundred Sixty Seven </v>
      </c>
    </row>
    <row r="135" spans="2:38" s="22" customFormat="1" ht="15.95" customHeight="1">
      <c r="B135" s="97">
        <v>235311</v>
      </c>
      <c r="C135" s="98" t="s">
        <v>576</v>
      </c>
      <c r="D135" s="96">
        <v>52</v>
      </c>
      <c r="E135" s="89" t="str">
        <f t="shared" si="18"/>
        <v/>
      </c>
      <c r="F135" s="94">
        <v>21</v>
      </c>
      <c r="G135" s="89" t="str">
        <f t="shared" si="19"/>
        <v/>
      </c>
      <c r="H135" s="94">
        <v>42</v>
      </c>
      <c r="I135" s="90" t="str">
        <f t="shared" si="20"/>
        <v/>
      </c>
      <c r="J135" s="91">
        <v>55</v>
      </c>
      <c r="K135" s="90" t="str">
        <f t="shared" si="21"/>
        <v/>
      </c>
      <c r="L135" s="94">
        <v>18</v>
      </c>
      <c r="M135" s="90" t="str">
        <f t="shared" si="34"/>
        <v/>
      </c>
      <c r="N135" s="94">
        <v>37</v>
      </c>
      <c r="O135" s="90" t="str">
        <f t="shared" si="22"/>
        <v/>
      </c>
      <c r="P135" s="92">
        <v>47</v>
      </c>
      <c r="Q135" s="90" t="str">
        <f t="shared" si="23"/>
        <v/>
      </c>
      <c r="R135" s="94">
        <v>18</v>
      </c>
      <c r="S135" s="90" t="str">
        <f t="shared" si="24"/>
        <v/>
      </c>
      <c r="T135" s="94">
        <v>20</v>
      </c>
      <c r="U135" s="90" t="str">
        <f t="shared" si="25"/>
        <v/>
      </c>
      <c r="V135" s="92">
        <v>47</v>
      </c>
      <c r="W135" s="90" t="str">
        <f t="shared" si="26"/>
        <v/>
      </c>
      <c r="X135" s="94">
        <v>17</v>
      </c>
      <c r="Y135" s="90" t="str">
        <f t="shared" si="27"/>
        <v/>
      </c>
      <c r="Z135" s="92">
        <v>64</v>
      </c>
      <c r="AA135" s="90" t="str">
        <f t="shared" si="28"/>
        <v/>
      </c>
      <c r="AB135" s="94">
        <v>19</v>
      </c>
      <c r="AC135" s="90" t="str">
        <f t="shared" si="29"/>
        <v/>
      </c>
      <c r="AD135" s="94">
        <v>19</v>
      </c>
      <c r="AE135" s="90" t="str">
        <f t="shared" si="30"/>
        <v/>
      </c>
      <c r="AF135" s="92">
        <v>31</v>
      </c>
      <c r="AG135" s="89" t="str">
        <f t="shared" si="31"/>
        <v/>
      </c>
      <c r="AH135" s="94">
        <v>18</v>
      </c>
      <c r="AI135" s="90" t="str">
        <f t="shared" si="32"/>
        <v/>
      </c>
      <c r="AJ135" s="108">
        <f>IF(AND(OR(COUNTIF(D135:AI135,"=31")&gt;=1,COUNTIF(D135:AI135,"=32")&gt;=1,COUNTIF(D135:AI135,"=33")&gt;=1,COUNTIF(D135:AI135,"=34")&gt;=1,COUNTIF(D135:AI135,"=35")=1,COUNTIF(D135:AI135,"=36")&gt;=1 ),COUNTIF(D135:AI135,"")=0,COUNTIF(D135:AI135," ")=0,COUNTIF(D135:AI135,"F")=1),CONCATENATE(SUM(EXTRACTNUMBER(D135),EXTRACTNUMBER(F135),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EXTRACTNUMBER(AD135),EXTRACTNUMBER(AF135),EXTRACTNUMBER(AH135)),"*"),IF(AND(COUNTIF(D135:AI135,"=34")&gt;=1,COUNTIF(D135:AI135,"=35")&gt;=1,COUNTIF(D135:AI135,"f")=2,COUNTIF(D135:AI135,"")=0,COUNTIF(D135:AI135," ")=0),CONCATENATE(SUM(EXTRACTNUMBER(D135),EXTRACTNUMBER(F135),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EXTRACTNUMBER(AD135),EXTRACTNUMBER(AF135),EXTRACTNUMBER(AH135)),"*"),IF(AND(COUNTIF(D135:AI135,"=36")&gt;=2,COUNTIF(D135:AI135,"f")=2,COUNTIF(D135:AI135,"")=0,COUNTIF(D135:AI135," ")=0),CONCATENATE(SUM(EXTRACTNUMBER(D135),EXTRACTNUMBER(F135),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EXTRACTNUMBER(AD135),EXTRACTNUMBER(AF135),EXTRACTNUMBER(AH135)),"*"),SUM(EXTRACTNUMBER(D135),EXTRACTNUMBER(F135),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EXTRACTNUMBER(AD135),EXTRACTNUMBER(AF135),EXTRACTNUMBER(AH135)))))</f>
        <v>525</v>
      </c>
      <c r="AK135" s="24" t="str">
        <f t="shared" si="33"/>
        <v>PASS</v>
      </c>
      <c r="AL135" s="25" t="str">
        <f>SPELLNUMBER(extractnumber_tot(AJ135))</f>
        <v xml:space="preserve">Five Hundred Twenty Five </v>
      </c>
    </row>
    <row r="136" spans="2:38" s="22" customFormat="1" ht="15.95" customHeight="1">
      <c r="B136" s="97">
        <v>235312</v>
      </c>
      <c r="C136" s="98" t="s">
        <v>577</v>
      </c>
      <c r="D136" s="96">
        <v>75</v>
      </c>
      <c r="E136" s="89" t="str">
        <f t="shared" si="18"/>
        <v/>
      </c>
      <c r="F136" s="94">
        <v>23</v>
      </c>
      <c r="G136" s="89" t="str">
        <f t="shared" si="19"/>
        <v/>
      </c>
      <c r="H136" s="94">
        <v>46</v>
      </c>
      <c r="I136" s="90" t="str">
        <f t="shared" si="20"/>
        <v/>
      </c>
      <c r="J136" s="91">
        <v>55</v>
      </c>
      <c r="K136" s="90" t="str">
        <f t="shared" si="21"/>
        <v/>
      </c>
      <c r="L136" s="94">
        <v>23</v>
      </c>
      <c r="M136" s="90" t="str">
        <f t="shared" si="34"/>
        <v/>
      </c>
      <c r="N136" s="94">
        <v>38</v>
      </c>
      <c r="O136" s="90" t="str">
        <f t="shared" si="22"/>
        <v/>
      </c>
      <c r="P136" s="92">
        <v>45</v>
      </c>
      <c r="Q136" s="90" t="str">
        <f t="shared" si="23"/>
        <v/>
      </c>
      <c r="R136" s="94">
        <v>23</v>
      </c>
      <c r="S136" s="90" t="str">
        <f t="shared" si="24"/>
        <v/>
      </c>
      <c r="T136" s="94">
        <v>22</v>
      </c>
      <c r="U136" s="90" t="str">
        <f t="shared" si="25"/>
        <v/>
      </c>
      <c r="V136" s="92">
        <v>69</v>
      </c>
      <c r="W136" s="90" t="str">
        <f t="shared" si="26"/>
        <v/>
      </c>
      <c r="X136" s="94">
        <v>23</v>
      </c>
      <c r="Y136" s="90" t="str">
        <f t="shared" si="27"/>
        <v/>
      </c>
      <c r="Z136" s="92">
        <v>69</v>
      </c>
      <c r="AA136" s="90" t="str">
        <f t="shared" si="28"/>
        <v/>
      </c>
      <c r="AB136" s="94">
        <v>22</v>
      </c>
      <c r="AC136" s="90" t="str">
        <f t="shared" si="29"/>
        <v/>
      </c>
      <c r="AD136" s="94">
        <v>21</v>
      </c>
      <c r="AE136" s="90" t="str">
        <f t="shared" si="30"/>
        <v/>
      </c>
      <c r="AF136" s="92">
        <v>27</v>
      </c>
      <c r="AG136" s="89" t="str">
        <f t="shared" si="31"/>
        <v/>
      </c>
      <c r="AH136" s="94">
        <v>22</v>
      </c>
      <c r="AI136" s="90" t="str">
        <f t="shared" si="32"/>
        <v/>
      </c>
      <c r="AJ136" s="108">
        <f>IF(AND(OR(COUNTIF(D136:AI136,"=31")&gt;=1,COUNTIF(D136:AI136,"=32")&gt;=1,COUNTIF(D136:AI136,"=33")&gt;=1,COUNTIF(D136:AI136,"=34")&gt;=1,COUNTIF(D136:AI136,"=35")=1,COUNTIF(D136:AI136,"=36")&gt;=1 ),COUNTIF(D136:AI136,"")=0,COUNTIF(D136:AI136," ")=0,COUNTIF(D136:AI136,"F")=1),CONCATENATE(SUM(EXTRACTNUMBER(D136),EXTRACTNUMBER(F136),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EXTRACTNUMBER(AD136),EXTRACTNUMBER(AF136),EXTRACTNUMBER(AH136)),"*"),IF(AND(COUNTIF(D136:AI136,"=34")&gt;=1,COUNTIF(D136:AI136,"=35")&gt;=1,COUNTIF(D136:AI136,"f")=2,COUNTIF(D136:AI136,"")=0,COUNTIF(D136:AI136," ")=0),CONCATENATE(SUM(EXTRACTNUMBER(D136),EXTRACTNUMBER(F136),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EXTRACTNUMBER(AD136),EXTRACTNUMBER(AF136),EXTRACTNUMBER(AH136)),"*"),IF(AND(COUNTIF(D136:AI136,"=36")&gt;=2,COUNTIF(D136:AI136,"f")=2,COUNTIF(D136:AI136,"")=0,COUNTIF(D136:AI136," ")=0),CONCATENATE(SUM(EXTRACTNUMBER(D136),EXTRACTNUMBER(F136),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EXTRACTNUMBER(AD136),EXTRACTNUMBER(AF136),EXTRACTNUMBER(AH136)),"*"),SUM(EXTRACTNUMBER(D136),EXTRACTNUMBER(F136),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EXTRACTNUMBER(AD136),EXTRACTNUMBER(AF136),EXTRACTNUMBER(AH136)))))</f>
        <v>603</v>
      </c>
      <c r="AK136" s="24" t="str">
        <f t="shared" si="33"/>
        <v>PASS</v>
      </c>
      <c r="AL136" s="25" t="str">
        <f>SPELLNUMBER(extractnumber_tot(AJ136))</f>
        <v xml:space="preserve">Six Hundred Three </v>
      </c>
    </row>
    <row r="137" spans="2:38" s="22" customFormat="1" ht="15.95" customHeight="1">
      <c r="B137" s="97">
        <v>235313</v>
      </c>
      <c r="C137" s="98" t="s">
        <v>578</v>
      </c>
      <c r="D137" s="96">
        <v>40</v>
      </c>
      <c r="E137" s="89" t="str">
        <f t="shared" si="18"/>
        <v>E</v>
      </c>
      <c r="F137" s="94">
        <v>23</v>
      </c>
      <c r="G137" s="89" t="str">
        <f t="shared" si="19"/>
        <v>E</v>
      </c>
      <c r="H137" s="94">
        <v>43</v>
      </c>
      <c r="I137" s="90" t="str">
        <f t="shared" si="20"/>
        <v>E</v>
      </c>
      <c r="J137" s="91">
        <v>29</v>
      </c>
      <c r="K137" s="90" t="str">
        <f t="shared" si="21"/>
        <v>F</v>
      </c>
      <c r="L137" s="94">
        <v>20</v>
      </c>
      <c r="M137" s="90" t="str">
        <f t="shared" si="34"/>
        <v>E</v>
      </c>
      <c r="N137" s="94">
        <v>38</v>
      </c>
      <c r="O137" s="90" t="str">
        <f t="shared" si="22"/>
        <v>E</v>
      </c>
      <c r="P137" s="92">
        <v>41</v>
      </c>
      <c r="Q137" s="90" t="str">
        <f t="shared" si="23"/>
        <v>E</v>
      </c>
      <c r="R137" s="94">
        <v>22</v>
      </c>
      <c r="S137" s="90" t="str">
        <f t="shared" si="24"/>
        <v>E</v>
      </c>
      <c r="T137" s="94">
        <v>22</v>
      </c>
      <c r="U137" s="90" t="str">
        <f t="shared" si="25"/>
        <v>E</v>
      </c>
      <c r="V137" s="92">
        <v>41</v>
      </c>
      <c r="W137" s="90" t="str">
        <f t="shared" si="26"/>
        <v>E</v>
      </c>
      <c r="X137" s="94">
        <v>22</v>
      </c>
      <c r="Y137" s="90" t="str">
        <f t="shared" si="27"/>
        <v>E</v>
      </c>
      <c r="Z137" s="92">
        <v>40</v>
      </c>
      <c r="AA137" s="90" t="str">
        <f t="shared" si="28"/>
        <v>E</v>
      </c>
      <c r="AB137" s="94">
        <v>19</v>
      </c>
      <c r="AC137" s="90" t="str">
        <f t="shared" si="29"/>
        <v>E</v>
      </c>
      <c r="AD137" s="94">
        <v>20</v>
      </c>
      <c r="AE137" s="90" t="str">
        <f t="shared" si="30"/>
        <v>E</v>
      </c>
      <c r="AF137" s="92">
        <v>23</v>
      </c>
      <c r="AG137" s="89" t="str">
        <f t="shared" si="31"/>
        <v>E</v>
      </c>
      <c r="AH137" s="94">
        <v>19</v>
      </c>
      <c r="AI137" s="90" t="str">
        <f t="shared" si="32"/>
        <v>E</v>
      </c>
      <c r="AJ137" s="108">
        <f>IF(AND(OR(COUNTIF(D137:AI137,"=31")&gt;=1,COUNTIF(D137:AI137,"=32")&gt;=1,COUNTIF(D137:AI137,"=33")&gt;=1,COUNTIF(D137:AI137,"=34")&gt;=1,COUNTIF(D137:AI137,"=35")=1,COUNTIF(D137:AI137,"=36")&gt;=1 ),COUNTIF(D137:AI137,"")=0,COUNTIF(D137:AI137," ")=0,COUNTIF(D137:AI137,"F")=1),CONCATENATE(SUM(EXTRACTNUMBER(D137),EXTRACTNUMBER(F137),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EXTRACTNUMBER(AD137),EXTRACTNUMBER(AF137),EXTRACTNUMBER(AH137)),"*"),IF(AND(COUNTIF(D137:AI137,"=34")&gt;=1,COUNTIF(D137:AI137,"=35")&gt;=1,COUNTIF(D137:AI137,"f")=2,COUNTIF(D137:AI137,"")=0,COUNTIF(D137:AI137," ")=0),CONCATENATE(SUM(EXTRACTNUMBER(D137),EXTRACTNUMBER(F137),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EXTRACTNUMBER(AD137),EXTRACTNUMBER(AF137),EXTRACTNUMBER(AH137)),"*"),IF(AND(COUNTIF(D137:AI137,"=36")&gt;=2,COUNTIF(D137:AI137,"f")=2,COUNTIF(D137:AI137,"")=0,COUNTIF(D137:AI137," ")=0),CONCATENATE(SUM(EXTRACTNUMBER(D137),EXTRACTNUMBER(F137),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EXTRACTNUMBER(AD137),EXTRACTNUMBER(AF137),EXTRACTNUMBER(AH137)),"*"),SUM(EXTRACTNUMBER(D137),EXTRACTNUMBER(F137),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EXTRACTNUMBER(AD137),EXTRACTNUMBER(AF137),EXTRACTNUMBER(AH137)))))</f>
        <v>462</v>
      </c>
      <c r="AK137" s="24" t="str">
        <f t="shared" si="33"/>
        <v>FAIL</v>
      </c>
      <c r="AL137" s="25" t="str">
        <f>SPELLNUMBER(extractnumber_tot(AJ137))</f>
        <v xml:space="preserve">Four Hundred Sixty Two </v>
      </c>
    </row>
    <row r="138" spans="2:38" s="22" customFormat="1" ht="15.95" customHeight="1">
      <c r="B138" s="97">
        <v>235314</v>
      </c>
      <c r="C138" s="98" t="s">
        <v>579</v>
      </c>
      <c r="D138" s="96">
        <v>72</v>
      </c>
      <c r="E138" s="89" t="str">
        <f t="shared" si="18"/>
        <v/>
      </c>
      <c r="F138" s="94">
        <v>20</v>
      </c>
      <c r="G138" s="89" t="str">
        <f t="shared" si="19"/>
        <v/>
      </c>
      <c r="H138" s="94">
        <v>44</v>
      </c>
      <c r="I138" s="90" t="str">
        <f t="shared" si="20"/>
        <v/>
      </c>
      <c r="J138" s="91">
        <v>47</v>
      </c>
      <c r="K138" s="90" t="str">
        <f t="shared" si="21"/>
        <v/>
      </c>
      <c r="L138" s="94">
        <v>20</v>
      </c>
      <c r="M138" s="90" t="str">
        <f t="shared" si="34"/>
        <v/>
      </c>
      <c r="N138" s="94">
        <v>39</v>
      </c>
      <c r="O138" s="90" t="str">
        <f t="shared" si="22"/>
        <v/>
      </c>
      <c r="P138" s="92">
        <v>51</v>
      </c>
      <c r="Q138" s="90" t="str">
        <f t="shared" si="23"/>
        <v/>
      </c>
      <c r="R138" s="94">
        <v>20</v>
      </c>
      <c r="S138" s="90" t="str">
        <f t="shared" si="24"/>
        <v/>
      </c>
      <c r="T138" s="94">
        <v>20</v>
      </c>
      <c r="U138" s="90" t="str">
        <f t="shared" si="25"/>
        <v/>
      </c>
      <c r="V138" s="92">
        <v>44</v>
      </c>
      <c r="W138" s="90" t="str">
        <f t="shared" si="26"/>
        <v/>
      </c>
      <c r="X138" s="94">
        <v>22</v>
      </c>
      <c r="Y138" s="90" t="str">
        <f t="shared" si="27"/>
        <v/>
      </c>
      <c r="Z138" s="92">
        <v>61</v>
      </c>
      <c r="AA138" s="90" t="str">
        <f t="shared" si="28"/>
        <v/>
      </c>
      <c r="AB138" s="94">
        <v>20</v>
      </c>
      <c r="AC138" s="90" t="str">
        <f t="shared" si="29"/>
        <v/>
      </c>
      <c r="AD138" s="94">
        <v>20</v>
      </c>
      <c r="AE138" s="90" t="str">
        <f t="shared" si="30"/>
        <v/>
      </c>
      <c r="AF138" s="92">
        <v>33</v>
      </c>
      <c r="AG138" s="89" t="str">
        <f t="shared" si="31"/>
        <v/>
      </c>
      <c r="AH138" s="94">
        <v>18</v>
      </c>
      <c r="AI138" s="90" t="str">
        <f t="shared" si="32"/>
        <v/>
      </c>
      <c r="AJ138" s="108">
        <f>IF(AND(OR(COUNTIF(D138:AI138,"=31")&gt;=1,COUNTIF(D138:AI138,"=32")&gt;=1,COUNTIF(D138:AI138,"=33")&gt;=1,COUNTIF(D138:AI138,"=34")&gt;=1,COUNTIF(D138:AI138,"=35")=1,COUNTIF(D138:AI138,"=36")&gt;=1 ),COUNTIF(D138:AI138,"")=0,COUNTIF(D138:AI138," ")=0,COUNTIF(D138:AI138,"F")=1),CONCATENATE(SUM(EXTRACTNUMBER(D138),EXTRACTNUMBER(F138),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EXTRACTNUMBER(AD138),EXTRACTNUMBER(AF138),EXTRACTNUMBER(AH138)),"*"),IF(AND(COUNTIF(D138:AI138,"=34")&gt;=1,COUNTIF(D138:AI138,"=35")&gt;=1,COUNTIF(D138:AI138,"f")=2,COUNTIF(D138:AI138,"")=0,COUNTIF(D138:AI138," ")=0),CONCATENATE(SUM(EXTRACTNUMBER(D138),EXTRACTNUMBER(F138),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EXTRACTNUMBER(AD138),EXTRACTNUMBER(AF138),EXTRACTNUMBER(AH138)),"*"),IF(AND(COUNTIF(D138:AI138,"=36")&gt;=2,COUNTIF(D138:AI138,"f")=2,COUNTIF(D138:AI138,"")=0,COUNTIF(D138:AI138," ")=0),CONCATENATE(SUM(EXTRACTNUMBER(D138),EXTRACTNUMBER(F138),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EXTRACTNUMBER(AD138),EXTRACTNUMBER(AF138),EXTRACTNUMBER(AH138)),"*"),SUM(EXTRACTNUMBER(D138),EXTRACTNUMBER(F138),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EXTRACTNUMBER(AD138),EXTRACTNUMBER(AF138),EXTRACTNUMBER(AH138)))))</f>
        <v>551</v>
      </c>
      <c r="AK138" s="24" t="str">
        <f t="shared" si="33"/>
        <v>PASS</v>
      </c>
      <c r="AL138" s="25" t="str">
        <f>SPELLNUMBER(extractnumber_tot(AJ138))</f>
        <v xml:space="preserve">Five Hundred Fifty One </v>
      </c>
    </row>
    <row r="139" spans="2:38" s="22" customFormat="1" ht="15.95" customHeight="1">
      <c r="B139" s="97">
        <v>235315</v>
      </c>
      <c r="C139" s="98" t="s">
        <v>580</v>
      </c>
      <c r="D139" s="96">
        <v>52</v>
      </c>
      <c r="E139" s="89" t="str">
        <f t="shared" si="18"/>
        <v/>
      </c>
      <c r="F139" s="94">
        <v>21</v>
      </c>
      <c r="G139" s="89" t="str">
        <f t="shared" si="19"/>
        <v/>
      </c>
      <c r="H139" s="94">
        <v>45</v>
      </c>
      <c r="I139" s="90" t="str">
        <f t="shared" si="20"/>
        <v/>
      </c>
      <c r="J139" s="91">
        <v>40</v>
      </c>
      <c r="K139" s="90" t="str">
        <f t="shared" si="21"/>
        <v/>
      </c>
      <c r="L139" s="94">
        <v>21</v>
      </c>
      <c r="M139" s="90" t="str">
        <f t="shared" si="34"/>
        <v/>
      </c>
      <c r="N139" s="94">
        <v>38</v>
      </c>
      <c r="O139" s="90" t="str">
        <f t="shared" si="22"/>
        <v/>
      </c>
      <c r="P139" s="92">
        <v>40</v>
      </c>
      <c r="Q139" s="90" t="str">
        <f t="shared" si="23"/>
        <v/>
      </c>
      <c r="R139" s="94">
        <v>20</v>
      </c>
      <c r="S139" s="90" t="str">
        <f t="shared" si="24"/>
        <v/>
      </c>
      <c r="T139" s="94">
        <v>23</v>
      </c>
      <c r="U139" s="90" t="str">
        <f t="shared" si="25"/>
        <v/>
      </c>
      <c r="V139" s="92">
        <v>40</v>
      </c>
      <c r="W139" s="90" t="str">
        <f t="shared" si="26"/>
        <v/>
      </c>
      <c r="X139" s="94">
        <v>22</v>
      </c>
      <c r="Y139" s="90" t="str">
        <f t="shared" si="27"/>
        <v/>
      </c>
      <c r="Z139" s="92">
        <v>51</v>
      </c>
      <c r="AA139" s="90" t="str">
        <f t="shared" si="28"/>
        <v/>
      </c>
      <c r="AB139" s="94">
        <v>18</v>
      </c>
      <c r="AC139" s="90" t="str">
        <f t="shared" si="29"/>
        <v/>
      </c>
      <c r="AD139" s="94">
        <v>20</v>
      </c>
      <c r="AE139" s="90" t="str">
        <f t="shared" si="30"/>
        <v/>
      </c>
      <c r="AF139" s="92">
        <v>29</v>
      </c>
      <c r="AG139" s="89" t="str">
        <f t="shared" si="31"/>
        <v/>
      </c>
      <c r="AH139" s="94">
        <v>19</v>
      </c>
      <c r="AI139" s="90" t="str">
        <f t="shared" si="32"/>
        <v/>
      </c>
      <c r="AJ139" s="108">
        <f>IF(AND(OR(COUNTIF(D139:AI139,"=31")&gt;=1,COUNTIF(D139:AI139,"=32")&gt;=1,COUNTIF(D139:AI139,"=33")&gt;=1,COUNTIF(D139:AI139,"=34")&gt;=1,COUNTIF(D139:AI139,"=35")=1,COUNTIF(D139:AI139,"=36")&gt;=1 ),COUNTIF(D139:AI139,"")=0,COUNTIF(D139:AI139," ")=0,COUNTIF(D139:AI139,"F")=1),CONCATENATE(SUM(EXTRACTNUMBER(D139),EXTRACTNUMBER(F139),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EXTRACTNUMBER(AD139),EXTRACTNUMBER(AF139),EXTRACTNUMBER(AH139)),"*"),IF(AND(COUNTIF(D139:AI139,"=34")&gt;=1,COUNTIF(D139:AI139,"=35")&gt;=1,COUNTIF(D139:AI139,"f")=2,COUNTIF(D139:AI139,"")=0,COUNTIF(D139:AI139," ")=0),CONCATENATE(SUM(EXTRACTNUMBER(D139),EXTRACTNUMBER(F139),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EXTRACTNUMBER(AD139),EXTRACTNUMBER(AF139),EXTRACTNUMBER(AH139)),"*"),IF(AND(COUNTIF(D139:AI139,"=36")&gt;=2,COUNTIF(D139:AI139,"f")=2,COUNTIF(D139:AI139,"")=0,COUNTIF(D139:AI139," ")=0),CONCATENATE(SUM(EXTRACTNUMBER(D139),EXTRACTNUMBER(F139),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EXTRACTNUMBER(AD139),EXTRACTNUMBER(AF139),EXTRACTNUMBER(AH139)),"*"),SUM(EXTRACTNUMBER(D139),EXTRACTNUMBER(F139),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EXTRACTNUMBER(AD139),EXTRACTNUMBER(AF139),EXTRACTNUMBER(AH139)))))</f>
        <v>499</v>
      </c>
      <c r="AK139" s="24" t="str">
        <f t="shared" si="33"/>
        <v>PASS</v>
      </c>
      <c r="AL139" s="25" t="str">
        <f>SPELLNUMBER(extractnumber_tot(AJ139))</f>
        <v xml:space="preserve">Four Hundred NinetyNine </v>
      </c>
    </row>
    <row r="140" spans="2:38" s="22" customFormat="1" ht="15.95" customHeight="1">
      <c r="B140" s="97">
        <v>235316</v>
      </c>
      <c r="C140" s="98" t="s">
        <v>581</v>
      </c>
      <c r="D140" s="96">
        <v>47</v>
      </c>
      <c r="E140" s="89" t="str">
        <f t="shared" si="18"/>
        <v/>
      </c>
      <c r="F140" s="94">
        <v>20</v>
      </c>
      <c r="G140" s="89" t="str">
        <f t="shared" si="19"/>
        <v/>
      </c>
      <c r="H140" s="94">
        <v>38</v>
      </c>
      <c r="I140" s="90" t="str">
        <f t="shared" si="20"/>
        <v/>
      </c>
      <c r="J140" s="91">
        <v>40</v>
      </c>
      <c r="K140" s="90" t="str">
        <f t="shared" si="21"/>
        <v/>
      </c>
      <c r="L140" s="94">
        <v>21</v>
      </c>
      <c r="M140" s="90" t="str">
        <f t="shared" si="34"/>
        <v/>
      </c>
      <c r="N140" s="94">
        <v>39</v>
      </c>
      <c r="O140" s="90" t="str">
        <f t="shared" si="22"/>
        <v/>
      </c>
      <c r="P140" s="92" t="s">
        <v>341</v>
      </c>
      <c r="Q140" s="90" t="str">
        <f t="shared" si="23"/>
        <v/>
      </c>
      <c r="R140" s="94">
        <v>21</v>
      </c>
      <c r="S140" s="90" t="str">
        <f t="shared" si="24"/>
        <v/>
      </c>
      <c r="T140" s="94">
        <v>20</v>
      </c>
      <c r="U140" s="90" t="str">
        <f t="shared" si="25"/>
        <v/>
      </c>
      <c r="V140" s="92">
        <v>41</v>
      </c>
      <c r="W140" s="90" t="str">
        <f t="shared" si="26"/>
        <v/>
      </c>
      <c r="X140" s="94">
        <v>19</v>
      </c>
      <c r="Y140" s="90" t="str">
        <f t="shared" si="27"/>
        <v/>
      </c>
      <c r="Z140" s="92">
        <v>40</v>
      </c>
      <c r="AA140" s="90" t="str">
        <f t="shared" si="28"/>
        <v/>
      </c>
      <c r="AB140" s="94">
        <v>22</v>
      </c>
      <c r="AC140" s="90" t="str">
        <f t="shared" si="29"/>
        <v/>
      </c>
      <c r="AD140" s="94">
        <v>20</v>
      </c>
      <c r="AE140" s="90" t="str">
        <f t="shared" si="30"/>
        <v/>
      </c>
      <c r="AF140" s="92">
        <v>24</v>
      </c>
      <c r="AG140" s="89" t="str">
        <f t="shared" si="31"/>
        <v/>
      </c>
      <c r="AH140" s="94">
        <v>17</v>
      </c>
      <c r="AI140" s="90" t="str">
        <f t="shared" si="32"/>
        <v/>
      </c>
      <c r="AJ140" s="109" t="s">
        <v>657</v>
      </c>
      <c r="AK140" s="24" t="str">
        <f t="shared" si="33"/>
        <v>PASS</v>
      </c>
      <c r="AL140" s="25" t="str">
        <f>SPELLNUMBER(extractnumber_tot(AJ140))</f>
        <v xml:space="preserve">Four Hundred Sixty  </v>
      </c>
    </row>
    <row r="141" spans="2:38" s="22" customFormat="1" ht="15.95" customHeight="1">
      <c r="B141" s="97">
        <v>235317</v>
      </c>
      <c r="C141" s="98" t="s">
        <v>582</v>
      </c>
      <c r="D141" s="96">
        <v>65</v>
      </c>
      <c r="E141" s="89" t="str">
        <f t="shared" si="18"/>
        <v/>
      </c>
      <c r="F141" s="94">
        <v>20</v>
      </c>
      <c r="G141" s="89" t="str">
        <f t="shared" si="19"/>
        <v/>
      </c>
      <c r="H141" s="94">
        <v>46</v>
      </c>
      <c r="I141" s="90" t="str">
        <f t="shared" si="20"/>
        <v/>
      </c>
      <c r="J141" s="91">
        <v>48</v>
      </c>
      <c r="K141" s="90" t="str">
        <f t="shared" si="21"/>
        <v/>
      </c>
      <c r="L141" s="94">
        <v>21</v>
      </c>
      <c r="M141" s="90" t="str">
        <f t="shared" si="34"/>
        <v/>
      </c>
      <c r="N141" s="94">
        <v>40</v>
      </c>
      <c r="O141" s="90" t="str">
        <f t="shared" si="22"/>
        <v/>
      </c>
      <c r="P141" s="92">
        <v>58</v>
      </c>
      <c r="Q141" s="90" t="str">
        <f t="shared" si="23"/>
        <v/>
      </c>
      <c r="R141" s="94">
        <v>21</v>
      </c>
      <c r="S141" s="90" t="str">
        <f t="shared" si="24"/>
        <v/>
      </c>
      <c r="T141" s="94">
        <v>20</v>
      </c>
      <c r="U141" s="90" t="str">
        <f t="shared" si="25"/>
        <v/>
      </c>
      <c r="V141" s="92">
        <v>46</v>
      </c>
      <c r="W141" s="90" t="str">
        <f t="shared" si="26"/>
        <v/>
      </c>
      <c r="X141" s="94">
        <v>21</v>
      </c>
      <c r="Y141" s="90" t="str">
        <f t="shared" si="27"/>
        <v/>
      </c>
      <c r="Z141" s="92">
        <v>46</v>
      </c>
      <c r="AA141" s="90" t="str">
        <f t="shared" si="28"/>
        <v/>
      </c>
      <c r="AB141" s="94">
        <v>18</v>
      </c>
      <c r="AC141" s="90" t="str">
        <f t="shared" si="29"/>
        <v/>
      </c>
      <c r="AD141" s="94">
        <v>19</v>
      </c>
      <c r="AE141" s="90" t="str">
        <f t="shared" si="30"/>
        <v/>
      </c>
      <c r="AF141" s="92">
        <v>35</v>
      </c>
      <c r="AG141" s="89" t="str">
        <f t="shared" si="31"/>
        <v/>
      </c>
      <c r="AH141" s="94">
        <v>20</v>
      </c>
      <c r="AI141" s="90" t="str">
        <f t="shared" si="32"/>
        <v/>
      </c>
      <c r="AJ141" s="108">
        <f>IF(AND(OR(COUNTIF(D141:AI141,"=31")&gt;=1,COUNTIF(D141:AI141,"=32")&gt;=1,COUNTIF(D141:AI141,"=33")&gt;=1,COUNTIF(D141:AI141,"=34")&gt;=1,COUNTIF(D141:AI141,"=35")=1,COUNTIF(D141:AI141,"=36")&gt;=1 ),COUNTIF(D141:AI141,"")=0,COUNTIF(D141:AI141," ")=0,COUNTIF(D141:AI141,"F")=1),CONCATENATE(SUM(EXTRACTNUMBER(D141),EXTRACTNUMBER(F141),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EXTRACTNUMBER(AD141),EXTRACTNUMBER(AF141),EXTRACTNUMBER(AH141)),"*"),IF(AND(COUNTIF(D141:AI141,"=34")&gt;=1,COUNTIF(D141:AI141,"=35")&gt;=1,COUNTIF(D141:AI141,"f")=2,COUNTIF(D141:AI141,"")=0,COUNTIF(D141:AI141," ")=0),CONCATENATE(SUM(EXTRACTNUMBER(D141),EXTRACTNUMBER(F141),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EXTRACTNUMBER(AD141),EXTRACTNUMBER(AF141),EXTRACTNUMBER(AH141)),"*"),IF(AND(COUNTIF(D141:AI141,"=36")&gt;=2,COUNTIF(D141:AI141,"f")=2,COUNTIF(D141:AI141,"")=0,COUNTIF(D141:AI141," ")=0),CONCATENATE(SUM(EXTRACTNUMBER(D141),EXTRACTNUMBER(F141),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EXTRACTNUMBER(AD141),EXTRACTNUMBER(AF141),EXTRACTNUMBER(AH141)),"*"),SUM(EXTRACTNUMBER(D141),EXTRACTNUMBER(F141),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EXTRACTNUMBER(AD141),EXTRACTNUMBER(AF141),EXTRACTNUMBER(AH141)))))</f>
        <v>544</v>
      </c>
      <c r="AK141" s="24" t="str">
        <f t="shared" si="33"/>
        <v>PASS</v>
      </c>
      <c r="AL141" s="25" t="str">
        <f>SPELLNUMBER(extractnumber_tot(AJ141))</f>
        <v xml:space="preserve">Five Hundred Forty Four </v>
      </c>
    </row>
    <row r="142" spans="2:38" s="22" customFormat="1" ht="15.95" customHeight="1">
      <c r="B142" s="97">
        <v>235318</v>
      </c>
      <c r="C142" s="98" t="s">
        <v>583</v>
      </c>
      <c r="D142" s="96">
        <v>81</v>
      </c>
      <c r="E142" s="89" t="str">
        <f t="shared" si="18"/>
        <v/>
      </c>
      <c r="F142" s="94">
        <v>21</v>
      </c>
      <c r="G142" s="89" t="str">
        <f t="shared" si="19"/>
        <v/>
      </c>
      <c r="H142" s="94">
        <v>40</v>
      </c>
      <c r="I142" s="90" t="str">
        <f t="shared" si="20"/>
        <v/>
      </c>
      <c r="J142" s="91">
        <v>63</v>
      </c>
      <c r="K142" s="90" t="str">
        <f t="shared" si="21"/>
        <v/>
      </c>
      <c r="L142" s="94">
        <v>22</v>
      </c>
      <c r="M142" s="90" t="str">
        <f t="shared" si="34"/>
        <v/>
      </c>
      <c r="N142" s="94">
        <v>41</v>
      </c>
      <c r="O142" s="90" t="str">
        <f t="shared" si="22"/>
        <v/>
      </c>
      <c r="P142" s="92">
        <v>57</v>
      </c>
      <c r="Q142" s="90" t="str">
        <f t="shared" si="23"/>
        <v/>
      </c>
      <c r="R142" s="94">
        <v>21</v>
      </c>
      <c r="S142" s="90" t="str">
        <f t="shared" si="24"/>
        <v/>
      </c>
      <c r="T142" s="94">
        <v>22</v>
      </c>
      <c r="U142" s="90" t="str">
        <f t="shared" si="25"/>
        <v/>
      </c>
      <c r="V142" s="92">
        <v>49</v>
      </c>
      <c r="W142" s="90" t="str">
        <f t="shared" si="26"/>
        <v/>
      </c>
      <c r="X142" s="94">
        <v>20</v>
      </c>
      <c r="Y142" s="90" t="str">
        <f t="shared" si="27"/>
        <v/>
      </c>
      <c r="Z142" s="92">
        <v>70</v>
      </c>
      <c r="AA142" s="90" t="str">
        <f t="shared" si="28"/>
        <v/>
      </c>
      <c r="AB142" s="94">
        <v>19</v>
      </c>
      <c r="AC142" s="90" t="str">
        <f t="shared" si="29"/>
        <v/>
      </c>
      <c r="AD142" s="94">
        <v>19</v>
      </c>
      <c r="AE142" s="90" t="str">
        <f t="shared" si="30"/>
        <v/>
      </c>
      <c r="AF142" s="92">
        <v>31</v>
      </c>
      <c r="AG142" s="89" t="str">
        <f t="shared" si="31"/>
        <v/>
      </c>
      <c r="AH142" s="94">
        <v>20</v>
      </c>
      <c r="AI142" s="90" t="str">
        <f t="shared" si="32"/>
        <v/>
      </c>
      <c r="AJ142" s="108">
        <f>IF(AND(OR(COUNTIF(D142:AI142,"=31")&gt;=1,COUNTIF(D142:AI142,"=32")&gt;=1,COUNTIF(D142:AI142,"=33")&gt;=1,COUNTIF(D142:AI142,"=34")&gt;=1,COUNTIF(D142:AI142,"=35")=1,COUNTIF(D142:AI142,"=36")&gt;=1 ),COUNTIF(D142:AI142,"")=0,COUNTIF(D142:AI142," ")=0,COUNTIF(D142:AI142,"F")=1),CONCATENATE(SUM(EXTRACTNUMBER(D142),EXTRACTNUMBER(F142),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EXTRACTNUMBER(AD142),EXTRACTNUMBER(AF142),EXTRACTNUMBER(AH142)),"*"),IF(AND(COUNTIF(D142:AI142,"=34")&gt;=1,COUNTIF(D142:AI142,"=35")&gt;=1,COUNTIF(D142:AI142,"f")=2,COUNTIF(D142:AI142,"")=0,COUNTIF(D142:AI142," ")=0),CONCATENATE(SUM(EXTRACTNUMBER(D142),EXTRACTNUMBER(F142),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EXTRACTNUMBER(AD142),EXTRACTNUMBER(AF142),EXTRACTNUMBER(AH142)),"*"),IF(AND(COUNTIF(D142:AI142,"=36")&gt;=2,COUNTIF(D142:AI142,"f")=2,COUNTIF(D142:AI142,"")=0,COUNTIF(D142:AI142," ")=0),CONCATENATE(SUM(EXTRACTNUMBER(D142),EXTRACTNUMBER(F142),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EXTRACTNUMBER(AD142),EXTRACTNUMBER(AF142),EXTRACTNUMBER(AH142)),"*"),SUM(EXTRACTNUMBER(D142),EXTRACTNUMBER(F142),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EXTRACTNUMBER(AD142),EXTRACTNUMBER(AF142),EXTRACTNUMBER(AH142)))))</f>
        <v>596</v>
      </c>
      <c r="AK142" s="24" t="str">
        <f t="shared" si="33"/>
        <v>PASS</v>
      </c>
      <c r="AL142" s="25" t="str">
        <f>SPELLNUMBER(extractnumber_tot(AJ142))</f>
        <v xml:space="preserve">Five Hundred NinetySix </v>
      </c>
    </row>
    <row r="143" spans="2:38" s="22" customFormat="1" ht="15.95" customHeight="1">
      <c r="B143" s="97">
        <v>235319</v>
      </c>
      <c r="C143" s="98" t="s">
        <v>584</v>
      </c>
      <c r="D143" s="96">
        <v>63</v>
      </c>
      <c r="E143" s="89" t="str">
        <f t="shared" si="18"/>
        <v/>
      </c>
      <c r="F143" s="94">
        <v>23</v>
      </c>
      <c r="G143" s="89" t="str">
        <f t="shared" si="19"/>
        <v/>
      </c>
      <c r="H143" s="94">
        <v>44</v>
      </c>
      <c r="I143" s="90" t="str">
        <f t="shared" si="20"/>
        <v/>
      </c>
      <c r="J143" s="91">
        <v>57</v>
      </c>
      <c r="K143" s="90" t="str">
        <f t="shared" si="21"/>
        <v/>
      </c>
      <c r="L143" s="94">
        <v>23</v>
      </c>
      <c r="M143" s="90" t="str">
        <f t="shared" si="34"/>
        <v/>
      </c>
      <c r="N143" s="94">
        <v>39</v>
      </c>
      <c r="O143" s="90" t="str">
        <f t="shared" si="22"/>
        <v/>
      </c>
      <c r="P143" s="92">
        <v>46</v>
      </c>
      <c r="Q143" s="90" t="str">
        <f t="shared" si="23"/>
        <v/>
      </c>
      <c r="R143" s="94">
        <v>23</v>
      </c>
      <c r="S143" s="90" t="str">
        <f t="shared" si="24"/>
        <v/>
      </c>
      <c r="T143" s="94">
        <v>23</v>
      </c>
      <c r="U143" s="90" t="str">
        <f t="shared" si="25"/>
        <v/>
      </c>
      <c r="V143" s="92">
        <v>47</v>
      </c>
      <c r="W143" s="90" t="str">
        <f t="shared" si="26"/>
        <v/>
      </c>
      <c r="X143" s="94">
        <v>23</v>
      </c>
      <c r="Y143" s="90" t="str">
        <f t="shared" si="27"/>
        <v/>
      </c>
      <c r="Z143" s="92">
        <v>60</v>
      </c>
      <c r="AA143" s="90" t="str">
        <f t="shared" si="28"/>
        <v/>
      </c>
      <c r="AB143" s="94">
        <v>22</v>
      </c>
      <c r="AC143" s="90" t="str">
        <f t="shared" si="29"/>
        <v/>
      </c>
      <c r="AD143" s="94">
        <v>21</v>
      </c>
      <c r="AE143" s="90" t="str">
        <f t="shared" si="30"/>
        <v/>
      </c>
      <c r="AF143" s="92">
        <v>28</v>
      </c>
      <c r="AG143" s="89" t="str">
        <f t="shared" si="31"/>
        <v/>
      </c>
      <c r="AH143" s="94">
        <v>23</v>
      </c>
      <c r="AI143" s="90" t="str">
        <f t="shared" si="32"/>
        <v/>
      </c>
      <c r="AJ143" s="108">
        <f>IF(AND(OR(COUNTIF(D143:AI143,"=31")&gt;=1,COUNTIF(D143:AI143,"=32")&gt;=1,COUNTIF(D143:AI143,"=33")&gt;=1,COUNTIF(D143:AI143,"=34")&gt;=1,COUNTIF(D143:AI143,"=35")=1,COUNTIF(D143:AI143,"=36")&gt;=1 ),COUNTIF(D143:AI143,"")=0,COUNTIF(D143:AI143," ")=0,COUNTIF(D143:AI143,"F")=1),CONCATENATE(SUM(EXTRACTNUMBER(D143),EXTRACTNUMBER(F143),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EXTRACTNUMBER(AD143),EXTRACTNUMBER(AF143),EXTRACTNUMBER(AH143)),"*"),IF(AND(COUNTIF(D143:AI143,"=34")&gt;=1,COUNTIF(D143:AI143,"=35")&gt;=1,COUNTIF(D143:AI143,"f")=2,COUNTIF(D143:AI143,"")=0,COUNTIF(D143:AI143," ")=0),CONCATENATE(SUM(EXTRACTNUMBER(D143),EXTRACTNUMBER(F143),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EXTRACTNUMBER(AD143),EXTRACTNUMBER(AF143),EXTRACTNUMBER(AH143)),"*"),IF(AND(COUNTIF(D143:AI143,"=36")&gt;=2,COUNTIF(D143:AI143,"f")=2,COUNTIF(D143:AI143,"")=0,COUNTIF(D143:AI143," ")=0),CONCATENATE(SUM(EXTRACTNUMBER(D143),EXTRACTNUMBER(F143),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EXTRACTNUMBER(AD143),EXTRACTNUMBER(AF143),EXTRACTNUMBER(AH143)),"*"),SUM(EXTRACTNUMBER(D143),EXTRACTNUMBER(F143),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EXTRACTNUMBER(AD143),EXTRACTNUMBER(AF143),EXTRACTNUMBER(AH143)))))</f>
        <v>565</v>
      </c>
      <c r="AK143" s="24" t="str">
        <f t="shared" si="33"/>
        <v>PASS</v>
      </c>
      <c r="AL143" s="25" t="str">
        <f>SPELLNUMBER(extractnumber_tot(AJ143))</f>
        <v xml:space="preserve">Five Hundred Sixty Five </v>
      </c>
    </row>
    <row r="144" spans="2:38" s="22" customFormat="1" ht="15.95" customHeight="1">
      <c r="B144" s="97">
        <v>235320</v>
      </c>
      <c r="C144" s="98" t="s">
        <v>585</v>
      </c>
      <c r="D144" s="96">
        <v>78</v>
      </c>
      <c r="E144" s="89" t="str">
        <f t="shared" si="18"/>
        <v/>
      </c>
      <c r="F144" s="94">
        <v>21</v>
      </c>
      <c r="G144" s="89" t="str">
        <f t="shared" si="19"/>
        <v/>
      </c>
      <c r="H144" s="94">
        <v>47</v>
      </c>
      <c r="I144" s="90" t="str">
        <f t="shared" si="20"/>
        <v/>
      </c>
      <c r="J144" s="91">
        <v>52</v>
      </c>
      <c r="K144" s="90" t="str">
        <f t="shared" si="21"/>
        <v/>
      </c>
      <c r="L144" s="94">
        <v>21</v>
      </c>
      <c r="M144" s="90" t="str">
        <f t="shared" si="34"/>
        <v/>
      </c>
      <c r="N144" s="94">
        <v>40</v>
      </c>
      <c r="O144" s="90" t="str">
        <f t="shared" si="22"/>
        <v/>
      </c>
      <c r="P144" s="92">
        <v>58</v>
      </c>
      <c r="Q144" s="90" t="str">
        <f t="shared" si="23"/>
        <v/>
      </c>
      <c r="R144" s="94">
        <v>22</v>
      </c>
      <c r="S144" s="90" t="str">
        <f t="shared" si="24"/>
        <v/>
      </c>
      <c r="T144" s="94">
        <v>23</v>
      </c>
      <c r="U144" s="90" t="str">
        <f t="shared" si="25"/>
        <v/>
      </c>
      <c r="V144" s="92">
        <v>60</v>
      </c>
      <c r="W144" s="90" t="str">
        <f t="shared" si="26"/>
        <v/>
      </c>
      <c r="X144" s="94">
        <v>23</v>
      </c>
      <c r="Y144" s="90" t="str">
        <f t="shared" si="27"/>
        <v/>
      </c>
      <c r="Z144" s="92">
        <v>56</v>
      </c>
      <c r="AA144" s="90" t="str">
        <f t="shared" si="28"/>
        <v/>
      </c>
      <c r="AB144" s="94">
        <v>20</v>
      </c>
      <c r="AC144" s="90" t="str">
        <f t="shared" si="29"/>
        <v/>
      </c>
      <c r="AD144" s="94">
        <v>20</v>
      </c>
      <c r="AE144" s="90" t="str">
        <f t="shared" si="30"/>
        <v/>
      </c>
      <c r="AF144" s="92">
        <v>35</v>
      </c>
      <c r="AG144" s="89" t="str">
        <f t="shared" si="31"/>
        <v/>
      </c>
      <c r="AH144" s="94">
        <v>20</v>
      </c>
      <c r="AI144" s="90" t="str">
        <f t="shared" si="32"/>
        <v/>
      </c>
      <c r="AJ144" s="108">
        <f>IF(AND(OR(COUNTIF(D144:AI144,"=31")&gt;=1,COUNTIF(D144:AI144,"=32")&gt;=1,COUNTIF(D144:AI144,"=33")&gt;=1,COUNTIF(D144:AI144,"=34")&gt;=1,COUNTIF(D144:AI144,"=35")=1,COUNTIF(D144:AI144,"=36")&gt;=1 ),COUNTIF(D144:AI144,"")=0,COUNTIF(D144:AI144," ")=0,COUNTIF(D144:AI144,"F")=1),CONCATENATE(SUM(EXTRACTNUMBER(D144),EXTRACTNUMBER(F144),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EXTRACTNUMBER(AD144),EXTRACTNUMBER(AF144),EXTRACTNUMBER(AH144)),"*"),IF(AND(COUNTIF(D144:AI144,"=34")&gt;=1,COUNTIF(D144:AI144,"=35")&gt;=1,COUNTIF(D144:AI144,"f")=2,COUNTIF(D144:AI144,"")=0,COUNTIF(D144:AI144," ")=0),CONCATENATE(SUM(EXTRACTNUMBER(D144),EXTRACTNUMBER(F144),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EXTRACTNUMBER(AD144),EXTRACTNUMBER(AF144),EXTRACTNUMBER(AH144)),"*"),IF(AND(COUNTIF(D144:AI144,"=36")&gt;=2,COUNTIF(D144:AI144,"f")=2,COUNTIF(D144:AI144,"")=0,COUNTIF(D144:AI144," ")=0),CONCATENATE(SUM(EXTRACTNUMBER(D144),EXTRACTNUMBER(F144),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EXTRACTNUMBER(AD144),EXTRACTNUMBER(AF144),EXTRACTNUMBER(AH144)),"*"),SUM(EXTRACTNUMBER(D144),EXTRACTNUMBER(F144),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EXTRACTNUMBER(AD144),EXTRACTNUMBER(AF144),EXTRACTNUMBER(AH144)))))</f>
        <v>596</v>
      </c>
      <c r="AK144" s="24" t="str">
        <f t="shared" si="33"/>
        <v>PASS</v>
      </c>
      <c r="AL144" s="25" t="str">
        <f>SPELLNUMBER(extractnumber_tot(AJ144))</f>
        <v xml:space="preserve">Five Hundred NinetySix </v>
      </c>
    </row>
    <row r="145" spans="2:39" s="22" customFormat="1" ht="15.95" customHeight="1">
      <c r="B145" s="97">
        <v>235321</v>
      </c>
      <c r="C145" s="98" t="s">
        <v>586</v>
      </c>
      <c r="D145" s="96">
        <v>61</v>
      </c>
      <c r="E145" s="89" t="str">
        <f t="shared" si="18"/>
        <v/>
      </c>
      <c r="F145" s="94">
        <v>24</v>
      </c>
      <c r="G145" s="89" t="str">
        <f t="shared" si="19"/>
        <v/>
      </c>
      <c r="H145" s="94">
        <v>43</v>
      </c>
      <c r="I145" s="90" t="str">
        <f t="shared" si="20"/>
        <v/>
      </c>
      <c r="J145" s="91">
        <v>47</v>
      </c>
      <c r="K145" s="90" t="str">
        <f t="shared" si="21"/>
        <v/>
      </c>
      <c r="L145" s="94">
        <v>22</v>
      </c>
      <c r="M145" s="90" t="str">
        <f t="shared" si="34"/>
        <v/>
      </c>
      <c r="N145" s="94">
        <v>39</v>
      </c>
      <c r="O145" s="90" t="str">
        <f t="shared" si="22"/>
        <v/>
      </c>
      <c r="P145" s="92">
        <v>64</v>
      </c>
      <c r="Q145" s="90" t="str">
        <f t="shared" si="23"/>
        <v/>
      </c>
      <c r="R145" s="94">
        <v>24</v>
      </c>
      <c r="S145" s="90" t="str">
        <f t="shared" si="24"/>
        <v/>
      </c>
      <c r="T145" s="94">
        <v>23</v>
      </c>
      <c r="U145" s="90" t="str">
        <f t="shared" si="25"/>
        <v/>
      </c>
      <c r="V145" s="92">
        <v>45</v>
      </c>
      <c r="W145" s="90" t="str">
        <f t="shared" si="26"/>
        <v/>
      </c>
      <c r="X145" s="94">
        <v>24</v>
      </c>
      <c r="Y145" s="90" t="str">
        <f t="shared" si="27"/>
        <v/>
      </c>
      <c r="Z145" s="92">
        <v>68</v>
      </c>
      <c r="AA145" s="90" t="str">
        <f t="shared" si="28"/>
        <v/>
      </c>
      <c r="AB145" s="94">
        <v>20</v>
      </c>
      <c r="AC145" s="90" t="str">
        <f t="shared" si="29"/>
        <v/>
      </c>
      <c r="AD145" s="94">
        <v>20</v>
      </c>
      <c r="AE145" s="90" t="str">
        <f t="shared" si="30"/>
        <v/>
      </c>
      <c r="AF145" s="92">
        <v>29</v>
      </c>
      <c r="AG145" s="89" t="str">
        <f t="shared" si="31"/>
        <v/>
      </c>
      <c r="AH145" s="94">
        <v>19</v>
      </c>
      <c r="AI145" s="90" t="str">
        <f t="shared" si="32"/>
        <v/>
      </c>
      <c r="AJ145" s="108">
        <f>IF(AND(OR(COUNTIF(D145:AI145,"=31")&gt;=1,COUNTIF(D145:AI145,"=32")&gt;=1,COUNTIF(D145:AI145,"=33")&gt;=1,COUNTIF(D145:AI145,"=34")&gt;=1,COUNTIF(D145:AI145,"=35")=1,COUNTIF(D145:AI145,"=36")&gt;=1 ),COUNTIF(D145:AI145,"")=0,COUNTIF(D145:AI145," ")=0,COUNTIF(D145:AI145,"F")=1),CONCATENATE(SUM(EXTRACTNUMBER(D145),EXTRACTNUMBER(F145),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EXTRACTNUMBER(AD145),EXTRACTNUMBER(AF145),EXTRACTNUMBER(AH145)),"*"),IF(AND(COUNTIF(D145:AI145,"=34")&gt;=1,COUNTIF(D145:AI145,"=35")&gt;=1,COUNTIF(D145:AI145,"f")=2,COUNTIF(D145:AI145,"")=0,COUNTIF(D145:AI145," ")=0),CONCATENATE(SUM(EXTRACTNUMBER(D145),EXTRACTNUMBER(F145),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EXTRACTNUMBER(AD145),EXTRACTNUMBER(AF145),EXTRACTNUMBER(AH145)),"*"),IF(AND(COUNTIF(D145:AI145,"=36")&gt;=2,COUNTIF(D145:AI145,"f")=2,COUNTIF(D145:AI145,"")=0,COUNTIF(D145:AI145," ")=0),CONCATENATE(SUM(EXTRACTNUMBER(D145),EXTRACTNUMBER(F145),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EXTRACTNUMBER(AD145),EXTRACTNUMBER(AF145),EXTRACTNUMBER(AH145)),"*"),SUM(EXTRACTNUMBER(D145),EXTRACTNUMBER(F145),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EXTRACTNUMBER(AD145),EXTRACTNUMBER(AF145),EXTRACTNUMBER(AH145)))))</f>
        <v>572</v>
      </c>
      <c r="AK145" s="24" t="str">
        <f t="shared" si="33"/>
        <v>PASS</v>
      </c>
      <c r="AL145" s="25" t="str">
        <f>SPELLNUMBER(extractnumber_tot(AJ145))</f>
        <v xml:space="preserve">Five Hundred Seventy Two </v>
      </c>
    </row>
    <row r="146" spans="2:39" s="22" customFormat="1" ht="15.95" customHeight="1">
      <c r="B146" s="97">
        <v>235322</v>
      </c>
      <c r="C146" s="98" t="s">
        <v>587</v>
      </c>
      <c r="D146" s="96">
        <v>70</v>
      </c>
      <c r="E146" s="89" t="str">
        <f t="shared" si="18"/>
        <v/>
      </c>
      <c r="F146" s="94">
        <v>21</v>
      </c>
      <c r="G146" s="89" t="str">
        <f t="shared" si="19"/>
        <v/>
      </c>
      <c r="H146" s="94">
        <v>38</v>
      </c>
      <c r="I146" s="90" t="str">
        <f t="shared" si="20"/>
        <v/>
      </c>
      <c r="J146" s="91">
        <v>56</v>
      </c>
      <c r="K146" s="90" t="str">
        <f t="shared" si="21"/>
        <v/>
      </c>
      <c r="L146" s="94">
        <v>19</v>
      </c>
      <c r="M146" s="90" t="str">
        <f t="shared" si="34"/>
        <v/>
      </c>
      <c r="N146" s="94">
        <v>37</v>
      </c>
      <c r="O146" s="90" t="str">
        <f t="shared" si="22"/>
        <v/>
      </c>
      <c r="P146" s="92">
        <v>55</v>
      </c>
      <c r="Q146" s="90" t="str">
        <f t="shared" si="23"/>
        <v/>
      </c>
      <c r="R146" s="94">
        <v>19</v>
      </c>
      <c r="S146" s="90" t="str">
        <f t="shared" si="24"/>
        <v/>
      </c>
      <c r="T146" s="94">
        <v>20</v>
      </c>
      <c r="U146" s="90" t="str">
        <f t="shared" si="25"/>
        <v/>
      </c>
      <c r="V146" s="92">
        <v>48</v>
      </c>
      <c r="W146" s="90" t="str">
        <f t="shared" si="26"/>
        <v/>
      </c>
      <c r="X146" s="94">
        <v>20</v>
      </c>
      <c r="Y146" s="90" t="str">
        <f t="shared" si="27"/>
        <v/>
      </c>
      <c r="Z146" s="92">
        <v>64</v>
      </c>
      <c r="AA146" s="90" t="str">
        <f t="shared" si="28"/>
        <v/>
      </c>
      <c r="AB146" s="94">
        <v>20</v>
      </c>
      <c r="AC146" s="90" t="str">
        <f t="shared" si="29"/>
        <v/>
      </c>
      <c r="AD146" s="94">
        <v>19</v>
      </c>
      <c r="AE146" s="90" t="str">
        <f t="shared" si="30"/>
        <v/>
      </c>
      <c r="AF146" s="92">
        <v>27</v>
      </c>
      <c r="AG146" s="89" t="str">
        <f t="shared" si="31"/>
        <v/>
      </c>
      <c r="AH146" s="94">
        <v>20</v>
      </c>
      <c r="AI146" s="90" t="str">
        <f t="shared" si="32"/>
        <v/>
      </c>
      <c r="AJ146" s="108">
        <f>IF(AND(OR(COUNTIF(D146:AI146,"=31")&gt;=1,COUNTIF(D146:AI146,"=32")&gt;=1,COUNTIF(D146:AI146,"=33")&gt;=1,COUNTIF(D146:AI146,"=34")&gt;=1,COUNTIF(D146:AI146,"=35")=1,COUNTIF(D146:AI146,"=36")&gt;=1 ),COUNTIF(D146:AI146,"")=0,COUNTIF(D146:AI146," ")=0,COUNTIF(D146:AI146,"F")=1),CONCATENATE(SUM(EXTRACTNUMBER(D146),EXTRACTNUMBER(F146),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EXTRACTNUMBER(AD146),EXTRACTNUMBER(AF146),EXTRACTNUMBER(AH146)),"*"),IF(AND(COUNTIF(D146:AI146,"=34")&gt;=1,COUNTIF(D146:AI146,"=35")&gt;=1,COUNTIF(D146:AI146,"f")=2,COUNTIF(D146:AI146,"")=0,COUNTIF(D146:AI146," ")=0),CONCATENATE(SUM(EXTRACTNUMBER(D146),EXTRACTNUMBER(F146),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EXTRACTNUMBER(AD146),EXTRACTNUMBER(AF146),EXTRACTNUMBER(AH146)),"*"),IF(AND(COUNTIF(D146:AI146,"=36")&gt;=2,COUNTIF(D146:AI146,"f")=2,COUNTIF(D146:AI146,"")=0,COUNTIF(D146:AI146," ")=0),CONCATENATE(SUM(EXTRACTNUMBER(D146),EXTRACTNUMBER(F146),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EXTRACTNUMBER(AD146),EXTRACTNUMBER(AF146),EXTRACTNUMBER(AH146)),"*"),SUM(EXTRACTNUMBER(D146),EXTRACTNUMBER(F146),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EXTRACTNUMBER(AD146),EXTRACTNUMBER(AF146),EXTRACTNUMBER(AH146)))))</f>
        <v>553</v>
      </c>
      <c r="AK146" s="24" t="str">
        <f t="shared" si="33"/>
        <v>PASS</v>
      </c>
      <c r="AL146" s="25" t="str">
        <f>SPELLNUMBER(extractnumber_tot(AJ146))</f>
        <v xml:space="preserve">Five Hundred Fifty Three </v>
      </c>
    </row>
    <row r="147" spans="2:39" s="22" customFormat="1" ht="15.95" customHeight="1">
      <c r="B147" s="97">
        <v>235323</v>
      </c>
      <c r="C147" s="98" t="s">
        <v>588</v>
      </c>
      <c r="D147" s="96">
        <v>41</v>
      </c>
      <c r="E147" s="89" t="str">
        <f t="shared" si="18"/>
        <v>E</v>
      </c>
      <c r="F147" s="94">
        <v>20</v>
      </c>
      <c r="G147" s="89" t="str">
        <f t="shared" si="19"/>
        <v>E</v>
      </c>
      <c r="H147" s="94">
        <v>40</v>
      </c>
      <c r="I147" s="90" t="str">
        <f t="shared" si="20"/>
        <v>E</v>
      </c>
      <c r="J147" s="91">
        <v>40</v>
      </c>
      <c r="K147" s="90" t="str">
        <f t="shared" si="21"/>
        <v>E</v>
      </c>
      <c r="L147" s="94">
        <v>17</v>
      </c>
      <c r="M147" s="90" t="str">
        <f t="shared" si="34"/>
        <v>E</v>
      </c>
      <c r="N147" s="94">
        <v>37</v>
      </c>
      <c r="O147" s="90" t="str">
        <f t="shared" si="22"/>
        <v>E</v>
      </c>
      <c r="P147" s="92">
        <v>21</v>
      </c>
      <c r="Q147" s="90" t="str">
        <f t="shared" si="23"/>
        <v>F</v>
      </c>
      <c r="R147" s="94">
        <v>20</v>
      </c>
      <c r="S147" s="90" t="str">
        <f t="shared" si="24"/>
        <v>E</v>
      </c>
      <c r="T147" s="94">
        <v>20</v>
      </c>
      <c r="U147" s="90" t="str">
        <f t="shared" si="25"/>
        <v>E</v>
      </c>
      <c r="V147" s="92">
        <v>21</v>
      </c>
      <c r="W147" s="90" t="str">
        <f t="shared" si="26"/>
        <v>F</v>
      </c>
      <c r="X147" s="94">
        <v>16</v>
      </c>
      <c r="Y147" s="90" t="str">
        <f t="shared" si="27"/>
        <v>E</v>
      </c>
      <c r="Z147" s="92">
        <v>47</v>
      </c>
      <c r="AA147" s="90" t="str">
        <f t="shared" si="28"/>
        <v>E</v>
      </c>
      <c r="AB147" s="94">
        <v>19</v>
      </c>
      <c r="AC147" s="90" t="str">
        <f t="shared" si="29"/>
        <v>E</v>
      </c>
      <c r="AD147" s="94">
        <v>19</v>
      </c>
      <c r="AE147" s="90" t="str">
        <f t="shared" si="30"/>
        <v>E</v>
      </c>
      <c r="AF147" s="92">
        <v>14</v>
      </c>
      <c r="AG147" s="89" t="str">
        <f t="shared" si="31"/>
        <v>F</v>
      </c>
      <c r="AH147" s="94">
        <v>17</v>
      </c>
      <c r="AI147" s="90" t="str">
        <f t="shared" si="32"/>
        <v>E</v>
      </c>
      <c r="AJ147" s="108">
        <f>IF(AND(OR(COUNTIF(D147:AI147,"=31")&gt;=1,COUNTIF(D147:AI147,"=32")&gt;=1,COUNTIF(D147:AI147,"=33")&gt;=1,COUNTIF(D147:AI147,"=34")&gt;=1,COUNTIF(D147:AI147,"=35")=1,COUNTIF(D147:AI147,"=36")&gt;=1 ),COUNTIF(D147:AI147,"")=0,COUNTIF(D147:AI147," ")=0,COUNTIF(D147:AI147,"F")=1),CONCATENATE(SUM(EXTRACTNUMBER(D147),EXTRACTNUMBER(F147),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EXTRACTNUMBER(AD147),EXTRACTNUMBER(AF147),EXTRACTNUMBER(AH147)),"*"),IF(AND(COUNTIF(D147:AI147,"=34")&gt;=1,COUNTIF(D147:AI147,"=35")&gt;=1,COUNTIF(D147:AI147,"f")=2,COUNTIF(D147:AI147,"")=0,COUNTIF(D147:AI147," ")=0),CONCATENATE(SUM(EXTRACTNUMBER(D147),EXTRACTNUMBER(F147),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EXTRACTNUMBER(AD147),EXTRACTNUMBER(AF147),EXTRACTNUMBER(AH147)),"*"),IF(AND(COUNTIF(D147:AI147,"=36")&gt;=2,COUNTIF(D147:AI147,"f")=2,COUNTIF(D147:AI147,"")=0,COUNTIF(D147:AI147," ")=0),CONCATENATE(SUM(EXTRACTNUMBER(D147),EXTRACTNUMBER(F147),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EXTRACTNUMBER(AD147),EXTRACTNUMBER(AF147),EXTRACTNUMBER(AH147)),"*"),SUM(EXTRACTNUMBER(D147),EXTRACTNUMBER(F147),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EXTRACTNUMBER(AD147),EXTRACTNUMBER(AF147),EXTRACTNUMBER(AH147)))))</f>
        <v>409</v>
      </c>
      <c r="AK147" s="24" t="str">
        <f t="shared" si="33"/>
        <v>FAIL</v>
      </c>
      <c r="AL147" s="25" t="str">
        <f>SPELLNUMBER(extractnumber_tot(AJ147))</f>
        <v xml:space="preserve">Four Hundred Nine </v>
      </c>
    </row>
    <row r="148" spans="2:39" s="22" customFormat="1" ht="15.95" customHeight="1">
      <c r="B148" s="97">
        <v>235324</v>
      </c>
      <c r="C148" s="98" t="s">
        <v>589</v>
      </c>
      <c r="D148" s="96">
        <v>57</v>
      </c>
      <c r="E148" s="89" t="str">
        <f t="shared" si="18"/>
        <v/>
      </c>
      <c r="F148" s="94">
        <v>19</v>
      </c>
      <c r="G148" s="89" t="str">
        <f t="shared" si="19"/>
        <v/>
      </c>
      <c r="H148" s="94">
        <v>41</v>
      </c>
      <c r="I148" s="90" t="str">
        <f t="shared" si="20"/>
        <v/>
      </c>
      <c r="J148" s="91">
        <v>56</v>
      </c>
      <c r="K148" s="90" t="str">
        <f t="shared" si="21"/>
        <v/>
      </c>
      <c r="L148" s="94">
        <v>19</v>
      </c>
      <c r="M148" s="90" t="str">
        <f t="shared" si="34"/>
        <v/>
      </c>
      <c r="N148" s="94">
        <v>38</v>
      </c>
      <c r="O148" s="90" t="str">
        <f t="shared" si="22"/>
        <v/>
      </c>
      <c r="P148" s="92">
        <v>49</v>
      </c>
      <c r="Q148" s="90" t="str">
        <f t="shared" si="23"/>
        <v/>
      </c>
      <c r="R148" s="94">
        <v>20</v>
      </c>
      <c r="S148" s="90" t="str">
        <f t="shared" si="24"/>
        <v/>
      </c>
      <c r="T148" s="94">
        <v>22</v>
      </c>
      <c r="U148" s="90" t="str">
        <f t="shared" si="25"/>
        <v/>
      </c>
      <c r="V148" s="92">
        <v>41</v>
      </c>
      <c r="W148" s="90" t="str">
        <f t="shared" si="26"/>
        <v/>
      </c>
      <c r="X148" s="94">
        <v>22</v>
      </c>
      <c r="Y148" s="90" t="str">
        <f t="shared" si="27"/>
        <v/>
      </c>
      <c r="Z148" s="92">
        <v>51</v>
      </c>
      <c r="AA148" s="90" t="str">
        <f t="shared" si="28"/>
        <v/>
      </c>
      <c r="AB148" s="94">
        <v>20</v>
      </c>
      <c r="AC148" s="90" t="str">
        <f t="shared" si="29"/>
        <v/>
      </c>
      <c r="AD148" s="94">
        <v>19</v>
      </c>
      <c r="AE148" s="90" t="str">
        <f t="shared" si="30"/>
        <v/>
      </c>
      <c r="AF148" s="92">
        <v>26</v>
      </c>
      <c r="AG148" s="89" t="str">
        <f t="shared" si="31"/>
        <v/>
      </c>
      <c r="AH148" s="94">
        <v>19</v>
      </c>
      <c r="AI148" s="90" t="str">
        <f t="shared" si="32"/>
        <v/>
      </c>
      <c r="AJ148" s="108">
        <f>IF(AND(OR(COUNTIF(D148:AI148,"=31")&gt;=1,COUNTIF(D148:AI148,"=32")&gt;=1,COUNTIF(D148:AI148,"=33")&gt;=1,COUNTIF(D148:AI148,"=34")&gt;=1,COUNTIF(D148:AI148,"=35")=1,COUNTIF(D148:AI148,"=36")&gt;=1 ),COUNTIF(D148:AI148,"")=0,COUNTIF(D148:AI148," ")=0,COUNTIF(D148:AI148,"F")=1),CONCATENATE(SUM(EXTRACTNUMBER(D148),EXTRACTNUMBER(F148),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EXTRACTNUMBER(AD148),EXTRACTNUMBER(AF148),EXTRACTNUMBER(AH148)),"*"),IF(AND(COUNTIF(D148:AI148,"=34")&gt;=1,COUNTIF(D148:AI148,"=35")&gt;=1,COUNTIF(D148:AI148,"f")=2,COUNTIF(D148:AI148,"")=0,COUNTIF(D148:AI148," ")=0),CONCATENATE(SUM(EXTRACTNUMBER(D148),EXTRACTNUMBER(F148),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EXTRACTNUMBER(AD148),EXTRACTNUMBER(AF148),EXTRACTNUMBER(AH148)),"*"),IF(AND(COUNTIF(D148:AI148,"=36")&gt;=2,COUNTIF(D148:AI148,"f")=2,COUNTIF(D148:AI148,"")=0,COUNTIF(D148:AI148," ")=0),CONCATENATE(SUM(EXTRACTNUMBER(D148),EXTRACTNUMBER(F148),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EXTRACTNUMBER(AD148),EXTRACTNUMBER(AF148),EXTRACTNUMBER(AH148)),"*"),SUM(EXTRACTNUMBER(D148),EXTRACTNUMBER(F148),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EXTRACTNUMBER(AD148),EXTRACTNUMBER(AF148),EXTRACTNUMBER(AH148)))))</f>
        <v>519</v>
      </c>
      <c r="AK148" s="24" t="str">
        <f t="shared" si="33"/>
        <v>PASS</v>
      </c>
      <c r="AL148" s="25" t="str">
        <f>SPELLNUMBER(extractnumber_tot(AJ148))</f>
        <v xml:space="preserve">Five Hundred Nineteen </v>
      </c>
    </row>
    <row r="149" spans="2:39" s="22" customFormat="1" ht="15.95" customHeight="1">
      <c r="B149" s="97">
        <v>235325</v>
      </c>
      <c r="C149" s="98" t="s">
        <v>590</v>
      </c>
      <c r="D149" s="96">
        <v>65</v>
      </c>
      <c r="E149" s="89" t="str">
        <f t="shared" si="18"/>
        <v/>
      </c>
      <c r="F149" s="94">
        <v>21</v>
      </c>
      <c r="G149" s="89" t="str">
        <f t="shared" si="19"/>
        <v/>
      </c>
      <c r="H149" s="94">
        <v>45</v>
      </c>
      <c r="I149" s="90" t="str">
        <f t="shared" si="20"/>
        <v/>
      </c>
      <c r="J149" s="91">
        <v>54</v>
      </c>
      <c r="K149" s="90" t="str">
        <f t="shared" si="21"/>
        <v/>
      </c>
      <c r="L149" s="94">
        <v>20</v>
      </c>
      <c r="M149" s="90" t="str">
        <f t="shared" si="34"/>
        <v/>
      </c>
      <c r="N149" s="94">
        <v>38</v>
      </c>
      <c r="O149" s="90" t="str">
        <f t="shared" si="22"/>
        <v/>
      </c>
      <c r="P149" s="92">
        <v>74</v>
      </c>
      <c r="Q149" s="90" t="str">
        <f t="shared" si="23"/>
        <v/>
      </c>
      <c r="R149" s="94">
        <v>23</v>
      </c>
      <c r="S149" s="90" t="str">
        <f t="shared" si="24"/>
        <v/>
      </c>
      <c r="T149" s="94">
        <v>21</v>
      </c>
      <c r="U149" s="90" t="str">
        <f t="shared" si="25"/>
        <v/>
      </c>
      <c r="V149" s="92">
        <v>57</v>
      </c>
      <c r="W149" s="90" t="str">
        <f t="shared" si="26"/>
        <v/>
      </c>
      <c r="X149" s="94">
        <v>23</v>
      </c>
      <c r="Y149" s="90" t="str">
        <f t="shared" si="27"/>
        <v/>
      </c>
      <c r="Z149" s="92">
        <v>59</v>
      </c>
      <c r="AA149" s="90" t="str">
        <f t="shared" si="28"/>
        <v/>
      </c>
      <c r="AB149" s="94">
        <v>20</v>
      </c>
      <c r="AC149" s="90" t="str">
        <f t="shared" si="29"/>
        <v/>
      </c>
      <c r="AD149" s="94">
        <v>19</v>
      </c>
      <c r="AE149" s="90" t="str">
        <f t="shared" si="30"/>
        <v/>
      </c>
      <c r="AF149" s="92">
        <v>31</v>
      </c>
      <c r="AG149" s="89" t="str">
        <f t="shared" si="31"/>
        <v/>
      </c>
      <c r="AH149" s="94">
        <v>18</v>
      </c>
      <c r="AI149" s="90" t="str">
        <f t="shared" si="32"/>
        <v/>
      </c>
      <c r="AJ149" s="108">
        <f>IF(AND(OR(COUNTIF(D149:AI149,"=31")&gt;=1,COUNTIF(D149:AI149,"=32")&gt;=1,COUNTIF(D149:AI149,"=33")&gt;=1,COUNTIF(D149:AI149,"=34")&gt;=1,COUNTIF(D149:AI149,"=35")=1,COUNTIF(D149:AI149,"=36")&gt;=1 ),COUNTIF(D149:AI149,"")=0,COUNTIF(D149:AI149," ")=0,COUNTIF(D149:AI149,"F")=1),CONCATENATE(SUM(EXTRACTNUMBER(D149),EXTRACTNUMBER(F149),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EXTRACTNUMBER(AD149),EXTRACTNUMBER(AF149),EXTRACTNUMBER(AH149)),"*"),IF(AND(COUNTIF(D149:AI149,"=34")&gt;=1,COUNTIF(D149:AI149,"=35")&gt;=1,COUNTIF(D149:AI149,"f")=2,COUNTIF(D149:AI149,"")=0,COUNTIF(D149:AI149," ")=0),CONCATENATE(SUM(EXTRACTNUMBER(D149),EXTRACTNUMBER(F149),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EXTRACTNUMBER(AD149),EXTRACTNUMBER(AF149),EXTRACTNUMBER(AH149)),"*"),IF(AND(COUNTIF(D149:AI149,"=36")&gt;=2,COUNTIF(D149:AI149,"f")=2,COUNTIF(D149:AI149,"")=0,COUNTIF(D149:AI149," ")=0),CONCATENATE(SUM(EXTRACTNUMBER(D149),EXTRACTNUMBER(F149),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EXTRACTNUMBER(AD149),EXTRACTNUMBER(AF149),EXTRACTNUMBER(AH149)),"*"),SUM(EXTRACTNUMBER(D149),EXTRACTNUMBER(F149),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EXTRACTNUMBER(AD149),EXTRACTNUMBER(AF149),EXTRACTNUMBER(AH149)))))</f>
        <v>588</v>
      </c>
      <c r="AK149" s="24" t="str">
        <f t="shared" si="33"/>
        <v>PASS</v>
      </c>
      <c r="AL149" s="25" t="str">
        <f>SPELLNUMBER(extractnumber_tot(AJ149))</f>
        <v xml:space="preserve">Five Hundred Eighty Eight </v>
      </c>
    </row>
    <row r="150" spans="2:39" s="22" customFormat="1" ht="15.95" customHeight="1">
      <c r="B150" s="97">
        <v>235326</v>
      </c>
      <c r="C150" s="98" t="s">
        <v>591</v>
      </c>
      <c r="D150" s="96">
        <v>62</v>
      </c>
      <c r="E150" s="89" t="str">
        <f t="shared" si="18"/>
        <v/>
      </c>
      <c r="F150" s="94">
        <v>23</v>
      </c>
      <c r="G150" s="89" t="str">
        <f t="shared" si="19"/>
        <v/>
      </c>
      <c r="H150" s="94">
        <v>47</v>
      </c>
      <c r="I150" s="90" t="str">
        <f t="shared" si="20"/>
        <v/>
      </c>
      <c r="J150" s="91" t="s">
        <v>338</v>
      </c>
      <c r="K150" s="90" t="str">
        <f t="shared" si="21"/>
        <v/>
      </c>
      <c r="L150" s="94">
        <v>20</v>
      </c>
      <c r="M150" s="90" t="str">
        <f t="shared" si="34"/>
        <v/>
      </c>
      <c r="N150" s="94">
        <v>39</v>
      </c>
      <c r="O150" s="90" t="str">
        <f t="shared" si="22"/>
        <v/>
      </c>
      <c r="P150" s="92">
        <v>46</v>
      </c>
      <c r="Q150" s="90" t="str">
        <f t="shared" si="23"/>
        <v/>
      </c>
      <c r="R150" s="94">
        <v>23</v>
      </c>
      <c r="S150" s="90" t="str">
        <f t="shared" si="24"/>
        <v/>
      </c>
      <c r="T150" s="94">
        <v>23</v>
      </c>
      <c r="U150" s="90" t="str">
        <f t="shared" si="25"/>
        <v/>
      </c>
      <c r="V150" s="92">
        <v>40</v>
      </c>
      <c r="W150" s="90" t="str">
        <f t="shared" si="26"/>
        <v/>
      </c>
      <c r="X150" s="94">
        <v>22</v>
      </c>
      <c r="Y150" s="90" t="str">
        <f t="shared" si="27"/>
        <v/>
      </c>
      <c r="Z150" s="92">
        <v>40</v>
      </c>
      <c r="AA150" s="90" t="str">
        <f t="shared" si="28"/>
        <v/>
      </c>
      <c r="AB150" s="94">
        <v>21</v>
      </c>
      <c r="AC150" s="90" t="str">
        <f t="shared" si="29"/>
        <v/>
      </c>
      <c r="AD150" s="94">
        <v>20</v>
      </c>
      <c r="AE150" s="90" t="str">
        <f t="shared" si="30"/>
        <v/>
      </c>
      <c r="AF150" s="92">
        <v>29</v>
      </c>
      <c r="AG150" s="89" t="str">
        <f t="shared" si="31"/>
        <v/>
      </c>
      <c r="AH150" s="94">
        <v>19</v>
      </c>
      <c r="AI150" s="90" t="str">
        <f t="shared" si="32"/>
        <v/>
      </c>
      <c r="AJ150" s="109" t="s">
        <v>658</v>
      </c>
      <c r="AK150" s="24" t="str">
        <f t="shared" si="33"/>
        <v>PASS</v>
      </c>
      <c r="AL150" s="25" t="str">
        <f>SPELLNUMBER(extractnumber_tot(AJ150))</f>
        <v xml:space="preserve">Five Hundred Seven </v>
      </c>
    </row>
    <row r="151" spans="2:39" s="22" customFormat="1" ht="15.95" customHeight="1">
      <c r="B151" s="97">
        <v>235327</v>
      </c>
      <c r="C151" s="98" t="s">
        <v>592</v>
      </c>
      <c r="D151" s="96">
        <v>59</v>
      </c>
      <c r="E151" s="89" t="str">
        <f t="shared" si="18"/>
        <v/>
      </c>
      <c r="F151" s="94">
        <v>21</v>
      </c>
      <c r="G151" s="89" t="str">
        <f t="shared" si="19"/>
        <v/>
      </c>
      <c r="H151" s="94">
        <v>42</v>
      </c>
      <c r="I151" s="90" t="str">
        <f t="shared" si="20"/>
        <v/>
      </c>
      <c r="J151" s="91">
        <v>59</v>
      </c>
      <c r="K151" s="90" t="str">
        <f t="shared" si="21"/>
        <v/>
      </c>
      <c r="L151" s="94">
        <v>21</v>
      </c>
      <c r="M151" s="90" t="str">
        <f t="shared" si="34"/>
        <v/>
      </c>
      <c r="N151" s="94">
        <v>39</v>
      </c>
      <c r="O151" s="90" t="str">
        <f t="shared" si="22"/>
        <v/>
      </c>
      <c r="P151" s="92">
        <v>48</v>
      </c>
      <c r="Q151" s="90" t="str">
        <f t="shared" si="23"/>
        <v/>
      </c>
      <c r="R151" s="94">
        <v>22</v>
      </c>
      <c r="S151" s="90" t="str">
        <f t="shared" si="24"/>
        <v/>
      </c>
      <c r="T151" s="94">
        <v>22</v>
      </c>
      <c r="U151" s="90" t="str">
        <f t="shared" si="25"/>
        <v/>
      </c>
      <c r="V151" s="92">
        <v>49</v>
      </c>
      <c r="W151" s="90" t="str">
        <f t="shared" si="26"/>
        <v/>
      </c>
      <c r="X151" s="94">
        <v>21</v>
      </c>
      <c r="Y151" s="90" t="str">
        <f t="shared" si="27"/>
        <v/>
      </c>
      <c r="Z151" s="92">
        <v>60</v>
      </c>
      <c r="AA151" s="90" t="str">
        <f t="shared" si="28"/>
        <v/>
      </c>
      <c r="AB151" s="94">
        <v>20</v>
      </c>
      <c r="AC151" s="90" t="str">
        <f t="shared" si="29"/>
        <v/>
      </c>
      <c r="AD151" s="94">
        <v>21</v>
      </c>
      <c r="AE151" s="90" t="str">
        <f t="shared" si="30"/>
        <v/>
      </c>
      <c r="AF151" s="92">
        <v>28</v>
      </c>
      <c r="AG151" s="89" t="str">
        <f t="shared" si="31"/>
        <v/>
      </c>
      <c r="AH151" s="94">
        <v>20</v>
      </c>
      <c r="AI151" s="90" t="str">
        <f t="shared" si="32"/>
        <v/>
      </c>
      <c r="AJ151" s="108">
        <f>IF(AND(OR(COUNTIF(D151:AI151,"=31")&gt;=1,COUNTIF(D151:AI151,"=32")&gt;=1,COUNTIF(D151:AI151,"=33")&gt;=1,COUNTIF(D151:AI151,"=34")&gt;=1,COUNTIF(D151:AI151,"=35")=1,COUNTIF(D151:AI151,"=36")&gt;=1 ),COUNTIF(D151:AI151,"")=0,COUNTIF(D151:AI151," ")=0,COUNTIF(D151:AI151,"F")=1),CONCATENATE(SUM(EXTRACTNUMBER(D151),EXTRACTNUMBER(F151),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EXTRACTNUMBER(AD151),EXTRACTNUMBER(AF151),EXTRACTNUMBER(AH151)),"*"),IF(AND(COUNTIF(D151:AI151,"=34")&gt;=1,COUNTIF(D151:AI151,"=35")&gt;=1,COUNTIF(D151:AI151,"f")=2,COUNTIF(D151:AI151,"")=0,COUNTIF(D151:AI151," ")=0),CONCATENATE(SUM(EXTRACTNUMBER(D151),EXTRACTNUMBER(F151),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EXTRACTNUMBER(AD151),EXTRACTNUMBER(AF151),EXTRACTNUMBER(AH151)),"*"),IF(AND(COUNTIF(D151:AI151,"=36")&gt;=2,COUNTIF(D151:AI151,"f")=2,COUNTIF(D151:AI151,"")=0,COUNTIF(D151:AI151," ")=0),CONCATENATE(SUM(EXTRACTNUMBER(D151),EXTRACTNUMBER(F151),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EXTRACTNUMBER(AD151),EXTRACTNUMBER(AF151),EXTRACTNUMBER(AH151)),"*"),SUM(EXTRACTNUMBER(D151),EXTRACTNUMBER(F151),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EXTRACTNUMBER(AD151),EXTRACTNUMBER(AF151),EXTRACTNUMBER(AH151)))))</f>
        <v>552</v>
      </c>
      <c r="AK151" s="24" t="str">
        <f t="shared" si="33"/>
        <v>PASS</v>
      </c>
      <c r="AL151" s="25" t="str">
        <f>SPELLNUMBER(extractnumber_tot(AJ151))</f>
        <v xml:space="preserve">Five Hundred Fifty Two </v>
      </c>
    </row>
    <row r="152" spans="2:39" s="22" customFormat="1" ht="15.95" customHeight="1">
      <c r="B152" s="97">
        <v>235328</v>
      </c>
      <c r="C152" s="98" t="s">
        <v>593</v>
      </c>
      <c r="D152" s="96">
        <v>60</v>
      </c>
      <c r="E152" s="89" t="str">
        <f t="shared" si="18"/>
        <v/>
      </c>
      <c r="F152" s="94">
        <v>19</v>
      </c>
      <c r="G152" s="89" t="str">
        <f t="shared" si="19"/>
        <v/>
      </c>
      <c r="H152" s="94">
        <v>41</v>
      </c>
      <c r="I152" s="90" t="str">
        <f t="shared" si="20"/>
        <v/>
      </c>
      <c r="J152" s="91">
        <v>42</v>
      </c>
      <c r="K152" s="90" t="str">
        <f t="shared" si="21"/>
        <v/>
      </c>
      <c r="L152" s="94">
        <v>19</v>
      </c>
      <c r="M152" s="90" t="str">
        <f t="shared" ref="M152:M193" si="35">IF(IFERROR(FIND("+",L152),0)," ",
IF(L152="AB","",
IF(L152&lt;$L$24,"F",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N152" s="94">
        <v>38</v>
      </c>
      <c r="O152" s="90" t="str">
        <f t="shared" si="22"/>
        <v/>
      </c>
      <c r="P152" s="92">
        <v>44</v>
      </c>
      <c r="Q152" s="90" t="str">
        <f t="shared" si="23"/>
        <v/>
      </c>
      <c r="R152" s="94">
        <v>19</v>
      </c>
      <c r="S152" s="90" t="str">
        <f t="shared" si="24"/>
        <v/>
      </c>
      <c r="T152" s="94">
        <v>22</v>
      </c>
      <c r="U152" s="90" t="str">
        <f t="shared" si="25"/>
        <v/>
      </c>
      <c r="V152" s="92">
        <v>41</v>
      </c>
      <c r="W152" s="90" t="str">
        <f t="shared" si="26"/>
        <v/>
      </c>
      <c r="X152" s="94">
        <v>19</v>
      </c>
      <c r="Y152" s="90" t="str">
        <f t="shared" si="27"/>
        <v/>
      </c>
      <c r="Z152" s="92">
        <v>56</v>
      </c>
      <c r="AA152" s="90" t="str">
        <f t="shared" si="28"/>
        <v/>
      </c>
      <c r="AB152" s="94">
        <v>19</v>
      </c>
      <c r="AC152" s="90" t="str">
        <f t="shared" si="29"/>
        <v/>
      </c>
      <c r="AD152" s="94">
        <v>20</v>
      </c>
      <c r="AE152" s="90" t="str">
        <f t="shared" si="30"/>
        <v/>
      </c>
      <c r="AF152" s="92">
        <v>32</v>
      </c>
      <c r="AG152" s="89" t="str">
        <f t="shared" si="31"/>
        <v/>
      </c>
      <c r="AH152" s="94">
        <v>17</v>
      </c>
      <c r="AI152" s="90" t="str">
        <f t="shared" si="32"/>
        <v/>
      </c>
      <c r="AJ152" s="108">
        <f>IF(AND(OR(COUNTIF(D152:AI152,"=31")&gt;=1,COUNTIF(D152:AI152,"=32")&gt;=1,COUNTIF(D152:AI152,"=33")&gt;=1,COUNTIF(D152:AI152,"=34")&gt;=1,COUNTIF(D152:AI152,"=35")=1,COUNTIF(D152:AI152,"=36")&gt;=1 ),COUNTIF(D152:AI152,"")=0,COUNTIF(D152:AI152," ")=0,COUNTIF(D152:AI152,"F")=1),CONCATENATE(SUM(EXTRACTNUMBER(D152),EXTRACTNUMBER(F152),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EXTRACTNUMBER(AD152),EXTRACTNUMBER(AF152),EXTRACTNUMBER(AH152)),"*"),IF(AND(COUNTIF(D152:AI152,"=34")&gt;=1,COUNTIF(D152:AI152,"=35")&gt;=1,COUNTIF(D152:AI152,"f")=2,COUNTIF(D152:AI152,"")=0,COUNTIF(D152:AI152," ")=0),CONCATENATE(SUM(EXTRACTNUMBER(D152),EXTRACTNUMBER(F152),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EXTRACTNUMBER(AD152),EXTRACTNUMBER(AF152),EXTRACTNUMBER(AH152)),"*"),IF(AND(COUNTIF(D152:AI152,"=36")&gt;=2,COUNTIF(D152:AI152,"f")=2,COUNTIF(D152:AI152,"")=0,COUNTIF(D152:AI152," ")=0),CONCATENATE(SUM(EXTRACTNUMBER(D152),EXTRACTNUMBER(F152),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EXTRACTNUMBER(AD152),EXTRACTNUMBER(AF152),EXTRACTNUMBER(AH152)),"*"),SUM(EXTRACTNUMBER(D152),EXTRACTNUMBER(F152),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EXTRACTNUMBER(AD152),EXTRACTNUMBER(AF152),EXTRACTNUMBER(AH152)))))</f>
        <v>508</v>
      </c>
      <c r="AK152" s="24" t="str">
        <f t="shared" si="33"/>
        <v>PASS</v>
      </c>
      <c r="AL152" s="25" t="str">
        <f>SPELLNUMBER(extractnumber_tot(AJ152))</f>
        <v xml:space="preserve">Five Hundred Eight </v>
      </c>
    </row>
    <row r="153" spans="2:39" s="22" customFormat="1" ht="15.95" customHeight="1">
      <c r="B153" s="97">
        <v>235329</v>
      </c>
      <c r="C153" s="98" t="s">
        <v>594</v>
      </c>
      <c r="D153" s="96">
        <v>57</v>
      </c>
      <c r="E153" s="89" t="str">
        <f t="shared" si="18"/>
        <v/>
      </c>
      <c r="F153" s="94">
        <v>20</v>
      </c>
      <c r="G153" s="89" t="str">
        <f t="shared" si="19"/>
        <v/>
      </c>
      <c r="H153" s="94">
        <v>43</v>
      </c>
      <c r="I153" s="90" t="str">
        <f t="shared" si="20"/>
        <v/>
      </c>
      <c r="J153" s="91">
        <v>57</v>
      </c>
      <c r="K153" s="90" t="str">
        <f t="shared" si="21"/>
        <v/>
      </c>
      <c r="L153" s="94">
        <v>20</v>
      </c>
      <c r="M153" s="90" t="str">
        <f t="shared" si="35"/>
        <v/>
      </c>
      <c r="N153" s="94">
        <v>39</v>
      </c>
      <c r="O153" s="90" t="str">
        <f t="shared" si="22"/>
        <v/>
      </c>
      <c r="P153" s="92" t="s">
        <v>338</v>
      </c>
      <c r="Q153" s="90" t="str">
        <f t="shared" si="23"/>
        <v/>
      </c>
      <c r="R153" s="94">
        <v>20</v>
      </c>
      <c r="S153" s="90" t="str">
        <f t="shared" si="24"/>
        <v/>
      </c>
      <c r="T153" s="94">
        <v>22</v>
      </c>
      <c r="U153" s="90" t="str">
        <f t="shared" si="25"/>
        <v/>
      </c>
      <c r="V153" s="92">
        <v>42</v>
      </c>
      <c r="W153" s="90" t="str">
        <f t="shared" si="26"/>
        <v/>
      </c>
      <c r="X153" s="94">
        <v>20</v>
      </c>
      <c r="Y153" s="90" t="str">
        <f t="shared" si="27"/>
        <v/>
      </c>
      <c r="Z153" s="92">
        <v>50</v>
      </c>
      <c r="AA153" s="90" t="str">
        <f t="shared" si="28"/>
        <v/>
      </c>
      <c r="AB153" s="94">
        <v>19</v>
      </c>
      <c r="AC153" s="90" t="str">
        <f t="shared" si="29"/>
        <v/>
      </c>
      <c r="AD153" s="94">
        <v>19</v>
      </c>
      <c r="AE153" s="90" t="str">
        <f t="shared" si="30"/>
        <v/>
      </c>
      <c r="AF153" s="92">
        <v>33</v>
      </c>
      <c r="AG153" s="89" t="str">
        <f t="shared" si="31"/>
        <v/>
      </c>
      <c r="AH153" s="94">
        <v>18</v>
      </c>
      <c r="AI153" s="90" t="str">
        <f t="shared" si="32"/>
        <v/>
      </c>
      <c r="AJ153" s="109" t="s">
        <v>655</v>
      </c>
      <c r="AK153" s="24" t="str">
        <f t="shared" si="33"/>
        <v>PASS</v>
      </c>
      <c r="AL153" s="25" t="str">
        <f>SPELLNUMBER(extractnumber_tot(AJ153))</f>
        <v xml:space="preserve">Five Hundred Twelve </v>
      </c>
    </row>
    <row r="154" spans="2:39" s="22" customFormat="1" ht="15.95" customHeight="1">
      <c r="B154" s="97">
        <v>235330</v>
      </c>
      <c r="C154" s="98" t="s">
        <v>595</v>
      </c>
      <c r="D154" s="96">
        <v>42</v>
      </c>
      <c r="E154" s="89" t="str">
        <f t="shared" ref="E154:E193" si="36">IF(IFERROR(FIND("+",D154),0)," ",
IF(D154="AB","",
IF(D154&lt;$D$24,"F",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F154" s="94">
        <v>20</v>
      </c>
      <c r="G154" s="89" t="str">
        <f t="shared" ref="G154:G193" si="37">IF(IFERROR(FIND("+",F154),0)," ",
IF(F154="AB","",
IF(F154&lt;$F$24,"F",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H154" s="94">
        <v>41</v>
      </c>
      <c r="I154" s="90" t="str">
        <f t="shared" ref="I154:I193" si="38">IF(IFERROR(FIND("+",H154),0)," ",
IF(H154="AB","",
IF(H154&lt;$H$24,"F",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J154" s="91">
        <v>40</v>
      </c>
      <c r="K154" s="90" t="str">
        <f t="shared" ref="K154:K193" si="39">IF(IFERROR(FIND("+",J154),0)," ",
IF(J154="AB","",
IF(J154&lt;$J$24,"F",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L154" s="94">
        <v>19</v>
      </c>
      <c r="M154" s="90" t="str">
        <f t="shared" si="35"/>
        <v>E</v>
      </c>
      <c r="N154" s="94">
        <v>39</v>
      </c>
      <c r="O154" s="90" t="str">
        <f t="shared" ref="O154:O193" si="40">IF(IFERROR(FIND("+",N154),0)," ",
IF(N154="AB","",
IF(N154&lt;$N$24,"F",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P154" s="92">
        <v>26</v>
      </c>
      <c r="Q154" s="90" t="str">
        <f t="shared" ref="Q154:Q193" si="41">IF(IFERROR(FIND("+",P154),0)," ",
IF(P154="AB","",
IF(P154&lt;$P$24,"F",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F</v>
      </c>
      <c r="R154" s="94">
        <v>17</v>
      </c>
      <c r="S154" s="90" t="str">
        <f t="shared" ref="S154:S193" si="42">IF(IFERROR(FIND("+",R154),0)," ",
IF(R154="AB","",
IF(R154&lt;$R$24,"F",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T154" s="94">
        <v>20</v>
      </c>
      <c r="U154" s="90" t="str">
        <f t="shared" ref="U154:U193" si="43">IF(IFERROR(FIND("+",T154),0)," ",
IF(T154="AB","",
IF(T154&lt;$T$24,"F",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V154" s="92">
        <v>13</v>
      </c>
      <c r="W154" s="90" t="str">
        <f t="shared" ref="W154:W193" si="44">IF(IFERROR(FIND("+",V154),0)," ",
IF(V154="AB","",
IF(V154&lt;$V$24,"F",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F</v>
      </c>
      <c r="X154" s="94">
        <v>18</v>
      </c>
      <c r="Y154" s="90" t="str">
        <f t="shared" ref="Y154:Y193" si="45">IF(IFERROR(FIND("+",X154),0)," ",
IF(X154="AB","",
IF(X154&lt;$X$24,"F",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Z154" s="92">
        <v>23</v>
      </c>
      <c r="AA154" s="90" t="str">
        <f t="shared" ref="AA154:AA193" si="46">IF(IFERROR(FIND("+",Z154),0)," ",
IF(Z154="AB","",
IF(Z154&lt;$Z$24,"F",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F</v>
      </c>
      <c r="AB154" s="94">
        <v>17</v>
      </c>
      <c r="AC154" s="90" t="str">
        <f t="shared" ref="AC154:AC193" si="47">IF(IFERROR(FIND("+",AB154),0)," ",
IF(AB154="AB","",
IF(AB154&lt;$AB$24,"F",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AD154" s="94">
        <v>19</v>
      </c>
      <c r="AE154" s="90" t="str">
        <f t="shared" ref="AE154:AE193" si="48">IF(IFERROR(FIND("+",AD154),0)," ",
IF(AD154="AB","",
IF(AD154&lt;$AD$24,"F",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AF154" s="92">
        <v>24</v>
      </c>
      <c r="AG154" s="89" t="str">
        <f t="shared" ref="AG154:AG193" si="49">IF(IFERROR(FIND("+",AF154),0)," ",
IF(AF154="AB","",
IF(AF154&lt;$AF$24,"F",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AH154" s="94">
        <v>18</v>
      </c>
      <c r="AI154" s="90" t="str">
        <f t="shared" ref="AI154:AI193" si="50">IF(IFERROR(FIND("+",AH154),0)," ",
IF(AH154="AB","",
IF(AH154&lt;$AH$24,"F",
IF(AND(D154&gt;=$D$24,F154&gt;=$F$24,H154&gt;=$H$24,
J154&gt;=$J$24,L154&gt;=$L$24,
N154&gt;=$N$24,P154&gt;=$P$24,R154&gt;=$R$24,T154&gt;=$T$24,V154&gt;=$V$24,
X154&gt;=$X$24,Z154&gt;=$Z$24,AB154&gt;=$AB$24,AD154&gt;=$AD$24,AF154&gt;=$AF$24,
AH154&gt;=$AH$24,D154&lt;&gt;"AB",F154&lt;&gt;"AB",H154&lt;&gt;"AB",
J154&lt;&gt;"AB",L154&lt;&gt;"AB",
N154&lt;&gt;"AB",P154&lt;&gt;"AB",R154&lt;&gt;"AB",T154&lt;&gt;"AB",V154&lt;&gt;"AB",
X154&lt;&gt;"AB",Z154&lt;&gt;"AB",AB154&lt;&gt;"AB",AD154&lt;&gt;"AB",AF154&lt;&gt;"AB",
AH154&lt;&gt;"AB"),"","E"))))</f>
        <v>E</v>
      </c>
      <c r="AJ154" s="108">
        <f>IF(AND(OR(COUNTIF(D154:AI154,"=31")&gt;=1,COUNTIF(D154:AI154,"=32")&gt;=1,COUNTIF(D154:AI154,"=33")&gt;=1,COUNTIF(D154:AI154,"=34")&gt;=1,COUNTIF(D154:AI154,"=35")=1,COUNTIF(D154:AI154,"=36")&gt;=1 ),COUNTIF(D154:AI154,"")=0,COUNTIF(D154:AI154," ")=0,COUNTIF(D154:AI154,"F")=1),CONCATENATE(SUM(EXTRACTNUMBER(D154),EXTRACTNUMBER(F154),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EXTRACTNUMBER(AD154),EXTRACTNUMBER(AF154),EXTRACTNUMBER(AH154)),"*"),IF(AND(COUNTIF(D154:AI154,"=34")&gt;=1,COUNTIF(D154:AI154,"=35")&gt;=1,COUNTIF(D154:AI154,"f")=2,COUNTIF(D154:AI154,"")=0,COUNTIF(D154:AI154," ")=0),CONCATENATE(SUM(EXTRACTNUMBER(D154),EXTRACTNUMBER(F154),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EXTRACTNUMBER(AD154),EXTRACTNUMBER(AF154),EXTRACTNUMBER(AH154)),"*"),IF(AND(COUNTIF(D154:AI154,"=36")&gt;=2,COUNTIF(D154:AI154,"f")=2,COUNTIF(D154:AI154,"")=0,COUNTIF(D154:AI154," ")=0),CONCATENATE(SUM(EXTRACTNUMBER(D154),EXTRACTNUMBER(F154),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EXTRACTNUMBER(AD154),EXTRACTNUMBER(AF154),EXTRACTNUMBER(AH154)),"*"),SUM(EXTRACTNUMBER(D154),EXTRACTNUMBER(F154),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EXTRACTNUMBER(AD154),EXTRACTNUMBER(AF154),EXTRACTNUMBER(AH154)))))</f>
        <v>396</v>
      </c>
      <c r="AK154" s="24" t="str">
        <f t="shared" ref="AK154:AK193" si="51">IF(AND(COUNTIF(D154:AI154,"AB")&lt;16-COUNTIF(D154:AI154," "),
COUNTIF(D154:AI154,"AB")&lt;&gt;0),"FAIL",
IF(COUNTIF(D154:AI154,"AB")=16-COUNTIF(D154:AI154," "),"ABSENT",
IF(AND(COUNTIF(D154:AI154,"AB")=0,COUNTIF(D154:AI154,"F")=0),"PASS","FAIL")))</f>
        <v>FAIL</v>
      </c>
      <c r="AL154" s="25" t="str">
        <f>SPELLNUMBER(extractnumber_tot(AJ154))</f>
        <v xml:space="preserve">Three Hundred NinetySix </v>
      </c>
    </row>
    <row r="155" spans="2:39" s="22" customFormat="1" ht="15.95" customHeight="1">
      <c r="B155" s="97">
        <v>235331</v>
      </c>
      <c r="C155" s="98" t="s">
        <v>596</v>
      </c>
      <c r="D155" s="96">
        <v>52</v>
      </c>
      <c r="E155" s="89" t="str">
        <f t="shared" si="36"/>
        <v/>
      </c>
      <c r="F155" s="94">
        <v>23</v>
      </c>
      <c r="G155" s="89" t="str">
        <f t="shared" si="37"/>
        <v/>
      </c>
      <c r="H155" s="94">
        <v>40</v>
      </c>
      <c r="I155" s="90" t="str">
        <f t="shared" si="38"/>
        <v/>
      </c>
      <c r="J155" s="91">
        <v>44</v>
      </c>
      <c r="K155" s="90" t="str">
        <f t="shared" si="39"/>
        <v/>
      </c>
      <c r="L155" s="94">
        <v>21</v>
      </c>
      <c r="M155" s="90" t="str">
        <f t="shared" si="35"/>
        <v/>
      </c>
      <c r="N155" s="94">
        <v>38</v>
      </c>
      <c r="O155" s="90" t="str">
        <f t="shared" si="40"/>
        <v/>
      </c>
      <c r="P155" s="92">
        <v>40</v>
      </c>
      <c r="Q155" s="90" t="str">
        <f t="shared" si="41"/>
        <v/>
      </c>
      <c r="R155" s="94">
        <v>21</v>
      </c>
      <c r="S155" s="90" t="str">
        <f t="shared" si="42"/>
        <v/>
      </c>
      <c r="T155" s="94">
        <v>23</v>
      </c>
      <c r="U155" s="90" t="str">
        <f t="shared" si="43"/>
        <v/>
      </c>
      <c r="V155" s="92">
        <v>40</v>
      </c>
      <c r="W155" s="90" t="str">
        <f t="shared" si="44"/>
        <v/>
      </c>
      <c r="X155" s="94">
        <v>23</v>
      </c>
      <c r="Y155" s="90" t="str">
        <f t="shared" si="45"/>
        <v/>
      </c>
      <c r="Z155" s="92">
        <v>45</v>
      </c>
      <c r="AA155" s="90" t="str">
        <f t="shared" si="46"/>
        <v/>
      </c>
      <c r="AB155" s="94">
        <v>22</v>
      </c>
      <c r="AC155" s="90" t="str">
        <f t="shared" si="47"/>
        <v/>
      </c>
      <c r="AD155" s="94">
        <v>20</v>
      </c>
      <c r="AE155" s="90" t="str">
        <f t="shared" si="48"/>
        <v/>
      </c>
      <c r="AF155" s="92">
        <v>30</v>
      </c>
      <c r="AG155" s="89" t="str">
        <f t="shared" si="49"/>
        <v/>
      </c>
      <c r="AH155" s="94">
        <v>20</v>
      </c>
      <c r="AI155" s="90" t="str">
        <f t="shared" si="50"/>
        <v/>
      </c>
      <c r="AJ155" s="108">
        <f>IF(AND(OR(COUNTIF(D155:AI155,"=31")&gt;=1,COUNTIF(D155:AI155,"=32")&gt;=1,COUNTIF(D155:AI155,"=33")&gt;=1,COUNTIF(D155:AI155,"=34")&gt;=1,COUNTIF(D155:AI155,"=35")=1,COUNTIF(D155:AI155,"=36")&gt;=1 ),COUNTIF(D155:AI155,"")=0,COUNTIF(D155:AI155," ")=0,COUNTIF(D155:AI155,"F")=1),CONCATENATE(SUM(EXTRACTNUMBER(D155),EXTRACTNUMBER(F155),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EXTRACTNUMBER(AD155),EXTRACTNUMBER(AF155),EXTRACTNUMBER(AH155)),"*"),IF(AND(COUNTIF(D155:AI155,"=34")&gt;=1,COUNTIF(D155:AI155,"=35")&gt;=1,COUNTIF(D155:AI155,"f")=2,COUNTIF(D155:AI155,"")=0,COUNTIF(D155:AI155," ")=0),CONCATENATE(SUM(EXTRACTNUMBER(D155),EXTRACTNUMBER(F155),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EXTRACTNUMBER(AD155),EXTRACTNUMBER(AF155),EXTRACTNUMBER(AH155)),"*"),IF(AND(COUNTIF(D155:AI155,"=36")&gt;=2,COUNTIF(D155:AI155,"f")=2,COUNTIF(D155:AI155,"")=0,COUNTIF(D155:AI155," ")=0),CONCATENATE(SUM(EXTRACTNUMBER(D155),EXTRACTNUMBER(F155),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EXTRACTNUMBER(AD155),EXTRACTNUMBER(AF155),EXTRACTNUMBER(AH155)),"*"),SUM(EXTRACTNUMBER(D155),EXTRACTNUMBER(F155),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EXTRACTNUMBER(AD155),EXTRACTNUMBER(AF155),EXTRACTNUMBER(AH155)))))</f>
        <v>502</v>
      </c>
      <c r="AK155" s="24" t="str">
        <f t="shared" si="51"/>
        <v>PASS</v>
      </c>
      <c r="AL155" s="25" t="str">
        <f>SPELLNUMBER(extractnumber_tot(AJ155))</f>
        <v xml:space="preserve">Five Hundred Two </v>
      </c>
    </row>
    <row r="156" spans="2:39" s="22" customFormat="1" ht="15.95" customHeight="1">
      <c r="B156" s="97">
        <v>235332</v>
      </c>
      <c r="C156" s="98" t="s">
        <v>597</v>
      </c>
      <c r="D156" s="96">
        <v>55</v>
      </c>
      <c r="E156" s="89" t="str">
        <f t="shared" si="36"/>
        <v>E</v>
      </c>
      <c r="F156" s="94">
        <v>21</v>
      </c>
      <c r="G156" s="89" t="str">
        <f t="shared" si="37"/>
        <v>E</v>
      </c>
      <c r="H156" s="94">
        <v>41</v>
      </c>
      <c r="I156" s="90" t="str">
        <f t="shared" si="38"/>
        <v>E</v>
      </c>
      <c r="J156" s="91">
        <v>56</v>
      </c>
      <c r="K156" s="90" t="str">
        <f t="shared" si="39"/>
        <v>E</v>
      </c>
      <c r="L156" s="94">
        <v>19</v>
      </c>
      <c r="M156" s="90" t="str">
        <f t="shared" si="35"/>
        <v>E</v>
      </c>
      <c r="N156" s="94">
        <v>39</v>
      </c>
      <c r="O156" s="90" t="str">
        <f t="shared" si="40"/>
        <v>E</v>
      </c>
      <c r="P156" s="92">
        <v>30</v>
      </c>
      <c r="Q156" s="90" t="str">
        <f t="shared" si="41"/>
        <v>F</v>
      </c>
      <c r="R156" s="94">
        <v>19</v>
      </c>
      <c r="S156" s="90" t="str">
        <f t="shared" si="42"/>
        <v>E</v>
      </c>
      <c r="T156" s="94">
        <v>20</v>
      </c>
      <c r="U156" s="90" t="str">
        <f t="shared" si="43"/>
        <v>E</v>
      </c>
      <c r="V156" s="92">
        <v>33</v>
      </c>
      <c r="W156" s="90" t="str">
        <f t="shared" si="44"/>
        <v>F</v>
      </c>
      <c r="X156" s="94">
        <v>17</v>
      </c>
      <c r="Y156" s="90" t="str">
        <f t="shared" si="45"/>
        <v>E</v>
      </c>
      <c r="Z156" s="92">
        <v>54</v>
      </c>
      <c r="AA156" s="90" t="str">
        <f t="shared" si="46"/>
        <v>E</v>
      </c>
      <c r="AB156" s="94">
        <v>20</v>
      </c>
      <c r="AC156" s="90" t="str">
        <f t="shared" si="47"/>
        <v>E</v>
      </c>
      <c r="AD156" s="94">
        <v>20</v>
      </c>
      <c r="AE156" s="90" t="str">
        <f t="shared" si="48"/>
        <v>E</v>
      </c>
      <c r="AF156" s="92">
        <v>27</v>
      </c>
      <c r="AG156" s="89" t="str">
        <f t="shared" si="49"/>
        <v>E</v>
      </c>
      <c r="AH156" s="94">
        <v>18</v>
      </c>
      <c r="AI156" s="90" t="str">
        <f t="shared" si="50"/>
        <v>E</v>
      </c>
      <c r="AJ156" s="108">
        <f>IF(AND(OR(COUNTIF(D156:AI156,"=31")&gt;=1,COUNTIF(D156:AI156,"=32")&gt;=1,COUNTIF(D156:AI156,"=33")&gt;=1,COUNTIF(D156:AI156,"=34")&gt;=1,COUNTIF(D156:AI156,"=35")=1,COUNTIF(D156:AI156,"=36")&gt;=1 ),COUNTIF(D156:AI156,"")=0,COUNTIF(D156:AI156," ")=0,COUNTIF(D156:AI156,"F")=1),CONCATENATE(SUM(EXTRACTNUMBER(D156),EXTRACTNUMBER(F156),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EXTRACTNUMBER(AD156),EXTRACTNUMBER(AF156),EXTRACTNUMBER(AH156)),"*"),IF(AND(COUNTIF(D156:AI156,"=34")&gt;=1,COUNTIF(D156:AI156,"=35")&gt;=1,COUNTIF(D156:AI156,"f")=2,COUNTIF(D156:AI156,"")=0,COUNTIF(D156:AI156," ")=0),CONCATENATE(SUM(EXTRACTNUMBER(D156),EXTRACTNUMBER(F156),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EXTRACTNUMBER(AD156),EXTRACTNUMBER(AF156),EXTRACTNUMBER(AH156)),"*"),IF(AND(COUNTIF(D156:AI156,"=36")&gt;=2,COUNTIF(D156:AI156,"f")=2,COUNTIF(D156:AI156,"")=0,COUNTIF(D156:AI156," ")=0),CONCATENATE(SUM(EXTRACTNUMBER(D156),EXTRACTNUMBER(F156),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EXTRACTNUMBER(AD156),EXTRACTNUMBER(AF156),EXTRACTNUMBER(AH156)),"*"),SUM(EXTRACTNUMBER(D156),EXTRACTNUMBER(F156),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EXTRACTNUMBER(AD156),EXTRACTNUMBER(AF156),EXTRACTNUMBER(AH156)))))</f>
        <v>489</v>
      </c>
      <c r="AK156" s="24" t="str">
        <f t="shared" si="51"/>
        <v>FAIL</v>
      </c>
      <c r="AL156" s="25" t="str">
        <f>SPELLNUMBER(extractnumber_tot(AJ156))</f>
        <v xml:space="preserve">Four Hundred Eighty Nine </v>
      </c>
    </row>
    <row r="157" spans="2:39" s="22" customFormat="1" ht="15.95" customHeight="1">
      <c r="B157" s="97">
        <v>235333</v>
      </c>
      <c r="C157" s="98" t="s">
        <v>598</v>
      </c>
      <c r="D157" s="96">
        <v>44</v>
      </c>
      <c r="E157" s="89" t="str">
        <f t="shared" si="36"/>
        <v>E</v>
      </c>
      <c r="F157" s="94">
        <v>22</v>
      </c>
      <c r="G157" s="89" t="str">
        <f t="shared" si="37"/>
        <v>E</v>
      </c>
      <c r="H157" s="94">
        <v>46</v>
      </c>
      <c r="I157" s="90" t="str">
        <f t="shared" si="38"/>
        <v>E</v>
      </c>
      <c r="J157" s="91">
        <v>26</v>
      </c>
      <c r="K157" s="90" t="str">
        <f t="shared" si="39"/>
        <v>F</v>
      </c>
      <c r="L157" s="94">
        <v>19</v>
      </c>
      <c r="M157" s="90" t="str">
        <f t="shared" si="35"/>
        <v>E</v>
      </c>
      <c r="N157" s="94">
        <v>39</v>
      </c>
      <c r="O157" s="90" t="str">
        <f t="shared" si="40"/>
        <v>E</v>
      </c>
      <c r="P157" s="92">
        <v>17</v>
      </c>
      <c r="Q157" s="90" t="str">
        <f t="shared" si="41"/>
        <v>F</v>
      </c>
      <c r="R157" s="94">
        <v>23</v>
      </c>
      <c r="S157" s="90" t="str">
        <f t="shared" si="42"/>
        <v>E</v>
      </c>
      <c r="T157" s="94">
        <v>23</v>
      </c>
      <c r="U157" s="90" t="str">
        <f t="shared" si="43"/>
        <v>E</v>
      </c>
      <c r="V157" s="92">
        <v>44</v>
      </c>
      <c r="W157" s="90" t="str">
        <f t="shared" si="44"/>
        <v>E</v>
      </c>
      <c r="X157" s="94">
        <v>18</v>
      </c>
      <c r="Y157" s="90" t="str">
        <f t="shared" si="45"/>
        <v>E</v>
      </c>
      <c r="Z157" s="92">
        <v>46</v>
      </c>
      <c r="AA157" s="90" t="str">
        <f t="shared" si="46"/>
        <v>E</v>
      </c>
      <c r="AB157" s="94">
        <v>22</v>
      </c>
      <c r="AC157" s="90" t="str">
        <f t="shared" si="47"/>
        <v>E</v>
      </c>
      <c r="AD157" s="94">
        <v>20</v>
      </c>
      <c r="AE157" s="90" t="str">
        <f t="shared" si="48"/>
        <v>E</v>
      </c>
      <c r="AF157" s="92">
        <v>28</v>
      </c>
      <c r="AG157" s="89" t="str">
        <f t="shared" si="49"/>
        <v>E</v>
      </c>
      <c r="AH157" s="94">
        <v>18</v>
      </c>
      <c r="AI157" s="90" t="str">
        <f t="shared" si="50"/>
        <v>E</v>
      </c>
      <c r="AJ157" s="108">
        <f>IF(AND(OR(COUNTIF(D157:AI157,"=31")&gt;=1,COUNTIF(D157:AI157,"=32")&gt;=1,COUNTIF(D157:AI157,"=33")&gt;=1,COUNTIF(D157:AI157,"=34")&gt;=1,COUNTIF(D157:AI157,"=35")=1,COUNTIF(D157:AI157,"=36")&gt;=1 ),COUNTIF(D157:AI157,"")=0,COUNTIF(D157:AI157," ")=0,COUNTIF(D157:AI157,"F")=1),CONCATENATE(SUM(EXTRACTNUMBER(D157),EXTRACTNUMBER(F157),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EXTRACTNUMBER(AD157),EXTRACTNUMBER(AF157),EXTRACTNUMBER(AH157)),"*"),IF(AND(COUNTIF(D157:AI157,"=34")&gt;=1,COUNTIF(D157:AI157,"=35")&gt;=1,COUNTIF(D157:AI157,"f")=2,COUNTIF(D157:AI157,"")=0,COUNTIF(D157:AI157," ")=0),CONCATENATE(SUM(EXTRACTNUMBER(D157),EXTRACTNUMBER(F157),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EXTRACTNUMBER(AD157),EXTRACTNUMBER(AF157),EXTRACTNUMBER(AH157)),"*"),IF(AND(COUNTIF(D157:AI157,"=36")&gt;=2,COUNTIF(D157:AI157,"f")=2,COUNTIF(D157:AI157,"")=0,COUNTIF(D157:AI157," ")=0),CONCATENATE(SUM(EXTRACTNUMBER(D157),EXTRACTNUMBER(F157),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EXTRACTNUMBER(AD157),EXTRACTNUMBER(AF157),EXTRACTNUMBER(AH157)),"*"),SUM(EXTRACTNUMBER(D157),EXTRACTNUMBER(F157),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EXTRACTNUMBER(AD157),EXTRACTNUMBER(AF157),EXTRACTNUMBER(AH157)))))</f>
        <v>455</v>
      </c>
      <c r="AK157" s="24" t="str">
        <f t="shared" si="51"/>
        <v>FAIL</v>
      </c>
      <c r="AL157" s="25" t="str">
        <f>SPELLNUMBER(extractnumber_tot(AJ157))</f>
        <v xml:space="preserve">Four Hundred Fifty Five </v>
      </c>
      <c r="AM157" s="23" t="e">
        <f>IF(AND(OR(COUNTIF(G157:AL157,"=31")&gt;=1,COUNTIF(G157:AL157,"=32")&gt;=1,COUNTIF(G157:AL157,"=33")&gt;=1,COUNTIF(G157:AL157,"=34")&gt;=1,COUNTIF(G157:AL157,"=35")=1,COUNTIF(G157:AL157,"=36")&gt;=1 ),COUNTIF(G157:AL157,"")=0,COUNTIF(G157:AL157," ")=0,COUNTIF(G157:AL157,"F")=1),CONCATENATE(SUM(EXTRACTNUMBER(G157),EXTRACTNUMBER(I157),
EXTRACTNUMBER(K157),EXTRACTNUMBER(M157),
EXTRACTNUMBER(O157),EXTRACTNUMBER(Q157),
EXTRACTNUMBER(S157),EXTRACTNUMBER(U157),
EXTRACTNUMBER(W157),EXTRACTNUMBER(Y157),
EXTRACTNUMBER(AA157),EXTRACTNUMBER(AC157),EXTRACTNUMBER(AE157),
EXTRACTNUMBER(AG157),EXTRACTNUMBER(AI157),EXTRACTNUMBER(AK157)),"*"),IF(AND(COUNTIF(G157:AL157,"=34")&gt;=1,COUNTIF(G157:AL157,"=35")&gt;=1,COUNTIF(G157:AL157,"f")=2,COUNTIF(G157:AL157,"")=0,COUNTIF(G157:AL157," ")=0),CONCATENATE(SUM(EXTRACTNUMBER(G157),EXTRACTNUMBER(I157),
EXTRACTNUMBER(K157),EXTRACTNUMBER(M157),
EXTRACTNUMBER(O157),EXTRACTNUMBER(Q157),
EXTRACTNUMBER(S157),EXTRACTNUMBER(U157),
EXTRACTNUMBER(W157),EXTRACTNUMBER(Y157),
EXTRACTNUMBER(AA157),EXTRACTNUMBER(AC157),EXTRACTNUMBER(AE157),
EXTRACTNUMBER(AG157),EXTRACTNUMBER(AI157),EXTRACTNUMBER(AK157)),"*"),IF(AND(COUNTIF(G157:AL157,"=36")&gt;=2,COUNTIF(G157:AL157,"f")=2,COUNTIF(G157:AL157,"")=0,COUNTIF(G157:AL157," ")=0),CONCATENATE(SUM(EXTRACTNUMBER(G157),EXTRACTNUMBER(I157),
EXTRACTNUMBER(K157),EXTRACTNUMBER(M157),
EXTRACTNUMBER(O157),EXTRACTNUMBER(Q157),
EXTRACTNUMBER(S157),EXTRACTNUMBER(U157),
EXTRACTNUMBER(W157),EXTRACTNUMBER(Y157),
EXTRACTNUMBER(AA157),EXTRACTNUMBER(AC157),EXTRACTNUMBER(AE157),
EXTRACTNUMBER(AG157),EXTRACTNUMBER(AI157),EXTRACTNUMBER(AK157)),"*"),SUM(EXTRACTNUMBER(G157),EXTRACTNUMBER(I157),
EXTRACTNUMBER(K157),EXTRACTNUMBER(M157),
EXTRACTNUMBER(O157),EXTRACTNUMBER(Q157),
EXTRACTNUMBER(S157),EXTRACTNUMBER(U157),
EXTRACTNUMBER(W157),EXTRACTNUMBER(Y157),
EXTRACTNUMBER(AA157),EXTRACTNUMBER(AC157),EXTRACTNUMBER(AE157),
EXTRACTNUMBER(AG157),EXTRACTNUMBER(AI157),EXTRACTNUMBER(AK157)))))</f>
        <v>#VALUE!</v>
      </c>
    </row>
    <row r="158" spans="2:39" s="22" customFormat="1" ht="15.95" customHeight="1">
      <c r="B158" s="97">
        <v>235334</v>
      </c>
      <c r="C158" s="98" t="s">
        <v>599</v>
      </c>
      <c r="D158" s="96">
        <v>58</v>
      </c>
      <c r="E158" s="89" t="str">
        <f t="shared" si="36"/>
        <v>E</v>
      </c>
      <c r="F158" s="94">
        <v>21</v>
      </c>
      <c r="G158" s="89" t="str">
        <f t="shared" si="37"/>
        <v>E</v>
      </c>
      <c r="H158" s="94">
        <v>42</v>
      </c>
      <c r="I158" s="90" t="str">
        <f t="shared" si="38"/>
        <v>E</v>
      </c>
      <c r="J158" s="91">
        <v>45</v>
      </c>
      <c r="K158" s="90" t="str">
        <f t="shared" si="39"/>
        <v>E</v>
      </c>
      <c r="L158" s="94">
        <v>22</v>
      </c>
      <c r="M158" s="90" t="str">
        <f t="shared" si="35"/>
        <v>E</v>
      </c>
      <c r="N158" s="94">
        <v>39</v>
      </c>
      <c r="O158" s="90" t="str">
        <f t="shared" si="40"/>
        <v>E</v>
      </c>
      <c r="P158" s="92">
        <v>40</v>
      </c>
      <c r="Q158" s="90" t="str">
        <f t="shared" si="41"/>
        <v>E</v>
      </c>
      <c r="R158" s="94">
        <v>21</v>
      </c>
      <c r="S158" s="90" t="str">
        <f t="shared" si="42"/>
        <v>E</v>
      </c>
      <c r="T158" s="94">
        <v>21</v>
      </c>
      <c r="U158" s="90" t="str">
        <f t="shared" si="43"/>
        <v>E</v>
      </c>
      <c r="V158" s="92">
        <v>20</v>
      </c>
      <c r="W158" s="90" t="str">
        <f t="shared" si="44"/>
        <v>F</v>
      </c>
      <c r="X158" s="94">
        <v>23</v>
      </c>
      <c r="Y158" s="90" t="str">
        <f t="shared" si="45"/>
        <v>E</v>
      </c>
      <c r="Z158" s="92">
        <v>56</v>
      </c>
      <c r="AA158" s="90" t="str">
        <f t="shared" si="46"/>
        <v>E</v>
      </c>
      <c r="AB158" s="94">
        <v>20</v>
      </c>
      <c r="AC158" s="90" t="str">
        <f t="shared" si="47"/>
        <v>E</v>
      </c>
      <c r="AD158" s="94">
        <v>20</v>
      </c>
      <c r="AE158" s="90" t="str">
        <f t="shared" si="48"/>
        <v>E</v>
      </c>
      <c r="AF158" s="92">
        <v>30</v>
      </c>
      <c r="AG158" s="89" t="str">
        <f t="shared" si="49"/>
        <v>E</v>
      </c>
      <c r="AH158" s="94">
        <v>23</v>
      </c>
      <c r="AI158" s="90" t="str">
        <f t="shared" si="50"/>
        <v>E</v>
      </c>
      <c r="AJ158" s="108">
        <f>IF(AND(OR(COUNTIF(D158:AI158,"=31")&gt;=1,COUNTIF(D158:AI158,"=32")&gt;=1,COUNTIF(D158:AI158,"=33")&gt;=1,COUNTIF(D158:AI158,"=34")&gt;=1,COUNTIF(D158:AI158,"=35")=1,COUNTIF(D158:AI158,"=36")&gt;=1 ),COUNTIF(D158:AI158,"")=0,COUNTIF(D158:AI158," ")=0,COUNTIF(D158:AI158,"F")=1),CONCATENATE(SUM(EXTRACTNUMBER(D158),EXTRACTNUMBER(F158),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EXTRACTNUMBER(AD158),EXTRACTNUMBER(AF158),EXTRACTNUMBER(AH158)),"*"),IF(AND(COUNTIF(D158:AI158,"=34")&gt;=1,COUNTIF(D158:AI158,"=35")&gt;=1,COUNTIF(D158:AI158,"f")=2,COUNTIF(D158:AI158,"")=0,COUNTIF(D158:AI158," ")=0),CONCATENATE(SUM(EXTRACTNUMBER(D158),EXTRACTNUMBER(F158),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EXTRACTNUMBER(AD158),EXTRACTNUMBER(AF158),EXTRACTNUMBER(AH158)),"*"),IF(AND(COUNTIF(D158:AI158,"=36")&gt;=2,COUNTIF(D158:AI158,"f")=2,COUNTIF(D158:AI158,"")=0,COUNTIF(D158:AI158," ")=0),CONCATENATE(SUM(EXTRACTNUMBER(D158),EXTRACTNUMBER(F158),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EXTRACTNUMBER(AD158),EXTRACTNUMBER(AF158),EXTRACTNUMBER(AH158)),"*"),SUM(EXTRACTNUMBER(D158),EXTRACTNUMBER(F158),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EXTRACTNUMBER(AD158),EXTRACTNUMBER(AF158),EXTRACTNUMBER(AH158)))))</f>
        <v>501</v>
      </c>
      <c r="AK158" s="24" t="str">
        <f t="shared" si="51"/>
        <v>FAIL</v>
      </c>
      <c r="AL158" s="25" t="str">
        <f>SPELLNUMBER(extractnumber_tot(AJ158))</f>
        <v xml:space="preserve">Five Hundred One </v>
      </c>
    </row>
    <row r="159" spans="2:39" s="22" customFormat="1" ht="15.95" customHeight="1">
      <c r="B159" s="97">
        <v>235335</v>
      </c>
      <c r="C159" s="98" t="s">
        <v>600</v>
      </c>
      <c r="D159" s="96">
        <v>43</v>
      </c>
      <c r="E159" s="89" t="str">
        <f t="shared" si="36"/>
        <v>E</v>
      </c>
      <c r="F159" s="94">
        <v>23</v>
      </c>
      <c r="G159" s="89" t="str">
        <f t="shared" si="37"/>
        <v>E</v>
      </c>
      <c r="H159" s="94">
        <v>44</v>
      </c>
      <c r="I159" s="90" t="str">
        <f t="shared" si="38"/>
        <v>E</v>
      </c>
      <c r="J159" s="91">
        <v>43</v>
      </c>
      <c r="K159" s="90" t="str">
        <f t="shared" si="39"/>
        <v>E</v>
      </c>
      <c r="L159" s="94">
        <v>23</v>
      </c>
      <c r="M159" s="90" t="str">
        <f t="shared" si="35"/>
        <v>E</v>
      </c>
      <c r="N159" s="94">
        <v>38</v>
      </c>
      <c r="O159" s="90" t="str">
        <f t="shared" si="40"/>
        <v>E</v>
      </c>
      <c r="P159" s="92">
        <v>42</v>
      </c>
      <c r="Q159" s="90" t="str">
        <f t="shared" si="41"/>
        <v>E</v>
      </c>
      <c r="R159" s="94">
        <v>23</v>
      </c>
      <c r="S159" s="90" t="str">
        <f t="shared" si="42"/>
        <v>E</v>
      </c>
      <c r="T159" s="94">
        <v>22</v>
      </c>
      <c r="U159" s="90" t="str">
        <f t="shared" si="43"/>
        <v>E</v>
      </c>
      <c r="V159" s="92">
        <v>42</v>
      </c>
      <c r="W159" s="90" t="str">
        <f t="shared" si="44"/>
        <v>E</v>
      </c>
      <c r="X159" s="94">
        <v>23</v>
      </c>
      <c r="Y159" s="90" t="str">
        <f t="shared" si="45"/>
        <v>E</v>
      </c>
      <c r="Z159" s="92">
        <v>29</v>
      </c>
      <c r="AA159" s="90" t="str">
        <f t="shared" si="46"/>
        <v>F</v>
      </c>
      <c r="AB159" s="94">
        <v>23</v>
      </c>
      <c r="AC159" s="90" t="str">
        <f t="shared" si="47"/>
        <v>E</v>
      </c>
      <c r="AD159" s="94">
        <v>22</v>
      </c>
      <c r="AE159" s="90" t="str">
        <f t="shared" si="48"/>
        <v>E</v>
      </c>
      <c r="AF159" s="92">
        <v>20</v>
      </c>
      <c r="AG159" s="89" t="str">
        <f t="shared" si="49"/>
        <v>E</v>
      </c>
      <c r="AH159" s="94">
        <v>22</v>
      </c>
      <c r="AI159" s="90" t="str">
        <f t="shared" si="50"/>
        <v>E</v>
      </c>
      <c r="AJ159" s="108">
        <f>IF(AND(OR(COUNTIF(D159:AI159,"=31")&gt;=1,COUNTIF(D159:AI159,"=32")&gt;=1,COUNTIF(D159:AI159,"=33")&gt;=1,COUNTIF(D159:AI159,"=34")&gt;=1,COUNTIF(D159:AI159,"=35")=1,COUNTIF(D159:AI159,"=36")&gt;=1 ),COUNTIF(D159:AI159,"")=0,COUNTIF(D159:AI159," ")=0,COUNTIF(D159:AI159,"F")=1),CONCATENATE(SUM(EXTRACTNUMBER(D159),EXTRACTNUMBER(F159),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EXTRACTNUMBER(AD159),EXTRACTNUMBER(AF159),EXTRACTNUMBER(AH159)),"*"),IF(AND(COUNTIF(D159:AI159,"=34")&gt;=1,COUNTIF(D159:AI159,"=35")&gt;=1,COUNTIF(D159:AI159,"f")=2,COUNTIF(D159:AI159,"")=0,COUNTIF(D159:AI159," ")=0),CONCATENATE(SUM(EXTRACTNUMBER(D159),EXTRACTNUMBER(F159),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EXTRACTNUMBER(AD159),EXTRACTNUMBER(AF159),EXTRACTNUMBER(AH159)),"*"),IF(AND(COUNTIF(D159:AI159,"=36")&gt;=2,COUNTIF(D159:AI159,"f")=2,COUNTIF(D159:AI159,"")=0,COUNTIF(D159:AI159," ")=0),CONCATENATE(SUM(EXTRACTNUMBER(D159),EXTRACTNUMBER(F159),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EXTRACTNUMBER(AD159),EXTRACTNUMBER(AF159),EXTRACTNUMBER(AH159)),"*"),SUM(EXTRACTNUMBER(D159),EXTRACTNUMBER(F159),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EXTRACTNUMBER(AD159),EXTRACTNUMBER(AF159),EXTRACTNUMBER(AH159)))))</f>
        <v>482</v>
      </c>
      <c r="AK159" s="24" t="str">
        <f t="shared" si="51"/>
        <v>FAIL</v>
      </c>
      <c r="AL159" s="25" t="str">
        <f>SPELLNUMBER(extractnumber_tot(AJ159))</f>
        <v xml:space="preserve">Four Hundred Eighty Two </v>
      </c>
    </row>
    <row r="160" spans="2:39" s="22" customFormat="1" ht="15.95" customHeight="1">
      <c r="B160" s="97">
        <v>235336</v>
      </c>
      <c r="C160" s="98" t="s">
        <v>601</v>
      </c>
      <c r="D160" s="96">
        <v>57</v>
      </c>
      <c r="E160" s="89" t="str">
        <f t="shared" si="36"/>
        <v/>
      </c>
      <c r="F160" s="94">
        <v>20</v>
      </c>
      <c r="G160" s="89" t="str">
        <f t="shared" si="37"/>
        <v/>
      </c>
      <c r="H160" s="94">
        <v>40</v>
      </c>
      <c r="I160" s="90" t="str">
        <f t="shared" si="38"/>
        <v/>
      </c>
      <c r="J160" s="91">
        <v>62</v>
      </c>
      <c r="K160" s="90" t="str">
        <f t="shared" si="39"/>
        <v/>
      </c>
      <c r="L160" s="94">
        <v>18</v>
      </c>
      <c r="M160" s="90" t="str">
        <f t="shared" si="35"/>
        <v/>
      </c>
      <c r="N160" s="94">
        <v>38</v>
      </c>
      <c r="O160" s="90" t="str">
        <f t="shared" si="40"/>
        <v/>
      </c>
      <c r="P160" s="92">
        <v>40</v>
      </c>
      <c r="Q160" s="90" t="str">
        <f t="shared" si="41"/>
        <v/>
      </c>
      <c r="R160" s="94">
        <v>19</v>
      </c>
      <c r="S160" s="90" t="str">
        <f t="shared" si="42"/>
        <v/>
      </c>
      <c r="T160" s="94">
        <v>22</v>
      </c>
      <c r="U160" s="90" t="str">
        <f t="shared" si="43"/>
        <v/>
      </c>
      <c r="V160" s="92">
        <v>41</v>
      </c>
      <c r="W160" s="90" t="str">
        <f t="shared" si="44"/>
        <v/>
      </c>
      <c r="X160" s="94">
        <v>17</v>
      </c>
      <c r="Y160" s="90" t="str">
        <f t="shared" si="45"/>
        <v/>
      </c>
      <c r="Z160" s="92">
        <v>70</v>
      </c>
      <c r="AA160" s="90" t="str">
        <f t="shared" si="46"/>
        <v/>
      </c>
      <c r="AB160" s="94">
        <v>16</v>
      </c>
      <c r="AC160" s="90" t="str">
        <f t="shared" si="47"/>
        <v/>
      </c>
      <c r="AD160" s="94">
        <v>18</v>
      </c>
      <c r="AE160" s="90" t="str">
        <f t="shared" si="48"/>
        <v/>
      </c>
      <c r="AF160" s="92">
        <v>29</v>
      </c>
      <c r="AG160" s="89" t="str">
        <f t="shared" si="49"/>
        <v/>
      </c>
      <c r="AH160" s="94">
        <v>20</v>
      </c>
      <c r="AI160" s="90" t="str">
        <f t="shared" si="50"/>
        <v/>
      </c>
      <c r="AJ160" s="108">
        <f>IF(AND(OR(COUNTIF(D160:AI160,"=31")&gt;=1,COUNTIF(D160:AI160,"=32")&gt;=1,COUNTIF(D160:AI160,"=33")&gt;=1,COUNTIF(D160:AI160,"=34")&gt;=1,COUNTIF(D160:AI160,"=35")=1,COUNTIF(D160:AI160,"=36")&gt;=1 ),COUNTIF(D160:AI160,"")=0,COUNTIF(D160:AI160," ")=0,COUNTIF(D160:AI160,"F")=1),CONCATENATE(SUM(EXTRACTNUMBER(D160),EXTRACTNUMBER(F160),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EXTRACTNUMBER(AD160),EXTRACTNUMBER(AF160),EXTRACTNUMBER(AH160)),"*"),IF(AND(COUNTIF(D160:AI160,"=34")&gt;=1,COUNTIF(D160:AI160,"=35")&gt;=1,COUNTIF(D160:AI160,"f")=2,COUNTIF(D160:AI160,"")=0,COUNTIF(D160:AI160," ")=0),CONCATENATE(SUM(EXTRACTNUMBER(D160),EXTRACTNUMBER(F160),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EXTRACTNUMBER(AD160),EXTRACTNUMBER(AF160),EXTRACTNUMBER(AH160)),"*"),IF(AND(COUNTIF(D160:AI160,"=36")&gt;=2,COUNTIF(D160:AI160,"f")=2,COUNTIF(D160:AI160,"")=0,COUNTIF(D160:AI160," ")=0),CONCATENATE(SUM(EXTRACTNUMBER(D160),EXTRACTNUMBER(F160),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EXTRACTNUMBER(AD160),EXTRACTNUMBER(AF160),EXTRACTNUMBER(AH160)),"*"),SUM(EXTRACTNUMBER(D160),EXTRACTNUMBER(F160),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EXTRACTNUMBER(AD160),EXTRACTNUMBER(AF160),EXTRACTNUMBER(AH160)))))</f>
        <v>527</v>
      </c>
      <c r="AK160" s="24" t="str">
        <f t="shared" si="51"/>
        <v>PASS</v>
      </c>
      <c r="AL160" s="25" t="str">
        <f>SPELLNUMBER(extractnumber_tot(AJ160))</f>
        <v xml:space="preserve">Five Hundred Twenty Seven </v>
      </c>
    </row>
    <row r="161" spans="2:38" s="22" customFormat="1" ht="15.95" customHeight="1">
      <c r="B161" s="97">
        <v>235337</v>
      </c>
      <c r="C161" s="98" t="s">
        <v>602</v>
      </c>
      <c r="D161" s="96">
        <v>40</v>
      </c>
      <c r="E161" s="89" t="str">
        <f t="shared" si="36"/>
        <v>E</v>
      </c>
      <c r="F161" s="94">
        <v>20</v>
      </c>
      <c r="G161" s="89" t="str">
        <f t="shared" si="37"/>
        <v>E</v>
      </c>
      <c r="H161" s="94">
        <v>47</v>
      </c>
      <c r="I161" s="90" t="str">
        <f t="shared" si="38"/>
        <v>E</v>
      </c>
      <c r="J161" s="91">
        <v>40</v>
      </c>
      <c r="K161" s="90" t="str">
        <f t="shared" si="39"/>
        <v>E</v>
      </c>
      <c r="L161" s="94">
        <v>20</v>
      </c>
      <c r="M161" s="90" t="str">
        <f t="shared" si="35"/>
        <v>E</v>
      </c>
      <c r="N161" s="94">
        <v>40</v>
      </c>
      <c r="O161" s="90" t="str">
        <f t="shared" si="40"/>
        <v>E</v>
      </c>
      <c r="P161" s="92">
        <v>19</v>
      </c>
      <c r="Q161" s="90" t="str">
        <f t="shared" si="41"/>
        <v>F</v>
      </c>
      <c r="R161" s="94">
        <v>20</v>
      </c>
      <c r="S161" s="90" t="str">
        <f t="shared" si="42"/>
        <v>E</v>
      </c>
      <c r="T161" s="94">
        <v>22</v>
      </c>
      <c r="U161" s="90" t="str">
        <f t="shared" si="43"/>
        <v>E</v>
      </c>
      <c r="V161" s="92">
        <v>25</v>
      </c>
      <c r="W161" s="90" t="str">
        <f t="shared" si="44"/>
        <v>F</v>
      </c>
      <c r="X161" s="94">
        <v>23</v>
      </c>
      <c r="Y161" s="90" t="str">
        <f t="shared" si="45"/>
        <v>E</v>
      </c>
      <c r="Z161" s="92">
        <v>26</v>
      </c>
      <c r="AA161" s="90" t="str">
        <f t="shared" si="46"/>
        <v>F</v>
      </c>
      <c r="AB161" s="94">
        <v>23</v>
      </c>
      <c r="AC161" s="90" t="str">
        <f t="shared" si="47"/>
        <v>E</v>
      </c>
      <c r="AD161" s="94">
        <v>22</v>
      </c>
      <c r="AE161" s="90" t="str">
        <f t="shared" si="48"/>
        <v>E</v>
      </c>
      <c r="AF161" s="92">
        <v>21</v>
      </c>
      <c r="AG161" s="89" t="str">
        <f t="shared" si="49"/>
        <v>E</v>
      </c>
      <c r="AH161" s="94">
        <v>20</v>
      </c>
      <c r="AI161" s="90" t="str">
        <f t="shared" si="50"/>
        <v>E</v>
      </c>
      <c r="AJ161" s="108">
        <f>IF(AND(OR(COUNTIF(D161:AI161,"=31")&gt;=1,COUNTIF(D161:AI161,"=32")&gt;=1,COUNTIF(D161:AI161,"=33")&gt;=1,COUNTIF(D161:AI161,"=34")&gt;=1,COUNTIF(D161:AI161,"=35")=1,COUNTIF(D161:AI161,"=36")&gt;=1 ),COUNTIF(D161:AI161,"")=0,COUNTIF(D161:AI161," ")=0,COUNTIF(D161:AI161,"F")=1),CONCATENATE(SUM(EXTRACTNUMBER(D161),EXTRACTNUMBER(F161),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EXTRACTNUMBER(AD161),EXTRACTNUMBER(AF161),EXTRACTNUMBER(AH161)),"*"),IF(AND(COUNTIF(D161:AI161,"=34")&gt;=1,COUNTIF(D161:AI161,"=35")&gt;=1,COUNTIF(D161:AI161,"f")=2,COUNTIF(D161:AI161,"")=0,COUNTIF(D161:AI161," ")=0),CONCATENATE(SUM(EXTRACTNUMBER(D161),EXTRACTNUMBER(F161),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EXTRACTNUMBER(AD161),EXTRACTNUMBER(AF161),EXTRACTNUMBER(AH161)),"*"),IF(AND(COUNTIF(D161:AI161,"=36")&gt;=2,COUNTIF(D161:AI161,"f")=2,COUNTIF(D161:AI161,"")=0,COUNTIF(D161:AI161," ")=0),CONCATENATE(SUM(EXTRACTNUMBER(D161),EXTRACTNUMBER(F161),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EXTRACTNUMBER(AD161),EXTRACTNUMBER(AF161),EXTRACTNUMBER(AH161)),"*"),SUM(EXTRACTNUMBER(D161),EXTRACTNUMBER(F161),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EXTRACTNUMBER(AD161),EXTRACTNUMBER(AF161),EXTRACTNUMBER(AH161)))))</f>
        <v>428</v>
      </c>
      <c r="AK161" s="24" t="str">
        <f t="shared" si="51"/>
        <v>FAIL</v>
      </c>
      <c r="AL161" s="25" t="str">
        <f>SPELLNUMBER(extractnumber_tot(AJ161))</f>
        <v xml:space="preserve">Four Hundred Twenty Eight </v>
      </c>
    </row>
    <row r="162" spans="2:38" s="22" customFormat="1" ht="15.95" customHeight="1">
      <c r="B162" s="97">
        <v>235338</v>
      </c>
      <c r="C162" s="98" t="s">
        <v>603</v>
      </c>
      <c r="D162" s="96">
        <v>51</v>
      </c>
      <c r="E162" s="89" t="str">
        <f t="shared" si="36"/>
        <v/>
      </c>
      <c r="F162" s="94">
        <v>24</v>
      </c>
      <c r="G162" s="89" t="str">
        <f t="shared" si="37"/>
        <v/>
      </c>
      <c r="H162" s="94">
        <v>46</v>
      </c>
      <c r="I162" s="90" t="str">
        <f t="shared" si="38"/>
        <v/>
      </c>
      <c r="J162" s="91">
        <v>49</v>
      </c>
      <c r="K162" s="90" t="str">
        <f t="shared" si="39"/>
        <v/>
      </c>
      <c r="L162" s="94">
        <v>21</v>
      </c>
      <c r="M162" s="90" t="str">
        <f t="shared" si="35"/>
        <v/>
      </c>
      <c r="N162" s="94">
        <v>40</v>
      </c>
      <c r="O162" s="90" t="str">
        <f t="shared" si="40"/>
        <v/>
      </c>
      <c r="P162" s="92">
        <v>48</v>
      </c>
      <c r="Q162" s="90" t="str">
        <f t="shared" si="41"/>
        <v/>
      </c>
      <c r="R162" s="94">
        <v>23</v>
      </c>
      <c r="S162" s="90" t="str">
        <f t="shared" si="42"/>
        <v/>
      </c>
      <c r="T162" s="94">
        <v>22</v>
      </c>
      <c r="U162" s="90" t="str">
        <f t="shared" si="43"/>
        <v/>
      </c>
      <c r="V162" s="92">
        <v>40</v>
      </c>
      <c r="W162" s="90" t="str">
        <f t="shared" si="44"/>
        <v/>
      </c>
      <c r="X162" s="94">
        <v>23</v>
      </c>
      <c r="Y162" s="90" t="str">
        <f t="shared" si="45"/>
        <v/>
      </c>
      <c r="Z162" s="92">
        <v>44</v>
      </c>
      <c r="AA162" s="90" t="str">
        <f t="shared" si="46"/>
        <v/>
      </c>
      <c r="AB162" s="94">
        <v>22</v>
      </c>
      <c r="AC162" s="90" t="str">
        <f t="shared" si="47"/>
        <v/>
      </c>
      <c r="AD162" s="94">
        <v>17</v>
      </c>
      <c r="AE162" s="90" t="str">
        <f t="shared" si="48"/>
        <v/>
      </c>
      <c r="AF162" s="92">
        <v>27</v>
      </c>
      <c r="AG162" s="89" t="str">
        <f t="shared" si="49"/>
        <v/>
      </c>
      <c r="AH162" s="94">
        <v>20</v>
      </c>
      <c r="AI162" s="90" t="str">
        <f t="shared" si="50"/>
        <v/>
      </c>
      <c r="AJ162" s="108">
        <f>IF(AND(OR(COUNTIF(D162:AI162,"=31")&gt;=1,COUNTIF(D162:AI162,"=32")&gt;=1,COUNTIF(D162:AI162,"=33")&gt;=1,COUNTIF(D162:AI162,"=34")&gt;=1,COUNTIF(D162:AI162,"=35")=1,COUNTIF(D162:AI162,"=36")&gt;=1 ),COUNTIF(D162:AI162,"")=0,COUNTIF(D162:AI162," ")=0,COUNTIF(D162:AI162,"F")=1),CONCATENATE(SUM(EXTRACTNUMBER(D162),EXTRACTNUMBER(F162),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EXTRACTNUMBER(AD162),EXTRACTNUMBER(AF162),EXTRACTNUMBER(AH162)),"*"),IF(AND(COUNTIF(D162:AI162,"=34")&gt;=1,COUNTIF(D162:AI162,"=35")&gt;=1,COUNTIF(D162:AI162,"f")=2,COUNTIF(D162:AI162,"")=0,COUNTIF(D162:AI162," ")=0),CONCATENATE(SUM(EXTRACTNUMBER(D162),EXTRACTNUMBER(F162),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EXTRACTNUMBER(AD162),EXTRACTNUMBER(AF162),EXTRACTNUMBER(AH162)),"*"),IF(AND(COUNTIF(D162:AI162,"=36")&gt;=2,COUNTIF(D162:AI162,"f")=2,COUNTIF(D162:AI162,"")=0,COUNTIF(D162:AI162," ")=0),CONCATENATE(SUM(EXTRACTNUMBER(D162),EXTRACTNUMBER(F162),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EXTRACTNUMBER(AD162),EXTRACTNUMBER(AF162),EXTRACTNUMBER(AH162)),"*"),SUM(EXTRACTNUMBER(D162),EXTRACTNUMBER(F162),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EXTRACTNUMBER(AD162),EXTRACTNUMBER(AF162),EXTRACTNUMBER(AH162)))))</f>
        <v>517</v>
      </c>
      <c r="AK162" s="24" t="str">
        <f t="shared" si="51"/>
        <v>PASS</v>
      </c>
      <c r="AL162" s="25" t="str">
        <f>SPELLNUMBER(extractnumber_tot(AJ162))</f>
        <v xml:space="preserve">Five Hundred Seventeen </v>
      </c>
    </row>
    <row r="163" spans="2:38" s="22" customFormat="1" ht="15.95" customHeight="1">
      <c r="B163" s="97">
        <v>235339</v>
      </c>
      <c r="C163" s="98" t="s">
        <v>604</v>
      </c>
      <c r="D163" s="96">
        <v>51</v>
      </c>
      <c r="E163" s="89" t="str">
        <f t="shared" si="36"/>
        <v/>
      </c>
      <c r="F163" s="94">
        <v>19</v>
      </c>
      <c r="G163" s="89" t="str">
        <f t="shared" si="37"/>
        <v/>
      </c>
      <c r="H163" s="94">
        <v>44</v>
      </c>
      <c r="I163" s="90" t="str">
        <f t="shared" si="38"/>
        <v/>
      </c>
      <c r="J163" s="91">
        <v>40</v>
      </c>
      <c r="K163" s="90" t="str">
        <f t="shared" si="39"/>
        <v/>
      </c>
      <c r="L163" s="94">
        <v>20</v>
      </c>
      <c r="M163" s="90" t="str">
        <f t="shared" si="35"/>
        <v/>
      </c>
      <c r="N163" s="94">
        <v>39</v>
      </c>
      <c r="O163" s="90" t="str">
        <f t="shared" si="40"/>
        <v/>
      </c>
      <c r="P163" s="92">
        <v>40</v>
      </c>
      <c r="Q163" s="90" t="str">
        <f t="shared" si="41"/>
        <v/>
      </c>
      <c r="R163" s="94">
        <v>19</v>
      </c>
      <c r="S163" s="90" t="str">
        <f t="shared" si="42"/>
        <v/>
      </c>
      <c r="T163" s="94">
        <v>20</v>
      </c>
      <c r="U163" s="90" t="str">
        <f t="shared" si="43"/>
        <v/>
      </c>
      <c r="V163" s="92">
        <v>40</v>
      </c>
      <c r="W163" s="90" t="str">
        <f t="shared" si="44"/>
        <v/>
      </c>
      <c r="X163" s="94">
        <v>18</v>
      </c>
      <c r="Y163" s="90" t="str">
        <f t="shared" si="45"/>
        <v/>
      </c>
      <c r="Z163" s="92">
        <v>43</v>
      </c>
      <c r="AA163" s="90" t="str">
        <f t="shared" si="46"/>
        <v/>
      </c>
      <c r="AB163" s="94">
        <v>19</v>
      </c>
      <c r="AC163" s="90" t="str">
        <f t="shared" si="47"/>
        <v/>
      </c>
      <c r="AD163" s="94">
        <v>17</v>
      </c>
      <c r="AE163" s="90" t="str">
        <f t="shared" si="48"/>
        <v/>
      </c>
      <c r="AF163" s="92">
        <v>20</v>
      </c>
      <c r="AG163" s="89" t="str">
        <f t="shared" si="49"/>
        <v/>
      </c>
      <c r="AH163" s="94">
        <v>19</v>
      </c>
      <c r="AI163" s="90" t="str">
        <f t="shared" si="50"/>
        <v/>
      </c>
      <c r="AJ163" s="108">
        <f>IF(AND(OR(COUNTIF(D163:AI163,"=31")&gt;=1,COUNTIF(D163:AI163,"=32")&gt;=1,COUNTIF(D163:AI163,"=33")&gt;=1,COUNTIF(D163:AI163,"=34")&gt;=1,COUNTIF(D163:AI163,"=35")=1,COUNTIF(D163:AI163,"=36")&gt;=1 ),COUNTIF(D163:AI163,"")=0,COUNTIF(D163:AI163," ")=0,COUNTIF(D163:AI163,"F")=1),CONCATENATE(SUM(EXTRACTNUMBER(D163),EXTRACTNUMBER(F163),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EXTRACTNUMBER(AD163),EXTRACTNUMBER(AF163),EXTRACTNUMBER(AH163)),"*"),IF(AND(COUNTIF(D163:AI163,"=34")&gt;=1,COUNTIF(D163:AI163,"=35")&gt;=1,COUNTIF(D163:AI163,"f")=2,COUNTIF(D163:AI163,"")=0,COUNTIF(D163:AI163," ")=0),CONCATENATE(SUM(EXTRACTNUMBER(D163),EXTRACTNUMBER(F163),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EXTRACTNUMBER(AD163),EXTRACTNUMBER(AF163),EXTRACTNUMBER(AH163)),"*"),IF(AND(COUNTIF(D163:AI163,"=36")&gt;=2,COUNTIF(D163:AI163,"f")=2,COUNTIF(D163:AI163,"")=0,COUNTIF(D163:AI163," ")=0),CONCATENATE(SUM(EXTRACTNUMBER(D163),EXTRACTNUMBER(F163),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EXTRACTNUMBER(AD163),EXTRACTNUMBER(AF163),EXTRACTNUMBER(AH163)),"*"),SUM(EXTRACTNUMBER(D163),EXTRACTNUMBER(F163),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EXTRACTNUMBER(AD163),EXTRACTNUMBER(AF163),EXTRACTNUMBER(AH163)))))</f>
        <v>468</v>
      </c>
      <c r="AK163" s="24" t="str">
        <f t="shared" si="51"/>
        <v>PASS</v>
      </c>
      <c r="AL163" s="25" t="str">
        <f>SPELLNUMBER(extractnumber_tot(AJ163))</f>
        <v xml:space="preserve">Four Hundred Sixty Eight </v>
      </c>
    </row>
    <row r="164" spans="2:38" s="22" customFormat="1" ht="15.95" customHeight="1">
      <c r="B164" s="97">
        <v>235340</v>
      </c>
      <c r="C164" s="98" t="s">
        <v>605</v>
      </c>
      <c r="D164" s="96">
        <v>41</v>
      </c>
      <c r="E164" s="89" t="str">
        <f t="shared" si="36"/>
        <v/>
      </c>
      <c r="F164" s="94">
        <v>19</v>
      </c>
      <c r="G164" s="89" t="str">
        <f t="shared" si="37"/>
        <v/>
      </c>
      <c r="H164" s="94">
        <v>37</v>
      </c>
      <c r="I164" s="90" t="str">
        <f t="shared" si="38"/>
        <v/>
      </c>
      <c r="J164" s="91">
        <v>46</v>
      </c>
      <c r="K164" s="90" t="str">
        <f t="shared" si="39"/>
        <v/>
      </c>
      <c r="L164" s="94">
        <v>17</v>
      </c>
      <c r="M164" s="90" t="str">
        <f t="shared" si="35"/>
        <v/>
      </c>
      <c r="N164" s="94">
        <v>39</v>
      </c>
      <c r="O164" s="90" t="str">
        <f t="shared" si="40"/>
        <v/>
      </c>
      <c r="P164" s="92">
        <v>46</v>
      </c>
      <c r="Q164" s="90" t="str">
        <f t="shared" si="41"/>
        <v/>
      </c>
      <c r="R164" s="94">
        <v>19</v>
      </c>
      <c r="S164" s="90" t="str">
        <f t="shared" si="42"/>
        <v/>
      </c>
      <c r="T164" s="94">
        <v>21</v>
      </c>
      <c r="U164" s="90" t="str">
        <f t="shared" si="43"/>
        <v/>
      </c>
      <c r="V164" s="92">
        <v>40</v>
      </c>
      <c r="W164" s="90" t="str">
        <f t="shared" si="44"/>
        <v/>
      </c>
      <c r="X164" s="94">
        <v>19</v>
      </c>
      <c r="Y164" s="90" t="str">
        <f t="shared" si="45"/>
        <v/>
      </c>
      <c r="Z164" s="92">
        <v>40</v>
      </c>
      <c r="AA164" s="90" t="str">
        <f t="shared" si="46"/>
        <v/>
      </c>
      <c r="AB164" s="94">
        <v>15</v>
      </c>
      <c r="AC164" s="90" t="str">
        <f t="shared" si="47"/>
        <v/>
      </c>
      <c r="AD164" s="94">
        <v>17</v>
      </c>
      <c r="AE164" s="90" t="str">
        <f t="shared" si="48"/>
        <v/>
      </c>
      <c r="AF164" s="92">
        <v>24</v>
      </c>
      <c r="AG164" s="89" t="str">
        <f t="shared" si="49"/>
        <v/>
      </c>
      <c r="AH164" s="94">
        <v>18</v>
      </c>
      <c r="AI164" s="90" t="str">
        <f t="shared" si="50"/>
        <v/>
      </c>
      <c r="AJ164" s="108">
        <f>IF(AND(OR(COUNTIF(D164:AI164,"=31")&gt;=1,COUNTIF(D164:AI164,"=32")&gt;=1,COUNTIF(D164:AI164,"=33")&gt;=1,COUNTIF(D164:AI164,"=34")&gt;=1,COUNTIF(D164:AI164,"=35")=1,COUNTIF(D164:AI164,"=36")&gt;=1 ),COUNTIF(D164:AI164,"")=0,COUNTIF(D164:AI164," ")=0,COUNTIF(D164:AI164,"F")=1),CONCATENATE(SUM(EXTRACTNUMBER(D164),EXTRACTNUMBER(F164),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EXTRACTNUMBER(AD164),EXTRACTNUMBER(AF164),EXTRACTNUMBER(AH164)),"*"),IF(AND(COUNTIF(D164:AI164,"=34")&gt;=1,COUNTIF(D164:AI164,"=35")&gt;=1,COUNTIF(D164:AI164,"f")=2,COUNTIF(D164:AI164,"")=0,COUNTIF(D164:AI164," ")=0),CONCATENATE(SUM(EXTRACTNUMBER(D164),EXTRACTNUMBER(F164),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EXTRACTNUMBER(AD164),EXTRACTNUMBER(AF164),EXTRACTNUMBER(AH164)),"*"),IF(AND(COUNTIF(D164:AI164,"=36")&gt;=2,COUNTIF(D164:AI164,"f")=2,COUNTIF(D164:AI164,"")=0,COUNTIF(D164:AI164," ")=0),CONCATENATE(SUM(EXTRACTNUMBER(D164),EXTRACTNUMBER(F164),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EXTRACTNUMBER(AD164),EXTRACTNUMBER(AF164),EXTRACTNUMBER(AH164)),"*"),SUM(EXTRACTNUMBER(D164),EXTRACTNUMBER(F164),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EXTRACTNUMBER(AD164),EXTRACTNUMBER(AF164),EXTRACTNUMBER(AH164)))))</f>
        <v>458</v>
      </c>
      <c r="AK164" s="24" t="str">
        <f t="shared" si="51"/>
        <v>PASS</v>
      </c>
      <c r="AL164" s="25" t="str">
        <f>SPELLNUMBER(extractnumber_tot(AJ164))</f>
        <v xml:space="preserve">Four Hundred Fifty Eight </v>
      </c>
    </row>
    <row r="165" spans="2:38" s="22" customFormat="1" ht="15.95" customHeight="1">
      <c r="B165" s="97">
        <v>235341</v>
      </c>
      <c r="C165" s="98" t="s">
        <v>606</v>
      </c>
      <c r="D165" s="96">
        <v>40</v>
      </c>
      <c r="E165" s="89" t="str">
        <f t="shared" si="36"/>
        <v>E</v>
      </c>
      <c r="F165" s="94">
        <v>20</v>
      </c>
      <c r="G165" s="89" t="str">
        <f t="shared" si="37"/>
        <v>E</v>
      </c>
      <c r="H165" s="94">
        <v>37</v>
      </c>
      <c r="I165" s="90" t="str">
        <f t="shared" si="38"/>
        <v>E</v>
      </c>
      <c r="J165" s="91">
        <v>53</v>
      </c>
      <c r="K165" s="90" t="str">
        <f t="shared" si="39"/>
        <v>E</v>
      </c>
      <c r="L165" s="94">
        <v>18</v>
      </c>
      <c r="M165" s="90" t="str">
        <f t="shared" si="35"/>
        <v>E</v>
      </c>
      <c r="N165" s="94">
        <v>38</v>
      </c>
      <c r="O165" s="90" t="str">
        <f t="shared" si="40"/>
        <v>E</v>
      </c>
      <c r="P165" s="92">
        <v>21</v>
      </c>
      <c r="Q165" s="90" t="str">
        <f t="shared" si="41"/>
        <v>F</v>
      </c>
      <c r="R165" s="94">
        <v>18</v>
      </c>
      <c r="S165" s="90" t="str">
        <f t="shared" si="42"/>
        <v>E</v>
      </c>
      <c r="T165" s="94">
        <v>21</v>
      </c>
      <c r="U165" s="90" t="str">
        <f t="shared" si="43"/>
        <v>E</v>
      </c>
      <c r="V165" s="92">
        <v>27</v>
      </c>
      <c r="W165" s="90" t="str">
        <f t="shared" si="44"/>
        <v>F</v>
      </c>
      <c r="X165" s="94">
        <v>19</v>
      </c>
      <c r="Y165" s="90" t="str">
        <f t="shared" si="45"/>
        <v>E</v>
      </c>
      <c r="Z165" s="92">
        <v>21</v>
      </c>
      <c r="AA165" s="90" t="str">
        <f t="shared" si="46"/>
        <v>F</v>
      </c>
      <c r="AB165" s="94">
        <v>18</v>
      </c>
      <c r="AC165" s="90" t="str">
        <f t="shared" si="47"/>
        <v>E</v>
      </c>
      <c r="AD165" s="94">
        <v>18</v>
      </c>
      <c r="AE165" s="90" t="str">
        <f t="shared" si="48"/>
        <v>E</v>
      </c>
      <c r="AF165" s="92">
        <v>26</v>
      </c>
      <c r="AG165" s="89" t="str">
        <f t="shared" si="49"/>
        <v>E</v>
      </c>
      <c r="AH165" s="94">
        <v>18</v>
      </c>
      <c r="AI165" s="90" t="str">
        <f t="shared" si="50"/>
        <v>E</v>
      </c>
      <c r="AJ165" s="108">
        <f>IF(AND(OR(COUNTIF(D165:AI165,"=31")&gt;=1,COUNTIF(D165:AI165,"=32")&gt;=1,COUNTIF(D165:AI165,"=33")&gt;=1,COUNTIF(D165:AI165,"=34")&gt;=1,COUNTIF(D165:AI165,"=35")=1,COUNTIF(D165:AI165,"=36")&gt;=1 ),COUNTIF(D165:AI165,"")=0,COUNTIF(D165:AI165," ")=0,COUNTIF(D165:AI165,"F")=1),CONCATENATE(SUM(EXTRACTNUMBER(D165),EXTRACTNUMBER(F165),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EXTRACTNUMBER(AD165),EXTRACTNUMBER(AF165),EXTRACTNUMBER(AH165)),"*"),IF(AND(COUNTIF(D165:AI165,"=34")&gt;=1,COUNTIF(D165:AI165,"=35")&gt;=1,COUNTIF(D165:AI165,"f")=2,COUNTIF(D165:AI165,"")=0,COUNTIF(D165:AI165," ")=0),CONCATENATE(SUM(EXTRACTNUMBER(D165),EXTRACTNUMBER(F165),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EXTRACTNUMBER(AD165),EXTRACTNUMBER(AF165),EXTRACTNUMBER(AH165)),"*"),IF(AND(COUNTIF(D165:AI165,"=36")&gt;=2,COUNTIF(D165:AI165,"f")=2,COUNTIF(D165:AI165,"")=0,COUNTIF(D165:AI165," ")=0),CONCATENATE(SUM(EXTRACTNUMBER(D165),EXTRACTNUMBER(F165),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EXTRACTNUMBER(AD165),EXTRACTNUMBER(AF165),EXTRACTNUMBER(AH165)),"*"),SUM(EXTRACTNUMBER(D165),EXTRACTNUMBER(F165),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EXTRACTNUMBER(AD165),EXTRACTNUMBER(AF165),EXTRACTNUMBER(AH165)))))</f>
        <v>413</v>
      </c>
      <c r="AK165" s="24" t="str">
        <f t="shared" si="51"/>
        <v>FAIL</v>
      </c>
      <c r="AL165" s="25" t="str">
        <f>SPELLNUMBER(extractnumber_tot(AJ165))</f>
        <v xml:space="preserve">Four Hundred Thirteen </v>
      </c>
    </row>
    <row r="166" spans="2:38" s="22" customFormat="1" ht="15.95" customHeight="1">
      <c r="B166" s="97">
        <v>235342</v>
      </c>
      <c r="C166" s="98" t="s">
        <v>607</v>
      </c>
      <c r="D166" s="96">
        <v>81</v>
      </c>
      <c r="E166" s="89" t="str">
        <f t="shared" si="36"/>
        <v/>
      </c>
      <c r="F166" s="94">
        <v>24</v>
      </c>
      <c r="G166" s="89" t="str">
        <f t="shared" si="37"/>
        <v/>
      </c>
      <c r="H166" s="94">
        <v>48</v>
      </c>
      <c r="I166" s="90" t="str">
        <f t="shared" si="38"/>
        <v/>
      </c>
      <c r="J166" s="91">
        <v>58</v>
      </c>
      <c r="K166" s="90" t="str">
        <f t="shared" si="39"/>
        <v/>
      </c>
      <c r="L166" s="94">
        <v>23</v>
      </c>
      <c r="M166" s="90" t="str">
        <f t="shared" si="35"/>
        <v/>
      </c>
      <c r="N166" s="94">
        <v>46</v>
      </c>
      <c r="O166" s="90" t="str">
        <f t="shared" si="40"/>
        <v/>
      </c>
      <c r="P166" s="92">
        <v>57</v>
      </c>
      <c r="Q166" s="90" t="str">
        <f t="shared" si="41"/>
        <v/>
      </c>
      <c r="R166" s="94">
        <v>24</v>
      </c>
      <c r="S166" s="90" t="str">
        <f t="shared" si="42"/>
        <v/>
      </c>
      <c r="T166" s="94">
        <v>23</v>
      </c>
      <c r="U166" s="90" t="str">
        <f t="shared" si="43"/>
        <v/>
      </c>
      <c r="V166" s="92">
        <v>41</v>
      </c>
      <c r="W166" s="90" t="str">
        <f t="shared" si="44"/>
        <v/>
      </c>
      <c r="X166" s="94">
        <v>24</v>
      </c>
      <c r="Y166" s="90" t="str">
        <f t="shared" si="45"/>
        <v/>
      </c>
      <c r="Z166" s="92">
        <v>52</v>
      </c>
      <c r="AA166" s="90" t="str">
        <f t="shared" si="46"/>
        <v/>
      </c>
      <c r="AB166" s="94">
        <v>24</v>
      </c>
      <c r="AC166" s="90" t="str">
        <f t="shared" si="47"/>
        <v/>
      </c>
      <c r="AD166" s="94">
        <v>22</v>
      </c>
      <c r="AE166" s="90" t="str">
        <f t="shared" si="48"/>
        <v/>
      </c>
      <c r="AF166" s="92">
        <v>34</v>
      </c>
      <c r="AG166" s="89" t="str">
        <f t="shared" si="49"/>
        <v/>
      </c>
      <c r="AH166" s="94">
        <v>20</v>
      </c>
      <c r="AI166" s="90" t="str">
        <f t="shared" si="50"/>
        <v/>
      </c>
      <c r="AJ166" s="108">
        <f>IF(AND(OR(COUNTIF(D166:AI166,"=31")&gt;=1,COUNTIF(D166:AI166,"=32")&gt;=1,COUNTIF(D166:AI166,"=33")&gt;=1,COUNTIF(D166:AI166,"=34")&gt;=1,COUNTIF(D166:AI166,"=35")=1,COUNTIF(D166:AI166,"=36")&gt;=1 ),COUNTIF(D166:AI166,"")=0,COUNTIF(D166:AI166," ")=0,COUNTIF(D166:AI166,"F")=1),CONCATENATE(SUM(EXTRACTNUMBER(D166),EXTRACTNUMBER(F166),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EXTRACTNUMBER(AD166),EXTRACTNUMBER(AF166),EXTRACTNUMBER(AH166)),"*"),IF(AND(COUNTIF(D166:AI166,"=34")&gt;=1,COUNTIF(D166:AI166,"=35")&gt;=1,COUNTIF(D166:AI166,"f")=2,COUNTIF(D166:AI166,"")=0,COUNTIF(D166:AI166," ")=0),CONCATENATE(SUM(EXTRACTNUMBER(D166),EXTRACTNUMBER(F166),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EXTRACTNUMBER(AD166),EXTRACTNUMBER(AF166),EXTRACTNUMBER(AH166)),"*"),IF(AND(COUNTIF(D166:AI166,"=36")&gt;=2,COUNTIF(D166:AI166,"f")=2,COUNTIF(D166:AI166,"")=0,COUNTIF(D166:AI166," ")=0),CONCATENATE(SUM(EXTRACTNUMBER(D166),EXTRACTNUMBER(F166),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EXTRACTNUMBER(AD166),EXTRACTNUMBER(AF166),EXTRACTNUMBER(AH166)),"*"),SUM(EXTRACTNUMBER(D166),EXTRACTNUMBER(F166),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EXTRACTNUMBER(AD166),EXTRACTNUMBER(AF166),EXTRACTNUMBER(AH166)))))</f>
        <v>601</v>
      </c>
      <c r="AK166" s="24" t="str">
        <f t="shared" si="51"/>
        <v>PASS</v>
      </c>
      <c r="AL166" s="25" t="str">
        <f>SPELLNUMBER(extractnumber_tot(AJ166))</f>
        <v xml:space="preserve">Six Hundred One </v>
      </c>
    </row>
    <row r="167" spans="2:38" s="22" customFormat="1" ht="15.95" customHeight="1">
      <c r="B167" s="97">
        <v>235343</v>
      </c>
      <c r="C167" s="98" t="s">
        <v>608</v>
      </c>
      <c r="D167" s="96">
        <v>54</v>
      </c>
      <c r="E167" s="89" t="str">
        <f t="shared" si="36"/>
        <v/>
      </c>
      <c r="F167" s="94">
        <v>21</v>
      </c>
      <c r="G167" s="89" t="str">
        <f t="shared" si="37"/>
        <v/>
      </c>
      <c r="H167" s="94">
        <v>43</v>
      </c>
      <c r="I167" s="90" t="str">
        <f t="shared" si="38"/>
        <v/>
      </c>
      <c r="J167" s="91">
        <v>52</v>
      </c>
      <c r="K167" s="90" t="str">
        <f t="shared" si="39"/>
        <v/>
      </c>
      <c r="L167" s="94">
        <v>21</v>
      </c>
      <c r="M167" s="90" t="str">
        <f t="shared" si="35"/>
        <v/>
      </c>
      <c r="N167" s="94">
        <v>40</v>
      </c>
      <c r="O167" s="90" t="str">
        <f t="shared" si="40"/>
        <v/>
      </c>
      <c r="P167" s="92">
        <v>45</v>
      </c>
      <c r="Q167" s="90" t="str">
        <f t="shared" si="41"/>
        <v/>
      </c>
      <c r="R167" s="94">
        <v>23</v>
      </c>
      <c r="S167" s="90" t="str">
        <f t="shared" si="42"/>
        <v/>
      </c>
      <c r="T167" s="94">
        <v>23</v>
      </c>
      <c r="U167" s="90" t="str">
        <f t="shared" si="43"/>
        <v/>
      </c>
      <c r="V167" s="92">
        <v>43</v>
      </c>
      <c r="W167" s="90" t="str">
        <f t="shared" si="44"/>
        <v/>
      </c>
      <c r="X167" s="94">
        <v>23</v>
      </c>
      <c r="Y167" s="90" t="str">
        <f t="shared" si="45"/>
        <v/>
      </c>
      <c r="Z167" s="92">
        <v>50</v>
      </c>
      <c r="AA167" s="90" t="str">
        <f t="shared" si="46"/>
        <v/>
      </c>
      <c r="AB167" s="94">
        <v>18</v>
      </c>
      <c r="AC167" s="90" t="str">
        <f t="shared" si="47"/>
        <v/>
      </c>
      <c r="AD167" s="94">
        <v>19</v>
      </c>
      <c r="AE167" s="90" t="str">
        <f t="shared" si="48"/>
        <v/>
      </c>
      <c r="AF167" s="92">
        <v>27</v>
      </c>
      <c r="AG167" s="89" t="str">
        <f t="shared" si="49"/>
        <v/>
      </c>
      <c r="AH167" s="94">
        <v>20</v>
      </c>
      <c r="AI167" s="90" t="str">
        <f t="shared" si="50"/>
        <v/>
      </c>
      <c r="AJ167" s="108">
        <f>IF(AND(OR(COUNTIF(D167:AI167,"=31")&gt;=1,COUNTIF(D167:AI167,"=32")&gt;=1,COUNTIF(D167:AI167,"=33")&gt;=1,COUNTIF(D167:AI167,"=34")&gt;=1,COUNTIF(D167:AI167,"=35")=1,COUNTIF(D167:AI167,"=36")&gt;=1 ),COUNTIF(D167:AI167,"")=0,COUNTIF(D167:AI167," ")=0,COUNTIF(D167:AI167,"F")=1),CONCATENATE(SUM(EXTRACTNUMBER(D167),EXTRACTNUMBER(F167),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EXTRACTNUMBER(AD167),EXTRACTNUMBER(AF167),EXTRACTNUMBER(AH167)),"*"),IF(AND(COUNTIF(D167:AI167,"=34")&gt;=1,COUNTIF(D167:AI167,"=35")&gt;=1,COUNTIF(D167:AI167,"f")=2,COUNTIF(D167:AI167,"")=0,COUNTIF(D167:AI167," ")=0),CONCATENATE(SUM(EXTRACTNUMBER(D167),EXTRACTNUMBER(F167),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EXTRACTNUMBER(AD167),EXTRACTNUMBER(AF167),EXTRACTNUMBER(AH167)),"*"),IF(AND(COUNTIF(D167:AI167,"=36")&gt;=2,COUNTIF(D167:AI167,"f")=2,COUNTIF(D167:AI167,"")=0,COUNTIF(D167:AI167," ")=0),CONCATENATE(SUM(EXTRACTNUMBER(D167),EXTRACTNUMBER(F167),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EXTRACTNUMBER(AD167),EXTRACTNUMBER(AF167),EXTRACTNUMBER(AH167)),"*"),SUM(EXTRACTNUMBER(D167),EXTRACTNUMBER(F167),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EXTRACTNUMBER(AD167),EXTRACTNUMBER(AF167),EXTRACTNUMBER(AH167)))))</f>
        <v>522</v>
      </c>
      <c r="AK167" s="24" t="str">
        <f t="shared" si="51"/>
        <v>PASS</v>
      </c>
      <c r="AL167" s="25" t="str">
        <f>SPELLNUMBER(extractnumber_tot(AJ167))</f>
        <v xml:space="preserve">Five Hundred Twenty Two </v>
      </c>
    </row>
    <row r="168" spans="2:38" s="22" customFormat="1" ht="15.95" customHeight="1">
      <c r="B168" s="97">
        <v>235344</v>
      </c>
      <c r="C168" s="98" t="s">
        <v>609</v>
      </c>
      <c r="D168" s="96">
        <v>48</v>
      </c>
      <c r="E168" s="89" t="str">
        <f t="shared" si="36"/>
        <v>E</v>
      </c>
      <c r="F168" s="94">
        <v>23</v>
      </c>
      <c r="G168" s="89" t="str">
        <f t="shared" si="37"/>
        <v>E</v>
      </c>
      <c r="H168" s="94">
        <v>47</v>
      </c>
      <c r="I168" s="90" t="str">
        <f t="shared" si="38"/>
        <v>E</v>
      </c>
      <c r="J168" s="91">
        <v>55</v>
      </c>
      <c r="K168" s="90" t="str">
        <f t="shared" si="39"/>
        <v>E</v>
      </c>
      <c r="L168" s="94">
        <v>23</v>
      </c>
      <c r="M168" s="90" t="str">
        <f t="shared" si="35"/>
        <v>E</v>
      </c>
      <c r="N168" s="94">
        <v>39</v>
      </c>
      <c r="O168" s="90" t="str">
        <f t="shared" si="40"/>
        <v>E</v>
      </c>
      <c r="P168" s="92">
        <v>28</v>
      </c>
      <c r="Q168" s="90" t="str">
        <f t="shared" si="41"/>
        <v>F</v>
      </c>
      <c r="R168" s="94">
        <v>23</v>
      </c>
      <c r="S168" s="90" t="str">
        <f t="shared" si="42"/>
        <v>E</v>
      </c>
      <c r="T168" s="94">
        <v>23</v>
      </c>
      <c r="U168" s="90" t="str">
        <f t="shared" si="43"/>
        <v>E</v>
      </c>
      <c r="V168" s="92">
        <v>61</v>
      </c>
      <c r="W168" s="90" t="str">
        <f t="shared" si="44"/>
        <v>E</v>
      </c>
      <c r="X168" s="94">
        <v>23</v>
      </c>
      <c r="Y168" s="90" t="str">
        <f t="shared" si="45"/>
        <v>E</v>
      </c>
      <c r="Z168" s="92">
        <v>44</v>
      </c>
      <c r="AA168" s="90" t="str">
        <f t="shared" si="46"/>
        <v>E</v>
      </c>
      <c r="AB168" s="94">
        <v>24</v>
      </c>
      <c r="AC168" s="90" t="str">
        <f t="shared" si="47"/>
        <v>E</v>
      </c>
      <c r="AD168" s="94">
        <v>23</v>
      </c>
      <c r="AE168" s="90" t="str">
        <f t="shared" si="48"/>
        <v>E</v>
      </c>
      <c r="AF168" s="92">
        <v>31</v>
      </c>
      <c r="AG168" s="89" t="str">
        <f t="shared" si="49"/>
        <v>E</v>
      </c>
      <c r="AH168" s="94">
        <v>22</v>
      </c>
      <c r="AI168" s="90" t="str">
        <f t="shared" si="50"/>
        <v>E</v>
      </c>
      <c r="AJ168" s="108">
        <v>537</v>
      </c>
      <c r="AK168" s="24" t="str">
        <f t="shared" si="51"/>
        <v>FAIL</v>
      </c>
      <c r="AL168" s="25" t="str">
        <f>SPELLNUMBER(extractnumber_tot(AJ168))</f>
        <v xml:space="preserve">Five Hundred Thirty Seven </v>
      </c>
    </row>
    <row r="169" spans="2:38" s="22" customFormat="1" ht="15.95" customHeight="1">
      <c r="B169" s="97">
        <v>235345</v>
      </c>
      <c r="C169" s="98" t="s">
        <v>610</v>
      </c>
      <c r="D169" s="96">
        <v>51</v>
      </c>
      <c r="E169" s="89" t="str">
        <f t="shared" si="36"/>
        <v/>
      </c>
      <c r="F169" s="94">
        <v>24</v>
      </c>
      <c r="G169" s="89" t="str">
        <f t="shared" si="37"/>
        <v/>
      </c>
      <c r="H169" s="94">
        <v>46</v>
      </c>
      <c r="I169" s="90" t="str">
        <f t="shared" si="38"/>
        <v/>
      </c>
      <c r="J169" s="91">
        <v>43</v>
      </c>
      <c r="K169" s="90" t="str">
        <f t="shared" si="39"/>
        <v/>
      </c>
      <c r="L169" s="94">
        <v>22</v>
      </c>
      <c r="M169" s="90" t="str">
        <f t="shared" si="35"/>
        <v/>
      </c>
      <c r="N169" s="94">
        <v>41</v>
      </c>
      <c r="O169" s="90" t="str">
        <f t="shared" si="40"/>
        <v/>
      </c>
      <c r="P169" s="92">
        <v>43</v>
      </c>
      <c r="Q169" s="90" t="str">
        <f t="shared" si="41"/>
        <v/>
      </c>
      <c r="R169" s="94">
        <v>23</v>
      </c>
      <c r="S169" s="90" t="str">
        <f t="shared" si="42"/>
        <v/>
      </c>
      <c r="T169" s="94">
        <v>22</v>
      </c>
      <c r="U169" s="90" t="str">
        <f t="shared" si="43"/>
        <v/>
      </c>
      <c r="V169" s="92">
        <v>46</v>
      </c>
      <c r="W169" s="90" t="str">
        <f t="shared" si="44"/>
        <v/>
      </c>
      <c r="X169" s="94">
        <v>24</v>
      </c>
      <c r="Y169" s="90" t="str">
        <f t="shared" si="45"/>
        <v/>
      </c>
      <c r="Z169" s="92">
        <v>54</v>
      </c>
      <c r="AA169" s="90" t="str">
        <f t="shared" si="46"/>
        <v/>
      </c>
      <c r="AB169" s="94">
        <v>22</v>
      </c>
      <c r="AC169" s="90" t="str">
        <f t="shared" si="47"/>
        <v/>
      </c>
      <c r="AD169" s="94">
        <v>20</v>
      </c>
      <c r="AE169" s="90" t="str">
        <f t="shared" si="48"/>
        <v/>
      </c>
      <c r="AF169" s="92">
        <v>25</v>
      </c>
      <c r="AG169" s="89" t="str">
        <f t="shared" si="49"/>
        <v/>
      </c>
      <c r="AH169" s="94">
        <v>21</v>
      </c>
      <c r="AI169" s="90" t="str">
        <f t="shared" si="50"/>
        <v/>
      </c>
      <c r="AJ169" s="108">
        <f>IF(AND(OR(COUNTIF(D169:AI169,"=31")&gt;=1,COUNTIF(D169:AI169,"=32")&gt;=1,COUNTIF(D169:AI169,"=33")&gt;=1,COUNTIF(D169:AI169,"=34")&gt;=1,COUNTIF(D169:AI169,"=35")=1,COUNTIF(D169:AI169,"=36")&gt;=1 ),COUNTIF(D169:AI169,"")=0,COUNTIF(D169:AI169," ")=0,COUNTIF(D169:AI169,"F")=1),CONCATENATE(SUM(EXTRACTNUMBER(D169),EXTRACTNUMBER(F169),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EXTRACTNUMBER(AD169),EXTRACTNUMBER(AF169),EXTRACTNUMBER(AH169)),"*"),IF(AND(COUNTIF(D169:AI169,"=34")&gt;=1,COUNTIF(D169:AI169,"=35")&gt;=1,COUNTIF(D169:AI169,"f")=2,COUNTIF(D169:AI169,"")=0,COUNTIF(D169:AI169," ")=0),CONCATENATE(SUM(EXTRACTNUMBER(D169),EXTRACTNUMBER(F169),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EXTRACTNUMBER(AD169),EXTRACTNUMBER(AF169),EXTRACTNUMBER(AH169)),"*"),IF(AND(COUNTIF(D169:AI169,"=36")&gt;=2,COUNTIF(D169:AI169,"f")=2,COUNTIF(D169:AI169,"")=0,COUNTIF(D169:AI169," ")=0),CONCATENATE(SUM(EXTRACTNUMBER(D169),EXTRACTNUMBER(F169),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EXTRACTNUMBER(AD169),EXTRACTNUMBER(AF169),EXTRACTNUMBER(AH169)),"*"),SUM(EXTRACTNUMBER(D169),EXTRACTNUMBER(F169),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EXTRACTNUMBER(AD169),EXTRACTNUMBER(AF169),EXTRACTNUMBER(AH169)))))</f>
        <v>527</v>
      </c>
      <c r="AK169" s="24" t="str">
        <f t="shared" si="51"/>
        <v>PASS</v>
      </c>
      <c r="AL169" s="25" t="str">
        <f>SPELLNUMBER(extractnumber_tot(AJ169))</f>
        <v xml:space="preserve">Five Hundred Twenty Seven </v>
      </c>
    </row>
    <row r="170" spans="2:38" s="22" customFormat="1" ht="15.95" customHeight="1">
      <c r="B170" s="97">
        <v>235346</v>
      </c>
      <c r="C170" s="99" t="s">
        <v>611</v>
      </c>
      <c r="D170" s="96">
        <v>8</v>
      </c>
      <c r="E170" s="89" t="str">
        <f t="shared" si="36"/>
        <v>F</v>
      </c>
      <c r="F170" s="94">
        <v>18</v>
      </c>
      <c r="G170" s="89" t="str">
        <f t="shared" si="37"/>
        <v>E</v>
      </c>
      <c r="H170" s="94">
        <v>35</v>
      </c>
      <c r="I170" s="90" t="str">
        <f t="shared" si="38"/>
        <v>E</v>
      </c>
      <c r="J170" s="91">
        <v>40</v>
      </c>
      <c r="K170" s="90" t="str">
        <f t="shared" si="39"/>
        <v>E</v>
      </c>
      <c r="L170" s="94">
        <v>18</v>
      </c>
      <c r="M170" s="90" t="str">
        <f t="shared" si="35"/>
        <v>E</v>
      </c>
      <c r="N170" s="94">
        <v>35</v>
      </c>
      <c r="O170" s="90" t="str">
        <f t="shared" si="40"/>
        <v>E</v>
      </c>
      <c r="P170" s="92">
        <v>23</v>
      </c>
      <c r="Q170" s="90" t="str">
        <f t="shared" si="41"/>
        <v>F</v>
      </c>
      <c r="R170" s="94">
        <v>15</v>
      </c>
      <c r="S170" s="90" t="str">
        <f t="shared" si="42"/>
        <v>E</v>
      </c>
      <c r="T170" s="94">
        <v>16</v>
      </c>
      <c r="U170" s="90" t="str">
        <f t="shared" si="43"/>
        <v>E</v>
      </c>
      <c r="V170" s="92" t="s">
        <v>75</v>
      </c>
      <c r="W170" s="90" t="str">
        <f t="shared" si="44"/>
        <v/>
      </c>
      <c r="X170" s="94">
        <v>16</v>
      </c>
      <c r="Y170" s="90" t="str">
        <f t="shared" si="45"/>
        <v>E</v>
      </c>
      <c r="Z170" s="92">
        <v>29</v>
      </c>
      <c r="AA170" s="90" t="str">
        <f t="shared" si="46"/>
        <v>F</v>
      </c>
      <c r="AB170" s="94">
        <v>15</v>
      </c>
      <c r="AC170" s="90" t="str">
        <f t="shared" si="47"/>
        <v>E</v>
      </c>
      <c r="AD170" s="94">
        <v>16</v>
      </c>
      <c r="AE170" s="90" t="str">
        <f t="shared" si="48"/>
        <v>E</v>
      </c>
      <c r="AF170" s="92">
        <v>24</v>
      </c>
      <c r="AG170" s="89" t="str">
        <f t="shared" si="49"/>
        <v>E</v>
      </c>
      <c r="AH170" s="94">
        <v>16</v>
      </c>
      <c r="AI170" s="90" t="str">
        <f t="shared" si="50"/>
        <v>E</v>
      </c>
      <c r="AJ170" s="108">
        <f>IF(AND(OR(COUNTIF(D170:AI170,"=31")&gt;=1,COUNTIF(D170:AI170,"=32")&gt;=1,COUNTIF(D170:AI170,"=33")&gt;=1,COUNTIF(D170:AI170,"=34")&gt;=1,COUNTIF(D170:AI170,"=35")=1,COUNTIF(D170:AI170,"=36")&gt;=1 ),COUNTIF(D170:AI170,"")=0,COUNTIF(D170:AI170," ")=0,COUNTIF(D170:AI170,"F")=1),CONCATENATE(SUM(EXTRACTNUMBER(D170),EXTRACTNUMBER(F170),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EXTRACTNUMBER(AD170),EXTRACTNUMBER(AF170),EXTRACTNUMBER(AH170)),"*"),IF(AND(COUNTIF(D170:AI170,"=34")&gt;=1,COUNTIF(D170:AI170,"=35")&gt;=1,COUNTIF(D170:AI170,"f")=2,COUNTIF(D170:AI170,"")=0,COUNTIF(D170:AI170," ")=0),CONCATENATE(SUM(EXTRACTNUMBER(D170),EXTRACTNUMBER(F170),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EXTRACTNUMBER(AD170),EXTRACTNUMBER(AF170),EXTRACTNUMBER(AH170)),"*"),IF(AND(COUNTIF(D170:AI170,"=36")&gt;=2,COUNTIF(D170:AI170,"f")=2,COUNTIF(D170:AI170,"")=0,COUNTIF(D170:AI170," ")=0),CONCATENATE(SUM(EXTRACTNUMBER(D170),EXTRACTNUMBER(F170),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EXTRACTNUMBER(AD170),EXTRACTNUMBER(AF170),EXTRACTNUMBER(AH170)),"*"),SUM(EXTRACTNUMBER(D170),EXTRACTNUMBER(F170),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EXTRACTNUMBER(AD170),EXTRACTNUMBER(AF170),EXTRACTNUMBER(AH170)))))</f>
        <v>324</v>
      </c>
      <c r="AK170" s="24" t="str">
        <f t="shared" si="51"/>
        <v>FAIL</v>
      </c>
      <c r="AL170" s="25" t="str">
        <f>SPELLNUMBER(extractnumber_tot(AJ170))</f>
        <v xml:space="preserve">Three Hundred Twenty Four </v>
      </c>
    </row>
    <row r="171" spans="2:38" s="22" customFormat="1" ht="15.95" customHeight="1">
      <c r="B171" s="97">
        <v>235347</v>
      </c>
      <c r="C171" s="98" t="s">
        <v>612</v>
      </c>
      <c r="D171" s="96">
        <v>45</v>
      </c>
      <c r="E171" s="89" t="str">
        <f t="shared" si="36"/>
        <v>E</v>
      </c>
      <c r="F171" s="94">
        <v>18</v>
      </c>
      <c r="G171" s="89" t="str">
        <f t="shared" si="37"/>
        <v>E</v>
      </c>
      <c r="H171" s="94">
        <v>40</v>
      </c>
      <c r="I171" s="90" t="str">
        <f t="shared" si="38"/>
        <v>E</v>
      </c>
      <c r="J171" s="91">
        <v>48</v>
      </c>
      <c r="K171" s="90" t="str">
        <f t="shared" si="39"/>
        <v>E</v>
      </c>
      <c r="L171" s="94">
        <v>17</v>
      </c>
      <c r="M171" s="90" t="str">
        <f t="shared" si="35"/>
        <v>E</v>
      </c>
      <c r="N171" s="94">
        <v>36</v>
      </c>
      <c r="O171" s="90" t="str">
        <f t="shared" si="40"/>
        <v>E</v>
      </c>
      <c r="P171" s="92">
        <v>42</v>
      </c>
      <c r="Q171" s="90" t="str">
        <f t="shared" si="41"/>
        <v>E</v>
      </c>
      <c r="R171" s="94">
        <v>18</v>
      </c>
      <c r="S171" s="90" t="str">
        <f t="shared" si="42"/>
        <v>E</v>
      </c>
      <c r="T171" s="94">
        <v>20</v>
      </c>
      <c r="U171" s="90" t="str">
        <f t="shared" si="43"/>
        <v>E</v>
      </c>
      <c r="V171" s="92">
        <v>19</v>
      </c>
      <c r="W171" s="90" t="str">
        <f t="shared" si="44"/>
        <v>F</v>
      </c>
      <c r="X171" s="94">
        <v>17</v>
      </c>
      <c r="Y171" s="90" t="str">
        <f t="shared" si="45"/>
        <v>E</v>
      </c>
      <c r="Z171" s="92">
        <v>44</v>
      </c>
      <c r="AA171" s="90" t="str">
        <f t="shared" si="46"/>
        <v>E</v>
      </c>
      <c r="AB171" s="94">
        <v>19</v>
      </c>
      <c r="AC171" s="90" t="str">
        <f t="shared" si="47"/>
        <v>E</v>
      </c>
      <c r="AD171" s="94">
        <v>17</v>
      </c>
      <c r="AE171" s="90" t="str">
        <f t="shared" si="48"/>
        <v>E</v>
      </c>
      <c r="AF171" s="92">
        <v>31</v>
      </c>
      <c r="AG171" s="89" t="str">
        <f t="shared" si="49"/>
        <v>E</v>
      </c>
      <c r="AH171" s="94">
        <v>17</v>
      </c>
      <c r="AI171" s="90" t="str">
        <f t="shared" si="50"/>
        <v>E</v>
      </c>
      <c r="AJ171" s="108">
        <v>448</v>
      </c>
      <c r="AK171" s="24" t="str">
        <f t="shared" si="51"/>
        <v>FAIL</v>
      </c>
      <c r="AL171" s="25" t="str">
        <f>SPELLNUMBER(extractnumber_tot(AJ171))</f>
        <v xml:space="preserve">Four Hundred Forty Eight </v>
      </c>
    </row>
    <row r="172" spans="2:38" s="22" customFormat="1" ht="15.95" customHeight="1">
      <c r="B172" s="97">
        <v>235348</v>
      </c>
      <c r="C172" s="99" t="s">
        <v>613</v>
      </c>
      <c r="D172" s="96">
        <v>40</v>
      </c>
      <c r="E172" s="89" t="str">
        <f t="shared" si="36"/>
        <v>E</v>
      </c>
      <c r="F172" s="94">
        <v>18</v>
      </c>
      <c r="G172" s="89" t="str">
        <f t="shared" si="37"/>
        <v>E</v>
      </c>
      <c r="H172" s="94">
        <v>35</v>
      </c>
      <c r="I172" s="90" t="str">
        <f t="shared" si="38"/>
        <v>E</v>
      </c>
      <c r="J172" s="91">
        <v>43</v>
      </c>
      <c r="K172" s="90" t="str">
        <f t="shared" si="39"/>
        <v>E</v>
      </c>
      <c r="L172" s="94">
        <v>18</v>
      </c>
      <c r="M172" s="90" t="str">
        <f t="shared" si="35"/>
        <v>E</v>
      </c>
      <c r="N172" s="94">
        <v>37</v>
      </c>
      <c r="O172" s="90" t="str">
        <f t="shared" si="40"/>
        <v>E</v>
      </c>
      <c r="P172" s="92">
        <v>11</v>
      </c>
      <c r="Q172" s="90" t="str">
        <f t="shared" si="41"/>
        <v>F</v>
      </c>
      <c r="R172" s="94">
        <v>17</v>
      </c>
      <c r="S172" s="90" t="str">
        <f t="shared" si="42"/>
        <v>E</v>
      </c>
      <c r="T172" s="94">
        <v>21</v>
      </c>
      <c r="U172" s="90" t="str">
        <f t="shared" si="43"/>
        <v>E</v>
      </c>
      <c r="V172" s="92">
        <v>28</v>
      </c>
      <c r="W172" s="90" t="str">
        <f t="shared" si="44"/>
        <v>F</v>
      </c>
      <c r="X172" s="94">
        <v>17</v>
      </c>
      <c r="Y172" s="90" t="str">
        <f t="shared" si="45"/>
        <v>E</v>
      </c>
      <c r="Z172" s="92">
        <v>50</v>
      </c>
      <c r="AA172" s="90" t="str">
        <f t="shared" si="46"/>
        <v>E</v>
      </c>
      <c r="AB172" s="94">
        <v>15</v>
      </c>
      <c r="AC172" s="90" t="str">
        <f t="shared" si="47"/>
        <v>E</v>
      </c>
      <c r="AD172" s="94">
        <v>20</v>
      </c>
      <c r="AE172" s="90" t="str">
        <f t="shared" si="48"/>
        <v>E</v>
      </c>
      <c r="AF172" s="92">
        <v>27</v>
      </c>
      <c r="AG172" s="89" t="str">
        <f t="shared" si="49"/>
        <v>E</v>
      </c>
      <c r="AH172" s="94">
        <v>17</v>
      </c>
      <c r="AI172" s="90" t="str">
        <f t="shared" si="50"/>
        <v>E</v>
      </c>
      <c r="AJ172" s="108">
        <f>IF(AND(OR(COUNTIF(D172:AI172,"=31")&gt;=1,COUNTIF(D172:AI172,"=32")&gt;=1,COUNTIF(D172:AI172,"=33")&gt;=1,COUNTIF(D172:AI172,"=34")&gt;=1,COUNTIF(D172:AI172,"=35")=1,COUNTIF(D172:AI172,"=36")&gt;=1 ),COUNTIF(D172:AI172,"")=0,COUNTIF(D172:AI172," ")=0,COUNTIF(D172:AI172,"F")=1),CONCATENATE(SUM(EXTRACTNUMBER(D172),EXTRACTNUMBER(F172),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EXTRACTNUMBER(AD172),EXTRACTNUMBER(AF172),EXTRACTNUMBER(AH172)),"*"),IF(AND(COUNTIF(D172:AI172,"=34")&gt;=1,COUNTIF(D172:AI172,"=35")&gt;=1,COUNTIF(D172:AI172,"f")=2,COUNTIF(D172:AI172,"")=0,COUNTIF(D172:AI172," ")=0),CONCATENATE(SUM(EXTRACTNUMBER(D172),EXTRACTNUMBER(F172),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EXTRACTNUMBER(AD172),EXTRACTNUMBER(AF172),EXTRACTNUMBER(AH172)),"*"),IF(AND(COUNTIF(D172:AI172,"=36")&gt;=2,COUNTIF(D172:AI172,"f")=2,COUNTIF(D172:AI172,"")=0,COUNTIF(D172:AI172," ")=0),CONCATENATE(SUM(EXTRACTNUMBER(D172),EXTRACTNUMBER(F172),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EXTRACTNUMBER(AD172),EXTRACTNUMBER(AF172),EXTRACTNUMBER(AH172)),"*"),SUM(EXTRACTNUMBER(D172),EXTRACTNUMBER(F172),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EXTRACTNUMBER(AD172),EXTRACTNUMBER(AF172),EXTRACTNUMBER(AH172)))))</f>
        <v>414</v>
      </c>
      <c r="AK172" s="24" t="str">
        <f t="shared" si="51"/>
        <v>FAIL</v>
      </c>
      <c r="AL172" s="25" t="str">
        <f>SPELLNUMBER(extractnumber_tot(AJ172))</f>
        <v xml:space="preserve">Four Hundred Fourteen </v>
      </c>
    </row>
    <row r="173" spans="2:38" s="22" customFormat="1" ht="15.95" customHeight="1">
      <c r="B173" s="100">
        <v>235349</v>
      </c>
      <c r="C173" s="101" t="s">
        <v>153</v>
      </c>
      <c r="D173" s="96" t="s">
        <v>40</v>
      </c>
      <c r="E173" s="89" t="str">
        <f t="shared" si="36"/>
        <v xml:space="preserve"> </v>
      </c>
      <c r="F173" s="94" t="s">
        <v>49</v>
      </c>
      <c r="G173" s="89" t="str">
        <f t="shared" si="37"/>
        <v xml:space="preserve"> </v>
      </c>
      <c r="H173" s="94" t="s">
        <v>58</v>
      </c>
      <c r="I173" s="90" t="str">
        <f t="shared" si="38"/>
        <v xml:space="preserve"> </v>
      </c>
      <c r="J173" s="91" t="s">
        <v>634</v>
      </c>
      <c r="K173" s="90" t="str">
        <f t="shared" si="39"/>
        <v xml:space="preserve"> </v>
      </c>
      <c r="L173" s="94" t="s">
        <v>46</v>
      </c>
      <c r="M173" s="90" t="str">
        <f t="shared" si="35"/>
        <v xml:space="preserve"> </v>
      </c>
      <c r="N173" s="94" t="s">
        <v>55</v>
      </c>
      <c r="O173" s="90" t="str">
        <f t="shared" si="40"/>
        <v xml:space="preserve"> </v>
      </c>
      <c r="P173" s="92" t="s">
        <v>44</v>
      </c>
      <c r="Q173" s="90" t="str">
        <f t="shared" si="41"/>
        <v xml:space="preserve"> </v>
      </c>
      <c r="R173" s="94" t="s">
        <v>49</v>
      </c>
      <c r="S173" s="90" t="str">
        <f t="shared" si="42"/>
        <v xml:space="preserve"> </v>
      </c>
      <c r="T173" s="94" t="s">
        <v>52</v>
      </c>
      <c r="U173" s="90" t="str">
        <f t="shared" si="43"/>
        <v xml:space="preserve"> </v>
      </c>
      <c r="V173" s="92" t="s">
        <v>75</v>
      </c>
      <c r="W173" s="90" t="str">
        <f t="shared" si="44"/>
        <v/>
      </c>
      <c r="X173" s="94" t="s">
        <v>49</v>
      </c>
      <c r="Y173" s="90" t="str">
        <f t="shared" si="45"/>
        <v xml:space="preserve"> </v>
      </c>
      <c r="Z173" s="92" t="s">
        <v>75</v>
      </c>
      <c r="AA173" s="90" t="str">
        <f t="shared" si="46"/>
        <v/>
      </c>
      <c r="AB173" s="94" t="s">
        <v>46</v>
      </c>
      <c r="AC173" s="90" t="str">
        <f t="shared" si="47"/>
        <v xml:space="preserve"> </v>
      </c>
      <c r="AD173" s="93" t="s">
        <v>49</v>
      </c>
      <c r="AE173" s="90" t="str">
        <f t="shared" si="48"/>
        <v xml:space="preserve"> </v>
      </c>
      <c r="AF173" s="92" t="s">
        <v>73</v>
      </c>
      <c r="AG173" s="89" t="str">
        <f t="shared" si="49"/>
        <v xml:space="preserve"> </v>
      </c>
      <c r="AH173" s="94" t="s">
        <v>46</v>
      </c>
      <c r="AI173" s="90" t="str">
        <f t="shared" si="50"/>
        <v xml:space="preserve"> </v>
      </c>
      <c r="AJ173" s="108">
        <f>IF(AND(OR(COUNTIF(D173:AI173,"=31")&gt;=1,COUNTIF(D173:AI173,"=32")&gt;=1,COUNTIF(D173:AI173,"=33")&gt;=1,COUNTIF(D173:AI173,"=34")&gt;=1,COUNTIF(D173:AI173,"=35")=1,COUNTIF(D173:AI173,"=36")&gt;=1 ),COUNTIF(D173:AI173,"")=0,COUNTIF(D173:AI173," ")=0,COUNTIF(D173:AI173,"F")=1),CONCATENATE(SUM(EXTRACTNUMBER(D173),EXTRACTNUMBER(F173),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EXTRACTNUMBER(AD173),EXTRACTNUMBER(AF173),EXTRACTNUMBER(AH173)),"*"),IF(AND(COUNTIF(D173:AI173,"=34")&gt;=1,COUNTIF(D173:AI173,"=35")&gt;=1,COUNTIF(D173:AI173,"f")=2,COUNTIF(D173:AI173,"")=0,COUNTIF(D173:AI173," ")=0),CONCATENATE(SUM(EXTRACTNUMBER(D173),EXTRACTNUMBER(F173),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EXTRACTNUMBER(AD173),EXTRACTNUMBER(AF173),EXTRACTNUMBER(AH173)),"*"),IF(AND(COUNTIF(D173:AI173,"=36")&gt;=2,COUNTIF(D173:AI173,"f")=2,COUNTIF(D173:AI173,"")=0,COUNTIF(D173:AI173," ")=0),CONCATENATE(SUM(EXTRACTNUMBER(D173),EXTRACTNUMBER(F173),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EXTRACTNUMBER(AD173),EXTRACTNUMBER(AF173),EXTRACTNUMBER(AH173)),"*"),SUM(EXTRACTNUMBER(D173),EXTRACTNUMBER(F173),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EXTRACTNUMBER(AD173),EXTRACTNUMBER(AF173),EXTRACTNUMBER(AH173)))))</f>
        <v>418</v>
      </c>
      <c r="AK173" s="24" t="str">
        <f t="shared" si="51"/>
        <v>ABSENT</v>
      </c>
      <c r="AL173" s="25" t="str">
        <f>SPELLNUMBER(extractnumber_tot(AJ173))</f>
        <v xml:space="preserve">Four Hundred Eighteen </v>
      </c>
    </row>
    <row r="174" spans="2:38" s="22" customFormat="1" ht="15.95" customHeight="1">
      <c r="B174" s="100">
        <v>235350</v>
      </c>
      <c r="C174" s="101" t="s">
        <v>159</v>
      </c>
      <c r="D174" s="96" t="s">
        <v>41</v>
      </c>
      <c r="E174" s="89" t="str">
        <f t="shared" si="36"/>
        <v xml:space="preserve"> </v>
      </c>
      <c r="F174" s="94" t="s">
        <v>47</v>
      </c>
      <c r="G174" s="89" t="str">
        <f t="shared" si="37"/>
        <v xml:space="preserve"> </v>
      </c>
      <c r="H174" s="94" t="s">
        <v>55</v>
      </c>
      <c r="I174" s="90" t="str">
        <f t="shared" si="38"/>
        <v xml:space="preserve"> </v>
      </c>
      <c r="J174" s="91" t="s">
        <v>75</v>
      </c>
      <c r="K174" s="90" t="str">
        <f t="shared" si="39"/>
        <v/>
      </c>
      <c r="L174" s="94" t="s">
        <v>47</v>
      </c>
      <c r="M174" s="90" t="str">
        <f t="shared" si="35"/>
        <v xml:space="preserve"> </v>
      </c>
      <c r="N174" s="94" t="s">
        <v>43</v>
      </c>
      <c r="O174" s="90" t="str">
        <f t="shared" si="40"/>
        <v xml:space="preserve"> </v>
      </c>
      <c r="P174" s="92" t="s">
        <v>75</v>
      </c>
      <c r="Q174" s="90" t="str">
        <f t="shared" si="41"/>
        <v/>
      </c>
      <c r="R174" s="94" t="s">
        <v>47</v>
      </c>
      <c r="S174" s="90" t="str">
        <f t="shared" si="42"/>
        <v xml:space="preserve"> </v>
      </c>
      <c r="T174" s="94" t="s">
        <v>48</v>
      </c>
      <c r="U174" s="90" t="str">
        <f t="shared" si="43"/>
        <v xml:space="preserve"> </v>
      </c>
      <c r="V174" s="92">
        <v>42</v>
      </c>
      <c r="W174" s="90" t="str">
        <f t="shared" si="44"/>
        <v>E</v>
      </c>
      <c r="X174" s="94" t="s">
        <v>64</v>
      </c>
      <c r="Y174" s="90" t="str">
        <f t="shared" si="45"/>
        <v xml:space="preserve"> </v>
      </c>
      <c r="Z174" s="92" t="s">
        <v>45</v>
      </c>
      <c r="AA174" s="90" t="str">
        <f t="shared" si="46"/>
        <v xml:space="preserve"> </v>
      </c>
      <c r="AB174" s="94" t="s">
        <v>47</v>
      </c>
      <c r="AC174" s="90" t="str">
        <f t="shared" si="47"/>
        <v xml:space="preserve"> </v>
      </c>
      <c r="AD174" s="93" t="s">
        <v>635</v>
      </c>
      <c r="AE174" s="90" t="str">
        <f t="shared" si="48"/>
        <v xml:space="preserve"> </v>
      </c>
      <c r="AF174" s="92" t="s">
        <v>74</v>
      </c>
      <c r="AG174" s="89" t="str">
        <f t="shared" si="49"/>
        <v xml:space="preserve"> </v>
      </c>
      <c r="AH174" s="94" t="s">
        <v>64</v>
      </c>
      <c r="AI174" s="90" t="str">
        <f t="shared" si="50"/>
        <v xml:space="preserve"> </v>
      </c>
      <c r="AJ174" s="108">
        <f>IF(AND(OR(COUNTIF(D174:AI174,"=31")&gt;=1,COUNTIF(D174:AI174,"=32")&gt;=1,COUNTIF(D174:AI174,"=33")&gt;=1,COUNTIF(D174:AI174,"=34")&gt;=1,COUNTIF(D174:AI174,"=35")=1,COUNTIF(D174:AI174,"=36")&gt;=1 ),COUNTIF(D174:AI174,"")=0,COUNTIF(D174:AI174," ")=0,COUNTIF(D174:AI174,"F")=1),CONCATENATE(SUM(EXTRACTNUMBER(D174),EXTRACTNUMBER(F174),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EXTRACTNUMBER(AD174),EXTRACTNUMBER(AF174),EXTRACTNUMBER(AH174)),"*"),IF(AND(COUNTIF(D174:AI174,"=34")&gt;=1,COUNTIF(D174:AI174,"=35")&gt;=1,COUNTIF(D174:AI174,"f")=2,COUNTIF(D174:AI174,"")=0,COUNTIF(D174:AI174," ")=0),CONCATENATE(SUM(EXTRACTNUMBER(D174),EXTRACTNUMBER(F174),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EXTRACTNUMBER(AD174),EXTRACTNUMBER(AF174),EXTRACTNUMBER(AH174)),"*"),IF(AND(COUNTIF(D174:AI174,"=36")&gt;=2,COUNTIF(D174:AI174,"f")=2,COUNTIF(D174:AI174,"")=0,COUNTIF(D174:AI174," ")=0),CONCATENATE(SUM(EXTRACTNUMBER(D174),EXTRACTNUMBER(F174),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EXTRACTNUMBER(AD174),EXTRACTNUMBER(AF174),EXTRACTNUMBER(AH174)),"*"),SUM(EXTRACTNUMBER(D174),EXTRACTNUMBER(F174),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EXTRACTNUMBER(AD174),EXTRACTNUMBER(AF174),EXTRACTNUMBER(AH174)))))</f>
        <v>380</v>
      </c>
      <c r="AK174" s="24" t="str">
        <f t="shared" si="51"/>
        <v>FAIL</v>
      </c>
      <c r="AL174" s="25" t="str">
        <f>SPELLNUMBER(extractnumber_tot(AJ174))</f>
        <v xml:space="preserve">Three Hundred Eighty  </v>
      </c>
    </row>
    <row r="175" spans="2:38" s="22" customFormat="1" ht="15.95" customHeight="1">
      <c r="B175" s="100">
        <v>235351</v>
      </c>
      <c r="C175" s="101" t="s">
        <v>168</v>
      </c>
      <c r="D175" s="96">
        <v>49</v>
      </c>
      <c r="E175" s="89" t="str">
        <f t="shared" si="36"/>
        <v>E</v>
      </c>
      <c r="F175" s="94" t="s">
        <v>46</v>
      </c>
      <c r="G175" s="89" t="str">
        <f t="shared" si="37"/>
        <v xml:space="preserve"> </v>
      </c>
      <c r="H175" s="94" t="s">
        <v>66</v>
      </c>
      <c r="I175" s="90" t="str">
        <f t="shared" si="38"/>
        <v xml:space="preserve"> </v>
      </c>
      <c r="J175" s="91" t="s">
        <v>40</v>
      </c>
      <c r="K175" s="90" t="str">
        <f t="shared" si="39"/>
        <v xml:space="preserve"> </v>
      </c>
      <c r="L175" s="94" t="s">
        <v>46</v>
      </c>
      <c r="M175" s="90" t="str">
        <f t="shared" si="35"/>
        <v xml:space="preserve"> </v>
      </c>
      <c r="N175" s="94" t="s">
        <v>44</v>
      </c>
      <c r="O175" s="90" t="str">
        <f t="shared" si="40"/>
        <v xml:space="preserve"> </v>
      </c>
      <c r="P175" s="92">
        <v>12</v>
      </c>
      <c r="Q175" s="90" t="str">
        <f t="shared" si="41"/>
        <v>F</v>
      </c>
      <c r="R175" s="94" t="s">
        <v>46</v>
      </c>
      <c r="S175" s="90" t="str">
        <f t="shared" si="42"/>
        <v xml:space="preserve"> </v>
      </c>
      <c r="T175" s="94" t="s">
        <v>48</v>
      </c>
      <c r="U175" s="90" t="str">
        <f t="shared" si="43"/>
        <v xml:space="preserve"> </v>
      </c>
      <c r="V175" s="92" t="s">
        <v>636</v>
      </c>
      <c r="W175" s="90" t="str">
        <f t="shared" si="44"/>
        <v xml:space="preserve"> </v>
      </c>
      <c r="X175" s="94" t="s">
        <v>46</v>
      </c>
      <c r="Y175" s="90" t="str">
        <f t="shared" si="45"/>
        <v xml:space="preserve"> </v>
      </c>
      <c r="Z175" s="92" t="s">
        <v>40</v>
      </c>
      <c r="AA175" s="90" t="str">
        <f t="shared" si="46"/>
        <v xml:space="preserve"> </v>
      </c>
      <c r="AB175" s="94" t="s">
        <v>46</v>
      </c>
      <c r="AC175" s="90" t="str">
        <f t="shared" si="47"/>
        <v xml:space="preserve"> </v>
      </c>
      <c r="AD175" s="93" t="s">
        <v>48</v>
      </c>
      <c r="AE175" s="90" t="str">
        <f t="shared" si="48"/>
        <v xml:space="preserve"> </v>
      </c>
      <c r="AF175" s="92" t="s">
        <v>74</v>
      </c>
      <c r="AG175" s="89" t="str">
        <f t="shared" si="49"/>
        <v xml:space="preserve"> </v>
      </c>
      <c r="AH175" s="94" t="s">
        <v>46</v>
      </c>
      <c r="AI175" s="90" t="str">
        <f t="shared" si="50"/>
        <v xml:space="preserve"> </v>
      </c>
      <c r="AJ175" s="108">
        <f>IF(AND(OR(COUNTIF(D175:AI175,"=31")&gt;=1,COUNTIF(D175:AI175,"=32")&gt;=1,COUNTIF(D175:AI175,"=33")&gt;=1,COUNTIF(D175:AI175,"=34")&gt;=1,COUNTIF(D175:AI175,"=35")=1,COUNTIF(D175:AI175,"=36")&gt;=1 ),COUNTIF(D175:AI175,"")=0,COUNTIF(D175:AI175," ")=0,COUNTIF(D175:AI175,"F")=1),CONCATENATE(SUM(EXTRACTNUMBER(D175),EXTRACTNUMBER(F175),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EXTRACTNUMBER(AD175),EXTRACTNUMBER(AF175),EXTRACTNUMBER(AH175)),"*"),IF(AND(COUNTIF(D175:AI175,"=34")&gt;=1,COUNTIF(D175:AI175,"=35")&gt;=1,COUNTIF(D175:AI175,"f")=2,COUNTIF(D175:AI175,"")=0,COUNTIF(D175:AI175," ")=0),CONCATENATE(SUM(EXTRACTNUMBER(D175),EXTRACTNUMBER(F175),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EXTRACTNUMBER(AD175),EXTRACTNUMBER(AF175),EXTRACTNUMBER(AH175)),"*"),IF(AND(COUNTIF(D175:AI175,"=36")&gt;=2,COUNTIF(D175:AI175,"f")=2,COUNTIF(D175:AI175,"")=0,COUNTIF(D175:AI175," ")=0),CONCATENATE(SUM(EXTRACTNUMBER(D175),EXTRACTNUMBER(F175),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EXTRACTNUMBER(AD175),EXTRACTNUMBER(AF175),EXTRACTNUMBER(AH175)),"*"),SUM(EXTRACTNUMBER(D175),EXTRACTNUMBER(F175),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EXTRACTNUMBER(AD175),EXTRACTNUMBER(AF175),EXTRACTNUMBER(AH175)))))</f>
        <v>478</v>
      </c>
      <c r="AK175" s="24" t="str">
        <f t="shared" si="51"/>
        <v>FAIL</v>
      </c>
      <c r="AL175" s="25" t="str">
        <f>SPELLNUMBER(extractnumber_tot(AJ175))</f>
        <v xml:space="preserve">Four Hundred Seventy Eight </v>
      </c>
    </row>
    <row r="176" spans="2:38" s="22" customFormat="1" ht="15.95" customHeight="1">
      <c r="B176" s="100">
        <v>235352</v>
      </c>
      <c r="C176" s="101" t="s">
        <v>21</v>
      </c>
      <c r="D176" s="96" t="s">
        <v>58</v>
      </c>
      <c r="E176" s="89" t="str">
        <f t="shared" si="36"/>
        <v xml:space="preserve"> </v>
      </c>
      <c r="F176" s="94" t="s">
        <v>50</v>
      </c>
      <c r="G176" s="89" t="str">
        <f t="shared" si="37"/>
        <v xml:space="preserve"> </v>
      </c>
      <c r="H176" s="94" t="s">
        <v>57</v>
      </c>
      <c r="I176" s="90" t="str">
        <f t="shared" si="38"/>
        <v xml:space="preserve"> </v>
      </c>
      <c r="J176" s="91" t="s">
        <v>62</v>
      </c>
      <c r="K176" s="90" t="str">
        <f t="shared" si="39"/>
        <v xml:space="preserve"> </v>
      </c>
      <c r="L176" s="94" t="s">
        <v>48</v>
      </c>
      <c r="M176" s="90" t="str">
        <f t="shared" si="35"/>
        <v xml:space="preserve"> </v>
      </c>
      <c r="N176" s="94" t="s">
        <v>54</v>
      </c>
      <c r="O176" s="90" t="str">
        <f t="shared" si="40"/>
        <v xml:space="preserve"> </v>
      </c>
      <c r="P176" s="92" t="s">
        <v>40</v>
      </c>
      <c r="Q176" s="90" t="str">
        <f t="shared" si="41"/>
        <v xml:space="preserve"> </v>
      </c>
      <c r="R176" s="94" t="s">
        <v>50</v>
      </c>
      <c r="S176" s="90" t="str">
        <f t="shared" si="42"/>
        <v xml:space="preserve"> </v>
      </c>
      <c r="T176" s="94">
        <v>17</v>
      </c>
      <c r="U176" s="90" t="str">
        <f t="shared" si="43"/>
        <v>E</v>
      </c>
      <c r="V176" s="92" t="s">
        <v>75</v>
      </c>
      <c r="W176" s="90" t="str">
        <f t="shared" si="44"/>
        <v/>
      </c>
      <c r="X176" s="94" t="s">
        <v>48</v>
      </c>
      <c r="Y176" s="90" t="str">
        <f t="shared" si="45"/>
        <v xml:space="preserve"> </v>
      </c>
      <c r="Z176" s="92" t="s">
        <v>40</v>
      </c>
      <c r="AA176" s="90" t="str">
        <f t="shared" si="46"/>
        <v xml:space="preserve"> </v>
      </c>
      <c r="AB176" s="94" t="s">
        <v>50</v>
      </c>
      <c r="AC176" s="90" t="str">
        <f t="shared" si="47"/>
        <v xml:space="preserve"> </v>
      </c>
      <c r="AD176" s="93" t="s">
        <v>53</v>
      </c>
      <c r="AE176" s="90" t="str">
        <f t="shared" si="48"/>
        <v xml:space="preserve"> </v>
      </c>
      <c r="AF176" s="92" t="s">
        <v>54</v>
      </c>
      <c r="AG176" s="89" t="str">
        <f t="shared" si="49"/>
        <v xml:space="preserve"> </v>
      </c>
      <c r="AH176" s="94" t="s">
        <v>49</v>
      </c>
      <c r="AI176" s="90" t="str">
        <f t="shared" si="50"/>
        <v xml:space="preserve"> </v>
      </c>
      <c r="AJ176" s="108">
        <f>IF(AND(OR(COUNTIF(D176:AI176,"=31")&gt;=1,COUNTIF(D176:AI176,"=32")&gt;=1,COUNTIF(D176:AI176,"=33")&gt;=1,COUNTIF(D176:AI176,"=34")&gt;=1,COUNTIF(D176:AI176,"=35")=1,COUNTIF(D176:AI176,"=36")&gt;=1 ),COUNTIF(D176:AI176,"")=0,COUNTIF(D176:AI176," ")=0,COUNTIF(D176:AI176,"F")=1),CONCATENATE(SUM(EXTRACTNUMBER(D176),EXTRACTNUMBER(F176),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EXTRACTNUMBER(AD176),EXTRACTNUMBER(AF176),EXTRACTNUMBER(AH176)),"*"),IF(AND(COUNTIF(D176:AI176,"=34")&gt;=1,COUNTIF(D176:AI176,"=35")&gt;=1,COUNTIF(D176:AI176,"f")=2,COUNTIF(D176:AI176,"")=0,COUNTIF(D176:AI176," ")=0),CONCATENATE(SUM(EXTRACTNUMBER(D176),EXTRACTNUMBER(F176),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EXTRACTNUMBER(AD176),EXTRACTNUMBER(AF176),EXTRACTNUMBER(AH176)),"*"),IF(AND(COUNTIF(D176:AI176,"=36")&gt;=2,COUNTIF(D176:AI176,"f")=2,COUNTIF(D176:AI176,"")=0,COUNTIF(D176:AI176," ")=0),CONCATENATE(SUM(EXTRACTNUMBER(D176),EXTRACTNUMBER(F176),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EXTRACTNUMBER(AD176),EXTRACTNUMBER(AF176),EXTRACTNUMBER(AH176)),"*"),SUM(EXTRACTNUMBER(D176),EXTRACTNUMBER(F176),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EXTRACTNUMBER(AD176),EXTRACTNUMBER(AF176),EXTRACTNUMBER(AH176)))))</f>
        <v>405</v>
      </c>
      <c r="AK176" s="24" t="str">
        <f t="shared" si="51"/>
        <v>FAIL</v>
      </c>
      <c r="AL176" s="25" t="str">
        <f>SPELLNUMBER(extractnumber_tot(AJ176))</f>
        <v xml:space="preserve">Four Hundred Five </v>
      </c>
    </row>
    <row r="177" spans="2:38" s="22" customFormat="1" ht="15.95" customHeight="1">
      <c r="B177" s="100">
        <v>235353</v>
      </c>
      <c r="C177" s="101" t="s">
        <v>174</v>
      </c>
      <c r="D177" s="96">
        <v>6</v>
      </c>
      <c r="E177" s="89" t="str">
        <f t="shared" si="36"/>
        <v>F</v>
      </c>
      <c r="F177" s="94" t="s">
        <v>52</v>
      </c>
      <c r="G177" s="89" t="str">
        <f t="shared" si="37"/>
        <v xml:space="preserve"> </v>
      </c>
      <c r="H177" s="94" t="s">
        <v>45</v>
      </c>
      <c r="I177" s="90" t="str">
        <f t="shared" si="38"/>
        <v xml:space="preserve"> </v>
      </c>
      <c r="J177" s="91">
        <v>40</v>
      </c>
      <c r="K177" s="90" t="str">
        <f t="shared" si="39"/>
        <v>E</v>
      </c>
      <c r="L177" s="94" t="s">
        <v>48</v>
      </c>
      <c r="M177" s="90" t="str">
        <f t="shared" si="35"/>
        <v xml:space="preserve"> </v>
      </c>
      <c r="N177" s="94" t="s">
        <v>47</v>
      </c>
      <c r="O177" s="90" t="str">
        <f t="shared" si="40"/>
        <v xml:space="preserve"> </v>
      </c>
      <c r="P177" s="92" t="s">
        <v>40</v>
      </c>
      <c r="Q177" s="90" t="str">
        <f t="shared" si="41"/>
        <v xml:space="preserve"> </v>
      </c>
      <c r="R177" s="94" t="s">
        <v>52</v>
      </c>
      <c r="S177" s="90" t="str">
        <f t="shared" si="42"/>
        <v xml:space="preserve"> </v>
      </c>
      <c r="T177" s="94" t="s">
        <v>46</v>
      </c>
      <c r="U177" s="90" t="str">
        <f t="shared" si="43"/>
        <v xml:space="preserve"> </v>
      </c>
      <c r="V177" s="92" t="s">
        <v>43</v>
      </c>
      <c r="W177" s="90" t="str">
        <f t="shared" si="44"/>
        <v xml:space="preserve"> </v>
      </c>
      <c r="X177" s="94" t="s">
        <v>46</v>
      </c>
      <c r="Y177" s="90" t="str">
        <f t="shared" si="45"/>
        <v xml:space="preserve"> </v>
      </c>
      <c r="Z177" s="92" t="s">
        <v>336</v>
      </c>
      <c r="AA177" s="90" t="str">
        <f t="shared" si="46"/>
        <v xml:space="preserve"> </v>
      </c>
      <c r="AB177" s="94" t="s">
        <v>49</v>
      </c>
      <c r="AC177" s="90" t="str">
        <f t="shared" si="47"/>
        <v xml:space="preserve"> </v>
      </c>
      <c r="AD177" s="93" t="s">
        <v>48</v>
      </c>
      <c r="AE177" s="90" t="str">
        <f t="shared" si="48"/>
        <v xml:space="preserve"> </v>
      </c>
      <c r="AF177" s="92" t="s">
        <v>46</v>
      </c>
      <c r="AG177" s="89" t="str">
        <f t="shared" si="49"/>
        <v xml:space="preserve"> </v>
      </c>
      <c r="AH177" s="94" t="s">
        <v>51</v>
      </c>
      <c r="AI177" s="90" t="str">
        <f t="shared" si="50"/>
        <v xml:space="preserve"> </v>
      </c>
      <c r="AJ177" s="108">
        <f>IF(AND(OR(COUNTIF(D177:AI177,"=31")&gt;=1,COUNTIF(D177:AI177,"=32")&gt;=1,COUNTIF(D177:AI177,"=33")&gt;=1,COUNTIF(D177:AI177,"=34")&gt;=1,COUNTIF(D177:AI177,"=35")=1,COUNTIF(D177:AI177,"=36")&gt;=1 ),COUNTIF(D177:AI177,"")=0,COUNTIF(D177:AI177," ")=0,COUNTIF(D177:AI177,"F")=1),CONCATENATE(SUM(EXTRACTNUMBER(D177),EXTRACTNUMBER(F177),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EXTRACTNUMBER(AD177),EXTRACTNUMBER(AF177),EXTRACTNUMBER(AH177)),"*"),IF(AND(COUNTIF(D177:AI177,"=34")&gt;=1,COUNTIF(D177:AI177,"=35")&gt;=1,COUNTIF(D177:AI177,"f")=2,COUNTIF(D177:AI177,"")=0,COUNTIF(D177:AI177," ")=0),CONCATENATE(SUM(EXTRACTNUMBER(D177),EXTRACTNUMBER(F177),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EXTRACTNUMBER(AD177),EXTRACTNUMBER(AF177),EXTRACTNUMBER(AH177)),"*"),IF(AND(COUNTIF(D177:AI177,"=36")&gt;=2,COUNTIF(D177:AI177,"f")=2,COUNTIF(D177:AI177,"")=0,COUNTIF(D177:AI177," ")=0),CONCATENATE(SUM(EXTRACTNUMBER(D177),EXTRACTNUMBER(F177),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EXTRACTNUMBER(AD177),EXTRACTNUMBER(AF177),EXTRACTNUMBER(AH177)),"*"),SUM(EXTRACTNUMBER(D177),EXTRACTNUMBER(F177),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EXTRACTNUMBER(AD177),EXTRACTNUMBER(AF177),EXTRACTNUMBER(AH177)))))</f>
        <v>430</v>
      </c>
      <c r="AK177" s="24" t="str">
        <f t="shared" si="51"/>
        <v>FAIL</v>
      </c>
      <c r="AL177" s="25" t="str">
        <f>SPELLNUMBER(extractnumber_tot(AJ177))</f>
        <v xml:space="preserve">Four Hundred Thirty  </v>
      </c>
    </row>
    <row r="178" spans="2:38" s="22" customFormat="1" ht="15.95" customHeight="1">
      <c r="B178" s="100">
        <v>235354</v>
      </c>
      <c r="C178" s="102" t="s">
        <v>180</v>
      </c>
      <c r="D178" s="96" t="s">
        <v>40</v>
      </c>
      <c r="E178" s="89" t="str">
        <f t="shared" si="36"/>
        <v xml:space="preserve"> </v>
      </c>
      <c r="F178" s="94" t="s">
        <v>46</v>
      </c>
      <c r="G178" s="89" t="str">
        <f t="shared" si="37"/>
        <v xml:space="preserve"> </v>
      </c>
      <c r="H178" s="94" t="s">
        <v>44</v>
      </c>
      <c r="I178" s="90" t="str">
        <f t="shared" si="38"/>
        <v xml:space="preserve"> </v>
      </c>
      <c r="J178" s="91">
        <v>46</v>
      </c>
      <c r="K178" s="90" t="str">
        <f t="shared" si="39"/>
        <v/>
      </c>
      <c r="L178" s="94" t="s">
        <v>46</v>
      </c>
      <c r="M178" s="90" t="str">
        <f t="shared" si="35"/>
        <v xml:space="preserve"> </v>
      </c>
      <c r="N178" s="94" t="s">
        <v>42</v>
      </c>
      <c r="O178" s="90" t="str">
        <f t="shared" si="40"/>
        <v xml:space="preserve"> </v>
      </c>
      <c r="P178" s="92">
        <v>45</v>
      </c>
      <c r="Q178" s="90" t="str">
        <f t="shared" si="41"/>
        <v/>
      </c>
      <c r="R178" s="94" t="s">
        <v>46</v>
      </c>
      <c r="S178" s="90" t="str">
        <f t="shared" si="42"/>
        <v xml:space="preserve"> </v>
      </c>
      <c r="T178" s="94" t="s">
        <v>46</v>
      </c>
      <c r="U178" s="90" t="str">
        <f t="shared" si="43"/>
        <v xml:space="preserve"> </v>
      </c>
      <c r="V178" s="92">
        <v>40</v>
      </c>
      <c r="W178" s="90" t="str">
        <f t="shared" si="44"/>
        <v/>
      </c>
      <c r="X178" s="94" t="s">
        <v>46</v>
      </c>
      <c r="Y178" s="90" t="str">
        <f t="shared" si="45"/>
        <v xml:space="preserve"> </v>
      </c>
      <c r="Z178" s="92" t="s">
        <v>58</v>
      </c>
      <c r="AA178" s="90" t="str">
        <f t="shared" si="46"/>
        <v xml:space="preserve"> </v>
      </c>
      <c r="AB178" s="94" t="s">
        <v>46</v>
      </c>
      <c r="AC178" s="90" t="str">
        <f t="shared" si="47"/>
        <v xml:space="preserve"> </v>
      </c>
      <c r="AD178" s="93" t="s">
        <v>49</v>
      </c>
      <c r="AE178" s="90" t="str">
        <f t="shared" si="48"/>
        <v xml:space="preserve"> </v>
      </c>
      <c r="AF178" s="92" t="s">
        <v>637</v>
      </c>
      <c r="AG178" s="89" t="str">
        <f t="shared" si="49"/>
        <v xml:space="preserve"> </v>
      </c>
      <c r="AH178" s="94" t="s">
        <v>46</v>
      </c>
      <c r="AI178" s="90" t="str">
        <f t="shared" si="50"/>
        <v xml:space="preserve"> </v>
      </c>
      <c r="AJ178" s="108">
        <f>IF(AND(OR(COUNTIF(D178:AI178,"=31")&gt;=1,COUNTIF(D178:AI178,"=32")&gt;=1,COUNTIF(D178:AI178,"=33")&gt;=1,COUNTIF(D178:AI178,"=34")&gt;=1,COUNTIF(D178:AI178,"=35")=1,COUNTIF(D178:AI178,"=36")&gt;=1 ),COUNTIF(D178:AI178,"")=0,COUNTIF(D178:AI178," ")=0,COUNTIF(D178:AI178,"F")=1),CONCATENATE(SUM(EXTRACTNUMBER(D178),EXTRACTNUMBER(F178),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EXTRACTNUMBER(AD178),EXTRACTNUMBER(AF178),EXTRACTNUMBER(AH178)),"*"),IF(AND(COUNTIF(D178:AI178,"=34")&gt;=1,COUNTIF(D178:AI178,"=35")&gt;=1,COUNTIF(D178:AI178,"f")=2,COUNTIF(D178:AI178,"")=0,COUNTIF(D178:AI178," ")=0),CONCATENATE(SUM(EXTRACTNUMBER(D178),EXTRACTNUMBER(F178),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EXTRACTNUMBER(AD178),EXTRACTNUMBER(AF178),EXTRACTNUMBER(AH178)),"*"),IF(AND(COUNTIF(D178:AI178,"=36")&gt;=2,COUNTIF(D178:AI178,"f")=2,COUNTIF(D178:AI178,"")=0,COUNTIF(D178:AI178," ")=0),CONCATENATE(SUM(EXTRACTNUMBER(D178),EXTRACTNUMBER(F178),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EXTRACTNUMBER(AD178),EXTRACTNUMBER(AF178),EXTRACTNUMBER(AH178)),"*"),SUM(EXTRACTNUMBER(D178),EXTRACTNUMBER(F178),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EXTRACTNUMBER(AD178),EXTRACTNUMBER(AF178),EXTRACTNUMBER(AH178)))))</f>
        <v>509</v>
      </c>
      <c r="AK178" s="24" t="str">
        <f t="shared" si="51"/>
        <v>PASS</v>
      </c>
      <c r="AL178" s="25" t="str">
        <f>SPELLNUMBER(extractnumber_tot(AJ178))</f>
        <v xml:space="preserve">Five Hundred Nine </v>
      </c>
    </row>
    <row r="179" spans="2:38" s="22" customFormat="1" ht="15.95" customHeight="1">
      <c r="B179" s="100">
        <v>235355</v>
      </c>
      <c r="C179" s="103" t="s">
        <v>614</v>
      </c>
      <c r="D179" s="96">
        <v>4</v>
      </c>
      <c r="E179" s="89" t="str">
        <f t="shared" si="36"/>
        <v>F</v>
      </c>
      <c r="F179" s="94" t="s">
        <v>49</v>
      </c>
      <c r="G179" s="89" t="str">
        <f t="shared" si="37"/>
        <v xml:space="preserve"> </v>
      </c>
      <c r="H179" s="94" t="s">
        <v>40</v>
      </c>
      <c r="I179" s="90" t="str">
        <f t="shared" si="38"/>
        <v xml:space="preserve"> </v>
      </c>
      <c r="J179" s="91" t="s">
        <v>61</v>
      </c>
      <c r="K179" s="90" t="str">
        <f t="shared" si="39"/>
        <v xml:space="preserve"> </v>
      </c>
      <c r="L179" s="94" t="s">
        <v>64</v>
      </c>
      <c r="M179" s="90" t="str">
        <f t="shared" si="35"/>
        <v xml:space="preserve"> </v>
      </c>
      <c r="N179" s="94" t="s">
        <v>56</v>
      </c>
      <c r="O179" s="90" t="str">
        <f t="shared" si="40"/>
        <v xml:space="preserve"> </v>
      </c>
      <c r="P179" s="92" t="s">
        <v>75</v>
      </c>
      <c r="Q179" s="90" t="str">
        <f t="shared" si="41"/>
        <v/>
      </c>
      <c r="R179" s="94" t="s">
        <v>49</v>
      </c>
      <c r="S179" s="90" t="str">
        <f t="shared" si="42"/>
        <v xml:space="preserve"> </v>
      </c>
      <c r="T179" s="94" t="s">
        <v>49</v>
      </c>
      <c r="U179" s="90" t="str">
        <f t="shared" si="43"/>
        <v xml:space="preserve"> </v>
      </c>
      <c r="V179" s="92" t="s">
        <v>75</v>
      </c>
      <c r="W179" s="90" t="str">
        <f t="shared" si="44"/>
        <v/>
      </c>
      <c r="X179" s="94" t="s">
        <v>47</v>
      </c>
      <c r="Y179" s="90" t="str">
        <f t="shared" si="45"/>
        <v xml:space="preserve"> </v>
      </c>
      <c r="Z179" s="92" t="s">
        <v>75</v>
      </c>
      <c r="AA179" s="90" t="str">
        <f t="shared" si="46"/>
        <v/>
      </c>
      <c r="AB179" s="94" t="s">
        <v>47</v>
      </c>
      <c r="AC179" s="90" t="str">
        <f t="shared" si="47"/>
        <v xml:space="preserve"> </v>
      </c>
      <c r="AD179" s="93" t="s">
        <v>48</v>
      </c>
      <c r="AE179" s="90" t="str">
        <f t="shared" si="48"/>
        <v xml:space="preserve"> </v>
      </c>
      <c r="AF179" s="92" t="s">
        <v>51</v>
      </c>
      <c r="AG179" s="89" t="str">
        <f t="shared" si="49"/>
        <v xml:space="preserve"> </v>
      </c>
      <c r="AH179" s="94" t="s">
        <v>49</v>
      </c>
      <c r="AI179" s="90" t="str">
        <f t="shared" si="50"/>
        <v xml:space="preserve"> </v>
      </c>
      <c r="AJ179" s="108">
        <f>IF(AND(OR(COUNTIF(D179:AI179,"=31")&gt;=1,COUNTIF(D179:AI179,"=32")&gt;=1,COUNTIF(D179:AI179,"=33")&gt;=1,COUNTIF(D179:AI179,"=34")&gt;=1,COUNTIF(D179:AI179,"=35")=1,COUNTIF(D179:AI179,"=36")&gt;=1 ),COUNTIF(D179:AI179,"")=0,COUNTIF(D179:AI179," ")=0,COUNTIF(D179:AI179,"F")=1),CONCATENATE(SUM(EXTRACTNUMBER(D179),EXTRACTNUMBER(F179),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EXTRACTNUMBER(AD179),EXTRACTNUMBER(AF179),EXTRACTNUMBER(AH179)),"*"),IF(AND(COUNTIF(D179:AI179,"=34")&gt;=1,COUNTIF(D179:AI179,"=35")&gt;=1,COUNTIF(D179:AI179,"f")=2,COUNTIF(D179:AI179,"")=0,COUNTIF(D179:AI179," ")=0),CONCATENATE(SUM(EXTRACTNUMBER(D179),EXTRACTNUMBER(F179),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EXTRACTNUMBER(AD179),EXTRACTNUMBER(AF179),EXTRACTNUMBER(AH179)),"*"),IF(AND(COUNTIF(D179:AI179,"=36")&gt;=2,COUNTIF(D179:AI179,"f")=2,COUNTIF(D179:AI179,"")=0,COUNTIF(D179:AI179," ")=0),CONCATENATE(SUM(EXTRACTNUMBER(D179),EXTRACTNUMBER(F179),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EXTRACTNUMBER(AD179),EXTRACTNUMBER(AF179),EXTRACTNUMBER(AH179)),"*"),SUM(EXTRACTNUMBER(D179),EXTRACTNUMBER(F179),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EXTRACTNUMBER(AD179),EXTRACTNUMBER(AF179),EXTRACTNUMBER(AH179)))))</f>
        <v>311</v>
      </c>
      <c r="AK179" s="24" t="str">
        <f t="shared" si="51"/>
        <v>FAIL</v>
      </c>
      <c r="AL179" s="25" t="str">
        <f>SPELLNUMBER(extractnumber_tot(AJ179))</f>
        <v xml:space="preserve">Three Hundred Eleven </v>
      </c>
    </row>
    <row r="180" spans="2:38" s="22" customFormat="1" ht="15.95" customHeight="1">
      <c r="B180" s="100">
        <v>235356</v>
      </c>
      <c r="C180" s="101" t="s">
        <v>615</v>
      </c>
      <c r="D180" s="105" t="s">
        <v>44</v>
      </c>
      <c r="E180" s="89" t="str">
        <f t="shared" si="36"/>
        <v xml:space="preserve"> </v>
      </c>
      <c r="F180" s="106" t="s">
        <v>49</v>
      </c>
      <c r="G180" s="89" t="str">
        <f t="shared" si="37"/>
        <v xml:space="preserve"> </v>
      </c>
      <c r="H180" s="107" t="s">
        <v>58</v>
      </c>
      <c r="I180" s="90" t="str">
        <f t="shared" si="38"/>
        <v xml:space="preserve"> </v>
      </c>
      <c r="J180" s="91" t="s">
        <v>336</v>
      </c>
      <c r="K180" s="90" t="str">
        <f t="shared" si="39"/>
        <v xml:space="preserve"> </v>
      </c>
      <c r="L180" s="106" t="s">
        <v>49</v>
      </c>
      <c r="M180" s="90" t="str">
        <f t="shared" si="35"/>
        <v xml:space="preserve"> </v>
      </c>
      <c r="N180" s="107" t="s">
        <v>38</v>
      </c>
      <c r="O180" s="90" t="str">
        <f t="shared" si="40"/>
        <v xml:space="preserve"> </v>
      </c>
      <c r="P180" s="92" t="s">
        <v>63</v>
      </c>
      <c r="Q180" s="90" t="str">
        <f t="shared" si="41"/>
        <v xml:space="preserve"> </v>
      </c>
      <c r="R180" s="106" t="s">
        <v>49</v>
      </c>
      <c r="S180" s="90" t="str">
        <f t="shared" si="42"/>
        <v xml:space="preserve"> </v>
      </c>
      <c r="T180" s="107" t="s">
        <v>52</v>
      </c>
      <c r="U180" s="90" t="str">
        <f t="shared" si="43"/>
        <v xml:space="preserve"> </v>
      </c>
      <c r="V180" s="92">
        <v>34</v>
      </c>
      <c r="W180" s="90" t="str">
        <f t="shared" si="44"/>
        <v>F</v>
      </c>
      <c r="X180" s="106" t="s">
        <v>49</v>
      </c>
      <c r="Y180" s="90" t="str">
        <f t="shared" si="45"/>
        <v xml:space="preserve"> </v>
      </c>
      <c r="Z180" s="92" t="s">
        <v>638</v>
      </c>
      <c r="AA180" s="90" t="str">
        <f t="shared" si="46"/>
        <v xml:space="preserve"> </v>
      </c>
      <c r="AB180" s="106" t="s">
        <v>49</v>
      </c>
      <c r="AC180" s="90" t="str">
        <f t="shared" si="47"/>
        <v xml:space="preserve"> </v>
      </c>
      <c r="AD180" s="106" t="s">
        <v>49</v>
      </c>
      <c r="AE180" s="90" t="str">
        <f t="shared" si="48"/>
        <v xml:space="preserve"> </v>
      </c>
      <c r="AF180" s="92" t="s">
        <v>59</v>
      </c>
      <c r="AG180" s="89" t="str">
        <f t="shared" si="49"/>
        <v xml:space="preserve"> </v>
      </c>
      <c r="AH180" s="106" t="s">
        <v>49</v>
      </c>
      <c r="AI180" s="90" t="str">
        <f t="shared" si="50"/>
        <v xml:space="preserve"> </v>
      </c>
      <c r="AJ180" s="108">
        <f>IF(AND(OR(COUNTIF(D180:AI180,"=31")&gt;=1,COUNTIF(D180:AI180,"=32")&gt;=1,COUNTIF(D180:AI180,"=33")&gt;=1,COUNTIF(D180:AI180,"=34")&gt;=1,COUNTIF(D180:AI180,"=35")=1,COUNTIF(D180:AI180,"=36")&gt;=1 ),COUNTIF(D180:AI180,"")=0,COUNTIF(D180:AI180," ")=0,COUNTIF(D180:AI180,"F")=1),CONCATENATE(SUM(EXTRACTNUMBER(D180),EXTRACTNUMBER(F180),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EXTRACTNUMBER(AD180),EXTRACTNUMBER(AF180),EXTRACTNUMBER(AH180)),"*"),IF(AND(COUNTIF(D180:AI180,"=34")&gt;=1,COUNTIF(D180:AI180,"=35")&gt;=1,COUNTIF(D180:AI180,"f")=2,COUNTIF(D180:AI180,"")=0,COUNTIF(D180:AI180," ")=0),CONCATENATE(SUM(EXTRACTNUMBER(D180),EXTRACTNUMBER(F180),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EXTRACTNUMBER(AD180),EXTRACTNUMBER(AF180),EXTRACTNUMBER(AH180)),"*"),IF(AND(COUNTIF(D180:AI180,"=36")&gt;=2,COUNTIF(D180:AI180,"f")=2,COUNTIF(D180:AI180,"")=0,COUNTIF(D180:AI180," ")=0),CONCATENATE(SUM(EXTRACTNUMBER(D180),EXTRACTNUMBER(F180),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EXTRACTNUMBER(AD180),EXTRACTNUMBER(AF180),EXTRACTNUMBER(AH180)),"*"),SUM(EXTRACTNUMBER(D180),EXTRACTNUMBER(F180),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EXTRACTNUMBER(AD180),EXTRACTNUMBER(AF180),EXTRACTNUMBER(AH180)))))</f>
        <v>509</v>
      </c>
      <c r="AK180" s="24" t="str">
        <f t="shared" si="51"/>
        <v>FAIL</v>
      </c>
      <c r="AL180" s="25" t="str">
        <f>SPELLNUMBER(extractnumber_tot(AJ180))</f>
        <v xml:space="preserve">Five Hundred Nine </v>
      </c>
    </row>
    <row r="181" spans="2:38" s="22" customFormat="1" ht="15.95" customHeight="1">
      <c r="B181" s="100">
        <v>235357</v>
      </c>
      <c r="C181" s="101" t="s">
        <v>26</v>
      </c>
      <c r="D181" s="96" t="s">
        <v>44</v>
      </c>
      <c r="E181" s="89" t="str">
        <f t="shared" si="36"/>
        <v xml:space="preserve"> </v>
      </c>
      <c r="F181" s="93" t="s">
        <v>51</v>
      </c>
      <c r="G181" s="89" t="str">
        <f t="shared" si="37"/>
        <v xml:space="preserve"> </v>
      </c>
      <c r="H181" s="94" t="s">
        <v>55</v>
      </c>
      <c r="I181" s="90" t="str">
        <f t="shared" si="38"/>
        <v xml:space="preserve"> </v>
      </c>
      <c r="J181" s="91" t="s">
        <v>40</v>
      </c>
      <c r="K181" s="90" t="str">
        <f t="shared" si="39"/>
        <v xml:space="preserve"> </v>
      </c>
      <c r="L181" s="93" t="s">
        <v>51</v>
      </c>
      <c r="M181" s="90" t="str">
        <f t="shared" si="35"/>
        <v xml:space="preserve"> </v>
      </c>
      <c r="N181" s="94" t="s">
        <v>45</v>
      </c>
      <c r="O181" s="90" t="str">
        <f t="shared" si="40"/>
        <v xml:space="preserve"> </v>
      </c>
      <c r="P181" s="92" t="s">
        <v>75</v>
      </c>
      <c r="Q181" s="90" t="str">
        <f t="shared" si="41"/>
        <v/>
      </c>
      <c r="R181" s="93" t="s">
        <v>49</v>
      </c>
      <c r="S181" s="90" t="str">
        <f t="shared" si="42"/>
        <v xml:space="preserve"> </v>
      </c>
      <c r="T181" s="94" t="s">
        <v>49</v>
      </c>
      <c r="U181" s="90" t="str">
        <f t="shared" si="43"/>
        <v xml:space="preserve"> </v>
      </c>
      <c r="V181" s="92">
        <v>6</v>
      </c>
      <c r="W181" s="90" t="str">
        <f t="shared" si="44"/>
        <v>F</v>
      </c>
      <c r="X181" s="93" t="s">
        <v>51</v>
      </c>
      <c r="Y181" s="90" t="str">
        <f t="shared" si="45"/>
        <v xml:space="preserve"> </v>
      </c>
      <c r="Z181" s="92" t="s">
        <v>40</v>
      </c>
      <c r="AA181" s="90" t="str">
        <f t="shared" si="46"/>
        <v xml:space="preserve"> </v>
      </c>
      <c r="AB181" s="93" t="s">
        <v>51</v>
      </c>
      <c r="AC181" s="90" t="str">
        <f t="shared" si="47"/>
        <v xml:space="preserve"> </v>
      </c>
      <c r="AD181" s="93" t="s">
        <v>48</v>
      </c>
      <c r="AE181" s="90" t="str">
        <f t="shared" si="48"/>
        <v xml:space="preserve"> </v>
      </c>
      <c r="AF181" s="92" t="s">
        <v>69</v>
      </c>
      <c r="AG181" s="89" t="str">
        <f t="shared" si="49"/>
        <v xml:space="preserve"> </v>
      </c>
      <c r="AH181" s="93" t="s">
        <v>52</v>
      </c>
      <c r="AI181" s="90" t="str">
        <f t="shared" si="50"/>
        <v xml:space="preserve"> </v>
      </c>
      <c r="AJ181" s="108">
        <f>IF(AND(OR(COUNTIF(D181:AI181,"=31")&gt;=1,COUNTIF(D181:AI181,"=32")&gt;=1,COUNTIF(D181:AI181,"=33")&gt;=1,COUNTIF(D181:AI181,"=34")&gt;=1,COUNTIF(D181:AI181,"=35")=1,COUNTIF(D181:AI181,"=36")&gt;=1 ),COUNTIF(D181:AI181,"")=0,COUNTIF(D181:AI181," ")=0,COUNTIF(D181:AI181,"F")=1),CONCATENATE(SUM(EXTRACTNUMBER(D181),EXTRACTNUMBER(F181),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EXTRACTNUMBER(AD181),EXTRACTNUMBER(AF181),EXTRACTNUMBER(AH181)),"*"),IF(AND(COUNTIF(D181:AI181,"=34")&gt;=1,COUNTIF(D181:AI181,"=35")&gt;=1,COUNTIF(D181:AI181,"f")=2,COUNTIF(D181:AI181,"")=0,COUNTIF(D181:AI181," ")=0),CONCATENATE(SUM(EXTRACTNUMBER(D181),EXTRACTNUMBER(F181),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EXTRACTNUMBER(AD181),EXTRACTNUMBER(AF181),EXTRACTNUMBER(AH181)),"*"),IF(AND(COUNTIF(D181:AI181,"=36")&gt;=2,COUNTIF(D181:AI181,"f")=2,COUNTIF(D181:AI181,"")=0,COUNTIF(D181:AI181," ")=0),CONCATENATE(SUM(EXTRACTNUMBER(D181),EXTRACTNUMBER(F181),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EXTRACTNUMBER(AD181),EXTRACTNUMBER(AF181),EXTRACTNUMBER(AH181)),"*"),SUM(EXTRACTNUMBER(D181),EXTRACTNUMBER(F181),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EXTRACTNUMBER(AD181),EXTRACTNUMBER(AF181),EXTRACTNUMBER(AH181)))))</f>
        <v>412</v>
      </c>
      <c r="AK181" s="24" t="str">
        <f t="shared" si="51"/>
        <v>FAIL</v>
      </c>
      <c r="AL181" s="25" t="str">
        <f>SPELLNUMBER(extractnumber_tot(AJ181))</f>
        <v xml:space="preserve">Four Hundred Twelve </v>
      </c>
    </row>
    <row r="182" spans="2:38" s="22" customFormat="1" ht="15.95" customHeight="1">
      <c r="B182" s="100">
        <v>235358</v>
      </c>
      <c r="C182" s="101" t="s">
        <v>247</v>
      </c>
      <c r="D182" s="96" t="s">
        <v>638</v>
      </c>
      <c r="E182" s="89" t="str">
        <f t="shared" si="36"/>
        <v xml:space="preserve"> </v>
      </c>
      <c r="F182" s="93" t="s">
        <v>52</v>
      </c>
      <c r="G182" s="89" t="str">
        <f t="shared" si="37"/>
        <v xml:space="preserve"> </v>
      </c>
      <c r="H182" s="94" t="s">
        <v>40</v>
      </c>
      <c r="I182" s="90" t="str">
        <f t="shared" si="38"/>
        <v xml:space="preserve"> </v>
      </c>
      <c r="J182" s="91" t="s">
        <v>39</v>
      </c>
      <c r="K182" s="90" t="str">
        <f t="shared" si="39"/>
        <v xml:space="preserve"> </v>
      </c>
      <c r="L182" s="93" t="s">
        <v>48</v>
      </c>
      <c r="M182" s="90" t="str">
        <f t="shared" si="35"/>
        <v xml:space="preserve"> </v>
      </c>
      <c r="N182" s="94" t="s">
        <v>55</v>
      </c>
      <c r="O182" s="90" t="str">
        <f t="shared" si="40"/>
        <v xml:space="preserve"> </v>
      </c>
      <c r="P182" s="92">
        <v>31</v>
      </c>
      <c r="Q182" s="90" t="str">
        <f t="shared" si="41"/>
        <v>F</v>
      </c>
      <c r="R182" s="93" t="s">
        <v>52</v>
      </c>
      <c r="S182" s="90" t="str">
        <f t="shared" si="42"/>
        <v xml:space="preserve"> </v>
      </c>
      <c r="T182" s="94" t="s">
        <v>49</v>
      </c>
      <c r="U182" s="90" t="str">
        <f t="shared" si="43"/>
        <v xml:space="preserve"> </v>
      </c>
      <c r="V182" s="92" t="s">
        <v>636</v>
      </c>
      <c r="W182" s="90" t="str">
        <f t="shared" si="44"/>
        <v xml:space="preserve"> </v>
      </c>
      <c r="X182" s="93" t="s">
        <v>64</v>
      </c>
      <c r="Y182" s="90" t="str">
        <f t="shared" si="45"/>
        <v xml:space="preserve"> </v>
      </c>
      <c r="Z182" s="92" t="s">
        <v>40</v>
      </c>
      <c r="AA182" s="90" t="str">
        <f t="shared" si="46"/>
        <v xml:space="preserve"> </v>
      </c>
      <c r="AB182" s="93" t="s">
        <v>48</v>
      </c>
      <c r="AC182" s="90" t="str">
        <f t="shared" si="47"/>
        <v xml:space="preserve"> </v>
      </c>
      <c r="AD182" s="93" t="s">
        <v>53</v>
      </c>
      <c r="AE182" s="90" t="str">
        <f t="shared" si="48"/>
        <v xml:space="preserve"> </v>
      </c>
      <c r="AF182" s="92" t="s">
        <v>74</v>
      </c>
      <c r="AG182" s="89" t="str">
        <f t="shared" si="49"/>
        <v xml:space="preserve"> </v>
      </c>
      <c r="AH182" s="93" t="s">
        <v>65</v>
      </c>
      <c r="AI182" s="90" t="str">
        <f t="shared" si="50"/>
        <v xml:space="preserve"> </v>
      </c>
      <c r="AJ182" s="108">
        <f>IF(AND(OR(COUNTIF(D182:AI182,"=31")&gt;=1,COUNTIF(D182:AI182,"=32")&gt;=1,COUNTIF(D182:AI182,"=33")&gt;=1,COUNTIF(D182:AI182,"=34")&gt;=1,COUNTIF(D182:AI182,"=35")=1,COUNTIF(D182:AI182,"=36")&gt;=1 ),COUNTIF(D182:AI182,"")=0,COUNTIF(D182:AI182," ")=0,COUNTIF(D182:AI182,"F")=1),CONCATENATE(SUM(EXTRACTNUMBER(D182),EXTRACTNUMBER(F182),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EXTRACTNUMBER(AD182),EXTRACTNUMBER(AF182),EXTRACTNUMBER(AH182)),"*"),IF(AND(COUNTIF(D182:AI182,"=34")&gt;=1,COUNTIF(D182:AI182,"=35")&gt;=1,COUNTIF(D182:AI182,"f")=2,COUNTIF(D182:AI182,"")=0,COUNTIF(D182:AI182," ")=0),CONCATENATE(SUM(EXTRACTNUMBER(D182),EXTRACTNUMBER(F182),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EXTRACTNUMBER(AD182),EXTRACTNUMBER(AF182),EXTRACTNUMBER(AH182)),"*"),IF(AND(COUNTIF(D182:AI182,"=36")&gt;=2,COUNTIF(D182:AI182,"f")=2,COUNTIF(D182:AI182,"")=0,COUNTIF(D182:AI182," ")=0),CONCATENATE(SUM(EXTRACTNUMBER(D182),EXTRACTNUMBER(F182),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EXTRACTNUMBER(AD182),EXTRACTNUMBER(AF182),EXTRACTNUMBER(AH182)),"*"),SUM(EXTRACTNUMBER(D182),EXTRACTNUMBER(F182),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EXTRACTNUMBER(AD182),EXTRACTNUMBER(AF182),EXTRACTNUMBER(AH182)))))</f>
        <v>478</v>
      </c>
      <c r="AK182" s="24" t="str">
        <f t="shared" si="51"/>
        <v>FAIL</v>
      </c>
      <c r="AL182" s="25" t="str">
        <f>SPELLNUMBER(extractnumber_tot(AJ182))</f>
        <v xml:space="preserve">Four Hundred Seventy Eight </v>
      </c>
    </row>
    <row r="183" spans="2:38" s="22" customFormat="1" ht="15.95" customHeight="1">
      <c r="B183" s="100">
        <v>235359</v>
      </c>
      <c r="C183" s="101" t="s">
        <v>31</v>
      </c>
      <c r="D183" s="96" t="s">
        <v>40</v>
      </c>
      <c r="E183" s="89" t="str">
        <f t="shared" si="36"/>
        <v xml:space="preserve"> </v>
      </c>
      <c r="F183" s="93" t="s">
        <v>46</v>
      </c>
      <c r="G183" s="89" t="str">
        <f t="shared" si="37"/>
        <v xml:space="preserve"> </v>
      </c>
      <c r="H183" s="94" t="s">
        <v>43</v>
      </c>
      <c r="I183" s="90" t="str">
        <f t="shared" si="38"/>
        <v xml:space="preserve"> </v>
      </c>
      <c r="J183" s="91" t="s">
        <v>40</v>
      </c>
      <c r="K183" s="90" t="str">
        <f t="shared" si="39"/>
        <v xml:space="preserve"> </v>
      </c>
      <c r="L183" s="93" t="s">
        <v>51</v>
      </c>
      <c r="M183" s="90" t="str">
        <f t="shared" si="35"/>
        <v xml:space="preserve"> </v>
      </c>
      <c r="N183" s="94" t="s">
        <v>43</v>
      </c>
      <c r="O183" s="90" t="str">
        <f t="shared" si="40"/>
        <v xml:space="preserve"> </v>
      </c>
      <c r="P183" s="92">
        <v>40</v>
      </c>
      <c r="Q183" s="90" t="str">
        <f t="shared" si="41"/>
        <v/>
      </c>
      <c r="R183" s="93" t="s">
        <v>49</v>
      </c>
      <c r="S183" s="90" t="str">
        <f t="shared" si="42"/>
        <v xml:space="preserve"> </v>
      </c>
      <c r="T183" s="94" t="s">
        <v>52</v>
      </c>
      <c r="U183" s="90" t="str">
        <f t="shared" si="43"/>
        <v xml:space="preserve"> </v>
      </c>
      <c r="V183" s="92" t="s">
        <v>62</v>
      </c>
      <c r="W183" s="90" t="str">
        <f t="shared" si="44"/>
        <v xml:space="preserve"> </v>
      </c>
      <c r="X183" s="93" t="s">
        <v>46</v>
      </c>
      <c r="Y183" s="90" t="str">
        <f t="shared" si="45"/>
        <v xml:space="preserve"> </v>
      </c>
      <c r="Z183" s="92" t="s">
        <v>43</v>
      </c>
      <c r="AA183" s="90" t="str">
        <f t="shared" si="46"/>
        <v xml:space="preserve"> </v>
      </c>
      <c r="AB183" s="93" t="s">
        <v>46</v>
      </c>
      <c r="AC183" s="90" t="str">
        <f t="shared" si="47"/>
        <v xml:space="preserve"> </v>
      </c>
      <c r="AD183" s="93" t="s">
        <v>46</v>
      </c>
      <c r="AE183" s="90" t="str">
        <f t="shared" si="48"/>
        <v xml:space="preserve"> </v>
      </c>
      <c r="AF183" s="92" t="s">
        <v>54</v>
      </c>
      <c r="AG183" s="89" t="str">
        <f t="shared" si="49"/>
        <v xml:space="preserve"> </v>
      </c>
      <c r="AH183" s="93" t="s">
        <v>46</v>
      </c>
      <c r="AI183" s="90" t="str">
        <f t="shared" si="50"/>
        <v xml:space="preserve"> </v>
      </c>
      <c r="AJ183" s="108">
        <f>IF(AND(OR(COUNTIF(D183:AI183,"=31")&gt;=1,COUNTIF(D183:AI183,"=32")&gt;=1,COUNTIF(D183:AI183,"=33")&gt;=1,COUNTIF(D183:AI183,"=34")&gt;=1,COUNTIF(D183:AI183,"=35")=1,COUNTIF(D183:AI183,"=36")&gt;=1 ),COUNTIF(D183:AI183,"")=0,COUNTIF(D183:AI183," ")=0,COUNTIF(D183:AI183,"F")=1),CONCATENATE(SUM(EXTRACTNUMBER(D183),EXTRACTNUMBER(F183),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EXTRACTNUMBER(AD183),EXTRACTNUMBER(AF183),EXTRACTNUMBER(AH183)),"*"),IF(AND(COUNTIF(D183:AI183,"=34")&gt;=1,COUNTIF(D183:AI183,"=35")&gt;=1,COUNTIF(D183:AI183,"f")=2,COUNTIF(D183:AI183,"")=0,COUNTIF(D183:AI183," ")=0),CONCATENATE(SUM(EXTRACTNUMBER(D183),EXTRACTNUMBER(F183),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EXTRACTNUMBER(AD183),EXTRACTNUMBER(AF183),EXTRACTNUMBER(AH183)),"*"),IF(AND(COUNTIF(D183:AI183,"=36")&gt;=2,COUNTIF(D183:AI183,"f")=2,COUNTIF(D183:AI183,"")=0,COUNTIF(D183:AI183," ")=0),CONCATENATE(SUM(EXTRACTNUMBER(D183),EXTRACTNUMBER(F183),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EXTRACTNUMBER(AD183),EXTRACTNUMBER(AF183),EXTRACTNUMBER(AH183)),"*"),SUM(EXTRACTNUMBER(D183),EXTRACTNUMBER(F183),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EXTRACTNUMBER(AD183),EXTRACTNUMBER(AF183),EXTRACTNUMBER(AH183)))))</f>
        <v>513</v>
      </c>
      <c r="AK183" s="24" t="str">
        <f t="shared" si="51"/>
        <v>PASS</v>
      </c>
      <c r="AL183" s="25" t="str">
        <f>SPELLNUMBER(extractnumber_tot(AJ183))</f>
        <v xml:space="preserve">Five Hundred Thirteen </v>
      </c>
    </row>
    <row r="184" spans="2:38" s="22" customFormat="1" ht="15.95" customHeight="1">
      <c r="B184" s="100">
        <v>235360</v>
      </c>
      <c r="C184" s="101" t="s">
        <v>32</v>
      </c>
      <c r="D184" s="105" t="s">
        <v>43</v>
      </c>
      <c r="E184" s="89" t="str">
        <f t="shared" si="36"/>
        <v xml:space="preserve"> </v>
      </c>
      <c r="F184" s="106" t="s">
        <v>51</v>
      </c>
      <c r="G184" s="89" t="str">
        <f t="shared" si="37"/>
        <v xml:space="preserve"> </v>
      </c>
      <c r="H184" s="107" t="s">
        <v>44</v>
      </c>
      <c r="I184" s="90" t="str">
        <f t="shared" si="38"/>
        <v xml:space="preserve"> </v>
      </c>
      <c r="J184" s="91" t="s">
        <v>41</v>
      </c>
      <c r="K184" s="90" t="str">
        <f t="shared" si="39"/>
        <v xml:space="preserve"> </v>
      </c>
      <c r="L184" s="106" t="s">
        <v>64</v>
      </c>
      <c r="M184" s="90" t="str">
        <f t="shared" si="35"/>
        <v xml:space="preserve"> </v>
      </c>
      <c r="N184" s="107" t="s">
        <v>57</v>
      </c>
      <c r="O184" s="90" t="str">
        <f t="shared" si="40"/>
        <v xml:space="preserve"> </v>
      </c>
      <c r="P184" s="92" t="s">
        <v>63</v>
      </c>
      <c r="Q184" s="90" t="str">
        <f t="shared" si="41"/>
        <v xml:space="preserve"> </v>
      </c>
      <c r="R184" s="106" t="s">
        <v>52</v>
      </c>
      <c r="S184" s="90" t="str">
        <f t="shared" si="42"/>
        <v xml:space="preserve"> </v>
      </c>
      <c r="T184" s="107" t="s">
        <v>52</v>
      </c>
      <c r="U184" s="90" t="str">
        <f t="shared" si="43"/>
        <v xml:space="preserve"> </v>
      </c>
      <c r="V184" s="92">
        <v>18</v>
      </c>
      <c r="W184" s="90" t="str">
        <f t="shared" si="44"/>
        <v>F</v>
      </c>
      <c r="X184" s="106" t="s">
        <v>65</v>
      </c>
      <c r="Y184" s="90" t="str">
        <f t="shared" si="45"/>
        <v xml:space="preserve"> </v>
      </c>
      <c r="Z184" s="92" t="s">
        <v>40</v>
      </c>
      <c r="AA184" s="90" t="str">
        <f t="shared" si="46"/>
        <v xml:space="preserve"> </v>
      </c>
      <c r="AB184" s="106" t="s">
        <v>47</v>
      </c>
      <c r="AC184" s="90" t="str">
        <f t="shared" si="47"/>
        <v xml:space="preserve"> </v>
      </c>
      <c r="AD184" s="106" t="s">
        <v>47</v>
      </c>
      <c r="AE184" s="90" t="str">
        <f t="shared" si="48"/>
        <v xml:space="preserve"> </v>
      </c>
      <c r="AF184" s="92" t="s">
        <v>49</v>
      </c>
      <c r="AG184" s="89" t="str">
        <f t="shared" si="49"/>
        <v xml:space="preserve"> </v>
      </c>
      <c r="AH184" s="106" t="s">
        <v>65</v>
      </c>
      <c r="AI184" s="90" t="str">
        <f t="shared" si="50"/>
        <v xml:space="preserve"> </v>
      </c>
      <c r="AJ184" s="108">
        <f>IF(AND(OR(COUNTIF(D184:AI184,"=31")&gt;=1,COUNTIF(D184:AI184,"=32")&gt;=1,COUNTIF(D184:AI184,"=33")&gt;=1,COUNTIF(D184:AI184,"=34")&gt;=1,COUNTIF(D184:AI184,"=35")=1,COUNTIF(D184:AI184,"=36")&gt;=1 ),COUNTIF(D184:AI184,"")=0,COUNTIF(D184:AI184," ")=0,COUNTIF(D184:AI184,"F")=1),CONCATENATE(SUM(EXTRACTNUMBER(D184),EXTRACTNUMBER(F184),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EXTRACTNUMBER(AD184),EXTRACTNUMBER(AF184),EXTRACTNUMBER(AH184)),"*"),IF(AND(COUNTIF(D184:AI184,"=34")&gt;=1,COUNTIF(D184:AI184,"=35")&gt;=1,COUNTIF(D184:AI184,"f")=2,COUNTIF(D184:AI184,"")=0,COUNTIF(D184:AI184," ")=0),CONCATENATE(SUM(EXTRACTNUMBER(D184),EXTRACTNUMBER(F184),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EXTRACTNUMBER(AD184),EXTRACTNUMBER(AF184),EXTRACTNUMBER(AH184)),"*"),IF(AND(COUNTIF(D184:AI184,"=36")&gt;=2,COUNTIF(D184:AI184,"f")=2,COUNTIF(D184:AI184,"")=0,COUNTIF(D184:AI184," ")=0),CONCATENATE(SUM(EXTRACTNUMBER(D184),EXTRACTNUMBER(F184),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EXTRACTNUMBER(AD184),EXTRACTNUMBER(AF184),EXTRACTNUMBER(AH184)),"*"),SUM(EXTRACTNUMBER(D184),EXTRACTNUMBER(F184),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EXTRACTNUMBER(AD184),EXTRACTNUMBER(AF184),EXTRACTNUMBER(AH184)))))</f>
        <v>447</v>
      </c>
      <c r="AK184" s="24" t="str">
        <f t="shared" si="51"/>
        <v>FAIL</v>
      </c>
      <c r="AL184" s="25" t="str">
        <f>SPELLNUMBER(extractnumber_tot(AJ184))</f>
        <v xml:space="preserve">Four Hundred Forty Seven </v>
      </c>
    </row>
    <row r="185" spans="2:38" s="22" customFormat="1" ht="15.95" customHeight="1">
      <c r="B185" s="97" t="s">
        <v>616</v>
      </c>
      <c r="C185" s="99" t="s">
        <v>617</v>
      </c>
      <c r="D185" s="95" t="s">
        <v>75</v>
      </c>
      <c r="E185" s="89" t="str">
        <f t="shared" si="36"/>
        <v/>
      </c>
      <c r="F185" s="93">
        <v>20</v>
      </c>
      <c r="G185" s="89" t="str">
        <f t="shared" si="37"/>
        <v>E</v>
      </c>
      <c r="H185" s="94">
        <v>43</v>
      </c>
      <c r="I185" s="90" t="str">
        <f t="shared" si="38"/>
        <v>E</v>
      </c>
      <c r="J185" s="95" t="s">
        <v>75</v>
      </c>
      <c r="K185" s="90" t="str">
        <f t="shared" si="39"/>
        <v/>
      </c>
      <c r="L185" s="93">
        <v>19</v>
      </c>
      <c r="M185" s="90" t="str">
        <f t="shared" si="35"/>
        <v>E</v>
      </c>
      <c r="N185" s="94">
        <v>37</v>
      </c>
      <c r="O185" s="90" t="str">
        <f t="shared" si="40"/>
        <v>E</v>
      </c>
      <c r="P185" s="95" t="s">
        <v>75</v>
      </c>
      <c r="Q185" s="90" t="str">
        <f t="shared" si="41"/>
        <v/>
      </c>
      <c r="R185" s="93">
        <v>20</v>
      </c>
      <c r="S185" s="90" t="str">
        <f t="shared" si="42"/>
        <v>E</v>
      </c>
      <c r="T185" s="94">
        <v>22</v>
      </c>
      <c r="U185" s="90" t="str">
        <f t="shared" si="43"/>
        <v>E</v>
      </c>
      <c r="V185" s="95" t="s">
        <v>75</v>
      </c>
      <c r="W185" s="90" t="str">
        <f t="shared" si="44"/>
        <v/>
      </c>
      <c r="X185" s="93">
        <v>23</v>
      </c>
      <c r="Y185" s="90" t="str">
        <f t="shared" si="45"/>
        <v>E</v>
      </c>
      <c r="Z185" s="95" t="s">
        <v>75</v>
      </c>
      <c r="AA185" s="90" t="str">
        <f t="shared" si="46"/>
        <v/>
      </c>
      <c r="AB185" s="93">
        <v>20</v>
      </c>
      <c r="AC185" s="90" t="str">
        <f t="shared" si="47"/>
        <v>E</v>
      </c>
      <c r="AD185" s="93">
        <v>20</v>
      </c>
      <c r="AE185" s="90" t="str">
        <f t="shared" si="48"/>
        <v>E</v>
      </c>
      <c r="AF185" s="92" t="s">
        <v>75</v>
      </c>
      <c r="AG185" s="89" t="str">
        <f t="shared" si="49"/>
        <v/>
      </c>
      <c r="AH185" s="93">
        <v>23</v>
      </c>
      <c r="AI185" s="90" t="str">
        <f t="shared" si="50"/>
        <v>E</v>
      </c>
      <c r="AJ185" s="108">
        <f>IF(AND(OR(COUNTIF(D185:AI185,"=31")&gt;=1,COUNTIF(D185:AI185,"=32")&gt;=1,COUNTIF(D185:AI185,"=33")&gt;=1,COUNTIF(D185:AI185,"=34")&gt;=1,COUNTIF(D185:AI185,"=35")=1,COUNTIF(D185:AI185,"=36")&gt;=1 ),COUNTIF(D185:AI185,"")=0,COUNTIF(D185:AI185," ")=0,COUNTIF(D185:AI185,"F")=1),CONCATENATE(SUM(EXTRACTNUMBER(D185),EXTRACTNUMBER(F185),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EXTRACTNUMBER(AD185),EXTRACTNUMBER(AF185),EXTRACTNUMBER(AH185)),"*"),IF(AND(COUNTIF(D185:AI185,"=34")&gt;=1,COUNTIF(D185:AI185,"=35")&gt;=1,COUNTIF(D185:AI185,"f")=2,COUNTIF(D185:AI185,"")=0,COUNTIF(D185:AI185," ")=0),CONCATENATE(SUM(EXTRACTNUMBER(D185),EXTRACTNUMBER(F185),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EXTRACTNUMBER(AD185),EXTRACTNUMBER(AF185),EXTRACTNUMBER(AH185)),"*"),IF(AND(COUNTIF(D185:AI185,"=36")&gt;=2,COUNTIF(D185:AI185,"f")=2,COUNTIF(D185:AI185,"")=0,COUNTIF(D185:AI185," ")=0),CONCATENATE(SUM(EXTRACTNUMBER(D185),EXTRACTNUMBER(F185),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EXTRACTNUMBER(AD185),EXTRACTNUMBER(AF185),EXTRACTNUMBER(AH185)),"*"),SUM(EXTRACTNUMBER(D185),EXTRACTNUMBER(F185),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EXTRACTNUMBER(AD185),EXTRACTNUMBER(AF185),EXTRACTNUMBER(AH185)))))</f>
        <v>247</v>
      </c>
      <c r="AK185" s="24" t="str">
        <f t="shared" si="51"/>
        <v>FAIL</v>
      </c>
      <c r="AL185" s="25" t="str">
        <f>SPELLNUMBER(extractnumber_tot(AJ185))</f>
        <v xml:space="preserve">Two Hundred Forty Seven </v>
      </c>
    </row>
    <row r="186" spans="2:38" s="22" customFormat="1" ht="15.95" customHeight="1">
      <c r="B186" s="104" t="s">
        <v>618</v>
      </c>
      <c r="C186" s="99" t="s">
        <v>619</v>
      </c>
      <c r="D186" s="95" t="s">
        <v>75</v>
      </c>
      <c r="E186" s="89" t="str">
        <f t="shared" si="36"/>
        <v/>
      </c>
      <c r="F186" s="93">
        <v>20</v>
      </c>
      <c r="G186" s="89" t="str">
        <f t="shared" si="37"/>
        <v>E</v>
      </c>
      <c r="H186" s="94">
        <v>42</v>
      </c>
      <c r="I186" s="90" t="str">
        <f t="shared" si="38"/>
        <v>E</v>
      </c>
      <c r="J186" s="95">
        <v>40</v>
      </c>
      <c r="K186" s="90" t="str">
        <f t="shared" si="39"/>
        <v>E</v>
      </c>
      <c r="L186" s="93">
        <v>18</v>
      </c>
      <c r="M186" s="90" t="str">
        <f t="shared" si="35"/>
        <v>E</v>
      </c>
      <c r="N186" s="94">
        <v>36</v>
      </c>
      <c r="O186" s="90" t="str">
        <f t="shared" si="40"/>
        <v>E</v>
      </c>
      <c r="P186" s="95">
        <v>17</v>
      </c>
      <c r="Q186" s="90" t="str">
        <f t="shared" si="41"/>
        <v>F</v>
      </c>
      <c r="R186" s="93">
        <v>17</v>
      </c>
      <c r="S186" s="90" t="str">
        <f t="shared" si="42"/>
        <v>E</v>
      </c>
      <c r="T186" s="94">
        <v>22</v>
      </c>
      <c r="U186" s="90" t="str">
        <f t="shared" si="43"/>
        <v>E</v>
      </c>
      <c r="V186" s="95" t="s">
        <v>75</v>
      </c>
      <c r="W186" s="90" t="str">
        <f t="shared" si="44"/>
        <v/>
      </c>
      <c r="X186" s="93">
        <v>17</v>
      </c>
      <c r="Y186" s="90" t="str">
        <f t="shared" si="45"/>
        <v>E</v>
      </c>
      <c r="Z186" s="95" t="s">
        <v>75</v>
      </c>
      <c r="AA186" s="90" t="str">
        <f t="shared" si="46"/>
        <v/>
      </c>
      <c r="AB186" s="93">
        <v>15</v>
      </c>
      <c r="AC186" s="90" t="str">
        <f t="shared" si="47"/>
        <v>E</v>
      </c>
      <c r="AD186" s="93">
        <v>20</v>
      </c>
      <c r="AE186" s="90" t="str">
        <f t="shared" si="48"/>
        <v>E</v>
      </c>
      <c r="AF186" s="92" t="s">
        <v>75</v>
      </c>
      <c r="AG186" s="89" t="str">
        <f t="shared" si="49"/>
        <v/>
      </c>
      <c r="AH186" s="93">
        <v>19</v>
      </c>
      <c r="AI186" s="90" t="str">
        <f t="shared" si="50"/>
        <v>E</v>
      </c>
      <c r="AJ186" s="108">
        <f>IF(AND(OR(COUNTIF(D186:AI186,"=31")&gt;=1,COUNTIF(D186:AI186,"=32")&gt;=1,COUNTIF(D186:AI186,"=33")&gt;=1,COUNTIF(D186:AI186,"=34")&gt;=1,COUNTIF(D186:AI186,"=35")=1,COUNTIF(D186:AI186,"=36")&gt;=1 ),COUNTIF(D186:AI186,"")=0,COUNTIF(D186:AI186," ")=0,COUNTIF(D186:AI186,"F")=1),CONCATENATE(SUM(EXTRACTNUMBER(D186),EXTRACTNUMBER(F186),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EXTRACTNUMBER(AD186),EXTRACTNUMBER(AF186),EXTRACTNUMBER(AH186)),"*"),IF(AND(COUNTIF(D186:AI186,"=34")&gt;=1,COUNTIF(D186:AI186,"=35")&gt;=1,COUNTIF(D186:AI186,"f")=2,COUNTIF(D186:AI186,"")=0,COUNTIF(D186:AI186," ")=0),CONCATENATE(SUM(EXTRACTNUMBER(D186),EXTRACTNUMBER(F186),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EXTRACTNUMBER(AD186),EXTRACTNUMBER(AF186),EXTRACTNUMBER(AH186)),"*"),IF(AND(COUNTIF(D186:AI186,"=36")&gt;=2,COUNTIF(D186:AI186,"f")=2,COUNTIF(D186:AI186,"")=0,COUNTIF(D186:AI186," ")=0),CONCATENATE(SUM(EXTRACTNUMBER(D186),EXTRACTNUMBER(F186),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EXTRACTNUMBER(AD186),EXTRACTNUMBER(AF186),EXTRACTNUMBER(AH186)),"*"),SUM(EXTRACTNUMBER(D186),EXTRACTNUMBER(F186),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EXTRACTNUMBER(AD186),EXTRACTNUMBER(AF186),EXTRACTNUMBER(AH186)))))</f>
        <v>283</v>
      </c>
      <c r="AK186" s="24" t="str">
        <f t="shared" si="51"/>
        <v>FAIL</v>
      </c>
      <c r="AL186" s="25" t="str">
        <f>SPELLNUMBER(extractnumber_tot(AJ186))</f>
        <v xml:space="preserve">Two Hundred Eighty Three </v>
      </c>
    </row>
    <row r="187" spans="2:38" s="22" customFormat="1" ht="15.95" customHeight="1">
      <c r="B187" s="104" t="s">
        <v>620</v>
      </c>
      <c r="C187" s="99" t="s">
        <v>621</v>
      </c>
      <c r="D187" s="95">
        <v>42</v>
      </c>
      <c r="E187" s="89" t="str">
        <f t="shared" si="36"/>
        <v>E</v>
      </c>
      <c r="F187" s="93">
        <v>21</v>
      </c>
      <c r="G187" s="89" t="str">
        <f t="shared" si="37"/>
        <v>E</v>
      </c>
      <c r="H187" s="94">
        <v>40</v>
      </c>
      <c r="I187" s="90" t="str">
        <f t="shared" si="38"/>
        <v>E</v>
      </c>
      <c r="J187" s="95">
        <v>46</v>
      </c>
      <c r="K187" s="90" t="str">
        <f t="shared" si="39"/>
        <v>E</v>
      </c>
      <c r="L187" s="93">
        <v>21</v>
      </c>
      <c r="M187" s="90" t="str">
        <f t="shared" si="35"/>
        <v>E</v>
      </c>
      <c r="N187" s="94">
        <v>36</v>
      </c>
      <c r="O187" s="90" t="str">
        <f t="shared" si="40"/>
        <v>E</v>
      </c>
      <c r="P187" s="95">
        <v>30</v>
      </c>
      <c r="Q187" s="90" t="str">
        <f t="shared" si="41"/>
        <v>F</v>
      </c>
      <c r="R187" s="93">
        <v>19</v>
      </c>
      <c r="S187" s="90" t="str">
        <f t="shared" si="42"/>
        <v>E</v>
      </c>
      <c r="T187" s="94">
        <v>20</v>
      </c>
      <c r="U187" s="90" t="str">
        <f t="shared" si="43"/>
        <v>E</v>
      </c>
      <c r="V187" s="95">
        <v>28</v>
      </c>
      <c r="W187" s="90" t="str">
        <f t="shared" si="44"/>
        <v>F</v>
      </c>
      <c r="X187" s="93">
        <v>23</v>
      </c>
      <c r="Y187" s="90" t="str">
        <f t="shared" si="45"/>
        <v>E</v>
      </c>
      <c r="Z187" s="95">
        <v>41</v>
      </c>
      <c r="AA187" s="90" t="str">
        <f t="shared" si="46"/>
        <v>E</v>
      </c>
      <c r="AB187" s="93">
        <v>21</v>
      </c>
      <c r="AC187" s="90" t="str">
        <f t="shared" si="47"/>
        <v>E</v>
      </c>
      <c r="AD187" s="93">
        <v>21</v>
      </c>
      <c r="AE187" s="90" t="str">
        <f t="shared" si="48"/>
        <v>E</v>
      </c>
      <c r="AF187" s="92">
        <v>24</v>
      </c>
      <c r="AG187" s="89" t="str">
        <f t="shared" si="49"/>
        <v>E</v>
      </c>
      <c r="AH187" s="93">
        <v>17</v>
      </c>
      <c r="AI187" s="90" t="str">
        <f t="shared" si="50"/>
        <v>E</v>
      </c>
      <c r="AJ187" s="108">
        <f>IF(AND(OR(COUNTIF(D187:AI187,"=31")&gt;=1,COUNTIF(D187:AI187,"=32")&gt;=1,COUNTIF(D187:AI187,"=33")&gt;=1,COUNTIF(D187:AI187,"=34")&gt;=1,COUNTIF(D187:AI187,"=35")=1,COUNTIF(D187:AI187,"=36")&gt;=1 ),COUNTIF(D187:AI187,"")=0,COUNTIF(D187:AI187," ")=0,COUNTIF(D187:AI187,"F")=1),CONCATENATE(SUM(EXTRACTNUMBER(D187),EXTRACTNUMBER(F187),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EXTRACTNUMBER(AD187),EXTRACTNUMBER(AF187),EXTRACTNUMBER(AH187)),"*"),IF(AND(COUNTIF(D187:AI187,"=34")&gt;=1,COUNTIF(D187:AI187,"=35")&gt;=1,COUNTIF(D187:AI187,"f")=2,COUNTIF(D187:AI187,"")=0,COUNTIF(D187:AI187," ")=0),CONCATENATE(SUM(EXTRACTNUMBER(D187),EXTRACTNUMBER(F187),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EXTRACTNUMBER(AD187),EXTRACTNUMBER(AF187),EXTRACTNUMBER(AH187)),"*"),IF(AND(COUNTIF(D187:AI187,"=36")&gt;=2,COUNTIF(D187:AI187,"f")=2,COUNTIF(D187:AI187,"")=0,COUNTIF(D187:AI187," ")=0),CONCATENATE(SUM(EXTRACTNUMBER(D187),EXTRACTNUMBER(F187),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EXTRACTNUMBER(AD187),EXTRACTNUMBER(AF187),EXTRACTNUMBER(AH187)),"*"),SUM(EXTRACTNUMBER(D187),EXTRACTNUMBER(F187),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EXTRACTNUMBER(AD187),EXTRACTNUMBER(AF187),EXTRACTNUMBER(AH187)))))</f>
        <v>450</v>
      </c>
      <c r="AK187" s="24" t="str">
        <f t="shared" si="51"/>
        <v>FAIL</v>
      </c>
      <c r="AL187" s="25" t="str">
        <f>SPELLNUMBER(extractnumber_tot(AJ187))</f>
        <v xml:space="preserve">Four Hundred Fifty  </v>
      </c>
    </row>
    <row r="188" spans="2:38" s="22" customFormat="1" ht="15.95" customHeight="1">
      <c r="B188" s="104" t="s">
        <v>622</v>
      </c>
      <c r="C188" s="99" t="s">
        <v>623</v>
      </c>
      <c r="D188" s="95">
        <v>28</v>
      </c>
      <c r="E188" s="89" t="str">
        <f t="shared" si="36"/>
        <v>F</v>
      </c>
      <c r="F188" s="93">
        <v>21</v>
      </c>
      <c r="G188" s="89" t="str">
        <f t="shared" si="37"/>
        <v>E</v>
      </c>
      <c r="H188" s="94">
        <v>40</v>
      </c>
      <c r="I188" s="90" t="str">
        <f t="shared" si="38"/>
        <v>E</v>
      </c>
      <c r="J188" s="95">
        <v>40</v>
      </c>
      <c r="K188" s="90" t="str">
        <f t="shared" si="39"/>
        <v>E</v>
      </c>
      <c r="L188" s="93">
        <v>19</v>
      </c>
      <c r="M188" s="90" t="str">
        <f t="shared" si="35"/>
        <v>E</v>
      </c>
      <c r="N188" s="94">
        <v>36</v>
      </c>
      <c r="O188" s="90" t="str">
        <f t="shared" si="40"/>
        <v>E</v>
      </c>
      <c r="P188" s="95">
        <v>40</v>
      </c>
      <c r="Q188" s="90" t="str">
        <f t="shared" si="41"/>
        <v>E</v>
      </c>
      <c r="R188" s="93">
        <v>21</v>
      </c>
      <c r="S188" s="90" t="str">
        <f t="shared" si="42"/>
        <v>E</v>
      </c>
      <c r="T188" s="94">
        <v>21</v>
      </c>
      <c r="U188" s="90" t="str">
        <f t="shared" si="43"/>
        <v>E</v>
      </c>
      <c r="V188" s="95">
        <v>11</v>
      </c>
      <c r="W188" s="90" t="str">
        <f t="shared" si="44"/>
        <v>F</v>
      </c>
      <c r="X188" s="93">
        <v>18</v>
      </c>
      <c r="Y188" s="90" t="str">
        <f t="shared" si="45"/>
        <v>E</v>
      </c>
      <c r="Z188" s="95">
        <v>15</v>
      </c>
      <c r="AA188" s="90" t="str">
        <f t="shared" si="46"/>
        <v>F</v>
      </c>
      <c r="AB188" s="93">
        <v>20</v>
      </c>
      <c r="AC188" s="90" t="str">
        <f t="shared" si="47"/>
        <v>E</v>
      </c>
      <c r="AD188" s="93">
        <v>20</v>
      </c>
      <c r="AE188" s="90" t="str">
        <f t="shared" si="48"/>
        <v>E</v>
      </c>
      <c r="AF188" s="92">
        <v>25</v>
      </c>
      <c r="AG188" s="89" t="str">
        <f t="shared" si="49"/>
        <v>E</v>
      </c>
      <c r="AH188" s="93">
        <v>16</v>
      </c>
      <c r="AI188" s="90" t="str">
        <f t="shared" si="50"/>
        <v>E</v>
      </c>
      <c r="AJ188" s="108">
        <f>IF(AND(OR(COUNTIF(D188:AI188,"=31")&gt;=1,COUNTIF(D188:AI188,"=32")&gt;=1,COUNTIF(D188:AI188,"=33")&gt;=1,COUNTIF(D188:AI188,"=34")&gt;=1,COUNTIF(D188:AI188,"=35")=1,COUNTIF(D188:AI188,"=36")&gt;=1 ),COUNTIF(D188:AI188,"")=0,COUNTIF(D188:AI188," ")=0,COUNTIF(D188:AI188,"F")=1),CONCATENATE(SUM(EXTRACTNUMBER(D188),EXTRACTNUMBER(F188),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EXTRACTNUMBER(AD188),EXTRACTNUMBER(AF188),EXTRACTNUMBER(AH188)),"*"),IF(AND(COUNTIF(D188:AI188,"=34")&gt;=1,COUNTIF(D188:AI188,"=35")&gt;=1,COUNTIF(D188:AI188,"f")=2,COUNTIF(D188:AI188,"")=0,COUNTIF(D188:AI188," ")=0),CONCATENATE(SUM(EXTRACTNUMBER(D188),EXTRACTNUMBER(F188),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EXTRACTNUMBER(AD188),EXTRACTNUMBER(AF188),EXTRACTNUMBER(AH188)),"*"),IF(AND(COUNTIF(D188:AI188,"=36")&gt;=2,COUNTIF(D188:AI188,"f")=2,COUNTIF(D188:AI188,"")=0,COUNTIF(D188:AI188," ")=0),CONCATENATE(SUM(EXTRACTNUMBER(D188),EXTRACTNUMBER(F188),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EXTRACTNUMBER(AD188),EXTRACTNUMBER(AF188),EXTRACTNUMBER(AH188)),"*"),SUM(EXTRACTNUMBER(D188),EXTRACTNUMBER(F188),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EXTRACTNUMBER(AD188),EXTRACTNUMBER(AF188),EXTRACTNUMBER(AH188)))))</f>
        <v>391</v>
      </c>
      <c r="AK188" s="24" t="str">
        <f t="shared" si="51"/>
        <v>FAIL</v>
      </c>
      <c r="AL188" s="25" t="str">
        <f>SPELLNUMBER(extractnumber_tot(AJ188))</f>
        <v xml:space="preserve">Three Hundred NinetyOne </v>
      </c>
    </row>
    <row r="189" spans="2:38" s="22" customFormat="1" ht="15.95" customHeight="1">
      <c r="B189" s="104" t="s">
        <v>624</v>
      </c>
      <c r="C189" s="99" t="s">
        <v>625</v>
      </c>
      <c r="D189" s="95">
        <v>49</v>
      </c>
      <c r="E189" s="89" t="str">
        <f t="shared" si="36"/>
        <v>E</v>
      </c>
      <c r="F189" s="93">
        <v>19</v>
      </c>
      <c r="G189" s="89" t="str">
        <f t="shared" si="37"/>
        <v>E</v>
      </c>
      <c r="H189" s="94">
        <v>43</v>
      </c>
      <c r="I189" s="90" t="str">
        <f t="shared" si="38"/>
        <v>E</v>
      </c>
      <c r="J189" s="95">
        <v>40</v>
      </c>
      <c r="K189" s="90" t="str">
        <f t="shared" si="39"/>
        <v>E</v>
      </c>
      <c r="L189" s="93">
        <v>19</v>
      </c>
      <c r="M189" s="90" t="str">
        <f t="shared" si="35"/>
        <v>E</v>
      </c>
      <c r="N189" s="94">
        <v>36</v>
      </c>
      <c r="O189" s="90" t="str">
        <f t="shared" si="40"/>
        <v>E</v>
      </c>
      <c r="P189" s="95">
        <v>31</v>
      </c>
      <c r="Q189" s="90" t="str">
        <f t="shared" si="41"/>
        <v>F</v>
      </c>
      <c r="R189" s="93">
        <v>19</v>
      </c>
      <c r="S189" s="90" t="str">
        <f t="shared" si="42"/>
        <v>E</v>
      </c>
      <c r="T189" s="94">
        <v>20</v>
      </c>
      <c r="U189" s="90" t="str">
        <f t="shared" si="43"/>
        <v>E</v>
      </c>
      <c r="V189" s="95">
        <v>40</v>
      </c>
      <c r="W189" s="90" t="str">
        <f t="shared" si="44"/>
        <v>E</v>
      </c>
      <c r="X189" s="93">
        <v>19</v>
      </c>
      <c r="Y189" s="90" t="str">
        <f t="shared" si="45"/>
        <v>E</v>
      </c>
      <c r="Z189" s="95">
        <v>23</v>
      </c>
      <c r="AA189" s="90" t="str">
        <f t="shared" si="46"/>
        <v>F</v>
      </c>
      <c r="AB189" s="93">
        <v>20</v>
      </c>
      <c r="AC189" s="90" t="str">
        <f t="shared" si="47"/>
        <v>E</v>
      </c>
      <c r="AD189" s="93">
        <v>20</v>
      </c>
      <c r="AE189" s="90" t="str">
        <f t="shared" si="48"/>
        <v>E</v>
      </c>
      <c r="AF189" s="92">
        <v>21</v>
      </c>
      <c r="AG189" s="89" t="str">
        <f t="shared" si="49"/>
        <v>E</v>
      </c>
      <c r="AH189" s="93">
        <v>17</v>
      </c>
      <c r="AI189" s="90" t="str">
        <f t="shared" si="50"/>
        <v>E</v>
      </c>
      <c r="AJ189" s="108">
        <f>IF(AND(OR(COUNTIF(D189:AI189,"=31")&gt;=1,COUNTIF(D189:AI189,"=32")&gt;=1,COUNTIF(D189:AI189,"=33")&gt;=1,COUNTIF(D189:AI189,"=34")&gt;=1,COUNTIF(D189:AI189,"=35")=1,COUNTIF(D189:AI189,"=36")&gt;=1 ),COUNTIF(D189:AI189,"")=0,COUNTIF(D189:AI189," ")=0,COUNTIF(D189:AI189,"F")=1),CONCATENATE(SUM(EXTRACTNUMBER(D189),EXTRACTNUMBER(F189),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EXTRACTNUMBER(AD189),EXTRACTNUMBER(AF189),EXTRACTNUMBER(AH189)),"*"),IF(AND(COUNTIF(D189:AI189,"=34")&gt;=1,COUNTIF(D189:AI189,"=35")&gt;=1,COUNTIF(D189:AI189,"f")=2,COUNTIF(D189:AI189,"")=0,COUNTIF(D189:AI189," ")=0),CONCATENATE(SUM(EXTRACTNUMBER(D189),EXTRACTNUMBER(F189),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EXTRACTNUMBER(AD189),EXTRACTNUMBER(AF189),EXTRACTNUMBER(AH189)),"*"),IF(AND(COUNTIF(D189:AI189,"=36")&gt;=2,COUNTIF(D189:AI189,"f")=2,COUNTIF(D189:AI189,"")=0,COUNTIF(D189:AI189," ")=0),CONCATENATE(SUM(EXTRACTNUMBER(D189),EXTRACTNUMBER(F189),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EXTRACTNUMBER(AD189),EXTRACTNUMBER(AF189),EXTRACTNUMBER(AH189)),"*"),SUM(EXTRACTNUMBER(D189),EXTRACTNUMBER(F189),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EXTRACTNUMBER(AD189),EXTRACTNUMBER(AF189),EXTRACTNUMBER(AH189)))))</f>
        <v>436</v>
      </c>
      <c r="AK189" s="24" t="str">
        <f t="shared" si="51"/>
        <v>FAIL</v>
      </c>
      <c r="AL189" s="25" t="str">
        <f>SPELLNUMBER(extractnumber_tot(AJ189))</f>
        <v xml:space="preserve">Four Hundred Thirty Six </v>
      </c>
    </row>
    <row r="190" spans="2:38" s="22" customFormat="1" ht="15.95" customHeight="1">
      <c r="B190" s="104" t="s">
        <v>626</v>
      </c>
      <c r="C190" s="99" t="s">
        <v>627</v>
      </c>
      <c r="D190" s="95">
        <v>49</v>
      </c>
      <c r="E190" s="89" t="str">
        <f t="shared" si="36"/>
        <v>E</v>
      </c>
      <c r="F190" s="93">
        <v>20</v>
      </c>
      <c r="G190" s="89" t="str">
        <f t="shared" si="37"/>
        <v>E</v>
      </c>
      <c r="H190" s="94">
        <v>41</v>
      </c>
      <c r="I190" s="90" t="str">
        <f t="shared" si="38"/>
        <v>E</v>
      </c>
      <c r="J190" s="95">
        <v>8</v>
      </c>
      <c r="K190" s="90" t="str">
        <f t="shared" si="39"/>
        <v>F</v>
      </c>
      <c r="L190" s="93">
        <v>20</v>
      </c>
      <c r="M190" s="90" t="str">
        <f t="shared" si="35"/>
        <v>E</v>
      </c>
      <c r="N190" s="94">
        <v>37</v>
      </c>
      <c r="O190" s="90" t="str">
        <f t="shared" si="40"/>
        <v>E</v>
      </c>
      <c r="P190" s="95">
        <v>18</v>
      </c>
      <c r="Q190" s="90" t="str">
        <f t="shared" si="41"/>
        <v>F</v>
      </c>
      <c r="R190" s="93">
        <v>20</v>
      </c>
      <c r="S190" s="90" t="str">
        <f t="shared" si="42"/>
        <v>E</v>
      </c>
      <c r="T190" s="94">
        <v>21</v>
      </c>
      <c r="U190" s="90" t="str">
        <f t="shared" si="43"/>
        <v>E</v>
      </c>
      <c r="V190" s="95">
        <v>6</v>
      </c>
      <c r="W190" s="90" t="str">
        <f t="shared" si="44"/>
        <v>F</v>
      </c>
      <c r="X190" s="93">
        <v>19</v>
      </c>
      <c r="Y190" s="90" t="str">
        <f t="shared" si="45"/>
        <v>E</v>
      </c>
      <c r="Z190" s="95">
        <v>25</v>
      </c>
      <c r="AA190" s="90" t="str">
        <f t="shared" si="46"/>
        <v>F</v>
      </c>
      <c r="AB190" s="93">
        <v>20</v>
      </c>
      <c r="AC190" s="90" t="str">
        <f t="shared" si="47"/>
        <v>E</v>
      </c>
      <c r="AD190" s="93">
        <v>20</v>
      </c>
      <c r="AE190" s="90" t="str">
        <f t="shared" si="48"/>
        <v>E</v>
      </c>
      <c r="AF190" s="92">
        <v>26</v>
      </c>
      <c r="AG190" s="89" t="str">
        <f t="shared" si="49"/>
        <v>E</v>
      </c>
      <c r="AH190" s="93">
        <v>18</v>
      </c>
      <c r="AI190" s="90" t="str">
        <f t="shared" si="50"/>
        <v>E</v>
      </c>
      <c r="AJ190" s="108">
        <f>IF(AND(OR(COUNTIF(D190:AI190,"=31")&gt;=1,COUNTIF(D190:AI190,"=32")&gt;=1,COUNTIF(D190:AI190,"=33")&gt;=1,COUNTIF(D190:AI190,"=34")&gt;=1,COUNTIF(D190:AI190,"=35")=1,COUNTIF(D190:AI190,"=36")&gt;=1 ),COUNTIF(D190:AI190,"")=0,COUNTIF(D190:AI190," ")=0,COUNTIF(D190:AI190,"F")=1),CONCATENATE(SUM(EXTRACTNUMBER(D190),EXTRACTNUMBER(F190),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EXTRACTNUMBER(AD190),EXTRACTNUMBER(AF190),EXTRACTNUMBER(AH190)),"*"),IF(AND(COUNTIF(D190:AI190,"=34")&gt;=1,COUNTIF(D190:AI190,"=35")&gt;=1,COUNTIF(D190:AI190,"f")=2,COUNTIF(D190:AI190,"")=0,COUNTIF(D190:AI190," ")=0),CONCATENATE(SUM(EXTRACTNUMBER(D190),EXTRACTNUMBER(F190),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EXTRACTNUMBER(AD190),EXTRACTNUMBER(AF190),EXTRACTNUMBER(AH190)),"*"),IF(AND(COUNTIF(D190:AI190,"=36")&gt;=2,COUNTIF(D190:AI190,"f")=2,COUNTIF(D190:AI190,"")=0,COUNTIF(D190:AI190," ")=0),CONCATENATE(SUM(EXTRACTNUMBER(D190),EXTRACTNUMBER(F190),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EXTRACTNUMBER(AD190),EXTRACTNUMBER(AF190),EXTRACTNUMBER(AH190)),"*"),SUM(EXTRACTNUMBER(D190),EXTRACTNUMBER(F190),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EXTRACTNUMBER(AD190),EXTRACTNUMBER(AF190),EXTRACTNUMBER(AH190)))))</f>
        <v>368</v>
      </c>
      <c r="AK190" s="24" t="str">
        <f t="shared" si="51"/>
        <v>FAIL</v>
      </c>
      <c r="AL190" s="25" t="str">
        <f>SPELLNUMBER(extractnumber_tot(AJ190))</f>
        <v xml:space="preserve">Three Hundred Sixty Eight </v>
      </c>
    </row>
    <row r="191" spans="2:38" s="22" customFormat="1" ht="15.95" customHeight="1">
      <c r="B191" s="104" t="s">
        <v>628</v>
      </c>
      <c r="C191" s="99" t="s">
        <v>629</v>
      </c>
      <c r="D191" s="95">
        <v>52</v>
      </c>
      <c r="E191" s="89" t="str">
        <f t="shared" si="36"/>
        <v/>
      </c>
      <c r="F191" s="93">
        <v>22</v>
      </c>
      <c r="G191" s="89" t="str">
        <f t="shared" si="37"/>
        <v/>
      </c>
      <c r="H191" s="94">
        <v>39</v>
      </c>
      <c r="I191" s="90" t="str">
        <f t="shared" si="38"/>
        <v/>
      </c>
      <c r="J191" s="95">
        <v>43</v>
      </c>
      <c r="K191" s="90" t="str">
        <f t="shared" si="39"/>
        <v/>
      </c>
      <c r="L191" s="93">
        <v>21</v>
      </c>
      <c r="M191" s="90" t="str">
        <f t="shared" si="35"/>
        <v/>
      </c>
      <c r="N191" s="94">
        <v>40</v>
      </c>
      <c r="O191" s="90" t="str">
        <f t="shared" si="40"/>
        <v/>
      </c>
      <c r="P191" s="95">
        <v>40</v>
      </c>
      <c r="Q191" s="90" t="str">
        <f t="shared" si="41"/>
        <v/>
      </c>
      <c r="R191" s="93">
        <v>22</v>
      </c>
      <c r="S191" s="90" t="str">
        <f t="shared" si="42"/>
        <v/>
      </c>
      <c r="T191" s="94">
        <v>21</v>
      </c>
      <c r="U191" s="90" t="str">
        <f t="shared" si="43"/>
        <v/>
      </c>
      <c r="V191" s="95">
        <v>40</v>
      </c>
      <c r="W191" s="90" t="str">
        <f t="shared" si="44"/>
        <v/>
      </c>
      <c r="X191" s="93">
        <v>23</v>
      </c>
      <c r="Y191" s="90" t="str">
        <f t="shared" si="45"/>
        <v/>
      </c>
      <c r="Z191" s="95">
        <v>40</v>
      </c>
      <c r="AA191" s="90" t="str">
        <f t="shared" si="46"/>
        <v/>
      </c>
      <c r="AB191" s="93">
        <v>20</v>
      </c>
      <c r="AC191" s="90" t="str">
        <f t="shared" si="47"/>
        <v/>
      </c>
      <c r="AD191" s="93">
        <v>20</v>
      </c>
      <c r="AE191" s="90" t="str">
        <f t="shared" si="48"/>
        <v/>
      </c>
      <c r="AF191" s="92">
        <v>27</v>
      </c>
      <c r="AG191" s="89" t="str">
        <f t="shared" si="49"/>
        <v/>
      </c>
      <c r="AH191" s="93">
        <v>20</v>
      </c>
      <c r="AI191" s="90" t="str">
        <f t="shared" si="50"/>
        <v/>
      </c>
      <c r="AJ191" s="108">
        <f>IF(AND(OR(COUNTIF(D191:AI191,"=31")&gt;=1,COUNTIF(D191:AI191,"=32")&gt;=1,COUNTIF(D191:AI191,"=33")&gt;=1,COUNTIF(D191:AI191,"=34")&gt;=1,COUNTIF(D191:AI191,"=35")=1,COUNTIF(D191:AI191,"=36")&gt;=1 ),COUNTIF(D191:AI191,"")=0,COUNTIF(D191:AI191," ")=0,COUNTIF(D191:AI191,"F")=1),CONCATENATE(SUM(EXTRACTNUMBER(D191),EXTRACTNUMBER(F191),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EXTRACTNUMBER(AD191),EXTRACTNUMBER(AF191),EXTRACTNUMBER(AH191)),"*"),IF(AND(COUNTIF(D191:AI191,"=34")&gt;=1,COUNTIF(D191:AI191,"=35")&gt;=1,COUNTIF(D191:AI191,"f")=2,COUNTIF(D191:AI191,"")=0,COUNTIF(D191:AI191," ")=0),CONCATENATE(SUM(EXTRACTNUMBER(D191),EXTRACTNUMBER(F191),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EXTRACTNUMBER(AD191),EXTRACTNUMBER(AF191),EXTRACTNUMBER(AH191)),"*"),IF(AND(COUNTIF(D191:AI191,"=36")&gt;=2,COUNTIF(D191:AI191,"f")=2,COUNTIF(D191:AI191,"")=0,COUNTIF(D191:AI191," ")=0),CONCATENATE(SUM(EXTRACTNUMBER(D191),EXTRACTNUMBER(F191),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EXTRACTNUMBER(AD191),EXTRACTNUMBER(AF191),EXTRACTNUMBER(AH191)),"*"),SUM(EXTRACTNUMBER(D191),EXTRACTNUMBER(F191),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EXTRACTNUMBER(AD191),EXTRACTNUMBER(AF191),EXTRACTNUMBER(AH191)))))</f>
        <v>490</v>
      </c>
      <c r="AK191" s="24" t="str">
        <f t="shared" si="51"/>
        <v>PASS</v>
      </c>
      <c r="AL191" s="25" t="str">
        <f>SPELLNUMBER(extractnumber_tot(AJ191))</f>
        <v xml:space="preserve">Four Hundred Ninety </v>
      </c>
    </row>
    <row r="192" spans="2:38" s="22" customFormat="1" ht="15.95" customHeight="1">
      <c r="B192" s="104" t="s">
        <v>630</v>
      </c>
      <c r="C192" s="99" t="s">
        <v>631</v>
      </c>
      <c r="D192" s="95">
        <v>40</v>
      </c>
      <c r="E192" s="89" t="str">
        <f t="shared" si="36"/>
        <v>E</v>
      </c>
      <c r="F192" s="93">
        <v>20</v>
      </c>
      <c r="G192" s="89" t="str">
        <f t="shared" si="37"/>
        <v>E</v>
      </c>
      <c r="H192" s="94">
        <v>37</v>
      </c>
      <c r="I192" s="90" t="str">
        <f t="shared" si="38"/>
        <v>E</v>
      </c>
      <c r="J192" s="95">
        <v>32</v>
      </c>
      <c r="K192" s="90" t="str">
        <f t="shared" si="39"/>
        <v>F</v>
      </c>
      <c r="L192" s="93">
        <v>20</v>
      </c>
      <c r="M192" s="90" t="str">
        <f t="shared" si="35"/>
        <v>E</v>
      </c>
      <c r="N192" s="94">
        <v>40</v>
      </c>
      <c r="O192" s="90" t="str">
        <f t="shared" si="40"/>
        <v>E</v>
      </c>
      <c r="P192" s="95">
        <v>20</v>
      </c>
      <c r="Q192" s="90" t="str">
        <f t="shared" si="41"/>
        <v>F</v>
      </c>
      <c r="R192" s="93">
        <v>20</v>
      </c>
      <c r="S192" s="90" t="str">
        <f t="shared" si="42"/>
        <v>E</v>
      </c>
      <c r="T192" s="94">
        <v>20</v>
      </c>
      <c r="U192" s="90" t="str">
        <f t="shared" si="43"/>
        <v>E</v>
      </c>
      <c r="V192" s="95">
        <v>19</v>
      </c>
      <c r="W192" s="90" t="str">
        <f t="shared" si="44"/>
        <v>F</v>
      </c>
      <c r="X192" s="93">
        <v>23</v>
      </c>
      <c r="Y192" s="90" t="str">
        <f t="shared" si="45"/>
        <v>E</v>
      </c>
      <c r="Z192" s="95">
        <v>19</v>
      </c>
      <c r="AA192" s="90" t="str">
        <f t="shared" si="46"/>
        <v>F</v>
      </c>
      <c r="AB192" s="93">
        <v>20</v>
      </c>
      <c r="AC192" s="90" t="str">
        <f t="shared" si="47"/>
        <v>E</v>
      </c>
      <c r="AD192" s="93">
        <v>20</v>
      </c>
      <c r="AE192" s="90" t="str">
        <f t="shared" si="48"/>
        <v>E</v>
      </c>
      <c r="AF192" s="92">
        <v>20</v>
      </c>
      <c r="AG192" s="89" t="str">
        <f t="shared" si="49"/>
        <v>E</v>
      </c>
      <c r="AH192" s="93">
        <v>18</v>
      </c>
      <c r="AI192" s="90" t="str">
        <f t="shared" si="50"/>
        <v>E</v>
      </c>
      <c r="AJ192" s="108">
        <f>IF(AND(OR(COUNTIF(D192:AI192,"=31")&gt;=1,COUNTIF(D192:AI192,"=32")&gt;=1,COUNTIF(D192:AI192,"=33")&gt;=1,COUNTIF(D192:AI192,"=34")&gt;=1,COUNTIF(D192:AI192,"=35")=1,COUNTIF(D192:AI192,"=36")&gt;=1 ),COUNTIF(D192:AI192,"")=0,COUNTIF(D192:AI192," ")=0,COUNTIF(D192:AI192,"F")=1),CONCATENATE(SUM(EXTRACTNUMBER(D192),EXTRACTNUMBER(F192),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EXTRACTNUMBER(AD192),EXTRACTNUMBER(AF192),EXTRACTNUMBER(AH192)),"*"),IF(AND(COUNTIF(D192:AI192,"=34")&gt;=1,COUNTIF(D192:AI192,"=35")&gt;=1,COUNTIF(D192:AI192,"f")=2,COUNTIF(D192:AI192,"")=0,COUNTIF(D192:AI192," ")=0),CONCATENATE(SUM(EXTRACTNUMBER(D192),EXTRACTNUMBER(F192),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EXTRACTNUMBER(AD192),EXTRACTNUMBER(AF192),EXTRACTNUMBER(AH192)),"*"),IF(AND(COUNTIF(D192:AI192,"=36")&gt;=2,COUNTIF(D192:AI192,"f")=2,COUNTIF(D192:AI192,"")=0,COUNTIF(D192:AI192," ")=0),CONCATENATE(SUM(EXTRACTNUMBER(D192),EXTRACTNUMBER(F192),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EXTRACTNUMBER(AD192),EXTRACTNUMBER(AF192),EXTRACTNUMBER(AH192)),"*"),SUM(EXTRACTNUMBER(D192),EXTRACTNUMBER(F192),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EXTRACTNUMBER(AD192),EXTRACTNUMBER(AF192),EXTRACTNUMBER(AH192)))))</f>
        <v>388</v>
      </c>
      <c r="AK192" s="24" t="str">
        <f t="shared" si="51"/>
        <v>FAIL</v>
      </c>
      <c r="AL192" s="25" t="str">
        <f>SPELLNUMBER(extractnumber_tot(AJ192))</f>
        <v xml:space="preserve">Three Hundred Eighty Eight </v>
      </c>
    </row>
    <row r="193" spans="2:38" s="22" customFormat="1" ht="15.95" customHeight="1">
      <c r="B193" s="104" t="s">
        <v>632</v>
      </c>
      <c r="C193" s="99" t="s">
        <v>633</v>
      </c>
      <c r="D193" s="95">
        <v>40</v>
      </c>
      <c r="E193" s="89" t="str">
        <f t="shared" si="36"/>
        <v>E</v>
      </c>
      <c r="F193" s="93">
        <v>20</v>
      </c>
      <c r="G193" s="89" t="str">
        <f t="shared" si="37"/>
        <v>E</v>
      </c>
      <c r="H193" s="94">
        <v>40</v>
      </c>
      <c r="I193" s="90" t="str">
        <f t="shared" si="38"/>
        <v>E</v>
      </c>
      <c r="J193" s="95">
        <v>47</v>
      </c>
      <c r="K193" s="90" t="str">
        <f t="shared" si="39"/>
        <v>E</v>
      </c>
      <c r="L193" s="93">
        <v>19</v>
      </c>
      <c r="M193" s="90" t="str">
        <f t="shared" si="35"/>
        <v>E</v>
      </c>
      <c r="N193" s="94">
        <v>37</v>
      </c>
      <c r="O193" s="90" t="str">
        <f t="shared" si="40"/>
        <v>E</v>
      </c>
      <c r="P193" s="95" t="s">
        <v>75</v>
      </c>
      <c r="Q193" s="90" t="str">
        <f t="shared" si="41"/>
        <v/>
      </c>
      <c r="R193" s="93">
        <v>20</v>
      </c>
      <c r="S193" s="90" t="str">
        <f t="shared" si="42"/>
        <v>E</v>
      </c>
      <c r="T193" s="94">
        <v>20</v>
      </c>
      <c r="U193" s="90" t="str">
        <f t="shared" si="43"/>
        <v>E</v>
      </c>
      <c r="V193" s="95">
        <v>21</v>
      </c>
      <c r="W193" s="90" t="str">
        <f t="shared" si="44"/>
        <v>F</v>
      </c>
      <c r="X193" s="93">
        <v>17</v>
      </c>
      <c r="Y193" s="90" t="str">
        <f t="shared" si="45"/>
        <v>E</v>
      </c>
      <c r="Z193" s="95">
        <v>40</v>
      </c>
      <c r="AA193" s="90" t="str">
        <f t="shared" si="46"/>
        <v>E</v>
      </c>
      <c r="AB193" s="93">
        <v>20</v>
      </c>
      <c r="AC193" s="90" t="str">
        <f t="shared" si="47"/>
        <v>E</v>
      </c>
      <c r="AD193" s="93">
        <v>20</v>
      </c>
      <c r="AE193" s="90" t="str">
        <f t="shared" si="48"/>
        <v>E</v>
      </c>
      <c r="AF193" s="92">
        <v>24</v>
      </c>
      <c r="AG193" s="89" t="str">
        <f t="shared" si="49"/>
        <v>E</v>
      </c>
      <c r="AH193" s="93">
        <v>18</v>
      </c>
      <c r="AI193" s="90" t="str">
        <f t="shared" si="50"/>
        <v>E</v>
      </c>
      <c r="AJ193" s="108">
        <f>IF(AND(OR(COUNTIF(D193:AI193,"=31")&gt;=1,COUNTIF(D193:AI193,"=32")&gt;=1,COUNTIF(D193:AI193,"=33")&gt;=1,COUNTIF(D193:AI193,"=34")&gt;=1,COUNTIF(D193:AI193,"=35")=1,COUNTIF(D193:AI193,"=36")&gt;=1 ),COUNTIF(D193:AI193,"")=0,COUNTIF(D193:AI193," ")=0,COUNTIF(D193:AI193,"F")=1),CONCATENATE(SUM(EXTRACTNUMBER(D193),EXTRACTNUMBER(F193),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EXTRACTNUMBER(AD193),EXTRACTNUMBER(AF193),EXTRACTNUMBER(AH193)),"*"),IF(AND(COUNTIF(D193:AI193,"=34")&gt;=1,COUNTIF(D193:AI193,"=35")&gt;=1,COUNTIF(D193:AI193,"f")=2,COUNTIF(D193:AI193,"")=0,COUNTIF(D193:AI193," ")=0),CONCATENATE(SUM(EXTRACTNUMBER(D193),EXTRACTNUMBER(F193),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EXTRACTNUMBER(AD193),EXTRACTNUMBER(AF193),EXTRACTNUMBER(AH193)),"*"),IF(AND(COUNTIF(D193:AI193,"=36")&gt;=2,COUNTIF(D193:AI193,"f")=2,COUNTIF(D193:AI193,"")=0,COUNTIF(D193:AI193," ")=0),CONCATENATE(SUM(EXTRACTNUMBER(D193),EXTRACTNUMBER(F193),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EXTRACTNUMBER(AD193),EXTRACTNUMBER(AF193),EXTRACTNUMBER(AH193)),"*"),SUM(EXTRACTNUMBER(D193),EXTRACTNUMBER(F193),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EXTRACTNUMBER(AD193),EXTRACTNUMBER(AF193),EXTRACTNUMBER(AH193)))))</f>
        <v>403</v>
      </c>
      <c r="AK193" s="24" t="str">
        <f t="shared" si="51"/>
        <v>FAIL</v>
      </c>
      <c r="AL193" s="25" t="str">
        <f>SPELLNUMBER(extractnumber_tot(AJ193))</f>
        <v xml:space="preserve">Four Hundred Three </v>
      </c>
    </row>
    <row r="194" spans="2:38">
      <c r="D194" s="21"/>
    </row>
    <row r="195" spans="2:38" ht="17.25">
      <c r="D195" s="21"/>
      <c r="AB195" s="44" t="s">
        <v>83</v>
      </c>
      <c r="AD195" s="46"/>
      <c r="AF195" s="47"/>
      <c r="AG195" s="56"/>
      <c r="AH195" s="47"/>
      <c r="AI195" s="56"/>
      <c r="AJ195" s="18"/>
      <c r="AK195" s="19">
        <f>COUNTIF(AK25:AK193,"PASS")+COUNTIF(AK25:AK193,"FAIL")</f>
        <v>168</v>
      </c>
      <c r="AL195" s="17">
        <f>COUNTIF(AK25:AK193,"ABSENT")</f>
        <v>1</v>
      </c>
    </row>
    <row r="196" spans="2:38" ht="17.25">
      <c r="AB196" s="44" t="s">
        <v>84</v>
      </c>
      <c r="AD196" s="46"/>
      <c r="AF196" s="47"/>
      <c r="AG196" s="56"/>
      <c r="AH196" s="47"/>
      <c r="AI196" s="56"/>
      <c r="AJ196" s="18"/>
      <c r="AK196" s="19">
        <f>COUNTIF(AK25:AK193,"PASS")</f>
        <v>103</v>
      </c>
      <c r="AL196" s="17">
        <f>COUNTIF(AK25:AK193,"FAIL")</f>
        <v>65</v>
      </c>
    </row>
    <row r="197" spans="2:38" ht="17.25">
      <c r="AB197" s="44" t="s">
        <v>85</v>
      </c>
      <c r="AD197" s="46"/>
      <c r="AF197" s="47"/>
      <c r="AG197" s="56"/>
      <c r="AH197" s="47"/>
      <c r="AI197" s="56"/>
      <c r="AJ197" s="18"/>
      <c r="AK197" s="20">
        <f>AK196/AK195</f>
        <v>0.61309523809523814</v>
      </c>
      <c r="AL197" s="17">
        <f>8+47+137</f>
        <v>192</v>
      </c>
    </row>
    <row r="198" spans="2:38">
      <c r="AL198" s="1">
        <f>192-184</f>
        <v>8</v>
      </c>
    </row>
    <row r="199" spans="2:38">
      <c r="C199" s="1">
        <f>216-25</f>
        <v>191</v>
      </c>
    </row>
  </sheetData>
  <mergeCells count="60">
    <mergeCell ref="B21:B24"/>
    <mergeCell ref="C21:C22"/>
    <mergeCell ref="AM21:AM24"/>
    <mergeCell ref="D22:E22"/>
    <mergeCell ref="F22:G22"/>
    <mergeCell ref="H22:I22"/>
    <mergeCell ref="J22:K22"/>
    <mergeCell ref="L22:M22"/>
    <mergeCell ref="N22:O22"/>
    <mergeCell ref="P22:Q22"/>
    <mergeCell ref="R22:S22"/>
    <mergeCell ref="D21:I21"/>
    <mergeCell ref="J21:O21"/>
    <mergeCell ref="P21:U21"/>
    <mergeCell ref="V21:Y21"/>
    <mergeCell ref="Z21:AE21"/>
    <mergeCell ref="AF21:AI21"/>
    <mergeCell ref="T22:U22"/>
    <mergeCell ref="AL22:AL24"/>
    <mergeCell ref="D23:E23"/>
    <mergeCell ref="F23:G23"/>
    <mergeCell ref="H23:I23"/>
    <mergeCell ref="J23:K23"/>
    <mergeCell ref="L23:M23"/>
    <mergeCell ref="N23:O23"/>
    <mergeCell ref="AK21:AK24"/>
    <mergeCell ref="V22:W22"/>
    <mergeCell ref="P23:Q23"/>
    <mergeCell ref="R23:S23"/>
    <mergeCell ref="T23:U23"/>
    <mergeCell ref="V23:W23"/>
    <mergeCell ref="X22:Y22"/>
    <mergeCell ref="Z22:AA22"/>
    <mergeCell ref="AB22:AC22"/>
    <mergeCell ref="AF23:AG23"/>
    <mergeCell ref="AH23:AI23"/>
    <mergeCell ref="AF22:AG22"/>
    <mergeCell ref="AH22:AI22"/>
    <mergeCell ref="AD22:AE22"/>
    <mergeCell ref="AJ22:AJ24"/>
    <mergeCell ref="N24:O24"/>
    <mergeCell ref="X23:Y23"/>
    <mergeCell ref="Z23:AA23"/>
    <mergeCell ref="AB23:AC23"/>
    <mergeCell ref="AD23:AE23"/>
    <mergeCell ref="AB24:AC24"/>
    <mergeCell ref="AD24:AE24"/>
    <mergeCell ref="AF24:AG24"/>
    <mergeCell ref="AH24:AI24"/>
    <mergeCell ref="P24:Q24"/>
    <mergeCell ref="R24:S24"/>
    <mergeCell ref="T24:U24"/>
    <mergeCell ref="V24:W24"/>
    <mergeCell ref="X24:Y24"/>
    <mergeCell ref="Z24:AA24"/>
    <mergeCell ref="D24:E24"/>
    <mergeCell ref="F24:G24"/>
    <mergeCell ref="H24:I24"/>
    <mergeCell ref="J24:K24"/>
    <mergeCell ref="L24:M24"/>
  </mergeCells>
  <conditionalFormatting sqref="E21:E23 G21:G23 I21:I23 K21:K23 M21:M23 O21:O23 Q21:Q23 S21:S23 U21:U23 Y21:Y23 AA21:AA23 AC21:AC23 W21:W23 AI21:AI23 AG21:AG23 AE21:AE23 C16:C18 E16:E18 AC16:AC18 G17:G18 K16:K18 M16:M18 O17:O18 Q16:Q18 S16:S18 W16:W18 Y16:Y18 AA16:AA18 U16:U18 AG16:AG18 AE16:AE18 I17:I18 D1:D1048576 J1:J1048576 P1:P1048576 V1:V1048576 Z1:Z1048576 F1:F1048576 H1:H1048576 L1:L1048576 N1:N1048576 R1:R1048576 X1:X1048576 AB1:AB1048576 AF1:AF1048576 AH1:AH1048576 T1:T1048576 AD1:AD1048576">
    <cfRule type="cellIs" dxfId="47" priority="69" operator="equal">
      <formula>"AB"</formula>
    </cfRule>
  </conditionalFormatting>
  <conditionalFormatting sqref="E21:E23 K21:K23 Q21:Q23 AA21:AA23 W21:W23 C16:C18 U16:U18 O17:O18 Y16:Y18 I17:I18 AF4 D1:D1048576 J1:J1048576 P1:P1048576 V1:V1048576 Z1:Z1048576">
    <cfRule type="cellIs" dxfId="46" priority="68" operator="lessThan">
      <formula>40</formula>
    </cfRule>
  </conditionalFormatting>
  <conditionalFormatting sqref="G21:G23 AI21:AI23 AC21:AC23 Y21:Y23 U21:U23 S21:S23 M21:M23 AE21:AE23 E16:E18 AG16:AG18 AA16:AA18 W16:W18 S16:S18 Q16:Q18 K16:K18 AC16:AC18 F1:F1048576 L1:L1048576 R1:R1048576 X1:X1048576 AB1:AB1048576 AH1:AH1048576 T1:T1048576 AD1:AD1048576">
    <cfRule type="cellIs" dxfId="45" priority="67" operator="lessThan">
      <formula>10</formula>
    </cfRule>
  </conditionalFormatting>
  <conditionalFormatting sqref="AG21:AG23 I21:I23 O21:O23 AE16:AE18 M16:M18 G17:G18 H1:H1048576 N1:N1048576 AF1:AF1048576">
    <cfRule type="cellIs" dxfId="44" priority="66" operator="lessThan">
      <formula>20</formula>
    </cfRule>
  </conditionalFormatting>
  <conditionalFormatting sqref="AK1:AK1048576">
    <cfRule type="cellIs" dxfId="43" priority="54" operator="equal">
      <formula>"FAIL"</formula>
    </cfRule>
  </conditionalFormatting>
  <conditionalFormatting sqref="M1:M1048576 E1:E1048576 G1:G1048576 I1:I1048576 K1:K1048576 O1:O1048576 Q1:Q1048576 S1:S1048576 U1:U1048576 W1:W1048576 Y1:Y1048576 AA1:AA1048576 AC1:AC1048576 AE1:AE1048576 AG1:AG1048576 AI1:AI1048576">
    <cfRule type="cellIs" dxfId="42" priority="53" operator="equal">
      <formula>"F"</formula>
    </cfRule>
  </conditionalFormatting>
  <pageMargins left="1.5354330708661419" right="0.70866141732283472" top="1.86" bottom="2.37" header="0.70866141732283472" footer="0.6692913385826772"/>
  <pageSetup paperSize="8" orientation="landscape" r:id="rId1"/>
  <headerFooter>
    <oddHeader>&amp;C&amp;"-,Bold"&amp;16University of Mumbai
Atharva college of Engineering Malad(W),Mumbai -400095
Statement of Marks for T.Y.B.E Semester-V Nov/Dec 2013 Examination      Branch :- Computer Engineering</oddHeader>
    <oddFooter>&amp;L           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8"/>
  <sheetViews>
    <sheetView workbookViewId="0">
      <selection activeCell="G18" sqref="G18"/>
    </sheetView>
  </sheetViews>
  <sheetFormatPr defaultRowHeight="15.75"/>
  <cols>
    <col min="1" max="1" width="4.85546875" style="66" customWidth="1"/>
    <col min="2" max="3" width="20.28515625" style="66" customWidth="1"/>
    <col min="4" max="4" width="20.42578125" style="66" customWidth="1"/>
    <col min="5" max="5" width="9.85546875" style="66" customWidth="1"/>
    <col min="6" max="6" width="8.7109375" style="66" customWidth="1"/>
    <col min="7" max="7" width="9.140625" style="66"/>
    <col min="8" max="8" width="10.28515625" style="66" customWidth="1"/>
    <col min="9" max="9" width="11.28515625" style="66" customWidth="1"/>
    <col min="10" max="10" width="10.42578125" style="66" customWidth="1"/>
    <col min="11" max="16384" width="9.140625" style="66"/>
  </cols>
  <sheetData>
    <row r="1" spans="1:12" s="59" customFormat="1">
      <c r="A1" s="59" t="s">
        <v>639</v>
      </c>
    </row>
    <row r="2" spans="1:12" s="59" customFormat="1">
      <c r="A2" s="59" t="s">
        <v>640</v>
      </c>
    </row>
    <row r="3" spans="1:12" s="59" customFormat="1"/>
    <row r="4" spans="1:12" s="59" customFormat="1">
      <c r="A4" s="59" t="s">
        <v>86</v>
      </c>
    </row>
    <row r="5" spans="1:12" s="59" customFormat="1"/>
    <row r="6" spans="1:12" s="73" customFormat="1" ht="75" customHeight="1">
      <c r="A6" s="72" t="s">
        <v>87</v>
      </c>
      <c r="B6" s="72" t="s">
        <v>88</v>
      </c>
      <c r="C6" s="72" t="s">
        <v>89</v>
      </c>
      <c r="D6" s="72" t="s">
        <v>106</v>
      </c>
      <c r="E6" s="72" t="s">
        <v>90</v>
      </c>
      <c r="F6" s="72" t="s">
        <v>91</v>
      </c>
      <c r="G6" s="72" t="s">
        <v>92</v>
      </c>
      <c r="H6" s="72" t="s">
        <v>107</v>
      </c>
      <c r="I6" s="72" t="s">
        <v>108</v>
      </c>
      <c r="J6" s="72" t="s">
        <v>93</v>
      </c>
    </row>
    <row r="7" spans="1:12" ht="34.5" customHeight="1">
      <c r="A7" s="60">
        <v>1</v>
      </c>
      <c r="B7" s="61" t="s">
        <v>98</v>
      </c>
      <c r="C7" s="62" t="s">
        <v>641</v>
      </c>
      <c r="D7" s="63" t="s">
        <v>104</v>
      </c>
      <c r="E7" s="63">
        <f>GAZET!D4</f>
        <v>157</v>
      </c>
      <c r="F7" s="63">
        <f>GAZET!D6</f>
        <v>149</v>
      </c>
      <c r="G7" s="64">
        <f>F7/E7</f>
        <v>0.94904458598726116</v>
      </c>
      <c r="H7" s="65">
        <f>GAZET!D10</f>
        <v>94</v>
      </c>
      <c r="I7" s="65">
        <f>F7-H7</f>
        <v>55</v>
      </c>
      <c r="J7" s="65" t="s">
        <v>94</v>
      </c>
      <c r="L7" s="67"/>
    </row>
    <row r="8" spans="1:12" ht="33.75" customHeight="1">
      <c r="A8" s="60">
        <v>2</v>
      </c>
      <c r="B8" s="61" t="s">
        <v>99</v>
      </c>
      <c r="C8" s="63" t="s">
        <v>642</v>
      </c>
      <c r="D8" s="63" t="s">
        <v>643</v>
      </c>
      <c r="E8" s="65">
        <f>GAZET!J4</f>
        <v>157</v>
      </c>
      <c r="F8" s="65">
        <f>GAZET!J6</f>
        <v>149</v>
      </c>
      <c r="G8" s="64">
        <f t="shared" ref="G8:G12" si="0">F8/E8</f>
        <v>0.94904458598726116</v>
      </c>
      <c r="H8" s="65">
        <f>GAZET!J10</f>
        <v>135</v>
      </c>
      <c r="I8" s="65">
        <f t="shared" ref="I8:I11" si="1">F8-H8</f>
        <v>14</v>
      </c>
      <c r="J8" s="65" t="s">
        <v>94</v>
      </c>
    </row>
    <row r="9" spans="1:12" ht="33" customHeight="1">
      <c r="A9" s="60">
        <v>3</v>
      </c>
      <c r="B9" s="61" t="s">
        <v>100</v>
      </c>
      <c r="C9" s="63" t="s">
        <v>644</v>
      </c>
      <c r="D9" s="63" t="s">
        <v>645</v>
      </c>
      <c r="E9" s="65">
        <f>GAZET!P4</f>
        <v>158</v>
      </c>
      <c r="F9" s="65">
        <f>GAZET!P6</f>
        <v>122</v>
      </c>
      <c r="G9" s="64">
        <f t="shared" si="0"/>
        <v>0.77215189873417722</v>
      </c>
      <c r="H9" s="65">
        <f>GAZET!P10</f>
        <v>115</v>
      </c>
      <c r="I9" s="65">
        <f t="shared" si="1"/>
        <v>7</v>
      </c>
      <c r="J9" s="65" t="s">
        <v>94</v>
      </c>
    </row>
    <row r="10" spans="1:12" ht="32.25" customHeight="1">
      <c r="A10" s="60">
        <v>4</v>
      </c>
      <c r="B10" s="61" t="s">
        <v>101</v>
      </c>
      <c r="C10" s="63" t="s">
        <v>646</v>
      </c>
      <c r="D10" s="63" t="s">
        <v>350</v>
      </c>
      <c r="E10" s="65">
        <f>GAZET!V4</f>
        <v>157</v>
      </c>
      <c r="F10" s="65">
        <f>GAZET!V6</f>
        <v>114</v>
      </c>
      <c r="G10" s="64">
        <f t="shared" si="0"/>
        <v>0.72611464968152861</v>
      </c>
      <c r="H10" s="65">
        <f>GAZET!V10</f>
        <v>92</v>
      </c>
      <c r="I10" s="65">
        <f t="shared" si="1"/>
        <v>22</v>
      </c>
      <c r="J10" s="65" t="s">
        <v>94</v>
      </c>
    </row>
    <row r="11" spans="1:12" ht="36.75" customHeight="1">
      <c r="A11" s="60">
        <v>5</v>
      </c>
      <c r="B11" s="61" t="s">
        <v>102</v>
      </c>
      <c r="C11" s="63" t="s">
        <v>105</v>
      </c>
      <c r="D11" s="63" t="s">
        <v>104</v>
      </c>
      <c r="E11" s="65">
        <f>GAZET!Z4</f>
        <v>153</v>
      </c>
      <c r="F11" s="65">
        <f>GAZET!Z6</f>
        <v>137</v>
      </c>
      <c r="G11" s="64">
        <f t="shared" si="0"/>
        <v>0.89542483660130723</v>
      </c>
      <c r="H11" s="65">
        <f>GAZET!Z10</f>
        <v>102</v>
      </c>
      <c r="I11" s="65">
        <f t="shared" si="1"/>
        <v>35</v>
      </c>
      <c r="J11" s="65" t="s">
        <v>94</v>
      </c>
    </row>
    <row r="12" spans="1:12" ht="62.25" customHeight="1">
      <c r="A12" s="60">
        <v>6</v>
      </c>
      <c r="B12" s="68" t="s">
        <v>103</v>
      </c>
      <c r="C12" s="63" t="s">
        <v>647</v>
      </c>
      <c r="D12" s="63" t="s">
        <v>648</v>
      </c>
      <c r="E12" s="65">
        <f>GAZET!AF4</f>
        <v>155</v>
      </c>
      <c r="F12" s="65">
        <f>GAZET!AF6</f>
        <v>154</v>
      </c>
      <c r="G12" s="64">
        <f t="shared" si="0"/>
        <v>0.99354838709677418</v>
      </c>
      <c r="H12" s="65" t="s">
        <v>650</v>
      </c>
      <c r="I12" s="65" t="s">
        <v>649</v>
      </c>
      <c r="J12" s="65">
        <v>2</v>
      </c>
    </row>
    <row r="14" spans="1:12">
      <c r="B14" s="66" t="s">
        <v>95</v>
      </c>
      <c r="D14" s="69">
        <f>GAZET!AK195</f>
        <v>168</v>
      </c>
    </row>
    <row r="15" spans="1:12">
      <c r="B15" s="66" t="s">
        <v>96</v>
      </c>
      <c r="D15" s="69">
        <f>GAZET!AK196</f>
        <v>103</v>
      </c>
    </row>
    <row r="16" spans="1:12">
      <c r="B16" s="66" t="s">
        <v>97</v>
      </c>
      <c r="D16" s="70">
        <f>GAZET!AK197</f>
        <v>0.61309523809523814</v>
      </c>
    </row>
    <row r="17" spans="2:7">
      <c r="B17" s="59" t="s">
        <v>348</v>
      </c>
      <c r="C17" s="59"/>
      <c r="D17" s="59" t="s">
        <v>347</v>
      </c>
      <c r="E17" s="59"/>
    </row>
    <row r="18" spans="2:7">
      <c r="B18" s="66" t="s">
        <v>349</v>
      </c>
      <c r="D18" s="71">
        <v>41663</v>
      </c>
      <c r="G18" s="66" t="s">
        <v>661</v>
      </c>
    </row>
  </sheetData>
  <pageMargins left="1.1200000000000001" right="0.70866141732283505" top="0.82" bottom="0.74803149606299202" header="0.41" footer="0.31496062992126"/>
  <pageSetup paperSize="9" orientation="landscape" horizontalDpi="300" verticalDpi="300" r:id="rId1"/>
  <headerFooter>
    <oddHeader>&amp;C&amp;UUNIVERSITY OF MUMBAI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K194"/>
  <sheetViews>
    <sheetView tabSelected="1" topLeftCell="C169" workbookViewId="0">
      <selection activeCell="AK194" sqref="AK194"/>
    </sheetView>
  </sheetViews>
  <sheetFormatPr defaultColWidth="3.7109375" defaultRowHeight="15" customHeight="1"/>
  <cols>
    <col min="1" max="1" width="10.140625" customWidth="1"/>
    <col min="2" max="2" width="39.7109375" customWidth="1"/>
    <col min="21" max="21" width="4.28515625" customWidth="1"/>
    <col min="35" max="35" width="5.85546875" customWidth="1"/>
    <col min="36" max="36" width="13.85546875" customWidth="1"/>
    <col min="37" max="37" width="24.5703125" customWidth="1"/>
  </cols>
  <sheetData>
    <row r="1" spans="1:37" ht="15" customHeight="1">
      <c r="A1" t="s">
        <v>132</v>
      </c>
      <c r="B1" t="s">
        <v>133</v>
      </c>
      <c r="C1" t="s">
        <v>134</v>
      </c>
      <c r="E1" t="s">
        <v>135</v>
      </c>
      <c r="G1" t="s">
        <v>136</v>
      </c>
      <c r="I1" t="s">
        <v>137</v>
      </c>
      <c r="K1" t="s">
        <v>138</v>
      </c>
      <c r="M1" t="s">
        <v>139</v>
      </c>
      <c r="O1" t="s">
        <v>140</v>
      </c>
      <c r="Q1" t="s">
        <v>141</v>
      </c>
      <c r="S1" t="s">
        <v>142</v>
      </c>
      <c r="U1" t="s">
        <v>143</v>
      </c>
      <c r="W1" t="s">
        <v>144</v>
      </c>
      <c r="Y1" t="s">
        <v>145</v>
      </c>
      <c r="AA1" t="s">
        <v>146</v>
      </c>
      <c r="AC1" t="s">
        <v>147</v>
      </c>
      <c r="AE1" t="s">
        <v>148</v>
      </c>
      <c r="AG1" t="s">
        <v>149</v>
      </c>
      <c r="AI1" t="s">
        <v>150</v>
      </c>
      <c r="AJ1" t="s">
        <v>7</v>
      </c>
      <c r="AK1" t="s">
        <v>151</v>
      </c>
    </row>
    <row r="2" spans="1:37" ht="15" customHeight="1">
      <c r="A2" s="84">
        <v>225201</v>
      </c>
      <c r="B2" s="30" t="s">
        <v>152</v>
      </c>
      <c r="C2" s="74">
        <v>59</v>
      </c>
      <c r="D2" s="75" t="s">
        <v>114</v>
      </c>
      <c r="E2" s="76">
        <v>23</v>
      </c>
      <c r="F2" s="75" t="s">
        <v>114</v>
      </c>
      <c r="G2" s="76">
        <v>41</v>
      </c>
      <c r="H2" s="77" t="s">
        <v>114</v>
      </c>
      <c r="I2" s="78">
        <v>64</v>
      </c>
      <c r="J2" s="75" t="s">
        <v>114</v>
      </c>
      <c r="K2" s="76">
        <v>23</v>
      </c>
      <c r="L2" s="75" t="s">
        <v>114</v>
      </c>
      <c r="M2" s="76">
        <v>42</v>
      </c>
      <c r="N2" s="75" t="s">
        <v>114</v>
      </c>
      <c r="O2" s="79">
        <v>40</v>
      </c>
      <c r="P2" s="75" t="s">
        <v>114</v>
      </c>
      <c r="Q2" s="76">
        <v>23</v>
      </c>
      <c r="R2" s="75" t="s">
        <v>114</v>
      </c>
      <c r="S2" s="76">
        <v>21</v>
      </c>
      <c r="T2" s="75" t="s">
        <v>114</v>
      </c>
      <c r="U2" s="79">
        <v>50</v>
      </c>
      <c r="V2" s="75" t="s">
        <v>114</v>
      </c>
      <c r="W2" s="76">
        <v>23</v>
      </c>
      <c r="X2" s="77" t="s">
        <v>114</v>
      </c>
      <c r="Y2" s="80">
        <v>56</v>
      </c>
      <c r="Z2" s="75" t="s">
        <v>114</v>
      </c>
      <c r="AA2" s="76">
        <v>23</v>
      </c>
      <c r="AB2" s="75" t="s">
        <v>114</v>
      </c>
      <c r="AC2" s="76">
        <v>22</v>
      </c>
      <c r="AD2" s="75" t="s">
        <v>114</v>
      </c>
      <c r="AE2" s="79">
        <v>24</v>
      </c>
      <c r="AF2" s="75" t="s">
        <v>114</v>
      </c>
      <c r="AG2" s="76">
        <v>23</v>
      </c>
      <c r="AH2" s="77" t="s">
        <v>114</v>
      </c>
      <c r="AI2" s="81">
        <v>557</v>
      </c>
      <c r="AJ2" s="24" t="s">
        <v>117</v>
      </c>
      <c r="AK2" s="25" t="s">
        <v>351</v>
      </c>
    </row>
    <row r="3" spans="1:37" ht="15" customHeight="1">
      <c r="A3" s="84">
        <v>225202</v>
      </c>
      <c r="B3" s="30" t="s">
        <v>153</v>
      </c>
      <c r="C3" s="74">
        <v>40</v>
      </c>
      <c r="D3" s="75" t="s">
        <v>113</v>
      </c>
      <c r="E3" s="76">
        <v>20</v>
      </c>
      <c r="F3" s="77" t="s">
        <v>113</v>
      </c>
      <c r="G3" s="76">
        <v>41</v>
      </c>
      <c r="H3" s="77" t="s">
        <v>113</v>
      </c>
      <c r="I3" s="78">
        <v>58</v>
      </c>
      <c r="J3" s="77" t="s">
        <v>113</v>
      </c>
      <c r="K3" s="76">
        <v>23</v>
      </c>
      <c r="L3" s="77" t="s">
        <v>113</v>
      </c>
      <c r="M3" s="76">
        <v>38</v>
      </c>
      <c r="N3" s="77" t="s">
        <v>113</v>
      </c>
      <c r="O3" s="79">
        <v>44</v>
      </c>
      <c r="P3" s="77" t="s">
        <v>113</v>
      </c>
      <c r="Q3" s="76">
        <v>20</v>
      </c>
      <c r="R3" s="77" t="s">
        <v>113</v>
      </c>
      <c r="S3" s="76">
        <v>21</v>
      </c>
      <c r="T3" s="77" t="s">
        <v>113</v>
      </c>
      <c r="U3" s="79" t="s">
        <v>464</v>
      </c>
      <c r="V3" s="77" t="s">
        <v>110</v>
      </c>
      <c r="W3" s="76">
        <v>20</v>
      </c>
      <c r="X3" s="75" t="s">
        <v>113</v>
      </c>
      <c r="Y3" s="79" t="s">
        <v>466</v>
      </c>
      <c r="Z3" s="77" t="s">
        <v>110</v>
      </c>
      <c r="AA3" s="76">
        <v>23</v>
      </c>
      <c r="AB3" s="77" t="s">
        <v>113</v>
      </c>
      <c r="AC3" s="76">
        <v>20</v>
      </c>
      <c r="AD3" s="77" t="s">
        <v>113</v>
      </c>
      <c r="AE3" s="79">
        <v>27</v>
      </c>
      <c r="AF3" s="77" t="s">
        <v>113</v>
      </c>
      <c r="AG3" s="76">
        <v>23</v>
      </c>
      <c r="AH3" s="77" t="s">
        <v>113</v>
      </c>
      <c r="AI3" s="81">
        <v>422</v>
      </c>
      <c r="AJ3" s="24" t="s">
        <v>111</v>
      </c>
      <c r="AK3" s="25" t="s">
        <v>352</v>
      </c>
    </row>
    <row r="4" spans="1:37" ht="15" customHeight="1">
      <c r="A4" s="84">
        <v>225203</v>
      </c>
      <c r="B4" s="30" t="s">
        <v>154</v>
      </c>
      <c r="C4" s="74">
        <v>46</v>
      </c>
      <c r="D4" s="75" t="s">
        <v>114</v>
      </c>
      <c r="E4" s="76">
        <v>19</v>
      </c>
      <c r="F4" s="77" t="s">
        <v>114</v>
      </c>
      <c r="G4" s="76">
        <v>41</v>
      </c>
      <c r="H4" s="77" t="s">
        <v>114</v>
      </c>
      <c r="I4" s="78">
        <v>58</v>
      </c>
      <c r="J4" s="77" t="s">
        <v>114</v>
      </c>
      <c r="K4" s="76">
        <v>22</v>
      </c>
      <c r="L4" s="77" t="s">
        <v>114</v>
      </c>
      <c r="M4" s="76">
        <v>44</v>
      </c>
      <c r="N4" s="77" t="s">
        <v>114</v>
      </c>
      <c r="O4" s="79">
        <v>40</v>
      </c>
      <c r="P4" s="77" t="s">
        <v>114</v>
      </c>
      <c r="Q4" s="76">
        <v>19</v>
      </c>
      <c r="R4" s="77" t="s">
        <v>114</v>
      </c>
      <c r="S4" s="76">
        <v>21</v>
      </c>
      <c r="T4" s="77" t="s">
        <v>114</v>
      </c>
      <c r="U4" s="79">
        <v>40</v>
      </c>
      <c r="V4" s="77" t="s">
        <v>114</v>
      </c>
      <c r="W4" s="76">
        <v>19</v>
      </c>
      <c r="X4" s="77" t="s">
        <v>114</v>
      </c>
      <c r="Y4" s="79">
        <v>48</v>
      </c>
      <c r="Z4" s="77" t="s">
        <v>114</v>
      </c>
      <c r="AA4" s="76">
        <v>22</v>
      </c>
      <c r="AB4" s="77" t="s">
        <v>114</v>
      </c>
      <c r="AC4" s="76">
        <v>17</v>
      </c>
      <c r="AD4" s="77" t="s">
        <v>114</v>
      </c>
      <c r="AE4" s="79">
        <v>24</v>
      </c>
      <c r="AF4" s="77" t="s">
        <v>114</v>
      </c>
      <c r="AG4" s="76">
        <v>18</v>
      </c>
      <c r="AH4" s="77" t="s">
        <v>114</v>
      </c>
      <c r="AI4" s="81">
        <v>498</v>
      </c>
      <c r="AJ4" s="24" t="s">
        <v>117</v>
      </c>
      <c r="AK4" s="25" t="s">
        <v>353</v>
      </c>
    </row>
    <row r="5" spans="1:37" ht="15" customHeight="1">
      <c r="A5" s="84">
        <v>225204</v>
      </c>
      <c r="B5" s="30" t="s">
        <v>155</v>
      </c>
      <c r="C5" s="74">
        <v>46</v>
      </c>
      <c r="D5" s="75" t="s">
        <v>114</v>
      </c>
      <c r="E5" s="76">
        <v>18</v>
      </c>
      <c r="F5" s="77" t="s">
        <v>114</v>
      </c>
      <c r="G5" s="76">
        <v>39</v>
      </c>
      <c r="H5" s="77" t="s">
        <v>114</v>
      </c>
      <c r="I5" s="78">
        <v>61</v>
      </c>
      <c r="J5" s="77" t="s">
        <v>114</v>
      </c>
      <c r="K5" s="76">
        <v>22</v>
      </c>
      <c r="L5" s="77" t="s">
        <v>114</v>
      </c>
      <c r="M5" s="76">
        <v>42</v>
      </c>
      <c r="N5" s="77" t="s">
        <v>114</v>
      </c>
      <c r="O5" s="79">
        <v>40</v>
      </c>
      <c r="P5" s="77" t="s">
        <v>114</v>
      </c>
      <c r="Q5" s="76">
        <v>18</v>
      </c>
      <c r="R5" s="77" t="s">
        <v>114</v>
      </c>
      <c r="S5" s="76">
        <v>20</v>
      </c>
      <c r="T5" s="77" t="s">
        <v>114</v>
      </c>
      <c r="U5" s="79">
        <v>41</v>
      </c>
      <c r="V5" s="77" t="s">
        <v>114</v>
      </c>
      <c r="W5" s="76">
        <v>16</v>
      </c>
      <c r="X5" s="77" t="s">
        <v>114</v>
      </c>
      <c r="Y5" s="79">
        <v>50</v>
      </c>
      <c r="Z5" s="77" t="s">
        <v>114</v>
      </c>
      <c r="AA5" s="76">
        <v>22</v>
      </c>
      <c r="AB5" s="77" t="s">
        <v>114</v>
      </c>
      <c r="AC5" s="76">
        <v>19</v>
      </c>
      <c r="AD5" s="77" t="s">
        <v>114</v>
      </c>
      <c r="AE5" s="79">
        <v>20</v>
      </c>
      <c r="AF5" s="77" t="s">
        <v>114</v>
      </c>
      <c r="AG5" s="76">
        <v>16</v>
      </c>
      <c r="AH5" s="77" t="s">
        <v>114</v>
      </c>
      <c r="AI5" s="81">
        <v>490</v>
      </c>
      <c r="AJ5" s="24" t="s">
        <v>117</v>
      </c>
      <c r="AK5" s="25" t="s">
        <v>112</v>
      </c>
    </row>
    <row r="6" spans="1:37" ht="15" customHeight="1">
      <c r="A6" s="84">
        <v>225205</v>
      </c>
      <c r="B6" s="30" t="s">
        <v>156</v>
      </c>
      <c r="C6" s="74">
        <v>71</v>
      </c>
      <c r="D6" s="75" t="s">
        <v>114</v>
      </c>
      <c r="E6" s="76">
        <v>24</v>
      </c>
      <c r="F6" s="77" t="s">
        <v>114</v>
      </c>
      <c r="G6" s="76">
        <v>42</v>
      </c>
      <c r="H6" s="77" t="s">
        <v>114</v>
      </c>
      <c r="I6" s="78">
        <v>85</v>
      </c>
      <c r="J6" s="77" t="s">
        <v>114</v>
      </c>
      <c r="K6" s="76">
        <v>21</v>
      </c>
      <c r="L6" s="77" t="s">
        <v>114</v>
      </c>
      <c r="M6" s="76">
        <v>40</v>
      </c>
      <c r="N6" s="77" t="s">
        <v>114</v>
      </c>
      <c r="O6" s="79">
        <v>75</v>
      </c>
      <c r="P6" s="77" t="s">
        <v>114</v>
      </c>
      <c r="Q6" s="76">
        <v>24</v>
      </c>
      <c r="R6" s="77" t="s">
        <v>114</v>
      </c>
      <c r="S6" s="76">
        <v>22</v>
      </c>
      <c r="T6" s="77" t="s">
        <v>114</v>
      </c>
      <c r="U6" s="79">
        <v>68</v>
      </c>
      <c r="V6" s="77" t="s">
        <v>114</v>
      </c>
      <c r="W6" s="76">
        <v>22</v>
      </c>
      <c r="X6" s="77" t="s">
        <v>114</v>
      </c>
      <c r="Y6" s="79">
        <v>69</v>
      </c>
      <c r="Z6" s="77" t="s">
        <v>114</v>
      </c>
      <c r="AA6" s="76">
        <v>21</v>
      </c>
      <c r="AB6" s="77" t="s">
        <v>114</v>
      </c>
      <c r="AC6" s="76">
        <v>19</v>
      </c>
      <c r="AD6" s="77" t="s">
        <v>114</v>
      </c>
      <c r="AE6" s="79">
        <v>34</v>
      </c>
      <c r="AF6" s="77" t="s">
        <v>114</v>
      </c>
      <c r="AG6" s="76">
        <v>22</v>
      </c>
      <c r="AH6" s="77" t="s">
        <v>114</v>
      </c>
      <c r="AI6" s="81">
        <v>659</v>
      </c>
      <c r="AJ6" s="24" t="s">
        <v>117</v>
      </c>
      <c r="AK6" s="25" t="s">
        <v>354</v>
      </c>
    </row>
    <row r="7" spans="1:37" ht="15" customHeight="1">
      <c r="A7" s="84">
        <v>225206</v>
      </c>
      <c r="B7" s="30" t="s">
        <v>157</v>
      </c>
      <c r="C7" s="74">
        <v>69</v>
      </c>
      <c r="D7" s="75" t="s">
        <v>114</v>
      </c>
      <c r="E7" s="76">
        <v>20</v>
      </c>
      <c r="F7" s="77" t="s">
        <v>114</v>
      </c>
      <c r="G7" s="76">
        <v>43</v>
      </c>
      <c r="H7" s="77" t="s">
        <v>114</v>
      </c>
      <c r="I7" s="78">
        <v>44</v>
      </c>
      <c r="J7" s="77" t="s">
        <v>114</v>
      </c>
      <c r="K7" s="76">
        <v>21</v>
      </c>
      <c r="L7" s="77" t="s">
        <v>114</v>
      </c>
      <c r="M7" s="76">
        <v>42</v>
      </c>
      <c r="N7" s="77" t="s">
        <v>114</v>
      </c>
      <c r="O7" s="79">
        <v>65</v>
      </c>
      <c r="P7" s="77" t="s">
        <v>114</v>
      </c>
      <c r="Q7" s="76">
        <v>20</v>
      </c>
      <c r="R7" s="77" t="s">
        <v>114</v>
      </c>
      <c r="S7" s="76">
        <v>23</v>
      </c>
      <c r="T7" s="77" t="s">
        <v>114</v>
      </c>
      <c r="U7" s="79">
        <v>58</v>
      </c>
      <c r="V7" s="77" t="s">
        <v>114</v>
      </c>
      <c r="W7" s="76">
        <v>20</v>
      </c>
      <c r="X7" s="77" t="s">
        <v>114</v>
      </c>
      <c r="Y7" s="79">
        <v>67</v>
      </c>
      <c r="Z7" s="77" t="s">
        <v>114</v>
      </c>
      <c r="AA7" s="76">
        <v>19</v>
      </c>
      <c r="AB7" s="77" t="s">
        <v>114</v>
      </c>
      <c r="AC7" s="76">
        <v>17</v>
      </c>
      <c r="AD7" s="77" t="s">
        <v>114</v>
      </c>
      <c r="AE7" s="79">
        <v>33</v>
      </c>
      <c r="AF7" s="77" t="s">
        <v>114</v>
      </c>
      <c r="AG7" s="76">
        <v>18</v>
      </c>
      <c r="AH7" s="77" t="s">
        <v>114</v>
      </c>
      <c r="AI7" s="81">
        <v>579</v>
      </c>
      <c r="AJ7" s="24" t="s">
        <v>117</v>
      </c>
      <c r="AK7" s="25" t="s">
        <v>355</v>
      </c>
    </row>
    <row r="8" spans="1:37" ht="15" customHeight="1">
      <c r="A8" s="84">
        <v>225207</v>
      </c>
      <c r="B8" s="30" t="s">
        <v>158</v>
      </c>
      <c r="C8" s="74">
        <v>66</v>
      </c>
      <c r="D8" s="75" t="s">
        <v>114</v>
      </c>
      <c r="E8" s="76">
        <v>21</v>
      </c>
      <c r="F8" s="77" t="s">
        <v>114</v>
      </c>
      <c r="G8" s="76">
        <v>42</v>
      </c>
      <c r="H8" s="77" t="s">
        <v>114</v>
      </c>
      <c r="I8" s="78">
        <v>59</v>
      </c>
      <c r="J8" s="77" t="s">
        <v>114</v>
      </c>
      <c r="K8" s="76">
        <v>23</v>
      </c>
      <c r="L8" s="77" t="s">
        <v>114</v>
      </c>
      <c r="M8" s="76">
        <v>36</v>
      </c>
      <c r="N8" s="77" t="s">
        <v>114</v>
      </c>
      <c r="O8" s="79">
        <v>58</v>
      </c>
      <c r="P8" s="77" t="s">
        <v>114</v>
      </c>
      <c r="Q8" s="76">
        <v>21</v>
      </c>
      <c r="R8" s="77" t="s">
        <v>114</v>
      </c>
      <c r="S8" s="76">
        <v>22</v>
      </c>
      <c r="T8" s="77" t="s">
        <v>114</v>
      </c>
      <c r="U8" s="79">
        <v>64</v>
      </c>
      <c r="V8" s="77" t="s">
        <v>114</v>
      </c>
      <c r="W8" s="76">
        <v>23</v>
      </c>
      <c r="X8" s="77" t="s">
        <v>114</v>
      </c>
      <c r="Y8" s="79">
        <v>70</v>
      </c>
      <c r="Z8" s="77" t="s">
        <v>114</v>
      </c>
      <c r="AA8" s="76">
        <v>23</v>
      </c>
      <c r="AB8" s="77" t="s">
        <v>114</v>
      </c>
      <c r="AC8" s="76">
        <v>21</v>
      </c>
      <c r="AD8" s="77" t="s">
        <v>114</v>
      </c>
      <c r="AE8" s="79">
        <v>33</v>
      </c>
      <c r="AF8" s="77" t="s">
        <v>114</v>
      </c>
      <c r="AG8" s="76">
        <v>21</v>
      </c>
      <c r="AH8" s="77" t="s">
        <v>114</v>
      </c>
      <c r="AI8" s="81">
        <v>603</v>
      </c>
      <c r="AJ8" s="24" t="s">
        <v>117</v>
      </c>
      <c r="AK8" s="25" t="s">
        <v>356</v>
      </c>
    </row>
    <row r="9" spans="1:37" ht="15" customHeight="1">
      <c r="A9" s="84">
        <v>225208</v>
      </c>
      <c r="B9" s="30" t="s">
        <v>159</v>
      </c>
      <c r="C9" s="82" t="s">
        <v>75</v>
      </c>
      <c r="D9" s="75" t="s">
        <v>114</v>
      </c>
      <c r="E9" s="76">
        <v>18</v>
      </c>
      <c r="F9" s="77" t="s">
        <v>113</v>
      </c>
      <c r="G9" s="76">
        <v>38</v>
      </c>
      <c r="H9" s="77" t="s">
        <v>113</v>
      </c>
      <c r="I9" s="78" t="s">
        <v>75</v>
      </c>
      <c r="J9" s="77" t="s">
        <v>114</v>
      </c>
      <c r="K9" s="76">
        <v>18</v>
      </c>
      <c r="L9" s="77" t="s">
        <v>113</v>
      </c>
      <c r="M9" s="76">
        <v>42</v>
      </c>
      <c r="N9" s="77" t="s">
        <v>113</v>
      </c>
      <c r="O9" s="79" t="s">
        <v>75</v>
      </c>
      <c r="P9" s="77" t="s">
        <v>114</v>
      </c>
      <c r="Q9" s="76">
        <v>18</v>
      </c>
      <c r="R9" s="77" t="s">
        <v>113</v>
      </c>
      <c r="S9" s="76">
        <v>19</v>
      </c>
      <c r="T9" s="77" t="s">
        <v>113</v>
      </c>
      <c r="U9" s="79" t="s">
        <v>75</v>
      </c>
      <c r="V9" s="77" t="s">
        <v>114</v>
      </c>
      <c r="W9" s="76">
        <v>16</v>
      </c>
      <c r="X9" s="77" t="s">
        <v>113</v>
      </c>
      <c r="Y9" s="79" t="s">
        <v>75</v>
      </c>
      <c r="Z9" s="77" t="s">
        <v>114</v>
      </c>
      <c r="AA9" s="76">
        <v>18</v>
      </c>
      <c r="AB9" s="77" t="s">
        <v>113</v>
      </c>
      <c r="AC9" s="76">
        <v>14</v>
      </c>
      <c r="AD9" s="77" t="s">
        <v>113</v>
      </c>
      <c r="AE9" s="79">
        <v>25</v>
      </c>
      <c r="AF9" s="77" t="s">
        <v>113</v>
      </c>
      <c r="AG9" s="76">
        <v>16</v>
      </c>
      <c r="AH9" s="77" t="s">
        <v>113</v>
      </c>
      <c r="AI9" s="81">
        <v>242</v>
      </c>
      <c r="AJ9" s="24" t="s">
        <v>111</v>
      </c>
      <c r="AK9" s="25" t="s">
        <v>357</v>
      </c>
    </row>
    <row r="10" spans="1:37" ht="15" customHeight="1">
      <c r="A10" s="84">
        <v>225209</v>
      </c>
      <c r="B10" s="30" t="s">
        <v>160</v>
      </c>
      <c r="C10" s="74">
        <v>53</v>
      </c>
      <c r="D10" s="75" t="s">
        <v>114</v>
      </c>
      <c r="E10" s="76">
        <v>19</v>
      </c>
      <c r="F10" s="77" t="s">
        <v>114</v>
      </c>
      <c r="G10" s="76">
        <v>40</v>
      </c>
      <c r="H10" s="77" t="s">
        <v>114</v>
      </c>
      <c r="I10" s="78">
        <v>56</v>
      </c>
      <c r="J10" s="77" t="s">
        <v>114</v>
      </c>
      <c r="K10" s="76">
        <v>22</v>
      </c>
      <c r="L10" s="77" t="s">
        <v>114</v>
      </c>
      <c r="M10" s="76">
        <v>42</v>
      </c>
      <c r="N10" s="77" t="s">
        <v>114</v>
      </c>
      <c r="O10" s="79">
        <v>51</v>
      </c>
      <c r="P10" s="77" t="s">
        <v>114</v>
      </c>
      <c r="Q10" s="76">
        <v>19</v>
      </c>
      <c r="R10" s="77" t="s">
        <v>114</v>
      </c>
      <c r="S10" s="76">
        <v>20</v>
      </c>
      <c r="T10" s="77" t="s">
        <v>114</v>
      </c>
      <c r="U10" s="79">
        <v>67</v>
      </c>
      <c r="V10" s="77" t="s">
        <v>114</v>
      </c>
      <c r="W10" s="76">
        <v>16</v>
      </c>
      <c r="X10" s="77" t="s">
        <v>114</v>
      </c>
      <c r="Y10" s="79">
        <v>46</v>
      </c>
      <c r="Z10" s="77" t="s">
        <v>114</v>
      </c>
      <c r="AA10" s="76">
        <v>22</v>
      </c>
      <c r="AB10" s="77" t="s">
        <v>114</v>
      </c>
      <c r="AC10" s="76">
        <v>20</v>
      </c>
      <c r="AD10" s="77" t="s">
        <v>114</v>
      </c>
      <c r="AE10" s="79">
        <v>29</v>
      </c>
      <c r="AF10" s="77" t="s">
        <v>114</v>
      </c>
      <c r="AG10" s="76">
        <v>20</v>
      </c>
      <c r="AH10" s="77" t="s">
        <v>114</v>
      </c>
      <c r="AI10" s="81">
        <v>542</v>
      </c>
      <c r="AJ10" s="24" t="s">
        <v>117</v>
      </c>
      <c r="AK10" s="25" t="s">
        <v>358</v>
      </c>
    </row>
    <row r="11" spans="1:37" ht="15" customHeight="1">
      <c r="A11" s="84">
        <v>225210</v>
      </c>
      <c r="B11" s="30" t="s">
        <v>161</v>
      </c>
      <c r="C11" s="74">
        <v>46</v>
      </c>
      <c r="D11" s="75" t="s">
        <v>114</v>
      </c>
      <c r="E11" s="76">
        <v>20</v>
      </c>
      <c r="F11" s="77" t="s">
        <v>114</v>
      </c>
      <c r="G11" s="76">
        <v>37</v>
      </c>
      <c r="H11" s="77" t="s">
        <v>114</v>
      </c>
      <c r="I11" s="78">
        <v>42</v>
      </c>
      <c r="J11" s="77" t="s">
        <v>114</v>
      </c>
      <c r="K11" s="76">
        <v>20</v>
      </c>
      <c r="L11" s="77" t="s">
        <v>114</v>
      </c>
      <c r="M11" s="76">
        <v>42</v>
      </c>
      <c r="N11" s="77" t="s">
        <v>114</v>
      </c>
      <c r="O11" s="79">
        <v>40</v>
      </c>
      <c r="P11" s="77" t="s">
        <v>114</v>
      </c>
      <c r="Q11" s="76">
        <v>20</v>
      </c>
      <c r="R11" s="77" t="s">
        <v>114</v>
      </c>
      <c r="S11" s="76">
        <v>19</v>
      </c>
      <c r="T11" s="77" t="s">
        <v>114</v>
      </c>
      <c r="U11" s="79">
        <v>60</v>
      </c>
      <c r="V11" s="77" t="s">
        <v>114</v>
      </c>
      <c r="W11" s="76">
        <v>20</v>
      </c>
      <c r="X11" s="77" t="s">
        <v>114</v>
      </c>
      <c r="Y11" s="79">
        <v>45</v>
      </c>
      <c r="Z11" s="77" t="s">
        <v>114</v>
      </c>
      <c r="AA11" s="76">
        <v>20</v>
      </c>
      <c r="AB11" s="77" t="s">
        <v>114</v>
      </c>
      <c r="AC11" s="76">
        <v>18</v>
      </c>
      <c r="AD11" s="77" t="s">
        <v>114</v>
      </c>
      <c r="AE11" s="79">
        <v>23</v>
      </c>
      <c r="AF11" s="77" t="s">
        <v>114</v>
      </c>
      <c r="AG11" s="76">
        <v>16</v>
      </c>
      <c r="AH11" s="77" t="s">
        <v>114</v>
      </c>
      <c r="AI11" s="81">
        <v>488</v>
      </c>
      <c r="AJ11" s="24" t="s">
        <v>117</v>
      </c>
      <c r="AK11" s="25" t="s">
        <v>359</v>
      </c>
    </row>
    <row r="12" spans="1:37" ht="15" customHeight="1">
      <c r="A12" s="84">
        <v>225211</v>
      </c>
      <c r="B12" s="30" t="s">
        <v>162</v>
      </c>
      <c r="C12" s="74">
        <v>49</v>
      </c>
      <c r="D12" s="75" t="s">
        <v>114</v>
      </c>
      <c r="E12" s="76">
        <v>22</v>
      </c>
      <c r="F12" s="77" t="s">
        <v>114</v>
      </c>
      <c r="G12" s="76">
        <v>42</v>
      </c>
      <c r="H12" s="77" t="s">
        <v>114</v>
      </c>
      <c r="I12" s="78">
        <v>58</v>
      </c>
      <c r="J12" s="77" t="s">
        <v>114</v>
      </c>
      <c r="K12" s="76">
        <v>20</v>
      </c>
      <c r="L12" s="77" t="s">
        <v>114</v>
      </c>
      <c r="M12" s="76">
        <v>40</v>
      </c>
      <c r="N12" s="77" t="s">
        <v>114</v>
      </c>
      <c r="O12" s="79">
        <v>43</v>
      </c>
      <c r="P12" s="77" t="s">
        <v>114</v>
      </c>
      <c r="Q12" s="76">
        <v>22</v>
      </c>
      <c r="R12" s="77" t="s">
        <v>114</v>
      </c>
      <c r="S12" s="76">
        <v>22</v>
      </c>
      <c r="T12" s="77" t="s">
        <v>114</v>
      </c>
      <c r="U12" s="79">
        <v>63</v>
      </c>
      <c r="V12" s="77" t="s">
        <v>114</v>
      </c>
      <c r="W12" s="76">
        <v>22</v>
      </c>
      <c r="X12" s="77" t="s">
        <v>114</v>
      </c>
      <c r="Y12" s="79">
        <v>58</v>
      </c>
      <c r="Z12" s="77" t="s">
        <v>114</v>
      </c>
      <c r="AA12" s="76">
        <v>21</v>
      </c>
      <c r="AB12" s="77" t="s">
        <v>114</v>
      </c>
      <c r="AC12" s="76">
        <v>19</v>
      </c>
      <c r="AD12" s="77" t="s">
        <v>114</v>
      </c>
      <c r="AE12" s="79">
        <v>27</v>
      </c>
      <c r="AF12" s="77" t="s">
        <v>114</v>
      </c>
      <c r="AG12" s="76">
        <v>22</v>
      </c>
      <c r="AH12" s="77" t="s">
        <v>114</v>
      </c>
      <c r="AI12" s="81">
        <v>550</v>
      </c>
      <c r="AJ12" s="24" t="s">
        <v>117</v>
      </c>
      <c r="AK12" s="25" t="s">
        <v>360</v>
      </c>
    </row>
    <row r="13" spans="1:37" ht="15" customHeight="1">
      <c r="A13" s="84">
        <v>225212</v>
      </c>
      <c r="B13" s="30" t="s">
        <v>163</v>
      </c>
      <c r="C13" s="74">
        <v>54</v>
      </c>
      <c r="D13" s="75" t="s">
        <v>114</v>
      </c>
      <c r="E13" s="76">
        <v>22</v>
      </c>
      <c r="F13" s="77" t="s">
        <v>114</v>
      </c>
      <c r="G13" s="76">
        <v>39</v>
      </c>
      <c r="H13" s="77" t="s">
        <v>114</v>
      </c>
      <c r="I13" s="78">
        <v>47</v>
      </c>
      <c r="J13" s="77" t="s">
        <v>114</v>
      </c>
      <c r="K13" s="76">
        <v>19</v>
      </c>
      <c r="L13" s="77" t="s">
        <v>114</v>
      </c>
      <c r="M13" s="76">
        <v>44</v>
      </c>
      <c r="N13" s="77" t="s">
        <v>114</v>
      </c>
      <c r="O13" s="79">
        <v>40</v>
      </c>
      <c r="P13" s="77" t="s">
        <v>114</v>
      </c>
      <c r="Q13" s="76">
        <v>22</v>
      </c>
      <c r="R13" s="77" t="s">
        <v>114</v>
      </c>
      <c r="S13" s="76">
        <v>19</v>
      </c>
      <c r="T13" s="77" t="s">
        <v>114</v>
      </c>
      <c r="U13" s="79">
        <v>52</v>
      </c>
      <c r="V13" s="77" t="s">
        <v>114</v>
      </c>
      <c r="W13" s="76">
        <v>16</v>
      </c>
      <c r="X13" s="77" t="s">
        <v>114</v>
      </c>
      <c r="Y13" s="79">
        <v>42</v>
      </c>
      <c r="Z13" s="77" t="s">
        <v>114</v>
      </c>
      <c r="AA13" s="76">
        <v>19</v>
      </c>
      <c r="AB13" s="77" t="s">
        <v>114</v>
      </c>
      <c r="AC13" s="76">
        <v>12</v>
      </c>
      <c r="AD13" s="77" t="s">
        <v>114</v>
      </c>
      <c r="AE13" s="79">
        <v>29</v>
      </c>
      <c r="AF13" s="77" t="s">
        <v>114</v>
      </c>
      <c r="AG13" s="76">
        <v>18</v>
      </c>
      <c r="AH13" s="77" t="s">
        <v>114</v>
      </c>
      <c r="AI13" s="81">
        <v>494</v>
      </c>
      <c r="AJ13" s="24" t="s">
        <v>117</v>
      </c>
      <c r="AK13" s="25" t="s">
        <v>361</v>
      </c>
    </row>
    <row r="14" spans="1:37" ht="15" customHeight="1">
      <c r="A14" s="84">
        <v>225213</v>
      </c>
      <c r="B14" s="30" t="s">
        <v>164</v>
      </c>
      <c r="C14" s="74">
        <v>40</v>
      </c>
      <c r="D14" s="75" t="s">
        <v>114</v>
      </c>
      <c r="E14" s="76">
        <v>20</v>
      </c>
      <c r="F14" s="77" t="s">
        <v>114</v>
      </c>
      <c r="G14" s="76">
        <v>44</v>
      </c>
      <c r="H14" s="77" t="s">
        <v>114</v>
      </c>
      <c r="I14" s="78">
        <v>51</v>
      </c>
      <c r="J14" s="77" t="s">
        <v>114</v>
      </c>
      <c r="K14" s="76">
        <v>21</v>
      </c>
      <c r="L14" s="77" t="s">
        <v>114</v>
      </c>
      <c r="M14" s="76">
        <v>44</v>
      </c>
      <c r="N14" s="77" t="s">
        <v>114</v>
      </c>
      <c r="O14" s="79">
        <v>40</v>
      </c>
      <c r="P14" s="77" t="s">
        <v>114</v>
      </c>
      <c r="Q14" s="76">
        <v>20</v>
      </c>
      <c r="R14" s="77" t="s">
        <v>114</v>
      </c>
      <c r="S14" s="76">
        <v>22</v>
      </c>
      <c r="T14" s="77" t="s">
        <v>114</v>
      </c>
      <c r="U14" s="79">
        <v>55</v>
      </c>
      <c r="V14" s="77" t="s">
        <v>114</v>
      </c>
      <c r="W14" s="76">
        <v>20</v>
      </c>
      <c r="X14" s="77" t="s">
        <v>114</v>
      </c>
      <c r="Y14" s="79">
        <v>56</v>
      </c>
      <c r="Z14" s="77" t="s">
        <v>114</v>
      </c>
      <c r="AA14" s="76">
        <v>21</v>
      </c>
      <c r="AB14" s="77" t="s">
        <v>114</v>
      </c>
      <c r="AC14" s="76">
        <v>17</v>
      </c>
      <c r="AD14" s="77" t="s">
        <v>114</v>
      </c>
      <c r="AE14" s="79">
        <v>28</v>
      </c>
      <c r="AF14" s="77" t="s">
        <v>114</v>
      </c>
      <c r="AG14" s="76">
        <v>19</v>
      </c>
      <c r="AH14" s="77" t="s">
        <v>114</v>
      </c>
      <c r="AI14" s="81">
        <v>518</v>
      </c>
      <c r="AJ14" s="24" t="s">
        <v>117</v>
      </c>
      <c r="AK14" s="25" t="s">
        <v>362</v>
      </c>
    </row>
    <row r="15" spans="1:37" ht="15" customHeight="1">
      <c r="A15" s="84">
        <v>225214</v>
      </c>
      <c r="B15" s="30" t="s">
        <v>165</v>
      </c>
      <c r="C15" s="74">
        <v>40</v>
      </c>
      <c r="D15" s="75" t="s">
        <v>113</v>
      </c>
      <c r="E15" s="76">
        <v>23</v>
      </c>
      <c r="F15" s="77" t="s">
        <v>113</v>
      </c>
      <c r="G15" s="76">
        <v>40</v>
      </c>
      <c r="H15" s="77" t="s">
        <v>113</v>
      </c>
      <c r="I15" s="78">
        <v>28</v>
      </c>
      <c r="J15" s="77" t="s">
        <v>110</v>
      </c>
      <c r="K15" s="76">
        <v>23</v>
      </c>
      <c r="L15" s="77" t="s">
        <v>113</v>
      </c>
      <c r="M15" s="76">
        <v>36</v>
      </c>
      <c r="N15" s="77" t="s">
        <v>113</v>
      </c>
      <c r="O15" s="79">
        <v>27</v>
      </c>
      <c r="P15" s="77" t="s">
        <v>110</v>
      </c>
      <c r="Q15" s="76">
        <v>23</v>
      </c>
      <c r="R15" s="77" t="s">
        <v>113</v>
      </c>
      <c r="S15" s="76">
        <v>20</v>
      </c>
      <c r="T15" s="77" t="s">
        <v>113</v>
      </c>
      <c r="U15" s="79">
        <v>40</v>
      </c>
      <c r="V15" s="77" t="s">
        <v>113</v>
      </c>
      <c r="W15" s="76">
        <v>23</v>
      </c>
      <c r="X15" s="77" t="s">
        <v>113</v>
      </c>
      <c r="Y15" s="79">
        <v>20</v>
      </c>
      <c r="Z15" s="77" t="s">
        <v>110</v>
      </c>
      <c r="AA15" s="76">
        <v>23</v>
      </c>
      <c r="AB15" s="77" t="s">
        <v>113</v>
      </c>
      <c r="AC15" s="76">
        <v>17</v>
      </c>
      <c r="AD15" s="77" t="s">
        <v>113</v>
      </c>
      <c r="AE15" s="79">
        <v>21</v>
      </c>
      <c r="AF15" s="77" t="s">
        <v>113</v>
      </c>
      <c r="AG15" s="76">
        <v>23</v>
      </c>
      <c r="AH15" s="77" t="s">
        <v>113</v>
      </c>
      <c r="AI15" s="81">
        <v>427</v>
      </c>
      <c r="AJ15" s="24" t="s">
        <v>111</v>
      </c>
      <c r="AK15" s="25" t="s">
        <v>363</v>
      </c>
    </row>
    <row r="16" spans="1:37" ht="15" customHeight="1">
      <c r="A16" s="84">
        <v>225215</v>
      </c>
      <c r="B16" s="30" t="s">
        <v>166</v>
      </c>
      <c r="C16" s="74">
        <v>51</v>
      </c>
      <c r="D16" s="75" t="s">
        <v>114</v>
      </c>
      <c r="E16" s="76">
        <v>21</v>
      </c>
      <c r="F16" s="77" t="s">
        <v>114</v>
      </c>
      <c r="G16" s="76">
        <v>42</v>
      </c>
      <c r="H16" s="77" t="s">
        <v>114</v>
      </c>
      <c r="I16" s="78">
        <v>66</v>
      </c>
      <c r="J16" s="77" t="s">
        <v>114</v>
      </c>
      <c r="K16" s="76">
        <v>23</v>
      </c>
      <c r="L16" s="77" t="s">
        <v>114</v>
      </c>
      <c r="M16" s="76">
        <v>46</v>
      </c>
      <c r="N16" s="77" t="s">
        <v>114</v>
      </c>
      <c r="O16" s="79">
        <v>50</v>
      </c>
      <c r="P16" s="77" t="s">
        <v>114</v>
      </c>
      <c r="Q16" s="76">
        <v>21</v>
      </c>
      <c r="R16" s="77" t="s">
        <v>114</v>
      </c>
      <c r="S16" s="76">
        <v>22</v>
      </c>
      <c r="T16" s="77" t="s">
        <v>114</v>
      </c>
      <c r="U16" s="79">
        <v>65</v>
      </c>
      <c r="V16" s="77" t="s">
        <v>114</v>
      </c>
      <c r="W16" s="76">
        <v>24</v>
      </c>
      <c r="X16" s="77" t="s">
        <v>114</v>
      </c>
      <c r="Y16" s="79">
        <v>66</v>
      </c>
      <c r="Z16" s="77" t="s">
        <v>114</v>
      </c>
      <c r="AA16" s="76">
        <v>23</v>
      </c>
      <c r="AB16" s="77" t="s">
        <v>114</v>
      </c>
      <c r="AC16" s="76">
        <v>18</v>
      </c>
      <c r="AD16" s="77" t="s">
        <v>114</v>
      </c>
      <c r="AE16" s="79">
        <v>30</v>
      </c>
      <c r="AF16" s="77" t="s">
        <v>114</v>
      </c>
      <c r="AG16" s="76">
        <v>23</v>
      </c>
      <c r="AH16" s="77" t="s">
        <v>114</v>
      </c>
      <c r="AI16" s="81">
        <v>591</v>
      </c>
      <c r="AJ16" s="24" t="s">
        <v>117</v>
      </c>
      <c r="AK16" s="25" t="s">
        <v>364</v>
      </c>
    </row>
    <row r="17" spans="1:37" ht="15" customHeight="1">
      <c r="A17" s="84">
        <v>225216</v>
      </c>
      <c r="B17" s="30" t="s">
        <v>167</v>
      </c>
      <c r="C17" s="74">
        <v>52</v>
      </c>
      <c r="D17" s="75" t="s">
        <v>114</v>
      </c>
      <c r="E17" s="76">
        <v>20</v>
      </c>
      <c r="F17" s="77" t="s">
        <v>114</v>
      </c>
      <c r="G17" s="76">
        <v>38</v>
      </c>
      <c r="H17" s="77" t="s">
        <v>114</v>
      </c>
      <c r="I17" s="78">
        <v>43</v>
      </c>
      <c r="J17" s="77" t="s">
        <v>114</v>
      </c>
      <c r="K17" s="76">
        <v>18</v>
      </c>
      <c r="L17" s="77" t="s">
        <v>114</v>
      </c>
      <c r="M17" s="76">
        <v>38</v>
      </c>
      <c r="N17" s="77" t="s">
        <v>114</v>
      </c>
      <c r="O17" s="79">
        <v>40</v>
      </c>
      <c r="P17" s="77" t="s">
        <v>114</v>
      </c>
      <c r="Q17" s="76">
        <v>20</v>
      </c>
      <c r="R17" s="77" t="s">
        <v>114</v>
      </c>
      <c r="S17" s="76">
        <v>18</v>
      </c>
      <c r="T17" s="77" t="s">
        <v>114</v>
      </c>
      <c r="U17" s="79">
        <v>48</v>
      </c>
      <c r="V17" s="77" t="s">
        <v>114</v>
      </c>
      <c r="W17" s="76">
        <v>16</v>
      </c>
      <c r="X17" s="77" t="s">
        <v>114</v>
      </c>
      <c r="Y17" s="79">
        <v>54</v>
      </c>
      <c r="Z17" s="77" t="s">
        <v>114</v>
      </c>
      <c r="AA17" s="76">
        <v>18</v>
      </c>
      <c r="AB17" s="77" t="s">
        <v>114</v>
      </c>
      <c r="AC17" s="76">
        <v>20</v>
      </c>
      <c r="AD17" s="77" t="s">
        <v>114</v>
      </c>
      <c r="AE17" s="79">
        <v>28</v>
      </c>
      <c r="AF17" s="77" t="s">
        <v>114</v>
      </c>
      <c r="AG17" s="76">
        <v>16</v>
      </c>
      <c r="AH17" s="77" t="s">
        <v>114</v>
      </c>
      <c r="AI17" s="81">
        <v>487</v>
      </c>
      <c r="AJ17" s="24" t="s">
        <v>117</v>
      </c>
      <c r="AK17" s="25" t="s">
        <v>365</v>
      </c>
    </row>
    <row r="18" spans="1:37" ht="15" customHeight="1">
      <c r="A18" s="84">
        <v>225217</v>
      </c>
      <c r="B18" s="30" t="s">
        <v>168</v>
      </c>
      <c r="C18" s="74" t="s">
        <v>460</v>
      </c>
      <c r="D18" s="75" t="s">
        <v>110</v>
      </c>
      <c r="E18" s="76">
        <v>23</v>
      </c>
      <c r="F18" s="77" t="s">
        <v>113</v>
      </c>
      <c r="G18" s="76">
        <v>36</v>
      </c>
      <c r="H18" s="77" t="s">
        <v>113</v>
      </c>
      <c r="I18" s="78">
        <v>13</v>
      </c>
      <c r="J18" s="77" t="s">
        <v>110</v>
      </c>
      <c r="K18" s="76">
        <v>23</v>
      </c>
      <c r="L18" s="77" t="s">
        <v>113</v>
      </c>
      <c r="M18" s="76">
        <v>44</v>
      </c>
      <c r="N18" s="77" t="s">
        <v>113</v>
      </c>
      <c r="O18" s="79">
        <v>28</v>
      </c>
      <c r="P18" s="77" t="s">
        <v>110</v>
      </c>
      <c r="Q18" s="76">
        <v>23</v>
      </c>
      <c r="R18" s="77" t="s">
        <v>113</v>
      </c>
      <c r="S18" s="76">
        <v>19</v>
      </c>
      <c r="T18" s="77" t="s">
        <v>113</v>
      </c>
      <c r="U18" s="79">
        <v>56</v>
      </c>
      <c r="V18" s="77" t="s">
        <v>113</v>
      </c>
      <c r="W18" s="76">
        <v>23</v>
      </c>
      <c r="X18" s="77" t="s">
        <v>113</v>
      </c>
      <c r="Y18" s="79" t="s">
        <v>466</v>
      </c>
      <c r="Z18" s="77" t="s">
        <v>110</v>
      </c>
      <c r="AA18" s="76">
        <v>23</v>
      </c>
      <c r="AB18" s="77" t="s">
        <v>113</v>
      </c>
      <c r="AC18" s="76">
        <v>19</v>
      </c>
      <c r="AD18" s="77" t="s">
        <v>113</v>
      </c>
      <c r="AE18" s="79">
        <v>25</v>
      </c>
      <c r="AF18" s="77" t="s">
        <v>113</v>
      </c>
      <c r="AG18" s="76">
        <v>23</v>
      </c>
      <c r="AH18" s="77" t="s">
        <v>113</v>
      </c>
      <c r="AI18" s="81">
        <v>391</v>
      </c>
      <c r="AJ18" s="24" t="s">
        <v>111</v>
      </c>
      <c r="AK18" s="25" t="s">
        <v>366</v>
      </c>
    </row>
    <row r="19" spans="1:37" ht="15" customHeight="1">
      <c r="A19" s="84">
        <v>225219</v>
      </c>
      <c r="B19" s="30" t="s">
        <v>169</v>
      </c>
      <c r="C19" s="74">
        <v>64</v>
      </c>
      <c r="D19" s="75" t="s">
        <v>114</v>
      </c>
      <c r="E19" s="76">
        <v>19</v>
      </c>
      <c r="F19" s="77" t="s">
        <v>114</v>
      </c>
      <c r="G19" s="76">
        <v>39</v>
      </c>
      <c r="H19" s="77" t="s">
        <v>114</v>
      </c>
      <c r="I19" s="78">
        <v>73</v>
      </c>
      <c r="J19" s="77" t="s">
        <v>114</v>
      </c>
      <c r="K19" s="76">
        <v>21</v>
      </c>
      <c r="L19" s="77" t="s">
        <v>114</v>
      </c>
      <c r="M19" s="76">
        <v>44</v>
      </c>
      <c r="N19" s="77" t="s">
        <v>114</v>
      </c>
      <c r="O19" s="79">
        <v>41</v>
      </c>
      <c r="P19" s="77" t="s">
        <v>114</v>
      </c>
      <c r="Q19" s="76">
        <v>19</v>
      </c>
      <c r="R19" s="77" t="s">
        <v>114</v>
      </c>
      <c r="S19" s="76">
        <v>20</v>
      </c>
      <c r="T19" s="77" t="s">
        <v>114</v>
      </c>
      <c r="U19" s="79">
        <v>51</v>
      </c>
      <c r="V19" s="77" t="s">
        <v>114</v>
      </c>
      <c r="W19" s="76">
        <v>24</v>
      </c>
      <c r="X19" s="77" t="s">
        <v>114</v>
      </c>
      <c r="Y19" s="79">
        <v>57</v>
      </c>
      <c r="Z19" s="77" t="s">
        <v>114</v>
      </c>
      <c r="AA19" s="76">
        <v>21</v>
      </c>
      <c r="AB19" s="77" t="s">
        <v>114</v>
      </c>
      <c r="AC19" s="76">
        <v>18</v>
      </c>
      <c r="AD19" s="77" t="s">
        <v>114</v>
      </c>
      <c r="AE19" s="79">
        <v>24</v>
      </c>
      <c r="AF19" s="77" t="s">
        <v>114</v>
      </c>
      <c r="AG19" s="76">
        <v>22</v>
      </c>
      <c r="AH19" s="77" t="s">
        <v>114</v>
      </c>
      <c r="AI19" s="81">
        <v>557</v>
      </c>
      <c r="AJ19" s="24" t="s">
        <v>117</v>
      </c>
      <c r="AK19" s="25" t="s">
        <v>351</v>
      </c>
    </row>
    <row r="20" spans="1:37" ht="15" customHeight="1">
      <c r="A20" s="84">
        <v>225220</v>
      </c>
      <c r="B20" s="30" t="s">
        <v>170</v>
      </c>
      <c r="C20" s="74">
        <v>63</v>
      </c>
      <c r="D20" s="75" t="s">
        <v>114</v>
      </c>
      <c r="E20" s="76">
        <v>20</v>
      </c>
      <c r="F20" s="77" t="s">
        <v>114</v>
      </c>
      <c r="G20" s="76">
        <v>39</v>
      </c>
      <c r="H20" s="77" t="s">
        <v>114</v>
      </c>
      <c r="I20" s="78">
        <v>66</v>
      </c>
      <c r="J20" s="77" t="s">
        <v>114</v>
      </c>
      <c r="K20" s="76">
        <v>17</v>
      </c>
      <c r="L20" s="77" t="s">
        <v>114</v>
      </c>
      <c r="M20" s="76">
        <v>46</v>
      </c>
      <c r="N20" s="77" t="s">
        <v>114</v>
      </c>
      <c r="O20" s="79">
        <v>47</v>
      </c>
      <c r="P20" s="77" t="s">
        <v>114</v>
      </c>
      <c r="Q20" s="76">
        <v>20</v>
      </c>
      <c r="R20" s="77" t="s">
        <v>114</v>
      </c>
      <c r="S20" s="76">
        <v>20</v>
      </c>
      <c r="T20" s="77" t="s">
        <v>114</v>
      </c>
      <c r="U20" s="79">
        <v>67</v>
      </c>
      <c r="V20" s="77" t="s">
        <v>114</v>
      </c>
      <c r="W20" s="76">
        <v>22</v>
      </c>
      <c r="X20" s="77" t="s">
        <v>114</v>
      </c>
      <c r="Y20" s="79">
        <v>65</v>
      </c>
      <c r="Z20" s="77" t="s">
        <v>114</v>
      </c>
      <c r="AA20" s="76">
        <v>17</v>
      </c>
      <c r="AB20" s="77" t="s">
        <v>114</v>
      </c>
      <c r="AC20" s="76">
        <v>18</v>
      </c>
      <c r="AD20" s="77" t="s">
        <v>114</v>
      </c>
      <c r="AE20" s="79">
        <v>24</v>
      </c>
      <c r="AF20" s="77" t="s">
        <v>114</v>
      </c>
      <c r="AG20" s="76">
        <v>19</v>
      </c>
      <c r="AH20" s="77" t="s">
        <v>114</v>
      </c>
      <c r="AI20" s="81">
        <v>570</v>
      </c>
      <c r="AJ20" s="24" t="s">
        <v>117</v>
      </c>
      <c r="AK20" s="25" t="s">
        <v>367</v>
      </c>
    </row>
    <row r="21" spans="1:37" ht="15" customHeight="1">
      <c r="A21" s="84">
        <v>225221</v>
      </c>
      <c r="B21" s="30" t="s">
        <v>171</v>
      </c>
      <c r="C21" s="74">
        <v>43</v>
      </c>
      <c r="D21" s="75" t="s">
        <v>113</v>
      </c>
      <c r="E21" s="76">
        <v>23</v>
      </c>
      <c r="F21" s="77" t="s">
        <v>113</v>
      </c>
      <c r="G21" s="76">
        <v>45</v>
      </c>
      <c r="H21" s="77" t="s">
        <v>113</v>
      </c>
      <c r="I21" s="78">
        <v>40</v>
      </c>
      <c r="J21" s="77" t="s">
        <v>113</v>
      </c>
      <c r="K21" s="76">
        <v>23</v>
      </c>
      <c r="L21" s="77" t="s">
        <v>113</v>
      </c>
      <c r="M21" s="76">
        <v>42</v>
      </c>
      <c r="N21" s="77" t="s">
        <v>113</v>
      </c>
      <c r="O21" s="79">
        <v>40</v>
      </c>
      <c r="P21" s="77" t="s">
        <v>113</v>
      </c>
      <c r="Q21" s="76">
        <v>23</v>
      </c>
      <c r="R21" s="77" t="s">
        <v>113</v>
      </c>
      <c r="S21" s="76">
        <v>23</v>
      </c>
      <c r="T21" s="77" t="s">
        <v>113</v>
      </c>
      <c r="U21" s="79">
        <v>53</v>
      </c>
      <c r="V21" s="77" t="s">
        <v>113</v>
      </c>
      <c r="W21" s="76">
        <v>23</v>
      </c>
      <c r="X21" s="77" t="s">
        <v>113</v>
      </c>
      <c r="Y21" s="79" t="s">
        <v>460</v>
      </c>
      <c r="Z21" s="77" t="s">
        <v>110</v>
      </c>
      <c r="AA21" s="76">
        <v>23</v>
      </c>
      <c r="AB21" s="77" t="s">
        <v>113</v>
      </c>
      <c r="AC21" s="76">
        <v>17</v>
      </c>
      <c r="AD21" s="77" t="s">
        <v>113</v>
      </c>
      <c r="AE21" s="79">
        <v>20</v>
      </c>
      <c r="AF21" s="77" t="s">
        <v>113</v>
      </c>
      <c r="AG21" s="76">
        <v>23</v>
      </c>
      <c r="AH21" s="77" t="s">
        <v>113</v>
      </c>
      <c r="AI21" s="81">
        <v>470</v>
      </c>
      <c r="AJ21" s="24" t="s">
        <v>111</v>
      </c>
      <c r="AK21" s="25" t="s">
        <v>116</v>
      </c>
    </row>
    <row r="22" spans="1:37" ht="15" customHeight="1">
      <c r="A22" s="84">
        <v>225222</v>
      </c>
      <c r="B22" s="30" t="s">
        <v>172</v>
      </c>
      <c r="C22" s="74">
        <v>53</v>
      </c>
      <c r="D22" s="75" t="s">
        <v>114</v>
      </c>
      <c r="E22" s="76">
        <v>21</v>
      </c>
      <c r="F22" s="77" t="s">
        <v>114</v>
      </c>
      <c r="G22" s="76">
        <v>41</v>
      </c>
      <c r="H22" s="77" t="s">
        <v>114</v>
      </c>
      <c r="I22" s="78">
        <v>45</v>
      </c>
      <c r="J22" s="77" t="s">
        <v>114</v>
      </c>
      <c r="K22" s="76">
        <v>23</v>
      </c>
      <c r="L22" s="77" t="s">
        <v>114</v>
      </c>
      <c r="M22" s="76">
        <v>42</v>
      </c>
      <c r="N22" s="77" t="s">
        <v>114</v>
      </c>
      <c r="O22" s="79">
        <v>41</v>
      </c>
      <c r="P22" s="77" t="s">
        <v>114</v>
      </c>
      <c r="Q22" s="76">
        <v>21</v>
      </c>
      <c r="R22" s="77" t="s">
        <v>114</v>
      </c>
      <c r="S22" s="76">
        <v>21</v>
      </c>
      <c r="T22" s="77" t="s">
        <v>114</v>
      </c>
      <c r="U22" s="79">
        <v>52</v>
      </c>
      <c r="V22" s="77" t="s">
        <v>114</v>
      </c>
      <c r="W22" s="76">
        <v>21</v>
      </c>
      <c r="X22" s="77" t="s">
        <v>114</v>
      </c>
      <c r="Y22" s="79">
        <v>43</v>
      </c>
      <c r="Z22" s="77" t="s">
        <v>114</v>
      </c>
      <c r="AA22" s="76">
        <v>23</v>
      </c>
      <c r="AB22" s="77" t="s">
        <v>114</v>
      </c>
      <c r="AC22" s="76">
        <v>20</v>
      </c>
      <c r="AD22" s="77" t="s">
        <v>114</v>
      </c>
      <c r="AE22" s="79">
        <v>24</v>
      </c>
      <c r="AF22" s="77" t="s">
        <v>114</v>
      </c>
      <c r="AG22" s="76">
        <v>22</v>
      </c>
      <c r="AH22" s="77" t="s">
        <v>114</v>
      </c>
      <c r="AI22" s="81">
        <v>513</v>
      </c>
      <c r="AJ22" s="24" t="s">
        <v>117</v>
      </c>
      <c r="AK22" s="25" t="s">
        <v>368</v>
      </c>
    </row>
    <row r="23" spans="1:37" ht="15" customHeight="1">
      <c r="A23" s="84">
        <v>225223</v>
      </c>
      <c r="B23" s="30" t="s">
        <v>173</v>
      </c>
      <c r="C23" s="74">
        <v>40</v>
      </c>
      <c r="D23" s="75" t="s">
        <v>114</v>
      </c>
      <c r="E23" s="76">
        <v>20</v>
      </c>
      <c r="F23" s="77" t="s">
        <v>114</v>
      </c>
      <c r="G23" s="76">
        <v>40</v>
      </c>
      <c r="H23" s="77" t="s">
        <v>114</v>
      </c>
      <c r="I23" s="78">
        <v>46</v>
      </c>
      <c r="J23" s="77" t="s">
        <v>114</v>
      </c>
      <c r="K23" s="76">
        <v>19</v>
      </c>
      <c r="L23" s="77" t="s">
        <v>114</v>
      </c>
      <c r="M23" s="76">
        <v>42</v>
      </c>
      <c r="N23" s="77" t="s">
        <v>114</v>
      </c>
      <c r="O23" s="79">
        <v>40</v>
      </c>
      <c r="P23" s="77" t="s">
        <v>114</v>
      </c>
      <c r="Q23" s="76">
        <v>20</v>
      </c>
      <c r="R23" s="77" t="s">
        <v>114</v>
      </c>
      <c r="S23" s="76">
        <v>20</v>
      </c>
      <c r="T23" s="77" t="s">
        <v>114</v>
      </c>
      <c r="U23" s="79">
        <v>47</v>
      </c>
      <c r="V23" s="77" t="s">
        <v>114</v>
      </c>
      <c r="W23" s="76">
        <v>20</v>
      </c>
      <c r="X23" s="77" t="s">
        <v>114</v>
      </c>
      <c r="Y23" s="79">
        <v>40</v>
      </c>
      <c r="Z23" s="77" t="s">
        <v>114</v>
      </c>
      <c r="AA23" s="76">
        <v>19</v>
      </c>
      <c r="AB23" s="77" t="s">
        <v>114</v>
      </c>
      <c r="AC23" s="76">
        <v>18</v>
      </c>
      <c r="AD23" s="77" t="s">
        <v>114</v>
      </c>
      <c r="AE23" s="79">
        <v>29</v>
      </c>
      <c r="AF23" s="77" t="s">
        <v>114</v>
      </c>
      <c r="AG23" s="76">
        <v>20</v>
      </c>
      <c r="AH23" s="77" t="s">
        <v>114</v>
      </c>
      <c r="AI23" s="81">
        <v>480</v>
      </c>
      <c r="AJ23" s="24" t="s">
        <v>117</v>
      </c>
      <c r="AK23" s="25" t="s">
        <v>369</v>
      </c>
    </row>
    <row r="24" spans="1:37" ht="15" customHeight="1">
      <c r="A24" s="84">
        <v>225224</v>
      </c>
      <c r="B24" s="30" t="s">
        <v>174</v>
      </c>
      <c r="C24" s="82" t="s">
        <v>75</v>
      </c>
      <c r="D24" s="75" t="s">
        <v>114</v>
      </c>
      <c r="E24" s="76">
        <v>21</v>
      </c>
      <c r="F24" s="77" t="s">
        <v>113</v>
      </c>
      <c r="G24" s="76">
        <v>43</v>
      </c>
      <c r="H24" s="77" t="s">
        <v>113</v>
      </c>
      <c r="I24" s="78" t="s">
        <v>461</v>
      </c>
      <c r="J24" s="77" t="s">
        <v>110</v>
      </c>
      <c r="K24" s="76">
        <v>19</v>
      </c>
      <c r="L24" s="77" t="s">
        <v>113</v>
      </c>
      <c r="M24" s="76">
        <v>38</v>
      </c>
      <c r="N24" s="77" t="s">
        <v>113</v>
      </c>
      <c r="O24" s="79">
        <v>18</v>
      </c>
      <c r="P24" s="77" t="s">
        <v>110</v>
      </c>
      <c r="Q24" s="76">
        <v>21</v>
      </c>
      <c r="R24" s="77" t="s">
        <v>113</v>
      </c>
      <c r="S24" s="76">
        <v>23</v>
      </c>
      <c r="T24" s="77" t="s">
        <v>113</v>
      </c>
      <c r="U24" s="79">
        <v>15</v>
      </c>
      <c r="V24" s="77" t="s">
        <v>110</v>
      </c>
      <c r="W24" s="76">
        <v>23</v>
      </c>
      <c r="X24" s="77" t="s">
        <v>113</v>
      </c>
      <c r="Y24" s="79" t="s">
        <v>465</v>
      </c>
      <c r="Z24" s="77" t="s">
        <v>110</v>
      </c>
      <c r="AA24" s="76">
        <v>20</v>
      </c>
      <c r="AB24" s="77" t="s">
        <v>113</v>
      </c>
      <c r="AC24" s="76">
        <v>19</v>
      </c>
      <c r="AD24" s="77" t="s">
        <v>113</v>
      </c>
      <c r="AE24" s="79">
        <v>23</v>
      </c>
      <c r="AF24" s="77" t="s">
        <v>113</v>
      </c>
      <c r="AG24" s="76">
        <v>22</v>
      </c>
      <c r="AH24" s="77" t="s">
        <v>113</v>
      </c>
      <c r="AI24" s="81">
        <v>312</v>
      </c>
      <c r="AJ24" s="24" t="s">
        <v>111</v>
      </c>
      <c r="AK24" s="25" t="s">
        <v>370</v>
      </c>
    </row>
    <row r="25" spans="1:37" ht="15" customHeight="1">
      <c r="A25" s="84">
        <v>225225</v>
      </c>
      <c r="B25" s="30" t="s">
        <v>175</v>
      </c>
      <c r="C25" s="74">
        <v>62</v>
      </c>
      <c r="D25" s="75" t="s">
        <v>114</v>
      </c>
      <c r="E25" s="76">
        <v>23</v>
      </c>
      <c r="F25" s="77" t="s">
        <v>114</v>
      </c>
      <c r="G25" s="76">
        <v>40</v>
      </c>
      <c r="H25" s="77" t="s">
        <v>114</v>
      </c>
      <c r="I25" s="78">
        <v>59</v>
      </c>
      <c r="J25" s="77" t="s">
        <v>114</v>
      </c>
      <c r="K25" s="76">
        <v>23</v>
      </c>
      <c r="L25" s="77" t="s">
        <v>114</v>
      </c>
      <c r="M25" s="76">
        <v>46</v>
      </c>
      <c r="N25" s="77" t="s">
        <v>114</v>
      </c>
      <c r="O25" s="79">
        <v>40</v>
      </c>
      <c r="P25" s="77" t="s">
        <v>114</v>
      </c>
      <c r="Q25" s="76">
        <v>22</v>
      </c>
      <c r="R25" s="77" t="s">
        <v>114</v>
      </c>
      <c r="S25" s="76">
        <v>20</v>
      </c>
      <c r="T25" s="77" t="s">
        <v>114</v>
      </c>
      <c r="U25" s="79">
        <v>65</v>
      </c>
      <c r="V25" s="77" t="s">
        <v>114</v>
      </c>
      <c r="W25" s="76">
        <v>23</v>
      </c>
      <c r="X25" s="77" t="s">
        <v>114</v>
      </c>
      <c r="Y25" s="79">
        <v>69</v>
      </c>
      <c r="Z25" s="77" t="s">
        <v>114</v>
      </c>
      <c r="AA25" s="76">
        <v>23</v>
      </c>
      <c r="AB25" s="77" t="s">
        <v>114</v>
      </c>
      <c r="AC25" s="76">
        <v>18</v>
      </c>
      <c r="AD25" s="77" t="s">
        <v>114</v>
      </c>
      <c r="AE25" s="79">
        <v>29</v>
      </c>
      <c r="AF25" s="77" t="s">
        <v>114</v>
      </c>
      <c r="AG25" s="76">
        <v>23</v>
      </c>
      <c r="AH25" s="77" t="s">
        <v>114</v>
      </c>
      <c r="AI25" s="81">
        <v>585</v>
      </c>
      <c r="AJ25" s="24" t="s">
        <v>117</v>
      </c>
      <c r="AK25" s="25" t="s">
        <v>371</v>
      </c>
    </row>
    <row r="26" spans="1:37" ht="15" customHeight="1">
      <c r="A26" s="84">
        <v>225226</v>
      </c>
      <c r="B26" s="30" t="s">
        <v>176</v>
      </c>
      <c r="C26" s="74">
        <v>55</v>
      </c>
      <c r="D26" s="75" t="s">
        <v>114</v>
      </c>
      <c r="E26" s="76">
        <v>23</v>
      </c>
      <c r="F26" s="77" t="s">
        <v>114</v>
      </c>
      <c r="G26" s="76">
        <v>39</v>
      </c>
      <c r="H26" s="77" t="s">
        <v>114</v>
      </c>
      <c r="I26" s="78">
        <v>40</v>
      </c>
      <c r="J26" s="77" t="s">
        <v>114</v>
      </c>
      <c r="K26" s="76">
        <v>22</v>
      </c>
      <c r="L26" s="77" t="s">
        <v>114</v>
      </c>
      <c r="M26" s="76">
        <v>46</v>
      </c>
      <c r="N26" s="77" t="s">
        <v>114</v>
      </c>
      <c r="O26" s="79">
        <v>40</v>
      </c>
      <c r="P26" s="77" t="s">
        <v>114</v>
      </c>
      <c r="Q26" s="76">
        <v>23</v>
      </c>
      <c r="R26" s="77" t="s">
        <v>114</v>
      </c>
      <c r="S26" s="76">
        <v>20</v>
      </c>
      <c r="T26" s="77" t="s">
        <v>114</v>
      </c>
      <c r="U26" s="79">
        <v>62</v>
      </c>
      <c r="V26" s="77" t="s">
        <v>114</v>
      </c>
      <c r="W26" s="76">
        <v>23</v>
      </c>
      <c r="X26" s="77" t="s">
        <v>114</v>
      </c>
      <c r="Y26" s="79">
        <v>44</v>
      </c>
      <c r="Z26" s="77" t="s">
        <v>114</v>
      </c>
      <c r="AA26" s="76">
        <v>22</v>
      </c>
      <c r="AB26" s="77" t="s">
        <v>114</v>
      </c>
      <c r="AC26" s="76">
        <v>18</v>
      </c>
      <c r="AD26" s="77" t="s">
        <v>114</v>
      </c>
      <c r="AE26" s="79">
        <v>26</v>
      </c>
      <c r="AF26" s="77" t="s">
        <v>114</v>
      </c>
      <c r="AG26" s="76">
        <v>23</v>
      </c>
      <c r="AH26" s="77" t="s">
        <v>114</v>
      </c>
      <c r="AI26" s="81">
        <v>526</v>
      </c>
      <c r="AJ26" s="24" t="s">
        <v>117</v>
      </c>
      <c r="AK26" s="25" t="s">
        <v>372</v>
      </c>
    </row>
    <row r="27" spans="1:37" ht="15" customHeight="1">
      <c r="A27" s="84">
        <v>225227</v>
      </c>
      <c r="B27" s="30" t="s">
        <v>177</v>
      </c>
      <c r="C27" s="74">
        <v>68</v>
      </c>
      <c r="D27" s="75" t="s">
        <v>114</v>
      </c>
      <c r="E27" s="76">
        <v>20</v>
      </c>
      <c r="F27" s="77" t="s">
        <v>114</v>
      </c>
      <c r="G27" s="76">
        <v>44</v>
      </c>
      <c r="H27" s="77" t="s">
        <v>114</v>
      </c>
      <c r="I27" s="78">
        <v>68</v>
      </c>
      <c r="J27" s="77" t="s">
        <v>114</v>
      </c>
      <c r="K27" s="76">
        <v>22</v>
      </c>
      <c r="L27" s="77" t="s">
        <v>114</v>
      </c>
      <c r="M27" s="76">
        <v>44</v>
      </c>
      <c r="N27" s="77" t="s">
        <v>114</v>
      </c>
      <c r="O27" s="79">
        <v>62</v>
      </c>
      <c r="P27" s="77" t="s">
        <v>114</v>
      </c>
      <c r="Q27" s="76">
        <v>19</v>
      </c>
      <c r="R27" s="77" t="s">
        <v>114</v>
      </c>
      <c r="S27" s="76">
        <v>23</v>
      </c>
      <c r="T27" s="77" t="s">
        <v>114</v>
      </c>
      <c r="U27" s="79">
        <v>69</v>
      </c>
      <c r="V27" s="77" t="s">
        <v>114</v>
      </c>
      <c r="W27" s="76">
        <v>22</v>
      </c>
      <c r="X27" s="77" t="s">
        <v>114</v>
      </c>
      <c r="Y27" s="79">
        <v>70</v>
      </c>
      <c r="Z27" s="77" t="s">
        <v>114</v>
      </c>
      <c r="AA27" s="76">
        <v>22</v>
      </c>
      <c r="AB27" s="77" t="s">
        <v>114</v>
      </c>
      <c r="AC27" s="76">
        <v>19</v>
      </c>
      <c r="AD27" s="77" t="s">
        <v>114</v>
      </c>
      <c r="AE27" s="79">
        <v>30</v>
      </c>
      <c r="AF27" s="77" t="s">
        <v>114</v>
      </c>
      <c r="AG27" s="76">
        <v>21</v>
      </c>
      <c r="AH27" s="77" t="s">
        <v>114</v>
      </c>
      <c r="AI27" s="81">
        <v>623</v>
      </c>
      <c r="AJ27" s="24" t="s">
        <v>117</v>
      </c>
      <c r="AK27" s="25" t="s">
        <v>373</v>
      </c>
    </row>
    <row r="28" spans="1:37" ht="15" customHeight="1">
      <c r="A28" s="84">
        <v>225228</v>
      </c>
      <c r="B28" s="30" t="s">
        <v>178</v>
      </c>
      <c r="C28" s="74">
        <v>41</v>
      </c>
      <c r="D28" s="75" t="s">
        <v>114</v>
      </c>
      <c r="E28" s="76">
        <v>19</v>
      </c>
      <c r="F28" s="77" t="s">
        <v>114</v>
      </c>
      <c r="G28" s="76">
        <v>41</v>
      </c>
      <c r="H28" s="77" t="s">
        <v>114</v>
      </c>
      <c r="I28" s="78">
        <v>44</v>
      </c>
      <c r="J28" s="77" t="s">
        <v>114</v>
      </c>
      <c r="K28" s="76">
        <v>23</v>
      </c>
      <c r="L28" s="77" t="s">
        <v>114</v>
      </c>
      <c r="M28" s="76">
        <v>44</v>
      </c>
      <c r="N28" s="77" t="s">
        <v>114</v>
      </c>
      <c r="O28" s="79">
        <v>40</v>
      </c>
      <c r="P28" s="77" t="s">
        <v>114</v>
      </c>
      <c r="Q28" s="76">
        <v>20</v>
      </c>
      <c r="R28" s="77" t="s">
        <v>114</v>
      </c>
      <c r="S28" s="76">
        <v>21</v>
      </c>
      <c r="T28" s="77" t="s">
        <v>114</v>
      </c>
      <c r="U28" s="79">
        <v>63</v>
      </c>
      <c r="V28" s="77" t="s">
        <v>114</v>
      </c>
      <c r="W28" s="76">
        <v>22</v>
      </c>
      <c r="X28" s="77" t="s">
        <v>114</v>
      </c>
      <c r="Y28" s="79">
        <v>55</v>
      </c>
      <c r="Z28" s="77" t="s">
        <v>114</v>
      </c>
      <c r="AA28" s="76">
        <v>23</v>
      </c>
      <c r="AB28" s="77" t="s">
        <v>114</v>
      </c>
      <c r="AC28" s="76">
        <v>20</v>
      </c>
      <c r="AD28" s="77" t="s">
        <v>114</v>
      </c>
      <c r="AE28" s="79">
        <v>22</v>
      </c>
      <c r="AF28" s="77" t="s">
        <v>114</v>
      </c>
      <c r="AG28" s="76">
        <v>20</v>
      </c>
      <c r="AH28" s="77" t="s">
        <v>114</v>
      </c>
      <c r="AI28" s="81">
        <v>518</v>
      </c>
      <c r="AJ28" s="24" t="s">
        <v>117</v>
      </c>
      <c r="AK28" s="25" t="s">
        <v>362</v>
      </c>
    </row>
    <row r="29" spans="1:37" ht="15" customHeight="1">
      <c r="A29" s="84">
        <v>225229</v>
      </c>
      <c r="B29" s="30" t="s">
        <v>179</v>
      </c>
      <c r="C29" s="74">
        <v>56</v>
      </c>
      <c r="D29" s="75" t="s">
        <v>114</v>
      </c>
      <c r="E29" s="76">
        <v>20</v>
      </c>
      <c r="F29" s="77" t="s">
        <v>114</v>
      </c>
      <c r="G29" s="76">
        <v>44</v>
      </c>
      <c r="H29" s="77" t="s">
        <v>114</v>
      </c>
      <c r="I29" s="78">
        <v>52</v>
      </c>
      <c r="J29" s="77" t="s">
        <v>114</v>
      </c>
      <c r="K29" s="76">
        <v>20</v>
      </c>
      <c r="L29" s="77" t="s">
        <v>114</v>
      </c>
      <c r="M29" s="76">
        <v>36</v>
      </c>
      <c r="N29" s="77" t="s">
        <v>114</v>
      </c>
      <c r="O29" s="79">
        <v>40</v>
      </c>
      <c r="P29" s="77" t="s">
        <v>114</v>
      </c>
      <c r="Q29" s="76">
        <v>20</v>
      </c>
      <c r="R29" s="77" t="s">
        <v>114</v>
      </c>
      <c r="S29" s="76">
        <v>23</v>
      </c>
      <c r="T29" s="77" t="s">
        <v>114</v>
      </c>
      <c r="U29" s="79">
        <v>69</v>
      </c>
      <c r="V29" s="77" t="s">
        <v>114</v>
      </c>
      <c r="W29" s="76">
        <v>16</v>
      </c>
      <c r="X29" s="77" t="s">
        <v>114</v>
      </c>
      <c r="Y29" s="79">
        <v>56</v>
      </c>
      <c r="Z29" s="77" t="s">
        <v>114</v>
      </c>
      <c r="AA29" s="76">
        <v>20</v>
      </c>
      <c r="AB29" s="77" t="s">
        <v>114</v>
      </c>
      <c r="AC29" s="76">
        <v>18</v>
      </c>
      <c r="AD29" s="77" t="s">
        <v>114</v>
      </c>
      <c r="AE29" s="79">
        <v>27</v>
      </c>
      <c r="AF29" s="77" t="s">
        <v>114</v>
      </c>
      <c r="AG29" s="76">
        <v>17</v>
      </c>
      <c r="AH29" s="77" t="s">
        <v>114</v>
      </c>
      <c r="AI29" s="81">
        <v>534</v>
      </c>
      <c r="AJ29" s="24" t="s">
        <v>117</v>
      </c>
      <c r="AK29" s="25" t="s">
        <v>374</v>
      </c>
    </row>
    <row r="30" spans="1:37" ht="15" customHeight="1">
      <c r="A30" s="84">
        <v>225230</v>
      </c>
      <c r="B30" s="30" t="s">
        <v>180</v>
      </c>
      <c r="C30" s="74">
        <v>40</v>
      </c>
      <c r="D30" s="75" t="s">
        <v>113</v>
      </c>
      <c r="E30" s="76">
        <v>23</v>
      </c>
      <c r="F30" s="77" t="s">
        <v>113</v>
      </c>
      <c r="G30" s="76">
        <v>44</v>
      </c>
      <c r="H30" s="77" t="s">
        <v>113</v>
      </c>
      <c r="I30" s="78">
        <v>24</v>
      </c>
      <c r="J30" s="77" t="s">
        <v>110</v>
      </c>
      <c r="K30" s="76">
        <v>23</v>
      </c>
      <c r="L30" s="77" t="s">
        <v>113</v>
      </c>
      <c r="M30" s="76">
        <v>46</v>
      </c>
      <c r="N30" s="77" t="s">
        <v>113</v>
      </c>
      <c r="O30" s="79">
        <v>20</v>
      </c>
      <c r="P30" s="77" t="s">
        <v>110</v>
      </c>
      <c r="Q30" s="76">
        <v>23</v>
      </c>
      <c r="R30" s="77" t="s">
        <v>113</v>
      </c>
      <c r="S30" s="76">
        <v>23</v>
      </c>
      <c r="T30" s="77" t="s">
        <v>113</v>
      </c>
      <c r="U30" s="79">
        <v>18</v>
      </c>
      <c r="V30" s="77" t="s">
        <v>110</v>
      </c>
      <c r="W30" s="76">
        <v>23</v>
      </c>
      <c r="X30" s="77" t="s">
        <v>113</v>
      </c>
      <c r="Y30" s="79">
        <v>41</v>
      </c>
      <c r="Z30" s="77" t="s">
        <v>113</v>
      </c>
      <c r="AA30" s="76">
        <v>23</v>
      </c>
      <c r="AB30" s="77" t="s">
        <v>113</v>
      </c>
      <c r="AC30" s="76">
        <v>20</v>
      </c>
      <c r="AD30" s="77" t="s">
        <v>113</v>
      </c>
      <c r="AE30" s="79">
        <v>26</v>
      </c>
      <c r="AF30" s="77" t="s">
        <v>113</v>
      </c>
      <c r="AG30" s="76">
        <v>23</v>
      </c>
      <c r="AH30" s="77" t="s">
        <v>113</v>
      </c>
      <c r="AI30" s="81">
        <v>440</v>
      </c>
      <c r="AJ30" s="24" t="s">
        <v>111</v>
      </c>
      <c r="AK30" s="25" t="s">
        <v>115</v>
      </c>
    </row>
    <row r="31" spans="1:37" ht="15" customHeight="1">
      <c r="A31" s="84">
        <v>225231</v>
      </c>
      <c r="B31" s="30" t="s">
        <v>181</v>
      </c>
      <c r="C31" s="74">
        <v>70</v>
      </c>
      <c r="D31" s="75" t="s">
        <v>114</v>
      </c>
      <c r="E31" s="76">
        <v>20</v>
      </c>
      <c r="F31" s="77" t="s">
        <v>114</v>
      </c>
      <c r="G31" s="76">
        <v>41</v>
      </c>
      <c r="H31" s="77" t="s">
        <v>114</v>
      </c>
      <c r="I31" s="78">
        <v>66</v>
      </c>
      <c r="J31" s="77" t="s">
        <v>114</v>
      </c>
      <c r="K31" s="76">
        <v>21</v>
      </c>
      <c r="L31" s="77" t="s">
        <v>114</v>
      </c>
      <c r="M31" s="76">
        <v>44</v>
      </c>
      <c r="N31" s="77" t="s">
        <v>114</v>
      </c>
      <c r="O31" s="79">
        <v>67</v>
      </c>
      <c r="P31" s="77" t="s">
        <v>114</v>
      </c>
      <c r="Q31" s="76">
        <v>20</v>
      </c>
      <c r="R31" s="77" t="s">
        <v>114</v>
      </c>
      <c r="S31" s="76">
        <v>21</v>
      </c>
      <c r="T31" s="77" t="s">
        <v>114</v>
      </c>
      <c r="U31" s="79">
        <v>79</v>
      </c>
      <c r="V31" s="77" t="s">
        <v>114</v>
      </c>
      <c r="W31" s="76">
        <v>23</v>
      </c>
      <c r="X31" s="77" t="s">
        <v>114</v>
      </c>
      <c r="Y31" s="79">
        <v>72</v>
      </c>
      <c r="Z31" s="77" t="s">
        <v>114</v>
      </c>
      <c r="AA31" s="76">
        <v>21</v>
      </c>
      <c r="AB31" s="77" t="s">
        <v>114</v>
      </c>
      <c r="AC31" s="76">
        <v>20</v>
      </c>
      <c r="AD31" s="77" t="s">
        <v>114</v>
      </c>
      <c r="AE31" s="79">
        <v>31</v>
      </c>
      <c r="AF31" s="77" t="s">
        <v>114</v>
      </c>
      <c r="AG31" s="76">
        <v>23</v>
      </c>
      <c r="AH31" s="77" t="s">
        <v>114</v>
      </c>
      <c r="AI31" s="81">
        <v>639</v>
      </c>
      <c r="AJ31" s="24" t="s">
        <v>117</v>
      </c>
      <c r="AK31" s="25" t="s">
        <v>375</v>
      </c>
    </row>
    <row r="32" spans="1:37" ht="15" customHeight="1">
      <c r="A32" s="84">
        <v>225232</v>
      </c>
      <c r="B32" s="30" t="s">
        <v>182</v>
      </c>
      <c r="C32" s="74">
        <v>66</v>
      </c>
      <c r="D32" s="75" t="s">
        <v>114</v>
      </c>
      <c r="E32" s="76">
        <v>21</v>
      </c>
      <c r="F32" s="77" t="s">
        <v>114</v>
      </c>
      <c r="G32" s="76">
        <v>43</v>
      </c>
      <c r="H32" s="77" t="s">
        <v>114</v>
      </c>
      <c r="I32" s="78">
        <v>45</v>
      </c>
      <c r="J32" s="77" t="s">
        <v>114</v>
      </c>
      <c r="K32" s="76">
        <v>21</v>
      </c>
      <c r="L32" s="77" t="s">
        <v>114</v>
      </c>
      <c r="M32" s="76">
        <v>44</v>
      </c>
      <c r="N32" s="77" t="s">
        <v>114</v>
      </c>
      <c r="O32" s="79">
        <v>40</v>
      </c>
      <c r="P32" s="77" t="s">
        <v>114</v>
      </c>
      <c r="Q32" s="76">
        <v>21</v>
      </c>
      <c r="R32" s="77" t="s">
        <v>114</v>
      </c>
      <c r="S32" s="76">
        <v>23</v>
      </c>
      <c r="T32" s="77" t="s">
        <v>114</v>
      </c>
      <c r="U32" s="79">
        <v>63</v>
      </c>
      <c r="V32" s="77" t="s">
        <v>114</v>
      </c>
      <c r="W32" s="76">
        <v>22</v>
      </c>
      <c r="X32" s="77" t="s">
        <v>114</v>
      </c>
      <c r="Y32" s="79">
        <v>54</v>
      </c>
      <c r="Z32" s="77" t="s">
        <v>114</v>
      </c>
      <c r="AA32" s="76">
        <v>21</v>
      </c>
      <c r="AB32" s="77" t="s">
        <v>114</v>
      </c>
      <c r="AC32" s="76">
        <v>22</v>
      </c>
      <c r="AD32" s="77" t="s">
        <v>114</v>
      </c>
      <c r="AE32" s="79">
        <v>29</v>
      </c>
      <c r="AF32" s="77" t="s">
        <v>114</v>
      </c>
      <c r="AG32" s="76">
        <v>22</v>
      </c>
      <c r="AH32" s="77" t="s">
        <v>114</v>
      </c>
      <c r="AI32" s="81">
        <v>557</v>
      </c>
      <c r="AJ32" s="24" t="s">
        <v>117</v>
      </c>
      <c r="AK32" s="25" t="s">
        <v>351</v>
      </c>
    </row>
    <row r="33" spans="1:37" ht="15" customHeight="1">
      <c r="A33" s="84">
        <v>225233</v>
      </c>
      <c r="B33" s="30" t="s">
        <v>183</v>
      </c>
      <c r="C33" s="74">
        <v>40</v>
      </c>
      <c r="D33" s="75" t="s">
        <v>113</v>
      </c>
      <c r="E33" s="76">
        <v>19</v>
      </c>
      <c r="F33" s="77" t="s">
        <v>113</v>
      </c>
      <c r="G33" s="76">
        <v>41</v>
      </c>
      <c r="H33" s="77" t="s">
        <v>113</v>
      </c>
      <c r="I33" s="78">
        <v>40</v>
      </c>
      <c r="J33" s="77" t="s">
        <v>113</v>
      </c>
      <c r="K33" s="76">
        <v>23</v>
      </c>
      <c r="L33" s="77" t="s">
        <v>113</v>
      </c>
      <c r="M33" s="76">
        <v>36</v>
      </c>
      <c r="N33" s="77" t="s">
        <v>113</v>
      </c>
      <c r="O33" s="79">
        <v>40</v>
      </c>
      <c r="P33" s="77" t="s">
        <v>113</v>
      </c>
      <c r="Q33" s="76">
        <v>19</v>
      </c>
      <c r="R33" s="77" t="s">
        <v>113</v>
      </c>
      <c r="S33" s="76">
        <v>21</v>
      </c>
      <c r="T33" s="77" t="s">
        <v>113</v>
      </c>
      <c r="U33" s="79">
        <v>51</v>
      </c>
      <c r="V33" s="77" t="s">
        <v>113</v>
      </c>
      <c r="W33" s="76">
        <v>23</v>
      </c>
      <c r="X33" s="77" t="s">
        <v>113</v>
      </c>
      <c r="Y33" s="79">
        <v>16</v>
      </c>
      <c r="Z33" s="77" t="s">
        <v>110</v>
      </c>
      <c r="AA33" s="76">
        <v>23</v>
      </c>
      <c r="AB33" s="77" t="s">
        <v>113</v>
      </c>
      <c r="AC33" s="76">
        <v>15</v>
      </c>
      <c r="AD33" s="77" t="s">
        <v>113</v>
      </c>
      <c r="AE33" s="79">
        <v>20</v>
      </c>
      <c r="AF33" s="77" t="s">
        <v>113</v>
      </c>
      <c r="AG33" s="76">
        <v>20</v>
      </c>
      <c r="AH33" s="77" t="s">
        <v>113</v>
      </c>
      <c r="AI33" s="81">
        <v>447</v>
      </c>
      <c r="AJ33" s="24" t="s">
        <v>111</v>
      </c>
      <c r="AK33" s="25" t="s">
        <v>128</v>
      </c>
    </row>
    <row r="34" spans="1:37" ht="15" customHeight="1">
      <c r="A34" s="84">
        <v>225234</v>
      </c>
      <c r="B34" s="30" t="s">
        <v>184</v>
      </c>
      <c r="C34" s="74">
        <v>56</v>
      </c>
      <c r="D34" s="75" t="s">
        <v>114</v>
      </c>
      <c r="E34" s="76">
        <v>22</v>
      </c>
      <c r="F34" s="77" t="s">
        <v>114</v>
      </c>
      <c r="G34" s="76">
        <v>41</v>
      </c>
      <c r="H34" s="77" t="s">
        <v>114</v>
      </c>
      <c r="I34" s="78">
        <v>67</v>
      </c>
      <c r="J34" s="77" t="s">
        <v>114</v>
      </c>
      <c r="K34" s="76">
        <v>19</v>
      </c>
      <c r="L34" s="77" t="s">
        <v>114</v>
      </c>
      <c r="M34" s="76">
        <v>38</v>
      </c>
      <c r="N34" s="77" t="s">
        <v>114</v>
      </c>
      <c r="O34" s="79">
        <v>41</v>
      </c>
      <c r="P34" s="77" t="s">
        <v>114</v>
      </c>
      <c r="Q34" s="76">
        <v>22</v>
      </c>
      <c r="R34" s="77" t="s">
        <v>114</v>
      </c>
      <c r="S34" s="76">
        <v>21</v>
      </c>
      <c r="T34" s="77" t="s">
        <v>114</v>
      </c>
      <c r="U34" s="79">
        <v>72</v>
      </c>
      <c r="V34" s="77" t="s">
        <v>114</v>
      </c>
      <c r="W34" s="76">
        <v>20</v>
      </c>
      <c r="X34" s="77" t="s">
        <v>114</v>
      </c>
      <c r="Y34" s="79">
        <v>48</v>
      </c>
      <c r="Z34" s="77" t="s">
        <v>114</v>
      </c>
      <c r="AA34" s="76">
        <v>19</v>
      </c>
      <c r="AB34" s="77" t="s">
        <v>114</v>
      </c>
      <c r="AC34" s="76">
        <v>18</v>
      </c>
      <c r="AD34" s="77" t="s">
        <v>114</v>
      </c>
      <c r="AE34" s="79">
        <v>34</v>
      </c>
      <c r="AF34" s="77" t="s">
        <v>114</v>
      </c>
      <c r="AG34" s="76">
        <v>20</v>
      </c>
      <c r="AH34" s="77" t="s">
        <v>114</v>
      </c>
      <c r="AI34" s="81">
        <v>558</v>
      </c>
      <c r="AJ34" s="24" t="s">
        <v>117</v>
      </c>
      <c r="AK34" s="25" t="s">
        <v>376</v>
      </c>
    </row>
    <row r="35" spans="1:37" ht="15" customHeight="1">
      <c r="A35" s="84">
        <v>225235</v>
      </c>
      <c r="B35" s="30" t="s">
        <v>185</v>
      </c>
      <c r="C35" s="74">
        <v>78</v>
      </c>
      <c r="D35" s="75" t="s">
        <v>114</v>
      </c>
      <c r="E35" s="76">
        <v>23</v>
      </c>
      <c r="F35" s="77" t="s">
        <v>114</v>
      </c>
      <c r="G35" s="76">
        <v>41</v>
      </c>
      <c r="H35" s="77" t="s">
        <v>114</v>
      </c>
      <c r="I35" s="78">
        <v>70</v>
      </c>
      <c r="J35" s="77" t="s">
        <v>114</v>
      </c>
      <c r="K35" s="76">
        <v>23</v>
      </c>
      <c r="L35" s="77" t="s">
        <v>114</v>
      </c>
      <c r="M35" s="76">
        <v>44</v>
      </c>
      <c r="N35" s="77" t="s">
        <v>114</v>
      </c>
      <c r="O35" s="79">
        <v>60</v>
      </c>
      <c r="P35" s="77" t="s">
        <v>114</v>
      </c>
      <c r="Q35" s="76">
        <v>23</v>
      </c>
      <c r="R35" s="77" t="s">
        <v>114</v>
      </c>
      <c r="S35" s="76">
        <v>21</v>
      </c>
      <c r="T35" s="77" t="s">
        <v>114</v>
      </c>
      <c r="U35" s="79">
        <v>66</v>
      </c>
      <c r="V35" s="77" t="s">
        <v>114</v>
      </c>
      <c r="W35" s="76">
        <v>23</v>
      </c>
      <c r="X35" s="77" t="s">
        <v>114</v>
      </c>
      <c r="Y35" s="79">
        <v>66</v>
      </c>
      <c r="Z35" s="77" t="s">
        <v>114</v>
      </c>
      <c r="AA35" s="76">
        <v>23</v>
      </c>
      <c r="AB35" s="77" t="s">
        <v>114</v>
      </c>
      <c r="AC35" s="76">
        <v>17</v>
      </c>
      <c r="AD35" s="77" t="s">
        <v>114</v>
      </c>
      <c r="AE35" s="79">
        <v>29</v>
      </c>
      <c r="AF35" s="77" t="s">
        <v>114</v>
      </c>
      <c r="AG35" s="76">
        <v>23</v>
      </c>
      <c r="AH35" s="77" t="s">
        <v>114</v>
      </c>
      <c r="AI35" s="81">
        <v>630</v>
      </c>
      <c r="AJ35" s="24" t="s">
        <v>117</v>
      </c>
      <c r="AK35" s="25" t="s">
        <v>377</v>
      </c>
    </row>
    <row r="36" spans="1:37" ht="15" customHeight="1">
      <c r="A36" s="84">
        <v>225236</v>
      </c>
      <c r="B36" s="30" t="s">
        <v>186</v>
      </c>
      <c r="C36" s="74">
        <v>50</v>
      </c>
      <c r="D36" s="75" t="s">
        <v>114</v>
      </c>
      <c r="E36" s="76">
        <v>20</v>
      </c>
      <c r="F36" s="77" t="s">
        <v>114</v>
      </c>
      <c r="G36" s="76">
        <v>43</v>
      </c>
      <c r="H36" s="77" t="s">
        <v>114</v>
      </c>
      <c r="I36" s="78">
        <v>53</v>
      </c>
      <c r="J36" s="77" t="s">
        <v>114</v>
      </c>
      <c r="K36" s="76">
        <v>22</v>
      </c>
      <c r="L36" s="77" t="s">
        <v>114</v>
      </c>
      <c r="M36" s="76">
        <v>46</v>
      </c>
      <c r="N36" s="77" t="s">
        <v>114</v>
      </c>
      <c r="O36" s="79">
        <v>49</v>
      </c>
      <c r="P36" s="77" t="s">
        <v>114</v>
      </c>
      <c r="Q36" s="76">
        <v>20</v>
      </c>
      <c r="R36" s="77" t="s">
        <v>114</v>
      </c>
      <c r="S36" s="76">
        <v>23</v>
      </c>
      <c r="T36" s="77" t="s">
        <v>114</v>
      </c>
      <c r="U36" s="79">
        <v>57</v>
      </c>
      <c r="V36" s="77" t="s">
        <v>114</v>
      </c>
      <c r="W36" s="76">
        <v>19</v>
      </c>
      <c r="X36" s="77" t="s">
        <v>114</v>
      </c>
      <c r="Y36" s="79">
        <v>52</v>
      </c>
      <c r="Z36" s="77" t="s">
        <v>114</v>
      </c>
      <c r="AA36" s="76">
        <v>22</v>
      </c>
      <c r="AB36" s="77" t="s">
        <v>114</v>
      </c>
      <c r="AC36" s="76">
        <v>16</v>
      </c>
      <c r="AD36" s="77" t="s">
        <v>114</v>
      </c>
      <c r="AE36" s="79">
        <v>25</v>
      </c>
      <c r="AF36" s="77" t="s">
        <v>114</v>
      </c>
      <c r="AG36" s="76">
        <v>20</v>
      </c>
      <c r="AH36" s="77" t="s">
        <v>114</v>
      </c>
      <c r="AI36" s="81">
        <v>537</v>
      </c>
      <c r="AJ36" s="24" t="s">
        <v>117</v>
      </c>
      <c r="AK36" s="25" t="s">
        <v>378</v>
      </c>
    </row>
    <row r="37" spans="1:37" ht="15" customHeight="1">
      <c r="A37" s="84">
        <v>225237</v>
      </c>
      <c r="B37" s="30" t="s">
        <v>187</v>
      </c>
      <c r="C37" s="74">
        <v>63</v>
      </c>
      <c r="D37" s="75" t="s">
        <v>114</v>
      </c>
      <c r="E37" s="76">
        <v>22</v>
      </c>
      <c r="F37" s="77" t="s">
        <v>114</v>
      </c>
      <c r="G37" s="76">
        <v>42</v>
      </c>
      <c r="H37" s="77" t="s">
        <v>114</v>
      </c>
      <c r="I37" s="78">
        <v>42</v>
      </c>
      <c r="J37" s="77" t="s">
        <v>114</v>
      </c>
      <c r="K37" s="76">
        <v>20</v>
      </c>
      <c r="L37" s="77" t="s">
        <v>114</v>
      </c>
      <c r="M37" s="76">
        <v>42</v>
      </c>
      <c r="N37" s="77" t="s">
        <v>114</v>
      </c>
      <c r="O37" s="79">
        <v>40</v>
      </c>
      <c r="P37" s="77" t="s">
        <v>114</v>
      </c>
      <c r="Q37" s="76">
        <v>22</v>
      </c>
      <c r="R37" s="77" t="s">
        <v>114</v>
      </c>
      <c r="S37" s="76">
        <v>22</v>
      </c>
      <c r="T37" s="77" t="s">
        <v>114</v>
      </c>
      <c r="U37" s="79">
        <v>47</v>
      </c>
      <c r="V37" s="77" t="s">
        <v>114</v>
      </c>
      <c r="W37" s="76">
        <v>16</v>
      </c>
      <c r="X37" s="77" t="s">
        <v>114</v>
      </c>
      <c r="Y37" s="79">
        <v>50</v>
      </c>
      <c r="Z37" s="77" t="s">
        <v>114</v>
      </c>
      <c r="AA37" s="76">
        <v>20</v>
      </c>
      <c r="AB37" s="77" t="s">
        <v>114</v>
      </c>
      <c r="AC37" s="76">
        <v>19</v>
      </c>
      <c r="AD37" s="77" t="s">
        <v>114</v>
      </c>
      <c r="AE37" s="79">
        <v>32</v>
      </c>
      <c r="AF37" s="77" t="s">
        <v>114</v>
      </c>
      <c r="AG37" s="76">
        <v>16</v>
      </c>
      <c r="AH37" s="77" t="s">
        <v>114</v>
      </c>
      <c r="AI37" s="81">
        <v>515</v>
      </c>
      <c r="AJ37" s="24" t="s">
        <v>117</v>
      </c>
      <c r="AK37" s="25" t="s">
        <v>379</v>
      </c>
    </row>
    <row r="38" spans="1:37" ht="15" customHeight="1">
      <c r="A38" s="84">
        <v>225238</v>
      </c>
      <c r="B38" s="30" t="s">
        <v>188</v>
      </c>
      <c r="C38" s="74">
        <v>64</v>
      </c>
      <c r="D38" s="75" t="s">
        <v>114</v>
      </c>
      <c r="E38" s="76">
        <v>20</v>
      </c>
      <c r="F38" s="77" t="s">
        <v>114</v>
      </c>
      <c r="G38" s="76">
        <v>40</v>
      </c>
      <c r="H38" s="77" t="s">
        <v>114</v>
      </c>
      <c r="I38" s="78">
        <v>56</v>
      </c>
      <c r="J38" s="77" t="s">
        <v>114</v>
      </c>
      <c r="K38" s="76">
        <v>21</v>
      </c>
      <c r="L38" s="77" t="s">
        <v>114</v>
      </c>
      <c r="M38" s="76">
        <v>42</v>
      </c>
      <c r="N38" s="77" t="s">
        <v>114</v>
      </c>
      <c r="O38" s="79">
        <v>41</v>
      </c>
      <c r="P38" s="77" t="s">
        <v>114</v>
      </c>
      <c r="Q38" s="76">
        <v>20</v>
      </c>
      <c r="R38" s="77" t="s">
        <v>114</v>
      </c>
      <c r="S38" s="76">
        <v>20</v>
      </c>
      <c r="T38" s="77" t="s">
        <v>114</v>
      </c>
      <c r="U38" s="79">
        <v>65</v>
      </c>
      <c r="V38" s="77" t="s">
        <v>114</v>
      </c>
      <c r="W38" s="76">
        <v>16</v>
      </c>
      <c r="X38" s="77" t="s">
        <v>114</v>
      </c>
      <c r="Y38" s="79">
        <v>46</v>
      </c>
      <c r="Z38" s="77" t="s">
        <v>114</v>
      </c>
      <c r="AA38" s="76">
        <v>21</v>
      </c>
      <c r="AB38" s="77" t="s">
        <v>114</v>
      </c>
      <c r="AC38" s="76">
        <v>16</v>
      </c>
      <c r="AD38" s="77" t="s">
        <v>114</v>
      </c>
      <c r="AE38" s="79">
        <v>27</v>
      </c>
      <c r="AF38" s="77" t="s">
        <v>114</v>
      </c>
      <c r="AG38" s="76">
        <v>18</v>
      </c>
      <c r="AH38" s="77" t="s">
        <v>114</v>
      </c>
      <c r="AI38" s="81">
        <v>533</v>
      </c>
      <c r="AJ38" s="24" t="s">
        <v>117</v>
      </c>
      <c r="AK38" s="25" t="s">
        <v>380</v>
      </c>
    </row>
    <row r="39" spans="1:37" ht="15" customHeight="1">
      <c r="A39" s="84">
        <v>225239</v>
      </c>
      <c r="B39" s="30" t="s">
        <v>189</v>
      </c>
      <c r="C39" s="74">
        <v>65</v>
      </c>
      <c r="D39" s="75" t="s">
        <v>114</v>
      </c>
      <c r="E39" s="76">
        <v>21</v>
      </c>
      <c r="F39" s="77" t="s">
        <v>114</v>
      </c>
      <c r="G39" s="76">
        <v>43</v>
      </c>
      <c r="H39" s="77" t="s">
        <v>114</v>
      </c>
      <c r="I39" s="78">
        <v>60</v>
      </c>
      <c r="J39" s="77" t="s">
        <v>114</v>
      </c>
      <c r="K39" s="76">
        <v>24</v>
      </c>
      <c r="L39" s="77" t="s">
        <v>114</v>
      </c>
      <c r="M39" s="76">
        <v>46</v>
      </c>
      <c r="N39" s="77" t="s">
        <v>114</v>
      </c>
      <c r="O39" s="79">
        <v>41</v>
      </c>
      <c r="P39" s="77" t="s">
        <v>114</v>
      </c>
      <c r="Q39" s="76">
        <v>21</v>
      </c>
      <c r="R39" s="77" t="s">
        <v>114</v>
      </c>
      <c r="S39" s="76">
        <v>23</v>
      </c>
      <c r="T39" s="77" t="s">
        <v>114</v>
      </c>
      <c r="U39" s="79">
        <v>65</v>
      </c>
      <c r="V39" s="77" t="s">
        <v>114</v>
      </c>
      <c r="W39" s="76">
        <v>24</v>
      </c>
      <c r="X39" s="77" t="s">
        <v>114</v>
      </c>
      <c r="Y39" s="79">
        <v>63</v>
      </c>
      <c r="Z39" s="77" t="s">
        <v>114</v>
      </c>
      <c r="AA39" s="76">
        <v>23</v>
      </c>
      <c r="AB39" s="77" t="s">
        <v>114</v>
      </c>
      <c r="AC39" s="76">
        <v>23</v>
      </c>
      <c r="AD39" s="77" t="s">
        <v>114</v>
      </c>
      <c r="AE39" s="79">
        <v>31</v>
      </c>
      <c r="AF39" s="77" t="s">
        <v>114</v>
      </c>
      <c r="AG39" s="76">
        <v>23</v>
      </c>
      <c r="AH39" s="77" t="s">
        <v>114</v>
      </c>
      <c r="AI39" s="81">
        <v>596</v>
      </c>
      <c r="AJ39" s="24" t="s">
        <v>117</v>
      </c>
      <c r="AK39" s="25" t="s">
        <v>381</v>
      </c>
    </row>
    <row r="40" spans="1:37" ht="15" customHeight="1">
      <c r="A40" s="84">
        <v>225240</v>
      </c>
      <c r="B40" s="30" t="s">
        <v>190</v>
      </c>
      <c r="C40" s="74">
        <v>63</v>
      </c>
      <c r="D40" s="75" t="s">
        <v>114</v>
      </c>
      <c r="E40" s="76">
        <v>22</v>
      </c>
      <c r="F40" s="77" t="s">
        <v>114</v>
      </c>
      <c r="G40" s="76">
        <v>43</v>
      </c>
      <c r="H40" s="77" t="s">
        <v>114</v>
      </c>
      <c r="I40" s="78">
        <v>50</v>
      </c>
      <c r="J40" s="77" t="s">
        <v>114</v>
      </c>
      <c r="K40" s="76">
        <v>19</v>
      </c>
      <c r="L40" s="77" t="s">
        <v>114</v>
      </c>
      <c r="M40" s="76">
        <v>42</v>
      </c>
      <c r="N40" s="77" t="s">
        <v>114</v>
      </c>
      <c r="O40" s="79">
        <v>40</v>
      </c>
      <c r="P40" s="77" t="s">
        <v>114</v>
      </c>
      <c r="Q40" s="76">
        <v>22</v>
      </c>
      <c r="R40" s="77" t="s">
        <v>114</v>
      </c>
      <c r="S40" s="76">
        <v>23</v>
      </c>
      <c r="T40" s="77" t="s">
        <v>114</v>
      </c>
      <c r="U40" s="79">
        <v>46</v>
      </c>
      <c r="V40" s="77" t="s">
        <v>114</v>
      </c>
      <c r="W40" s="76">
        <v>22</v>
      </c>
      <c r="X40" s="77" t="s">
        <v>114</v>
      </c>
      <c r="Y40" s="79">
        <v>64</v>
      </c>
      <c r="Z40" s="77" t="s">
        <v>114</v>
      </c>
      <c r="AA40" s="76">
        <v>19</v>
      </c>
      <c r="AB40" s="77" t="s">
        <v>114</v>
      </c>
      <c r="AC40" s="76">
        <v>20</v>
      </c>
      <c r="AD40" s="77" t="s">
        <v>114</v>
      </c>
      <c r="AE40" s="79">
        <v>34</v>
      </c>
      <c r="AF40" s="77" t="s">
        <v>114</v>
      </c>
      <c r="AG40" s="76">
        <v>22</v>
      </c>
      <c r="AH40" s="77" t="s">
        <v>114</v>
      </c>
      <c r="AI40" s="81">
        <v>551</v>
      </c>
      <c r="AJ40" s="24" t="s">
        <v>117</v>
      </c>
      <c r="AK40" s="25" t="s">
        <v>382</v>
      </c>
    </row>
    <row r="41" spans="1:37" ht="15" customHeight="1">
      <c r="A41" s="84">
        <v>225241</v>
      </c>
      <c r="B41" s="30" t="s">
        <v>191</v>
      </c>
      <c r="C41" s="74">
        <v>47</v>
      </c>
      <c r="D41" s="75" t="s">
        <v>113</v>
      </c>
      <c r="E41" s="76">
        <v>23</v>
      </c>
      <c r="F41" s="77" t="s">
        <v>113</v>
      </c>
      <c r="G41" s="76">
        <v>44</v>
      </c>
      <c r="H41" s="77" t="s">
        <v>113</v>
      </c>
      <c r="I41" s="78">
        <v>46</v>
      </c>
      <c r="J41" s="77" t="s">
        <v>113</v>
      </c>
      <c r="K41" s="76">
        <v>23</v>
      </c>
      <c r="L41" s="77" t="s">
        <v>113</v>
      </c>
      <c r="M41" s="76">
        <v>42</v>
      </c>
      <c r="N41" s="77" t="s">
        <v>113</v>
      </c>
      <c r="O41" s="79">
        <v>30</v>
      </c>
      <c r="P41" s="77" t="s">
        <v>110</v>
      </c>
      <c r="Q41" s="76">
        <v>23</v>
      </c>
      <c r="R41" s="77" t="s">
        <v>113</v>
      </c>
      <c r="S41" s="76">
        <v>22</v>
      </c>
      <c r="T41" s="77" t="s">
        <v>113</v>
      </c>
      <c r="U41" s="79">
        <v>32</v>
      </c>
      <c r="V41" s="77" t="s">
        <v>110</v>
      </c>
      <c r="W41" s="76">
        <v>24</v>
      </c>
      <c r="X41" s="77" t="s">
        <v>113</v>
      </c>
      <c r="Y41" s="79">
        <v>57</v>
      </c>
      <c r="Z41" s="77" t="s">
        <v>113</v>
      </c>
      <c r="AA41" s="76">
        <v>23</v>
      </c>
      <c r="AB41" s="77" t="s">
        <v>113</v>
      </c>
      <c r="AC41" s="76">
        <v>21</v>
      </c>
      <c r="AD41" s="77" t="s">
        <v>113</v>
      </c>
      <c r="AE41" s="79">
        <v>24</v>
      </c>
      <c r="AF41" s="77" t="s">
        <v>113</v>
      </c>
      <c r="AG41" s="76">
        <v>23</v>
      </c>
      <c r="AH41" s="77" t="s">
        <v>113</v>
      </c>
      <c r="AI41" s="81">
        <v>504</v>
      </c>
      <c r="AJ41" s="24" t="s">
        <v>111</v>
      </c>
      <c r="AK41" s="25" t="s">
        <v>127</v>
      </c>
    </row>
    <row r="42" spans="1:37" ht="15" customHeight="1">
      <c r="A42" s="84">
        <v>225242</v>
      </c>
      <c r="B42" s="30" t="s">
        <v>192</v>
      </c>
      <c r="C42" s="74">
        <v>59</v>
      </c>
      <c r="D42" s="75" t="s">
        <v>114</v>
      </c>
      <c r="E42" s="76">
        <v>20</v>
      </c>
      <c r="F42" s="77" t="s">
        <v>114</v>
      </c>
      <c r="G42" s="76">
        <v>37</v>
      </c>
      <c r="H42" s="77" t="s">
        <v>114</v>
      </c>
      <c r="I42" s="78">
        <v>63</v>
      </c>
      <c r="J42" s="77" t="s">
        <v>114</v>
      </c>
      <c r="K42" s="76">
        <v>23</v>
      </c>
      <c r="L42" s="77" t="s">
        <v>114</v>
      </c>
      <c r="M42" s="76">
        <v>46</v>
      </c>
      <c r="N42" s="77" t="s">
        <v>114</v>
      </c>
      <c r="O42" s="79">
        <v>55</v>
      </c>
      <c r="P42" s="77" t="s">
        <v>114</v>
      </c>
      <c r="Q42" s="76">
        <v>20</v>
      </c>
      <c r="R42" s="77" t="s">
        <v>114</v>
      </c>
      <c r="S42" s="76">
        <v>20</v>
      </c>
      <c r="T42" s="77" t="s">
        <v>114</v>
      </c>
      <c r="U42" s="79">
        <v>65</v>
      </c>
      <c r="V42" s="77" t="s">
        <v>114</v>
      </c>
      <c r="W42" s="76">
        <v>23</v>
      </c>
      <c r="X42" s="77" t="s">
        <v>114</v>
      </c>
      <c r="Y42" s="79">
        <v>56</v>
      </c>
      <c r="Z42" s="77" t="s">
        <v>114</v>
      </c>
      <c r="AA42" s="76">
        <v>23</v>
      </c>
      <c r="AB42" s="77" t="s">
        <v>114</v>
      </c>
      <c r="AC42" s="76">
        <v>18</v>
      </c>
      <c r="AD42" s="77" t="s">
        <v>114</v>
      </c>
      <c r="AE42" s="79">
        <v>29</v>
      </c>
      <c r="AF42" s="77" t="s">
        <v>114</v>
      </c>
      <c r="AG42" s="76">
        <v>22</v>
      </c>
      <c r="AH42" s="77" t="s">
        <v>114</v>
      </c>
      <c r="AI42" s="81">
        <v>579</v>
      </c>
      <c r="AJ42" s="24" t="s">
        <v>117</v>
      </c>
      <c r="AK42" s="25" t="s">
        <v>355</v>
      </c>
    </row>
    <row r="43" spans="1:37" ht="15" customHeight="1">
      <c r="A43" s="84">
        <v>225243</v>
      </c>
      <c r="B43" s="31" t="s">
        <v>193</v>
      </c>
      <c r="C43" s="74">
        <v>61</v>
      </c>
      <c r="D43" s="75" t="s">
        <v>114</v>
      </c>
      <c r="E43" s="76">
        <v>21</v>
      </c>
      <c r="F43" s="77" t="s">
        <v>114</v>
      </c>
      <c r="G43" s="76">
        <v>41</v>
      </c>
      <c r="H43" s="77" t="s">
        <v>114</v>
      </c>
      <c r="I43" s="78">
        <v>61</v>
      </c>
      <c r="J43" s="77" t="s">
        <v>114</v>
      </c>
      <c r="K43" s="76">
        <v>22</v>
      </c>
      <c r="L43" s="77" t="s">
        <v>114</v>
      </c>
      <c r="M43" s="76">
        <v>44</v>
      </c>
      <c r="N43" s="77" t="s">
        <v>114</v>
      </c>
      <c r="O43" s="79">
        <v>65</v>
      </c>
      <c r="P43" s="77" t="s">
        <v>114</v>
      </c>
      <c r="Q43" s="76">
        <v>21</v>
      </c>
      <c r="R43" s="77" t="s">
        <v>114</v>
      </c>
      <c r="S43" s="76">
        <v>21</v>
      </c>
      <c r="T43" s="77" t="s">
        <v>114</v>
      </c>
      <c r="U43" s="79">
        <v>64</v>
      </c>
      <c r="V43" s="77" t="s">
        <v>114</v>
      </c>
      <c r="W43" s="76">
        <v>21</v>
      </c>
      <c r="X43" s="77" t="s">
        <v>114</v>
      </c>
      <c r="Y43" s="79">
        <v>69</v>
      </c>
      <c r="Z43" s="77" t="s">
        <v>114</v>
      </c>
      <c r="AA43" s="76">
        <v>22</v>
      </c>
      <c r="AB43" s="77" t="s">
        <v>114</v>
      </c>
      <c r="AC43" s="76">
        <v>23</v>
      </c>
      <c r="AD43" s="77" t="s">
        <v>114</v>
      </c>
      <c r="AE43" s="79">
        <v>34</v>
      </c>
      <c r="AF43" s="77" t="s">
        <v>114</v>
      </c>
      <c r="AG43" s="76">
        <v>23</v>
      </c>
      <c r="AH43" s="77" t="s">
        <v>114</v>
      </c>
      <c r="AI43" s="81">
        <v>613</v>
      </c>
      <c r="AJ43" s="24" t="s">
        <v>117</v>
      </c>
      <c r="AK43" s="25" t="s">
        <v>383</v>
      </c>
    </row>
    <row r="44" spans="1:37" ht="15" customHeight="1">
      <c r="A44" s="84">
        <v>225244</v>
      </c>
      <c r="B44" s="30" t="s">
        <v>194</v>
      </c>
      <c r="C44" s="74">
        <v>48</v>
      </c>
      <c r="D44" s="75" t="s">
        <v>113</v>
      </c>
      <c r="E44" s="76">
        <v>21</v>
      </c>
      <c r="F44" s="77" t="s">
        <v>113</v>
      </c>
      <c r="G44" s="76">
        <v>39</v>
      </c>
      <c r="H44" s="77" t="s">
        <v>113</v>
      </c>
      <c r="I44" s="78">
        <v>43</v>
      </c>
      <c r="J44" s="77" t="s">
        <v>113</v>
      </c>
      <c r="K44" s="76">
        <v>19</v>
      </c>
      <c r="L44" s="77" t="s">
        <v>113</v>
      </c>
      <c r="M44" s="76">
        <v>38</v>
      </c>
      <c r="N44" s="77" t="s">
        <v>113</v>
      </c>
      <c r="O44" s="79">
        <v>43</v>
      </c>
      <c r="P44" s="77" t="s">
        <v>113</v>
      </c>
      <c r="Q44" s="76">
        <v>20</v>
      </c>
      <c r="R44" s="77" t="s">
        <v>113</v>
      </c>
      <c r="S44" s="76">
        <v>20</v>
      </c>
      <c r="T44" s="77" t="s">
        <v>113</v>
      </c>
      <c r="U44" s="79">
        <v>48</v>
      </c>
      <c r="V44" s="77" t="s">
        <v>113</v>
      </c>
      <c r="W44" s="76">
        <v>21</v>
      </c>
      <c r="X44" s="77" t="s">
        <v>113</v>
      </c>
      <c r="Y44" s="79">
        <v>29</v>
      </c>
      <c r="Z44" s="77" t="s">
        <v>110</v>
      </c>
      <c r="AA44" s="76">
        <v>19</v>
      </c>
      <c r="AB44" s="77" t="s">
        <v>113</v>
      </c>
      <c r="AC44" s="76">
        <v>17</v>
      </c>
      <c r="AD44" s="77" t="s">
        <v>113</v>
      </c>
      <c r="AE44" s="79">
        <v>28</v>
      </c>
      <c r="AF44" s="77" t="s">
        <v>113</v>
      </c>
      <c r="AG44" s="76">
        <v>20</v>
      </c>
      <c r="AH44" s="77" t="s">
        <v>113</v>
      </c>
      <c r="AI44" s="81">
        <v>473</v>
      </c>
      <c r="AJ44" s="24" t="s">
        <v>111</v>
      </c>
      <c r="AK44" s="25" t="s">
        <v>384</v>
      </c>
    </row>
    <row r="45" spans="1:37" ht="15" customHeight="1">
      <c r="A45" s="84">
        <v>225245</v>
      </c>
      <c r="B45" s="30" t="s">
        <v>195</v>
      </c>
      <c r="C45" s="74">
        <v>40</v>
      </c>
      <c r="D45" s="75" t="s">
        <v>114</v>
      </c>
      <c r="E45" s="76">
        <v>20</v>
      </c>
      <c r="F45" s="77" t="s">
        <v>114</v>
      </c>
      <c r="G45" s="76">
        <v>39</v>
      </c>
      <c r="H45" s="77" t="s">
        <v>114</v>
      </c>
      <c r="I45" s="78">
        <v>40</v>
      </c>
      <c r="J45" s="77" t="s">
        <v>114</v>
      </c>
      <c r="K45" s="76">
        <v>20</v>
      </c>
      <c r="L45" s="77" t="s">
        <v>114</v>
      </c>
      <c r="M45" s="76">
        <v>42</v>
      </c>
      <c r="N45" s="77" t="s">
        <v>114</v>
      </c>
      <c r="O45" s="79" t="s">
        <v>338</v>
      </c>
      <c r="P45" s="77" t="s">
        <v>114</v>
      </c>
      <c r="Q45" s="76">
        <v>20</v>
      </c>
      <c r="R45" s="77" t="s">
        <v>114</v>
      </c>
      <c r="S45" s="76">
        <v>20</v>
      </c>
      <c r="T45" s="77" t="s">
        <v>114</v>
      </c>
      <c r="U45" s="79">
        <v>51</v>
      </c>
      <c r="V45" s="77" t="s">
        <v>114</v>
      </c>
      <c r="W45" s="76">
        <v>20</v>
      </c>
      <c r="X45" s="77" t="s">
        <v>114</v>
      </c>
      <c r="Y45" s="79">
        <v>40</v>
      </c>
      <c r="Z45" s="77" t="s">
        <v>114</v>
      </c>
      <c r="AA45" s="76">
        <v>21</v>
      </c>
      <c r="AB45" s="77" t="s">
        <v>114</v>
      </c>
      <c r="AC45" s="76">
        <v>20</v>
      </c>
      <c r="AD45" s="77" t="s">
        <v>114</v>
      </c>
      <c r="AE45" s="79">
        <v>20</v>
      </c>
      <c r="AF45" s="77" t="s">
        <v>114</v>
      </c>
      <c r="AG45" s="76">
        <v>20</v>
      </c>
      <c r="AH45" s="77" t="s">
        <v>114</v>
      </c>
      <c r="AI45" s="81" t="s">
        <v>339</v>
      </c>
      <c r="AJ45" s="24" t="s">
        <v>117</v>
      </c>
      <c r="AK45" s="25" t="s">
        <v>385</v>
      </c>
    </row>
    <row r="46" spans="1:37" ht="15" customHeight="1">
      <c r="A46" s="84">
        <v>225246</v>
      </c>
      <c r="B46" s="30" t="s">
        <v>196</v>
      </c>
      <c r="C46" s="74">
        <v>69</v>
      </c>
      <c r="D46" s="75" t="s">
        <v>114</v>
      </c>
      <c r="E46" s="76">
        <v>21</v>
      </c>
      <c r="F46" s="77" t="s">
        <v>114</v>
      </c>
      <c r="G46" s="76">
        <v>42</v>
      </c>
      <c r="H46" s="77" t="s">
        <v>114</v>
      </c>
      <c r="I46" s="78">
        <v>73</v>
      </c>
      <c r="J46" s="77" t="s">
        <v>114</v>
      </c>
      <c r="K46" s="76">
        <v>23</v>
      </c>
      <c r="L46" s="77" t="s">
        <v>114</v>
      </c>
      <c r="M46" s="76">
        <v>46</v>
      </c>
      <c r="N46" s="77" t="s">
        <v>114</v>
      </c>
      <c r="O46" s="79">
        <v>71</v>
      </c>
      <c r="P46" s="77" t="s">
        <v>114</v>
      </c>
      <c r="Q46" s="76">
        <v>21</v>
      </c>
      <c r="R46" s="77" t="s">
        <v>114</v>
      </c>
      <c r="S46" s="76">
        <v>22</v>
      </c>
      <c r="T46" s="77" t="s">
        <v>114</v>
      </c>
      <c r="U46" s="79">
        <v>75</v>
      </c>
      <c r="V46" s="77" t="s">
        <v>114</v>
      </c>
      <c r="W46" s="76">
        <v>24</v>
      </c>
      <c r="X46" s="77" t="s">
        <v>114</v>
      </c>
      <c r="Y46" s="79">
        <v>55</v>
      </c>
      <c r="Z46" s="77" t="s">
        <v>114</v>
      </c>
      <c r="AA46" s="76">
        <v>23</v>
      </c>
      <c r="AB46" s="77" t="s">
        <v>114</v>
      </c>
      <c r="AC46" s="76">
        <v>18</v>
      </c>
      <c r="AD46" s="77" t="s">
        <v>114</v>
      </c>
      <c r="AE46" s="79">
        <v>35</v>
      </c>
      <c r="AF46" s="77" t="s">
        <v>114</v>
      </c>
      <c r="AG46" s="76">
        <v>23</v>
      </c>
      <c r="AH46" s="77" t="s">
        <v>114</v>
      </c>
      <c r="AI46" s="81">
        <v>641</v>
      </c>
      <c r="AJ46" s="24" t="s">
        <v>117</v>
      </c>
      <c r="AK46" s="25" t="s">
        <v>386</v>
      </c>
    </row>
    <row r="47" spans="1:37" ht="15" customHeight="1">
      <c r="A47" s="84">
        <v>225247</v>
      </c>
      <c r="B47" s="30" t="s">
        <v>197</v>
      </c>
      <c r="C47" s="83">
        <v>61</v>
      </c>
      <c r="D47" s="75" t="s">
        <v>114</v>
      </c>
      <c r="E47" s="76">
        <v>22</v>
      </c>
      <c r="F47" s="77" t="s">
        <v>114</v>
      </c>
      <c r="G47" s="76">
        <v>37</v>
      </c>
      <c r="H47" s="77" t="s">
        <v>114</v>
      </c>
      <c r="I47" s="78">
        <v>61</v>
      </c>
      <c r="J47" s="77" t="s">
        <v>114</v>
      </c>
      <c r="K47" s="76">
        <v>23</v>
      </c>
      <c r="L47" s="77" t="s">
        <v>114</v>
      </c>
      <c r="M47" s="76">
        <v>40</v>
      </c>
      <c r="N47" s="77" t="s">
        <v>114</v>
      </c>
      <c r="O47" s="79">
        <v>55</v>
      </c>
      <c r="P47" s="77" t="s">
        <v>114</v>
      </c>
      <c r="Q47" s="76">
        <v>22</v>
      </c>
      <c r="R47" s="77" t="s">
        <v>114</v>
      </c>
      <c r="S47" s="76">
        <v>19</v>
      </c>
      <c r="T47" s="77" t="s">
        <v>114</v>
      </c>
      <c r="U47" s="79">
        <v>65</v>
      </c>
      <c r="V47" s="77" t="s">
        <v>114</v>
      </c>
      <c r="W47" s="76">
        <v>23</v>
      </c>
      <c r="X47" s="77" t="s">
        <v>114</v>
      </c>
      <c r="Y47" s="79">
        <v>55</v>
      </c>
      <c r="Z47" s="77" t="s">
        <v>114</v>
      </c>
      <c r="AA47" s="76">
        <v>23</v>
      </c>
      <c r="AB47" s="77" t="s">
        <v>114</v>
      </c>
      <c r="AC47" s="76">
        <v>20</v>
      </c>
      <c r="AD47" s="77" t="s">
        <v>114</v>
      </c>
      <c r="AE47" s="79">
        <v>37</v>
      </c>
      <c r="AF47" s="77" t="s">
        <v>114</v>
      </c>
      <c r="AG47" s="76">
        <v>22</v>
      </c>
      <c r="AH47" s="77" t="s">
        <v>114</v>
      </c>
      <c r="AI47" s="81">
        <v>585</v>
      </c>
      <c r="AJ47" s="24" t="s">
        <v>117</v>
      </c>
      <c r="AK47" s="25" t="s">
        <v>371</v>
      </c>
    </row>
    <row r="48" spans="1:37" ht="15" customHeight="1">
      <c r="A48" s="84">
        <v>225248</v>
      </c>
      <c r="B48" s="30" t="s">
        <v>198</v>
      </c>
      <c r="C48" s="83">
        <v>65</v>
      </c>
      <c r="D48" s="75" t="s">
        <v>114</v>
      </c>
      <c r="E48" s="76">
        <v>23</v>
      </c>
      <c r="F48" s="77" t="s">
        <v>114</v>
      </c>
      <c r="G48" s="76">
        <v>41</v>
      </c>
      <c r="H48" s="77" t="s">
        <v>114</v>
      </c>
      <c r="I48" s="78">
        <v>52</v>
      </c>
      <c r="J48" s="77" t="s">
        <v>114</v>
      </c>
      <c r="K48" s="76">
        <v>23</v>
      </c>
      <c r="L48" s="77" t="s">
        <v>114</v>
      </c>
      <c r="M48" s="76">
        <v>46</v>
      </c>
      <c r="N48" s="77" t="s">
        <v>114</v>
      </c>
      <c r="O48" s="79">
        <v>48</v>
      </c>
      <c r="P48" s="77" t="s">
        <v>114</v>
      </c>
      <c r="Q48" s="76">
        <v>23</v>
      </c>
      <c r="R48" s="77" t="s">
        <v>114</v>
      </c>
      <c r="S48" s="76">
        <v>21</v>
      </c>
      <c r="T48" s="77" t="s">
        <v>114</v>
      </c>
      <c r="U48" s="79">
        <v>64</v>
      </c>
      <c r="V48" s="77" t="s">
        <v>114</v>
      </c>
      <c r="W48" s="76">
        <v>23</v>
      </c>
      <c r="X48" s="77" t="s">
        <v>114</v>
      </c>
      <c r="Y48" s="79">
        <v>65</v>
      </c>
      <c r="Z48" s="77" t="s">
        <v>114</v>
      </c>
      <c r="AA48" s="76">
        <v>23</v>
      </c>
      <c r="AB48" s="77" t="s">
        <v>114</v>
      </c>
      <c r="AC48" s="76">
        <v>21</v>
      </c>
      <c r="AD48" s="77" t="s">
        <v>114</v>
      </c>
      <c r="AE48" s="79">
        <v>31</v>
      </c>
      <c r="AF48" s="77" t="s">
        <v>114</v>
      </c>
      <c r="AG48" s="76">
        <v>23</v>
      </c>
      <c r="AH48" s="77" t="s">
        <v>114</v>
      </c>
      <c r="AI48" s="81">
        <v>592</v>
      </c>
      <c r="AJ48" s="24" t="s">
        <v>117</v>
      </c>
      <c r="AK48" s="25" t="s">
        <v>387</v>
      </c>
    </row>
    <row r="49" spans="1:37" ht="15" customHeight="1">
      <c r="A49" s="84">
        <v>225249</v>
      </c>
      <c r="B49" s="30" t="s">
        <v>199</v>
      </c>
      <c r="C49" s="83">
        <v>49</v>
      </c>
      <c r="D49" s="75" t="s">
        <v>114</v>
      </c>
      <c r="E49" s="76">
        <v>20</v>
      </c>
      <c r="F49" s="77" t="s">
        <v>114</v>
      </c>
      <c r="G49" s="76">
        <v>42</v>
      </c>
      <c r="H49" s="77" t="s">
        <v>114</v>
      </c>
      <c r="I49" s="78">
        <v>59</v>
      </c>
      <c r="J49" s="77" t="s">
        <v>114</v>
      </c>
      <c r="K49" s="76">
        <v>22</v>
      </c>
      <c r="L49" s="77" t="s">
        <v>114</v>
      </c>
      <c r="M49" s="76">
        <v>42</v>
      </c>
      <c r="N49" s="77" t="s">
        <v>114</v>
      </c>
      <c r="O49" s="79">
        <v>43</v>
      </c>
      <c r="P49" s="77" t="s">
        <v>114</v>
      </c>
      <c r="Q49" s="76">
        <v>20</v>
      </c>
      <c r="R49" s="77" t="s">
        <v>114</v>
      </c>
      <c r="S49" s="76">
        <v>22</v>
      </c>
      <c r="T49" s="77" t="s">
        <v>114</v>
      </c>
      <c r="U49" s="79">
        <v>54</v>
      </c>
      <c r="V49" s="77" t="s">
        <v>114</v>
      </c>
      <c r="W49" s="76">
        <v>23</v>
      </c>
      <c r="X49" s="77" t="s">
        <v>114</v>
      </c>
      <c r="Y49" s="79">
        <v>62</v>
      </c>
      <c r="Z49" s="77" t="s">
        <v>114</v>
      </c>
      <c r="AA49" s="76">
        <v>23</v>
      </c>
      <c r="AB49" s="77" t="s">
        <v>114</v>
      </c>
      <c r="AC49" s="76">
        <v>20</v>
      </c>
      <c r="AD49" s="77" t="s">
        <v>114</v>
      </c>
      <c r="AE49" s="79">
        <v>30</v>
      </c>
      <c r="AF49" s="77" t="s">
        <v>114</v>
      </c>
      <c r="AG49" s="76">
        <v>20</v>
      </c>
      <c r="AH49" s="77" t="s">
        <v>114</v>
      </c>
      <c r="AI49" s="81">
        <v>551</v>
      </c>
      <c r="AJ49" s="24" t="s">
        <v>117</v>
      </c>
      <c r="AK49" s="25" t="s">
        <v>382</v>
      </c>
    </row>
    <row r="50" spans="1:37" ht="15" customHeight="1">
      <c r="A50" s="84">
        <v>225250</v>
      </c>
      <c r="B50" s="30" t="s">
        <v>200</v>
      </c>
      <c r="C50" s="83">
        <v>62</v>
      </c>
      <c r="D50" s="75" t="s">
        <v>114</v>
      </c>
      <c r="E50" s="76">
        <v>20</v>
      </c>
      <c r="F50" s="77" t="s">
        <v>114</v>
      </c>
      <c r="G50" s="76">
        <v>44</v>
      </c>
      <c r="H50" s="77" t="s">
        <v>114</v>
      </c>
      <c r="I50" s="78">
        <v>53</v>
      </c>
      <c r="J50" s="77" t="s">
        <v>114</v>
      </c>
      <c r="K50" s="76">
        <v>23</v>
      </c>
      <c r="L50" s="77" t="s">
        <v>114</v>
      </c>
      <c r="M50" s="76">
        <v>46</v>
      </c>
      <c r="N50" s="77" t="s">
        <v>114</v>
      </c>
      <c r="O50" s="79">
        <v>47</v>
      </c>
      <c r="P50" s="77" t="s">
        <v>114</v>
      </c>
      <c r="Q50" s="76">
        <v>20</v>
      </c>
      <c r="R50" s="77" t="s">
        <v>114</v>
      </c>
      <c r="S50" s="76">
        <v>23</v>
      </c>
      <c r="T50" s="77" t="s">
        <v>114</v>
      </c>
      <c r="U50" s="79">
        <v>60</v>
      </c>
      <c r="V50" s="77" t="s">
        <v>114</v>
      </c>
      <c r="W50" s="76">
        <v>23</v>
      </c>
      <c r="X50" s="77" t="s">
        <v>114</v>
      </c>
      <c r="Y50" s="79">
        <v>53</v>
      </c>
      <c r="Z50" s="77" t="s">
        <v>114</v>
      </c>
      <c r="AA50" s="76">
        <v>23</v>
      </c>
      <c r="AB50" s="77" t="s">
        <v>114</v>
      </c>
      <c r="AC50" s="76">
        <v>20</v>
      </c>
      <c r="AD50" s="77" t="s">
        <v>114</v>
      </c>
      <c r="AE50" s="79">
        <v>32</v>
      </c>
      <c r="AF50" s="77" t="s">
        <v>114</v>
      </c>
      <c r="AG50" s="76">
        <v>22</v>
      </c>
      <c r="AH50" s="77" t="s">
        <v>114</v>
      </c>
      <c r="AI50" s="81">
        <v>571</v>
      </c>
      <c r="AJ50" s="24" t="s">
        <v>117</v>
      </c>
      <c r="AK50" s="25" t="s">
        <v>388</v>
      </c>
    </row>
    <row r="51" spans="1:37" ht="15" customHeight="1">
      <c r="A51" s="84">
        <v>225251</v>
      </c>
      <c r="B51" s="30" t="s">
        <v>201</v>
      </c>
      <c r="C51" s="83">
        <v>48</v>
      </c>
      <c r="D51" s="75" t="s">
        <v>114</v>
      </c>
      <c r="E51" s="76">
        <v>21</v>
      </c>
      <c r="F51" s="77" t="s">
        <v>114</v>
      </c>
      <c r="G51" s="76">
        <v>43</v>
      </c>
      <c r="H51" s="77" t="s">
        <v>114</v>
      </c>
      <c r="I51" s="78">
        <v>49</v>
      </c>
      <c r="J51" s="77" t="s">
        <v>114</v>
      </c>
      <c r="K51" s="76">
        <v>19</v>
      </c>
      <c r="L51" s="77" t="s">
        <v>114</v>
      </c>
      <c r="M51" s="76">
        <v>36</v>
      </c>
      <c r="N51" s="77" t="s">
        <v>114</v>
      </c>
      <c r="O51" s="79">
        <v>42</v>
      </c>
      <c r="P51" s="77" t="s">
        <v>114</v>
      </c>
      <c r="Q51" s="76">
        <v>21</v>
      </c>
      <c r="R51" s="77" t="s">
        <v>114</v>
      </c>
      <c r="S51" s="76">
        <v>23</v>
      </c>
      <c r="T51" s="77" t="s">
        <v>114</v>
      </c>
      <c r="U51" s="79">
        <v>40</v>
      </c>
      <c r="V51" s="77" t="s">
        <v>114</v>
      </c>
      <c r="W51" s="76">
        <v>18</v>
      </c>
      <c r="X51" s="77" t="s">
        <v>114</v>
      </c>
      <c r="Y51" s="79">
        <v>50</v>
      </c>
      <c r="Z51" s="77" t="s">
        <v>114</v>
      </c>
      <c r="AA51" s="76">
        <v>19</v>
      </c>
      <c r="AB51" s="77" t="s">
        <v>114</v>
      </c>
      <c r="AC51" s="76">
        <v>20</v>
      </c>
      <c r="AD51" s="77" t="s">
        <v>114</v>
      </c>
      <c r="AE51" s="79">
        <v>26</v>
      </c>
      <c r="AF51" s="77" t="s">
        <v>114</v>
      </c>
      <c r="AG51" s="76">
        <v>18</v>
      </c>
      <c r="AH51" s="77" t="s">
        <v>114</v>
      </c>
      <c r="AI51" s="81">
        <v>493</v>
      </c>
      <c r="AJ51" s="24" t="s">
        <v>117</v>
      </c>
      <c r="AK51" s="25" t="s">
        <v>120</v>
      </c>
    </row>
    <row r="52" spans="1:37" ht="15" customHeight="1">
      <c r="A52" s="84">
        <v>225252</v>
      </c>
      <c r="B52" s="30" t="s">
        <v>202</v>
      </c>
      <c r="C52" s="83">
        <v>51</v>
      </c>
      <c r="D52" s="75" t="s">
        <v>114</v>
      </c>
      <c r="E52" s="76">
        <v>22</v>
      </c>
      <c r="F52" s="77" t="s">
        <v>114</v>
      </c>
      <c r="G52" s="76">
        <v>42</v>
      </c>
      <c r="H52" s="77" t="s">
        <v>114</v>
      </c>
      <c r="I52" s="78">
        <v>59</v>
      </c>
      <c r="J52" s="77" t="s">
        <v>114</v>
      </c>
      <c r="K52" s="76">
        <v>19</v>
      </c>
      <c r="L52" s="77" t="s">
        <v>114</v>
      </c>
      <c r="M52" s="76">
        <v>38</v>
      </c>
      <c r="N52" s="77" t="s">
        <v>114</v>
      </c>
      <c r="O52" s="79">
        <v>45</v>
      </c>
      <c r="P52" s="77" t="s">
        <v>114</v>
      </c>
      <c r="Q52" s="76">
        <v>22</v>
      </c>
      <c r="R52" s="77" t="s">
        <v>114</v>
      </c>
      <c r="S52" s="76">
        <v>22</v>
      </c>
      <c r="T52" s="77" t="s">
        <v>114</v>
      </c>
      <c r="U52" s="79">
        <v>59</v>
      </c>
      <c r="V52" s="77" t="s">
        <v>114</v>
      </c>
      <c r="W52" s="76">
        <v>22</v>
      </c>
      <c r="X52" s="77" t="s">
        <v>114</v>
      </c>
      <c r="Y52" s="79">
        <v>56</v>
      </c>
      <c r="Z52" s="77" t="s">
        <v>114</v>
      </c>
      <c r="AA52" s="76">
        <v>19</v>
      </c>
      <c r="AB52" s="77" t="s">
        <v>114</v>
      </c>
      <c r="AC52" s="76">
        <v>16</v>
      </c>
      <c r="AD52" s="77" t="s">
        <v>114</v>
      </c>
      <c r="AE52" s="79">
        <v>31</v>
      </c>
      <c r="AF52" s="77" t="s">
        <v>114</v>
      </c>
      <c r="AG52" s="76">
        <v>23</v>
      </c>
      <c r="AH52" s="77" t="s">
        <v>114</v>
      </c>
      <c r="AI52" s="81">
        <v>546</v>
      </c>
      <c r="AJ52" s="24" t="s">
        <v>117</v>
      </c>
      <c r="AK52" s="25" t="s">
        <v>389</v>
      </c>
    </row>
    <row r="53" spans="1:37" ht="15" customHeight="1">
      <c r="A53" s="84">
        <v>225253</v>
      </c>
      <c r="B53" s="30" t="s">
        <v>203</v>
      </c>
      <c r="C53" s="83">
        <v>40</v>
      </c>
      <c r="D53" s="75" t="s">
        <v>114</v>
      </c>
      <c r="E53" s="76">
        <v>22</v>
      </c>
      <c r="F53" s="77" t="s">
        <v>114</v>
      </c>
      <c r="G53" s="76">
        <v>38</v>
      </c>
      <c r="H53" s="77" t="s">
        <v>114</v>
      </c>
      <c r="I53" s="78">
        <v>40</v>
      </c>
      <c r="J53" s="77" t="s">
        <v>114</v>
      </c>
      <c r="K53" s="76">
        <v>20</v>
      </c>
      <c r="L53" s="77" t="s">
        <v>114</v>
      </c>
      <c r="M53" s="76">
        <v>42</v>
      </c>
      <c r="N53" s="77" t="s">
        <v>114</v>
      </c>
      <c r="O53" s="79">
        <v>40</v>
      </c>
      <c r="P53" s="77" t="s">
        <v>114</v>
      </c>
      <c r="Q53" s="76">
        <v>22</v>
      </c>
      <c r="R53" s="77" t="s">
        <v>114</v>
      </c>
      <c r="S53" s="76">
        <v>20</v>
      </c>
      <c r="T53" s="77" t="s">
        <v>114</v>
      </c>
      <c r="U53" s="79">
        <v>40</v>
      </c>
      <c r="V53" s="77" t="s">
        <v>114</v>
      </c>
      <c r="W53" s="76">
        <v>20</v>
      </c>
      <c r="X53" s="77" t="s">
        <v>114</v>
      </c>
      <c r="Y53" s="79">
        <v>40</v>
      </c>
      <c r="Z53" s="77" t="s">
        <v>114</v>
      </c>
      <c r="AA53" s="76">
        <v>20</v>
      </c>
      <c r="AB53" s="77" t="s">
        <v>114</v>
      </c>
      <c r="AC53" s="76">
        <v>17</v>
      </c>
      <c r="AD53" s="77" t="s">
        <v>114</v>
      </c>
      <c r="AE53" s="79">
        <v>20</v>
      </c>
      <c r="AF53" s="77" t="s">
        <v>114</v>
      </c>
      <c r="AG53" s="76">
        <v>20</v>
      </c>
      <c r="AH53" s="77" t="s">
        <v>114</v>
      </c>
      <c r="AI53" s="81">
        <v>461</v>
      </c>
      <c r="AJ53" s="24" t="s">
        <v>117</v>
      </c>
      <c r="AK53" s="25" t="s">
        <v>390</v>
      </c>
    </row>
    <row r="54" spans="1:37" ht="15" customHeight="1">
      <c r="A54" s="84">
        <v>225254</v>
      </c>
      <c r="B54" s="30" t="s">
        <v>204</v>
      </c>
      <c r="C54" s="83">
        <v>44</v>
      </c>
      <c r="D54" s="75" t="s">
        <v>113</v>
      </c>
      <c r="E54" s="76">
        <v>20</v>
      </c>
      <c r="F54" s="77" t="s">
        <v>113</v>
      </c>
      <c r="G54" s="76">
        <v>40</v>
      </c>
      <c r="H54" s="77" t="s">
        <v>113</v>
      </c>
      <c r="I54" s="78">
        <v>40</v>
      </c>
      <c r="J54" s="77" t="s">
        <v>113</v>
      </c>
      <c r="K54" s="76">
        <v>18</v>
      </c>
      <c r="L54" s="77" t="s">
        <v>113</v>
      </c>
      <c r="M54" s="76">
        <v>42</v>
      </c>
      <c r="N54" s="77" t="s">
        <v>113</v>
      </c>
      <c r="O54" s="79">
        <v>40</v>
      </c>
      <c r="P54" s="77" t="s">
        <v>113</v>
      </c>
      <c r="Q54" s="76">
        <v>20</v>
      </c>
      <c r="R54" s="77" t="s">
        <v>113</v>
      </c>
      <c r="S54" s="76">
        <v>20</v>
      </c>
      <c r="T54" s="77" t="s">
        <v>113</v>
      </c>
      <c r="U54" s="79">
        <v>17</v>
      </c>
      <c r="V54" s="77" t="s">
        <v>110</v>
      </c>
      <c r="W54" s="76">
        <v>20</v>
      </c>
      <c r="X54" s="77" t="s">
        <v>113</v>
      </c>
      <c r="Y54" s="79">
        <v>40</v>
      </c>
      <c r="Z54" s="77" t="s">
        <v>113</v>
      </c>
      <c r="AA54" s="76">
        <v>18</v>
      </c>
      <c r="AB54" s="77" t="s">
        <v>113</v>
      </c>
      <c r="AC54" s="76">
        <v>18</v>
      </c>
      <c r="AD54" s="77" t="s">
        <v>113</v>
      </c>
      <c r="AE54" s="79">
        <v>30</v>
      </c>
      <c r="AF54" s="77" t="s">
        <v>113</v>
      </c>
      <c r="AG54" s="76">
        <v>20</v>
      </c>
      <c r="AH54" s="77" t="s">
        <v>113</v>
      </c>
      <c r="AI54" s="81">
        <v>447</v>
      </c>
      <c r="AJ54" s="24" t="s">
        <v>111</v>
      </c>
      <c r="AK54" s="25" t="s">
        <v>128</v>
      </c>
    </row>
    <row r="55" spans="1:37" ht="15" customHeight="1">
      <c r="A55" s="84">
        <v>225255</v>
      </c>
      <c r="B55" s="30" t="s">
        <v>205</v>
      </c>
      <c r="C55" s="83">
        <v>52</v>
      </c>
      <c r="D55" s="75" t="s">
        <v>114</v>
      </c>
      <c r="E55" s="76">
        <v>19</v>
      </c>
      <c r="F55" s="77" t="s">
        <v>114</v>
      </c>
      <c r="G55" s="76">
        <v>38</v>
      </c>
      <c r="H55" s="77" t="s">
        <v>114</v>
      </c>
      <c r="I55" s="78">
        <v>42</v>
      </c>
      <c r="J55" s="77" t="s">
        <v>114</v>
      </c>
      <c r="K55" s="76">
        <v>17</v>
      </c>
      <c r="L55" s="77" t="s">
        <v>114</v>
      </c>
      <c r="M55" s="76">
        <v>38</v>
      </c>
      <c r="N55" s="77" t="s">
        <v>114</v>
      </c>
      <c r="O55" s="79">
        <v>40</v>
      </c>
      <c r="P55" s="77" t="s">
        <v>114</v>
      </c>
      <c r="Q55" s="76">
        <v>19</v>
      </c>
      <c r="R55" s="77" t="s">
        <v>114</v>
      </c>
      <c r="S55" s="76">
        <v>20</v>
      </c>
      <c r="T55" s="77" t="s">
        <v>114</v>
      </c>
      <c r="U55" s="79">
        <v>58</v>
      </c>
      <c r="V55" s="77" t="s">
        <v>114</v>
      </c>
      <c r="W55" s="76">
        <v>19</v>
      </c>
      <c r="X55" s="77" t="s">
        <v>114</v>
      </c>
      <c r="Y55" s="79">
        <v>52</v>
      </c>
      <c r="Z55" s="77" t="s">
        <v>114</v>
      </c>
      <c r="AA55" s="76">
        <v>17</v>
      </c>
      <c r="AB55" s="77" t="s">
        <v>114</v>
      </c>
      <c r="AC55" s="76">
        <v>17</v>
      </c>
      <c r="AD55" s="77" t="s">
        <v>114</v>
      </c>
      <c r="AE55" s="79">
        <v>27</v>
      </c>
      <c r="AF55" s="77" t="s">
        <v>114</v>
      </c>
      <c r="AG55" s="76">
        <v>19</v>
      </c>
      <c r="AH55" s="77" t="s">
        <v>114</v>
      </c>
      <c r="AI55" s="81">
        <v>494</v>
      </c>
      <c r="AJ55" s="24" t="s">
        <v>117</v>
      </c>
      <c r="AK55" s="25" t="s">
        <v>361</v>
      </c>
    </row>
    <row r="56" spans="1:37" ht="15" customHeight="1">
      <c r="A56" s="84">
        <v>225256</v>
      </c>
      <c r="B56" s="30" t="s">
        <v>206</v>
      </c>
      <c r="C56" s="83">
        <v>44</v>
      </c>
      <c r="D56" s="75" t="s">
        <v>113</v>
      </c>
      <c r="E56" s="76">
        <v>20</v>
      </c>
      <c r="F56" s="77" t="s">
        <v>113</v>
      </c>
      <c r="G56" s="76">
        <v>41</v>
      </c>
      <c r="H56" s="77" t="s">
        <v>113</v>
      </c>
      <c r="I56" s="78">
        <v>40</v>
      </c>
      <c r="J56" s="77" t="s">
        <v>113</v>
      </c>
      <c r="K56" s="76">
        <v>19</v>
      </c>
      <c r="L56" s="77" t="s">
        <v>113</v>
      </c>
      <c r="M56" s="76">
        <v>36</v>
      </c>
      <c r="N56" s="77" t="s">
        <v>113</v>
      </c>
      <c r="O56" s="79">
        <v>11</v>
      </c>
      <c r="P56" s="77" t="s">
        <v>110</v>
      </c>
      <c r="Q56" s="76">
        <v>20</v>
      </c>
      <c r="R56" s="77" t="s">
        <v>113</v>
      </c>
      <c r="S56" s="76">
        <v>21</v>
      </c>
      <c r="T56" s="77" t="s">
        <v>113</v>
      </c>
      <c r="U56" s="79">
        <v>34</v>
      </c>
      <c r="V56" s="77" t="s">
        <v>110</v>
      </c>
      <c r="W56" s="76">
        <v>16</v>
      </c>
      <c r="X56" s="77" t="s">
        <v>113</v>
      </c>
      <c r="Y56" s="79">
        <v>54</v>
      </c>
      <c r="Z56" s="77" t="s">
        <v>113</v>
      </c>
      <c r="AA56" s="76">
        <v>19</v>
      </c>
      <c r="AB56" s="77" t="s">
        <v>113</v>
      </c>
      <c r="AC56" s="76">
        <v>15</v>
      </c>
      <c r="AD56" s="77" t="s">
        <v>113</v>
      </c>
      <c r="AE56" s="79">
        <v>25</v>
      </c>
      <c r="AF56" s="77" t="s">
        <v>113</v>
      </c>
      <c r="AG56" s="76">
        <v>17</v>
      </c>
      <c r="AH56" s="77" t="s">
        <v>113</v>
      </c>
      <c r="AI56" s="81">
        <v>432</v>
      </c>
      <c r="AJ56" s="24" t="s">
        <v>111</v>
      </c>
      <c r="AK56" s="25" t="s">
        <v>391</v>
      </c>
    </row>
    <row r="57" spans="1:37" ht="15" customHeight="1">
      <c r="A57" s="84">
        <v>225257</v>
      </c>
      <c r="B57" s="30" t="s">
        <v>207</v>
      </c>
      <c r="C57" s="83">
        <v>52</v>
      </c>
      <c r="D57" s="75" t="s">
        <v>114</v>
      </c>
      <c r="E57" s="76">
        <v>21</v>
      </c>
      <c r="F57" s="77" t="s">
        <v>114</v>
      </c>
      <c r="G57" s="76">
        <v>41</v>
      </c>
      <c r="H57" s="77" t="s">
        <v>114</v>
      </c>
      <c r="I57" s="78">
        <v>53</v>
      </c>
      <c r="J57" s="77" t="s">
        <v>114</v>
      </c>
      <c r="K57" s="76">
        <v>20</v>
      </c>
      <c r="L57" s="77" t="s">
        <v>114</v>
      </c>
      <c r="M57" s="76">
        <v>42</v>
      </c>
      <c r="N57" s="77" t="s">
        <v>114</v>
      </c>
      <c r="O57" s="79">
        <v>41</v>
      </c>
      <c r="P57" s="77" t="s">
        <v>114</v>
      </c>
      <c r="Q57" s="76">
        <v>21</v>
      </c>
      <c r="R57" s="77" t="s">
        <v>114</v>
      </c>
      <c r="S57" s="76">
        <v>21</v>
      </c>
      <c r="T57" s="77" t="s">
        <v>114</v>
      </c>
      <c r="U57" s="79">
        <v>62</v>
      </c>
      <c r="V57" s="77" t="s">
        <v>114</v>
      </c>
      <c r="W57" s="76">
        <v>23</v>
      </c>
      <c r="X57" s="77" t="s">
        <v>114</v>
      </c>
      <c r="Y57" s="79">
        <v>62</v>
      </c>
      <c r="Z57" s="77" t="s">
        <v>114</v>
      </c>
      <c r="AA57" s="76">
        <v>20</v>
      </c>
      <c r="AB57" s="77" t="s">
        <v>114</v>
      </c>
      <c r="AC57" s="76">
        <v>17</v>
      </c>
      <c r="AD57" s="77" t="s">
        <v>114</v>
      </c>
      <c r="AE57" s="79">
        <v>26</v>
      </c>
      <c r="AF57" s="77" t="s">
        <v>114</v>
      </c>
      <c r="AG57" s="76">
        <v>20</v>
      </c>
      <c r="AH57" s="77" t="s">
        <v>114</v>
      </c>
      <c r="AI57" s="81">
        <v>542</v>
      </c>
      <c r="AJ57" s="24" t="s">
        <v>117</v>
      </c>
      <c r="AK57" s="25" t="s">
        <v>358</v>
      </c>
    </row>
    <row r="58" spans="1:37" ht="15" customHeight="1">
      <c r="A58" s="84">
        <v>225258</v>
      </c>
      <c r="B58" s="30" t="s">
        <v>208</v>
      </c>
      <c r="C58" s="83">
        <v>62</v>
      </c>
      <c r="D58" s="75" t="s">
        <v>114</v>
      </c>
      <c r="E58" s="76">
        <v>21</v>
      </c>
      <c r="F58" s="77" t="s">
        <v>114</v>
      </c>
      <c r="G58" s="76">
        <v>44</v>
      </c>
      <c r="H58" s="77" t="s">
        <v>114</v>
      </c>
      <c r="I58" s="78">
        <v>40</v>
      </c>
      <c r="J58" s="77" t="s">
        <v>114</v>
      </c>
      <c r="K58" s="76">
        <v>20</v>
      </c>
      <c r="L58" s="77" t="s">
        <v>114</v>
      </c>
      <c r="M58" s="76">
        <v>42</v>
      </c>
      <c r="N58" s="77" t="s">
        <v>114</v>
      </c>
      <c r="O58" s="79" t="s">
        <v>338</v>
      </c>
      <c r="P58" s="77" t="s">
        <v>114</v>
      </c>
      <c r="Q58" s="76">
        <v>21</v>
      </c>
      <c r="R58" s="77" t="s">
        <v>114</v>
      </c>
      <c r="S58" s="76">
        <v>22</v>
      </c>
      <c r="T58" s="77" t="s">
        <v>114</v>
      </c>
      <c r="U58" s="79">
        <v>50</v>
      </c>
      <c r="V58" s="77" t="s">
        <v>114</v>
      </c>
      <c r="W58" s="76">
        <v>16</v>
      </c>
      <c r="X58" s="77" t="s">
        <v>114</v>
      </c>
      <c r="Y58" s="79">
        <v>43</v>
      </c>
      <c r="Z58" s="77" t="s">
        <v>114</v>
      </c>
      <c r="AA58" s="76">
        <v>20</v>
      </c>
      <c r="AB58" s="77" t="s">
        <v>114</v>
      </c>
      <c r="AC58" s="76">
        <v>18</v>
      </c>
      <c r="AD58" s="77" t="s">
        <v>114</v>
      </c>
      <c r="AE58" s="79">
        <v>25</v>
      </c>
      <c r="AF58" s="77" t="s">
        <v>114</v>
      </c>
      <c r="AG58" s="76">
        <v>19</v>
      </c>
      <c r="AH58" s="77" t="s">
        <v>114</v>
      </c>
      <c r="AI58" s="81" t="s">
        <v>340</v>
      </c>
      <c r="AJ58" s="24" t="s">
        <v>117</v>
      </c>
      <c r="AK58" s="25" t="s">
        <v>392</v>
      </c>
    </row>
    <row r="59" spans="1:37" ht="15" customHeight="1">
      <c r="A59" s="84">
        <v>225259</v>
      </c>
      <c r="B59" s="30" t="s">
        <v>209</v>
      </c>
      <c r="C59" s="83">
        <v>56</v>
      </c>
      <c r="D59" s="75" t="s">
        <v>114</v>
      </c>
      <c r="E59" s="76">
        <v>20</v>
      </c>
      <c r="F59" s="77" t="s">
        <v>114</v>
      </c>
      <c r="G59" s="76">
        <v>40</v>
      </c>
      <c r="H59" s="77" t="s">
        <v>114</v>
      </c>
      <c r="I59" s="78">
        <v>53</v>
      </c>
      <c r="J59" s="77" t="s">
        <v>114</v>
      </c>
      <c r="K59" s="76">
        <v>21</v>
      </c>
      <c r="L59" s="77" t="s">
        <v>114</v>
      </c>
      <c r="M59" s="76">
        <v>44</v>
      </c>
      <c r="N59" s="77" t="s">
        <v>114</v>
      </c>
      <c r="O59" s="79">
        <v>40</v>
      </c>
      <c r="P59" s="77" t="s">
        <v>114</v>
      </c>
      <c r="Q59" s="76">
        <v>20</v>
      </c>
      <c r="R59" s="77" t="s">
        <v>114</v>
      </c>
      <c r="S59" s="76">
        <v>20</v>
      </c>
      <c r="T59" s="77" t="s">
        <v>114</v>
      </c>
      <c r="U59" s="79">
        <v>55</v>
      </c>
      <c r="V59" s="77" t="s">
        <v>114</v>
      </c>
      <c r="W59" s="76">
        <v>20</v>
      </c>
      <c r="X59" s="77" t="s">
        <v>114</v>
      </c>
      <c r="Y59" s="79">
        <v>64</v>
      </c>
      <c r="Z59" s="77" t="s">
        <v>114</v>
      </c>
      <c r="AA59" s="76">
        <v>21</v>
      </c>
      <c r="AB59" s="77" t="s">
        <v>114</v>
      </c>
      <c r="AC59" s="76">
        <v>19</v>
      </c>
      <c r="AD59" s="77" t="s">
        <v>114</v>
      </c>
      <c r="AE59" s="79">
        <v>31</v>
      </c>
      <c r="AF59" s="77" t="s">
        <v>114</v>
      </c>
      <c r="AG59" s="76">
        <v>20</v>
      </c>
      <c r="AH59" s="77" t="s">
        <v>114</v>
      </c>
      <c r="AI59" s="81">
        <v>544</v>
      </c>
      <c r="AJ59" s="24" t="s">
        <v>117</v>
      </c>
      <c r="AK59" s="25" t="s">
        <v>393</v>
      </c>
    </row>
    <row r="60" spans="1:37" ht="15" customHeight="1">
      <c r="A60" s="84">
        <v>225260</v>
      </c>
      <c r="B60" s="30" t="s">
        <v>210</v>
      </c>
      <c r="C60" s="83">
        <v>55</v>
      </c>
      <c r="D60" s="75" t="s">
        <v>114</v>
      </c>
      <c r="E60" s="76">
        <v>20</v>
      </c>
      <c r="F60" s="77" t="s">
        <v>114</v>
      </c>
      <c r="G60" s="76">
        <v>41</v>
      </c>
      <c r="H60" s="77" t="s">
        <v>114</v>
      </c>
      <c r="I60" s="78">
        <v>48</v>
      </c>
      <c r="J60" s="77" t="s">
        <v>114</v>
      </c>
      <c r="K60" s="76">
        <v>21</v>
      </c>
      <c r="L60" s="77" t="s">
        <v>114</v>
      </c>
      <c r="M60" s="76">
        <v>42</v>
      </c>
      <c r="N60" s="77" t="s">
        <v>114</v>
      </c>
      <c r="O60" s="79">
        <v>43</v>
      </c>
      <c r="P60" s="77" t="s">
        <v>114</v>
      </c>
      <c r="Q60" s="76">
        <v>20</v>
      </c>
      <c r="R60" s="77" t="s">
        <v>114</v>
      </c>
      <c r="S60" s="76">
        <v>21</v>
      </c>
      <c r="T60" s="77" t="s">
        <v>114</v>
      </c>
      <c r="U60" s="79">
        <v>55</v>
      </c>
      <c r="V60" s="77" t="s">
        <v>114</v>
      </c>
      <c r="W60" s="76">
        <v>20</v>
      </c>
      <c r="X60" s="77" t="s">
        <v>114</v>
      </c>
      <c r="Y60" s="79">
        <v>42</v>
      </c>
      <c r="Z60" s="77" t="s">
        <v>114</v>
      </c>
      <c r="AA60" s="76">
        <v>21</v>
      </c>
      <c r="AB60" s="77" t="s">
        <v>114</v>
      </c>
      <c r="AC60" s="76">
        <v>17</v>
      </c>
      <c r="AD60" s="77" t="s">
        <v>114</v>
      </c>
      <c r="AE60" s="79">
        <v>26</v>
      </c>
      <c r="AF60" s="77" t="s">
        <v>114</v>
      </c>
      <c r="AG60" s="76">
        <v>20</v>
      </c>
      <c r="AH60" s="77" t="s">
        <v>114</v>
      </c>
      <c r="AI60" s="81">
        <v>512</v>
      </c>
      <c r="AJ60" s="24" t="s">
        <v>117</v>
      </c>
      <c r="AK60" s="25" t="s">
        <v>394</v>
      </c>
    </row>
    <row r="61" spans="1:37" ht="15" customHeight="1">
      <c r="A61" s="84">
        <v>225261</v>
      </c>
      <c r="B61" s="30" t="s">
        <v>211</v>
      </c>
      <c r="C61" s="83">
        <v>52</v>
      </c>
      <c r="D61" s="75" t="s">
        <v>114</v>
      </c>
      <c r="E61" s="76">
        <v>21</v>
      </c>
      <c r="F61" s="77" t="s">
        <v>114</v>
      </c>
      <c r="G61" s="76">
        <v>42</v>
      </c>
      <c r="H61" s="77" t="s">
        <v>114</v>
      </c>
      <c r="I61" s="78">
        <v>43</v>
      </c>
      <c r="J61" s="77" t="s">
        <v>114</v>
      </c>
      <c r="K61" s="76">
        <v>21</v>
      </c>
      <c r="L61" s="77" t="s">
        <v>114</v>
      </c>
      <c r="M61" s="76">
        <v>42</v>
      </c>
      <c r="N61" s="77" t="s">
        <v>114</v>
      </c>
      <c r="O61" s="79" t="s">
        <v>341</v>
      </c>
      <c r="P61" s="77" t="s">
        <v>114</v>
      </c>
      <c r="Q61" s="76">
        <v>21</v>
      </c>
      <c r="R61" s="77" t="s">
        <v>114</v>
      </c>
      <c r="S61" s="76">
        <v>22</v>
      </c>
      <c r="T61" s="77" t="s">
        <v>114</v>
      </c>
      <c r="U61" s="79">
        <v>49</v>
      </c>
      <c r="V61" s="77" t="s">
        <v>114</v>
      </c>
      <c r="W61" s="76">
        <v>18</v>
      </c>
      <c r="X61" s="77" t="s">
        <v>114</v>
      </c>
      <c r="Y61" s="79">
        <v>40</v>
      </c>
      <c r="Z61" s="77" t="s">
        <v>114</v>
      </c>
      <c r="AA61" s="76">
        <v>21</v>
      </c>
      <c r="AB61" s="77" t="s">
        <v>114</v>
      </c>
      <c r="AC61" s="76">
        <v>20</v>
      </c>
      <c r="AD61" s="77" t="s">
        <v>114</v>
      </c>
      <c r="AE61" s="79">
        <v>25</v>
      </c>
      <c r="AF61" s="77" t="s">
        <v>114</v>
      </c>
      <c r="AG61" s="76">
        <v>21</v>
      </c>
      <c r="AH61" s="77" t="s">
        <v>114</v>
      </c>
      <c r="AI61" s="81" t="s">
        <v>342</v>
      </c>
      <c r="AJ61" s="24" t="s">
        <v>117</v>
      </c>
      <c r="AK61" s="25" t="s">
        <v>126</v>
      </c>
    </row>
    <row r="62" spans="1:37" ht="15" customHeight="1">
      <c r="A62" s="84">
        <v>225262</v>
      </c>
      <c r="B62" s="30" t="s">
        <v>212</v>
      </c>
      <c r="C62" s="83">
        <v>47</v>
      </c>
      <c r="D62" s="75" t="s">
        <v>114</v>
      </c>
      <c r="E62" s="76">
        <v>22</v>
      </c>
      <c r="F62" s="77" t="s">
        <v>114</v>
      </c>
      <c r="G62" s="76">
        <v>39</v>
      </c>
      <c r="H62" s="77" t="s">
        <v>114</v>
      </c>
      <c r="I62" s="78">
        <v>44</v>
      </c>
      <c r="J62" s="77" t="s">
        <v>114</v>
      </c>
      <c r="K62" s="76">
        <v>19</v>
      </c>
      <c r="L62" s="77" t="s">
        <v>114</v>
      </c>
      <c r="M62" s="76">
        <v>42</v>
      </c>
      <c r="N62" s="77" t="s">
        <v>114</v>
      </c>
      <c r="O62" s="79">
        <v>40</v>
      </c>
      <c r="P62" s="77" t="s">
        <v>114</v>
      </c>
      <c r="Q62" s="76">
        <v>22</v>
      </c>
      <c r="R62" s="77" t="s">
        <v>114</v>
      </c>
      <c r="S62" s="76">
        <v>20</v>
      </c>
      <c r="T62" s="77" t="s">
        <v>114</v>
      </c>
      <c r="U62" s="79">
        <v>60</v>
      </c>
      <c r="V62" s="77" t="s">
        <v>114</v>
      </c>
      <c r="W62" s="76">
        <v>16</v>
      </c>
      <c r="X62" s="77" t="s">
        <v>114</v>
      </c>
      <c r="Y62" s="79">
        <v>44</v>
      </c>
      <c r="Z62" s="77" t="s">
        <v>114</v>
      </c>
      <c r="AA62" s="76">
        <v>19</v>
      </c>
      <c r="AB62" s="77" t="s">
        <v>114</v>
      </c>
      <c r="AC62" s="76">
        <v>19</v>
      </c>
      <c r="AD62" s="77" t="s">
        <v>114</v>
      </c>
      <c r="AE62" s="79">
        <v>28</v>
      </c>
      <c r="AF62" s="77" t="s">
        <v>114</v>
      </c>
      <c r="AG62" s="76">
        <v>17</v>
      </c>
      <c r="AH62" s="77" t="s">
        <v>114</v>
      </c>
      <c r="AI62" s="81">
        <v>498</v>
      </c>
      <c r="AJ62" s="24" t="s">
        <v>117</v>
      </c>
      <c r="AK62" s="25" t="s">
        <v>353</v>
      </c>
    </row>
    <row r="63" spans="1:37" ht="15" customHeight="1">
      <c r="A63" s="84">
        <v>225263</v>
      </c>
      <c r="B63" s="30" t="s">
        <v>213</v>
      </c>
      <c r="C63" s="83">
        <v>63</v>
      </c>
      <c r="D63" s="75" t="s">
        <v>114</v>
      </c>
      <c r="E63" s="76">
        <v>23</v>
      </c>
      <c r="F63" s="77" t="s">
        <v>114</v>
      </c>
      <c r="G63" s="76">
        <v>43</v>
      </c>
      <c r="H63" s="77" t="s">
        <v>114</v>
      </c>
      <c r="I63" s="78">
        <v>47</v>
      </c>
      <c r="J63" s="77" t="s">
        <v>114</v>
      </c>
      <c r="K63" s="76">
        <v>23</v>
      </c>
      <c r="L63" s="77" t="s">
        <v>114</v>
      </c>
      <c r="M63" s="76">
        <v>46</v>
      </c>
      <c r="N63" s="77" t="s">
        <v>114</v>
      </c>
      <c r="O63" s="79">
        <v>48</v>
      </c>
      <c r="P63" s="77" t="s">
        <v>114</v>
      </c>
      <c r="Q63" s="76">
        <v>22</v>
      </c>
      <c r="R63" s="77" t="s">
        <v>114</v>
      </c>
      <c r="S63" s="76">
        <v>23</v>
      </c>
      <c r="T63" s="77" t="s">
        <v>114</v>
      </c>
      <c r="U63" s="79">
        <v>64</v>
      </c>
      <c r="V63" s="77" t="s">
        <v>114</v>
      </c>
      <c r="W63" s="76">
        <v>23</v>
      </c>
      <c r="X63" s="77" t="s">
        <v>114</v>
      </c>
      <c r="Y63" s="79">
        <v>65</v>
      </c>
      <c r="Z63" s="77" t="s">
        <v>114</v>
      </c>
      <c r="AA63" s="76">
        <v>23</v>
      </c>
      <c r="AB63" s="77" t="s">
        <v>114</v>
      </c>
      <c r="AC63" s="76">
        <v>23</v>
      </c>
      <c r="AD63" s="77" t="s">
        <v>114</v>
      </c>
      <c r="AE63" s="79">
        <v>32</v>
      </c>
      <c r="AF63" s="77" t="s">
        <v>114</v>
      </c>
      <c r="AG63" s="76">
        <v>23</v>
      </c>
      <c r="AH63" s="77" t="s">
        <v>114</v>
      </c>
      <c r="AI63" s="81">
        <v>591</v>
      </c>
      <c r="AJ63" s="24" t="s">
        <v>117</v>
      </c>
      <c r="AK63" s="25" t="s">
        <v>364</v>
      </c>
    </row>
    <row r="64" spans="1:37" ht="15" customHeight="1">
      <c r="A64" s="84">
        <v>225264</v>
      </c>
      <c r="B64" s="30" t="s">
        <v>214</v>
      </c>
      <c r="C64" s="83">
        <v>51</v>
      </c>
      <c r="D64" s="75" t="s">
        <v>114</v>
      </c>
      <c r="E64" s="76">
        <v>20</v>
      </c>
      <c r="F64" s="77" t="s">
        <v>114</v>
      </c>
      <c r="G64" s="76">
        <v>41</v>
      </c>
      <c r="H64" s="77" t="s">
        <v>114</v>
      </c>
      <c r="I64" s="78">
        <v>40</v>
      </c>
      <c r="J64" s="77" t="s">
        <v>114</v>
      </c>
      <c r="K64" s="76">
        <v>22</v>
      </c>
      <c r="L64" s="77" t="s">
        <v>114</v>
      </c>
      <c r="M64" s="76">
        <v>42</v>
      </c>
      <c r="N64" s="77" t="s">
        <v>114</v>
      </c>
      <c r="O64" s="79">
        <v>45</v>
      </c>
      <c r="P64" s="77" t="s">
        <v>114</v>
      </c>
      <c r="Q64" s="76">
        <v>20</v>
      </c>
      <c r="R64" s="77" t="s">
        <v>114</v>
      </c>
      <c r="S64" s="76">
        <v>21</v>
      </c>
      <c r="T64" s="77" t="s">
        <v>114</v>
      </c>
      <c r="U64" s="79">
        <v>60</v>
      </c>
      <c r="V64" s="77" t="s">
        <v>114</v>
      </c>
      <c r="W64" s="76">
        <v>20</v>
      </c>
      <c r="X64" s="77" t="s">
        <v>114</v>
      </c>
      <c r="Y64" s="79">
        <v>41</v>
      </c>
      <c r="Z64" s="77" t="s">
        <v>114</v>
      </c>
      <c r="AA64" s="76">
        <v>22</v>
      </c>
      <c r="AB64" s="77" t="s">
        <v>114</v>
      </c>
      <c r="AC64" s="76">
        <v>20</v>
      </c>
      <c r="AD64" s="77" t="s">
        <v>114</v>
      </c>
      <c r="AE64" s="79">
        <v>29</v>
      </c>
      <c r="AF64" s="77" t="s">
        <v>114</v>
      </c>
      <c r="AG64" s="76">
        <v>22</v>
      </c>
      <c r="AH64" s="77" t="s">
        <v>114</v>
      </c>
      <c r="AI64" s="81">
        <v>516</v>
      </c>
      <c r="AJ64" s="24" t="s">
        <v>117</v>
      </c>
      <c r="AK64" s="25" t="s">
        <v>395</v>
      </c>
    </row>
    <row r="65" spans="1:37" ht="15" customHeight="1">
      <c r="A65" s="84">
        <v>225265</v>
      </c>
      <c r="B65" s="30" t="s">
        <v>215</v>
      </c>
      <c r="C65" s="83">
        <v>53</v>
      </c>
      <c r="D65" s="75" t="s">
        <v>114</v>
      </c>
      <c r="E65" s="76">
        <v>23</v>
      </c>
      <c r="F65" s="77" t="s">
        <v>114</v>
      </c>
      <c r="G65" s="76">
        <v>39</v>
      </c>
      <c r="H65" s="77" t="s">
        <v>114</v>
      </c>
      <c r="I65" s="78">
        <v>48</v>
      </c>
      <c r="J65" s="77" t="s">
        <v>114</v>
      </c>
      <c r="K65" s="76">
        <v>23</v>
      </c>
      <c r="L65" s="77" t="s">
        <v>114</v>
      </c>
      <c r="M65" s="76">
        <v>42</v>
      </c>
      <c r="N65" s="77" t="s">
        <v>114</v>
      </c>
      <c r="O65" s="79">
        <v>42</v>
      </c>
      <c r="P65" s="77" t="s">
        <v>114</v>
      </c>
      <c r="Q65" s="76">
        <v>23</v>
      </c>
      <c r="R65" s="77" t="s">
        <v>114</v>
      </c>
      <c r="S65" s="76">
        <v>22</v>
      </c>
      <c r="T65" s="77" t="s">
        <v>114</v>
      </c>
      <c r="U65" s="79">
        <v>51</v>
      </c>
      <c r="V65" s="77" t="s">
        <v>114</v>
      </c>
      <c r="W65" s="76">
        <v>23</v>
      </c>
      <c r="X65" s="77" t="s">
        <v>114</v>
      </c>
      <c r="Y65" s="79">
        <v>62</v>
      </c>
      <c r="Z65" s="77" t="s">
        <v>114</v>
      </c>
      <c r="AA65" s="76">
        <v>23</v>
      </c>
      <c r="AB65" s="77" t="s">
        <v>114</v>
      </c>
      <c r="AC65" s="76">
        <v>19</v>
      </c>
      <c r="AD65" s="77" t="s">
        <v>114</v>
      </c>
      <c r="AE65" s="79">
        <v>29</v>
      </c>
      <c r="AF65" s="77" t="s">
        <v>114</v>
      </c>
      <c r="AG65" s="76">
        <v>23</v>
      </c>
      <c r="AH65" s="77" t="s">
        <v>114</v>
      </c>
      <c r="AI65" s="81">
        <v>545</v>
      </c>
      <c r="AJ65" s="24" t="s">
        <v>117</v>
      </c>
      <c r="AK65" s="25" t="s">
        <v>396</v>
      </c>
    </row>
    <row r="66" spans="1:37" ht="15" customHeight="1">
      <c r="A66" s="84">
        <v>225266</v>
      </c>
      <c r="B66" s="30" t="s">
        <v>216</v>
      </c>
      <c r="C66" s="83">
        <v>53</v>
      </c>
      <c r="D66" s="75" t="s">
        <v>114</v>
      </c>
      <c r="E66" s="76">
        <v>20</v>
      </c>
      <c r="F66" s="77" t="s">
        <v>114</v>
      </c>
      <c r="G66" s="76">
        <v>40</v>
      </c>
      <c r="H66" s="77" t="s">
        <v>114</v>
      </c>
      <c r="I66" s="78">
        <v>46</v>
      </c>
      <c r="J66" s="77" t="s">
        <v>114</v>
      </c>
      <c r="K66" s="76">
        <v>22</v>
      </c>
      <c r="L66" s="77" t="s">
        <v>114</v>
      </c>
      <c r="M66" s="76">
        <v>46</v>
      </c>
      <c r="N66" s="77" t="s">
        <v>114</v>
      </c>
      <c r="O66" s="79">
        <v>51</v>
      </c>
      <c r="P66" s="77" t="s">
        <v>114</v>
      </c>
      <c r="Q66" s="76">
        <v>20</v>
      </c>
      <c r="R66" s="77" t="s">
        <v>114</v>
      </c>
      <c r="S66" s="76">
        <v>20</v>
      </c>
      <c r="T66" s="77" t="s">
        <v>114</v>
      </c>
      <c r="U66" s="79">
        <v>61</v>
      </c>
      <c r="V66" s="77" t="s">
        <v>114</v>
      </c>
      <c r="W66" s="76">
        <v>22</v>
      </c>
      <c r="X66" s="77" t="s">
        <v>114</v>
      </c>
      <c r="Y66" s="79">
        <v>40</v>
      </c>
      <c r="Z66" s="77" t="s">
        <v>114</v>
      </c>
      <c r="AA66" s="76">
        <v>22</v>
      </c>
      <c r="AB66" s="77" t="s">
        <v>114</v>
      </c>
      <c r="AC66" s="76">
        <v>18</v>
      </c>
      <c r="AD66" s="77" t="s">
        <v>114</v>
      </c>
      <c r="AE66" s="79">
        <v>30</v>
      </c>
      <c r="AF66" s="77" t="s">
        <v>114</v>
      </c>
      <c r="AG66" s="76">
        <v>22</v>
      </c>
      <c r="AH66" s="77" t="s">
        <v>114</v>
      </c>
      <c r="AI66" s="81">
        <v>533</v>
      </c>
      <c r="AJ66" s="24" t="s">
        <v>117</v>
      </c>
      <c r="AK66" s="25" t="s">
        <v>380</v>
      </c>
    </row>
    <row r="67" spans="1:37" ht="15" customHeight="1">
      <c r="A67" s="84">
        <v>225267</v>
      </c>
      <c r="B67" s="30" t="s">
        <v>217</v>
      </c>
      <c r="C67" s="83">
        <v>42</v>
      </c>
      <c r="D67" s="75" t="s">
        <v>114</v>
      </c>
      <c r="E67" s="76">
        <v>21</v>
      </c>
      <c r="F67" s="77" t="s">
        <v>114</v>
      </c>
      <c r="G67" s="76">
        <v>44</v>
      </c>
      <c r="H67" s="77" t="s">
        <v>114</v>
      </c>
      <c r="I67" s="78">
        <v>53</v>
      </c>
      <c r="J67" s="77" t="s">
        <v>114</v>
      </c>
      <c r="K67" s="76">
        <v>18</v>
      </c>
      <c r="L67" s="77" t="s">
        <v>114</v>
      </c>
      <c r="M67" s="76">
        <v>38</v>
      </c>
      <c r="N67" s="77" t="s">
        <v>114</v>
      </c>
      <c r="O67" s="79">
        <v>46</v>
      </c>
      <c r="P67" s="77" t="s">
        <v>114</v>
      </c>
      <c r="Q67" s="76">
        <v>21</v>
      </c>
      <c r="R67" s="77" t="s">
        <v>114</v>
      </c>
      <c r="S67" s="76">
        <v>22</v>
      </c>
      <c r="T67" s="77" t="s">
        <v>114</v>
      </c>
      <c r="U67" s="79">
        <v>53</v>
      </c>
      <c r="V67" s="77" t="s">
        <v>114</v>
      </c>
      <c r="W67" s="76">
        <v>18</v>
      </c>
      <c r="X67" s="77" t="s">
        <v>114</v>
      </c>
      <c r="Y67" s="79">
        <v>46</v>
      </c>
      <c r="Z67" s="77" t="s">
        <v>114</v>
      </c>
      <c r="AA67" s="76">
        <v>18</v>
      </c>
      <c r="AB67" s="77" t="s">
        <v>114</v>
      </c>
      <c r="AC67" s="76">
        <v>17</v>
      </c>
      <c r="AD67" s="77" t="s">
        <v>114</v>
      </c>
      <c r="AE67" s="79">
        <v>25</v>
      </c>
      <c r="AF67" s="77" t="s">
        <v>114</v>
      </c>
      <c r="AG67" s="76">
        <v>21</v>
      </c>
      <c r="AH67" s="77" t="s">
        <v>114</v>
      </c>
      <c r="AI67" s="81">
        <v>503</v>
      </c>
      <c r="AJ67" s="24" t="s">
        <v>117</v>
      </c>
      <c r="AK67" s="25" t="s">
        <v>403</v>
      </c>
    </row>
    <row r="68" spans="1:37" ht="15" customHeight="1">
      <c r="A68" s="84">
        <v>225268</v>
      </c>
      <c r="B68" s="30" t="s">
        <v>218</v>
      </c>
      <c r="C68" s="83">
        <v>66</v>
      </c>
      <c r="D68" s="75" t="s">
        <v>114</v>
      </c>
      <c r="E68" s="76">
        <v>22</v>
      </c>
      <c r="F68" s="77" t="s">
        <v>114</v>
      </c>
      <c r="G68" s="76">
        <v>40</v>
      </c>
      <c r="H68" s="77" t="s">
        <v>114</v>
      </c>
      <c r="I68" s="78">
        <v>45</v>
      </c>
      <c r="J68" s="77" t="s">
        <v>114</v>
      </c>
      <c r="K68" s="76">
        <v>22</v>
      </c>
      <c r="L68" s="77" t="s">
        <v>114</v>
      </c>
      <c r="M68" s="76">
        <v>46</v>
      </c>
      <c r="N68" s="77" t="s">
        <v>114</v>
      </c>
      <c r="O68" s="79">
        <v>50</v>
      </c>
      <c r="P68" s="77" t="s">
        <v>114</v>
      </c>
      <c r="Q68" s="76">
        <v>22</v>
      </c>
      <c r="R68" s="77" t="s">
        <v>114</v>
      </c>
      <c r="S68" s="76">
        <v>20</v>
      </c>
      <c r="T68" s="77" t="s">
        <v>114</v>
      </c>
      <c r="U68" s="79">
        <v>45</v>
      </c>
      <c r="V68" s="77" t="s">
        <v>114</v>
      </c>
      <c r="W68" s="76">
        <v>20</v>
      </c>
      <c r="X68" s="77" t="s">
        <v>114</v>
      </c>
      <c r="Y68" s="79">
        <v>54</v>
      </c>
      <c r="Z68" s="77" t="s">
        <v>114</v>
      </c>
      <c r="AA68" s="76">
        <v>22</v>
      </c>
      <c r="AB68" s="77" t="s">
        <v>114</v>
      </c>
      <c r="AC68" s="76">
        <v>18</v>
      </c>
      <c r="AD68" s="77" t="s">
        <v>114</v>
      </c>
      <c r="AE68" s="79">
        <v>24</v>
      </c>
      <c r="AF68" s="77" t="s">
        <v>114</v>
      </c>
      <c r="AG68" s="76">
        <v>20</v>
      </c>
      <c r="AH68" s="77" t="s">
        <v>114</v>
      </c>
      <c r="AI68" s="81">
        <v>536</v>
      </c>
      <c r="AJ68" s="24" t="s">
        <v>117</v>
      </c>
      <c r="AK68" s="25" t="s">
        <v>397</v>
      </c>
    </row>
    <row r="69" spans="1:37" ht="15" customHeight="1">
      <c r="A69" s="84">
        <v>225269</v>
      </c>
      <c r="B69" s="30" t="s">
        <v>219</v>
      </c>
      <c r="C69" s="83">
        <v>66</v>
      </c>
      <c r="D69" s="75" t="s">
        <v>114</v>
      </c>
      <c r="E69" s="76">
        <v>23</v>
      </c>
      <c r="F69" s="77" t="s">
        <v>114</v>
      </c>
      <c r="G69" s="76">
        <v>39</v>
      </c>
      <c r="H69" s="77" t="s">
        <v>114</v>
      </c>
      <c r="I69" s="78">
        <v>60</v>
      </c>
      <c r="J69" s="77" t="s">
        <v>114</v>
      </c>
      <c r="K69" s="76">
        <v>23</v>
      </c>
      <c r="L69" s="77" t="s">
        <v>114</v>
      </c>
      <c r="M69" s="76">
        <v>44</v>
      </c>
      <c r="N69" s="77" t="s">
        <v>114</v>
      </c>
      <c r="O69" s="79">
        <v>51</v>
      </c>
      <c r="P69" s="77" t="s">
        <v>114</v>
      </c>
      <c r="Q69" s="76">
        <v>23</v>
      </c>
      <c r="R69" s="77" t="s">
        <v>114</v>
      </c>
      <c r="S69" s="76">
        <v>20</v>
      </c>
      <c r="T69" s="77" t="s">
        <v>114</v>
      </c>
      <c r="U69" s="79">
        <v>67</v>
      </c>
      <c r="V69" s="77" t="s">
        <v>114</v>
      </c>
      <c r="W69" s="76">
        <v>23</v>
      </c>
      <c r="X69" s="77" t="s">
        <v>114</v>
      </c>
      <c r="Y69" s="79">
        <v>60</v>
      </c>
      <c r="Z69" s="77" t="s">
        <v>114</v>
      </c>
      <c r="AA69" s="76">
        <v>23</v>
      </c>
      <c r="AB69" s="77" t="s">
        <v>114</v>
      </c>
      <c r="AC69" s="76">
        <v>23</v>
      </c>
      <c r="AD69" s="77" t="s">
        <v>114</v>
      </c>
      <c r="AE69" s="79">
        <v>28</v>
      </c>
      <c r="AF69" s="77" t="s">
        <v>114</v>
      </c>
      <c r="AG69" s="76">
        <v>23</v>
      </c>
      <c r="AH69" s="77" t="s">
        <v>114</v>
      </c>
      <c r="AI69" s="81">
        <v>596</v>
      </c>
      <c r="AJ69" s="24" t="s">
        <v>117</v>
      </c>
      <c r="AK69" s="25" t="s">
        <v>381</v>
      </c>
    </row>
    <row r="70" spans="1:37" ht="15" customHeight="1">
      <c r="A70" s="84">
        <v>225270</v>
      </c>
      <c r="B70" s="30" t="s">
        <v>220</v>
      </c>
      <c r="C70" s="83">
        <v>46</v>
      </c>
      <c r="D70" s="75" t="s">
        <v>113</v>
      </c>
      <c r="E70" s="76">
        <v>20</v>
      </c>
      <c r="F70" s="77" t="s">
        <v>113</v>
      </c>
      <c r="G70" s="76">
        <v>39</v>
      </c>
      <c r="H70" s="77" t="s">
        <v>113</v>
      </c>
      <c r="I70" s="78">
        <v>46</v>
      </c>
      <c r="J70" s="77" t="s">
        <v>113</v>
      </c>
      <c r="K70" s="76">
        <v>20</v>
      </c>
      <c r="L70" s="77" t="s">
        <v>113</v>
      </c>
      <c r="M70" s="76">
        <v>42</v>
      </c>
      <c r="N70" s="77" t="s">
        <v>113</v>
      </c>
      <c r="O70" s="79">
        <v>27</v>
      </c>
      <c r="P70" s="77" t="s">
        <v>110</v>
      </c>
      <c r="Q70" s="76">
        <v>20</v>
      </c>
      <c r="R70" s="77" t="s">
        <v>113</v>
      </c>
      <c r="S70" s="76">
        <v>20</v>
      </c>
      <c r="T70" s="77" t="s">
        <v>113</v>
      </c>
      <c r="U70" s="79">
        <v>52</v>
      </c>
      <c r="V70" s="77" t="s">
        <v>113</v>
      </c>
      <c r="W70" s="76">
        <v>20</v>
      </c>
      <c r="X70" s="77" t="s">
        <v>113</v>
      </c>
      <c r="Y70" s="79">
        <v>51</v>
      </c>
      <c r="Z70" s="77" t="s">
        <v>113</v>
      </c>
      <c r="AA70" s="76">
        <v>20</v>
      </c>
      <c r="AB70" s="77" t="s">
        <v>113</v>
      </c>
      <c r="AC70" s="76">
        <v>18</v>
      </c>
      <c r="AD70" s="77" t="s">
        <v>113</v>
      </c>
      <c r="AE70" s="79">
        <v>20</v>
      </c>
      <c r="AF70" s="77" t="s">
        <v>113</v>
      </c>
      <c r="AG70" s="76">
        <v>20</v>
      </c>
      <c r="AH70" s="77" t="s">
        <v>113</v>
      </c>
      <c r="AI70" s="81">
        <v>481</v>
      </c>
      <c r="AJ70" s="24" t="s">
        <v>111</v>
      </c>
      <c r="AK70" s="25" t="s">
        <v>130</v>
      </c>
    </row>
    <row r="71" spans="1:37" ht="15" customHeight="1">
      <c r="A71" s="84">
        <v>225271</v>
      </c>
      <c r="B71" s="30" t="s">
        <v>221</v>
      </c>
      <c r="C71" s="83">
        <v>50</v>
      </c>
      <c r="D71" s="75" t="s">
        <v>114</v>
      </c>
      <c r="E71" s="76">
        <v>20</v>
      </c>
      <c r="F71" s="77" t="s">
        <v>114</v>
      </c>
      <c r="G71" s="76">
        <v>42</v>
      </c>
      <c r="H71" s="77" t="s">
        <v>114</v>
      </c>
      <c r="I71" s="78">
        <v>53</v>
      </c>
      <c r="J71" s="77" t="s">
        <v>114</v>
      </c>
      <c r="K71" s="76">
        <v>17</v>
      </c>
      <c r="L71" s="77" t="s">
        <v>114</v>
      </c>
      <c r="M71" s="76">
        <v>40</v>
      </c>
      <c r="N71" s="77" t="s">
        <v>114</v>
      </c>
      <c r="O71" s="79">
        <v>40</v>
      </c>
      <c r="P71" s="77" t="s">
        <v>114</v>
      </c>
      <c r="Q71" s="76">
        <v>20</v>
      </c>
      <c r="R71" s="77" t="s">
        <v>114</v>
      </c>
      <c r="S71" s="76">
        <v>22</v>
      </c>
      <c r="T71" s="77" t="s">
        <v>114</v>
      </c>
      <c r="U71" s="79">
        <v>56</v>
      </c>
      <c r="V71" s="77" t="s">
        <v>114</v>
      </c>
      <c r="W71" s="76">
        <v>20</v>
      </c>
      <c r="X71" s="77" t="s">
        <v>114</v>
      </c>
      <c r="Y71" s="79">
        <v>58</v>
      </c>
      <c r="Z71" s="77" t="s">
        <v>114</v>
      </c>
      <c r="AA71" s="76">
        <v>16</v>
      </c>
      <c r="AB71" s="77" t="s">
        <v>114</v>
      </c>
      <c r="AC71" s="76">
        <v>20</v>
      </c>
      <c r="AD71" s="77" t="s">
        <v>114</v>
      </c>
      <c r="AE71" s="79">
        <v>26</v>
      </c>
      <c r="AF71" s="77" t="s">
        <v>114</v>
      </c>
      <c r="AG71" s="76">
        <v>20</v>
      </c>
      <c r="AH71" s="77" t="s">
        <v>114</v>
      </c>
      <c r="AI71" s="81">
        <v>520</v>
      </c>
      <c r="AJ71" s="24" t="s">
        <v>117</v>
      </c>
      <c r="AK71" s="25" t="s">
        <v>398</v>
      </c>
    </row>
    <row r="72" spans="1:37" ht="15" customHeight="1">
      <c r="A72" s="84">
        <v>225272</v>
      </c>
      <c r="B72" s="30" t="s">
        <v>222</v>
      </c>
      <c r="C72" s="83">
        <v>47</v>
      </c>
      <c r="D72" s="75" t="s">
        <v>114</v>
      </c>
      <c r="E72" s="76">
        <v>22</v>
      </c>
      <c r="F72" s="77" t="s">
        <v>114</v>
      </c>
      <c r="G72" s="76">
        <v>41</v>
      </c>
      <c r="H72" s="77" t="s">
        <v>114</v>
      </c>
      <c r="I72" s="78">
        <v>51</v>
      </c>
      <c r="J72" s="77" t="s">
        <v>114</v>
      </c>
      <c r="K72" s="76">
        <v>21</v>
      </c>
      <c r="L72" s="77" t="s">
        <v>114</v>
      </c>
      <c r="M72" s="76">
        <v>44</v>
      </c>
      <c r="N72" s="77" t="s">
        <v>114</v>
      </c>
      <c r="O72" s="79">
        <v>40</v>
      </c>
      <c r="P72" s="77" t="s">
        <v>114</v>
      </c>
      <c r="Q72" s="76">
        <v>22</v>
      </c>
      <c r="R72" s="77" t="s">
        <v>114</v>
      </c>
      <c r="S72" s="76">
        <v>21</v>
      </c>
      <c r="T72" s="77" t="s">
        <v>114</v>
      </c>
      <c r="U72" s="79">
        <v>50</v>
      </c>
      <c r="V72" s="77" t="s">
        <v>114</v>
      </c>
      <c r="W72" s="76">
        <v>20</v>
      </c>
      <c r="X72" s="77" t="s">
        <v>114</v>
      </c>
      <c r="Y72" s="79">
        <v>50</v>
      </c>
      <c r="Z72" s="77" t="s">
        <v>114</v>
      </c>
      <c r="AA72" s="76">
        <v>21</v>
      </c>
      <c r="AB72" s="77" t="s">
        <v>114</v>
      </c>
      <c r="AC72" s="76">
        <v>20</v>
      </c>
      <c r="AD72" s="77" t="s">
        <v>114</v>
      </c>
      <c r="AE72" s="79">
        <v>26</v>
      </c>
      <c r="AF72" s="77" t="s">
        <v>114</v>
      </c>
      <c r="AG72" s="76">
        <v>20</v>
      </c>
      <c r="AH72" s="77" t="s">
        <v>114</v>
      </c>
      <c r="AI72" s="81">
        <v>516</v>
      </c>
      <c r="AJ72" s="24" t="s">
        <v>117</v>
      </c>
      <c r="AK72" s="25" t="s">
        <v>395</v>
      </c>
    </row>
    <row r="73" spans="1:37" ht="15" customHeight="1">
      <c r="A73" s="84">
        <v>225273</v>
      </c>
      <c r="B73" s="30" t="s">
        <v>223</v>
      </c>
      <c r="C73" s="83">
        <v>41</v>
      </c>
      <c r="D73" s="75" t="s">
        <v>114</v>
      </c>
      <c r="E73" s="76">
        <v>21</v>
      </c>
      <c r="F73" s="77" t="s">
        <v>114</v>
      </c>
      <c r="G73" s="76">
        <v>40</v>
      </c>
      <c r="H73" s="77" t="s">
        <v>114</v>
      </c>
      <c r="I73" s="78">
        <v>45</v>
      </c>
      <c r="J73" s="77" t="s">
        <v>114</v>
      </c>
      <c r="K73" s="76">
        <v>22</v>
      </c>
      <c r="L73" s="77" t="s">
        <v>114</v>
      </c>
      <c r="M73" s="76">
        <v>46</v>
      </c>
      <c r="N73" s="77" t="s">
        <v>114</v>
      </c>
      <c r="O73" s="79">
        <v>40</v>
      </c>
      <c r="P73" s="77" t="s">
        <v>114</v>
      </c>
      <c r="Q73" s="76">
        <v>21</v>
      </c>
      <c r="R73" s="77" t="s">
        <v>114</v>
      </c>
      <c r="S73" s="76">
        <v>20</v>
      </c>
      <c r="T73" s="77" t="s">
        <v>114</v>
      </c>
      <c r="U73" s="79">
        <v>45</v>
      </c>
      <c r="V73" s="77" t="s">
        <v>114</v>
      </c>
      <c r="W73" s="76">
        <v>18</v>
      </c>
      <c r="X73" s="77" t="s">
        <v>114</v>
      </c>
      <c r="Y73" s="79">
        <v>48</v>
      </c>
      <c r="Z73" s="77" t="s">
        <v>114</v>
      </c>
      <c r="AA73" s="76">
        <v>22</v>
      </c>
      <c r="AB73" s="77" t="s">
        <v>114</v>
      </c>
      <c r="AC73" s="76">
        <v>19</v>
      </c>
      <c r="AD73" s="77" t="s">
        <v>114</v>
      </c>
      <c r="AE73" s="79">
        <v>24</v>
      </c>
      <c r="AF73" s="77" t="s">
        <v>114</v>
      </c>
      <c r="AG73" s="76">
        <v>20</v>
      </c>
      <c r="AH73" s="77" t="s">
        <v>114</v>
      </c>
      <c r="AI73" s="81">
        <v>492</v>
      </c>
      <c r="AJ73" s="24" t="s">
        <v>117</v>
      </c>
      <c r="AK73" s="25" t="s">
        <v>399</v>
      </c>
    </row>
    <row r="74" spans="1:37" ht="15" customHeight="1">
      <c r="A74" s="84">
        <v>225274</v>
      </c>
      <c r="B74" s="30" t="s">
        <v>224</v>
      </c>
      <c r="C74" s="83">
        <v>41</v>
      </c>
      <c r="D74" s="75" t="s">
        <v>114</v>
      </c>
      <c r="E74" s="76">
        <v>20</v>
      </c>
      <c r="F74" s="77" t="s">
        <v>114</v>
      </c>
      <c r="G74" s="76">
        <v>39</v>
      </c>
      <c r="H74" s="77" t="s">
        <v>114</v>
      </c>
      <c r="I74" s="78">
        <v>48</v>
      </c>
      <c r="J74" s="77" t="s">
        <v>114</v>
      </c>
      <c r="K74" s="76">
        <v>17</v>
      </c>
      <c r="L74" s="77" t="s">
        <v>114</v>
      </c>
      <c r="M74" s="76">
        <v>40</v>
      </c>
      <c r="N74" s="77" t="s">
        <v>114</v>
      </c>
      <c r="O74" s="79">
        <v>40</v>
      </c>
      <c r="P74" s="77" t="s">
        <v>114</v>
      </c>
      <c r="Q74" s="76">
        <v>20</v>
      </c>
      <c r="R74" s="77" t="s">
        <v>114</v>
      </c>
      <c r="S74" s="76">
        <v>20</v>
      </c>
      <c r="T74" s="77" t="s">
        <v>114</v>
      </c>
      <c r="U74" s="79">
        <v>46</v>
      </c>
      <c r="V74" s="77" t="s">
        <v>114</v>
      </c>
      <c r="W74" s="76">
        <v>20</v>
      </c>
      <c r="X74" s="77" t="s">
        <v>114</v>
      </c>
      <c r="Y74" s="79">
        <v>54</v>
      </c>
      <c r="Z74" s="77" t="s">
        <v>114</v>
      </c>
      <c r="AA74" s="76">
        <v>18</v>
      </c>
      <c r="AB74" s="77" t="s">
        <v>114</v>
      </c>
      <c r="AC74" s="76">
        <v>22</v>
      </c>
      <c r="AD74" s="77" t="s">
        <v>114</v>
      </c>
      <c r="AE74" s="79">
        <v>24</v>
      </c>
      <c r="AF74" s="77" t="s">
        <v>114</v>
      </c>
      <c r="AG74" s="76">
        <v>20</v>
      </c>
      <c r="AH74" s="77" t="s">
        <v>114</v>
      </c>
      <c r="AI74" s="81">
        <v>489</v>
      </c>
      <c r="AJ74" s="24" t="s">
        <v>117</v>
      </c>
      <c r="AK74" s="25" t="s">
        <v>126</v>
      </c>
    </row>
    <row r="75" spans="1:37" ht="15" customHeight="1">
      <c r="A75" s="84">
        <v>225275</v>
      </c>
      <c r="B75" s="30" t="s">
        <v>225</v>
      </c>
      <c r="C75" s="83">
        <v>62</v>
      </c>
      <c r="D75" s="75" t="s">
        <v>114</v>
      </c>
      <c r="E75" s="76">
        <v>19</v>
      </c>
      <c r="F75" s="77" t="s">
        <v>114</v>
      </c>
      <c r="G75" s="76">
        <v>44</v>
      </c>
      <c r="H75" s="77" t="s">
        <v>114</v>
      </c>
      <c r="I75" s="78">
        <v>59</v>
      </c>
      <c r="J75" s="77" t="s">
        <v>114</v>
      </c>
      <c r="K75" s="76">
        <v>21</v>
      </c>
      <c r="L75" s="77" t="s">
        <v>114</v>
      </c>
      <c r="M75" s="76">
        <v>46</v>
      </c>
      <c r="N75" s="77" t="s">
        <v>114</v>
      </c>
      <c r="O75" s="79">
        <v>42</v>
      </c>
      <c r="P75" s="77" t="s">
        <v>114</v>
      </c>
      <c r="Q75" s="76">
        <v>19</v>
      </c>
      <c r="R75" s="77" t="s">
        <v>114</v>
      </c>
      <c r="S75" s="76">
        <v>23</v>
      </c>
      <c r="T75" s="77" t="s">
        <v>114</v>
      </c>
      <c r="U75" s="79">
        <v>58</v>
      </c>
      <c r="V75" s="77" t="s">
        <v>114</v>
      </c>
      <c r="W75" s="76">
        <v>18</v>
      </c>
      <c r="X75" s="77" t="s">
        <v>114</v>
      </c>
      <c r="Y75" s="79">
        <v>64</v>
      </c>
      <c r="Z75" s="77" t="s">
        <v>114</v>
      </c>
      <c r="AA75" s="76">
        <v>21</v>
      </c>
      <c r="AB75" s="77" t="s">
        <v>114</v>
      </c>
      <c r="AC75" s="76">
        <v>18</v>
      </c>
      <c r="AD75" s="77" t="s">
        <v>114</v>
      </c>
      <c r="AE75" s="79">
        <v>26</v>
      </c>
      <c r="AF75" s="77" t="s">
        <v>114</v>
      </c>
      <c r="AG75" s="76">
        <v>18</v>
      </c>
      <c r="AH75" s="77" t="s">
        <v>114</v>
      </c>
      <c r="AI75" s="81">
        <v>558</v>
      </c>
      <c r="AJ75" s="24" t="s">
        <v>117</v>
      </c>
      <c r="AK75" s="25" t="s">
        <v>376</v>
      </c>
    </row>
    <row r="76" spans="1:37" ht="15" customHeight="1">
      <c r="A76" s="84">
        <v>225276</v>
      </c>
      <c r="B76" s="30" t="s">
        <v>226</v>
      </c>
      <c r="C76" s="83">
        <v>61</v>
      </c>
      <c r="D76" s="75" t="s">
        <v>114</v>
      </c>
      <c r="E76" s="76">
        <v>20</v>
      </c>
      <c r="F76" s="77" t="s">
        <v>114</v>
      </c>
      <c r="G76" s="76">
        <v>40</v>
      </c>
      <c r="H76" s="77" t="s">
        <v>114</v>
      </c>
      <c r="I76" s="78">
        <v>48</v>
      </c>
      <c r="J76" s="77" t="s">
        <v>114</v>
      </c>
      <c r="K76" s="76">
        <v>17</v>
      </c>
      <c r="L76" s="77" t="s">
        <v>114</v>
      </c>
      <c r="M76" s="76">
        <v>38</v>
      </c>
      <c r="N76" s="77" t="s">
        <v>114</v>
      </c>
      <c r="O76" s="79">
        <v>47</v>
      </c>
      <c r="P76" s="77" t="s">
        <v>114</v>
      </c>
      <c r="Q76" s="76">
        <v>20</v>
      </c>
      <c r="R76" s="77" t="s">
        <v>114</v>
      </c>
      <c r="S76" s="76">
        <v>20</v>
      </c>
      <c r="T76" s="77" t="s">
        <v>114</v>
      </c>
      <c r="U76" s="79">
        <v>62</v>
      </c>
      <c r="V76" s="77" t="s">
        <v>114</v>
      </c>
      <c r="W76" s="76">
        <v>24</v>
      </c>
      <c r="X76" s="77" t="s">
        <v>114</v>
      </c>
      <c r="Y76" s="79">
        <v>46</v>
      </c>
      <c r="Z76" s="77" t="s">
        <v>114</v>
      </c>
      <c r="AA76" s="76">
        <v>19</v>
      </c>
      <c r="AB76" s="77" t="s">
        <v>114</v>
      </c>
      <c r="AC76" s="76">
        <v>20</v>
      </c>
      <c r="AD76" s="77" t="s">
        <v>114</v>
      </c>
      <c r="AE76" s="79">
        <v>26</v>
      </c>
      <c r="AF76" s="77" t="s">
        <v>114</v>
      </c>
      <c r="AG76" s="76">
        <v>22</v>
      </c>
      <c r="AH76" s="77" t="s">
        <v>114</v>
      </c>
      <c r="AI76" s="81">
        <v>530</v>
      </c>
      <c r="AJ76" s="24" t="s">
        <v>117</v>
      </c>
      <c r="AK76" s="25" t="s">
        <v>400</v>
      </c>
    </row>
    <row r="77" spans="1:37" ht="15" customHeight="1">
      <c r="A77" s="84">
        <v>225277</v>
      </c>
      <c r="B77" s="30" t="s">
        <v>227</v>
      </c>
      <c r="C77" s="83">
        <v>55</v>
      </c>
      <c r="D77" s="75" t="s">
        <v>114</v>
      </c>
      <c r="E77" s="76">
        <v>19</v>
      </c>
      <c r="F77" s="77" t="s">
        <v>114</v>
      </c>
      <c r="G77" s="76">
        <v>39</v>
      </c>
      <c r="H77" s="77" t="s">
        <v>114</v>
      </c>
      <c r="I77" s="78">
        <v>54</v>
      </c>
      <c r="J77" s="77" t="s">
        <v>114</v>
      </c>
      <c r="K77" s="76">
        <v>21</v>
      </c>
      <c r="L77" s="77" t="s">
        <v>114</v>
      </c>
      <c r="M77" s="76">
        <v>42</v>
      </c>
      <c r="N77" s="77" t="s">
        <v>114</v>
      </c>
      <c r="O77" s="79">
        <v>40</v>
      </c>
      <c r="P77" s="77" t="s">
        <v>114</v>
      </c>
      <c r="Q77" s="76">
        <v>19</v>
      </c>
      <c r="R77" s="77" t="s">
        <v>114</v>
      </c>
      <c r="S77" s="76">
        <v>20</v>
      </c>
      <c r="T77" s="77" t="s">
        <v>114</v>
      </c>
      <c r="U77" s="79">
        <v>62</v>
      </c>
      <c r="V77" s="77" t="s">
        <v>114</v>
      </c>
      <c r="W77" s="76">
        <v>18</v>
      </c>
      <c r="X77" s="77" t="s">
        <v>114</v>
      </c>
      <c r="Y77" s="79">
        <v>62</v>
      </c>
      <c r="Z77" s="77" t="s">
        <v>114</v>
      </c>
      <c r="AA77" s="76">
        <v>21</v>
      </c>
      <c r="AB77" s="77" t="s">
        <v>114</v>
      </c>
      <c r="AC77" s="76">
        <v>18</v>
      </c>
      <c r="AD77" s="77" t="s">
        <v>114</v>
      </c>
      <c r="AE77" s="79">
        <v>29</v>
      </c>
      <c r="AF77" s="77" t="s">
        <v>114</v>
      </c>
      <c r="AG77" s="76">
        <v>20</v>
      </c>
      <c r="AH77" s="77" t="s">
        <v>114</v>
      </c>
      <c r="AI77" s="81">
        <v>539</v>
      </c>
      <c r="AJ77" s="24" t="s">
        <v>117</v>
      </c>
      <c r="AK77" s="25" t="s">
        <v>401</v>
      </c>
    </row>
    <row r="78" spans="1:37" ht="15" customHeight="1">
      <c r="A78" s="84">
        <v>225278</v>
      </c>
      <c r="B78" s="30" t="s">
        <v>228</v>
      </c>
      <c r="C78" s="83">
        <v>50</v>
      </c>
      <c r="D78" s="75" t="s">
        <v>114</v>
      </c>
      <c r="E78" s="76">
        <v>20</v>
      </c>
      <c r="F78" s="77" t="s">
        <v>114</v>
      </c>
      <c r="G78" s="76">
        <v>40</v>
      </c>
      <c r="H78" s="77" t="s">
        <v>114</v>
      </c>
      <c r="I78" s="78">
        <v>53</v>
      </c>
      <c r="J78" s="77" t="s">
        <v>114</v>
      </c>
      <c r="K78" s="76">
        <v>21</v>
      </c>
      <c r="L78" s="77" t="s">
        <v>114</v>
      </c>
      <c r="M78" s="76">
        <v>44</v>
      </c>
      <c r="N78" s="77" t="s">
        <v>114</v>
      </c>
      <c r="O78" s="79">
        <v>46</v>
      </c>
      <c r="P78" s="77" t="s">
        <v>114</v>
      </c>
      <c r="Q78" s="76">
        <v>20</v>
      </c>
      <c r="R78" s="77" t="s">
        <v>114</v>
      </c>
      <c r="S78" s="76">
        <v>20</v>
      </c>
      <c r="T78" s="77" t="s">
        <v>114</v>
      </c>
      <c r="U78" s="79">
        <v>64</v>
      </c>
      <c r="V78" s="77" t="s">
        <v>114</v>
      </c>
      <c r="W78" s="76">
        <v>20</v>
      </c>
      <c r="X78" s="77" t="s">
        <v>114</v>
      </c>
      <c r="Y78" s="79">
        <v>52</v>
      </c>
      <c r="Z78" s="77" t="s">
        <v>114</v>
      </c>
      <c r="AA78" s="76">
        <v>21</v>
      </c>
      <c r="AB78" s="77" t="s">
        <v>114</v>
      </c>
      <c r="AC78" s="76">
        <v>19</v>
      </c>
      <c r="AD78" s="77" t="s">
        <v>114</v>
      </c>
      <c r="AE78" s="79">
        <v>25</v>
      </c>
      <c r="AF78" s="77" t="s">
        <v>114</v>
      </c>
      <c r="AG78" s="76">
        <v>19</v>
      </c>
      <c r="AH78" s="77" t="s">
        <v>114</v>
      </c>
      <c r="AI78" s="81">
        <v>534</v>
      </c>
      <c r="AJ78" s="24" t="s">
        <v>117</v>
      </c>
      <c r="AK78" s="25" t="s">
        <v>374</v>
      </c>
    </row>
    <row r="79" spans="1:37" ht="15" customHeight="1">
      <c r="A79" s="84">
        <v>225279</v>
      </c>
      <c r="B79" s="30" t="s">
        <v>229</v>
      </c>
      <c r="C79" s="83">
        <v>47</v>
      </c>
      <c r="D79" s="75" t="s">
        <v>114</v>
      </c>
      <c r="E79" s="76">
        <v>22</v>
      </c>
      <c r="F79" s="77" t="s">
        <v>114</v>
      </c>
      <c r="G79" s="76">
        <v>43</v>
      </c>
      <c r="H79" s="77" t="s">
        <v>114</v>
      </c>
      <c r="I79" s="78">
        <v>50</v>
      </c>
      <c r="J79" s="77" t="s">
        <v>114</v>
      </c>
      <c r="K79" s="76">
        <v>22</v>
      </c>
      <c r="L79" s="77" t="s">
        <v>114</v>
      </c>
      <c r="M79" s="76">
        <v>44</v>
      </c>
      <c r="N79" s="77" t="s">
        <v>114</v>
      </c>
      <c r="O79" s="79" t="s">
        <v>343</v>
      </c>
      <c r="P79" s="77" t="s">
        <v>114</v>
      </c>
      <c r="Q79" s="76">
        <v>22</v>
      </c>
      <c r="R79" s="77" t="s">
        <v>114</v>
      </c>
      <c r="S79" s="76">
        <v>23</v>
      </c>
      <c r="T79" s="77" t="s">
        <v>114</v>
      </c>
      <c r="U79" s="79">
        <v>43</v>
      </c>
      <c r="V79" s="77" t="s">
        <v>114</v>
      </c>
      <c r="W79" s="76">
        <v>24</v>
      </c>
      <c r="X79" s="77" t="s">
        <v>114</v>
      </c>
      <c r="Y79" s="79">
        <v>56</v>
      </c>
      <c r="Z79" s="77" t="s">
        <v>114</v>
      </c>
      <c r="AA79" s="76">
        <v>22</v>
      </c>
      <c r="AB79" s="77" t="s">
        <v>114</v>
      </c>
      <c r="AC79" s="76">
        <v>21</v>
      </c>
      <c r="AD79" s="77" t="s">
        <v>114</v>
      </c>
      <c r="AE79" s="79">
        <v>23</v>
      </c>
      <c r="AF79" s="77" t="s">
        <v>114</v>
      </c>
      <c r="AG79" s="76">
        <v>22</v>
      </c>
      <c r="AH79" s="77" t="s">
        <v>114</v>
      </c>
      <c r="AI79" s="81" t="s">
        <v>344</v>
      </c>
      <c r="AJ79" s="24" t="s">
        <v>117</v>
      </c>
      <c r="AK79" s="25" t="s">
        <v>395</v>
      </c>
    </row>
    <row r="80" spans="1:37" ht="15" customHeight="1">
      <c r="A80" s="84">
        <v>225280</v>
      </c>
      <c r="B80" s="30" t="s">
        <v>230</v>
      </c>
      <c r="C80" s="83">
        <v>40</v>
      </c>
      <c r="D80" s="75" t="s">
        <v>114</v>
      </c>
      <c r="E80" s="76">
        <v>20</v>
      </c>
      <c r="F80" s="77" t="s">
        <v>114</v>
      </c>
      <c r="G80" s="76">
        <v>44</v>
      </c>
      <c r="H80" s="77" t="s">
        <v>114</v>
      </c>
      <c r="I80" s="78">
        <v>40</v>
      </c>
      <c r="J80" s="77" t="s">
        <v>114</v>
      </c>
      <c r="K80" s="76">
        <v>16</v>
      </c>
      <c r="L80" s="77" t="s">
        <v>114</v>
      </c>
      <c r="M80" s="76">
        <v>42</v>
      </c>
      <c r="N80" s="77" t="s">
        <v>114</v>
      </c>
      <c r="O80" s="79">
        <v>40</v>
      </c>
      <c r="P80" s="77" t="s">
        <v>114</v>
      </c>
      <c r="Q80" s="76">
        <v>20</v>
      </c>
      <c r="R80" s="77" t="s">
        <v>114</v>
      </c>
      <c r="S80" s="76">
        <v>23</v>
      </c>
      <c r="T80" s="77" t="s">
        <v>114</v>
      </c>
      <c r="U80" s="79">
        <v>54</v>
      </c>
      <c r="V80" s="77" t="s">
        <v>114</v>
      </c>
      <c r="W80" s="76">
        <v>20</v>
      </c>
      <c r="X80" s="77" t="s">
        <v>114</v>
      </c>
      <c r="Y80" s="79">
        <v>48</v>
      </c>
      <c r="Z80" s="77" t="s">
        <v>114</v>
      </c>
      <c r="AA80" s="76">
        <v>16</v>
      </c>
      <c r="AB80" s="77" t="s">
        <v>114</v>
      </c>
      <c r="AC80" s="76">
        <v>18</v>
      </c>
      <c r="AD80" s="77" t="s">
        <v>114</v>
      </c>
      <c r="AE80" s="79">
        <v>20</v>
      </c>
      <c r="AF80" s="77" t="s">
        <v>114</v>
      </c>
      <c r="AG80" s="76">
        <v>20</v>
      </c>
      <c r="AH80" s="77" t="s">
        <v>114</v>
      </c>
      <c r="AI80" s="81">
        <v>481</v>
      </c>
      <c r="AJ80" s="24" t="s">
        <v>117</v>
      </c>
      <c r="AK80" s="25" t="s">
        <v>130</v>
      </c>
    </row>
    <row r="81" spans="1:37" ht="15" customHeight="1">
      <c r="A81" s="84">
        <v>225281</v>
      </c>
      <c r="B81" s="30" t="s">
        <v>231</v>
      </c>
      <c r="C81" s="83">
        <v>70</v>
      </c>
      <c r="D81" s="75" t="s">
        <v>114</v>
      </c>
      <c r="E81" s="76">
        <v>21</v>
      </c>
      <c r="F81" s="77" t="s">
        <v>114</v>
      </c>
      <c r="G81" s="76">
        <v>40</v>
      </c>
      <c r="H81" s="77" t="s">
        <v>114</v>
      </c>
      <c r="I81" s="78">
        <v>57</v>
      </c>
      <c r="J81" s="77" t="s">
        <v>114</v>
      </c>
      <c r="K81" s="76">
        <v>23</v>
      </c>
      <c r="L81" s="77" t="s">
        <v>114</v>
      </c>
      <c r="M81" s="76">
        <v>42</v>
      </c>
      <c r="N81" s="77" t="s">
        <v>114</v>
      </c>
      <c r="O81" s="79">
        <v>62</v>
      </c>
      <c r="P81" s="77" t="s">
        <v>114</v>
      </c>
      <c r="Q81" s="76">
        <v>21</v>
      </c>
      <c r="R81" s="77" t="s">
        <v>114</v>
      </c>
      <c r="S81" s="76">
        <v>20</v>
      </c>
      <c r="T81" s="77" t="s">
        <v>114</v>
      </c>
      <c r="U81" s="79">
        <v>55</v>
      </c>
      <c r="V81" s="77" t="s">
        <v>114</v>
      </c>
      <c r="W81" s="76">
        <v>22</v>
      </c>
      <c r="X81" s="77" t="s">
        <v>114</v>
      </c>
      <c r="Y81" s="79">
        <v>69</v>
      </c>
      <c r="Z81" s="77" t="s">
        <v>114</v>
      </c>
      <c r="AA81" s="76">
        <v>23</v>
      </c>
      <c r="AB81" s="77" t="s">
        <v>114</v>
      </c>
      <c r="AC81" s="76">
        <v>20</v>
      </c>
      <c r="AD81" s="77" t="s">
        <v>114</v>
      </c>
      <c r="AE81" s="79">
        <v>32</v>
      </c>
      <c r="AF81" s="77" t="s">
        <v>114</v>
      </c>
      <c r="AG81" s="76">
        <v>21</v>
      </c>
      <c r="AH81" s="77" t="s">
        <v>114</v>
      </c>
      <c r="AI81" s="81">
        <v>598</v>
      </c>
      <c r="AJ81" s="24" t="s">
        <v>117</v>
      </c>
      <c r="AK81" s="25" t="s">
        <v>402</v>
      </c>
    </row>
    <row r="82" spans="1:37" ht="15" customHeight="1">
      <c r="A82" s="84">
        <v>225282</v>
      </c>
      <c r="B82" s="30" t="s">
        <v>232</v>
      </c>
      <c r="C82" s="83">
        <v>50</v>
      </c>
      <c r="D82" s="75" t="s">
        <v>114</v>
      </c>
      <c r="E82" s="76">
        <v>18</v>
      </c>
      <c r="F82" s="77" t="s">
        <v>114</v>
      </c>
      <c r="G82" s="76">
        <v>42</v>
      </c>
      <c r="H82" s="77" t="s">
        <v>114</v>
      </c>
      <c r="I82" s="78">
        <v>55</v>
      </c>
      <c r="J82" s="77" t="s">
        <v>114</v>
      </c>
      <c r="K82" s="76">
        <v>17</v>
      </c>
      <c r="L82" s="77" t="s">
        <v>114</v>
      </c>
      <c r="M82" s="76">
        <v>38</v>
      </c>
      <c r="N82" s="77" t="s">
        <v>114</v>
      </c>
      <c r="O82" s="79">
        <v>46</v>
      </c>
      <c r="P82" s="77" t="s">
        <v>114</v>
      </c>
      <c r="Q82" s="76">
        <v>18</v>
      </c>
      <c r="R82" s="77" t="s">
        <v>114</v>
      </c>
      <c r="S82" s="76">
        <v>22</v>
      </c>
      <c r="T82" s="77" t="s">
        <v>114</v>
      </c>
      <c r="U82" s="79">
        <v>49</v>
      </c>
      <c r="V82" s="77" t="s">
        <v>114</v>
      </c>
      <c r="W82" s="76">
        <v>20</v>
      </c>
      <c r="X82" s="77" t="s">
        <v>114</v>
      </c>
      <c r="Y82" s="79">
        <v>49</v>
      </c>
      <c r="Z82" s="77" t="s">
        <v>114</v>
      </c>
      <c r="AA82" s="76">
        <v>17</v>
      </c>
      <c r="AB82" s="77" t="s">
        <v>114</v>
      </c>
      <c r="AC82" s="76">
        <v>18</v>
      </c>
      <c r="AD82" s="77" t="s">
        <v>114</v>
      </c>
      <c r="AE82" s="79">
        <v>26</v>
      </c>
      <c r="AF82" s="77" t="s">
        <v>114</v>
      </c>
      <c r="AG82" s="76">
        <v>19</v>
      </c>
      <c r="AH82" s="77" t="s">
        <v>114</v>
      </c>
      <c r="AI82" s="81">
        <v>504</v>
      </c>
      <c r="AJ82" s="24" t="s">
        <v>117</v>
      </c>
      <c r="AK82" s="25" t="s">
        <v>127</v>
      </c>
    </row>
    <row r="83" spans="1:37" ht="15" customHeight="1">
      <c r="A83" s="84">
        <v>225283</v>
      </c>
      <c r="B83" s="30" t="s">
        <v>233</v>
      </c>
      <c r="C83" s="83">
        <v>15</v>
      </c>
      <c r="D83" s="75" t="s">
        <v>110</v>
      </c>
      <c r="E83" s="76">
        <v>20</v>
      </c>
      <c r="F83" s="77" t="s">
        <v>113</v>
      </c>
      <c r="G83" s="76">
        <v>45</v>
      </c>
      <c r="H83" s="77" t="s">
        <v>113</v>
      </c>
      <c r="I83" s="78">
        <v>40</v>
      </c>
      <c r="J83" s="77" t="s">
        <v>113</v>
      </c>
      <c r="K83" s="76">
        <v>20</v>
      </c>
      <c r="L83" s="77" t="s">
        <v>113</v>
      </c>
      <c r="M83" s="76">
        <v>42</v>
      </c>
      <c r="N83" s="77" t="s">
        <v>113</v>
      </c>
      <c r="O83" s="79">
        <v>58</v>
      </c>
      <c r="P83" s="77" t="s">
        <v>113</v>
      </c>
      <c r="Q83" s="76">
        <v>20</v>
      </c>
      <c r="R83" s="77" t="s">
        <v>113</v>
      </c>
      <c r="S83" s="76">
        <v>23</v>
      </c>
      <c r="T83" s="77" t="s">
        <v>113</v>
      </c>
      <c r="U83" s="79">
        <v>48</v>
      </c>
      <c r="V83" s="77" t="s">
        <v>113</v>
      </c>
      <c r="W83" s="76">
        <v>16</v>
      </c>
      <c r="X83" s="77" t="s">
        <v>113</v>
      </c>
      <c r="Y83" s="79">
        <v>43</v>
      </c>
      <c r="Z83" s="77" t="s">
        <v>113</v>
      </c>
      <c r="AA83" s="76">
        <v>20</v>
      </c>
      <c r="AB83" s="77" t="s">
        <v>113</v>
      </c>
      <c r="AC83" s="76">
        <v>17</v>
      </c>
      <c r="AD83" s="77" t="s">
        <v>113</v>
      </c>
      <c r="AE83" s="79">
        <v>26</v>
      </c>
      <c r="AF83" s="77" t="s">
        <v>113</v>
      </c>
      <c r="AG83" s="76">
        <v>17</v>
      </c>
      <c r="AH83" s="77" t="s">
        <v>113</v>
      </c>
      <c r="AI83" s="81">
        <v>470</v>
      </c>
      <c r="AJ83" s="24" t="s">
        <v>111</v>
      </c>
      <c r="AK83" s="25" t="s">
        <v>116</v>
      </c>
    </row>
    <row r="84" spans="1:37" ht="15" customHeight="1">
      <c r="A84" s="29">
        <v>225284</v>
      </c>
      <c r="B84" s="30" t="s">
        <v>234</v>
      </c>
      <c r="C84" s="36">
        <v>42</v>
      </c>
      <c r="D84" s="52"/>
      <c r="E84" s="39">
        <v>20</v>
      </c>
      <c r="F84" s="53"/>
      <c r="G84" s="39">
        <v>42</v>
      </c>
      <c r="H84" s="53"/>
      <c r="I84" s="41">
        <v>42</v>
      </c>
      <c r="J84" s="53"/>
      <c r="K84" s="39">
        <v>19</v>
      </c>
      <c r="L84" s="53"/>
      <c r="M84" s="39">
        <v>38</v>
      </c>
      <c r="N84" s="53"/>
      <c r="O84" s="42">
        <v>40</v>
      </c>
      <c r="P84" s="53"/>
      <c r="Q84" s="39">
        <v>20</v>
      </c>
      <c r="R84" s="53"/>
      <c r="S84" s="39">
        <v>22</v>
      </c>
      <c r="T84" s="53"/>
      <c r="U84" s="42">
        <v>58</v>
      </c>
      <c r="V84" s="53"/>
      <c r="W84" s="39">
        <v>16</v>
      </c>
      <c r="X84" s="53"/>
      <c r="Y84" s="42">
        <v>69</v>
      </c>
      <c r="Z84" s="53"/>
      <c r="AA84" s="39">
        <v>19</v>
      </c>
      <c r="AB84" s="53"/>
      <c r="AC84" s="39">
        <v>19</v>
      </c>
      <c r="AD84" s="53"/>
      <c r="AE84" s="42">
        <v>30</v>
      </c>
      <c r="AF84" s="53"/>
      <c r="AG84" s="39">
        <v>17</v>
      </c>
      <c r="AH84" s="53"/>
      <c r="AI84" s="23">
        <f>IF(AND(OR(COUNTIF(C84:AH84,"=31")&gt;=1,COUNTIF(C84:AH84,"=32")&gt;=1,COUNTIF(C84:AH84,"=33")&gt;=1,COUNTIF(C84:AH84,"=34")&gt;=1,COUNTIF(C84:AH84,"=35")=1,COUNTIF(C84:AH84,"=36")&gt;=1 ),COUNTIF(C84:AH84,"")=0,COUNTIF(C84:AH84," ")=0,COUNTIF(C84:AH84,"F")=1),CONCATENATE(SUM(EXTRACTNUMBER(C84),EXTRACTNUMBER(E84),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EXTRACTNUMBER(AC84),EXTRACTNUMBER(AE84),EXTRACTNUMBER(AG84)),"*"),IF(AND(COUNTIF(C84:AH84,"=34")&gt;=1,COUNTIF(C84:AH84,"=35")&gt;=1,COUNTIF(C84:AH84,"f")=2,COUNTIF(C84:AH84,"")=0,COUNTIF(C84:AH84," ")=0),CONCATENATE(SUM(EXTRACTNUMBER(C84),EXTRACTNUMBER(E84),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EXTRACTNUMBER(AC84),EXTRACTNUMBER(AE84),EXTRACTNUMBER(AG84)),"*"),IF(AND(COUNTIF(C84:AH84,"=36")&gt;=2,COUNTIF(C84:AH84,"f")=2,COUNTIF(C84:AH84,"")=0,COUNTIF(C84:AH84," ")=0),CONCATENATE(SUM(EXTRACTNUMBER(C84),EXTRACTNUMBER(E84),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EXTRACTNUMBER(AC84),EXTRACTNUMBER(AE84),EXTRACTNUMBER(AG84)),"*"),SUM(EXTRACTNUMBER(C84),EXTRACTNUMBER(E84),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EXTRACTNUMBER(AC84),EXTRACTNUMBER(AE84),EXTRACTNUMBER(AG84)))))</f>
        <v>513</v>
      </c>
      <c r="AJ84" s="24" t="str">
        <f t="shared" ref="AJ84" si="0">IF(AND(COUNTIF(C84:AH84,"AB")&lt;16-COUNTIF(C84:AH84," "),
COUNTIF(C84:AH84,"AB")&lt;&gt;0),"FAIL",
IF(COUNTIF(C84:AH84,"AB")=16-COUNTIF(C84:AH84," "),"ABSENT",
IF(AND(COUNTIF(C84:AH84,"AB")=0,COUNTIF(C84:AH84,"F")=0),"PASS","FAIL")))</f>
        <v>PASS</v>
      </c>
      <c r="AK84" s="25" t="str">
        <f>SPELLNUMBER(extractnumber_tot(AI84))</f>
        <v xml:space="preserve">Five Hundred Thirteen </v>
      </c>
    </row>
    <row r="85" spans="1:37" ht="15" customHeight="1">
      <c r="A85" s="84">
        <v>225285</v>
      </c>
      <c r="B85" s="30" t="s">
        <v>235</v>
      </c>
      <c r="C85" s="83">
        <v>63</v>
      </c>
      <c r="D85" s="75" t="s">
        <v>114</v>
      </c>
      <c r="E85" s="76">
        <v>21</v>
      </c>
      <c r="F85" s="77" t="s">
        <v>114</v>
      </c>
      <c r="G85" s="76">
        <v>43</v>
      </c>
      <c r="H85" s="77" t="s">
        <v>114</v>
      </c>
      <c r="I85" s="78">
        <v>40</v>
      </c>
      <c r="J85" s="77" t="s">
        <v>114</v>
      </c>
      <c r="K85" s="76">
        <v>22</v>
      </c>
      <c r="L85" s="77" t="s">
        <v>114</v>
      </c>
      <c r="M85" s="76">
        <v>42</v>
      </c>
      <c r="N85" s="77" t="s">
        <v>114</v>
      </c>
      <c r="O85" s="79">
        <v>55</v>
      </c>
      <c r="P85" s="77" t="s">
        <v>114</v>
      </c>
      <c r="Q85" s="76">
        <v>21</v>
      </c>
      <c r="R85" s="77" t="s">
        <v>114</v>
      </c>
      <c r="S85" s="76">
        <v>23</v>
      </c>
      <c r="T85" s="77" t="s">
        <v>114</v>
      </c>
      <c r="U85" s="79">
        <v>58</v>
      </c>
      <c r="V85" s="77" t="s">
        <v>114</v>
      </c>
      <c r="W85" s="76">
        <v>21</v>
      </c>
      <c r="X85" s="77" t="s">
        <v>114</v>
      </c>
      <c r="Y85" s="79">
        <v>40</v>
      </c>
      <c r="Z85" s="77" t="s">
        <v>114</v>
      </c>
      <c r="AA85" s="76">
        <v>22</v>
      </c>
      <c r="AB85" s="77" t="s">
        <v>114</v>
      </c>
      <c r="AC85" s="76">
        <v>18</v>
      </c>
      <c r="AD85" s="77" t="s">
        <v>114</v>
      </c>
      <c r="AE85" s="79">
        <v>31</v>
      </c>
      <c r="AF85" s="77" t="s">
        <v>114</v>
      </c>
      <c r="AG85" s="76">
        <v>23</v>
      </c>
      <c r="AH85" s="77" t="s">
        <v>114</v>
      </c>
      <c r="AI85" s="81">
        <v>543</v>
      </c>
      <c r="AJ85" s="24" t="s">
        <v>117</v>
      </c>
      <c r="AK85" s="25" t="s">
        <v>404</v>
      </c>
    </row>
    <row r="86" spans="1:37" ht="15" customHeight="1">
      <c r="A86" s="84">
        <v>225286</v>
      </c>
      <c r="B86" s="30" t="s">
        <v>236</v>
      </c>
      <c r="C86" s="83">
        <v>64</v>
      </c>
      <c r="D86" s="75" t="s">
        <v>114</v>
      </c>
      <c r="E86" s="76">
        <v>21</v>
      </c>
      <c r="F86" s="77" t="s">
        <v>114</v>
      </c>
      <c r="G86" s="76">
        <v>44</v>
      </c>
      <c r="H86" s="77" t="s">
        <v>114</v>
      </c>
      <c r="I86" s="78">
        <v>64</v>
      </c>
      <c r="J86" s="77" t="s">
        <v>114</v>
      </c>
      <c r="K86" s="76">
        <v>23</v>
      </c>
      <c r="L86" s="77" t="s">
        <v>114</v>
      </c>
      <c r="M86" s="76">
        <v>46</v>
      </c>
      <c r="N86" s="77" t="s">
        <v>114</v>
      </c>
      <c r="O86" s="79">
        <v>52</v>
      </c>
      <c r="P86" s="77" t="s">
        <v>114</v>
      </c>
      <c r="Q86" s="76">
        <v>22</v>
      </c>
      <c r="R86" s="77" t="s">
        <v>114</v>
      </c>
      <c r="S86" s="76">
        <v>23</v>
      </c>
      <c r="T86" s="77" t="s">
        <v>114</v>
      </c>
      <c r="U86" s="79">
        <v>58</v>
      </c>
      <c r="V86" s="77" t="s">
        <v>114</v>
      </c>
      <c r="W86" s="76">
        <v>22</v>
      </c>
      <c r="X86" s="77" t="s">
        <v>114</v>
      </c>
      <c r="Y86" s="79">
        <v>68</v>
      </c>
      <c r="Z86" s="77" t="s">
        <v>114</v>
      </c>
      <c r="AA86" s="76">
        <v>23</v>
      </c>
      <c r="AB86" s="77" t="s">
        <v>114</v>
      </c>
      <c r="AC86" s="76">
        <v>20</v>
      </c>
      <c r="AD86" s="77" t="s">
        <v>114</v>
      </c>
      <c r="AE86" s="79">
        <v>30</v>
      </c>
      <c r="AF86" s="77" t="s">
        <v>114</v>
      </c>
      <c r="AG86" s="76">
        <v>20</v>
      </c>
      <c r="AH86" s="77" t="s">
        <v>114</v>
      </c>
      <c r="AI86" s="81">
        <v>600</v>
      </c>
      <c r="AJ86" s="24" t="s">
        <v>117</v>
      </c>
      <c r="AK86" s="25" t="s">
        <v>405</v>
      </c>
    </row>
    <row r="87" spans="1:37" ht="15" customHeight="1">
      <c r="A87" s="84">
        <v>225287</v>
      </c>
      <c r="B87" s="30" t="s">
        <v>237</v>
      </c>
      <c r="C87" s="83">
        <v>61</v>
      </c>
      <c r="D87" s="75" t="s">
        <v>114</v>
      </c>
      <c r="E87" s="76">
        <v>20</v>
      </c>
      <c r="F87" s="77" t="s">
        <v>114</v>
      </c>
      <c r="G87" s="76">
        <v>42</v>
      </c>
      <c r="H87" s="77" t="s">
        <v>114</v>
      </c>
      <c r="I87" s="78">
        <v>45</v>
      </c>
      <c r="J87" s="77" t="s">
        <v>114</v>
      </c>
      <c r="K87" s="76">
        <v>17</v>
      </c>
      <c r="L87" s="77" t="s">
        <v>114</v>
      </c>
      <c r="M87" s="76">
        <v>38</v>
      </c>
      <c r="N87" s="77" t="s">
        <v>114</v>
      </c>
      <c r="O87" s="79">
        <v>45</v>
      </c>
      <c r="P87" s="77" t="s">
        <v>114</v>
      </c>
      <c r="Q87" s="76">
        <v>20</v>
      </c>
      <c r="R87" s="77" t="s">
        <v>114</v>
      </c>
      <c r="S87" s="76">
        <v>22</v>
      </c>
      <c r="T87" s="77" t="s">
        <v>114</v>
      </c>
      <c r="U87" s="79">
        <v>57</v>
      </c>
      <c r="V87" s="77" t="s">
        <v>114</v>
      </c>
      <c r="W87" s="76">
        <v>20</v>
      </c>
      <c r="X87" s="77" t="s">
        <v>114</v>
      </c>
      <c r="Y87" s="79">
        <v>44</v>
      </c>
      <c r="Z87" s="77" t="s">
        <v>114</v>
      </c>
      <c r="AA87" s="76">
        <v>18</v>
      </c>
      <c r="AB87" s="77" t="s">
        <v>114</v>
      </c>
      <c r="AC87" s="76">
        <v>17</v>
      </c>
      <c r="AD87" s="77" t="s">
        <v>114</v>
      </c>
      <c r="AE87" s="79">
        <v>31</v>
      </c>
      <c r="AF87" s="77" t="s">
        <v>114</v>
      </c>
      <c r="AG87" s="76">
        <v>20</v>
      </c>
      <c r="AH87" s="77" t="s">
        <v>114</v>
      </c>
      <c r="AI87" s="81">
        <v>517</v>
      </c>
      <c r="AJ87" s="24" t="s">
        <v>117</v>
      </c>
      <c r="AK87" s="25" t="s">
        <v>406</v>
      </c>
    </row>
    <row r="88" spans="1:37" ht="15" customHeight="1">
      <c r="A88" s="84">
        <v>225288</v>
      </c>
      <c r="B88" s="30" t="s">
        <v>238</v>
      </c>
      <c r="C88" s="83">
        <v>63</v>
      </c>
      <c r="D88" s="75" t="s">
        <v>114</v>
      </c>
      <c r="E88" s="76">
        <v>23</v>
      </c>
      <c r="F88" s="77" t="s">
        <v>114</v>
      </c>
      <c r="G88" s="76">
        <v>44</v>
      </c>
      <c r="H88" s="77" t="s">
        <v>114</v>
      </c>
      <c r="I88" s="78">
        <v>46</v>
      </c>
      <c r="J88" s="77" t="s">
        <v>114</v>
      </c>
      <c r="K88" s="76">
        <v>23</v>
      </c>
      <c r="L88" s="77" t="s">
        <v>114</v>
      </c>
      <c r="M88" s="76">
        <v>42</v>
      </c>
      <c r="N88" s="77" t="s">
        <v>114</v>
      </c>
      <c r="O88" s="79">
        <v>47</v>
      </c>
      <c r="P88" s="77" t="s">
        <v>114</v>
      </c>
      <c r="Q88" s="76">
        <v>23</v>
      </c>
      <c r="R88" s="77" t="s">
        <v>114</v>
      </c>
      <c r="S88" s="76">
        <v>23</v>
      </c>
      <c r="T88" s="77" t="s">
        <v>114</v>
      </c>
      <c r="U88" s="79">
        <v>61</v>
      </c>
      <c r="V88" s="77" t="s">
        <v>114</v>
      </c>
      <c r="W88" s="76">
        <v>23</v>
      </c>
      <c r="X88" s="77" t="s">
        <v>114</v>
      </c>
      <c r="Y88" s="79">
        <v>68</v>
      </c>
      <c r="Z88" s="77" t="s">
        <v>114</v>
      </c>
      <c r="AA88" s="76">
        <v>23</v>
      </c>
      <c r="AB88" s="77" t="s">
        <v>114</v>
      </c>
      <c r="AC88" s="76">
        <v>17</v>
      </c>
      <c r="AD88" s="77" t="s">
        <v>114</v>
      </c>
      <c r="AE88" s="79">
        <v>27</v>
      </c>
      <c r="AF88" s="77" t="s">
        <v>114</v>
      </c>
      <c r="AG88" s="76">
        <v>23</v>
      </c>
      <c r="AH88" s="77" t="s">
        <v>114</v>
      </c>
      <c r="AI88" s="81">
        <v>576</v>
      </c>
      <c r="AJ88" s="24" t="s">
        <v>117</v>
      </c>
      <c r="AK88" s="25" t="s">
        <v>407</v>
      </c>
    </row>
    <row r="89" spans="1:37" ht="15" customHeight="1">
      <c r="A89" s="84">
        <v>225289</v>
      </c>
      <c r="B89" s="30" t="s">
        <v>239</v>
      </c>
      <c r="C89" s="83">
        <v>52</v>
      </c>
      <c r="D89" s="75" t="s">
        <v>114</v>
      </c>
      <c r="E89" s="76">
        <v>21</v>
      </c>
      <c r="F89" s="77" t="s">
        <v>114</v>
      </c>
      <c r="G89" s="76">
        <v>42</v>
      </c>
      <c r="H89" s="77" t="s">
        <v>114</v>
      </c>
      <c r="I89" s="78">
        <v>42</v>
      </c>
      <c r="J89" s="77" t="s">
        <v>114</v>
      </c>
      <c r="K89" s="76">
        <v>20</v>
      </c>
      <c r="L89" s="77" t="s">
        <v>114</v>
      </c>
      <c r="M89" s="76">
        <v>42</v>
      </c>
      <c r="N89" s="77" t="s">
        <v>114</v>
      </c>
      <c r="O89" s="79">
        <v>62</v>
      </c>
      <c r="P89" s="77" t="s">
        <v>114</v>
      </c>
      <c r="Q89" s="76">
        <v>21</v>
      </c>
      <c r="R89" s="77" t="s">
        <v>114</v>
      </c>
      <c r="S89" s="76">
        <v>22</v>
      </c>
      <c r="T89" s="77" t="s">
        <v>114</v>
      </c>
      <c r="U89" s="79">
        <v>63</v>
      </c>
      <c r="V89" s="77" t="s">
        <v>114</v>
      </c>
      <c r="W89" s="76">
        <v>21</v>
      </c>
      <c r="X89" s="77" t="s">
        <v>114</v>
      </c>
      <c r="Y89" s="79">
        <v>42</v>
      </c>
      <c r="Z89" s="77" t="s">
        <v>114</v>
      </c>
      <c r="AA89" s="76">
        <v>20</v>
      </c>
      <c r="AB89" s="77" t="s">
        <v>114</v>
      </c>
      <c r="AC89" s="76">
        <v>15</v>
      </c>
      <c r="AD89" s="77" t="s">
        <v>114</v>
      </c>
      <c r="AE89" s="79">
        <v>31</v>
      </c>
      <c r="AF89" s="77" t="s">
        <v>114</v>
      </c>
      <c r="AG89" s="76">
        <v>21</v>
      </c>
      <c r="AH89" s="77" t="s">
        <v>114</v>
      </c>
      <c r="AI89" s="81" t="s">
        <v>467</v>
      </c>
      <c r="AJ89" s="24" t="s">
        <v>117</v>
      </c>
      <c r="AK89" s="25" t="s">
        <v>378</v>
      </c>
    </row>
    <row r="90" spans="1:37" ht="15" customHeight="1">
      <c r="A90" s="84">
        <v>225290</v>
      </c>
      <c r="B90" s="30" t="s">
        <v>240</v>
      </c>
      <c r="C90" s="83">
        <v>56</v>
      </c>
      <c r="D90" s="75" t="s">
        <v>114</v>
      </c>
      <c r="E90" s="76">
        <v>20</v>
      </c>
      <c r="F90" s="77" t="s">
        <v>114</v>
      </c>
      <c r="G90" s="76">
        <v>43</v>
      </c>
      <c r="H90" s="77" t="s">
        <v>114</v>
      </c>
      <c r="I90" s="78">
        <v>63</v>
      </c>
      <c r="J90" s="77" t="s">
        <v>114</v>
      </c>
      <c r="K90" s="76">
        <v>21</v>
      </c>
      <c r="L90" s="77" t="s">
        <v>114</v>
      </c>
      <c r="M90" s="76">
        <v>42</v>
      </c>
      <c r="N90" s="77" t="s">
        <v>114</v>
      </c>
      <c r="O90" s="79">
        <v>47</v>
      </c>
      <c r="P90" s="77" t="s">
        <v>114</v>
      </c>
      <c r="Q90" s="76">
        <v>20</v>
      </c>
      <c r="R90" s="77" t="s">
        <v>114</v>
      </c>
      <c r="S90" s="76">
        <v>23</v>
      </c>
      <c r="T90" s="77" t="s">
        <v>114</v>
      </c>
      <c r="U90" s="79">
        <v>61</v>
      </c>
      <c r="V90" s="77" t="s">
        <v>114</v>
      </c>
      <c r="W90" s="76">
        <v>20</v>
      </c>
      <c r="X90" s="77" t="s">
        <v>114</v>
      </c>
      <c r="Y90" s="79">
        <v>42</v>
      </c>
      <c r="Z90" s="77" t="s">
        <v>114</v>
      </c>
      <c r="AA90" s="76">
        <v>21</v>
      </c>
      <c r="AB90" s="77" t="s">
        <v>114</v>
      </c>
      <c r="AC90" s="76">
        <v>20</v>
      </c>
      <c r="AD90" s="77" t="s">
        <v>114</v>
      </c>
      <c r="AE90" s="79">
        <v>33</v>
      </c>
      <c r="AF90" s="77" t="s">
        <v>114</v>
      </c>
      <c r="AG90" s="76">
        <v>22</v>
      </c>
      <c r="AH90" s="77" t="s">
        <v>114</v>
      </c>
      <c r="AI90" s="81">
        <v>554</v>
      </c>
      <c r="AJ90" s="24" t="s">
        <v>117</v>
      </c>
      <c r="AK90" s="25" t="s">
        <v>409</v>
      </c>
    </row>
    <row r="91" spans="1:37" ht="15" customHeight="1">
      <c r="A91" s="84">
        <v>225291</v>
      </c>
      <c r="B91" s="30" t="s">
        <v>241</v>
      </c>
      <c r="C91" s="83">
        <v>40</v>
      </c>
      <c r="D91" s="75" t="s">
        <v>114</v>
      </c>
      <c r="E91" s="76">
        <v>20</v>
      </c>
      <c r="F91" s="77" t="s">
        <v>114</v>
      </c>
      <c r="G91" s="76">
        <v>44</v>
      </c>
      <c r="H91" s="77" t="s">
        <v>114</v>
      </c>
      <c r="I91" s="78">
        <v>44</v>
      </c>
      <c r="J91" s="77" t="s">
        <v>114</v>
      </c>
      <c r="K91" s="76">
        <v>23</v>
      </c>
      <c r="L91" s="77" t="s">
        <v>114</v>
      </c>
      <c r="M91" s="76">
        <v>44</v>
      </c>
      <c r="N91" s="77" t="s">
        <v>114</v>
      </c>
      <c r="O91" s="79" t="s">
        <v>338</v>
      </c>
      <c r="P91" s="77" t="s">
        <v>114</v>
      </c>
      <c r="Q91" s="76">
        <v>20</v>
      </c>
      <c r="R91" s="77" t="s">
        <v>114</v>
      </c>
      <c r="S91" s="76">
        <v>23</v>
      </c>
      <c r="T91" s="77" t="s">
        <v>114</v>
      </c>
      <c r="U91" s="79">
        <v>53</v>
      </c>
      <c r="V91" s="77" t="s">
        <v>114</v>
      </c>
      <c r="W91" s="76">
        <v>17</v>
      </c>
      <c r="X91" s="77" t="s">
        <v>114</v>
      </c>
      <c r="Y91" s="79">
        <v>55</v>
      </c>
      <c r="Z91" s="77" t="s">
        <v>114</v>
      </c>
      <c r="AA91" s="76">
        <v>23</v>
      </c>
      <c r="AB91" s="77" t="s">
        <v>114</v>
      </c>
      <c r="AC91" s="76">
        <v>19</v>
      </c>
      <c r="AD91" s="77" t="s">
        <v>114</v>
      </c>
      <c r="AE91" s="79">
        <v>20</v>
      </c>
      <c r="AF91" s="77" t="s">
        <v>114</v>
      </c>
      <c r="AG91" s="76">
        <v>17</v>
      </c>
      <c r="AH91" s="77" t="s">
        <v>114</v>
      </c>
      <c r="AI91" s="81" t="s">
        <v>345</v>
      </c>
      <c r="AJ91" s="24" t="s">
        <v>117</v>
      </c>
      <c r="AK91" s="25" t="s">
        <v>410</v>
      </c>
    </row>
    <row r="92" spans="1:37" ht="15" customHeight="1">
      <c r="A92" s="84">
        <v>225292</v>
      </c>
      <c r="B92" s="30" t="s">
        <v>242</v>
      </c>
      <c r="C92" s="83">
        <v>54</v>
      </c>
      <c r="D92" s="75" t="s">
        <v>114</v>
      </c>
      <c r="E92" s="76">
        <v>21</v>
      </c>
      <c r="F92" s="77" t="s">
        <v>114</v>
      </c>
      <c r="G92" s="76">
        <v>42</v>
      </c>
      <c r="H92" s="77" t="s">
        <v>114</v>
      </c>
      <c r="I92" s="78">
        <v>46</v>
      </c>
      <c r="J92" s="77" t="s">
        <v>114</v>
      </c>
      <c r="K92" s="76">
        <v>22</v>
      </c>
      <c r="L92" s="77" t="s">
        <v>114</v>
      </c>
      <c r="M92" s="76">
        <v>42</v>
      </c>
      <c r="N92" s="77" t="s">
        <v>114</v>
      </c>
      <c r="O92" s="79">
        <v>52</v>
      </c>
      <c r="P92" s="77" t="s">
        <v>114</v>
      </c>
      <c r="Q92" s="76">
        <v>21</v>
      </c>
      <c r="R92" s="77" t="s">
        <v>114</v>
      </c>
      <c r="S92" s="76">
        <v>22</v>
      </c>
      <c r="T92" s="77" t="s">
        <v>114</v>
      </c>
      <c r="U92" s="79">
        <v>49</v>
      </c>
      <c r="V92" s="77" t="s">
        <v>114</v>
      </c>
      <c r="W92" s="76">
        <v>22</v>
      </c>
      <c r="X92" s="77" t="s">
        <v>114</v>
      </c>
      <c r="Y92" s="79">
        <v>46</v>
      </c>
      <c r="Z92" s="77" t="s">
        <v>114</v>
      </c>
      <c r="AA92" s="76">
        <v>22</v>
      </c>
      <c r="AB92" s="77" t="s">
        <v>114</v>
      </c>
      <c r="AC92" s="76">
        <v>16</v>
      </c>
      <c r="AD92" s="77" t="s">
        <v>114</v>
      </c>
      <c r="AE92" s="79">
        <v>23</v>
      </c>
      <c r="AF92" s="77" t="s">
        <v>114</v>
      </c>
      <c r="AG92" s="76">
        <v>21</v>
      </c>
      <c r="AH92" s="77" t="s">
        <v>114</v>
      </c>
      <c r="AI92" s="81">
        <v>521</v>
      </c>
      <c r="AJ92" s="24" t="s">
        <v>117</v>
      </c>
      <c r="AK92" s="25" t="s">
        <v>411</v>
      </c>
    </row>
    <row r="93" spans="1:37" ht="15" customHeight="1">
      <c r="A93" s="84">
        <v>225293</v>
      </c>
      <c r="B93" s="30" t="s">
        <v>243</v>
      </c>
      <c r="C93" s="83">
        <v>68</v>
      </c>
      <c r="D93" s="75" t="s">
        <v>114</v>
      </c>
      <c r="E93" s="76">
        <v>21</v>
      </c>
      <c r="F93" s="77" t="s">
        <v>114</v>
      </c>
      <c r="G93" s="76">
        <v>39</v>
      </c>
      <c r="H93" s="77" t="s">
        <v>114</v>
      </c>
      <c r="I93" s="78">
        <v>53</v>
      </c>
      <c r="J93" s="77" t="s">
        <v>114</v>
      </c>
      <c r="K93" s="76">
        <v>22</v>
      </c>
      <c r="L93" s="77" t="s">
        <v>114</v>
      </c>
      <c r="M93" s="76">
        <v>42</v>
      </c>
      <c r="N93" s="77" t="s">
        <v>114</v>
      </c>
      <c r="O93" s="79">
        <v>64</v>
      </c>
      <c r="P93" s="77" t="s">
        <v>114</v>
      </c>
      <c r="Q93" s="76">
        <v>21</v>
      </c>
      <c r="R93" s="77" t="s">
        <v>114</v>
      </c>
      <c r="S93" s="76">
        <v>20</v>
      </c>
      <c r="T93" s="77" t="s">
        <v>114</v>
      </c>
      <c r="U93" s="79">
        <v>65</v>
      </c>
      <c r="V93" s="77" t="s">
        <v>114</v>
      </c>
      <c r="W93" s="76">
        <v>22</v>
      </c>
      <c r="X93" s="77" t="s">
        <v>114</v>
      </c>
      <c r="Y93" s="79">
        <v>47</v>
      </c>
      <c r="Z93" s="77" t="s">
        <v>114</v>
      </c>
      <c r="AA93" s="76">
        <v>22</v>
      </c>
      <c r="AB93" s="77" t="s">
        <v>114</v>
      </c>
      <c r="AC93" s="76">
        <v>18</v>
      </c>
      <c r="AD93" s="77" t="s">
        <v>114</v>
      </c>
      <c r="AE93" s="79">
        <v>31</v>
      </c>
      <c r="AF93" s="77" t="s">
        <v>114</v>
      </c>
      <c r="AG93" s="76">
        <v>20</v>
      </c>
      <c r="AH93" s="77" t="s">
        <v>114</v>
      </c>
      <c r="AI93" s="81">
        <v>575</v>
      </c>
      <c r="AJ93" s="24" t="s">
        <v>117</v>
      </c>
      <c r="AK93" s="25" t="s">
        <v>412</v>
      </c>
    </row>
    <row r="94" spans="1:37" ht="15" customHeight="1">
      <c r="A94" s="84">
        <v>225294</v>
      </c>
      <c r="B94" s="30" t="s">
        <v>244</v>
      </c>
      <c r="C94" s="83">
        <v>50</v>
      </c>
      <c r="D94" s="75" t="s">
        <v>113</v>
      </c>
      <c r="E94" s="76">
        <v>22</v>
      </c>
      <c r="F94" s="77" t="s">
        <v>113</v>
      </c>
      <c r="G94" s="76">
        <v>39</v>
      </c>
      <c r="H94" s="77" t="s">
        <v>113</v>
      </c>
      <c r="I94" s="78">
        <v>24</v>
      </c>
      <c r="J94" s="77" t="s">
        <v>110</v>
      </c>
      <c r="K94" s="76">
        <v>17</v>
      </c>
      <c r="L94" s="77" t="s">
        <v>113</v>
      </c>
      <c r="M94" s="76">
        <v>44</v>
      </c>
      <c r="N94" s="77" t="s">
        <v>113</v>
      </c>
      <c r="O94" s="79">
        <v>24</v>
      </c>
      <c r="P94" s="77" t="s">
        <v>110</v>
      </c>
      <c r="Q94" s="76">
        <v>22</v>
      </c>
      <c r="R94" s="77" t="s">
        <v>113</v>
      </c>
      <c r="S94" s="76">
        <v>20</v>
      </c>
      <c r="T94" s="77" t="s">
        <v>113</v>
      </c>
      <c r="U94" s="79">
        <v>57</v>
      </c>
      <c r="V94" s="77" t="s">
        <v>113</v>
      </c>
      <c r="W94" s="76">
        <v>22</v>
      </c>
      <c r="X94" s="77" t="s">
        <v>113</v>
      </c>
      <c r="Y94" s="79">
        <v>42</v>
      </c>
      <c r="Z94" s="77" t="s">
        <v>113</v>
      </c>
      <c r="AA94" s="76">
        <v>17</v>
      </c>
      <c r="AB94" s="77" t="s">
        <v>113</v>
      </c>
      <c r="AC94" s="76">
        <v>16</v>
      </c>
      <c r="AD94" s="77" t="s">
        <v>113</v>
      </c>
      <c r="AE94" s="79">
        <v>20</v>
      </c>
      <c r="AF94" s="77" t="s">
        <v>113</v>
      </c>
      <c r="AG94" s="76">
        <v>22</v>
      </c>
      <c r="AH94" s="77" t="s">
        <v>113</v>
      </c>
      <c r="AI94" s="81">
        <v>458</v>
      </c>
      <c r="AJ94" s="24" t="s">
        <v>111</v>
      </c>
      <c r="AK94" s="25" t="s">
        <v>121</v>
      </c>
    </row>
    <row r="95" spans="1:37" ht="15" customHeight="1">
      <c r="A95" s="29">
        <v>225295</v>
      </c>
      <c r="B95" s="30" t="s">
        <v>245</v>
      </c>
      <c r="C95" s="36">
        <v>47</v>
      </c>
      <c r="D95" s="52"/>
      <c r="E95" s="39">
        <v>22</v>
      </c>
      <c r="F95" s="53"/>
      <c r="G95" s="39">
        <v>40</v>
      </c>
      <c r="H95" s="53"/>
      <c r="I95" s="41">
        <v>40</v>
      </c>
      <c r="J95" s="53"/>
      <c r="K95" s="39">
        <v>19</v>
      </c>
      <c r="L95" s="53"/>
      <c r="M95" s="39">
        <v>42</v>
      </c>
      <c r="N95" s="53"/>
      <c r="O95" s="42">
        <v>47</v>
      </c>
      <c r="P95" s="53"/>
      <c r="Q95" s="39">
        <v>22</v>
      </c>
      <c r="R95" s="53"/>
      <c r="S95" s="39">
        <v>20</v>
      </c>
      <c r="T95" s="53"/>
      <c r="U95" s="42">
        <v>43</v>
      </c>
      <c r="V95" s="53"/>
      <c r="W95" s="39">
        <v>16</v>
      </c>
      <c r="X95" s="53"/>
      <c r="Y95" s="42">
        <v>40</v>
      </c>
      <c r="Z95" s="53"/>
      <c r="AA95" s="39">
        <v>19</v>
      </c>
      <c r="AB95" s="53"/>
      <c r="AC95" s="39">
        <v>20</v>
      </c>
      <c r="AD95" s="53"/>
      <c r="AE95" s="42">
        <v>25</v>
      </c>
      <c r="AF95" s="53"/>
      <c r="AG95" s="39">
        <v>16</v>
      </c>
      <c r="AH95" s="53"/>
      <c r="AI95" s="23">
        <f>IF(AND(OR(COUNTIF(C95:AH95,"=31")&gt;=1,COUNTIF(C95:AH95,"=32")&gt;=1,COUNTIF(C95:AH95,"=33")&gt;=1,COUNTIF(C95:AH95,"=34")&gt;=1,COUNTIF(C95:AH95,"=35")=1,COUNTIF(C95:AH95,"=36")&gt;=1 ),COUNTIF(C95:AH95,"")=0,COUNTIF(C95:AH95," ")=0,COUNTIF(C95:AH95,"F")=1),CONCATENATE(SUM(EXTRACTNUMBER(C95),EXTRACTNUMBER(E95),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EXTRACTNUMBER(AC95),EXTRACTNUMBER(AE95),EXTRACTNUMBER(AG95)),"*"),IF(AND(COUNTIF(C95:AH95,"=34")&gt;=1,COUNTIF(C95:AH95,"=35")&gt;=1,COUNTIF(C95:AH95,"f")=2,COUNTIF(C95:AH95,"")=0,COUNTIF(C95:AH95," ")=0),CONCATENATE(SUM(EXTRACTNUMBER(C95),EXTRACTNUMBER(E95),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EXTRACTNUMBER(AC95),EXTRACTNUMBER(AE95),EXTRACTNUMBER(AG95)),"*"),IF(AND(COUNTIF(C95:AH95,"=36")&gt;=2,COUNTIF(C95:AH95,"f")=2,COUNTIF(C95:AH95,"")=0,COUNTIF(C95:AH95," ")=0),CONCATENATE(SUM(EXTRACTNUMBER(C95),EXTRACTNUMBER(E95),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EXTRACTNUMBER(AC95),EXTRACTNUMBER(AE95),EXTRACTNUMBER(AG95)),"*"),SUM(EXTRACTNUMBER(C95),EXTRACTNUMBER(E95),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EXTRACTNUMBER(AC95),EXTRACTNUMBER(AE95),EXTRACTNUMBER(AG95)))))</f>
        <v>478</v>
      </c>
      <c r="AJ95" s="24" t="str">
        <f t="shared" ref="AJ95" si="1">IF(AND(COUNTIF(C95:AH95,"AB")&lt;16-COUNTIF(C95:AH95," "),
COUNTIF(C95:AH95,"AB")&lt;&gt;0),"FAIL",
IF(COUNTIF(C95:AH95,"AB")=16-COUNTIF(C95:AH95," "),"ABSENT",
IF(AND(COUNTIF(C95:AH95,"AB")=0,COUNTIF(C95:AH95,"F")=0),"PASS","FAIL")))</f>
        <v>PASS</v>
      </c>
      <c r="AK95" s="25" t="str">
        <f>SPELLNUMBER(extractnumber_tot(AI95))</f>
        <v xml:space="preserve">Four Hundred Seventy Eight </v>
      </c>
    </row>
    <row r="96" spans="1:37" ht="15" customHeight="1">
      <c r="A96" s="84">
        <v>225296</v>
      </c>
      <c r="B96" s="30" t="s">
        <v>246</v>
      </c>
      <c r="C96" s="83">
        <v>45</v>
      </c>
      <c r="D96" s="75" t="s">
        <v>114</v>
      </c>
      <c r="E96" s="76">
        <v>22</v>
      </c>
      <c r="F96" s="77" t="s">
        <v>114</v>
      </c>
      <c r="G96" s="76">
        <v>42</v>
      </c>
      <c r="H96" s="77" t="s">
        <v>114</v>
      </c>
      <c r="I96" s="78">
        <v>40</v>
      </c>
      <c r="J96" s="77" t="s">
        <v>114</v>
      </c>
      <c r="K96" s="76">
        <v>22</v>
      </c>
      <c r="L96" s="77" t="s">
        <v>114</v>
      </c>
      <c r="M96" s="76">
        <v>42</v>
      </c>
      <c r="N96" s="77" t="s">
        <v>114</v>
      </c>
      <c r="O96" s="79">
        <v>41</v>
      </c>
      <c r="P96" s="77" t="s">
        <v>114</v>
      </c>
      <c r="Q96" s="76">
        <v>22</v>
      </c>
      <c r="R96" s="77" t="s">
        <v>114</v>
      </c>
      <c r="S96" s="76">
        <v>22</v>
      </c>
      <c r="T96" s="77" t="s">
        <v>114</v>
      </c>
      <c r="U96" s="79">
        <v>50</v>
      </c>
      <c r="V96" s="77" t="s">
        <v>114</v>
      </c>
      <c r="W96" s="76">
        <v>18</v>
      </c>
      <c r="X96" s="77" t="s">
        <v>114</v>
      </c>
      <c r="Y96" s="79">
        <v>48</v>
      </c>
      <c r="Z96" s="77" t="s">
        <v>114</v>
      </c>
      <c r="AA96" s="76">
        <v>22</v>
      </c>
      <c r="AB96" s="77" t="s">
        <v>114</v>
      </c>
      <c r="AC96" s="76">
        <v>19</v>
      </c>
      <c r="AD96" s="77" t="s">
        <v>114</v>
      </c>
      <c r="AE96" s="79">
        <v>26</v>
      </c>
      <c r="AF96" s="77" t="s">
        <v>114</v>
      </c>
      <c r="AG96" s="76">
        <v>20</v>
      </c>
      <c r="AH96" s="77" t="s">
        <v>114</v>
      </c>
      <c r="AI96" s="81">
        <v>501</v>
      </c>
      <c r="AJ96" s="24" t="s">
        <v>117</v>
      </c>
      <c r="AK96" s="25" t="s">
        <v>413</v>
      </c>
    </row>
    <row r="97" spans="1:37" ht="15" customHeight="1">
      <c r="A97" s="84">
        <v>225297</v>
      </c>
      <c r="B97" s="30" t="s">
        <v>247</v>
      </c>
      <c r="C97" s="83">
        <v>48</v>
      </c>
      <c r="D97" s="75" t="s">
        <v>113</v>
      </c>
      <c r="E97" s="76">
        <v>21</v>
      </c>
      <c r="F97" s="77" t="s">
        <v>113</v>
      </c>
      <c r="G97" s="76">
        <v>40</v>
      </c>
      <c r="H97" s="77" t="s">
        <v>113</v>
      </c>
      <c r="I97" s="78">
        <v>17</v>
      </c>
      <c r="J97" s="77" t="s">
        <v>110</v>
      </c>
      <c r="K97" s="76">
        <v>19</v>
      </c>
      <c r="L97" s="77" t="s">
        <v>113</v>
      </c>
      <c r="M97" s="76">
        <v>38</v>
      </c>
      <c r="N97" s="77" t="s">
        <v>113</v>
      </c>
      <c r="O97" s="79" t="s">
        <v>75</v>
      </c>
      <c r="P97" s="77" t="s">
        <v>114</v>
      </c>
      <c r="Q97" s="76">
        <v>21</v>
      </c>
      <c r="R97" s="77" t="s">
        <v>113</v>
      </c>
      <c r="S97" s="76">
        <v>20</v>
      </c>
      <c r="T97" s="77" t="s">
        <v>113</v>
      </c>
      <c r="U97" s="79">
        <v>33</v>
      </c>
      <c r="V97" s="77" t="s">
        <v>110</v>
      </c>
      <c r="W97" s="76">
        <v>16</v>
      </c>
      <c r="X97" s="77" t="s">
        <v>113</v>
      </c>
      <c r="Y97" s="79">
        <v>40</v>
      </c>
      <c r="Z97" s="77" t="s">
        <v>113</v>
      </c>
      <c r="AA97" s="76">
        <v>19</v>
      </c>
      <c r="AB97" s="77" t="s">
        <v>113</v>
      </c>
      <c r="AC97" s="76">
        <v>15</v>
      </c>
      <c r="AD97" s="77" t="s">
        <v>113</v>
      </c>
      <c r="AE97" s="79">
        <v>25</v>
      </c>
      <c r="AF97" s="77" t="s">
        <v>113</v>
      </c>
      <c r="AG97" s="76">
        <v>17</v>
      </c>
      <c r="AH97" s="77" t="s">
        <v>113</v>
      </c>
      <c r="AI97" s="81">
        <v>389</v>
      </c>
      <c r="AJ97" s="24" t="s">
        <v>111</v>
      </c>
      <c r="AK97" s="25" t="s">
        <v>414</v>
      </c>
    </row>
    <row r="98" spans="1:37" ht="15" customHeight="1">
      <c r="A98" s="84">
        <v>225298</v>
      </c>
      <c r="B98" s="30" t="s">
        <v>248</v>
      </c>
      <c r="C98" s="83">
        <v>46</v>
      </c>
      <c r="D98" s="75" t="s">
        <v>114</v>
      </c>
      <c r="E98" s="76">
        <v>21</v>
      </c>
      <c r="F98" s="77" t="s">
        <v>114</v>
      </c>
      <c r="G98" s="76">
        <v>40</v>
      </c>
      <c r="H98" s="77" t="s">
        <v>114</v>
      </c>
      <c r="I98" s="78">
        <v>42</v>
      </c>
      <c r="J98" s="77" t="s">
        <v>114</v>
      </c>
      <c r="K98" s="76">
        <v>22</v>
      </c>
      <c r="L98" s="77" t="s">
        <v>114</v>
      </c>
      <c r="M98" s="76">
        <v>42</v>
      </c>
      <c r="N98" s="77" t="s">
        <v>114</v>
      </c>
      <c r="O98" s="79">
        <v>56</v>
      </c>
      <c r="P98" s="77" t="s">
        <v>114</v>
      </c>
      <c r="Q98" s="76">
        <v>21</v>
      </c>
      <c r="R98" s="77" t="s">
        <v>114</v>
      </c>
      <c r="S98" s="76">
        <v>20</v>
      </c>
      <c r="T98" s="77" t="s">
        <v>114</v>
      </c>
      <c r="U98" s="79">
        <v>40</v>
      </c>
      <c r="V98" s="77" t="s">
        <v>114</v>
      </c>
      <c r="W98" s="76">
        <v>21</v>
      </c>
      <c r="X98" s="77" t="s">
        <v>114</v>
      </c>
      <c r="Y98" s="79">
        <v>61</v>
      </c>
      <c r="Z98" s="77" t="s">
        <v>114</v>
      </c>
      <c r="AA98" s="76">
        <v>22</v>
      </c>
      <c r="AB98" s="77" t="s">
        <v>114</v>
      </c>
      <c r="AC98" s="76">
        <v>20</v>
      </c>
      <c r="AD98" s="77" t="s">
        <v>114</v>
      </c>
      <c r="AE98" s="79">
        <v>22</v>
      </c>
      <c r="AF98" s="77" t="s">
        <v>114</v>
      </c>
      <c r="AG98" s="76">
        <v>21</v>
      </c>
      <c r="AH98" s="77" t="s">
        <v>114</v>
      </c>
      <c r="AI98" s="81">
        <v>517</v>
      </c>
      <c r="AJ98" s="24" t="s">
        <v>117</v>
      </c>
      <c r="AK98" s="25" t="s">
        <v>406</v>
      </c>
    </row>
    <row r="99" spans="1:37" ht="15" customHeight="1">
      <c r="A99" s="84">
        <v>225299</v>
      </c>
      <c r="B99" s="30" t="s">
        <v>249</v>
      </c>
      <c r="C99" s="83">
        <v>40</v>
      </c>
      <c r="D99" s="75" t="s">
        <v>113</v>
      </c>
      <c r="E99" s="76">
        <v>21</v>
      </c>
      <c r="F99" s="77" t="s">
        <v>113</v>
      </c>
      <c r="G99" s="76">
        <v>40</v>
      </c>
      <c r="H99" s="77" t="s">
        <v>113</v>
      </c>
      <c r="I99" s="78">
        <v>41</v>
      </c>
      <c r="J99" s="77" t="s">
        <v>113</v>
      </c>
      <c r="K99" s="76">
        <v>22</v>
      </c>
      <c r="L99" s="77" t="s">
        <v>113</v>
      </c>
      <c r="M99" s="76">
        <v>44</v>
      </c>
      <c r="N99" s="77" t="s">
        <v>113</v>
      </c>
      <c r="O99" s="79">
        <v>20</v>
      </c>
      <c r="P99" s="77" t="s">
        <v>110</v>
      </c>
      <c r="Q99" s="76">
        <v>21</v>
      </c>
      <c r="R99" s="77" t="s">
        <v>113</v>
      </c>
      <c r="S99" s="76">
        <v>20</v>
      </c>
      <c r="T99" s="77" t="s">
        <v>113</v>
      </c>
      <c r="U99" s="79">
        <v>46</v>
      </c>
      <c r="V99" s="77" t="s">
        <v>113</v>
      </c>
      <c r="W99" s="76">
        <v>21</v>
      </c>
      <c r="X99" s="77" t="s">
        <v>113</v>
      </c>
      <c r="Y99" s="79">
        <v>40</v>
      </c>
      <c r="Z99" s="77" t="s">
        <v>113</v>
      </c>
      <c r="AA99" s="76">
        <v>21</v>
      </c>
      <c r="AB99" s="77" t="s">
        <v>113</v>
      </c>
      <c r="AC99" s="76">
        <v>22</v>
      </c>
      <c r="AD99" s="77" t="s">
        <v>113</v>
      </c>
      <c r="AE99" s="79">
        <v>28</v>
      </c>
      <c r="AF99" s="77" t="s">
        <v>113</v>
      </c>
      <c r="AG99" s="76">
        <v>21</v>
      </c>
      <c r="AH99" s="77" t="s">
        <v>113</v>
      </c>
      <c r="AI99" s="81">
        <v>468</v>
      </c>
      <c r="AJ99" s="24" t="s">
        <v>111</v>
      </c>
      <c r="AK99" s="25" t="s">
        <v>415</v>
      </c>
    </row>
    <row r="100" spans="1:37" ht="15" customHeight="1">
      <c r="A100" s="84">
        <v>225300</v>
      </c>
      <c r="B100" s="30" t="s">
        <v>250</v>
      </c>
      <c r="C100" s="83">
        <v>54</v>
      </c>
      <c r="D100" s="75" t="s">
        <v>113</v>
      </c>
      <c r="E100" s="76">
        <v>20</v>
      </c>
      <c r="F100" s="77" t="s">
        <v>113</v>
      </c>
      <c r="G100" s="76">
        <v>39</v>
      </c>
      <c r="H100" s="77" t="s">
        <v>113</v>
      </c>
      <c r="I100" s="78">
        <v>19</v>
      </c>
      <c r="J100" s="77" t="s">
        <v>110</v>
      </c>
      <c r="K100" s="76">
        <v>18</v>
      </c>
      <c r="L100" s="77" t="s">
        <v>113</v>
      </c>
      <c r="M100" s="76">
        <v>38</v>
      </c>
      <c r="N100" s="77" t="s">
        <v>113</v>
      </c>
      <c r="O100" s="79">
        <v>43</v>
      </c>
      <c r="P100" s="77" t="s">
        <v>113</v>
      </c>
      <c r="Q100" s="76">
        <v>20</v>
      </c>
      <c r="R100" s="77" t="s">
        <v>113</v>
      </c>
      <c r="S100" s="76">
        <v>20</v>
      </c>
      <c r="T100" s="77" t="s">
        <v>113</v>
      </c>
      <c r="U100" s="79">
        <v>50</v>
      </c>
      <c r="V100" s="77" t="s">
        <v>113</v>
      </c>
      <c r="W100" s="76">
        <v>20</v>
      </c>
      <c r="X100" s="77" t="s">
        <v>113</v>
      </c>
      <c r="Y100" s="79">
        <v>53</v>
      </c>
      <c r="Z100" s="77" t="s">
        <v>113</v>
      </c>
      <c r="AA100" s="76">
        <v>18</v>
      </c>
      <c r="AB100" s="77" t="s">
        <v>113</v>
      </c>
      <c r="AC100" s="76">
        <v>19</v>
      </c>
      <c r="AD100" s="77" t="s">
        <v>113</v>
      </c>
      <c r="AE100" s="79">
        <v>25</v>
      </c>
      <c r="AF100" s="77" t="s">
        <v>113</v>
      </c>
      <c r="AG100" s="76">
        <v>20</v>
      </c>
      <c r="AH100" s="77" t="s">
        <v>113</v>
      </c>
      <c r="AI100" s="81">
        <v>476</v>
      </c>
      <c r="AJ100" s="24" t="s">
        <v>111</v>
      </c>
      <c r="AK100" s="25" t="s">
        <v>416</v>
      </c>
    </row>
    <row r="101" spans="1:37" ht="15" customHeight="1">
      <c r="A101" s="84">
        <v>225301</v>
      </c>
      <c r="B101" s="30" t="s">
        <v>251</v>
      </c>
      <c r="C101" s="83">
        <v>57</v>
      </c>
      <c r="D101" s="75" t="s">
        <v>114</v>
      </c>
      <c r="E101" s="76">
        <v>20</v>
      </c>
      <c r="F101" s="77" t="s">
        <v>114</v>
      </c>
      <c r="G101" s="76">
        <v>42</v>
      </c>
      <c r="H101" s="77" t="s">
        <v>114</v>
      </c>
      <c r="I101" s="78">
        <v>51</v>
      </c>
      <c r="J101" s="77" t="s">
        <v>114</v>
      </c>
      <c r="K101" s="76">
        <v>21</v>
      </c>
      <c r="L101" s="77" t="s">
        <v>114</v>
      </c>
      <c r="M101" s="76">
        <v>36</v>
      </c>
      <c r="N101" s="77" t="s">
        <v>114</v>
      </c>
      <c r="O101" s="79">
        <v>54</v>
      </c>
      <c r="P101" s="77" t="s">
        <v>114</v>
      </c>
      <c r="Q101" s="76">
        <v>20</v>
      </c>
      <c r="R101" s="77" t="s">
        <v>114</v>
      </c>
      <c r="S101" s="76">
        <v>22</v>
      </c>
      <c r="T101" s="77" t="s">
        <v>114</v>
      </c>
      <c r="U101" s="79">
        <v>58</v>
      </c>
      <c r="V101" s="77" t="s">
        <v>114</v>
      </c>
      <c r="W101" s="76">
        <v>18</v>
      </c>
      <c r="X101" s="77" t="s">
        <v>114</v>
      </c>
      <c r="Y101" s="79">
        <v>60</v>
      </c>
      <c r="Z101" s="77" t="s">
        <v>114</v>
      </c>
      <c r="AA101" s="76">
        <v>21</v>
      </c>
      <c r="AB101" s="77" t="s">
        <v>114</v>
      </c>
      <c r="AC101" s="76">
        <v>20</v>
      </c>
      <c r="AD101" s="77" t="s">
        <v>114</v>
      </c>
      <c r="AE101" s="79">
        <v>33</v>
      </c>
      <c r="AF101" s="77" t="s">
        <v>114</v>
      </c>
      <c r="AG101" s="76">
        <v>21</v>
      </c>
      <c r="AH101" s="77" t="s">
        <v>114</v>
      </c>
      <c r="AI101" s="81">
        <v>554</v>
      </c>
      <c r="AJ101" s="24" t="s">
        <v>117</v>
      </c>
      <c r="AK101" s="25" t="s">
        <v>409</v>
      </c>
    </row>
    <row r="102" spans="1:37" ht="15" customHeight="1">
      <c r="A102" s="84">
        <v>225302</v>
      </c>
      <c r="B102" s="30" t="s">
        <v>252</v>
      </c>
      <c r="C102" s="83">
        <v>40</v>
      </c>
      <c r="D102" s="75" t="s">
        <v>114</v>
      </c>
      <c r="E102" s="76">
        <v>21</v>
      </c>
      <c r="F102" s="77" t="s">
        <v>114</v>
      </c>
      <c r="G102" s="76">
        <v>39</v>
      </c>
      <c r="H102" s="77" t="s">
        <v>114</v>
      </c>
      <c r="I102" s="78">
        <v>45</v>
      </c>
      <c r="J102" s="77" t="s">
        <v>114</v>
      </c>
      <c r="K102" s="76">
        <v>19</v>
      </c>
      <c r="L102" s="77" t="s">
        <v>114</v>
      </c>
      <c r="M102" s="76">
        <v>42</v>
      </c>
      <c r="N102" s="77" t="s">
        <v>114</v>
      </c>
      <c r="O102" s="79">
        <v>47</v>
      </c>
      <c r="P102" s="77" t="s">
        <v>114</v>
      </c>
      <c r="Q102" s="76">
        <v>21</v>
      </c>
      <c r="R102" s="77" t="s">
        <v>114</v>
      </c>
      <c r="S102" s="76">
        <v>20</v>
      </c>
      <c r="T102" s="77" t="s">
        <v>114</v>
      </c>
      <c r="U102" s="79">
        <v>40</v>
      </c>
      <c r="V102" s="77" t="s">
        <v>114</v>
      </c>
      <c r="W102" s="76">
        <v>16</v>
      </c>
      <c r="X102" s="77" t="s">
        <v>114</v>
      </c>
      <c r="Y102" s="79">
        <v>43</v>
      </c>
      <c r="Z102" s="77" t="s">
        <v>114</v>
      </c>
      <c r="AA102" s="76">
        <v>18</v>
      </c>
      <c r="AB102" s="77" t="s">
        <v>114</v>
      </c>
      <c r="AC102" s="76">
        <v>16</v>
      </c>
      <c r="AD102" s="77" t="s">
        <v>114</v>
      </c>
      <c r="AE102" s="79">
        <v>24</v>
      </c>
      <c r="AF102" s="77" t="s">
        <v>114</v>
      </c>
      <c r="AG102" s="76">
        <v>18</v>
      </c>
      <c r="AH102" s="77" t="s">
        <v>114</v>
      </c>
      <c r="AI102" s="81">
        <v>469</v>
      </c>
      <c r="AJ102" s="24" t="s">
        <v>117</v>
      </c>
      <c r="AK102" s="25" t="s">
        <v>417</v>
      </c>
    </row>
    <row r="103" spans="1:37" ht="15" customHeight="1">
      <c r="A103" s="84">
        <v>225303</v>
      </c>
      <c r="B103" s="30" t="s">
        <v>253</v>
      </c>
      <c r="C103" s="83">
        <v>55</v>
      </c>
      <c r="D103" s="75" t="s">
        <v>114</v>
      </c>
      <c r="E103" s="76">
        <v>22</v>
      </c>
      <c r="F103" s="77" t="s">
        <v>114</v>
      </c>
      <c r="G103" s="76">
        <v>38</v>
      </c>
      <c r="H103" s="77" t="s">
        <v>114</v>
      </c>
      <c r="I103" s="78">
        <v>45</v>
      </c>
      <c r="J103" s="77" t="s">
        <v>114</v>
      </c>
      <c r="K103" s="76">
        <v>16</v>
      </c>
      <c r="L103" s="77" t="s">
        <v>114</v>
      </c>
      <c r="M103" s="76">
        <v>38</v>
      </c>
      <c r="N103" s="77" t="s">
        <v>114</v>
      </c>
      <c r="O103" s="79">
        <v>42</v>
      </c>
      <c r="P103" s="77" t="s">
        <v>114</v>
      </c>
      <c r="Q103" s="76">
        <v>22</v>
      </c>
      <c r="R103" s="77" t="s">
        <v>114</v>
      </c>
      <c r="S103" s="76">
        <v>19</v>
      </c>
      <c r="T103" s="77" t="s">
        <v>114</v>
      </c>
      <c r="U103" s="79">
        <v>53</v>
      </c>
      <c r="V103" s="77" t="s">
        <v>114</v>
      </c>
      <c r="W103" s="76">
        <v>22</v>
      </c>
      <c r="X103" s="77" t="s">
        <v>114</v>
      </c>
      <c r="Y103" s="79">
        <v>40</v>
      </c>
      <c r="Z103" s="77" t="s">
        <v>114</v>
      </c>
      <c r="AA103" s="76">
        <v>15</v>
      </c>
      <c r="AB103" s="77" t="s">
        <v>114</v>
      </c>
      <c r="AC103" s="76">
        <v>15</v>
      </c>
      <c r="AD103" s="77" t="s">
        <v>114</v>
      </c>
      <c r="AE103" s="79">
        <v>25</v>
      </c>
      <c r="AF103" s="77" t="s">
        <v>114</v>
      </c>
      <c r="AG103" s="76">
        <v>22</v>
      </c>
      <c r="AH103" s="77" t="s">
        <v>114</v>
      </c>
      <c r="AI103" s="81">
        <v>489</v>
      </c>
      <c r="AJ103" s="24" t="s">
        <v>117</v>
      </c>
      <c r="AK103" s="25" t="s">
        <v>126</v>
      </c>
    </row>
    <row r="104" spans="1:37" ht="15" customHeight="1">
      <c r="A104" s="84">
        <v>225304</v>
      </c>
      <c r="B104" s="30" t="s">
        <v>254</v>
      </c>
      <c r="C104" s="83">
        <v>53</v>
      </c>
      <c r="D104" s="75" t="s">
        <v>114</v>
      </c>
      <c r="E104" s="76">
        <v>20</v>
      </c>
      <c r="F104" s="77" t="s">
        <v>114</v>
      </c>
      <c r="G104" s="76">
        <v>44</v>
      </c>
      <c r="H104" s="77" t="s">
        <v>114</v>
      </c>
      <c r="I104" s="78">
        <v>44</v>
      </c>
      <c r="J104" s="77" t="s">
        <v>114</v>
      </c>
      <c r="K104" s="76">
        <v>21</v>
      </c>
      <c r="L104" s="77" t="s">
        <v>114</v>
      </c>
      <c r="M104" s="76">
        <v>42</v>
      </c>
      <c r="N104" s="77" t="s">
        <v>114</v>
      </c>
      <c r="O104" s="79">
        <v>45</v>
      </c>
      <c r="P104" s="77" t="s">
        <v>114</v>
      </c>
      <c r="Q104" s="76">
        <v>20</v>
      </c>
      <c r="R104" s="77" t="s">
        <v>114</v>
      </c>
      <c r="S104" s="76">
        <v>22</v>
      </c>
      <c r="T104" s="77" t="s">
        <v>114</v>
      </c>
      <c r="U104" s="79">
        <v>62</v>
      </c>
      <c r="V104" s="77" t="s">
        <v>114</v>
      </c>
      <c r="W104" s="76">
        <v>19</v>
      </c>
      <c r="X104" s="77" t="s">
        <v>114</v>
      </c>
      <c r="Y104" s="79">
        <v>48</v>
      </c>
      <c r="Z104" s="77" t="s">
        <v>114</v>
      </c>
      <c r="AA104" s="76">
        <v>21</v>
      </c>
      <c r="AB104" s="77" t="s">
        <v>114</v>
      </c>
      <c r="AC104" s="76">
        <v>16</v>
      </c>
      <c r="AD104" s="77" t="s">
        <v>114</v>
      </c>
      <c r="AE104" s="79">
        <v>30</v>
      </c>
      <c r="AF104" s="77" t="s">
        <v>114</v>
      </c>
      <c r="AG104" s="76">
        <v>22</v>
      </c>
      <c r="AH104" s="77" t="s">
        <v>114</v>
      </c>
      <c r="AI104" s="81">
        <v>529</v>
      </c>
      <c r="AJ104" s="24" t="s">
        <v>117</v>
      </c>
      <c r="AK104" s="25" t="s">
        <v>418</v>
      </c>
    </row>
    <row r="105" spans="1:37" ht="15" customHeight="1">
      <c r="A105" s="84">
        <v>225305</v>
      </c>
      <c r="B105" s="30" t="s">
        <v>255</v>
      </c>
      <c r="C105" s="83">
        <v>61</v>
      </c>
      <c r="D105" s="75" t="s">
        <v>114</v>
      </c>
      <c r="E105" s="76">
        <v>20</v>
      </c>
      <c r="F105" s="77" t="s">
        <v>114</v>
      </c>
      <c r="G105" s="76">
        <v>42</v>
      </c>
      <c r="H105" s="77" t="s">
        <v>114</v>
      </c>
      <c r="I105" s="78">
        <v>55</v>
      </c>
      <c r="J105" s="77" t="s">
        <v>114</v>
      </c>
      <c r="K105" s="76">
        <v>21</v>
      </c>
      <c r="L105" s="77" t="s">
        <v>114</v>
      </c>
      <c r="M105" s="76">
        <v>46</v>
      </c>
      <c r="N105" s="77" t="s">
        <v>114</v>
      </c>
      <c r="O105" s="79">
        <v>50</v>
      </c>
      <c r="P105" s="77" t="s">
        <v>114</v>
      </c>
      <c r="Q105" s="76">
        <v>20</v>
      </c>
      <c r="R105" s="77" t="s">
        <v>114</v>
      </c>
      <c r="S105" s="76">
        <v>22</v>
      </c>
      <c r="T105" s="77" t="s">
        <v>114</v>
      </c>
      <c r="U105" s="79">
        <v>53</v>
      </c>
      <c r="V105" s="77" t="s">
        <v>114</v>
      </c>
      <c r="W105" s="76">
        <v>16</v>
      </c>
      <c r="X105" s="77" t="s">
        <v>114</v>
      </c>
      <c r="Y105" s="79">
        <v>62</v>
      </c>
      <c r="Z105" s="77" t="s">
        <v>114</v>
      </c>
      <c r="AA105" s="76">
        <v>21</v>
      </c>
      <c r="AB105" s="77" t="s">
        <v>114</v>
      </c>
      <c r="AC105" s="76">
        <v>21</v>
      </c>
      <c r="AD105" s="77" t="s">
        <v>114</v>
      </c>
      <c r="AE105" s="79">
        <v>31</v>
      </c>
      <c r="AF105" s="77" t="s">
        <v>114</v>
      </c>
      <c r="AG105" s="76">
        <v>23</v>
      </c>
      <c r="AH105" s="77" t="s">
        <v>114</v>
      </c>
      <c r="AI105" s="81">
        <v>564</v>
      </c>
      <c r="AJ105" s="24" t="s">
        <v>117</v>
      </c>
      <c r="AK105" s="25" t="s">
        <v>419</v>
      </c>
    </row>
    <row r="106" spans="1:37" ht="15" customHeight="1">
      <c r="A106" s="84">
        <v>225306</v>
      </c>
      <c r="B106" s="30" t="s">
        <v>256</v>
      </c>
      <c r="C106" s="83">
        <v>50</v>
      </c>
      <c r="D106" s="75" t="s">
        <v>114</v>
      </c>
      <c r="E106" s="76">
        <v>21</v>
      </c>
      <c r="F106" s="77" t="s">
        <v>114</v>
      </c>
      <c r="G106" s="76">
        <v>41</v>
      </c>
      <c r="H106" s="77" t="s">
        <v>114</v>
      </c>
      <c r="I106" s="78">
        <v>42</v>
      </c>
      <c r="J106" s="77" t="s">
        <v>114</v>
      </c>
      <c r="K106" s="76">
        <v>20</v>
      </c>
      <c r="L106" s="77" t="s">
        <v>114</v>
      </c>
      <c r="M106" s="76">
        <v>42</v>
      </c>
      <c r="N106" s="77" t="s">
        <v>114</v>
      </c>
      <c r="O106" s="79">
        <v>41</v>
      </c>
      <c r="P106" s="77" t="s">
        <v>114</v>
      </c>
      <c r="Q106" s="76">
        <v>21</v>
      </c>
      <c r="R106" s="77" t="s">
        <v>114</v>
      </c>
      <c r="S106" s="76">
        <v>21</v>
      </c>
      <c r="T106" s="77" t="s">
        <v>114</v>
      </c>
      <c r="U106" s="79">
        <v>51</v>
      </c>
      <c r="V106" s="77" t="s">
        <v>114</v>
      </c>
      <c r="W106" s="76">
        <v>16</v>
      </c>
      <c r="X106" s="77" t="s">
        <v>114</v>
      </c>
      <c r="Y106" s="79">
        <v>45</v>
      </c>
      <c r="Z106" s="77" t="s">
        <v>114</v>
      </c>
      <c r="AA106" s="76">
        <v>20</v>
      </c>
      <c r="AB106" s="77" t="s">
        <v>114</v>
      </c>
      <c r="AC106" s="76">
        <v>16</v>
      </c>
      <c r="AD106" s="77" t="s">
        <v>114</v>
      </c>
      <c r="AE106" s="79">
        <v>28</v>
      </c>
      <c r="AF106" s="77" t="s">
        <v>114</v>
      </c>
      <c r="AG106" s="76">
        <v>17</v>
      </c>
      <c r="AH106" s="77" t="s">
        <v>114</v>
      </c>
      <c r="AI106" s="81">
        <v>492</v>
      </c>
      <c r="AJ106" s="24" t="s">
        <v>117</v>
      </c>
      <c r="AK106" s="25" t="s">
        <v>399</v>
      </c>
    </row>
    <row r="107" spans="1:37" ht="15" customHeight="1">
      <c r="A107" s="84">
        <v>225307</v>
      </c>
      <c r="B107" s="30" t="s">
        <v>257</v>
      </c>
      <c r="C107" s="83">
        <v>55</v>
      </c>
      <c r="D107" s="75" t="s">
        <v>114</v>
      </c>
      <c r="E107" s="76">
        <v>21</v>
      </c>
      <c r="F107" s="77" t="s">
        <v>114</v>
      </c>
      <c r="G107" s="76">
        <v>44</v>
      </c>
      <c r="H107" s="77" t="s">
        <v>114</v>
      </c>
      <c r="I107" s="78">
        <v>40</v>
      </c>
      <c r="J107" s="77" t="s">
        <v>114</v>
      </c>
      <c r="K107" s="76">
        <v>21</v>
      </c>
      <c r="L107" s="77" t="s">
        <v>114</v>
      </c>
      <c r="M107" s="76">
        <v>38</v>
      </c>
      <c r="N107" s="77" t="s">
        <v>114</v>
      </c>
      <c r="O107" s="79">
        <v>41</v>
      </c>
      <c r="P107" s="77" t="s">
        <v>114</v>
      </c>
      <c r="Q107" s="76">
        <v>21</v>
      </c>
      <c r="R107" s="77" t="s">
        <v>114</v>
      </c>
      <c r="S107" s="76">
        <v>23</v>
      </c>
      <c r="T107" s="77" t="s">
        <v>114</v>
      </c>
      <c r="U107" s="79">
        <v>55</v>
      </c>
      <c r="V107" s="77" t="s">
        <v>114</v>
      </c>
      <c r="W107" s="76">
        <v>18</v>
      </c>
      <c r="X107" s="77" t="s">
        <v>114</v>
      </c>
      <c r="Y107" s="79">
        <v>56</v>
      </c>
      <c r="Z107" s="77" t="s">
        <v>114</v>
      </c>
      <c r="AA107" s="76">
        <v>21</v>
      </c>
      <c r="AB107" s="77" t="s">
        <v>114</v>
      </c>
      <c r="AC107" s="76">
        <v>19</v>
      </c>
      <c r="AD107" s="77" t="s">
        <v>114</v>
      </c>
      <c r="AE107" s="79">
        <v>26</v>
      </c>
      <c r="AF107" s="77" t="s">
        <v>114</v>
      </c>
      <c r="AG107" s="76">
        <v>20</v>
      </c>
      <c r="AH107" s="77" t="s">
        <v>114</v>
      </c>
      <c r="AI107" s="81">
        <v>519</v>
      </c>
      <c r="AJ107" s="24" t="s">
        <v>117</v>
      </c>
      <c r="AK107" s="25" t="s">
        <v>420</v>
      </c>
    </row>
    <row r="108" spans="1:37" ht="15" customHeight="1">
      <c r="A108" s="84">
        <v>225308</v>
      </c>
      <c r="B108" s="30" t="s">
        <v>258</v>
      </c>
      <c r="C108" s="83">
        <v>63</v>
      </c>
      <c r="D108" s="75" t="s">
        <v>114</v>
      </c>
      <c r="E108" s="76">
        <v>20</v>
      </c>
      <c r="F108" s="77" t="s">
        <v>114</v>
      </c>
      <c r="G108" s="76">
        <v>44</v>
      </c>
      <c r="H108" s="77" t="s">
        <v>114</v>
      </c>
      <c r="I108" s="78">
        <v>40</v>
      </c>
      <c r="J108" s="77" t="s">
        <v>114</v>
      </c>
      <c r="K108" s="76">
        <v>19</v>
      </c>
      <c r="L108" s="77" t="s">
        <v>114</v>
      </c>
      <c r="M108" s="76">
        <v>38</v>
      </c>
      <c r="N108" s="77" t="s">
        <v>114</v>
      </c>
      <c r="O108" s="79">
        <v>44</v>
      </c>
      <c r="P108" s="77" t="s">
        <v>114</v>
      </c>
      <c r="Q108" s="76">
        <v>20</v>
      </c>
      <c r="R108" s="77" t="s">
        <v>114</v>
      </c>
      <c r="S108" s="76">
        <v>23</v>
      </c>
      <c r="T108" s="77" t="s">
        <v>114</v>
      </c>
      <c r="U108" s="79">
        <v>63</v>
      </c>
      <c r="V108" s="77" t="s">
        <v>114</v>
      </c>
      <c r="W108" s="76">
        <v>20</v>
      </c>
      <c r="X108" s="77" t="s">
        <v>114</v>
      </c>
      <c r="Y108" s="79">
        <v>48</v>
      </c>
      <c r="Z108" s="77" t="s">
        <v>114</v>
      </c>
      <c r="AA108" s="76">
        <v>17</v>
      </c>
      <c r="AB108" s="77" t="s">
        <v>114</v>
      </c>
      <c r="AC108" s="76">
        <v>18</v>
      </c>
      <c r="AD108" s="77" t="s">
        <v>114</v>
      </c>
      <c r="AE108" s="79">
        <v>21</v>
      </c>
      <c r="AF108" s="77" t="s">
        <v>114</v>
      </c>
      <c r="AG108" s="76">
        <v>20</v>
      </c>
      <c r="AH108" s="77" t="s">
        <v>114</v>
      </c>
      <c r="AI108" s="81">
        <v>518</v>
      </c>
      <c r="AJ108" s="24" t="s">
        <v>117</v>
      </c>
      <c r="AK108" s="25" t="s">
        <v>362</v>
      </c>
    </row>
    <row r="109" spans="1:37" ht="15" customHeight="1">
      <c r="A109" s="84">
        <v>225309</v>
      </c>
      <c r="B109" s="30" t="s">
        <v>259</v>
      </c>
      <c r="C109" s="83">
        <v>52</v>
      </c>
      <c r="D109" s="75" t="s">
        <v>113</v>
      </c>
      <c r="E109" s="76">
        <v>20</v>
      </c>
      <c r="F109" s="77" t="s">
        <v>113</v>
      </c>
      <c r="G109" s="76">
        <v>41</v>
      </c>
      <c r="H109" s="77" t="s">
        <v>113</v>
      </c>
      <c r="I109" s="78">
        <v>10</v>
      </c>
      <c r="J109" s="77" t="s">
        <v>110</v>
      </c>
      <c r="K109" s="76">
        <v>18</v>
      </c>
      <c r="L109" s="77" t="s">
        <v>113</v>
      </c>
      <c r="M109" s="76">
        <v>38</v>
      </c>
      <c r="N109" s="77" t="s">
        <v>113</v>
      </c>
      <c r="O109" s="79">
        <v>46</v>
      </c>
      <c r="P109" s="77" t="s">
        <v>113</v>
      </c>
      <c r="Q109" s="76">
        <v>20</v>
      </c>
      <c r="R109" s="77" t="s">
        <v>113</v>
      </c>
      <c r="S109" s="76">
        <v>21</v>
      </c>
      <c r="T109" s="77" t="s">
        <v>113</v>
      </c>
      <c r="U109" s="79">
        <v>48</v>
      </c>
      <c r="V109" s="77" t="s">
        <v>113</v>
      </c>
      <c r="W109" s="76">
        <v>20</v>
      </c>
      <c r="X109" s="77" t="s">
        <v>113</v>
      </c>
      <c r="Y109" s="79">
        <v>40</v>
      </c>
      <c r="Z109" s="77" t="s">
        <v>113</v>
      </c>
      <c r="AA109" s="76">
        <v>19</v>
      </c>
      <c r="AB109" s="77" t="s">
        <v>113</v>
      </c>
      <c r="AC109" s="76">
        <v>19</v>
      </c>
      <c r="AD109" s="77" t="s">
        <v>113</v>
      </c>
      <c r="AE109" s="79">
        <v>28</v>
      </c>
      <c r="AF109" s="77" t="s">
        <v>113</v>
      </c>
      <c r="AG109" s="76">
        <v>22</v>
      </c>
      <c r="AH109" s="77" t="s">
        <v>113</v>
      </c>
      <c r="AI109" s="81">
        <v>462</v>
      </c>
      <c r="AJ109" s="24" t="s">
        <v>111</v>
      </c>
      <c r="AK109" s="25" t="s">
        <v>123</v>
      </c>
    </row>
    <row r="110" spans="1:37" ht="15" customHeight="1">
      <c r="A110" s="84">
        <v>225310</v>
      </c>
      <c r="B110" s="30" t="s">
        <v>260</v>
      </c>
      <c r="C110" s="83">
        <v>62</v>
      </c>
      <c r="D110" s="75" t="s">
        <v>114</v>
      </c>
      <c r="E110" s="76">
        <v>20</v>
      </c>
      <c r="F110" s="77" t="s">
        <v>114</v>
      </c>
      <c r="G110" s="76">
        <v>44</v>
      </c>
      <c r="H110" s="77" t="s">
        <v>114</v>
      </c>
      <c r="I110" s="78">
        <v>58</v>
      </c>
      <c r="J110" s="77" t="s">
        <v>114</v>
      </c>
      <c r="K110" s="76">
        <v>21</v>
      </c>
      <c r="L110" s="77" t="s">
        <v>114</v>
      </c>
      <c r="M110" s="76">
        <v>42</v>
      </c>
      <c r="N110" s="77" t="s">
        <v>114</v>
      </c>
      <c r="O110" s="79">
        <v>67</v>
      </c>
      <c r="P110" s="77" t="s">
        <v>114</v>
      </c>
      <c r="Q110" s="76">
        <v>20</v>
      </c>
      <c r="R110" s="77" t="s">
        <v>114</v>
      </c>
      <c r="S110" s="76">
        <v>23</v>
      </c>
      <c r="T110" s="77" t="s">
        <v>114</v>
      </c>
      <c r="U110" s="79">
        <v>68</v>
      </c>
      <c r="V110" s="77" t="s">
        <v>114</v>
      </c>
      <c r="W110" s="76">
        <v>22</v>
      </c>
      <c r="X110" s="77" t="s">
        <v>114</v>
      </c>
      <c r="Y110" s="79">
        <v>69</v>
      </c>
      <c r="Z110" s="77" t="s">
        <v>114</v>
      </c>
      <c r="AA110" s="76">
        <v>21</v>
      </c>
      <c r="AB110" s="77" t="s">
        <v>114</v>
      </c>
      <c r="AC110" s="76">
        <v>17</v>
      </c>
      <c r="AD110" s="77" t="s">
        <v>114</v>
      </c>
      <c r="AE110" s="79">
        <v>29</v>
      </c>
      <c r="AF110" s="77" t="s">
        <v>114</v>
      </c>
      <c r="AG110" s="76">
        <v>20</v>
      </c>
      <c r="AH110" s="77" t="s">
        <v>114</v>
      </c>
      <c r="AI110" s="81">
        <v>603</v>
      </c>
      <c r="AJ110" s="24" t="s">
        <v>117</v>
      </c>
      <c r="AK110" s="25" t="s">
        <v>356</v>
      </c>
    </row>
    <row r="111" spans="1:37" ht="15" customHeight="1">
      <c r="A111" s="84">
        <v>225311</v>
      </c>
      <c r="B111" s="30" t="s">
        <v>261</v>
      </c>
      <c r="C111" s="83">
        <v>65</v>
      </c>
      <c r="D111" s="75" t="s">
        <v>114</v>
      </c>
      <c r="E111" s="76">
        <v>21</v>
      </c>
      <c r="F111" s="77" t="s">
        <v>114</v>
      </c>
      <c r="G111" s="76">
        <v>44</v>
      </c>
      <c r="H111" s="77" t="s">
        <v>114</v>
      </c>
      <c r="I111" s="78">
        <v>63</v>
      </c>
      <c r="J111" s="77" t="s">
        <v>114</v>
      </c>
      <c r="K111" s="76">
        <v>21</v>
      </c>
      <c r="L111" s="77" t="s">
        <v>114</v>
      </c>
      <c r="M111" s="76">
        <v>42</v>
      </c>
      <c r="N111" s="77" t="s">
        <v>114</v>
      </c>
      <c r="O111" s="79">
        <v>69</v>
      </c>
      <c r="P111" s="77" t="s">
        <v>114</v>
      </c>
      <c r="Q111" s="76">
        <v>21</v>
      </c>
      <c r="R111" s="77" t="s">
        <v>114</v>
      </c>
      <c r="S111" s="76">
        <v>23</v>
      </c>
      <c r="T111" s="77" t="s">
        <v>114</v>
      </c>
      <c r="U111" s="79">
        <v>66</v>
      </c>
      <c r="V111" s="77" t="s">
        <v>114</v>
      </c>
      <c r="W111" s="76">
        <v>21</v>
      </c>
      <c r="X111" s="77" t="s">
        <v>114</v>
      </c>
      <c r="Y111" s="79">
        <v>64</v>
      </c>
      <c r="Z111" s="77" t="s">
        <v>114</v>
      </c>
      <c r="AA111" s="76">
        <v>22</v>
      </c>
      <c r="AB111" s="77" t="s">
        <v>114</v>
      </c>
      <c r="AC111" s="76">
        <v>22</v>
      </c>
      <c r="AD111" s="77" t="s">
        <v>114</v>
      </c>
      <c r="AE111" s="79">
        <v>39</v>
      </c>
      <c r="AF111" s="77" t="s">
        <v>114</v>
      </c>
      <c r="AG111" s="76">
        <v>23</v>
      </c>
      <c r="AH111" s="77" t="s">
        <v>114</v>
      </c>
      <c r="AI111" s="81">
        <v>626</v>
      </c>
      <c r="AJ111" s="24" t="s">
        <v>117</v>
      </c>
      <c r="AK111" s="25" t="s">
        <v>421</v>
      </c>
    </row>
    <row r="112" spans="1:37" ht="15" customHeight="1">
      <c r="A112" s="84">
        <v>225312</v>
      </c>
      <c r="B112" s="30" t="s">
        <v>262</v>
      </c>
      <c r="C112" s="83">
        <v>58</v>
      </c>
      <c r="D112" s="75" t="s">
        <v>114</v>
      </c>
      <c r="E112" s="76">
        <v>23</v>
      </c>
      <c r="F112" s="77" t="s">
        <v>114</v>
      </c>
      <c r="G112" s="76">
        <v>43</v>
      </c>
      <c r="H112" s="77" t="s">
        <v>114</v>
      </c>
      <c r="I112" s="78">
        <v>45</v>
      </c>
      <c r="J112" s="77" t="s">
        <v>114</v>
      </c>
      <c r="K112" s="76">
        <v>23</v>
      </c>
      <c r="L112" s="77" t="s">
        <v>114</v>
      </c>
      <c r="M112" s="76">
        <v>42</v>
      </c>
      <c r="N112" s="77" t="s">
        <v>114</v>
      </c>
      <c r="O112" s="79">
        <v>67</v>
      </c>
      <c r="P112" s="77" t="s">
        <v>114</v>
      </c>
      <c r="Q112" s="76">
        <v>23</v>
      </c>
      <c r="R112" s="77" t="s">
        <v>114</v>
      </c>
      <c r="S112" s="76">
        <v>23</v>
      </c>
      <c r="T112" s="77" t="s">
        <v>114</v>
      </c>
      <c r="U112" s="79">
        <v>64</v>
      </c>
      <c r="V112" s="77" t="s">
        <v>114</v>
      </c>
      <c r="W112" s="76">
        <v>23</v>
      </c>
      <c r="X112" s="77" t="s">
        <v>114</v>
      </c>
      <c r="Y112" s="79">
        <v>51</v>
      </c>
      <c r="Z112" s="77" t="s">
        <v>114</v>
      </c>
      <c r="AA112" s="76">
        <v>23</v>
      </c>
      <c r="AB112" s="77" t="s">
        <v>114</v>
      </c>
      <c r="AC112" s="76">
        <v>20</v>
      </c>
      <c r="AD112" s="77" t="s">
        <v>114</v>
      </c>
      <c r="AE112" s="79">
        <v>30</v>
      </c>
      <c r="AF112" s="77" t="s">
        <v>114</v>
      </c>
      <c r="AG112" s="76">
        <v>23</v>
      </c>
      <c r="AH112" s="77" t="s">
        <v>114</v>
      </c>
      <c r="AI112" s="81">
        <v>581</v>
      </c>
      <c r="AJ112" s="24" t="s">
        <v>117</v>
      </c>
      <c r="AK112" s="25" t="s">
        <v>422</v>
      </c>
    </row>
    <row r="113" spans="1:37" ht="15" customHeight="1">
      <c r="A113" s="84">
        <v>225313</v>
      </c>
      <c r="B113" s="30" t="s">
        <v>263</v>
      </c>
      <c r="C113" s="83">
        <v>54</v>
      </c>
      <c r="D113" s="75" t="s">
        <v>114</v>
      </c>
      <c r="E113" s="76">
        <v>21</v>
      </c>
      <c r="F113" s="77" t="s">
        <v>114</v>
      </c>
      <c r="G113" s="76">
        <v>44</v>
      </c>
      <c r="H113" s="77" t="s">
        <v>114</v>
      </c>
      <c r="I113" s="78">
        <v>40</v>
      </c>
      <c r="J113" s="77" t="s">
        <v>114</v>
      </c>
      <c r="K113" s="76">
        <v>20</v>
      </c>
      <c r="L113" s="77" t="s">
        <v>114</v>
      </c>
      <c r="M113" s="76">
        <v>42</v>
      </c>
      <c r="N113" s="77" t="s">
        <v>114</v>
      </c>
      <c r="O113" s="79">
        <v>48</v>
      </c>
      <c r="P113" s="77" t="s">
        <v>114</v>
      </c>
      <c r="Q113" s="76">
        <v>21</v>
      </c>
      <c r="R113" s="77" t="s">
        <v>114</v>
      </c>
      <c r="S113" s="76">
        <v>22</v>
      </c>
      <c r="T113" s="77" t="s">
        <v>114</v>
      </c>
      <c r="U113" s="79">
        <v>53</v>
      </c>
      <c r="V113" s="77" t="s">
        <v>114</v>
      </c>
      <c r="W113" s="76">
        <v>20</v>
      </c>
      <c r="X113" s="77" t="s">
        <v>114</v>
      </c>
      <c r="Y113" s="79">
        <v>52</v>
      </c>
      <c r="Z113" s="77" t="s">
        <v>114</v>
      </c>
      <c r="AA113" s="76">
        <v>20</v>
      </c>
      <c r="AB113" s="77" t="s">
        <v>114</v>
      </c>
      <c r="AC113" s="76">
        <v>20</v>
      </c>
      <c r="AD113" s="77" t="s">
        <v>114</v>
      </c>
      <c r="AE113" s="79">
        <v>25</v>
      </c>
      <c r="AF113" s="77" t="s">
        <v>114</v>
      </c>
      <c r="AG113" s="76">
        <v>20</v>
      </c>
      <c r="AH113" s="77" t="s">
        <v>114</v>
      </c>
      <c r="AI113" s="81">
        <v>522</v>
      </c>
      <c r="AJ113" s="24" t="s">
        <v>117</v>
      </c>
      <c r="AK113" s="25" t="s">
        <v>423</v>
      </c>
    </row>
    <row r="114" spans="1:37" ht="15" customHeight="1">
      <c r="A114" s="84">
        <v>225315</v>
      </c>
      <c r="B114" s="30" t="s">
        <v>264</v>
      </c>
      <c r="C114" s="83">
        <v>62</v>
      </c>
      <c r="D114" s="75" t="s">
        <v>114</v>
      </c>
      <c r="E114" s="76">
        <v>20</v>
      </c>
      <c r="F114" s="77" t="s">
        <v>114</v>
      </c>
      <c r="G114" s="76">
        <v>41</v>
      </c>
      <c r="H114" s="77" t="s">
        <v>114</v>
      </c>
      <c r="I114" s="78">
        <v>46</v>
      </c>
      <c r="J114" s="77" t="s">
        <v>114</v>
      </c>
      <c r="K114" s="76">
        <v>22</v>
      </c>
      <c r="L114" s="77" t="s">
        <v>114</v>
      </c>
      <c r="M114" s="76">
        <v>44</v>
      </c>
      <c r="N114" s="77" t="s">
        <v>114</v>
      </c>
      <c r="O114" s="79">
        <v>53</v>
      </c>
      <c r="P114" s="77" t="s">
        <v>114</v>
      </c>
      <c r="Q114" s="76">
        <v>20</v>
      </c>
      <c r="R114" s="77" t="s">
        <v>114</v>
      </c>
      <c r="S114" s="76">
        <v>21</v>
      </c>
      <c r="T114" s="77" t="s">
        <v>114</v>
      </c>
      <c r="U114" s="79">
        <v>60</v>
      </c>
      <c r="V114" s="77" t="s">
        <v>114</v>
      </c>
      <c r="W114" s="76">
        <v>20</v>
      </c>
      <c r="X114" s="77" t="s">
        <v>114</v>
      </c>
      <c r="Y114" s="79">
        <v>60</v>
      </c>
      <c r="Z114" s="77" t="s">
        <v>114</v>
      </c>
      <c r="AA114" s="76">
        <v>22</v>
      </c>
      <c r="AB114" s="77" t="s">
        <v>114</v>
      </c>
      <c r="AC114" s="76">
        <v>18</v>
      </c>
      <c r="AD114" s="77" t="s">
        <v>114</v>
      </c>
      <c r="AE114" s="79">
        <v>26</v>
      </c>
      <c r="AF114" s="77" t="s">
        <v>114</v>
      </c>
      <c r="AG114" s="76">
        <v>20</v>
      </c>
      <c r="AH114" s="77" t="s">
        <v>114</v>
      </c>
      <c r="AI114" s="81">
        <v>555</v>
      </c>
      <c r="AJ114" s="24" t="s">
        <v>117</v>
      </c>
      <c r="AK114" s="25" t="s">
        <v>424</v>
      </c>
    </row>
    <row r="115" spans="1:37" ht="15" customHeight="1">
      <c r="A115" s="84">
        <v>225316</v>
      </c>
      <c r="B115" s="30" t="s">
        <v>265</v>
      </c>
      <c r="C115" s="83">
        <v>64</v>
      </c>
      <c r="D115" s="75" t="s">
        <v>114</v>
      </c>
      <c r="E115" s="76">
        <v>20</v>
      </c>
      <c r="F115" s="77" t="s">
        <v>114</v>
      </c>
      <c r="G115" s="76">
        <v>40</v>
      </c>
      <c r="H115" s="77" t="s">
        <v>114</v>
      </c>
      <c r="I115" s="78">
        <v>49</v>
      </c>
      <c r="J115" s="77" t="s">
        <v>114</v>
      </c>
      <c r="K115" s="76">
        <v>22</v>
      </c>
      <c r="L115" s="77" t="s">
        <v>114</v>
      </c>
      <c r="M115" s="76">
        <v>42</v>
      </c>
      <c r="N115" s="77" t="s">
        <v>114</v>
      </c>
      <c r="O115" s="79">
        <v>54</v>
      </c>
      <c r="P115" s="77" t="s">
        <v>114</v>
      </c>
      <c r="Q115" s="76">
        <v>20</v>
      </c>
      <c r="R115" s="77" t="s">
        <v>114</v>
      </c>
      <c r="S115" s="76">
        <v>20</v>
      </c>
      <c r="T115" s="77" t="s">
        <v>114</v>
      </c>
      <c r="U115" s="79">
        <v>63</v>
      </c>
      <c r="V115" s="77" t="s">
        <v>114</v>
      </c>
      <c r="W115" s="76">
        <v>18</v>
      </c>
      <c r="X115" s="77" t="s">
        <v>114</v>
      </c>
      <c r="Y115" s="79">
        <v>60</v>
      </c>
      <c r="Z115" s="77" t="s">
        <v>114</v>
      </c>
      <c r="AA115" s="76">
        <v>22</v>
      </c>
      <c r="AB115" s="77" t="s">
        <v>114</v>
      </c>
      <c r="AC115" s="76">
        <v>19</v>
      </c>
      <c r="AD115" s="77" t="s">
        <v>114</v>
      </c>
      <c r="AE115" s="79">
        <v>24</v>
      </c>
      <c r="AF115" s="77" t="s">
        <v>114</v>
      </c>
      <c r="AG115" s="76">
        <v>23</v>
      </c>
      <c r="AH115" s="77" t="s">
        <v>114</v>
      </c>
      <c r="AI115" s="81">
        <v>560</v>
      </c>
      <c r="AJ115" s="24" t="s">
        <v>117</v>
      </c>
      <c r="AK115" s="25" t="s">
        <v>425</v>
      </c>
    </row>
    <row r="116" spans="1:37" ht="15" customHeight="1">
      <c r="A116" s="84">
        <v>225317</v>
      </c>
      <c r="B116" s="30" t="s">
        <v>266</v>
      </c>
      <c r="C116" s="83">
        <v>67</v>
      </c>
      <c r="D116" s="75" t="s">
        <v>114</v>
      </c>
      <c r="E116" s="76">
        <v>21</v>
      </c>
      <c r="F116" s="77" t="s">
        <v>114</v>
      </c>
      <c r="G116" s="76">
        <v>40</v>
      </c>
      <c r="H116" s="77" t="s">
        <v>114</v>
      </c>
      <c r="I116" s="78">
        <v>63</v>
      </c>
      <c r="J116" s="77" t="s">
        <v>114</v>
      </c>
      <c r="K116" s="76">
        <v>22</v>
      </c>
      <c r="L116" s="77" t="s">
        <v>114</v>
      </c>
      <c r="M116" s="76">
        <v>42</v>
      </c>
      <c r="N116" s="77" t="s">
        <v>114</v>
      </c>
      <c r="O116" s="79">
        <v>53</v>
      </c>
      <c r="P116" s="77" t="s">
        <v>114</v>
      </c>
      <c r="Q116" s="76">
        <v>21</v>
      </c>
      <c r="R116" s="77" t="s">
        <v>114</v>
      </c>
      <c r="S116" s="76">
        <v>20</v>
      </c>
      <c r="T116" s="77" t="s">
        <v>114</v>
      </c>
      <c r="U116" s="79">
        <v>65</v>
      </c>
      <c r="V116" s="77" t="s">
        <v>114</v>
      </c>
      <c r="W116" s="76">
        <v>16</v>
      </c>
      <c r="X116" s="77" t="s">
        <v>114</v>
      </c>
      <c r="Y116" s="79">
        <v>66</v>
      </c>
      <c r="Z116" s="77" t="s">
        <v>114</v>
      </c>
      <c r="AA116" s="76">
        <v>22</v>
      </c>
      <c r="AB116" s="77" t="s">
        <v>114</v>
      </c>
      <c r="AC116" s="76">
        <v>19</v>
      </c>
      <c r="AD116" s="77" t="s">
        <v>114</v>
      </c>
      <c r="AE116" s="79">
        <v>26</v>
      </c>
      <c r="AF116" s="77" t="s">
        <v>114</v>
      </c>
      <c r="AG116" s="76">
        <v>18</v>
      </c>
      <c r="AH116" s="77" t="s">
        <v>114</v>
      </c>
      <c r="AI116" s="81">
        <v>581</v>
      </c>
      <c r="AJ116" s="24" t="s">
        <v>117</v>
      </c>
      <c r="AK116" s="25" t="s">
        <v>422</v>
      </c>
    </row>
    <row r="117" spans="1:37" ht="15" customHeight="1">
      <c r="A117" s="84">
        <v>225318</v>
      </c>
      <c r="B117" s="30" t="s">
        <v>267</v>
      </c>
      <c r="C117" s="83">
        <v>58</v>
      </c>
      <c r="D117" s="75" t="s">
        <v>114</v>
      </c>
      <c r="E117" s="76">
        <v>20</v>
      </c>
      <c r="F117" s="77" t="s">
        <v>114</v>
      </c>
      <c r="G117" s="76">
        <v>41</v>
      </c>
      <c r="H117" s="77" t="s">
        <v>114</v>
      </c>
      <c r="I117" s="78">
        <v>59</v>
      </c>
      <c r="J117" s="77" t="s">
        <v>114</v>
      </c>
      <c r="K117" s="76">
        <v>20</v>
      </c>
      <c r="L117" s="77" t="s">
        <v>114</v>
      </c>
      <c r="M117" s="76">
        <v>42</v>
      </c>
      <c r="N117" s="77" t="s">
        <v>114</v>
      </c>
      <c r="O117" s="79">
        <v>45</v>
      </c>
      <c r="P117" s="77" t="s">
        <v>114</v>
      </c>
      <c r="Q117" s="76">
        <v>20</v>
      </c>
      <c r="R117" s="77" t="s">
        <v>114</v>
      </c>
      <c r="S117" s="76">
        <v>21</v>
      </c>
      <c r="T117" s="77" t="s">
        <v>114</v>
      </c>
      <c r="U117" s="79">
        <v>56</v>
      </c>
      <c r="V117" s="77" t="s">
        <v>114</v>
      </c>
      <c r="W117" s="76">
        <v>20</v>
      </c>
      <c r="X117" s="77" t="s">
        <v>114</v>
      </c>
      <c r="Y117" s="79">
        <v>47</v>
      </c>
      <c r="Z117" s="77" t="s">
        <v>114</v>
      </c>
      <c r="AA117" s="76">
        <v>21</v>
      </c>
      <c r="AB117" s="77" t="s">
        <v>114</v>
      </c>
      <c r="AC117" s="76">
        <v>22</v>
      </c>
      <c r="AD117" s="77" t="s">
        <v>114</v>
      </c>
      <c r="AE117" s="79">
        <v>31</v>
      </c>
      <c r="AF117" s="77" t="s">
        <v>114</v>
      </c>
      <c r="AG117" s="76">
        <v>20</v>
      </c>
      <c r="AH117" s="77" t="s">
        <v>114</v>
      </c>
      <c r="AI117" s="81">
        <v>543</v>
      </c>
      <c r="AJ117" s="24" t="s">
        <v>117</v>
      </c>
      <c r="AK117" s="25" t="s">
        <v>404</v>
      </c>
    </row>
    <row r="118" spans="1:37" ht="15" customHeight="1">
      <c r="A118" s="84">
        <v>225319</v>
      </c>
      <c r="B118" s="30" t="s">
        <v>268</v>
      </c>
      <c r="C118" s="83">
        <v>66</v>
      </c>
      <c r="D118" s="75" t="s">
        <v>114</v>
      </c>
      <c r="E118" s="76">
        <v>23</v>
      </c>
      <c r="F118" s="77" t="s">
        <v>114</v>
      </c>
      <c r="G118" s="76">
        <v>44</v>
      </c>
      <c r="H118" s="77" t="s">
        <v>114</v>
      </c>
      <c r="I118" s="78">
        <v>53</v>
      </c>
      <c r="J118" s="77" t="s">
        <v>114</v>
      </c>
      <c r="K118" s="76">
        <v>22</v>
      </c>
      <c r="L118" s="77" t="s">
        <v>114</v>
      </c>
      <c r="M118" s="76">
        <v>44</v>
      </c>
      <c r="N118" s="77" t="s">
        <v>114</v>
      </c>
      <c r="O118" s="79">
        <v>57</v>
      </c>
      <c r="P118" s="77" t="s">
        <v>114</v>
      </c>
      <c r="Q118" s="76">
        <v>23</v>
      </c>
      <c r="R118" s="77" t="s">
        <v>114</v>
      </c>
      <c r="S118" s="76">
        <v>23</v>
      </c>
      <c r="T118" s="77" t="s">
        <v>114</v>
      </c>
      <c r="U118" s="79">
        <v>66</v>
      </c>
      <c r="V118" s="77" t="s">
        <v>114</v>
      </c>
      <c r="W118" s="76">
        <v>16</v>
      </c>
      <c r="X118" s="77" t="s">
        <v>114</v>
      </c>
      <c r="Y118" s="79">
        <v>60</v>
      </c>
      <c r="Z118" s="77" t="s">
        <v>114</v>
      </c>
      <c r="AA118" s="76">
        <v>22</v>
      </c>
      <c r="AB118" s="77" t="s">
        <v>114</v>
      </c>
      <c r="AC118" s="76">
        <v>16</v>
      </c>
      <c r="AD118" s="77" t="s">
        <v>114</v>
      </c>
      <c r="AE118" s="79">
        <v>28</v>
      </c>
      <c r="AF118" s="77" t="s">
        <v>114</v>
      </c>
      <c r="AG118" s="76">
        <v>23</v>
      </c>
      <c r="AH118" s="77" t="s">
        <v>114</v>
      </c>
      <c r="AI118" s="81">
        <v>586</v>
      </c>
      <c r="AJ118" s="24" t="s">
        <v>117</v>
      </c>
      <c r="AK118" s="25" t="s">
        <v>426</v>
      </c>
    </row>
    <row r="119" spans="1:37" ht="15" customHeight="1">
      <c r="A119" s="84">
        <v>225320</v>
      </c>
      <c r="B119" s="30" t="s">
        <v>269</v>
      </c>
      <c r="C119" s="83">
        <v>61</v>
      </c>
      <c r="D119" s="75" t="s">
        <v>114</v>
      </c>
      <c r="E119" s="76">
        <v>20</v>
      </c>
      <c r="F119" s="77" t="s">
        <v>114</v>
      </c>
      <c r="G119" s="76">
        <v>43</v>
      </c>
      <c r="H119" s="77" t="s">
        <v>114</v>
      </c>
      <c r="I119" s="78">
        <v>47</v>
      </c>
      <c r="J119" s="77" t="s">
        <v>114</v>
      </c>
      <c r="K119" s="76">
        <v>19</v>
      </c>
      <c r="L119" s="77" t="s">
        <v>114</v>
      </c>
      <c r="M119" s="76">
        <v>42</v>
      </c>
      <c r="N119" s="77" t="s">
        <v>114</v>
      </c>
      <c r="O119" s="79">
        <v>57</v>
      </c>
      <c r="P119" s="77" t="s">
        <v>114</v>
      </c>
      <c r="Q119" s="76">
        <v>23</v>
      </c>
      <c r="R119" s="77" t="s">
        <v>114</v>
      </c>
      <c r="S119" s="76">
        <v>23</v>
      </c>
      <c r="T119" s="77" t="s">
        <v>114</v>
      </c>
      <c r="U119" s="79">
        <v>66</v>
      </c>
      <c r="V119" s="77" t="s">
        <v>114</v>
      </c>
      <c r="W119" s="76">
        <v>20</v>
      </c>
      <c r="X119" s="77" t="s">
        <v>114</v>
      </c>
      <c r="Y119" s="79">
        <v>50</v>
      </c>
      <c r="Z119" s="77" t="s">
        <v>114</v>
      </c>
      <c r="AA119" s="76">
        <v>19</v>
      </c>
      <c r="AB119" s="77" t="s">
        <v>114</v>
      </c>
      <c r="AC119" s="76">
        <v>22</v>
      </c>
      <c r="AD119" s="77" t="s">
        <v>114</v>
      </c>
      <c r="AE119" s="79">
        <v>30</v>
      </c>
      <c r="AF119" s="77" t="s">
        <v>114</v>
      </c>
      <c r="AG119" s="76">
        <v>23</v>
      </c>
      <c r="AH119" s="77" t="s">
        <v>114</v>
      </c>
      <c r="AI119" s="81">
        <v>565</v>
      </c>
      <c r="AJ119" s="24" t="s">
        <v>117</v>
      </c>
      <c r="AK119" s="25" t="s">
        <v>427</v>
      </c>
    </row>
    <row r="120" spans="1:37" ht="15" customHeight="1">
      <c r="A120" s="84">
        <v>225321</v>
      </c>
      <c r="B120" s="30" t="s">
        <v>270</v>
      </c>
      <c r="C120" s="83">
        <v>55</v>
      </c>
      <c r="D120" s="75" t="s">
        <v>114</v>
      </c>
      <c r="E120" s="76">
        <v>20</v>
      </c>
      <c r="F120" s="77" t="s">
        <v>114</v>
      </c>
      <c r="G120" s="76">
        <v>44</v>
      </c>
      <c r="H120" s="77" t="s">
        <v>114</v>
      </c>
      <c r="I120" s="78">
        <v>52</v>
      </c>
      <c r="J120" s="77" t="s">
        <v>114</v>
      </c>
      <c r="K120" s="76">
        <v>21</v>
      </c>
      <c r="L120" s="77" t="s">
        <v>114</v>
      </c>
      <c r="M120" s="76">
        <v>46</v>
      </c>
      <c r="N120" s="77" t="s">
        <v>114</v>
      </c>
      <c r="O120" s="79">
        <v>53</v>
      </c>
      <c r="P120" s="77" t="s">
        <v>114</v>
      </c>
      <c r="Q120" s="76">
        <v>20</v>
      </c>
      <c r="R120" s="77" t="s">
        <v>114</v>
      </c>
      <c r="S120" s="76">
        <v>23</v>
      </c>
      <c r="T120" s="77" t="s">
        <v>114</v>
      </c>
      <c r="U120" s="79">
        <v>68</v>
      </c>
      <c r="V120" s="77" t="s">
        <v>114</v>
      </c>
      <c r="W120" s="76">
        <v>20</v>
      </c>
      <c r="X120" s="77" t="s">
        <v>114</v>
      </c>
      <c r="Y120" s="79">
        <v>65</v>
      </c>
      <c r="Z120" s="77" t="s">
        <v>114</v>
      </c>
      <c r="AA120" s="76">
        <v>21</v>
      </c>
      <c r="AB120" s="77" t="s">
        <v>114</v>
      </c>
      <c r="AC120" s="76">
        <v>20</v>
      </c>
      <c r="AD120" s="77" t="s">
        <v>114</v>
      </c>
      <c r="AE120" s="79">
        <v>27</v>
      </c>
      <c r="AF120" s="77" t="s">
        <v>114</v>
      </c>
      <c r="AG120" s="76">
        <v>20</v>
      </c>
      <c r="AH120" s="77" t="s">
        <v>114</v>
      </c>
      <c r="AI120" s="81">
        <v>575</v>
      </c>
      <c r="AJ120" s="24" t="s">
        <v>117</v>
      </c>
      <c r="AK120" s="25" t="s">
        <v>412</v>
      </c>
    </row>
    <row r="121" spans="1:37" ht="15" customHeight="1">
      <c r="A121" s="84">
        <v>225322</v>
      </c>
      <c r="B121" s="30" t="s">
        <v>271</v>
      </c>
      <c r="C121" s="83">
        <v>49</v>
      </c>
      <c r="D121" s="75" t="s">
        <v>114</v>
      </c>
      <c r="E121" s="76">
        <v>21</v>
      </c>
      <c r="F121" s="77" t="s">
        <v>114</v>
      </c>
      <c r="G121" s="76">
        <v>40</v>
      </c>
      <c r="H121" s="77" t="s">
        <v>114</v>
      </c>
      <c r="I121" s="78">
        <v>50</v>
      </c>
      <c r="J121" s="77" t="s">
        <v>114</v>
      </c>
      <c r="K121" s="76">
        <v>21</v>
      </c>
      <c r="L121" s="77" t="s">
        <v>114</v>
      </c>
      <c r="M121" s="76">
        <v>38</v>
      </c>
      <c r="N121" s="77" t="s">
        <v>114</v>
      </c>
      <c r="O121" s="79">
        <v>40</v>
      </c>
      <c r="P121" s="77" t="s">
        <v>114</v>
      </c>
      <c r="Q121" s="76">
        <v>21</v>
      </c>
      <c r="R121" s="77" t="s">
        <v>114</v>
      </c>
      <c r="S121" s="76">
        <v>20</v>
      </c>
      <c r="T121" s="77" t="s">
        <v>114</v>
      </c>
      <c r="U121" s="79">
        <v>46</v>
      </c>
      <c r="V121" s="77" t="s">
        <v>114</v>
      </c>
      <c r="W121" s="76">
        <v>21</v>
      </c>
      <c r="X121" s="77" t="s">
        <v>114</v>
      </c>
      <c r="Y121" s="79">
        <v>60</v>
      </c>
      <c r="Z121" s="77" t="s">
        <v>114</v>
      </c>
      <c r="AA121" s="76">
        <v>21</v>
      </c>
      <c r="AB121" s="77" t="s">
        <v>114</v>
      </c>
      <c r="AC121" s="76">
        <v>21</v>
      </c>
      <c r="AD121" s="77" t="s">
        <v>114</v>
      </c>
      <c r="AE121" s="79">
        <v>26</v>
      </c>
      <c r="AF121" s="77" t="s">
        <v>114</v>
      </c>
      <c r="AG121" s="76">
        <v>21</v>
      </c>
      <c r="AH121" s="77" t="s">
        <v>114</v>
      </c>
      <c r="AI121" s="81">
        <v>516</v>
      </c>
      <c r="AJ121" s="24" t="s">
        <v>117</v>
      </c>
      <c r="AK121" s="25" t="s">
        <v>395</v>
      </c>
    </row>
    <row r="122" spans="1:37" ht="15" customHeight="1">
      <c r="A122" s="84">
        <v>225323</v>
      </c>
      <c r="B122" s="30" t="s">
        <v>272</v>
      </c>
      <c r="C122" s="83">
        <v>48</v>
      </c>
      <c r="D122" s="75" t="s">
        <v>114</v>
      </c>
      <c r="E122" s="76">
        <v>20</v>
      </c>
      <c r="F122" s="77" t="s">
        <v>114</v>
      </c>
      <c r="G122" s="76">
        <v>42</v>
      </c>
      <c r="H122" s="77" t="s">
        <v>114</v>
      </c>
      <c r="I122" s="78">
        <v>42</v>
      </c>
      <c r="J122" s="77" t="s">
        <v>114</v>
      </c>
      <c r="K122" s="76">
        <v>20</v>
      </c>
      <c r="L122" s="77" t="s">
        <v>114</v>
      </c>
      <c r="M122" s="76">
        <v>42</v>
      </c>
      <c r="N122" s="77" t="s">
        <v>114</v>
      </c>
      <c r="O122" s="79">
        <v>57</v>
      </c>
      <c r="P122" s="77" t="s">
        <v>114</v>
      </c>
      <c r="Q122" s="76">
        <v>20</v>
      </c>
      <c r="R122" s="77" t="s">
        <v>114</v>
      </c>
      <c r="S122" s="76">
        <v>22</v>
      </c>
      <c r="T122" s="77" t="s">
        <v>114</v>
      </c>
      <c r="U122" s="79">
        <v>43</v>
      </c>
      <c r="V122" s="77" t="s">
        <v>114</v>
      </c>
      <c r="W122" s="76">
        <v>21</v>
      </c>
      <c r="X122" s="77" t="s">
        <v>114</v>
      </c>
      <c r="Y122" s="79">
        <v>46</v>
      </c>
      <c r="Z122" s="77" t="s">
        <v>114</v>
      </c>
      <c r="AA122" s="76">
        <v>20</v>
      </c>
      <c r="AB122" s="77" t="s">
        <v>114</v>
      </c>
      <c r="AC122" s="76">
        <v>19</v>
      </c>
      <c r="AD122" s="77" t="s">
        <v>114</v>
      </c>
      <c r="AE122" s="79">
        <v>30</v>
      </c>
      <c r="AF122" s="77" t="s">
        <v>114</v>
      </c>
      <c r="AG122" s="76">
        <v>20</v>
      </c>
      <c r="AH122" s="77" t="s">
        <v>114</v>
      </c>
      <c r="AI122" s="81">
        <v>512</v>
      </c>
      <c r="AJ122" s="24" t="s">
        <v>117</v>
      </c>
      <c r="AK122" s="25" t="s">
        <v>394</v>
      </c>
    </row>
    <row r="123" spans="1:37" ht="15" customHeight="1">
      <c r="A123" s="84">
        <v>225324</v>
      </c>
      <c r="B123" s="30" t="s">
        <v>273</v>
      </c>
      <c r="C123" s="83">
        <v>54</v>
      </c>
      <c r="D123" s="75" t="s">
        <v>114</v>
      </c>
      <c r="E123" s="76">
        <v>20</v>
      </c>
      <c r="F123" s="77" t="s">
        <v>114</v>
      </c>
      <c r="G123" s="76">
        <v>42</v>
      </c>
      <c r="H123" s="77" t="s">
        <v>114</v>
      </c>
      <c r="I123" s="78">
        <v>45</v>
      </c>
      <c r="J123" s="77" t="s">
        <v>114</v>
      </c>
      <c r="K123" s="76">
        <v>20</v>
      </c>
      <c r="L123" s="77" t="s">
        <v>114</v>
      </c>
      <c r="M123" s="76">
        <v>42</v>
      </c>
      <c r="N123" s="77" t="s">
        <v>114</v>
      </c>
      <c r="O123" s="79">
        <v>49</v>
      </c>
      <c r="P123" s="77" t="s">
        <v>114</v>
      </c>
      <c r="Q123" s="76">
        <v>20</v>
      </c>
      <c r="R123" s="77" t="s">
        <v>114</v>
      </c>
      <c r="S123" s="76">
        <v>22</v>
      </c>
      <c r="T123" s="77" t="s">
        <v>114</v>
      </c>
      <c r="U123" s="79">
        <v>43</v>
      </c>
      <c r="V123" s="77" t="s">
        <v>114</v>
      </c>
      <c r="W123" s="76">
        <v>22</v>
      </c>
      <c r="X123" s="77" t="s">
        <v>114</v>
      </c>
      <c r="Y123" s="79">
        <v>56</v>
      </c>
      <c r="Z123" s="77" t="s">
        <v>114</v>
      </c>
      <c r="AA123" s="76">
        <v>20</v>
      </c>
      <c r="AB123" s="77" t="s">
        <v>114</v>
      </c>
      <c r="AC123" s="76">
        <v>21</v>
      </c>
      <c r="AD123" s="77" t="s">
        <v>114</v>
      </c>
      <c r="AE123" s="79">
        <v>29</v>
      </c>
      <c r="AF123" s="77" t="s">
        <v>114</v>
      </c>
      <c r="AG123" s="76">
        <v>20</v>
      </c>
      <c r="AH123" s="77" t="s">
        <v>114</v>
      </c>
      <c r="AI123" s="81">
        <v>525</v>
      </c>
      <c r="AJ123" s="24" t="s">
        <v>117</v>
      </c>
      <c r="AK123" s="25" t="s">
        <v>428</v>
      </c>
    </row>
    <row r="124" spans="1:37" ht="15" customHeight="1">
      <c r="A124" s="84">
        <v>225325</v>
      </c>
      <c r="B124" s="30" t="s">
        <v>274</v>
      </c>
      <c r="C124" s="83">
        <v>49</v>
      </c>
      <c r="D124" s="75" t="s">
        <v>114</v>
      </c>
      <c r="E124" s="76">
        <v>21</v>
      </c>
      <c r="F124" s="77" t="s">
        <v>114</v>
      </c>
      <c r="G124" s="76">
        <v>43</v>
      </c>
      <c r="H124" s="77" t="s">
        <v>114</v>
      </c>
      <c r="I124" s="78">
        <v>46</v>
      </c>
      <c r="J124" s="77" t="s">
        <v>114</v>
      </c>
      <c r="K124" s="76">
        <v>23</v>
      </c>
      <c r="L124" s="77" t="s">
        <v>114</v>
      </c>
      <c r="M124" s="76">
        <v>44</v>
      </c>
      <c r="N124" s="77" t="s">
        <v>114</v>
      </c>
      <c r="O124" s="79">
        <v>52</v>
      </c>
      <c r="P124" s="77" t="s">
        <v>114</v>
      </c>
      <c r="Q124" s="76">
        <v>21</v>
      </c>
      <c r="R124" s="77" t="s">
        <v>114</v>
      </c>
      <c r="S124" s="76">
        <v>23</v>
      </c>
      <c r="T124" s="77" t="s">
        <v>114</v>
      </c>
      <c r="U124" s="79">
        <v>64</v>
      </c>
      <c r="V124" s="77" t="s">
        <v>114</v>
      </c>
      <c r="W124" s="76">
        <v>23</v>
      </c>
      <c r="X124" s="77" t="s">
        <v>114</v>
      </c>
      <c r="Y124" s="79">
        <v>60</v>
      </c>
      <c r="Z124" s="77" t="s">
        <v>114</v>
      </c>
      <c r="AA124" s="76">
        <v>23</v>
      </c>
      <c r="AB124" s="77" t="s">
        <v>114</v>
      </c>
      <c r="AC124" s="76">
        <v>18</v>
      </c>
      <c r="AD124" s="77" t="s">
        <v>114</v>
      </c>
      <c r="AE124" s="79">
        <v>28</v>
      </c>
      <c r="AF124" s="77" t="s">
        <v>114</v>
      </c>
      <c r="AG124" s="76">
        <v>20</v>
      </c>
      <c r="AH124" s="77" t="s">
        <v>114</v>
      </c>
      <c r="AI124" s="81">
        <v>558</v>
      </c>
      <c r="AJ124" s="24" t="s">
        <v>117</v>
      </c>
      <c r="AK124" s="25" t="s">
        <v>376</v>
      </c>
    </row>
    <row r="125" spans="1:37" ht="15" customHeight="1">
      <c r="A125" s="84">
        <v>225326</v>
      </c>
      <c r="B125" s="30" t="s">
        <v>275</v>
      </c>
      <c r="C125" s="83">
        <v>40</v>
      </c>
      <c r="D125" s="75" t="s">
        <v>114</v>
      </c>
      <c r="E125" s="76">
        <v>19</v>
      </c>
      <c r="F125" s="77" t="s">
        <v>114</v>
      </c>
      <c r="G125" s="76">
        <v>40</v>
      </c>
      <c r="H125" s="77" t="s">
        <v>114</v>
      </c>
      <c r="I125" s="78">
        <v>45</v>
      </c>
      <c r="J125" s="77" t="s">
        <v>114</v>
      </c>
      <c r="K125" s="76">
        <v>20</v>
      </c>
      <c r="L125" s="77" t="s">
        <v>114</v>
      </c>
      <c r="M125" s="76">
        <v>40</v>
      </c>
      <c r="N125" s="77" t="s">
        <v>114</v>
      </c>
      <c r="O125" s="79">
        <v>50</v>
      </c>
      <c r="P125" s="77" t="s">
        <v>114</v>
      </c>
      <c r="Q125" s="76">
        <v>19</v>
      </c>
      <c r="R125" s="77" t="s">
        <v>114</v>
      </c>
      <c r="S125" s="76">
        <v>20</v>
      </c>
      <c r="T125" s="77" t="s">
        <v>114</v>
      </c>
      <c r="U125" s="79">
        <v>50</v>
      </c>
      <c r="V125" s="77" t="s">
        <v>114</v>
      </c>
      <c r="W125" s="76">
        <v>16</v>
      </c>
      <c r="X125" s="77" t="s">
        <v>114</v>
      </c>
      <c r="Y125" s="79">
        <v>40</v>
      </c>
      <c r="Z125" s="77" t="s">
        <v>114</v>
      </c>
      <c r="AA125" s="76">
        <v>20</v>
      </c>
      <c r="AB125" s="77" t="s">
        <v>114</v>
      </c>
      <c r="AC125" s="76">
        <v>20</v>
      </c>
      <c r="AD125" s="77" t="s">
        <v>114</v>
      </c>
      <c r="AE125" s="79">
        <v>20</v>
      </c>
      <c r="AF125" s="77" t="s">
        <v>114</v>
      </c>
      <c r="AG125" s="76">
        <v>16</v>
      </c>
      <c r="AH125" s="77" t="s">
        <v>114</v>
      </c>
      <c r="AI125" s="81">
        <v>475</v>
      </c>
      <c r="AJ125" s="24" t="s">
        <v>117</v>
      </c>
      <c r="AK125" s="25" t="s">
        <v>429</v>
      </c>
    </row>
    <row r="126" spans="1:37" ht="15" customHeight="1">
      <c r="A126" s="84">
        <v>225327</v>
      </c>
      <c r="B126" s="30" t="s">
        <v>276</v>
      </c>
      <c r="C126" s="83">
        <v>63</v>
      </c>
      <c r="D126" s="75" t="s">
        <v>114</v>
      </c>
      <c r="E126" s="76">
        <v>20</v>
      </c>
      <c r="F126" s="77" t="s">
        <v>114</v>
      </c>
      <c r="G126" s="76">
        <v>42</v>
      </c>
      <c r="H126" s="77" t="s">
        <v>114</v>
      </c>
      <c r="I126" s="78">
        <v>48</v>
      </c>
      <c r="J126" s="77" t="s">
        <v>114</v>
      </c>
      <c r="K126" s="76">
        <v>19</v>
      </c>
      <c r="L126" s="77" t="s">
        <v>114</v>
      </c>
      <c r="M126" s="76">
        <v>42</v>
      </c>
      <c r="N126" s="77" t="s">
        <v>114</v>
      </c>
      <c r="O126" s="79">
        <v>60</v>
      </c>
      <c r="P126" s="77" t="s">
        <v>114</v>
      </c>
      <c r="Q126" s="76">
        <v>20</v>
      </c>
      <c r="R126" s="77" t="s">
        <v>114</v>
      </c>
      <c r="S126" s="76">
        <v>22</v>
      </c>
      <c r="T126" s="77" t="s">
        <v>114</v>
      </c>
      <c r="U126" s="79">
        <v>68</v>
      </c>
      <c r="V126" s="77" t="s">
        <v>114</v>
      </c>
      <c r="W126" s="76">
        <v>18</v>
      </c>
      <c r="X126" s="77" t="s">
        <v>114</v>
      </c>
      <c r="Y126" s="79">
        <v>69</v>
      </c>
      <c r="Z126" s="77" t="s">
        <v>114</v>
      </c>
      <c r="AA126" s="76">
        <v>19</v>
      </c>
      <c r="AB126" s="77" t="s">
        <v>114</v>
      </c>
      <c r="AC126" s="76">
        <v>18</v>
      </c>
      <c r="AD126" s="77" t="s">
        <v>114</v>
      </c>
      <c r="AE126" s="79">
        <v>35</v>
      </c>
      <c r="AF126" s="77" t="s">
        <v>114</v>
      </c>
      <c r="AG126" s="76">
        <v>23</v>
      </c>
      <c r="AH126" s="77" t="s">
        <v>114</v>
      </c>
      <c r="AI126" s="81">
        <v>586</v>
      </c>
      <c r="AJ126" s="24" t="s">
        <v>117</v>
      </c>
      <c r="AK126" s="25" t="s">
        <v>426</v>
      </c>
    </row>
    <row r="127" spans="1:37" ht="15" customHeight="1">
      <c r="A127" s="84">
        <v>225328</v>
      </c>
      <c r="B127" s="30" t="s">
        <v>277</v>
      </c>
      <c r="C127" s="83">
        <v>48</v>
      </c>
      <c r="D127" s="75" t="s">
        <v>114</v>
      </c>
      <c r="E127" s="76">
        <v>21</v>
      </c>
      <c r="F127" s="77" t="s">
        <v>114</v>
      </c>
      <c r="G127" s="76">
        <v>42</v>
      </c>
      <c r="H127" s="77" t="s">
        <v>114</v>
      </c>
      <c r="I127" s="78">
        <v>40</v>
      </c>
      <c r="J127" s="77" t="s">
        <v>114</v>
      </c>
      <c r="K127" s="76">
        <v>19</v>
      </c>
      <c r="L127" s="77" t="s">
        <v>114</v>
      </c>
      <c r="M127" s="76">
        <v>42</v>
      </c>
      <c r="N127" s="77" t="s">
        <v>114</v>
      </c>
      <c r="O127" s="79">
        <v>40</v>
      </c>
      <c r="P127" s="77" t="s">
        <v>114</v>
      </c>
      <c r="Q127" s="76">
        <v>21</v>
      </c>
      <c r="R127" s="77" t="s">
        <v>114</v>
      </c>
      <c r="S127" s="76">
        <v>22</v>
      </c>
      <c r="T127" s="77" t="s">
        <v>114</v>
      </c>
      <c r="U127" s="79">
        <v>46</v>
      </c>
      <c r="V127" s="77" t="s">
        <v>114</v>
      </c>
      <c r="W127" s="76">
        <v>21</v>
      </c>
      <c r="X127" s="77" t="s">
        <v>114</v>
      </c>
      <c r="Y127" s="79">
        <v>40</v>
      </c>
      <c r="Z127" s="77" t="s">
        <v>114</v>
      </c>
      <c r="AA127" s="76">
        <v>19</v>
      </c>
      <c r="AB127" s="77" t="s">
        <v>114</v>
      </c>
      <c r="AC127" s="76">
        <v>18</v>
      </c>
      <c r="AD127" s="77" t="s">
        <v>114</v>
      </c>
      <c r="AE127" s="79">
        <v>30</v>
      </c>
      <c r="AF127" s="77" t="s">
        <v>114</v>
      </c>
      <c r="AG127" s="76">
        <v>23</v>
      </c>
      <c r="AH127" s="77" t="s">
        <v>114</v>
      </c>
      <c r="AI127" s="81">
        <v>492</v>
      </c>
      <c r="AJ127" s="24" t="s">
        <v>117</v>
      </c>
      <c r="AK127" s="25" t="s">
        <v>399</v>
      </c>
    </row>
    <row r="128" spans="1:37" ht="15" customHeight="1">
      <c r="A128" s="84">
        <v>225329</v>
      </c>
      <c r="B128" s="30" t="s">
        <v>278</v>
      </c>
      <c r="C128" s="83">
        <v>40</v>
      </c>
      <c r="D128" s="75" t="s">
        <v>114</v>
      </c>
      <c r="E128" s="76">
        <v>21</v>
      </c>
      <c r="F128" s="77" t="s">
        <v>114</v>
      </c>
      <c r="G128" s="76">
        <v>39</v>
      </c>
      <c r="H128" s="77" t="s">
        <v>114</v>
      </c>
      <c r="I128" s="78">
        <v>40</v>
      </c>
      <c r="J128" s="77" t="s">
        <v>114</v>
      </c>
      <c r="K128" s="76">
        <v>21</v>
      </c>
      <c r="L128" s="77" t="s">
        <v>114</v>
      </c>
      <c r="M128" s="76">
        <v>42</v>
      </c>
      <c r="N128" s="77" t="s">
        <v>114</v>
      </c>
      <c r="O128" s="79">
        <v>40</v>
      </c>
      <c r="P128" s="77" t="s">
        <v>114</v>
      </c>
      <c r="Q128" s="76">
        <v>21</v>
      </c>
      <c r="R128" s="77" t="s">
        <v>114</v>
      </c>
      <c r="S128" s="76">
        <v>20</v>
      </c>
      <c r="T128" s="77" t="s">
        <v>114</v>
      </c>
      <c r="U128" s="79">
        <v>55</v>
      </c>
      <c r="V128" s="77" t="s">
        <v>114</v>
      </c>
      <c r="W128" s="76">
        <v>21</v>
      </c>
      <c r="X128" s="77" t="s">
        <v>114</v>
      </c>
      <c r="Y128" s="79">
        <v>41</v>
      </c>
      <c r="Z128" s="77" t="s">
        <v>114</v>
      </c>
      <c r="AA128" s="76">
        <v>21</v>
      </c>
      <c r="AB128" s="77" t="s">
        <v>114</v>
      </c>
      <c r="AC128" s="76">
        <v>19</v>
      </c>
      <c r="AD128" s="77" t="s">
        <v>114</v>
      </c>
      <c r="AE128" s="79">
        <v>24</v>
      </c>
      <c r="AF128" s="77" t="s">
        <v>114</v>
      </c>
      <c r="AG128" s="76">
        <v>20</v>
      </c>
      <c r="AH128" s="77" t="s">
        <v>114</v>
      </c>
      <c r="AI128" s="81">
        <v>485</v>
      </c>
      <c r="AJ128" s="24" t="s">
        <v>117</v>
      </c>
      <c r="AK128" s="25" t="s">
        <v>124</v>
      </c>
    </row>
    <row r="129" spans="1:37" ht="15" customHeight="1">
      <c r="A129" s="84">
        <v>225330</v>
      </c>
      <c r="B129" s="30" t="s">
        <v>279</v>
      </c>
      <c r="C129" s="83">
        <v>46</v>
      </c>
      <c r="D129" s="75" t="s">
        <v>114</v>
      </c>
      <c r="E129" s="76">
        <v>20</v>
      </c>
      <c r="F129" s="77" t="s">
        <v>114</v>
      </c>
      <c r="G129" s="76">
        <v>39</v>
      </c>
      <c r="H129" s="77" t="s">
        <v>114</v>
      </c>
      <c r="I129" s="78">
        <v>41</v>
      </c>
      <c r="J129" s="77" t="s">
        <v>114</v>
      </c>
      <c r="K129" s="76">
        <v>21</v>
      </c>
      <c r="L129" s="77" t="s">
        <v>114</v>
      </c>
      <c r="M129" s="76">
        <v>44</v>
      </c>
      <c r="N129" s="77" t="s">
        <v>114</v>
      </c>
      <c r="O129" s="79">
        <v>51</v>
      </c>
      <c r="P129" s="77" t="s">
        <v>114</v>
      </c>
      <c r="Q129" s="76">
        <v>20</v>
      </c>
      <c r="R129" s="77" t="s">
        <v>114</v>
      </c>
      <c r="S129" s="76">
        <v>20</v>
      </c>
      <c r="T129" s="77" t="s">
        <v>114</v>
      </c>
      <c r="U129" s="79">
        <v>58</v>
      </c>
      <c r="V129" s="77" t="s">
        <v>114</v>
      </c>
      <c r="W129" s="76">
        <v>17</v>
      </c>
      <c r="X129" s="77" t="s">
        <v>114</v>
      </c>
      <c r="Y129" s="79">
        <v>45</v>
      </c>
      <c r="Z129" s="77" t="s">
        <v>114</v>
      </c>
      <c r="AA129" s="76">
        <v>21</v>
      </c>
      <c r="AB129" s="77" t="s">
        <v>114</v>
      </c>
      <c r="AC129" s="76">
        <v>17</v>
      </c>
      <c r="AD129" s="77" t="s">
        <v>114</v>
      </c>
      <c r="AE129" s="79">
        <v>22</v>
      </c>
      <c r="AF129" s="77" t="s">
        <v>114</v>
      </c>
      <c r="AG129" s="76">
        <v>19</v>
      </c>
      <c r="AH129" s="77" t="s">
        <v>114</v>
      </c>
      <c r="AI129" s="81">
        <v>501</v>
      </c>
      <c r="AJ129" s="24" t="s">
        <v>117</v>
      </c>
      <c r="AK129" s="25" t="s">
        <v>413</v>
      </c>
    </row>
    <row r="130" spans="1:37" ht="15" customHeight="1">
      <c r="A130" s="84">
        <v>225331</v>
      </c>
      <c r="B130" s="30" t="s">
        <v>280</v>
      </c>
      <c r="C130" s="83">
        <v>65</v>
      </c>
      <c r="D130" s="75" t="s">
        <v>114</v>
      </c>
      <c r="E130" s="76">
        <v>20</v>
      </c>
      <c r="F130" s="77" t="s">
        <v>114</v>
      </c>
      <c r="G130" s="76">
        <v>38</v>
      </c>
      <c r="H130" s="77" t="s">
        <v>114</v>
      </c>
      <c r="I130" s="78">
        <v>50</v>
      </c>
      <c r="J130" s="77" t="s">
        <v>114</v>
      </c>
      <c r="K130" s="76">
        <v>22</v>
      </c>
      <c r="L130" s="77" t="s">
        <v>114</v>
      </c>
      <c r="M130" s="76">
        <v>42</v>
      </c>
      <c r="N130" s="77" t="s">
        <v>114</v>
      </c>
      <c r="O130" s="79">
        <v>80</v>
      </c>
      <c r="P130" s="77" t="s">
        <v>114</v>
      </c>
      <c r="Q130" s="76">
        <v>20</v>
      </c>
      <c r="R130" s="77" t="s">
        <v>114</v>
      </c>
      <c r="S130" s="76">
        <v>19</v>
      </c>
      <c r="T130" s="77" t="s">
        <v>114</v>
      </c>
      <c r="U130" s="79">
        <v>66</v>
      </c>
      <c r="V130" s="77" t="s">
        <v>114</v>
      </c>
      <c r="W130" s="76">
        <v>20</v>
      </c>
      <c r="X130" s="77" t="s">
        <v>114</v>
      </c>
      <c r="Y130" s="79">
        <v>40</v>
      </c>
      <c r="Z130" s="77" t="s">
        <v>114</v>
      </c>
      <c r="AA130" s="76">
        <v>22</v>
      </c>
      <c r="AB130" s="77" t="s">
        <v>114</v>
      </c>
      <c r="AC130" s="76">
        <v>14</v>
      </c>
      <c r="AD130" s="77" t="s">
        <v>114</v>
      </c>
      <c r="AE130" s="79">
        <v>34</v>
      </c>
      <c r="AF130" s="77" t="s">
        <v>114</v>
      </c>
      <c r="AG130" s="76">
        <v>23</v>
      </c>
      <c r="AH130" s="77" t="s">
        <v>114</v>
      </c>
      <c r="AI130" s="81">
        <v>575</v>
      </c>
      <c r="AJ130" s="24" t="s">
        <v>117</v>
      </c>
      <c r="AK130" s="25" t="s">
        <v>412</v>
      </c>
    </row>
    <row r="131" spans="1:37" ht="15" customHeight="1">
      <c r="A131" s="84">
        <v>225332</v>
      </c>
      <c r="B131" s="30" t="s">
        <v>281</v>
      </c>
      <c r="C131" s="83">
        <v>62</v>
      </c>
      <c r="D131" s="75" t="s">
        <v>114</v>
      </c>
      <c r="E131" s="76">
        <v>21</v>
      </c>
      <c r="F131" s="77" t="s">
        <v>114</v>
      </c>
      <c r="G131" s="76">
        <v>42</v>
      </c>
      <c r="H131" s="77" t="s">
        <v>114</v>
      </c>
      <c r="I131" s="78">
        <v>49</v>
      </c>
      <c r="J131" s="77" t="s">
        <v>114</v>
      </c>
      <c r="K131" s="76">
        <v>20</v>
      </c>
      <c r="L131" s="77" t="s">
        <v>114</v>
      </c>
      <c r="M131" s="76">
        <v>44</v>
      </c>
      <c r="N131" s="77" t="s">
        <v>114</v>
      </c>
      <c r="O131" s="79">
        <v>54</v>
      </c>
      <c r="P131" s="77" t="s">
        <v>114</v>
      </c>
      <c r="Q131" s="76">
        <v>21</v>
      </c>
      <c r="R131" s="77" t="s">
        <v>114</v>
      </c>
      <c r="S131" s="76">
        <v>22</v>
      </c>
      <c r="T131" s="77" t="s">
        <v>114</v>
      </c>
      <c r="U131" s="79">
        <v>52</v>
      </c>
      <c r="V131" s="77" t="s">
        <v>114</v>
      </c>
      <c r="W131" s="76">
        <v>21</v>
      </c>
      <c r="X131" s="77" t="s">
        <v>114</v>
      </c>
      <c r="Y131" s="79">
        <v>63</v>
      </c>
      <c r="Z131" s="77" t="s">
        <v>114</v>
      </c>
      <c r="AA131" s="76">
        <v>20</v>
      </c>
      <c r="AB131" s="77" t="s">
        <v>114</v>
      </c>
      <c r="AC131" s="76">
        <v>20</v>
      </c>
      <c r="AD131" s="77" t="s">
        <v>114</v>
      </c>
      <c r="AE131" s="79">
        <v>25</v>
      </c>
      <c r="AF131" s="77" t="s">
        <v>114</v>
      </c>
      <c r="AG131" s="76">
        <v>21</v>
      </c>
      <c r="AH131" s="77" t="s">
        <v>114</v>
      </c>
      <c r="AI131" s="81">
        <v>557</v>
      </c>
      <c r="AJ131" s="24" t="s">
        <v>117</v>
      </c>
      <c r="AK131" s="25" t="s">
        <v>351</v>
      </c>
    </row>
    <row r="132" spans="1:37" ht="15" customHeight="1">
      <c r="A132" s="84">
        <v>225333</v>
      </c>
      <c r="B132" s="30" t="s">
        <v>282</v>
      </c>
      <c r="C132" s="83">
        <v>52</v>
      </c>
      <c r="D132" s="75" t="s">
        <v>114</v>
      </c>
      <c r="E132" s="76">
        <v>22</v>
      </c>
      <c r="F132" s="77" t="s">
        <v>114</v>
      </c>
      <c r="G132" s="76">
        <v>43</v>
      </c>
      <c r="H132" s="77" t="s">
        <v>114</v>
      </c>
      <c r="I132" s="78">
        <v>40</v>
      </c>
      <c r="J132" s="77" t="s">
        <v>114</v>
      </c>
      <c r="K132" s="76">
        <v>21</v>
      </c>
      <c r="L132" s="77" t="s">
        <v>114</v>
      </c>
      <c r="M132" s="76">
        <v>44</v>
      </c>
      <c r="N132" s="77" t="s">
        <v>114</v>
      </c>
      <c r="O132" s="79">
        <v>45</v>
      </c>
      <c r="P132" s="77" t="s">
        <v>114</v>
      </c>
      <c r="Q132" s="76">
        <v>22</v>
      </c>
      <c r="R132" s="77" t="s">
        <v>114</v>
      </c>
      <c r="S132" s="76">
        <v>23</v>
      </c>
      <c r="T132" s="77" t="s">
        <v>114</v>
      </c>
      <c r="U132" s="79">
        <v>70</v>
      </c>
      <c r="V132" s="77" t="s">
        <v>114</v>
      </c>
      <c r="W132" s="76">
        <v>23</v>
      </c>
      <c r="X132" s="77" t="s">
        <v>114</v>
      </c>
      <c r="Y132" s="79">
        <v>50</v>
      </c>
      <c r="Z132" s="77" t="s">
        <v>114</v>
      </c>
      <c r="AA132" s="76">
        <v>21</v>
      </c>
      <c r="AB132" s="77" t="s">
        <v>114</v>
      </c>
      <c r="AC132" s="76">
        <v>22</v>
      </c>
      <c r="AD132" s="77" t="s">
        <v>114</v>
      </c>
      <c r="AE132" s="79">
        <v>26</v>
      </c>
      <c r="AF132" s="77" t="s">
        <v>114</v>
      </c>
      <c r="AG132" s="76">
        <v>23</v>
      </c>
      <c r="AH132" s="77" t="s">
        <v>114</v>
      </c>
      <c r="AI132" s="81">
        <v>547</v>
      </c>
      <c r="AJ132" s="24" t="s">
        <v>117</v>
      </c>
      <c r="AK132" s="25" t="s">
        <v>430</v>
      </c>
    </row>
    <row r="133" spans="1:37" ht="15" customHeight="1">
      <c r="A133" s="84">
        <v>225334</v>
      </c>
      <c r="B133" s="30" t="s">
        <v>283</v>
      </c>
      <c r="C133" s="83">
        <v>52</v>
      </c>
      <c r="D133" s="75" t="s">
        <v>114</v>
      </c>
      <c r="E133" s="76">
        <v>21</v>
      </c>
      <c r="F133" s="77" t="s">
        <v>114</v>
      </c>
      <c r="G133" s="76">
        <v>39</v>
      </c>
      <c r="H133" s="77" t="s">
        <v>114</v>
      </c>
      <c r="I133" s="78">
        <v>42</v>
      </c>
      <c r="J133" s="77" t="s">
        <v>114</v>
      </c>
      <c r="K133" s="76">
        <v>22</v>
      </c>
      <c r="L133" s="77" t="s">
        <v>114</v>
      </c>
      <c r="M133" s="76">
        <v>44</v>
      </c>
      <c r="N133" s="77" t="s">
        <v>114</v>
      </c>
      <c r="O133" s="79">
        <v>62</v>
      </c>
      <c r="P133" s="77" t="s">
        <v>114</v>
      </c>
      <c r="Q133" s="76">
        <v>21</v>
      </c>
      <c r="R133" s="77" t="s">
        <v>114</v>
      </c>
      <c r="S133" s="76">
        <v>20</v>
      </c>
      <c r="T133" s="77" t="s">
        <v>114</v>
      </c>
      <c r="U133" s="79">
        <v>61</v>
      </c>
      <c r="V133" s="77" t="s">
        <v>114</v>
      </c>
      <c r="W133" s="76">
        <v>22</v>
      </c>
      <c r="X133" s="77" t="s">
        <v>114</v>
      </c>
      <c r="Y133" s="79">
        <v>42</v>
      </c>
      <c r="Z133" s="77" t="s">
        <v>114</v>
      </c>
      <c r="AA133" s="76">
        <v>22</v>
      </c>
      <c r="AB133" s="77" t="s">
        <v>114</v>
      </c>
      <c r="AC133" s="76">
        <v>20</v>
      </c>
      <c r="AD133" s="77" t="s">
        <v>114</v>
      </c>
      <c r="AE133" s="79">
        <v>32</v>
      </c>
      <c r="AF133" s="77" t="s">
        <v>114</v>
      </c>
      <c r="AG133" s="76">
        <v>23</v>
      </c>
      <c r="AH133" s="77" t="s">
        <v>114</v>
      </c>
      <c r="AI133" s="81">
        <v>545</v>
      </c>
      <c r="AJ133" s="24" t="s">
        <v>117</v>
      </c>
      <c r="AK133" s="25" t="s">
        <v>396</v>
      </c>
    </row>
    <row r="134" spans="1:37" ht="15" customHeight="1">
      <c r="A134" s="84">
        <v>225335</v>
      </c>
      <c r="B134" s="30" t="s">
        <v>284</v>
      </c>
      <c r="C134" s="83">
        <v>40</v>
      </c>
      <c r="D134" s="75" t="s">
        <v>113</v>
      </c>
      <c r="E134" s="76">
        <v>23</v>
      </c>
      <c r="F134" s="77" t="s">
        <v>113</v>
      </c>
      <c r="G134" s="76">
        <v>39</v>
      </c>
      <c r="H134" s="77" t="s">
        <v>113</v>
      </c>
      <c r="I134" s="78">
        <v>40</v>
      </c>
      <c r="J134" s="77" t="s">
        <v>113</v>
      </c>
      <c r="K134" s="76">
        <v>19</v>
      </c>
      <c r="L134" s="77" t="s">
        <v>113</v>
      </c>
      <c r="M134" s="76">
        <v>36</v>
      </c>
      <c r="N134" s="77" t="s">
        <v>113</v>
      </c>
      <c r="O134" s="79">
        <v>12</v>
      </c>
      <c r="P134" s="77" t="s">
        <v>110</v>
      </c>
      <c r="Q134" s="76">
        <v>23</v>
      </c>
      <c r="R134" s="77" t="s">
        <v>113</v>
      </c>
      <c r="S134" s="76">
        <v>20</v>
      </c>
      <c r="T134" s="77" t="s">
        <v>113</v>
      </c>
      <c r="U134" s="79">
        <v>45</v>
      </c>
      <c r="V134" s="77" t="s">
        <v>113</v>
      </c>
      <c r="W134" s="76">
        <v>16</v>
      </c>
      <c r="X134" s="77" t="s">
        <v>113</v>
      </c>
      <c r="Y134" s="79">
        <v>40</v>
      </c>
      <c r="Z134" s="77" t="s">
        <v>113</v>
      </c>
      <c r="AA134" s="76">
        <v>19</v>
      </c>
      <c r="AB134" s="77" t="s">
        <v>113</v>
      </c>
      <c r="AC134" s="76">
        <v>20</v>
      </c>
      <c r="AD134" s="77" t="s">
        <v>113</v>
      </c>
      <c r="AE134" s="79">
        <v>26</v>
      </c>
      <c r="AF134" s="77" t="s">
        <v>113</v>
      </c>
      <c r="AG134" s="76">
        <v>22</v>
      </c>
      <c r="AH134" s="77" t="s">
        <v>113</v>
      </c>
      <c r="AI134" s="81">
        <v>440</v>
      </c>
      <c r="AJ134" s="24" t="s">
        <v>111</v>
      </c>
      <c r="AK134" s="25" t="s">
        <v>115</v>
      </c>
    </row>
    <row r="135" spans="1:37" ht="15" customHeight="1">
      <c r="A135" s="84">
        <v>225336</v>
      </c>
      <c r="B135" s="30" t="s">
        <v>285</v>
      </c>
      <c r="C135" s="83">
        <v>50</v>
      </c>
      <c r="D135" s="75" t="s">
        <v>114</v>
      </c>
      <c r="E135" s="76">
        <v>22</v>
      </c>
      <c r="F135" s="77" t="s">
        <v>114</v>
      </c>
      <c r="G135" s="76">
        <v>44</v>
      </c>
      <c r="H135" s="77" t="s">
        <v>114</v>
      </c>
      <c r="I135" s="78">
        <v>47</v>
      </c>
      <c r="J135" s="77" t="s">
        <v>114</v>
      </c>
      <c r="K135" s="76">
        <v>19</v>
      </c>
      <c r="L135" s="77" t="s">
        <v>114</v>
      </c>
      <c r="M135" s="76">
        <v>38</v>
      </c>
      <c r="N135" s="77" t="s">
        <v>114</v>
      </c>
      <c r="O135" s="79">
        <v>55</v>
      </c>
      <c r="P135" s="77" t="s">
        <v>114</v>
      </c>
      <c r="Q135" s="76">
        <v>22</v>
      </c>
      <c r="R135" s="77" t="s">
        <v>114</v>
      </c>
      <c r="S135" s="76">
        <v>23</v>
      </c>
      <c r="T135" s="77" t="s">
        <v>114</v>
      </c>
      <c r="U135" s="79">
        <v>50</v>
      </c>
      <c r="V135" s="77" t="s">
        <v>114</v>
      </c>
      <c r="W135" s="76">
        <v>22</v>
      </c>
      <c r="X135" s="77" t="s">
        <v>114</v>
      </c>
      <c r="Y135" s="79">
        <v>44</v>
      </c>
      <c r="Z135" s="77" t="s">
        <v>114</v>
      </c>
      <c r="AA135" s="76">
        <v>19</v>
      </c>
      <c r="AB135" s="77" t="s">
        <v>114</v>
      </c>
      <c r="AC135" s="76">
        <v>19</v>
      </c>
      <c r="AD135" s="77" t="s">
        <v>114</v>
      </c>
      <c r="AE135" s="79">
        <v>32</v>
      </c>
      <c r="AF135" s="77" t="s">
        <v>114</v>
      </c>
      <c r="AG135" s="76">
        <v>22</v>
      </c>
      <c r="AH135" s="77" t="s">
        <v>114</v>
      </c>
      <c r="AI135" s="81">
        <v>528</v>
      </c>
      <c r="AJ135" s="24" t="s">
        <v>117</v>
      </c>
      <c r="AK135" s="25" t="s">
        <v>431</v>
      </c>
    </row>
    <row r="136" spans="1:37" ht="15" customHeight="1">
      <c r="A136" s="84">
        <v>225337</v>
      </c>
      <c r="B136" s="30" t="s">
        <v>286</v>
      </c>
      <c r="C136" s="83">
        <v>47</v>
      </c>
      <c r="D136" s="75" t="s">
        <v>114</v>
      </c>
      <c r="E136" s="76">
        <v>22</v>
      </c>
      <c r="F136" s="77" t="s">
        <v>114</v>
      </c>
      <c r="G136" s="76">
        <v>40</v>
      </c>
      <c r="H136" s="77" t="s">
        <v>114</v>
      </c>
      <c r="I136" s="78">
        <v>64</v>
      </c>
      <c r="J136" s="77" t="s">
        <v>114</v>
      </c>
      <c r="K136" s="76">
        <v>23</v>
      </c>
      <c r="L136" s="77" t="s">
        <v>114</v>
      </c>
      <c r="M136" s="76">
        <v>46</v>
      </c>
      <c r="N136" s="77" t="s">
        <v>114</v>
      </c>
      <c r="O136" s="79">
        <v>71</v>
      </c>
      <c r="P136" s="77" t="s">
        <v>114</v>
      </c>
      <c r="Q136" s="76">
        <v>22</v>
      </c>
      <c r="R136" s="77" t="s">
        <v>114</v>
      </c>
      <c r="S136" s="76">
        <v>20</v>
      </c>
      <c r="T136" s="77" t="s">
        <v>114</v>
      </c>
      <c r="U136" s="79">
        <v>66</v>
      </c>
      <c r="V136" s="77" t="s">
        <v>114</v>
      </c>
      <c r="W136" s="76">
        <v>22</v>
      </c>
      <c r="X136" s="77" t="s">
        <v>114</v>
      </c>
      <c r="Y136" s="79">
        <v>63</v>
      </c>
      <c r="Z136" s="77" t="s">
        <v>114</v>
      </c>
      <c r="AA136" s="76">
        <v>22</v>
      </c>
      <c r="AB136" s="77" t="s">
        <v>114</v>
      </c>
      <c r="AC136" s="76">
        <v>20</v>
      </c>
      <c r="AD136" s="77" t="s">
        <v>114</v>
      </c>
      <c r="AE136" s="79">
        <v>29</v>
      </c>
      <c r="AF136" s="77" t="s">
        <v>114</v>
      </c>
      <c r="AG136" s="76">
        <v>23</v>
      </c>
      <c r="AH136" s="77" t="s">
        <v>114</v>
      </c>
      <c r="AI136" s="81">
        <v>600</v>
      </c>
      <c r="AJ136" s="24" t="s">
        <v>117</v>
      </c>
      <c r="AK136" s="25" t="s">
        <v>405</v>
      </c>
    </row>
    <row r="137" spans="1:37" ht="15" customHeight="1">
      <c r="A137" s="84">
        <v>225338</v>
      </c>
      <c r="B137" s="30" t="s">
        <v>287</v>
      </c>
      <c r="C137" s="83">
        <v>50</v>
      </c>
      <c r="D137" s="75" t="s">
        <v>114</v>
      </c>
      <c r="E137" s="76">
        <v>23</v>
      </c>
      <c r="F137" s="77" t="s">
        <v>114</v>
      </c>
      <c r="G137" s="76">
        <v>44</v>
      </c>
      <c r="H137" s="77" t="s">
        <v>114</v>
      </c>
      <c r="I137" s="78">
        <v>42</v>
      </c>
      <c r="J137" s="77" t="s">
        <v>114</v>
      </c>
      <c r="K137" s="76">
        <v>23</v>
      </c>
      <c r="L137" s="77" t="s">
        <v>114</v>
      </c>
      <c r="M137" s="76">
        <v>40</v>
      </c>
      <c r="N137" s="77" t="s">
        <v>114</v>
      </c>
      <c r="O137" s="79">
        <v>43</v>
      </c>
      <c r="P137" s="77" t="s">
        <v>114</v>
      </c>
      <c r="Q137" s="76">
        <v>23</v>
      </c>
      <c r="R137" s="77" t="s">
        <v>114</v>
      </c>
      <c r="S137" s="76">
        <v>23</v>
      </c>
      <c r="T137" s="77" t="s">
        <v>114</v>
      </c>
      <c r="U137" s="79">
        <v>44</v>
      </c>
      <c r="V137" s="77" t="s">
        <v>114</v>
      </c>
      <c r="W137" s="76">
        <v>23</v>
      </c>
      <c r="X137" s="77" t="s">
        <v>114</v>
      </c>
      <c r="Y137" s="79">
        <v>53</v>
      </c>
      <c r="Z137" s="77" t="s">
        <v>114</v>
      </c>
      <c r="AA137" s="76">
        <v>23</v>
      </c>
      <c r="AB137" s="77" t="s">
        <v>114</v>
      </c>
      <c r="AC137" s="76">
        <v>19</v>
      </c>
      <c r="AD137" s="77" t="s">
        <v>114</v>
      </c>
      <c r="AE137" s="79">
        <v>25</v>
      </c>
      <c r="AF137" s="77" t="s">
        <v>114</v>
      </c>
      <c r="AG137" s="76">
        <v>23</v>
      </c>
      <c r="AH137" s="77" t="s">
        <v>114</v>
      </c>
      <c r="AI137" s="81">
        <v>521</v>
      </c>
      <c r="AJ137" s="24" t="s">
        <v>117</v>
      </c>
      <c r="AK137" s="25" t="s">
        <v>411</v>
      </c>
    </row>
    <row r="138" spans="1:37" ht="15" customHeight="1">
      <c r="A138" s="84">
        <v>225339</v>
      </c>
      <c r="B138" s="30" t="s">
        <v>35</v>
      </c>
      <c r="C138" s="83" t="s">
        <v>75</v>
      </c>
      <c r="D138" s="75" t="s">
        <v>114</v>
      </c>
      <c r="E138" s="76" t="s">
        <v>48</v>
      </c>
      <c r="F138" s="77" t="s">
        <v>109</v>
      </c>
      <c r="G138" s="76" t="s">
        <v>58</v>
      </c>
      <c r="H138" s="77" t="s">
        <v>109</v>
      </c>
      <c r="I138" s="78" t="s">
        <v>75</v>
      </c>
      <c r="J138" s="77" t="s">
        <v>114</v>
      </c>
      <c r="K138" s="76" t="s">
        <v>49</v>
      </c>
      <c r="L138" s="77" t="s">
        <v>109</v>
      </c>
      <c r="M138" s="76" t="s">
        <v>66</v>
      </c>
      <c r="N138" s="77" t="s">
        <v>109</v>
      </c>
      <c r="O138" s="79" t="s">
        <v>75</v>
      </c>
      <c r="P138" s="77" t="s">
        <v>114</v>
      </c>
      <c r="Q138" s="76" t="s">
        <v>51</v>
      </c>
      <c r="R138" s="77" t="s">
        <v>109</v>
      </c>
      <c r="S138" s="76" t="s">
        <v>52</v>
      </c>
      <c r="T138" s="77" t="s">
        <v>109</v>
      </c>
      <c r="U138" s="79" t="s">
        <v>75</v>
      </c>
      <c r="V138" s="77" t="s">
        <v>114</v>
      </c>
      <c r="W138" s="76" t="s">
        <v>46</v>
      </c>
      <c r="X138" s="77" t="s">
        <v>109</v>
      </c>
      <c r="Y138" s="79" t="s">
        <v>75</v>
      </c>
      <c r="Z138" s="77" t="s">
        <v>114</v>
      </c>
      <c r="AA138" s="76" t="s">
        <v>48</v>
      </c>
      <c r="AB138" s="77" t="s">
        <v>109</v>
      </c>
      <c r="AC138" s="76" t="s">
        <v>52</v>
      </c>
      <c r="AD138" s="77" t="s">
        <v>109</v>
      </c>
      <c r="AE138" s="79" t="s">
        <v>75</v>
      </c>
      <c r="AF138" s="77" t="s">
        <v>114</v>
      </c>
      <c r="AG138" s="76" t="s">
        <v>46</v>
      </c>
      <c r="AH138" s="77" t="s">
        <v>109</v>
      </c>
      <c r="AI138" s="81">
        <v>245</v>
      </c>
      <c r="AJ138" s="24" t="s">
        <v>119</v>
      </c>
      <c r="AK138" s="25" t="s">
        <v>432</v>
      </c>
    </row>
    <row r="139" spans="1:37" ht="15" customHeight="1">
      <c r="A139" s="84">
        <v>225340</v>
      </c>
      <c r="B139" s="30" t="s">
        <v>288</v>
      </c>
      <c r="C139" s="83">
        <v>57</v>
      </c>
      <c r="D139" s="75" t="s">
        <v>114</v>
      </c>
      <c r="E139" s="76">
        <v>21</v>
      </c>
      <c r="F139" s="77" t="s">
        <v>114</v>
      </c>
      <c r="G139" s="76">
        <v>42</v>
      </c>
      <c r="H139" s="77" t="s">
        <v>114</v>
      </c>
      <c r="I139" s="78">
        <v>40</v>
      </c>
      <c r="J139" s="77" t="s">
        <v>114</v>
      </c>
      <c r="K139" s="76">
        <v>20</v>
      </c>
      <c r="L139" s="77" t="s">
        <v>114</v>
      </c>
      <c r="M139" s="76">
        <v>40</v>
      </c>
      <c r="N139" s="77" t="s">
        <v>114</v>
      </c>
      <c r="O139" s="79">
        <v>40</v>
      </c>
      <c r="P139" s="77" t="s">
        <v>114</v>
      </c>
      <c r="Q139" s="76">
        <v>21</v>
      </c>
      <c r="R139" s="77" t="s">
        <v>114</v>
      </c>
      <c r="S139" s="76">
        <v>22</v>
      </c>
      <c r="T139" s="77" t="s">
        <v>114</v>
      </c>
      <c r="U139" s="79">
        <v>54</v>
      </c>
      <c r="V139" s="77" t="s">
        <v>114</v>
      </c>
      <c r="W139" s="76">
        <v>21</v>
      </c>
      <c r="X139" s="77" t="s">
        <v>114</v>
      </c>
      <c r="Y139" s="79">
        <v>40</v>
      </c>
      <c r="Z139" s="77" t="s">
        <v>114</v>
      </c>
      <c r="AA139" s="76">
        <v>20</v>
      </c>
      <c r="AB139" s="77" t="s">
        <v>114</v>
      </c>
      <c r="AC139" s="76">
        <v>20</v>
      </c>
      <c r="AD139" s="77" t="s">
        <v>114</v>
      </c>
      <c r="AE139" s="79">
        <v>23</v>
      </c>
      <c r="AF139" s="77" t="s">
        <v>114</v>
      </c>
      <c r="AG139" s="76">
        <v>21</v>
      </c>
      <c r="AH139" s="77" t="s">
        <v>114</v>
      </c>
      <c r="AI139" s="81">
        <v>502</v>
      </c>
      <c r="AJ139" s="24" t="s">
        <v>117</v>
      </c>
      <c r="AK139" s="25" t="s">
        <v>433</v>
      </c>
    </row>
    <row r="140" spans="1:37" ht="15" customHeight="1">
      <c r="A140" s="84">
        <v>225341</v>
      </c>
      <c r="B140" s="30" t="s">
        <v>289</v>
      </c>
      <c r="C140" s="83">
        <v>50</v>
      </c>
      <c r="D140" s="75" t="s">
        <v>114</v>
      </c>
      <c r="E140" s="76">
        <v>21</v>
      </c>
      <c r="F140" s="77" t="s">
        <v>114</v>
      </c>
      <c r="G140" s="76">
        <v>42</v>
      </c>
      <c r="H140" s="77" t="s">
        <v>114</v>
      </c>
      <c r="I140" s="78">
        <v>50</v>
      </c>
      <c r="J140" s="77" t="s">
        <v>114</v>
      </c>
      <c r="K140" s="76">
        <v>19</v>
      </c>
      <c r="L140" s="77" t="s">
        <v>114</v>
      </c>
      <c r="M140" s="76">
        <v>44</v>
      </c>
      <c r="N140" s="77" t="s">
        <v>114</v>
      </c>
      <c r="O140" s="79">
        <v>57</v>
      </c>
      <c r="P140" s="77" t="s">
        <v>114</v>
      </c>
      <c r="Q140" s="76">
        <v>21</v>
      </c>
      <c r="R140" s="77" t="s">
        <v>114</v>
      </c>
      <c r="S140" s="76">
        <v>22</v>
      </c>
      <c r="T140" s="77" t="s">
        <v>114</v>
      </c>
      <c r="U140" s="79">
        <v>62</v>
      </c>
      <c r="V140" s="77" t="s">
        <v>114</v>
      </c>
      <c r="W140" s="76">
        <v>21</v>
      </c>
      <c r="X140" s="77" t="s">
        <v>114</v>
      </c>
      <c r="Y140" s="79">
        <v>64</v>
      </c>
      <c r="Z140" s="77" t="s">
        <v>114</v>
      </c>
      <c r="AA140" s="76">
        <v>18</v>
      </c>
      <c r="AB140" s="77" t="s">
        <v>114</v>
      </c>
      <c r="AC140" s="76">
        <v>20</v>
      </c>
      <c r="AD140" s="77" t="s">
        <v>114</v>
      </c>
      <c r="AE140" s="79">
        <v>27</v>
      </c>
      <c r="AF140" s="77" t="s">
        <v>114</v>
      </c>
      <c r="AG140" s="76">
        <v>21</v>
      </c>
      <c r="AH140" s="77" t="s">
        <v>114</v>
      </c>
      <c r="AI140" s="81">
        <v>559</v>
      </c>
      <c r="AJ140" s="24" t="s">
        <v>117</v>
      </c>
      <c r="AK140" s="25" t="s">
        <v>434</v>
      </c>
    </row>
    <row r="141" spans="1:37" ht="15" customHeight="1">
      <c r="A141" s="84">
        <v>225342</v>
      </c>
      <c r="B141" s="30" t="s">
        <v>290</v>
      </c>
      <c r="C141" s="83">
        <v>52</v>
      </c>
      <c r="D141" s="75" t="s">
        <v>114</v>
      </c>
      <c r="E141" s="76">
        <v>23</v>
      </c>
      <c r="F141" s="77" t="s">
        <v>114</v>
      </c>
      <c r="G141" s="76">
        <v>42</v>
      </c>
      <c r="H141" s="77" t="s">
        <v>114</v>
      </c>
      <c r="I141" s="78">
        <v>58</v>
      </c>
      <c r="J141" s="77" t="s">
        <v>114</v>
      </c>
      <c r="K141" s="76">
        <v>21</v>
      </c>
      <c r="L141" s="77" t="s">
        <v>114</v>
      </c>
      <c r="M141" s="76">
        <v>40</v>
      </c>
      <c r="N141" s="77" t="s">
        <v>114</v>
      </c>
      <c r="O141" s="79">
        <v>63</v>
      </c>
      <c r="P141" s="77" t="s">
        <v>114</v>
      </c>
      <c r="Q141" s="76">
        <v>23</v>
      </c>
      <c r="R141" s="77" t="s">
        <v>114</v>
      </c>
      <c r="S141" s="76">
        <v>22</v>
      </c>
      <c r="T141" s="77" t="s">
        <v>114</v>
      </c>
      <c r="U141" s="79">
        <v>77</v>
      </c>
      <c r="V141" s="77" t="s">
        <v>114</v>
      </c>
      <c r="W141" s="76">
        <v>22</v>
      </c>
      <c r="X141" s="77" t="s">
        <v>114</v>
      </c>
      <c r="Y141" s="79">
        <v>67</v>
      </c>
      <c r="Z141" s="77" t="s">
        <v>114</v>
      </c>
      <c r="AA141" s="76">
        <v>21</v>
      </c>
      <c r="AB141" s="77" t="s">
        <v>114</v>
      </c>
      <c r="AC141" s="76">
        <v>19</v>
      </c>
      <c r="AD141" s="77" t="s">
        <v>114</v>
      </c>
      <c r="AE141" s="79">
        <v>27</v>
      </c>
      <c r="AF141" s="77" t="s">
        <v>114</v>
      </c>
      <c r="AG141" s="76">
        <v>22</v>
      </c>
      <c r="AH141" s="77" t="s">
        <v>114</v>
      </c>
      <c r="AI141" s="81">
        <v>599</v>
      </c>
      <c r="AJ141" s="24" t="s">
        <v>117</v>
      </c>
      <c r="AK141" s="25" t="s">
        <v>435</v>
      </c>
    </row>
    <row r="142" spans="1:37" ht="15" customHeight="1">
      <c r="A142" s="84">
        <v>225343</v>
      </c>
      <c r="B142" s="30" t="s">
        <v>291</v>
      </c>
      <c r="C142" s="83">
        <v>42</v>
      </c>
      <c r="D142" s="75" t="s">
        <v>114</v>
      </c>
      <c r="E142" s="76">
        <v>20</v>
      </c>
      <c r="F142" s="77" t="s">
        <v>114</v>
      </c>
      <c r="G142" s="76">
        <v>41</v>
      </c>
      <c r="H142" s="77" t="s">
        <v>114</v>
      </c>
      <c r="I142" s="78">
        <v>42</v>
      </c>
      <c r="J142" s="77" t="s">
        <v>114</v>
      </c>
      <c r="K142" s="76">
        <v>20</v>
      </c>
      <c r="L142" s="77" t="s">
        <v>114</v>
      </c>
      <c r="M142" s="76">
        <v>46</v>
      </c>
      <c r="N142" s="77" t="s">
        <v>114</v>
      </c>
      <c r="O142" s="79">
        <v>47</v>
      </c>
      <c r="P142" s="77" t="s">
        <v>114</v>
      </c>
      <c r="Q142" s="76">
        <v>20</v>
      </c>
      <c r="R142" s="77" t="s">
        <v>114</v>
      </c>
      <c r="S142" s="76">
        <v>21</v>
      </c>
      <c r="T142" s="77" t="s">
        <v>114</v>
      </c>
      <c r="U142" s="79">
        <v>49</v>
      </c>
      <c r="V142" s="77" t="s">
        <v>114</v>
      </c>
      <c r="W142" s="76">
        <v>20</v>
      </c>
      <c r="X142" s="77" t="s">
        <v>114</v>
      </c>
      <c r="Y142" s="79">
        <v>43</v>
      </c>
      <c r="Z142" s="77" t="s">
        <v>114</v>
      </c>
      <c r="AA142" s="76">
        <v>18</v>
      </c>
      <c r="AB142" s="77" t="s">
        <v>114</v>
      </c>
      <c r="AC142" s="76">
        <v>21</v>
      </c>
      <c r="AD142" s="77" t="s">
        <v>114</v>
      </c>
      <c r="AE142" s="79">
        <v>20</v>
      </c>
      <c r="AF142" s="77" t="s">
        <v>114</v>
      </c>
      <c r="AG142" s="76">
        <v>20</v>
      </c>
      <c r="AH142" s="77" t="s">
        <v>114</v>
      </c>
      <c r="AI142" s="81">
        <v>490</v>
      </c>
      <c r="AJ142" s="24" t="s">
        <v>117</v>
      </c>
      <c r="AK142" s="25" t="s">
        <v>112</v>
      </c>
    </row>
    <row r="143" spans="1:37" ht="15" customHeight="1">
      <c r="A143" s="84">
        <v>225344</v>
      </c>
      <c r="B143" s="30" t="s">
        <v>292</v>
      </c>
      <c r="C143" s="83">
        <v>40</v>
      </c>
      <c r="D143" s="75" t="s">
        <v>114</v>
      </c>
      <c r="E143" s="76">
        <v>20</v>
      </c>
      <c r="F143" s="77" t="s">
        <v>114</v>
      </c>
      <c r="G143" s="76">
        <v>40</v>
      </c>
      <c r="H143" s="77" t="s">
        <v>114</v>
      </c>
      <c r="I143" s="78">
        <v>60</v>
      </c>
      <c r="J143" s="77" t="s">
        <v>114</v>
      </c>
      <c r="K143" s="76">
        <v>20</v>
      </c>
      <c r="L143" s="77" t="s">
        <v>114</v>
      </c>
      <c r="M143" s="76">
        <v>42</v>
      </c>
      <c r="N143" s="77" t="s">
        <v>114</v>
      </c>
      <c r="O143" s="79">
        <v>52</v>
      </c>
      <c r="P143" s="77" t="s">
        <v>114</v>
      </c>
      <c r="Q143" s="76">
        <v>20</v>
      </c>
      <c r="R143" s="77" t="s">
        <v>114</v>
      </c>
      <c r="S143" s="76">
        <v>20</v>
      </c>
      <c r="T143" s="77" t="s">
        <v>114</v>
      </c>
      <c r="U143" s="79">
        <v>40</v>
      </c>
      <c r="V143" s="77" t="s">
        <v>114</v>
      </c>
      <c r="W143" s="76">
        <v>20</v>
      </c>
      <c r="X143" s="77" t="s">
        <v>114</v>
      </c>
      <c r="Y143" s="79">
        <v>44</v>
      </c>
      <c r="Z143" s="77" t="s">
        <v>114</v>
      </c>
      <c r="AA143" s="76">
        <v>20</v>
      </c>
      <c r="AB143" s="77" t="s">
        <v>114</v>
      </c>
      <c r="AC143" s="76">
        <v>20</v>
      </c>
      <c r="AD143" s="77" t="s">
        <v>114</v>
      </c>
      <c r="AE143" s="79">
        <v>37</v>
      </c>
      <c r="AF143" s="77" t="s">
        <v>114</v>
      </c>
      <c r="AG143" s="76">
        <v>20</v>
      </c>
      <c r="AH143" s="77" t="s">
        <v>114</v>
      </c>
      <c r="AI143" s="81">
        <v>515</v>
      </c>
      <c r="AJ143" s="24" t="s">
        <v>117</v>
      </c>
      <c r="AK143" s="25" t="s">
        <v>379</v>
      </c>
    </row>
    <row r="144" spans="1:37" ht="15" customHeight="1">
      <c r="A144" s="84">
        <v>225345</v>
      </c>
      <c r="B144" s="30" t="s">
        <v>293</v>
      </c>
      <c r="C144" s="83">
        <v>52</v>
      </c>
      <c r="D144" s="75" t="s">
        <v>114</v>
      </c>
      <c r="E144" s="76">
        <v>21</v>
      </c>
      <c r="F144" s="77" t="s">
        <v>114</v>
      </c>
      <c r="G144" s="76">
        <v>40</v>
      </c>
      <c r="H144" s="77" t="s">
        <v>114</v>
      </c>
      <c r="I144" s="78">
        <v>59</v>
      </c>
      <c r="J144" s="77" t="s">
        <v>114</v>
      </c>
      <c r="K144" s="76">
        <v>22</v>
      </c>
      <c r="L144" s="77" t="s">
        <v>114</v>
      </c>
      <c r="M144" s="76">
        <v>44</v>
      </c>
      <c r="N144" s="77" t="s">
        <v>114</v>
      </c>
      <c r="O144" s="79">
        <v>58</v>
      </c>
      <c r="P144" s="77" t="s">
        <v>114</v>
      </c>
      <c r="Q144" s="76">
        <v>21</v>
      </c>
      <c r="R144" s="77" t="s">
        <v>114</v>
      </c>
      <c r="S144" s="76">
        <v>20</v>
      </c>
      <c r="T144" s="77" t="s">
        <v>114</v>
      </c>
      <c r="U144" s="79">
        <v>60</v>
      </c>
      <c r="V144" s="77" t="s">
        <v>114</v>
      </c>
      <c r="W144" s="76">
        <v>21</v>
      </c>
      <c r="X144" s="77" t="s">
        <v>114</v>
      </c>
      <c r="Y144" s="79">
        <v>62</v>
      </c>
      <c r="Z144" s="77" t="s">
        <v>114</v>
      </c>
      <c r="AA144" s="76">
        <v>22</v>
      </c>
      <c r="AB144" s="77" t="s">
        <v>114</v>
      </c>
      <c r="AC144" s="76">
        <v>17</v>
      </c>
      <c r="AD144" s="77" t="s">
        <v>114</v>
      </c>
      <c r="AE144" s="79">
        <v>28</v>
      </c>
      <c r="AF144" s="77" t="s">
        <v>114</v>
      </c>
      <c r="AG144" s="76">
        <v>22</v>
      </c>
      <c r="AH144" s="77" t="s">
        <v>114</v>
      </c>
      <c r="AI144" s="81">
        <v>569</v>
      </c>
      <c r="AJ144" s="24" t="s">
        <v>117</v>
      </c>
      <c r="AK144" s="25" t="s">
        <v>436</v>
      </c>
    </row>
    <row r="145" spans="1:37" ht="15" customHeight="1">
      <c r="A145" s="84">
        <v>225346</v>
      </c>
      <c r="B145" s="30" t="s">
        <v>294</v>
      </c>
      <c r="C145" s="83">
        <v>44</v>
      </c>
      <c r="D145" s="75" t="s">
        <v>113</v>
      </c>
      <c r="E145" s="76">
        <v>21</v>
      </c>
      <c r="F145" s="77" t="s">
        <v>113</v>
      </c>
      <c r="G145" s="76">
        <v>40</v>
      </c>
      <c r="H145" s="77" t="s">
        <v>113</v>
      </c>
      <c r="I145" s="78">
        <v>28</v>
      </c>
      <c r="J145" s="77" t="s">
        <v>110</v>
      </c>
      <c r="K145" s="76">
        <v>21</v>
      </c>
      <c r="L145" s="77" t="s">
        <v>113</v>
      </c>
      <c r="M145" s="76">
        <v>42</v>
      </c>
      <c r="N145" s="77" t="s">
        <v>113</v>
      </c>
      <c r="O145" s="79">
        <v>60</v>
      </c>
      <c r="P145" s="77" t="s">
        <v>113</v>
      </c>
      <c r="Q145" s="76">
        <v>21</v>
      </c>
      <c r="R145" s="77" t="s">
        <v>113</v>
      </c>
      <c r="S145" s="76">
        <v>20</v>
      </c>
      <c r="T145" s="77" t="s">
        <v>113</v>
      </c>
      <c r="U145" s="79">
        <v>46</v>
      </c>
      <c r="V145" s="77" t="s">
        <v>113</v>
      </c>
      <c r="W145" s="76">
        <v>18</v>
      </c>
      <c r="X145" s="77" t="s">
        <v>113</v>
      </c>
      <c r="Y145" s="79">
        <v>42</v>
      </c>
      <c r="Z145" s="77" t="s">
        <v>113</v>
      </c>
      <c r="AA145" s="76">
        <v>21</v>
      </c>
      <c r="AB145" s="77" t="s">
        <v>113</v>
      </c>
      <c r="AC145" s="76">
        <v>19</v>
      </c>
      <c r="AD145" s="77" t="s">
        <v>113</v>
      </c>
      <c r="AE145" s="79">
        <v>29</v>
      </c>
      <c r="AF145" s="77" t="s">
        <v>113</v>
      </c>
      <c r="AG145" s="76">
        <v>22</v>
      </c>
      <c r="AH145" s="77" t="s">
        <v>113</v>
      </c>
      <c r="AI145" s="81">
        <v>494</v>
      </c>
      <c r="AJ145" s="24" t="s">
        <v>111</v>
      </c>
      <c r="AK145" s="25" t="s">
        <v>361</v>
      </c>
    </row>
    <row r="146" spans="1:37" ht="15" customHeight="1">
      <c r="A146" s="84">
        <v>225347</v>
      </c>
      <c r="B146" s="30" t="s">
        <v>295</v>
      </c>
      <c r="C146" s="83">
        <v>60</v>
      </c>
      <c r="D146" s="75" t="s">
        <v>114</v>
      </c>
      <c r="E146" s="76">
        <v>21</v>
      </c>
      <c r="F146" s="77" t="s">
        <v>114</v>
      </c>
      <c r="G146" s="76">
        <v>42</v>
      </c>
      <c r="H146" s="77" t="s">
        <v>114</v>
      </c>
      <c r="I146" s="78">
        <v>45</v>
      </c>
      <c r="J146" s="77" t="s">
        <v>114</v>
      </c>
      <c r="K146" s="76">
        <v>21</v>
      </c>
      <c r="L146" s="77" t="s">
        <v>114</v>
      </c>
      <c r="M146" s="76">
        <v>36</v>
      </c>
      <c r="N146" s="77" t="s">
        <v>114</v>
      </c>
      <c r="O146" s="79">
        <v>50</v>
      </c>
      <c r="P146" s="77" t="s">
        <v>114</v>
      </c>
      <c r="Q146" s="76">
        <v>21</v>
      </c>
      <c r="R146" s="77" t="s">
        <v>114</v>
      </c>
      <c r="S146" s="76">
        <v>22</v>
      </c>
      <c r="T146" s="77" t="s">
        <v>114</v>
      </c>
      <c r="U146" s="79">
        <v>58</v>
      </c>
      <c r="V146" s="77" t="s">
        <v>114</v>
      </c>
      <c r="W146" s="76">
        <v>21</v>
      </c>
      <c r="X146" s="77" t="s">
        <v>114</v>
      </c>
      <c r="Y146" s="79">
        <v>51</v>
      </c>
      <c r="Z146" s="77" t="s">
        <v>114</v>
      </c>
      <c r="AA146" s="76">
        <v>19</v>
      </c>
      <c r="AB146" s="77" t="s">
        <v>114</v>
      </c>
      <c r="AC146" s="76">
        <v>20</v>
      </c>
      <c r="AD146" s="77" t="s">
        <v>114</v>
      </c>
      <c r="AE146" s="79">
        <v>26</v>
      </c>
      <c r="AF146" s="77" t="s">
        <v>114</v>
      </c>
      <c r="AG146" s="76">
        <v>21</v>
      </c>
      <c r="AH146" s="77" t="s">
        <v>114</v>
      </c>
      <c r="AI146" s="81">
        <v>534</v>
      </c>
      <c r="AJ146" s="24" t="s">
        <v>117</v>
      </c>
      <c r="AK146" s="25" t="s">
        <v>374</v>
      </c>
    </row>
    <row r="147" spans="1:37" ht="15" customHeight="1">
      <c r="A147" s="84">
        <v>225348</v>
      </c>
      <c r="B147" s="30" t="s">
        <v>296</v>
      </c>
      <c r="C147" s="83">
        <v>63</v>
      </c>
      <c r="D147" s="75" t="s">
        <v>114</v>
      </c>
      <c r="E147" s="76">
        <v>19</v>
      </c>
      <c r="F147" s="77" t="s">
        <v>114</v>
      </c>
      <c r="G147" s="76">
        <v>42</v>
      </c>
      <c r="H147" s="77" t="s">
        <v>114</v>
      </c>
      <c r="I147" s="78">
        <v>44</v>
      </c>
      <c r="J147" s="77" t="s">
        <v>114</v>
      </c>
      <c r="K147" s="76">
        <v>19</v>
      </c>
      <c r="L147" s="77" t="s">
        <v>114</v>
      </c>
      <c r="M147" s="76">
        <v>36</v>
      </c>
      <c r="N147" s="77" t="s">
        <v>114</v>
      </c>
      <c r="O147" s="79">
        <v>49</v>
      </c>
      <c r="P147" s="77" t="s">
        <v>114</v>
      </c>
      <c r="Q147" s="76">
        <v>19</v>
      </c>
      <c r="R147" s="77" t="s">
        <v>114</v>
      </c>
      <c r="S147" s="76">
        <v>22</v>
      </c>
      <c r="T147" s="77" t="s">
        <v>114</v>
      </c>
      <c r="U147" s="79">
        <v>53</v>
      </c>
      <c r="V147" s="77" t="s">
        <v>114</v>
      </c>
      <c r="W147" s="76">
        <v>19</v>
      </c>
      <c r="X147" s="77" t="s">
        <v>114</v>
      </c>
      <c r="Y147" s="79">
        <v>57</v>
      </c>
      <c r="Z147" s="77" t="s">
        <v>114</v>
      </c>
      <c r="AA147" s="76">
        <v>19</v>
      </c>
      <c r="AB147" s="77" t="s">
        <v>114</v>
      </c>
      <c r="AC147" s="76">
        <v>17</v>
      </c>
      <c r="AD147" s="77" t="s">
        <v>114</v>
      </c>
      <c r="AE147" s="79">
        <v>27</v>
      </c>
      <c r="AF147" s="77" t="s">
        <v>114</v>
      </c>
      <c r="AG147" s="76">
        <v>18</v>
      </c>
      <c r="AH147" s="77" t="s">
        <v>114</v>
      </c>
      <c r="AI147" s="81">
        <v>523</v>
      </c>
      <c r="AJ147" s="24" t="s">
        <v>117</v>
      </c>
      <c r="AK147" s="25" t="s">
        <v>408</v>
      </c>
    </row>
    <row r="148" spans="1:37" ht="15" customHeight="1">
      <c r="A148" s="84">
        <v>225349</v>
      </c>
      <c r="B148" s="30" t="s">
        <v>297</v>
      </c>
      <c r="C148" s="83">
        <v>60</v>
      </c>
      <c r="D148" s="75" t="s">
        <v>114</v>
      </c>
      <c r="E148" s="76">
        <v>20</v>
      </c>
      <c r="F148" s="77" t="s">
        <v>114</v>
      </c>
      <c r="G148" s="76">
        <v>41</v>
      </c>
      <c r="H148" s="77" t="s">
        <v>114</v>
      </c>
      <c r="I148" s="78">
        <v>52</v>
      </c>
      <c r="J148" s="77" t="s">
        <v>114</v>
      </c>
      <c r="K148" s="76">
        <v>22</v>
      </c>
      <c r="L148" s="77" t="s">
        <v>114</v>
      </c>
      <c r="M148" s="76">
        <v>40</v>
      </c>
      <c r="N148" s="77" t="s">
        <v>114</v>
      </c>
      <c r="O148" s="79">
        <v>53</v>
      </c>
      <c r="P148" s="77" t="s">
        <v>114</v>
      </c>
      <c r="Q148" s="76">
        <v>20</v>
      </c>
      <c r="R148" s="77" t="s">
        <v>114</v>
      </c>
      <c r="S148" s="76">
        <v>21</v>
      </c>
      <c r="T148" s="77" t="s">
        <v>114</v>
      </c>
      <c r="U148" s="79">
        <v>65</v>
      </c>
      <c r="V148" s="77" t="s">
        <v>114</v>
      </c>
      <c r="W148" s="76">
        <v>20</v>
      </c>
      <c r="X148" s="77" t="s">
        <v>114</v>
      </c>
      <c r="Y148" s="79">
        <v>51</v>
      </c>
      <c r="Z148" s="77" t="s">
        <v>114</v>
      </c>
      <c r="AA148" s="76">
        <v>22</v>
      </c>
      <c r="AB148" s="77" t="s">
        <v>114</v>
      </c>
      <c r="AC148" s="76">
        <v>17</v>
      </c>
      <c r="AD148" s="77" t="s">
        <v>114</v>
      </c>
      <c r="AE148" s="79">
        <v>26</v>
      </c>
      <c r="AF148" s="77" t="s">
        <v>114</v>
      </c>
      <c r="AG148" s="76">
        <v>23</v>
      </c>
      <c r="AH148" s="77" t="s">
        <v>114</v>
      </c>
      <c r="AI148" s="81">
        <v>553</v>
      </c>
      <c r="AJ148" s="24" t="s">
        <v>117</v>
      </c>
      <c r="AK148" s="25" t="s">
        <v>437</v>
      </c>
    </row>
    <row r="149" spans="1:37" ht="15" customHeight="1">
      <c r="A149" s="84">
        <v>225350</v>
      </c>
      <c r="B149" s="30" t="s">
        <v>298</v>
      </c>
      <c r="C149" s="83">
        <v>61</v>
      </c>
      <c r="D149" s="75" t="s">
        <v>114</v>
      </c>
      <c r="E149" s="76">
        <v>23</v>
      </c>
      <c r="F149" s="77" t="s">
        <v>114</v>
      </c>
      <c r="G149" s="76">
        <v>42</v>
      </c>
      <c r="H149" s="77" t="s">
        <v>114</v>
      </c>
      <c r="I149" s="78">
        <v>46</v>
      </c>
      <c r="J149" s="77" t="s">
        <v>114</v>
      </c>
      <c r="K149" s="76">
        <v>23</v>
      </c>
      <c r="L149" s="77" t="s">
        <v>114</v>
      </c>
      <c r="M149" s="76">
        <v>44</v>
      </c>
      <c r="N149" s="77" t="s">
        <v>114</v>
      </c>
      <c r="O149" s="79">
        <v>44</v>
      </c>
      <c r="P149" s="77" t="s">
        <v>114</v>
      </c>
      <c r="Q149" s="76">
        <v>23</v>
      </c>
      <c r="R149" s="77" t="s">
        <v>114</v>
      </c>
      <c r="S149" s="76">
        <v>22</v>
      </c>
      <c r="T149" s="77" t="s">
        <v>114</v>
      </c>
      <c r="U149" s="79">
        <v>66</v>
      </c>
      <c r="V149" s="77" t="s">
        <v>114</v>
      </c>
      <c r="W149" s="76">
        <v>23</v>
      </c>
      <c r="X149" s="77" t="s">
        <v>114</v>
      </c>
      <c r="Y149" s="79">
        <v>55</v>
      </c>
      <c r="Z149" s="77" t="s">
        <v>114</v>
      </c>
      <c r="AA149" s="76">
        <v>23</v>
      </c>
      <c r="AB149" s="77" t="s">
        <v>114</v>
      </c>
      <c r="AC149" s="76">
        <v>18</v>
      </c>
      <c r="AD149" s="77" t="s">
        <v>114</v>
      </c>
      <c r="AE149" s="79">
        <v>25</v>
      </c>
      <c r="AF149" s="77" t="s">
        <v>114</v>
      </c>
      <c r="AG149" s="76">
        <v>22</v>
      </c>
      <c r="AH149" s="77" t="s">
        <v>114</v>
      </c>
      <c r="AI149" s="81">
        <v>560</v>
      </c>
      <c r="AJ149" s="24" t="s">
        <v>117</v>
      </c>
      <c r="AK149" s="25" t="s">
        <v>425</v>
      </c>
    </row>
    <row r="150" spans="1:37" ht="15" customHeight="1">
      <c r="A150" s="84">
        <v>225351</v>
      </c>
      <c r="B150" s="30" t="s">
        <v>299</v>
      </c>
      <c r="C150" s="83">
        <v>47</v>
      </c>
      <c r="D150" s="75" t="s">
        <v>114</v>
      </c>
      <c r="E150" s="76">
        <v>21</v>
      </c>
      <c r="F150" s="77" t="s">
        <v>114</v>
      </c>
      <c r="G150" s="76">
        <v>43</v>
      </c>
      <c r="H150" s="77" t="s">
        <v>114</v>
      </c>
      <c r="I150" s="78">
        <v>43</v>
      </c>
      <c r="J150" s="77" t="s">
        <v>114</v>
      </c>
      <c r="K150" s="76">
        <v>23</v>
      </c>
      <c r="L150" s="77" t="s">
        <v>114</v>
      </c>
      <c r="M150" s="76">
        <v>46</v>
      </c>
      <c r="N150" s="77" t="s">
        <v>114</v>
      </c>
      <c r="O150" s="79">
        <v>47</v>
      </c>
      <c r="P150" s="77" t="s">
        <v>114</v>
      </c>
      <c r="Q150" s="76">
        <v>21</v>
      </c>
      <c r="R150" s="77" t="s">
        <v>114</v>
      </c>
      <c r="S150" s="76">
        <v>23</v>
      </c>
      <c r="T150" s="77" t="s">
        <v>114</v>
      </c>
      <c r="U150" s="79">
        <v>49</v>
      </c>
      <c r="V150" s="77" t="s">
        <v>114</v>
      </c>
      <c r="W150" s="76">
        <v>21</v>
      </c>
      <c r="X150" s="77" t="s">
        <v>114</v>
      </c>
      <c r="Y150" s="79">
        <v>41</v>
      </c>
      <c r="Z150" s="77" t="s">
        <v>114</v>
      </c>
      <c r="AA150" s="76">
        <v>23</v>
      </c>
      <c r="AB150" s="77" t="s">
        <v>114</v>
      </c>
      <c r="AC150" s="76">
        <v>18</v>
      </c>
      <c r="AD150" s="77" t="s">
        <v>114</v>
      </c>
      <c r="AE150" s="79">
        <v>23</v>
      </c>
      <c r="AF150" s="77" t="s">
        <v>114</v>
      </c>
      <c r="AG150" s="76">
        <v>21</v>
      </c>
      <c r="AH150" s="77" t="s">
        <v>114</v>
      </c>
      <c r="AI150" s="81">
        <v>510</v>
      </c>
      <c r="AJ150" s="24" t="s">
        <v>117</v>
      </c>
      <c r="AK150" s="25" t="s">
        <v>438</v>
      </c>
    </row>
    <row r="151" spans="1:37" ht="15" customHeight="1">
      <c r="A151" s="84">
        <v>225352</v>
      </c>
      <c r="B151" s="30" t="s">
        <v>300</v>
      </c>
      <c r="C151" s="83">
        <v>46</v>
      </c>
      <c r="D151" s="75" t="s">
        <v>114</v>
      </c>
      <c r="E151" s="76">
        <v>21</v>
      </c>
      <c r="F151" s="77" t="s">
        <v>114</v>
      </c>
      <c r="G151" s="76">
        <v>40</v>
      </c>
      <c r="H151" s="77" t="s">
        <v>114</v>
      </c>
      <c r="I151" s="78">
        <v>40</v>
      </c>
      <c r="J151" s="77" t="s">
        <v>114</v>
      </c>
      <c r="K151" s="76">
        <v>19</v>
      </c>
      <c r="L151" s="77" t="s">
        <v>114</v>
      </c>
      <c r="M151" s="76">
        <v>42</v>
      </c>
      <c r="N151" s="77" t="s">
        <v>114</v>
      </c>
      <c r="O151" s="79">
        <v>59</v>
      </c>
      <c r="P151" s="77" t="s">
        <v>114</v>
      </c>
      <c r="Q151" s="76">
        <v>21</v>
      </c>
      <c r="R151" s="77" t="s">
        <v>114</v>
      </c>
      <c r="S151" s="76">
        <v>20</v>
      </c>
      <c r="T151" s="77" t="s">
        <v>114</v>
      </c>
      <c r="U151" s="79">
        <v>62</v>
      </c>
      <c r="V151" s="77" t="s">
        <v>114</v>
      </c>
      <c r="W151" s="76">
        <v>21</v>
      </c>
      <c r="X151" s="77" t="s">
        <v>114</v>
      </c>
      <c r="Y151" s="79">
        <v>40</v>
      </c>
      <c r="Z151" s="77" t="s">
        <v>114</v>
      </c>
      <c r="AA151" s="76">
        <v>19</v>
      </c>
      <c r="AB151" s="77" t="s">
        <v>114</v>
      </c>
      <c r="AC151" s="76">
        <v>15</v>
      </c>
      <c r="AD151" s="77" t="s">
        <v>114</v>
      </c>
      <c r="AE151" s="79">
        <v>23</v>
      </c>
      <c r="AF151" s="77" t="s">
        <v>114</v>
      </c>
      <c r="AG151" s="76">
        <v>23</v>
      </c>
      <c r="AH151" s="77" t="s">
        <v>114</v>
      </c>
      <c r="AI151" s="81">
        <v>511</v>
      </c>
      <c r="AJ151" s="24" t="s">
        <v>117</v>
      </c>
      <c r="AK151" s="25" t="s">
        <v>439</v>
      </c>
    </row>
    <row r="152" spans="1:37" ht="15" customHeight="1">
      <c r="A152" s="84">
        <v>225353</v>
      </c>
      <c r="B152" s="30" t="s">
        <v>301</v>
      </c>
      <c r="C152" s="83">
        <v>67</v>
      </c>
      <c r="D152" s="75" t="s">
        <v>114</v>
      </c>
      <c r="E152" s="76">
        <v>22</v>
      </c>
      <c r="F152" s="77" t="s">
        <v>114</v>
      </c>
      <c r="G152" s="76">
        <v>42</v>
      </c>
      <c r="H152" s="77" t="s">
        <v>114</v>
      </c>
      <c r="I152" s="78">
        <v>46</v>
      </c>
      <c r="J152" s="77" t="s">
        <v>114</v>
      </c>
      <c r="K152" s="76">
        <v>23</v>
      </c>
      <c r="L152" s="77" t="s">
        <v>114</v>
      </c>
      <c r="M152" s="76">
        <v>46</v>
      </c>
      <c r="N152" s="77" t="s">
        <v>114</v>
      </c>
      <c r="O152" s="79">
        <v>58</v>
      </c>
      <c r="P152" s="77" t="s">
        <v>114</v>
      </c>
      <c r="Q152" s="76">
        <v>22</v>
      </c>
      <c r="R152" s="77" t="s">
        <v>114</v>
      </c>
      <c r="S152" s="76">
        <v>22</v>
      </c>
      <c r="T152" s="77" t="s">
        <v>114</v>
      </c>
      <c r="U152" s="79">
        <v>71</v>
      </c>
      <c r="V152" s="77" t="s">
        <v>114</v>
      </c>
      <c r="W152" s="76">
        <v>23</v>
      </c>
      <c r="X152" s="77" t="s">
        <v>114</v>
      </c>
      <c r="Y152" s="79">
        <v>71</v>
      </c>
      <c r="Z152" s="77" t="s">
        <v>114</v>
      </c>
      <c r="AA152" s="76">
        <v>23</v>
      </c>
      <c r="AB152" s="77" t="s">
        <v>114</v>
      </c>
      <c r="AC152" s="76">
        <v>20</v>
      </c>
      <c r="AD152" s="77" t="s">
        <v>114</v>
      </c>
      <c r="AE152" s="79">
        <v>29</v>
      </c>
      <c r="AF152" s="77" t="s">
        <v>114</v>
      </c>
      <c r="AG152" s="76">
        <v>20</v>
      </c>
      <c r="AH152" s="77" t="s">
        <v>114</v>
      </c>
      <c r="AI152" s="81">
        <v>605</v>
      </c>
      <c r="AJ152" s="24" t="s">
        <v>117</v>
      </c>
      <c r="AK152" s="25" t="s">
        <v>440</v>
      </c>
    </row>
    <row r="153" spans="1:37" ht="15" customHeight="1">
      <c r="A153" s="84">
        <v>225354</v>
      </c>
      <c r="B153" s="30" t="s">
        <v>302</v>
      </c>
      <c r="C153" s="83">
        <v>40</v>
      </c>
      <c r="D153" s="75" t="s">
        <v>114</v>
      </c>
      <c r="E153" s="76">
        <v>20</v>
      </c>
      <c r="F153" s="77" t="s">
        <v>114</v>
      </c>
      <c r="G153" s="76">
        <v>40</v>
      </c>
      <c r="H153" s="77" t="s">
        <v>114</v>
      </c>
      <c r="I153" s="78">
        <v>40</v>
      </c>
      <c r="J153" s="77" t="s">
        <v>114</v>
      </c>
      <c r="K153" s="76">
        <v>16</v>
      </c>
      <c r="L153" s="77" t="s">
        <v>114</v>
      </c>
      <c r="M153" s="76">
        <v>38</v>
      </c>
      <c r="N153" s="77" t="s">
        <v>114</v>
      </c>
      <c r="O153" s="79">
        <v>41</v>
      </c>
      <c r="P153" s="77" t="s">
        <v>114</v>
      </c>
      <c r="Q153" s="76">
        <v>20</v>
      </c>
      <c r="R153" s="77" t="s">
        <v>114</v>
      </c>
      <c r="S153" s="76">
        <v>20</v>
      </c>
      <c r="T153" s="77" t="s">
        <v>114</v>
      </c>
      <c r="U153" s="79">
        <v>52</v>
      </c>
      <c r="V153" s="77" t="s">
        <v>114</v>
      </c>
      <c r="W153" s="76">
        <v>20</v>
      </c>
      <c r="X153" s="77" t="s">
        <v>114</v>
      </c>
      <c r="Y153" s="79">
        <v>40</v>
      </c>
      <c r="Z153" s="77" t="s">
        <v>114</v>
      </c>
      <c r="AA153" s="76">
        <v>17</v>
      </c>
      <c r="AB153" s="77" t="s">
        <v>114</v>
      </c>
      <c r="AC153" s="76">
        <v>20</v>
      </c>
      <c r="AD153" s="77" t="s">
        <v>114</v>
      </c>
      <c r="AE153" s="79">
        <v>24</v>
      </c>
      <c r="AF153" s="77" t="s">
        <v>114</v>
      </c>
      <c r="AG153" s="76">
        <v>20</v>
      </c>
      <c r="AH153" s="77" t="s">
        <v>114</v>
      </c>
      <c r="AI153" s="81">
        <v>468</v>
      </c>
      <c r="AJ153" s="24" t="s">
        <v>117</v>
      </c>
      <c r="AK153" s="25" t="s">
        <v>415</v>
      </c>
    </row>
    <row r="154" spans="1:37" ht="15" customHeight="1">
      <c r="A154" s="84">
        <v>225355</v>
      </c>
      <c r="B154" s="30" t="s">
        <v>303</v>
      </c>
      <c r="C154" s="83">
        <v>50</v>
      </c>
      <c r="D154" s="75" t="s">
        <v>114</v>
      </c>
      <c r="E154" s="76">
        <v>20</v>
      </c>
      <c r="F154" s="77" t="s">
        <v>114</v>
      </c>
      <c r="G154" s="76">
        <v>42</v>
      </c>
      <c r="H154" s="77" t="s">
        <v>114</v>
      </c>
      <c r="I154" s="78">
        <v>41</v>
      </c>
      <c r="J154" s="77" t="s">
        <v>114</v>
      </c>
      <c r="K154" s="76">
        <v>21</v>
      </c>
      <c r="L154" s="77" t="s">
        <v>114</v>
      </c>
      <c r="M154" s="76">
        <v>44</v>
      </c>
      <c r="N154" s="77" t="s">
        <v>114</v>
      </c>
      <c r="O154" s="79">
        <v>50</v>
      </c>
      <c r="P154" s="77" t="s">
        <v>114</v>
      </c>
      <c r="Q154" s="76">
        <v>20</v>
      </c>
      <c r="R154" s="77" t="s">
        <v>114</v>
      </c>
      <c r="S154" s="76">
        <v>22</v>
      </c>
      <c r="T154" s="77" t="s">
        <v>114</v>
      </c>
      <c r="U154" s="79">
        <v>50</v>
      </c>
      <c r="V154" s="77" t="s">
        <v>114</v>
      </c>
      <c r="W154" s="76">
        <v>16</v>
      </c>
      <c r="X154" s="77" t="s">
        <v>114</v>
      </c>
      <c r="Y154" s="79">
        <v>54</v>
      </c>
      <c r="Z154" s="77" t="s">
        <v>114</v>
      </c>
      <c r="AA154" s="76">
        <v>21</v>
      </c>
      <c r="AB154" s="77" t="s">
        <v>114</v>
      </c>
      <c r="AC154" s="76">
        <v>16</v>
      </c>
      <c r="AD154" s="77" t="s">
        <v>114</v>
      </c>
      <c r="AE154" s="79">
        <v>27</v>
      </c>
      <c r="AF154" s="77" t="s">
        <v>114</v>
      </c>
      <c r="AG154" s="76">
        <v>19</v>
      </c>
      <c r="AH154" s="77" t="s">
        <v>114</v>
      </c>
      <c r="AI154" s="81">
        <v>513</v>
      </c>
      <c r="AJ154" s="24" t="s">
        <v>117</v>
      </c>
      <c r="AK154" s="25" t="s">
        <v>368</v>
      </c>
    </row>
    <row r="155" spans="1:37" ht="15" customHeight="1">
      <c r="A155" s="84">
        <v>225356</v>
      </c>
      <c r="B155" s="30" t="s">
        <v>304</v>
      </c>
      <c r="C155" s="83">
        <v>60</v>
      </c>
      <c r="D155" s="75" t="s">
        <v>114</v>
      </c>
      <c r="E155" s="76">
        <v>21</v>
      </c>
      <c r="F155" s="77" t="s">
        <v>114</v>
      </c>
      <c r="G155" s="76">
        <v>43</v>
      </c>
      <c r="H155" s="77" t="s">
        <v>114</v>
      </c>
      <c r="I155" s="78">
        <v>48</v>
      </c>
      <c r="J155" s="77" t="s">
        <v>114</v>
      </c>
      <c r="K155" s="76">
        <v>20</v>
      </c>
      <c r="L155" s="77" t="s">
        <v>114</v>
      </c>
      <c r="M155" s="76">
        <v>42</v>
      </c>
      <c r="N155" s="77" t="s">
        <v>114</v>
      </c>
      <c r="O155" s="79">
        <v>60</v>
      </c>
      <c r="P155" s="77" t="s">
        <v>114</v>
      </c>
      <c r="Q155" s="76">
        <v>21</v>
      </c>
      <c r="R155" s="77" t="s">
        <v>114</v>
      </c>
      <c r="S155" s="76">
        <v>23</v>
      </c>
      <c r="T155" s="77" t="s">
        <v>114</v>
      </c>
      <c r="U155" s="79">
        <v>40</v>
      </c>
      <c r="V155" s="77" t="s">
        <v>114</v>
      </c>
      <c r="W155" s="76">
        <v>16</v>
      </c>
      <c r="X155" s="77" t="s">
        <v>114</v>
      </c>
      <c r="Y155" s="79">
        <v>52</v>
      </c>
      <c r="Z155" s="77" t="s">
        <v>114</v>
      </c>
      <c r="AA155" s="76">
        <v>20</v>
      </c>
      <c r="AB155" s="77" t="s">
        <v>114</v>
      </c>
      <c r="AC155" s="76">
        <v>16</v>
      </c>
      <c r="AD155" s="77" t="s">
        <v>114</v>
      </c>
      <c r="AE155" s="79">
        <v>28</v>
      </c>
      <c r="AF155" s="77" t="s">
        <v>114</v>
      </c>
      <c r="AG155" s="76">
        <v>18</v>
      </c>
      <c r="AH155" s="77" t="s">
        <v>114</v>
      </c>
      <c r="AI155" s="81">
        <v>528</v>
      </c>
      <c r="AJ155" s="24" t="s">
        <v>117</v>
      </c>
      <c r="AK155" s="25" t="s">
        <v>431</v>
      </c>
    </row>
    <row r="156" spans="1:37" ht="15" customHeight="1">
      <c r="A156" s="84">
        <v>225357</v>
      </c>
      <c r="B156" s="30" t="s">
        <v>305</v>
      </c>
      <c r="C156" s="83">
        <v>52</v>
      </c>
      <c r="D156" s="75" t="s">
        <v>114</v>
      </c>
      <c r="E156" s="76">
        <v>21</v>
      </c>
      <c r="F156" s="77" t="s">
        <v>114</v>
      </c>
      <c r="G156" s="76">
        <v>40</v>
      </c>
      <c r="H156" s="77" t="s">
        <v>114</v>
      </c>
      <c r="I156" s="78">
        <v>46</v>
      </c>
      <c r="J156" s="77" t="s">
        <v>114</v>
      </c>
      <c r="K156" s="76">
        <v>22</v>
      </c>
      <c r="L156" s="77" t="s">
        <v>114</v>
      </c>
      <c r="M156" s="76">
        <v>44</v>
      </c>
      <c r="N156" s="77" t="s">
        <v>114</v>
      </c>
      <c r="O156" s="79">
        <v>63</v>
      </c>
      <c r="P156" s="77" t="s">
        <v>114</v>
      </c>
      <c r="Q156" s="76">
        <v>21</v>
      </c>
      <c r="R156" s="77" t="s">
        <v>114</v>
      </c>
      <c r="S156" s="76">
        <v>20</v>
      </c>
      <c r="T156" s="77" t="s">
        <v>114</v>
      </c>
      <c r="U156" s="79">
        <v>44</v>
      </c>
      <c r="V156" s="77" t="s">
        <v>114</v>
      </c>
      <c r="W156" s="76">
        <v>21</v>
      </c>
      <c r="X156" s="77" t="s">
        <v>114</v>
      </c>
      <c r="Y156" s="79">
        <v>44</v>
      </c>
      <c r="Z156" s="77" t="s">
        <v>114</v>
      </c>
      <c r="AA156" s="76">
        <v>22</v>
      </c>
      <c r="AB156" s="77" t="s">
        <v>114</v>
      </c>
      <c r="AC156" s="76">
        <v>20</v>
      </c>
      <c r="AD156" s="77" t="s">
        <v>114</v>
      </c>
      <c r="AE156" s="79">
        <v>28</v>
      </c>
      <c r="AF156" s="77" t="s">
        <v>114</v>
      </c>
      <c r="AG156" s="76">
        <v>23</v>
      </c>
      <c r="AH156" s="77" t="s">
        <v>114</v>
      </c>
      <c r="AI156" s="81">
        <v>531</v>
      </c>
      <c r="AJ156" s="24" t="s">
        <v>117</v>
      </c>
      <c r="AK156" s="25" t="s">
        <v>441</v>
      </c>
    </row>
    <row r="157" spans="1:37" ht="15" customHeight="1">
      <c r="A157" s="84">
        <v>225358</v>
      </c>
      <c r="B157" s="30" t="s">
        <v>306</v>
      </c>
      <c r="C157" s="83">
        <v>52</v>
      </c>
      <c r="D157" s="75" t="s">
        <v>114</v>
      </c>
      <c r="E157" s="76">
        <v>21</v>
      </c>
      <c r="F157" s="77" t="s">
        <v>114</v>
      </c>
      <c r="G157" s="76">
        <v>42</v>
      </c>
      <c r="H157" s="77" t="s">
        <v>114</v>
      </c>
      <c r="I157" s="78">
        <v>49</v>
      </c>
      <c r="J157" s="77" t="s">
        <v>114</v>
      </c>
      <c r="K157" s="76">
        <v>16</v>
      </c>
      <c r="L157" s="77" t="s">
        <v>114</v>
      </c>
      <c r="M157" s="76">
        <v>42</v>
      </c>
      <c r="N157" s="77" t="s">
        <v>114</v>
      </c>
      <c r="O157" s="79">
        <v>44</v>
      </c>
      <c r="P157" s="77" t="s">
        <v>114</v>
      </c>
      <c r="Q157" s="76">
        <v>21</v>
      </c>
      <c r="R157" s="77" t="s">
        <v>114</v>
      </c>
      <c r="S157" s="76">
        <v>22</v>
      </c>
      <c r="T157" s="77" t="s">
        <v>114</v>
      </c>
      <c r="U157" s="79">
        <v>54</v>
      </c>
      <c r="V157" s="77" t="s">
        <v>114</v>
      </c>
      <c r="W157" s="76">
        <v>21</v>
      </c>
      <c r="X157" s="77" t="s">
        <v>114</v>
      </c>
      <c r="Y157" s="79">
        <v>46</v>
      </c>
      <c r="Z157" s="77" t="s">
        <v>114</v>
      </c>
      <c r="AA157" s="76">
        <v>15</v>
      </c>
      <c r="AB157" s="77" t="s">
        <v>114</v>
      </c>
      <c r="AC157" s="76">
        <v>17</v>
      </c>
      <c r="AD157" s="77" t="s">
        <v>114</v>
      </c>
      <c r="AE157" s="79">
        <v>22</v>
      </c>
      <c r="AF157" s="77" t="s">
        <v>114</v>
      </c>
      <c r="AG157" s="76">
        <v>20</v>
      </c>
      <c r="AH157" s="77" t="s">
        <v>114</v>
      </c>
      <c r="AI157" s="81">
        <v>504</v>
      </c>
      <c r="AJ157" s="24" t="s">
        <v>117</v>
      </c>
      <c r="AK157" s="25" t="s">
        <v>127</v>
      </c>
    </row>
    <row r="158" spans="1:37" ht="15" customHeight="1">
      <c r="A158" s="84">
        <v>225359</v>
      </c>
      <c r="B158" s="30" t="s">
        <v>307</v>
      </c>
      <c r="C158" s="83">
        <v>57</v>
      </c>
      <c r="D158" s="75" t="s">
        <v>114</v>
      </c>
      <c r="E158" s="76">
        <v>22</v>
      </c>
      <c r="F158" s="77" t="s">
        <v>114</v>
      </c>
      <c r="G158" s="76">
        <v>41</v>
      </c>
      <c r="H158" s="77" t="s">
        <v>114</v>
      </c>
      <c r="I158" s="78">
        <v>41</v>
      </c>
      <c r="J158" s="77" t="s">
        <v>114</v>
      </c>
      <c r="K158" s="76">
        <v>16</v>
      </c>
      <c r="L158" s="77" t="s">
        <v>114</v>
      </c>
      <c r="M158" s="76">
        <v>42</v>
      </c>
      <c r="N158" s="77" t="s">
        <v>114</v>
      </c>
      <c r="O158" s="79">
        <v>47</v>
      </c>
      <c r="P158" s="77" t="s">
        <v>114</v>
      </c>
      <c r="Q158" s="76">
        <v>21</v>
      </c>
      <c r="R158" s="77" t="s">
        <v>114</v>
      </c>
      <c r="S158" s="76">
        <v>21</v>
      </c>
      <c r="T158" s="77" t="s">
        <v>114</v>
      </c>
      <c r="U158" s="79">
        <v>55</v>
      </c>
      <c r="V158" s="77" t="s">
        <v>114</v>
      </c>
      <c r="W158" s="76">
        <v>22</v>
      </c>
      <c r="X158" s="77" t="s">
        <v>114</v>
      </c>
      <c r="Y158" s="79">
        <v>40</v>
      </c>
      <c r="Z158" s="77" t="s">
        <v>114</v>
      </c>
      <c r="AA158" s="76">
        <v>16</v>
      </c>
      <c r="AB158" s="77" t="s">
        <v>114</v>
      </c>
      <c r="AC158" s="76">
        <v>20</v>
      </c>
      <c r="AD158" s="77" t="s">
        <v>114</v>
      </c>
      <c r="AE158" s="79">
        <v>29</v>
      </c>
      <c r="AF158" s="77" t="s">
        <v>114</v>
      </c>
      <c r="AG158" s="76">
        <v>22</v>
      </c>
      <c r="AH158" s="77" t="s">
        <v>114</v>
      </c>
      <c r="AI158" s="81">
        <v>512</v>
      </c>
      <c r="AJ158" s="24" t="s">
        <v>117</v>
      </c>
      <c r="AK158" s="25" t="s">
        <v>394</v>
      </c>
    </row>
    <row r="159" spans="1:37" ht="15" customHeight="1">
      <c r="A159" s="84">
        <v>225360</v>
      </c>
      <c r="B159" s="30" t="s">
        <v>308</v>
      </c>
      <c r="C159" s="83">
        <v>70</v>
      </c>
      <c r="D159" s="75" t="s">
        <v>114</v>
      </c>
      <c r="E159" s="76">
        <v>22</v>
      </c>
      <c r="F159" s="77" t="s">
        <v>114</v>
      </c>
      <c r="G159" s="76">
        <v>44</v>
      </c>
      <c r="H159" s="77" t="s">
        <v>114</v>
      </c>
      <c r="I159" s="78">
        <v>54</v>
      </c>
      <c r="J159" s="77" t="s">
        <v>114</v>
      </c>
      <c r="K159" s="76">
        <v>23</v>
      </c>
      <c r="L159" s="77" t="s">
        <v>114</v>
      </c>
      <c r="M159" s="76">
        <v>44</v>
      </c>
      <c r="N159" s="77" t="s">
        <v>114</v>
      </c>
      <c r="O159" s="79">
        <v>54</v>
      </c>
      <c r="P159" s="77" t="s">
        <v>114</v>
      </c>
      <c r="Q159" s="76">
        <v>22</v>
      </c>
      <c r="R159" s="77" t="s">
        <v>114</v>
      </c>
      <c r="S159" s="76">
        <v>23</v>
      </c>
      <c r="T159" s="77" t="s">
        <v>114</v>
      </c>
      <c r="U159" s="79">
        <v>68</v>
      </c>
      <c r="V159" s="77" t="s">
        <v>114</v>
      </c>
      <c r="W159" s="76">
        <v>19</v>
      </c>
      <c r="X159" s="77" t="s">
        <v>114</v>
      </c>
      <c r="Y159" s="79">
        <v>58</v>
      </c>
      <c r="Z159" s="77" t="s">
        <v>114</v>
      </c>
      <c r="AA159" s="76">
        <v>23</v>
      </c>
      <c r="AB159" s="77" t="s">
        <v>114</v>
      </c>
      <c r="AC159" s="76">
        <v>21</v>
      </c>
      <c r="AD159" s="77" t="s">
        <v>114</v>
      </c>
      <c r="AE159" s="79">
        <v>25</v>
      </c>
      <c r="AF159" s="77" t="s">
        <v>114</v>
      </c>
      <c r="AG159" s="76">
        <v>22</v>
      </c>
      <c r="AH159" s="77" t="s">
        <v>114</v>
      </c>
      <c r="AI159" s="81">
        <v>592</v>
      </c>
      <c r="AJ159" s="24" t="s">
        <v>117</v>
      </c>
      <c r="AK159" s="25" t="s">
        <v>387</v>
      </c>
    </row>
    <row r="160" spans="1:37" ht="15" customHeight="1">
      <c r="A160" s="84">
        <v>225361</v>
      </c>
      <c r="B160" s="30" t="s">
        <v>309</v>
      </c>
      <c r="C160" s="83">
        <v>55</v>
      </c>
      <c r="D160" s="75" t="s">
        <v>114</v>
      </c>
      <c r="E160" s="76">
        <v>23</v>
      </c>
      <c r="F160" s="77" t="s">
        <v>114</v>
      </c>
      <c r="G160" s="76">
        <v>43</v>
      </c>
      <c r="H160" s="77" t="s">
        <v>114</v>
      </c>
      <c r="I160" s="78">
        <v>40</v>
      </c>
      <c r="J160" s="77" t="s">
        <v>114</v>
      </c>
      <c r="K160" s="76">
        <v>23</v>
      </c>
      <c r="L160" s="77" t="s">
        <v>114</v>
      </c>
      <c r="M160" s="76">
        <v>42</v>
      </c>
      <c r="N160" s="77" t="s">
        <v>114</v>
      </c>
      <c r="O160" s="79">
        <v>40</v>
      </c>
      <c r="P160" s="77" t="s">
        <v>114</v>
      </c>
      <c r="Q160" s="76">
        <v>23</v>
      </c>
      <c r="R160" s="77" t="s">
        <v>114</v>
      </c>
      <c r="S160" s="76">
        <v>23</v>
      </c>
      <c r="T160" s="77" t="s">
        <v>114</v>
      </c>
      <c r="U160" s="79">
        <v>42</v>
      </c>
      <c r="V160" s="77" t="s">
        <v>114</v>
      </c>
      <c r="W160" s="76">
        <v>23</v>
      </c>
      <c r="X160" s="77" t="s">
        <v>114</v>
      </c>
      <c r="Y160" s="79">
        <v>49</v>
      </c>
      <c r="Z160" s="77" t="s">
        <v>114</v>
      </c>
      <c r="AA160" s="76">
        <v>23</v>
      </c>
      <c r="AB160" s="77" t="s">
        <v>114</v>
      </c>
      <c r="AC160" s="76">
        <v>18</v>
      </c>
      <c r="AD160" s="77" t="s">
        <v>114</v>
      </c>
      <c r="AE160" s="79">
        <v>31</v>
      </c>
      <c r="AF160" s="77" t="s">
        <v>114</v>
      </c>
      <c r="AG160" s="76">
        <v>23</v>
      </c>
      <c r="AH160" s="77" t="s">
        <v>114</v>
      </c>
      <c r="AI160" s="81">
        <v>521</v>
      </c>
      <c r="AJ160" s="24" t="s">
        <v>117</v>
      </c>
      <c r="AK160" s="25" t="s">
        <v>411</v>
      </c>
    </row>
    <row r="161" spans="1:37" ht="15" customHeight="1">
      <c r="A161" s="84">
        <v>225362</v>
      </c>
      <c r="B161" s="31" t="s">
        <v>310</v>
      </c>
      <c r="C161" s="83">
        <v>26</v>
      </c>
      <c r="D161" s="75" t="s">
        <v>110</v>
      </c>
      <c r="E161" s="76">
        <v>19</v>
      </c>
      <c r="F161" s="77" t="s">
        <v>113</v>
      </c>
      <c r="G161" s="76">
        <v>40</v>
      </c>
      <c r="H161" s="77" t="s">
        <v>113</v>
      </c>
      <c r="I161" s="78">
        <v>10</v>
      </c>
      <c r="J161" s="77" t="s">
        <v>110</v>
      </c>
      <c r="K161" s="76">
        <v>17</v>
      </c>
      <c r="L161" s="77" t="s">
        <v>113</v>
      </c>
      <c r="M161" s="76">
        <v>38</v>
      </c>
      <c r="N161" s="77" t="s">
        <v>113</v>
      </c>
      <c r="O161" s="79">
        <v>17</v>
      </c>
      <c r="P161" s="77" t="s">
        <v>110</v>
      </c>
      <c r="Q161" s="76">
        <v>19</v>
      </c>
      <c r="R161" s="77" t="s">
        <v>113</v>
      </c>
      <c r="S161" s="76">
        <v>20</v>
      </c>
      <c r="T161" s="77" t="s">
        <v>113</v>
      </c>
      <c r="U161" s="79" t="s">
        <v>464</v>
      </c>
      <c r="V161" s="77" t="s">
        <v>110</v>
      </c>
      <c r="W161" s="76">
        <v>19</v>
      </c>
      <c r="X161" s="77" t="s">
        <v>113</v>
      </c>
      <c r="Y161" s="79">
        <v>13</v>
      </c>
      <c r="Z161" s="77" t="s">
        <v>110</v>
      </c>
      <c r="AA161" s="76">
        <v>15</v>
      </c>
      <c r="AB161" s="77" t="s">
        <v>113</v>
      </c>
      <c r="AC161" s="76">
        <v>17</v>
      </c>
      <c r="AD161" s="77" t="s">
        <v>113</v>
      </c>
      <c r="AE161" s="79">
        <v>20</v>
      </c>
      <c r="AF161" s="77" t="s">
        <v>113</v>
      </c>
      <c r="AG161" s="76">
        <v>18</v>
      </c>
      <c r="AH161" s="77" t="s">
        <v>113</v>
      </c>
      <c r="AI161" s="81">
        <v>308</v>
      </c>
      <c r="AJ161" s="24" t="s">
        <v>111</v>
      </c>
      <c r="AK161" s="25" t="s">
        <v>442</v>
      </c>
    </row>
    <row r="162" spans="1:37" ht="15" customHeight="1">
      <c r="A162" s="84">
        <v>225363</v>
      </c>
      <c r="B162" s="31" t="s">
        <v>311</v>
      </c>
      <c r="C162" s="83" t="s">
        <v>75</v>
      </c>
      <c r="D162" s="75" t="s">
        <v>114</v>
      </c>
      <c r="E162" s="76">
        <v>19</v>
      </c>
      <c r="F162" s="77" t="s">
        <v>113</v>
      </c>
      <c r="G162" s="76">
        <v>40</v>
      </c>
      <c r="H162" s="77" t="s">
        <v>113</v>
      </c>
      <c r="I162" s="78" t="s">
        <v>75</v>
      </c>
      <c r="J162" s="77" t="s">
        <v>114</v>
      </c>
      <c r="K162" s="76">
        <v>19</v>
      </c>
      <c r="L162" s="77" t="s">
        <v>113</v>
      </c>
      <c r="M162" s="76">
        <v>40</v>
      </c>
      <c r="N162" s="77" t="s">
        <v>113</v>
      </c>
      <c r="O162" s="79" t="s">
        <v>75</v>
      </c>
      <c r="P162" s="77" t="s">
        <v>114</v>
      </c>
      <c r="Q162" s="76">
        <v>19</v>
      </c>
      <c r="R162" s="77" t="s">
        <v>113</v>
      </c>
      <c r="S162" s="76">
        <v>20</v>
      </c>
      <c r="T162" s="77" t="s">
        <v>113</v>
      </c>
      <c r="U162" s="79" t="s">
        <v>75</v>
      </c>
      <c r="V162" s="77" t="s">
        <v>114</v>
      </c>
      <c r="W162" s="76">
        <v>16</v>
      </c>
      <c r="X162" s="77" t="s">
        <v>113</v>
      </c>
      <c r="Y162" s="79" t="s">
        <v>75</v>
      </c>
      <c r="Z162" s="77" t="s">
        <v>114</v>
      </c>
      <c r="AA162" s="76">
        <v>19</v>
      </c>
      <c r="AB162" s="77" t="s">
        <v>113</v>
      </c>
      <c r="AC162" s="76">
        <v>19</v>
      </c>
      <c r="AD162" s="77" t="s">
        <v>113</v>
      </c>
      <c r="AE162" s="79" t="s">
        <v>75</v>
      </c>
      <c r="AF162" s="77" t="s">
        <v>114</v>
      </c>
      <c r="AG162" s="76">
        <v>23</v>
      </c>
      <c r="AH162" s="77" t="s">
        <v>113</v>
      </c>
      <c r="AI162" s="81">
        <v>234</v>
      </c>
      <c r="AJ162" s="24" t="s">
        <v>111</v>
      </c>
      <c r="AK162" s="25" t="s">
        <v>443</v>
      </c>
    </row>
    <row r="163" spans="1:37" ht="15" customHeight="1">
      <c r="A163" s="84">
        <v>225364</v>
      </c>
      <c r="B163" s="31" t="s">
        <v>312</v>
      </c>
      <c r="C163" s="83" t="s">
        <v>75</v>
      </c>
      <c r="D163" s="75" t="s">
        <v>114</v>
      </c>
      <c r="E163" s="76" t="s">
        <v>75</v>
      </c>
      <c r="F163" s="77" t="s">
        <v>114</v>
      </c>
      <c r="G163" s="76" t="s">
        <v>75</v>
      </c>
      <c r="H163" s="77" t="s">
        <v>114</v>
      </c>
      <c r="I163" s="78" t="s">
        <v>75</v>
      </c>
      <c r="J163" s="77" t="s">
        <v>114</v>
      </c>
      <c r="K163" s="76" t="s">
        <v>75</v>
      </c>
      <c r="L163" s="77" t="s">
        <v>114</v>
      </c>
      <c r="M163" s="76" t="s">
        <v>75</v>
      </c>
      <c r="N163" s="77" t="s">
        <v>114</v>
      </c>
      <c r="O163" s="79" t="s">
        <v>75</v>
      </c>
      <c r="P163" s="77" t="s">
        <v>114</v>
      </c>
      <c r="Q163" s="76" t="s">
        <v>75</v>
      </c>
      <c r="R163" s="77" t="s">
        <v>114</v>
      </c>
      <c r="S163" s="76" t="s">
        <v>75</v>
      </c>
      <c r="T163" s="77" t="s">
        <v>114</v>
      </c>
      <c r="U163" s="79" t="s">
        <v>75</v>
      </c>
      <c r="V163" s="77" t="s">
        <v>114</v>
      </c>
      <c r="W163" s="76" t="s">
        <v>75</v>
      </c>
      <c r="X163" s="77" t="s">
        <v>114</v>
      </c>
      <c r="Y163" s="79" t="s">
        <v>75</v>
      </c>
      <c r="Z163" s="77" t="s">
        <v>114</v>
      </c>
      <c r="AA163" s="76" t="s">
        <v>75</v>
      </c>
      <c r="AB163" s="77" t="s">
        <v>114</v>
      </c>
      <c r="AC163" s="76" t="s">
        <v>75</v>
      </c>
      <c r="AD163" s="77" t="s">
        <v>114</v>
      </c>
      <c r="AE163" s="79" t="s">
        <v>75</v>
      </c>
      <c r="AF163" s="77" t="s">
        <v>114</v>
      </c>
      <c r="AG163" s="76" t="s">
        <v>75</v>
      </c>
      <c r="AH163" s="77" t="s">
        <v>114</v>
      </c>
      <c r="AI163" s="81" t="s">
        <v>459</v>
      </c>
      <c r="AJ163" s="24" t="s">
        <v>119</v>
      </c>
      <c r="AK163" s="25" t="s">
        <v>109</v>
      </c>
    </row>
    <row r="164" spans="1:37" ht="15" customHeight="1">
      <c r="A164" s="85">
        <v>225365</v>
      </c>
      <c r="B164" s="32" t="s">
        <v>20</v>
      </c>
      <c r="C164" s="83" t="s">
        <v>38</v>
      </c>
      <c r="D164" s="75" t="s">
        <v>109</v>
      </c>
      <c r="E164" s="76" t="s">
        <v>46</v>
      </c>
      <c r="F164" s="77" t="s">
        <v>109</v>
      </c>
      <c r="G164" s="76" t="s">
        <v>40</v>
      </c>
      <c r="H164" s="77" t="s">
        <v>109</v>
      </c>
      <c r="I164" s="78" t="s">
        <v>40</v>
      </c>
      <c r="J164" s="77" t="s">
        <v>109</v>
      </c>
      <c r="K164" s="76" t="s">
        <v>46</v>
      </c>
      <c r="L164" s="77" t="s">
        <v>109</v>
      </c>
      <c r="M164" s="76" t="s">
        <v>59</v>
      </c>
      <c r="N164" s="77" t="s">
        <v>109</v>
      </c>
      <c r="O164" s="79">
        <v>52</v>
      </c>
      <c r="P164" s="77" t="s">
        <v>114</v>
      </c>
      <c r="Q164" s="76" t="s">
        <v>46</v>
      </c>
      <c r="R164" s="77" t="s">
        <v>109</v>
      </c>
      <c r="S164" s="76" t="s">
        <v>52</v>
      </c>
      <c r="T164" s="77" t="s">
        <v>109</v>
      </c>
      <c r="U164" s="79" t="s">
        <v>58</v>
      </c>
      <c r="V164" s="77" t="s">
        <v>109</v>
      </c>
      <c r="W164" s="76" t="s">
        <v>46</v>
      </c>
      <c r="X164" s="77" t="s">
        <v>109</v>
      </c>
      <c r="Y164" s="79" t="s">
        <v>43</v>
      </c>
      <c r="Z164" s="77" t="s">
        <v>109</v>
      </c>
      <c r="AA164" s="76" t="s">
        <v>46</v>
      </c>
      <c r="AB164" s="77" t="s">
        <v>109</v>
      </c>
      <c r="AC164" s="76" t="s">
        <v>47</v>
      </c>
      <c r="AD164" s="77" t="s">
        <v>109</v>
      </c>
      <c r="AE164" s="79" t="s">
        <v>69</v>
      </c>
      <c r="AF164" s="77" t="s">
        <v>109</v>
      </c>
      <c r="AG164" s="76" t="s">
        <v>46</v>
      </c>
      <c r="AH164" s="77" t="s">
        <v>109</v>
      </c>
      <c r="AI164" s="81">
        <v>511</v>
      </c>
      <c r="AJ164" s="24" t="s">
        <v>117</v>
      </c>
      <c r="AK164" s="25" t="s">
        <v>439</v>
      </c>
    </row>
    <row r="165" spans="1:37" ht="15" customHeight="1">
      <c r="A165" s="85">
        <v>225366</v>
      </c>
      <c r="B165" s="32" t="s">
        <v>313</v>
      </c>
      <c r="C165" s="83">
        <v>26</v>
      </c>
      <c r="D165" s="75" t="s">
        <v>110</v>
      </c>
      <c r="E165" s="76" t="s">
        <v>49</v>
      </c>
      <c r="F165" s="77" t="s">
        <v>109</v>
      </c>
      <c r="G165" s="76" t="s">
        <v>58</v>
      </c>
      <c r="H165" s="77" t="s">
        <v>109</v>
      </c>
      <c r="I165" s="78" t="s">
        <v>40</v>
      </c>
      <c r="J165" s="77" t="s">
        <v>109</v>
      </c>
      <c r="K165" s="76" t="s">
        <v>49</v>
      </c>
      <c r="L165" s="77" t="s">
        <v>109</v>
      </c>
      <c r="M165" s="76" t="s">
        <v>44</v>
      </c>
      <c r="N165" s="77" t="s">
        <v>109</v>
      </c>
      <c r="O165" s="79" t="s">
        <v>75</v>
      </c>
      <c r="P165" s="77" t="s">
        <v>114</v>
      </c>
      <c r="Q165" s="76" t="s">
        <v>49</v>
      </c>
      <c r="R165" s="77" t="s">
        <v>109</v>
      </c>
      <c r="S165" s="76" t="s">
        <v>65</v>
      </c>
      <c r="T165" s="77" t="s">
        <v>109</v>
      </c>
      <c r="U165" s="79" t="s">
        <v>75</v>
      </c>
      <c r="V165" s="77" t="s">
        <v>114</v>
      </c>
      <c r="W165" s="76" t="s">
        <v>49</v>
      </c>
      <c r="X165" s="77" t="s">
        <v>109</v>
      </c>
      <c r="Y165" s="79" t="s">
        <v>58</v>
      </c>
      <c r="Z165" s="77" t="s">
        <v>109</v>
      </c>
      <c r="AA165" s="76" t="s">
        <v>49</v>
      </c>
      <c r="AB165" s="77" t="s">
        <v>109</v>
      </c>
      <c r="AC165" s="76" t="s">
        <v>47</v>
      </c>
      <c r="AD165" s="77" t="s">
        <v>109</v>
      </c>
      <c r="AE165" s="79" t="s">
        <v>51</v>
      </c>
      <c r="AF165" s="77" t="s">
        <v>109</v>
      </c>
      <c r="AG165" s="76" t="s">
        <v>49</v>
      </c>
      <c r="AH165" s="77" t="s">
        <v>109</v>
      </c>
      <c r="AI165" s="81">
        <v>369</v>
      </c>
      <c r="AJ165" s="24" t="s">
        <v>111</v>
      </c>
      <c r="AK165" s="25" t="s">
        <v>444</v>
      </c>
    </row>
    <row r="166" spans="1:37" ht="15" customHeight="1">
      <c r="A166" s="85">
        <v>225367</v>
      </c>
      <c r="B166" s="32" t="s">
        <v>21</v>
      </c>
      <c r="C166" s="83" t="s">
        <v>58</v>
      </c>
      <c r="D166" s="75" t="s">
        <v>109</v>
      </c>
      <c r="E166" s="76" t="s">
        <v>50</v>
      </c>
      <c r="F166" s="77" t="s">
        <v>109</v>
      </c>
      <c r="G166" s="76" t="s">
        <v>57</v>
      </c>
      <c r="H166" s="77" t="s">
        <v>109</v>
      </c>
      <c r="I166" s="78" t="s">
        <v>62</v>
      </c>
      <c r="J166" s="77" t="s">
        <v>109</v>
      </c>
      <c r="K166" s="76" t="s">
        <v>48</v>
      </c>
      <c r="L166" s="77" t="s">
        <v>109</v>
      </c>
      <c r="M166" s="76" t="s">
        <v>54</v>
      </c>
      <c r="N166" s="77" t="s">
        <v>109</v>
      </c>
      <c r="O166" s="79" t="s">
        <v>40</v>
      </c>
      <c r="P166" s="77" t="s">
        <v>109</v>
      </c>
      <c r="Q166" s="76" t="s">
        <v>50</v>
      </c>
      <c r="R166" s="77" t="s">
        <v>109</v>
      </c>
      <c r="S166" s="76" t="s">
        <v>75</v>
      </c>
      <c r="T166" s="77" t="s">
        <v>114</v>
      </c>
      <c r="U166" s="79" t="s">
        <v>75</v>
      </c>
      <c r="V166" s="77" t="s">
        <v>114</v>
      </c>
      <c r="W166" s="76" t="s">
        <v>48</v>
      </c>
      <c r="X166" s="77" t="s">
        <v>109</v>
      </c>
      <c r="Y166" s="79" t="s">
        <v>40</v>
      </c>
      <c r="Z166" s="77" t="s">
        <v>109</v>
      </c>
      <c r="AA166" s="76" t="s">
        <v>50</v>
      </c>
      <c r="AB166" s="77" t="s">
        <v>109</v>
      </c>
      <c r="AC166" s="76">
        <v>15</v>
      </c>
      <c r="AD166" s="77" t="s">
        <v>113</v>
      </c>
      <c r="AE166" s="79" t="s">
        <v>54</v>
      </c>
      <c r="AF166" s="77" t="s">
        <v>109</v>
      </c>
      <c r="AG166" s="76" t="s">
        <v>49</v>
      </c>
      <c r="AH166" s="77" t="s">
        <v>109</v>
      </c>
      <c r="AI166" s="81">
        <v>388</v>
      </c>
      <c r="AJ166" s="24" t="s">
        <v>111</v>
      </c>
      <c r="AK166" s="25" t="s">
        <v>445</v>
      </c>
    </row>
    <row r="167" spans="1:37" ht="15" customHeight="1">
      <c r="A167" s="85">
        <v>225368</v>
      </c>
      <c r="B167" s="32" t="s">
        <v>22</v>
      </c>
      <c r="C167" s="83" t="s">
        <v>40</v>
      </c>
      <c r="D167" s="75" t="s">
        <v>109</v>
      </c>
      <c r="E167" s="76" t="s">
        <v>51</v>
      </c>
      <c r="F167" s="77" t="s">
        <v>109</v>
      </c>
      <c r="G167" s="76" t="s">
        <v>55</v>
      </c>
      <c r="H167" s="77" t="s">
        <v>109</v>
      </c>
      <c r="I167" s="78" t="s">
        <v>45</v>
      </c>
      <c r="J167" s="77" t="s">
        <v>109</v>
      </c>
      <c r="K167" s="76" t="s">
        <v>51</v>
      </c>
      <c r="L167" s="77" t="s">
        <v>109</v>
      </c>
      <c r="M167" s="76" t="s">
        <v>63</v>
      </c>
      <c r="N167" s="77" t="s">
        <v>109</v>
      </c>
      <c r="O167" s="79" t="s">
        <v>43</v>
      </c>
      <c r="P167" s="77" t="s">
        <v>109</v>
      </c>
      <c r="Q167" s="76" t="s">
        <v>52</v>
      </c>
      <c r="R167" s="77" t="s">
        <v>109</v>
      </c>
      <c r="S167" s="76" t="s">
        <v>49</v>
      </c>
      <c r="T167" s="77" t="s">
        <v>109</v>
      </c>
      <c r="U167" s="79">
        <v>33</v>
      </c>
      <c r="V167" s="77" t="s">
        <v>110</v>
      </c>
      <c r="W167" s="76" t="s">
        <v>51</v>
      </c>
      <c r="X167" s="77" t="s">
        <v>109</v>
      </c>
      <c r="Y167" s="79">
        <v>40</v>
      </c>
      <c r="Z167" s="77" t="s">
        <v>113</v>
      </c>
      <c r="AA167" s="76" t="s">
        <v>51</v>
      </c>
      <c r="AB167" s="77" t="s">
        <v>109</v>
      </c>
      <c r="AC167" s="76" t="s">
        <v>47</v>
      </c>
      <c r="AD167" s="77" t="s">
        <v>109</v>
      </c>
      <c r="AE167" s="79" t="s">
        <v>71</v>
      </c>
      <c r="AF167" s="77" t="s">
        <v>109</v>
      </c>
      <c r="AG167" s="76" t="s">
        <v>52</v>
      </c>
      <c r="AH167" s="77" t="s">
        <v>109</v>
      </c>
      <c r="AI167" s="81">
        <v>477</v>
      </c>
      <c r="AJ167" s="24" t="s">
        <v>111</v>
      </c>
      <c r="AK167" s="25" t="s">
        <v>446</v>
      </c>
    </row>
    <row r="168" spans="1:37" ht="15" customHeight="1">
      <c r="A168" s="85">
        <v>225369</v>
      </c>
      <c r="B168" s="32" t="s">
        <v>37</v>
      </c>
      <c r="C168" s="83" t="s">
        <v>39</v>
      </c>
      <c r="D168" s="75" t="s">
        <v>109</v>
      </c>
      <c r="E168" s="76" t="s">
        <v>49</v>
      </c>
      <c r="F168" s="77" t="s">
        <v>109</v>
      </c>
      <c r="G168" s="76" t="s">
        <v>59</v>
      </c>
      <c r="H168" s="77" t="s">
        <v>109</v>
      </c>
      <c r="I168" s="78" t="s">
        <v>336</v>
      </c>
      <c r="J168" s="77" t="s">
        <v>109</v>
      </c>
      <c r="K168" s="76" t="s">
        <v>65</v>
      </c>
      <c r="L168" s="77" t="s">
        <v>109</v>
      </c>
      <c r="M168" s="76" t="s">
        <v>66</v>
      </c>
      <c r="N168" s="77" t="s">
        <v>109</v>
      </c>
      <c r="O168" s="79" t="s">
        <v>75</v>
      </c>
      <c r="P168" s="77" t="s">
        <v>114</v>
      </c>
      <c r="Q168" s="76" t="s">
        <v>49</v>
      </c>
      <c r="R168" s="77" t="s">
        <v>109</v>
      </c>
      <c r="S168" s="76" t="s">
        <v>52</v>
      </c>
      <c r="T168" s="77" t="s">
        <v>109</v>
      </c>
      <c r="U168" s="79" t="s">
        <v>75</v>
      </c>
      <c r="V168" s="77" t="s">
        <v>114</v>
      </c>
      <c r="W168" s="76" t="s">
        <v>49</v>
      </c>
      <c r="X168" s="77" t="s">
        <v>109</v>
      </c>
      <c r="Y168" s="79" t="s">
        <v>45</v>
      </c>
      <c r="Z168" s="77" t="s">
        <v>109</v>
      </c>
      <c r="AA168" s="76" t="s">
        <v>49</v>
      </c>
      <c r="AB168" s="77" t="s">
        <v>109</v>
      </c>
      <c r="AC168" s="76" t="s">
        <v>49</v>
      </c>
      <c r="AD168" s="77" t="s">
        <v>109</v>
      </c>
      <c r="AE168" s="79" t="s">
        <v>71</v>
      </c>
      <c r="AF168" s="77" t="s">
        <v>109</v>
      </c>
      <c r="AG168" s="76" t="s">
        <v>49</v>
      </c>
      <c r="AH168" s="77" t="s">
        <v>109</v>
      </c>
      <c r="AI168" s="81">
        <v>406</v>
      </c>
      <c r="AJ168" s="24" t="s">
        <v>119</v>
      </c>
      <c r="AK168" s="25" t="s">
        <v>447</v>
      </c>
    </row>
    <row r="169" spans="1:37" ht="15" customHeight="1">
      <c r="A169" s="85">
        <v>225370</v>
      </c>
      <c r="B169" s="32" t="s">
        <v>314</v>
      </c>
      <c r="C169" s="83">
        <v>16</v>
      </c>
      <c r="D169" s="75" t="s">
        <v>110</v>
      </c>
      <c r="E169" s="76" t="s">
        <v>49</v>
      </c>
      <c r="F169" s="77" t="s">
        <v>109</v>
      </c>
      <c r="G169" s="76" t="s">
        <v>40</v>
      </c>
      <c r="H169" s="77" t="s">
        <v>109</v>
      </c>
      <c r="I169" s="78" t="s">
        <v>61</v>
      </c>
      <c r="J169" s="77" t="s">
        <v>109</v>
      </c>
      <c r="K169" s="76" t="s">
        <v>64</v>
      </c>
      <c r="L169" s="77" t="s">
        <v>109</v>
      </c>
      <c r="M169" s="76" t="s">
        <v>56</v>
      </c>
      <c r="N169" s="77" t="s">
        <v>109</v>
      </c>
      <c r="O169" s="79">
        <v>15</v>
      </c>
      <c r="P169" s="77" t="s">
        <v>110</v>
      </c>
      <c r="Q169" s="76" t="s">
        <v>49</v>
      </c>
      <c r="R169" s="77" t="s">
        <v>109</v>
      </c>
      <c r="S169" s="76" t="s">
        <v>49</v>
      </c>
      <c r="T169" s="77" t="s">
        <v>109</v>
      </c>
      <c r="U169" s="79" t="s">
        <v>465</v>
      </c>
      <c r="V169" s="77" t="s">
        <v>110</v>
      </c>
      <c r="W169" s="76" t="s">
        <v>47</v>
      </c>
      <c r="X169" s="77" t="s">
        <v>109</v>
      </c>
      <c r="Y169" s="79" t="s">
        <v>463</v>
      </c>
      <c r="Z169" s="77" t="s">
        <v>110</v>
      </c>
      <c r="AA169" s="76" t="s">
        <v>47</v>
      </c>
      <c r="AB169" s="77" t="s">
        <v>109</v>
      </c>
      <c r="AC169" s="76" t="s">
        <v>48</v>
      </c>
      <c r="AD169" s="77" t="s">
        <v>109</v>
      </c>
      <c r="AE169" s="79" t="s">
        <v>51</v>
      </c>
      <c r="AF169" s="77" t="s">
        <v>109</v>
      </c>
      <c r="AG169" s="76" t="s">
        <v>49</v>
      </c>
      <c r="AH169" s="77" t="s">
        <v>109</v>
      </c>
      <c r="AI169" s="81">
        <v>349</v>
      </c>
      <c r="AJ169" s="24" t="s">
        <v>111</v>
      </c>
      <c r="AK169" s="25" t="s">
        <v>448</v>
      </c>
    </row>
    <row r="170" spans="1:37" ht="15" customHeight="1">
      <c r="A170" s="85">
        <v>225371</v>
      </c>
      <c r="B170" s="32" t="s">
        <v>23</v>
      </c>
      <c r="C170" s="83" t="s">
        <v>58</v>
      </c>
      <c r="D170" s="75" t="s">
        <v>109</v>
      </c>
      <c r="E170" s="76" t="s">
        <v>49</v>
      </c>
      <c r="F170" s="77" t="s">
        <v>109</v>
      </c>
      <c r="G170" s="76" t="s">
        <v>55</v>
      </c>
      <c r="H170" s="77" t="s">
        <v>109</v>
      </c>
      <c r="I170" s="78" t="s">
        <v>40</v>
      </c>
      <c r="J170" s="77" t="s">
        <v>109</v>
      </c>
      <c r="K170" s="76" t="s">
        <v>49</v>
      </c>
      <c r="L170" s="77" t="s">
        <v>109</v>
      </c>
      <c r="M170" s="76" t="s">
        <v>43</v>
      </c>
      <c r="N170" s="77" t="s">
        <v>109</v>
      </c>
      <c r="O170" s="79" t="s">
        <v>40</v>
      </c>
      <c r="P170" s="77" t="s">
        <v>109</v>
      </c>
      <c r="Q170" s="76" t="s">
        <v>49</v>
      </c>
      <c r="R170" s="77" t="s">
        <v>109</v>
      </c>
      <c r="S170" s="76" t="s">
        <v>49</v>
      </c>
      <c r="T170" s="77" t="s">
        <v>109</v>
      </c>
      <c r="U170" s="79">
        <v>15</v>
      </c>
      <c r="V170" s="77" t="s">
        <v>110</v>
      </c>
      <c r="W170" s="76" t="s">
        <v>49</v>
      </c>
      <c r="X170" s="77" t="s">
        <v>109</v>
      </c>
      <c r="Y170" s="79">
        <v>30</v>
      </c>
      <c r="Z170" s="77" t="s">
        <v>110</v>
      </c>
      <c r="AA170" s="76" t="s">
        <v>49</v>
      </c>
      <c r="AB170" s="77" t="s">
        <v>109</v>
      </c>
      <c r="AC170" s="76" t="s">
        <v>65</v>
      </c>
      <c r="AD170" s="77" t="s">
        <v>109</v>
      </c>
      <c r="AE170" s="79" t="s">
        <v>57</v>
      </c>
      <c r="AF170" s="77" t="s">
        <v>109</v>
      </c>
      <c r="AG170" s="76" t="s">
        <v>48</v>
      </c>
      <c r="AH170" s="77" t="s">
        <v>109</v>
      </c>
      <c r="AI170" s="81">
        <v>437</v>
      </c>
      <c r="AJ170" s="24" t="s">
        <v>111</v>
      </c>
      <c r="AK170" s="25" t="s">
        <v>449</v>
      </c>
    </row>
    <row r="171" spans="1:37" ht="15" customHeight="1">
      <c r="A171" s="85">
        <v>225372</v>
      </c>
      <c r="B171" s="32" t="s">
        <v>24</v>
      </c>
      <c r="C171" s="83" t="s">
        <v>43</v>
      </c>
      <c r="D171" s="75" t="s">
        <v>109</v>
      </c>
      <c r="E171" s="76" t="s">
        <v>52</v>
      </c>
      <c r="F171" s="77" t="s">
        <v>109</v>
      </c>
      <c r="G171" s="76" t="s">
        <v>58</v>
      </c>
      <c r="H171" s="77" t="s">
        <v>109</v>
      </c>
      <c r="I171" s="78" t="s">
        <v>58</v>
      </c>
      <c r="J171" s="77" t="s">
        <v>109</v>
      </c>
      <c r="K171" s="76" t="s">
        <v>49</v>
      </c>
      <c r="L171" s="77" t="s">
        <v>109</v>
      </c>
      <c r="M171" s="76" t="s">
        <v>45</v>
      </c>
      <c r="N171" s="77" t="s">
        <v>109</v>
      </c>
      <c r="O171" s="79" t="s">
        <v>40</v>
      </c>
      <c r="P171" s="77" t="s">
        <v>109</v>
      </c>
      <c r="Q171" s="76" t="s">
        <v>49</v>
      </c>
      <c r="R171" s="77" t="s">
        <v>109</v>
      </c>
      <c r="S171" s="76" t="s">
        <v>51</v>
      </c>
      <c r="T171" s="77" t="s">
        <v>109</v>
      </c>
      <c r="U171" s="79" t="s">
        <v>466</v>
      </c>
      <c r="V171" s="77" t="s">
        <v>110</v>
      </c>
      <c r="W171" s="76" t="s">
        <v>49</v>
      </c>
      <c r="X171" s="77" t="s">
        <v>109</v>
      </c>
      <c r="Y171" s="79" t="s">
        <v>40</v>
      </c>
      <c r="Z171" s="77" t="s">
        <v>109</v>
      </c>
      <c r="AA171" s="76" t="s">
        <v>52</v>
      </c>
      <c r="AB171" s="77" t="s">
        <v>109</v>
      </c>
      <c r="AC171" s="76" t="s">
        <v>52</v>
      </c>
      <c r="AD171" s="77" t="s">
        <v>109</v>
      </c>
      <c r="AE171" s="79" t="s">
        <v>70</v>
      </c>
      <c r="AF171" s="77" t="s">
        <v>109</v>
      </c>
      <c r="AG171" s="76" t="s">
        <v>49</v>
      </c>
      <c r="AH171" s="77" t="s">
        <v>109</v>
      </c>
      <c r="AI171" s="81">
        <v>448</v>
      </c>
      <c r="AJ171" s="24" t="s">
        <v>111</v>
      </c>
      <c r="AK171" s="25" t="s">
        <v>450</v>
      </c>
    </row>
    <row r="172" spans="1:37" ht="15" customHeight="1">
      <c r="A172" s="85">
        <v>225373</v>
      </c>
      <c r="B172" s="32" t="s">
        <v>25</v>
      </c>
      <c r="C172" s="83" t="s">
        <v>43</v>
      </c>
      <c r="D172" s="75" t="s">
        <v>109</v>
      </c>
      <c r="E172" s="76" t="s">
        <v>48</v>
      </c>
      <c r="F172" s="77" t="s">
        <v>109</v>
      </c>
      <c r="G172" s="76" t="s">
        <v>58</v>
      </c>
      <c r="H172" s="77" t="s">
        <v>109</v>
      </c>
      <c r="I172" s="78" t="s">
        <v>58</v>
      </c>
      <c r="J172" s="77" t="s">
        <v>109</v>
      </c>
      <c r="K172" s="76" t="s">
        <v>49</v>
      </c>
      <c r="L172" s="77" t="s">
        <v>109</v>
      </c>
      <c r="M172" s="76" t="s">
        <v>58</v>
      </c>
      <c r="N172" s="77" t="s">
        <v>109</v>
      </c>
      <c r="O172" s="79" t="s">
        <v>44</v>
      </c>
      <c r="P172" s="77" t="s">
        <v>109</v>
      </c>
      <c r="Q172" s="76" t="s">
        <v>52</v>
      </c>
      <c r="R172" s="77" t="s">
        <v>109</v>
      </c>
      <c r="S172" s="76" t="s">
        <v>52</v>
      </c>
      <c r="T172" s="77" t="s">
        <v>109</v>
      </c>
      <c r="U172" s="79">
        <v>44</v>
      </c>
      <c r="V172" s="77" t="s">
        <v>114</v>
      </c>
      <c r="W172" s="76" t="s">
        <v>49</v>
      </c>
      <c r="X172" s="77" t="s">
        <v>109</v>
      </c>
      <c r="Y172" s="79" t="s">
        <v>58</v>
      </c>
      <c r="Z172" s="77" t="s">
        <v>109</v>
      </c>
      <c r="AA172" s="76" t="s">
        <v>48</v>
      </c>
      <c r="AB172" s="77" t="s">
        <v>109</v>
      </c>
      <c r="AC172" s="76" t="s">
        <v>52</v>
      </c>
      <c r="AD172" s="77" t="s">
        <v>109</v>
      </c>
      <c r="AE172" s="79" t="s">
        <v>54</v>
      </c>
      <c r="AF172" s="77" t="s">
        <v>109</v>
      </c>
      <c r="AG172" s="76" t="s">
        <v>49</v>
      </c>
      <c r="AH172" s="77" t="s">
        <v>109</v>
      </c>
      <c r="AI172" s="81">
        <v>489</v>
      </c>
      <c r="AJ172" s="24" t="s">
        <v>117</v>
      </c>
      <c r="AK172" s="25" t="s">
        <v>126</v>
      </c>
    </row>
    <row r="173" spans="1:37" ht="15" customHeight="1">
      <c r="A173" s="85">
        <v>225374</v>
      </c>
      <c r="B173" s="32" t="s">
        <v>26</v>
      </c>
      <c r="C173" s="83" t="s">
        <v>44</v>
      </c>
      <c r="D173" s="75" t="s">
        <v>109</v>
      </c>
      <c r="E173" s="76" t="s">
        <v>51</v>
      </c>
      <c r="F173" s="77" t="s">
        <v>109</v>
      </c>
      <c r="G173" s="76" t="s">
        <v>55</v>
      </c>
      <c r="H173" s="77" t="s">
        <v>109</v>
      </c>
      <c r="I173" s="78" t="s">
        <v>40</v>
      </c>
      <c r="J173" s="77" t="s">
        <v>109</v>
      </c>
      <c r="K173" s="76" t="s">
        <v>51</v>
      </c>
      <c r="L173" s="77" t="s">
        <v>109</v>
      </c>
      <c r="M173" s="76" t="s">
        <v>45</v>
      </c>
      <c r="N173" s="77" t="s">
        <v>109</v>
      </c>
      <c r="O173" s="79" t="s">
        <v>75</v>
      </c>
      <c r="P173" s="77" t="s">
        <v>114</v>
      </c>
      <c r="Q173" s="76" t="s">
        <v>49</v>
      </c>
      <c r="R173" s="77" t="s">
        <v>109</v>
      </c>
      <c r="S173" s="76" t="s">
        <v>49</v>
      </c>
      <c r="T173" s="77" t="s">
        <v>109</v>
      </c>
      <c r="U173" s="79" t="s">
        <v>75</v>
      </c>
      <c r="V173" s="77" t="s">
        <v>114</v>
      </c>
      <c r="W173" s="76" t="s">
        <v>51</v>
      </c>
      <c r="X173" s="77" t="s">
        <v>109</v>
      </c>
      <c r="Y173" s="79" t="s">
        <v>75</v>
      </c>
      <c r="Z173" s="77" t="s">
        <v>114</v>
      </c>
      <c r="AA173" s="76" t="s">
        <v>51</v>
      </c>
      <c r="AB173" s="77" t="s">
        <v>109</v>
      </c>
      <c r="AC173" s="76" t="s">
        <v>48</v>
      </c>
      <c r="AD173" s="77" t="s">
        <v>109</v>
      </c>
      <c r="AE173" s="79" t="s">
        <v>69</v>
      </c>
      <c r="AF173" s="77" t="s">
        <v>109</v>
      </c>
      <c r="AG173" s="76" t="s">
        <v>52</v>
      </c>
      <c r="AH173" s="77" t="s">
        <v>109</v>
      </c>
      <c r="AI173" s="81">
        <v>366</v>
      </c>
      <c r="AJ173" s="24" t="s">
        <v>119</v>
      </c>
      <c r="AK173" s="25" t="s">
        <v>122</v>
      </c>
    </row>
    <row r="174" spans="1:37" ht="15" customHeight="1">
      <c r="A174" s="85">
        <v>225375</v>
      </c>
      <c r="B174" s="32" t="s">
        <v>315</v>
      </c>
      <c r="C174" s="83" t="s">
        <v>60</v>
      </c>
      <c r="D174" s="75" t="s">
        <v>109</v>
      </c>
      <c r="E174" s="76" t="s">
        <v>49</v>
      </c>
      <c r="F174" s="77" t="s">
        <v>109</v>
      </c>
      <c r="G174" s="76" t="s">
        <v>55</v>
      </c>
      <c r="H174" s="77" t="s">
        <v>109</v>
      </c>
      <c r="I174" s="78" t="s">
        <v>58</v>
      </c>
      <c r="J174" s="77" t="s">
        <v>109</v>
      </c>
      <c r="K174" s="76" t="s">
        <v>49</v>
      </c>
      <c r="L174" s="77" t="s">
        <v>109</v>
      </c>
      <c r="M174" s="76" t="s">
        <v>58</v>
      </c>
      <c r="N174" s="77" t="s">
        <v>109</v>
      </c>
      <c r="O174" s="79" t="s">
        <v>40</v>
      </c>
      <c r="P174" s="77" t="s">
        <v>109</v>
      </c>
      <c r="Q174" s="76" t="s">
        <v>49</v>
      </c>
      <c r="R174" s="77" t="s">
        <v>109</v>
      </c>
      <c r="S174" s="76" t="s">
        <v>49</v>
      </c>
      <c r="T174" s="77" t="s">
        <v>109</v>
      </c>
      <c r="U174" s="79" t="s">
        <v>45</v>
      </c>
      <c r="V174" s="77" t="s">
        <v>109</v>
      </c>
      <c r="W174" s="76" t="s">
        <v>49</v>
      </c>
      <c r="X174" s="77" t="s">
        <v>109</v>
      </c>
      <c r="Y174" s="79">
        <v>30</v>
      </c>
      <c r="Z174" s="77" t="s">
        <v>110</v>
      </c>
      <c r="AA174" s="76" t="s">
        <v>49</v>
      </c>
      <c r="AB174" s="77" t="s">
        <v>109</v>
      </c>
      <c r="AC174" s="76" t="s">
        <v>48</v>
      </c>
      <c r="AD174" s="77" t="s">
        <v>109</v>
      </c>
      <c r="AE174" s="79" t="s">
        <v>72</v>
      </c>
      <c r="AF174" s="77" t="s">
        <v>109</v>
      </c>
      <c r="AG174" s="76" t="s">
        <v>49</v>
      </c>
      <c r="AH174" s="77" t="s">
        <v>109</v>
      </c>
      <c r="AI174" s="81">
        <v>477</v>
      </c>
      <c r="AJ174" s="24" t="s">
        <v>111</v>
      </c>
      <c r="AK174" s="25" t="s">
        <v>446</v>
      </c>
    </row>
    <row r="175" spans="1:37" ht="15" customHeight="1">
      <c r="A175" s="85">
        <v>225376</v>
      </c>
      <c r="B175" s="32" t="s">
        <v>27</v>
      </c>
      <c r="C175" s="83" t="s">
        <v>40</v>
      </c>
      <c r="D175" s="75" t="s">
        <v>109</v>
      </c>
      <c r="E175" s="76" t="s">
        <v>51</v>
      </c>
      <c r="F175" s="77" t="s">
        <v>109</v>
      </c>
      <c r="G175" s="76" t="s">
        <v>58</v>
      </c>
      <c r="H175" s="77" t="s">
        <v>109</v>
      </c>
      <c r="I175" s="78" t="s">
        <v>40</v>
      </c>
      <c r="J175" s="77" t="s">
        <v>109</v>
      </c>
      <c r="K175" s="76" t="s">
        <v>51</v>
      </c>
      <c r="L175" s="77" t="s">
        <v>109</v>
      </c>
      <c r="M175" s="76" t="s">
        <v>63</v>
      </c>
      <c r="N175" s="77" t="s">
        <v>109</v>
      </c>
      <c r="O175" s="79" t="s">
        <v>63</v>
      </c>
      <c r="P175" s="77" t="s">
        <v>109</v>
      </c>
      <c r="Q175" s="76" t="s">
        <v>49</v>
      </c>
      <c r="R175" s="77" t="s">
        <v>109</v>
      </c>
      <c r="S175" s="76" t="s">
        <v>52</v>
      </c>
      <c r="T175" s="77" t="s">
        <v>109</v>
      </c>
      <c r="U175" s="79" t="s">
        <v>44</v>
      </c>
      <c r="V175" s="77" t="s">
        <v>109</v>
      </c>
      <c r="W175" s="76" t="s">
        <v>51</v>
      </c>
      <c r="X175" s="77" t="s">
        <v>109</v>
      </c>
      <c r="Y175" s="79">
        <v>20</v>
      </c>
      <c r="Z175" s="77" t="s">
        <v>110</v>
      </c>
      <c r="AA175" s="76" t="s">
        <v>51</v>
      </c>
      <c r="AB175" s="77" t="s">
        <v>109</v>
      </c>
      <c r="AC175" s="76" t="s">
        <v>52</v>
      </c>
      <c r="AD175" s="77" t="s">
        <v>109</v>
      </c>
      <c r="AE175" s="79" t="s">
        <v>73</v>
      </c>
      <c r="AF175" s="77" t="s">
        <v>109</v>
      </c>
      <c r="AG175" s="76" t="s">
        <v>51</v>
      </c>
      <c r="AH175" s="77" t="s">
        <v>109</v>
      </c>
      <c r="AI175" s="81">
        <v>474</v>
      </c>
      <c r="AJ175" s="24" t="s">
        <v>111</v>
      </c>
      <c r="AK175" s="25" t="s">
        <v>451</v>
      </c>
    </row>
    <row r="176" spans="1:37" ht="15" customHeight="1">
      <c r="A176" s="85">
        <v>225377</v>
      </c>
      <c r="B176" s="32" t="s">
        <v>28</v>
      </c>
      <c r="C176" s="83" t="s">
        <v>40</v>
      </c>
      <c r="D176" s="75" t="s">
        <v>109</v>
      </c>
      <c r="E176" s="76" t="s">
        <v>51</v>
      </c>
      <c r="F176" s="77" t="s">
        <v>109</v>
      </c>
      <c r="G176" s="76" t="s">
        <v>40</v>
      </c>
      <c r="H176" s="77" t="s">
        <v>109</v>
      </c>
      <c r="I176" s="78" t="s">
        <v>40</v>
      </c>
      <c r="J176" s="77" t="s">
        <v>109</v>
      </c>
      <c r="K176" s="76" t="s">
        <v>51</v>
      </c>
      <c r="L176" s="77" t="s">
        <v>109</v>
      </c>
      <c r="M176" s="76" t="s">
        <v>63</v>
      </c>
      <c r="N176" s="77" t="s">
        <v>109</v>
      </c>
      <c r="O176" s="79">
        <v>40</v>
      </c>
      <c r="P176" s="77" t="s">
        <v>113</v>
      </c>
      <c r="Q176" s="76" t="s">
        <v>46</v>
      </c>
      <c r="R176" s="77" t="s">
        <v>109</v>
      </c>
      <c r="S176" s="76" t="s">
        <v>52</v>
      </c>
      <c r="T176" s="77" t="s">
        <v>109</v>
      </c>
      <c r="U176" s="79">
        <v>15</v>
      </c>
      <c r="V176" s="77" t="s">
        <v>110</v>
      </c>
      <c r="W176" s="76" t="s">
        <v>46</v>
      </c>
      <c r="X176" s="77" t="s">
        <v>109</v>
      </c>
      <c r="Y176" s="79" t="s">
        <v>40</v>
      </c>
      <c r="Z176" s="77" t="s">
        <v>109</v>
      </c>
      <c r="AA176" s="76" t="s">
        <v>51</v>
      </c>
      <c r="AB176" s="77" t="s">
        <v>109</v>
      </c>
      <c r="AC176" s="76" t="s">
        <v>48</v>
      </c>
      <c r="AD176" s="77" t="s">
        <v>109</v>
      </c>
      <c r="AE176" s="79" t="s">
        <v>73</v>
      </c>
      <c r="AF176" s="77" t="s">
        <v>109</v>
      </c>
      <c r="AG176" s="76" t="s">
        <v>46</v>
      </c>
      <c r="AH176" s="77" t="s">
        <v>109</v>
      </c>
      <c r="AI176" s="81">
        <v>462</v>
      </c>
      <c r="AJ176" s="24" t="s">
        <v>111</v>
      </c>
      <c r="AK176" s="25" t="s">
        <v>123</v>
      </c>
    </row>
    <row r="177" spans="1:37" ht="15" customHeight="1">
      <c r="A177" s="85">
        <v>225378</v>
      </c>
      <c r="B177" s="32" t="s">
        <v>29</v>
      </c>
      <c r="C177" s="83" t="s">
        <v>41</v>
      </c>
      <c r="D177" s="75" t="s">
        <v>109</v>
      </c>
      <c r="E177" s="76" t="s">
        <v>49</v>
      </c>
      <c r="F177" s="77" t="s">
        <v>109</v>
      </c>
      <c r="G177" s="76" t="s">
        <v>43</v>
      </c>
      <c r="H177" s="77" t="s">
        <v>109</v>
      </c>
      <c r="I177" s="78" t="s">
        <v>61</v>
      </c>
      <c r="J177" s="77" t="s">
        <v>109</v>
      </c>
      <c r="K177" s="76" t="s">
        <v>65</v>
      </c>
      <c r="L177" s="77" t="s">
        <v>109</v>
      </c>
      <c r="M177" s="76" t="s">
        <v>40</v>
      </c>
      <c r="N177" s="77" t="s">
        <v>109</v>
      </c>
      <c r="O177" s="79" t="s">
        <v>67</v>
      </c>
      <c r="P177" s="77" t="s">
        <v>109</v>
      </c>
      <c r="Q177" s="76" t="s">
        <v>51</v>
      </c>
      <c r="R177" s="77" t="s">
        <v>109</v>
      </c>
      <c r="S177" s="76" t="s">
        <v>51</v>
      </c>
      <c r="T177" s="77" t="s">
        <v>109</v>
      </c>
      <c r="U177" s="79">
        <v>48</v>
      </c>
      <c r="V177" s="77" t="s">
        <v>114</v>
      </c>
      <c r="W177" s="76" t="s">
        <v>68</v>
      </c>
      <c r="X177" s="77" t="s">
        <v>109</v>
      </c>
      <c r="Y177" s="79" t="s">
        <v>40</v>
      </c>
      <c r="Z177" s="77" t="s">
        <v>109</v>
      </c>
      <c r="AA177" s="76" t="s">
        <v>53</v>
      </c>
      <c r="AB177" s="77" t="s">
        <v>109</v>
      </c>
      <c r="AC177" s="76" t="s">
        <v>49</v>
      </c>
      <c r="AD177" s="77" t="s">
        <v>109</v>
      </c>
      <c r="AE177" s="79" t="s">
        <v>51</v>
      </c>
      <c r="AF177" s="77" t="s">
        <v>109</v>
      </c>
      <c r="AG177" s="76" t="s">
        <v>49</v>
      </c>
      <c r="AH177" s="77" t="s">
        <v>109</v>
      </c>
      <c r="AI177" s="81">
        <v>500</v>
      </c>
      <c r="AJ177" s="24" t="s">
        <v>117</v>
      </c>
      <c r="AK177" s="25" t="s">
        <v>452</v>
      </c>
    </row>
    <row r="178" spans="1:37" ht="15" customHeight="1">
      <c r="A178" s="85">
        <v>225379</v>
      </c>
      <c r="B178" s="32" t="s">
        <v>30</v>
      </c>
      <c r="C178" s="83" t="s">
        <v>62</v>
      </c>
      <c r="D178" s="75" t="s">
        <v>109</v>
      </c>
      <c r="E178" s="76" t="s">
        <v>52</v>
      </c>
      <c r="F178" s="77" t="s">
        <v>109</v>
      </c>
      <c r="G178" s="76" t="s">
        <v>58</v>
      </c>
      <c r="H178" s="77" t="s">
        <v>109</v>
      </c>
      <c r="I178" s="78" t="s">
        <v>40</v>
      </c>
      <c r="J178" s="77" t="s">
        <v>109</v>
      </c>
      <c r="K178" s="76" t="s">
        <v>49</v>
      </c>
      <c r="L178" s="77" t="s">
        <v>109</v>
      </c>
      <c r="M178" s="76" t="s">
        <v>40</v>
      </c>
      <c r="N178" s="77" t="s">
        <v>109</v>
      </c>
      <c r="O178" s="79" t="s">
        <v>67</v>
      </c>
      <c r="P178" s="77" t="s">
        <v>109</v>
      </c>
      <c r="Q178" s="76" t="s">
        <v>49</v>
      </c>
      <c r="R178" s="77" t="s">
        <v>109</v>
      </c>
      <c r="S178" s="76" t="s">
        <v>52</v>
      </c>
      <c r="T178" s="77" t="s">
        <v>109</v>
      </c>
      <c r="U178" s="79">
        <v>41</v>
      </c>
      <c r="V178" s="77" t="s">
        <v>113</v>
      </c>
      <c r="W178" s="76" t="s">
        <v>52</v>
      </c>
      <c r="X178" s="77" t="s">
        <v>109</v>
      </c>
      <c r="Y178" s="79" t="s">
        <v>465</v>
      </c>
      <c r="Z178" s="77" t="s">
        <v>110</v>
      </c>
      <c r="AA178" s="76" t="s">
        <v>52</v>
      </c>
      <c r="AB178" s="77" t="s">
        <v>109</v>
      </c>
      <c r="AC178" s="76" t="s">
        <v>49</v>
      </c>
      <c r="AD178" s="77" t="s">
        <v>109</v>
      </c>
      <c r="AE178" s="79" t="s">
        <v>72</v>
      </c>
      <c r="AF178" s="77" t="s">
        <v>109</v>
      </c>
      <c r="AG178" s="76" t="s">
        <v>49</v>
      </c>
      <c r="AH178" s="77" t="s">
        <v>109</v>
      </c>
      <c r="AI178" s="81">
        <v>468</v>
      </c>
      <c r="AJ178" s="24" t="s">
        <v>111</v>
      </c>
      <c r="AK178" s="25" t="s">
        <v>415</v>
      </c>
    </row>
    <row r="179" spans="1:37" ht="15" customHeight="1">
      <c r="A179" s="85">
        <v>225380</v>
      </c>
      <c r="B179" s="32" t="s">
        <v>31</v>
      </c>
      <c r="C179" s="83" t="s">
        <v>40</v>
      </c>
      <c r="D179" s="75" t="s">
        <v>109</v>
      </c>
      <c r="E179" s="76" t="s">
        <v>46</v>
      </c>
      <c r="F179" s="77" t="s">
        <v>109</v>
      </c>
      <c r="G179" s="76" t="s">
        <v>43</v>
      </c>
      <c r="H179" s="77" t="s">
        <v>109</v>
      </c>
      <c r="I179" s="78" t="s">
        <v>40</v>
      </c>
      <c r="J179" s="77" t="s">
        <v>109</v>
      </c>
      <c r="K179" s="76" t="s">
        <v>51</v>
      </c>
      <c r="L179" s="77" t="s">
        <v>109</v>
      </c>
      <c r="M179" s="76" t="s">
        <v>43</v>
      </c>
      <c r="N179" s="77" t="s">
        <v>109</v>
      </c>
      <c r="O179" s="79" t="s">
        <v>463</v>
      </c>
      <c r="P179" s="77" t="s">
        <v>110</v>
      </c>
      <c r="Q179" s="76" t="s">
        <v>49</v>
      </c>
      <c r="R179" s="77" t="s">
        <v>109</v>
      </c>
      <c r="S179" s="76" t="s">
        <v>52</v>
      </c>
      <c r="T179" s="77" t="s">
        <v>109</v>
      </c>
      <c r="U179" s="79">
        <v>32</v>
      </c>
      <c r="V179" s="77" t="s">
        <v>110</v>
      </c>
      <c r="W179" s="76" t="s">
        <v>46</v>
      </c>
      <c r="X179" s="77" t="s">
        <v>109</v>
      </c>
      <c r="Y179" s="79" t="s">
        <v>43</v>
      </c>
      <c r="Z179" s="77" t="s">
        <v>109</v>
      </c>
      <c r="AA179" s="76" t="s">
        <v>46</v>
      </c>
      <c r="AB179" s="77" t="s">
        <v>109</v>
      </c>
      <c r="AC179" s="76" t="s">
        <v>46</v>
      </c>
      <c r="AD179" s="77" t="s">
        <v>109</v>
      </c>
      <c r="AE179" s="79" t="s">
        <v>54</v>
      </c>
      <c r="AF179" s="77" t="s">
        <v>109</v>
      </c>
      <c r="AG179" s="76" t="s">
        <v>46</v>
      </c>
      <c r="AH179" s="77" t="s">
        <v>109</v>
      </c>
      <c r="AI179" s="81">
        <v>456</v>
      </c>
      <c r="AJ179" s="24" t="s">
        <v>111</v>
      </c>
      <c r="AK179" s="25" t="s">
        <v>453</v>
      </c>
    </row>
    <row r="180" spans="1:37" ht="15" customHeight="1">
      <c r="A180" s="85">
        <v>225381</v>
      </c>
      <c r="B180" s="32" t="s">
        <v>32</v>
      </c>
      <c r="C180" s="83" t="s">
        <v>43</v>
      </c>
      <c r="D180" s="75" t="s">
        <v>109</v>
      </c>
      <c r="E180" s="76" t="s">
        <v>51</v>
      </c>
      <c r="F180" s="77" t="s">
        <v>109</v>
      </c>
      <c r="G180" s="76" t="s">
        <v>44</v>
      </c>
      <c r="H180" s="77" t="s">
        <v>109</v>
      </c>
      <c r="I180" s="78" t="s">
        <v>41</v>
      </c>
      <c r="J180" s="77" t="s">
        <v>109</v>
      </c>
      <c r="K180" s="76" t="s">
        <v>64</v>
      </c>
      <c r="L180" s="77" t="s">
        <v>109</v>
      </c>
      <c r="M180" s="76" t="s">
        <v>57</v>
      </c>
      <c r="N180" s="77" t="s">
        <v>109</v>
      </c>
      <c r="O180" s="79" t="s">
        <v>63</v>
      </c>
      <c r="P180" s="77" t="s">
        <v>109</v>
      </c>
      <c r="Q180" s="76" t="s">
        <v>52</v>
      </c>
      <c r="R180" s="77" t="s">
        <v>109</v>
      </c>
      <c r="S180" s="76" t="s">
        <v>52</v>
      </c>
      <c r="T180" s="77" t="s">
        <v>109</v>
      </c>
      <c r="U180" s="79" t="s">
        <v>75</v>
      </c>
      <c r="V180" s="77" t="s">
        <v>114</v>
      </c>
      <c r="W180" s="76" t="s">
        <v>65</v>
      </c>
      <c r="X180" s="77" t="s">
        <v>109</v>
      </c>
      <c r="Y180" s="79" t="s">
        <v>40</v>
      </c>
      <c r="Z180" s="77" t="s">
        <v>109</v>
      </c>
      <c r="AA180" s="76" t="s">
        <v>47</v>
      </c>
      <c r="AB180" s="77" t="s">
        <v>109</v>
      </c>
      <c r="AC180" s="76" t="s">
        <v>47</v>
      </c>
      <c r="AD180" s="77" t="s">
        <v>109</v>
      </c>
      <c r="AE180" s="79" t="s">
        <v>49</v>
      </c>
      <c r="AF180" s="77" t="s">
        <v>109</v>
      </c>
      <c r="AG180" s="76" t="s">
        <v>65</v>
      </c>
      <c r="AH180" s="77" t="s">
        <v>109</v>
      </c>
      <c r="AI180" s="81">
        <v>429</v>
      </c>
      <c r="AJ180" s="24" t="s">
        <v>119</v>
      </c>
      <c r="AK180" s="25" t="s">
        <v>129</v>
      </c>
    </row>
    <row r="181" spans="1:37" ht="15" customHeight="1">
      <c r="A181" s="85">
        <v>225382</v>
      </c>
      <c r="B181" s="32" t="s">
        <v>33</v>
      </c>
      <c r="C181" s="83" t="s">
        <v>40</v>
      </c>
      <c r="D181" s="75" t="s">
        <v>109</v>
      </c>
      <c r="E181" s="76" t="s">
        <v>46</v>
      </c>
      <c r="F181" s="77" t="s">
        <v>109</v>
      </c>
      <c r="G181" s="76" t="s">
        <v>58</v>
      </c>
      <c r="H181" s="77" t="s">
        <v>109</v>
      </c>
      <c r="I181" s="78" t="s">
        <v>40</v>
      </c>
      <c r="J181" s="77" t="s">
        <v>109</v>
      </c>
      <c r="K181" s="76" t="s">
        <v>51</v>
      </c>
      <c r="L181" s="77" t="s">
        <v>109</v>
      </c>
      <c r="M181" s="76" t="s">
        <v>43</v>
      </c>
      <c r="N181" s="77" t="s">
        <v>109</v>
      </c>
      <c r="O181" s="79" t="s">
        <v>43</v>
      </c>
      <c r="P181" s="77" t="s">
        <v>109</v>
      </c>
      <c r="Q181" s="76" t="s">
        <v>46</v>
      </c>
      <c r="R181" s="77" t="s">
        <v>109</v>
      </c>
      <c r="S181" s="76" t="s">
        <v>52</v>
      </c>
      <c r="T181" s="77" t="s">
        <v>109</v>
      </c>
      <c r="U181" s="79">
        <v>55</v>
      </c>
      <c r="V181" s="77" t="s">
        <v>114</v>
      </c>
      <c r="W181" s="76" t="s">
        <v>46</v>
      </c>
      <c r="X181" s="77" t="s">
        <v>109</v>
      </c>
      <c r="Y181" s="79" t="s">
        <v>40</v>
      </c>
      <c r="Z181" s="77" t="s">
        <v>109</v>
      </c>
      <c r="AA181" s="76" t="s">
        <v>46</v>
      </c>
      <c r="AB181" s="77" t="s">
        <v>109</v>
      </c>
      <c r="AC181" s="76" t="s">
        <v>49</v>
      </c>
      <c r="AD181" s="77" t="s">
        <v>109</v>
      </c>
      <c r="AE181" s="79" t="s">
        <v>70</v>
      </c>
      <c r="AF181" s="77" t="s">
        <v>109</v>
      </c>
      <c r="AG181" s="76" t="s">
        <v>46</v>
      </c>
      <c r="AH181" s="77" t="s">
        <v>109</v>
      </c>
      <c r="AI181" s="81">
        <v>510</v>
      </c>
      <c r="AJ181" s="24" t="s">
        <v>117</v>
      </c>
      <c r="AK181" s="25" t="s">
        <v>438</v>
      </c>
    </row>
    <row r="182" spans="1:37" ht="15" customHeight="1">
      <c r="A182" s="85">
        <v>225383</v>
      </c>
      <c r="B182" s="32" t="s">
        <v>34</v>
      </c>
      <c r="C182" s="83" t="s">
        <v>40</v>
      </c>
      <c r="D182" s="75" t="s">
        <v>109</v>
      </c>
      <c r="E182" s="76" t="s">
        <v>49</v>
      </c>
      <c r="F182" s="77" t="s">
        <v>109</v>
      </c>
      <c r="G182" s="76" t="s">
        <v>58</v>
      </c>
      <c r="H182" s="77" t="s">
        <v>109</v>
      </c>
      <c r="I182" s="78" t="s">
        <v>40</v>
      </c>
      <c r="J182" s="77" t="s">
        <v>109</v>
      </c>
      <c r="K182" s="76" t="s">
        <v>49</v>
      </c>
      <c r="L182" s="77" t="s">
        <v>109</v>
      </c>
      <c r="M182" s="76" t="s">
        <v>66</v>
      </c>
      <c r="N182" s="77" t="s">
        <v>109</v>
      </c>
      <c r="O182" s="79">
        <v>49</v>
      </c>
      <c r="P182" s="77" t="s">
        <v>113</v>
      </c>
      <c r="Q182" s="76" t="s">
        <v>52</v>
      </c>
      <c r="R182" s="77" t="s">
        <v>109</v>
      </c>
      <c r="S182" s="76" t="s">
        <v>52</v>
      </c>
      <c r="T182" s="77" t="s">
        <v>109</v>
      </c>
      <c r="U182" s="79">
        <v>45</v>
      </c>
      <c r="V182" s="77" t="s">
        <v>113</v>
      </c>
      <c r="W182" s="76" t="s">
        <v>49</v>
      </c>
      <c r="X182" s="77" t="s">
        <v>109</v>
      </c>
      <c r="Y182" s="79">
        <v>22</v>
      </c>
      <c r="Z182" s="77" t="s">
        <v>110</v>
      </c>
      <c r="AA182" s="76" t="s">
        <v>49</v>
      </c>
      <c r="AB182" s="77" t="s">
        <v>109</v>
      </c>
      <c r="AC182" s="76" t="s">
        <v>48</v>
      </c>
      <c r="AD182" s="77" t="s">
        <v>109</v>
      </c>
      <c r="AE182" s="79" t="s">
        <v>74</v>
      </c>
      <c r="AF182" s="77" t="s">
        <v>109</v>
      </c>
      <c r="AG182" s="76" t="s">
        <v>49</v>
      </c>
      <c r="AH182" s="77" t="s">
        <v>109</v>
      </c>
      <c r="AI182" s="81">
        <v>459</v>
      </c>
      <c r="AJ182" s="24" t="s">
        <v>111</v>
      </c>
      <c r="AK182" s="25" t="s">
        <v>125</v>
      </c>
    </row>
    <row r="183" spans="1:37" ht="15" customHeight="1">
      <c r="A183" s="85">
        <v>225384</v>
      </c>
      <c r="B183" s="33" t="s">
        <v>36</v>
      </c>
      <c r="C183" s="83">
        <v>40</v>
      </c>
      <c r="D183" s="75" t="s">
        <v>114</v>
      </c>
      <c r="E183" s="76" t="s">
        <v>49</v>
      </c>
      <c r="F183" s="77" t="s">
        <v>109</v>
      </c>
      <c r="G183" s="76" t="s">
        <v>42</v>
      </c>
      <c r="H183" s="77" t="s">
        <v>109</v>
      </c>
      <c r="I183" s="78" t="s">
        <v>40</v>
      </c>
      <c r="J183" s="77" t="s">
        <v>109</v>
      </c>
      <c r="K183" s="76" t="s">
        <v>52</v>
      </c>
      <c r="L183" s="77" t="s">
        <v>109</v>
      </c>
      <c r="M183" s="76" t="s">
        <v>63</v>
      </c>
      <c r="N183" s="77" t="s">
        <v>109</v>
      </c>
      <c r="O183" s="79">
        <v>40</v>
      </c>
      <c r="P183" s="77" t="s">
        <v>114</v>
      </c>
      <c r="Q183" s="76" t="s">
        <v>52</v>
      </c>
      <c r="R183" s="77" t="s">
        <v>109</v>
      </c>
      <c r="S183" s="76" t="s">
        <v>46</v>
      </c>
      <c r="T183" s="77" t="s">
        <v>109</v>
      </c>
      <c r="U183" s="79">
        <v>40</v>
      </c>
      <c r="V183" s="77" t="s">
        <v>114</v>
      </c>
      <c r="W183" s="76" t="s">
        <v>52</v>
      </c>
      <c r="X183" s="77" t="s">
        <v>109</v>
      </c>
      <c r="Y183" s="79">
        <v>46</v>
      </c>
      <c r="Z183" s="77" t="s">
        <v>114</v>
      </c>
      <c r="AA183" s="76" t="s">
        <v>49</v>
      </c>
      <c r="AB183" s="77" t="s">
        <v>109</v>
      </c>
      <c r="AC183" s="76" t="s">
        <v>51</v>
      </c>
      <c r="AD183" s="77" t="s">
        <v>109</v>
      </c>
      <c r="AE183" s="79" t="s">
        <v>74</v>
      </c>
      <c r="AF183" s="77" t="s">
        <v>109</v>
      </c>
      <c r="AG183" s="76" t="s">
        <v>49</v>
      </c>
      <c r="AH183" s="77" t="s">
        <v>109</v>
      </c>
      <c r="AI183" s="81">
        <v>490</v>
      </c>
      <c r="AJ183" s="24" t="s">
        <v>117</v>
      </c>
      <c r="AK183" s="25" t="s">
        <v>112</v>
      </c>
    </row>
    <row r="184" spans="1:37" ht="15" customHeight="1">
      <c r="A184" s="85" t="s">
        <v>316</v>
      </c>
      <c r="B184" s="33" t="s">
        <v>317</v>
      </c>
      <c r="C184" s="83">
        <v>40</v>
      </c>
      <c r="D184" s="75" t="s">
        <v>113</v>
      </c>
      <c r="E184" s="76">
        <v>19</v>
      </c>
      <c r="F184" s="77" t="s">
        <v>113</v>
      </c>
      <c r="G184" s="76">
        <v>40</v>
      </c>
      <c r="H184" s="77" t="s">
        <v>113</v>
      </c>
      <c r="I184" s="78">
        <v>25</v>
      </c>
      <c r="J184" s="77" t="s">
        <v>110</v>
      </c>
      <c r="K184" s="76">
        <v>19</v>
      </c>
      <c r="L184" s="77" t="s">
        <v>113</v>
      </c>
      <c r="M184" s="76">
        <v>40</v>
      </c>
      <c r="N184" s="77" t="s">
        <v>113</v>
      </c>
      <c r="O184" s="79">
        <v>40</v>
      </c>
      <c r="P184" s="77" t="s">
        <v>113</v>
      </c>
      <c r="Q184" s="76">
        <v>19</v>
      </c>
      <c r="R184" s="77" t="s">
        <v>113</v>
      </c>
      <c r="S184" s="76">
        <v>20</v>
      </c>
      <c r="T184" s="77" t="s">
        <v>113</v>
      </c>
      <c r="U184" s="79">
        <v>16</v>
      </c>
      <c r="V184" s="77" t="s">
        <v>110</v>
      </c>
      <c r="W184" s="76">
        <v>16</v>
      </c>
      <c r="X184" s="77" t="s">
        <v>113</v>
      </c>
      <c r="Y184" s="79">
        <v>40</v>
      </c>
      <c r="Z184" s="77" t="s">
        <v>113</v>
      </c>
      <c r="AA184" s="76">
        <v>19</v>
      </c>
      <c r="AB184" s="77" t="s">
        <v>113</v>
      </c>
      <c r="AC184" s="76">
        <v>19</v>
      </c>
      <c r="AD184" s="77" t="s">
        <v>113</v>
      </c>
      <c r="AE184" s="79">
        <v>24</v>
      </c>
      <c r="AF184" s="77" t="s">
        <v>113</v>
      </c>
      <c r="AG184" s="76">
        <v>23</v>
      </c>
      <c r="AH184" s="77" t="s">
        <v>113</v>
      </c>
      <c r="AI184" s="81">
        <v>419</v>
      </c>
      <c r="AJ184" s="24" t="s">
        <v>111</v>
      </c>
      <c r="AK184" s="25" t="s">
        <v>118</v>
      </c>
    </row>
    <row r="185" spans="1:37" ht="15" customHeight="1">
      <c r="A185" s="85" t="s">
        <v>318</v>
      </c>
      <c r="B185" s="33" t="s">
        <v>319</v>
      </c>
      <c r="C185" s="83">
        <v>50</v>
      </c>
      <c r="D185" s="75" t="s">
        <v>113</v>
      </c>
      <c r="E185" s="76">
        <v>19</v>
      </c>
      <c r="F185" s="77" t="s">
        <v>113</v>
      </c>
      <c r="G185" s="76">
        <v>40</v>
      </c>
      <c r="H185" s="77" t="s">
        <v>113</v>
      </c>
      <c r="I185" s="78">
        <v>17</v>
      </c>
      <c r="J185" s="77" t="s">
        <v>110</v>
      </c>
      <c r="K185" s="76">
        <v>22</v>
      </c>
      <c r="L185" s="77" t="s">
        <v>113</v>
      </c>
      <c r="M185" s="76">
        <v>40</v>
      </c>
      <c r="N185" s="77" t="s">
        <v>113</v>
      </c>
      <c r="O185" s="79">
        <v>44</v>
      </c>
      <c r="P185" s="77" t="s">
        <v>113</v>
      </c>
      <c r="Q185" s="76">
        <v>20</v>
      </c>
      <c r="R185" s="77" t="s">
        <v>113</v>
      </c>
      <c r="S185" s="76">
        <v>20</v>
      </c>
      <c r="T185" s="77" t="s">
        <v>113</v>
      </c>
      <c r="U185" s="79">
        <v>26</v>
      </c>
      <c r="V185" s="77" t="s">
        <v>110</v>
      </c>
      <c r="W185" s="76">
        <v>16</v>
      </c>
      <c r="X185" s="77" t="s">
        <v>113</v>
      </c>
      <c r="Y185" s="79">
        <v>25</v>
      </c>
      <c r="Z185" s="77" t="s">
        <v>110</v>
      </c>
      <c r="AA185" s="76">
        <v>22</v>
      </c>
      <c r="AB185" s="77" t="s">
        <v>113</v>
      </c>
      <c r="AC185" s="76">
        <v>18</v>
      </c>
      <c r="AD185" s="77" t="s">
        <v>113</v>
      </c>
      <c r="AE185" s="79">
        <v>29</v>
      </c>
      <c r="AF185" s="77" t="s">
        <v>113</v>
      </c>
      <c r="AG185" s="76">
        <v>18</v>
      </c>
      <c r="AH185" s="77" t="s">
        <v>113</v>
      </c>
      <c r="AI185" s="81">
        <v>426</v>
      </c>
      <c r="AJ185" s="24" t="s">
        <v>111</v>
      </c>
      <c r="AK185" s="25" t="s">
        <v>454</v>
      </c>
    </row>
    <row r="186" spans="1:37" ht="15" customHeight="1">
      <c r="A186" s="85" t="s">
        <v>320</v>
      </c>
      <c r="B186" s="33" t="s">
        <v>321</v>
      </c>
      <c r="C186" s="83" t="s">
        <v>75</v>
      </c>
      <c r="D186" s="75" t="s">
        <v>114</v>
      </c>
      <c r="E186" s="76">
        <v>19</v>
      </c>
      <c r="F186" s="77" t="s">
        <v>113</v>
      </c>
      <c r="G186" s="76">
        <v>40</v>
      </c>
      <c r="H186" s="77" t="s">
        <v>113</v>
      </c>
      <c r="I186" s="78" t="s">
        <v>462</v>
      </c>
      <c r="J186" s="77" t="s">
        <v>110</v>
      </c>
      <c r="K186" s="76">
        <v>15</v>
      </c>
      <c r="L186" s="77" t="s">
        <v>113</v>
      </c>
      <c r="M186" s="76">
        <v>38</v>
      </c>
      <c r="N186" s="77" t="s">
        <v>113</v>
      </c>
      <c r="O186" s="79" t="s">
        <v>75</v>
      </c>
      <c r="P186" s="77" t="s">
        <v>114</v>
      </c>
      <c r="Q186" s="76">
        <v>20</v>
      </c>
      <c r="R186" s="77" t="s">
        <v>113</v>
      </c>
      <c r="S186" s="76">
        <v>19</v>
      </c>
      <c r="T186" s="77" t="s">
        <v>113</v>
      </c>
      <c r="U186" s="79" t="s">
        <v>75</v>
      </c>
      <c r="V186" s="77" t="s">
        <v>114</v>
      </c>
      <c r="W186" s="76">
        <v>19</v>
      </c>
      <c r="X186" s="77" t="s">
        <v>113</v>
      </c>
      <c r="Y186" s="79" t="s">
        <v>75</v>
      </c>
      <c r="Z186" s="77" t="s">
        <v>114</v>
      </c>
      <c r="AA186" s="76">
        <v>15</v>
      </c>
      <c r="AB186" s="77" t="s">
        <v>113</v>
      </c>
      <c r="AC186" s="76">
        <v>19</v>
      </c>
      <c r="AD186" s="77" t="s">
        <v>113</v>
      </c>
      <c r="AE186" s="79" t="s">
        <v>75</v>
      </c>
      <c r="AF186" s="77" t="s">
        <v>114</v>
      </c>
      <c r="AG186" s="76">
        <v>19</v>
      </c>
      <c r="AH186" s="77" t="s">
        <v>113</v>
      </c>
      <c r="AI186" s="81">
        <v>231</v>
      </c>
      <c r="AJ186" s="24" t="s">
        <v>111</v>
      </c>
      <c r="AK186" s="25" t="s">
        <v>455</v>
      </c>
    </row>
    <row r="187" spans="1:37" ht="15" customHeight="1">
      <c r="A187" s="85" t="s">
        <v>322</v>
      </c>
      <c r="B187" s="33" t="s">
        <v>323</v>
      </c>
      <c r="C187" s="83">
        <v>40</v>
      </c>
      <c r="D187" s="75" t="s">
        <v>113</v>
      </c>
      <c r="E187" s="76">
        <v>20</v>
      </c>
      <c r="F187" s="77" t="s">
        <v>113</v>
      </c>
      <c r="G187" s="76">
        <v>38</v>
      </c>
      <c r="H187" s="77" t="s">
        <v>113</v>
      </c>
      <c r="I187" s="78">
        <v>40</v>
      </c>
      <c r="J187" s="77" t="s">
        <v>113</v>
      </c>
      <c r="K187" s="76">
        <v>21</v>
      </c>
      <c r="L187" s="77" t="s">
        <v>113</v>
      </c>
      <c r="M187" s="76">
        <v>38</v>
      </c>
      <c r="N187" s="77" t="s">
        <v>113</v>
      </c>
      <c r="O187" s="79">
        <v>40</v>
      </c>
      <c r="P187" s="77" t="s">
        <v>113</v>
      </c>
      <c r="Q187" s="76">
        <v>20</v>
      </c>
      <c r="R187" s="77" t="s">
        <v>113</v>
      </c>
      <c r="S187" s="76">
        <v>20</v>
      </c>
      <c r="T187" s="77" t="s">
        <v>113</v>
      </c>
      <c r="U187" s="79">
        <v>32</v>
      </c>
      <c r="V187" s="77" t="s">
        <v>110</v>
      </c>
      <c r="W187" s="76">
        <v>20</v>
      </c>
      <c r="X187" s="77" t="s">
        <v>113</v>
      </c>
      <c r="Y187" s="79">
        <v>25</v>
      </c>
      <c r="Z187" s="77" t="s">
        <v>110</v>
      </c>
      <c r="AA187" s="76">
        <v>15</v>
      </c>
      <c r="AB187" s="77" t="s">
        <v>113</v>
      </c>
      <c r="AC187" s="76">
        <v>19</v>
      </c>
      <c r="AD187" s="77" t="s">
        <v>113</v>
      </c>
      <c r="AE187" s="79">
        <v>25</v>
      </c>
      <c r="AF187" s="77" t="s">
        <v>113</v>
      </c>
      <c r="AG187" s="76">
        <v>21</v>
      </c>
      <c r="AH187" s="77" t="s">
        <v>113</v>
      </c>
      <c r="AI187" s="81">
        <v>434</v>
      </c>
      <c r="AJ187" s="24" t="s">
        <v>111</v>
      </c>
      <c r="AK187" s="25" t="s">
        <v>456</v>
      </c>
    </row>
    <row r="188" spans="1:37" ht="15" customHeight="1">
      <c r="A188" s="85" t="s">
        <v>324</v>
      </c>
      <c r="B188" s="33" t="s">
        <v>325</v>
      </c>
      <c r="C188" s="83">
        <v>51</v>
      </c>
      <c r="D188" s="75" t="s">
        <v>113</v>
      </c>
      <c r="E188" s="76">
        <v>20</v>
      </c>
      <c r="F188" s="77" t="s">
        <v>113</v>
      </c>
      <c r="G188" s="76">
        <v>39</v>
      </c>
      <c r="H188" s="77" t="s">
        <v>113</v>
      </c>
      <c r="I188" s="78">
        <v>25</v>
      </c>
      <c r="J188" s="77" t="s">
        <v>110</v>
      </c>
      <c r="K188" s="76">
        <v>15</v>
      </c>
      <c r="L188" s="77" t="s">
        <v>113</v>
      </c>
      <c r="M188" s="76">
        <v>38</v>
      </c>
      <c r="N188" s="77" t="s">
        <v>113</v>
      </c>
      <c r="O188" s="79">
        <v>40</v>
      </c>
      <c r="P188" s="77" t="s">
        <v>113</v>
      </c>
      <c r="Q188" s="76">
        <v>19</v>
      </c>
      <c r="R188" s="77" t="s">
        <v>113</v>
      </c>
      <c r="S188" s="76">
        <v>19</v>
      </c>
      <c r="T188" s="77" t="s">
        <v>113</v>
      </c>
      <c r="U188" s="79">
        <v>32</v>
      </c>
      <c r="V188" s="77" t="s">
        <v>110</v>
      </c>
      <c r="W188" s="76">
        <v>20</v>
      </c>
      <c r="X188" s="77" t="s">
        <v>113</v>
      </c>
      <c r="Y188" s="79">
        <v>19</v>
      </c>
      <c r="Z188" s="77" t="s">
        <v>110</v>
      </c>
      <c r="AA188" s="76">
        <v>15</v>
      </c>
      <c r="AB188" s="77" t="s">
        <v>113</v>
      </c>
      <c r="AC188" s="76">
        <v>17</v>
      </c>
      <c r="AD188" s="77" t="s">
        <v>113</v>
      </c>
      <c r="AE188" s="79">
        <v>28</v>
      </c>
      <c r="AF188" s="77" t="s">
        <v>113</v>
      </c>
      <c r="AG188" s="76">
        <v>20</v>
      </c>
      <c r="AH188" s="77" t="s">
        <v>113</v>
      </c>
      <c r="AI188" s="81">
        <v>417</v>
      </c>
      <c r="AJ188" s="24" t="s">
        <v>111</v>
      </c>
      <c r="AK188" s="25" t="s">
        <v>131</v>
      </c>
    </row>
    <row r="189" spans="1:37" ht="15" customHeight="1">
      <c r="A189" s="85" t="s">
        <v>326</v>
      </c>
      <c r="B189" s="33" t="s">
        <v>327</v>
      </c>
      <c r="C189" s="83" t="s">
        <v>75</v>
      </c>
      <c r="D189" s="75" t="s">
        <v>114</v>
      </c>
      <c r="E189" s="76" t="s">
        <v>75</v>
      </c>
      <c r="F189" s="77" t="s">
        <v>114</v>
      </c>
      <c r="G189" s="76" t="s">
        <v>75</v>
      </c>
      <c r="H189" s="77" t="s">
        <v>114</v>
      </c>
      <c r="I189" s="78" t="s">
        <v>75</v>
      </c>
      <c r="J189" s="77" t="s">
        <v>114</v>
      </c>
      <c r="K189" s="76" t="s">
        <v>75</v>
      </c>
      <c r="L189" s="77" t="s">
        <v>114</v>
      </c>
      <c r="M189" s="76" t="s">
        <v>75</v>
      </c>
      <c r="N189" s="77" t="s">
        <v>114</v>
      </c>
      <c r="O189" s="79" t="s">
        <v>75</v>
      </c>
      <c r="P189" s="77" t="s">
        <v>114</v>
      </c>
      <c r="Q189" s="76" t="s">
        <v>75</v>
      </c>
      <c r="R189" s="77" t="s">
        <v>114</v>
      </c>
      <c r="S189" s="76" t="s">
        <v>75</v>
      </c>
      <c r="T189" s="77" t="s">
        <v>114</v>
      </c>
      <c r="U189" s="79" t="s">
        <v>75</v>
      </c>
      <c r="V189" s="77" t="s">
        <v>114</v>
      </c>
      <c r="W189" s="76" t="s">
        <v>75</v>
      </c>
      <c r="X189" s="77" t="s">
        <v>114</v>
      </c>
      <c r="Y189" s="79" t="s">
        <v>75</v>
      </c>
      <c r="Z189" s="77" t="s">
        <v>114</v>
      </c>
      <c r="AA189" s="76" t="s">
        <v>75</v>
      </c>
      <c r="AB189" s="77" t="s">
        <v>114</v>
      </c>
      <c r="AC189" s="76" t="s">
        <v>75</v>
      </c>
      <c r="AD189" s="77" t="s">
        <v>114</v>
      </c>
      <c r="AE189" s="79" t="s">
        <v>75</v>
      </c>
      <c r="AF189" s="77" t="s">
        <v>114</v>
      </c>
      <c r="AG189" s="76" t="s">
        <v>75</v>
      </c>
      <c r="AH189" s="77" t="s">
        <v>114</v>
      </c>
      <c r="AI189" s="81" t="s">
        <v>459</v>
      </c>
      <c r="AJ189" s="24" t="s">
        <v>119</v>
      </c>
      <c r="AK189" s="25" t="s">
        <v>109</v>
      </c>
    </row>
    <row r="190" spans="1:37" ht="15" customHeight="1">
      <c r="A190" s="85" t="s">
        <v>328</v>
      </c>
      <c r="B190" s="33" t="s">
        <v>329</v>
      </c>
      <c r="C190" s="83" t="s">
        <v>75</v>
      </c>
      <c r="D190" s="75" t="s">
        <v>114</v>
      </c>
      <c r="E190" s="76">
        <v>20</v>
      </c>
      <c r="F190" s="77" t="s">
        <v>113</v>
      </c>
      <c r="G190" s="76">
        <v>39</v>
      </c>
      <c r="H190" s="77" t="s">
        <v>113</v>
      </c>
      <c r="I190" s="78" t="s">
        <v>75</v>
      </c>
      <c r="J190" s="77" t="s">
        <v>114</v>
      </c>
      <c r="K190" s="76">
        <v>17</v>
      </c>
      <c r="L190" s="77" t="s">
        <v>113</v>
      </c>
      <c r="M190" s="76">
        <v>40</v>
      </c>
      <c r="N190" s="77" t="s">
        <v>113</v>
      </c>
      <c r="O190" s="79" t="s">
        <v>75</v>
      </c>
      <c r="P190" s="77" t="s">
        <v>114</v>
      </c>
      <c r="Q190" s="76">
        <v>19</v>
      </c>
      <c r="R190" s="77" t="s">
        <v>113</v>
      </c>
      <c r="S190" s="76" t="s">
        <v>75</v>
      </c>
      <c r="T190" s="77" t="s">
        <v>114</v>
      </c>
      <c r="U190" s="79" t="s">
        <v>75</v>
      </c>
      <c r="V190" s="77" t="s">
        <v>114</v>
      </c>
      <c r="W190" s="76">
        <v>16</v>
      </c>
      <c r="X190" s="77" t="s">
        <v>113</v>
      </c>
      <c r="Y190" s="79" t="s">
        <v>75</v>
      </c>
      <c r="Z190" s="77" t="s">
        <v>114</v>
      </c>
      <c r="AA190" s="76">
        <v>17</v>
      </c>
      <c r="AB190" s="77" t="s">
        <v>113</v>
      </c>
      <c r="AC190" s="76">
        <v>17</v>
      </c>
      <c r="AD190" s="77" t="s">
        <v>113</v>
      </c>
      <c r="AE190" s="79" t="s">
        <v>75</v>
      </c>
      <c r="AF190" s="77" t="s">
        <v>114</v>
      </c>
      <c r="AG190" s="76">
        <v>18</v>
      </c>
      <c r="AH190" s="77" t="s">
        <v>113</v>
      </c>
      <c r="AI190" s="81">
        <v>203</v>
      </c>
      <c r="AJ190" s="24" t="s">
        <v>111</v>
      </c>
      <c r="AK190" s="25" t="s">
        <v>457</v>
      </c>
    </row>
    <row r="191" spans="1:37" ht="15" customHeight="1">
      <c r="A191" s="85" t="s">
        <v>330</v>
      </c>
      <c r="B191" s="33" t="s">
        <v>331</v>
      </c>
      <c r="C191" s="83">
        <v>40</v>
      </c>
      <c r="D191" s="75" t="s">
        <v>113</v>
      </c>
      <c r="E191" s="76">
        <v>12</v>
      </c>
      <c r="F191" s="77" t="s">
        <v>113</v>
      </c>
      <c r="G191" s="76" t="s">
        <v>75</v>
      </c>
      <c r="H191" s="77" t="s">
        <v>114</v>
      </c>
      <c r="I191" s="78">
        <v>30</v>
      </c>
      <c r="J191" s="77" t="s">
        <v>110</v>
      </c>
      <c r="K191" s="76">
        <v>12</v>
      </c>
      <c r="L191" s="77" t="s">
        <v>113</v>
      </c>
      <c r="M191" s="76">
        <v>40</v>
      </c>
      <c r="N191" s="77" t="s">
        <v>113</v>
      </c>
      <c r="O191" s="79">
        <v>55</v>
      </c>
      <c r="P191" s="77" t="s">
        <v>113</v>
      </c>
      <c r="Q191" s="76">
        <v>12</v>
      </c>
      <c r="R191" s="77" t="s">
        <v>113</v>
      </c>
      <c r="S191" s="76">
        <v>20</v>
      </c>
      <c r="T191" s="77" t="s">
        <v>113</v>
      </c>
      <c r="U191" s="79">
        <v>27</v>
      </c>
      <c r="V191" s="77" t="s">
        <v>110</v>
      </c>
      <c r="W191" s="76">
        <v>12</v>
      </c>
      <c r="X191" s="77" t="s">
        <v>113</v>
      </c>
      <c r="Y191" s="79" t="s">
        <v>75</v>
      </c>
      <c r="Z191" s="77" t="s">
        <v>114</v>
      </c>
      <c r="AA191" s="76">
        <v>12</v>
      </c>
      <c r="AB191" s="77" t="s">
        <v>113</v>
      </c>
      <c r="AC191" s="76">
        <v>20</v>
      </c>
      <c r="AD191" s="77" t="s">
        <v>113</v>
      </c>
      <c r="AE191" s="79">
        <v>31</v>
      </c>
      <c r="AF191" s="77" t="s">
        <v>113</v>
      </c>
      <c r="AG191" s="76">
        <v>12</v>
      </c>
      <c r="AH191" s="77" t="s">
        <v>113</v>
      </c>
      <c r="AI191" s="81">
        <v>335</v>
      </c>
      <c r="AJ191" s="24" t="s">
        <v>111</v>
      </c>
      <c r="AK191" s="25" t="s">
        <v>458</v>
      </c>
    </row>
    <row r="192" spans="1:37" ht="15" customHeight="1">
      <c r="A192" s="85" t="s">
        <v>332</v>
      </c>
      <c r="B192" s="33" t="s">
        <v>333</v>
      </c>
      <c r="C192" s="83" t="s">
        <v>75</v>
      </c>
      <c r="D192" s="75" t="s">
        <v>114</v>
      </c>
      <c r="E192" s="76" t="s">
        <v>75</v>
      </c>
      <c r="F192" s="77" t="s">
        <v>114</v>
      </c>
      <c r="G192" s="76" t="s">
        <v>75</v>
      </c>
      <c r="H192" s="77" t="s">
        <v>114</v>
      </c>
      <c r="I192" s="78" t="s">
        <v>75</v>
      </c>
      <c r="J192" s="77" t="s">
        <v>114</v>
      </c>
      <c r="K192" s="76" t="s">
        <v>75</v>
      </c>
      <c r="L192" s="77" t="s">
        <v>114</v>
      </c>
      <c r="M192" s="76" t="s">
        <v>75</v>
      </c>
      <c r="N192" s="77" t="s">
        <v>114</v>
      </c>
      <c r="O192" s="79" t="s">
        <v>75</v>
      </c>
      <c r="P192" s="77" t="s">
        <v>114</v>
      </c>
      <c r="Q192" s="76" t="s">
        <v>75</v>
      </c>
      <c r="R192" s="77" t="s">
        <v>114</v>
      </c>
      <c r="S192" s="76" t="s">
        <v>75</v>
      </c>
      <c r="T192" s="77" t="s">
        <v>114</v>
      </c>
      <c r="U192" s="79" t="s">
        <v>75</v>
      </c>
      <c r="V192" s="77" t="s">
        <v>114</v>
      </c>
      <c r="W192" s="76" t="s">
        <v>75</v>
      </c>
      <c r="X192" s="77" t="s">
        <v>114</v>
      </c>
      <c r="Y192" s="79" t="s">
        <v>75</v>
      </c>
      <c r="Z192" s="77" t="s">
        <v>114</v>
      </c>
      <c r="AA192" s="76" t="s">
        <v>75</v>
      </c>
      <c r="AB192" s="77" t="s">
        <v>114</v>
      </c>
      <c r="AC192" s="76" t="s">
        <v>75</v>
      </c>
      <c r="AD192" s="77" t="s">
        <v>114</v>
      </c>
      <c r="AE192" s="79" t="s">
        <v>75</v>
      </c>
      <c r="AF192" s="77" t="s">
        <v>114</v>
      </c>
      <c r="AG192" s="76" t="s">
        <v>75</v>
      </c>
      <c r="AH192" s="77" t="s">
        <v>114</v>
      </c>
      <c r="AI192" s="81" t="s">
        <v>459</v>
      </c>
      <c r="AJ192" s="24" t="s">
        <v>119</v>
      </c>
      <c r="AK192" s="25" t="s">
        <v>109</v>
      </c>
    </row>
    <row r="193" spans="1:37" ht="15" customHeight="1">
      <c r="A193" s="85" t="s">
        <v>334</v>
      </c>
      <c r="B193" s="33" t="s">
        <v>335</v>
      </c>
      <c r="C193" s="83" t="s">
        <v>75</v>
      </c>
      <c r="D193" s="75" t="s">
        <v>114</v>
      </c>
      <c r="E193" s="76" t="s">
        <v>75</v>
      </c>
      <c r="F193" s="77" t="s">
        <v>114</v>
      </c>
      <c r="G193" s="76" t="s">
        <v>75</v>
      </c>
      <c r="H193" s="77" t="s">
        <v>114</v>
      </c>
      <c r="I193" s="78" t="s">
        <v>75</v>
      </c>
      <c r="J193" s="77" t="s">
        <v>114</v>
      </c>
      <c r="K193" s="76" t="s">
        <v>75</v>
      </c>
      <c r="L193" s="77" t="s">
        <v>114</v>
      </c>
      <c r="M193" s="76" t="s">
        <v>75</v>
      </c>
      <c r="N193" s="77" t="s">
        <v>114</v>
      </c>
      <c r="O193" s="79" t="s">
        <v>75</v>
      </c>
      <c r="P193" s="77" t="s">
        <v>114</v>
      </c>
      <c r="Q193" s="76" t="s">
        <v>75</v>
      </c>
      <c r="R193" s="77" t="s">
        <v>114</v>
      </c>
      <c r="S193" s="76" t="s">
        <v>75</v>
      </c>
      <c r="T193" s="77" t="s">
        <v>114</v>
      </c>
      <c r="U193" s="79" t="s">
        <v>75</v>
      </c>
      <c r="V193" s="77" t="s">
        <v>114</v>
      </c>
      <c r="W193" s="76" t="s">
        <v>75</v>
      </c>
      <c r="X193" s="77" t="s">
        <v>114</v>
      </c>
      <c r="Y193" s="79" t="s">
        <v>75</v>
      </c>
      <c r="Z193" s="77" t="s">
        <v>114</v>
      </c>
      <c r="AA193" s="76" t="s">
        <v>75</v>
      </c>
      <c r="AB193" s="77" t="s">
        <v>114</v>
      </c>
      <c r="AC193" s="76" t="s">
        <v>75</v>
      </c>
      <c r="AD193" s="77" t="s">
        <v>114</v>
      </c>
      <c r="AE193" s="79" t="s">
        <v>75</v>
      </c>
      <c r="AF193" s="77" t="s">
        <v>114</v>
      </c>
      <c r="AG193" s="76" t="s">
        <v>75</v>
      </c>
      <c r="AH193" s="77" t="s">
        <v>114</v>
      </c>
      <c r="AI193" s="81" t="s">
        <v>459</v>
      </c>
      <c r="AJ193" s="24" t="s">
        <v>119</v>
      </c>
      <c r="AK193" s="25" t="s">
        <v>109</v>
      </c>
    </row>
    <row r="194" spans="1:37" ht="15" customHeight="1">
      <c r="A194" s="97">
        <v>235265</v>
      </c>
      <c r="B194" s="98" t="s">
        <v>531</v>
      </c>
      <c r="C194" s="95">
        <v>44</v>
      </c>
      <c r="D194" s="89"/>
      <c r="E194" s="94">
        <v>21</v>
      </c>
      <c r="F194" s="89"/>
      <c r="G194" s="94">
        <v>41</v>
      </c>
      <c r="H194" s="90"/>
      <c r="I194" s="92">
        <v>43</v>
      </c>
      <c r="J194" s="90"/>
      <c r="K194" s="94">
        <v>22</v>
      </c>
      <c r="L194" s="90"/>
      <c r="M194" s="94">
        <v>37</v>
      </c>
      <c r="N194" s="90"/>
      <c r="O194" s="92">
        <v>40</v>
      </c>
      <c r="P194" s="90"/>
      <c r="Q194" s="94">
        <v>21</v>
      </c>
      <c r="R194" s="90"/>
      <c r="S194" s="94">
        <v>21</v>
      </c>
      <c r="T194" s="90"/>
      <c r="U194" s="92" t="s">
        <v>343</v>
      </c>
      <c r="V194" s="90"/>
      <c r="W194" s="94">
        <v>23</v>
      </c>
      <c r="X194" s="90"/>
      <c r="Y194" s="92">
        <v>45</v>
      </c>
      <c r="Z194" s="90"/>
      <c r="AA194" s="94">
        <v>20</v>
      </c>
      <c r="AB194" s="90"/>
      <c r="AC194" s="94">
        <v>21</v>
      </c>
      <c r="AD194" s="90"/>
      <c r="AE194" s="92">
        <v>28</v>
      </c>
      <c r="AF194" s="89"/>
      <c r="AG194" s="94">
        <v>23</v>
      </c>
      <c r="AH194" s="90"/>
      <c r="AI194" s="109" t="s">
        <v>664</v>
      </c>
      <c r="AJ194" s="24" t="str">
        <f t="shared" ref="AJ194" si="2">IF(AND(COUNTIF(C194:AH194,"AB")&lt;16-COUNTIF(C194:AH194," "),
COUNTIF(C194:AH194,"AB")&lt;&gt;0),"FAIL",
IF(COUNTIF(C194:AH194,"AB")=16-COUNTIF(C194:AH194," "),"ABSENT",
IF(AND(COUNTIF(C194:AH194,"AB")=0,COUNTIF(C194:AH194,"F")=0),"PASS","FAIL")))</f>
        <v>PASS</v>
      </c>
      <c r="AK194" s="25" t="str">
        <f>SPELLNUMBER(extractnumber_tot(AI194))</f>
        <v xml:space="preserve">Four Hundred Eighty Two </v>
      </c>
    </row>
  </sheetData>
  <conditionalFormatting sqref="E2:E47 K2:K47 AG2:AG47 G2:G47 M2:M47 Q2:Q47 S2:S47 W2:W47 AA2:AA47 AC2:AC47 C2:C47 I2:I47 O2:O47 U2:U47 Y2:Y47 AE2:AE47">
    <cfRule type="cellIs" dxfId="41" priority="30" operator="equal">
      <formula>"AB"</formula>
    </cfRule>
  </conditionalFormatting>
  <conditionalFormatting sqref="C2:C47 I2:I47 O2:O47 U2:U47 Y2:Y47">
    <cfRule type="cellIs" dxfId="40" priority="29" operator="lessThan">
      <formula>40</formula>
    </cfRule>
  </conditionalFormatting>
  <conditionalFormatting sqref="K2:K47 E2:E47 AG2:AG47 Q2:Q47 S2:S47 W2:W47 AA2:AA47 AC2:AC47">
    <cfRule type="cellIs" dxfId="39" priority="28" operator="lessThan">
      <formula>10</formula>
    </cfRule>
  </conditionalFormatting>
  <conditionalFormatting sqref="G2:G47 M2:M47 AE2:AE47">
    <cfRule type="cellIs" dxfId="38" priority="27" operator="lessThan">
      <formula>20</formula>
    </cfRule>
  </conditionalFormatting>
  <conditionalFormatting sqref="AJ2:AJ47">
    <cfRule type="cellIs" dxfId="37" priority="26" operator="equal">
      <formula>"FAIL"</formula>
    </cfRule>
  </conditionalFormatting>
  <conditionalFormatting sqref="D2:D47 F2:F47 H2:H47 J2:J47 L2:L47 N2:N47 P2:P47 R2:R47 T2:T47 V2:V47 X2:X47 Z2:Z47 AB2:AB47 AD2:AD47 AF2:AF47 AH2:AH47">
    <cfRule type="cellIs" dxfId="36" priority="25" operator="equal">
      <formula>"F"</formula>
    </cfRule>
  </conditionalFormatting>
  <conditionalFormatting sqref="AJ2:AJ193">
    <cfRule type="cellIs" dxfId="35" priority="24" operator="equal">
      <formula>"FAIL"</formula>
    </cfRule>
  </conditionalFormatting>
  <conditionalFormatting sqref="Z2:Z193 H2:H193 J2:J193 L2:L193 N2:N193 P2:P193 R2:R193 T2:T193 V2:V193 X2:X193 AB2:AB193 AD2:AD193 AF2:AF193 AH2:AH193 D2:D193 F2:F193">
    <cfRule type="cellIs" dxfId="34" priority="23" operator="equal">
      <formula>"F"</formula>
    </cfRule>
  </conditionalFormatting>
  <conditionalFormatting sqref="C2:C193 E2:E193 G2:G193 K2:K193 M2:M193 Q2:Q193 S2:S193 W2:W193 AA2:AA193 AC2:AC193 AG2:AG193 I2:I193 O2:O193 U2:U193 Y2:Y193 AE2:AE193">
    <cfRule type="cellIs" dxfId="33" priority="22" operator="equal">
      <formula>"AB"</formula>
    </cfRule>
  </conditionalFormatting>
  <conditionalFormatting sqref="C2:C193 I2:I193 O2:O193 U2:U193 Y2:Y193">
    <cfRule type="cellIs" dxfId="32" priority="21" operator="lessThan">
      <formula>40</formula>
    </cfRule>
  </conditionalFormatting>
  <conditionalFormatting sqref="E2:E193 K2:K193 Q2:Q193 S2:S193 W2:W193 AA2:AA193 AC2:AC193 AG2:AG193">
    <cfRule type="cellIs" dxfId="31" priority="20" operator="lessThan">
      <formula>10</formula>
    </cfRule>
  </conditionalFormatting>
  <conditionalFormatting sqref="G2:G193 M2:M193 AE2:AE193">
    <cfRule type="cellIs" dxfId="30" priority="19" operator="lessThan">
      <formula>20</formula>
    </cfRule>
  </conditionalFormatting>
  <conditionalFormatting sqref="AJ84">
    <cfRule type="cellIs" dxfId="29" priority="18" operator="equal">
      <formula>"FAIL"</formula>
    </cfRule>
  </conditionalFormatting>
  <conditionalFormatting sqref="AB84 AD84 AF84 AH84 D84 F84 H84 J84 L84 N84 P84 R84 T84 V84 X84 Z84">
    <cfRule type="cellIs" dxfId="28" priority="17" operator="equal">
      <formula>"F"</formula>
    </cfRule>
  </conditionalFormatting>
  <conditionalFormatting sqref="C84 E84 G84 K84 M84 Q84 S84 W84 AA84 AC84 AG84 I84 O84 U84 Y84 AE84">
    <cfRule type="cellIs" dxfId="27" priority="16" operator="equal">
      <formula>"AB"</formula>
    </cfRule>
  </conditionalFormatting>
  <conditionalFormatting sqref="C84 I84 O84 U84 Y84">
    <cfRule type="cellIs" dxfId="26" priority="15" operator="lessThan">
      <formula>40</formula>
    </cfRule>
  </conditionalFormatting>
  <conditionalFormatting sqref="E84 K84 Q84 S84 W84 AA84 AC84 AG84">
    <cfRule type="cellIs" dxfId="25" priority="14" operator="lessThan">
      <formula>10</formula>
    </cfRule>
  </conditionalFormatting>
  <conditionalFormatting sqref="G84 M84 AE84">
    <cfRule type="cellIs" dxfId="24" priority="13" operator="lessThan">
      <formula>20</formula>
    </cfRule>
  </conditionalFormatting>
  <conditionalFormatting sqref="AJ95">
    <cfRule type="cellIs" dxfId="23" priority="12" operator="equal">
      <formula>"FAIL"</formula>
    </cfRule>
  </conditionalFormatting>
  <conditionalFormatting sqref="AB95 AD95 AF95 AH95 D95 F95 H95 J95 L95 N95 P95 R95 T95 V95 X95 Z95">
    <cfRule type="cellIs" dxfId="22" priority="11" operator="equal">
      <formula>"F"</formula>
    </cfRule>
  </conditionalFormatting>
  <conditionalFormatting sqref="C95 E95 G95 K95 M95 Q95 S95 W95 AA95 AC95 AG95 I95 O95 U95 Y95 AE95">
    <cfRule type="cellIs" dxfId="21" priority="10" operator="equal">
      <formula>"AB"</formula>
    </cfRule>
  </conditionalFormatting>
  <conditionalFormatting sqref="C95 I95 O95 U95 Y95">
    <cfRule type="cellIs" dxfId="20" priority="9" operator="lessThan">
      <formula>40</formula>
    </cfRule>
  </conditionalFormatting>
  <conditionalFormatting sqref="E95 K95 Q95 S95 W95 AA95 AC95 AG95">
    <cfRule type="cellIs" dxfId="19" priority="8" operator="lessThan">
      <formula>10</formula>
    </cfRule>
  </conditionalFormatting>
  <conditionalFormatting sqref="G95 M95 AE95">
    <cfRule type="cellIs" dxfId="18" priority="7" operator="lessThan">
      <formula>20</formula>
    </cfRule>
  </conditionalFormatting>
  <conditionalFormatting sqref="C194 I194 O194 U194 Y194 E194 G194 K194 M194 Q194 W194 AA194 AE194 AG194 S194 AC194">
    <cfRule type="cellIs" dxfId="11" priority="6" operator="equal">
      <formula>"AB"</formula>
    </cfRule>
  </conditionalFormatting>
  <conditionalFormatting sqref="C194 I194 O194 U194 Y194">
    <cfRule type="cellIs" dxfId="9" priority="5" operator="lessThan">
      <formula>40</formula>
    </cfRule>
  </conditionalFormatting>
  <conditionalFormatting sqref="E194 K194 Q194 W194 AA194 AG194 S194 AC194">
    <cfRule type="cellIs" dxfId="7" priority="4" operator="lessThan">
      <formula>10</formula>
    </cfRule>
  </conditionalFormatting>
  <conditionalFormatting sqref="G194 M194 AE194">
    <cfRule type="cellIs" dxfId="5" priority="3" operator="lessThan">
      <formula>20</formula>
    </cfRule>
  </conditionalFormatting>
  <conditionalFormatting sqref="AJ194">
    <cfRule type="cellIs" dxfId="3" priority="2" operator="equal">
      <formula>"FAIL"</formula>
    </cfRule>
  </conditionalFormatting>
  <conditionalFormatting sqref="L194 D194 F194 H194 J194 N194 P194 R194 T194 V194 X194 Z194 AB194 AD194 AF194 AH194">
    <cfRule type="cellIs" dxfId="1" priority="1" operator="equal">
      <formula>"F"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AK193"/>
  <sheetViews>
    <sheetView topLeftCell="A163" workbookViewId="0">
      <selection activeCell="I186" sqref="I186"/>
    </sheetView>
  </sheetViews>
  <sheetFormatPr defaultRowHeight="15"/>
  <cols>
    <col min="2" max="2" width="37.7109375" customWidth="1"/>
    <col min="3" max="34" width="3.7109375" customWidth="1"/>
  </cols>
  <sheetData>
    <row r="1" spans="1:37" ht="15" customHeight="1">
      <c r="A1" t="s">
        <v>132</v>
      </c>
      <c r="B1" t="s">
        <v>133</v>
      </c>
      <c r="C1" t="s">
        <v>134</v>
      </c>
      <c r="E1" t="s">
        <v>135</v>
      </c>
      <c r="G1" t="s">
        <v>136</v>
      </c>
      <c r="I1" t="s">
        <v>137</v>
      </c>
      <c r="K1" t="s">
        <v>138</v>
      </c>
      <c r="M1" t="s">
        <v>139</v>
      </c>
      <c r="O1" t="s">
        <v>140</v>
      </c>
      <c r="Q1" t="s">
        <v>141</v>
      </c>
      <c r="S1" t="s">
        <v>142</v>
      </c>
      <c r="U1" t="s">
        <v>143</v>
      </c>
      <c r="W1" t="s">
        <v>144</v>
      </c>
      <c r="Y1" t="s">
        <v>145</v>
      </c>
      <c r="AA1" t="s">
        <v>146</v>
      </c>
      <c r="AC1" t="s">
        <v>147</v>
      </c>
      <c r="AE1" t="s">
        <v>148</v>
      </c>
      <c r="AG1" t="s">
        <v>149</v>
      </c>
      <c r="AI1" t="s">
        <v>150</v>
      </c>
      <c r="AJ1" t="s">
        <v>7</v>
      </c>
      <c r="AK1" t="s">
        <v>151</v>
      </c>
    </row>
    <row r="2" spans="1:37" ht="14.1" customHeight="1">
      <c r="A2" s="84">
        <v>225201</v>
      </c>
      <c r="B2" s="30" t="s">
        <v>152</v>
      </c>
      <c r="C2" s="34">
        <v>59</v>
      </c>
      <c r="D2" s="86" t="s">
        <v>114</v>
      </c>
      <c r="E2" s="87">
        <v>23</v>
      </c>
      <c r="F2" s="86" t="s">
        <v>114</v>
      </c>
      <c r="G2" s="87">
        <v>41</v>
      </c>
      <c r="H2" s="88" t="s">
        <v>114</v>
      </c>
      <c r="I2" s="41">
        <v>64</v>
      </c>
      <c r="J2" s="86" t="s">
        <v>114</v>
      </c>
      <c r="K2" s="87">
        <v>23</v>
      </c>
      <c r="L2" s="86" t="s">
        <v>114</v>
      </c>
      <c r="M2" s="87">
        <v>42</v>
      </c>
      <c r="N2" s="86" t="s">
        <v>114</v>
      </c>
      <c r="O2" s="42">
        <v>40</v>
      </c>
      <c r="P2" s="86" t="s">
        <v>114</v>
      </c>
      <c r="Q2" s="87">
        <v>23</v>
      </c>
      <c r="R2" s="86" t="s">
        <v>114</v>
      </c>
      <c r="S2" s="87">
        <v>21</v>
      </c>
      <c r="T2" s="86" t="s">
        <v>114</v>
      </c>
      <c r="U2" s="42">
        <v>50</v>
      </c>
      <c r="V2" s="86" t="s">
        <v>114</v>
      </c>
      <c r="W2" s="87">
        <v>23</v>
      </c>
      <c r="X2" s="88" t="s">
        <v>114</v>
      </c>
      <c r="Y2" s="45">
        <v>56</v>
      </c>
      <c r="Z2" s="86" t="s">
        <v>114</v>
      </c>
      <c r="AA2" s="87">
        <v>23</v>
      </c>
      <c r="AB2" s="86" t="s">
        <v>114</v>
      </c>
      <c r="AC2" s="87">
        <v>22</v>
      </c>
      <c r="AD2" s="86" t="s">
        <v>114</v>
      </c>
      <c r="AE2" s="42">
        <v>24</v>
      </c>
      <c r="AF2" s="86" t="s">
        <v>114</v>
      </c>
      <c r="AG2" s="87">
        <v>23</v>
      </c>
      <c r="AH2" s="88" t="s">
        <v>114</v>
      </c>
      <c r="AI2" s="23">
        <v>557</v>
      </c>
      <c r="AJ2" s="24" t="s">
        <v>117</v>
      </c>
      <c r="AK2" s="25" t="str">
        <f>SPELLNUMBER(extractnumber_tot(AI2))</f>
        <v xml:space="preserve">Five Hundred Fifty Seven </v>
      </c>
    </row>
    <row r="3" spans="1:37" ht="14.1" customHeight="1">
      <c r="A3" s="84">
        <v>225202</v>
      </c>
      <c r="B3" s="30" t="s">
        <v>153</v>
      </c>
      <c r="C3" s="34">
        <v>40</v>
      </c>
      <c r="D3" s="86" t="s">
        <v>113</v>
      </c>
      <c r="E3" s="87">
        <v>20</v>
      </c>
      <c r="F3" s="88" t="s">
        <v>113</v>
      </c>
      <c r="G3" s="87">
        <v>41</v>
      </c>
      <c r="H3" s="88" t="s">
        <v>113</v>
      </c>
      <c r="I3" s="41">
        <v>58</v>
      </c>
      <c r="J3" s="88" t="s">
        <v>113</v>
      </c>
      <c r="K3" s="87">
        <v>23</v>
      </c>
      <c r="L3" s="88" t="s">
        <v>113</v>
      </c>
      <c r="M3" s="87">
        <v>38</v>
      </c>
      <c r="N3" s="88" t="s">
        <v>113</v>
      </c>
      <c r="O3" s="42">
        <v>44</v>
      </c>
      <c r="P3" s="88" t="s">
        <v>113</v>
      </c>
      <c r="Q3" s="87">
        <v>20</v>
      </c>
      <c r="R3" s="88" t="s">
        <v>113</v>
      </c>
      <c r="S3" s="87">
        <v>21</v>
      </c>
      <c r="T3" s="88" t="s">
        <v>113</v>
      </c>
      <c r="U3" s="42">
        <v>0</v>
      </c>
      <c r="V3" s="88" t="s">
        <v>110</v>
      </c>
      <c r="W3" s="87">
        <v>20</v>
      </c>
      <c r="X3" s="86" t="s">
        <v>113</v>
      </c>
      <c r="Y3" s="42">
        <v>4</v>
      </c>
      <c r="Z3" s="88" t="s">
        <v>110</v>
      </c>
      <c r="AA3" s="87">
        <v>23</v>
      </c>
      <c r="AB3" s="88" t="s">
        <v>113</v>
      </c>
      <c r="AC3" s="87">
        <v>20</v>
      </c>
      <c r="AD3" s="88" t="s">
        <v>113</v>
      </c>
      <c r="AE3" s="42">
        <v>27</v>
      </c>
      <c r="AF3" s="88" t="s">
        <v>113</v>
      </c>
      <c r="AG3" s="87">
        <v>23</v>
      </c>
      <c r="AH3" s="88" t="s">
        <v>113</v>
      </c>
      <c r="AI3" s="23">
        <v>422</v>
      </c>
      <c r="AJ3" s="24" t="s">
        <v>111</v>
      </c>
      <c r="AK3" s="25" t="str">
        <f>SPELLNUMBER(extractnumber_tot(AI3))</f>
        <v xml:space="preserve">Four Hundred Twenty Two </v>
      </c>
    </row>
    <row r="4" spans="1:37" ht="14.1" customHeight="1">
      <c r="A4" s="84">
        <v>225203</v>
      </c>
      <c r="B4" s="30" t="s">
        <v>154</v>
      </c>
      <c r="C4" s="34">
        <v>46</v>
      </c>
      <c r="D4" s="86" t="s">
        <v>114</v>
      </c>
      <c r="E4" s="87">
        <v>19</v>
      </c>
      <c r="F4" s="88" t="s">
        <v>114</v>
      </c>
      <c r="G4" s="87">
        <v>41</v>
      </c>
      <c r="H4" s="88" t="s">
        <v>114</v>
      </c>
      <c r="I4" s="41">
        <v>58</v>
      </c>
      <c r="J4" s="88" t="s">
        <v>114</v>
      </c>
      <c r="K4" s="87">
        <v>22</v>
      </c>
      <c r="L4" s="88" t="s">
        <v>114</v>
      </c>
      <c r="M4" s="87">
        <v>44</v>
      </c>
      <c r="N4" s="88" t="s">
        <v>114</v>
      </c>
      <c r="O4" s="42">
        <v>40</v>
      </c>
      <c r="P4" s="88" t="s">
        <v>114</v>
      </c>
      <c r="Q4" s="87">
        <v>19</v>
      </c>
      <c r="R4" s="88" t="s">
        <v>114</v>
      </c>
      <c r="S4" s="87">
        <v>21</v>
      </c>
      <c r="T4" s="88" t="s">
        <v>114</v>
      </c>
      <c r="U4" s="42">
        <v>40</v>
      </c>
      <c r="V4" s="88" t="s">
        <v>114</v>
      </c>
      <c r="W4" s="87">
        <v>19</v>
      </c>
      <c r="X4" s="88" t="s">
        <v>114</v>
      </c>
      <c r="Y4" s="42">
        <v>48</v>
      </c>
      <c r="Z4" s="88" t="s">
        <v>114</v>
      </c>
      <c r="AA4" s="87">
        <v>22</v>
      </c>
      <c r="AB4" s="88" t="s">
        <v>114</v>
      </c>
      <c r="AC4" s="87">
        <v>17</v>
      </c>
      <c r="AD4" s="88" t="s">
        <v>114</v>
      </c>
      <c r="AE4" s="42">
        <v>24</v>
      </c>
      <c r="AF4" s="88" t="s">
        <v>114</v>
      </c>
      <c r="AG4" s="87">
        <v>18</v>
      </c>
      <c r="AH4" s="88" t="s">
        <v>114</v>
      </c>
      <c r="AI4" s="23">
        <v>498</v>
      </c>
      <c r="AJ4" s="24" t="s">
        <v>117</v>
      </c>
      <c r="AK4" s="25" t="str">
        <f>SPELLNUMBER(extractnumber_tot(AI4))</f>
        <v xml:space="preserve">Four Hundred NinetyEight </v>
      </c>
    </row>
    <row r="5" spans="1:37" ht="14.1" customHeight="1">
      <c r="A5" s="84">
        <v>225204</v>
      </c>
      <c r="B5" s="30" t="s">
        <v>155</v>
      </c>
      <c r="C5" s="34">
        <v>46</v>
      </c>
      <c r="D5" s="86" t="s">
        <v>114</v>
      </c>
      <c r="E5" s="87">
        <v>18</v>
      </c>
      <c r="F5" s="88" t="s">
        <v>114</v>
      </c>
      <c r="G5" s="87">
        <v>39</v>
      </c>
      <c r="H5" s="88" t="s">
        <v>114</v>
      </c>
      <c r="I5" s="41">
        <v>61</v>
      </c>
      <c r="J5" s="88" t="s">
        <v>114</v>
      </c>
      <c r="K5" s="87">
        <v>22</v>
      </c>
      <c r="L5" s="88" t="s">
        <v>114</v>
      </c>
      <c r="M5" s="87">
        <v>42</v>
      </c>
      <c r="N5" s="88" t="s">
        <v>114</v>
      </c>
      <c r="O5" s="42">
        <v>40</v>
      </c>
      <c r="P5" s="88" t="s">
        <v>114</v>
      </c>
      <c r="Q5" s="87">
        <v>18</v>
      </c>
      <c r="R5" s="88" t="s">
        <v>114</v>
      </c>
      <c r="S5" s="87">
        <v>20</v>
      </c>
      <c r="T5" s="88" t="s">
        <v>114</v>
      </c>
      <c r="U5" s="42">
        <v>41</v>
      </c>
      <c r="V5" s="88" t="s">
        <v>114</v>
      </c>
      <c r="W5" s="87">
        <v>16</v>
      </c>
      <c r="X5" s="88" t="s">
        <v>114</v>
      </c>
      <c r="Y5" s="42">
        <v>50</v>
      </c>
      <c r="Z5" s="88" t="s">
        <v>114</v>
      </c>
      <c r="AA5" s="87">
        <v>22</v>
      </c>
      <c r="AB5" s="88" t="s">
        <v>114</v>
      </c>
      <c r="AC5" s="87">
        <v>19</v>
      </c>
      <c r="AD5" s="88" t="s">
        <v>114</v>
      </c>
      <c r="AE5" s="42">
        <v>20</v>
      </c>
      <c r="AF5" s="88" t="s">
        <v>114</v>
      </c>
      <c r="AG5" s="87">
        <v>16</v>
      </c>
      <c r="AH5" s="88" t="s">
        <v>114</v>
      </c>
      <c r="AI5" s="23">
        <v>490</v>
      </c>
      <c r="AJ5" s="24" t="s">
        <v>117</v>
      </c>
      <c r="AK5" s="25" t="str">
        <f>SPELLNUMBER(extractnumber_tot(AI5))</f>
        <v xml:space="preserve">Four Hundred Ninety </v>
      </c>
    </row>
    <row r="6" spans="1:37" ht="14.1" customHeight="1">
      <c r="A6" s="84">
        <v>225205</v>
      </c>
      <c r="B6" s="30" t="s">
        <v>156</v>
      </c>
      <c r="C6" s="34">
        <v>71</v>
      </c>
      <c r="D6" s="86" t="s">
        <v>114</v>
      </c>
      <c r="E6" s="87">
        <v>24</v>
      </c>
      <c r="F6" s="88" t="s">
        <v>114</v>
      </c>
      <c r="G6" s="87">
        <v>42</v>
      </c>
      <c r="H6" s="88" t="s">
        <v>114</v>
      </c>
      <c r="I6" s="41">
        <v>85</v>
      </c>
      <c r="J6" s="88" t="s">
        <v>114</v>
      </c>
      <c r="K6" s="87">
        <v>21</v>
      </c>
      <c r="L6" s="88" t="s">
        <v>114</v>
      </c>
      <c r="M6" s="87">
        <v>40</v>
      </c>
      <c r="N6" s="88" t="s">
        <v>114</v>
      </c>
      <c r="O6" s="42">
        <v>75</v>
      </c>
      <c r="P6" s="88" t="s">
        <v>114</v>
      </c>
      <c r="Q6" s="87">
        <v>24</v>
      </c>
      <c r="R6" s="88" t="s">
        <v>114</v>
      </c>
      <c r="S6" s="87">
        <v>22</v>
      </c>
      <c r="T6" s="88" t="s">
        <v>114</v>
      </c>
      <c r="U6" s="42">
        <v>68</v>
      </c>
      <c r="V6" s="88" t="s">
        <v>114</v>
      </c>
      <c r="W6" s="87">
        <v>22</v>
      </c>
      <c r="X6" s="88" t="s">
        <v>114</v>
      </c>
      <c r="Y6" s="42">
        <v>69</v>
      </c>
      <c r="Z6" s="88" t="s">
        <v>114</v>
      </c>
      <c r="AA6" s="87">
        <v>21</v>
      </c>
      <c r="AB6" s="88" t="s">
        <v>114</v>
      </c>
      <c r="AC6" s="87">
        <v>19</v>
      </c>
      <c r="AD6" s="88" t="s">
        <v>114</v>
      </c>
      <c r="AE6" s="42">
        <v>34</v>
      </c>
      <c r="AF6" s="88" t="s">
        <v>114</v>
      </c>
      <c r="AG6" s="87">
        <v>22</v>
      </c>
      <c r="AH6" s="88" t="s">
        <v>114</v>
      </c>
      <c r="AI6" s="23">
        <v>659</v>
      </c>
      <c r="AJ6" s="24" t="s">
        <v>117</v>
      </c>
      <c r="AK6" s="25" t="str">
        <f>SPELLNUMBER(extractnumber_tot(AI6))</f>
        <v xml:space="preserve">Six Hundred Fifty Nine </v>
      </c>
    </row>
    <row r="7" spans="1:37" ht="14.1" customHeight="1">
      <c r="A7" s="84">
        <v>225206</v>
      </c>
      <c r="B7" s="30" t="s">
        <v>157</v>
      </c>
      <c r="C7" s="34">
        <v>69</v>
      </c>
      <c r="D7" s="86" t="s">
        <v>114</v>
      </c>
      <c r="E7" s="87">
        <v>20</v>
      </c>
      <c r="F7" s="88" t="s">
        <v>114</v>
      </c>
      <c r="G7" s="87">
        <v>43</v>
      </c>
      <c r="H7" s="88" t="s">
        <v>114</v>
      </c>
      <c r="I7" s="41">
        <v>44</v>
      </c>
      <c r="J7" s="88" t="s">
        <v>114</v>
      </c>
      <c r="K7" s="87">
        <v>21</v>
      </c>
      <c r="L7" s="88" t="s">
        <v>114</v>
      </c>
      <c r="M7" s="87">
        <v>42</v>
      </c>
      <c r="N7" s="88" t="s">
        <v>114</v>
      </c>
      <c r="O7" s="42">
        <v>65</v>
      </c>
      <c r="P7" s="88" t="s">
        <v>114</v>
      </c>
      <c r="Q7" s="87">
        <v>20</v>
      </c>
      <c r="R7" s="88" t="s">
        <v>114</v>
      </c>
      <c r="S7" s="87">
        <v>23</v>
      </c>
      <c r="T7" s="88" t="s">
        <v>114</v>
      </c>
      <c r="U7" s="42">
        <v>58</v>
      </c>
      <c r="V7" s="88" t="s">
        <v>114</v>
      </c>
      <c r="W7" s="87">
        <v>20</v>
      </c>
      <c r="X7" s="88" t="s">
        <v>114</v>
      </c>
      <c r="Y7" s="42">
        <v>67</v>
      </c>
      <c r="Z7" s="88" t="s">
        <v>114</v>
      </c>
      <c r="AA7" s="87">
        <v>19</v>
      </c>
      <c r="AB7" s="88" t="s">
        <v>114</v>
      </c>
      <c r="AC7" s="87">
        <v>17</v>
      </c>
      <c r="AD7" s="88" t="s">
        <v>114</v>
      </c>
      <c r="AE7" s="42">
        <v>33</v>
      </c>
      <c r="AF7" s="88" t="s">
        <v>114</v>
      </c>
      <c r="AG7" s="87">
        <v>18</v>
      </c>
      <c r="AH7" s="88" t="s">
        <v>114</v>
      </c>
      <c r="AI7" s="23">
        <v>579</v>
      </c>
      <c r="AJ7" s="24" t="s">
        <v>117</v>
      </c>
      <c r="AK7" s="25" t="str">
        <f>SPELLNUMBER(extractnumber_tot(AI7))</f>
        <v xml:space="preserve">Five Hundred Seventy Nine </v>
      </c>
    </row>
    <row r="8" spans="1:37" ht="14.1" customHeight="1">
      <c r="A8" s="84">
        <v>225207</v>
      </c>
      <c r="B8" s="30" t="s">
        <v>158</v>
      </c>
      <c r="C8" s="34">
        <v>66</v>
      </c>
      <c r="D8" s="86" t="s">
        <v>114</v>
      </c>
      <c r="E8" s="87">
        <v>21</v>
      </c>
      <c r="F8" s="88" t="s">
        <v>114</v>
      </c>
      <c r="G8" s="87">
        <v>42</v>
      </c>
      <c r="H8" s="88" t="s">
        <v>114</v>
      </c>
      <c r="I8" s="41">
        <v>59</v>
      </c>
      <c r="J8" s="88" t="s">
        <v>114</v>
      </c>
      <c r="K8" s="87">
        <v>23</v>
      </c>
      <c r="L8" s="88" t="s">
        <v>114</v>
      </c>
      <c r="M8" s="87">
        <v>36</v>
      </c>
      <c r="N8" s="88" t="s">
        <v>114</v>
      </c>
      <c r="O8" s="42">
        <v>58</v>
      </c>
      <c r="P8" s="88" t="s">
        <v>114</v>
      </c>
      <c r="Q8" s="87">
        <v>21</v>
      </c>
      <c r="R8" s="88" t="s">
        <v>114</v>
      </c>
      <c r="S8" s="87">
        <v>22</v>
      </c>
      <c r="T8" s="88" t="s">
        <v>114</v>
      </c>
      <c r="U8" s="42">
        <v>64</v>
      </c>
      <c r="V8" s="88" t="s">
        <v>114</v>
      </c>
      <c r="W8" s="87">
        <v>23</v>
      </c>
      <c r="X8" s="88" t="s">
        <v>114</v>
      </c>
      <c r="Y8" s="42">
        <v>70</v>
      </c>
      <c r="Z8" s="88" t="s">
        <v>114</v>
      </c>
      <c r="AA8" s="87">
        <v>23</v>
      </c>
      <c r="AB8" s="88" t="s">
        <v>114</v>
      </c>
      <c r="AC8" s="87">
        <v>21</v>
      </c>
      <c r="AD8" s="88" t="s">
        <v>114</v>
      </c>
      <c r="AE8" s="42">
        <v>33</v>
      </c>
      <c r="AF8" s="88" t="s">
        <v>114</v>
      </c>
      <c r="AG8" s="87">
        <v>21</v>
      </c>
      <c r="AH8" s="88" t="s">
        <v>114</v>
      </c>
      <c r="AI8" s="23">
        <v>603</v>
      </c>
      <c r="AJ8" s="24" t="s">
        <v>117</v>
      </c>
      <c r="AK8" s="25" t="str">
        <f>SPELLNUMBER(extractnumber_tot(AI8))</f>
        <v xml:space="preserve">Six Hundred Three </v>
      </c>
    </row>
    <row r="9" spans="1:37" ht="14.1" customHeight="1">
      <c r="A9" s="84">
        <v>225208</v>
      </c>
      <c r="B9" s="30" t="s">
        <v>159</v>
      </c>
      <c r="C9" s="35" t="s">
        <v>75</v>
      </c>
      <c r="D9" s="86" t="s">
        <v>114</v>
      </c>
      <c r="E9" s="87">
        <v>18</v>
      </c>
      <c r="F9" s="88" t="s">
        <v>113</v>
      </c>
      <c r="G9" s="87">
        <v>38</v>
      </c>
      <c r="H9" s="88" t="s">
        <v>113</v>
      </c>
      <c r="I9" s="41" t="s">
        <v>75</v>
      </c>
      <c r="J9" s="88" t="s">
        <v>114</v>
      </c>
      <c r="K9" s="87">
        <v>18</v>
      </c>
      <c r="L9" s="88" t="s">
        <v>113</v>
      </c>
      <c r="M9" s="87">
        <v>42</v>
      </c>
      <c r="N9" s="88" t="s">
        <v>113</v>
      </c>
      <c r="O9" s="42" t="s">
        <v>75</v>
      </c>
      <c r="P9" s="88" t="s">
        <v>114</v>
      </c>
      <c r="Q9" s="87">
        <v>18</v>
      </c>
      <c r="R9" s="88" t="s">
        <v>113</v>
      </c>
      <c r="S9" s="87">
        <v>19</v>
      </c>
      <c r="T9" s="88" t="s">
        <v>113</v>
      </c>
      <c r="U9" s="42" t="s">
        <v>75</v>
      </c>
      <c r="V9" s="88" t="s">
        <v>114</v>
      </c>
      <c r="W9" s="87">
        <v>16</v>
      </c>
      <c r="X9" s="88" t="s">
        <v>113</v>
      </c>
      <c r="Y9" s="42" t="s">
        <v>75</v>
      </c>
      <c r="Z9" s="88" t="s">
        <v>114</v>
      </c>
      <c r="AA9" s="87">
        <v>18</v>
      </c>
      <c r="AB9" s="88" t="s">
        <v>113</v>
      </c>
      <c r="AC9" s="87">
        <v>14</v>
      </c>
      <c r="AD9" s="88" t="s">
        <v>113</v>
      </c>
      <c r="AE9" s="42">
        <v>25</v>
      </c>
      <c r="AF9" s="88" t="s">
        <v>113</v>
      </c>
      <c r="AG9" s="87">
        <v>16</v>
      </c>
      <c r="AH9" s="88" t="s">
        <v>113</v>
      </c>
      <c r="AI9" s="23">
        <v>242</v>
      </c>
      <c r="AJ9" s="24" t="s">
        <v>111</v>
      </c>
      <c r="AK9" s="25" t="str">
        <f>SPELLNUMBER(extractnumber_tot(AI9))</f>
        <v xml:space="preserve">Two Hundred Forty Two </v>
      </c>
    </row>
    <row r="10" spans="1:37" ht="14.1" customHeight="1">
      <c r="A10" s="84">
        <v>225209</v>
      </c>
      <c r="B10" s="30" t="s">
        <v>160</v>
      </c>
      <c r="C10" s="34">
        <v>53</v>
      </c>
      <c r="D10" s="86" t="s">
        <v>114</v>
      </c>
      <c r="E10" s="87">
        <v>19</v>
      </c>
      <c r="F10" s="88" t="s">
        <v>114</v>
      </c>
      <c r="G10" s="87">
        <v>40</v>
      </c>
      <c r="H10" s="88" t="s">
        <v>114</v>
      </c>
      <c r="I10" s="41">
        <v>56</v>
      </c>
      <c r="J10" s="88" t="s">
        <v>114</v>
      </c>
      <c r="K10" s="87">
        <v>22</v>
      </c>
      <c r="L10" s="88" t="s">
        <v>114</v>
      </c>
      <c r="M10" s="87">
        <v>42</v>
      </c>
      <c r="N10" s="88" t="s">
        <v>114</v>
      </c>
      <c r="O10" s="42">
        <v>51</v>
      </c>
      <c r="P10" s="88" t="s">
        <v>114</v>
      </c>
      <c r="Q10" s="87">
        <v>19</v>
      </c>
      <c r="R10" s="88" t="s">
        <v>114</v>
      </c>
      <c r="S10" s="87">
        <v>20</v>
      </c>
      <c r="T10" s="88" t="s">
        <v>114</v>
      </c>
      <c r="U10" s="42">
        <v>67</v>
      </c>
      <c r="V10" s="88" t="s">
        <v>114</v>
      </c>
      <c r="W10" s="87">
        <v>16</v>
      </c>
      <c r="X10" s="88" t="s">
        <v>114</v>
      </c>
      <c r="Y10" s="42">
        <v>46</v>
      </c>
      <c r="Z10" s="88" t="s">
        <v>114</v>
      </c>
      <c r="AA10" s="87">
        <v>22</v>
      </c>
      <c r="AB10" s="88" t="s">
        <v>114</v>
      </c>
      <c r="AC10" s="87">
        <v>20</v>
      </c>
      <c r="AD10" s="88" t="s">
        <v>114</v>
      </c>
      <c r="AE10" s="42">
        <v>29</v>
      </c>
      <c r="AF10" s="88" t="s">
        <v>114</v>
      </c>
      <c r="AG10" s="87">
        <v>20</v>
      </c>
      <c r="AH10" s="88" t="s">
        <v>114</v>
      </c>
      <c r="AI10" s="23">
        <v>542</v>
      </c>
      <c r="AJ10" s="24" t="s">
        <v>117</v>
      </c>
      <c r="AK10" s="25" t="str">
        <f>SPELLNUMBER(extractnumber_tot(AI10))</f>
        <v xml:space="preserve">Five Hundred Forty Two </v>
      </c>
    </row>
    <row r="11" spans="1:37" ht="14.1" customHeight="1">
      <c r="A11" s="84">
        <v>225210</v>
      </c>
      <c r="B11" s="30" t="s">
        <v>161</v>
      </c>
      <c r="C11" s="34">
        <v>46</v>
      </c>
      <c r="D11" s="86" t="s">
        <v>114</v>
      </c>
      <c r="E11" s="87">
        <v>20</v>
      </c>
      <c r="F11" s="88" t="s">
        <v>114</v>
      </c>
      <c r="G11" s="87">
        <v>37</v>
      </c>
      <c r="H11" s="88" t="s">
        <v>114</v>
      </c>
      <c r="I11" s="41">
        <v>42</v>
      </c>
      <c r="J11" s="88" t="s">
        <v>114</v>
      </c>
      <c r="K11" s="87">
        <v>20</v>
      </c>
      <c r="L11" s="88" t="s">
        <v>114</v>
      </c>
      <c r="M11" s="87">
        <v>42</v>
      </c>
      <c r="N11" s="88" t="s">
        <v>114</v>
      </c>
      <c r="O11" s="42">
        <v>40</v>
      </c>
      <c r="P11" s="88" t="s">
        <v>114</v>
      </c>
      <c r="Q11" s="87">
        <v>20</v>
      </c>
      <c r="R11" s="88" t="s">
        <v>114</v>
      </c>
      <c r="S11" s="87">
        <v>19</v>
      </c>
      <c r="T11" s="88" t="s">
        <v>114</v>
      </c>
      <c r="U11" s="42">
        <v>60</v>
      </c>
      <c r="V11" s="88" t="s">
        <v>114</v>
      </c>
      <c r="W11" s="87">
        <v>20</v>
      </c>
      <c r="X11" s="88" t="s">
        <v>114</v>
      </c>
      <c r="Y11" s="42">
        <v>45</v>
      </c>
      <c r="Z11" s="88" t="s">
        <v>114</v>
      </c>
      <c r="AA11" s="87">
        <v>20</v>
      </c>
      <c r="AB11" s="88" t="s">
        <v>114</v>
      </c>
      <c r="AC11" s="87">
        <v>18</v>
      </c>
      <c r="AD11" s="88" t="s">
        <v>114</v>
      </c>
      <c r="AE11" s="42">
        <v>23</v>
      </c>
      <c r="AF11" s="88" t="s">
        <v>114</v>
      </c>
      <c r="AG11" s="87">
        <v>16</v>
      </c>
      <c r="AH11" s="88" t="s">
        <v>114</v>
      </c>
      <c r="AI11" s="23">
        <v>488</v>
      </c>
      <c r="AJ11" s="24" t="s">
        <v>117</v>
      </c>
      <c r="AK11" s="25" t="str">
        <f>SPELLNUMBER(extractnumber_tot(AI11))</f>
        <v xml:space="preserve">Four Hundred Eighty Eight </v>
      </c>
    </row>
    <row r="12" spans="1:37" ht="14.1" customHeight="1">
      <c r="A12" s="84">
        <v>225211</v>
      </c>
      <c r="B12" s="30" t="s">
        <v>162</v>
      </c>
      <c r="C12" s="34">
        <v>49</v>
      </c>
      <c r="D12" s="86" t="s">
        <v>114</v>
      </c>
      <c r="E12" s="87">
        <v>22</v>
      </c>
      <c r="F12" s="88" t="s">
        <v>114</v>
      </c>
      <c r="G12" s="87">
        <v>42</v>
      </c>
      <c r="H12" s="88" t="s">
        <v>114</v>
      </c>
      <c r="I12" s="41">
        <v>58</v>
      </c>
      <c r="J12" s="88" t="s">
        <v>114</v>
      </c>
      <c r="K12" s="87">
        <v>20</v>
      </c>
      <c r="L12" s="88" t="s">
        <v>114</v>
      </c>
      <c r="M12" s="87">
        <v>40</v>
      </c>
      <c r="N12" s="88" t="s">
        <v>114</v>
      </c>
      <c r="O12" s="42">
        <v>43</v>
      </c>
      <c r="P12" s="88" t="s">
        <v>114</v>
      </c>
      <c r="Q12" s="87">
        <v>22</v>
      </c>
      <c r="R12" s="88" t="s">
        <v>114</v>
      </c>
      <c r="S12" s="87">
        <v>22</v>
      </c>
      <c r="T12" s="88" t="s">
        <v>114</v>
      </c>
      <c r="U12" s="42">
        <v>63</v>
      </c>
      <c r="V12" s="88" t="s">
        <v>114</v>
      </c>
      <c r="W12" s="87">
        <v>22</v>
      </c>
      <c r="X12" s="88" t="s">
        <v>114</v>
      </c>
      <c r="Y12" s="42">
        <v>58</v>
      </c>
      <c r="Z12" s="88" t="s">
        <v>114</v>
      </c>
      <c r="AA12" s="87">
        <v>21</v>
      </c>
      <c r="AB12" s="88" t="s">
        <v>114</v>
      </c>
      <c r="AC12" s="87">
        <v>19</v>
      </c>
      <c r="AD12" s="88" t="s">
        <v>114</v>
      </c>
      <c r="AE12" s="42">
        <v>27</v>
      </c>
      <c r="AF12" s="88" t="s">
        <v>114</v>
      </c>
      <c r="AG12" s="87">
        <v>22</v>
      </c>
      <c r="AH12" s="88" t="s">
        <v>114</v>
      </c>
      <c r="AI12" s="23">
        <v>550</v>
      </c>
      <c r="AJ12" s="24" t="s">
        <v>117</v>
      </c>
      <c r="AK12" s="25" t="str">
        <f>SPELLNUMBER(extractnumber_tot(AI12))</f>
        <v xml:space="preserve">Five Hundred Fifty  </v>
      </c>
    </row>
    <row r="13" spans="1:37" ht="14.1" customHeight="1">
      <c r="A13" s="84">
        <v>225212</v>
      </c>
      <c r="B13" s="30" t="s">
        <v>163</v>
      </c>
      <c r="C13" s="34">
        <v>54</v>
      </c>
      <c r="D13" s="86" t="s">
        <v>114</v>
      </c>
      <c r="E13" s="87">
        <v>22</v>
      </c>
      <c r="F13" s="88" t="s">
        <v>114</v>
      </c>
      <c r="G13" s="87">
        <v>39</v>
      </c>
      <c r="H13" s="88" t="s">
        <v>114</v>
      </c>
      <c r="I13" s="41">
        <v>47</v>
      </c>
      <c r="J13" s="88" t="s">
        <v>114</v>
      </c>
      <c r="K13" s="87">
        <v>19</v>
      </c>
      <c r="L13" s="88" t="s">
        <v>114</v>
      </c>
      <c r="M13" s="87">
        <v>44</v>
      </c>
      <c r="N13" s="88" t="s">
        <v>114</v>
      </c>
      <c r="O13" s="42">
        <v>40</v>
      </c>
      <c r="P13" s="88" t="s">
        <v>114</v>
      </c>
      <c r="Q13" s="87">
        <v>22</v>
      </c>
      <c r="R13" s="88" t="s">
        <v>114</v>
      </c>
      <c r="S13" s="87">
        <v>19</v>
      </c>
      <c r="T13" s="88" t="s">
        <v>114</v>
      </c>
      <c r="U13" s="42">
        <v>52</v>
      </c>
      <c r="V13" s="88" t="s">
        <v>114</v>
      </c>
      <c r="W13" s="87">
        <v>16</v>
      </c>
      <c r="X13" s="88" t="s">
        <v>114</v>
      </c>
      <c r="Y13" s="42">
        <v>42</v>
      </c>
      <c r="Z13" s="88" t="s">
        <v>114</v>
      </c>
      <c r="AA13" s="87">
        <v>19</v>
      </c>
      <c r="AB13" s="88" t="s">
        <v>114</v>
      </c>
      <c r="AC13" s="87">
        <v>12</v>
      </c>
      <c r="AD13" s="88" t="s">
        <v>114</v>
      </c>
      <c r="AE13" s="42">
        <v>29</v>
      </c>
      <c r="AF13" s="88" t="s">
        <v>114</v>
      </c>
      <c r="AG13" s="87">
        <v>18</v>
      </c>
      <c r="AH13" s="88" t="s">
        <v>114</v>
      </c>
      <c r="AI13" s="23">
        <v>494</v>
      </c>
      <c r="AJ13" s="24" t="s">
        <v>117</v>
      </c>
      <c r="AK13" s="25" t="str">
        <f>SPELLNUMBER(extractnumber_tot(AI13))</f>
        <v xml:space="preserve">Four Hundred NinetyFour </v>
      </c>
    </row>
    <row r="14" spans="1:37" ht="14.1" customHeight="1">
      <c r="A14" s="84">
        <v>225213</v>
      </c>
      <c r="B14" s="30" t="s">
        <v>164</v>
      </c>
      <c r="C14" s="34">
        <v>40</v>
      </c>
      <c r="D14" s="86" t="s">
        <v>114</v>
      </c>
      <c r="E14" s="87">
        <v>20</v>
      </c>
      <c r="F14" s="88" t="s">
        <v>114</v>
      </c>
      <c r="G14" s="87">
        <v>44</v>
      </c>
      <c r="H14" s="88" t="s">
        <v>114</v>
      </c>
      <c r="I14" s="41">
        <v>51</v>
      </c>
      <c r="J14" s="88" t="s">
        <v>114</v>
      </c>
      <c r="K14" s="87">
        <v>21</v>
      </c>
      <c r="L14" s="88" t="s">
        <v>114</v>
      </c>
      <c r="M14" s="87">
        <v>44</v>
      </c>
      <c r="N14" s="88" t="s">
        <v>114</v>
      </c>
      <c r="O14" s="42">
        <v>40</v>
      </c>
      <c r="P14" s="88" t="s">
        <v>114</v>
      </c>
      <c r="Q14" s="87">
        <v>20</v>
      </c>
      <c r="R14" s="88" t="s">
        <v>114</v>
      </c>
      <c r="S14" s="87">
        <v>22</v>
      </c>
      <c r="T14" s="88" t="s">
        <v>114</v>
      </c>
      <c r="U14" s="42">
        <v>55</v>
      </c>
      <c r="V14" s="88" t="s">
        <v>114</v>
      </c>
      <c r="W14" s="87">
        <v>20</v>
      </c>
      <c r="X14" s="88" t="s">
        <v>114</v>
      </c>
      <c r="Y14" s="42">
        <v>56</v>
      </c>
      <c r="Z14" s="88" t="s">
        <v>114</v>
      </c>
      <c r="AA14" s="87">
        <v>21</v>
      </c>
      <c r="AB14" s="88" t="s">
        <v>114</v>
      </c>
      <c r="AC14" s="87">
        <v>17</v>
      </c>
      <c r="AD14" s="88" t="s">
        <v>114</v>
      </c>
      <c r="AE14" s="42">
        <v>28</v>
      </c>
      <c r="AF14" s="88" t="s">
        <v>114</v>
      </c>
      <c r="AG14" s="87">
        <v>19</v>
      </c>
      <c r="AH14" s="88" t="s">
        <v>114</v>
      </c>
      <c r="AI14" s="23">
        <v>518</v>
      </c>
      <c r="AJ14" s="24" t="s">
        <v>117</v>
      </c>
      <c r="AK14" s="25" t="str">
        <f>SPELLNUMBER(extractnumber_tot(AI14))</f>
        <v xml:space="preserve">Five Hundred Eighteen </v>
      </c>
    </row>
    <row r="15" spans="1:37" ht="14.1" customHeight="1">
      <c r="A15" s="84">
        <v>225214</v>
      </c>
      <c r="B15" s="30" t="s">
        <v>165</v>
      </c>
      <c r="C15" s="34">
        <v>40</v>
      </c>
      <c r="D15" s="86" t="s">
        <v>113</v>
      </c>
      <c r="E15" s="87">
        <v>23</v>
      </c>
      <c r="F15" s="88" t="s">
        <v>113</v>
      </c>
      <c r="G15" s="87">
        <v>40</v>
      </c>
      <c r="H15" s="88" t="s">
        <v>113</v>
      </c>
      <c r="I15" s="41">
        <v>28</v>
      </c>
      <c r="J15" s="88" t="s">
        <v>110</v>
      </c>
      <c r="K15" s="87">
        <v>23</v>
      </c>
      <c r="L15" s="88" t="s">
        <v>113</v>
      </c>
      <c r="M15" s="87">
        <v>36</v>
      </c>
      <c r="N15" s="88" t="s">
        <v>113</v>
      </c>
      <c r="O15" s="42">
        <v>27</v>
      </c>
      <c r="P15" s="88" t="s">
        <v>110</v>
      </c>
      <c r="Q15" s="87">
        <v>23</v>
      </c>
      <c r="R15" s="88" t="s">
        <v>113</v>
      </c>
      <c r="S15" s="87">
        <v>20</v>
      </c>
      <c r="T15" s="88" t="s">
        <v>113</v>
      </c>
      <c r="U15" s="42">
        <v>40</v>
      </c>
      <c r="V15" s="88" t="s">
        <v>113</v>
      </c>
      <c r="W15" s="87">
        <v>23</v>
      </c>
      <c r="X15" s="88" t="s">
        <v>113</v>
      </c>
      <c r="Y15" s="42">
        <v>20</v>
      </c>
      <c r="Z15" s="88" t="s">
        <v>110</v>
      </c>
      <c r="AA15" s="87">
        <v>23</v>
      </c>
      <c r="AB15" s="88" t="s">
        <v>113</v>
      </c>
      <c r="AC15" s="87">
        <v>17</v>
      </c>
      <c r="AD15" s="88" t="s">
        <v>113</v>
      </c>
      <c r="AE15" s="42">
        <v>21</v>
      </c>
      <c r="AF15" s="88" t="s">
        <v>113</v>
      </c>
      <c r="AG15" s="87">
        <v>23</v>
      </c>
      <c r="AH15" s="88" t="s">
        <v>113</v>
      </c>
      <c r="AI15" s="23">
        <v>427</v>
      </c>
      <c r="AJ15" s="24" t="s">
        <v>111</v>
      </c>
      <c r="AK15" s="25" t="str">
        <f>SPELLNUMBER(extractnumber_tot(AI15))</f>
        <v xml:space="preserve">Four Hundred Twenty Seven </v>
      </c>
    </row>
    <row r="16" spans="1:37" ht="14.1" customHeight="1">
      <c r="A16" s="84">
        <v>225215</v>
      </c>
      <c r="B16" s="30" t="s">
        <v>166</v>
      </c>
      <c r="C16" s="34">
        <v>51</v>
      </c>
      <c r="D16" s="86" t="s">
        <v>114</v>
      </c>
      <c r="E16" s="87">
        <v>21</v>
      </c>
      <c r="F16" s="88" t="s">
        <v>114</v>
      </c>
      <c r="G16" s="87">
        <v>42</v>
      </c>
      <c r="H16" s="88" t="s">
        <v>114</v>
      </c>
      <c r="I16" s="41">
        <v>66</v>
      </c>
      <c r="J16" s="88" t="s">
        <v>114</v>
      </c>
      <c r="K16" s="87">
        <v>23</v>
      </c>
      <c r="L16" s="88" t="s">
        <v>114</v>
      </c>
      <c r="M16" s="87">
        <v>46</v>
      </c>
      <c r="N16" s="88" t="s">
        <v>114</v>
      </c>
      <c r="O16" s="42">
        <v>50</v>
      </c>
      <c r="P16" s="88" t="s">
        <v>114</v>
      </c>
      <c r="Q16" s="87">
        <v>21</v>
      </c>
      <c r="R16" s="88" t="s">
        <v>114</v>
      </c>
      <c r="S16" s="87">
        <v>22</v>
      </c>
      <c r="T16" s="88" t="s">
        <v>114</v>
      </c>
      <c r="U16" s="42">
        <v>65</v>
      </c>
      <c r="V16" s="88" t="s">
        <v>114</v>
      </c>
      <c r="W16" s="87">
        <v>24</v>
      </c>
      <c r="X16" s="88" t="s">
        <v>114</v>
      </c>
      <c r="Y16" s="42">
        <v>66</v>
      </c>
      <c r="Z16" s="88" t="s">
        <v>114</v>
      </c>
      <c r="AA16" s="87">
        <v>23</v>
      </c>
      <c r="AB16" s="88" t="s">
        <v>114</v>
      </c>
      <c r="AC16" s="87">
        <v>18</v>
      </c>
      <c r="AD16" s="88" t="s">
        <v>114</v>
      </c>
      <c r="AE16" s="42">
        <v>30</v>
      </c>
      <c r="AF16" s="88" t="s">
        <v>114</v>
      </c>
      <c r="AG16" s="87">
        <v>23</v>
      </c>
      <c r="AH16" s="88" t="s">
        <v>114</v>
      </c>
      <c r="AI16" s="23">
        <v>591</v>
      </c>
      <c r="AJ16" s="24" t="s">
        <v>117</v>
      </c>
      <c r="AK16" s="25" t="str">
        <f>SPELLNUMBER(extractnumber_tot(AI16))</f>
        <v xml:space="preserve">Five Hundred NinetyOne </v>
      </c>
    </row>
    <row r="17" spans="1:37" ht="14.1" customHeight="1">
      <c r="A17" s="84">
        <v>225216</v>
      </c>
      <c r="B17" s="30" t="s">
        <v>167</v>
      </c>
      <c r="C17" s="34">
        <v>52</v>
      </c>
      <c r="D17" s="86" t="s">
        <v>114</v>
      </c>
      <c r="E17" s="87">
        <v>20</v>
      </c>
      <c r="F17" s="88" t="s">
        <v>114</v>
      </c>
      <c r="G17" s="87">
        <v>38</v>
      </c>
      <c r="H17" s="88" t="s">
        <v>114</v>
      </c>
      <c r="I17" s="41">
        <v>43</v>
      </c>
      <c r="J17" s="88" t="s">
        <v>114</v>
      </c>
      <c r="K17" s="87">
        <v>18</v>
      </c>
      <c r="L17" s="88" t="s">
        <v>114</v>
      </c>
      <c r="M17" s="87">
        <v>38</v>
      </c>
      <c r="N17" s="88" t="s">
        <v>114</v>
      </c>
      <c r="O17" s="42">
        <v>40</v>
      </c>
      <c r="P17" s="88" t="s">
        <v>114</v>
      </c>
      <c r="Q17" s="87">
        <v>20</v>
      </c>
      <c r="R17" s="88" t="s">
        <v>114</v>
      </c>
      <c r="S17" s="87">
        <v>18</v>
      </c>
      <c r="T17" s="88" t="s">
        <v>114</v>
      </c>
      <c r="U17" s="42">
        <v>48</v>
      </c>
      <c r="V17" s="88" t="s">
        <v>114</v>
      </c>
      <c r="W17" s="87">
        <v>16</v>
      </c>
      <c r="X17" s="88" t="s">
        <v>114</v>
      </c>
      <c r="Y17" s="42">
        <v>54</v>
      </c>
      <c r="Z17" s="88" t="s">
        <v>114</v>
      </c>
      <c r="AA17" s="87">
        <v>18</v>
      </c>
      <c r="AB17" s="88" t="s">
        <v>114</v>
      </c>
      <c r="AC17" s="87">
        <v>20</v>
      </c>
      <c r="AD17" s="88" t="s">
        <v>114</v>
      </c>
      <c r="AE17" s="42">
        <v>28</v>
      </c>
      <c r="AF17" s="88" t="s">
        <v>114</v>
      </c>
      <c r="AG17" s="87">
        <v>16</v>
      </c>
      <c r="AH17" s="88" t="s">
        <v>114</v>
      </c>
      <c r="AI17" s="23">
        <v>487</v>
      </c>
      <c r="AJ17" s="24" t="s">
        <v>117</v>
      </c>
      <c r="AK17" s="25" t="str">
        <f>SPELLNUMBER(extractnumber_tot(AI17))</f>
        <v xml:space="preserve">Four Hundred Eighty Seven </v>
      </c>
    </row>
    <row r="18" spans="1:37" ht="14.1" customHeight="1">
      <c r="A18" s="84">
        <v>225217</v>
      </c>
      <c r="B18" s="30" t="s">
        <v>168</v>
      </c>
      <c r="C18" s="34">
        <v>9</v>
      </c>
      <c r="D18" s="86" t="s">
        <v>110</v>
      </c>
      <c r="E18" s="87">
        <v>23</v>
      </c>
      <c r="F18" s="88" t="s">
        <v>113</v>
      </c>
      <c r="G18" s="87">
        <v>36</v>
      </c>
      <c r="H18" s="88" t="s">
        <v>113</v>
      </c>
      <c r="I18" s="41">
        <v>13</v>
      </c>
      <c r="J18" s="88" t="s">
        <v>110</v>
      </c>
      <c r="K18" s="87">
        <v>23</v>
      </c>
      <c r="L18" s="88" t="s">
        <v>113</v>
      </c>
      <c r="M18" s="87">
        <v>44</v>
      </c>
      <c r="N18" s="88" t="s">
        <v>113</v>
      </c>
      <c r="O18" s="42">
        <v>28</v>
      </c>
      <c r="P18" s="88" t="s">
        <v>110</v>
      </c>
      <c r="Q18" s="87">
        <v>23</v>
      </c>
      <c r="R18" s="88" t="s">
        <v>113</v>
      </c>
      <c r="S18" s="87">
        <v>19</v>
      </c>
      <c r="T18" s="88" t="s">
        <v>113</v>
      </c>
      <c r="U18" s="42">
        <v>56</v>
      </c>
      <c r="V18" s="88" t="s">
        <v>113</v>
      </c>
      <c r="W18" s="87">
        <v>23</v>
      </c>
      <c r="X18" s="88" t="s">
        <v>113</v>
      </c>
      <c r="Y18" s="42">
        <v>4</v>
      </c>
      <c r="Z18" s="88" t="s">
        <v>110</v>
      </c>
      <c r="AA18" s="87">
        <v>23</v>
      </c>
      <c r="AB18" s="88" t="s">
        <v>113</v>
      </c>
      <c r="AC18" s="87">
        <v>19</v>
      </c>
      <c r="AD18" s="88" t="s">
        <v>113</v>
      </c>
      <c r="AE18" s="42">
        <v>25</v>
      </c>
      <c r="AF18" s="88" t="s">
        <v>113</v>
      </c>
      <c r="AG18" s="87">
        <v>23</v>
      </c>
      <c r="AH18" s="88" t="s">
        <v>113</v>
      </c>
      <c r="AI18" s="23">
        <v>391</v>
      </c>
      <c r="AJ18" s="24" t="s">
        <v>111</v>
      </c>
      <c r="AK18" s="25" t="str">
        <f>SPELLNUMBER(extractnumber_tot(AI18))</f>
        <v xml:space="preserve">Three Hundred NinetyOne </v>
      </c>
    </row>
    <row r="19" spans="1:37" ht="14.1" customHeight="1">
      <c r="A19" s="84">
        <v>225219</v>
      </c>
      <c r="B19" s="30" t="s">
        <v>169</v>
      </c>
      <c r="C19" s="34">
        <v>64</v>
      </c>
      <c r="D19" s="86" t="s">
        <v>114</v>
      </c>
      <c r="E19" s="87">
        <v>19</v>
      </c>
      <c r="F19" s="88" t="s">
        <v>114</v>
      </c>
      <c r="G19" s="87">
        <v>39</v>
      </c>
      <c r="H19" s="88" t="s">
        <v>114</v>
      </c>
      <c r="I19" s="41">
        <v>73</v>
      </c>
      <c r="J19" s="88" t="s">
        <v>114</v>
      </c>
      <c r="K19" s="87">
        <v>21</v>
      </c>
      <c r="L19" s="88" t="s">
        <v>114</v>
      </c>
      <c r="M19" s="87">
        <v>44</v>
      </c>
      <c r="N19" s="88" t="s">
        <v>114</v>
      </c>
      <c r="O19" s="42">
        <v>41</v>
      </c>
      <c r="P19" s="88" t="s">
        <v>114</v>
      </c>
      <c r="Q19" s="87">
        <v>19</v>
      </c>
      <c r="R19" s="88" t="s">
        <v>114</v>
      </c>
      <c r="S19" s="87">
        <v>20</v>
      </c>
      <c r="T19" s="88" t="s">
        <v>114</v>
      </c>
      <c r="U19" s="42">
        <v>51</v>
      </c>
      <c r="V19" s="88" t="s">
        <v>114</v>
      </c>
      <c r="W19" s="87">
        <v>24</v>
      </c>
      <c r="X19" s="88" t="s">
        <v>114</v>
      </c>
      <c r="Y19" s="42">
        <v>57</v>
      </c>
      <c r="Z19" s="88" t="s">
        <v>114</v>
      </c>
      <c r="AA19" s="87">
        <v>21</v>
      </c>
      <c r="AB19" s="88" t="s">
        <v>114</v>
      </c>
      <c r="AC19" s="87">
        <v>18</v>
      </c>
      <c r="AD19" s="88" t="s">
        <v>114</v>
      </c>
      <c r="AE19" s="42">
        <v>24</v>
      </c>
      <c r="AF19" s="88" t="s">
        <v>114</v>
      </c>
      <c r="AG19" s="87">
        <v>22</v>
      </c>
      <c r="AH19" s="88" t="s">
        <v>114</v>
      </c>
      <c r="AI19" s="23">
        <v>557</v>
      </c>
      <c r="AJ19" s="24" t="s">
        <v>117</v>
      </c>
      <c r="AK19" s="25" t="str">
        <f>SPELLNUMBER(extractnumber_tot(AI19))</f>
        <v xml:space="preserve">Five Hundred Fifty Seven </v>
      </c>
    </row>
    <row r="20" spans="1:37" ht="14.1" customHeight="1">
      <c r="A20" s="84">
        <v>225220</v>
      </c>
      <c r="B20" s="30" t="s">
        <v>170</v>
      </c>
      <c r="C20" s="34">
        <v>63</v>
      </c>
      <c r="D20" s="86" t="s">
        <v>114</v>
      </c>
      <c r="E20" s="87">
        <v>20</v>
      </c>
      <c r="F20" s="88" t="s">
        <v>114</v>
      </c>
      <c r="G20" s="87">
        <v>39</v>
      </c>
      <c r="H20" s="88" t="s">
        <v>114</v>
      </c>
      <c r="I20" s="41">
        <v>66</v>
      </c>
      <c r="J20" s="88" t="s">
        <v>114</v>
      </c>
      <c r="K20" s="87">
        <v>17</v>
      </c>
      <c r="L20" s="88" t="s">
        <v>114</v>
      </c>
      <c r="M20" s="87">
        <v>46</v>
      </c>
      <c r="N20" s="88" t="s">
        <v>114</v>
      </c>
      <c r="O20" s="42">
        <v>47</v>
      </c>
      <c r="P20" s="88" t="s">
        <v>114</v>
      </c>
      <c r="Q20" s="87">
        <v>20</v>
      </c>
      <c r="R20" s="88" t="s">
        <v>114</v>
      </c>
      <c r="S20" s="87">
        <v>20</v>
      </c>
      <c r="T20" s="88" t="s">
        <v>114</v>
      </c>
      <c r="U20" s="42">
        <v>67</v>
      </c>
      <c r="V20" s="88" t="s">
        <v>114</v>
      </c>
      <c r="W20" s="87">
        <v>22</v>
      </c>
      <c r="X20" s="88" t="s">
        <v>114</v>
      </c>
      <c r="Y20" s="42">
        <v>65</v>
      </c>
      <c r="Z20" s="88" t="s">
        <v>114</v>
      </c>
      <c r="AA20" s="87">
        <v>17</v>
      </c>
      <c r="AB20" s="88" t="s">
        <v>114</v>
      </c>
      <c r="AC20" s="87">
        <v>18</v>
      </c>
      <c r="AD20" s="88" t="s">
        <v>114</v>
      </c>
      <c r="AE20" s="42">
        <v>24</v>
      </c>
      <c r="AF20" s="88" t="s">
        <v>114</v>
      </c>
      <c r="AG20" s="87">
        <v>19</v>
      </c>
      <c r="AH20" s="88" t="s">
        <v>114</v>
      </c>
      <c r="AI20" s="23">
        <v>570</v>
      </c>
      <c r="AJ20" s="24" t="s">
        <v>117</v>
      </c>
      <c r="AK20" s="25" t="str">
        <f>SPELLNUMBER(extractnumber_tot(AI20))</f>
        <v xml:space="preserve">Five Hundred Seventy  </v>
      </c>
    </row>
    <row r="21" spans="1:37" ht="14.1" customHeight="1">
      <c r="A21" s="84">
        <v>225221</v>
      </c>
      <c r="B21" s="30" t="s">
        <v>171</v>
      </c>
      <c r="C21" s="34">
        <v>43</v>
      </c>
      <c r="D21" s="86" t="s">
        <v>113</v>
      </c>
      <c r="E21" s="87">
        <v>23</v>
      </c>
      <c r="F21" s="88" t="s">
        <v>113</v>
      </c>
      <c r="G21" s="87">
        <v>45</v>
      </c>
      <c r="H21" s="88" t="s">
        <v>113</v>
      </c>
      <c r="I21" s="41">
        <v>40</v>
      </c>
      <c r="J21" s="88" t="s">
        <v>113</v>
      </c>
      <c r="K21" s="87">
        <v>23</v>
      </c>
      <c r="L21" s="88" t="s">
        <v>113</v>
      </c>
      <c r="M21" s="87">
        <v>42</v>
      </c>
      <c r="N21" s="88" t="s">
        <v>113</v>
      </c>
      <c r="O21" s="42">
        <v>40</v>
      </c>
      <c r="P21" s="88" t="s">
        <v>113</v>
      </c>
      <c r="Q21" s="87">
        <v>23</v>
      </c>
      <c r="R21" s="88" t="s">
        <v>113</v>
      </c>
      <c r="S21" s="87">
        <v>23</v>
      </c>
      <c r="T21" s="88" t="s">
        <v>113</v>
      </c>
      <c r="U21" s="42">
        <v>53</v>
      </c>
      <c r="V21" s="88" t="s">
        <v>113</v>
      </c>
      <c r="W21" s="87">
        <v>23</v>
      </c>
      <c r="X21" s="88" t="s">
        <v>113</v>
      </c>
      <c r="Y21" s="42">
        <v>9</v>
      </c>
      <c r="Z21" s="88" t="s">
        <v>110</v>
      </c>
      <c r="AA21" s="87">
        <v>23</v>
      </c>
      <c r="AB21" s="88" t="s">
        <v>113</v>
      </c>
      <c r="AC21" s="87">
        <v>17</v>
      </c>
      <c r="AD21" s="88" t="s">
        <v>113</v>
      </c>
      <c r="AE21" s="42">
        <v>20</v>
      </c>
      <c r="AF21" s="88" t="s">
        <v>113</v>
      </c>
      <c r="AG21" s="87">
        <v>23</v>
      </c>
      <c r="AH21" s="88" t="s">
        <v>113</v>
      </c>
      <c r="AI21" s="23">
        <v>470</v>
      </c>
      <c r="AJ21" s="24" t="s">
        <v>111</v>
      </c>
      <c r="AK21" s="25" t="str">
        <f>SPELLNUMBER(extractnumber_tot(AI21))</f>
        <v xml:space="preserve">Four Hundred Seventy  </v>
      </c>
    </row>
    <row r="22" spans="1:37" ht="14.1" customHeight="1">
      <c r="A22" s="84">
        <v>225222</v>
      </c>
      <c r="B22" s="30" t="s">
        <v>172</v>
      </c>
      <c r="C22" s="34">
        <v>53</v>
      </c>
      <c r="D22" s="86" t="s">
        <v>114</v>
      </c>
      <c r="E22" s="87">
        <v>21</v>
      </c>
      <c r="F22" s="88" t="s">
        <v>114</v>
      </c>
      <c r="G22" s="87">
        <v>41</v>
      </c>
      <c r="H22" s="88" t="s">
        <v>114</v>
      </c>
      <c r="I22" s="41">
        <v>45</v>
      </c>
      <c r="J22" s="88" t="s">
        <v>114</v>
      </c>
      <c r="K22" s="87">
        <v>23</v>
      </c>
      <c r="L22" s="88" t="s">
        <v>114</v>
      </c>
      <c r="M22" s="87">
        <v>42</v>
      </c>
      <c r="N22" s="88" t="s">
        <v>114</v>
      </c>
      <c r="O22" s="42">
        <v>41</v>
      </c>
      <c r="P22" s="88" t="s">
        <v>114</v>
      </c>
      <c r="Q22" s="87">
        <v>21</v>
      </c>
      <c r="R22" s="88" t="s">
        <v>114</v>
      </c>
      <c r="S22" s="87">
        <v>21</v>
      </c>
      <c r="T22" s="88" t="s">
        <v>114</v>
      </c>
      <c r="U22" s="42">
        <v>52</v>
      </c>
      <c r="V22" s="88" t="s">
        <v>114</v>
      </c>
      <c r="W22" s="87">
        <v>21</v>
      </c>
      <c r="X22" s="88" t="s">
        <v>114</v>
      </c>
      <c r="Y22" s="42">
        <v>43</v>
      </c>
      <c r="Z22" s="88" t="s">
        <v>114</v>
      </c>
      <c r="AA22" s="87">
        <v>23</v>
      </c>
      <c r="AB22" s="88" t="s">
        <v>114</v>
      </c>
      <c r="AC22" s="87">
        <v>20</v>
      </c>
      <c r="AD22" s="88" t="s">
        <v>114</v>
      </c>
      <c r="AE22" s="42">
        <v>24</v>
      </c>
      <c r="AF22" s="88" t="s">
        <v>114</v>
      </c>
      <c r="AG22" s="87">
        <v>22</v>
      </c>
      <c r="AH22" s="88" t="s">
        <v>114</v>
      </c>
      <c r="AI22" s="23">
        <v>513</v>
      </c>
      <c r="AJ22" s="24" t="s">
        <v>117</v>
      </c>
      <c r="AK22" s="25" t="str">
        <f>SPELLNUMBER(extractnumber_tot(AI22))</f>
        <v xml:space="preserve">Five Hundred Thirteen </v>
      </c>
    </row>
    <row r="23" spans="1:37" ht="14.1" customHeight="1">
      <c r="A23" s="84">
        <v>225223</v>
      </c>
      <c r="B23" s="30" t="s">
        <v>173</v>
      </c>
      <c r="C23" s="34">
        <v>40</v>
      </c>
      <c r="D23" s="86" t="s">
        <v>114</v>
      </c>
      <c r="E23" s="87">
        <v>20</v>
      </c>
      <c r="F23" s="88" t="s">
        <v>114</v>
      </c>
      <c r="G23" s="87">
        <v>40</v>
      </c>
      <c r="H23" s="88" t="s">
        <v>114</v>
      </c>
      <c r="I23" s="41">
        <v>46</v>
      </c>
      <c r="J23" s="88" t="s">
        <v>114</v>
      </c>
      <c r="K23" s="87">
        <v>19</v>
      </c>
      <c r="L23" s="88" t="s">
        <v>114</v>
      </c>
      <c r="M23" s="87">
        <v>42</v>
      </c>
      <c r="N23" s="88" t="s">
        <v>114</v>
      </c>
      <c r="O23" s="42">
        <v>40</v>
      </c>
      <c r="P23" s="88" t="s">
        <v>114</v>
      </c>
      <c r="Q23" s="87">
        <v>20</v>
      </c>
      <c r="R23" s="88" t="s">
        <v>114</v>
      </c>
      <c r="S23" s="87">
        <v>20</v>
      </c>
      <c r="T23" s="88" t="s">
        <v>114</v>
      </c>
      <c r="U23" s="42">
        <v>47</v>
      </c>
      <c r="V23" s="88" t="s">
        <v>114</v>
      </c>
      <c r="W23" s="87">
        <v>20</v>
      </c>
      <c r="X23" s="88" t="s">
        <v>114</v>
      </c>
      <c r="Y23" s="42">
        <v>40</v>
      </c>
      <c r="Z23" s="88" t="s">
        <v>114</v>
      </c>
      <c r="AA23" s="87">
        <v>19</v>
      </c>
      <c r="AB23" s="88" t="s">
        <v>114</v>
      </c>
      <c r="AC23" s="87">
        <v>18</v>
      </c>
      <c r="AD23" s="88" t="s">
        <v>114</v>
      </c>
      <c r="AE23" s="42">
        <v>29</v>
      </c>
      <c r="AF23" s="88" t="s">
        <v>114</v>
      </c>
      <c r="AG23" s="87">
        <v>20</v>
      </c>
      <c r="AH23" s="88" t="s">
        <v>114</v>
      </c>
      <c r="AI23" s="23">
        <v>480</v>
      </c>
      <c r="AJ23" s="24" t="s">
        <v>117</v>
      </c>
      <c r="AK23" s="25" t="str">
        <f>SPELLNUMBER(extractnumber_tot(AI23))</f>
        <v xml:space="preserve">Four Hundred Eighty  </v>
      </c>
    </row>
    <row r="24" spans="1:37" ht="14.1" customHeight="1">
      <c r="A24" s="84">
        <v>225224</v>
      </c>
      <c r="B24" s="30" t="s">
        <v>174</v>
      </c>
      <c r="C24" s="35" t="s">
        <v>75</v>
      </c>
      <c r="D24" s="86" t="s">
        <v>114</v>
      </c>
      <c r="E24" s="87">
        <v>21</v>
      </c>
      <c r="F24" s="88" t="s">
        <v>113</v>
      </c>
      <c r="G24" s="87">
        <v>43</v>
      </c>
      <c r="H24" s="88" t="s">
        <v>113</v>
      </c>
      <c r="I24" s="41">
        <v>2</v>
      </c>
      <c r="J24" s="88" t="s">
        <v>110</v>
      </c>
      <c r="K24" s="87">
        <v>19</v>
      </c>
      <c r="L24" s="88" t="s">
        <v>113</v>
      </c>
      <c r="M24" s="87">
        <v>38</v>
      </c>
      <c r="N24" s="88" t="s">
        <v>113</v>
      </c>
      <c r="O24" s="42">
        <v>18</v>
      </c>
      <c r="P24" s="88" t="s">
        <v>110</v>
      </c>
      <c r="Q24" s="87">
        <v>21</v>
      </c>
      <c r="R24" s="88" t="s">
        <v>113</v>
      </c>
      <c r="S24" s="87">
        <v>23</v>
      </c>
      <c r="T24" s="88" t="s">
        <v>113</v>
      </c>
      <c r="U24" s="42">
        <v>15</v>
      </c>
      <c r="V24" s="88" t="s">
        <v>110</v>
      </c>
      <c r="W24" s="87">
        <v>23</v>
      </c>
      <c r="X24" s="88" t="s">
        <v>113</v>
      </c>
      <c r="Y24" s="42">
        <v>5</v>
      </c>
      <c r="Z24" s="88" t="s">
        <v>110</v>
      </c>
      <c r="AA24" s="87">
        <v>20</v>
      </c>
      <c r="AB24" s="88" t="s">
        <v>113</v>
      </c>
      <c r="AC24" s="87">
        <v>19</v>
      </c>
      <c r="AD24" s="88" t="s">
        <v>113</v>
      </c>
      <c r="AE24" s="42">
        <v>23</v>
      </c>
      <c r="AF24" s="88" t="s">
        <v>113</v>
      </c>
      <c r="AG24" s="87">
        <v>22</v>
      </c>
      <c r="AH24" s="88" t="s">
        <v>113</v>
      </c>
      <c r="AI24" s="23">
        <v>312</v>
      </c>
      <c r="AJ24" s="24" t="s">
        <v>111</v>
      </c>
      <c r="AK24" s="25" t="str">
        <f>SPELLNUMBER(extractnumber_tot(AI24))</f>
        <v xml:space="preserve">Three Hundred Twelve </v>
      </c>
    </row>
    <row r="25" spans="1:37" ht="14.1" customHeight="1">
      <c r="A25" s="84">
        <v>225225</v>
      </c>
      <c r="B25" s="30" t="s">
        <v>175</v>
      </c>
      <c r="C25" s="34">
        <v>62</v>
      </c>
      <c r="D25" s="86" t="s">
        <v>114</v>
      </c>
      <c r="E25" s="87">
        <v>23</v>
      </c>
      <c r="F25" s="88" t="s">
        <v>114</v>
      </c>
      <c r="G25" s="87">
        <v>40</v>
      </c>
      <c r="H25" s="88" t="s">
        <v>114</v>
      </c>
      <c r="I25" s="41">
        <v>59</v>
      </c>
      <c r="J25" s="88" t="s">
        <v>114</v>
      </c>
      <c r="K25" s="87">
        <v>23</v>
      </c>
      <c r="L25" s="88" t="s">
        <v>114</v>
      </c>
      <c r="M25" s="87">
        <v>46</v>
      </c>
      <c r="N25" s="88" t="s">
        <v>114</v>
      </c>
      <c r="O25" s="42">
        <v>40</v>
      </c>
      <c r="P25" s="88" t="s">
        <v>114</v>
      </c>
      <c r="Q25" s="87">
        <v>22</v>
      </c>
      <c r="R25" s="88" t="s">
        <v>114</v>
      </c>
      <c r="S25" s="87">
        <v>20</v>
      </c>
      <c r="T25" s="88" t="s">
        <v>114</v>
      </c>
      <c r="U25" s="42">
        <v>65</v>
      </c>
      <c r="V25" s="88" t="s">
        <v>114</v>
      </c>
      <c r="W25" s="87">
        <v>23</v>
      </c>
      <c r="X25" s="88" t="s">
        <v>114</v>
      </c>
      <c r="Y25" s="42">
        <v>69</v>
      </c>
      <c r="Z25" s="88" t="s">
        <v>114</v>
      </c>
      <c r="AA25" s="87">
        <v>23</v>
      </c>
      <c r="AB25" s="88" t="s">
        <v>114</v>
      </c>
      <c r="AC25" s="87">
        <v>18</v>
      </c>
      <c r="AD25" s="88" t="s">
        <v>114</v>
      </c>
      <c r="AE25" s="42">
        <v>29</v>
      </c>
      <c r="AF25" s="88" t="s">
        <v>114</v>
      </c>
      <c r="AG25" s="87">
        <v>23</v>
      </c>
      <c r="AH25" s="88" t="s">
        <v>114</v>
      </c>
      <c r="AI25" s="23">
        <v>585</v>
      </c>
      <c r="AJ25" s="24" t="s">
        <v>117</v>
      </c>
      <c r="AK25" s="25" t="str">
        <f>SPELLNUMBER(extractnumber_tot(AI25))</f>
        <v xml:space="preserve">Five Hundred Eighty Five </v>
      </c>
    </row>
    <row r="26" spans="1:37" ht="14.1" customHeight="1">
      <c r="A26" s="84">
        <v>225226</v>
      </c>
      <c r="B26" s="30" t="s">
        <v>176</v>
      </c>
      <c r="C26" s="34">
        <v>55</v>
      </c>
      <c r="D26" s="86" t="s">
        <v>114</v>
      </c>
      <c r="E26" s="87">
        <v>23</v>
      </c>
      <c r="F26" s="88" t="s">
        <v>114</v>
      </c>
      <c r="G26" s="87">
        <v>39</v>
      </c>
      <c r="H26" s="88" t="s">
        <v>114</v>
      </c>
      <c r="I26" s="41">
        <v>40</v>
      </c>
      <c r="J26" s="88" t="s">
        <v>114</v>
      </c>
      <c r="K26" s="87">
        <v>22</v>
      </c>
      <c r="L26" s="88" t="s">
        <v>114</v>
      </c>
      <c r="M26" s="87">
        <v>46</v>
      </c>
      <c r="N26" s="88" t="s">
        <v>114</v>
      </c>
      <c r="O26" s="42">
        <v>40</v>
      </c>
      <c r="P26" s="88" t="s">
        <v>114</v>
      </c>
      <c r="Q26" s="87">
        <v>23</v>
      </c>
      <c r="R26" s="88" t="s">
        <v>114</v>
      </c>
      <c r="S26" s="87">
        <v>20</v>
      </c>
      <c r="T26" s="88" t="s">
        <v>114</v>
      </c>
      <c r="U26" s="42">
        <v>62</v>
      </c>
      <c r="V26" s="88" t="s">
        <v>114</v>
      </c>
      <c r="W26" s="87">
        <v>23</v>
      </c>
      <c r="X26" s="88" t="s">
        <v>114</v>
      </c>
      <c r="Y26" s="42">
        <v>44</v>
      </c>
      <c r="Z26" s="88" t="s">
        <v>114</v>
      </c>
      <c r="AA26" s="87">
        <v>22</v>
      </c>
      <c r="AB26" s="88" t="s">
        <v>114</v>
      </c>
      <c r="AC26" s="87">
        <v>18</v>
      </c>
      <c r="AD26" s="88" t="s">
        <v>114</v>
      </c>
      <c r="AE26" s="42">
        <v>26</v>
      </c>
      <c r="AF26" s="88" t="s">
        <v>114</v>
      </c>
      <c r="AG26" s="87">
        <v>23</v>
      </c>
      <c r="AH26" s="88" t="s">
        <v>114</v>
      </c>
      <c r="AI26" s="23">
        <v>526</v>
      </c>
      <c r="AJ26" s="24" t="s">
        <v>117</v>
      </c>
      <c r="AK26" s="25" t="str">
        <f>SPELLNUMBER(extractnumber_tot(AI26))</f>
        <v xml:space="preserve">Five Hundred Twenty Six </v>
      </c>
    </row>
    <row r="27" spans="1:37" ht="14.1" customHeight="1">
      <c r="A27" s="84">
        <v>225227</v>
      </c>
      <c r="B27" s="30" t="s">
        <v>177</v>
      </c>
      <c r="C27" s="34">
        <v>68</v>
      </c>
      <c r="D27" s="86" t="s">
        <v>114</v>
      </c>
      <c r="E27" s="87">
        <v>20</v>
      </c>
      <c r="F27" s="88" t="s">
        <v>114</v>
      </c>
      <c r="G27" s="87">
        <v>44</v>
      </c>
      <c r="H27" s="88" t="s">
        <v>114</v>
      </c>
      <c r="I27" s="41">
        <v>68</v>
      </c>
      <c r="J27" s="88" t="s">
        <v>114</v>
      </c>
      <c r="K27" s="87">
        <v>22</v>
      </c>
      <c r="L27" s="88" t="s">
        <v>114</v>
      </c>
      <c r="M27" s="87">
        <v>44</v>
      </c>
      <c r="N27" s="88" t="s">
        <v>114</v>
      </c>
      <c r="O27" s="42">
        <v>62</v>
      </c>
      <c r="P27" s="88" t="s">
        <v>114</v>
      </c>
      <c r="Q27" s="87">
        <v>19</v>
      </c>
      <c r="R27" s="88" t="s">
        <v>114</v>
      </c>
      <c r="S27" s="87">
        <v>23</v>
      </c>
      <c r="T27" s="88" t="s">
        <v>114</v>
      </c>
      <c r="U27" s="42">
        <v>69</v>
      </c>
      <c r="V27" s="88" t="s">
        <v>114</v>
      </c>
      <c r="W27" s="87">
        <v>22</v>
      </c>
      <c r="X27" s="88" t="s">
        <v>114</v>
      </c>
      <c r="Y27" s="42">
        <v>70</v>
      </c>
      <c r="Z27" s="88" t="s">
        <v>114</v>
      </c>
      <c r="AA27" s="87">
        <v>22</v>
      </c>
      <c r="AB27" s="88" t="s">
        <v>114</v>
      </c>
      <c r="AC27" s="87">
        <v>19</v>
      </c>
      <c r="AD27" s="88" t="s">
        <v>114</v>
      </c>
      <c r="AE27" s="42">
        <v>30</v>
      </c>
      <c r="AF27" s="88" t="s">
        <v>114</v>
      </c>
      <c r="AG27" s="87">
        <v>21</v>
      </c>
      <c r="AH27" s="88" t="s">
        <v>114</v>
      </c>
      <c r="AI27" s="23">
        <v>623</v>
      </c>
      <c r="AJ27" s="24" t="s">
        <v>117</v>
      </c>
      <c r="AK27" s="25" t="str">
        <f>SPELLNUMBER(extractnumber_tot(AI27))</f>
        <v xml:space="preserve">Six Hundred Twenty Three </v>
      </c>
    </row>
    <row r="28" spans="1:37" ht="14.1" customHeight="1">
      <c r="A28" s="84">
        <v>225228</v>
      </c>
      <c r="B28" s="30" t="s">
        <v>178</v>
      </c>
      <c r="C28" s="34">
        <v>41</v>
      </c>
      <c r="D28" s="86" t="s">
        <v>114</v>
      </c>
      <c r="E28" s="87">
        <v>19</v>
      </c>
      <c r="F28" s="88" t="s">
        <v>114</v>
      </c>
      <c r="G28" s="87">
        <v>41</v>
      </c>
      <c r="H28" s="88" t="s">
        <v>114</v>
      </c>
      <c r="I28" s="41">
        <v>44</v>
      </c>
      <c r="J28" s="88" t="s">
        <v>114</v>
      </c>
      <c r="K28" s="87">
        <v>23</v>
      </c>
      <c r="L28" s="88" t="s">
        <v>114</v>
      </c>
      <c r="M28" s="87">
        <v>44</v>
      </c>
      <c r="N28" s="88" t="s">
        <v>114</v>
      </c>
      <c r="O28" s="42">
        <v>40</v>
      </c>
      <c r="P28" s="88" t="s">
        <v>114</v>
      </c>
      <c r="Q28" s="87">
        <v>20</v>
      </c>
      <c r="R28" s="88" t="s">
        <v>114</v>
      </c>
      <c r="S28" s="87">
        <v>21</v>
      </c>
      <c r="T28" s="88" t="s">
        <v>114</v>
      </c>
      <c r="U28" s="42">
        <v>63</v>
      </c>
      <c r="V28" s="88" t="s">
        <v>114</v>
      </c>
      <c r="W28" s="87">
        <v>22</v>
      </c>
      <c r="X28" s="88" t="s">
        <v>114</v>
      </c>
      <c r="Y28" s="42">
        <v>55</v>
      </c>
      <c r="Z28" s="88" t="s">
        <v>114</v>
      </c>
      <c r="AA28" s="87">
        <v>23</v>
      </c>
      <c r="AB28" s="88" t="s">
        <v>114</v>
      </c>
      <c r="AC28" s="87">
        <v>20</v>
      </c>
      <c r="AD28" s="88" t="s">
        <v>114</v>
      </c>
      <c r="AE28" s="42">
        <v>22</v>
      </c>
      <c r="AF28" s="88" t="s">
        <v>114</v>
      </c>
      <c r="AG28" s="87">
        <v>20</v>
      </c>
      <c r="AH28" s="88" t="s">
        <v>114</v>
      </c>
      <c r="AI28" s="23">
        <v>518</v>
      </c>
      <c r="AJ28" s="24" t="s">
        <v>117</v>
      </c>
      <c r="AK28" s="25" t="str">
        <f>SPELLNUMBER(extractnumber_tot(AI28))</f>
        <v xml:space="preserve">Five Hundred Eighteen </v>
      </c>
    </row>
    <row r="29" spans="1:37" ht="14.1" customHeight="1">
      <c r="A29" s="84">
        <v>225229</v>
      </c>
      <c r="B29" s="30" t="s">
        <v>179</v>
      </c>
      <c r="C29" s="34">
        <v>56</v>
      </c>
      <c r="D29" s="86" t="s">
        <v>114</v>
      </c>
      <c r="E29" s="87">
        <v>20</v>
      </c>
      <c r="F29" s="88" t="s">
        <v>114</v>
      </c>
      <c r="G29" s="87">
        <v>44</v>
      </c>
      <c r="H29" s="88" t="s">
        <v>114</v>
      </c>
      <c r="I29" s="41">
        <v>52</v>
      </c>
      <c r="J29" s="88" t="s">
        <v>114</v>
      </c>
      <c r="K29" s="87">
        <v>20</v>
      </c>
      <c r="L29" s="88" t="s">
        <v>114</v>
      </c>
      <c r="M29" s="87">
        <v>36</v>
      </c>
      <c r="N29" s="88" t="s">
        <v>114</v>
      </c>
      <c r="O29" s="42">
        <v>40</v>
      </c>
      <c r="P29" s="88" t="s">
        <v>114</v>
      </c>
      <c r="Q29" s="87">
        <v>20</v>
      </c>
      <c r="R29" s="88" t="s">
        <v>114</v>
      </c>
      <c r="S29" s="87">
        <v>23</v>
      </c>
      <c r="T29" s="88" t="s">
        <v>114</v>
      </c>
      <c r="U29" s="42">
        <v>69</v>
      </c>
      <c r="V29" s="88" t="s">
        <v>114</v>
      </c>
      <c r="W29" s="87">
        <v>16</v>
      </c>
      <c r="X29" s="88" t="s">
        <v>114</v>
      </c>
      <c r="Y29" s="42">
        <v>56</v>
      </c>
      <c r="Z29" s="88" t="s">
        <v>114</v>
      </c>
      <c r="AA29" s="87">
        <v>20</v>
      </c>
      <c r="AB29" s="88" t="s">
        <v>114</v>
      </c>
      <c r="AC29" s="87">
        <v>18</v>
      </c>
      <c r="AD29" s="88" t="s">
        <v>114</v>
      </c>
      <c r="AE29" s="42">
        <v>27</v>
      </c>
      <c r="AF29" s="88" t="s">
        <v>114</v>
      </c>
      <c r="AG29" s="87">
        <v>17</v>
      </c>
      <c r="AH29" s="88" t="s">
        <v>114</v>
      </c>
      <c r="AI29" s="23">
        <v>534</v>
      </c>
      <c r="AJ29" s="24" t="s">
        <v>117</v>
      </c>
      <c r="AK29" s="25" t="str">
        <f>SPELLNUMBER(extractnumber_tot(AI29))</f>
        <v xml:space="preserve">Five Hundred Thirty Four </v>
      </c>
    </row>
    <row r="30" spans="1:37" ht="14.1" customHeight="1">
      <c r="A30" s="84">
        <v>225230</v>
      </c>
      <c r="B30" s="30" t="s">
        <v>180</v>
      </c>
      <c r="C30" s="34">
        <v>40</v>
      </c>
      <c r="D30" s="86" t="s">
        <v>113</v>
      </c>
      <c r="E30" s="87">
        <v>23</v>
      </c>
      <c r="F30" s="88" t="s">
        <v>113</v>
      </c>
      <c r="G30" s="87">
        <v>44</v>
      </c>
      <c r="H30" s="88" t="s">
        <v>113</v>
      </c>
      <c r="I30" s="41">
        <v>24</v>
      </c>
      <c r="J30" s="88" t="s">
        <v>110</v>
      </c>
      <c r="K30" s="87">
        <v>23</v>
      </c>
      <c r="L30" s="88" t="s">
        <v>113</v>
      </c>
      <c r="M30" s="87">
        <v>46</v>
      </c>
      <c r="N30" s="88" t="s">
        <v>113</v>
      </c>
      <c r="O30" s="42">
        <v>20</v>
      </c>
      <c r="P30" s="88" t="s">
        <v>110</v>
      </c>
      <c r="Q30" s="87">
        <v>23</v>
      </c>
      <c r="R30" s="88" t="s">
        <v>113</v>
      </c>
      <c r="S30" s="87">
        <v>23</v>
      </c>
      <c r="T30" s="88" t="s">
        <v>113</v>
      </c>
      <c r="U30" s="42">
        <v>18</v>
      </c>
      <c r="V30" s="88" t="s">
        <v>110</v>
      </c>
      <c r="W30" s="87">
        <v>23</v>
      </c>
      <c r="X30" s="88" t="s">
        <v>113</v>
      </c>
      <c r="Y30" s="42">
        <v>41</v>
      </c>
      <c r="Z30" s="88" t="s">
        <v>113</v>
      </c>
      <c r="AA30" s="87">
        <v>23</v>
      </c>
      <c r="AB30" s="88" t="s">
        <v>113</v>
      </c>
      <c r="AC30" s="87">
        <v>20</v>
      </c>
      <c r="AD30" s="88" t="s">
        <v>113</v>
      </c>
      <c r="AE30" s="42">
        <v>26</v>
      </c>
      <c r="AF30" s="88" t="s">
        <v>113</v>
      </c>
      <c r="AG30" s="87">
        <v>23</v>
      </c>
      <c r="AH30" s="88" t="s">
        <v>113</v>
      </c>
      <c r="AI30" s="23">
        <v>440</v>
      </c>
      <c r="AJ30" s="24" t="s">
        <v>111</v>
      </c>
      <c r="AK30" s="25" t="str">
        <f>SPELLNUMBER(extractnumber_tot(AI30))</f>
        <v xml:space="preserve">Four Hundred Forty  </v>
      </c>
    </row>
    <row r="31" spans="1:37" ht="14.1" customHeight="1">
      <c r="A31" s="84">
        <v>225231</v>
      </c>
      <c r="B31" s="30" t="s">
        <v>181</v>
      </c>
      <c r="C31" s="34">
        <v>70</v>
      </c>
      <c r="D31" s="86" t="s">
        <v>114</v>
      </c>
      <c r="E31" s="87">
        <v>20</v>
      </c>
      <c r="F31" s="88" t="s">
        <v>114</v>
      </c>
      <c r="G31" s="87">
        <v>41</v>
      </c>
      <c r="H31" s="88" t="s">
        <v>114</v>
      </c>
      <c r="I31" s="41">
        <v>66</v>
      </c>
      <c r="J31" s="88" t="s">
        <v>114</v>
      </c>
      <c r="K31" s="87">
        <v>21</v>
      </c>
      <c r="L31" s="88" t="s">
        <v>114</v>
      </c>
      <c r="M31" s="87">
        <v>44</v>
      </c>
      <c r="N31" s="88" t="s">
        <v>114</v>
      </c>
      <c r="O31" s="42">
        <v>67</v>
      </c>
      <c r="P31" s="88" t="s">
        <v>114</v>
      </c>
      <c r="Q31" s="87">
        <v>20</v>
      </c>
      <c r="R31" s="88" t="s">
        <v>114</v>
      </c>
      <c r="S31" s="87">
        <v>21</v>
      </c>
      <c r="T31" s="88" t="s">
        <v>114</v>
      </c>
      <c r="U31" s="42">
        <v>79</v>
      </c>
      <c r="V31" s="88" t="s">
        <v>114</v>
      </c>
      <c r="W31" s="87">
        <v>23</v>
      </c>
      <c r="X31" s="88" t="s">
        <v>114</v>
      </c>
      <c r="Y31" s="42">
        <v>72</v>
      </c>
      <c r="Z31" s="88" t="s">
        <v>114</v>
      </c>
      <c r="AA31" s="87">
        <v>21</v>
      </c>
      <c r="AB31" s="88" t="s">
        <v>114</v>
      </c>
      <c r="AC31" s="87">
        <v>20</v>
      </c>
      <c r="AD31" s="88" t="s">
        <v>114</v>
      </c>
      <c r="AE31" s="42">
        <v>31</v>
      </c>
      <c r="AF31" s="88" t="s">
        <v>114</v>
      </c>
      <c r="AG31" s="87">
        <v>23</v>
      </c>
      <c r="AH31" s="88" t="s">
        <v>114</v>
      </c>
      <c r="AI31" s="23">
        <v>639</v>
      </c>
      <c r="AJ31" s="24" t="s">
        <v>117</v>
      </c>
      <c r="AK31" s="25" t="str">
        <f>SPELLNUMBER(extractnumber_tot(AI31))</f>
        <v xml:space="preserve">Six Hundred Thirty Nine </v>
      </c>
    </row>
    <row r="32" spans="1:37" ht="14.1" customHeight="1">
      <c r="A32" s="84">
        <v>225232</v>
      </c>
      <c r="B32" s="30" t="s">
        <v>182</v>
      </c>
      <c r="C32" s="34">
        <v>66</v>
      </c>
      <c r="D32" s="86" t="s">
        <v>114</v>
      </c>
      <c r="E32" s="87">
        <v>21</v>
      </c>
      <c r="F32" s="88" t="s">
        <v>114</v>
      </c>
      <c r="G32" s="87">
        <v>43</v>
      </c>
      <c r="H32" s="88" t="s">
        <v>114</v>
      </c>
      <c r="I32" s="41">
        <v>45</v>
      </c>
      <c r="J32" s="88" t="s">
        <v>114</v>
      </c>
      <c r="K32" s="87">
        <v>21</v>
      </c>
      <c r="L32" s="88" t="s">
        <v>114</v>
      </c>
      <c r="M32" s="87">
        <v>44</v>
      </c>
      <c r="N32" s="88" t="s">
        <v>114</v>
      </c>
      <c r="O32" s="42">
        <v>40</v>
      </c>
      <c r="P32" s="88" t="s">
        <v>114</v>
      </c>
      <c r="Q32" s="87">
        <v>21</v>
      </c>
      <c r="R32" s="88" t="s">
        <v>114</v>
      </c>
      <c r="S32" s="87">
        <v>23</v>
      </c>
      <c r="T32" s="88" t="s">
        <v>114</v>
      </c>
      <c r="U32" s="42">
        <v>63</v>
      </c>
      <c r="V32" s="88" t="s">
        <v>114</v>
      </c>
      <c r="W32" s="87">
        <v>22</v>
      </c>
      <c r="X32" s="88" t="s">
        <v>114</v>
      </c>
      <c r="Y32" s="42">
        <v>54</v>
      </c>
      <c r="Z32" s="88" t="s">
        <v>114</v>
      </c>
      <c r="AA32" s="87">
        <v>21</v>
      </c>
      <c r="AB32" s="88" t="s">
        <v>114</v>
      </c>
      <c r="AC32" s="87">
        <v>22</v>
      </c>
      <c r="AD32" s="88" t="s">
        <v>114</v>
      </c>
      <c r="AE32" s="42">
        <v>29</v>
      </c>
      <c r="AF32" s="88" t="s">
        <v>114</v>
      </c>
      <c r="AG32" s="87">
        <v>22</v>
      </c>
      <c r="AH32" s="88" t="s">
        <v>114</v>
      </c>
      <c r="AI32" s="23">
        <v>557</v>
      </c>
      <c r="AJ32" s="24" t="s">
        <v>117</v>
      </c>
      <c r="AK32" s="25" t="str">
        <f>SPELLNUMBER(extractnumber_tot(AI32))</f>
        <v xml:space="preserve">Five Hundred Fifty Seven </v>
      </c>
    </row>
    <row r="33" spans="1:37" ht="14.1" customHeight="1">
      <c r="A33" s="84">
        <v>225233</v>
      </c>
      <c r="B33" s="30" t="s">
        <v>183</v>
      </c>
      <c r="C33" s="34">
        <v>40</v>
      </c>
      <c r="D33" s="86" t="s">
        <v>113</v>
      </c>
      <c r="E33" s="87">
        <v>19</v>
      </c>
      <c r="F33" s="88" t="s">
        <v>113</v>
      </c>
      <c r="G33" s="87">
        <v>41</v>
      </c>
      <c r="H33" s="88" t="s">
        <v>113</v>
      </c>
      <c r="I33" s="41">
        <v>40</v>
      </c>
      <c r="J33" s="88" t="s">
        <v>113</v>
      </c>
      <c r="K33" s="87">
        <v>23</v>
      </c>
      <c r="L33" s="88" t="s">
        <v>113</v>
      </c>
      <c r="M33" s="87">
        <v>36</v>
      </c>
      <c r="N33" s="88" t="s">
        <v>113</v>
      </c>
      <c r="O33" s="42">
        <v>33</v>
      </c>
      <c r="P33" s="88" t="s">
        <v>110</v>
      </c>
      <c r="Q33" s="87">
        <v>19</v>
      </c>
      <c r="R33" s="88" t="s">
        <v>113</v>
      </c>
      <c r="S33" s="87">
        <v>21</v>
      </c>
      <c r="T33" s="88" t="s">
        <v>113</v>
      </c>
      <c r="U33" s="42">
        <v>51</v>
      </c>
      <c r="V33" s="88" t="s">
        <v>113</v>
      </c>
      <c r="W33" s="87">
        <v>23</v>
      </c>
      <c r="X33" s="88" t="s">
        <v>113</v>
      </c>
      <c r="Y33" s="42">
        <v>16</v>
      </c>
      <c r="Z33" s="88" t="s">
        <v>110</v>
      </c>
      <c r="AA33" s="87">
        <v>23</v>
      </c>
      <c r="AB33" s="88" t="s">
        <v>113</v>
      </c>
      <c r="AC33" s="87">
        <v>15</v>
      </c>
      <c r="AD33" s="88" t="s">
        <v>113</v>
      </c>
      <c r="AE33" s="42">
        <v>20</v>
      </c>
      <c r="AF33" s="88" t="s">
        <v>113</v>
      </c>
      <c r="AG33" s="87">
        <v>20</v>
      </c>
      <c r="AH33" s="88" t="s">
        <v>113</v>
      </c>
      <c r="AI33" s="23">
        <v>440</v>
      </c>
      <c r="AJ33" s="24" t="s">
        <v>111</v>
      </c>
      <c r="AK33" s="25" t="str">
        <f>SPELLNUMBER(extractnumber_tot(AI33))</f>
        <v xml:space="preserve">Four Hundred Forty  </v>
      </c>
    </row>
    <row r="34" spans="1:37" ht="14.1" customHeight="1">
      <c r="A34" s="84">
        <v>225234</v>
      </c>
      <c r="B34" s="30" t="s">
        <v>184</v>
      </c>
      <c r="C34" s="34">
        <v>56</v>
      </c>
      <c r="D34" s="86" t="s">
        <v>114</v>
      </c>
      <c r="E34" s="87">
        <v>22</v>
      </c>
      <c r="F34" s="88" t="s">
        <v>114</v>
      </c>
      <c r="G34" s="87">
        <v>41</v>
      </c>
      <c r="H34" s="88" t="s">
        <v>114</v>
      </c>
      <c r="I34" s="41">
        <v>67</v>
      </c>
      <c r="J34" s="88" t="s">
        <v>114</v>
      </c>
      <c r="K34" s="87">
        <v>19</v>
      </c>
      <c r="L34" s="88" t="s">
        <v>114</v>
      </c>
      <c r="M34" s="87">
        <v>38</v>
      </c>
      <c r="N34" s="88" t="s">
        <v>114</v>
      </c>
      <c r="O34" s="42">
        <v>41</v>
      </c>
      <c r="P34" s="88" t="s">
        <v>114</v>
      </c>
      <c r="Q34" s="87">
        <v>22</v>
      </c>
      <c r="R34" s="88" t="s">
        <v>114</v>
      </c>
      <c r="S34" s="87">
        <v>21</v>
      </c>
      <c r="T34" s="88" t="s">
        <v>114</v>
      </c>
      <c r="U34" s="42">
        <v>72</v>
      </c>
      <c r="V34" s="88" t="s">
        <v>114</v>
      </c>
      <c r="W34" s="87">
        <v>20</v>
      </c>
      <c r="X34" s="88" t="s">
        <v>114</v>
      </c>
      <c r="Y34" s="42">
        <v>48</v>
      </c>
      <c r="Z34" s="88" t="s">
        <v>114</v>
      </c>
      <c r="AA34" s="87">
        <v>19</v>
      </c>
      <c r="AB34" s="88" t="s">
        <v>114</v>
      </c>
      <c r="AC34" s="87">
        <v>18</v>
      </c>
      <c r="AD34" s="88" t="s">
        <v>114</v>
      </c>
      <c r="AE34" s="42">
        <v>34</v>
      </c>
      <c r="AF34" s="88" t="s">
        <v>114</v>
      </c>
      <c r="AG34" s="87">
        <v>20</v>
      </c>
      <c r="AH34" s="88" t="s">
        <v>114</v>
      </c>
      <c r="AI34" s="23">
        <v>558</v>
      </c>
      <c r="AJ34" s="24" t="s">
        <v>117</v>
      </c>
      <c r="AK34" s="25" t="str">
        <f>SPELLNUMBER(extractnumber_tot(AI34))</f>
        <v xml:space="preserve">Five Hundred Fifty Eight </v>
      </c>
    </row>
    <row r="35" spans="1:37" ht="14.1" customHeight="1">
      <c r="A35" s="84">
        <v>225235</v>
      </c>
      <c r="B35" s="30" t="s">
        <v>185</v>
      </c>
      <c r="C35" s="34">
        <v>78</v>
      </c>
      <c r="D35" s="86" t="s">
        <v>114</v>
      </c>
      <c r="E35" s="87">
        <v>23</v>
      </c>
      <c r="F35" s="88" t="s">
        <v>114</v>
      </c>
      <c r="G35" s="87">
        <v>41</v>
      </c>
      <c r="H35" s="88" t="s">
        <v>114</v>
      </c>
      <c r="I35" s="41">
        <v>70</v>
      </c>
      <c r="J35" s="88" t="s">
        <v>114</v>
      </c>
      <c r="K35" s="87">
        <v>23</v>
      </c>
      <c r="L35" s="88" t="s">
        <v>114</v>
      </c>
      <c r="M35" s="87">
        <v>44</v>
      </c>
      <c r="N35" s="88" t="s">
        <v>114</v>
      </c>
      <c r="O35" s="42">
        <v>60</v>
      </c>
      <c r="P35" s="88" t="s">
        <v>114</v>
      </c>
      <c r="Q35" s="87">
        <v>23</v>
      </c>
      <c r="R35" s="88" t="s">
        <v>114</v>
      </c>
      <c r="S35" s="87">
        <v>21</v>
      </c>
      <c r="T35" s="88" t="s">
        <v>114</v>
      </c>
      <c r="U35" s="42">
        <v>66</v>
      </c>
      <c r="V35" s="88" t="s">
        <v>114</v>
      </c>
      <c r="W35" s="87">
        <v>23</v>
      </c>
      <c r="X35" s="88" t="s">
        <v>114</v>
      </c>
      <c r="Y35" s="42">
        <v>66</v>
      </c>
      <c r="Z35" s="88" t="s">
        <v>114</v>
      </c>
      <c r="AA35" s="87">
        <v>23</v>
      </c>
      <c r="AB35" s="88" t="s">
        <v>114</v>
      </c>
      <c r="AC35" s="87">
        <v>17</v>
      </c>
      <c r="AD35" s="88" t="s">
        <v>114</v>
      </c>
      <c r="AE35" s="42">
        <v>29</v>
      </c>
      <c r="AF35" s="88" t="s">
        <v>114</v>
      </c>
      <c r="AG35" s="87">
        <v>23</v>
      </c>
      <c r="AH35" s="88" t="s">
        <v>114</v>
      </c>
      <c r="AI35" s="23">
        <v>630</v>
      </c>
      <c r="AJ35" s="24" t="s">
        <v>117</v>
      </c>
      <c r="AK35" s="25" t="str">
        <f>SPELLNUMBER(extractnumber_tot(AI35))</f>
        <v xml:space="preserve">Six Hundred Thirty  </v>
      </c>
    </row>
    <row r="36" spans="1:37" ht="14.1" customHeight="1">
      <c r="A36" s="84">
        <v>225236</v>
      </c>
      <c r="B36" s="30" t="s">
        <v>186</v>
      </c>
      <c r="C36" s="34">
        <v>50</v>
      </c>
      <c r="D36" s="86" t="s">
        <v>114</v>
      </c>
      <c r="E36" s="87">
        <v>20</v>
      </c>
      <c r="F36" s="88" t="s">
        <v>114</v>
      </c>
      <c r="G36" s="87">
        <v>43</v>
      </c>
      <c r="H36" s="88" t="s">
        <v>114</v>
      </c>
      <c r="I36" s="41">
        <v>53</v>
      </c>
      <c r="J36" s="88" t="s">
        <v>114</v>
      </c>
      <c r="K36" s="87">
        <v>22</v>
      </c>
      <c r="L36" s="88" t="s">
        <v>114</v>
      </c>
      <c r="M36" s="87">
        <v>46</v>
      </c>
      <c r="N36" s="88" t="s">
        <v>114</v>
      </c>
      <c r="O36" s="42">
        <v>49</v>
      </c>
      <c r="P36" s="88" t="s">
        <v>114</v>
      </c>
      <c r="Q36" s="87">
        <v>20</v>
      </c>
      <c r="R36" s="88" t="s">
        <v>114</v>
      </c>
      <c r="S36" s="87">
        <v>23</v>
      </c>
      <c r="T36" s="88" t="s">
        <v>114</v>
      </c>
      <c r="U36" s="42">
        <v>57</v>
      </c>
      <c r="V36" s="88" t="s">
        <v>114</v>
      </c>
      <c r="W36" s="87">
        <v>19</v>
      </c>
      <c r="X36" s="88" t="s">
        <v>114</v>
      </c>
      <c r="Y36" s="42">
        <v>52</v>
      </c>
      <c r="Z36" s="88" t="s">
        <v>114</v>
      </c>
      <c r="AA36" s="87">
        <v>22</v>
      </c>
      <c r="AB36" s="88" t="s">
        <v>114</v>
      </c>
      <c r="AC36" s="87">
        <v>16</v>
      </c>
      <c r="AD36" s="88" t="s">
        <v>114</v>
      </c>
      <c r="AE36" s="42">
        <v>25</v>
      </c>
      <c r="AF36" s="88" t="s">
        <v>114</v>
      </c>
      <c r="AG36" s="87">
        <v>20</v>
      </c>
      <c r="AH36" s="88" t="s">
        <v>114</v>
      </c>
      <c r="AI36" s="23">
        <v>537</v>
      </c>
      <c r="AJ36" s="24" t="s">
        <v>117</v>
      </c>
      <c r="AK36" s="25" t="str">
        <f>SPELLNUMBER(extractnumber_tot(AI36))</f>
        <v xml:space="preserve">Five Hundred Thirty Seven </v>
      </c>
    </row>
    <row r="37" spans="1:37" ht="14.1" customHeight="1">
      <c r="A37" s="84">
        <v>225237</v>
      </c>
      <c r="B37" s="30" t="s">
        <v>187</v>
      </c>
      <c r="C37" s="34">
        <v>63</v>
      </c>
      <c r="D37" s="86" t="s">
        <v>114</v>
      </c>
      <c r="E37" s="87">
        <v>22</v>
      </c>
      <c r="F37" s="88" t="s">
        <v>114</v>
      </c>
      <c r="G37" s="87">
        <v>42</v>
      </c>
      <c r="H37" s="88" t="s">
        <v>114</v>
      </c>
      <c r="I37" s="41">
        <v>42</v>
      </c>
      <c r="J37" s="88" t="s">
        <v>114</v>
      </c>
      <c r="K37" s="87">
        <v>20</v>
      </c>
      <c r="L37" s="88" t="s">
        <v>114</v>
      </c>
      <c r="M37" s="87">
        <v>42</v>
      </c>
      <c r="N37" s="88" t="s">
        <v>114</v>
      </c>
      <c r="O37" s="42">
        <v>40</v>
      </c>
      <c r="P37" s="88" t="s">
        <v>114</v>
      </c>
      <c r="Q37" s="87">
        <v>22</v>
      </c>
      <c r="R37" s="88" t="s">
        <v>114</v>
      </c>
      <c r="S37" s="87">
        <v>22</v>
      </c>
      <c r="T37" s="88" t="s">
        <v>114</v>
      </c>
      <c r="U37" s="42">
        <v>47</v>
      </c>
      <c r="V37" s="88" t="s">
        <v>114</v>
      </c>
      <c r="W37" s="87">
        <v>16</v>
      </c>
      <c r="X37" s="88" t="s">
        <v>114</v>
      </c>
      <c r="Y37" s="42">
        <v>50</v>
      </c>
      <c r="Z37" s="88" t="s">
        <v>114</v>
      </c>
      <c r="AA37" s="87">
        <v>20</v>
      </c>
      <c r="AB37" s="88" t="s">
        <v>114</v>
      </c>
      <c r="AC37" s="87">
        <v>19</v>
      </c>
      <c r="AD37" s="88" t="s">
        <v>114</v>
      </c>
      <c r="AE37" s="42">
        <v>32</v>
      </c>
      <c r="AF37" s="88" t="s">
        <v>114</v>
      </c>
      <c r="AG37" s="87">
        <v>16</v>
      </c>
      <c r="AH37" s="88" t="s">
        <v>114</v>
      </c>
      <c r="AI37" s="23">
        <v>515</v>
      </c>
      <c r="AJ37" s="24" t="s">
        <v>117</v>
      </c>
      <c r="AK37" s="25" t="str">
        <f>SPELLNUMBER(extractnumber_tot(AI37))</f>
        <v xml:space="preserve">Five Hundred Fifteen </v>
      </c>
    </row>
    <row r="38" spans="1:37" ht="14.1" customHeight="1">
      <c r="A38" s="84">
        <v>225238</v>
      </c>
      <c r="B38" s="30" t="s">
        <v>188</v>
      </c>
      <c r="C38" s="34">
        <v>64</v>
      </c>
      <c r="D38" s="86" t="s">
        <v>114</v>
      </c>
      <c r="E38" s="87">
        <v>20</v>
      </c>
      <c r="F38" s="88" t="s">
        <v>114</v>
      </c>
      <c r="G38" s="87">
        <v>40</v>
      </c>
      <c r="H38" s="88" t="s">
        <v>114</v>
      </c>
      <c r="I38" s="41">
        <v>56</v>
      </c>
      <c r="J38" s="88" t="s">
        <v>114</v>
      </c>
      <c r="K38" s="87">
        <v>21</v>
      </c>
      <c r="L38" s="88" t="s">
        <v>114</v>
      </c>
      <c r="M38" s="87">
        <v>42</v>
      </c>
      <c r="N38" s="88" t="s">
        <v>114</v>
      </c>
      <c r="O38" s="42">
        <v>41</v>
      </c>
      <c r="P38" s="88" t="s">
        <v>114</v>
      </c>
      <c r="Q38" s="87">
        <v>20</v>
      </c>
      <c r="R38" s="88" t="s">
        <v>114</v>
      </c>
      <c r="S38" s="87">
        <v>20</v>
      </c>
      <c r="T38" s="88" t="s">
        <v>114</v>
      </c>
      <c r="U38" s="42">
        <v>65</v>
      </c>
      <c r="V38" s="88" t="s">
        <v>114</v>
      </c>
      <c r="W38" s="87">
        <v>16</v>
      </c>
      <c r="X38" s="88" t="s">
        <v>114</v>
      </c>
      <c r="Y38" s="42">
        <v>46</v>
      </c>
      <c r="Z38" s="88" t="s">
        <v>114</v>
      </c>
      <c r="AA38" s="87">
        <v>21</v>
      </c>
      <c r="AB38" s="88" t="s">
        <v>114</v>
      </c>
      <c r="AC38" s="87">
        <v>16</v>
      </c>
      <c r="AD38" s="88" t="s">
        <v>114</v>
      </c>
      <c r="AE38" s="42">
        <v>27</v>
      </c>
      <c r="AF38" s="88" t="s">
        <v>114</v>
      </c>
      <c r="AG38" s="87">
        <v>18</v>
      </c>
      <c r="AH38" s="88" t="s">
        <v>114</v>
      </c>
      <c r="AI38" s="23">
        <v>533</v>
      </c>
      <c r="AJ38" s="24" t="s">
        <v>117</v>
      </c>
      <c r="AK38" s="25" t="str">
        <f>SPELLNUMBER(extractnumber_tot(AI38))</f>
        <v xml:space="preserve">Five Hundred Thirty Three </v>
      </c>
    </row>
    <row r="39" spans="1:37" ht="14.1" customHeight="1">
      <c r="A39" s="84">
        <v>225239</v>
      </c>
      <c r="B39" s="30" t="s">
        <v>189</v>
      </c>
      <c r="C39" s="34">
        <v>65</v>
      </c>
      <c r="D39" s="86" t="s">
        <v>114</v>
      </c>
      <c r="E39" s="87">
        <v>21</v>
      </c>
      <c r="F39" s="88" t="s">
        <v>114</v>
      </c>
      <c r="G39" s="87">
        <v>43</v>
      </c>
      <c r="H39" s="88" t="s">
        <v>114</v>
      </c>
      <c r="I39" s="41">
        <v>60</v>
      </c>
      <c r="J39" s="88" t="s">
        <v>114</v>
      </c>
      <c r="K39" s="87">
        <v>24</v>
      </c>
      <c r="L39" s="88" t="s">
        <v>114</v>
      </c>
      <c r="M39" s="87">
        <v>46</v>
      </c>
      <c r="N39" s="88" t="s">
        <v>114</v>
      </c>
      <c r="O39" s="42">
        <v>41</v>
      </c>
      <c r="P39" s="88" t="s">
        <v>114</v>
      </c>
      <c r="Q39" s="87">
        <v>21</v>
      </c>
      <c r="R39" s="88" t="s">
        <v>114</v>
      </c>
      <c r="S39" s="87">
        <v>23</v>
      </c>
      <c r="T39" s="88" t="s">
        <v>114</v>
      </c>
      <c r="U39" s="42">
        <v>65</v>
      </c>
      <c r="V39" s="88" t="s">
        <v>114</v>
      </c>
      <c r="W39" s="87">
        <v>24</v>
      </c>
      <c r="X39" s="88" t="s">
        <v>114</v>
      </c>
      <c r="Y39" s="42">
        <v>63</v>
      </c>
      <c r="Z39" s="88" t="s">
        <v>114</v>
      </c>
      <c r="AA39" s="87">
        <v>23</v>
      </c>
      <c r="AB39" s="88" t="s">
        <v>114</v>
      </c>
      <c r="AC39" s="87">
        <v>23</v>
      </c>
      <c r="AD39" s="88" t="s">
        <v>114</v>
      </c>
      <c r="AE39" s="42">
        <v>31</v>
      </c>
      <c r="AF39" s="88" t="s">
        <v>114</v>
      </c>
      <c r="AG39" s="87">
        <v>23</v>
      </c>
      <c r="AH39" s="88" t="s">
        <v>114</v>
      </c>
      <c r="AI39" s="23">
        <v>596</v>
      </c>
      <c r="AJ39" s="24" t="s">
        <v>117</v>
      </c>
      <c r="AK39" s="25" t="str">
        <f>SPELLNUMBER(extractnumber_tot(AI39))</f>
        <v xml:space="preserve">Five Hundred NinetySix </v>
      </c>
    </row>
    <row r="40" spans="1:37" ht="14.1" customHeight="1">
      <c r="A40" s="84">
        <v>225240</v>
      </c>
      <c r="B40" s="30" t="s">
        <v>190</v>
      </c>
      <c r="C40" s="34">
        <v>63</v>
      </c>
      <c r="D40" s="86" t="s">
        <v>114</v>
      </c>
      <c r="E40" s="87">
        <v>22</v>
      </c>
      <c r="F40" s="88" t="s">
        <v>114</v>
      </c>
      <c r="G40" s="87">
        <v>43</v>
      </c>
      <c r="H40" s="88" t="s">
        <v>114</v>
      </c>
      <c r="I40" s="41">
        <v>50</v>
      </c>
      <c r="J40" s="88" t="s">
        <v>114</v>
      </c>
      <c r="K40" s="87">
        <v>19</v>
      </c>
      <c r="L40" s="88" t="s">
        <v>114</v>
      </c>
      <c r="M40" s="87">
        <v>42</v>
      </c>
      <c r="N40" s="88" t="s">
        <v>114</v>
      </c>
      <c r="O40" s="42">
        <v>40</v>
      </c>
      <c r="P40" s="88" t="s">
        <v>114</v>
      </c>
      <c r="Q40" s="87">
        <v>22</v>
      </c>
      <c r="R40" s="88" t="s">
        <v>114</v>
      </c>
      <c r="S40" s="87">
        <v>23</v>
      </c>
      <c r="T40" s="88" t="s">
        <v>114</v>
      </c>
      <c r="U40" s="42">
        <v>46</v>
      </c>
      <c r="V40" s="88" t="s">
        <v>114</v>
      </c>
      <c r="W40" s="87">
        <v>22</v>
      </c>
      <c r="X40" s="88" t="s">
        <v>114</v>
      </c>
      <c r="Y40" s="42">
        <v>64</v>
      </c>
      <c r="Z40" s="88" t="s">
        <v>114</v>
      </c>
      <c r="AA40" s="87">
        <v>19</v>
      </c>
      <c r="AB40" s="88" t="s">
        <v>114</v>
      </c>
      <c r="AC40" s="87">
        <v>20</v>
      </c>
      <c r="AD40" s="88" t="s">
        <v>114</v>
      </c>
      <c r="AE40" s="42">
        <v>34</v>
      </c>
      <c r="AF40" s="88" t="s">
        <v>114</v>
      </c>
      <c r="AG40" s="87">
        <v>22</v>
      </c>
      <c r="AH40" s="88" t="s">
        <v>114</v>
      </c>
      <c r="AI40" s="23">
        <v>551</v>
      </c>
      <c r="AJ40" s="24" t="s">
        <v>117</v>
      </c>
      <c r="AK40" s="25" t="str">
        <f>SPELLNUMBER(extractnumber_tot(AI40))</f>
        <v xml:space="preserve">Five Hundred Fifty One </v>
      </c>
    </row>
    <row r="41" spans="1:37" ht="14.1" customHeight="1">
      <c r="A41" s="84">
        <v>225241</v>
      </c>
      <c r="B41" s="30" t="s">
        <v>191</v>
      </c>
      <c r="C41" s="34">
        <v>47</v>
      </c>
      <c r="D41" s="86" t="s">
        <v>113</v>
      </c>
      <c r="E41" s="87">
        <v>23</v>
      </c>
      <c r="F41" s="88" t="s">
        <v>113</v>
      </c>
      <c r="G41" s="87">
        <v>44</v>
      </c>
      <c r="H41" s="88" t="s">
        <v>113</v>
      </c>
      <c r="I41" s="41">
        <v>46</v>
      </c>
      <c r="J41" s="88" t="s">
        <v>113</v>
      </c>
      <c r="K41" s="87">
        <v>23</v>
      </c>
      <c r="L41" s="88" t="s">
        <v>113</v>
      </c>
      <c r="M41" s="87">
        <v>42</v>
      </c>
      <c r="N41" s="88" t="s">
        <v>113</v>
      </c>
      <c r="O41" s="42">
        <v>30</v>
      </c>
      <c r="P41" s="88" t="s">
        <v>110</v>
      </c>
      <c r="Q41" s="87">
        <v>23</v>
      </c>
      <c r="R41" s="88" t="s">
        <v>113</v>
      </c>
      <c r="S41" s="87">
        <v>22</v>
      </c>
      <c r="T41" s="88" t="s">
        <v>113</v>
      </c>
      <c r="U41" s="42">
        <v>32</v>
      </c>
      <c r="V41" s="88" t="s">
        <v>110</v>
      </c>
      <c r="W41" s="87">
        <v>24</v>
      </c>
      <c r="X41" s="88" t="s">
        <v>113</v>
      </c>
      <c r="Y41" s="42">
        <v>57</v>
      </c>
      <c r="Z41" s="88" t="s">
        <v>113</v>
      </c>
      <c r="AA41" s="87">
        <v>23</v>
      </c>
      <c r="AB41" s="88" t="s">
        <v>113</v>
      </c>
      <c r="AC41" s="87">
        <v>21</v>
      </c>
      <c r="AD41" s="88" t="s">
        <v>113</v>
      </c>
      <c r="AE41" s="42">
        <v>24</v>
      </c>
      <c r="AF41" s="88" t="s">
        <v>113</v>
      </c>
      <c r="AG41" s="87">
        <v>23</v>
      </c>
      <c r="AH41" s="88" t="s">
        <v>113</v>
      </c>
      <c r="AI41" s="23">
        <v>504</v>
      </c>
      <c r="AJ41" s="24" t="s">
        <v>111</v>
      </c>
      <c r="AK41" s="25" t="str">
        <f>SPELLNUMBER(extractnumber_tot(AI41))</f>
        <v xml:space="preserve">Five Hundred Four </v>
      </c>
    </row>
    <row r="42" spans="1:37" ht="14.1" customHeight="1">
      <c r="A42" s="84">
        <v>225242</v>
      </c>
      <c r="B42" s="30" t="s">
        <v>192</v>
      </c>
      <c r="C42" s="34">
        <v>59</v>
      </c>
      <c r="D42" s="86" t="s">
        <v>114</v>
      </c>
      <c r="E42" s="87">
        <v>20</v>
      </c>
      <c r="F42" s="88" t="s">
        <v>114</v>
      </c>
      <c r="G42" s="87">
        <v>37</v>
      </c>
      <c r="H42" s="88" t="s">
        <v>114</v>
      </c>
      <c r="I42" s="41">
        <v>63</v>
      </c>
      <c r="J42" s="88" t="s">
        <v>114</v>
      </c>
      <c r="K42" s="87">
        <v>23</v>
      </c>
      <c r="L42" s="88" t="s">
        <v>114</v>
      </c>
      <c r="M42" s="87">
        <v>46</v>
      </c>
      <c r="N42" s="88" t="s">
        <v>114</v>
      </c>
      <c r="O42" s="42">
        <v>55</v>
      </c>
      <c r="P42" s="88" t="s">
        <v>114</v>
      </c>
      <c r="Q42" s="87">
        <v>20</v>
      </c>
      <c r="R42" s="88" t="s">
        <v>114</v>
      </c>
      <c r="S42" s="87">
        <v>20</v>
      </c>
      <c r="T42" s="88" t="s">
        <v>114</v>
      </c>
      <c r="U42" s="42">
        <v>65</v>
      </c>
      <c r="V42" s="88" t="s">
        <v>114</v>
      </c>
      <c r="W42" s="87">
        <v>23</v>
      </c>
      <c r="X42" s="88" t="s">
        <v>114</v>
      </c>
      <c r="Y42" s="42">
        <v>56</v>
      </c>
      <c r="Z42" s="88" t="s">
        <v>114</v>
      </c>
      <c r="AA42" s="87">
        <v>23</v>
      </c>
      <c r="AB42" s="88" t="s">
        <v>114</v>
      </c>
      <c r="AC42" s="87">
        <v>18</v>
      </c>
      <c r="AD42" s="88" t="s">
        <v>114</v>
      </c>
      <c r="AE42" s="42">
        <v>29</v>
      </c>
      <c r="AF42" s="88" t="s">
        <v>114</v>
      </c>
      <c r="AG42" s="87">
        <v>22</v>
      </c>
      <c r="AH42" s="88" t="s">
        <v>114</v>
      </c>
      <c r="AI42" s="23">
        <v>579</v>
      </c>
      <c r="AJ42" s="24" t="s">
        <v>117</v>
      </c>
      <c r="AK42" s="25" t="str">
        <f>SPELLNUMBER(extractnumber_tot(AI42))</f>
        <v xml:space="preserve">Five Hundred Seventy Nine </v>
      </c>
    </row>
    <row r="43" spans="1:37" ht="14.1" customHeight="1">
      <c r="A43" s="84">
        <v>225243</v>
      </c>
      <c r="B43" s="31" t="s">
        <v>193</v>
      </c>
      <c r="C43" s="34">
        <v>61</v>
      </c>
      <c r="D43" s="86" t="s">
        <v>114</v>
      </c>
      <c r="E43" s="87">
        <v>21</v>
      </c>
      <c r="F43" s="88" t="s">
        <v>114</v>
      </c>
      <c r="G43" s="87">
        <v>41</v>
      </c>
      <c r="H43" s="88" t="s">
        <v>114</v>
      </c>
      <c r="I43" s="41">
        <v>61</v>
      </c>
      <c r="J43" s="88" t="s">
        <v>114</v>
      </c>
      <c r="K43" s="87">
        <v>22</v>
      </c>
      <c r="L43" s="88" t="s">
        <v>114</v>
      </c>
      <c r="M43" s="87">
        <v>44</v>
      </c>
      <c r="N43" s="88" t="s">
        <v>114</v>
      </c>
      <c r="O43" s="42">
        <v>65</v>
      </c>
      <c r="P43" s="88" t="s">
        <v>114</v>
      </c>
      <c r="Q43" s="87">
        <v>21</v>
      </c>
      <c r="R43" s="88" t="s">
        <v>114</v>
      </c>
      <c r="S43" s="87">
        <v>21</v>
      </c>
      <c r="T43" s="88" t="s">
        <v>114</v>
      </c>
      <c r="U43" s="42">
        <v>64</v>
      </c>
      <c r="V43" s="88" t="s">
        <v>114</v>
      </c>
      <c r="W43" s="87">
        <v>21</v>
      </c>
      <c r="X43" s="88" t="s">
        <v>114</v>
      </c>
      <c r="Y43" s="42">
        <v>69</v>
      </c>
      <c r="Z43" s="88" t="s">
        <v>114</v>
      </c>
      <c r="AA43" s="87">
        <v>22</v>
      </c>
      <c r="AB43" s="88" t="s">
        <v>114</v>
      </c>
      <c r="AC43" s="87">
        <v>23</v>
      </c>
      <c r="AD43" s="88" t="s">
        <v>114</v>
      </c>
      <c r="AE43" s="42">
        <v>34</v>
      </c>
      <c r="AF43" s="88" t="s">
        <v>114</v>
      </c>
      <c r="AG43" s="87">
        <v>23</v>
      </c>
      <c r="AH43" s="88" t="s">
        <v>114</v>
      </c>
      <c r="AI43" s="23">
        <v>613</v>
      </c>
      <c r="AJ43" s="24" t="s">
        <v>117</v>
      </c>
      <c r="AK43" s="25" t="str">
        <f>SPELLNUMBER(extractnumber_tot(AI43))</f>
        <v xml:space="preserve">Six Hundred Thirteen </v>
      </c>
    </row>
    <row r="44" spans="1:37" ht="14.1" customHeight="1">
      <c r="A44" s="84">
        <v>225244</v>
      </c>
      <c r="B44" s="30" t="s">
        <v>194</v>
      </c>
      <c r="C44" s="34">
        <v>48</v>
      </c>
      <c r="D44" s="86" t="s">
        <v>113</v>
      </c>
      <c r="E44" s="87">
        <v>21</v>
      </c>
      <c r="F44" s="88" t="s">
        <v>113</v>
      </c>
      <c r="G44" s="87">
        <v>39</v>
      </c>
      <c r="H44" s="88" t="s">
        <v>113</v>
      </c>
      <c r="I44" s="41">
        <v>43</v>
      </c>
      <c r="J44" s="88" t="s">
        <v>113</v>
      </c>
      <c r="K44" s="87">
        <v>19</v>
      </c>
      <c r="L44" s="88" t="s">
        <v>113</v>
      </c>
      <c r="M44" s="87">
        <v>38</v>
      </c>
      <c r="N44" s="88" t="s">
        <v>113</v>
      </c>
      <c r="O44" s="42">
        <v>43</v>
      </c>
      <c r="P44" s="88" t="s">
        <v>113</v>
      </c>
      <c r="Q44" s="87">
        <v>20</v>
      </c>
      <c r="R44" s="88" t="s">
        <v>113</v>
      </c>
      <c r="S44" s="87">
        <v>20</v>
      </c>
      <c r="T44" s="88" t="s">
        <v>113</v>
      </c>
      <c r="U44" s="42">
        <v>48</v>
      </c>
      <c r="V44" s="88" t="s">
        <v>113</v>
      </c>
      <c r="W44" s="87">
        <v>21</v>
      </c>
      <c r="X44" s="88" t="s">
        <v>113</v>
      </c>
      <c r="Y44" s="42">
        <v>29</v>
      </c>
      <c r="Z44" s="88" t="s">
        <v>110</v>
      </c>
      <c r="AA44" s="87">
        <v>19</v>
      </c>
      <c r="AB44" s="88" t="s">
        <v>113</v>
      </c>
      <c r="AC44" s="87">
        <v>17</v>
      </c>
      <c r="AD44" s="88" t="s">
        <v>113</v>
      </c>
      <c r="AE44" s="42">
        <v>28</v>
      </c>
      <c r="AF44" s="88" t="s">
        <v>113</v>
      </c>
      <c r="AG44" s="87">
        <v>20</v>
      </c>
      <c r="AH44" s="88" t="s">
        <v>113</v>
      </c>
      <c r="AI44" s="23">
        <v>473</v>
      </c>
      <c r="AJ44" s="24" t="s">
        <v>111</v>
      </c>
      <c r="AK44" s="25" t="str">
        <f>SPELLNUMBER(extractnumber_tot(AI44))</f>
        <v xml:space="preserve">Four Hundred Seventy Three </v>
      </c>
    </row>
    <row r="45" spans="1:37" ht="14.1" customHeight="1">
      <c r="A45" s="84">
        <v>225245</v>
      </c>
      <c r="B45" s="30" t="s">
        <v>195</v>
      </c>
      <c r="C45" s="34">
        <v>40</v>
      </c>
      <c r="D45" s="86" t="s">
        <v>114</v>
      </c>
      <c r="E45" s="87">
        <v>20</v>
      </c>
      <c r="F45" s="88" t="s">
        <v>114</v>
      </c>
      <c r="G45" s="87">
        <v>39</v>
      </c>
      <c r="H45" s="88" t="s">
        <v>114</v>
      </c>
      <c r="I45" s="41">
        <v>40</v>
      </c>
      <c r="J45" s="88" t="s">
        <v>114</v>
      </c>
      <c r="K45" s="87">
        <v>20</v>
      </c>
      <c r="L45" s="88" t="s">
        <v>114</v>
      </c>
      <c r="M45" s="87">
        <v>42</v>
      </c>
      <c r="N45" s="88" t="s">
        <v>114</v>
      </c>
      <c r="O45" s="42" t="s">
        <v>338</v>
      </c>
      <c r="P45" s="88" t="s">
        <v>114</v>
      </c>
      <c r="Q45" s="87">
        <v>20</v>
      </c>
      <c r="R45" s="88" t="s">
        <v>114</v>
      </c>
      <c r="S45" s="87">
        <v>20</v>
      </c>
      <c r="T45" s="88" t="s">
        <v>114</v>
      </c>
      <c r="U45" s="42">
        <v>51</v>
      </c>
      <c r="V45" s="88" t="s">
        <v>114</v>
      </c>
      <c r="W45" s="87">
        <v>20</v>
      </c>
      <c r="X45" s="88" t="s">
        <v>114</v>
      </c>
      <c r="Y45" s="42">
        <v>40</v>
      </c>
      <c r="Z45" s="88" t="s">
        <v>114</v>
      </c>
      <c r="AA45" s="87">
        <v>21</v>
      </c>
      <c r="AB45" s="88" t="s">
        <v>114</v>
      </c>
      <c r="AC45" s="87">
        <v>20</v>
      </c>
      <c r="AD45" s="88" t="s">
        <v>114</v>
      </c>
      <c r="AE45" s="42">
        <v>20</v>
      </c>
      <c r="AF45" s="88" t="s">
        <v>114</v>
      </c>
      <c r="AG45" s="87">
        <v>20</v>
      </c>
      <c r="AH45" s="88" t="s">
        <v>114</v>
      </c>
      <c r="AI45" s="23" t="s">
        <v>339</v>
      </c>
      <c r="AJ45" s="24" t="s">
        <v>117</v>
      </c>
      <c r="AK45" s="25" t="str">
        <f>SPELLNUMBER(extractnumber_tot(AI45))</f>
        <v xml:space="preserve">Four Hundred Sixty Six </v>
      </c>
    </row>
    <row r="46" spans="1:37" ht="14.1" customHeight="1">
      <c r="A46" s="84">
        <v>225246</v>
      </c>
      <c r="B46" s="30" t="s">
        <v>196</v>
      </c>
      <c r="C46" s="34">
        <v>69</v>
      </c>
      <c r="D46" s="86" t="s">
        <v>114</v>
      </c>
      <c r="E46" s="87">
        <v>21</v>
      </c>
      <c r="F46" s="88" t="s">
        <v>114</v>
      </c>
      <c r="G46" s="87">
        <v>42</v>
      </c>
      <c r="H46" s="88" t="s">
        <v>114</v>
      </c>
      <c r="I46" s="41">
        <v>73</v>
      </c>
      <c r="J46" s="88" t="s">
        <v>114</v>
      </c>
      <c r="K46" s="87">
        <v>23</v>
      </c>
      <c r="L46" s="88" t="s">
        <v>114</v>
      </c>
      <c r="M46" s="87">
        <v>46</v>
      </c>
      <c r="N46" s="88" t="s">
        <v>114</v>
      </c>
      <c r="O46" s="42">
        <v>71</v>
      </c>
      <c r="P46" s="88" t="s">
        <v>114</v>
      </c>
      <c r="Q46" s="87">
        <v>21</v>
      </c>
      <c r="R46" s="88" t="s">
        <v>114</v>
      </c>
      <c r="S46" s="87">
        <v>22</v>
      </c>
      <c r="T46" s="88" t="s">
        <v>114</v>
      </c>
      <c r="U46" s="42">
        <v>75</v>
      </c>
      <c r="V46" s="88" t="s">
        <v>114</v>
      </c>
      <c r="W46" s="87">
        <v>24</v>
      </c>
      <c r="X46" s="88" t="s">
        <v>114</v>
      </c>
      <c r="Y46" s="42">
        <v>55</v>
      </c>
      <c r="Z46" s="88" t="s">
        <v>114</v>
      </c>
      <c r="AA46" s="87">
        <v>23</v>
      </c>
      <c r="AB46" s="88" t="s">
        <v>114</v>
      </c>
      <c r="AC46" s="87">
        <v>18</v>
      </c>
      <c r="AD46" s="88" t="s">
        <v>114</v>
      </c>
      <c r="AE46" s="42">
        <v>35</v>
      </c>
      <c r="AF46" s="88" t="s">
        <v>114</v>
      </c>
      <c r="AG46" s="87">
        <v>23</v>
      </c>
      <c r="AH46" s="88" t="s">
        <v>114</v>
      </c>
      <c r="AI46" s="23">
        <v>641</v>
      </c>
      <c r="AJ46" s="24" t="s">
        <v>117</v>
      </c>
      <c r="AK46" s="25" t="str">
        <f>SPELLNUMBER(extractnumber_tot(AI46))</f>
        <v xml:space="preserve">Six Hundred Forty One </v>
      </c>
    </row>
    <row r="47" spans="1:37" ht="14.1" customHeight="1">
      <c r="A47" s="84">
        <v>225247</v>
      </c>
      <c r="B47" s="30" t="s">
        <v>197</v>
      </c>
      <c r="C47" s="36">
        <v>61</v>
      </c>
      <c r="D47" s="86" t="s">
        <v>114</v>
      </c>
      <c r="E47" s="87">
        <v>22</v>
      </c>
      <c r="F47" s="88" t="s">
        <v>114</v>
      </c>
      <c r="G47" s="87">
        <v>37</v>
      </c>
      <c r="H47" s="88" t="s">
        <v>114</v>
      </c>
      <c r="I47" s="41">
        <v>61</v>
      </c>
      <c r="J47" s="88" t="s">
        <v>114</v>
      </c>
      <c r="K47" s="87">
        <v>23</v>
      </c>
      <c r="L47" s="88" t="s">
        <v>114</v>
      </c>
      <c r="M47" s="87">
        <v>40</v>
      </c>
      <c r="N47" s="88" t="s">
        <v>114</v>
      </c>
      <c r="O47" s="42">
        <v>55</v>
      </c>
      <c r="P47" s="88" t="s">
        <v>114</v>
      </c>
      <c r="Q47" s="87">
        <v>22</v>
      </c>
      <c r="R47" s="88" t="s">
        <v>114</v>
      </c>
      <c r="S47" s="87">
        <v>19</v>
      </c>
      <c r="T47" s="88" t="s">
        <v>114</v>
      </c>
      <c r="U47" s="42">
        <v>65</v>
      </c>
      <c r="V47" s="88" t="s">
        <v>114</v>
      </c>
      <c r="W47" s="87">
        <v>23</v>
      </c>
      <c r="X47" s="88" t="s">
        <v>114</v>
      </c>
      <c r="Y47" s="42">
        <v>55</v>
      </c>
      <c r="Z47" s="88" t="s">
        <v>114</v>
      </c>
      <c r="AA47" s="87">
        <v>23</v>
      </c>
      <c r="AB47" s="88" t="s">
        <v>114</v>
      </c>
      <c r="AC47" s="87">
        <v>20</v>
      </c>
      <c r="AD47" s="88" t="s">
        <v>114</v>
      </c>
      <c r="AE47" s="42">
        <v>37</v>
      </c>
      <c r="AF47" s="88" t="s">
        <v>114</v>
      </c>
      <c r="AG47" s="87">
        <v>22</v>
      </c>
      <c r="AH47" s="88" t="s">
        <v>114</v>
      </c>
      <c r="AI47" s="23">
        <v>585</v>
      </c>
      <c r="AJ47" s="24" t="s">
        <v>117</v>
      </c>
      <c r="AK47" s="25" t="str">
        <f>SPELLNUMBER(extractnumber_tot(AI47))</f>
        <v xml:space="preserve">Five Hundred Eighty Five </v>
      </c>
    </row>
    <row r="48" spans="1:37" ht="14.1" customHeight="1">
      <c r="A48" s="84">
        <v>225248</v>
      </c>
      <c r="B48" s="30" t="s">
        <v>198</v>
      </c>
      <c r="C48" s="36">
        <v>65</v>
      </c>
      <c r="D48" s="86" t="s">
        <v>113</v>
      </c>
      <c r="E48" s="87">
        <v>23</v>
      </c>
      <c r="F48" s="88" t="s">
        <v>113</v>
      </c>
      <c r="G48" s="87">
        <v>41</v>
      </c>
      <c r="H48" s="88" t="s">
        <v>113</v>
      </c>
      <c r="I48" s="41">
        <v>52</v>
      </c>
      <c r="J48" s="88" t="s">
        <v>113</v>
      </c>
      <c r="K48" s="87">
        <v>23</v>
      </c>
      <c r="L48" s="88" t="s">
        <v>113</v>
      </c>
      <c r="M48" s="87">
        <v>46</v>
      </c>
      <c r="N48" s="88" t="s">
        <v>113</v>
      </c>
      <c r="O48" s="42">
        <v>48</v>
      </c>
      <c r="P48" s="88" t="s">
        <v>113</v>
      </c>
      <c r="Q48" s="87">
        <v>23</v>
      </c>
      <c r="R48" s="88" t="s">
        <v>113</v>
      </c>
      <c r="S48" s="87">
        <v>21</v>
      </c>
      <c r="T48" s="88" t="s">
        <v>113</v>
      </c>
      <c r="U48" s="42">
        <v>64</v>
      </c>
      <c r="V48" s="88" t="s">
        <v>113</v>
      </c>
      <c r="W48" s="87">
        <v>23</v>
      </c>
      <c r="X48" s="88" t="s">
        <v>113</v>
      </c>
      <c r="Y48" s="42">
        <v>65</v>
      </c>
      <c r="Z48" s="88" t="s">
        <v>113</v>
      </c>
      <c r="AA48" s="87">
        <v>23</v>
      </c>
      <c r="AB48" s="88" t="s">
        <v>114</v>
      </c>
      <c r="AC48" s="87">
        <v>21</v>
      </c>
      <c r="AD48" s="88" t="s">
        <v>114</v>
      </c>
      <c r="AE48" s="42">
        <v>31</v>
      </c>
      <c r="AF48" s="88" t="s">
        <v>114</v>
      </c>
      <c r="AG48" s="87">
        <v>23</v>
      </c>
      <c r="AH48" s="88" t="s">
        <v>114</v>
      </c>
      <c r="AI48" s="23">
        <v>592</v>
      </c>
      <c r="AJ48" s="24" t="s">
        <v>117</v>
      </c>
      <c r="AK48" s="25" t="str">
        <f>SPELLNUMBER(extractnumber_tot(AI48))</f>
        <v xml:space="preserve">Five Hundred NinetyTwo </v>
      </c>
    </row>
    <row r="49" spans="1:37" ht="14.1" customHeight="1">
      <c r="A49" s="84">
        <v>225249</v>
      </c>
      <c r="B49" s="30" t="s">
        <v>199</v>
      </c>
      <c r="C49" s="36">
        <v>49</v>
      </c>
      <c r="D49" s="86" t="s">
        <v>113</v>
      </c>
      <c r="E49" s="87">
        <v>20</v>
      </c>
      <c r="F49" s="88" t="s">
        <v>113</v>
      </c>
      <c r="G49" s="87">
        <v>42</v>
      </c>
      <c r="H49" s="88" t="s">
        <v>113</v>
      </c>
      <c r="I49" s="41">
        <v>59</v>
      </c>
      <c r="J49" s="88" t="s">
        <v>113</v>
      </c>
      <c r="K49" s="87">
        <v>22</v>
      </c>
      <c r="L49" s="88" t="s">
        <v>113</v>
      </c>
      <c r="M49" s="87">
        <v>42</v>
      </c>
      <c r="N49" s="88" t="s">
        <v>113</v>
      </c>
      <c r="O49" s="42">
        <v>43</v>
      </c>
      <c r="P49" s="88" t="s">
        <v>113</v>
      </c>
      <c r="Q49" s="87">
        <v>20</v>
      </c>
      <c r="R49" s="88" t="s">
        <v>113</v>
      </c>
      <c r="S49" s="87">
        <v>22</v>
      </c>
      <c r="T49" s="88" t="s">
        <v>113</v>
      </c>
      <c r="U49" s="42">
        <v>54</v>
      </c>
      <c r="V49" s="88" t="s">
        <v>113</v>
      </c>
      <c r="W49" s="87">
        <v>23</v>
      </c>
      <c r="X49" s="88" t="s">
        <v>113</v>
      </c>
      <c r="Y49" s="42">
        <v>62</v>
      </c>
      <c r="Z49" s="88" t="s">
        <v>113</v>
      </c>
      <c r="AA49" s="87">
        <v>23</v>
      </c>
      <c r="AB49" s="88" t="s">
        <v>114</v>
      </c>
      <c r="AC49" s="87">
        <v>20</v>
      </c>
      <c r="AD49" s="88" t="s">
        <v>114</v>
      </c>
      <c r="AE49" s="42">
        <v>30</v>
      </c>
      <c r="AF49" s="88" t="s">
        <v>114</v>
      </c>
      <c r="AG49" s="87">
        <v>20</v>
      </c>
      <c r="AH49" s="88" t="s">
        <v>114</v>
      </c>
      <c r="AI49" s="23">
        <v>551</v>
      </c>
      <c r="AJ49" s="24" t="s">
        <v>117</v>
      </c>
      <c r="AK49" s="25" t="str">
        <f>SPELLNUMBER(extractnumber_tot(AI49))</f>
        <v xml:space="preserve">Five Hundred Fifty One </v>
      </c>
    </row>
    <row r="50" spans="1:37" ht="14.1" customHeight="1">
      <c r="A50" s="84">
        <v>225250</v>
      </c>
      <c r="B50" s="30" t="s">
        <v>200</v>
      </c>
      <c r="C50" s="36">
        <v>62</v>
      </c>
      <c r="D50" s="86" t="s">
        <v>113</v>
      </c>
      <c r="E50" s="87">
        <v>20</v>
      </c>
      <c r="F50" s="88" t="s">
        <v>113</v>
      </c>
      <c r="G50" s="87">
        <v>44</v>
      </c>
      <c r="H50" s="88" t="s">
        <v>113</v>
      </c>
      <c r="I50" s="41">
        <v>53</v>
      </c>
      <c r="J50" s="88" t="s">
        <v>113</v>
      </c>
      <c r="K50" s="87">
        <v>23</v>
      </c>
      <c r="L50" s="88" t="s">
        <v>113</v>
      </c>
      <c r="M50" s="87">
        <v>46</v>
      </c>
      <c r="N50" s="88" t="s">
        <v>113</v>
      </c>
      <c r="O50" s="42">
        <v>47</v>
      </c>
      <c r="P50" s="88" t="s">
        <v>113</v>
      </c>
      <c r="Q50" s="87">
        <v>20</v>
      </c>
      <c r="R50" s="88" t="s">
        <v>113</v>
      </c>
      <c r="S50" s="87">
        <v>23</v>
      </c>
      <c r="T50" s="88" t="s">
        <v>113</v>
      </c>
      <c r="U50" s="42">
        <v>60</v>
      </c>
      <c r="V50" s="88" t="s">
        <v>113</v>
      </c>
      <c r="W50" s="87">
        <v>23</v>
      </c>
      <c r="X50" s="88" t="s">
        <v>113</v>
      </c>
      <c r="Y50" s="42">
        <v>53</v>
      </c>
      <c r="Z50" s="88" t="s">
        <v>113</v>
      </c>
      <c r="AA50" s="87">
        <v>23</v>
      </c>
      <c r="AB50" s="88" t="s">
        <v>114</v>
      </c>
      <c r="AC50" s="87">
        <v>20</v>
      </c>
      <c r="AD50" s="88" t="s">
        <v>114</v>
      </c>
      <c r="AE50" s="42">
        <v>32</v>
      </c>
      <c r="AF50" s="88" t="s">
        <v>114</v>
      </c>
      <c r="AG50" s="87">
        <v>22</v>
      </c>
      <c r="AH50" s="88" t="s">
        <v>114</v>
      </c>
      <c r="AI50" s="23">
        <v>571</v>
      </c>
      <c r="AJ50" s="24" t="s">
        <v>117</v>
      </c>
      <c r="AK50" s="25" t="str">
        <f>SPELLNUMBER(extractnumber_tot(AI50))</f>
        <v xml:space="preserve">Five Hundred Seventy One </v>
      </c>
    </row>
    <row r="51" spans="1:37" ht="14.1" customHeight="1">
      <c r="A51" s="84">
        <v>225251</v>
      </c>
      <c r="B51" s="30" t="s">
        <v>201</v>
      </c>
      <c r="C51" s="36">
        <v>48</v>
      </c>
      <c r="D51" s="86" t="s">
        <v>114</v>
      </c>
      <c r="E51" s="87">
        <v>21</v>
      </c>
      <c r="F51" s="88" t="s">
        <v>114</v>
      </c>
      <c r="G51" s="87">
        <v>43</v>
      </c>
      <c r="H51" s="88" t="s">
        <v>114</v>
      </c>
      <c r="I51" s="41">
        <v>49</v>
      </c>
      <c r="J51" s="88" t="s">
        <v>114</v>
      </c>
      <c r="K51" s="87">
        <v>19</v>
      </c>
      <c r="L51" s="88" t="s">
        <v>114</v>
      </c>
      <c r="M51" s="87">
        <v>36</v>
      </c>
      <c r="N51" s="88" t="s">
        <v>114</v>
      </c>
      <c r="O51" s="42">
        <v>42</v>
      </c>
      <c r="P51" s="88" t="s">
        <v>114</v>
      </c>
      <c r="Q51" s="87">
        <v>21</v>
      </c>
      <c r="R51" s="88" t="s">
        <v>114</v>
      </c>
      <c r="S51" s="87">
        <v>23</v>
      </c>
      <c r="T51" s="88" t="s">
        <v>114</v>
      </c>
      <c r="U51" s="42">
        <v>40</v>
      </c>
      <c r="V51" s="88" t="s">
        <v>114</v>
      </c>
      <c r="W51" s="87">
        <v>18</v>
      </c>
      <c r="X51" s="88" t="s">
        <v>114</v>
      </c>
      <c r="Y51" s="42">
        <v>50</v>
      </c>
      <c r="Z51" s="88" t="s">
        <v>114</v>
      </c>
      <c r="AA51" s="87">
        <v>19</v>
      </c>
      <c r="AB51" s="88" t="s">
        <v>114</v>
      </c>
      <c r="AC51" s="87">
        <v>20</v>
      </c>
      <c r="AD51" s="88" t="s">
        <v>114</v>
      </c>
      <c r="AE51" s="42">
        <v>26</v>
      </c>
      <c r="AF51" s="88" t="s">
        <v>114</v>
      </c>
      <c r="AG51" s="87">
        <v>18</v>
      </c>
      <c r="AH51" s="88" t="s">
        <v>114</v>
      </c>
      <c r="AI51" s="23">
        <v>493</v>
      </c>
      <c r="AJ51" s="24" t="s">
        <v>117</v>
      </c>
      <c r="AK51" s="25" t="str">
        <f>SPELLNUMBER(extractnumber_tot(AI51))</f>
        <v xml:space="preserve">Four Hundred NinetyThree </v>
      </c>
    </row>
    <row r="52" spans="1:37" ht="14.1" customHeight="1">
      <c r="A52" s="84">
        <v>225252</v>
      </c>
      <c r="B52" s="30" t="s">
        <v>202</v>
      </c>
      <c r="C52" s="36">
        <v>51</v>
      </c>
      <c r="D52" s="86" t="s">
        <v>114</v>
      </c>
      <c r="E52" s="87">
        <v>22</v>
      </c>
      <c r="F52" s="88" t="s">
        <v>114</v>
      </c>
      <c r="G52" s="87">
        <v>42</v>
      </c>
      <c r="H52" s="88" t="s">
        <v>114</v>
      </c>
      <c r="I52" s="41">
        <v>59</v>
      </c>
      <c r="J52" s="88" t="s">
        <v>114</v>
      </c>
      <c r="K52" s="87">
        <v>19</v>
      </c>
      <c r="L52" s="88" t="s">
        <v>114</v>
      </c>
      <c r="M52" s="87">
        <v>38</v>
      </c>
      <c r="N52" s="88" t="s">
        <v>114</v>
      </c>
      <c r="O52" s="42">
        <v>45</v>
      </c>
      <c r="P52" s="88" t="s">
        <v>114</v>
      </c>
      <c r="Q52" s="87">
        <v>22</v>
      </c>
      <c r="R52" s="88" t="s">
        <v>114</v>
      </c>
      <c r="S52" s="87">
        <v>22</v>
      </c>
      <c r="T52" s="88" t="s">
        <v>114</v>
      </c>
      <c r="U52" s="42">
        <v>59</v>
      </c>
      <c r="V52" s="88" t="s">
        <v>114</v>
      </c>
      <c r="W52" s="87">
        <v>22</v>
      </c>
      <c r="X52" s="88" t="s">
        <v>114</v>
      </c>
      <c r="Y52" s="42">
        <v>56</v>
      </c>
      <c r="Z52" s="88" t="s">
        <v>114</v>
      </c>
      <c r="AA52" s="87">
        <v>19</v>
      </c>
      <c r="AB52" s="88" t="s">
        <v>114</v>
      </c>
      <c r="AC52" s="87">
        <v>16</v>
      </c>
      <c r="AD52" s="88" t="s">
        <v>114</v>
      </c>
      <c r="AE52" s="42">
        <v>31</v>
      </c>
      <c r="AF52" s="88" t="s">
        <v>114</v>
      </c>
      <c r="AG52" s="87">
        <v>23</v>
      </c>
      <c r="AH52" s="88" t="s">
        <v>114</v>
      </c>
      <c r="AI52" s="23">
        <v>546</v>
      </c>
      <c r="AJ52" s="24" t="s">
        <v>117</v>
      </c>
      <c r="AK52" s="25" t="str">
        <f>SPELLNUMBER(extractnumber_tot(AI52))</f>
        <v xml:space="preserve">Five Hundred Forty Six </v>
      </c>
    </row>
    <row r="53" spans="1:37" ht="14.1" customHeight="1">
      <c r="A53" s="84">
        <v>225253</v>
      </c>
      <c r="B53" s="30" t="s">
        <v>203</v>
      </c>
      <c r="C53" s="36">
        <v>40</v>
      </c>
      <c r="D53" s="86" t="s">
        <v>114</v>
      </c>
      <c r="E53" s="87">
        <v>22</v>
      </c>
      <c r="F53" s="88" t="s">
        <v>114</v>
      </c>
      <c r="G53" s="87">
        <v>38</v>
      </c>
      <c r="H53" s="88" t="s">
        <v>114</v>
      </c>
      <c r="I53" s="41">
        <v>40</v>
      </c>
      <c r="J53" s="88" t="s">
        <v>114</v>
      </c>
      <c r="K53" s="87">
        <v>20</v>
      </c>
      <c r="L53" s="88" t="s">
        <v>114</v>
      </c>
      <c r="M53" s="87">
        <v>42</v>
      </c>
      <c r="N53" s="88" t="s">
        <v>114</v>
      </c>
      <c r="O53" s="42">
        <v>40</v>
      </c>
      <c r="P53" s="88" t="s">
        <v>114</v>
      </c>
      <c r="Q53" s="87">
        <v>22</v>
      </c>
      <c r="R53" s="88" t="s">
        <v>114</v>
      </c>
      <c r="S53" s="87">
        <v>20</v>
      </c>
      <c r="T53" s="88" t="s">
        <v>114</v>
      </c>
      <c r="U53" s="42">
        <v>40</v>
      </c>
      <c r="V53" s="88" t="s">
        <v>114</v>
      </c>
      <c r="W53" s="87">
        <v>20</v>
      </c>
      <c r="X53" s="88" t="s">
        <v>114</v>
      </c>
      <c r="Y53" s="42">
        <v>40</v>
      </c>
      <c r="Z53" s="88" t="s">
        <v>114</v>
      </c>
      <c r="AA53" s="87">
        <v>20</v>
      </c>
      <c r="AB53" s="88" t="s">
        <v>114</v>
      </c>
      <c r="AC53" s="87">
        <v>17</v>
      </c>
      <c r="AD53" s="88" t="s">
        <v>114</v>
      </c>
      <c r="AE53" s="42">
        <v>20</v>
      </c>
      <c r="AF53" s="88" t="s">
        <v>114</v>
      </c>
      <c r="AG53" s="87">
        <v>20</v>
      </c>
      <c r="AH53" s="88" t="s">
        <v>114</v>
      </c>
      <c r="AI53" s="23">
        <v>461</v>
      </c>
      <c r="AJ53" s="24" t="s">
        <v>117</v>
      </c>
      <c r="AK53" s="25" t="str">
        <f>SPELLNUMBER(extractnumber_tot(AI53))</f>
        <v xml:space="preserve">Four Hundred Sixty One </v>
      </c>
    </row>
    <row r="54" spans="1:37" ht="14.1" customHeight="1">
      <c r="A54" s="84">
        <v>225254</v>
      </c>
      <c r="B54" s="30" t="s">
        <v>204</v>
      </c>
      <c r="C54" s="36">
        <v>44</v>
      </c>
      <c r="D54" s="86" t="s">
        <v>113</v>
      </c>
      <c r="E54" s="87">
        <v>20</v>
      </c>
      <c r="F54" s="88" t="s">
        <v>113</v>
      </c>
      <c r="G54" s="87">
        <v>40</v>
      </c>
      <c r="H54" s="88" t="s">
        <v>113</v>
      </c>
      <c r="I54" s="41">
        <v>40</v>
      </c>
      <c r="J54" s="88" t="s">
        <v>113</v>
      </c>
      <c r="K54" s="87">
        <v>18</v>
      </c>
      <c r="L54" s="88" t="s">
        <v>113</v>
      </c>
      <c r="M54" s="87">
        <v>42</v>
      </c>
      <c r="N54" s="88" t="s">
        <v>113</v>
      </c>
      <c r="O54" s="42">
        <v>40</v>
      </c>
      <c r="P54" s="88" t="s">
        <v>113</v>
      </c>
      <c r="Q54" s="87">
        <v>20</v>
      </c>
      <c r="R54" s="88" t="s">
        <v>113</v>
      </c>
      <c r="S54" s="87">
        <v>20</v>
      </c>
      <c r="T54" s="88" t="s">
        <v>113</v>
      </c>
      <c r="U54" s="42">
        <v>17</v>
      </c>
      <c r="V54" s="88" t="s">
        <v>110</v>
      </c>
      <c r="W54" s="87">
        <v>20</v>
      </c>
      <c r="X54" s="88" t="s">
        <v>113</v>
      </c>
      <c r="Y54" s="42">
        <v>40</v>
      </c>
      <c r="Z54" s="88" t="s">
        <v>113</v>
      </c>
      <c r="AA54" s="87">
        <v>18</v>
      </c>
      <c r="AB54" s="88" t="s">
        <v>113</v>
      </c>
      <c r="AC54" s="87">
        <v>18</v>
      </c>
      <c r="AD54" s="88" t="s">
        <v>113</v>
      </c>
      <c r="AE54" s="42">
        <v>30</v>
      </c>
      <c r="AF54" s="88" t="s">
        <v>113</v>
      </c>
      <c r="AG54" s="87">
        <v>20</v>
      </c>
      <c r="AH54" s="88" t="s">
        <v>113</v>
      </c>
      <c r="AI54" s="23">
        <v>447</v>
      </c>
      <c r="AJ54" s="24" t="s">
        <v>111</v>
      </c>
      <c r="AK54" s="25" t="str">
        <f>SPELLNUMBER(extractnumber_tot(AI54))</f>
        <v xml:space="preserve">Four Hundred Forty Seven </v>
      </c>
    </row>
    <row r="55" spans="1:37" ht="14.1" customHeight="1">
      <c r="A55" s="84">
        <v>225255</v>
      </c>
      <c r="B55" s="30" t="s">
        <v>205</v>
      </c>
      <c r="C55" s="36">
        <v>52</v>
      </c>
      <c r="D55" s="86" t="s">
        <v>114</v>
      </c>
      <c r="E55" s="87">
        <v>19</v>
      </c>
      <c r="F55" s="88" t="s">
        <v>114</v>
      </c>
      <c r="G55" s="87">
        <v>38</v>
      </c>
      <c r="H55" s="88" t="s">
        <v>114</v>
      </c>
      <c r="I55" s="41">
        <v>42</v>
      </c>
      <c r="J55" s="88" t="s">
        <v>114</v>
      </c>
      <c r="K55" s="87">
        <v>17</v>
      </c>
      <c r="L55" s="88" t="s">
        <v>114</v>
      </c>
      <c r="M55" s="87">
        <v>38</v>
      </c>
      <c r="N55" s="88" t="s">
        <v>114</v>
      </c>
      <c r="O55" s="42">
        <v>40</v>
      </c>
      <c r="P55" s="88" t="s">
        <v>114</v>
      </c>
      <c r="Q55" s="87">
        <v>19</v>
      </c>
      <c r="R55" s="88" t="s">
        <v>114</v>
      </c>
      <c r="S55" s="87">
        <v>20</v>
      </c>
      <c r="T55" s="88" t="s">
        <v>114</v>
      </c>
      <c r="U55" s="42">
        <v>58</v>
      </c>
      <c r="V55" s="88" t="s">
        <v>114</v>
      </c>
      <c r="W55" s="87">
        <v>19</v>
      </c>
      <c r="X55" s="88" t="s">
        <v>114</v>
      </c>
      <c r="Y55" s="42">
        <v>52</v>
      </c>
      <c r="Z55" s="88" t="s">
        <v>114</v>
      </c>
      <c r="AA55" s="87">
        <v>17</v>
      </c>
      <c r="AB55" s="88" t="s">
        <v>114</v>
      </c>
      <c r="AC55" s="87">
        <v>17</v>
      </c>
      <c r="AD55" s="88" t="s">
        <v>114</v>
      </c>
      <c r="AE55" s="42">
        <v>27</v>
      </c>
      <c r="AF55" s="88" t="s">
        <v>114</v>
      </c>
      <c r="AG55" s="87">
        <v>19</v>
      </c>
      <c r="AH55" s="88" t="s">
        <v>114</v>
      </c>
      <c r="AI55" s="23">
        <v>494</v>
      </c>
      <c r="AJ55" s="24" t="s">
        <v>117</v>
      </c>
      <c r="AK55" s="25" t="str">
        <f>SPELLNUMBER(extractnumber_tot(AI55))</f>
        <v xml:space="preserve">Four Hundred NinetyFour </v>
      </c>
    </row>
    <row r="56" spans="1:37" ht="14.1" customHeight="1">
      <c r="A56" s="84">
        <v>225256</v>
      </c>
      <c r="B56" s="30" t="s">
        <v>206</v>
      </c>
      <c r="C56" s="36">
        <v>44</v>
      </c>
      <c r="D56" s="86" t="s">
        <v>113</v>
      </c>
      <c r="E56" s="87">
        <v>20</v>
      </c>
      <c r="F56" s="88" t="s">
        <v>113</v>
      </c>
      <c r="G56" s="87">
        <v>41</v>
      </c>
      <c r="H56" s="88" t="s">
        <v>113</v>
      </c>
      <c r="I56" s="41">
        <v>40</v>
      </c>
      <c r="J56" s="88" t="s">
        <v>113</v>
      </c>
      <c r="K56" s="87">
        <v>19</v>
      </c>
      <c r="L56" s="88" t="s">
        <v>113</v>
      </c>
      <c r="M56" s="87">
        <v>36</v>
      </c>
      <c r="N56" s="88" t="s">
        <v>113</v>
      </c>
      <c r="O56" s="42">
        <v>11</v>
      </c>
      <c r="P56" s="88" t="s">
        <v>110</v>
      </c>
      <c r="Q56" s="87">
        <v>20</v>
      </c>
      <c r="R56" s="88" t="s">
        <v>113</v>
      </c>
      <c r="S56" s="87">
        <v>21</v>
      </c>
      <c r="T56" s="88" t="s">
        <v>113</v>
      </c>
      <c r="U56" s="42">
        <v>34</v>
      </c>
      <c r="V56" s="88" t="s">
        <v>110</v>
      </c>
      <c r="W56" s="87">
        <v>16</v>
      </c>
      <c r="X56" s="88" t="s">
        <v>113</v>
      </c>
      <c r="Y56" s="42">
        <v>54</v>
      </c>
      <c r="Z56" s="88" t="s">
        <v>113</v>
      </c>
      <c r="AA56" s="87">
        <v>19</v>
      </c>
      <c r="AB56" s="88" t="s">
        <v>113</v>
      </c>
      <c r="AC56" s="87">
        <v>15</v>
      </c>
      <c r="AD56" s="88" t="s">
        <v>113</v>
      </c>
      <c r="AE56" s="42">
        <v>25</v>
      </c>
      <c r="AF56" s="88" t="s">
        <v>113</v>
      </c>
      <c r="AG56" s="87">
        <v>17</v>
      </c>
      <c r="AH56" s="88" t="s">
        <v>113</v>
      </c>
      <c r="AI56" s="23">
        <v>432</v>
      </c>
      <c r="AJ56" s="24" t="s">
        <v>111</v>
      </c>
      <c r="AK56" s="25" t="str">
        <f>SPELLNUMBER(extractnumber_tot(AI56))</f>
        <v xml:space="preserve">Four Hundred Thirty Two </v>
      </c>
    </row>
    <row r="57" spans="1:37" ht="14.1" customHeight="1">
      <c r="A57" s="84">
        <v>225257</v>
      </c>
      <c r="B57" s="30" t="s">
        <v>207</v>
      </c>
      <c r="C57" s="36">
        <v>52</v>
      </c>
      <c r="D57" s="86" t="s">
        <v>114</v>
      </c>
      <c r="E57" s="87">
        <v>21</v>
      </c>
      <c r="F57" s="88" t="s">
        <v>114</v>
      </c>
      <c r="G57" s="87">
        <v>41</v>
      </c>
      <c r="H57" s="88" t="s">
        <v>114</v>
      </c>
      <c r="I57" s="41">
        <v>53</v>
      </c>
      <c r="J57" s="88" t="s">
        <v>114</v>
      </c>
      <c r="K57" s="87">
        <v>20</v>
      </c>
      <c r="L57" s="88" t="s">
        <v>114</v>
      </c>
      <c r="M57" s="87">
        <v>42</v>
      </c>
      <c r="N57" s="88" t="s">
        <v>114</v>
      </c>
      <c r="O57" s="42">
        <v>41</v>
      </c>
      <c r="P57" s="88" t="s">
        <v>114</v>
      </c>
      <c r="Q57" s="87">
        <v>21</v>
      </c>
      <c r="R57" s="88" t="s">
        <v>114</v>
      </c>
      <c r="S57" s="87">
        <v>21</v>
      </c>
      <c r="T57" s="88" t="s">
        <v>114</v>
      </c>
      <c r="U57" s="42">
        <v>62</v>
      </c>
      <c r="V57" s="88" t="s">
        <v>114</v>
      </c>
      <c r="W57" s="87">
        <v>23</v>
      </c>
      <c r="X57" s="88" t="s">
        <v>114</v>
      </c>
      <c r="Y57" s="42">
        <v>62</v>
      </c>
      <c r="Z57" s="88" t="s">
        <v>114</v>
      </c>
      <c r="AA57" s="87">
        <v>20</v>
      </c>
      <c r="AB57" s="88" t="s">
        <v>114</v>
      </c>
      <c r="AC57" s="87">
        <v>17</v>
      </c>
      <c r="AD57" s="88" t="s">
        <v>114</v>
      </c>
      <c r="AE57" s="42">
        <v>26</v>
      </c>
      <c r="AF57" s="88" t="s">
        <v>114</v>
      </c>
      <c r="AG57" s="87">
        <v>20</v>
      </c>
      <c r="AH57" s="88" t="s">
        <v>114</v>
      </c>
      <c r="AI57" s="23">
        <v>542</v>
      </c>
      <c r="AJ57" s="24" t="s">
        <v>117</v>
      </c>
      <c r="AK57" s="25" t="str">
        <f>SPELLNUMBER(extractnumber_tot(AI57))</f>
        <v xml:space="preserve">Five Hundred Forty Two </v>
      </c>
    </row>
    <row r="58" spans="1:37" ht="14.1" customHeight="1">
      <c r="A58" s="84">
        <v>225258</v>
      </c>
      <c r="B58" s="30" t="s">
        <v>208</v>
      </c>
      <c r="C58" s="36">
        <v>62</v>
      </c>
      <c r="D58" s="86" t="s">
        <v>114</v>
      </c>
      <c r="E58" s="87">
        <v>21</v>
      </c>
      <c r="F58" s="88" t="s">
        <v>114</v>
      </c>
      <c r="G58" s="87">
        <v>44</v>
      </c>
      <c r="H58" s="88" t="s">
        <v>114</v>
      </c>
      <c r="I58" s="41">
        <v>40</v>
      </c>
      <c r="J58" s="88" t="s">
        <v>114</v>
      </c>
      <c r="K58" s="87">
        <v>20</v>
      </c>
      <c r="L58" s="88" t="s">
        <v>114</v>
      </c>
      <c r="M58" s="87">
        <v>42</v>
      </c>
      <c r="N58" s="88" t="s">
        <v>114</v>
      </c>
      <c r="O58" s="42" t="s">
        <v>338</v>
      </c>
      <c r="P58" s="88" t="s">
        <v>114</v>
      </c>
      <c r="Q58" s="87">
        <v>21</v>
      </c>
      <c r="R58" s="88" t="s">
        <v>114</v>
      </c>
      <c r="S58" s="87">
        <v>22</v>
      </c>
      <c r="T58" s="88" t="s">
        <v>114</v>
      </c>
      <c r="U58" s="42">
        <v>50</v>
      </c>
      <c r="V58" s="88" t="s">
        <v>114</v>
      </c>
      <c r="W58" s="87">
        <v>16</v>
      </c>
      <c r="X58" s="88" t="s">
        <v>114</v>
      </c>
      <c r="Y58" s="42">
        <v>43</v>
      </c>
      <c r="Z58" s="88" t="s">
        <v>114</v>
      </c>
      <c r="AA58" s="87">
        <v>20</v>
      </c>
      <c r="AB58" s="88" t="s">
        <v>114</v>
      </c>
      <c r="AC58" s="87">
        <v>18</v>
      </c>
      <c r="AD58" s="88" t="s">
        <v>114</v>
      </c>
      <c r="AE58" s="42">
        <v>25</v>
      </c>
      <c r="AF58" s="88" t="s">
        <v>114</v>
      </c>
      <c r="AG58" s="87">
        <v>19</v>
      </c>
      <c r="AH58" s="88" t="s">
        <v>114</v>
      </c>
      <c r="AI58" s="23" t="s">
        <v>340</v>
      </c>
      <c r="AJ58" s="24" t="s">
        <v>117</v>
      </c>
      <c r="AK58" s="25" t="str">
        <f>SPELLNUMBER(extractnumber_tot(AI58))</f>
        <v xml:space="preserve">Four Hundred NinetySix </v>
      </c>
    </row>
    <row r="59" spans="1:37" ht="14.1" customHeight="1">
      <c r="A59" s="84">
        <v>225259</v>
      </c>
      <c r="B59" s="30" t="s">
        <v>209</v>
      </c>
      <c r="C59" s="36">
        <v>56</v>
      </c>
      <c r="D59" s="86" t="s">
        <v>114</v>
      </c>
      <c r="E59" s="87">
        <v>20</v>
      </c>
      <c r="F59" s="88" t="s">
        <v>114</v>
      </c>
      <c r="G59" s="87">
        <v>40</v>
      </c>
      <c r="H59" s="88" t="s">
        <v>114</v>
      </c>
      <c r="I59" s="41">
        <v>53</v>
      </c>
      <c r="J59" s="88" t="s">
        <v>114</v>
      </c>
      <c r="K59" s="87">
        <v>21</v>
      </c>
      <c r="L59" s="88" t="s">
        <v>114</v>
      </c>
      <c r="M59" s="87">
        <v>44</v>
      </c>
      <c r="N59" s="88" t="s">
        <v>114</v>
      </c>
      <c r="O59" s="42">
        <v>40</v>
      </c>
      <c r="P59" s="88" t="s">
        <v>114</v>
      </c>
      <c r="Q59" s="87">
        <v>20</v>
      </c>
      <c r="R59" s="88" t="s">
        <v>114</v>
      </c>
      <c r="S59" s="87">
        <v>20</v>
      </c>
      <c r="T59" s="88" t="s">
        <v>114</v>
      </c>
      <c r="U59" s="42">
        <v>55</v>
      </c>
      <c r="V59" s="88" t="s">
        <v>114</v>
      </c>
      <c r="W59" s="87">
        <v>20</v>
      </c>
      <c r="X59" s="88" t="s">
        <v>114</v>
      </c>
      <c r="Y59" s="42">
        <v>64</v>
      </c>
      <c r="Z59" s="88" t="s">
        <v>114</v>
      </c>
      <c r="AA59" s="87">
        <v>21</v>
      </c>
      <c r="AB59" s="88" t="s">
        <v>114</v>
      </c>
      <c r="AC59" s="87">
        <v>19</v>
      </c>
      <c r="AD59" s="88" t="s">
        <v>114</v>
      </c>
      <c r="AE59" s="42">
        <v>31</v>
      </c>
      <c r="AF59" s="88" t="s">
        <v>114</v>
      </c>
      <c r="AG59" s="87">
        <v>20</v>
      </c>
      <c r="AH59" s="88" t="s">
        <v>114</v>
      </c>
      <c r="AI59" s="23">
        <v>544</v>
      </c>
      <c r="AJ59" s="24" t="s">
        <v>117</v>
      </c>
      <c r="AK59" s="25" t="str">
        <f>SPELLNUMBER(extractnumber_tot(AI59))</f>
        <v xml:space="preserve">Five Hundred Forty Four </v>
      </c>
    </row>
    <row r="60" spans="1:37" ht="14.1" customHeight="1">
      <c r="A60" s="84">
        <v>225260</v>
      </c>
      <c r="B60" s="30" t="s">
        <v>210</v>
      </c>
      <c r="C60" s="36">
        <v>55</v>
      </c>
      <c r="D60" s="86" t="s">
        <v>114</v>
      </c>
      <c r="E60" s="87">
        <v>20</v>
      </c>
      <c r="F60" s="88" t="s">
        <v>114</v>
      </c>
      <c r="G60" s="87">
        <v>41</v>
      </c>
      <c r="H60" s="88" t="s">
        <v>114</v>
      </c>
      <c r="I60" s="41">
        <v>48</v>
      </c>
      <c r="J60" s="88" t="s">
        <v>114</v>
      </c>
      <c r="K60" s="87">
        <v>21</v>
      </c>
      <c r="L60" s="88" t="s">
        <v>114</v>
      </c>
      <c r="M60" s="87">
        <v>42</v>
      </c>
      <c r="N60" s="88" t="s">
        <v>114</v>
      </c>
      <c r="O60" s="42">
        <v>43</v>
      </c>
      <c r="P60" s="88" t="s">
        <v>114</v>
      </c>
      <c r="Q60" s="87">
        <v>20</v>
      </c>
      <c r="R60" s="88" t="s">
        <v>114</v>
      </c>
      <c r="S60" s="87">
        <v>21</v>
      </c>
      <c r="T60" s="88" t="s">
        <v>114</v>
      </c>
      <c r="U60" s="42">
        <v>55</v>
      </c>
      <c r="V60" s="88" t="s">
        <v>114</v>
      </c>
      <c r="W60" s="87">
        <v>20</v>
      </c>
      <c r="X60" s="88" t="s">
        <v>114</v>
      </c>
      <c r="Y60" s="42">
        <v>42</v>
      </c>
      <c r="Z60" s="88" t="s">
        <v>114</v>
      </c>
      <c r="AA60" s="87">
        <v>21</v>
      </c>
      <c r="AB60" s="88" t="s">
        <v>114</v>
      </c>
      <c r="AC60" s="87">
        <v>17</v>
      </c>
      <c r="AD60" s="88" t="s">
        <v>114</v>
      </c>
      <c r="AE60" s="42">
        <v>26</v>
      </c>
      <c r="AF60" s="88" t="s">
        <v>114</v>
      </c>
      <c r="AG60" s="87">
        <v>20</v>
      </c>
      <c r="AH60" s="88" t="s">
        <v>114</v>
      </c>
      <c r="AI60" s="23">
        <v>512</v>
      </c>
      <c r="AJ60" s="24" t="s">
        <v>117</v>
      </c>
      <c r="AK60" s="25" t="str">
        <f>SPELLNUMBER(extractnumber_tot(AI60))</f>
        <v xml:space="preserve">Five Hundred Twelve </v>
      </c>
    </row>
    <row r="61" spans="1:37" ht="14.1" customHeight="1">
      <c r="A61" s="84">
        <v>225261</v>
      </c>
      <c r="B61" s="30" t="s">
        <v>211</v>
      </c>
      <c r="C61" s="36">
        <v>52</v>
      </c>
      <c r="D61" s="86" t="s">
        <v>114</v>
      </c>
      <c r="E61" s="87">
        <v>21</v>
      </c>
      <c r="F61" s="88" t="s">
        <v>114</v>
      </c>
      <c r="G61" s="87">
        <v>42</v>
      </c>
      <c r="H61" s="88" t="s">
        <v>114</v>
      </c>
      <c r="I61" s="41">
        <v>43</v>
      </c>
      <c r="J61" s="88" t="s">
        <v>114</v>
      </c>
      <c r="K61" s="87">
        <v>21</v>
      </c>
      <c r="L61" s="88" t="s">
        <v>114</v>
      </c>
      <c r="M61" s="87">
        <v>42</v>
      </c>
      <c r="N61" s="88" t="s">
        <v>114</v>
      </c>
      <c r="O61" s="42" t="s">
        <v>341</v>
      </c>
      <c r="P61" s="88" t="s">
        <v>114</v>
      </c>
      <c r="Q61" s="87">
        <v>21</v>
      </c>
      <c r="R61" s="88" t="s">
        <v>114</v>
      </c>
      <c r="S61" s="87">
        <v>22</v>
      </c>
      <c r="T61" s="88" t="s">
        <v>114</v>
      </c>
      <c r="U61" s="42">
        <v>49</v>
      </c>
      <c r="V61" s="88" t="s">
        <v>114</v>
      </c>
      <c r="W61" s="87">
        <v>18</v>
      </c>
      <c r="X61" s="88" t="s">
        <v>114</v>
      </c>
      <c r="Y61" s="42">
        <v>40</v>
      </c>
      <c r="Z61" s="88" t="s">
        <v>114</v>
      </c>
      <c r="AA61" s="87">
        <v>21</v>
      </c>
      <c r="AB61" s="88" t="s">
        <v>114</v>
      </c>
      <c r="AC61" s="87">
        <v>20</v>
      </c>
      <c r="AD61" s="88" t="s">
        <v>114</v>
      </c>
      <c r="AE61" s="42">
        <v>25</v>
      </c>
      <c r="AF61" s="88" t="s">
        <v>114</v>
      </c>
      <c r="AG61" s="87">
        <v>21</v>
      </c>
      <c r="AH61" s="88" t="s">
        <v>114</v>
      </c>
      <c r="AI61" s="23" t="s">
        <v>342</v>
      </c>
      <c r="AJ61" s="24" t="s">
        <v>117</v>
      </c>
      <c r="AK61" s="25" t="str">
        <f>SPELLNUMBER(extractnumber_tot(AI61))</f>
        <v xml:space="preserve">Four Hundred Eighty Nine </v>
      </c>
    </row>
    <row r="62" spans="1:37" ht="14.1" customHeight="1">
      <c r="A62" s="84">
        <v>225262</v>
      </c>
      <c r="B62" s="30" t="s">
        <v>212</v>
      </c>
      <c r="C62" s="36">
        <v>47</v>
      </c>
      <c r="D62" s="86" t="s">
        <v>114</v>
      </c>
      <c r="E62" s="87">
        <v>22</v>
      </c>
      <c r="F62" s="88" t="s">
        <v>114</v>
      </c>
      <c r="G62" s="87">
        <v>39</v>
      </c>
      <c r="H62" s="88" t="s">
        <v>114</v>
      </c>
      <c r="I62" s="41">
        <v>44</v>
      </c>
      <c r="J62" s="88" t="s">
        <v>114</v>
      </c>
      <c r="K62" s="87">
        <v>19</v>
      </c>
      <c r="L62" s="88" t="s">
        <v>114</v>
      </c>
      <c r="M62" s="87">
        <v>42</v>
      </c>
      <c r="N62" s="88" t="s">
        <v>114</v>
      </c>
      <c r="O62" s="42">
        <v>40</v>
      </c>
      <c r="P62" s="88" t="s">
        <v>114</v>
      </c>
      <c r="Q62" s="87">
        <v>22</v>
      </c>
      <c r="R62" s="88" t="s">
        <v>114</v>
      </c>
      <c r="S62" s="87">
        <v>20</v>
      </c>
      <c r="T62" s="88" t="s">
        <v>114</v>
      </c>
      <c r="U62" s="42">
        <v>60</v>
      </c>
      <c r="V62" s="88" t="s">
        <v>114</v>
      </c>
      <c r="W62" s="87">
        <v>16</v>
      </c>
      <c r="X62" s="88" t="s">
        <v>114</v>
      </c>
      <c r="Y62" s="42">
        <v>44</v>
      </c>
      <c r="Z62" s="88" t="s">
        <v>114</v>
      </c>
      <c r="AA62" s="87">
        <v>19</v>
      </c>
      <c r="AB62" s="88" t="s">
        <v>114</v>
      </c>
      <c r="AC62" s="87">
        <v>19</v>
      </c>
      <c r="AD62" s="88" t="s">
        <v>114</v>
      </c>
      <c r="AE62" s="42">
        <v>28</v>
      </c>
      <c r="AF62" s="88" t="s">
        <v>114</v>
      </c>
      <c r="AG62" s="87">
        <v>17</v>
      </c>
      <c r="AH62" s="88" t="s">
        <v>114</v>
      </c>
      <c r="AI62" s="23">
        <v>498</v>
      </c>
      <c r="AJ62" s="24" t="s">
        <v>117</v>
      </c>
      <c r="AK62" s="25" t="str">
        <f>SPELLNUMBER(extractnumber_tot(AI62))</f>
        <v xml:space="preserve">Four Hundred NinetyEight </v>
      </c>
    </row>
    <row r="63" spans="1:37" ht="14.1" customHeight="1">
      <c r="A63" s="84">
        <v>225263</v>
      </c>
      <c r="B63" s="30" t="s">
        <v>213</v>
      </c>
      <c r="C63" s="36">
        <v>63</v>
      </c>
      <c r="D63" s="86" t="s">
        <v>114</v>
      </c>
      <c r="E63" s="87">
        <v>23</v>
      </c>
      <c r="F63" s="88" t="s">
        <v>114</v>
      </c>
      <c r="G63" s="87">
        <v>43</v>
      </c>
      <c r="H63" s="88" t="s">
        <v>114</v>
      </c>
      <c r="I63" s="41">
        <v>47</v>
      </c>
      <c r="J63" s="88" t="s">
        <v>114</v>
      </c>
      <c r="K63" s="87">
        <v>23</v>
      </c>
      <c r="L63" s="88" t="s">
        <v>114</v>
      </c>
      <c r="M63" s="87">
        <v>46</v>
      </c>
      <c r="N63" s="88" t="s">
        <v>114</v>
      </c>
      <c r="O63" s="42">
        <v>48</v>
      </c>
      <c r="P63" s="88" t="s">
        <v>114</v>
      </c>
      <c r="Q63" s="87">
        <v>22</v>
      </c>
      <c r="R63" s="88" t="s">
        <v>114</v>
      </c>
      <c r="S63" s="87">
        <v>23</v>
      </c>
      <c r="T63" s="88" t="s">
        <v>114</v>
      </c>
      <c r="U63" s="42">
        <v>64</v>
      </c>
      <c r="V63" s="88" t="s">
        <v>114</v>
      </c>
      <c r="W63" s="87">
        <v>23</v>
      </c>
      <c r="X63" s="88" t="s">
        <v>114</v>
      </c>
      <c r="Y63" s="42">
        <v>65</v>
      </c>
      <c r="Z63" s="88" t="s">
        <v>114</v>
      </c>
      <c r="AA63" s="87">
        <v>23</v>
      </c>
      <c r="AB63" s="88" t="s">
        <v>114</v>
      </c>
      <c r="AC63" s="87">
        <v>23</v>
      </c>
      <c r="AD63" s="88" t="s">
        <v>114</v>
      </c>
      <c r="AE63" s="42">
        <v>32</v>
      </c>
      <c r="AF63" s="88" t="s">
        <v>114</v>
      </c>
      <c r="AG63" s="87">
        <v>23</v>
      </c>
      <c r="AH63" s="88" t="s">
        <v>114</v>
      </c>
      <c r="AI63" s="23">
        <v>591</v>
      </c>
      <c r="AJ63" s="24" t="s">
        <v>117</v>
      </c>
      <c r="AK63" s="25" t="str">
        <f>SPELLNUMBER(extractnumber_tot(AI63))</f>
        <v xml:space="preserve">Five Hundred NinetyOne </v>
      </c>
    </row>
    <row r="64" spans="1:37" ht="14.1" customHeight="1">
      <c r="A64" s="84">
        <v>225264</v>
      </c>
      <c r="B64" s="30" t="s">
        <v>214</v>
      </c>
      <c r="C64" s="36">
        <v>51</v>
      </c>
      <c r="D64" s="86" t="s">
        <v>114</v>
      </c>
      <c r="E64" s="87">
        <v>20</v>
      </c>
      <c r="F64" s="88" t="s">
        <v>114</v>
      </c>
      <c r="G64" s="87">
        <v>41</v>
      </c>
      <c r="H64" s="88" t="s">
        <v>114</v>
      </c>
      <c r="I64" s="41">
        <v>40</v>
      </c>
      <c r="J64" s="88" t="s">
        <v>114</v>
      </c>
      <c r="K64" s="87">
        <v>22</v>
      </c>
      <c r="L64" s="88" t="s">
        <v>114</v>
      </c>
      <c r="M64" s="87">
        <v>42</v>
      </c>
      <c r="N64" s="88" t="s">
        <v>114</v>
      </c>
      <c r="O64" s="42">
        <v>45</v>
      </c>
      <c r="P64" s="88" t="s">
        <v>114</v>
      </c>
      <c r="Q64" s="87">
        <v>20</v>
      </c>
      <c r="R64" s="88" t="s">
        <v>114</v>
      </c>
      <c r="S64" s="87">
        <v>21</v>
      </c>
      <c r="T64" s="88" t="s">
        <v>114</v>
      </c>
      <c r="U64" s="42">
        <v>60</v>
      </c>
      <c r="V64" s="88" t="s">
        <v>114</v>
      </c>
      <c r="W64" s="87">
        <v>20</v>
      </c>
      <c r="X64" s="88" t="s">
        <v>114</v>
      </c>
      <c r="Y64" s="42">
        <v>41</v>
      </c>
      <c r="Z64" s="88" t="s">
        <v>114</v>
      </c>
      <c r="AA64" s="87">
        <v>22</v>
      </c>
      <c r="AB64" s="88" t="s">
        <v>114</v>
      </c>
      <c r="AC64" s="87">
        <v>20</v>
      </c>
      <c r="AD64" s="88" t="s">
        <v>114</v>
      </c>
      <c r="AE64" s="42">
        <v>29</v>
      </c>
      <c r="AF64" s="88" t="s">
        <v>114</v>
      </c>
      <c r="AG64" s="87">
        <v>22</v>
      </c>
      <c r="AH64" s="88" t="s">
        <v>114</v>
      </c>
      <c r="AI64" s="23">
        <v>516</v>
      </c>
      <c r="AJ64" s="24" t="s">
        <v>117</v>
      </c>
      <c r="AK64" s="25" t="str">
        <f>SPELLNUMBER(extractnumber_tot(AI64))</f>
        <v xml:space="preserve">Five Hundred Sixteen </v>
      </c>
    </row>
    <row r="65" spans="1:37" ht="14.1" customHeight="1">
      <c r="A65" s="84">
        <v>225265</v>
      </c>
      <c r="B65" s="30" t="s">
        <v>215</v>
      </c>
      <c r="C65" s="36">
        <v>53</v>
      </c>
      <c r="D65" s="86" t="s">
        <v>114</v>
      </c>
      <c r="E65" s="87">
        <v>23</v>
      </c>
      <c r="F65" s="88" t="s">
        <v>114</v>
      </c>
      <c r="G65" s="87">
        <v>39</v>
      </c>
      <c r="H65" s="88" t="s">
        <v>114</v>
      </c>
      <c r="I65" s="41">
        <v>48</v>
      </c>
      <c r="J65" s="88" t="s">
        <v>114</v>
      </c>
      <c r="K65" s="87">
        <v>23</v>
      </c>
      <c r="L65" s="88" t="s">
        <v>114</v>
      </c>
      <c r="M65" s="87">
        <v>42</v>
      </c>
      <c r="N65" s="88" t="s">
        <v>114</v>
      </c>
      <c r="O65" s="42">
        <v>42</v>
      </c>
      <c r="P65" s="88" t="s">
        <v>114</v>
      </c>
      <c r="Q65" s="87">
        <v>23</v>
      </c>
      <c r="R65" s="88" t="s">
        <v>114</v>
      </c>
      <c r="S65" s="87">
        <v>22</v>
      </c>
      <c r="T65" s="88" t="s">
        <v>114</v>
      </c>
      <c r="U65" s="42">
        <v>51</v>
      </c>
      <c r="V65" s="88" t="s">
        <v>114</v>
      </c>
      <c r="W65" s="87">
        <v>23</v>
      </c>
      <c r="X65" s="88" t="s">
        <v>114</v>
      </c>
      <c r="Y65" s="42">
        <v>62</v>
      </c>
      <c r="Z65" s="88" t="s">
        <v>114</v>
      </c>
      <c r="AA65" s="87">
        <v>23</v>
      </c>
      <c r="AB65" s="88" t="s">
        <v>114</v>
      </c>
      <c r="AC65" s="87">
        <v>19</v>
      </c>
      <c r="AD65" s="88" t="s">
        <v>114</v>
      </c>
      <c r="AE65" s="42">
        <v>29</v>
      </c>
      <c r="AF65" s="88" t="s">
        <v>114</v>
      </c>
      <c r="AG65" s="87">
        <v>23</v>
      </c>
      <c r="AH65" s="88" t="s">
        <v>114</v>
      </c>
      <c r="AI65" s="23">
        <v>545</v>
      </c>
      <c r="AJ65" s="24" t="s">
        <v>117</v>
      </c>
      <c r="AK65" s="25" t="str">
        <f>SPELLNUMBER(extractnumber_tot(AI65))</f>
        <v xml:space="preserve">Five Hundred Forty Five </v>
      </c>
    </row>
    <row r="66" spans="1:37" ht="14.1" customHeight="1">
      <c r="A66" s="84">
        <v>225266</v>
      </c>
      <c r="B66" s="30" t="s">
        <v>216</v>
      </c>
      <c r="C66" s="36">
        <v>53</v>
      </c>
      <c r="D66" s="86" t="s">
        <v>114</v>
      </c>
      <c r="E66" s="87">
        <v>20</v>
      </c>
      <c r="F66" s="88" t="s">
        <v>114</v>
      </c>
      <c r="G66" s="87">
        <v>40</v>
      </c>
      <c r="H66" s="88" t="s">
        <v>114</v>
      </c>
      <c r="I66" s="41">
        <v>46</v>
      </c>
      <c r="J66" s="88" t="s">
        <v>114</v>
      </c>
      <c r="K66" s="87">
        <v>22</v>
      </c>
      <c r="L66" s="88" t="s">
        <v>114</v>
      </c>
      <c r="M66" s="87">
        <v>46</v>
      </c>
      <c r="N66" s="88" t="s">
        <v>114</v>
      </c>
      <c r="O66" s="42">
        <v>51</v>
      </c>
      <c r="P66" s="88" t="s">
        <v>114</v>
      </c>
      <c r="Q66" s="87">
        <v>20</v>
      </c>
      <c r="R66" s="88" t="s">
        <v>114</v>
      </c>
      <c r="S66" s="87">
        <v>20</v>
      </c>
      <c r="T66" s="88" t="s">
        <v>114</v>
      </c>
      <c r="U66" s="42">
        <v>61</v>
      </c>
      <c r="V66" s="88" t="s">
        <v>114</v>
      </c>
      <c r="W66" s="87">
        <v>22</v>
      </c>
      <c r="X66" s="88" t="s">
        <v>114</v>
      </c>
      <c r="Y66" s="42">
        <v>40</v>
      </c>
      <c r="Z66" s="88" t="s">
        <v>114</v>
      </c>
      <c r="AA66" s="87">
        <v>22</v>
      </c>
      <c r="AB66" s="88" t="s">
        <v>114</v>
      </c>
      <c r="AC66" s="87">
        <v>18</v>
      </c>
      <c r="AD66" s="88" t="s">
        <v>114</v>
      </c>
      <c r="AE66" s="42">
        <v>30</v>
      </c>
      <c r="AF66" s="88" t="s">
        <v>114</v>
      </c>
      <c r="AG66" s="87">
        <v>22</v>
      </c>
      <c r="AH66" s="88" t="s">
        <v>114</v>
      </c>
      <c r="AI66" s="23">
        <v>533</v>
      </c>
      <c r="AJ66" s="24" t="s">
        <v>117</v>
      </c>
      <c r="AK66" s="25" t="str">
        <f>SPELLNUMBER(extractnumber_tot(AI66))</f>
        <v xml:space="preserve">Five Hundred Thirty Three </v>
      </c>
    </row>
    <row r="67" spans="1:37" ht="14.1" customHeight="1">
      <c r="A67" s="84">
        <v>225267</v>
      </c>
      <c r="B67" s="30" t="s">
        <v>217</v>
      </c>
      <c r="C67" s="36">
        <v>42</v>
      </c>
      <c r="D67" s="86" t="s">
        <v>113</v>
      </c>
      <c r="E67" s="87">
        <v>21</v>
      </c>
      <c r="F67" s="88" t="s">
        <v>113</v>
      </c>
      <c r="G67" s="87">
        <v>44</v>
      </c>
      <c r="H67" s="88" t="s">
        <v>113</v>
      </c>
      <c r="I67" s="41">
        <v>53</v>
      </c>
      <c r="J67" s="88" t="s">
        <v>113</v>
      </c>
      <c r="K67" s="87">
        <v>18</v>
      </c>
      <c r="L67" s="88" t="s">
        <v>113</v>
      </c>
      <c r="M67" s="87">
        <v>38</v>
      </c>
      <c r="N67" s="88" t="s">
        <v>113</v>
      </c>
      <c r="O67" s="42">
        <v>30</v>
      </c>
      <c r="P67" s="88" t="s">
        <v>110</v>
      </c>
      <c r="Q67" s="87">
        <v>21</v>
      </c>
      <c r="R67" s="88" t="s">
        <v>113</v>
      </c>
      <c r="S67" s="87">
        <v>22</v>
      </c>
      <c r="T67" s="88" t="s">
        <v>113</v>
      </c>
      <c r="U67" s="42">
        <v>53</v>
      </c>
      <c r="V67" s="88" t="s">
        <v>113</v>
      </c>
      <c r="W67" s="87">
        <v>18</v>
      </c>
      <c r="X67" s="88" t="s">
        <v>113</v>
      </c>
      <c r="Y67" s="42">
        <v>46</v>
      </c>
      <c r="Z67" s="88" t="s">
        <v>113</v>
      </c>
      <c r="AA67" s="87">
        <v>18</v>
      </c>
      <c r="AB67" s="88" t="s">
        <v>113</v>
      </c>
      <c r="AC67" s="87">
        <v>17</v>
      </c>
      <c r="AD67" s="88" t="s">
        <v>113</v>
      </c>
      <c r="AE67" s="42">
        <v>25</v>
      </c>
      <c r="AF67" s="88" t="s">
        <v>113</v>
      </c>
      <c r="AG67" s="87">
        <v>21</v>
      </c>
      <c r="AH67" s="88" t="s">
        <v>113</v>
      </c>
      <c r="AI67" s="23">
        <v>487</v>
      </c>
      <c r="AJ67" s="24" t="s">
        <v>111</v>
      </c>
      <c r="AK67" s="25" t="str">
        <f>SPELLNUMBER(extractnumber_tot(AI67))</f>
        <v xml:space="preserve">Four Hundred Eighty Seven </v>
      </c>
    </row>
    <row r="68" spans="1:37" ht="14.1" customHeight="1">
      <c r="A68" s="84">
        <v>225268</v>
      </c>
      <c r="B68" s="30" t="s">
        <v>218</v>
      </c>
      <c r="C68" s="36">
        <v>66</v>
      </c>
      <c r="D68" s="86" t="s">
        <v>114</v>
      </c>
      <c r="E68" s="87">
        <v>22</v>
      </c>
      <c r="F68" s="88" t="s">
        <v>114</v>
      </c>
      <c r="G68" s="87">
        <v>40</v>
      </c>
      <c r="H68" s="88" t="s">
        <v>114</v>
      </c>
      <c r="I68" s="41">
        <v>45</v>
      </c>
      <c r="J68" s="88" t="s">
        <v>114</v>
      </c>
      <c r="K68" s="87">
        <v>22</v>
      </c>
      <c r="L68" s="88" t="s">
        <v>114</v>
      </c>
      <c r="M68" s="87">
        <v>46</v>
      </c>
      <c r="N68" s="88" t="s">
        <v>114</v>
      </c>
      <c r="O68" s="42">
        <v>50</v>
      </c>
      <c r="P68" s="88" t="s">
        <v>114</v>
      </c>
      <c r="Q68" s="87">
        <v>22</v>
      </c>
      <c r="R68" s="88" t="s">
        <v>114</v>
      </c>
      <c r="S68" s="87">
        <v>20</v>
      </c>
      <c r="T68" s="88" t="s">
        <v>114</v>
      </c>
      <c r="U68" s="42">
        <v>45</v>
      </c>
      <c r="V68" s="88" t="s">
        <v>114</v>
      </c>
      <c r="W68" s="87">
        <v>20</v>
      </c>
      <c r="X68" s="88" t="s">
        <v>114</v>
      </c>
      <c r="Y68" s="42">
        <v>54</v>
      </c>
      <c r="Z68" s="88" t="s">
        <v>114</v>
      </c>
      <c r="AA68" s="87">
        <v>22</v>
      </c>
      <c r="AB68" s="88" t="s">
        <v>114</v>
      </c>
      <c r="AC68" s="87">
        <v>18</v>
      </c>
      <c r="AD68" s="88" t="s">
        <v>114</v>
      </c>
      <c r="AE68" s="42">
        <v>24</v>
      </c>
      <c r="AF68" s="88" t="s">
        <v>114</v>
      </c>
      <c r="AG68" s="87">
        <v>20</v>
      </c>
      <c r="AH68" s="88" t="s">
        <v>114</v>
      </c>
      <c r="AI68" s="23">
        <v>536</v>
      </c>
      <c r="AJ68" s="24" t="s">
        <v>117</v>
      </c>
      <c r="AK68" s="25" t="str">
        <f>SPELLNUMBER(extractnumber_tot(AI68))</f>
        <v xml:space="preserve">Five Hundred Thirty Six </v>
      </c>
    </row>
    <row r="69" spans="1:37" ht="14.1" customHeight="1">
      <c r="A69" s="84">
        <v>225269</v>
      </c>
      <c r="B69" s="30" t="s">
        <v>219</v>
      </c>
      <c r="C69" s="36">
        <v>66</v>
      </c>
      <c r="D69" s="86" t="s">
        <v>114</v>
      </c>
      <c r="E69" s="87">
        <v>23</v>
      </c>
      <c r="F69" s="88" t="s">
        <v>114</v>
      </c>
      <c r="G69" s="87">
        <v>39</v>
      </c>
      <c r="H69" s="88" t="s">
        <v>114</v>
      </c>
      <c r="I69" s="41">
        <v>60</v>
      </c>
      <c r="J69" s="88" t="s">
        <v>114</v>
      </c>
      <c r="K69" s="87">
        <v>23</v>
      </c>
      <c r="L69" s="88" t="s">
        <v>114</v>
      </c>
      <c r="M69" s="87">
        <v>44</v>
      </c>
      <c r="N69" s="88" t="s">
        <v>114</v>
      </c>
      <c r="O69" s="42">
        <v>51</v>
      </c>
      <c r="P69" s="88" t="s">
        <v>114</v>
      </c>
      <c r="Q69" s="87">
        <v>23</v>
      </c>
      <c r="R69" s="88" t="s">
        <v>114</v>
      </c>
      <c r="S69" s="87">
        <v>20</v>
      </c>
      <c r="T69" s="88" t="s">
        <v>114</v>
      </c>
      <c r="U69" s="42">
        <v>67</v>
      </c>
      <c r="V69" s="88" t="s">
        <v>114</v>
      </c>
      <c r="W69" s="87">
        <v>23</v>
      </c>
      <c r="X69" s="88" t="s">
        <v>114</v>
      </c>
      <c r="Y69" s="42">
        <v>60</v>
      </c>
      <c r="Z69" s="88" t="s">
        <v>114</v>
      </c>
      <c r="AA69" s="87">
        <v>23</v>
      </c>
      <c r="AB69" s="88" t="s">
        <v>114</v>
      </c>
      <c r="AC69" s="87">
        <v>23</v>
      </c>
      <c r="AD69" s="88" t="s">
        <v>114</v>
      </c>
      <c r="AE69" s="42">
        <v>28</v>
      </c>
      <c r="AF69" s="88" t="s">
        <v>114</v>
      </c>
      <c r="AG69" s="87">
        <v>23</v>
      </c>
      <c r="AH69" s="88" t="s">
        <v>114</v>
      </c>
      <c r="AI69" s="23">
        <v>596</v>
      </c>
      <c r="AJ69" s="24" t="s">
        <v>117</v>
      </c>
      <c r="AK69" s="25" t="str">
        <f>SPELLNUMBER(extractnumber_tot(AI69))</f>
        <v xml:space="preserve">Five Hundred NinetySix </v>
      </c>
    </row>
    <row r="70" spans="1:37" ht="14.1" customHeight="1">
      <c r="A70" s="84">
        <v>225270</v>
      </c>
      <c r="B70" s="30" t="s">
        <v>220</v>
      </c>
      <c r="C70" s="36">
        <v>46</v>
      </c>
      <c r="D70" s="86" t="s">
        <v>113</v>
      </c>
      <c r="E70" s="87">
        <v>20</v>
      </c>
      <c r="F70" s="88" t="s">
        <v>113</v>
      </c>
      <c r="G70" s="87">
        <v>39</v>
      </c>
      <c r="H70" s="88" t="s">
        <v>113</v>
      </c>
      <c r="I70" s="41">
        <v>46</v>
      </c>
      <c r="J70" s="88" t="s">
        <v>113</v>
      </c>
      <c r="K70" s="87">
        <v>20</v>
      </c>
      <c r="L70" s="88" t="s">
        <v>113</v>
      </c>
      <c r="M70" s="87">
        <v>42</v>
      </c>
      <c r="N70" s="88" t="s">
        <v>113</v>
      </c>
      <c r="O70" s="42">
        <v>27</v>
      </c>
      <c r="P70" s="88" t="s">
        <v>110</v>
      </c>
      <c r="Q70" s="87">
        <v>20</v>
      </c>
      <c r="R70" s="88" t="s">
        <v>113</v>
      </c>
      <c r="S70" s="87">
        <v>20</v>
      </c>
      <c r="T70" s="88" t="s">
        <v>113</v>
      </c>
      <c r="U70" s="42">
        <v>52</v>
      </c>
      <c r="V70" s="88" t="s">
        <v>113</v>
      </c>
      <c r="W70" s="87">
        <v>20</v>
      </c>
      <c r="X70" s="88" t="s">
        <v>113</v>
      </c>
      <c r="Y70" s="42">
        <v>51</v>
      </c>
      <c r="Z70" s="88" t="s">
        <v>113</v>
      </c>
      <c r="AA70" s="87">
        <v>20</v>
      </c>
      <c r="AB70" s="88" t="s">
        <v>113</v>
      </c>
      <c r="AC70" s="87">
        <v>18</v>
      </c>
      <c r="AD70" s="88" t="s">
        <v>113</v>
      </c>
      <c r="AE70" s="42">
        <v>20</v>
      </c>
      <c r="AF70" s="88" t="s">
        <v>113</v>
      </c>
      <c r="AG70" s="87">
        <v>20</v>
      </c>
      <c r="AH70" s="88" t="s">
        <v>113</v>
      </c>
      <c r="AI70" s="23">
        <v>481</v>
      </c>
      <c r="AJ70" s="24" t="s">
        <v>111</v>
      </c>
      <c r="AK70" s="25" t="str">
        <f>SPELLNUMBER(extractnumber_tot(AI70))</f>
        <v xml:space="preserve">Four Hundred Eighty One </v>
      </c>
    </row>
    <row r="71" spans="1:37" ht="14.1" customHeight="1">
      <c r="A71" s="84">
        <v>225271</v>
      </c>
      <c r="B71" s="30" t="s">
        <v>221</v>
      </c>
      <c r="C71" s="36">
        <v>50</v>
      </c>
      <c r="D71" s="86" t="s">
        <v>114</v>
      </c>
      <c r="E71" s="87">
        <v>20</v>
      </c>
      <c r="F71" s="88" t="s">
        <v>114</v>
      </c>
      <c r="G71" s="87">
        <v>42</v>
      </c>
      <c r="H71" s="88" t="s">
        <v>114</v>
      </c>
      <c r="I71" s="41">
        <v>53</v>
      </c>
      <c r="J71" s="88" t="s">
        <v>114</v>
      </c>
      <c r="K71" s="87">
        <v>17</v>
      </c>
      <c r="L71" s="88" t="s">
        <v>114</v>
      </c>
      <c r="M71" s="87">
        <v>40</v>
      </c>
      <c r="N71" s="88" t="s">
        <v>114</v>
      </c>
      <c r="O71" s="42">
        <v>40</v>
      </c>
      <c r="P71" s="88" t="s">
        <v>114</v>
      </c>
      <c r="Q71" s="87">
        <v>20</v>
      </c>
      <c r="R71" s="88" t="s">
        <v>114</v>
      </c>
      <c r="S71" s="87">
        <v>22</v>
      </c>
      <c r="T71" s="88" t="s">
        <v>114</v>
      </c>
      <c r="U71" s="42">
        <v>56</v>
      </c>
      <c r="V71" s="88" t="s">
        <v>114</v>
      </c>
      <c r="W71" s="87">
        <v>20</v>
      </c>
      <c r="X71" s="88" t="s">
        <v>114</v>
      </c>
      <c r="Y71" s="42">
        <v>58</v>
      </c>
      <c r="Z71" s="88" t="s">
        <v>114</v>
      </c>
      <c r="AA71" s="87">
        <v>16</v>
      </c>
      <c r="AB71" s="88" t="s">
        <v>114</v>
      </c>
      <c r="AC71" s="87">
        <v>20</v>
      </c>
      <c r="AD71" s="88" t="s">
        <v>114</v>
      </c>
      <c r="AE71" s="42">
        <v>26</v>
      </c>
      <c r="AF71" s="88" t="s">
        <v>114</v>
      </c>
      <c r="AG71" s="87">
        <v>20</v>
      </c>
      <c r="AH71" s="88" t="s">
        <v>114</v>
      </c>
      <c r="AI71" s="23">
        <v>520</v>
      </c>
      <c r="AJ71" s="24" t="s">
        <v>117</v>
      </c>
      <c r="AK71" s="25" t="str">
        <f>SPELLNUMBER(extractnumber_tot(AI71))</f>
        <v xml:space="preserve">Five Hundred Twenty  </v>
      </c>
    </row>
    <row r="72" spans="1:37" ht="14.1" customHeight="1">
      <c r="A72" s="84">
        <v>225272</v>
      </c>
      <c r="B72" s="30" t="s">
        <v>222</v>
      </c>
      <c r="C72" s="36">
        <v>47</v>
      </c>
      <c r="D72" s="86" t="s">
        <v>114</v>
      </c>
      <c r="E72" s="87">
        <v>22</v>
      </c>
      <c r="F72" s="88" t="s">
        <v>114</v>
      </c>
      <c r="G72" s="87">
        <v>41</v>
      </c>
      <c r="H72" s="88" t="s">
        <v>114</v>
      </c>
      <c r="I72" s="41">
        <v>51</v>
      </c>
      <c r="J72" s="88" t="s">
        <v>114</v>
      </c>
      <c r="K72" s="87">
        <v>21</v>
      </c>
      <c r="L72" s="88" t="s">
        <v>114</v>
      </c>
      <c r="M72" s="87">
        <v>44</v>
      </c>
      <c r="N72" s="88" t="s">
        <v>114</v>
      </c>
      <c r="O72" s="42">
        <v>40</v>
      </c>
      <c r="P72" s="88" t="s">
        <v>114</v>
      </c>
      <c r="Q72" s="87">
        <v>22</v>
      </c>
      <c r="R72" s="88" t="s">
        <v>114</v>
      </c>
      <c r="S72" s="87">
        <v>21</v>
      </c>
      <c r="T72" s="88" t="s">
        <v>114</v>
      </c>
      <c r="U72" s="42">
        <v>50</v>
      </c>
      <c r="V72" s="88" t="s">
        <v>114</v>
      </c>
      <c r="W72" s="87">
        <v>20</v>
      </c>
      <c r="X72" s="88" t="s">
        <v>114</v>
      </c>
      <c r="Y72" s="42">
        <v>50</v>
      </c>
      <c r="Z72" s="88" t="s">
        <v>114</v>
      </c>
      <c r="AA72" s="87">
        <v>21</v>
      </c>
      <c r="AB72" s="88" t="s">
        <v>114</v>
      </c>
      <c r="AC72" s="87">
        <v>20</v>
      </c>
      <c r="AD72" s="88" t="s">
        <v>114</v>
      </c>
      <c r="AE72" s="42">
        <v>26</v>
      </c>
      <c r="AF72" s="88" t="s">
        <v>114</v>
      </c>
      <c r="AG72" s="87">
        <v>20</v>
      </c>
      <c r="AH72" s="88" t="s">
        <v>114</v>
      </c>
      <c r="AI72" s="23">
        <v>516</v>
      </c>
      <c r="AJ72" s="24" t="s">
        <v>117</v>
      </c>
      <c r="AK72" s="25" t="str">
        <f>SPELLNUMBER(extractnumber_tot(AI72))</f>
        <v xml:space="preserve">Five Hundred Sixteen </v>
      </c>
    </row>
    <row r="73" spans="1:37" ht="14.1" customHeight="1">
      <c r="A73" s="84">
        <v>225273</v>
      </c>
      <c r="B73" s="30" t="s">
        <v>223</v>
      </c>
      <c r="C73" s="36">
        <v>41</v>
      </c>
      <c r="D73" s="86" t="s">
        <v>114</v>
      </c>
      <c r="E73" s="87">
        <v>21</v>
      </c>
      <c r="F73" s="88" t="s">
        <v>114</v>
      </c>
      <c r="G73" s="87">
        <v>40</v>
      </c>
      <c r="H73" s="88" t="s">
        <v>114</v>
      </c>
      <c r="I73" s="41">
        <v>45</v>
      </c>
      <c r="J73" s="88" t="s">
        <v>114</v>
      </c>
      <c r="K73" s="87">
        <v>22</v>
      </c>
      <c r="L73" s="88" t="s">
        <v>114</v>
      </c>
      <c r="M73" s="87">
        <v>46</v>
      </c>
      <c r="N73" s="88" t="s">
        <v>114</v>
      </c>
      <c r="O73" s="42">
        <v>40</v>
      </c>
      <c r="P73" s="88" t="s">
        <v>114</v>
      </c>
      <c r="Q73" s="87">
        <v>21</v>
      </c>
      <c r="R73" s="88" t="s">
        <v>114</v>
      </c>
      <c r="S73" s="87">
        <v>20</v>
      </c>
      <c r="T73" s="88" t="s">
        <v>114</v>
      </c>
      <c r="U73" s="42">
        <v>45</v>
      </c>
      <c r="V73" s="88" t="s">
        <v>114</v>
      </c>
      <c r="W73" s="87">
        <v>18</v>
      </c>
      <c r="X73" s="88" t="s">
        <v>114</v>
      </c>
      <c r="Y73" s="42">
        <v>48</v>
      </c>
      <c r="Z73" s="88" t="s">
        <v>114</v>
      </c>
      <c r="AA73" s="87">
        <v>22</v>
      </c>
      <c r="AB73" s="88" t="s">
        <v>114</v>
      </c>
      <c r="AC73" s="87">
        <v>19</v>
      </c>
      <c r="AD73" s="88" t="s">
        <v>114</v>
      </c>
      <c r="AE73" s="42">
        <v>24</v>
      </c>
      <c r="AF73" s="88" t="s">
        <v>114</v>
      </c>
      <c r="AG73" s="87">
        <v>20</v>
      </c>
      <c r="AH73" s="88" t="s">
        <v>114</v>
      </c>
      <c r="AI73" s="23">
        <v>492</v>
      </c>
      <c r="AJ73" s="24" t="s">
        <v>117</v>
      </c>
      <c r="AK73" s="25" t="str">
        <f>SPELLNUMBER(extractnumber_tot(AI73))</f>
        <v xml:space="preserve">Four Hundred NinetyTwo </v>
      </c>
    </row>
    <row r="74" spans="1:37" ht="14.1" customHeight="1">
      <c r="A74" s="84">
        <v>225274</v>
      </c>
      <c r="B74" s="30" t="s">
        <v>224</v>
      </c>
      <c r="C74" s="36">
        <v>41</v>
      </c>
      <c r="D74" s="86" t="s">
        <v>114</v>
      </c>
      <c r="E74" s="87">
        <v>20</v>
      </c>
      <c r="F74" s="88" t="s">
        <v>114</v>
      </c>
      <c r="G74" s="87">
        <v>39</v>
      </c>
      <c r="H74" s="88" t="s">
        <v>114</v>
      </c>
      <c r="I74" s="41">
        <v>48</v>
      </c>
      <c r="J74" s="88" t="s">
        <v>114</v>
      </c>
      <c r="K74" s="87">
        <v>17</v>
      </c>
      <c r="L74" s="88" t="s">
        <v>114</v>
      </c>
      <c r="M74" s="87">
        <v>40</v>
      </c>
      <c r="N74" s="88" t="s">
        <v>114</v>
      </c>
      <c r="O74" s="42">
        <v>40</v>
      </c>
      <c r="P74" s="88" t="s">
        <v>114</v>
      </c>
      <c r="Q74" s="87">
        <v>20</v>
      </c>
      <c r="R74" s="88" t="s">
        <v>114</v>
      </c>
      <c r="S74" s="87">
        <v>20</v>
      </c>
      <c r="T74" s="88" t="s">
        <v>114</v>
      </c>
      <c r="U74" s="42">
        <v>46</v>
      </c>
      <c r="V74" s="88" t="s">
        <v>114</v>
      </c>
      <c r="W74" s="87">
        <v>20</v>
      </c>
      <c r="X74" s="88" t="s">
        <v>114</v>
      </c>
      <c r="Y74" s="42">
        <v>54</v>
      </c>
      <c r="Z74" s="88" t="s">
        <v>114</v>
      </c>
      <c r="AA74" s="87">
        <v>18</v>
      </c>
      <c r="AB74" s="88" t="s">
        <v>114</v>
      </c>
      <c r="AC74" s="87">
        <v>22</v>
      </c>
      <c r="AD74" s="88" t="s">
        <v>114</v>
      </c>
      <c r="AE74" s="42">
        <v>24</v>
      </c>
      <c r="AF74" s="88" t="s">
        <v>114</v>
      </c>
      <c r="AG74" s="87">
        <v>20</v>
      </c>
      <c r="AH74" s="88" t="s">
        <v>114</v>
      </c>
      <c r="AI74" s="23">
        <v>489</v>
      </c>
      <c r="AJ74" s="24" t="s">
        <v>117</v>
      </c>
      <c r="AK74" s="25" t="str">
        <f>SPELLNUMBER(extractnumber_tot(AI74))</f>
        <v xml:space="preserve">Four Hundred Eighty Nine </v>
      </c>
    </row>
    <row r="75" spans="1:37" ht="14.1" customHeight="1">
      <c r="A75" s="84">
        <v>225275</v>
      </c>
      <c r="B75" s="30" t="s">
        <v>225</v>
      </c>
      <c r="C75" s="36">
        <v>62</v>
      </c>
      <c r="D75" s="86" t="s">
        <v>114</v>
      </c>
      <c r="E75" s="87">
        <v>19</v>
      </c>
      <c r="F75" s="88" t="s">
        <v>114</v>
      </c>
      <c r="G75" s="87">
        <v>44</v>
      </c>
      <c r="H75" s="88" t="s">
        <v>114</v>
      </c>
      <c r="I75" s="41">
        <v>59</v>
      </c>
      <c r="J75" s="88" t="s">
        <v>114</v>
      </c>
      <c r="K75" s="87">
        <v>21</v>
      </c>
      <c r="L75" s="88" t="s">
        <v>114</v>
      </c>
      <c r="M75" s="87">
        <v>46</v>
      </c>
      <c r="N75" s="88" t="s">
        <v>114</v>
      </c>
      <c r="O75" s="42">
        <v>42</v>
      </c>
      <c r="P75" s="88" t="s">
        <v>114</v>
      </c>
      <c r="Q75" s="87">
        <v>19</v>
      </c>
      <c r="R75" s="88" t="s">
        <v>114</v>
      </c>
      <c r="S75" s="87">
        <v>23</v>
      </c>
      <c r="T75" s="88" t="s">
        <v>114</v>
      </c>
      <c r="U75" s="42">
        <v>58</v>
      </c>
      <c r="V75" s="88" t="s">
        <v>114</v>
      </c>
      <c r="W75" s="87">
        <v>18</v>
      </c>
      <c r="X75" s="88" t="s">
        <v>114</v>
      </c>
      <c r="Y75" s="42">
        <v>64</v>
      </c>
      <c r="Z75" s="88" t="s">
        <v>114</v>
      </c>
      <c r="AA75" s="87">
        <v>21</v>
      </c>
      <c r="AB75" s="88" t="s">
        <v>114</v>
      </c>
      <c r="AC75" s="87">
        <v>18</v>
      </c>
      <c r="AD75" s="88" t="s">
        <v>114</v>
      </c>
      <c r="AE75" s="42">
        <v>26</v>
      </c>
      <c r="AF75" s="88" t="s">
        <v>114</v>
      </c>
      <c r="AG75" s="87">
        <v>18</v>
      </c>
      <c r="AH75" s="88" t="s">
        <v>114</v>
      </c>
      <c r="AI75" s="23">
        <v>558</v>
      </c>
      <c r="AJ75" s="24" t="s">
        <v>117</v>
      </c>
      <c r="AK75" s="25" t="str">
        <f>SPELLNUMBER(extractnumber_tot(AI75))</f>
        <v xml:space="preserve">Five Hundred Fifty Eight </v>
      </c>
    </row>
    <row r="76" spans="1:37" ht="14.1" customHeight="1">
      <c r="A76" s="84">
        <v>225276</v>
      </c>
      <c r="B76" s="30" t="s">
        <v>226</v>
      </c>
      <c r="C76" s="36">
        <v>61</v>
      </c>
      <c r="D76" s="86" t="s">
        <v>114</v>
      </c>
      <c r="E76" s="87">
        <v>20</v>
      </c>
      <c r="F76" s="88" t="s">
        <v>114</v>
      </c>
      <c r="G76" s="87">
        <v>40</v>
      </c>
      <c r="H76" s="88" t="s">
        <v>114</v>
      </c>
      <c r="I76" s="41">
        <v>48</v>
      </c>
      <c r="J76" s="88" t="s">
        <v>114</v>
      </c>
      <c r="K76" s="87">
        <v>17</v>
      </c>
      <c r="L76" s="88" t="s">
        <v>114</v>
      </c>
      <c r="M76" s="87">
        <v>38</v>
      </c>
      <c r="N76" s="88" t="s">
        <v>114</v>
      </c>
      <c r="O76" s="42">
        <v>47</v>
      </c>
      <c r="P76" s="88" t="s">
        <v>114</v>
      </c>
      <c r="Q76" s="87">
        <v>20</v>
      </c>
      <c r="R76" s="88" t="s">
        <v>114</v>
      </c>
      <c r="S76" s="87">
        <v>20</v>
      </c>
      <c r="T76" s="88" t="s">
        <v>114</v>
      </c>
      <c r="U76" s="42">
        <v>62</v>
      </c>
      <c r="V76" s="88" t="s">
        <v>114</v>
      </c>
      <c r="W76" s="87">
        <v>24</v>
      </c>
      <c r="X76" s="88" t="s">
        <v>114</v>
      </c>
      <c r="Y76" s="42">
        <v>46</v>
      </c>
      <c r="Z76" s="88" t="s">
        <v>114</v>
      </c>
      <c r="AA76" s="87">
        <v>19</v>
      </c>
      <c r="AB76" s="88" t="s">
        <v>114</v>
      </c>
      <c r="AC76" s="87">
        <v>20</v>
      </c>
      <c r="AD76" s="88" t="s">
        <v>114</v>
      </c>
      <c r="AE76" s="42">
        <v>26</v>
      </c>
      <c r="AF76" s="88" t="s">
        <v>114</v>
      </c>
      <c r="AG76" s="87">
        <v>22</v>
      </c>
      <c r="AH76" s="88" t="s">
        <v>114</v>
      </c>
      <c r="AI76" s="23">
        <v>530</v>
      </c>
      <c r="AJ76" s="24" t="s">
        <v>117</v>
      </c>
      <c r="AK76" s="25" t="str">
        <f>SPELLNUMBER(extractnumber_tot(AI76))</f>
        <v xml:space="preserve">Five Hundred Thirty  </v>
      </c>
    </row>
    <row r="77" spans="1:37" ht="14.1" customHeight="1">
      <c r="A77" s="84">
        <v>225277</v>
      </c>
      <c r="B77" s="30" t="s">
        <v>227</v>
      </c>
      <c r="C77" s="36">
        <v>55</v>
      </c>
      <c r="D77" s="86" t="s">
        <v>114</v>
      </c>
      <c r="E77" s="87">
        <v>19</v>
      </c>
      <c r="F77" s="88" t="s">
        <v>114</v>
      </c>
      <c r="G77" s="87">
        <v>39</v>
      </c>
      <c r="H77" s="88" t="s">
        <v>114</v>
      </c>
      <c r="I77" s="41">
        <v>54</v>
      </c>
      <c r="J77" s="88" t="s">
        <v>114</v>
      </c>
      <c r="K77" s="87">
        <v>21</v>
      </c>
      <c r="L77" s="88" t="s">
        <v>114</v>
      </c>
      <c r="M77" s="87">
        <v>42</v>
      </c>
      <c r="N77" s="88" t="s">
        <v>114</v>
      </c>
      <c r="O77" s="42">
        <v>40</v>
      </c>
      <c r="P77" s="88" t="s">
        <v>114</v>
      </c>
      <c r="Q77" s="87">
        <v>19</v>
      </c>
      <c r="R77" s="88" t="s">
        <v>114</v>
      </c>
      <c r="S77" s="87">
        <v>20</v>
      </c>
      <c r="T77" s="88" t="s">
        <v>114</v>
      </c>
      <c r="U77" s="42">
        <v>62</v>
      </c>
      <c r="V77" s="88" t="s">
        <v>114</v>
      </c>
      <c r="W77" s="87">
        <v>18</v>
      </c>
      <c r="X77" s="88" t="s">
        <v>114</v>
      </c>
      <c r="Y77" s="42">
        <v>62</v>
      </c>
      <c r="Z77" s="88" t="s">
        <v>114</v>
      </c>
      <c r="AA77" s="87">
        <v>21</v>
      </c>
      <c r="AB77" s="88" t="s">
        <v>114</v>
      </c>
      <c r="AC77" s="87">
        <v>18</v>
      </c>
      <c r="AD77" s="88" t="s">
        <v>114</v>
      </c>
      <c r="AE77" s="42">
        <v>29</v>
      </c>
      <c r="AF77" s="88" t="s">
        <v>114</v>
      </c>
      <c r="AG77" s="87">
        <v>20</v>
      </c>
      <c r="AH77" s="88" t="s">
        <v>114</v>
      </c>
      <c r="AI77" s="23">
        <v>539</v>
      </c>
      <c r="AJ77" s="24" t="s">
        <v>117</v>
      </c>
      <c r="AK77" s="25" t="str">
        <f>SPELLNUMBER(extractnumber_tot(AI77))</f>
        <v xml:space="preserve">Five Hundred Thirty Nine </v>
      </c>
    </row>
    <row r="78" spans="1:37" ht="14.1" customHeight="1">
      <c r="A78" s="84">
        <v>225278</v>
      </c>
      <c r="B78" s="30" t="s">
        <v>228</v>
      </c>
      <c r="C78" s="36">
        <v>50</v>
      </c>
      <c r="D78" s="86" t="s">
        <v>114</v>
      </c>
      <c r="E78" s="87">
        <v>20</v>
      </c>
      <c r="F78" s="88" t="s">
        <v>114</v>
      </c>
      <c r="G78" s="87">
        <v>40</v>
      </c>
      <c r="H78" s="88" t="s">
        <v>114</v>
      </c>
      <c r="I78" s="41">
        <v>53</v>
      </c>
      <c r="J78" s="88" t="s">
        <v>114</v>
      </c>
      <c r="K78" s="87">
        <v>21</v>
      </c>
      <c r="L78" s="88" t="s">
        <v>114</v>
      </c>
      <c r="M78" s="87">
        <v>44</v>
      </c>
      <c r="N78" s="88" t="s">
        <v>114</v>
      </c>
      <c r="O78" s="42">
        <v>46</v>
      </c>
      <c r="P78" s="88" t="s">
        <v>114</v>
      </c>
      <c r="Q78" s="87">
        <v>20</v>
      </c>
      <c r="R78" s="88" t="s">
        <v>114</v>
      </c>
      <c r="S78" s="87">
        <v>20</v>
      </c>
      <c r="T78" s="88" t="s">
        <v>114</v>
      </c>
      <c r="U78" s="42">
        <v>64</v>
      </c>
      <c r="V78" s="88" t="s">
        <v>114</v>
      </c>
      <c r="W78" s="87">
        <v>20</v>
      </c>
      <c r="X78" s="88" t="s">
        <v>114</v>
      </c>
      <c r="Y78" s="42">
        <v>52</v>
      </c>
      <c r="Z78" s="88" t="s">
        <v>114</v>
      </c>
      <c r="AA78" s="87">
        <v>21</v>
      </c>
      <c r="AB78" s="88" t="s">
        <v>114</v>
      </c>
      <c r="AC78" s="87">
        <v>19</v>
      </c>
      <c r="AD78" s="88" t="s">
        <v>114</v>
      </c>
      <c r="AE78" s="42">
        <v>25</v>
      </c>
      <c r="AF78" s="88" t="s">
        <v>114</v>
      </c>
      <c r="AG78" s="87">
        <v>19</v>
      </c>
      <c r="AH78" s="88" t="s">
        <v>114</v>
      </c>
      <c r="AI78" s="23">
        <v>534</v>
      </c>
      <c r="AJ78" s="24" t="s">
        <v>117</v>
      </c>
      <c r="AK78" s="25" t="str">
        <f>SPELLNUMBER(extractnumber_tot(AI78))</f>
        <v xml:space="preserve">Five Hundred Thirty Four </v>
      </c>
    </row>
    <row r="79" spans="1:37" ht="14.1" customHeight="1">
      <c r="A79" s="84">
        <v>225279</v>
      </c>
      <c r="B79" s="30" t="s">
        <v>229</v>
      </c>
      <c r="C79" s="36">
        <v>47</v>
      </c>
      <c r="D79" s="86" t="s">
        <v>114</v>
      </c>
      <c r="E79" s="87">
        <v>22</v>
      </c>
      <c r="F79" s="88" t="s">
        <v>114</v>
      </c>
      <c r="G79" s="87">
        <v>43</v>
      </c>
      <c r="H79" s="88" t="s">
        <v>114</v>
      </c>
      <c r="I79" s="41">
        <v>50</v>
      </c>
      <c r="J79" s="88" t="s">
        <v>114</v>
      </c>
      <c r="K79" s="87">
        <v>22</v>
      </c>
      <c r="L79" s="88" t="s">
        <v>114</v>
      </c>
      <c r="M79" s="87">
        <v>44</v>
      </c>
      <c r="N79" s="88" t="s">
        <v>114</v>
      </c>
      <c r="O79" s="42" t="s">
        <v>343</v>
      </c>
      <c r="P79" s="88" t="s">
        <v>114</v>
      </c>
      <c r="Q79" s="87">
        <v>22</v>
      </c>
      <c r="R79" s="88" t="s">
        <v>114</v>
      </c>
      <c r="S79" s="87">
        <v>23</v>
      </c>
      <c r="T79" s="88" t="s">
        <v>114</v>
      </c>
      <c r="U79" s="42">
        <v>43</v>
      </c>
      <c r="V79" s="88" t="s">
        <v>114</v>
      </c>
      <c r="W79" s="87">
        <v>24</v>
      </c>
      <c r="X79" s="88" t="s">
        <v>114</v>
      </c>
      <c r="Y79" s="42">
        <v>56</v>
      </c>
      <c r="Z79" s="88" t="s">
        <v>114</v>
      </c>
      <c r="AA79" s="87">
        <v>22</v>
      </c>
      <c r="AB79" s="88" t="s">
        <v>114</v>
      </c>
      <c r="AC79" s="87">
        <v>21</v>
      </c>
      <c r="AD79" s="88" t="s">
        <v>114</v>
      </c>
      <c r="AE79" s="42">
        <v>23</v>
      </c>
      <c r="AF79" s="88" t="s">
        <v>114</v>
      </c>
      <c r="AG79" s="87">
        <v>22</v>
      </c>
      <c r="AH79" s="88" t="s">
        <v>114</v>
      </c>
      <c r="AI79" s="23" t="s">
        <v>344</v>
      </c>
      <c r="AJ79" s="24" t="s">
        <v>117</v>
      </c>
      <c r="AK79" s="25" t="str">
        <f>SPELLNUMBER(extractnumber_tot(AI79))</f>
        <v xml:space="preserve">Five Hundred Sixteen </v>
      </c>
    </row>
    <row r="80" spans="1:37" ht="14.1" customHeight="1">
      <c r="A80" s="84">
        <v>225280</v>
      </c>
      <c r="B80" s="30" t="s">
        <v>230</v>
      </c>
      <c r="C80" s="36">
        <v>40</v>
      </c>
      <c r="D80" s="86" t="s">
        <v>114</v>
      </c>
      <c r="E80" s="87">
        <v>20</v>
      </c>
      <c r="F80" s="88" t="s">
        <v>114</v>
      </c>
      <c r="G80" s="87">
        <v>44</v>
      </c>
      <c r="H80" s="88" t="s">
        <v>114</v>
      </c>
      <c r="I80" s="41">
        <v>40</v>
      </c>
      <c r="J80" s="88" t="s">
        <v>114</v>
      </c>
      <c r="K80" s="87">
        <v>16</v>
      </c>
      <c r="L80" s="88" t="s">
        <v>114</v>
      </c>
      <c r="M80" s="87">
        <v>42</v>
      </c>
      <c r="N80" s="88" t="s">
        <v>114</v>
      </c>
      <c r="O80" s="42">
        <v>40</v>
      </c>
      <c r="P80" s="88" t="s">
        <v>114</v>
      </c>
      <c r="Q80" s="87">
        <v>20</v>
      </c>
      <c r="R80" s="88" t="s">
        <v>114</v>
      </c>
      <c r="S80" s="87">
        <v>23</v>
      </c>
      <c r="T80" s="88" t="s">
        <v>114</v>
      </c>
      <c r="U80" s="42">
        <v>54</v>
      </c>
      <c r="V80" s="88" t="s">
        <v>114</v>
      </c>
      <c r="W80" s="87">
        <v>20</v>
      </c>
      <c r="X80" s="88" t="s">
        <v>114</v>
      </c>
      <c r="Y80" s="42">
        <v>48</v>
      </c>
      <c r="Z80" s="88" t="s">
        <v>114</v>
      </c>
      <c r="AA80" s="87">
        <v>16</v>
      </c>
      <c r="AB80" s="88" t="s">
        <v>114</v>
      </c>
      <c r="AC80" s="87">
        <v>18</v>
      </c>
      <c r="AD80" s="88" t="s">
        <v>114</v>
      </c>
      <c r="AE80" s="42">
        <v>20</v>
      </c>
      <c r="AF80" s="88" t="s">
        <v>114</v>
      </c>
      <c r="AG80" s="87">
        <v>20</v>
      </c>
      <c r="AH80" s="88" t="s">
        <v>114</v>
      </c>
      <c r="AI80" s="23">
        <v>481</v>
      </c>
      <c r="AJ80" s="24" t="s">
        <v>117</v>
      </c>
      <c r="AK80" s="25" t="str">
        <f>SPELLNUMBER(extractnumber_tot(AI80))</f>
        <v xml:space="preserve">Four Hundred Eighty One </v>
      </c>
    </row>
    <row r="81" spans="1:37" ht="14.1" customHeight="1">
      <c r="A81" s="84">
        <v>225281</v>
      </c>
      <c r="B81" s="30" t="s">
        <v>231</v>
      </c>
      <c r="C81" s="36">
        <v>70</v>
      </c>
      <c r="D81" s="86" t="s">
        <v>114</v>
      </c>
      <c r="E81" s="87">
        <v>21</v>
      </c>
      <c r="F81" s="88" t="s">
        <v>114</v>
      </c>
      <c r="G81" s="87">
        <v>40</v>
      </c>
      <c r="H81" s="88" t="s">
        <v>114</v>
      </c>
      <c r="I81" s="41">
        <v>57</v>
      </c>
      <c r="J81" s="88" t="s">
        <v>114</v>
      </c>
      <c r="K81" s="87">
        <v>23</v>
      </c>
      <c r="L81" s="88" t="s">
        <v>114</v>
      </c>
      <c r="M81" s="87">
        <v>42</v>
      </c>
      <c r="N81" s="88" t="s">
        <v>114</v>
      </c>
      <c r="O81" s="42">
        <v>62</v>
      </c>
      <c r="P81" s="88" t="s">
        <v>114</v>
      </c>
      <c r="Q81" s="87">
        <v>21</v>
      </c>
      <c r="R81" s="88" t="s">
        <v>114</v>
      </c>
      <c r="S81" s="87">
        <v>20</v>
      </c>
      <c r="T81" s="88" t="s">
        <v>114</v>
      </c>
      <c r="U81" s="42">
        <v>55</v>
      </c>
      <c r="V81" s="88" t="s">
        <v>114</v>
      </c>
      <c r="W81" s="87">
        <v>22</v>
      </c>
      <c r="X81" s="88" t="s">
        <v>114</v>
      </c>
      <c r="Y81" s="42">
        <v>69</v>
      </c>
      <c r="Z81" s="88" t="s">
        <v>114</v>
      </c>
      <c r="AA81" s="87">
        <v>23</v>
      </c>
      <c r="AB81" s="88" t="s">
        <v>114</v>
      </c>
      <c r="AC81" s="87">
        <v>20</v>
      </c>
      <c r="AD81" s="88" t="s">
        <v>114</v>
      </c>
      <c r="AE81" s="42">
        <v>32</v>
      </c>
      <c r="AF81" s="88" t="s">
        <v>114</v>
      </c>
      <c r="AG81" s="87">
        <v>21</v>
      </c>
      <c r="AH81" s="88" t="s">
        <v>114</v>
      </c>
      <c r="AI81" s="23">
        <v>598</v>
      </c>
      <c r="AJ81" s="24" t="s">
        <v>117</v>
      </c>
      <c r="AK81" s="25" t="str">
        <f>SPELLNUMBER(extractnumber_tot(AI81))</f>
        <v xml:space="preserve">Five Hundred NinetyEight </v>
      </c>
    </row>
    <row r="82" spans="1:37" ht="14.1" customHeight="1">
      <c r="A82" s="84">
        <v>225282</v>
      </c>
      <c r="B82" s="30" t="s">
        <v>232</v>
      </c>
      <c r="C82" s="36">
        <v>50</v>
      </c>
      <c r="D82" s="86" t="s">
        <v>114</v>
      </c>
      <c r="E82" s="87">
        <v>18</v>
      </c>
      <c r="F82" s="88" t="s">
        <v>114</v>
      </c>
      <c r="G82" s="87">
        <v>42</v>
      </c>
      <c r="H82" s="88" t="s">
        <v>114</v>
      </c>
      <c r="I82" s="41">
        <v>55</v>
      </c>
      <c r="J82" s="88" t="s">
        <v>114</v>
      </c>
      <c r="K82" s="87">
        <v>17</v>
      </c>
      <c r="L82" s="88" t="s">
        <v>114</v>
      </c>
      <c r="M82" s="87">
        <v>38</v>
      </c>
      <c r="N82" s="88" t="s">
        <v>114</v>
      </c>
      <c r="O82" s="42">
        <v>46</v>
      </c>
      <c r="P82" s="88" t="s">
        <v>114</v>
      </c>
      <c r="Q82" s="87">
        <v>18</v>
      </c>
      <c r="R82" s="88" t="s">
        <v>114</v>
      </c>
      <c r="S82" s="87">
        <v>22</v>
      </c>
      <c r="T82" s="88" t="s">
        <v>114</v>
      </c>
      <c r="U82" s="42">
        <v>49</v>
      </c>
      <c r="V82" s="88" t="s">
        <v>114</v>
      </c>
      <c r="W82" s="87">
        <v>20</v>
      </c>
      <c r="X82" s="88" t="s">
        <v>114</v>
      </c>
      <c r="Y82" s="42">
        <v>49</v>
      </c>
      <c r="Z82" s="88" t="s">
        <v>114</v>
      </c>
      <c r="AA82" s="87">
        <v>17</v>
      </c>
      <c r="AB82" s="88" t="s">
        <v>114</v>
      </c>
      <c r="AC82" s="87">
        <v>18</v>
      </c>
      <c r="AD82" s="88" t="s">
        <v>114</v>
      </c>
      <c r="AE82" s="42">
        <v>26</v>
      </c>
      <c r="AF82" s="88" t="s">
        <v>114</v>
      </c>
      <c r="AG82" s="87">
        <v>19</v>
      </c>
      <c r="AH82" s="88" t="s">
        <v>114</v>
      </c>
      <c r="AI82" s="23">
        <v>504</v>
      </c>
      <c r="AJ82" s="24" t="s">
        <v>117</v>
      </c>
      <c r="AK82" s="25" t="str">
        <f>SPELLNUMBER(extractnumber_tot(AI82))</f>
        <v xml:space="preserve">Five Hundred Four </v>
      </c>
    </row>
    <row r="83" spans="1:37" ht="14.1" customHeight="1">
      <c r="A83" s="84">
        <v>225283</v>
      </c>
      <c r="B83" s="30" t="s">
        <v>233</v>
      </c>
      <c r="C83" s="36">
        <v>15</v>
      </c>
      <c r="D83" s="86" t="s">
        <v>110</v>
      </c>
      <c r="E83" s="87">
        <v>20</v>
      </c>
      <c r="F83" s="88" t="s">
        <v>113</v>
      </c>
      <c r="G83" s="87">
        <v>45</v>
      </c>
      <c r="H83" s="88" t="s">
        <v>113</v>
      </c>
      <c r="I83" s="41">
        <v>40</v>
      </c>
      <c r="J83" s="88" t="s">
        <v>113</v>
      </c>
      <c r="K83" s="87">
        <v>20</v>
      </c>
      <c r="L83" s="88" t="s">
        <v>113</v>
      </c>
      <c r="M83" s="87">
        <v>42</v>
      </c>
      <c r="N83" s="88" t="s">
        <v>113</v>
      </c>
      <c r="O83" s="42">
        <v>58</v>
      </c>
      <c r="P83" s="88" t="s">
        <v>113</v>
      </c>
      <c r="Q83" s="87">
        <v>20</v>
      </c>
      <c r="R83" s="88" t="s">
        <v>113</v>
      </c>
      <c r="S83" s="87">
        <v>23</v>
      </c>
      <c r="T83" s="88" t="s">
        <v>113</v>
      </c>
      <c r="U83" s="42">
        <v>48</v>
      </c>
      <c r="V83" s="88" t="s">
        <v>113</v>
      </c>
      <c r="W83" s="87">
        <v>16</v>
      </c>
      <c r="X83" s="88" t="s">
        <v>113</v>
      </c>
      <c r="Y83" s="42">
        <v>43</v>
      </c>
      <c r="Z83" s="88" t="s">
        <v>113</v>
      </c>
      <c r="AA83" s="87">
        <v>20</v>
      </c>
      <c r="AB83" s="88" t="s">
        <v>113</v>
      </c>
      <c r="AC83" s="87">
        <v>17</v>
      </c>
      <c r="AD83" s="88" t="s">
        <v>113</v>
      </c>
      <c r="AE83" s="42">
        <v>26</v>
      </c>
      <c r="AF83" s="88" t="s">
        <v>113</v>
      </c>
      <c r="AG83" s="87">
        <v>17</v>
      </c>
      <c r="AH83" s="88" t="s">
        <v>113</v>
      </c>
      <c r="AI83" s="23">
        <v>470</v>
      </c>
      <c r="AJ83" s="24" t="s">
        <v>111</v>
      </c>
      <c r="AK83" s="25" t="str">
        <f>SPELLNUMBER(extractnumber_tot(AI83))</f>
        <v xml:space="preserve">Four Hundred Seventy  </v>
      </c>
    </row>
    <row r="84" spans="1:37" ht="14.1" customHeight="1">
      <c r="A84" s="84">
        <v>225284</v>
      </c>
      <c r="B84" s="30" t="s">
        <v>234</v>
      </c>
      <c r="C84" s="36">
        <v>42</v>
      </c>
      <c r="D84" s="86" t="s">
        <v>113</v>
      </c>
      <c r="E84" s="87">
        <v>20</v>
      </c>
      <c r="F84" s="88" t="s">
        <v>113</v>
      </c>
      <c r="G84" s="87">
        <v>42</v>
      </c>
      <c r="H84" s="88" t="s">
        <v>113</v>
      </c>
      <c r="I84" s="41">
        <v>42</v>
      </c>
      <c r="J84" s="88" t="s">
        <v>113</v>
      </c>
      <c r="K84" s="87">
        <v>19</v>
      </c>
      <c r="L84" s="88" t="s">
        <v>113</v>
      </c>
      <c r="M84" s="87">
        <v>38</v>
      </c>
      <c r="N84" s="88" t="s">
        <v>113</v>
      </c>
      <c r="O84" s="42">
        <v>30</v>
      </c>
      <c r="P84" s="88" t="s">
        <v>110</v>
      </c>
      <c r="Q84" s="87">
        <v>20</v>
      </c>
      <c r="R84" s="88" t="s">
        <v>113</v>
      </c>
      <c r="S84" s="87">
        <v>22</v>
      </c>
      <c r="T84" s="88" t="s">
        <v>113</v>
      </c>
      <c r="U84" s="42">
        <v>58</v>
      </c>
      <c r="V84" s="88" t="s">
        <v>113</v>
      </c>
      <c r="W84" s="87">
        <v>16</v>
      </c>
      <c r="X84" s="88" t="s">
        <v>113</v>
      </c>
      <c r="Y84" s="42">
        <v>69</v>
      </c>
      <c r="Z84" s="88" t="s">
        <v>113</v>
      </c>
      <c r="AA84" s="87">
        <v>19</v>
      </c>
      <c r="AB84" s="88" t="s">
        <v>113</v>
      </c>
      <c r="AC84" s="87">
        <v>19</v>
      </c>
      <c r="AD84" s="88" t="s">
        <v>113</v>
      </c>
      <c r="AE84" s="42">
        <v>30</v>
      </c>
      <c r="AF84" s="88" t="s">
        <v>113</v>
      </c>
      <c r="AG84" s="87">
        <v>17</v>
      </c>
      <c r="AH84" s="88" t="s">
        <v>113</v>
      </c>
      <c r="AI84" s="23">
        <v>503</v>
      </c>
      <c r="AJ84" s="24" t="s">
        <v>111</v>
      </c>
      <c r="AK84" s="25" t="str">
        <f>SPELLNUMBER(extractnumber_tot(AI84))</f>
        <v xml:space="preserve">Five Hundred Three </v>
      </c>
    </row>
    <row r="85" spans="1:37" ht="14.1" customHeight="1">
      <c r="A85" s="84">
        <v>225285</v>
      </c>
      <c r="B85" s="30" t="s">
        <v>235</v>
      </c>
      <c r="C85" s="36">
        <v>63</v>
      </c>
      <c r="D85" s="86" t="s">
        <v>114</v>
      </c>
      <c r="E85" s="87">
        <v>21</v>
      </c>
      <c r="F85" s="88" t="s">
        <v>114</v>
      </c>
      <c r="G85" s="87">
        <v>43</v>
      </c>
      <c r="H85" s="88" t="s">
        <v>114</v>
      </c>
      <c r="I85" s="41">
        <v>40</v>
      </c>
      <c r="J85" s="88" t="s">
        <v>114</v>
      </c>
      <c r="K85" s="87">
        <v>22</v>
      </c>
      <c r="L85" s="88" t="s">
        <v>114</v>
      </c>
      <c r="M85" s="87">
        <v>42</v>
      </c>
      <c r="N85" s="88" t="s">
        <v>114</v>
      </c>
      <c r="O85" s="42">
        <v>55</v>
      </c>
      <c r="P85" s="88" t="s">
        <v>114</v>
      </c>
      <c r="Q85" s="87">
        <v>21</v>
      </c>
      <c r="R85" s="88" t="s">
        <v>114</v>
      </c>
      <c r="S85" s="87">
        <v>23</v>
      </c>
      <c r="T85" s="88" t="s">
        <v>114</v>
      </c>
      <c r="U85" s="42">
        <v>58</v>
      </c>
      <c r="V85" s="88" t="s">
        <v>114</v>
      </c>
      <c r="W85" s="87">
        <v>21</v>
      </c>
      <c r="X85" s="88" t="s">
        <v>114</v>
      </c>
      <c r="Y85" s="42">
        <v>40</v>
      </c>
      <c r="Z85" s="88" t="s">
        <v>114</v>
      </c>
      <c r="AA85" s="87">
        <v>22</v>
      </c>
      <c r="AB85" s="88" t="s">
        <v>114</v>
      </c>
      <c r="AC85" s="87">
        <v>18</v>
      </c>
      <c r="AD85" s="88" t="s">
        <v>114</v>
      </c>
      <c r="AE85" s="42">
        <v>31</v>
      </c>
      <c r="AF85" s="88" t="s">
        <v>114</v>
      </c>
      <c r="AG85" s="87">
        <v>23</v>
      </c>
      <c r="AH85" s="88" t="s">
        <v>114</v>
      </c>
      <c r="AI85" s="23">
        <v>543</v>
      </c>
      <c r="AJ85" s="24" t="s">
        <v>117</v>
      </c>
      <c r="AK85" s="25" t="str">
        <f>SPELLNUMBER(extractnumber_tot(AI85))</f>
        <v xml:space="preserve">Five Hundred Forty Three </v>
      </c>
    </row>
    <row r="86" spans="1:37" ht="14.1" customHeight="1">
      <c r="A86" s="84">
        <v>225286</v>
      </c>
      <c r="B86" s="30" t="s">
        <v>236</v>
      </c>
      <c r="C86" s="36">
        <v>64</v>
      </c>
      <c r="D86" s="86" t="s">
        <v>114</v>
      </c>
      <c r="E86" s="87">
        <v>21</v>
      </c>
      <c r="F86" s="88" t="s">
        <v>114</v>
      </c>
      <c r="G86" s="87">
        <v>44</v>
      </c>
      <c r="H86" s="88" t="s">
        <v>114</v>
      </c>
      <c r="I86" s="41">
        <v>64</v>
      </c>
      <c r="J86" s="88" t="s">
        <v>114</v>
      </c>
      <c r="K86" s="87">
        <v>23</v>
      </c>
      <c r="L86" s="88" t="s">
        <v>114</v>
      </c>
      <c r="M86" s="87">
        <v>46</v>
      </c>
      <c r="N86" s="88" t="s">
        <v>114</v>
      </c>
      <c r="O86" s="42">
        <v>52</v>
      </c>
      <c r="P86" s="88" t="s">
        <v>114</v>
      </c>
      <c r="Q86" s="87">
        <v>22</v>
      </c>
      <c r="R86" s="88" t="s">
        <v>114</v>
      </c>
      <c r="S86" s="87">
        <v>23</v>
      </c>
      <c r="T86" s="88" t="s">
        <v>114</v>
      </c>
      <c r="U86" s="42">
        <v>58</v>
      </c>
      <c r="V86" s="88" t="s">
        <v>114</v>
      </c>
      <c r="W86" s="87">
        <v>22</v>
      </c>
      <c r="X86" s="88" t="s">
        <v>114</v>
      </c>
      <c r="Y86" s="42">
        <v>68</v>
      </c>
      <c r="Z86" s="88" t="s">
        <v>114</v>
      </c>
      <c r="AA86" s="87">
        <v>23</v>
      </c>
      <c r="AB86" s="88" t="s">
        <v>114</v>
      </c>
      <c r="AC86" s="87">
        <v>20</v>
      </c>
      <c r="AD86" s="88" t="s">
        <v>114</v>
      </c>
      <c r="AE86" s="42">
        <v>30</v>
      </c>
      <c r="AF86" s="88" t="s">
        <v>114</v>
      </c>
      <c r="AG86" s="87">
        <v>20</v>
      </c>
      <c r="AH86" s="88" t="s">
        <v>114</v>
      </c>
      <c r="AI86" s="23">
        <v>600</v>
      </c>
      <c r="AJ86" s="24" t="s">
        <v>117</v>
      </c>
      <c r="AK86" s="25" t="str">
        <f>SPELLNUMBER(extractnumber_tot(AI86))</f>
        <v xml:space="preserve">Six Hundred  </v>
      </c>
    </row>
    <row r="87" spans="1:37" ht="14.1" customHeight="1">
      <c r="A87" s="84">
        <v>225287</v>
      </c>
      <c r="B87" s="30" t="s">
        <v>237</v>
      </c>
      <c r="C87" s="36">
        <v>61</v>
      </c>
      <c r="D87" s="86" t="s">
        <v>114</v>
      </c>
      <c r="E87" s="87">
        <v>20</v>
      </c>
      <c r="F87" s="88" t="s">
        <v>114</v>
      </c>
      <c r="G87" s="87">
        <v>42</v>
      </c>
      <c r="H87" s="88" t="s">
        <v>114</v>
      </c>
      <c r="I87" s="41">
        <v>45</v>
      </c>
      <c r="J87" s="88" t="s">
        <v>114</v>
      </c>
      <c r="K87" s="87">
        <v>17</v>
      </c>
      <c r="L87" s="88" t="s">
        <v>114</v>
      </c>
      <c r="M87" s="87">
        <v>38</v>
      </c>
      <c r="N87" s="88" t="s">
        <v>114</v>
      </c>
      <c r="O87" s="42">
        <v>45</v>
      </c>
      <c r="P87" s="88" t="s">
        <v>114</v>
      </c>
      <c r="Q87" s="87">
        <v>20</v>
      </c>
      <c r="R87" s="88" t="s">
        <v>114</v>
      </c>
      <c r="S87" s="87">
        <v>22</v>
      </c>
      <c r="T87" s="88" t="s">
        <v>114</v>
      </c>
      <c r="U87" s="42">
        <v>57</v>
      </c>
      <c r="V87" s="88" t="s">
        <v>114</v>
      </c>
      <c r="W87" s="87">
        <v>20</v>
      </c>
      <c r="X87" s="88" t="s">
        <v>114</v>
      </c>
      <c r="Y87" s="42">
        <v>44</v>
      </c>
      <c r="Z87" s="88" t="s">
        <v>114</v>
      </c>
      <c r="AA87" s="87">
        <v>18</v>
      </c>
      <c r="AB87" s="88" t="s">
        <v>114</v>
      </c>
      <c r="AC87" s="87">
        <v>17</v>
      </c>
      <c r="AD87" s="88" t="s">
        <v>114</v>
      </c>
      <c r="AE87" s="42">
        <v>31</v>
      </c>
      <c r="AF87" s="88" t="s">
        <v>114</v>
      </c>
      <c r="AG87" s="87">
        <v>20</v>
      </c>
      <c r="AH87" s="88" t="s">
        <v>114</v>
      </c>
      <c r="AI87" s="23">
        <v>517</v>
      </c>
      <c r="AJ87" s="24" t="s">
        <v>117</v>
      </c>
      <c r="AK87" s="25" t="str">
        <f>SPELLNUMBER(extractnumber_tot(AI87))</f>
        <v xml:space="preserve">Five Hundred Seventeen </v>
      </c>
    </row>
    <row r="88" spans="1:37" ht="14.1" customHeight="1">
      <c r="A88" s="84">
        <v>225288</v>
      </c>
      <c r="B88" s="30" t="s">
        <v>238</v>
      </c>
      <c r="C88" s="36">
        <v>63</v>
      </c>
      <c r="D88" s="86" t="s">
        <v>114</v>
      </c>
      <c r="E88" s="87">
        <v>23</v>
      </c>
      <c r="F88" s="88" t="s">
        <v>114</v>
      </c>
      <c r="G88" s="87">
        <v>44</v>
      </c>
      <c r="H88" s="88" t="s">
        <v>114</v>
      </c>
      <c r="I88" s="41">
        <v>46</v>
      </c>
      <c r="J88" s="88" t="s">
        <v>114</v>
      </c>
      <c r="K88" s="87">
        <v>23</v>
      </c>
      <c r="L88" s="88" t="s">
        <v>114</v>
      </c>
      <c r="M88" s="87">
        <v>42</v>
      </c>
      <c r="N88" s="88" t="s">
        <v>114</v>
      </c>
      <c r="O88" s="42">
        <v>47</v>
      </c>
      <c r="P88" s="88" t="s">
        <v>114</v>
      </c>
      <c r="Q88" s="87">
        <v>23</v>
      </c>
      <c r="R88" s="88" t="s">
        <v>114</v>
      </c>
      <c r="S88" s="87">
        <v>23</v>
      </c>
      <c r="T88" s="88" t="s">
        <v>114</v>
      </c>
      <c r="U88" s="42">
        <v>61</v>
      </c>
      <c r="V88" s="88" t="s">
        <v>114</v>
      </c>
      <c r="W88" s="87">
        <v>23</v>
      </c>
      <c r="X88" s="88" t="s">
        <v>114</v>
      </c>
      <c r="Y88" s="42">
        <v>68</v>
      </c>
      <c r="Z88" s="88" t="s">
        <v>114</v>
      </c>
      <c r="AA88" s="87">
        <v>23</v>
      </c>
      <c r="AB88" s="88" t="s">
        <v>114</v>
      </c>
      <c r="AC88" s="87">
        <v>17</v>
      </c>
      <c r="AD88" s="88" t="s">
        <v>114</v>
      </c>
      <c r="AE88" s="42">
        <v>27</v>
      </c>
      <c r="AF88" s="88" t="s">
        <v>114</v>
      </c>
      <c r="AG88" s="87">
        <v>23</v>
      </c>
      <c r="AH88" s="88" t="s">
        <v>114</v>
      </c>
      <c r="AI88" s="23">
        <v>576</v>
      </c>
      <c r="AJ88" s="24" t="s">
        <v>117</v>
      </c>
      <c r="AK88" s="25" t="str">
        <f>SPELLNUMBER(extractnumber_tot(AI88))</f>
        <v xml:space="preserve">Five Hundred Seventy Six </v>
      </c>
    </row>
    <row r="89" spans="1:37" ht="14.1" customHeight="1">
      <c r="A89" s="84">
        <v>225289</v>
      </c>
      <c r="B89" s="30" t="s">
        <v>239</v>
      </c>
      <c r="C89" s="36">
        <v>52</v>
      </c>
      <c r="D89" s="86" t="s">
        <v>113</v>
      </c>
      <c r="E89" s="87">
        <v>21</v>
      </c>
      <c r="F89" s="88" t="s">
        <v>113</v>
      </c>
      <c r="G89" s="87">
        <v>42</v>
      </c>
      <c r="H89" s="88" t="s">
        <v>113</v>
      </c>
      <c r="I89" s="41">
        <v>28</v>
      </c>
      <c r="J89" s="88" t="s">
        <v>110</v>
      </c>
      <c r="K89" s="87">
        <v>20</v>
      </c>
      <c r="L89" s="88" t="s">
        <v>113</v>
      </c>
      <c r="M89" s="87">
        <v>42</v>
      </c>
      <c r="N89" s="88" t="s">
        <v>113</v>
      </c>
      <c r="O89" s="42">
        <v>62</v>
      </c>
      <c r="P89" s="88" t="s">
        <v>113</v>
      </c>
      <c r="Q89" s="87">
        <v>21</v>
      </c>
      <c r="R89" s="88" t="s">
        <v>113</v>
      </c>
      <c r="S89" s="87">
        <v>22</v>
      </c>
      <c r="T89" s="88" t="s">
        <v>113</v>
      </c>
      <c r="U89" s="42">
        <v>63</v>
      </c>
      <c r="V89" s="88" t="s">
        <v>113</v>
      </c>
      <c r="W89" s="87">
        <v>21</v>
      </c>
      <c r="X89" s="88" t="s">
        <v>113</v>
      </c>
      <c r="Y89" s="42">
        <v>42</v>
      </c>
      <c r="Z89" s="88" t="s">
        <v>113</v>
      </c>
      <c r="AA89" s="87">
        <v>20</v>
      </c>
      <c r="AB89" s="88" t="s">
        <v>113</v>
      </c>
      <c r="AC89" s="87">
        <v>15</v>
      </c>
      <c r="AD89" s="88" t="s">
        <v>113</v>
      </c>
      <c r="AE89" s="42">
        <v>31</v>
      </c>
      <c r="AF89" s="88" t="s">
        <v>113</v>
      </c>
      <c r="AG89" s="87">
        <v>21</v>
      </c>
      <c r="AH89" s="88" t="s">
        <v>113</v>
      </c>
      <c r="AI89" s="23">
        <v>523</v>
      </c>
      <c r="AJ89" s="24" t="s">
        <v>111</v>
      </c>
      <c r="AK89" s="25" t="str">
        <f>SPELLNUMBER(extractnumber_tot(AI89))</f>
        <v xml:space="preserve">Five Hundred Twenty Three </v>
      </c>
    </row>
    <row r="90" spans="1:37" ht="14.1" customHeight="1">
      <c r="A90" s="84">
        <v>225290</v>
      </c>
      <c r="B90" s="30" t="s">
        <v>240</v>
      </c>
      <c r="C90" s="36">
        <v>56</v>
      </c>
      <c r="D90" s="86" t="s">
        <v>114</v>
      </c>
      <c r="E90" s="87">
        <v>20</v>
      </c>
      <c r="F90" s="88" t="s">
        <v>114</v>
      </c>
      <c r="G90" s="87">
        <v>43</v>
      </c>
      <c r="H90" s="88" t="s">
        <v>114</v>
      </c>
      <c r="I90" s="41">
        <v>63</v>
      </c>
      <c r="J90" s="88" t="s">
        <v>114</v>
      </c>
      <c r="K90" s="87">
        <v>21</v>
      </c>
      <c r="L90" s="88" t="s">
        <v>114</v>
      </c>
      <c r="M90" s="87">
        <v>42</v>
      </c>
      <c r="N90" s="88" t="s">
        <v>114</v>
      </c>
      <c r="O90" s="42">
        <v>47</v>
      </c>
      <c r="P90" s="88" t="s">
        <v>114</v>
      </c>
      <c r="Q90" s="87">
        <v>20</v>
      </c>
      <c r="R90" s="88" t="s">
        <v>114</v>
      </c>
      <c r="S90" s="87">
        <v>23</v>
      </c>
      <c r="T90" s="88" t="s">
        <v>114</v>
      </c>
      <c r="U90" s="42">
        <v>61</v>
      </c>
      <c r="V90" s="88" t="s">
        <v>114</v>
      </c>
      <c r="W90" s="87">
        <v>20</v>
      </c>
      <c r="X90" s="88" t="s">
        <v>114</v>
      </c>
      <c r="Y90" s="42">
        <v>42</v>
      </c>
      <c r="Z90" s="88" t="s">
        <v>114</v>
      </c>
      <c r="AA90" s="87">
        <v>21</v>
      </c>
      <c r="AB90" s="88" t="s">
        <v>114</v>
      </c>
      <c r="AC90" s="87">
        <v>20</v>
      </c>
      <c r="AD90" s="88" t="s">
        <v>114</v>
      </c>
      <c r="AE90" s="42">
        <v>33</v>
      </c>
      <c r="AF90" s="88" t="s">
        <v>114</v>
      </c>
      <c r="AG90" s="87">
        <v>22</v>
      </c>
      <c r="AH90" s="88" t="s">
        <v>114</v>
      </c>
      <c r="AI90" s="23">
        <v>554</v>
      </c>
      <c r="AJ90" s="24" t="s">
        <v>117</v>
      </c>
      <c r="AK90" s="25" t="str">
        <f>SPELLNUMBER(extractnumber_tot(AI90))</f>
        <v xml:space="preserve">Five Hundred Fifty Four </v>
      </c>
    </row>
    <row r="91" spans="1:37" ht="14.1" customHeight="1">
      <c r="A91" s="84">
        <v>225291</v>
      </c>
      <c r="B91" s="30" t="s">
        <v>241</v>
      </c>
      <c r="C91" s="36">
        <v>40</v>
      </c>
      <c r="D91" s="86" t="s">
        <v>114</v>
      </c>
      <c r="E91" s="87">
        <v>20</v>
      </c>
      <c r="F91" s="88" t="s">
        <v>114</v>
      </c>
      <c r="G91" s="87">
        <v>44</v>
      </c>
      <c r="H91" s="88" t="s">
        <v>114</v>
      </c>
      <c r="I91" s="41">
        <v>44</v>
      </c>
      <c r="J91" s="88" t="s">
        <v>114</v>
      </c>
      <c r="K91" s="87">
        <v>23</v>
      </c>
      <c r="L91" s="88" t="s">
        <v>114</v>
      </c>
      <c r="M91" s="87">
        <v>44</v>
      </c>
      <c r="N91" s="88" t="s">
        <v>114</v>
      </c>
      <c r="O91" s="42" t="s">
        <v>338</v>
      </c>
      <c r="P91" s="88" t="s">
        <v>114</v>
      </c>
      <c r="Q91" s="87">
        <v>20</v>
      </c>
      <c r="R91" s="88" t="s">
        <v>114</v>
      </c>
      <c r="S91" s="87">
        <v>23</v>
      </c>
      <c r="T91" s="88" t="s">
        <v>114</v>
      </c>
      <c r="U91" s="42">
        <v>53</v>
      </c>
      <c r="V91" s="88" t="s">
        <v>114</v>
      </c>
      <c r="W91" s="87">
        <v>17</v>
      </c>
      <c r="X91" s="88" t="s">
        <v>114</v>
      </c>
      <c r="Y91" s="42">
        <v>55</v>
      </c>
      <c r="Z91" s="88" t="s">
        <v>114</v>
      </c>
      <c r="AA91" s="87">
        <v>23</v>
      </c>
      <c r="AB91" s="88" t="s">
        <v>114</v>
      </c>
      <c r="AC91" s="87">
        <v>19</v>
      </c>
      <c r="AD91" s="88" t="s">
        <v>114</v>
      </c>
      <c r="AE91" s="42">
        <v>20</v>
      </c>
      <c r="AF91" s="88" t="s">
        <v>114</v>
      </c>
      <c r="AG91" s="87">
        <v>17</v>
      </c>
      <c r="AH91" s="88" t="s">
        <v>114</v>
      </c>
      <c r="AI91" s="23" t="s">
        <v>345</v>
      </c>
      <c r="AJ91" s="24" t="s">
        <v>117</v>
      </c>
      <c r="AK91" s="25" t="str">
        <f>SPELLNUMBER(extractnumber_tot(AI91))</f>
        <v xml:space="preserve">Four Hundred NinetyFive </v>
      </c>
    </row>
    <row r="92" spans="1:37" ht="14.1" customHeight="1">
      <c r="A92" s="84">
        <v>225292</v>
      </c>
      <c r="B92" s="30" t="s">
        <v>242</v>
      </c>
      <c r="C92" s="36">
        <v>54</v>
      </c>
      <c r="D92" s="86" t="s">
        <v>114</v>
      </c>
      <c r="E92" s="87">
        <v>21</v>
      </c>
      <c r="F92" s="88" t="s">
        <v>114</v>
      </c>
      <c r="G92" s="87">
        <v>42</v>
      </c>
      <c r="H92" s="88" t="s">
        <v>114</v>
      </c>
      <c r="I92" s="41">
        <v>46</v>
      </c>
      <c r="J92" s="88" t="s">
        <v>114</v>
      </c>
      <c r="K92" s="87">
        <v>22</v>
      </c>
      <c r="L92" s="88" t="s">
        <v>114</v>
      </c>
      <c r="M92" s="87">
        <v>42</v>
      </c>
      <c r="N92" s="88" t="s">
        <v>114</v>
      </c>
      <c r="O92" s="42">
        <v>52</v>
      </c>
      <c r="P92" s="88" t="s">
        <v>114</v>
      </c>
      <c r="Q92" s="87">
        <v>21</v>
      </c>
      <c r="R92" s="88" t="s">
        <v>114</v>
      </c>
      <c r="S92" s="87">
        <v>22</v>
      </c>
      <c r="T92" s="88" t="s">
        <v>114</v>
      </c>
      <c r="U92" s="42">
        <v>49</v>
      </c>
      <c r="V92" s="88" t="s">
        <v>114</v>
      </c>
      <c r="W92" s="87">
        <v>22</v>
      </c>
      <c r="X92" s="88" t="s">
        <v>114</v>
      </c>
      <c r="Y92" s="42">
        <v>46</v>
      </c>
      <c r="Z92" s="88" t="s">
        <v>114</v>
      </c>
      <c r="AA92" s="87">
        <v>22</v>
      </c>
      <c r="AB92" s="88" t="s">
        <v>114</v>
      </c>
      <c r="AC92" s="87">
        <v>16</v>
      </c>
      <c r="AD92" s="88" t="s">
        <v>114</v>
      </c>
      <c r="AE92" s="42">
        <v>23</v>
      </c>
      <c r="AF92" s="88" t="s">
        <v>114</v>
      </c>
      <c r="AG92" s="87">
        <v>21</v>
      </c>
      <c r="AH92" s="88" t="s">
        <v>114</v>
      </c>
      <c r="AI92" s="23">
        <v>521</v>
      </c>
      <c r="AJ92" s="24" t="s">
        <v>117</v>
      </c>
      <c r="AK92" s="25" t="str">
        <f>SPELLNUMBER(extractnumber_tot(AI92))</f>
        <v xml:space="preserve">Five Hundred Twenty One </v>
      </c>
    </row>
    <row r="93" spans="1:37" ht="14.1" customHeight="1">
      <c r="A93" s="84">
        <v>225293</v>
      </c>
      <c r="B93" s="30" t="s">
        <v>243</v>
      </c>
      <c r="C93" s="36">
        <v>68</v>
      </c>
      <c r="D93" s="86" t="s">
        <v>114</v>
      </c>
      <c r="E93" s="87">
        <v>21</v>
      </c>
      <c r="F93" s="88" t="s">
        <v>114</v>
      </c>
      <c r="G93" s="87">
        <v>39</v>
      </c>
      <c r="H93" s="88" t="s">
        <v>114</v>
      </c>
      <c r="I93" s="41">
        <v>53</v>
      </c>
      <c r="J93" s="88" t="s">
        <v>114</v>
      </c>
      <c r="K93" s="87">
        <v>22</v>
      </c>
      <c r="L93" s="88" t="s">
        <v>114</v>
      </c>
      <c r="M93" s="87">
        <v>42</v>
      </c>
      <c r="N93" s="88" t="s">
        <v>114</v>
      </c>
      <c r="O93" s="42">
        <v>64</v>
      </c>
      <c r="P93" s="88" t="s">
        <v>114</v>
      </c>
      <c r="Q93" s="87">
        <v>21</v>
      </c>
      <c r="R93" s="88" t="s">
        <v>114</v>
      </c>
      <c r="S93" s="87">
        <v>20</v>
      </c>
      <c r="T93" s="88" t="s">
        <v>114</v>
      </c>
      <c r="U93" s="42">
        <v>65</v>
      </c>
      <c r="V93" s="88" t="s">
        <v>114</v>
      </c>
      <c r="W93" s="87">
        <v>22</v>
      </c>
      <c r="X93" s="88" t="s">
        <v>114</v>
      </c>
      <c r="Y93" s="42">
        <v>47</v>
      </c>
      <c r="Z93" s="88" t="s">
        <v>114</v>
      </c>
      <c r="AA93" s="87">
        <v>22</v>
      </c>
      <c r="AB93" s="88" t="s">
        <v>114</v>
      </c>
      <c r="AC93" s="87">
        <v>18</v>
      </c>
      <c r="AD93" s="88" t="s">
        <v>114</v>
      </c>
      <c r="AE93" s="42">
        <v>31</v>
      </c>
      <c r="AF93" s="88" t="s">
        <v>114</v>
      </c>
      <c r="AG93" s="87">
        <v>20</v>
      </c>
      <c r="AH93" s="88" t="s">
        <v>114</v>
      </c>
      <c r="AI93" s="23">
        <v>575</v>
      </c>
      <c r="AJ93" s="24" t="s">
        <v>117</v>
      </c>
      <c r="AK93" s="25" t="str">
        <f>SPELLNUMBER(extractnumber_tot(AI93))</f>
        <v xml:space="preserve">Five Hundred Seventy Five </v>
      </c>
    </row>
    <row r="94" spans="1:37" ht="14.1" customHeight="1">
      <c r="A94" s="84">
        <v>225294</v>
      </c>
      <c r="B94" s="30" t="s">
        <v>244</v>
      </c>
      <c r="C94" s="36">
        <v>50</v>
      </c>
      <c r="D94" s="86" t="s">
        <v>113</v>
      </c>
      <c r="E94" s="87">
        <v>22</v>
      </c>
      <c r="F94" s="88" t="s">
        <v>113</v>
      </c>
      <c r="G94" s="87">
        <v>39</v>
      </c>
      <c r="H94" s="88" t="s">
        <v>113</v>
      </c>
      <c r="I94" s="41">
        <v>24</v>
      </c>
      <c r="J94" s="88" t="s">
        <v>110</v>
      </c>
      <c r="K94" s="87">
        <v>17</v>
      </c>
      <c r="L94" s="88" t="s">
        <v>113</v>
      </c>
      <c r="M94" s="87">
        <v>44</v>
      </c>
      <c r="N94" s="88" t="s">
        <v>113</v>
      </c>
      <c r="O94" s="42">
        <v>24</v>
      </c>
      <c r="P94" s="88" t="s">
        <v>110</v>
      </c>
      <c r="Q94" s="87">
        <v>22</v>
      </c>
      <c r="R94" s="88" t="s">
        <v>113</v>
      </c>
      <c r="S94" s="87">
        <v>20</v>
      </c>
      <c r="T94" s="88" t="s">
        <v>113</v>
      </c>
      <c r="U94" s="42">
        <v>57</v>
      </c>
      <c r="V94" s="88" t="s">
        <v>113</v>
      </c>
      <c r="W94" s="87">
        <v>22</v>
      </c>
      <c r="X94" s="88" t="s">
        <v>113</v>
      </c>
      <c r="Y94" s="42">
        <v>42</v>
      </c>
      <c r="Z94" s="88" t="s">
        <v>113</v>
      </c>
      <c r="AA94" s="87">
        <v>17</v>
      </c>
      <c r="AB94" s="88" t="s">
        <v>113</v>
      </c>
      <c r="AC94" s="87">
        <v>16</v>
      </c>
      <c r="AD94" s="88" t="s">
        <v>113</v>
      </c>
      <c r="AE94" s="42">
        <v>20</v>
      </c>
      <c r="AF94" s="88" t="s">
        <v>113</v>
      </c>
      <c r="AG94" s="87">
        <v>22</v>
      </c>
      <c r="AH94" s="88" t="s">
        <v>113</v>
      </c>
      <c r="AI94" s="23">
        <v>458</v>
      </c>
      <c r="AJ94" s="24" t="s">
        <v>111</v>
      </c>
      <c r="AK94" s="25" t="str">
        <f>SPELLNUMBER(extractnumber_tot(AI94))</f>
        <v xml:space="preserve">Four Hundred Fifty Eight </v>
      </c>
    </row>
    <row r="95" spans="1:37" ht="14.1" customHeight="1">
      <c r="A95" s="84">
        <v>225295</v>
      </c>
      <c r="B95" s="30" t="s">
        <v>245</v>
      </c>
      <c r="C95" s="36">
        <v>47</v>
      </c>
      <c r="D95" s="86" t="s">
        <v>113</v>
      </c>
      <c r="E95" s="87">
        <v>22</v>
      </c>
      <c r="F95" s="88" t="s">
        <v>113</v>
      </c>
      <c r="G95" s="87">
        <v>40</v>
      </c>
      <c r="H95" s="88" t="s">
        <v>113</v>
      </c>
      <c r="I95" s="41">
        <v>28</v>
      </c>
      <c r="J95" s="88" t="s">
        <v>110</v>
      </c>
      <c r="K95" s="87">
        <v>19</v>
      </c>
      <c r="L95" s="88" t="s">
        <v>113</v>
      </c>
      <c r="M95" s="87">
        <v>42</v>
      </c>
      <c r="N95" s="88" t="s">
        <v>113</v>
      </c>
      <c r="O95" s="42">
        <v>47</v>
      </c>
      <c r="P95" s="88" t="s">
        <v>113</v>
      </c>
      <c r="Q95" s="87">
        <v>22</v>
      </c>
      <c r="R95" s="88" t="s">
        <v>113</v>
      </c>
      <c r="S95" s="87">
        <v>20</v>
      </c>
      <c r="T95" s="88" t="s">
        <v>113</v>
      </c>
      <c r="U95" s="42">
        <v>43</v>
      </c>
      <c r="V95" s="88" t="s">
        <v>113</v>
      </c>
      <c r="W95" s="87">
        <v>16</v>
      </c>
      <c r="X95" s="88" t="s">
        <v>113</v>
      </c>
      <c r="Y95" s="42">
        <v>40</v>
      </c>
      <c r="Z95" s="88" t="s">
        <v>113</v>
      </c>
      <c r="AA95" s="87">
        <v>19</v>
      </c>
      <c r="AB95" s="88" t="s">
        <v>113</v>
      </c>
      <c r="AC95" s="87">
        <v>20</v>
      </c>
      <c r="AD95" s="88" t="s">
        <v>113</v>
      </c>
      <c r="AE95" s="42">
        <v>25</v>
      </c>
      <c r="AF95" s="88" t="s">
        <v>113</v>
      </c>
      <c r="AG95" s="87">
        <v>16</v>
      </c>
      <c r="AH95" s="88" t="s">
        <v>113</v>
      </c>
      <c r="AI95" s="23">
        <v>466</v>
      </c>
      <c r="AJ95" s="24" t="s">
        <v>111</v>
      </c>
      <c r="AK95" s="25" t="str">
        <f>SPELLNUMBER(extractnumber_tot(AI95))</f>
        <v xml:space="preserve">Four Hundred Sixty Six </v>
      </c>
    </row>
    <row r="96" spans="1:37" ht="14.1" customHeight="1">
      <c r="A96" s="84">
        <v>225296</v>
      </c>
      <c r="B96" s="30" t="s">
        <v>246</v>
      </c>
      <c r="C96" s="36">
        <v>45</v>
      </c>
      <c r="D96" s="86" t="s">
        <v>114</v>
      </c>
      <c r="E96" s="87">
        <v>22</v>
      </c>
      <c r="F96" s="88" t="s">
        <v>114</v>
      </c>
      <c r="G96" s="87">
        <v>42</v>
      </c>
      <c r="H96" s="88" t="s">
        <v>114</v>
      </c>
      <c r="I96" s="41">
        <v>40</v>
      </c>
      <c r="J96" s="88" t="s">
        <v>114</v>
      </c>
      <c r="K96" s="87">
        <v>22</v>
      </c>
      <c r="L96" s="88" t="s">
        <v>114</v>
      </c>
      <c r="M96" s="87">
        <v>42</v>
      </c>
      <c r="N96" s="88" t="s">
        <v>114</v>
      </c>
      <c r="O96" s="42">
        <v>41</v>
      </c>
      <c r="P96" s="88" t="s">
        <v>114</v>
      </c>
      <c r="Q96" s="87">
        <v>22</v>
      </c>
      <c r="R96" s="88" t="s">
        <v>114</v>
      </c>
      <c r="S96" s="87">
        <v>22</v>
      </c>
      <c r="T96" s="88" t="s">
        <v>114</v>
      </c>
      <c r="U96" s="42">
        <v>50</v>
      </c>
      <c r="V96" s="88" t="s">
        <v>114</v>
      </c>
      <c r="W96" s="87">
        <v>18</v>
      </c>
      <c r="X96" s="88" t="s">
        <v>114</v>
      </c>
      <c r="Y96" s="42">
        <v>48</v>
      </c>
      <c r="Z96" s="88" t="s">
        <v>114</v>
      </c>
      <c r="AA96" s="87">
        <v>22</v>
      </c>
      <c r="AB96" s="88" t="s">
        <v>114</v>
      </c>
      <c r="AC96" s="87">
        <v>19</v>
      </c>
      <c r="AD96" s="88" t="s">
        <v>114</v>
      </c>
      <c r="AE96" s="42">
        <v>26</v>
      </c>
      <c r="AF96" s="88" t="s">
        <v>114</v>
      </c>
      <c r="AG96" s="87">
        <v>20</v>
      </c>
      <c r="AH96" s="88" t="s">
        <v>114</v>
      </c>
      <c r="AI96" s="23">
        <v>501</v>
      </c>
      <c r="AJ96" s="24" t="s">
        <v>117</v>
      </c>
      <c r="AK96" s="25" t="str">
        <f>SPELLNUMBER(extractnumber_tot(AI96))</f>
        <v xml:space="preserve">Five Hundred One </v>
      </c>
    </row>
    <row r="97" spans="1:37" ht="14.1" customHeight="1">
      <c r="A97" s="84">
        <v>225297</v>
      </c>
      <c r="B97" s="30" t="s">
        <v>247</v>
      </c>
      <c r="C97" s="36">
        <v>48</v>
      </c>
      <c r="D97" s="86" t="s">
        <v>113</v>
      </c>
      <c r="E97" s="87">
        <v>21</v>
      </c>
      <c r="F97" s="88" t="s">
        <v>113</v>
      </c>
      <c r="G97" s="87">
        <v>40</v>
      </c>
      <c r="H97" s="88" t="s">
        <v>113</v>
      </c>
      <c r="I97" s="41">
        <v>17</v>
      </c>
      <c r="J97" s="88" t="s">
        <v>110</v>
      </c>
      <c r="K97" s="87">
        <v>19</v>
      </c>
      <c r="L97" s="88" t="s">
        <v>113</v>
      </c>
      <c r="M97" s="87">
        <v>38</v>
      </c>
      <c r="N97" s="88" t="s">
        <v>113</v>
      </c>
      <c r="O97" s="42" t="s">
        <v>75</v>
      </c>
      <c r="P97" s="88" t="s">
        <v>114</v>
      </c>
      <c r="Q97" s="87">
        <v>21</v>
      </c>
      <c r="R97" s="88" t="s">
        <v>113</v>
      </c>
      <c r="S97" s="87">
        <v>20</v>
      </c>
      <c r="T97" s="88" t="s">
        <v>113</v>
      </c>
      <c r="U97" s="42">
        <v>33</v>
      </c>
      <c r="V97" s="88" t="s">
        <v>110</v>
      </c>
      <c r="W97" s="87">
        <v>16</v>
      </c>
      <c r="X97" s="88" t="s">
        <v>113</v>
      </c>
      <c r="Y97" s="42">
        <v>40</v>
      </c>
      <c r="Z97" s="88" t="s">
        <v>113</v>
      </c>
      <c r="AA97" s="87">
        <v>19</v>
      </c>
      <c r="AB97" s="88" t="s">
        <v>113</v>
      </c>
      <c r="AC97" s="87">
        <v>15</v>
      </c>
      <c r="AD97" s="88" t="s">
        <v>113</v>
      </c>
      <c r="AE97" s="42">
        <v>25</v>
      </c>
      <c r="AF97" s="88" t="s">
        <v>113</v>
      </c>
      <c r="AG97" s="87">
        <v>17</v>
      </c>
      <c r="AH97" s="88" t="s">
        <v>113</v>
      </c>
      <c r="AI97" s="23">
        <v>389</v>
      </c>
      <c r="AJ97" s="24" t="s">
        <v>111</v>
      </c>
      <c r="AK97" s="25" t="str">
        <f>SPELLNUMBER(extractnumber_tot(AI97))</f>
        <v xml:space="preserve">Three Hundred Eighty Nine </v>
      </c>
    </row>
    <row r="98" spans="1:37" ht="14.1" customHeight="1">
      <c r="A98" s="84">
        <v>225298</v>
      </c>
      <c r="B98" s="30" t="s">
        <v>248</v>
      </c>
      <c r="C98" s="36">
        <v>46</v>
      </c>
      <c r="D98" s="86" t="s">
        <v>114</v>
      </c>
      <c r="E98" s="87">
        <v>21</v>
      </c>
      <c r="F98" s="88" t="s">
        <v>114</v>
      </c>
      <c r="G98" s="87">
        <v>40</v>
      </c>
      <c r="H98" s="88" t="s">
        <v>114</v>
      </c>
      <c r="I98" s="41">
        <v>42</v>
      </c>
      <c r="J98" s="88" t="s">
        <v>114</v>
      </c>
      <c r="K98" s="87">
        <v>22</v>
      </c>
      <c r="L98" s="88" t="s">
        <v>114</v>
      </c>
      <c r="M98" s="87">
        <v>42</v>
      </c>
      <c r="N98" s="88" t="s">
        <v>114</v>
      </c>
      <c r="O98" s="42">
        <v>56</v>
      </c>
      <c r="P98" s="88" t="s">
        <v>114</v>
      </c>
      <c r="Q98" s="87">
        <v>21</v>
      </c>
      <c r="R98" s="88" t="s">
        <v>114</v>
      </c>
      <c r="S98" s="87">
        <v>20</v>
      </c>
      <c r="T98" s="88" t="s">
        <v>114</v>
      </c>
      <c r="U98" s="42">
        <v>40</v>
      </c>
      <c r="V98" s="88" t="s">
        <v>114</v>
      </c>
      <c r="W98" s="87">
        <v>21</v>
      </c>
      <c r="X98" s="88" t="s">
        <v>114</v>
      </c>
      <c r="Y98" s="42">
        <v>61</v>
      </c>
      <c r="Z98" s="88" t="s">
        <v>114</v>
      </c>
      <c r="AA98" s="87">
        <v>22</v>
      </c>
      <c r="AB98" s="88" t="s">
        <v>114</v>
      </c>
      <c r="AC98" s="87">
        <v>20</v>
      </c>
      <c r="AD98" s="88" t="s">
        <v>114</v>
      </c>
      <c r="AE98" s="42">
        <v>22</v>
      </c>
      <c r="AF98" s="88" t="s">
        <v>114</v>
      </c>
      <c r="AG98" s="87">
        <v>21</v>
      </c>
      <c r="AH98" s="88" t="s">
        <v>114</v>
      </c>
      <c r="AI98" s="23">
        <v>517</v>
      </c>
      <c r="AJ98" s="24" t="s">
        <v>117</v>
      </c>
      <c r="AK98" s="25" t="str">
        <f>SPELLNUMBER(extractnumber_tot(AI98))</f>
        <v xml:space="preserve">Five Hundred Seventeen </v>
      </c>
    </row>
    <row r="99" spans="1:37" ht="14.1" customHeight="1">
      <c r="A99" s="84">
        <v>225299</v>
      </c>
      <c r="B99" s="30" t="s">
        <v>249</v>
      </c>
      <c r="C99" s="36">
        <v>40</v>
      </c>
      <c r="D99" s="86" t="s">
        <v>113</v>
      </c>
      <c r="E99" s="87">
        <v>21</v>
      </c>
      <c r="F99" s="88" t="s">
        <v>113</v>
      </c>
      <c r="G99" s="87">
        <v>40</v>
      </c>
      <c r="H99" s="88" t="s">
        <v>113</v>
      </c>
      <c r="I99" s="41">
        <v>41</v>
      </c>
      <c r="J99" s="88" t="s">
        <v>113</v>
      </c>
      <c r="K99" s="87">
        <v>22</v>
      </c>
      <c r="L99" s="88" t="s">
        <v>113</v>
      </c>
      <c r="M99" s="87">
        <v>44</v>
      </c>
      <c r="N99" s="88" t="s">
        <v>113</v>
      </c>
      <c r="O99" s="42">
        <v>20</v>
      </c>
      <c r="P99" s="88" t="s">
        <v>110</v>
      </c>
      <c r="Q99" s="87">
        <v>21</v>
      </c>
      <c r="R99" s="88" t="s">
        <v>113</v>
      </c>
      <c r="S99" s="87">
        <v>20</v>
      </c>
      <c r="T99" s="88" t="s">
        <v>113</v>
      </c>
      <c r="U99" s="42">
        <v>46</v>
      </c>
      <c r="V99" s="88" t="s">
        <v>113</v>
      </c>
      <c r="W99" s="87">
        <v>21</v>
      </c>
      <c r="X99" s="88" t="s">
        <v>113</v>
      </c>
      <c r="Y99" s="42">
        <v>40</v>
      </c>
      <c r="Z99" s="88" t="s">
        <v>113</v>
      </c>
      <c r="AA99" s="87">
        <v>21</v>
      </c>
      <c r="AB99" s="88" t="s">
        <v>113</v>
      </c>
      <c r="AC99" s="87">
        <v>22</v>
      </c>
      <c r="AD99" s="88" t="s">
        <v>113</v>
      </c>
      <c r="AE99" s="42">
        <v>28</v>
      </c>
      <c r="AF99" s="88" t="s">
        <v>113</v>
      </c>
      <c r="AG99" s="87">
        <v>21</v>
      </c>
      <c r="AH99" s="88" t="s">
        <v>113</v>
      </c>
      <c r="AI99" s="23">
        <v>468</v>
      </c>
      <c r="AJ99" s="24" t="s">
        <v>111</v>
      </c>
      <c r="AK99" s="25" t="str">
        <f>SPELLNUMBER(extractnumber_tot(AI99))</f>
        <v xml:space="preserve">Four Hundred Sixty Eight </v>
      </c>
    </row>
    <row r="100" spans="1:37" ht="14.1" customHeight="1">
      <c r="A100" s="84">
        <v>225300</v>
      </c>
      <c r="B100" s="30" t="s">
        <v>250</v>
      </c>
      <c r="C100" s="36">
        <v>54</v>
      </c>
      <c r="D100" s="86" t="s">
        <v>113</v>
      </c>
      <c r="E100" s="87">
        <v>20</v>
      </c>
      <c r="F100" s="88" t="s">
        <v>113</v>
      </c>
      <c r="G100" s="87">
        <v>39</v>
      </c>
      <c r="H100" s="88" t="s">
        <v>113</v>
      </c>
      <c r="I100" s="41">
        <v>19</v>
      </c>
      <c r="J100" s="88" t="s">
        <v>110</v>
      </c>
      <c r="K100" s="87">
        <v>18</v>
      </c>
      <c r="L100" s="88" t="s">
        <v>113</v>
      </c>
      <c r="M100" s="87">
        <v>38</v>
      </c>
      <c r="N100" s="88" t="s">
        <v>113</v>
      </c>
      <c r="O100" s="42">
        <v>43</v>
      </c>
      <c r="P100" s="88" t="s">
        <v>113</v>
      </c>
      <c r="Q100" s="87">
        <v>20</v>
      </c>
      <c r="R100" s="88" t="s">
        <v>113</v>
      </c>
      <c r="S100" s="87">
        <v>20</v>
      </c>
      <c r="T100" s="88" t="s">
        <v>113</v>
      </c>
      <c r="U100" s="42">
        <v>50</v>
      </c>
      <c r="V100" s="88" t="s">
        <v>113</v>
      </c>
      <c r="W100" s="87">
        <v>20</v>
      </c>
      <c r="X100" s="88" t="s">
        <v>113</v>
      </c>
      <c r="Y100" s="42">
        <v>53</v>
      </c>
      <c r="Z100" s="88" t="s">
        <v>113</v>
      </c>
      <c r="AA100" s="87">
        <v>18</v>
      </c>
      <c r="AB100" s="88" t="s">
        <v>113</v>
      </c>
      <c r="AC100" s="87">
        <v>19</v>
      </c>
      <c r="AD100" s="88" t="s">
        <v>113</v>
      </c>
      <c r="AE100" s="42">
        <v>25</v>
      </c>
      <c r="AF100" s="88" t="s">
        <v>113</v>
      </c>
      <c r="AG100" s="87">
        <v>20</v>
      </c>
      <c r="AH100" s="88" t="s">
        <v>113</v>
      </c>
      <c r="AI100" s="23">
        <v>476</v>
      </c>
      <c r="AJ100" s="24" t="s">
        <v>111</v>
      </c>
      <c r="AK100" s="25" t="str">
        <f>SPELLNUMBER(extractnumber_tot(AI100))</f>
        <v xml:space="preserve">Four Hundred Seventy Six </v>
      </c>
    </row>
    <row r="101" spans="1:37" ht="14.1" customHeight="1">
      <c r="A101" s="84">
        <v>225301</v>
      </c>
      <c r="B101" s="30" t="s">
        <v>251</v>
      </c>
      <c r="C101" s="36">
        <v>57</v>
      </c>
      <c r="D101" s="86" t="s">
        <v>114</v>
      </c>
      <c r="E101" s="87">
        <v>20</v>
      </c>
      <c r="F101" s="88" t="s">
        <v>114</v>
      </c>
      <c r="G101" s="87">
        <v>42</v>
      </c>
      <c r="H101" s="88" t="s">
        <v>114</v>
      </c>
      <c r="I101" s="41">
        <v>51</v>
      </c>
      <c r="J101" s="88" t="s">
        <v>114</v>
      </c>
      <c r="K101" s="87">
        <v>21</v>
      </c>
      <c r="L101" s="88" t="s">
        <v>114</v>
      </c>
      <c r="M101" s="87">
        <v>36</v>
      </c>
      <c r="N101" s="88" t="s">
        <v>114</v>
      </c>
      <c r="O101" s="42">
        <v>54</v>
      </c>
      <c r="P101" s="88" t="s">
        <v>114</v>
      </c>
      <c r="Q101" s="87">
        <v>20</v>
      </c>
      <c r="R101" s="88" t="s">
        <v>114</v>
      </c>
      <c r="S101" s="87">
        <v>22</v>
      </c>
      <c r="T101" s="88" t="s">
        <v>114</v>
      </c>
      <c r="U101" s="42">
        <v>58</v>
      </c>
      <c r="V101" s="88" t="s">
        <v>114</v>
      </c>
      <c r="W101" s="87">
        <v>18</v>
      </c>
      <c r="X101" s="88" t="s">
        <v>114</v>
      </c>
      <c r="Y101" s="42">
        <v>60</v>
      </c>
      <c r="Z101" s="88" t="s">
        <v>114</v>
      </c>
      <c r="AA101" s="87">
        <v>21</v>
      </c>
      <c r="AB101" s="88" t="s">
        <v>114</v>
      </c>
      <c r="AC101" s="87">
        <v>20</v>
      </c>
      <c r="AD101" s="88" t="s">
        <v>114</v>
      </c>
      <c r="AE101" s="42">
        <v>33</v>
      </c>
      <c r="AF101" s="88" t="s">
        <v>114</v>
      </c>
      <c r="AG101" s="87">
        <v>21</v>
      </c>
      <c r="AH101" s="88" t="s">
        <v>114</v>
      </c>
      <c r="AI101" s="23">
        <v>554</v>
      </c>
      <c r="AJ101" s="24" t="s">
        <v>117</v>
      </c>
      <c r="AK101" s="25" t="str">
        <f>SPELLNUMBER(extractnumber_tot(AI101))</f>
        <v xml:space="preserve">Five Hundred Fifty Four </v>
      </c>
    </row>
    <row r="102" spans="1:37" ht="14.1" customHeight="1">
      <c r="A102" s="84">
        <v>225302</v>
      </c>
      <c r="B102" s="30" t="s">
        <v>252</v>
      </c>
      <c r="C102" s="36">
        <v>40</v>
      </c>
      <c r="D102" s="86" t="s">
        <v>114</v>
      </c>
      <c r="E102" s="87">
        <v>21</v>
      </c>
      <c r="F102" s="88" t="s">
        <v>114</v>
      </c>
      <c r="G102" s="87">
        <v>39</v>
      </c>
      <c r="H102" s="88" t="s">
        <v>114</v>
      </c>
      <c r="I102" s="41">
        <v>45</v>
      </c>
      <c r="J102" s="88" t="s">
        <v>114</v>
      </c>
      <c r="K102" s="87">
        <v>19</v>
      </c>
      <c r="L102" s="88" t="s">
        <v>114</v>
      </c>
      <c r="M102" s="87">
        <v>42</v>
      </c>
      <c r="N102" s="88" t="s">
        <v>114</v>
      </c>
      <c r="O102" s="42">
        <v>47</v>
      </c>
      <c r="P102" s="88" t="s">
        <v>114</v>
      </c>
      <c r="Q102" s="87">
        <v>21</v>
      </c>
      <c r="R102" s="88" t="s">
        <v>114</v>
      </c>
      <c r="S102" s="87">
        <v>20</v>
      </c>
      <c r="T102" s="88" t="s">
        <v>114</v>
      </c>
      <c r="U102" s="42">
        <v>40</v>
      </c>
      <c r="V102" s="88" t="s">
        <v>114</v>
      </c>
      <c r="W102" s="87">
        <v>16</v>
      </c>
      <c r="X102" s="88" t="s">
        <v>114</v>
      </c>
      <c r="Y102" s="42">
        <v>43</v>
      </c>
      <c r="Z102" s="88" t="s">
        <v>114</v>
      </c>
      <c r="AA102" s="87">
        <v>18</v>
      </c>
      <c r="AB102" s="88" t="s">
        <v>114</v>
      </c>
      <c r="AC102" s="87">
        <v>16</v>
      </c>
      <c r="AD102" s="88" t="s">
        <v>114</v>
      </c>
      <c r="AE102" s="42">
        <v>24</v>
      </c>
      <c r="AF102" s="88" t="s">
        <v>114</v>
      </c>
      <c r="AG102" s="87">
        <v>18</v>
      </c>
      <c r="AH102" s="88" t="s">
        <v>114</v>
      </c>
      <c r="AI102" s="23">
        <v>469</v>
      </c>
      <c r="AJ102" s="24" t="s">
        <v>117</v>
      </c>
      <c r="AK102" s="25" t="str">
        <f>SPELLNUMBER(extractnumber_tot(AI102))</f>
        <v xml:space="preserve">Four Hundred Sixty Nine </v>
      </c>
    </row>
    <row r="103" spans="1:37" ht="14.1" customHeight="1">
      <c r="A103" s="84">
        <v>225303</v>
      </c>
      <c r="B103" s="30" t="s">
        <v>253</v>
      </c>
      <c r="C103" s="36">
        <v>55</v>
      </c>
      <c r="D103" s="86" t="s">
        <v>114</v>
      </c>
      <c r="E103" s="87">
        <v>22</v>
      </c>
      <c r="F103" s="88" t="s">
        <v>114</v>
      </c>
      <c r="G103" s="87">
        <v>38</v>
      </c>
      <c r="H103" s="88" t="s">
        <v>114</v>
      </c>
      <c r="I103" s="41">
        <v>45</v>
      </c>
      <c r="J103" s="88" t="s">
        <v>114</v>
      </c>
      <c r="K103" s="87">
        <v>16</v>
      </c>
      <c r="L103" s="88" t="s">
        <v>114</v>
      </c>
      <c r="M103" s="87">
        <v>38</v>
      </c>
      <c r="N103" s="88" t="s">
        <v>114</v>
      </c>
      <c r="O103" s="42">
        <v>42</v>
      </c>
      <c r="P103" s="88" t="s">
        <v>114</v>
      </c>
      <c r="Q103" s="87">
        <v>22</v>
      </c>
      <c r="R103" s="88" t="s">
        <v>114</v>
      </c>
      <c r="S103" s="87">
        <v>19</v>
      </c>
      <c r="T103" s="88" t="s">
        <v>114</v>
      </c>
      <c r="U103" s="42">
        <v>53</v>
      </c>
      <c r="V103" s="88" t="s">
        <v>114</v>
      </c>
      <c r="W103" s="87">
        <v>22</v>
      </c>
      <c r="X103" s="88" t="s">
        <v>114</v>
      </c>
      <c r="Y103" s="42">
        <v>40</v>
      </c>
      <c r="Z103" s="88" t="s">
        <v>114</v>
      </c>
      <c r="AA103" s="87">
        <v>15</v>
      </c>
      <c r="AB103" s="88" t="s">
        <v>114</v>
      </c>
      <c r="AC103" s="87">
        <v>15</v>
      </c>
      <c r="AD103" s="88" t="s">
        <v>114</v>
      </c>
      <c r="AE103" s="42">
        <v>25</v>
      </c>
      <c r="AF103" s="88" t="s">
        <v>114</v>
      </c>
      <c r="AG103" s="87">
        <v>22</v>
      </c>
      <c r="AH103" s="88" t="s">
        <v>114</v>
      </c>
      <c r="AI103" s="23">
        <v>489</v>
      </c>
      <c r="AJ103" s="24" t="s">
        <v>117</v>
      </c>
      <c r="AK103" s="25" t="str">
        <f>SPELLNUMBER(extractnumber_tot(AI103))</f>
        <v xml:space="preserve">Four Hundred Eighty Nine </v>
      </c>
    </row>
    <row r="104" spans="1:37" ht="14.1" customHeight="1">
      <c r="A104" s="84">
        <v>225304</v>
      </c>
      <c r="B104" s="30" t="s">
        <v>254</v>
      </c>
      <c r="C104" s="36">
        <v>53</v>
      </c>
      <c r="D104" s="86" t="s">
        <v>114</v>
      </c>
      <c r="E104" s="87">
        <v>20</v>
      </c>
      <c r="F104" s="88" t="s">
        <v>114</v>
      </c>
      <c r="G104" s="87">
        <v>44</v>
      </c>
      <c r="H104" s="88" t="s">
        <v>114</v>
      </c>
      <c r="I104" s="41">
        <v>44</v>
      </c>
      <c r="J104" s="88" t="s">
        <v>114</v>
      </c>
      <c r="K104" s="87">
        <v>21</v>
      </c>
      <c r="L104" s="88" t="s">
        <v>114</v>
      </c>
      <c r="M104" s="87">
        <v>42</v>
      </c>
      <c r="N104" s="88" t="s">
        <v>114</v>
      </c>
      <c r="O104" s="42">
        <v>45</v>
      </c>
      <c r="P104" s="88" t="s">
        <v>114</v>
      </c>
      <c r="Q104" s="87">
        <v>20</v>
      </c>
      <c r="R104" s="88" t="s">
        <v>114</v>
      </c>
      <c r="S104" s="87">
        <v>22</v>
      </c>
      <c r="T104" s="88" t="s">
        <v>114</v>
      </c>
      <c r="U104" s="42">
        <v>62</v>
      </c>
      <c r="V104" s="88" t="s">
        <v>114</v>
      </c>
      <c r="W104" s="87">
        <v>19</v>
      </c>
      <c r="X104" s="88" t="s">
        <v>114</v>
      </c>
      <c r="Y104" s="42">
        <v>48</v>
      </c>
      <c r="Z104" s="88" t="s">
        <v>114</v>
      </c>
      <c r="AA104" s="87">
        <v>21</v>
      </c>
      <c r="AB104" s="88" t="s">
        <v>114</v>
      </c>
      <c r="AC104" s="87">
        <v>16</v>
      </c>
      <c r="AD104" s="88" t="s">
        <v>114</v>
      </c>
      <c r="AE104" s="42">
        <v>30</v>
      </c>
      <c r="AF104" s="88" t="s">
        <v>114</v>
      </c>
      <c r="AG104" s="87">
        <v>22</v>
      </c>
      <c r="AH104" s="88" t="s">
        <v>114</v>
      </c>
      <c r="AI104" s="23">
        <v>529</v>
      </c>
      <c r="AJ104" s="24" t="s">
        <v>117</v>
      </c>
      <c r="AK104" s="25" t="str">
        <f>SPELLNUMBER(extractnumber_tot(AI104))</f>
        <v xml:space="preserve">Five Hundred Twenty Nine </v>
      </c>
    </row>
    <row r="105" spans="1:37" ht="14.1" customHeight="1">
      <c r="A105" s="84">
        <v>225305</v>
      </c>
      <c r="B105" s="30" t="s">
        <v>255</v>
      </c>
      <c r="C105" s="36">
        <v>61</v>
      </c>
      <c r="D105" s="86" t="s">
        <v>114</v>
      </c>
      <c r="E105" s="87">
        <v>20</v>
      </c>
      <c r="F105" s="88" t="s">
        <v>114</v>
      </c>
      <c r="G105" s="87">
        <v>42</v>
      </c>
      <c r="H105" s="88" t="s">
        <v>114</v>
      </c>
      <c r="I105" s="41">
        <v>55</v>
      </c>
      <c r="J105" s="88" t="s">
        <v>114</v>
      </c>
      <c r="K105" s="87">
        <v>21</v>
      </c>
      <c r="L105" s="88" t="s">
        <v>114</v>
      </c>
      <c r="M105" s="87">
        <v>46</v>
      </c>
      <c r="N105" s="88" t="s">
        <v>114</v>
      </c>
      <c r="O105" s="42">
        <v>50</v>
      </c>
      <c r="P105" s="88" t="s">
        <v>114</v>
      </c>
      <c r="Q105" s="87">
        <v>20</v>
      </c>
      <c r="R105" s="88" t="s">
        <v>114</v>
      </c>
      <c r="S105" s="87">
        <v>22</v>
      </c>
      <c r="T105" s="88" t="s">
        <v>114</v>
      </c>
      <c r="U105" s="42">
        <v>53</v>
      </c>
      <c r="V105" s="88" t="s">
        <v>114</v>
      </c>
      <c r="W105" s="87">
        <v>16</v>
      </c>
      <c r="X105" s="88" t="s">
        <v>114</v>
      </c>
      <c r="Y105" s="42">
        <v>62</v>
      </c>
      <c r="Z105" s="88" t="s">
        <v>114</v>
      </c>
      <c r="AA105" s="87">
        <v>21</v>
      </c>
      <c r="AB105" s="88" t="s">
        <v>114</v>
      </c>
      <c r="AC105" s="87">
        <v>21</v>
      </c>
      <c r="AD105" s="88" t="s">
        <v>114</v>
      </c>
      <c r="AE105" s="42">
        <v>31</v>
      </c>
      <c r="AF105" s="88" t="s">
        <v>114</v>
      </c>
      <c r="AG105" s="87">
        <v>23</v>
      </c>
      <c r="AH105" s="88" t="s">
        <v>114</v>
      </c>
      <c r="AI105" s="23">
        <v>564</v>
      </c>
      <c r="AJ105" s="24" t="s">
        <v>117</v>
      </c>
      <c r="AK105" s="25" t="str">
        <f>SPELLNUMBER(extractnumber_tot(AI105))</f>
        <v xml:space="preserve">Five Hundred Sixty Four </v>
      </c>
    </row>
    <row r="106" spans="1:37" ht="14.1" customHeight="1">
      <c r="A106" s="84">
        <v>225306</v>
      </c>
      <c r="B106" s="30" t="s">
        <v>256</v>
      </c>
      <c r="C106" s="36">
        <v>50</v>
      </c>
      <c r="D106" s="86" t="s">
        <v>114</v>
      </c>
      <c r="E106" s="87">
        <v>21</v>
      </c>
      <c r="F106" s="88" t="s">
        <v>114</v>
      </c>
      <c r="G106" s="87">
        <v>41</v>
      </c>
      <c r="H106" s="88" t="s">
        <v>114</v>
      </c>
      <c r="I106" s="41">
        <v>42</v>
      </c>
      <c r="J106" s="88" t="s">
        <v>114</v>
      </c>
      <c r="K106" s="87">
        <v>20</v>
      </c>
      <c r="L106" s="88" t="s">
        <v>114</v>
      </c>
      <c r="M106" s="87">
        <v>42</v>
      </c>
      <c r="N106" s="88" t="s">
        <v>114</v>
      </c>
      <c r="O106" s="42">
        <v>41</v>
      </c>
      <c r="P106" s="88" t="s">
        <v>114</v>
      </c>
      <c r="Q106" s="87">
        <v>21</v>
      </c>
      <c r="R106" s="88" t="s">
        <v>114</v>
      </c>
      <c r="S106" s="87">
        <v>21</v>
      </c>
      <c r="T106" s="88" t="s">
        <v>114</v>
      </c>
      <c r="U106" s="42">
        <v>51</v>
      </c>
      <c r="V106" s="88" t="s">
        <v>114</v>
      </c>
      <c r="W106" s="87">
        <v>16</v>
      </c>
      <c r="X106" s="88" t="s">
        <v>114</v>
      </c>
      <c r="Y106" s="42">
        <v>45</v>
      </c>
      <c r="Z106" s="88" t="s">
        <v>114</v>
      </c>
      <c r="AA106" s="87">
        <v>20</v>
      </c>
      <c r="AB106" s="88" t="s">
        <v>114</v>
      </c>
      <c r="AC106" s="87">
        <v>16</v>
      </c>
      <c r="AD106" s="88" t="s">
        <v>114</v>
      </c>
      <c r="AE106" s="42">
        <v>28</v>
      </c>
      <c r="AF106" s="88" t="s">
        <v>114</v>
      </c>
      <c r="AG106" s="87">
        <v>17</v>
      </c>
      <c r="AH106" s="88" t="s">
        <v>114</v>
      </c>
      <c r="AI106" s="23">
        <v>492</v>
      </c>
      <c r="AJ106" s="24" t="s">
        <v>117</v>
      </c>
      <c r="AK106" s="25" t="str">
        <f>SPELLNUMBER(extractnumber_tot(AI106))</f>
        <v xml:space="preserve">Four Hundred NinetyTwo </v>
      </c>
    </row>
    <row r="107" spans="1:37" ht="14.1" customHeight="1">
      <c r="A107" s="84">
        <v>225307</v>
      </c>
      <c r="B107" s="30" t="s">
        <v>257</v>
      </c>
      <c r="C107" s="36">
        <v>55</v>
      </c>
      <c r="D107" s="86" t="s">
        <v>114</v>
      </c>
      <c r="E107" s="87">
        <v>21</v>
      </c>
      <c r="F107" s="88" t="s">
        <v>114</v>
      </c>
      <c r="G107" s="87">
        <v>44</v>
      </c>
      <c r="H107" s="88" t="s">
        <v>114</v>
      </c>
      <c r="I107" s="41">
        <v>40</v>
      </c>
      <c r="J107" s="88" t="s">
        <v>114</v>
      </c>
      <c r="K107" s="87">
        <v>21</v>
      </c>
      <c r="L107" s="88" t="s">
        <v>114</v>
      </c>
      <c r="M107" s="87">
        <v>38</v>
      </c>
      <c r="N107" s="88" t="s">
        <v>114</v>
      </c>
      <c r="O107" s="42">
        <v>41</v>
      </c>
      <c r="P107" s="88" t="s">
        <v>114</v>
      </c>
      <c r="Q107" s="87">
        <v>21</v>
      </c>
      <c r="R107" s="88" t="s">
        <v>114</v>
      </c>
      <c r="S107" s="87">
        <v>23</v>
      </c>
      <c r="T107" s="88" t="s">
        <v>114</v>
      </c>
      <c r="U107" s="42">
        <v>55</v>
      </c>
      <c r="V107" s="88" t="s">
        <v>114</v>
      </c>
      <c r="W107" s="87">
        <v>18</v>
      </c>
      <c r="X107" s="88" t="s">
        <v>114</v>
      </c>
      <c r="Y107" s="42">
        <v>56</v>
      </c>
      <c r="Z107" s="88" t="s">
        <v>114</v>
      </c>
      <c r="AA107" s="87">
        <v>21</v>
      </c>
      <c r="AB107" s="88" t="s">
        <v>114</v>
      </c>
      <c r="AC107" s="87">
        <v>19</v>
      </c>
      <c r="AD107" s="88" t="s">
        <v>114</v>
      </c>
      <c r="AE107" s="42">
        <v>26</v>
      </c>
      <c r="AF107" s="88" t="s">
        <v>114</v>
      </c>
      <c r="AG107" s="87">
        <v>20</v>
      </c>
      <c r="AH107" s="88" t="s">
        <v>114</v>
      </c>
      <c r="AI107" s="23">
        <v>519</v>
      </c>
      <c r="AJ107" s="24" t="s">
        <v>117</v>
      </c>
      <c r="AK107" s="25" t="str">
        <f>SPELLNUMBER(extractnumber_tot(AI107))</f>
        <v xml:space="preserve">Five Hundred Nineteen </v>
      </c>
    </row>
    <row r="108" spans="1:37" ht="14.1" customHeight="1">
      <c r="A108" s="84">
        <v>225308</v>
      </c>
      <c r="B108" s="30" t="s">
        <v>258</v>
      </c>
      <c r="C108" s="36">
        <v>63</v>
      </c>
      <c r="D108" s="86" t="s">
        <v>114</v>
      </c>
      <c r="E108" s="87">
        <v>20</v>
      </c>
      <c r="F108" s="88" t="s">
        <v>114</v>
      </c>
      <c r="G108" s="87">
        <v>44</v>
      </c>
      <c r="H108" s="88" t="s">
        <v>114</v>
      </c>
      <c r="I108" s="41">
        <v>40</v>
      </c>
      <c r="J108" s="88" t="s">
        <v>114</v>
      </c>
      <c r="K108" s="87">
        <v>19</v>
      </c>
      <c r="L108" s="88" t="s">
        <v>114</v>
      </c>
      <c r="M108" s="87">
        <v>38</v>
      </c>
      <c r="N108" s="88" t="s">
        <v>114</v>
      </c>
      <c r="O108" s="42">
        <v>44</v>
      </c>
      <c r="P108" s="88" t="s">
        <v>114</v>
      </c>
      <c r="Q108" s="87">
        <v>20</v>
      </c>
      <c r="R108" s="88" t="s">
        <v>114</v>
      </c>
      <c r="S108" s="87">
        <v>23</v>
      </c>
      <c r="T108" s="88" t="s">
        <v>114</v>
      </c>
      <c r="U108" s="42">
        <v>63</v>
      </c>
      <c r="V108" s="88" t="s">
        <v>114</v>
      </c>
      <c r="W108" s="87">
        <v>20</v>
      </c>
      <c r="X108" s="88" t="s">
        <v>114</v>
      </c>
      <c r="Y108" s="42">
        <v>48</v>
      </c>
      <c r="Z108" s="88" t="s">
        <v>114</v>
      </c>
      <c r="AA108" s="87">
        <v>17</v>
      </c>
      <c r="AB108" s="88" t="s">
        <v>114</v>
      </c>
      <c r="AC108" s="87">
        <v>18</v>
      </c>
      <c r="AD108" s="88" t="s">
        <v>114</v>
      </c>
      <c r="AE108" s="42">
        <v>21</v>
      </c>
      <c r="AF108" s="88" t="s">
        <v>114</v>
      </c>
      <c r="AG108" s="87">
        <v>20</v>
      </c>
      <c r="AH108" s="88" t="s">
        <v>114</v>
      </c>
      <c r="AI108" s="23">
        <v>518</v>
      </c>
      <c r="AJ108" s="24" t="s">
        <v>117</v>
      </c>
      <c r="AK108" s="25" t="str">
        <f>SPELLNUMBER(extractnumber_tot(AI108))</f>
        <v xml:space="preserve">Five Hundred Eighteen </v>
      </c>
    </row>
    <row r="109" spans="1:37" ht="14.1" customHeight="1">
      <c r="A109" s="84">
        <v>225309</v>
      </c>
      <c r="B109" s="30" t="s">
        <v>259</v>
      </c>
      <c r="C109" s="36">
        <v>52</v>
      </c>
      <c r="D109" s="86" t="s">
        <v>113</v>
      </c>
      <c r="E109" s="87">
        <v>20</v>
      </c>
      <c r="F109" s="88" t="s">
        <v>113</v>
      </c>
      <c r="G109" s="87">
        <v>41</v>
      </c>
      <c r="H109" s="88" t="s">
        <v>113</v>
      </c>
      <c r="I109" s="41">
        <v>10</v>
      </c>
      <c r="J109" s="88" t="s">
        <v>110</v>
      </c>
      <c r="K109" s="87">
        <v>18</v>
      </c>
      <c r="L109" s="88" t="s">
        <v>113</v>
      </c>
      <c r="M109" s="87">
        <v>38</v>
      </c>
      <c r="N109" s="88" t="s">
        <v>113</v>
      </c>
      <c r="O109" s="42">
        <v>46</v>
      </c>
      <c r="P109" s="88" t="s">
        <v>113</v>
      </c>
      <c r="Q109" s="87">
        <v>20</v>
      </c>
      <c r="R109" s="88" t="s">
        <v>113</v>
      </c>
      <c r="S109" s="87">
        <v>21</v>
      </c>
      <c r="T109" s="88" t="s">
        <v>113</v>
      </c>
      <c r="U109" s="42">
        <v>48</v>
      </c>
      <c r="V109" s="88" t="s">
        <v>113</v>
      </c>
      <c r="W109" s="87">
        <v>20</v>
      </c>
      <c r="X109" s="88" t="s">
        <v>113</v>
      </c>
      <c r="Y109" s="42">
        <v>40</v>
      </c>
      <c r="Z109" s="88" t="s">
        <v>113</v>
      </c>
      <c r="AA109" s="87">
        <v>19</v>
      </c>
      <c r="AB109" s="88" t="s">
        <v>113</v>
      </c>
      <c r="AC109" s="87">
        <v>19</v>
      </c>
      <c r="AD109" s="88" t="s">
        <v>113</v>
      </c>
      <c r="AE109" s="42">
        <v>28</v>
      </c>
      <c r="AF109" s="88" t="s">
        <v>113</v>
      </c>
      <c r="AG109" s="87">
        <v>22</v>
      </c>
      <c r="AH109" s="88" t="s">
        <v>113</v>
      </c>
      <c r="AI109" s="23">
        <v>462</v>
      </c>
      <c r="AJ109" s="24" t="s">
        <v>111</v>
      </c>
      <c r="AK109" s="25" t="str">
        <f>SPELLNUMBER(extractnumber_tot(AI109))</f>
        <v xml:space="preserve">Four Hundred Sixty Two </v>
      </c>
    </row>
    <row r="110" spans="1:37" ht="14.1" customHeight="1">
      <c r="A110" s="84">
        <v>225310</v>
      </c>
      <c r="B110" s="30" t="s">
        <v>260</v>
      </c>
      <c r="C110" s="36">
        <v>62</v>
      </c>
      <c r="D110" s="86" t="s">
        <v>114</v>
      </c>
      <c r="E110" s="87">
        <v>20</v>
      </c>
      <c r="F110" s="88" t="s">
        <v>114</v>
      </c>
      <c r="G110" s="87">
        <v>44</v>
      </c>
      <c r="H110" s="88" t="s">
        <v>114</v>
      </c>
      <c r="I110" s="41">
        <v>58</v>
      </c>
      <c r="J110" s="88" t="s">
        <v>114</v>
      </c>
      <c r="K110" s="87">
        <v>21</v>
      </c>
      <c r="L110" s="88" t="s">
        <v>114</v>
      </c>
      <c r="M110" s="87">
        <v>42</v>
      </c>
      <c r="N110" s="88" t="s">
        <v>114</v>
      </c>
      <c r="O110" s="42">
        <v>67</v>
      </c>
      <c r="P110" s="88" t="s">
        <v>114</v>
      </c>
      <c r="Q110" s="87">
        <v>20</v>
      </c>
      <c r="R110" s="88" t="s">
        <v>114</v>
      </c>
      <c r="S110" s="87">
        <v>23</v>
      </c>
      <c r="T110" s="88" t="s">
        <v>114</v>
      </c>
      <c r="U110" s="42">
        <v>68</v>
      </c>
      <c r="V110" s="88" t="s">
        <v>114</v>
      </c>
      <c r="W110" s="87">
        <v>22</v>
      </c>
      <c r="X110" s="88" t="s">
        <v>114</v>
      </c>
      <c r="Y110" s="42">
        <v>69</v>
      </c>
      <c r="Z110" s="88" t="s">
        <v>114</v>
      </c>
      <c r="AA110" s="87">
        <v>21</v>
      </c>
      <c r="AB110" s="88" t="s">
        <v>114</v>
      </c>
      <c r="AC110" s="87">
        <v>17</v>
      </c>
      <c r="AD110" s="88" t="s">
        <v>114</v>
      </c>
      <c r="AE110" s="42">
        <v>29</v>
      </c>
      <c r="AF110" s="88" t="s">
        <v>114</v>
      </c>
      <c r="AG110" s="87">
        <v>20</v>
      </c>
      <c r="AH110" s="88" t="s">
        <v>114</v>
      </c>
      <c r="AI110" s="23">
        <v>603</v>
      </c>
      <c r="AJ110" s="24" t="s">
        <v>117</v>
      </c>
      <c r="AK110" s="25" t="str">
        <f>SPELLNUMBER(extractnumber_tot(AI110))</f>
        <v xml:space="preserve">Six Hundred Three </v>
      </c>
    </row>
    <row r="111" spans="1:37" ht="14.1" customHeight="1">
      <c r="A111" s="84">
        <v>225311</v>
      </c>
      <c r="B111" s="30" t="s">
        <v>261</v>
      </c>
      <c r="C111" s="36">
        <v>65</v>
      </c>
      <c r="D111" s="86" t="s">
        <v>114</v>
      </c>
      <c r="E111" s="87">
        <v>21</v>
      </c>
      <c r="F111" s="88" t="s">
        <v>114</v>
      </c>
      <c r="G111" s="87">
        <v>44</v>
      </c>
      <c r="H111" s="88" t="s">
        <v>114</v>
      </c>
      <c r="I111" s="41">
        <v>63</v>
      </c>
      <c r="J111" s="88" t="s">
        <v>114</v>
      </c>
      <c r="K111" s="87">
        <v>21</v>
      </c>
      <c r="L111" s="88" t="s">
        <v>114</v>
      </c>
      <c r="M111" s="87">
        <v>42</v>
      </c>
      <c r="N111" s="88" t="s">
        <v>114</v>
      </c>
      <c r="O111" s="42">
        <v>69</v>
      </c>
      <c r="P111" s="88" t="s">
        <v>114</v>
      </c>
      <c r="Q111" s="87">
        <v>21</v>
      </c>
      <c r="R111" s="88" t="s">
        <v>114</v>
      </c>
      <c r="S111" s="87">
        <v>23</v>
      </c>
      <c r="T111" s="88" t="s">
        <v>114</v>
      </c>
      <c r="U111" s="42">
        <v>66</v>
      </c>
      <c r="V111" s="88" t="s">
        <v>114</v>
      </c>
      <c r="W111" s="87">
        <v>21</v>
      </c>
      <c r="X111" s="88" t="s">
        <v>114</v>
      </c>
      <c r="Y111" s="42">
        <v>64</v>
      </c>
      <c r="Z111" s="88" t="s">
        <v>114</v>
      </c>
      <c r="AA111" s="87">
        <v>22</v>
      </c>
      <c r="AB111" s="88" t="s">
        <v>114</v>
      </c>
      <c r="AC111" s="87">
        <v>22</v>
      </c>
      <c r="AD111" s="88" t="s">
        <v>114</v>
      </c>
      <c r="AE111" s="42">
        <v>39</v>
      </c>
      <c r="AF111" s="88" t="s">
        <v>114</v>
      </c>
      <c r="AG111" s="87">
        <v>23</v>
      </c>
      <c r="AH111" s="88" t="s">
        <v>114</v>
      </c>
      <c r="AI111" s="23">
        <v>626</v>
      </c>
      <c r="AJ111" s="24" t="s">
        <v>117</v>
      </c>
      <c r="AK111" s="25" t="str">
        <f>SPELLNUMBER(extractnumber_tot(AI111))</f>
        <v xml:space="preserve">Six Hundred Twenty Six </v>
      </c>
    </row>
    <row r="112" spans="1:37" ht="14.1" customHeight="1">
      <c r="A112" s="84">
        <v>225312</v>
      </c>
      <c r="B112" s="30" t="s">
        <v>262</v>
      </c>
      <c r="C112" s="36">
        <v>58</v>
      </c>
      <c r="D112" s="86" t="s">
        <v>114</v>
      </c>
      <c r="E112" s="87">
        <v>23</v>
      </c>
      <c r="F112" s="88" t="s">
        <v>114</v>
      </c>
      <c r="G112" s="87">
        <v>43</v>
      </c>
      <c r="H112" s="88" t="s">
        <v>114</v>
      </c>
      <c r="I112" s="41">
        <v>45</v>
      </c>
      <c r="J112" s="88" t="s">
        <v>114</v>
      </c>
      <c r="K112" s="87">
        <v>23</v>
      </c>
      <c r="L112" s="88" t="s">
        <v>114</v>
      </c>
      <c r="M112" s="87">
        <v>42</v>
      </c>
      <c r="N112" s="88" t="s">
        <v>114</v>
      </c>
      <c r="O112" s="42">
        <v>67</v>
      </c>
      <c r="P112" s="88" t="s">
        <v>114</v>
      </c>
      <c r="Q112" s="87">
        <v>23</v>
      </c>
      <c r="R112" s="88" t="s">
        <v>114</v>
      </c>
      <c r="S112" s="87">
        <v>23</v>
      </c>
      <c r="T112" s="88" t="s">
        <v>114</v>
      </c>
      <c r="U112" s="42">
        <v>64</v>
      </c>
      <c r="V112" s="88" t="s">
        <v>114</v>
      </c>
      <c r="W112" s="87">
        <v>23</v>
      </c>
      <c r="X112" s="88" t="s">
        <v>114</v>
      </c>
      <c r="Y112" s="42">
        <v>51</v>
      </c>
      <c r="Z112" s="88" t="s">
        <v>114</v>
      </c>
      <c r="AA112" s="87">
        <v>23</v>
      </c>
      <c r="AB112" s="88" t="s">
        <v>114</v>
      </c>
      <c r="AC112" s="87">
        <v>20</v>
      </c>
      <c r="AD112" s="88" t="s">
        <v>114</v>
      </c>
      <c r="AE112" s="42">
        <v>30</v>
      </c>
      <c r="AF112" s="88" t="s">
        <v>114</v>
      </c>
      <c r="AG112" s="87">
        <v>23</v>
      </c>
      <c r="AH112" s="88" t="s">
        <v>114</v>
      </c>
      <c r="AI112" s="23">
        <v>581</v>
      </c>
      <c r="AJ112" s="24" t="s">
        <v>117</v>
      </c>
      <c r="AK112" s="25" t="str">
        <f>SPELLNUMBER(extractnumber_tot(AI112))</f>
        <v xml:space="preserve">Five Hundred Eighty One </v>
      </c>
    </row>
    <row r="113" spans="1:37" ht="14.1" customHeight="1">
      <c r="A113" s="84">
        <v>225313</v>
      </c>
      <c r="B113" s="30" t="s">
        <v>263</v>
      </c>
      <c r="C113" s="36">
        <v>54</v>
      </c>
      <c r="D113" s="86" t="s">
        <v>114</v>
      </c>
      <c r="E113" s="87">
        <v>21</v>
      </c>
      <c r="F113" s="88" t="s">
        <v>114</v>
      </c>
      <c r="G113" s="87">
        <v>44</v>
      </c>
      <c r="H113" s="88" t="s">
        <v>114</v>
      </c>
      <c r="I113" s="41">
        <v>40</v>
      </c>
      <c r="J113" s="88" t="s">
        <v>114</v>
      </c>
      <c r="K113" s="87">
        <v>20</v>
      </c>
      <c r="L113" s="88" t="s">
        <v>114</v>
      </c>
      <c r="M113" s="87">
        <v>42</v>
      </c>
      <c r="N113" s="88" t="s">
        <v>114</v>
      </c>
      <c r="O113" s="42">
        <v>48</v>
      </c>
      <c r="P113" s="88" t="s">
        <v>114</v>
      </c>
      <c r="Q113" s="87">
        <v>21</v>
      </c>
      <c r="R113" s="88" t="s">
        <v>114</v>
      </c>
      <c r="S113" s="87">
        <v>22</v>
      </c>
      <c r="T113" s="88" t="s">
        <v>114</v>
      </c>
      <c r="U113" s="42">
        <v>53</v>
      </c>
      <c r="V113" s="88" t="s">
        <v>114</v>
      </c>
      <c r="W113" s="87">
        <v>20</v>
      </c>
      <c r="X113" s="88" t="s">
        <v>114</v>
      </c>
      <c r="Y113" s="42">
        <v>52</v>
      </c>
      <c r="Z113" s="88" t="s">
        <v>114</v>
      </c>
      <c r="AA113" s="87">
        <v>20</v>
      </c>
      <c r="AB113" s="88" t="s">
        <v>114</v>
      </c>
      <c r="AC113" s="87">
        <v>20</v>
      </c>
      <c r="AD113" s="88" t="s">
        <v>114</v>
      </c>
      <c r="AE113" s="42">
        <v>25</v>
      </c>
      <c r="AF113" s="88" t="s">
        <v>114</v>
      </c>
      <c r="AG113" s="87">
        <v>20</v>
      </c>
      <c r="AH113" s="88" t="s">
        <v>114</v>
      </c>
      <c r="AI113" s="23">
        <v>522</v>
      </c>
      <c r="AJ113" s="24" t="s">
        <v>117</v>
      </c>
      <c r="AK113" s="25" t="str">
        <f>SPELLNUMBER(extractnumber_tot(AI113))</f>
        <v xml:space="preserve">Five Hundred Twenty Two </v>
      </c>
    </row>
    <row r="114" spans="1:37" ht="14.1" customHeight="1">
      <c r="A114" s="84">
        <v>225315</v>
      </c>
      <c r="B114" s="30" t="s">
        <v>264</v>
      </c>
      <c r="C114" s="36">
        <v>62</v>
      </c>
      <c r="D114" s="86" t="s">
        <v>114</v>
      </c>
      <c r="E114" s="87">
        <v>20</v>
      </c>
      <c r="F114" s="88" t="s">
        <v>114</v>
      </c>
      <c r="G114" s="87">
        <v>41</v>
      </c>
      <c r="H114" s="88" t="s">
        <v>114</v>
      </c>
      <c r="I114" s="41">
        <v>46</v>
      </c>
      <c r="J114" s="88" t="s">
        <v>114</v>
      </c>
      <c r="K114" s="87">
        <v>22</v>
      </c>
      <c r="L114" s="88" t="s">
        <v>114</v>
      </c>
      <c r="M114" s="87">
        <v>44</v>
      </c>
      <c r="N114" s="88" t="s">
        <v>114</v>
      </c>
      <c r="O114" s="42">
        <v>53</v>
      </c>
      <c r="P114" s="88" t="s">
        <v>114</v>
      </c>
      <c r="Q114" s="87">
        <v>20</v>
      </c>
      <c r="R114" s="88" t="s">
        <v>114</v>
      </c>
      <c r="S114" s="87">
        <v>21</v>
      </c>
      <c r="T114" s="88" t="s">
        <v>114</v>
      </c>
      <c r="U114" s="42">
        <v>60</v>
      </c>
      <c r="V114" s="88" t="s">
        <v>114</v>
      </c>
      <c r="W114" s="87">
        <v>20</v>
      </c>
      <c r="X114" s="88" t="s">
        <v>114</v>
      </c>
      <c r="Y114" s="42">
        <v>60</v>
      </c>
      <c r="Z114" s="88" t="s">
        <v>114</v>
      </c>
      <c r="AA114" s="87">
        <v>22</v>
      </c>
      <c r="AB114" s="88" t="s">
        <v>114</v>
      </c>
      <c r="AC114" s="87">
        <v>18</v>
      </c>
      <c r="AD114" s="88" t="s">
        <v>114</v>
      </c>
      <c r="AE114" s="42">
        <v>26</v>
      </c>
      <c r="AF114" s="88" t="s">
        <v>114</v>
      </c>
      <c r="AG114" s="87">
        <v>20</v>
      </c>
      <c r="AH114" s="88" t="s">
        <v>114</v>
      </c>
      <c r="AI114" s="23">
        <v>555</v>
      </c>
      <c r="AJ114" s="24" t="s">
        <v>117</v>
      </c>
      <c r="AK114" s="25" t="str">
        <f>SPELLNUMBER(extractnumber_tot(AI114))</f>
        <v xml:space="preserve">Five Hundred Fifty Five </v>
      </c>
    </row>
    <row r="115" spans="1:37" ht="14.1" customHeight="1">
      <c r="A115" s="84">
        <v>225316</v>
      </c>
      <c r="B115" s="30" t="s">
        <v>265</v>
      </c>
      <c r="C115" s="36">
        <v>64</v>
      </c>
      <c r="D115" s="86" t="s">
        <v>114</v>
      </c>
      <c r="E115" s="87">
        <v>20</v>
      </c>
      <c r="F115" s="88" t="s">
        <v>114</v>
      </c>
      <c r="G115" s="87">
        <v>40</v>
      </c>
      <c r="H115" s="88" t="s">
        <v>114</v>
      </c>
      <c r="I115" s="41">
        <v>49</v>
      </c>
      <c r="J115" s="88" t="s">
        <v>114</v>
      </c>
      <c r="K115" s="87">
        <v>22</v>
      </c>
      <c r="L115" s="88" t="s">
        <v>114</v>
      </c>
      <c r="M115" s="87">
        <v>42</v>
      </c>
      <c r="N115" s="88" t="s">
        <v>114</v>
      </c>
      <c r="O115" s="42">
        <v>54</v>
      </c>
      <c r="P115" s="88" t="s">
        <v>114</v>
      </c>
      <c r="Q115" s="87">
        <v>20</v>
      </c>
      <c r="R115" s="88" t="s">
        <v>114</v>
      </c>
      <c r="S115" s="87">
        <v>20</v>
      </c>
      <c r="T115" s="88" t="s">
        <v>114</v>
      </c>
      <c r="U115" s="42">
        <v>63</v>
      </c>
      <c r="V115" s="88" t="s">
        <v>114</v>
      </c>
      <c r="W115" s="87">
        <v>18</v>
      </c>
      <c r="X115" s="88" t="s">
        <v>114</v>
      </c>
      <c r="Y115" s="42">
        <v>60</v>
      </c>
      <c r="Z115" s="88" t="s">
        <v>114</v>
      </c>
      <c r="AA115" s="87">
        <v>22</v>
      </c>
      <c r="AB115" s="88" t="s">
        <v>114</v>
      </c>
      <c r="AC115" s="87">
        <v>19</v>
      </c>
      <c r="AD115" s="88" t="s">
        <v>114</v>
      </c>
      <c r="AE115" s="42">
        <v>24</v>
      </c>
      <c r="AF115" s="88" t="s">
        <v>114</v>
      </c>
      <c r="AG115" s="87">
        <v>23</v>
      </c>
      <c r="AH115" s="88" t="s">
        <v>114</v>
      </c>
      <c r="AI115" s="23">
        <v>560</v>
      </c>
      <c r="AJ115" s="24" t="s">
        <v>117</v>
      </c>
      <c r="AK115" s="25" t="str">
        <f>SPELLNUMBER(extractnumber_tot(AI115))</f>
        <v xml:space="preserve">Five Hundred Sixty  </v>
      </c>
    </row>
    <row r="116" spans="1:37" ht="14.1" customHeight="1">
      <c r="A116" s="84">
        <v>225317</v>
      </c>
      <c r="B116" s="30" t="s">
        <v>266</v>
      </c>
      <c r="C116" s="36">
        <v>67</v>
      </c>
      <c r="D116" s="86" t="s">
        <v>114</v>
      </c>
      <c r="E116" s="87">
        <v>21</v>
      </c>
      <c r="F116" s="88" t="s">
        <v>114</v>
      </c>
      <c r="G116" s="87">
        <v>40</v>
      </c>
      <c r="H116" s="88" t="s">
        <v>114</v>
      </c>
      <c r="I116" s="41">
        <v>63</v>
      </c>
      <c r="J116" s="88" t="s">
        <v>114</v>
      </c>
      <c r="K116" s="87">
        <v>22</v>
      </c>
      <c r="L116" s="88" t="s">
        <v>114</v>
      </c>
      <c r="M116" s="87">
        <v>42</v>
      </c>
      <c r="N116" s="88" t="s">
        <v>114</v>
      </c>
      <c r="O116" s="42">
        <v>53</v>
      </c>
      <c r="P116" s="88" t="s">
        <v>114</v>
      </c>
      <c r="Q116" s="87">
        <v>21</v>
      </c>
      <c r="R116" s="88" t="s">
        <v>114</v>
      </c>
      <c r="S116" s="87">
        <v>20</v>
      </c>
      <c r="T116" s="88" t="s">
        <v>114</v>
      </c>
      <c r="U116" s="42">
        <v>65</v>
      </c>
      <c r="V116" s="88" t="s">
        <v>114</v>
      </c>
      <c r="W116" s="87">
        <v>16</v>
      </c>
      <c r="X116" s="88" t="s">
        <v>114</v>
      </c>
      <c r="Y116" s="42">
        <v>66</v>
      </c>
      <c r="Z116" s="88" t="s">
        <v>114</v>
      </c>
      <c r="AA116" s="87">
        <v>22</v>
      </c>
      <c r="AB116" s="88" t="s">
        <v>114</v>
      </c>
      <c r="AC116" s="87">
        <v>19</v>
      </c>
      <c r="AD116" s="88" t="s">
        <v>114</v>
      </c>
      <c r="AE116" s="42">
        <v>26</v>
      </c>
      <c r="AF116" s="88" t="s">
        <v>114</v>
      </c>
      <c r="AG116" s="87">
        <v>18</v>
      </c>
      <c r="AH116" s="88" t="s">
        <v>114</v>
      </c>
      <c r="AI116" s="23">
        <v>581</v>
      </c>
      <c r="AJ116" s="24" t="s">
        <v>117</v>
      </c>
      <c r="AK116" s="25" t="str">
        <f>SPELLNUMBER(extractnumber_tot(AI116))</f>
        <v xml:space="preserve">Five Hundred Eighty One </v>
      </c>
    </row>
    <row r="117" spans="1:37" ht="14.1" customHeight="1">
      <c r="A117" s="84">
        <v>225318</v>
      </c>
      <c r="B117" s="30" t="s">
        <v>267</v>
      </c>
      <c r="C117" s="36">
        <v>58</v>
      </c>
      <c r="D117" s="86" t="s">
        <v>114</v>
      </c>
      <c r="E117" s="87">
        <v>20</v>
      </c>
      <c r="F117" s="88" t="s">
        <v>114</v>
      </c>
      <c r="G117" s="87">
        <v>41</v>
      </c>
      <c r="H117" s="88" t="s">
        <v>114</v>
      </c>
      <c r="I117" s="41">
        <v>59</v>
      </c>
      <c r="J117" s="88" t="s">
        <v>114</v>
      </c>
      <c r="K117" s="87">
        <v>20</v>
      </c>
      <c r="L117" s="88" t="s">
        <v>114</v>
      </c>
      <c r="M117" s="87">
        <v>42</v>
      </c>
      <c r="N117" s="88" t="s">
        <v>114</v>
      </c>
      <c r="O117" s="42">
        <v>45</v>
      </c>
      <c r="P117" s="88" t="s">
        <v>114</v>
      </c>
      <c r="Q117" s="87">
        <v>20</v>
      </c>
      <c r="R117" s="88" t="s">
        <v>114</v>
      </c>
      <c r="S117" s="87">
        <v>21</v>
      </c>
      <c r="T117" s="88" t="s">
        <v>114</v>
      </c>
      <c r="U117" s="42">
        <v>56</v>
      </c>
      <c r="V117" s="88" t="s">
        <v>114</v>
      </c>
      <c r="W117" s="87">
        <v>20</v>
      </c>
      <c r="X117" s="88" t="s">
        <v>114</v>
      </c>
      <c r="Y117" s="42">
        <v>47</v>
      </c>
      <c r="Z117" s="88" t="s">
        <v>114</v>
      </c>
      <c r="AA117" s="87">
        <v>21</v>
      </c>
      <c r="AB117" s="88" t="s">
        <v>114</v>
      </c>
      <c r="AC117" s="87">
        <v>22</v>
      </c>
      <c r="AD117" s="88" t="s">
        <v>114</v>
      </c>
      <c r="AE117" s="42">
        <v>31</v>
      </c>
      <c r="AF117" s="88" t="s">
        <v>114</v>
      </c>
      <c r="AG117" s="87">
        <v>20</v>
      </c>
      <c r="AH117" s="88" t="s">
        <v>114</v>
      </c>
      <c r="AI117" s="23">
        <v>543</v>
      </c>
      <c r="AJ117" s="24" t="s">
        <v>117</v>
      </c>
      <c r="AK117" s="25" t="str">
        <f>SPELLNUMBER(extractnumber_tot(AI117))</f>
        <v xml:space="preserve">Five Hundred Forty Three </v>
      </c>
    </row>
    <row r="118" spans="1:37" ht="14.1" customHeight="1">
      <c r="A118" s="84">
        <v>225319</v>
      </c>
      <c r="B118" s="30" t="s">
        <v>268</v>
      </c>
      <c r="C118" s="36">
        <v>66</v>
      </c>
      <c r="D118" s="86" t="s">
        <v>114</v>
      </c>
      <c r="E118" s="87">
        <v>23</v>
      </c>
      <c r="F118" s="88" t="s">
        <v>114</v>
      </c>
      <c r="G118" s="87">
        <v>44</v>
      </c>
      <c r="H118" s="88" t="s">
        <v>114</v>
      </c>
      <c r="I118" s="41">
        <v>53</v>
      </c>
      <c r="J118" s="88" t="s">
        <v>114</v>
      </c>
      <c r="K118" s="87">
        <v>22</v>
      </c>
      <c r="L118" s="88" t="s">
        <v>114</v>
      </c>
      <c r="M118" s="87">
        <v>44</v>
      </c>
      <c r="N118" s="88" t="s">
        <v>114</v>
      </c>
      <c r="O118" s="42">
        <v>57</v>
      </c>
      <c r="P118" s="88" t="s">
        <v>114</v>
      </c>
      <c r="Q118" s="87">
        <v>23</v>
      </c>
      <c r="R118" s="88" t="s">
        <v>114</v>
      </c>
      <c r="S118" s="87">
        <v>23</v>
      </c>
      <c r="T118" s="88" t="s">
        <v>114</v>
      </c>
      <c r="U118" s="42">
        <v>66</v>
      </c>
      <c r="V118" s="88" t="s">
        <v>114</v>
      </c>
      <c r="W118" s="87">
        <v>16</v>
      </c>
      <c r="X118" s="88" t="s">
        <v>114</v>
      </c>
      <c r="Y118" s="42">
        <v>60</v>
      </c>
      <c r="Z118" s="88" t="s">
        <v>114</v>
      </c>
      <c r="AA118" s="87">
        <v>22</v>
      </c>
      <c r="AB118" s="88" t="s">
        <v>114</v>
      </c>
      <c r="AC118" s="87">
        <v>16</v>
      </c>
      <c r="AD118" s="88" t="s">
        <v>114</v>
      </c>
      <c r="AE118" s="42">
        <v>28</v>
      </c>
      <c r="AF118" s="88" t="s">
        <v>114</v>
      </c>
      <c r="AG118" s="87">
        <v>23</v>
      </c>
      <c r="AH118" s="88" t="s">
        <v>114</v>
      </c>
      <c r="AI118" s="23">
        <v>586</v>
      </c>
      <c r="AJ118" s="24" t="s">
        <v>117</v>
      </c>
      <c r="AK118" s="25" t="str">
        <f>SPELLNUMBER(extractnumber_tot(AI118))</f>
        <v xml:space="preserve">Five Hundred Eighty Six </v>
      </c>
    </row>
    <row r="119" spans="1:37" ht="14.1" customHeight="1">
      <c r="A119" s="84">
        <v>225320</v>
      </c>
      <c r="B119" s="30" t="s">
        <v>269</v>
      </c>
      <c r="C119" s="36">
        <v>61</v>
      </c>
      <c r="D119" s="86" t="s">
        <v>114</v>
      </c>
      <c r="E119" s="87">
        <v>20</v>
      </c>
      <c r="F119" s="88" t="s">
        <v>114</v>
      </c>
      <c r="G119" s="87">
        <v>43</v>
      </c>
      <c r="H119" s="88" t="s">
        <v>114</v>
      </c>
      <c r="I119" s="41">
        <v>47</v>
      </c>
      <c r="J119" s="88" t="s">
        <v>114</v>
      </c>
      <c r="K119" s="87">
        <v>19</v>
      </c>
      <c r="L119" s="88" t="s">
        <v>114</v>
      </c>
      <c r="M119" s="87">
        <v>42</v>
      </c>
      <c r="N119" s="88" t="s">
        <v>114</v>
      </c>
      <c r="O119" s="42">
        <v>57</v>
      </c>
      <c r="P119" s="88" t="s">
        <v>114</v>
      </c>
      <c r="Q119" s="87">
        <v>23</v>
      </c>
      <c r="R119" s="88" t="s">
        <v>114</v>
      </c>
      <c r="S119" s="87">
        <v>23</v>
      </c>
      <c r="T119" s="88" t="s">
        <v>114</v>
      </c>
      <c r="U119" s="42">
        <v>66</v>
      </c>
      <c r="V119" s="88" t="s">
        <v>114</v>
      </c>
      <c r="W119" s="87">
        <v>20</v>
      </c>
      <c r="X119" s="88" t="s">
        <v>114</v>
      </c>
      <c r="Y119" s="42">
        <v>50</v>
      </c>
      <c r="Z119" s="88" t="s">
        <v>114</v>
      </c>
      <c r="AA119" s="87">
        <v>19</v>
      </c>
      <c r="AB119" s="88" t="s">
        <v>114</v>
      </c>
      <c r="AC119" s="87">
        <v>22</v>
      </c>
      <c r="AD119" s="88" t="s">
        <v>114</v>
      </c>
      <c r="AE119" s="42">
        <v>30</v>
      </c>
      <c r="AF119" s="88" t="s">
        <v>114</v>
      </c>
      <c r="AG119" s="87">
        <v>23</v>
      </c>
      <c r="AH119" s="88" t="s">
        <v>114</v>
      </c>
      <c r="AI119" s="23">
        <v>565</v>
      </c>
      <c r="AJ119" s="24" t="s">
        <v>117</v>
      </c>
      <c r="AK119" s="25" t="str">
        <f>SPELLNUMBER(extractnumber_tot(AI119))</f>
        <v xml:space="preserve">Five Hundred Sixty Five </v>
      </c>
    </row>
    <row r="120" spans="1:37" ht="14.1" customHeight="1">
      <c r="A120" s="84">
        <v>225321</v>
      </c>
      <c r="B120" s="30" t="s">
        <v>270</v>
      </c>
      <c r="C120" s="36">
        <v>55</v>
      </c>
      <c r="D120" s="86" t="s">
        <v>114</v>
      </c>
      <c r="E120" s="87">
        <v>20</v>
      </c>
      <c r="F120" s="88" t="s">
        <v>114</v>
      </c>
      <c r="G120" s="87">
        <v>44</v>
      </c>
      <c r="H120" s="88" t="s">
        <v>114</v>
      </c>
      <c r="I120" s="41">
        <v>52</v>
      </c>
      <c r="J120" s="88" t="s">
        <v>114</v>
      </c>
      <c r="K120" s="87">
        <v>21</v>
      </c>
      <c r="L120" s="88" t="s">
        <v>114</v>
      </c>
      <c r="M120" s="87">
        <v>46</v>
      </c>
      <c r="N120" s="88" t="s">
        <v>114</v>
      </c>
      <c r="O120" s="42">
        <v>53</v>
      </c>
      <c r="P120" s="88" t="s">
        <v>114</v>
      </c>
      <c r="Q120" s="87">
        <v>20</v>
      </c>
      <c r="R120" s="88" t="s">
        <v>114</v>
      </c>
      <c r="S120" s="87">
        <v>23</v>
      </c>
      <c r="T120" s="88" t="s">
        <v>114</v>
      </c>
      <c r="U120" s="42">
        <v>68</v>
      </c>
      <c r="V120" s="88" t="s">
        <v>114</v>
      </c>
      <c r="W120" s="87">
        <v>20</v>
      </c>
      <c r="X120" s="88" t="s">
        <v>114</v>
      </c>
      <c r="Y120" s="42">
        <v>65</v>
      </c>
      <c r="Z120" s="88" t="s">
        <v>114</v>
      </c>
      <c r="AA120" s="87">
        <v>21</v>
      </c>
      <c r="AB120" s="88" t="s">
        <v>114</v>
      </c>
      <c r="AC120" s="87">
        <v>20</v>
      </c>
      <c r="AD120" s="88" t="s">
        <v>114</v>
      </c>
      <c r="AE120" s="42">
        <v>27</v>
      </c>
      <c r="AF120" s="88" t="s">
        <v>114</v>
      </c>
      <c r="AG120" s="87">
        <v>20</v>
      </c>
      <c r="AH120" s="88" t="s">
        <v>114</v>
      </c>
      <c r="AI120" s="23">
        <v>575</v>
      </c>
      <c r="AJ120" s="24" t="s">
        <v>117</v>
      </c>
      <c r="AK120" s="25" t="str">
        <f>SPELLNUMBER(extractnumber_tot(AI120))</f>
        <v xml:space="preserve">Five Hundred Seventy Five </v>
      </c>
    </row>
    <row r="121" spans="1:37" ht="14.1" customHeight="1">
      <c r="A121" s="84">
        <v>225322</v>
      </c>
      <c r="B121" s="30" t="s">
        <v>271</v>
      </c>
      <c r="C121" s="36">
        <v>49</v>
      </c>
      <c r="D121" s="86" t="s">
        <v>114</v>
      </c>
      <c r="E121" s="87">
        <v>21</v>
      </c>
      <c r="F121" s="88" t="s">
        <v>114</v>
      </c>
      <c r="G121" s="87">
        <v>40</v>
      </c>
      <c r="H121" s="88" t="s">
        <v>114</v>
      </c>
      <c r="I121" s="41">
        <v>50</v>
      </c>
      <c r="J121" s="88" t="s">
        <v>114</v>
      </c>
      <c r="K121" s="87">
        <v>21</v>
      </c>
      <c r="L121" s="88" t="s">
        <v>114</v>
      </c>
      <c r="M121" s="87">
        <v>38</v>
      </c>
      <c r="N121" s="88" t="s">
        <v>114</v>
      </c>
      <c r="O121" s="42">
        <v>40</v>
      </c>
      <c r="P121" s="88" t="s">
        <v>114</v>
      </c>
      <c r="Q121" s="87">
        <v>21</v>
      </c>
      <c r="R121" s="88" t="s">
        <v>114</v>
      </c>
      <c r="S121" s="87">
        <v>20</v>
      </c>
      <c r="T121" s="88" t="s">
        <v>114</v>
      </c>
      <c r="U121" s="42">
        <v>46</v>
      </c>
      <c r="V121" s="88" t="s">
        <v>114</v>
      </c>
      <c r="W121" s="87">
        <v>21</v>
      </c>
      <c r="X121" s="88" t="s">
        <v>114</v>
      </c>
      <c r="Y121" s="42">
        <v>60</v>
      </c>
      <c r="Z121" s="88" t="s">
        <v>114</v>
      </c>
      <c r="AA121" s="87">
        <v>21</v>
      </c>
      <c r="AB121" s="88" t="s">
        <v>114</v>
      </c>
      <c r="AC121" s="87">
        <v>21</v>
      </c>
      <c r="AD121" s="88" t="s">
        <v>114</v>
      </c>
      <c r="AE121" s="42">
        <v>26</v>
      </c>
      <c r="AF121" s="88" t="s">
        <v>114</v>
      </c>
      <c r="AG121" s="87">
        <v>21</v>
      </c>
      <c r="AH121" s="88" t="s">
        <v>114</v>
      </c>
      <c r="AI121" s="23">
        <v>516</v>
      </c>
      <c r="AJ121" s="24" t="s">
        <v>117</v>
      </c>
      <c r="AK121" s="25" t="str">
        <f>SPELLNUMBER(extractnumber_tot(AI121))</f>
        <v xml:space="preserve">Five Hundred Sixteen </v>
      </c>
    </row>
    <row r="122" spans="1:37" ht="14.1" customHeight="1">
      <c r="A122" s="84">
        <v>225323</v>
      </c>
      <c r="B122" s="30" t="s">
        <v>272</v>
      </c>
      <c r="C122" s="36">
        <v>48</v>
      </c>
      <c r="D122" s="86" t="s">
        <v>114</v>
      </c>
      <c r="E122" s="87">
        <v>20</v>
      </c>
      <c r="F122" s="88" t="s">
        <v>114</v>
      </c>
      <c r="G122" s="87">
        <v>42</v>
      </c>
      <c r="H122" s="88" t="s">
        <v>114</v>
      </c>
      <c r="I122" s="41">
        <v>42</v>
      </c>
      <c r="J122" s="88" t="s">
        <v>114</v>
      </c>
      <c r="K122" s="87">
        <v>20</v>
      </c>
      <c r="L122" s="88" t="s">
        <v>114</v>
      </c>
      <c r="M122" s="87">
        <v>42</v>
      </c>
      <c r="N122" s="88" t="s">
        <v>114</v>
      </c>
      <c r="O122" s="42">
        <v>57</v>
      </c>
      <c r="P122" s="88" t="s">
        <v>114</v>
      </c>
      <c r="Q122" s="87">
        <v>20</v>
      </c>
      <c r="R122" s="88" t="s">
        <v>114</v>
      </c>
      <c r="S122" s="87">
        <v>22</v>
      </c>
      <c r="T122" s="88" t="s">
        <v>114</v>
      </c>
      <c r="U122" s="42">
        <v>43</v>
      </c>
      <c r="V122" s="88" t="s">
        <v>114</v>
      </c>
      <c r="W122" s="87">
        <v>21</v>
      </c>
      <c r="X122" s="88" t="s">
        <v>114</v>
      </c>
      <c r="Y122" s="42">
        <v>46</v>
      </c>
      <c r="Z122" s="88" t="s">
        <v>114</v>
      </c>
      <c r="AA122" s="87">
        <v>20</v>
      </c>
      <c r="AB122" s="88" t="s">
        <v>114</v>
      </c>
      <c r="AC122" s="87">
        <v>19</v>
      </c>
      <c r="AD122" s="88" t="s">
        <v>114</v>
      </c>
      <c r="AE122" s="42">
        <v>30</v>
      </c>
      <c r="AF122" s="88" t="s">
        <v>114</v>
      </c>
      <c r="AG122" s="87">
        <v>20</v>
      </c>
      <c r="AH122" s="88" t="s">
        <v>114</v>
      </c>
      <c r="AI122" s="23">
        <v>512</v>
      </c>
      <c r="AJ122" s="24" t="s">
        <v>117</v>
      </c>
      <c r="AK122" s="25" t="str">
        <f>SPELLNUMBER(extractnumber_tot(AI122))</f>
        <v xml:space="preserve">Five Hundred Twelve </v>
      </c>
    </row>
    <row r="123" spans="1:37" ht="14.1" customHeight="1">
      <c r="A123" s="84">
        <v>225324</v>
      </c>
      <c r="B123" s="30" t="s">
        <v>273</v>
      </c>
      <c r="C123" s="36">
        <v>54</v>
      </c>
      <c r="D123" s="86" t="s">
        <v>114</v>
      </c>
      <c r="E123" s="87">
        <v>20</v>
      </c>
      <c r="F123" s="88" t="s">
        <v>114</v>
      </c>
      <c r="G123" s="87">
        <v>42</v>
      </c>
      <c r="H123" s="88" t="s">
        <v>114</v>
      </c>
      <c r="I123" s="41">
        <v>45</v>
      </c>
      <c r="J123" s="88" t="s">
        <v>114</v>
      </c>
      <c r="K123" s="87">
        <v>20</v>
      </c>
      <c r="L123" s="88" t="s">
        <v>114</v>
      </c>
      <c r="M123" s="87">
        <v>42</v>
      </c>
      <c r="N123" s="88" t="s">
        <v>114</v>
      </c>
      <c r="O123" s="42">
        <v>49</v>
      </c>
      <c r="P123" s="88" t="s">
        <v>114</v>
      </c>
      <c r="Q123" s="87">
        <v>20</v>
      </c>
      <c r="R123" s="88" t="s">
        <v>114</v>
      </c>
      <c r="S123" s="87">
        <v>22</v>
      </c>
      <c r="T123" s="88" t="s">
        <v>114</v>
      </c>
      <c r="U123" s="42">
        <v>43</v>
      </c>
      <c r="V123" s="88" t="s">
        <v>114</v>
      </c>
      <c r="W123" s="87">
        <v>22</v>
      </c>
      <c r="X123" s="88" t="s">
        <v>114</v>
      </c>
      <c r="Y123" s="42">
        <v>56</v>
      </c>
      <c r="Z123" s="88" t="s">
        <v>114</v>
      </c>
      <c r="AA123" s="87">
        <v>20</v>
      </c>
      <c r="AB123" s="88" t="s">
        <v>114</v>
      </c>
      <c r="AC123" s="87">
        <v>21</v>
      </c>
      <c r="AD123" s="88" t="s">
        <v>114</v>
      </c>
      <c r="AE123" s="42">
        <v>29</v>
      </c>
      <c r="AF123" s="88" t="s">
        <v>114</v>
      </c>
      <c r="AG123" s="87">
        <v>20</v>
      </c>
      <c r="AH123" s="88" t="s">
        <v>114</v>
      </c>
      <c r="AI123" s="23">
        <v>525</v>
      </c>
      <c r="AJ123" s="24" t="s">
        <v>117</v>
      </c>
      <c r="AK123" s="25" t="str">
        <f>SPELLNUMBER(extractnumber_tot(AI123))</f>
        <v xml:space="preserve">Five Hundred Twenty Five </v>
      </c>
    </row>
    <row r="124" spans="1:37" ht="14.1" customHeight="1">
      <c r="A124" s="84">
        <v>225325</v>
      </c>
      <c r="B124" s="30" t="s">
        <v>274</v>
      </c>
      <c r="C124" s="36">
        <v>49</v>
      </c>
      <c r="D124" s="86" t="s">
        <v>114</v>
      </c>
      <c r="E124" s="87">
        <v>21</v>
      </c>
      <c r="F124" s="88" t="s">
        <v>114</v>
      </c>
      <c r="G124" s="87">
        <v>43</v>
      </c>
      <c r="H124" s="88" t="s">
        <v>114</v>
      </c>
      <c r="I124" s="41">
        <v>46</v>
      </c>
      <c r="J124" s="88" t="s">
        <v>114</v>
      </c>
      <c r="K124" s="87">
        <v>23</v>
      </c>
      <c r="L124" s="88" t="s">
        <v>114</v>
      </c>
      <c r="M124" s="87">
        <v>44</v>
      </c>
      <c r="N124" s="88" t="s">
        <v>114</v>
      </c>
      <c r="O124" s="42">
        <v>52</v>
      </c>
      <c r="P124" s="88" t="s">
        <v>114</v>
      </c>
      <c r="Q124" s="87">
        <v>21</v>
      </c>
      <c r="R124" s="88" t="s">
        <v>114</v>
      </c>
      <c r="S124" s="87">
        <v>23</v>
      </c>
      <c r="T124" s="88" t="s">
        <v>114</v>
      </c>
      <c r="U124" s="42">
        <v>64</v>
      </c>
      <c r="V124" s="88" t="s">
        <v>114</v>
      </c>
      <c r="W124" s="87">
        <v>23</v>
      </c>
      <c r="X124" s="88" t="s">
        <v>114</v>
      </c>
      <c r="Y124" s="42">
        <v>60</v>
      </c>
      <c r="Z124" s="88" t="s">
        <v>114</v>
      </c>
      <c r="AA124" s="87">
        <v>23</v>
      </c>
      <c r="AB124" s="88" t="s">
        <v>114</v>
      </c>
      <c r="AC124" s="87">
        <v>18</v>
      </c>
      <c r="AD124" s="88" t="s">
        <v>114</v>
      </c>
      <c r="AE124" s="42">
        <v>28</v>
      </c>
      <c r="AF124" s="88" t="s">
        <v>114</v>
      </c>
      <c r="AG124" s="87">
        <v>20</v>
      </c>
      <c r="AH124" s="88" t="s">
        <v>114</v>
      </c>
      <c r="AI124" s="23">
        <v>558</v>
      </c>
      <c r="AJ124" s="24" t="s">
        <v>117</v>
      </c>
      <c r="AK124" s="25" t="str">
        <f>SPELLNUMBER(extractnumber_tot(AI124))</f>
        <v xml:space="preserve">Five Hundred Fifty Eight </v>
      </c>
    </row>
    <row r="125" spans="1:37" ht="14.1" customHeight="1">
      <c r="A125" s="84">
        <v>225326</v>
      </c>
      <c r="B125" s="30" t="s">
        <v>275</v>
      </c>
      <c r="C125" s="36">
        <v>40</v>
      </c>
      <c r="D125" s="86" t="s">
        <v>114</v>
      </c>
      <c r="E125" s="87">
        <v>19</v>
      </c>
      <c r="F125" s="88" t="s">
        <v>114</v>
      </c>
      <c r="G125" s="87">
        <v>40</v>
      </c>
      <c r="H125" s="88" t="s">
        <v>114</v>
      </c>
      <c r="I125" s="41">
        <v>45</v>
      </c>
      <c r="J125" s="88" t="s">
        <v>114</v>
      </c>
      <c r="K125" s="87">
        <v>20</v>
      </c>
      <c r="L125" s="88" t="s">
        <v>114</v>
      </c>
      <c r="M125" s="87">
        <v>40</v>
      </c>
      <c r="N125" s="88" t="s">
        <v>114</v>
      </c>
      <c r="O125" s="42">
        <v>50</v>
      </c>
      <c r="P125" s="88" t="s">
        <v>114</v>
      </c>
      <c r="Q125" s="87">
        <v>19</v>
      </c>
      <c r="R125" s="88" t="s">
        <v>114</v>
      </c>
      <c r="S125" s="87">
        <v>20</v>
      </c>
      <c r="T125" s="88" t="s">
        <v>114</v>
      </c>
      <c r="U125" s="42">
        <v>50</v>
      </c>
      <c r="V125" s="88" t="s">
        <v>114</v>
      </c>
      <c r="W125" s="87">
        <v>16</v>
      </c>
      <c r="X125" s="88" t="s">
        <v>114</v>
      </c>
      <c r="Y125" s="42">
        <v>40</v>
      </c>
      <c r="Z125" s="88" t="s">
        <v>114</v>
      </c>
      <c r="AA125" s="87">
        <v>20</v>
      </c>
      <c r="AB125" s="88" t="s">
        <v>114</v>
      </c>
      <c r="AC125" s="87">
        <v>20</v>
      </c>
      <c r="AD125" s="88" t="s">
        <v>114</v>
      </c>
      <c r="AE125" s="42">
        <v>20</v>
      </c>
      <c r="AF125" s="88" t="s">
        <v>114</v>
      </c>
      <c r="AG125" s="87">
        <v>16</v>
      </c>
      <c r="AH125" s="88" t="s">
        <v>114</v>
      </c>
      <c r="AI125" s="23">
        <v>475</v>
      </c>
      <c r="AJ125" s="24" t="s">
        <v>117</v>
      </c>
      <c r="AK125" s="25" t="str">
        <f>SPELLNUMBER(extractnumber_tot(AI125))</f>
        <v xml:space="preserve">Four Hundred Seventy Five </v>
      </c>
    </row>
    <row r="126" spans="1:37" ht="14.1" customHeight="1">
      <c r="A126" s="84">
        <v>225327</v>
      </c>
      <c r="B126" s="30" t="s">
        <v>276</v>
      </c>
      <c r="C126" s="36">
        <v>63</v>
      </c>
      <c r="D126" s="86" t="s">
        <v>114</v>
      </c>
      <c r="E126" s="87">
        <v>20</v>
      </c>
      <c r="F126" s="88" t="s">
        <v>114</v>
      </c>
      <c r="G126" s="87">
        <v>42</v>
      </c>
      <c r="H126" s="88" t="s">
        <v>114</v>
      </c>
      <c r="I126" s="41">
        <v>48</v>
      </c>
      <c r="J126" s="88" t="s">
        <v>114</v>
      </c>
      <c r="K126" s="87">
        <v>19</v>
      </c>
      <c r="L126" s="88" t="s">
        <v>114</v>
      </c>
      <c r="M126" s="87">
        <v>42</v>
      </c>
      <c r="N126" s="88" t="s">
        <v>114</v>
      </c>
      <c r="O126" s="42">
        <v>60</v>
      </c>
      <c r="P126" s="88" t="s">
        <v>114</v>
      </c>
      <c r="Q126" s="87">
        <v>20</v>
      </c>
      <c r="R126" s="88" t="s">
        <v>114</v>
      </c>
      <c r="S126" s="87">
        <v>22</v>
      </c>
      <c r="T126" s="88" t="s">
        <v>114</v>
      </c>
      <c r="U126" s="42">
        <v>68</v>
      </c>
      <c r="V126" s="88" t="s">
        <v>114</v>
      </c>
      <c r="W126" s="87">
        <v>18</v>
      </c>
      <c r="X126" s="88" t="s">
        <v>114</v>
      </c>
      <c r="Y126" s="42">
        <v>69</v>
      </c>
      <c r="Z126" s="88" t="s">
        <v>114</v>
      </c>
      <c r="AA126" s="87">
        <v>19</v>
      </c>
      <c r="AB126" s="88" t="s">
        <v>114</v>
      </c>
      <c r="AC126" s="87">
        <v>18</v>
      </c>
      <c r="AD126" s="88" t="s">
        <v>114</v>
      </c>
      <c r="AE126" s="42">
        <v>35</v>
      </c>
      <c r="AF126" s="88" t="s">
        <v>114</v>
      </c>
      <c r="AG126" s="87">
        <v>23</v>
      </c>
      <c r="AH126" s="88" t="s">
        <v>114</v>
      </c>
      <c r="AI126" s="23">
        <v>586</v>
      </c>
      <c r="AJ126" s="24" t="s">
        <v>117</v>
      </c>
      <c r="AK126" s="25" t="str">
        <f>SPELLNUMBER(extractnumber_tot(AI126))</f>
        <v xml:space="preserve">Five Hundred Eighty Six </v>
      </c>
    </row>
    <row r="127" spans="1:37" ht="14.1" customHeight="1">
      <c r="A127" s="84">
        <v>225328</v>
      </c>
      <c r="B127" s="30" t="s">
        <v>277</v>
      </c>
      <c r="C127" s="36">
        <v>48</v>
      </c>
      <c r="D127" s="86" t="s">
        <v>114</v>
      </c>
      <c r="E127" s="87">
        <v>21</v>
      </c>
      <c r="F127" s="88" t="s">
        <v>114</v>
      </c>
      <c r="G127" s="87">
        <v>42</v>
      </c>
      <c r="H127" s="88" t="s">
        <v>114</v>
      </c>
      <c r="I127" s="41">
        <v>40</v>
      </c>
      <c r="J127" s="88" t="s">
        <v>114</v>
      </c>
      <c r="K127" s="87">
        <v>19</v>
      </c>
      <c r="L127" s="88" t="s">
        <v>114</v>
      </c>
      <c r="M127" s="87">
        <v>42</v>
      </c>
      <c r="N127" s="88" t="s">
        <v>114</v>
      </c>
      <c r="O127" s="42">
        <v>40</v>
      </c>
      <c r="P127" s="88" t="s">
        <v>114</v>
      </c>
      <c r="Q127" s="87">
        <v>21</v>
      </c>
      <c r="R127" s="88" t="s">
        <v>114</v>
      </c>
      <c r="S127" s="87">
        <v>22</v>
      </c>
      <c r="T127" s="88" t="s">
        <v>114</v>
      </c>
      <c r="U127" s="42">
        <v>46</v>
      </c>
      <c r="V127" s="88" t="s">
        <v>114</v>
      </c>
      <c r="W127" s="87">
        <v>21</v>
      </c>
      <c r="X127" s="88" t="s">
        <v>114</v>
      </c>
      <c r="Y127" s="42">
        <v>40</v>
      </c>
      <c r="Z127" s="88" t="s">
        <v>114</v>
      </c>
      <c r="AA127" s="87">
        <v>19</v>
      </c>
      <c r="AB127" s="88" t="s">
        <v>114</v>
      </c>
      <c r="AC127" s="87">
        <v>18</v>
      </c>
      <c r="AD127" s="88" t="s">
        <v>114</v>
      </c>
      <c r="AE127" s="42">
        <v>30</v>
      </c>
      <c r="AF127" s="88" t="s">
        <v>114</v>
      </c>
      <c r="AG127" s="87">
        <v>23</v>
      </c>
      <c r="AH127" s="88" t="s">
        <v>114</v>
      </c>
      <c r="AI127" s="23">
        <v>492</v>
      </c>
      <c r="AJ127" s="24" t="s">
        <v>117</v>
      </c>
      <c r="AK127" s="25" t="str">
        <f>SPELLNUMBER(extractnumber_tot(AI127))</f>
        <v xml:space="preserve">Four Hundred NinetyTwo </v>
      </c>
    </row>
    <row r="128" spans="1:37" ht="14.1" customHeight="1">
      <c r="A128" s="84">
        <v>225329</v>
      </c>
      <c r="B128" s="30" t="s">
        <v>278</v>
      </c>
      <c r="C128" s="36">
        <v>40</v>
      </c>
      <c r="D128" s="86" t="s">
        <v>114</v>
      </c>
      <c r="E128" s="87">
        <v>21</v>
      </c>
      <c r="F128" s="88" t="s">
        <v>114</v>
      </c>
      <c r="G128" s="87">
        <v>39</v>
      </c>
      <c r="H128" s="88" t="s">
        <v>114</v>
      </c>
      <c r="I128" s="41">
        <v>40</v>
      </c>
      <c r="J128" s="88" t="s">
        <v>114</v>
      </c>
      <c r="K128" s="87">
        <v>21</v>
      </c>
      <c r="L128" s="88" t="s">
        <v>114</v>
      </c>
      <c r="M128" s="87">
        <v>42</v>
      </c>
      <c r="N128" s="88" t="s">
        <v>114</v>
      </c>
      <c r="O128" s="42">
        <v>40</v>
      </c>
      <c r="P128" s="88" t="s">
        <v>114</v>
      </c>
      <c r="Q128" s="87">
        <v>21</v>
      </c>
      <c r="R128" s="88" t="s">
        <v>114</v>
      </c>
      <c r="S128" s="87">
        <v>20</v>
      </c>
      <c r="T128" s="88" t="s">
        <v>114</v>
      </c>
      <c r="U128" s="42">
        <v>55</v>
      </c>
      <c r="V128" s="88" t="s">
        <v>114</v>
      </c>
      <c r="W128" s="87">
        <v>21</v>
      </c>
      <c r="X128" s="88" t="s">
        <v>114</v>
      </c>
      <c r="Y128" s="42">
        <v>41</v>
      </c>
      <c r="Z128" s="88" t="s">
        <v>114</v>
      </c>
      <c r="AA128" s="87">
        <v>21</v>
      </c>
      <c r="AB128" s="88" t="s">
        <v>114</v>
      </c>
      <c r="AC128" s="87">
        <v>19</v>
      </c>
      <c r="AD128" s="88" t="s">
        <v>114</v>
      </c>
      <c r="AE128" s="42">
        <v>24</v>
      </c>
      <c r="AF128" s="88" t="s">
        <v>114</v>
      </c>
      <c r="AG128" s="87">
        <v>20</v>
      </c>
      <c r="AH128" s="88" t="s">
        <v>114</v>
      </c>
      <c r="AI128" s="23">
        <v>485</v>
      </c>
      <c r="AJ128" s="24" t="s">
        <v>117</v>
      </c>
      <c r="AK128" s="25" t="str">
        <f>SPELLNUMBER(extractnumber_tot(AI128))</f>
        <v xml:space="preserve">Four Hundred Eighty Five </v>
      </c>
    </row>
    <row r="129" spans="1:37" ht="14.1" customHeight="1">
      <c r="A129" s="84">
        <v>225330</v>
      </c>
      <c r="B129" s="30" t="s">
        <v>279</v>
      </c>
      <c r="C129" s="36">
        <v>46</v>
      </c>
      <c r="D129" s="86" t="s">
        <v>114</v>
      </c>
      <c r="E129" s="87">
        <v>20</v>
      </c>
      <c r="F129" s="88" t="s">
        <v>114</v>
      </c>
      <c r="G129" s="87">
        <v>39</v>
      </c>
      <c r="H129" s="88" t="s">
        <v>114</v>
      </c>
      <c r="I129" s="41">
        <v>41</v>
      </c>
      <c r="J129" s="88" t="s">
        <v>114</v>
      </c>
      <c r="K129" s="87">
        <v>21</v>
      </c>
      <c r="L129" s="88" t="s">
        <v>114</v>
      </c>
      <c r="M129" s="87">
        <v>44</v>
      </c>
      <c r="N129" s="88" t="s">
        <v>114</v>
      </c>
      <c r="O129" s="42">
        <v>51</v>
      </c>
      <c r="P129" s="88" t="s">
        <v>114</v>
      </c>
      <c r="Q129" s="87">
        <v>20</v>
      </c>
      <c r="R129" s="88" t="s">
        <v>114</v>
      </c>
      <c r="S129" s="87">
        <v>20</v>
      </c>
      <c r="T129" s="88" t="s">
        <v>114</v>
      </c>
      <c r="U129" s="42">
        <v>58</v>
      </c>
      <c r="V129" s="88" t="s">
        <v>114</v>
      </c>
      <c r="W129" s="87">
        <v>17</v>
      </c>
      <c r="X129" s="88" t="s">
        <v>114</v>
      </c>
      <c r="Y129" s="42">
        <v>45</v>
      </c>
      <c r="Z129" s="88" t="s">
        <v>114</v>
      </c>
      <c r="AA129" s="87">
        <v>21</v>
      </c>
      <c r="AB129" s="88" t="s">
        <v>114</v>
      </c>
      <c r="AC129" s="87">
        <v>17</v>
      </c>
      <c r="AD129" s="88" t="s">
        <v>114</v>
      </c>
      <c r="AE129" s="42">
        <v>22</v>
      </c>
      <c r="AF129" s="88" t="s">
        <v>114</v>
      </c>
      <c r="AG129" s="87">
        <v>19</v>
      </c>
      <c r="AH129" s="88" t="s">
        <v>114</v>
      </c>
      <c r="AI129" s="23">
        <v>501</v>
      </c>
      <c r="AJ129" s="24" t="s">
        <v>117</v>
      </c>
      <c r="AK129" s="25" t="str">
        <f>SPELLNUMBER(extractnumber_tot(AI129))</f>
        <v xml:space="preserve">Five Hundred One </v>
      </c>
    </row>
    <row r="130" spans="1:37" ht="14.1" customHeight="1">
      <c r="A130" s="84">
        <v>225331</v>
      </c>
      <c r="B130" s="30" t="s">
        <v>280</v>
      </c>
      <c r="C130" s="36">
        <v>65</v>
      </c>
      <c r="D130" s="86" t="s">
        <v>114</v>
      </c>
      <c r="E130" s="87">
        <v>20</v>
      </c>
      <c r="F130" s="88" t="s">
        <v>114</v>
      </c>
      <c r="G130" s="87">
        <v>38</v>
      </c>
      <c r="H130" s="88" t="s">
        <v>114</v>
      </c>
      <c r="I130" s="41">
        <v>50</v>
      </c>
      <c r="J130" s="88" t="s">
        <v>114</v>
      </c>
      <c r="K130" s="87">
        <v>22</v>
      </c>
      <c r="L130" s="88" t="s">
        <v>114</v>
      </c>
      <c r="M130" s="87">
        <v>42</v>
      </c>
      <c r="N130" s="88" t="s">
        <v>114</v>
      </c>
      <c r="O130" s="42">
        <v>80</v>
      </c>
      <c r="P130" s="88" t="s">
        <v>114</v>
      </c>
      <c r="Q130" s="87">
        <v>20</v>
      </c>
      <c r="R130" s="88" t="s">
        <v>114</v>
      </c>
      <c r="S130" s="87">
        <v>19</v>
      </c>
      <c r="T130" s="88" t="s">
        <v>114</v>
      </c>
      <c r="U130" s="42">
        <v>66</v>
      </c>
      <c r="V130" s="88" t="s">
        <v>114</v>
      </c>
      <c r="W130" s="87">
        <v>20</v>
      </c>
      <c r="X130" s="88" t="s">
        <v>114</v>
      </c>
      <c r="Y130" s="42">
        <v>40</v>
      </c>
      <c r="Z130" s="88" t="s">
        <v>114</v>
      </c>
      <c r="AA130" s="87">
        <v>22</v>
      </c>
      <c r="AB130" s="88" t="s">
        <v>114</v>
      </c>
      <c r="AC130" s="87">
        <v>14</v>
      </c>
      <c r="AD130" s="88" t="s">
        <v>114</v>
      </c>
      <c r="AE130" s="42">
        <v>34</v>
      </c>
      <c r="AF130" s="88" t="s">
        <v>114</v>
      </c>
      <c r="AG130" s="87">
        <v>23</v>
      </c>
      <c r="AH130" s="88" t="s">
        <v>114</v>
      </c>
      <c r="AI130" s="23">
        <v>575</v>
      </c>
      <c r="AJ130" s="24" t="s">
        <v>117</v>
      </c>
      <c r="AK130" s="25" t="str">
        <f>SPELLNUMBER(extractnumber_tot(AI130))</f>
        <v xml:space="preserve">Five Hundred Seventy Five </v>
      </c>
    </row>
    <row r="131" spans="1:37" ht="14.1" customHeight="1">
      <c r="A131" s="84">
        <v>225332</v>
      </c>
      <c r="B131" s="30" t="s">
        <v>281</v>
      </c>
      <c r="C131" s="36">
        <v>62</v>
      </c>
      <c r="D131" s="86" t="s">
        <v>114</v>
      </c>
      <c r="E131" s="87">
        <v>21</v>
      </c>
      <c r="F131" s="88" t="s">
        <v>114</v>
      </c>
      <c r="G131" s="87">
        <v>42</v>
      </c>
      <c r="H131" s="88" t="s">
        <v>114</v>
      </c>
      <c r="I131" s="41">
        <v>49</v>
      </c>
      <c r="J131" s="88" t="s">
        <v>114</v>
      </c>
      <c r="K131" s="87">
        <v>20</v>
      </c>
      <c r="L131" s="88" t="s">
        <v>114</v>
      </c>
      <c r="M131" s="87">
        <v>44</v>
      </c>
      <c r="N131" s="88" t="s">
        <v>114</v>
      </c>
      <c r="O131" s="42">
        <v>54</v>
      </c>
      <c r="P131" s="88" t="s">
        <v>114</v>
      </c>
      <c r="Q131" s="87">
        <v>21</v>
      </c>
      <c r="R131" s="88" t="s">
        <v>114</v>
      </c>
      <c r="S131" s="87">
        <v>22</v>
      </c>
      <c r="T131" s="88" t="s">
        <v>114</v>
      </c>
      <c r="U131" s="42">
        <v>52</v>
      </c>
      <c r="V131" s="88" t="s">
        <v>114</v>
      </c>
      <c r="W131" s="87">
        <v>21</v>
      </c>
      <c r="X131" s="88" t="s">
        <v>114</v>
      </c>
      <c r="Y131" s="42">
        <v>63</v>
      </c>
      <c r="Z131" s="88" t="s">
        <v>114</v>
      </c>
      <c r="AA131" s="87">
        <v>20</v>
      </c>
      <c r="AB131" s="88" t="s">
        <v>114</v>
      </c>
      <c r="AC131" s="87">
        <v>20</v>
      </c>
      <c r="AD131" s="88" t="s">
        <v>114</v>
      </c>
      <c r="AE131" s="42">
        <v>25</v>
      </c>
      <c r="AF131" s="88" t="s">
        <v>114</v>
      </c>
      <c r="AG131" s="87">
        <v>21</v>
      </c>
      <c r="AH131" s="88" t="s">
        <v>114</v>
      </c>
      <c r="AI131" s="23">
        <v>557</v>
      </c>
      <c r="AJ131" s="24" t="s">
        <v>117</v>
      </c>
      <c r="AK131" s="25" t="str">
        <f>SPELLNUMBER(extractnumber_tot(AI131))</f>
        <v xml:space="preserve">Five Hundred Fifty Seven </v>
      </c>
    </row>
    <row r="132" spans="1:37" ht="14.1" customHeight="1">
      <c r="A132" s="84">
        <v>225333</v>
      </c>
      <c r="B132" s="30" t="s">
        <v>282</v>
      </c>
      <c r="C132" s="36">
        <v>52</v>
      </c>
      <c r="D132" s="86" t="s">
        <v>114</v>
      </c>
      <c r="E132" s="87">
        <v>22</v>
      </c>
      <c r="F132" s="88" t="s">
        <v>114</v>
      </c>
      <c r="G132" s="87">
        <v>43</v>
      </c>
      <c r="H132" s="88" t="s">
        <v>114</v>
      </c>
      <c r="I132" s="41">
        <v>40</v>
      </c>
      <c r="J132" s="88" t="s">
        <v>114</v>
      </c>
      <c r="K132" s="87">
        <v>21</v>
      </c>
      <c r="L132" s="88" t="s">
        <v>114</v>
      </c>
      <c r="M132" s="87">
        <v>44</v>
      </c>
      <c r="N132" s="88" t="s">
        <v>114</v>
      </c>
      <c r="O132" s="42">
        <v>45</v>
      </c>
      <c r="P132" s="88" t="s">
        <v>114</v>
      </c>
      <c r="Q132" s="87">
        <v>22</v>
      </c>
      <c r="R132" s="88" t="s">
        <v>114</v>
      </c>
      <c r="S132" s="87">
        <v>23</v>
      </c>
      <c r="T132" s="88" t="s">
        <v>114</v>
      </c>
      <c r="U132" s="42">
        <v>70</v>
      </c>
      <c r="V132" s="88" t="s">
        <v>114</v>
      </c>
      <c r="W132" s="87">
        <v>23</v>
      </c>
      <c r="X132" s="88" t="s">
        <v>114</v>
      </c>
      <c r="Y132" s="42">
        <v>50</v>
      </c>
      <c r="Z132" s="88" t="s">
        <v>114</v>
      </c>
      <c r="AA132" s="87">
        <v>21</v>
      </c>
      <c r="AB132" s="88" t="s">
        <v>114</v>
      </c>
      <c r="AC132" s="87">
        <v>22</v>
      </c>
      <c r="AD132" s="88" t="s">
        <v>114</v>
      </c>
      <c r="AE132" s="42">
        <v>26</v>
      </c>
      <c r="AF132" s="88" t="s">
        <v>114</v>
      </c>
      <c r="AG132" s="87">
        <v>23</v>
      </c>
      <c r="AH132" s="88" t="s">
        <v>114</v>
      </c>
      <c r="AI132" s="23">
        <v>547</v>
      </c>
      <c r="AJ132" s="24" t="s">
        <v>117</v>
      </c>
      <c r="AK132" s="25" t="str">
        <f>SPELLNUMBER(extractnumber_tot(AI132))</f>
        <v xml:space="preserve">Five Hundred Forty Seven </v>
      </c>
    </row>
    <row r="133" spans="1:37" ht="14.1" customHeight="1">
      <c r="A133" s="84">
        <v>225334</v>
      </c>
      <c r="B133" s="30" t="s">
        <v>283</v>
      </c>
      <c r="C133" s="36">
        <v>52</v>
      </c>
      <c r="D133" s="86" t="s">
        <v>114</v>
      </c>
      <c r="E133" s="87">
        <v>21</v>
      </c>
      <c r="F133" s="88" t="s">
        <v>114</v>
      </c>
      <c r="G133" s="87">
        <v>39</v>
      </c>
      <c r="H133" s="88" t="s">
        <v>114</v>
      </c>
      <c r="I133" s="41">
        <v>42</v>
      </c>
      <c r="J133" s="88" t="s">
        <v>114</v>
      </c>
      <c r="K133" s="87">
        <v>22</v>
      </c>
      <c r="L133" s="88" t="s">
        <v>114</v>
      </c>
      <c r="M133" s="87">
        <v>44</v>
      </c>
      <c r="N133" s="88" t="s">
        <v>114</v>
      </c>
      <c r="O133" s="42">
        <v>62</v>
      </c>
      <c r="P133" s="88" t="s">
        <v>114</v>
      </c>
      <c r="Q133" s="87">
        <v>21</v>
      </c>
      <c r="R133" s="88" t="s">
        <v>114</v>
      </c>
      <c r="S133" s="87">
        <v>20</v>
      </c>
      <c r="T133" s="88" t="s">
        <v>114</v>
      </c>
      <c r="U133" s="42">
        <v>61</v>
      </c>
      <c r="V133" s="88" t="s">
        <v>114</v>
      </c>
      <c r="W133" s="87">
        <v>22</v>
      </c>
      <c r="X133" s="88" t="s">
        <v>114</v>
      </c>
      <c r="Y133" s="42">
        <v>42</v>
      </c>
      <c r="Z133" s="88" t="s">
        <v>114</v>
      </c>
      <c r="AA133" s="87">
        <v>22</v>
      </c>
      <c r="AB133" s="88" t="s">
        <v>114</v>
      </c>
      <c r="AC133" s="87">
        <v>20</v>
      </c>
      <c r="AD133" s="88" t="s">
        <v>114</v>
      </c>
      <c r="AE133" s="42">
        <v>32</v>
      </c>
      <c r="AF133" s="88" t="s">
        <v>114</v>
      </c>
      <c r="AG133" s="87">
        <v>23</v>
      </c>
      <c r="AH133" s="88" t="s">
        <v>114</v>
      </c>
      <c r="AI133" s="23">
        <v>545</v>
      </c>
      <c r="AJ133" s="24" t="s">
        <v>117</v>
      </c>
      <c r="AK133" s="25" t="str">
        <f>SPELLNUMBER(extractnumber_tot(AI133))</f>
        <v xml:space="preserve">Five Hundred Forty Five </v>
      </c>
    </row>
    <row r="134" spans="1:37" ht="14.1" customHeight="1">
      <c r="A134" s="84">
        <v>225335</v>
      </c>
      <c r="B134" s="30" t="s">
        <v>284</v>
      </c>
      <c r="C134" s="36">
        <v>40</v>
      </c>
      <c r="D134" s="86" t="s">
        <v>113</v>
      </c>
      <c r="E134" s="87">
        <v>23</v>
      </c>
      <c r="F134" s="88" t="s">
        <v>113</v>
      </c>
      <c r="G134" s="87">
        <v>39</v>
      </c>
      <c r="H134" s="88" t="s">
        <v>113</v>
      </c>
      <c r="I134" s="41">
        <v>40</v>
      </c>
      <c r="J134" s="88" t="s">
        <v>113</v>
      </c>
      <c r="K134" s="87">
        <v>19</v>
      </c>
      <c r="L134" s="88" t="s">
        <v>113</v>
      </c>
      <c r="M134" s="87">
        <v>36</v>
      </c>
      <c r="N134" s="88" t="s">
        <v>113</v>
      </c>
      <c r="O134" s="42">
        <v>12</v>
      </c>
      <c r="P134" s="88" t="s">
        <v>110</v>
      </c>
      <c r="Q134" s="87">
        <v>23</v>
      </c>
      <c r="R134" s="88" t="s">
        <v>113</v>
      </c>
      <c r="S134" s="87">
        <v>20</v>
      </c>
      <c r="T134" s="88" t="s">
        <v>113</v>
      </c>
      <c r="U134" s="42">
        <v>45</v>
      </c>
      <c r="V134" s="88" t="s">
        <v>113</v>
      </c>
      <c r="W134" s="87">
        <v>16</v>
      </c>
      <c r="X134" s="88" t="s">
        <v>113</v>
      </c>
      <c r="Y134" s="42">
        <v>40</v>
      </c>
      <c r="Z134" s="88" t="s">
        <v>113</v>
      </c>
      <c r="AA134" s="87">
        <v>19</v>
      </c>
      <c r="AB134" s="88" t="s">
        <v>113</v>
      </c>
      <c r="AC134" s="87">
        <v>20</v>
      </c>
      <c r="AD134" s="88" t="s">
        <v>113</v>
      </c>
      <c r="AE134" s="42">
        <v>26</v>
      </c>
      <c r="AF134" s="88" t="s">
        <v>113</v>
      </c>
      <c r="AG134" s="87">
        <v>22</v>
      </c>
      <c r="AH134" s="88" t="s">
        <v>113</v>
      </c>
      <c r="AI134" s="23">
        <v>440</v>
      </c>
      <c r="AJ134" s="24" t="s">
        <v>111</v>
      </c>
      <c r="AK134" s="25" t="str">
        <f>SPELLNUMBER(extractnumber_tot(AI134))</f>
        <v xml:space="preserve">Four Hundred Forty  </v>
      </c>
    </row>
    <row r="135" spans="1:37" ht="14.1" customHeight="1">
      <c r="A135" s="84">
        <v>225336</v>
      </c>
      <c r="B135" s="30" t="s">
        <v>285</v>
      </c>
      <c r="C135" s="36">
        <v>50</v>
      </c>
      <c r="D135" s="86" t="s">
        <v>114</v>
      </c>
      <c r="E135" s="87">
        <v>22</v>
      </c>
      <c r="F135" s="88" t="s">
        <v>114</v>
      </c>
      <c r="G135" s="87">
        <v>44</v>
      </c>
      <c r="H135" s="88" t="s">
        <v>114</v>
      </c>
      <c r="I135" s="41">
        <v>47</v>
      </c>
      <c r="J135" s="88" t="s">
        <v>114</v>
      </c>
      <c r="K135" s="87">
        <v>19</v>
      </c>
      <c r="L135" s="88" t="s">
        <v>114</v>
      </c>
      <c r="M135" s="87">
        <v>38</v>
      </c>
      <c r="N135" s="88" t="s">
        <v>114</v>
      </c>
      <c r="O135" s="42">
        <v>55</v>
      </c>
      <c r="P135" s="88" t="s">
        <v>114</v>
      </c>
      <c r="Q135" s="87">
        <v>22</v>
      </c>
      <c r="R135" s="88" t="s">
        <v>114</v>
      </c>
      <c r="S135" s="87">
        <v>23</v>
      </c>
      <c r="T135" s="88" t="s">
        <v>114</v>
      </c>
      <c r="U135" s="42">
        <v>50</v>
      </c>
      <c r="V135" s="88" t="s">
        <v>114</v>
      </c>
      <c r="W135" s="87">
        <v>22</v>
      </c>
      <c r="X135" s="88" t="s">
        <v>114</v>
      </c>
      <c r="Y135" s="42">
        <v>44</v>
      </c>
      <c r="Z135" s="88" t="s">
        <v>114</v>
      </c>
      <c r="AA135" s="87">
        <v>19</v>
      </c>
      <c r="AB135" s="88" t="s">
        <v>114</v>
      </c>
      <c r="AC135" s="87">
        <v>19</v>
      </c>
      <c r="AD135" s="88" t="s">
        <v>114</v>
      </c>
      <c r="AE135" s="42">
        <v>32</v>
      </c>
      <c r="AF135" s="88" t="s">
        <v>114</v>
      </c>
      <c r="AG135" s="87">
        <v>22</v>
      </c>
      <c r="AH135" s="88" t="s">
        <v>114</v>
      </c>
      <c r="AI135" s="23">
        <v>528</v>
      </c>
      <c r="AJ135" s="24" t="s">
        <v>117</v>
      </c>
      <c r="AK135" s="25" t="str">
        <f>SPELLNUMBER(extractnumber_tot(AI135))</f>
        <v xml:space="preserve">Five Hundred Twenty Eight </v>
      </c>
    </row>
    <row r="136" spans="1:37" ht="14.1" customHeight="1">
      <c r="A136" s="84">
        <v>225337</v>
      </c>
      <c r="B136" s="30" t="s">
        <v>286</v>
      </c>
      <c r="C136" s="36">
        <v>47</v>
      </c>
      <c r="D136" s="86" t="s">
        <v>114</v>
      </c>
      <c r="E136" s="87">
        <v>22</v>
      </c>
      <c r="F136" s="88" t="s">
        <v>114</v>
      </c>
      <c r="G136" s="87">
        <v>40</v>
      </c>
      <c r="H136" s="88" t="s">
        <v>114</v>
      </c>
      <c r="I136" s="41">
        <v>64</v>
      </c>
      <c r="J136" s="88" t="s">
        <v>114</v>
      </c>
      <c r="K136" s="87">
        <v>23</v>
      </c>
      <c r="L136" s="88" t="s">
        <v>114</v>
      </c>
      <c r="M136" s="87">
        <v>46</v>
      </c>
      <c r="N136" s="88" t="s">
        <v>114</v>
      </c>
      <c r="O136" s="42">
        <v>71</v>
      </c>
      <c r="P136" s="88" t="s">
        <v>114</v>
      </c>
      <c r="Q136" s="87">
        <v>22</v>
      </c>
      <c r="R136" s="88" t="s">
        <v>114</v>
      </c>
      <c r="S136" s="87">
        <v>20</v>
      </c>
      <c r="T136" s="88" t="s">
        <v>114</v>
      </c>
      <c r="U136" s="42">
        <v>66</v>
      </c>
      <c r="V136" s="88" t="s">
        <v>114</v>
      </c>
      <c r="W136" s="87">
        <v>22</v>
      </c>
      <c r="X136" s="88" t="s">
        <v>114</v>
      </c>
      <c r="Y136" s="42">
        <v>63</v>
      </c>
      <c r="Z136" s="88" t="s">
        <v>114</v>
      </c>
      <c r="AA136" s="87">
        <v>22</v>
      </c>
      <c r="AB136" s="88" t="s">
        <v>114</v>
      </c>
      <c r="AC136" s="87">
        <v>20</v>
      </c>
      <c r="AD136" s="88" t="s">
        <v>114</v>
      </c>
      <c r="AE136" s="42">
        <v>29</v>
      </c>
      <c r="AF136" s="88" t="s">
        <v>114</v>
      </c>
      <c r="AG136" s="87">
        <v>23</v>
      </c>
      <c r="AH136" s="88" t="s">
        <v>114</v>
      </c>
      <c r="AI136" s="23">
        <v>600</v>
      </c>
      <c r="AJ136" s="24" t="s">
        <v>117</v>
      </c>
      <c r="AK136" s="25" t="str">
        <f>SPELLNUMBER(extractnumber_tot(AI136))</f>
        <v xml:space="preserve">Six Hundred  </v>
      </c>
    </row>
    <row r="137" spans="1:37" ht="14.1" customHeight="1">
      <c r="A137" s="84">
        <v>225338</v>
      </c>
      <c r="B137" s="30" t="s">
        <v>287</v>
      </c>
      <c r="C137" s="36">
        <v>50</v>
      </c>
      <c r="D137" s="86" t="s">
        <v>114</v>
      </c>
      <c r="E137" s="87">
        <v>23</v>
      </c>
      <c r="F137" s="88" t="s">
        <v>114</v>
      </c>
      <c r="G137" s="87">
        <v>44</v>
      </c>
      <c r="H137" s="88" t="s">
        <v>114</v>
      </c>
      <c r="I137" s="41">
        <v>42</v>
      </c>
      <c r="J137" s="88" t="s">
        <v>114</v>
      </c>
      <c r="K137" s="87">
        <v>23</v>
      </c>
      <c r="L137" s="88" t="s">
        <v>114</v>
      </c>
      <c r="M137" s="87">
        <v>40</v>
      </c>
      <c r="N137" s="88" t="s">
        <v>114</v>
      </c>
      <c r="O137" s="42">
        <v>43</v>
      </c>
      <c r="P137" s="88" t="s">
        <v>114</v>
      </c>
      <c r="Q137" s="87">
        <v>23</v>
      </c>
      <c r="R137" s="88" t="s">
        <v>114</v>
      </c>
      <c r="S137" s="87">
        <v>23</v>
      </c>
      <c r="T137" s="88" t="s">
        <v>114</v>
      </c>
      <c r="U137" s="42">
        <v>44</v>
      </c>
      <c r="V137" s="88" t="s">
        <v>114</v>
      </c>
      <c r="W137" s="87">
        <v>23</v>
      </c>
      <c r="X137" s="88" t="s">
        <v>114</v>
      </c>
      <c r="Y137" s="42">
        <v>53</v>
      </c>
      <c r="Z137" s="88" t="s">
        <v>114</v>
      </c>
      <c r="AA137" s="87">
        <v>23</v>
      </c>
      <c r="AB137" s="88" t="s">
        <v>114</v>
      </c>
      <c r="AC137" s="87">
        <v>19</v>
      </c>
      <c r="AD137" s="88" t="s">
        <v>114</v>
      </c>
      <c r="AE137" s="42">
        <v>25</v>
      </c>
      <c r="AF137" s="88" t="s">
        <v>114</v>
      </c>
      <c r="AG137" s="87">
        <v>23</v>
      </c>
      <c r="AH137" s="88" t="s">
        <v>114</v>
      </c>
      <c r="AI137" s="23">
        <v>521</v>
      </c>
      <c r="AJ137" s="24" t="s">
        <v>117</v>
      </c>
      <c r="AK137" s="25" t="str">
        <f>SPELLNUMBER(extractnumber_tot(AI137))</f>
        <v xml:space="preserve">Five Hundred Twenty One </v>
      </c>
    </row>
    <row r="138" spans="1:37" ht="14.1" customHeight="1">
      <c r="A138" s="84">
        <v>225339</v>
      </c>
      <c r="B138" s="30" t="s">
        <v>35</v>
      </c>
      <c r="C138" s="36" t="s">
        <v>75</v>
      </c>
      <c r="D138" s="86" t="s">
        <v>114</v>
      </c>
      <c r="E138" s="87" t="s">
        <v>48</v>
      </c>
      <c r="F138" s="88" t="s">
        <v>109</v>
      </c>
      <c r="G138" s="87" t="s">
        <v>58</v>
      </c>
      <c r="H138" s="88" t="s">
        <v>109</v>
      </c>
      <c r="I138" s="41" t="s">
        <v>75</v>
      </c>
      <c r="J138" s="88" t="s">
        <v>114</v>
      </c>
      <c r="K138" s="87" t="s">
        <v>49</v>
      </c>
      <c r="L138" s="88" t="s">
        <v>109</v>
      </c>
      <c r="M138" s="87" t="s">
        <v>66</v>
      </c>
      <c r="N138" s="88" t="s">
        <v>109</v>
      </c>
      <c r="O138" s="42" t="s">
        <v>75</v>
      </c>
      <c r="P138" s="88" t="s">
        <v>114</v>
      </c>
      <c r="Q138" s="87" t="s">
        <v>51</v>
      </c>
      <c r="R138" s="88" t="s">
        <v>109</v>
      </c>
      <c r="S138" s="87" t="s">
        <v>52</v>
      </c>
      <c r="T138" s="88" t="s">
        <v>109</v>
      </c>
      <c r="U138" s="42" t="s">
        <v>75</v>
      </c>
      <c r="V138" s="88" t="s">
        <v>114</v>
      </c>
      <c r="W138" s="87" t="s">
        <v>46</v>
      </c>
      <c r="X138" s="88" t="s">
        <v>109</v>
      </c>
      <c r="Y138" s="42" t="s">
        <v>75</v>
      </c>
      <c r="Z138" s="88" t="s">
        <v>114</v>
      </c>
      <c r="AA138" s="87" t="s">
        <v>48</v>
      </c>
      <c r="AB138" s="88" t="s">
        <v>109</v>
      </c>
      <c r="AC138" s="87" t="s">
        <v>52</v>
      </c>
      <c r="AD138" s="88" t="s">
        <v>109</v>
      </c>
      <c r="AE138" s="42" t="s">
        <v>75</v>
      </c>
      <c r="AF138" s="88" t="s">
        <v>114</v>
      </c>
      <c r="AG138" s="87" t="s">
        <v>46</v>
      </c>
      <c r="AH138" s="88" t="s">
        <v>109</v>
      </c>
      <c r="AI138" s="23">
        <v>245</v>
      </c>
      <c r="AJ138" s="24" t="s">
        <v>119</v>
      </c>
      <c r="AK138" s="25" t="str">
        <f>SPELLNUMBER(extractnumber_tot(AI138))</f>
        <v xml:space="preserve">Two Hundred Forty Five </v>
      </c>
    </row>
    <row r="139" spans="1:37" ht="14.1" customHeight="1">
      <c r="A139" s="84">
        <v>225340</v>
      </c>
      <c r="B139" s="30" t="s">
        <v>288</v>
      </c>
      <c r="C139" s="36">
        <v>57</v>
      </c>
      <c r="D139" s="86" t="s">
        <v>114</v>
      </c>
      <c r="E139" s="87">
        <v>21</v>
      </c>
      <c r="F139" s="88" t="s">
        <v>114</v>
      </c>
      <c r="G139" s="87">
        <v>42</v>
      </c>
      <c r="H139" s="88" t="s">
        <v>114</v>
      </c>
      <c r="I139" s="41">
        <v>40</v>
      </c>
      <c r="J139" s="88" t="s">
        <v>114</v>
      </c>
      <c r="K139" s="87">
        <v>20</v>
      </c>
      <c r="L139" s="88" t="s">
        <v>114</v>
      </c>
      <c r="M139" s="87">
        <v>40</v>
      </c>
      <c r="N139" s="88" t="s">
        <v>114</v>
      </c>
      <c r="O139" s="42">
        <v>40</v>
      </c>
      <c r="P139" s="88" t="s">
        <v>114</v>
      </c>
      <c r="Q139" s="87">
        <v>21</v>
      </c>
      <c r="R139" s="88" t="s">
        <v>114</v>
      </c>
      <c r="S139" s="87">
        <v>22</v>
      </c>
      <c r="T139" s="88" t="s">
        <v>114</v>
      </c>
      <c r="U139" s="42">
        <v>54</v>
      </c>
      <c r="V139" s="88" t="s">
        <v>114</v>
      </c>
      <c r="W139" s="87">
        <v>21</v>
      </c>
      <c r="X139" s="88" t="s">
        <v>114</v>
      </c>
      <c r="Y139" s="42">
        <v>40</v>
      </c>
      <c r="Z139" s="88" t="s">
        <v>114</v>
      </c>
      <c r="AA139" s="87">
        <v>20</v>
      </c>
      <c r="AB139" s="88" t="s">
        <v>114</v>
      </c>
      <c r="AC139" s="87">
        <v>20</v>
      </c>
      <c r="AD139" s="88" t="s">
        <v>114</v>
      </c>
      <c r="AE139" s="42">
        <v>23</v>
      </c>
      <c r="AF139" s="88" t="s">
        <v>114</v>
      </c>
      <c r="AG139" s="87">
        <v>21</v>
      </c>
      <c r="AH139" s="88" t="s">
        <v>114</v>
      </c>
      <c r="AI139" s="23">
        <v>502</v>
      </c>
      <c r="AJ139" s="24" t="s">
        <v>117</v>
      </c>
      <c r="AK139" s="25" t="str">
        <f>SPELLNUMBER(extractnumber_tot(AI139))</f>
        <v xml:space="preserve">Five Hundred Two </v>
      </c>
    </row>
    <row r="140" spans="1:37" ht="14.1" customHeight="1">
      <c r="A140" s="84">
        <v>225341</v>
      </c>
      <c r="B140" s="30" t="s">
        <v>289</v>
      </c>
      <c r="C140" s="36">
        <v>50</v>
      </c>
      <c r="D140" s="86" t="s">
        <v>114</v>
      </c>
      <c r="E140" s="87">
        <v>21</v>
      </c>
      <c r="F140" s="88" t="s">
        <v>114</v>
      </c>
      <c r="G140" s="87">
        <v>42</v>
      </c>
      <c r="H140" s="88" t="s">
        <v>114</v>
      </c>
      <c r="I140" s="41">
        <v>50</v>
      </c>
      <c r="J140" s="88" t="s">
        <v>114</v>
      </c>
      <c r="K140" s="87">
        <v>19</v>
      </c>
      <c r="L140" s="88" t="s">
        <v>114</v>
      </c>
      <c r="M140" s="87">
        <v>44</v>
      </c>
      <c r="N140" s="88" t="s">
        <v>114</v>
      </c>
      <c r="O140" s="42">
        <v>57</v>
      </c>
      <c r="P140" s="88" t="s">
        <v>114</v>
      </c>
      <c r="Q140" s="87">
        <v>21</v>
      </c>
      <c r="R140" s="88" t="s">
        <v>114</v>
      </c>
      <c r="S140" s="87">
        <v>22</v>
      </c>
      <c r="T140" s="88" t="s">
        <v>114</v>
      </c>
      <c r="U140" s="42">
        <v>62</v>
      </c>
      <c r="V140" s="88" t="s">
        <v>114</v>
      </c>
      <c r="W140" s="87">
        <v>21</v>
      </c>
      <c r="X140" s="88" t="s">
        <v>114</v>
      </c>
      <c r="Y140" s="42">
        <v>64</v>
      </c>
      <c r="Z140" s="88" t="s">
        <v>114</v>
      </c>
      <c r="AA140" s="87">
        <v>18</v>
      </c>
      <c r="AB140" s="88" t="s">
        <v>114</v>
      </c>
      <c r="AC140" s="87">
        <v>20</v>
      </c>
      <c r="AD140" s="88" t="s">
        <v>114</v>
      </c>
      <c r="AE140" s="42">
        <v>27</v>
      </c>
      <c r="AF140" s="88" t="s">
        <v>114</v>
      </c>
      <c r="AG140" s="87">
        <v>21</v>
      </c>
      <c r="AH140" s="88" t="s">
        <v>114</v>
      </c>
      <c r="AI140" s="23">
        <v>559</v>
      </c>
      <c r="AJ140" s="24" t="s">
        <v>117</v>
      </c>
      <c r="AK140" s="25" t="str">
        <f>SPELLNUMBER(extractnumber_tot(AI140))</f>
        <v xml:space="preserve">Five Hundred Fifty Nine </v>
      </c>
    </row>
    <row r="141" spans="1:37" ht="14.1" customHeight="1">
      <c r="A141" s="84">
        <v>225342</v>
      </c>
      <c r="B141" s="30" t="s">
        <v>290</v>
      </c>
      <c r="C141" s="36">
        <v>52</v>
      </c>
      <c r="D141" s="86" t="s">
        <v>114</v>
      </c>
      <c r="E141" s="87">
        <v>23</v>
      </c>
      <c r="F141" s="88" t="s">
        <v>114</v>
      </c>
      <c r="G141" s="87">
        <v>42</v>
      </c>
      <c r="H141" s="88" t="s">
        <v>114</v>
      </c>
      <c r="I141" s="41">
        <v>58</v>
      </c>
      <c r="J141" s="88" t="s">
        <v>114</v>
      </c>
      <c r="K141" s="87">
        <v>21</v>
      </c>
      <c r="L141" s="88" t="s">
        <v>114</v>
      </c>
      <c r="M141" s="87">
        <v>40</v>
      </c>
      <c r="N141" s="88" t="s">
        <v>114</v>
      </c>
      <c r="O141" s="42">
        <v>63</v>
      </c>
      <c r="P141" s="88" t="s">
        <v>114</v>
      </c>
      <c r="Q141" s="87">
        <v>23</v>
      </c>
      <c r="R141" s="88" t="s">
        <v>114</v>
      </c>
      <c r="S141" s="87">
        <v>22</v>
      </c>
      <c r="T141" s="88" t="s">
        <v>114</v>
      </c>
      <c r="U141" s="42">
        <v>77</v>
      </c>
      <c r="V141" s="88" t="s">
        <v>114</v>
      </c>
      <c r="W141" s="87">
        <v>22</v>
      </c>
      <c r="X141" s="88" t="s">
        <v>114</v>
      </c>
      <c r="Y141" s="42">
        <v>67</v>
      </c>
      <c r="Z141" s="88" t="s">
        <v>114</v>
      </c>
      <c r="AA141" s="87">
        <v>21</v>
      </c>
      <c r="AB141" s="88" t="s">
        <v>114</v>
      </c>
      <c r="AC141" s="87">
        <v>19</v>
      </c>
      <c r="AD141" s="88" t="s">
        <v>114</v>
      </c>
      <c r="AE141" s="42">
        <v>27</v>
      </c>
      <c r="AF141" s="88" t="s">
        <v>114</v>
      </c>
      <c r="AG141" s="87">
        <v>22</v>
      </c>
      <c r="AH141" s="88" t="s">
        <v>114</v>
      </c>
      <c r="AI141" s="23">
        <v>599</v>
      </c>
      <c r="AJ141" s="24" t="s">
        <v>117</v>
      </c>
      <c r="AK141" s="25" t="str">
        <f>SPELLNUMBER(extractnumber_tot(AI141))</f>
        <v xml:space="preserve">Five Hundred NinetyNine </v>
      </c>
    </row>
    <row r="142" spans="1:37" ht="14.1" customHeight="1">
      <c r="A142" s="84">
        <v>225343</v>
      </c>
      <c r="B142" s="30" t="s">
        <v>291</v>
      </c>
      <c r="C142" s="36">
        <v>42</v>
      </c>
      <c r="D142" s="86" t="s">
        <v>114</v>
      </c>
      <c r="E142" s="87">
        <v>20</v>
      </c>
      <c r="F142" s="88" t="s">
        <v>114</v>
      </c>
      <c r="G142" s="87">
        <v>41</v>
      </c>
      <c r="H142" s="88" t="s">
        <v>114</v>
      </c>
      <c r="I142" s="41">
        <v>42</v>
      </c>
      <c r="J142" s="88" t="s">
        <v>114</v>
      </c>
      <c r="K142" s="87">
        <v>20</v>
      </c>
      <c r="L142" s="88" t="s">
        <v>114</v>
      </c>
      <c r="M142" s="87">
        <v>46</v>
      </c>
      <c r="N142" s="88" t="s">
        <v>114</v>
      </c>
      <c r="O142" s="42">
        <v>47</v>
      </c>
      <c r="P142" s="88" t="s">
        <v>114</v>
      </c>
      <c r="Q142" s="87">
        <v>20</v>
      </c>
      <c r="R142" s="88" t="s">
        <v>114</v>
      </c>
      <c r="S142" s="87">
        <v>21</v>
      </c>
      <c r="T142" s="88" t="s">
        <v>114</v>
      </c>
      <c r="U142" s="42">
        <v>49</v>
      </c>
      <c r="V142" s="88" t="s">
        <v>114</v>
      </c>
      <c r="W142" s="87">
        <v>20</v>
      </c>
      <c r="X142" s="88" t="s">
        <v>114</v>
      </c>
      <c r="Y142" s="42">
        <v>43</v>
      </c>
      <c r="Z142" s="88" t="s">
        <v>114</v>
      </c>
      <c r="AA142" s="87">
        <v>18</v>
      </c>
      <c r="AB142" s="88" t="s">
        <v>114</v>
      </c>
      <c r="AC142" s="87">
        <v>21</v>
      </c>
      <c r="AD142" s="88" t="s">
        <v>114</v>
      </c>
      <c r="AE142" s="42">
        <v>20</v>
      </c>
      <c r="AF142" s="88" t="s">
        <v>114</v>
      </c>
      <c r="AG142" s="87">
        <v>20</v>
      </c>
      <c r="AH142" s="88" t="s">
        <v>114</v>
      </c>
      <c r="AI142" s="23">
        <v>490</v>
      </c>
      <c r="AJ142" s="24" t="s">
        <v>117</v>
      </c>
      <c r="AK142" s="25" t="str">
        <f>SPELLNUMBER(extractnumber_tot(AI142))</f>
        <v xml:space="preserve">Four Hundred Ninety </v>
      </c>
    </row>
    <row r="143" spans="1:37" ht="14.1" customHeight="1">
      <c r="A143" s="84">
        <v>225344</v>
      </c>
      <c r="B143" s="30" t="s">
        <v>292</v>
      </c>
      <c r="C143" s="36">
        <v>40</v>
      </c>
      <c r="D143" s="86" t="s">
        <v>114</v>
      </c>
      <c r="E143" s="87">
        <v>20</v>
      </c>
      <c r="F143" s="88" t="s">
        <v>114</v>
      </c>
      <c r="G143" s="87">
        <v>40</v>
      </c>
      <c r="H143" s="88" t="s">
        <v>114</v>
      </c>
      <c r="I143" s="41">
        <v>60</v>
      </c>
      <c r="J143" s="88" t="s">
        <v>114</v>
      </c>
      <c r="K143" s="87">
        <v>20</v>
      </c>
      <c r="L143" s="88" t="s">
        <v>114</v>
      </c>
      <c r="M143" s="87">
        <v>42</v>
      </c>
      <c r="N143" s="88" t="s">
        <v>114</v>
      </c>
      <c r="O143" s="42">
        <v>52</v>
      </c>
      <c r="P143" s="88" t="s">
        <v>114</v>
      </c>
      <c r="Q143" s="87">
        <v>20</v>
      </c>
      <c r="R143" s="88" t="s">
        <v>114</v>
      </c>
      <c r="S143" s="87">
        <v>20</v>
      </c>
      <c r="T143" s="88" t="s">
        <v>114</v>
      </c>
      <c r="U143" s="42">
        <v>40</v>
      </c>
      <c r="V143" s="88" t="s">
        <v>114</v>
      </c>
      <c r="W143" s="87">
        <v>20</v>
      </c>
      <c r="X143" s="88" t="s">
        <v>114</v>
      </c>
      <c r="Y143" s="42">
        <v>44</v>
      </c>
      <c r="Z143" s="88" t="s">
        <v>114</v>
      </c>
      <c r="AA143" s="87">
        <v>20</v>
      </c>
      <c r="AB143" s="88" t="s">
        <v>114</v>
      </c>
      <c r="AC143" s="87">
        <v>20</v>
      </c>
      <c r="AD143" s="88" t="s">
        <v>114</v>
      </c>
      <c r="AE143" s="42">
        <v>37</v>
      </c>
      <c r="AF143" s="88" t="s">
        <v>114</v>
      </c>
      <c r="AG143" s="87">
        <v>20</v>
      </c>
      <c r="AH143" s="88" t="s">
        <v>114</v>
      </c>
      <c r="AI143" s="23">
        <v>515</v>
      </c>
      <c r="AJ143" s="24" t="s">
        <v>117</v>
      </c>
      <c r="AK143" s="25" t="str">
        <f>SPELLNUMBER(extractnumber_tot(AI143))</f>
        <v xml:space="preserve">Five Hundred Fifteen </v>
      </c>
    </row>
    <row r="144" spans="1:37" ht="14.1" customHeight="1">
      <c r="A144" s="84">
        <v>225345</v>
      </c>
      <c r="B144" s="30" t="s">
        <v>293</v>
      </c>
      <c r="C144" s="36">
        <v>52</v>
      </c>
      <c r="D144" s="86" t="s">
        <v>114</v>
      </c>
      <c r="E144" s="87">
        <v>21</v>
      </c>
      <c r="F144" s="88" t="s">
        <v>114</v>
      </c>
      <c r="G144" s="87">
        <v>40</v>
      </c>
      <c r="H144" s="88" t="s">
        <v>114</v>
      </c>
      <c r="I144" s="41">
        <v>59</v>
      </c>
      <c r="J144" s="88" t="s">
        <v>114</v>
      </c>
      <c r="K144" s="87">
        <v>22</v>
      </c>
      <c r="L144" s="88" t="s">
        <v>114</v>
      </c>
      <c r="M144" s="87">
        <v>44</v>
      </c>
      <c r="N144" s="88" t="s">
        <v>114</v>
      </c>
      <c r="O144" s="42">
        <v>58</v>
      </c>
      <c r="P144" s="88" t="s">
        <v>114</v>
      </c>
      <c r="Q144" s="87">
        <v>21</v>
      </c>
      <c r="R144" s="88" t="s">
        <v>114</v>
      </c>
      <c r="S144" s="87">
        <v>20</v>
      </c>
      <c r="T144" s="88" t="s">
        <v>114</v>
      </c>
      <c r="U144" s="42">
        <v>60</v>
      </c>
      <c r="V144" s="88" t="s">
        <v>114</v>
      </c>
      <c r="W144" s="87">
        <v>21</v>
      </c>
      <c r="X144" s="88" t="s">
        <v>114</v>
      </c>
      <c r="Y144" s="42">
        <v>62</v>
      </c>
      <c r="Z144" s="88" t="s">
        <v>114</v>
      </c>
      <c r="AA144" s="87">
        <v>22</v>
      </c>
      <c r="AB144" s="88" t="s">
        <v>114</v>
      </c>
      <c r="AC144" s="87">
        <v>17</v>
      </c>
      <c r="AD144" s="88" t="s">
        <v>114</v>
      </c>
      <c r="AE144" s="42">
        <v>28</v>
      </c>
      <c r="AF144" s="88" t="s">
        <v>114</v>
      </c>
      <c r="AG144" s="87">
        <v>22</v>
      </c>
      <c r="AH144" s="88" t="s">
        <v>114</v>
      </c>
      <c r="AI144" s="23">
        <v>569</v>
      </c>
      <c r="AJ144" s="24" t="s">
        <v>117</v>
      </c>
      <c r="AK144" s="25" t="str">
        <f>SPELLNUMBER(extractnumber_tot(AI144))</f>
        <v xml:space="preserve">Five Hundred Sixty Nine </v>
      </c>
    </row>
    <row r="145" spans="1:37" ht="14.1" customHeight="1">
      <c r="A145" s="84">
        <v>225346</v>
      </c>
      <c r="B145" s="30" t="s">
        <v>294</v>
      </c>
      <c r="C145" s="36">
        <v>44</v>
      </c>
      <c r="D145" s="86" t="s">
        <v>113</v>
      </c>
      <c r="E145" s="87">
        <v>21</v>
      </c>
      <c r="F145" s="88" t="s">
        <v>113</v>
      </c>
      <c r="G145" s="87">
        <v>40</v>
      </c>
      <c r="H145" s="88" t="s">
        <v>113</v>
      </c>
      <c r="I145" s="41">
        <v>28</v>
      </c>
      <c r="J145" s="88" t="s">
        <v>110</v>
      </c>
      <c r="K145" s="87">
        <v>21</v>
      </c>
      <c r="L145" s="88" t="s">
        <v>113</v>
      </c>
      <c r="M145" s="87">
        <v>42</v>
      </c>
      <c r="N145" s="88" t="s">
        <v>113</v>
      </c>
      <c r="O145" s="42">
        <v>60</v>
      </c>
      <c r="P145" s="88" t="s">
        <v>113</v>
      </c>
      <c r="Q145" s="87">
        <v>21</v>
      </c>
      <c r="R145" s="88" t="s">
        <v>113</v>
      </c>
      <c r="S145" s="87">
        <v>20</v>
      </c>
      <c r="T145" s="88" t="s">
        <v>113</v>
      </c>
      <c r="U145" s="42">
        <v>46</v>
      </c>
      <c r="V145" s="88" t="s">
        <v>113</v>
      </c>
      <c r="W145" s="87">
        <v>18</v>
      </c>
      <c r="X145" s="88" t="s">
        <v>113</v>
      </c>
      <c r="Y145" s="42">
        <v>42</v>
      </c>
      <c r="Z145" s="88" t="s">
        <v>113</v>
      </c>
      <c r="AA145" s="87">
        <v>21</v>
      </c>
      <c r="AB145" s="88" t="s">
        <v>113</v>
      </c>
      <c r="AC145" s="87">
        <v>19</v>
      </c>
      <c r="AD145" s="88" t="s">
        <v>113</v>
      </c>
      <c r="AE145" s="42">
        <v>29</v>
      </c>
      <c r="AF145" s="88" t="s">
        <v>113</v>
      </c>
      <c r="AG145" s="87">
        <v>22</v>
      </c>
      <c r="AH145" s="88" t="s">
        <v>113</v>
      </c>
      <c r="AI145" s="23">
        <v>494</v>
      </c>
      <c r="AJ145" s="24" t="s">
        <v>111</v>
      </c>
      <c r="AK145" s="25" t="str">
        <f>SPELLNUMBER(extractnumber_tot(AI145))</f>
        <v xml:space="preserve">Four Hundred NinetyFour </v>
      </c>
    </row>
    <row r="146" spans="1:37" ht="14.1" customHeight="1">
      <c r="A146" s="84">
        <v>225347</v>
      </c>
      <c r="B146" s="30" t="s">
        <v>295</v>
      </c>
      <c r="C146" s="36">
        <v>60</v>
      </c>
      <c r="D146" s="86" t="s">
        <v>114</v>
      </c>
      <c r="E146" s="87">
        <v>21</v>
      </c>
      <c r="F146" s="88" t="s">
        <v>114</v>
      </c>
      <c r="G146" s="87">
        <v>42</v>
      </c>
      <c r="H146" s="88" t="s">
        <v>114</v>
      </c>
      <c r="I146" s="41">
        <v>45</v>
      </c>
      <c r="J146" s="88" t="s">
        <v>114</v>
      </c>
      <c r="K146" s="87">
        <v>21</v>
      </c>
      <c r="L146" s="88" t="s">
        <v>114</v>
      </c>
      <c r="M146" s="87">
        <v>36</v>
      </c>
      <c r="N146" s="88" t="s">
        <v>114</v>
      </c>
      <c r="O146" s="42">
        <v>50</v>
      </c>
      <c r="P146" s="88" t="s">
        <v>114</v>
      </c>
      <c r="Q146" s="87">
        <v>21</v>
      </c>
      <c r="R146" s="88" t="s">
        <v>114</v>
      </c>
      <c r="S146" s="87">
        <v>22</v>
      </c>
      <c r="T146" s="88" t="s">
        <v>114</v>
      </c>
      <c r="U146" s="42">
        <v>58</v>
      </c>
      <c r="V146" s="88" t="s">
        <v>114</v>
      </c>
      <c r="W146" s="87">
        <v>21</v>
      </c>
      <c r="X146" s="88" t="s">
        <v>114</v>
      </c>
      <c r="Y146" s="42">
        <v>51</v>
      </c>
      <c r="Z146" s="88" t="s">
        <v>114</v>
      </c>
      <c r="AA146" s="87">
        <v>19</v>
      </c>
      <c r="AB146" s="88" t="s">
        <v>114</v>
      </c>
      <c r="AC146" s="87">
        <v>20</v>
      </c>
      <c r="AD146" s="88" t="s">
        <v>114</v>
      </c>
      <c r="AE146" s="42">
        <v>26</v>
      </c>
      <c r="AF146" s="88" t="s">
        <v>114</v>
      </c>
      <c r="AG146" s="87">
        <v>21</v>
      </c>
      <c r="AH146" s="88" t="s">
        <v>114</v>
      </c>
      <c r="AI146" s="23">
        <v>534</v>
      </c>
      <c r="AJ146" s="24" t="s">
        <v>117</v>
      </c>
      <c r="AK146" s="25" t="str">
        <f>SPELLNUMBER(extractnumber_tot(AI146))</f>
        <v xml:space="preserve">Five Hundred Thirty Four </v>
      </c>
    </row>
    <row r="147" spans="1:37" ht="14.1" customHeight="1">
      <c r="A147" s="84">
        <v>225348</v>
      </c>
      <c r="B147" s="30" t="s">
        <v>296</v>
      </c>
      <c r="C147" s="36">
        <v>63</v>
      </c>
      <c r="D147" s="86" t="s">
        <v>114</v>
      </c>
      <c r="E147" s="87">
        <v>19</v>
      </c>
      <c r="F147" s="88" t="s">
        <v>114</v>
      </c>
      <c r="G147" s="87">
        <v>42</v>
      </c>
      <c r="H147" s="88" t="s">
        <v>114</v>
      </c>
      <c r="I147" s="41">
        <v>44</v>
      </c>
      <c r="J147" s="88" t="s">
        <v>114</v>
      </c>
      <c r="K147" s="87">
        <v>19</v>
      </c>
      <c r="L147" s="88" t="s">
        <v>114</v>
      </c>
      <c r="M147" s="87">
        <v>36</v>
      </c>
      <c r="N147" s="88" t="s">
        <v>114</v>
      </c>
      <c r="O147" s="42">
        <v>49</v>
      </c>
      <c r="P147" s="88" t="s">
        <v>114</v>
      </c>
      <c r="Q147" s="87">
        <v>19</v>
      </c>
      <c r="R147" s="88" t="s">
        <v>114</v>
      </c>
      <c r="S147" s="87">
        <v>22</v>
      </c>
      <c r="T147" s="88" t="s">
        <v>114</v>
      </c>
      <c r="U147" s="42">
        <v>53</v>
      </c>
      <c r="V147" s="88" t="s">
        <v>114</v>
      </c>
      <c r="W147" s="87">
        <v>19</v>
      </c>
      <c r="X147" s="88" t="s">
        <v>114</v>
      </c>
      <c r="Y147" s="42">
        <v>57</v>
      </c>
      <c r="Z147" s="88" t="s">
        <v>114</v>
      </c>
      <c r="AA147" s="87">
        <v>19</v>
      </c>
      <c r="AB147" s="88" t="s">
        <v>114</v>
      </c>
      <c r="AC147" s="87">
        <v>17</v>
      </c>
      <c r="AD147" s="88" t="s">
        <v>114</v>
      </c>
      <c r="AE147" s="42">
        <v>27</v>
      </c>
      <c r="AF147" s="88" t="s">
        <v>114</v>
      </c>
      <c r="AG147" s="87">
        <v>18</v>
      </c>
      <c r="AH147" s="88" t="s">
        <v>114</v>
      </c>
      <c r="AI147" s="23">
        <v>523</v>
      </c>
      <c r="AJ147" s="24" t="s">
        <v>117</v>
      </c>
      <c r="AK147" s="25" t="str">
        <f>SPELLNUMBER(extractnumber_tot(AI147))</f>
        <v xml:space="preserve">Five Hundred Twenty Three </v>
      </c>
    </row>
    <row r="148" spans="1:37" ht="14.1" customHeight="1">
      <c r="A148" s="84">
        <v>225349</v>
      </c>
      <c r="B148" s="30" t="s">
        <v>297</v>
      </c>
      <c r="C148" s="36">
        <v>60</v>
      </c>
      <c r="D148" s="86" t="s">
        <v>114</v>
      </c>
      <c r="E148" s="87">
        <v>20</v>
      </c>
      <c r="F148" s="88" t="s">
        <v>114</v>
      </c>
      <c r="G148" s="87">
        <v>41</v>
      </c>
      <c r="H148" s="88" t="s">
        <v>114</v>
      </c>
      <c r="I148" s="41">
        <v>52</v>
      </c>
      <c r="J148" s="88" t="s">
        <v>114</v>
      </c>
      <c r="K148" s="87">
        <v>22</v>
      </c>
      <c r="L148" s="88" t="s">
        <v>114</v>
      </c>
      <c r="M148" s="87">
        <v>40</v>
      </c>
      <c r="N148" s="88" t="s">
        <v>114</v>
      </c>
      <c r="O148" s="42">
        <v>53</v>
      </c>
      <c r="P148" s="88" t="s">
        <v>114</v>
      </c>
      <c r="Q148" s="87">
        <v>20</v>
      </c>
      <c r="R148" s="88" t="s">
        <v>114</v>
      </c>
      <c r="S148" s="87">
        <v>21</v>
      </c>
      <c r="T148" s="88" t="s">
        <v>114</v>
      </c>
      <c r="U148" s="42">
        <v>65</v>
      </c>
      <c r="V148" s="88" t="s">
        <v>114</v>
      </c>
      <c r="W148" s="87">
        <v>20</v>
      </c>
      <c r="X148" s="88" t="s">
        <v>114</v>
      </c>
      <c r="Y148" s="42">
        <v>51</v>
      </c>
      <c r="Z148" s="88" t="s">
        <v>114</v>
      </c>
      <c r="AA148" s="87">
        <v>22</v>
      </c>
      <c r="AB148" s="88" t="s">
        <v>114</v>
      </c>
      <c r="AC148" s="87">
        <v>17</v>
      </c>
      <c r="AD148" s="88" t="s">
        <v>114</v>
      </c>
      <c r="AE148" s="42">
        <v>26</v>
      </c>
      <c r="AF148" s="88" t="s">
        <v>114</v>
      </c>
      <c r="AG148" s="87">
        <v>23</v>
      </c>
      <c r="AH148" s="88" t="s">
        <v>114</v>
      </c>
      <c r="AI148" s="23">
        <v>553</v>
      </c>
      <c r="AJ148" s="24" t="s">
        <v>117</v>
      </c>
      <c r="AK148" s="25" t="str">
        <f>SPELLNUMBER(extractnumber_tot(AI148))</f>
        <v xml:space="preserve">Five Hundred Fifty Three </v>
      </c>
    </row>
    <row r="149" spans="1:37" ht="14.1" customHeight="1">
      <c r="A149" s="84">
        <v>225350</v>
      </c>
      <c r="B149" s="30" t="s">
        <v>298</v>
      </c>
      <c r="C149" s="36">
        <v>61</v>
      </c>
      <c r="D149" s="86" t="s">
        <v>114</v>
      </c>
      <c r="E149" s="87">
        <v>23</v>
      </c>
      <c r="F149" s="88" t="s">
        <v>114</v>
      </c>
      <c r="G149" s="87">
        <v>42</v>
      </c>
      <c r="H149" s="88" t="s">
        <v>114</v>
      </c>
      <c r="I149" s="41">
        <v>46</v>
      </c>
      <c r="J149" s="88" t="s">
        <v>114</v>
      </c>
      <c r="K149" s="87">
        <v>23</v>
      </c>
      <c r="L149" s="88" t="s">
        <v>114</v>
      </c>
      <c r="M149" s="87">
        <v>44</v>
      </c>
      <c r="N149" s="88" t="s">
        <v>114</v>
      </c>
      <c r="O149" s="42">
        <v>44</v>
      </c>
      <c r="P149" s="88" t="s">
        <v>114</v>
      </c>
      <c r="Q149" s="87">
        <v>23</v>
      </c>
      <c r="R149" s="88" t="s">
        <v>114</v>
      </c>
      <c r="S149" s="87">
        <v>22</v>
      </c>
      <c r="T149" s="88" t="s">
        <v>114</v>
      </c>
      <c r="U149" s="42">
        <v>66</v>
      </c>
      <c r="V149" s="88" t="s">
        <v>114</v>
      </c>
      <c r="W149" s="87">
        <v>23</v>
      </c>
      <c r="X149" s="88" t="s">
        <v>114</v>
      </c>
      <c r="Y149" s="42">
        <v>55</v>
      </c>
      <c r="Z149" s="88" t="s">
        <v>114</v>
      </c>
      <c r="AA149" s="87">
        <v>23</v>
      </c>
      <c r="AB149" s="88" t="s">
        <v>114</v>
      </c>
      <c r="AC149" s="87">
        <v>18</v>
      </c>
      <c r="AD149" s="88" t="s">
        <v>114</v>
      </c>
      <c r="AE149" s="42">
        <v>25</v>
      </c>
      <c r="AF149" s="88" t="s">
        <v>114</v>
      </c>
      <c r="AG149" s="87">
        <v>22</v>
      </c>
      <c r="AH149" s="88" t="s">
        <v>114</v>
      </c>
      <c r="AI149" s="23">
        <v>560</v>
      </c>
      <c r="AJ149" s="24" t="s">
        <v>117</v>
      </c>
      <c r="AK149" s="25" t="str">
        <f>SPELLNUMBER(extractnumber_tot(AI149))</f>
        <v xml:space="preserve">Five Hundred Sixty  </v>
      </c>
    </row>
    <row r="150" spans="1:37" ht="14.1" customHeight="1">
      <c r="A150" s="84">
        <v>225351</v>
      </c>
      <c r="B150" s="30" t="s">
        <v>299</v>
      </c>
      <c r="C150" s="36">
        <v>47</v>
      </c>
      <c r="D150" s="86" t="s">
        <v>114</v>
      </c>
      <c r="E150" s="87">
        <v>21</v>
      </c>
      <c r="F150" s="88" t="s">
        <v>114</v>
      </c>
      <c r="G150" s="87">
        <v>43</v>
      </c>
      <c r="H150" s="88" t="s">
        <v>114</v>
      </c>
      <c r="I150" s="41">
        <v>43</v>
      </c>
      <c r="J150" s="88" t="s">
        <v>114</v>
      </c>
      <c r="K150" s="87">
        <v>23</v>
      </c>
      <c r="L150" s="88" t="s">
        <v>114</v>
      </c>
      <c r="M150" s="87">
        <v>46</v>
      </c>
      <c r="N150" s="88" t="s">
        <v>114</v>
      </c>
      <c r="O150" s="42">
        <v>47</v>
      </c>
      <c r="P150" s="88" t="s">
        <v>114</v>
      </c>
      <c r="Q150" s="87">
        <v>21</v>
      </c>
      <c r="R150" s="88" t="s">
        <v>114</v>
      </c>
      <c r="S150" s="87">
        <v>23</v>
      </c>
      <c r="T150" s="88" t="s">
        <v>114</v>
      </c>
      <c r="U150" s="42">
        <v>49</v>
      </c>
      <c r="V150" s="88" t="s">
        <v>114</v>
      </c>
      <c r="W150" s="87">
        <v>21</v>
      </c>
      <c r="X150" s="88" t="s">
        <v>114</v>
      </c>
      <c r="Y150" s="42">
        <v>41</v>
      </c>
      <c r="Z150" s="88" t="s">
        <v>114</v>
      </c>
      <c r="AA150" s="87">
        <v>23</v>
      </c>
      <c r="AB150" s="88" t="s">
        <v>114</v>
      </c>
      <c r="AC150" s="87">
        <v>18</v>
      </c>
      <c r="AD150" s="88" t="s">
        <v>114</v>
      </c>
      <c r="AE150" s="42">
        <v>23</v>
      </c>
      <c r="AF150" s="88" t="s">
        <v>114</v>
      </c>
      <c r="AG150" s="87">
        <v>21</v>
      </c>
      <c r="AH150" s="88" t="s">
        <v>114</v>
      </c>
      <c r="AI150" s="23">
        <v>510</v>
      </c>
      <c r="AJ150" s="24" t="s">
        <v>117</v>
      </c>
      <c r="AK150" s="25" t="str">
        <f>SPELLNUMBER(extractnumber_tot(AI150))</f>
        <v xml:space="preserve">Five Hundred Ten </v>
      </c>
    </row>
    <row r="151" spans="1:37" ht="14.1" customHeight="1">
      <c r="A151" s="84">
        <v>225352</v>
      </c>
      <c r="B151" s="30" t="s">
        <v>300</v>
      </c>
      <c r="C151" s="36">
        <v>46</v>
      </c>
      <c r="D151" s="86" t="s">
        <v>114</v>
      </c>
      <c r="E151" s="87">
        <v>21</v>
      </c>
      <c r="F151" s="88" t="s">
        <v>114</v>
      </c>
      <c r="G151" s="87">
        <v>40</v>
      </c>
      <c r="H151" s="88" t="s">
        <v>114</v>
      </c>
      <c r="I151" s="41">
        <v>40</v>
      </c>
      <c r="J151" s="88" t="s">
        <v>114</v>
      </c>
      <c r="K151" s="87">
        <v>19</v>
      </c>
      <c r="L151" s="88" t="s">
        <v>114</v>
      </c>
      <c r="M151" s="87">
        <v>42</v>
      </c>
      <c r="N151" s="88" t="s">
        <v>114</v>
      </c>
      <c r="O151" s="42">
        <v>59</v>
      </c>
      <c r="P151" s="88" t="s">
        <v>114</v>
      </c>
      <c r="Q151" s="87">
        <v>21</v>
      </c>
      <c r="R151" s="88" t="s">
        <v>114</v>
      </c>
      <c r="S151" s="87">
        <v>20</v>
      </c>
      <c r="T151" s="88" t="s">
        <v>114</v>
      </c>
      <c r="U151" s="42">
        <v>62</v>
      </c>
      <c r="V151" s="88" t="s">
        <v>114</v>
      </c>
      <c r="W151" s="87">
        <v>21</v>
      </c>
      <c r="X151" s="88" t="s">
        <v>114</v>
      </c>
      <c r="Y151" s="42">
        <v>40</v>
      </c>
      <c r="Z151" s="88" t="s">
        <v>114</v>
      </c>
      <c r="AA151" s="87">
        <v>19</v>
      </c>
      <c r="AB151" s="88" t="s">
        <v>114</v>
      </c>
      <c r="AC151" s="87">
        <v>15</v>
      </c>
      <c r="AD151" s="88" t="s">
        <v>114</v>
      </c>
      <c r="AE151" s="42">
        <v>23</v>
      </c>
      <c r="AF151" s="88" t="s">
        <v>114</v>
      </c>
      <c r="AG151" s="87">
        <v>23</v>
      </c>
      <c r="AH151" s="88" t="s">
        <v>114</v>
      </c>
      <c r="AI151" s="23">
        <v>511</v>
      </c>
      <c r="AJ151" s="24" t="s">
        <v>117</v>
      </c>
      <c r="AK151" s="25" t="str">
        <f>SPELLNUMBER(extractnumber_tot(AI151))</f>
        <v xml:space="preserve">Five Hundred Eleven </v>
      </c>
    </row>
    <row r="152" spans="1:37" ht="14.1" customHeight="1">
      <c r="A152" s="84">
        <v>225353</v>
      </c>
      <c r="B152" s="30" t="s">
        <v>301</v>
      </c>
      <c r="C152" s="36">
        <v>67</v>
      </c>
      <c r="D152" s="86" t="s">
        <v>114</v>
      </c>
      <c r="E152" s="87">
        <v>22</v>
      </c>
      <c r="F152" s="88" t="s">
        <v>114</v>
      </c>
      <c r="G152" s="87">
        <v>42</v>
      </c>
      <c r="H152" s="88" t="s">
        <v>114</v>
      </c>
      <c r="I152" s="41">
        <v>46</v>
      </c>
      <c r="J152" s="88" t="s">
        <v>114</v>
      </c>
      <c r="K152" s="87">
        <v>23</v>
      </c>
      <c r="L152" s="88" t="s">
        <v>114</v>
      </c>
      <c r="M152" s="87">
        <v>46</v>
      </c>
      <c r="N152" s="88" t="s">
        <v>114</v>
      </c>
      <c r="O152" s="42">
        <v>58</v>
      </c>
      <c r="P152" s="88" t="s">
        <v>114</v>
      </c>
      <c r="Q152" s="87">
        <v>22</v>
      </c>
      <c r="R152" s="88" t="s">
        <v>114</v>
      </c>
      <c r="S152" s="87">
        <v>22</v>
      </c>
      <c r="T152" s="88" t="s">
        <v>114</v>
      </c>
      <c r="U152" s="42">
        <v>71</v>
      </c>
      <c r="V152" s="88" t="s">
        <v>114</v>
      </c>
      <c r="W152" s="87">
        <v>23</v>
      </c>
      <c r="X152" s="88" t="s">
        <v>114</v>
      </c>
      <c r="Y152" s="42">
        <v>71</v>
      </c>
      <c r="Z152" s="88" t="s">
        <v>114</v>
      </c>
      <c r="AA152" s="87">
        <v>23</v>
      </c>
      <c r="AB152" s="88" t="s">
        <v>114</v>
      </c>
      <c r="AC152" s="87">
        <v>20</v>
      </c>
      <c r="AD152" s="88" t="s">
        <v>114</v>
      </c>
      <c r="AE152" s="42">
        <v>29</v>
      </c>
      <c r="AF152" s="88" t="s">
        <v>114</v>
      </c>
      <c r="AG152" s="87">
        <v>20</v>
      </c>
      <c r="AH152" s="88" t="s">
        <v>114</v>
      </c>
      <c r="AI152" s="23">
        <v>605</v>
      </c>
      <c r="AJ152" s="24" t="s">
        <v>117</v>
      </c>
      <c r="AK152" s="25" t="str">
        <f>SPELLNUMBER(extractnumber_tot(AI152))</f>
        <v xml:space="preserve">Six Hundred Five </v>
      </c>
    </row>
    <row r="153" spans="1:37" ht="14.1" customHeight="1">
      <c r="A153" s="84">
        <v>225354</v>
      </c>
      <c r="B153" s="30" t="s">
        <v>302</v>
      </c>
      <c r="C153" s="36">
        <v>40</v>
      </c>
      <c r="D153" s="86" t="s">
        <v>113</v>
      </c>
      <c r="E153" s="87">
        <v>20</v>
      </c>
      <c r="F153" s="88" t="s">
        <v>113</v>
      </c>
      <c r="G153" s="87">
        <v>40</v>
      </c>
      <c r="H153" s="88" t="s">
        <v>113</v>
      </c>
      <c r="I153" s="41">
        <v>40</v>
      </c>
      <c r="J153" s="88" t="s">
        <v>113</v>
      </c>
      <c r="K153" s="87">
        <v>16</v>
      </c>
      <c r="L153" s="88" t="s">
        <v>113</v>
      </c>
      <c r="M153" s="87">
        <v>38</v>
      </c>
      <c r="N153" s="88" t="s">
        <v>113</v>
      </c>
      <c r="O153" s="42">
        <v>41</v>
      </c>
      <c r="P153" s="88" t="s">
        <v>113</v>
      </c>
      <c r="Q153" s="87">
        <v>20</v>
      </c>
      <c r="R153" s="88" t="s">
        <v>113</v>
      </c>
      <c r="S153" s="87">
        <v>20</v>
      </c>
      <c r="T153" s="88" t="s">
        <v>113</v>
      </c>
      <c r="U153" s="42">
        <v>52</v>
      </c>
      <c r="V153" s="88" t="s">
        <v>113</v>
      </c>
      <c r="W153" s="87">
        <v>20</v>
      </c>
      <c r="X153" s="88" t="s">
        <v>113</v>
      </c>
      <c r="Y153" s="42">
        <v>23</v>
      </c>
      <c r="Z153" s="88" t="s">
        <v>110</v>
      </c>
      <c r="AA153" s="87">
        <v>17</v>
      </c>
      <c r="AB153" s="88" t="s">
        <v>113</v>
      </c>
      <c r="AC153" s="87">
        <v>20</v>
      </c>
      <c r="AD153" s="88" t="s">
        <v>113</v>
      </c>
      <c r="AE153" s="42">
        <v>24</v>
      </c>
      <c r="AF153" s="88" t="s">
        <v>113</v>
      </c>
      <c r="AG153" s="87">
        <v>20</v>
      </c>
      <c r="AH153" s="88" t="s">
        <v>113</v>
      </c>
      <c r="AI153" s="23">
        <v>451</v>
      </c>
      <c r="AJ153" s="24" t="s">
        <v>111</v>
      </c>
      <c r="AK153" s="25" t="str">
        <f>SPELLNUMBER(extractnumber_tot(AI153))</f>
        <v xml:space="preserve">Four Hundred Fifty One </v>
      </c>
    </row>
    <row r="154" spans="1:37" ht="14.1" customHeight="1">
      <c r="A154" s="84">
        <v>225355</v>
      </c>
      <c r="B154" s="30" t="s">
        <v>303</v>
      </c>
      <c r="C154" s="36">
        <v>50</v>
      </c>
      <c r="D154" s="86" t="s">
        <v>114</v>
      </c>
      <c r="E154" s="87">
        <v>20</v>
      </c>
      <c r="F154" s="88" t="s">
        <v>114</v>
      </c>
      <c r="G154" s="87">
        <v>42</v>
      </c>
      <c r="H154" s="88" t="s">
        <v>114</v>
      </c>
      <c r="I154" s="41">
        <v>41</v>
      </c>
      <c r="J154" s="88" t="s">
        <v>114</v>
      </c>
      <c r="K154" s="87">
        <v>21</v>
      </c>
      <c r="L154" s="88" t="s">
        <v>114</v>
      </c>
      <c r="M154" s="87">
        <v>44</v>
      </c>
      <c r="N154" s="88" t="s">
        <v>114</v>
      </c>
      <c r="O154" s="42">
        <v>50</v>
      </c>
      <c r="P154" s="88" t="s">
        <v>114</v>
      </c>
      <c r="Q154" s="87">
        <v>20</v>
      </c>
      <c r="R154" s="88" t="s">
        <v>114</v>
      </c>
      <c r="S154" s="87">
        <v>22</v>
      </c>
      <c r="T154" s="88" t="s">
        <v>114</v>
      </c>
      <c r="U154" s="42">
        <v>50</v>
      </c>
      <c r="V154" s="88" t="s">
        <v>114</v>
      </c>
      <c r="W154" s="87">
        <v>16</v>
      </c>
      <c r="X154" s="88" t="s">
        <v>114</v>
      </c>
      <c r="Y154" s="42">
        <v>54</v>
      </c>
      <c r="Z154" s="88" t="s">
        <v>114</v>
      </c>
      <c r="AA154" s="87">
        <v>21</v>
      </c>
      <c r="AB154" s="88" t="s">
        <v>114</v>
      </c>
      <c r="AC154" s="87">
        <v>16</v>
      </c>
      <c r="AD154" s="88" t="s">
        <v>114</v>
      </c>
      <c r="AE154" s="42">
        <v>27</v>
      </c>
      <c r="AF154" s="88" t="s">
        <v>114</v>
      </c>
      <c r="AG154" s="87">
        <v>19</v>
      </c>
      <c r="AH154" s="88" t="s">
        <v>114</v>
      </c>
      <c r="AI154" s="23">
        <v>513</v>
      </c>
      <c r="AJ154" s="24" t="s">
        <v>117</v>
      </c>
      <c r="AK154" s="25" t="str">
        <f>SPELLNUMBER(extractnumber_tot(AI154))</f>
        <v xml:space="preserve">Five Hundred Thirteen </v>
      </c>
    </row>
    <row r="155" spans="1:37" ht="14.1" customHeight="1">
      <c r="A155" s="84">
        <v>225356</v>
      </c>
      <c r="B155" s="30" t="s">
        <v>304</v>
      </c>
      <c r="C155" s="36">
        <v>60</v>
      </c>
      <c r="D155" s="86" t="s">
        <v>114</v>
      </c>
      <c r="E155" s="87">
        <v>21</v>
      </c>
      <c r="F155" s="88" t="s">
        <v>114</v>
      </c>
      <c r="G155" s="87">
        <v>43</v>
      </c>
      <c r="H155" s="88" t="s">
        <v>114</v>
      </c>
      <c r="I155" s="41">
        <v>48</v>
      </c>
      <c r="J155" s="88" t="s">
        <v>114</v>
      </c>
      <c r="K155" s="87">
        <v>20</v>
      </c>
      <c r="L155" s="88" t="s">
        <v>114</v>
      </c>
      <c r="M155" s="87">
        <v>42</v>
      </c>
      <c r="N155" s="88" t="s">
        <v>114</v>
      </c>
      <c r="O155" s="42">
        <v>60</v>
      </c>
      <c r="P155" s="88" t="s">
        <v>114</v>
      </c>
      <c r="Q155" s="87">
        <v>21</v>
      </c>
      <c r="R155" s="88" t="s">
        <v>114</v>
      </c>
      <c r="S155" s="87">
        <v>23</v>
      </c>
      <c r="T155" s="88" t="s">
        <v>114</v>
      </c>
      <c r="U155" s="42">
        <v>40</v>
      </c>
      <c r="V155" s="88" t="s">
        <v>114</v>
      </c>
      <c r="W155" s="87">
        <v>16</v>
      </c>
      <c r="X155" s="88" t="s">
        <v>114</v>
      </c>
      <c r="Y155" s="42">
        <v>52</v>
      </c>
      <c r="Z155" s="88" t="s">
        <v>114</v>
      </c>
      <c r="AA155" s="87">
        <v>20</v>
      </c>
      <c r="AB155" s="88" t="s">
        <v>114</v>
      </c>
      <c r="AC155" s="87">
        <v>16</v>
      </c>
      <c r="AD155" s="88" t="s">
        <v>114</v>
      </c>
      <c r="AE155" s="42">
        <v>28</v>
      </c>
      <c r="AF155" s="88" t="s">
        <v>114</v>
      </c>
      <c r="AG155" s="87">
        <v>18</v>
      </c>
      <c r="AH155" s="88" t="s">
        <v>114</v>
      </c>
      <c r="AI155" s="23">
        <v>528</v>
      </c>
      <c r="AJ155" s="24" t="s">
        <v>117</v>
      </c>
      <c r="AK155" s="25" t="str">
        <f>SPELLNUMBER(extractnumber_tot(AI155))</f>
        <v xml:space="preserve">Five Hundred Twenty Eight </v>
      </c>
    </row>
    <row r="156" spans="1:37" ht="14.1" customHeight="1">
      <c r="A156" s="84">
        <v>225357</v>
      </c>
      <c r="B156" s="30" t="s">
        <v>305</v>
      </c>
      <c r="C156" s="36">
        <v>52</v>
      </c>
      <c r="D156" s="86" t="s">
        <v>114</v>
      </c>
      <c r="E156" s="87">
        <v>21</v>
      </c>
      <c r="F156" s="88" t="s">
        <v>114</v>
      </c>
      <c r="G156" s="87">
        <v>40</v>
      </c>
      <c r="H156" s="88" t="s">
        <v>114</v>
      </c>
      <c r="I156" s="41">
        <v>46</v>
      </c>
      <c r="J156" s="88" t="s">
        <v>114</v>
      </c>
      <c r="K156" s="87">
        <v>22</v>
      </c>
      <c r="L156" s="88" t="s">
        <v>114</v>
      </c>
      <c r="M156" s="87">
        <v>44</v>
      </c>
      <c r="N156" s="88" t="s">
        <v>114</v>
      </c>
      <c r="O156" s="42">
        <v>63</v>
      </c>
      <c r="P156" s="88" t="s">
        <v>114</v>
      </c>
      <c r="Q156" s="87">
        <v>21</v>
      </c>
      <c r="R156" s="88" t="s">
        <v>114</v>
      </c>
      <c r="S156" s="87">
        <v>20</v>
      </c>
      <c r="T156" s="88" t="s">
        <v>114</v>
      </c>
      <c r="U156" s="42">
        <v>44</v>
      </c>
      <c r="V156" s="88" t="s">
        <v>114</v>
      </c>
      <c r="W156" s="87">
        <v>21</v>
      </c>
      <c r="X156" s="88" t="s">
        <v>114</v>
      </c>
      <c r="Y156" s="42">
        <v>44</v>
      </c>
      <c r="Z156" s="88" t="s">
        <v>114</v>
      </c>
      <c r="AA156" s="87">
        <v>22</v>
      </c>
      <c r="AB156" s="88" t="s">
        <v>114</v>
      </c>
      <c r="AC156" s="87">
        <v>20</v>
      </c>
      <c r="AD156" s="88" t="s">
        <v>114</v>
      </c>
      <c r="AE156" s="42">
        <v>28</v>
      </c>
      <c r="AF156" s="88" t="s">
        <v>114</v>
      </c>
      <c r="AG156" s="87">
        <v>23</v>
      </c>
      <c r="AH156" s="88" t="s">
        <v>114</v>
      </c>
      <c r="AI156" s="23">
        <v>531</v>
      </c>
      <c r="AJ156" s="24" t="s">
        <v>117</v>
      </c>
      <c r="AK156" s="25" t="str">
        <f>SPELLNUMBER(extractnumber_tot(AI156))</f>
        <v xml:space="preserve">Five Hundred Thirty One </v>
      </c>
    </row>
    <row r="157" spans="1:37" ht="14.1" customHeight="1">
      <c r="A157" s="84">
        <v>225358</v>
      </c>
      <c r="B157" s="30" t="s">
        <v>306</v>
      </c>
      <c r="C157" s="36">
        <v>52</v>
      </c>
      <c r="D157" s="86" t="s">
        <v>114</v>
      </c>
      <c r="E157" s="87">
        <v>21</v>
      </c>
      <c r="F157" s="88" t="s">
        <v>114</v>
      </c>
      <c r="G157" s="87">
        <v>42</v>
      </c>
      <c r="H157" s="88" t="s">
        <v>114</v>
      </c>
      <c r="I157" s="41">
        <v>49</v>
      </c>
      <c r="J157" s="88" t="s">
        <v>114</v>
      </c>
      <c r="K157" s="87">
        <v>16</v>
      </c>
      <c r="L157" s="88" t="s">
        <v>114</v>
      </c>
      <c r="M157" s="87">
        <v>42</v>
      </c>
      <c r="N157" s="88" t="s">
        <v>114</v>
      </c>
      <c r="O157" s="42">
        <v>44</v>
      </c>
      <c r="P157" s="88" t="s">
        <v>114</v>
      </c>
      <c r="Q157" s="87">
        <v>21</v>
      </c>
      <c r="R157" s="88" t="s">
        <v>114</v>
      </c>
      <c r="S157" s="87">
        <v>22</v>
      </c>
      <c r="T157" s="88" t="s">
        <v>114</v>
      </c>
      <c r="U157" s="42">
        <v>54</v>
      </c>
      <c r="V157" s="88" t="s">
        <v>114</v>
      </c>
      <c r="W157" s="87">
        <v>21</v>
      </c>
      <c r="X157" s="88" t="s">
        <v>114</v>
      </c>
      <c r="Y157" s="42">
        <v>46</v>
      </c>
      <c r="Z157" s="88" t="s">
        <v>114</v>
      </c>
      <c r="AA157" s="87">
        <v>15</v>
      </c>
      <c r="AB157" s="88" t="s">
        <v>114</v>
      </c>
      <c r="AC157" s="87">
        <v>17</v>
      </c>
      <c r="AD157" s="88" t="s">
        <v>114</v>
      </c>
      <c r="AE157" s="42">
        <v>22</v>
      </c>
      <c r="AF157" s="88" t="s">
        <v>114</v>
      </c>
      <c r="AG157" s="87">
        <v>20</v>
      </c>
      <c r="AH157" s="88" t="s">
        <v>114</v>
      </c>
      <c r="AI157" s="23">
        <v>504</v>
      </c>
      <c r="AJ157" s="24" t="s">
        <v>117</v>
      </c>
      <c r="AK157" s="25" t="str">
        <f>SPELLNUMBER(extractnumber_tot(AI157))</f>
        <v xml:space="preserve">Five Hundred Four </v>
      </c>
    </row>
    <row r="158" spans="1:37" ht="14.1" customHeight="1">
      <c r="A158" s="84">
        <v>225359</v>
      </c>
      <c r="B158" s="30" t="s">
        <v>307</v>
      </c>
      <c r="C158" s="36">
        <v>57</v>
      </c>
      <c r="D158" s="86" t="s">
        <v>114</v>
      </c>
      <c r="E158" s="87">
        <v>22</v>
      </c>
      <c r="F158" s="88" t="s">
        <v>114</v>
      </c>
      <c r="G158" s="87">
        <v>41</v>
      </c>
      <c r="H158" s="88" t="s">
        <v>114</v>
      </c>
      <c r="I158" s="41">
        <v>41</v>
      </c>
      <c r="J158" s="88" t="s">
        <v>114</v>
      </c>
      <c r="K158" s="87">
        <v>16</v>
      </c>
      <c r="L158" s="88" t="s">
        <v>114</v>
      </c>
      <c r="M158" s="87">
        <v>42</v>
      </c>
      <c r="N158" s="88" t="s">
        <v>114</v>
      </c>
      <c r="O158" s="42">
        <v>47</v>
      </c>
      <c r="P158" s="88" t="s">
        <v>114</v>
      </c>
      <c r="Q158" s="87">
        <v>21</v>
      </c>
      <c r="R158" s="88" t="s">
        <v>114</v>
      </c>
      <c r="S158" s="87">
        <v>21</v>
      </c>
      <c r="T158" s="88" t="s">
        <v>114</v>
      </c>
      <c r="U158" s="42">
        <v>55</v>
      </c>
      <c r="V158" s="88" t="s">
        <v>114</v>
      </c>
      <c r="W158" s="87">
        <v>22</v>
      </c>
      <c r="X158" s="88" t="s">
        <v>114</v>
      </c>
      <c r="Y158" s="42">
        <v>40</v>
      </c>
      <c r="Z158" s="88" t="s">
        <v>114</v>
      </c>
      <c r="AA158" s="87">
        <v>16</v>
      </c>
      <c r="AB158" s="88" t="s">
        <v>114</v>
      </c>
      <c r="AC158" s="87">
        <v>20</v>
      </c>
      <c r="AD158" s="88" t="s">
        <v>114</v>
      </c>
      <c r="AE158" s="42">
        <v>29</v>
      </c>
      <c r="AF158" s="88" t="s">
        <v>114</v>
      </c>
      <c r="AG158" s="87">
        <v>22</v>
      </c>
      <c r="AH158" s="88" t="s">
        <v>114</v>
      </c>
      <c r="AI158" s="23">
        <v>512</v>
      </c>
      <c r="AJ158" s="24" t="s">
        <v>117</v>
      </c>
      <c r="AK158" s="25" t="str">
        <f>SPELLNUMBER(extractnumber_tot(AI158))</f>
        <v xml:space="preserve">Five Hundred Twelve </v>
      </c>
    </row>
    <row r="159" spans="1:37" ht="14.1" customHeight="1">
      <c r="A159" s="84">
        <v>225360</v>
      </c>
      <c r="B159" s="30" t="s">
        <v>308</v>
      </c>
      <c r="C159" s="36">
        <v>70</v>
      </c>
      <c r="D159" s="86" t="s">
        <v>114</v>
      </c>
      <c r="E159" s="87">
        <v>22</v>
      </c>
      <c r="F159" s="88" t="s">
        <v>114</v>
      </c>
      <c r="G159" s="87">
        <v>44</v>
      </c>
      <c r="H159" s="88" t="s">
        <v>114</v>
      </c>
      <c r="I159" s="41">
        <v>54</v>
      </c>
      <c r="J159" s="88" t="s">
        <v>114</v>
      </c>
      <c r="K159" s="87">
        <v>23</v>
      </c>
      <c r="L159" s="88" t="s">
        <v>114</v>
      </c>
      <c r="M159" s="87">
        <v>44</v>
      </c>
      <c r="N159" s="88" t="s">
        <v>114</v>
      </c>
      <c r="O159" s="42">
        <v>54</v>
      </c>
      <c r="P159" s="88" t="s">
        <v>114</v>
      </c>
      <c r="Q159" s="87">
        <v>22</v>
      </c>
      <c r="R159" s="88" t="s">
        <v>114</v>
      </c>
      <c r="S159" s="87">
        <v>23</v>
      </c>
      <c r="T159" s="88" t="s">
        <v>114</v>
      </c>
      <c r="U159" s="42">
        <v>68</v>
      </c>
      <c r="V159" s="88" t="s">
        <v>114</v>
      </c>
      <c r="W159" s="87">
        <v>19</v>
      </c>
      <c r="X159" s="88" t="s">
        <v>114</v>
      </c>
      <c r="Y159" s="42">
        <v>58</v>
      </c>
      <c r="Z159" s="88" t="s">
        <v>114</v>
      </c>
      <c r="AA159" s="87">
        <v>23</v>
      </c>
      <c r="AB159" s="88" t="s">
        <v>114</v>
      </c>
      <c r="AC159" s="87">
        <v>21</v>
      </c>
      <c r="AD159" s="88" t="s">
        <v>114</v>
      </c>
      <c r="AE159" s="42">
        <v>25</v>
      </c>
      <c r="AF159" s="88" t="s">
        <v>114</v>
      </c>
      <c r="AG159" s="87">
        <v>22</v>
      </c>
      <c r="AH159" s="88" t="s">
        <v>114</v>
      </c>
      <c r="AI159" s="23">
        <v>592</v>
      </c>
      <c r="AJ159" s="24" t="s">
        <v>117</v>
      </c>
      <c r="AK159" s="25" t="str">
        <f>SPELLNUMBER(extractnumber_tot(AI159))</f>
        <v xml:space="preserve">Five Hundred NinetyTwo </v>
      </c>
    </row>
    <row r="160" spans="1:37" ht="14.1" customHeight="1">
      <c r="A160" s="84">
        <v>225361</v>
      </c>
      <c r="B160" s="30" t="s">
        <v>309</v>
      </c>
      <c r="C160" s="36">
        <v>55</v>
      </c>
      <c r="D160" s="86" t="s">
        <v>114</v>
      </c>
      <c r="E160" s="87">
        <v>23</v>
      </c>
      <c r="F160" s="88" t="s">
        <v>114</v>
      </c>
      <c r="G160" s="87">
        <v>43</v>
      </c>
      <c r="H160" s="88" t="s">
        <v>114</v>
      </c>
      <c r="I160" s="41">
        <v>40</v>
      </c>
      <c r="J160" s="88" t="s">
        <v>114</v>
      </c>
      <c r="K160" s="87">
        <v>23</v>
      </c>
      <c r="L160" s="88" t="s">
        <v>114</v>
      </c>
      <c r="M160" s="87">
        <v>42</v>
      </c>
      <c r="N160" s="88" t="s">
        <v>114</v>
      </c>
      <c r="O160" s="42">
        <v>40</v>
      </c>
      <c r="P160" s="88" t="s">
        <v>114</v>
      </c>
      <c r="Q160" s="87">
        <v>23</v>
      </c>
      <c r="R160" s="88" t="s">
        <v>114</v>
      </c>
      <c r="S160" s="87">
        <v>23</v>
      </c>
      <c r="T160" s="88" t="s">
        <v>114</v>
      </c>
      <c r="U160" s="42">
        <v>42</v>
      </c>
      <c r="V160" s="88" t="s">
        <v>114</v>
      </c>
      <c r="W160" s="87">
        <v>23</v>
      </c>
      <c r="X160" s="88" t="s">
        <v>114</v>
      </c>
      <c r="Y160" s="42">
        <v>49</v>
      </c>
      <c r="Z160" s="88" t="s">
        <v>114</v>
      </c>
      <c r="AA160" s="87">
        <v>23</v>
      </c>
      <c r="AB160" s="88" t="s">
        <v>114</v>
      </c>
      <c r="AC160" s="87">
        <v>18</v>
      </c>
      <c r="AD160" s="88" t="s">
        <v>114</v>
      </c>
      <c r="AE160" s="42">
        <v>31</v>
      </c>
      <c r="AF160" s="88" t="s">
        <v>114</v>
      </c>
      <c r="AG160" s="87">
        <v>23</v>
      </c>
      <c r="AH160" s="88" t="s">
        <v>114</v>
      </c>
      <c r="AI160" s="23">
        <v>521</v>
      </c>
      <c r="AJ160" s="24" t="s">
        <v>117</v>
      </c>
      <c r="AK160" s="25" t="str">
        <f>SPELLNUMBER(extractnumber_tot(AI160))</f>
        <v xml:space="preserve">Five Hundred Twenty One </v>
      </c>
    </row>
    <row r="161" spans="1:37" ht="14.1" customHeight="1">
      <c r="A161" s="84">
        <v>225362</v>
      </c>
      <c r="B161" s="31" t="s">
        <v>310</v>
      </c>
      <c r="C161" s="36">
        <v>26</v>
      </c>
      <c r="D161" s="86" t="s">
        <v>110</v>
      </c>
      <c r="E161" s="87">
        <v>19</v>
      </c>
      <c r="F161" s="88" t="s">
        <v>113</v>
      </c>
      <c r="G161" s="87">
        <v>40</v>
      </c>
      <c r="H161" s="88" t="s">
        <v>113</v>
      </c>
      <c r="I161" s="41">
        <v>10</v>
      </c>
      <c r="J161" s="88" t="s">
        <v>110</v>
      </c>
      <c r="K161" s="87">
        <v>17</v>
      </c>
      <c r="L161" s="88" t="s">
        <v>113</v>
      </c>
      <c r="M161" s="87">
        <v>38</v>
      </c>
      <c r="N161" s="88" t="s">
        <v>113</v>
      </c>
      <c r="O161" s="42">
        <v>17</v>
      </c>
      <c r="P161" s="88" t="s">
        <v>110</v>
      </c>
      <c r="Q161" s="87">
        <v>19</v>
      </c>
      <c r="R161" s="88" t="s">
        <v>113</v>
      </c>
      <c r="S161" s="87">
        <v>20</v>
      </c>
      <c r="T161" s="88" t="s">
        <v>113</v>
      </c>
      <c r="U161" s="42">
        <v>0</v>
      </c>
      <c r="V161" s="88" t="s">
        <v>110</v>
      </c>
      <c r="W161" s="87">
        <v>19</v>
      </c>
      <c r="X161" s="88" t="s">
        <v>113</v>
      </c>
      <c r="Y161" s="42">
        <v>13</v>
      </c>
      <c r="Z161" s="88" t="s">
        <v>110</v>
      </c>
      <c r="AA161" s="87">
        <v>15</v>
      </c>
      <c r="AB161" s="88" t="s">
        <v>113</v>
      </c>
      <c r="AC161" s="87">
        <v>17</v>
      </c>
      <c r="AD161" s="88" t="s">
        <v>113</v>
      </c>
      <c r="AE161" s="42">
        <v>20</v>
      </c>
      <c r="AF161" s="88" t="s">
        <v>113</v>
      </c>
      <c r="AG161" s="87">
        <v>18</v>
      </c>
      <c r="AH161" s="88" t="s">
        <v>113</v>
      </c>
      <c r="AI161" s="23">
        <v>308</v>
      </c>
      <c r="AJ161" s="24" t="s">
        <v>111</v>
      </c>
      <c r="AK161" s="25" t="str">
        <f>SPELLNUMBER(extractnumber_tot(AI161))</f>
        <v xml:space="preserve">Three Hundred Eight </v>
      </c>
    </row>
    <row r="162" spans="1:37" ht="14.1" customHeight="1">
      <c r="A162" s="84">
        <v>225363</v>
      </c>
      <c r="B162" s="31" t="s">
        <v>311</v>
      </c>
      <c r="C162" s="36" t="s">
        <v>75</v>
      </c>
      <c r="D162" s="86" t="s">
        <v>114</v>
      </c>
      <c r="E162" s="87">
        <v>19</v>
      </c>
      <c r="F162" s="88" t="s">
        <v>113</v>
      </c>
      <c r="G162" s="87">
        <v>40</v>
      </c>
      <c r="H162" s="88" t="s">
        <v>113</v>
      </c>
      <c r="I162" s="41" t="s">
        <v>75</v>
      </c>
      <c r="J162" s="88" t="s">
        <v>114</v>
      </c>
      <c r="K162" s="87">
        <v>19</v>
      </c>
      <c r="L162" s="88" t="s">
        <v>113</v>
      </c>
      <c r="M162" s="87">
        <v>40</v>
      </c>
      <c r="N162" s="88" t="s">
        <v>113</v>
      </c>
      <c r="O162" s="42" t="s">
        <v>75</v>
      </c>
      <c r="P162" s="88" t="s">
        <v>114</v>
      </c>
      <c r="Q162" s="87">
        <v>19</v>
      </c>
      <c r="R162" s="88" t="s">
        <v>113</v>
      </c>
      <c r="S162" s="87">
        <v>20</v>
      </c>
      <c r="T162" s="88" t="s">
        <v>113</v>
      </c>
      <c r="U162" s="42" t="s">
        <v>75</v>
      </c>
      <c r="V162" s="88" t="s">
        <v>114</v>
      </c>
      <c r="W162" s="87">
        <v>16</v>
      </c>
      <c r="X162" s="88" t="s">
        <v>113</v>
      </c>
      <c r="Y162" s="42" t="s">
        <v>75</v>
      </c>
      <c r="Z162" s="88" t="s">
        <v>114</v>
      </c>
      <c r="AA162" s="87">
        <v>19</v>
      </c>
      <c r="AB162" s="88" t="s">
        <v>113</v>
      </c>
      <c r="AC162" s="87">
        <v>19</v>
      </c>
      <c r="AD162" s="88" t="s">
        <v>113</v>
      </c>
      <c r="AE162" s="42" t="s">
        <v>75</v>
      </c>
      <c r="AF162" s="88" t="s">
        <v>114</v>
      </c>
      <c r="AG162" s="87">
        <v>23</v>
      </c>
      <c r="AH162" s="88" t="s">
        <v>113</v>
      </c>
      <c r="AI162" s="23">
        <v>234</v>
      </c>
      <c r="AJ162" s="24" t="s">
        <v>111</v>
      </c>
      <c r="AK162" s="25" t="str">
        <f>SPELLNUMBER(extractnumber_tot(AI162))</f>
        <v xml:space="preserve">Two Hundred Thirty Four </v>
      </c>
    </row>
    <row r="163" spans="1:37" ht="14.1" customHeight="1">
      <c r="A163" s="84">
        <v>225364</v>
      </c>
      <c r="B163" s="31" t="s">
        <v>312</v>
      </c>
      <c r="C163" s="36" t="s">
        <v>75</v>
      </c>
      <c r="D163" s="86" t="s">
        <v>114</v>
      </c>
      <c r="E163" s="87" t="s">
        <v>75</v>
      </c>
      <c r="F163" s="88" t="s">
        <v>114</v>
      </c>
      <c r="G163" s="87" t="s">
        <v>75</v>
      </c>
      <c r="H163" s="88" t="s">
        <v>114</v>
      </c>
      <c r="I163" s="41" t="s">
        <v>75</v>
      </c>
      <c r="J163" s="88" t="s">
        <v>114</v>
      </c>
      <c r="K163" s="87" t="s">
        <v>75</v>
      </c>
      <c r="L163" s="88" t="s">
        <v>114</v>
      </c>
      <c r="M163" s="87" t="s">
        <v>75</v>
      </c>
      <c r="N163" s="88" t="s">
        <v>114</v>
      </c>
      <c r="O163" s="42" t="s">
        <v>75</v>
      </c>
      <c r="P163" s="88" t="s">
        <v>114</v>
      </c>
      <c r="Q163" s="87" t="s">
        <v>75</v>
      </c>
      <c r="R163" s="88" t="s">
        <v>114</v>
      </c>
      <c r="S163" s="87" t="s">
        <v>75</v>
      </c>
      <c r="T163" s="88" t="s">
        <v>114</v>
      </c>
      <c r="U163" s="42" t="s">
        <v>75</v>
      </c>
      <c r="V163" s="88" t="s">
        <v>114</v>
      </c>
      <c r="W163" s="87" t="s">
        <v>75</v>
      </c>
      <c r="X163" s="88" t="s">
        <v>114</v>
      </c>
      <c r="Y163" s="42" t="s">
        <v>75</v>
      </c>
      <c r="Z163" s="88" t="s">
        <v>114</v>
      </c>
      <c r="AA163" s="87" t="s">
        <v>75</v>
      </c>
      <c r="AB163" s="88" t="s">
        <v>114</v>
      </c>
      <c r="AC163" s="87" t="s">
        <v>75</v>
      </c>
      <c r="AD163" s="88" t="s">
        <v>114</v>
      </c>
      <c r="AE163" s="42" t="s">
        <v>75</v>
      </c>
      <c r="AF163" s="88" t="s">
        <v>114</v>
      </c>
      <c r="AG163" s="87" t="s">
        <v>75</v>
      </c>
      <c r="AH163" s="88" t="s">
        <v>114</v>
      </c>
      <c r="AI163" s="23">
        <v>0</v>
      </c>
      <c r="AJ163" s="24" t="s">
        <v>119</v>
      </c>
      <c r="AK163" s="25" t="str">
        <f>SPELLNUMBER(extractnumber_tot(AI163))</f>
        <v xml:space="preserve"> </v>
      </c>
    </row>
    <row r="164" spans="1:37" ht="14.1" customHeight="1">
      <c r="A164" s="85">
        <v>225365</v>
      </c>
      <c r="B164" s="32" t="s">
        <v>20</v>
      </c>
      <c r="C164" s="36" t="s">
        <v>38</v>
      </c>
      <c r="D164" s="86" t="s">
        <v>109</v>
      </c>
      <c r="E164" s="87" t="s">
        <v>46</v>
      </c>
      <c r="F164" s="88" t="s">
        <v>109</v>
      </c>
      <c r="G164" s="87" t="s">
        <v>40</v>
      </c>
      <c r="H164" s="88" t="s">
        <v>109</v>
      </c>
      <c r="I164" s="41" t="s">
        <v>40</v>
      </c>
      <c r="J164" s="88" t="s">
        <v>109</v>
      </c>
      <c r="K164" s="87" t="s">
        <v>46</v>
      </c>
      <c r="L164" s="88" t="s">
        <v>109</v>
      </c>
      <c r="M164" s="87" t="s">
        <v>59</v>
      </c>
      <c r="N164" s="88" t="s">
        <v>109</v>
      </c>
      <c r="O164" s="42">
        <v>52</v>
      </c>
      <c r="P164" s="88" t="s">
        <v>114</v>
      </c>
      <c r="Q164" s="87" t="s">
        <v>46</v>
      </c>
      <c r="R164" s="88" t="s">
        <v>109</v>
      </c>
      <c r="S164" s="87" t="s">
        <v>52</v>
      </c>
      <c r="T164" s="88" t="s">
        <v>109</v>
      </c>
      <c r="U164" s="42" t="s">
        <v>58</v>
      </c>
      <c r="V164" s="88" t="s">
        <v>109</v>
      </c>
      <c r="W164" s="87" t="s">
        <v>46</v>
      </c>
      <c r="X164" s="88" t="s">
        <v>109</v>
      </c>
      <c r="Y164" s="42" t="s">
        <v>43</v>
      </c>
      <c r="Z164" s="88" t="s">
        <v>109</v>
      </c>
      <c r="AA164" s="87" t="s">
        <v>46</v>
      </c>
      <c r="AB164" s="88" t="s">
        <v>109</v>
      </c>
      <c r="AC164" s="87" t="s">
        <v>47</v>
      </c>
      <c r="AD164" s="88" t="s">
        <v>109</v>
      </c>
      <c r="AE164" s="42" t="s">
        <v>69</v>
      </c>
      <c r="AF164" s="88" t="s">
        <v>109</v>
      </c>
      <c r="AG164" s="87" t="s">
        <v>46</v>
      </c>
      <c r="AH164" s="88" t="s">
        <v>109</v>
      </c>
      <c r="AI164" s="23">
        <v>511</v>
      </c>
      <c r="AJ164" s="24" t="s">
        <v>117</v>
      </c>
      <c r="AK164" s="25" t="str">
        <f>SPELLNUMBER(extractnumber_tot(AI164))</f>
        <v xml:space="preserve">Five Hundred Eleven </v>
      </c>
    </row>
    <row r="165" spans="1:37" ht="14.1" customHeight="1">
      <c r="A165" s="85">
        <v>225366</v>
      </c>
      <c r="B165" s="32" t="s">
        <v>313</v>
      </c>
      <c r="C165" s="36">
        <v>26</v>
      </c>
      <c r="D165" s="86" t="s">
        <v>110</v>
      </c>
      <c r="E165" s="87" t="s">
        <v>49</v>
      </c>
      <c r="F165" s="88" t="s">
        <v>109</v>
      </c>
      <c r="G165" s="87" t="s">
        <v>58</v>
      </c>
      <c r="H165" s="88" t="s">
        <v>109</v>
      </c>
      <c r="I165" s="41" t="s">
        <v>40</v>
      </c>
      <c r="J165" s="88" t="s">
        <v>109</v>
      </c>
      <c r="K165" s="87" t="s">
        <v>49</v>
      </c>
      <c r="L165" s="88" t="s">
        <v>109</v>
      </c>
      <c r="M165" s="87" t="s">
        <v>44</v>
      </c>
      <c r="N165" s="88" t="s">
        <v>109</v>
      </c>
      <c r="O165" s="42" t="s">
        <v>75</v>
      </c>
      <c r="P165" s="88" t="s">
        <v>114</v>
      </c>
      <c r="Q165" s="87" t="s">
        <v>49</v>
      </c>
      <c r="R165" s="88" t="s">
        <v>109</v>
      </c>
      <c r="S165" s="87" t="s">
        <v>65</v>
      </c>
      <c r="T165" s="88" t="s">
        <v>109</v>
      </c>
      <c r="U165" s="42" t="s">
        <v>75</v>
      </c>
      <c r="V165" s="88" t="s">
        <v>114</v>
      </c>
      <c r="W165" s="87" t="s">
        <v>49</v>
      </c>
      <c r="X165" s="88" t="s">
        <v>109</v>
      </c>
      <c r="Y165" s="42" t="s">
        <v>58</v>
      </c>
      <c r="Z165" s="88" t="s">
        <v>109</v>
      </c>
      <c r="AA165" s="87" t="s">
        <v>49</v>
      </c>
      <c r="AB165" s="88" t="s">
        <v>109</v>
      </c>
      <c r="AC165" s="87" t="s">
        <v>47</v>
      </c>
      <c r="AD165" s="88" t="s">
        <v>109</v>
      </c>
      <c r="AE165" s="42" t="s">
        <v>51</v>
      </c>
      <c r="AF165" s="88" t="s">
        <v>109</v>
      </c>
      <c r="AG165" s="87" t="s">
        <v>49</v>
      </c>
      <c r="AH165" s="88" t="s">
        <v>109</v>
      </c>
      <c r="AI165" s="23">
        <v>369</v>
      </c>
      <c r="AJ165" s="24" t="s">
        <v>111</v>
      </c>
      <c r="AK165" s="25" t="str">
        <f>SPELLNUMBER(extractnumber_tot(AI165))</f>
        <v xml:space="preserve">Three Hundred Sixty Nine </v>
      </c>
    </row>
    <row r="166" spans="1:37" ht="14.1" customHeight="1">
      <c r="A166" s="85">
        <v>225367</v>
      </c>
      <c r="B166" s="32" t="s">
        <v>21</v>
      </c>
      <c r="C166" s="36" t="s">
        <v>58</v>
      </c>
      <c r="D166" s="86" t="s">
        <v>109</v>
      </c>
      <c r="E166" s="87" t="s">
        <v>50</v>
      </c>
      <c r="F166" s="88" t="s">
        <v>109</v>
      </c>
      <c r="G166" s="87" t="s">
        <v>57</v>
      </c>
      <c r="H166" s="88" t="s">
        <v>109</v>
      </c>
      <c r="I166" s="41" t="s">
        <v>62</v>
      </c>
      <c r="J166" s="88" t="s">
        <v>109</v>
      </c>
      <c r="K166" s="87" t="s">
        <v>48</v>
      </c>
      <c r="L166" s="88" t="s">
        <v>109</v>
      </c>
      <c r="M166" s="87" t="s">
        <v>54</v>
      </c>
      <c r="N166" s="88" t="s">
        <v>109</v>
      </c>
      <c r="O166" s="42" t="s">
        <v>40</v>
      </c>
      <c r="P166" s="88" t="s">
        <v>109</v>
      </c>
      <c r="Q166" s="87" t="s">
        <v>50</v>
      </c>
      <c r="R166" s="88" t="s">
        <v>109</v>
      </c>
      <c r="S166" s="87" t="s">
        <v>75</v>
      </c>
      <c r="T166" s="88" t="s">
        <v>114</v>
      </c>
      <c r="U166" s="42" t="s">
        <v>75</v>
      </c>
      <c r="V166" s="88" t="s">
        <v>114</v>
      </c>
      <c r="W166" s="87" t="s">
        <v>48</v>
      </c>
      <c r="X166" s="88" t="s">
        <v>109</v>
      </c>
      <c r="Y166" s="42" t="s">
        <v>40</v>
      </c>
      <c r="Z166" s="88" t="s">
        <v>109</v>
      </c>
      <c r="AA166" s="87" t="s">
        <v>50</v>
      </c>
      <c r="AB166" s="88" t="s">
        <v>109</v>
      </c>
      <c r="AC166" s="87">
        <v>15</v>
      </c>
      <c r="AD166" s="88" t="s">
        <v>113</v>
      </c>
      <c r="AE166" s="42" t="s">
        <v>54</v>
      </c>
      <c r="AF166" s="88" t="s">
        <v>109</v>
      </c>
      <c r="AG166" s="87" t="s">
        <v>49</v>
      </c>
      <c r="AH166" s="88" t="s">
        <v>109</v>
      </c>
      <c r="AI166" s="23">
        <v>388</v>
      </c>
      <c r="AJ166" s="24" t="s">
        <v>111</v>
      </c>
      <c r="AK166" s="25" t="str">
        <f>SPELLNUMBER(extractnumber_tot(AI166))</f>
        <v xml:space="preserve">Three Hundred Eighty Eight </v>
      </c>
    </row>
    <row r="167" spans="1:37" ht="14.1" customHeight="1">
      <c r="A167" s="85">
        <v>225368</v>
      </c>
      <c r="B167" s="32" t="s">
        <v>22</v>
      </c>
      <c r="C167" s="36" t="s">
        <v>40</v>
      </c>
      <c r="D167" s="86" t="s">
        <v>109</v>
      </c>
      <c r="E167" s="87" t="s">
        <v>51</v>
      </c>
      <c r="F167" s="88" t="s">
        <v>109</v>
      </c>
      <c r="G167" s="87" t="s">
        <v>55</v>
      </c>
      <c r="H167" s="88" t="s">
        <v>109</v>
      </c>
      <c r="I167" s="41" t="s">
        <v>45</v>
      </c>
      <c r="J167" s="88" t="s">
        <v>109</v>
      </c>
      <c r="K167" s="87" t="s">
        <v>51</v>
      </c>
      <c r="L167" s="88" t="s">
        <v>109</v>
      </c>
      <c r="M167" s="87" t="s">
        <v>63</v>
      </c>
      <c r="N167" s="88" t="s">
        <v>109</v>
      </c>
      <c r="O167" s="42" t="s">
        <v>43</v>
      </c>
      <c r="P167" s="88" t="s">
        <v>109</v>
      </c>
      <c r="Q167" s="87" t="s">
        <v>52</v>
      </c>
      <c r="R167" s="88" t="s">
        <v>109</v>
      </c>
      <c r="S167" s="87" t="s">
        <v>49</v>
      </c>
      <c r="T167" s="88" t="s">
        <v>109</v>
      </c>
      <c r="U167" s="42">
        <v>33</v>
      </c>
      <c r="V167" s="88" t="s">
        <v>110</v>
      </c>
      <c r="W167" s="87" t="s">
        <v>51</v>
      </c>
      <c r="X167" s="88" t="s">
        <v>109</v>
      </c>
      <c r="Y167" s="42">
        <v>40</v>
      </c>
      <c r="Z167" s="88" t="s">
        <v>113</v>
      </c>
      <c r="AA167" s="87" t="s">
        <v>51</v>
      </c>
      <c r="AB167" s="88" t="s">
        <v>109</v>
      </c>
      <c r="AC167" s="87" t="s">
        <v>47</v>
      </c>
      <c r="AD167" s="88" t="s">
        <v>109</v>
      </c>
      <c r="AE167" s="42" t="s">
        <v>71</v>
      </c>
      <c r="AF167" s="88" t="s">
        <v>109</v>
      </c>
      <c r="AG167" s="87" t="s">
        <v>52</v>
      </c>
      <c r="AH167" s="88" t="s">
        <v>109</v>
      </c>
      <c r="AI167" s="23">
        <v>477</v>
      </c>
      <c r="AJ167" s="24" t="s">
        <v>111</v>
      </c>
      <c r="AK167" s="25" t="str">
        <f>SPELLNUMBER(extractnumber_tot(AI167))</f>
        <v xml:space="preserve">Four Hundred Seventy Seven </v>
      </c>
    </row>
    <row r="168" spans="1:37" ht="14.1" customHeight="1">
      <c r="A168" s="85">
        <v>225369</v>
      </c>
      <c r="B168" s="32" t="s">
        <v>37</v>
      </c>
      <c r="C168" s="36" t="s">
        <v>39</v>
      </c>
      <c r="D168" s="86" t="s">
        <v>109</v>
      </c>
      <c r="E168" s="87" t="s">
        <v>49</v>
      </c>
      <c r="F168" s="88" t="s">
        <v>109</v>
      </c>
      <c r="G168" s="87" t="s">
        <v>59</v>
      </c>
      <c r="H168" s="88" t="s">
        <v>109</v>
      </c>
      <c r="I168" s="41" t="s">
        <v>336</v>
      </c>
      <c r="J168" s="88" t="s">
        <v>109</v>
      </c>
      <c r="K168" s="87" t="s">
        <v>65</v>
      </c>
      <c r="L168" s="88" t="s">
        <v>109</v>
      </c>
      <c r="M168" s="87" t="s">
        <v>66</v>
      </c>
      <c r="N168" s="88" t="s">
        <v>109</v>
      </c>
      <c r="O168" s="42" t="s">
        <v>75</v>
      </c>
      <c r="P168" s="88" t="s">
        <v>114</v>
      </c>
      <c r="Q168" s="87" t="s">
        <v>49</v>
      </c>
      <c r="R168" s="88" t="s">
        <v>109</v>
      </c>
      <c r="S168" s="87" t="s">
        <v>52</v>
      </c>
      <c r="T168" s="88" t="s">
        <v>109</v>
      </c>
      <c r="U168" s="42" t="s">
        <v>75</v>
      </c>
      <c r="V168" s="88" t="s">
        <v>114</v>
      </c>
      <c r="W168" s="87" t="s">
        <v>49</v>
      </c>
      <c r="X168" s="88" t="s">
        <v>109</v>
      </c>
      <c r="Y168" s="42" t="s">
        <v>45</v>
      </c>
      <c r="Z168" s="88" t="s">
        <v>109</v>
      </c>
      <c r="AA168" s="87" t="s">
        <v>49</v>
      </c>
      <c r="AB168" s="88" t="s">
        <v>109</v>
      </c>
      <c r="AC168" s="87" t="s">
        <v>49</v>
      </c>
      <c r="AD168" s="88" t="s">
        <v>109</v>
      </c>
      <c r="AE168" s="42" t="s">
        <v>71</v>
      </c>
      <c r="AF168" s="88" t="s">
        <v>109</v>
      </c>
      <c r="AG168" s="87" t="s">
        <v>49</v>
      </c>
      <c r="AH168" s="88" t="s">
        <v>109</v>
      </c>
      <c r="AI168" s="23">
        <v>406</v>
      </c>
      <c r="AJ168" s="24" t="s">
        <v>119</v>
      </c>
      <c r="AK168" s="25" t="str">
        <f>SPELLNUMBER(extractnumber_tot(AI168))</f>
        <v xml:space="preserve">Four Hundred Six </v>
      </c>
    </row>
    <row r="169" spans="1:37" ht="14.1" customHeight="1">
      <c r="A169" s="85">
        <v>225370</v>
      </c>
      <c r="B169" s="32" t="s">
        <v>314</v>
      </c>
      <c r="C169" s="36">
        <v>16</v>
      </c>
      <c r="D169" s="86" t="s">
        <v>110</v>
      </c>
      <c r="E169" s="87" t="s">
        <v>49</v>
      </c>
      <c r="F169" s="88" t="s">
        <v>109</v>
      </c>
      <c r="G169" s="87" t="s">
        <v>40</v>
      </c>
      <c r="H169" s="88" t="s">
        <v>109</v>
      </c>
      <c r="I169" s="41" t="s">
        <v>61</v>
      </c>
      <c r="J169" s="88" t="s">
        <v>109</v>
      </c>
      <c r="K169" s="87" t="s">
        <v>64</v>
      </c>
      <c r="L169" s="88" t="s">
        <v>109</v>
      </c>
      <c r="M169" s="87" t="s">
        <v>56</v>
      </c>
      <c r="N169" s="88" t="s">
        <v>109</v>
      </c>
      <c r="O169" s="42">
        <v>15</v>
      </c>
      <c r="P169" s="88" t="s">
        <v>110</v>
      </c>
      <c r="Q169" s="87" t="s">
        <v>49</v>
      </c>
      <c r="R169" s="88" t="s">
        <v>109</v>
      </c>
      <c r="S169" s="87" t="s">
        <v>49</v>
      </c>
      <c r="T169" s="88" t="s">
        <v>109</v>
      </c>
      <c r="U169" s="42">
        <v>5</v>
      </c>
      <c r="V169" s="88" t="s">
        <v>110</v>
      </c>
      <c r="W169" s="87" t="s">
        <v>47</v>
      </c>
      <c r="X169" s="88" t="s">
        <v>109</v>
      </c>
      <c r="Y169" s="42">
        <v>6</v>
      </c>
      <c r="Z169" s="88" t="s">
        <v>110</v>
      </c>
      <c r="AA169" s="87" t="s">
        <v>47</v>
      </c>
      <c r="AB169" s="88" t="s">
        <v>109</v>
      </c>
      <c r="AC169" s="87" t="s">
        <v>48</v>
      </c>
      <c r="AD169" s="88" t="s">
        <v>109</v>
      </c>
      <c r="AE169" s="42" t="s">
        <v>51</v>
      </c>
      <c r="AF169" s="88" t="s">
        <v>109</v>
      </c>
      <c r="AG169" s="87" t="s">
        <v>49</v>
      </c>
      <c r="AH169" s="88" t="s">
        <v>109</v>
      </c>
      <c r="AI169" s="23">
        <v>349</v>
      </c>
      <c r="AJ169" s="24" t="s">
        <v>111</v>
      </c>
      <c r="AK169" s="25" t="str">
        <f>SPELLNUMBER(extractnumber_tot(AI169))</f>
        <v xml:space="preserve">Three Hundred Forty Nine </v>
      </c>
    </row>
    <row r="170" spans="1:37" ht="14.1" customHeight="1">
      <c r="A170" s="85">
        <v>225371</v>
      </c>
      <c r="B170" s="32" t="s">
        <v>23</v>
      </c>
      <c r="C170" s="36" t="s">
        <v>58</v>
      </c>
      <c r="D170" s="86" t="s">
        <v>109</v>
      </c>
      <c r="E170" s="87" t="s">
        <v>49</v>
      </c>
      <c r="F170" s="88" t="s">
        <v>109</v>
      </c>
      <c r="G170" s="87" t="s">
        <v>55</v>
      </c>
      <c r="H170" s="88" t="s">
        <v>109</v>
      </c>
      <c r="I170" s="41" t="s">
        <v>40</v>
      </c>
      <c r="J170" s="88" t="s">
        <v>109</v>
      </c>
      <c r="K170" s="87" t="s">
        <v>49</v>
      </c>
      <c r="L170" s="88" t="s">
        <v>109</v>
      </c>
      <c r="M170" s="87" t="s">
        <v>43</v>
      </c>
      <c r="N170" s="88" t="s">
        <v>109</v>
      </c>
      <c r="O170" s="42" t="s">
        <v>40</v>
      </c>
      <c r="P170" s="88" t="s">
        <v>109</v>
      </c>
      <c r="Q170" s="87" t="s">
        <v>49</v>
      </c>
      <c r="R170" s="88" t="s">
        <v>109</v>
      </c>
      <c r="S170" s="87" t="s">
        <v>49</v>
      </c>
      <c r="T170" s="88" t="s">
        <v>109</v>
      </c>
      <c r="U170" s="42">
        <v>15</v>
      </c>
      <c r="V170" s="88" t="s">
        <v>110</v>
      </c>
      <c r="W170" s="87" t="s">
        <v>49</v>
      </c>
      <c r="X170" s="88" t="s">
        <v>109</v>
      </c>
      <c r="Y170" s="42">
        <v>30</v>
      </c>
      <c r="Z170" s="88" t="s">
        <v>110</v>
      </c>
      <c r="AA170" s="87" t="s">
        <v>49</v>
      </c>
      <c r="AB170" s="88" t="s">
        <v>109</v>
      </c>
      <c r="AC170" s="87" t="s">
        <v>65</v>
      </c>
      <c r="AD170" s="88" t="s">
        <v>109</v>
      </c>
      <c r="AE170" s="42" t="s">
        <v>57</v>
      </c>
      <c r="AF170" s="88" t="s">
        <v>109</v>
      </c>
      <c r="AG170" s="87" t="s">
        <v>48</v>
      </c>
      <c r="AH170" s="88" t="s">
        <v>109</v>
      </c>
      <c r="AI170" s="23">
        <v>437</v>
      </c>
      <c r="AJ170" s="24" t="s">
        <v>111</v>
      </c>
      <c r="AK170" s="25" t="str">
        <f>SPELLNUMBER(extractnumber_tot(AI170))</f>
        <v xml:space="preserve">Four Hundred Thirty Seven </v>
      </c>
    </row>
    <row r="171" spans="1:37" ht="14.1" customHeight="1">
      <c r="A171" s="85">
        <v>225372</v>
      </c>
      <c r="B171" s="32" t="s">
        <v>24</v>
      </c>
      <c r="C171" s="36" t="s">
        <v>43</v>
      </c>
      <c r="D171" s="86" t="s">
        <v>109</v>
      </c>
      <c r="E171" s="87" t="s">
        <v>52</v>
      </c>
      <c r="F171" s="88" t="s">
        <v>109</v>
      </c>
      <c r="G171" s="87" t="s">
        <v>58</v>
      </c>
      <c r="H171" s="88" t="s">
        <v>109</v>
      </c>
      <c r="I171" s="41" t="s">
        <v>58</v>
      </c>
      <c r="J171" s="88" t="s">
        <v>109</v>
      </c>
      <c r="K171" s="87" t="s">
        <v>49</v>
      </c>
      <c r="L171" s="88" t="s">
        <v>109</v>
      </c>
      <c r="M171" s="87" t="s">
        <v>45</v>
      </c>
      <c r="N171" s="88" t="s">
        <v>109</v>
      </c>
      <c r="O171" s="42" t="s">
        <v>40</v>
      </c>
      <c r="P171" s="88" t="s">
        <v>109</v>
      </c>
      <c r="Q171" s="87" t="s">
        <v>49</v>
      </c>
      <c r="R171" s="88" t="s">
        <v>109</v>
      </c>
      <c r="S171" s="87" t="s">
        <v>51</v>
      </c>
      <c r="T171" s="88" t="s">
        <v>109</v>
      </c>
      <c r="U171" s="42">
        <v>4</v>
      </c>
      <c r="V171" s="88" t="s">
        <v>110</v>
      </c>
      <c r="W171" s="87" t="s">
        <v>49</v>
      </c>
      <c r="X171" s="88" t="s">
        <v>109</v>
      </c>
      <c r="Y171" s="42" t="s">
        <v>40</v>
      </c>
      <c r="Z171" s="88" t="s">
        <v>109</v>
      </c>
      <c r="AA171" s="87" t="s">
        <v>52</v>
      </c>
      <c r="AB171" s="88" t="s">
        <v>109</v>
      </c>
      <c r="AC171" s="87" t="s">
        <v>52</v>
      </c>
      <c r="AD171" s="88" t="s">
        <v>109</v>
      </c>
      <c r="AE171" s="42" t="s">
        <v>70</v>
      </c>
      <c r="AF171" s="88" t="s">
        <v>109</v>
      </c>
      <c r="AG171" s="87" t="s">
        <v>49</v>
      </c>
      <c r="AH171" s="88" t="s">
        <v>109</v>
      </c>
      <c r="AI171" s="23">
        <v>448</v>
      </c>
      <c r="AJ171" s="24" t="s">
        <v>111</v>
      </c>
      <c r="AK171" s="25" t="str">
        <f>SPELLNUMBER(extractnumber_tot(AI171))</f>
        <v xml:space="preserve">Four Hundred Forty Eight </v>
      </c>
    </row>
    <row r="172" spans="1:37" ht="14.1" customHeight="1">
      <c r="A172" s="85">
        <v>225373</v>
      </c>
      <c r="B172" s="32" t="s">
        <v>25</v>
      </c>
      <c r="C172" s="36" t="s">
        <v>43</v>
      </c>
      <c r="D172" s="86" t="s">
        <v>109</v>
      </c>
      <c r="E172" s="87" t="s">
        <v>48</v>
      </c>
      <c r="F172" s="88" t="s">
        <v>109</v>
      </c>
      <c r="G172" s="87" t="s">
        <v>58</v>
      </c>
      <c r="H172" s="88" t="s">
        <v>109</v>
      </c>
      <c r="I172" s="41" t="s">
        <v>58</v>
      </c>
      <c r="J172" s="88" t="s">
        <v>109</v>
      </c>
      <c r="K172" s="87" t="s">
        <v>49</v>
      </c>
      <c r="L172" s="88" t="s">
        <v>109</v>
      </c>
      <c r="M172" s="87" t="s">
        <v>58</v>
      </c>
      <c r="N172" s="88" t="s">
        <v>109</v>
      </c>
      <c r="O172" s="42" t="s">
        <v>44</v>
      </c>
      <c r="P172" s="88" t="s">
        <v>109</v>
      </c>
      <c r="Q172" s="87" t="s">
        <v>52</v>
      </c>
      <c r="R172" s="88" t="s">
        <v>109</v>
      </c>
      <c r="S172" s="87" t="s">
        <v>52</v>
      </c>
      <c r="T172" s="88" t="s">
        <v>109</v>
      </c>
      <c r="U172" s="42">
        <v>44</v>
      </c>
      <c r="V172" s="88" t="s">
        <v>114</v>
      </c>
      <c r="W172" s="87" t="s">
        <v>49</v>
      </c>
      <c r="X172" s="88" t="s">
        <v>109</v>
      </c>
      <c r="Y172" s="42" t="s">
        <v>58</v>
      </c>
      <c r="Z172" s="88" t="s">
        <v>109</v>
      </c>
      <c r="AA172" s="87" t="s">
        <v>48</v>
      </c>
      <c r="AB172" s="88" t="s">
        <v>109</v>
      </c>
      <c r="AC172" s="87" t="s">
        <v>52</v>
      </c>
      <c r="AD172" s="88" t="s">
        <v>109</v>
      </c>
      <c r="AE172" s="42" t="s">
        <v>54</v>
      </c>
      <c r="AF172" s="88" t="s">
        <v>109</v>
      </c>
      <c r="AG172" s="87" t="s">
        <v>49</v>
      </c>
      <c r="AH172" s="88" t="s">
        <v>109</v>
      </c>
      <c r="AI172" s="23">
        <v>489</v>
      </c>
      <c r="AJ172" s="24" t="s">
        <v>117</v>
      </c>
      <c r="AK172" s="25" t="str">
        <f>SPELLNUMBER(extractnumber_tot(AI172))</f>
        <v xml:space="preserve">Four Hundred Eighty Nine </v>
      </c>
    </row>
    <row r="173" spans="1:37" ht="14.1" customHeight="1">
      <c r="A173" s="85">
        <v>225374</v>
      </c>
      <c r="B173" s="32" t="s">
        <v>26</v>
      </c>
      <c r="C173" s="36" t="s">
        <v>44</v>
      </c>
      <c r="D173" s="86" t="s">
        <v>109</v>
      </c>
      <c r="E173" s="87" t="s">
        <v>51</v>
      </c>
      <c r="F173" s="88" t="s">
        <v>109</v>
      </c>
      <c r="G173" s="87" t="s">
        <v>55</v>
      </c>
      <c r="H173" s="88" t="s">
        <v>109</v>
      </c>
      <c r="I173" s="41" t="s">
        <v>40</v>
      </c>
      <c r="J173" s="88" t="s">
        <v>109</v>
      </c>
      <c r="K173" s="87" t="s">
        <v>51</v>
      </c>
      <c r="L173" s="88" t="s">
        <v>109</v>
      </c>
      <c r="M173" s="87" t="s">
        <v>45</v>
      </c>
      <c r="N173" s="88" t="s">
        <v>109</v>
      </c>
      <c r="O173" s="42" t="s">
        <v>75</v>
      </c>
      <c r="P173" s="88" t="s">
        <v>114</v>
      </c>
      <c r="Q173" s="87" t="s">
        <v>49</v>
      </c>
      <c r="R173" s="88" t="s">
        <v>109</v>
      </c>
      <c r="S173" s="87" t="s">
        <v>49</v>
      </c>
      <c r="T173" s="88" t="s">
        <v>109</v>
      </c>
      <c r="U173" s="42" t="s">
        <v>75</v>
      </c>
      <c r="V173" s="88" t="s">
        <v>114</v>
      </c>
      <c r="W173" s="87" t="s">
        <v>51</v>
      </c>
      <c r="X173" s="88" t="s">
        <v>109</v>
      </c>
      <c r="Y173" s="42" t="s">
        <v>75</v>
      </c>
      <c r="Z173" s="88" t="s">
        <v>114</v>
      </c>
      <c r="AA173" s="87" t="s">
        <v>51</v>
      </c>
      <c r="AB173" s="88" t="s">
        <v>109</v>
      </c>
      <c r="AC173" s="87" t="s">
        <v>48</v>
      </c>
      <c r="AD173" s="88" t="s">
        <v>109</v>
      </c>
      <c r="AE173" s="42" t="s">
        <v>69</v>
      </c>
      <c r="AF173" s="88" t="s">
        <v>109</v>
      </c>
      <c r="AG173" s="87" t="s">
        <v>52</v>
      </c>
      <c r="AH173" s="88" t="s">
        <v>109</v>
      </c>
      <c r="AI173" s="23">
        <v>366</v>
      </c>
      <c r="AJ173" s="24" t="s">
        <v>119</v>
      </c>
      <c r="AK173" s="25" t="str">
        <f>SPELLNUMBER(extractnumber_tot(AI173))</f>
        <v xml:space="preserve">Three Hundred Sixty Six </v>
      </c>
    </row>
    <row r="174" spans="1:37" ht="14.1" customHeight="1">
      <c r="A174" s="85">
        <v>225375</v>
      </c>
      <c r="B174" s="32" t="s">
        <v>315</v>
      </c>
      <c r="C174" s="36" t="s">
        <v>60</v>
      </c>
      <c r="D174" s="86" t="s">
        <v>109</v>
      </c>
      <c r="E174" s="87" t="s">
        <v>49</v>
      </c>
      <c r="F174" s="88" t="s">
        <v>109</v>
      </c>
      <c r="G174" s="87" t="s">
        <v>55</v>
      </c>
      <c r="H174" s="88" t="s">
        <v>109</v>
      </c>
      <c r="I174" s="41" t="s">
        <v>58</v>
      </c>
      <c r="J174" s="88" t="s">
        <v>109</v>
      </c>
      <c r="K174" s="87" t="s">
        <v>49</v>
      </c>
      <c r="L174" s="88" t="s">
        <v>109</v>
      </c>
      <c r="M174" s="87" t="s">
        <v>58</v>
      </c>
      <c r="N174" s="88" t="s">
        <v>109</v>
      </c>
      <c r="O174" s="42" t="s">
        <v>40</v>
      </c>
      <c r="P174" s="88" t="s">
        <v>109</v>
      </c>
      <c r="Q174" s="87" t="s">
        <v>49</v>
      </c>
      <c r="R174" s="88" t="s">
        <v>109</v>
      </c>
      <c r="S174" s="87" t="s">
        <v>49</v>
      </c>
      <c r="T174" s="88" t="s">
        <v>109</v>
      </c>
      <c r="U174" s="42" t="s">
        <v>45</v>
      </c>
      <c r="V174" s="88" t="s">
        <v>109</v>
      </c>
      <c r="W174" s="87" t="s">
        <v>49</v>
      </c>
      <c r="X174" s="88" t="s">
        <v>109</v>
      </c>
      <c r="Y174" s="42">
        <v>30</v>
      </c>
      <c r="Z174" s="88" t="s">
        <v>110</v>
      </c>
      <c r="AA174" s="87" t="s">
        <v>49</v>
      </c>
      <c r="AB174" s="88" t="s">
        <v>109</v>
      </c>
      <c r="AC174" s="87" t="s">
        <v>48</v>
      </c>
      <c r="AD174" s="88" t="s">
        <v>109</v>
      </c>
      <c r="AE174" s="42" t="s">
        <v>72</v>
      </c>
      <c r="AF174" s="88" t="s">
        <v>109</v>
      </c>
      <c r="AG174" s="87" t="s">
        <v>49</v>
      </c>
      <c r="AH174" s="88" t="s">
        <v>109</v>
      </c>
      <c r="AI174" s="23">
        <v>477</v>
      </c>
      <c r="AJ174" s="24" t="s">
        <v>111</v>
      </c>
      <c r="AK174" s="25" t="str">
        <f>SPELLNUMBER(extractnumber_tot(AI174))</f>
        <v xml:space="preserve">Four Hundred Seventy Seven </v>
      </c>
    </row>
    <row r="175" spans="1:37" ht="14.1" customHeight="1">
      <c r="A175" s="85">
        <v>225376</v>
      </c>
      <c r="B175" s="32" t="s">
        <v>27</v>
      </c>
      <c r="C175" s="36" t="s">
        <v>40</v>
      </c>
      <c r="D175" s="86" t="s">
        <v>109</v>
      </c>
      <c r="E175" s="87" t="s">
        <v>51</v>
      </c>
      <c r="F175" s="88" t="s">
        <v>109</v>
      </c>
      <c r="G175" s="87" t="s">
        <v>58</v>
      </c>
      <c r="H175" s="88" t="s">
        <v>109</v>
      </c>
      <c r="I175" s="41" t="s">
        <v>40</v>
      </c>
      <c r="J175" s="88" t="s">
        <v>109</v>
      </c>
      <c r="K175" s="87" t="s">
        <v>51</v>
      </c>
      <c r="L175" s="88" t="s">
        <v>109</v>
      </c>
      <c r="M175" s="87" t="s">
        <v>63</v>
      </c>
      <c r="N175" s="88" t="s">
        <v>109</v>
      </c>
      <c r="O175" s="42" t="s">
        <v>63</v>
      </c>
      <c r="P175" s="88" t="s">
        <v>109</v>
      </c>
      <c r="Q175" s="87" t="s">
        <v>49</v>
      </c>
      <c r="R175" s="88" t="s">
        <v>109</v>
      </c>
      <c r="S175" s="87" t="s">
        <v>52</v>
      </c>
      <c r="T175" s="88" t="s">
        <v>109</v>
      </c>
      <c r="U175" s="42" t="s">
        <v>44</v>
      </c>
      <c r="V175" s="88" t="s">
        <v>109</v>
      </c>
      <c r="W175" s="87" t="s">
        <v>51</v>
      </c>
      <c r="X175" s="88" t="s">
        <v>109</v>
      </c>
      <c r="Y175" s="42">
        <v>20</v>
      </c>
      <c r="Z175" s="88" t="s">
        <v>110</v>
      </c>
      <c r="AA175" s="87" t="s">
        <v>51</v>
      </c>
      <c r="AB175" s="88" t="s">
        <v>109</v>
      </c>
      <c r="AC175" s="87" t="s">
        <v>52</v>
      </c>
      <c r="AD175" s="88" t="s">
        <v>109</v>
      </c>
      <c r="AE175" s="42" t="s">
        <v>73</v>
      </c>
      <c r="AF175" s="88" t="s">
        <v>109</v>
      </c>
      <c r="AG175" s="87" t="s">
        <v>51</v>
      </c>
      <c r="AH175" s="88" t="s">
        <v>109</v>
      </c>
      <c r="AI175" s="23">
        <v>474</v>
      </c>
      <c r="AJ175" s="24" t="s">
        <v>111</v>
      </c>
      <c r="AK175" s="25" t="str">
        <f>SPELLNUMBER(extractnumber_tot(AI175))</f>
        <v xml:space="preserve">Four Hundred Seventy Four </v>
      </c>
    </row>
    <row r="176" spans="1:37" ht="14.1" customHeight="1">
      <c r="A176" s="85">
        <v>225377</v>
      </c>
      <c r="B176" s="32" t="s">
        <v>28</v>
      </c>
      <c r="C176" s="36" t="s">
        <v>40</v>
      </c>
      <c r="D176" s="86" t="s">
        <v>109</v>
      </c>
      <c r="E176" s="87" t="s">
        <v>51</v>
      </c>
      <c r="F176" s="88" t="s">
        <v>109</v>
      </c>
      <c r="G176" s="87" t="s">
        <v>40</v>
      </c>
      <c r="H176" s="88" t="s">
        <v>109</v>
      </c>
      <c r="I176" s="41" t="s">
        <v>40</v>
      </c>
      <c r="J176" s="88" t="s">
        <v>109</v>
      </c>
      <c r="K176" s="87" t="s">
        <v>51</v>
      </c>
      <c r="L176" s="88" t="s">
        <v>109</v>
      </c>
      <c r="M176" s="87" t="s">
        <v>63</v>
      </c>
      <c r="N176" s="88" t="s">
        <v>109</v>
      </c>
      <c r="O176" s="42">
        <v>40</v>
      </c>
      <c r="P176" s="88" t="s">
        <v>113</v>
      </c>
      <c r="Q176" s="87" t="s">
        <v>46</v>
      </c>
      <c r="R176" s="88" t="s">
        <v>109</v>
      </c>
      <c r="S176" s="87" t="s">
        <v>52</v>
      </c>
      <c r="T176" s="88" t="s">
        <v>109</v>
      </c>
      <c r="U176" s="42">
        <v>15</v>
      </c>
      <c r="V176" s="88" t="s">
        <v>110</v>
      </c>
      <c r="W176" s="87" t="s">
        <v>46</v>
      </c>
      <c r="X176" s="88" t="s">
        <v>109</v>
      </c>
      <c r="Y176" s="42" t="s">
        <v>40</v>
      </c>
      <c r="Z176" s="88" t="s">
        <v>109</v>
      </c>
      <c r="AA176" s="87" t="s">
        <v>51</v>
      </c>
      <c r="AB176" s="88" t="s">
        <v>109</v>
      </c>
      <c r="AC176" s="87" t="s">
        <v>48</v>
      </c>
      <c r="AD176" s="88" t="s">
        <v>109</v>
      </c>
      <c r="AE176" s="42" t="s">
        <v>73</v>
      </c>
      <c r="AF176" s="88" t="s">
        <v>109</v>
      </c>
      <c r="AG176" s="87" t="s">
        <v>46</v>
      </c>
      <c r="AH176" s="88" t="s">
        <v>109</v>
      </c>
      <c r="AI176" s="23">
        <v>462</v>
      </c>
      <c r="AJ176" s="24" t="s">
        <v>111</v>
      </c>
      <c r="AK176" s="25" t="str">
        <f>SPELLNUMBER(extractnumber_tot(AI176))</f>
        <v xml:space="preserve">Four Hundred Sixty Two </v>
      </c>
    </row>
    <row r="177" spans="1:37" ht="14.1" customHeight="1">
      <c r="A177" s="85">
        <v>225378</v>
      </c>
      <c r="B177" s="32" t="s">
        <v>29</v>
      </c>
      <c r="C177" s="36" t="s">
        <v>41</v>
      </c>
      <c r="D177" s="86" t="s">
        <v>109</v>
      </c>
      <c r="E177" s="87" t="s">
        <v>49</v>
      </c>
      <c r="F177" s="88" t="s">
        <v>109</v>
      </c>
      <c r="G177" s="87" t="s">
        <v>43</v>
      </c>
      <c r="H177" s="88" t="s">
        <v>109</v>
      </c>
      <c r="I177" s="41" t="s">
        <v>61</v>
      </c>
      <c r="J177" s="88" t="s">
        <v>109</v>
      </c>
      <c r="K177" s="87" t="s">
        <v>65</v>
      </c>
      <c r="L177" s="88" t="s">
        <v>109</v>
      </c>
      <c r="M177" s="87" t="s">
        <v>40</v>
      </c>
      <c r="N177" s="88" t="s">
        <v>109</v>
      </c>
      <c r="O177" s="42" t="s">
        <v>67</v>
      </c>
      <c r="P177" s="88" t="s">
        <v>109</v>
      </c>
      <c r="Q177" s="87" t="s">
        <v>51</v>
      </c>
      <c r="R177" s="88" t="s">
        <v>109</v>
      </c>
      <c r="S177" s="87" t="s">
        <v>51</v>
      </c>
      <c r="T177" s="88" t="s">
        <v>109</v>
      </c>
      <c r="U177" s="42">
        <v>48</v>
      </c>
      <c r="V177" s="88" t="s">
        <v>114</v>
      </c>
      <c r="W177" s="87" t="s">
        <v>68</v>
      </c>
      <c r="X177" s="88" t="s">
        <v>109</v>
      </c>
      <c r="Y177" s="42" t="s">
        <v>40</v>
      </c>
      <c r="Z177" s="88" t="s">
        <v>109</v>
      </c>
      <c r="AA177" s="87" t="s">
        <v>53</v>
      </c>
      <c r="AB177" s="88" t="s">
        <v>109</v>
      </c>
      <c r="AC177" s="87" t="s">
        <v>49</v>
      </c>
      <c r="AD177" s="88" t="s">
        <v>109</v>
      </c>
      <c r="AE177" s="42" t="s">
        <v>51</v>
      </c>
      <c r="AF177" s="88" t="s">
        <v>109</v>
      </c>
      <c r="AG177" s="87" t="s">
        <v>49</v>
      </c>
      <c r="AH177" s="88" t="s">
        <v>109</v>
      </c>
      <c r="AI177" s="23">
        <v>500</v>
      </c>
      <c r="AJ177" s="24" t="s">
        <v>117</v>
      </c>
      <c r="AK177" s="25" t="str">
        <f>SPELLNUMBER(extractnumber_tot(AI177))</f>
        <v xml:space="preserve">Five Hundred  </v>
      </c>
    </row>
    <row r="178" spans="1:37" ht="14.1" customHeight="1">
      <c r="A178" s="85">
        <v>225379</v>
      </c>
      <c r="B178" s="32" t="s">
        <v>30</v>
      </c>
      <c r="C178" s="36" t="s">
        <v>62</v>
      </c>
      <c r="D178" s="86" t="s">
        <v>109</v>
      </c>
      <c r="E178" s="87" t="s">
        <v>52</v>
      </c>
      <c r="F178" s="88" t="s">
        <v>109</v>
      </c>
      <c r="G178" s="87" t="s">
        <v>58</v>
      </c>
      <c r="H178" s="88" t="s">
        <v>109</v>
      </c>
      <c r="I178" s="41" t="s">
        <v>40</v>
      </c>
      <c r="J178" s="88" t="s">
        <v>109</v>
      </c>
      <c r="K178" s="87" t="s">
        <v>49</v>
      </c>
      <c r="L178" s="88" t="s">
        <v>109</v>
      </c>
      <c r="M178" s="87" t="s">
        <v>40</v>
      </c>
      <c r="N178" s="88" t="s">
        <v>109</v>
      </c>
      <c r="O178" s="42" t="s">
        <v>67</v>
      </c>
      <c r="P178" s="88" t="s">
        <v>109</v>
      </c>
      <c r="Q178" s="87" t="s">
        <v>49</v>
      </c>
      <c r="R178" s="88" t="s">
        <v>109</v>
      </c>
      <c r="S178" s="87" t="s">
        <v>52</v>
      </c>
      <c r="T178" s="88" t="s">
        <v>109</v>
      </c>
      <c r="U178" s="42">
        <v>41</v>
      </c>
      <c r="V178" s="88" t="s">
        <v>113</v>
      </c>
      <c r="W178" s="87" t="s">
        <v>52</v>
      </c>
      <c r="X178" s="88" t="s">
        <v>109</v>
      </c>
      <c r="Y178" s="42">
        <v>5</v>
      </c>
      <c r="Z178" s="88" t="s">
        <v>110</v>
      </c>
      <c r="AA178" s="87" t="s">
        <v>52</v>
      </c>
      <c r="AB178" s="88" t="s">
        <v>109</v>
      </c>
      <c r="AC178" s="87" t="s">
        <v>49</v>
      </c>
      <c r="AD178" s="88" t="s">
        <v>109</v>
      </c>
      <c r="AE178" s="42" t="s">
        <v>72</v>
      </c>
      <c r="AF178" s="88" t="s">
        <v>109</v>
      </c>
      <c r="AG178" s="87" t="s">
        <v>49</v>
      </c>
      <c r="AH178" s="88" t="s">
        <v>109</v>
      </c>
      <c r="AI178" s="23">
        <v>468</v>
      </c>
      <c r="AJ178" s="24" t="s">
        <v>111</v>
      </c>
      <c r="AK178" s="25" t="str">
        <f>SPELLNUMBER(extractnumber_tot(AI178))</f>
        <v xml:space="preserve">Four Hundred Sixty Eight </v>
      </c>
    </row>
    <row r="179" spans="1:37" ht="14.1" customHeight="1">
      <c r="A179" s="85">
        <v>225380</v>
      </c>
      <c r="B179" s="32" t="s">
        <v>31</v>
      </c>
      <c r="C179" s="36" t="s">
        <v>40</v>
      </c>
      <c r="D179" s="86" t="s">
        <v>109</v>
      </c>
      <c r="E179" s="87" t="s">
        <v>46</v>
      </c>
      <c r="F179" s="88" t="s">
        <v>109</v>
      </c>
      <c r="G179" s="87" t="s">
        <v>43</v>
      </c>
      <c r="H179" s="88" t="s">
        <v>109</v>
      </c>
      <c r="I179" s="41" t="s">
        <v>40</v>
      </c>
      <c r="J179" s="88" t="s">
        <v>109</v>
      </c>
      <c r="K179" s="87" t="s">
        <v>51</v>
      </c>
      <c r="L179" s="88" t="s">
        <v>109</v>
      </c>
      <c r="M179" s="87" t="s">
        <v>43</v>
      </c>
      <c r="N179" s="88" t="s">
        <v>109</v>
      </c>
      <c r="O179" s="42">
        <v>6</v>
      </c>
      <c r="P179" s="88" t="s">
        <v>110</v>
      </c>
      <c r="Q179" s="87" t="s">
        <v>49</v>
      </c>
      <c r="R179" s="88" t="s">
        <v>109</v>
      </c>
      <c r="S179" s="87" t="s">
        <v>52</v>
      </c>
      <c r="T179" s="88" t="s">
        <v>109</v>
      </c>
      <c r="U179" s="42">
        <v>32</v>
      </c>
      <c r="V179" s="88" t="s">
        <v>110</v>
      </c>
      <c r="W179" s="87" t="s">
        <v>46</v>
      </c>
      <c r="X179" s="88" t="s">
        <v>109</v>
      </c>
      <c r="Y179" s="42" t="s">
        <v>43</v>
      </c>
      <c r="Z179" s="88" t="s">
        <v>109</v>
      </c>
      <c r="AA179" s="87" t="s">
        <v>46</v>
      </c>
      <c r="AB179" s="88" t="s">
        <v>109</v>
      </c>
      <c r="AC179" s="87" t="s">
        <v>46</v>
      </c>
      <c r="AD179" s="88" t="s">
        <v>109</v>
      </c>
      <c r="AE179" s="42" t="s">
        <v>54</v>
      </c>
      <c r="AF179" s="88" t="s">
        <v>109</v>
      </c>
      <c r="AG179" s="87" t="s">
        <v>46</v>
      </c>
      <c r="AH179" s="88" t="s">
        <v>109</v>
      </c>
      <c r="AI179" s="23">
        <v>456</v>
      </c>
      <c r="AJ179" s="24" t="s">
        <v>111</v>
      </c>
      <c r="AK179" s="25" t="str">
        <f>SPELLNUMBER(extractnumber_tot(AI179))</f>
        <v xml:space="preserve">Four Hundred Fifty Six </v>
      </c>
    </row>
    <row r="180" spans="1:37" ht="14.1" customHeight="1">
      <c r="A180" s="85">
        <v>225381</v>
      </c>
      <c r="B180" s="32" t="s">
        <v>32</v>
      </c>
      <c r="C180" s="36" t="s">
        <v>43</v>
      </c>
      <c r="D180" s="86" t="s">
        <v>109</v>
      </c>
      <c r="E180" s="87" t="s">
        <v>51</v>
      </c>
      <c r="F180" s="88" t="s">
        <v>109</v>
      </c>
      <c r="G180" s="87" t="s">
        <v>44</v>
      </c>
      <c r="H180" s="88" t="s">
        <v>109</v>
      </c>
      <c r="I180" s="41" t="s">
        <v>41</v>
      </c>
      <c r="J180" s="88" t="s">
        <v>109</v>
      </c>
      <c r="K180" s="87" t="s">
        <v>64</v>
      </c>
      <c r="L180" s="88" t="s">
        <v>109</v>
      </c>
      <c r="M180" s="87" t="s">
        <v>57</v>
      </c>
      <c r="N180" s="88" t="s">
        <v>109</v>
      </c>
      <c r="O180" s="42" t="s">
        <v>63</v>
      </c>
      <c r="P180" s="88" t="s">
        <v>109</v>
      </c>
      <c r="Q180" s="87" t="s">
        <v>52</v>
      </c>
      <c r="R180" s="88" t="s">
        <v>109</v>
      </c>
      <c r="S180" s="87" t="s">
        <v>52</v>
      </c>
      <c r="T180" s="88" t="s">
        <v>109</v>
      </c>
      <c r="U180" s="42" t="s">
        <v>75</v>
      </c>
      <c r="V180" s="88" t="s">
        <v>114</v>
      </c>
      <c r="W180" s="87" t="s">
        <v>65</v>
      </c>
      <c r="X180" s="88" t="s">
        <v>109</v>
      </c>
      <c r="Y180" s="42" t="s">
        <v>40</v>
      </c>
      <c r="Z180" s="88" t="s">
        <v>109</v>
      </c>
      <c r="AA180" s="87" t="s">
        <v>47</v>
      </c>
      <c r="AB180" s="88" t="s">
        <v>109</v>
      </c>
      <c r="AC180" s="87" t="s">
        <v>47</v>
      </c>
      <c r="AD180" s="88" t="s">
        <v>109</v>
      </c>
      <c r="AE180" s="42" t="s">
        <v>49</v>
      </c>
      <c r="AF180" s="88" t="s">
        <v>109</v>
      </c>
      <c r="AG180" s="87" t="s">
        <v>65</v>
      </c>
      <c r="AH180" s="88" t="s">
        <v>109</v>
      </c>
      <c r="AI180" s="23">
        <v>429</v>
      </c>
      <c r="AJ180" s="24" t="s">
        <v>119</v>
      </c>
      <c r="AK180" s="25" t="str">
        <f>SPELLNUMBER(extractnumber_tot(AI180))</f>
        <v xml:space="preserve">Four Hundred Twenty Nine </v>
      </c>
    </row>
    <row r="181" spans="1:37" ht="14.1" customHeight="1">
      <c r="A181" s="85">
        <v>225382</v>
      </c>
      <c r="B181" s="32" t="s">
        <v>33</v>
      </c>
      <c r="C181" s="36" t="s">
        <v>40</v>
      </c>
      <c r="D181" s="86" t="s">
        <v>109</v>
      </c>
      <c r="E181" s="87" t="s">
        <v>46</v>
      </c>
      <c r="F181" s="88" t="s">
        <v>109</v>
      </c>
      <c r="G181" s="87" t="s">
        <v>58</v>
      </c>
      <c r="H181" s="88" t="s">
        <v>109</v>
      </c>
      <c r="I181" s="41" t="s">
        <v>40</v>
      </c>
      <c r="J181" s="88" t="s">
        <v>109</v>
      </c>
      <c r="K181" s="87" t="s">
        <v>51</v>
      </c>
      <c r="L181" s="88" t="s">
        <v>109</v>
      </c>
      <c r="M181" s="87" t="s">
        <v>43</v>
      </c>
      <c r="N181" s="88" t="s">
        <v>109</v>
      </c>
      <c r="O181" s="42" t="s">
        <v>43</v>
      </c>
      <c r="P181" s="88" t="s">
        <v>109</v>
      </c>
      <c r="Q181" s="87" t="s">
        <v>46</v>
      </c>
      <c r="R181" s="88" t="s">
        <v>109</v>
      </c>
      <c r="S181" s="87" t="s">
        <v>52</v>
      </c>
      <c r="T181" s="88" t="s">
        <v>109</v>
      </c>
      <c r="U181" s="42">
        <v>55</v>
      </c>
      <c r="V181" s="88" t="s">
        <v>114</v>
      </c>
      <c r="W181" s="87" t="s">
        <v>46</v>
      </c>
      <c r="X181" s="88" t="s">
        <v>109</v>
      </c>
      <c r="Y181" s="42" t="s">
        <v>40</v>
      </c>
      <c r="Z181" s="88" t="s">
        <v>109</v>
      </c>
      <c r="AA181" s="87" t="s">
        <v>46</v>
      </c>
      <c r="AB181" s="88" t="s">
        <v>109</v>
      </c>
      <c r="AC181" s="87" t="s">
        <v>49</v>
      </c>
      <c r="AD181" s="88" t="s">
        <v>109</v>
      </c>
      <c r="AE181" s="42" t="s">
        <v>70</v>
      </c>
      <c r="AF181" s="88" t="s">
        <v>109</v>
      </c>
      <c r="AG181" s="87" t="s">
        <v>46</v>
      </c>
      <c r="AH181" s="88" t="s">
        <v>109</v>
      </c>
      <c r="AI181" s="23">
        <v>510</v>
      </c>
      <c r="AJ181" s="24" t="s">
        <v>117</v>
      </c>
      <c r="AK181" s="25" t="str">
        <f>SPELLNUMBER(extractnumber_tot(AI181))</f>
        <v xml:space="preserve">Five Hundred Ten </v>
      </c>
    </row>
    <row r="182" spans="1:37" ht="14.1" customHeight="1">
      <c r="A182" s="85">
        <v>225383</v>
      </c>
      <c r="B182" s="32" t="s">
        <v>34</v>
      </c>
      <c r="C182" s="36" t="s">
        <v>40</v>
      </c>
      <c r="D182" s="86" t="s">
        <v>109</v>
      </c>
      <c r="E182" s="87" t="s">
        <v>49</v>
      </c>
      <c r="F182" s="88" t="s">
        <v>109</v>
      </c>
      <c r="G182" s="87" t="s">
        <v>58</v>
      </c>
      <c r="H182" s="88" t="s">
        <v>109</v>
      </c>
      <c r="I182" s="41" t="s">
        <v>40</v>
      </c>
      <c r="J182" s="88" t="s">
        <v>109</v>
      </c>
      <c r="K182" s="87" t="s">
        <v>49</v>
      </c>
      <c r="L182" s="88" t="s">
        <v>109</v>
      </c>
      <c r="M182" s="87" t="s">
        <v>66</v>
      </c>
      <c r="N182" s="88" t="s">
        <v>109</v>
      </c>
      <c r="O182" s="42">
        <v>49</v>
      </c>
      <c r="P182" s="88" t="s">
        <v>113</v>
      </c>
      <c r="Q182" s="87" t="s">
        <v>52</v>
      </c>
      <c r="R182" s="88" t="s">
        <v>109</v>
      </c>
      <c r="S182" s="87" t="s">
        <v>52</v>
      </c>
      <c r="T182" s="88" t="s">
        <v>109</v>
      </c>
      <c r="U182" s="42">
        <v>45</v>
      </c>
      <c r="V182" s="88" t="s">
        <v>113</v>
      </c>
      <c r="W182" s="87" t="s">
        <v>49</v>
      </c>
      <c r="X182" s="88" t="s">
        <v>109</v>
      </c>
      <c r="Y182" s="42">
        <v>22</v>
      </c>
      <c r="Z182" s="88" t="s">
        <v>110</v>
      </c>
      <c r="AA182" s="87" t="s">
        <v>49</v>
      </c>
      <c r="AB182" s="88" t="s">
        <v>109</v>
      </c>
      <c r="AC182" s="87" t="s">
        <v>48</v>
      </c>
      <c r="AD182" s="88" t="s">
        <v>109</v>
      </c>
      <c r="AE182" s="42" t="s">
        <v>74</v>
      </c>
      <c r="AF182" s="88" t="s">
        <v>109</v>
      </c>
      <c r="AG182" s="87" t="s">
        <v>49</v>
      </c>
      <c r="AH182" s="88" t="s">
        <v>109</v>
      </c>
      <c r="AI182" s="23">
        <v>459</v>
      </c>
      <c r="AJ182" s="24" t="s">
        <v>111</v>
      </c>
      <c r="AK182" s="25" t="str">
        <f>SPELLNUMBER(extractnumber_tot(AI182))</f>
        <v xml:space="preserve">Four Hundred Fifty Nine </v>
      </c>
    </row>
    <row r="183" spans="1:37" ht="14.1" customHeight="1">
      <c r="A183" s="85">
        <v>225384</v>
      </c>
      <c r="B183" s="33" t="s">
        <v>36</v>
      </c>
      <c r="C183" s="36">
        <v>40</v>
      </c>
      <c r="D183" s="86" t="s">
        <v>114</v>
      </c>
      <c r="E183" s="87" t="s">
        <v>49</v>
      </c>
      <c r="F183" s="88" t="s">
        <v>109</v>
      </c>
      <c r="G183" s="87" t="s">
        <v>42</v>
      </c>
      <c r="H183" s="88" t="s">
        <v>109</v>
      </c>
      <c r="I183" s="41" t="s">
        <v>40</v>
      </c>
      <c r="J183" s="88" t="s">
        <v>109</v>
      </c>
      <c r="K183" s="87" t="s">
        <v>52</v>
      </c>
      <c r="L183" s="88" t="s">
        <v>109</v>
      </c>
      <c r="M183" s="87" t="s">
        <v>63</v>
      </c>
      <c r="N183" s="88" t="s">
        <v>109</v>
      </c>
      <c r="O183" s="42">
        <v>40</v>
      </c>
      <c r="P183" s="88" t="s">
        <v>114</v>
      </c>
      <c r="Q183" s="87" t="s">
        <v>52</v>
      </c>
      <c r="R183" s="88" t="s">
        <v>109</v>
      </c>
      <c r="S183" s="87" t="s">
        <v>46</v>
      </c>
      <c r="T183" s="88" t="s">
        <v>109</v>
      </c>
      <c r="U183" s="42">
        <v>40</v>
      </c>
      <c r="V183" s="88" t="s">
        <v>114</v>
      </c>
      <c r="W183" s="87" t="s">
        <v>52</v>
      </c>
      <c r="X183" s="88" t="s">
        <v>109</v>
      </c>
      <c r="Y183" s="42">
        <v>46</v>
      </c>
      <c r="Z183" s="88" t="s">
        <v>114</v>
      </c>
      <c r="AA183" s="87" t="s">
        <v>49</v>
      </c>
      <c r="AB183" s="88" t="s">
        <v>109</v>
      </c>
      <c r="AC183" s="87" t="s">
        <v>51</v>
      </c>
      <c r="AD183" s="88" t="s">
        <v>109</v>
      </c>
      <c r="AE183" s="42" t="s">
        <v>74</v>
      </c>
      <c r="AF183" s="88" t="s">
        <v>109</v>
      </c>
      <c r="AG183" s="87" t="s">
        <v>49</v>
      </c>
      <c r="AH183" s="88" t="s">
        <v>109</v>
      </c>
      <c r="AI183" s="23">
        <v>490</v>
      </c>
      <c r="AJ183" s="24" t="s">
        <v>117</v>
      </c>
      <c r="AK183" s="25" t="str">
        <f>SPELLNUMBER(extractnumber_tot(AI183))</f>
        <v xml:space="preserve">Four Hundred Ninety </v>
      </c>
    </row>
    <row r="184" spans="1:37" ht="14.1" customHeight="1">
      <c r="A184" s="85" t="s">
        <v>316</v>
      </c>
      <c r="B184" s="33" t="s">
        <v>317</v>
      </c>
      <c r="C184" s="83">
        <v>40</v>
      </c>
      <c r="D184" s="75" t="s">
        <v>113</v>
      </c>
      <c r="E184" s="76">
        <v>19</v>
      </c>
      <c r="F184" s="77" t="s">
        <v>113</v>
      </c>
      <c r="G184" s="76">
        <v>40</v>
      </c>
      <c r="H184" s="77" t="s">
        <v>113</v>
      </c>
      <c r="I184" s="78">
        <v>25</v>
      </c>
      <c r="J184" s="77" t="s">
        <v>110</v>
      </c>
      <c r="K184" s="76">
        <v>19</v>
      </c>
      <c r="L184" s="77" t="s">
        <v>113</v>
      </c>
      <c r="M184" s="76">
        <v>40</v>
      </c>
      <c r="N184" s="77" t="s">
        <v>113</v>
      </c>
      <c r="O184" s="79">
        <v>40</v>
      </c>
      <c r="P184" s="77" t="s">
        <v>113</v>
      </c>
      <c r="Q184" s="76">
        <v>19</v>
      </c>
      <c r="R184" s="77" t="s">
        <v>113</v>
      </c>
      <c r="S184" s="76">
        <v>20</v>
      </c>
      <c r="T184" s="77" t="s">
        <v>113</v>
      </c>
      <c r="U184" s="79">
        <v>16</v>
      </c>
      <c r="V184" s="77" t="s">
        <v>110</v>
      </c>
      <c r="W184" s="76">
        <v>16</v>
      </c>
      <c r="X184" s="77" t="s">
        <v>113</v>
      </c>
      <c r="Y184" s="79">
        <v>40</v>
      </c>
      <c r="Z184" s="77" t="s">
        <v>113</v>
      </c>
      <c r="AA184" s="76">
        <v>19</v>
      </c>
      <c r="AB184" s="77" t="s">
        <v>113</v>
      </c>
      <c r="AC184" s="76">
        <v>19</v>
      </c>
      <c r="AD184" s="77" t="s">
        <v>113</v>
      </c>
      <c r="AE184" s="79">
        <v>24</v>
      </c>
      <c r="AF184" s="77" t="s">
        <v>113</v>
      </c>
      <c r="AG184" s="76">
        <v>23</v>
      </c>
      <c r="AH184" s="77" t="s">
        <v>113</v>
      </c>
      <c r="AI184" s="23">
        <v>419</v>
      </c>
      <c r="AJ184" s="24" t="s">
        <v>111</v>
      </c>
      <c r="AK184" s="25" t="str">
        <f>SPELLNUMBER(extractnumber_tot(AI184))</f>
        <v xml:space="preserve">Four Hundred Nineteen </v>
      </c>
    </row>
    <row r="185" spans="1:37" ht="14.1" customHeight="1">
      <c r="A185" s="85" t="s">
        <v>318</v>
      </c>
      <c r="B185" s="33" t="s">
        <v>319</v>
      </c>
      <c r="C185" s="83">
        <v>50</v>
      </c>
      <c r="D185" s="75" t="s">
        <v>113</v>
      </c>
      <c r="E185" s="76">
        <v>19</v>
      </c>
      <c r="F185" s="77" t="s">
        <v>113</v>
      </c>
      <c r="G185" s="76">
        <v>40</v>
      </c>
      <c r="H185" s="77" t="s">
        <v>113</v>
      </c>
      <c r="I185" s="78">
        <v>17</v>
      </c>
      <c r="J185" s="77" t="s">
        <v>110</v>
      </c>
      <c r="K185" s="76">
        <v>22</v>
      </c>
      <c r="L185" s="77" t="s">
        <v>113</v>
      </c>
      <c r="M185" s="76">
        <v>40</v>
      </c>
      <c r="N185" s="77" t="s">
        <v>113</v>
      </c>
      <c r="O185" s="79">
        <v>44</v>
      </c>
      <c r="P185" s="77" t="s">
        <v>113</v>
      </c>
      <c r="Q185" s="76">
        <v>20</v>
      </c>
      <c r="R185" s="77" t="s">
        <v>113</v>
      </c>
      <c r="S185" s="76">
        <v>20</v>
      </c>
      <c r="T185" s="77" t="s">
        <v>113</v>
      </c>
      <c r="U185" s="79">
        <v>26</v>
      </c>
      <c r="V185" s="77" t="s">
        <v>110</v>
      </c>
      <c r="W185" s="76">
        <v>16</v>
      </c>
      <c r="X185" s="77" t="s">
        <v>113</v>
      </c>
      <c r="Y185" s="79">
        <v>25</v>
      </c>
      <c r="Z185" s="77" t="s">
        <v>110</v>
      </c>
      <c r="AA185" s="76">
        <v>22</v>
      </c>
      <c r="AB185" s="77" t="s">
        <v>113</v>
      </c>
      <c r="AC185" s="76">
        <v>18</v>
      </c>
      <c r="AD185" s="77" t="s">
        <v>113</v>
      </c>
      <c r="AE185" s="79">
        <v>29</v>
      </c>
      <c r="AF185" s="77" t="s">
        <v>113</v>
      </c>
      <c r="AG185" s="76">
        <v>18</v>
      </c>
      <c r="AH185" s="77" t="s">
        <v>113</v>
      </c>
      <c r="AI185" s="23">
        <v>426</v>
      </c>
      <c r="AJ185" s="24" t="s">
        <v>111</v>
      </c>
      <c r="AK185" s="25" t="str">
        <f>SPELLNUMBER(extractnumber_tot(AI185))</f>
        <v xml:space="preserve">Four Hundred Twenty Six </v>
      </c>
    </row>
    <row r="186" spans="1:37" ht="14.1" customHeight="1">
      <c r="A186" s="85" t="s">
        <v>320</v>
      </c>
      <c r="B186" s="33" t="s">
        <v>321</v>
      </c>
      <c r="C186" s="83" t="s">
        <v>75</v>
      </c>
      <c r="D186" s="75" t="s">
        <v>114</v>
      </c>
      <c r="E186" s="76">
        <v>19</v>
      </c>
      <c r="F186" s="77" t="s">
        <v>113</v>
      </c>
      <c r="G186" s="76">
        <v>40</v>
      </c>
      <c r="H186" s="77" t="s">
        <v>113</v>
      </c>
      <c r="I186" s="41">
        <v>8</v>
      </c>
      <c r="J186" s="77" t="s">
        <v>110</v>
      </c>
      <c r="K186" s="76">
        <v>15</v>
      </c>
      <c r="L186" s="77" t="s">
        <v>113</v>
      </c>
      <c r="M186" s="76">
        <v>38</v>
      </c>
      <c r="N186" s="77" t="s">
        <v>113</v>
      </c>
      <c r="O186" s="79" t="s">
        <v>75</v>
      </c>
      <c r="P186" s="77" t="s">
        <v>114</v>
      </c>
      <c r="Q186" s="76">
        <v>20</v>
      </c>
      <c r="R186" s="77" t="s">
        <v>113</v>
      </c>
      <c r="S186" s="76">
        <v>19</v>
      </c>
      <c r="T186" s="77" t="s">
        <v>113</v>
      </c>
      <c r="U186" s="79" t="s">
        <v>75</v>
      </c>
      <c r="V186" s="77" t="s">
        <v>114</v>
      </c>
      <c r="W186" s="76">
        <v>19</v>
      </c>
      <c r="X186" s="77" t="s">
        <v>113</v>
      </c>
      <c r="Y186" s="79" t="s">
        <v>75</v>
      </c>
      <c r="Z186" s="77" t="s">
        <v>114</v>
      </c>
      <c r="AA186" s="76">
        <v>15</v>
      </c>
      <c r="AB186" s="77" t="s">
        <v>113</v>
      </c>
      <c r="AC186" s="76">
        <v>19</v>
      </c>
      <c r="AD186" s="77" t="s">
        <v>113</v>
      </c>
      <c r="AE186" s="79" t="s">
        <v>75</v>
      </c>
      <c r="AF186" s="77" t="s">
        <v>114</v>
      </c>
      <c r="AG186" s="76">
        <v>19</v>
      </c>
      <c r="AH186" s="77" t="s">
        <v>113</v>
      </c>
      <c r="AI186" s="23">
        <v>231</v>
      </c>
      <c r="AJ186" s="24" t="s">
        <v>111</v>
      </c>
      <c r="AK186" s="25" t="str">
        <f>SPELLNUMBER(extractnumber_tot(AI186))</f>
        <v xml:space="preserve">Two Hundred Thirty One </v>
      </c>
    </row>
    <row r="187" spans="1:37" ht="14.1" customHeight="1">
      <c r="A187" s="85" t="s">
        <v>322</v>
      </c>
      <c r="B187" s="33" t="s">
        <v>323</v>
      </c>
      <c r="C187" s="83">
        <v>40</v>
      </c>
      <c r="D187" s="75" t="s">
        <v>113</v>
      </c>
      <c r="E187" s="76">
        <v>20</v>
      </c>
      <c r="F187" s="77" t="s">
        <v>113</v>
      </c>
      <c r="G187" s="76">
        <v>38</v>
      </c>
      <c r="H187" s="77" t="s">
        <v>113</v>
      </c>
      <c r="I187" s="78">
        <v>40</v>
      </c>
      <c r="J187" s="77" t="s">
        <v>113</v>
      </c>
      <c r="K187" s="76">
        <v>21</v>
      </c>
      <c r="L187" s="77" t="s">
        <v>113</v>
      </c>
      <c r="M187" s="76">
        <v>38</v>
      </c>
      <c r="N187" s="77" t="s">
        <v>113</v>
      </c>
      <c r="O187" s="79">
        <v>40</v>
      </c>
      <c r="P187" s="77" t="s">
        <v>113</v>
      </c>
      <c r="Q187" s="76">
        <v>20</v>
      </c>
      <c r="R187" s="77" t="s">
        <v>113</v>
      </c>
      <c r="S187" s="76">
        <v>20</v>
      </c>
      <c r="T187" s="77" t="s">
        <v>113</v>
      </c>
      <c r="U187" s="79">
        <v>32</v>
      </c>
      <c r="V187" s="77" t="s">
        <v>110</v>
      </c>
      <c r="W187" s="76">
        <v>20</v>
      </c>
      <c r="X187" s="77" t="s">
        <v>113</v>
      </c>
      <c r="Y187" s="79">
        <v>25</v>
      </c>
      <c r="Z187" s="77" t="s">
        <v>110</v>
      </c>
      <c r="AA187" s="76">
        <v>15</v>
      </c>
      <c r="AB187" s="77" t="s">
        <v>113</v>
      </c>
      <c r="AC187" s="76">
        <v>19</v>
      </c>
      <c r="AD187" s="77" t="s">
        <v>113</v>
      </c>
      <c r="AE187" s="79">
        <v>25</v>
      </c>
      <c r="AF187" s="77" t="s">
        <v>113</v>
      </c>
      <c r="AG187" s="76">
        <v>21</v>
      </c>
      <c r="AH187" s="77" t="s">
        <v>113</v>
      </c>
      <c r="AI187" s="23">
        <v>434</v>
      </c>
      <c r="AJ187" s="24" t="s">
        <v>111</v>
      </c>
      <c r="AK187" s="25" t="str">
        <f>SPELLNUMBER(extractnumber_tot(AI187))</f>
        <v xml:space="preserve">Four Hundred Thirty Four </v>
      </c>
    </row>
    <row r="188" spans="1:37" ht="14.1" customHeight="1">
      <c r="A188" s="85" t="s">
        <v>324</v>
      </c>
      <c r="B188" s="33" t="s">
        <v>325</v>
      </c>
      <c r="C188" s="83">
        <v>51</v>
      </c>
      <c r="D188" s="75" t="s">
        <v>113</v>
      </c>
      <c r="E188" s="76">
        <v>20</v>
      </c>
      <c r="F188" s="77" t="s">
        <v>113</v>
      </c>
      <c r="G188" s="76">
        <v>39</v>
      </c>
      <c r="H188" s="77" t="s">
        <v>113</v>
      </c>
      <c r="I188" s="78">
        <v>25</v>
      </c>
      <c r="J188" s="77" t="s">
        <v>110</v>
      </c>
      <c r="K188" s="76">
        <v>15</v>
      </c>
      <c r="L188" s="77" t="s">
        <v>113</v>
      </c>
      <c r="M188" s="76">
        <v>38</v>
      </c>
      <c r="N188" s="77" t="s">
        <v>113</v>
      </c>
      <c r="O188" s="79">
        <v>40</v>
      </c>
      <c r="P188" s="77" t="s">
        <v>113</v>
      </c>
      <c r="Q188" s="76">
        <v>19</v>
      </c>
      <c r="R188" s="77" t="s">
        <v>113</v>
      </c>
      <c r="S188" s="76">
        <v>19</v>
      </c>
      <c r="T188" s="77" t="s">
        <v>113</v>
      </c>
      <c r="U188" s="79">
        <v>32</v>
      </c>
      <c r="V188" s="77" t="s">
        <v>110</v>
      </c>
      <c r="W188" s="76">
        <v>20</v>
      </c>
      <c r="X188" s="77" t="s">
        <v>113</v>
      </c>
      <c r="Y188" s="79">
        <v>19</v>
      </c>
      <c r="Z188" s="77" t="s">
        <v>110</v>
      </c>
      <c r="AA188" s="76">
        <v>15</v>
      </c>
      <c r="AB188" s="77" t="s">
        <v>113</v>
      </c>
      <c r="AC188" s="76">
        <v>17</v>
      </c>
      <c r="AD188" s="77" t="s">
        <v>113</v>
      </c>
      <c r="AE188" s="79">
        <v>28</v>
      </c>
      <c r="AF188" s="77" t="s">
        <v>113</v>
      </c>
      <c r="AG188" s="76">
        <v>20</v>
      </c>
      <c r="AH188" s="77" t="s">
        <v>113</v>
      </c>
      <c r="AI188" s="23">
        <v>417</v>
      </c>
      <c r="AJ188" s="24" t="s">
        <v>111</v>
      </c>
      <c r="AK188" s="25" t="str">
        <f>SPELLNUMBER(extractnumber_tot(AI188))</f>
        <v xml:space="preserve">Four Hundred Seventeen </v>
      </c>
    </row>
    <row r="189" spans="1:37" ht="14.1" customHeight="1">
      <c r="A189" s="85" t="s">
        <v>326</v>
      </c>
      <c r="B189" s="33" t="s">
        <v>327</v>
      </c>
      <c r="C189" s="83" t="s">
        <v>75</v>
      </c>
      <c r="D189" s="75" t="s">
        <v>114</v>
      </c>
      <c r="E189" s="76" t="s">
        <v>75</v>
      </c>
      <c r="F189" s="77" t="s">
        <v>114</v>
      </c>
      <c r="G189" s="76" t="s">
        <v>75</v>
      </c>
      <c r="H189" s="77" t="s">
        <v>114</v>
      </c>
      <c r="I189" s="78" t="s">
        <v>75</v>
      </c>
      <c r="J189" s="77" t="s">
        <v>114</v>
      </c>
      <c r="K189" s="76" t="s">
        <v>75</v>
      </c>
      <c r="L189" s="77" t="s">
        <v>114</v>
      </c>
      <c r="M189" s="76" t="s">
        <v>75</v>
      </c>
      <c r="N189" s="77" t="s">
        <v>114</v>
      </c>
      <c r="O189" s="79" t="s">
        <v>75</v>
      </c>
      <c r="P189" s="77" t="s">
        <v>114</v>
      </c>
      <c r="Q189" s="76" t="s">
        <v>75</v>
      </c>
      <c r="R189" s="77" t="s">
        <v>114</v>
      </c>
      <c r="S189" s="76" t="s">
        <v>75</v>
      </c>
      <c r="T189" s="77" t="s">
        <v>114</v>
      </c>
      <c r="U189" s="79" t="s">
        <v>75</v>
      </c>
      <c r="V189" s="77" t="s">
        <v>114</v>
      </c>
      <c r="W189" s="76" t="s">
        <v>75</v>
      </c>
      <c r="X189" s="77" t="s">
        <v>114</v>
      </c>
      <c r="Y189" s="79" t="s">
        <v>75</v>
      </c>
      <c r="Z189" s="77" t="s">
        <v>114</v>
      </c>
      <c r="AA189" s="76" t="s">
        <v>75</v>
      </c>
      <c r="AB189" s="77" t="s">
        <v>114</v>
      </c>
      <c r="AC189" s="76" t="s">
        <v>75</v>
      </c>
      <c r="AD189" s="77" t="s">
        <v>114</v>
      </c>
      <c r="AE189" s="79" t="s">
        <v>75</v>
      </c>
      <c r="AF189" s="77" t="s">
        <v>114</v>
      </c>
      <c r="AG189" s="76" t="s">
        <v>75</v>
      </c>
      <c r="AH189" s="77" t="s">
        <v>114</v>
      </c>
      <c r="AI189" s="23">
        <v>0</v>
      </c>
      <c r="AJ189" s="24" t="s">
        <v>119</v>
      </c>
      <c r="AK189" s="25" t="str">
        <f>SPELLNUMBER(extractnumber_tot(AI189))</f>
        <v xml:space="preserve"> </v>
      </c>
    </row>
    <row r="190" spans="1:37" ht="14.1" customHeight="1">
      <c r="A190" s="85" t="s">
        <v>328</v>
      </c>
      <c r="B190" s="33" t="s">
        <v>329</v>
      </c>
      <c r="C190" s="83" t="s">
        <v>75</v>
      </c>
      <c r="D190" s="75" t="s">
        <v>114</v>
      </c>
      <c r="E190" s="76">
        <v>20</v>
      </c>
      <c r="F190" s="77" t="s">
        <v>113</v>
      </c>
      <c r="G190" s="76">
        <v>39</v>
      </c>
      <c r="H190" s="77" t="s">
        <v>113</v>
      </c>
      <c r="I190" s="78" t="s">
        <v>75</v>
      </c>
      <c r="J190" s="77" t="s">
        <v>114</v>
      </c>
      <c r="K190" s="76">
        <v>17</v>
      </c>
      <c r="L190" s="77" t="s">
        <v>113</v>
      </c>
      <c r="M190" s="76">
        <v>40</v>
      </c>
      <c r="N190" s="77" t="s">
        <v>113</v>
      </c>
      <c r="O190" s="79" t="s">
        <v>75</v>
      </c>
      <c r="P190" s="77" t="s">
        <v>114</v>
      </c>
      <c r="Q190" s="76">
        <v>19</v>
      </c>
      <c r="R190" s="77" t="s">
        <v>113</v>
      </c>
      <c r="S190" s="76" t="s">
        <v>75</v>
      </c>
      <c r="T190" s="77" t="s">
        <v>114</v>
      </c>
      <c r="U190" s="79" t="s">
        <v>75</v>
      </c>
      <c r="V190" s="77" t="s">
        <v>114</v>
      </c>
      <c r="W190" s="76">
        <v>16</v>
      </c>
      <c r="X190" s="77" t="s">
        <v>113</v>
      </c>
      <c r="Y190" s="79" t="s">
        <v>75</v>
      </c>
      <c r="Z190" s="77" t="s">
        <v>114</v>
      </c>
      <c r="AA190" s="76">
        <v>17</v>
      </c>
      <c r="AB190" s="77" t="s">
        <v>113</v>
      </c>
      <c r="AC190" s="76">
        <v>17</v>
      </c>
      <c r="AD190" s="77" t="s">
        <v>113</v>
      </c>
      <c r="AE190" s="79" t="s">
        <v>75</v>
      </c>
      <c r="AF190" s="77" t="s">
        <v>114</v>
      </c>
      <c r="AG190" s="76">
        <v>18</v>
      </c>
      <c r="AH190" s="77" t="s">
        <v>113</v>
      </c>
      <c r="AI190" s="23">
        <v>203</v>
      </c>
      <c r="AJ190" s="24" t="s">
        <v>111</v>
      </c>
      <c r="AK190" s="25" t="str">
        <f>SPELLNUMBER(extractnumber_tot(AI190))</f>
        <v xml:space="preserve">Two Hundred Three </v>
      </c>
    </row>
    <row r="191" spans="1:37" ht="14.1" customHeight="1">
      <c r="A191" s="85" t="s">
        <v>330</v>
      </c>
      <c r="B191" s="33" t="s">
        <v>331</v>
      </c>
      <c r="C191" s="83">
        <v>40</v>
      </c>
      <c r="D191" s="75" t="s">
        <v>113</v>
      </c>
      <c r="E191" s="76">
        <v>12</v>
      </c>
      <c r="F191" s="77" t="s">
        <v>113</v>
      </c>
      <c r="G191" s="76" t="s">
        <v>75</v>
      </c>
      <c r="H191" s="77" t="s">
        <v>114</v>
      </c>
      <c r="I191" s="78">
        <v>30</v>
      </c>
      <c r="J191" s="77" t="s">
        <v>110</v>
      </c>
      <c r="K191" s="76">
        <v>12</v>
      </c>
      <c r="L191" s="77" t="s">
        <v>113</v>
      </c>
      <c r="M191" s="76">
        <v>40</v>
      </c>
      <c r="N191" s="77" t="s">
        <v>113</v>
      </c>
      <c r="O191" s="79">
        <v>55</v>
      </c>
      <c r="P191" s="77" t="s">
        <v>113</v>
      </c>
      <c r="Q191" s="76">
        <v>12</v>
      </c>
      <c r="R191" s="77" t="s">
        <v>113</v>
      </c>
      <c r="S191" s="76">
        <v>20</v>
      </c>
      <c r="T191" s="77" t="s">
        <v>113</v>
      </c>
      <c r="U191" s="79">
        <v>27</v>
      </c>
      <c r="V191" s="77" t="s">
        <v>110</v>
      </c>
      <c r="W191" s="76">
        <v>12</v>
      </c>
      <c r="X191" s="77" t="s">
        <v>113</v>
      </c>
      <c r="Y191" s="79" t="s">
        <v>75</v>
      </c>
      <c r="Z191" s="77" t="s">
        <v>114</v>
      </c>
      <c r="AA191" s="76">
        <v>12</v>
      </c>
      <c r="AB191" s="77" t="s">
        <v>113</v>
      </c>
      <c r="AC191" s="76">
        <v>20</v>
      </c>
      <c r="AD191" s="77" t="s">
        <v>113</v>
      </c>
      <c r="AE191" s="79">
        <v>31</v>
      </c>
      <c r="AF191" s="77" t="s">
        <v>113</v>
      </c>
      <c r="AG191" s="76">
        <v>12</v>
      </c>
      <c r="AH191" s="77" t="s">
        <v>113</v>
      </c>
      <c r="AI191" s="23">
        <v>335</v>
      </c>
      <c r="AJ191" s="24" t="s">
        <v>111</v>
      </c>
      <c r="AK191" s="25" t="str">
        <f>SPELLNUMBER(extractnumber_tot(AI191))</f>
        <v xml:space="preserve">Three Hundred Thirty Five </v>
      </c>
    </row>
    <row r="192" spans="1:37" ht="14.1" customHeight="1">
      <c r="A192" s="85" t="s">
        <v>332</v>
      </c>
      <c r="B192" s="33" t="s">
        <v>333</v>
      </c>
      <c r="C192" s="83" t="s">
        <v>75</v>
      </c>
      <c r="D192" s="75" t="s">
        <v>114</v>
      </c>
      <c r="E192" s="76" t="s">
        <v>75</v>
      </c>
      <c r="F192" s="77" t="s">
        <v>114</v>
      </c>
      <c r="G192" s="76" t="s">
        <v>75</v>
      </c>
      <c r="H192" s="77" t="s">
        <v>114</v>
      </c>
      <c r="I192" s="78" t="s">
        <v>75</v>
      </c>
      <c r="J192" s="77" t="s">
        <v>114</v>
      </c>
      <c r="K192" s="76" t="s">
        <v>75</v>
      </c>
      <c r="L192" s="77" t="s">
        <v>114</v>
      </c>
      <c r="M192" s="76" t="s">
        <v>75</v>
      </c>
      <c r="N192" s="77" t="s">
        <v>114</v>
      </c>
      <c r="O192" s="79" t="s">
        <v>75</v>
      </c>
      <c r="P192" s="77" t="s">
        <v>114</v>
      </c>
      <c r="Q192" s="76" t="s">
        <v>75</v>
      </c>
      <c r="R192" s="77" t="s">
        <v>114</v>
      </c>
      <c r="S192" s="76" t="s">
        <v>75</v>
      </c>
      <c r="T192" s="77" t="s">
        <v>114</v>
      </c>
      <c r="U192" s="79" t="s">
        <v>75</v>
      </c>
      <c r="V192" s="77" t="s">
        <v>114</v>
      </c>
      <c r="W192" s="76" t="s">
        <v>75</v>
      </c>
      <c r="X192" s="77" t="s">
        <v>114</v>
      </c>
      <c r="Y192" s="79" t="s">
        <v>75</v>
      </c>
      <c r="Z192" s="77" t="s">
        <v>114</v>
      </c>
      <c r="AA192" s="76" t="s">
        <v>75</v>
      </c>
      <c r="AB192" s="77" t="s">
        <v>114</v>
      </c>
      <c r="AC192" s="76" t="s">
        <v>75</v>
      </c>
      <c r="AD192" s="77" t="s">
        <v>114</v>
      </c>
      <c r="AE192" s="79" t="s">
        <v>75</v>
      </c>
      <c r="AF192" s="77" t="s">
        <v>114</v>
      </c>
      <c r="AG192" s="76" t="s">
        <v>75</v>
      </c>
      <c r="AH192" s="77" t="s">
        <v>114</v>
      </c>
      <c r="AI192" s="23">
        <v>0</v>
      </c>
      <c r="AJ192" s="24" t="s">
        <v>119</v>
      </c>
      <c r="AK192" s="25" t="str">
        <f>SPELLNUMBER(extractnumber_tot(AI192))</f>
        <v xml:space="preserve"> </v>
      </c>
    </row>
    <row r="193" spans="1:37" ht="14.1" customHeight="1">
      <c r="A193" s="85" t="s">
        <v>334</v>
      </c>
      <c r="B193" s="33" t="s">
        <v>335</v>
      </c>
      <c r="C193" s="83" t="s">
        <v>75</v>
      </c>
      <c r="D193" s="75" t="s">
        <v>114</v>
      </c>
      <c r="E193" s="76" t="s">
        <v>75</v>
      </c>
      <c r="F193" s="77" t="s">
        <v>114</v>
      </c>
      <c r="G193" s="76" t="s">
        <v>75</v>
      </c>
      <c r="H193" s="77" t="s">
        <v>114</v>
      </c>
      <c r="I193" s="78" t="s">
        <v>75</v>
      </c>
      <c r="J193" s="77" t="s">
        <v>114</v>
      </c>
      <c r="K193" s="76" t="s">
        <v>75</v>
      </c>
      <c r="L193" s="77" t="s">
        <v>114</v>
      </c>
      <c r="M193" s="76" t="s">
        <v>75</v>
      </c>
      <c r="N193" s="77" t="s">
        <v>114</v>
      </c>
      <c r="O193" s="79" t="s">
        <v>75</v>
      </c>
      <c r="P193" s="77" t="s">
        <v>114</v>
      </c>
      <c r="Q193" s="76" t="s">
        <v>75</v>
      </c>
      <c r="R193" s="77" t="s">
        <v>114</v>
      </c>
      <c r="S193" s="76" t="s">
        <v>75</v>
      </c>
      <c r="T193" s="77" t="s">
        <v>114</v>
      </c>
      <c r="U193" s="79" t="s">
        <v>75</v>
      </c>
      <c r="V193" s="77" t="s">
        <v>114</v>
      </c>
      <c r="W193" s="76" t="s">
        <v>75</v>
      </c>
      <c r="X193" s="77" t="s">
        <v>114</v>
      </c>
      <c r="Y193" s="79" t="s">
        <v>75</v>
      </c>
      <c r="Z193" s="77" t="s">
        <v>114</v>
      </c>
      <c r="AA193" s="76" t="s">
        <v>75</v>
      </c>
      <c r="AB193" s="77" t="s">
        <v>114</v>
      </c>
      <c r="AC193" s="76" t="s">
        <v>75</v>
      </c>
      <c r="AD193" s="77" t="s">
        <v>114</v>
      </c>
      <c r="AE193" s="79" t="s">
        <v>75</v>
      </c>
      <c r="AF193" s="77" t="s">
        <v>114</v>
      </c>
      <c r="AG193" s="76" t="s">
        <v>75</v>
      </c>
      <c r="AH193" s="77" t="s">
        <v>114</v>
      </c>
      <c r="AI193" s="23">
        <v>0</v>
      </c>
      <c r="AJ193" s="24" t="s">
        <v>119</v>
      </c>
      <c r="AK193" s="25" t="str">
        <f>SPELLNUMBER(extractnumber_tot(AI193))</f>
        <v xml:space="preserve"> </v>
      </c>
    </row>
  </sheetData>
  <conditionalFormatting sqref="AJ2:AJ193">
    <cfRule type="cellIs" dxfId="17" priority="6" operator="equal">
      <formula>"FAIL"</formula>
    </cfRule>
  </conditionalFormatting>
  <conditionalFormatting sqref="Z2:Z193 H2:H193 J2:J193 L2:L193 N2:N193 P2:P193 R2:R193 T2:T193 V2:V193 X2:X193 AB2:AB193 AD2:AD193 AF2:AF193 AH2:AH193 D2:D193 F2:F193">
    <cfRule type="cellIs" dxfId="16" priority="5" operator="equal">
      <formula>"F"</formula>
    </cfRule>
  </conditionalFormatting>
  <conditionalFormatting sqref="C2:C193 E2:E193 G2:G193 K2:K193 M2:M193 Q2:Q193 S2:S193 W2:W193 AA2:AA193 AC2:AC193 AG2:AG193 I2:I193 O2:O193 U2:U193 Y2:Y193 AE2:AE193">
    <cfRule type="cellIs" dxfId="15" priority="4" operator="equal">
      <formula>"AB"</formula>
    </cfRule>
  </conditionalFormatting>
  <conditionalFormatting sqref="C2:C193 I2:I193 O2:O193 U2:U193 Y2:Y193">
    <cfRule type="cellIs" dxfId="14" priority="3" operator="lessThan">
      <formula>40</formula>
    </cfRule>
  </conditionalFormatting>
  <conditionalFormatting sqref="E2:E193 K2:K193 Q2:Q193 S2:S193 W2:W193 AA2:AA193 AC2:AC193 AG2:AG193">
    <cfRule type="cellIs" dxfId="13" priority="2" operator="lessThan">
      <formula>10</formula>
    </cfRule>
  </conditionalFormatting>
  <conditionalFormatting sqref="G2:G193 M2:M193 AE2:AE193">
    <cfRule type="cellIs" dxfId="12" priority="1" operator="lessThan">
      <formula>20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GAZET</vt:lpstr>
      <vt:lpstr>Analysis</vt:lpstr>
      <vt:lpstr>MarkSheet</vt:lpstr>
      <vt:lpstr>Sheet1</vt:lpstr>
      <vt:lpstr>GAZET!Print_Area</vt:lpstr>
      <vt:lpstr>GAZET!Print_Titles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PARAG</dc:creator>
  <cp:lastModifiedBy>admin</cp:lastModifiedBy>
  <cp:lastPrinted>2014-01-24T11:02:02Z</cp:lastPrinted>
  <dcterms:created xsi:type="dcterms:W3CDTF">2012-04-17T06:18:48Z</dcterms:created>
  <dcterms:modified xsi:type="dcterms:W3CDTF">2014-07-23T04:41:18Z</dcterms:modified>
</cp:coreProperties>
</file>