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5" windowWidth="15195" windowHeight="8190"/>
  </bookViews>
  <sheets>
    <sheet name="GAZET" sheetId="1" r:id="rId1"/>
    <sheet name="Analysis" sheetId="2" r:id="rId2"/>
    <sheet name="MarkSheet" sheetId="3" r:id="rId3"/>
  </sheets>
  <functionGroups/>
  <definedNames>
    <definedName name="_xlnm.Print_Area" localSheetId="0">GAZET!$B$21:$AK$216</definedName>
    <definedName name="_xlnm.Print_Titles" localSheetId="0">GAZET!$16:$24</definedName>
  </definedNames>
  <calcPr calcId="124519"/>
</workbook>
</file>

<file path=xl/calcChain.xml><?xml version="1.0" encoding="utf-8"?>
<calcChain xmlns="http://schemas.openxmlformats.org/spreadsheetml/2006/main">
  <c r="AA71" i="1"/>
  <c r="AA72"/>
  <c r="AA73"/>
  <c r="Y71"/>
  <c r="Y72"/>
  <c r="Y73"/>
  <c r="W71"/>
  <c r="W72"/>
  <c r="W73"/>
  <c r="U71"/>
  <c r="U72"/>
  <c r="U73"/>
  <c r="S71"/>
  <c r="S72"/>
  <c r="S73"/>
  <c r="Q71"/>
  <c r="AK71" s="1"/>
  <c r="Q72"/>
  <c r="Q73"/>
  <c r="AK73" s="1"/>
  <c r="O71"/>
  <c r="O72"/>
  <c r="O73"/>
  <c r="M71"/>
  <c r="M72"/>
  <c r="M73"/>
  <c r="K71"/>
  <c r="K72"/>
  <c r="K73"/>
  <c r="I71"/>
  <c r="I72"/>
  <c r="I73"/>
  <c r="G71"/>
  <c r="G72"/>
  <c r="G73"/>
  <c r="E71"/>
  <c r="E72"/>
  <c r="E73"/>
  <c r="AL221"/>
  <c r="AK26"/>
  <c r="AK27"/>
  <c r="AK28"/>
  <c r="AK29"/>
  <c r="AK30"/>
  <c r="AK31"/>
  <c r="AK32"/>
  <c r="AK33"/>
  <c r="AK34"/>
  <c r="AK35"/>
  <c r="AK36"/>
  <c r="AK37"/>
  <c r="AK38"/>
  <c r="AK39"/>
  <c r="AK40"/>
  <c r="AK41"/>
  <c r="AK42"/>
  <c r="AK43"/>
  <c r="AK44"/>
  <c r="AK45"/>
  <c r="AK46"/>
  <c r="AK47"/>
  <c r="AK48"/>
  <c r="AK49"/>
  <c r="AK50"/>
  <c r="AK51"/>
  <c r="AK52"/>
  <c r="AK53"/>
  <c r="AK54"/>
  <c r="AK55"/>
  <c r="AK56"/>
  <c r="AK57"/>
  <c r="AK58"/>
  <c r="AK59"/>
  <c r="AK60"/>
  <c r="AK61"/>
  <c r="AK62"/>
  <c r="AK63"/>
  <c r="AK64"/>
  <c r="AK65"/>
  <c r="AK66"/>
  <c r="AK67"/>
  <c r="AK68"/>
  <c r="AK69"/>
  <c r="AK70"/>
  <c r="AK72"/>
  <c r="AK74"/>
  <c r="AK75"/>
  <c r="AK76"/>
  <c r="AK77"/>
  <c r="AK78"/>
  <c r="AK79"/>
  <c r="AK80"/>
  <c r="AK81"/>
  <c r="AK82"/>
  <c r="AK83"/>
  <c r="AK84"/>
  <c r="AK85"/>
  <c r="AK86"/>
  <c r="AK87"/>
  <c r="AK88"/>
  <c r="AK89"/>
  <c r="AK90"/>
  <c r="AK91"/>
  <c r="AK92"/>
  <c r="AK93"/>
  <c r="AK94"/>
  <c r="AK95"/>
  <c r="AK96"/>
  <c r="AK97"/>
  <c r="AK98"/>
  <c r="AK99"/>
  <c r="AK100"/>
  <c r="AK101"/>
  <c r="AK102"/>
  <c r="AK103"/>
  <c r="AK104"/>
  <c r="AK105"/>
  <c r="AK106"/>
  <c r="AK107"/>
  <c r="AK108"/>
  <c r="AK109"/>
  <c r="AK110"/>
  <c r="AK111"/>
  <c r="AK112"/>
  <c r="AK113"/>
  <c r="AK114"/>
  <c r="AK115"/>
  <c r="AK116"/>
  <c r="AK117"/>
  <c r="AK118"/>
  <c r="AK119"/>
  <c r="AK120"/>
  <c r="AK121"/>
  <c r="AK122"/>
  <c r="AK123"/>
  <c r="AK124"/>
  <c r="AK125"/>
  <c r="AK126"/>
  <c r="AK127"/>
  <c r="AK128"/>
  <c r="AK129"/>
  <c r="AK130"/>
  <c r="AK131"/>
  <c r="AK132"/>
  <c r="AK133"/>
  <c r="AK134"/>
  <c r="AK135"/>
  <c r="AK136"/>
  <c r="AK137"/>
  <c r="AK138"/>
  <c r="AK139"/>
  <c r="AK140"/>
  <c r="AK141"/>
  <c r="AK142"/>
  <c r="AK143"/>
  <c r="AK144"/>
  <c r="AK145"/>
  <c r="AK146"/>
  <c r="AK147"/>
  <c r="AK148"/>
  <c r="AK149"/>
  <c r="AK150"/>
  <c r="AK151"/>
  <c r="AK152"/>
  <c r="AK153"/>
  <c r="AK154"/>
  <c r="AK155"/>
  <c r="AK156"/>
  <c r="AK157"/>
  <c r="AK158"/>
  <c r="AK159"/>
  <c r="AK160"/>
  <c r="AK161"/>
  <c r="AK162"/>
  <c r="AK163"/>
  <c r="AK164"/>
  <c r="AK165"/>
  <c r="AK166"/>
  <c r="AK167"/>
  <c r="AK168"/>
  <c r="AK169"/>
  <c r="AK170"/>
  <c r="AK171"/>
  <c r="AK172"/>
  <c r="AK173"/>
  <c r="AK174"/>
  <c r="AK175"/>
  <c r="AK176"/>
  <c r="AK177"/>
  <c r="AK178"/>
  <c r="AK179"/>
  <c r="AK180"/>
  <c r="AK181"/>
  <c r="AK182"/>
  <c r="AK183"/>
  <c r="AK184"/>
  <c r="AK185"/>
  <c r="AK186"/>
  <c r="AK187"/>
  <c r="AK188"/>
  <c r="AK189"/>
  <c r="AK190"/>
  <c r="AK191"/>
  <c r="AK192"/>
  <c r="AK193"/>
  <c r="AK194"/>
  <c r="AK195"/>
  <c r="AK196"/>
  <c r="AK197"/>
  <c r="AK198"/>
  <c r="AK199"/>
  <c r="AK200"/>
  <c r="AK201"/>
  <c r="AK202"/>
  <c r="AK203"/>
  <c r="AK204"/>
  <c r="AK205"/>
  <c r="AK206"/>
  <c r="AK208"/>
  <c r="AK209"/>
  <c r="AK210"/>
  <c r="AK211"/>
  <c r="AK212"/>
  <c r="AK213"/>
  <c r="AK214"/>
  <c r="AK215"/>
  <c r="AK216"/>
  <c r="AL220"/>
  <c r="C222"/>
  <c r="AF9"/>
  <c r="AF4"/>
  <c r="Z4"/>
  <c r="V4"/>
  <c r="P4"/>
  <c r="D4"/>
  <c r="AF11" l="1"/>
  <c r="AF8"/>
  <c r="AF7"/>
  <c r="Z11"/>
  <c r="Z9"/>
  <c r="Z8"/>
  <c r="Z7"/>
  <c r="V11"/>
  <c r="V9"/>
  <c r="V8"/>
  <c r="V7"/>
  <c r="P11"/>
  <c r="P9"/>
  <c r="P8"/>
  <c r="P7"/>
  <c r="J11"/>
  <c r="J4" s="1"/>
  <c r="J9"/>
  <c r="J8"/>
  <c r="J7"/>
  <c r="D9"/>
  <c r="D8"/>
  <c r="D7"/>
  <c r="D11"/>
  <c r="AJ35"/>
  <c r="AJ34"/>
  <c r="AJ37"/>
  <c r="AJ51"/>
  <c r="AJ52"/>
  <c r="AJ53"/>
  <c r="AJ40"/>
  <c r="AJ47"/>
  <c r="AJ48"/>
  <c r="AJ49"/>
  <c r="AJ54"/>
  <c r="AJ26"/>
  <c r="AJ27"/>
  <c r="AJ28"/>
  <c r="AJ50"/>
  <c r="AJ55"/>
  <c r="AJ25"/>
  <c r="AJ36"/>
  <c r="AJ29"/>
  <c r="AJ30"/>
  <c r="AJ31"/>
  <c r="AJ32"/>
  <c r="AJ43"/>
  <c r="AJ42"/>
  <c r="AJ45"/>
  <c r="AJ46"/>
  <c r="AJ39"/>
  <c r="AJ38"/>
  <c r="AJ41"/>
  <c r="E26" l="1"/>
  <c r="E27"/>
  <c r="E28"/>
  <c r="E29"/>
  <c r="E30"/>
  <c r="AI70" l="1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G70"/>
  <c r="AG71"/>
  <c r="AG72"/>
  <c r="AG73"/>
  <c r="AG74"/>
  <c r="AG75"/>
  <c r="AG76"/>
  <c r="AG77"/>
  <c r="AG78"/>
  <c r="AG79"/>
  <c r="AG80"/>
  <c r="AG81"/>
  <c r="AG82"/>
  <c r="AG83"/>
  <c r="AG84"/>
  <c r="AG85"/>
  <c r="AG86"/>
  <c r="AG87"/>
  <c r="AG88"/>
  <c r="AG89"/>
  <c r="AG90"/>
  <c r="AG91"/>
  <c r="AG92"/>
  <c r="AG93"/>
  <c r="AG94"/>
  <c r="AG95"/>
  <c r="AG96"/>
  <c r="AG97"/>
  <c r="AG98"/>
  <c r="AG99"/>
  <c r="AG100"/>
  <c r="AG101"/>
  <c r="AG102"/>
  <c r="AG103"/>
  <c r="AG104"/>
  <c r="AG105"/>
  <c r="AG106"/>
  <c r="AG107"/>
  <c r="AG108"/>
  <c r="AG109"/>
  <c r="AG110"/>
  <c r="AG111"/>
  <c r="AG112"/>
  <c r="AG113"/>
  <c r="AG114"/>
  <c r="AG115"/>
  <c r="AG116"/>
  <c r="AG117"/>
  <c r="AG118"/>
  <c r="AG119"/>
  <c r="AG120"/>
  <c r="AG121"/>
  <c r="AG122"/>
  <c r="AG123"/>
  <c r="AG124"/>
  <c r="AG125"/>
  <c r="AG126"/>
  <c r="AG127"/>
  <c r="AG128"/>
  <c r="AG129"/>
  <c r="AG130"/>
  <c r="AG131"/>
  <c r="AG132"/>
  <c r="AG133"/>
  <c r="AG134"/>
  <c r="AG135"/>
  <c r="AG136"/>
  <c r="AG137"/>
  <c r="AG138"/>
  <c r="AG139"/>
  <c r="AG140"/>
  <c r="AG141"/>
  <c r="AG142"/>
  <c r="AG143"/>
  <c r="AG144"/>
  <c r="AG145"/>
  <c r="AG146"/>
  <c r="AG147"/>
  <c r="AG148"/>
  <c r="AG149"/>
  <c r="AG150"/>
  <c r="AG151"/>
  <c r="AG152"/>
  <c r="AG153"/>
  <c r="AG154"/>
  <c r="AG155"/>
  <c r="AG156"/>
  <c r="AG157"/>
  <c r="AG158"/>
  <c r="AG159"/>
  <c r="AG160"/>
  <c r="AG161"/>
  <c r="AG162"/>
  <c r="AG163"/>
  <c r="AG164"/>
  <c r="AG165"/>
  <c r="AG166"/>
  <c r="AG167"/>
  <c r="AG168"/>
  <c r="AG169"/>
  <c r="AG170"/>
  <c r="AG171"/>
  <c r="AG172"/>
  <c r="AG173"/>
  <c r="AG174"/>
  <c r="AG175"/>
  <c r="AG176"/>
  <c r="AG177"/>
  <c r="AG178"/>
  <c r="AG179"/>
  <c r="AG180"/>
  <c r="AG181"/>
  <c r="AG182"/>
  <c r="AG183"/>
  <c r="AG184"/>
  <c r="AG185"/>
  <c r="AG186"/>
  <c r="AG187"/>
  <c r="AG188"/>
  <c r="AG189"/>
  <c r="AG190"/>
  <c r="AG191"/>
  <c r="AG192"/>
  <c r="AG193"/>
  <c r="AG194"/>
  <c r="AG195"/>
  <c r="AG196"/>
  <c r="AG197"/>
  <c r="AG198"/>
  <c r="AG199"/>
  <c r="AG200"/>
  <c r="AG201"/>
  <c r="AG202"/>
  <c r="AG203"/>
  <c r="AG204"/>
  <c r="AG205"/>
  <c r="AG206"/>
  <c r="AG207"/>
  <c r="AG208"/>
  <c r="AG209"/>
  <c r="AG210"/>
  <c r="AG211"/>
  <c r="AG212"/>
  <c r="AG213"/>
  <c r="AG214"/>
  <c r="AG215"/>
  <c r="AG216"/>
  <c r="AE70"/>
  <c r="AE71"/>
  <c r="AE72"/>
  <c r="AE73"/>
  <c r="AE74"/>
  <c r="AE75"/>
  <c r="AE76"/>
  <c r="AE77"/>
  <c r="AE78"/>
  <c r="AE79"/>
  <c r="AE80"/>
  <c r="AE81"/>
  <c r="AE82"/>
  <c r="AE83"/>
  <c r="AE84"/>
  <c r="AE85"/>
  <c r="AE86"/>
  <c r="AE87"/>
  <c r="AE88"/>
  <c r="AE89"/>
  <c r="AE90"/>
  <c r="AE91"/>
  <c r="AE92"/>
  <c r="AE93"/>
  <c r="AE94"/>
  <c r="AE95"/>
  <c r="AE96"/>
  <c r="AE97"/>
  <c r="AE98"/>
  <c r="AE99"/>
  <c r="AE100"/>
  <c r="AE101"/>
  <c r="AE102"/>
  <c r="AE103"/>
  <c r="AE104"/>
  <c r="AE105"/>
  <c r="AE106"/>
  <c r="AE107"/>
  <c r="AE108"/>
  <c r="AE109"/>
  <c r="AE110"/>
  <c r="AE111"/>
  <c r="AE112"/>
  <c r="AE113"/>
  <c r="AE114"/>
  <c r="AE115"/>
  <c r="AE116"/>
  <c r="AE117"/>
  <c r="AE118"/>
  <c r="AE119"/>
  <c r="AE120"/>
  <c r="AE121"/>
  <c r="AE122"/>
  <c r="AE123"/>
  <c r="AE124"/>
  <c r="AE125"/>
  <c r="AE126"/>
  <c r="AE127"/>
  <c r="AE128"/>
  <c r="AE129"/>
  <c r="AE130"/>
  <c r="AE131"/>
  <c r="AE132"/>
  <c r="AE133"/>
  <c r="AE134"/>
  <c r="AE135"/>
  <c r="AE136"/>
  <c r="AE137"/>
  <c r="AE138"/>
  <c r="AE139"/>
  <c r="AE140"/>
  <c r="AE141"/>
  <c r="AE142"/>
  <c r="AE143"/>
  <c r="AE144"/>
  <c r="AE145"/>
  <c r="AE146"/>
  <c r="AE147"/>
  <c r="AE148"/>
  <c r="AE149"/>
  <c r="AE150"/>
  <c r="AE151"/>
  <c r="AE152"/>
  <c r="AE153"/>
  <c r="AE154"/>
  <c r="AE155"/>
  <c r="AE156"/>
  <c r="AE157"/>
  <c r="AE158"/>
  <c r="AE159"/>
  <c r="AE160"/>
  <c r="AE161"/>
  <c r="AE162"/>
  <c r="AE163"/>
  <c r="AE164"/>
  <c r="AE165"/>
  <c r="AE166"/>
  <c r="AE167"/>
  <c r="AE168"/>
  <c r="AE169"/>
  <c r="AE170"/>
  <c r="AE171"/>
  <c r="AE172"/>
  <c r="AE173"/>
  <c r="AE174"/>
  <c r="AE175"/>
  <c r="AE176"/>
  <c r="AE177"/>
  <c r="AE178"/>
  <c r="AE179"/>
  <c r="AE180"/>
  <c r="AE181"/>
  <c r="AE182"/>
  <c r="AE183"/>
  <c r="AE184"/>
  <c r="AE185"/>
  <c r="AE186"/>
  <c r="AE187"/>
  <c r="AE188"/>
  <c r="AE189"/>
  <c r="AE190"/>
  <c r="AE191"/>
  <c r="AE192"/>
  <c r="AE193"/>
  <c r="AE194"/>
  <c r="AE195"/>
  <c r="AE196"/>
  <c r="AE197"/>
  <c r="AE198"/>
  <c r="AE199"/>
  <c r="AE200"/>
  <c r="AE201"/>
  <c r="AE202"/>
  <c r="AE203"/>
  <c r="AE204"/>
  <c r="AE205"/>
  <c r="AE206"/>
  <c r="AE207"/>
  <c r="AE208"/>
  <c r="AE209"/>
  <c r="AE210"/>
  <c r="AE211"/>
  <c r="AE212"/>
  <c r="AE213"/>
  <c r="AE214"/>
  <c r="AE215"/>
  <c r="AE216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C112"/>
  <c r="AC113"/>
  <c r="AC114"/>
  <c r="AC115"/>
  <c r="AC116"/>
  <c r="AC117"/>
  <c r="AC118"/>
  <c r="AC119"/>
  <c r="AC120"/>
  <c r="AC121"/>
  <c r="AC122"/>
  <c r="AC123"/>
  <c r="AC124"/>
  <c r="AC125"/>
  <c r="AC126"/>
  <c r="AC127"/>
  <c r="AC128"/>
  <c r="AC129"/>
  <c r="AC130"/>
  <c r="AC131"/>
  <c r="AC132"/>
  <c r="AC133"/>
  <c r="AC134"/>
  <c r="AC135"/>
  <c r="AC136"/>
  <c r="AC137"/>
  <c r="AC138"/>
  <c r="AC139"/>
  <c r="AC140"/>
  <c r="AC141"/>
  <c r="AC142"/>
  <c r="AC143"/>
  <c r="AC144"/>
  <c r="AC145"/>
  <c r="AC146"/>
  <c r="AC147"/>
  <c r="AC148"/>
  <c r="AC149"/>
  <c r="AC150"/>
  <c r="AC151"/>
  <c r="AC152"/>
  <c r="AC153"/>
  <c r="AC154"/>
  <c r="AC155"/>
  <c r="AC156"/>
  <c r="AC157"/>
  <c r="AC158"/>
  <c r="AC159"/>
  <c r="AC160"/>
  <c r="AC161"/>
  <c r="AC162"/>
  <c r="AC163"/>
  <c r="AC164"/>
  <c r="AC165"/>
  <c r="AC166"/>
  <c r="AC167"/>
  <c r="AC168"/>
  <c r="AC169"/>
  <c r="AC170"/>
  <c r="AC171"/>
  <c r="AC172"/>
  <c r="AC173"/>
  <c r="AC174"/>
  <c r="AC175"/>
  <c r="AC176"/>
  <c r="AC177"/>
  <c r="AC178"/>
  <c r="AC179"/>
  <c r="AC180"/>
  <c r="AC181"/>
  <c r="AC182"/>
  <c r="AC183"/>
  <c r="AC184"/>
  <c r="AC185"/>
  <c r="AC186"/>
  <c r="AC187"/>
  <c r="AC188"/>
  <c r="AC189"/>
  <c r="AC190"/>
  <c r="AC191"/>
  <c r="AC192"/>
  <c r="AC193"/>
  <c r="AC194"/>
  <c r="AC195"/>
  <c r="AC196"/>
  <c r="AC197"/>
  <c r="AC198"/>
  <c r="AC199"/>
  <c r="AC200"/>
  <c r="AC201"/>
  <c r="AC202"/>
  <c r="AC203"/>
  <c r="AC204"/>
  <c r="AC205"/>
  <c r="AC206"/>
  <c r="AC207"/>
  <c r="AC208"/>
  <c r="AC209"/>
  <c r="AC210"/>
  <c r="AC211"/>
  <c r="AC212"/>
  <c r="AC213"/>
  <c r="AC214"/>
  <c r="AC215"/>
  <c r="AC216"/>
  <c r="AA70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AA112"/>
  <c r="AA113"/>
  <c r="AA114"/>
  <c r="AA115"/>
  <c r="AA116"/>
  <c r="AA117"/>
  <c r="AA118"/>
  <c r="AA119"/>
  <c r="AA120"/>
  <c r="AA121"/>
  <c r="AA122"/>
  <c r="AA123"/>
  <c r="AA124"/>
  <c r="AA125"/>
  <c r="AA126"/>
  <c r="AA127"/>
  <c r="AA128"/>
  <c r="AA129"/>
  <c r="AA130"/>
  <c r="AA131"/>
  <c r="AA132"/>
  <c r="AA133"/>
  <c r="AA134"/>
  <c r="AA135"/>
  <c r="AA136"/>
  <c r="AA137"/>
  <c r="AA138"/>
  <c r="AA139"/>
  <c r="AA140"/>
  <c r="AA141"/>
  <c r="AA142"/>
  <c r="AA143"/>
  <c r="AA144"/>
  <c r="AA145"/>
  <c r="AA146"/>
  <c r="AA147"/>
  <c r="AA148"/>
  <c r="AA149"/>
  <c r="AA150"/>
  <c r="AA151"/>
  <c r="AA152"/>
  <c r="AA153"/>
  <c r="AA154"/>
  <c r="AA155"/>
  <c r="AA156"/>
  <c r="AA157"/>
  <c r="AA158"/>
  <c r="AA159"/>
  <c r="AA160"/>
  <c r="AA161"/>
  <c r="AA162"/>
  <c r="AA163"/>
  <c r="AA164"/>
  <c r="AA165"/>
  <c r="AA166"/>
  <c r="AA167"/>
  <c r="AA168"/>
  <c r="AA169"/>
  <c r="AA170"/>
  <c r="AA171"/>
  <c r="AA172"/>
  <c r="AA173"/>
  <c r="AA174"/>
  <c r="AA175"/>
  <c r="AA176"/>
  <c r="AA177"/>
  <c r="AA178"/>
  <c r="AA179"/>
  <c r="AA180"/>
  <c r="AA181"/>
  <c r="AA182"/>
  <c r="AA183"/>
  <c r="AA184"/>
  <c r="AA185"/>
  <c r="AA186"/>
  <c r="AA187"/>
  <c r="AA188"/>
  <c r="AA189"/>
  <c r="AA190"/>
  <c r="AA191"/>
  <c r="AA192"/>
  <c r="AA193"/>
  <c r="AA194"/>
  <c r="AA195"/>
  <c r="AA196"/>
  <c r="AA197"/>
  <c r="AA198"/>
  <c r="AA199"/>
  <c r="AA200"/>
  <c r="AA201"/>
  <c r="AA202"/>
  <c r="AA203"/>
  <c r="AA204"/>
  <c r="AA205"/>
  <c r="AA206"/>
  <c r="AA207"/>
  <c r="AA208"/>
  <c r="AA209"/>
  <c r="AA210"/>
  <c r="AA211"/>
  <c r="AA212"/>
  <c r="AA213"/>
  <c r="AA214"/>
  <c r="AA215"/>
  <c r="AA216"/>
  <c r="Y70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Y112"/>
  <c r="Y113"/>
  <c r="Y114"/>
  <c r="Y115"/>
  <c r="Y116"/>
  <c r="Y117"/>
  <c r="Y118"/>
  <c r="Y119"/>
  <c r="Y120"/>
  <c r="Y121"/>
  <c r="Y122"/>
  <c r="Y123"/>
  <c r="Y124"/>
  <c r="Y125"/>
  <c r="Y126"/>
  <c r="Y127"/>
  <c r="Y128"/>
  <c r="Y129"/>
  <c r="Y130"/>
  <c r="Y131"/>
  <c r="Y132"/>
  <c r="Y133"/>
  <c r="Y134"/>
  <c r="Y135"/>
  <c r="Y136"/>
  <c r="Y137"/>
  <c r="Y138"/>
  <c r="Y139"/>
  <c r="Y140"/>
  <c r="Y141"/>
  <c r="Y142"/>
  <c r="Y143"/>
  <c r="Y144"/>
  <c r="Y145"/>
  <c r="Y146"/>
  <c r="Y147"/>
  <c r="Y148"/>
  <c r="Y149"/>
  <c r="Y150"/>
  <c r="Y151"/>
  <c r="Y152"/>
  <c r="Y153"/>
  <c r="Y154"/>
  <c r="Y155"/>
  <c r="Y156"/>
  <c r="Y157"/>
  <c r="Y158"/>
  <c r="Y159"/>
  <c r="Y160"/>
  <c r="Y161"/>
  <c r="Y162"/>
  <c r="Y163"/>
  <c r="Y164"/>
  <c r="Y165"/>
  <c r="Y166"/>
  <c r="Y167"/>
  <c r="Y168"/>
  <c r="Y169"/>
  <c r="Y170"/>
  <c r="Y171"/>
  <c r="Y172"/>
  <c r="Y173"/>
  <c r="Y174"/>
  <c r="Y175"/>
  <c r="Y176"/>
  <c r="Y177"/>
  <c r="Y178"/>
  <c r="Y179"/>
  <c r="Y180"/>
  <c r="Y181"/>
  <c r="Y182"/>
  <c r="Y183"/>
  <c r="Y184"/>
  <c r="Y185"/>
  <c r="Y186"/>
  <c r="Y187"/>
  <c r="Y188"/>
  <c r="Y189"/>
  <c r="Y190"/>
  <c r="Y191"/>
  <c r="Y192"/>
  <c r="Y193"/>
  <c r="Y194"/>
  <c r="Y195"/>
  <c r="Y196"/>
  <c r="Y197"/>
  <c r="Y198"/>
  <c r="Y199"/>
  <c r="Y200"/>
  <c r="Y201"/>
  <c r="Y202"/>
  <c r="Y203"/>
  <c r="Y204"/>
  <c r="Y205"/>
  <c r="Y206"/>
  <c r="Y207"/>
  <c r="Y208"/>
  <c r="Y209"/>
  <c r="Y210"/>
  <c r="Y211"/>
  <c r="Y212"/>
  <c r="Y213"/>
  <c r="Y214"/>
  <c r="Y215"/>
  <c r="Y216"/>
  <c r="W70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U70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U112"/>
  <c r="U113"/>
  <c r="U114"/>
  <c r="U115"/>
  <c r="U116"/>
  <c r="U117"/>
  <c r="U118"/>
  <c r="U119"/>
  <c r="U120"/>
  <c r="U121"/>
  <c r="U122"/>
  <c r="U123"/>
  <c r="U124"/>
  <c r="U125"/>
  <c r="U126"/>
  <c r="U127"/>
  <c r="U128"/>
  <c r="U129"/>
  <c r="U130"/>
  <c r="U131"/>
  <c r="U132"/>
  <c r="U133"/>
  <c r="U134"/>
  <c r="U135"/>
  <c r="U136"/>
  <c r="U137"/>
  <c r="U138"/>
  <c r="U139"/>
  <c r="U140"/>
  <c r="U141"/>
  <c r="U142"/>
  <c r="U143"/>
  <c r="U144"/>
  <c r="U145"/>
  <c r="U146"/>
  <c r="U147"/>
  <c r="U148"/>
  <c r="U149"/>
  <c r="U150"/>
  <c r="U151"/>
  <c r="U152"/>
  <c r="U153"/>
  <c r="U154"/>
  <c r="U155"/>
  <c r="U156"/>
  <c r="U157"/>
  <c r="U158"/>
  <c r="U159"/>
  <c r="U160"/>
  <c r="U161"/>
  <c r="U162"/>
  <c r="U163"/>
  <c r="U164"/>
  <c r="U165"/>
  <c r="U166"/>
  <c r="U167"/>
  <c r="U168"/>
  <c r="U169"/>
  <c r="U170"/>
  <c r="U171"/>
  <c r="U172"/>
  <c r="U173"/>
  <c r="U174"/>
  <c r="U175"/>
  <c r="U176"/>
  <c r="U177"/>
  <c r="U178"/>
  <c r="U179"/>
  <c r="U180"/>
  <c r="U181"/>
  <c r="U182"/>
  <c r="U183"/>
  <c r="U184"/>
  <c r="U185"/>
  <c r="U186"/>
  <c r="U187"/>
  <c r="U188"/>
  <c r="U189"/>
  <c r="U190"/>
  <c r="U191"/>
  <c r="U192"/>
  <c r="U193"/>
  <c r="U194"/>
  <c r="U195"/>
  <c r="U196"/>
  <c r="U197"/>
  <c r="U198"/>
  <c r="U199"/>
  <c r="U200"/>
  <c r="U201"/>
  <c r="U202"/>
  <c r="U203"/>
  <c r="U204"/>
  <c r="U205"/>
  <c r="U206"/>
  <c r="U207"/>
  <c r="U208"/>
  <c r="U209"/>
  <c r="U210"/>
  <c r="U211"/>
  <c r="U212"/>
  <c r="U213"/>
  <c r="U214"/>
  <c r="U215"/>
  <c r="U216"/>
  <c r="S70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Q70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O70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M70"/>
  <c r="M74"/>
  <c r="M75"/>
  <c r="M76"/>
  <c r="M77"/>
  <c r="M78"/>
  <c r="M79"/>
  <c r="M80"/>
  <c r="M81"/>
  <c r="M82"/>
  <c r="M83"/>
  <c r="M84"/>
  <c r="M85"/>
  <c r="M86"/>
  <c r="M87"/>
  <c r="M88"/>
  <c r="M89"/>
  <c r="M90"/>
  <c r="M91"/>
  <c r="M92"/>
  <c r="M93"/>
  <c r="M94"/>
  <c r="M95"/>
  <c r="M96"/>
  <c r="M97"/>
  <c r="M98"/>
  <c r="M99"/>
  <c r="M100"/>
  <c r="M101"/>
  <c r="M102"/>
  <c r="M103"/>
  <c r="M104"/>
  <c r="M105"/>
  <c r="M106"/>
  <c r="M107"/>
  <c r="M108"/>
  <c r="M109"/>
  <c r="M110"/>
  <c r="M111"/>
  <c r="M112"/>
  <c r="M113"/>
  <c r="M114"/>
  <c r="M115"/>
  <c r="M116"/>
  <c r="M117"/>
  <c r="M118"/>
  <c r="M119"/>
  <c r="M120"/>
  <c r="M121"/>
  <c r="M122"/>
  <c r="M123"/>
  <c r="M124"/>
  <c r="M125"/>
  <c r="M126"/>
  <c r="M127"/>
  <c r="M128"/>
  <c r="M129"/>
  <c r="M130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M173"/>
  <c r="M174"/>
  <c r="M175"/>
  <c r="M176"/>
  <c r="M177"/>
  <c r="M178"/>
  <c r="M179"/>
  <c r="M180"/>
  <c r="M181"/>
  <c r="M182"/>
  <c r="M183"/>
  <c r="M184"/>
  <c r="M185"/>
  <c r="M186"/>
  <c r="M187"/>
  <c r="M188"/>
  <c r="M189"/>
  <c r="M190"/>
  <c r="M191"/>
  <c r="M192"/>
  <c r="M193"/>
  <c r="M194"/>
  <c r="M195"/>
  <c r="M196"/>
  <c r="M197"/>
  <c r="M198"/>
  <c r="M199"/>
  <c r="M200"/>
  <c r="M201"/>
  <c r="M202"/>
  <c r="M203"/>
  <c r="M204"/>
  <c r="M205"/>
  <c r="M206"/>
  <c r="M207"/>
  <c r="M208"/>
  <c r="M209"/>
  <c r="M210"/>
  <c r="M211"/>
  <c r="M212"/>
  <c r="M213"/>
  <c r="M214"/>
  <c r="M215"/>
  <c r="M216"/>
  <c r="K70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I70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I161"/>
  <c r="I162"/>
  <c r="I163"/>
  <c r="I164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I191"/>
  <c r="I192"/>
  <c r="I193"/>
  <c r="I194"/>
  <c r="I195"/>
  <c r="I196"/>
  <c r="I197"/>
  <c r="I198"/>
  <c r="I199"/>
  <c r="I200"/>
  <c r="I201"/>
  <c r="I202"/>
  <c r="I203"/>
  <c r="I204"/>
  <c r="I205"/>
  <c r="I206"/>
  <c r="I207"/>
  <c r="I208"/>
  <c r="I209"/>
  <c r="I210"/>
  <c r="I211"/>
  <c r="I212"/>
  <c r="I213"/>
  <c r="I214"/>
  <c r="I215"/>
  <c r="I216"/>
  <c r="G70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E70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AK207" s="1"/>
  <c r="E208"/>
  <c r="E209"/>
  <c r="E210"/>
  <c r="E211"/>
  <c r="E212"/>
  <c r="E213"/>
  <c r="E214"/>
  <c r="E215"/>
  <c r="E216"/>
  <c r="E25"/>
  <c r="G25"/>
  <c r="I25"/>
  <c r="G26"/>
  <c r="I26"/>
  <c r="G27"/>
  <c r="I27"/>
  <c r="G28"/>
  <c r="I28"/>
  <c r="G29"/>
  <c r="I29"/>
  <c r="G30"/>
  <c r="I30"/>
  <c r="E31"/>
  <c r="G31"/>
  <c r="I31"/>
  <c r="E32"/>
  <c r="G32"/>
  <c r="I32"/>
  <c r="E33"/>
  <c r="G33"/>
  <c r="I33"/>
  <c r="E34"/>
  <c r="G34"/>
  <c r="I34"/>
  <c r="E35"/>
  <c r="G35"/>
  <c r="I35"/>
  <c r="E36"/>
  <c r="G36"/>
  <c r="I36"/>
  <c r="E37"/>
  <c r="G37"/>
  <c r="I37"/>
  <c r="E38"/>
  <c r="G38"/>
  <c r="I38"/>
  <c r="E39"/>
  <c r="G39"/>
  <c r="I39"/>
  <c r="E40"/>
  <c r="G40"/>
  <c r="I40"/>
  <c r="E41"/>
  <c r="G41"/>
  <c r="I41"/>
  <c r="E42"/>
  <c r="G42"/>
  <c r="I42"/>
  <c r="E43"/>
  <c r="G43"/>
  <c r="I43"/>
  <c r="E44"/>
  <c r="G44"/>
  <c r="I44"/>
  <c r="E45"/>
  <c r="G45"/>
  <c r="I45"/>
  <c r="E46"/>
  <c r="G46"/>
  <c r="I46"/>
  <c r="E47"/>
  <c r="G47"/>
  <c r="I47"/>
  <c r="E48"/>
  <c r="G48"/>
  <c r="I48"/>
  <c r="E49"/>
  <c r="G49"/>
  <c r="I49"/>
  <c r="E50"/>
  <c r="G50"/>
  <c r="I50"/>
  <c r="E51"/>
  <c r="G51"/>
  <c r="I51"/>
  <c r="E52"/>
  <c r="G52"/>
  <c r="I52"/>
  <c r="E53"/>
  <c r="G53"/>
  <c r="I53"/>
  <c r="E54"/>
  <c r="G54"/>
  <c r="I54"/>
  <c r="E55"/>
  <c r="G55"/>
  <c r="I55"/>
  <c r="E56"/>
  <c r="G56"/>
  <c r="I56"/>
  <c r="E57"/>
  <c r="G57"/>
  <c r="I57"/>
  <c r="E58"/>
  <c r="G58"/>
  <c r="I58"/>
  <c r="E59"/>
  <c r="G59"/>
  <c r="I59"/>
  <c r="E60"/>
  <c r="G60"/>
  <c r="I60"/>
  <c r="E61"/>
  <c r="G61"/>
  <c r="I61"/>
  <c r="E62"/>
  <c r="G62"/>
  <c r="I62"/>
  <c r="E63"/>
  <c r="G63"/>
  <c r="I63"/>
  <c r="E64"/>
  <c r="G64"/>
  <c r="I64"/>
  <c r="E65"/>
  <c r="G65"/>
  <c r="I65"/>
  <c r="E66"/>
  <c r="G66"/>
  <c r="I66"/>
  <c r="E67"/>
  <c r="G67"/>
  <c r="I67"/>
  <c r="E68"/>
  <c r="D5" s="1"/>
  <c r="G68"/>
  <c r="I68"/>
  <c r="E69"/>
  <c r="G69"/>
  <c r="I69"/>
  <c r="E12" i="2"/>
  <c r="E11"/>
  <c r="E10"/>
  <c r="E9"/>
  <c r="E8"/>
  <c r="E7"/>
  <c r="AJ175" i="1"/>
  <c r="AJ91"/>
  <c r="AJ162"/>
  <c r="AJ118"/>
  <c r="AJ177"/>
  <c r="AJ93"/>
  <c r="AJ164"/>
  <c r="AJ80"/>
  <c r="AJ184"/>
  <c r="AJ154"/>
  <c r="AJ70"/>
  <c r="AJ137"/>
  <c r="AJ202"/>
  <c r="AJ156"/>
  <c r="AJ72"/>
  <c r="AJ179"/>
  <c r="AJ140"/>
  <c r="AJ108"/>
  <c r="AJ163"/>
  <c r="AJ77"/>
  <c r="AJ182"/>
  <c r="AJ100"/>
  <c r="AJ165"/>
  <c r="AJ79"/>
  <c r="AJ152"/>
  <c r="AJ94"/>
  <c r="AJ216"/>
  <c r="AJ142"/>
  <c r="AJ205"/>
  <c r="AJ119"/>
  <c r="AJ71"/>
  <c r="AJ144"/>
  <c r="AJ203"/>
  <c r="AJ167"/>
  <c r="AJ95"/>
  <c r="AJ113"/>
  <c r="AJ149"/>
  <c r="AJ214"/>
  <c r="AJ150"/>
  <c r="AJ129"/>
  <c r="AJ107"/>
  <c r="AJ206"/>
  <c r="AJ128"/>
  <c r="AJ87"/>
  <c r="AJ151"/>
  <c r="AJ99"/>
  <c r="AJ170"/>
  <c r="AJ86"/>
  <c r="AJ153"/>
  <c r="AJ192"/>
  <c r="AJ187"/>
  <c r="AJ143"/>
  <c r="AJ208"/>
  <c r="AJ130"/>
  <c r="AJ78"/>
  <c r="AJ145"/>
  <c r="AJ210"/>
  <c r="AJ132"/>
  <c r="AJ123"/>
  <c r="AJ194"/>
  <c r="AJ116"/>
  <c r="AJ215"/>
  <c r="AJ171"/>
  <c r="AJ85"/>
  <c r="AJ158"/>
  <c r="AJ74"/>
  <c r="AJ209"/>
  <c r="AJ191"/>
  <c r="AJ101"/>
  <c r="AJ173"/>
  <c r="AJ105"/>
  <c r="AJ176"/>
  <c r="AJ92"/>
  <c r="AJ199"/>
  <c r="AJ178"/>
  <c r="AJ193"/>
  <c r="AJ109"/>
  <c r="AJ180"/>
  <c r="AJ98"/>
  <c r="AJ117"/>
  <c r="AJ159"/>
  <c r="AJ73"/>
  <c r="AJ146"/>
  <c r="AJ213"/>
  <c r="AJ172"/>
  <c r="AJ88"/>
  <c r="AJ195"/>
  <c r="AJ111"/>
  <c r="AJ96"/>
  <c r="AJ138"/>
  <c r="AJ197"/>
  <c r="AJ110"/>
  <c r="AJ122"/>
  <c r="AJ181"/>
  <c r="AJ97"/>
  <c r="AJ168"/>
  <c r="AJ124"/>
  <c r="AJ131"/>
  <c r="AJ147"/>
  <c r="AJ212"/>
  <c r="AJ134"/>
  <c r="AJ89"/>
  <c r="AJ160"/>
  <c r="AJ76"/>
  <c r="AJ183"/>
  <c r="AJ139"/>
  <c r="AJ204"/>
  <c r="AJ126"/>
  <c r="AJ185"/>
  <c r="AJ166"/>
  <c r="AJ141"/>
  <c r="AJ82"/>
  <c r="AJ127"/>
  <c r="AJ136"/>
  <c r="AJ155"/>
  <c r="AJ133"/>
  <c r="AJ198"/>
  <c r="AJ186"/>
  <c r="AJ104"/>
  <c r="AJ169"/>
  <c r="AJ83"/>
  <c r="AJ188"/>
  <c r="AJ106"/>
  <c r="AJ211"/>
  <c r="AJ135"/>
  <c r="AJ200"/>
  <c r="AJ161"/>
  <c r="AJ75"/>
  <c r="AJ148"/>
  <c r="AJ201"/>
  <c r="AJ125"/>
  <c r="AJ121"/>
  <c r="AJ190"/>
  <c r="AJ120"/>
  <c r="AJ103"/>
  <c r="AJ174"/>
  <c r="AJ90"/>
  <c r="AJ189"/>
  <c r="AJ196"/>
  <c r="AJ115"/>
  <c r="AJ207"/>
  <c r="AK219" l="1"/>
  <c r="AK218"/>
  <c r="AL218"/>
  <c r="AL219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G26"/>
  <c r="AG27"/>
  <c r="AG28"/>
  <c r="AG29"/>
  <c r="AG30"/>
  <c r="AG31"/>
  <c r="AG32"/>
  <c r="AG33"/>
  <c r="AG34"/>
  <c r="AG35"/>
  <c r="AG36"/>
  <c r="AG37"/>
  <c r="AG38"/>
  <c r="AG39"/>
  <c r="AG40"/>
  <c r="AG41"/>
  <c r="AG42"/>
  <c r="AG43"/>
  <c r="AG44"/>
  <c r="AG45"/>
  <c r="AG46"/>
  <c r="AG47"/>
  <c r="AG48"/>
  <c r="AG49"/>
  <c r="AG50"/>
  <c r="AG51"/>
  <c r="AG52"/>
  <c r="AG53"/>
  <c r="AG54"/>
  <c r="AG55"/>
  <c r="AG56"/>
  <c r="AG57"/>
  <c r="AG58"/>
  <c r="AG59"/>
  <c r="AG60"/>
  <c r="AG61"/>
  <c r="AG62"/>
  <c r="AG63"/>
  <c r="AG64"/>
  <c r="AG65"/>
  <c r="AG66"/>
  <c r="AG67"/>
  <c r="AG68"/>
  <c r="AF5" s="1"/>
  <c r="AF6" s="1"/>
  <c r="AF10" s="1"/>
  <c r="AG69"/>
  <c r="AE26"/>
  <c r="AE27"/>
  <c r="AE28"/>
  <c r="AE29"/>
  <c r="AE30"/>
  <c r="AE31"/>
  <c r="AE32"/>
  <c r="AE33"/>
  <c r="AE34"/>
  <c r="AE35"/>
  <c r="AE36"/>
  <c r="AE37"/>
  <c r="AE38"/>
  <c r="AE39"/>
  <c r="AE40"/>
  <c r="AE41"/>
  <c r="AE42"/>
  <c r="AE43"/>
  <c r="AE44"/>
  <c r="AE45"/>
  <c r="AE46"/>
  <c r="AE47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68"/>
  <c r="AE69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Z5" s="1"/>
  <c r="Z6" s="1"/>
  <c r="Z10" s="1"/>
  <c r="AA69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V5" s="1"/>
  <c r="V6" s="1"/>
  <c r="V10" s="1"/>
  <c r="W69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P5" s="1"/>
  <c r="P6" s="1"/>
  <c r="P10" s="1"/>
  <c r="Q69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M62"/>
  <c r="M63"/>
  <c r="M64"/>
  <c r="M65"/>
  <c r="M66"/>
  <c r="M67"/>
  <c r="M68"/>
  <c r="M69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J5" s="1"/>
  <c r="J6" s="1"/>
  <c r="J10" s="1"/>
  <c r="K69"/>
  <c r="AI25"/>
  <c r="AG25"/>
  <c r="AE25"/>
  <c r="AC25"/>
  <c r="AA25"/>
  <c r="Y25"/>
  <c r="W25"/>
  <c r="U25"/>
  <c r="S25"/>
  <c r="Q25"/>
  <c r="O25"/>
  <c r="M25"/>
  <c r="K25"/>
  <c r="D6"/>
  <c r="AL96"/>
  <c r="AL90"/>
  <c r="AL108"/>
  <c r="AL86"/>
  <c r="AL127"/>
  <c r="AL184"/>
  <c r="AL185"/>
  <c r="AL188"/>
  <c r="AL178"/>
  <c r="AL151"/>
  <c r="AL111"/>
  <c r="AL201"/>
  <c r="AL211"/>
  <c r="AL115"/>
  <c r="AL139"/>
  <c r="AL195"/>
  <c r="AL214"/>
  <c r="AL174"/>
  <c r="AL125"/>
  <c r="AL93"/>
  <c r="AL73"/>
  <c r="AL165"/>
  <c r="AL117"/>
  <c r="AL105"/>
  <c r="AL209"/>
  <c r="AL120"/>
  <c r="AL107"/>
  <c r="AL203"/>
  <c r="AL136"/>
  <c r="AL88"/>
  <c r="AL146"/>
  <c r="AL208"/>
  <c r="AJ44"/>
  <c r="AL196"/>
  <c r="AL154"/>
  <c r="AJ60"/>
  <c r="AJ62"/>
  <c r="AL142"/>
  <c r="AJ33"/>
  <c r="AJ57"/>
  <c r="AJ61"/>
  <c r="AL199"/>
  <c r="AL81"/>
  <c r="AL133"/>
  <c r="AL124"/>
  <c r="AL206"/>
  <c r="AL170"/>
  <c r="AL80"/>
  <c r="AL193"/>
  <c r="AL187"/>
  <c r="AJ66"/>
  <c r="AJ63"/>
  <c r="AL213"/>
  <c r="AL169"/>
  <c r="AL163"/>
  <c r="AL191"/>
  <c r="AL182"/>
  <c r="AL95"/>
  <c r="AL144"/>
  <c r="AL103"/>
  <c r="AL158"/>
  <c r="AL155"/>
  <c r="AL157"/>
  <c r="AL212"/>
  <c r="AL204"/>
  <c r="AL181"/>
  <c r="AL119"/>
  <c r="AL130"/>
  <c r="AL140"/>
  <c r="AL82"/>
  <c r="AJ65"/>
  <c r="AL87"/>
  <c r="AL79"/>
  <c r="AL74"/>
  <c r="AL106"/>
  <c r="AL215"/>
  <c r="AL100"/>
  <c r="AL205"/>
  <c r="AL85"/>
  <c r="AL216"/>
  <c r="AL118"/>
  <c r="AL171"/>
  <c r="AL186"/>
  <c r="AL129"/>
  <c r="AL110"/>
  <c r="AL134"/>
  <c r="AL83"/>
  <c r="AL112"/>
  <c r="AL202"/>
  <c r="AJ58"/>
  <c r="AL101"/>
  <c r="AL123"/>
  <c r="AL102"/>
  <c r="AL192"/>
  <c r="AL197"/>
  <c r="AJ64"/>
  <c r="AL72"/>
  <c r="AL71"/>
  <c r="AL75"/>
  <c r="AL166"/>
  <c r="AJ56"/>
  <c r="AJ69"/>
  <c r="AJ59"/>
  <c r="AJ67"/>
  <c r="AL147"/>
  <c r="AL149"/>
  <c r="AL194"/>
  <c r="AL152"/>
  <c r="AL94"/>
  <c r="AL114"/>
  <c r="AL156"/>
  <c r="AL89"/>
  <c r="AL177"/>
  <c r="AL172"/>
  <c r="AL200"/>
  <c r="AL131"/>
  <c r="AL190"/>
  <c r="AL145"/>
  <c r="AL161"/>
  <c r="AL198"/>
  <c r="AL121"/>
  <c r="AL179"/>
  <c r="AL135"/>
  <c r="AL138"/>
  <c r="AL98"/>
  <c r="F11" i="2" l="1"/>
  <c r="H8"/>
  <c r="F12"/>
  <c r="G12" s="1"/>
  <c r="H9"/>
  <c r="H10"/>
  <c r="F7"/>
  <c r="D10" i="1"/>
  <c r="H7" i="2" s="1"/>
  <c r="AK25" i="1"/>
  <c r="AL37"/>
  <c r="AL180"/>
  <c r="AL162"/>
  <c r="AL69"/>
  <c r="AL32"/>
  <c r="AL50"/>
  <c r="AL148"/>
  <c r="AL45"/>
  <c r="AL48"/>
  <c r="AL33"/>
  <c r="AL67"/>
  <c r="AL168"/>
  <c r="AL116"/>
  <c r="AL59"/>
  <c r="AL49"/>
  <c r="AL150"/>
  <c r="AL65"/>
  <c r="AL143"/>
  <c r="AL39"/>
  <c r="AL189"/>
  <c r="AM157"/>
  <c r="AL175"/>
  <c r="AL104"/>
  <c r="AL36"/>
  <c r="AL29"/>
  <c r="AL141"/>
  <c r="AL44"/>
  <c r="AL47"/>
  <c r="AL63"/>
  <c r="AL126"/>
  <c r="AL52"/>
  <c r="AL122"/>
  <c r="AL164"/>
  <c r="AL31"/>
  <c r="AL76"/>
  <c r="AL160"/>
  <c r="AL25"/>
  <c r="AL27"/>
  <c r="AL159"/>
  <c r="AL78"/>
  <c r="AL41"/>
  <c r="AL183"/>
  <c r="AL66"/>
  <c r="AL55"/>
  <c r="AL176"/>
  <c r="AL35"/>
  <c r="AL113"/>
  <c r="AL56"/>
  <c r="AL153"/>
  <c r="AL38"/>
  <c r="AL30"/>
  <c r="AL46"/>
  <c r="AL26"/>
  <c r="AL99"/>
  <c r="AL84"/>
  <c r="AL210"/>
  <c r="AL64"/>
  <c r="AL77"/>
  <c r="AL34"/>
  <c r="AL137"/>
  <c r="AL28"/>
  <c r="AL42"/>
  <c r="AL60"/>
  <c r="AL53"/>
  <c r="AL43"/>
  <c r="AL51"/>
  <c r="AL109"/>
  <c r="AL61"/>
  <c r="AL54"/>
  <c r="AL92"/>
  <c r="AL167"/>
  <c r="AL132"/>
  <c r="AL40"/>
  <c r="AL173"/>
  <c r="AL57"/>
  <c r="AL70"/>
  <c r="AL91"/>
  <c r="AL62"/>
  <c r="AL97"/>
  <c r="AL58"/>
  <c r="AL68"/>
  <c r="AL128"/>
  <c r="AL207"/>
  <c r="D14" i="2" l="1"/>
  <c r="H11"/>
  <c r="I11" s="1"/>
  <c r="F8"/>
  <c r="I8" s="1"/>
  <c r="F9"/>
  <c r="I9" s="1"/>
  <c r="F10"/>
  <c r="G10" s="1"/>
  <c r="G11"/>
  <c r="I7"/>
  <c r="G7"/>
  <c r="G8" l="1"/>
  <c r="G9"/>
  <c r="I10"/>
  <c r="D15"/>
  <c r="AK220" i="1"/>
  <c r="D16" i="2" s="1"/>
</calcChain>
</file>

<file path=xl/comments1.xml><?xml version="1.0" encoding="utf-8"?>
<comments xmlns="http://schemas.openxmlformats.org/spreadsheetml/2006/main">
  <authors>
    <author>Student</author>
  </authors>
  <commentList>
    <comment ref="E6" authorId="0">
      <text>
        <r>
          <rPr>
            <b/>
            <sz val="8"/>
            <color indexed="81"/>
            <rFont val="Tahoma"/>
            <family val="2"/>
          </rPr>
          <t>Student: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<sst xmlns="http://schemas.openxmlformats.org/spreadsheetml/2006/main" count="2256" uniqueCount="430">
  <si>
    <t>CN</t>
  </si>
  <si>
    <t>ADS</t>
  </si>
  <si>
    <t>MP</t>
  </si>
  <si>
    <t>TCS</t>
  </si>
  <si>
    <t>WE</t>
  </si>
  <si>
    <t>EVS</t>
  </si>
  <si>
    <t>TOTAL</t>
  </si>
  <si>
    <t>REMARK</t>
  </si>
  <si>
    <t>NAME OF THE CANDIDATE</t>
  </si>
  <si>
    <t>TH</t>
  </si>
  <si>
    <t>TW</t>
  </si>
  <si>
    <t>P</t>
  </si>
  <si>
    <t xml:space="preserve">MAX </t>
  </si>
  <si>
    <t xml:space="preserve">MIN </t>
  </si>
  <si>
    <t>CN :- Computer Network</t>
  </si>
  <si>
    <t>ADS :- Advance Database Management System</t>
  </si>
  <si>
    <t>MP :- Microprocessor</t>
  </si>
  <si>
    <t>TCS :- Theory of Computer Science</t>
  </si>
  <si>
    <t>WE :- Web Engineering</t>
  </si>
  <si>
    <t>EVS :- Environment studies</t>
  </si>
  <si>
    <t>AJUGIYA VAIBHAV KANUBHAI</t>
  </si>
  <si>
    <t>BARI VARUN ARJUN</t>
  </si>
  <si>
    <t>BASARKAR GAURANG RAVINDRA</t>
  </si>
  <si>
    <t>BHALSHANKAR VINAYKUMAR VIJAYKUMAR</t>
  </si>
  <si>
    <t>/ BHOLE NILIMA SURESH</t>
  </si>
  <si>
    <t>BHUWAD SUKESHINI VISHRAM</t>
  </si>
  <si>
    <t>DESAI SMIT PARSHURAM</t>
  </si>
  <si>
    <t>DEVARKAR SANKALP HEMANT</t>
  </si>
  <si>
    <t>GAWAI SANDESH MADHUKAR</t>
  </si>
  <si>
    <t>GHUMAN RAJNEET SINGH IQBAL SINGH</t>
  </si>
  <si>
    <t>KENI YATIN NARENDRA</t>
  </si>
  <si>
    <t>/ KHANDHAR NIRALI TARUN</t>
  </si>
  <si>
    <t>LOTANKAR AJINKYA ASHOK</t>
  </si>
  <si>
    <t>MEHTA CHINMAY HITESH</t>
  </si>
  <si>
    <t>MESHRAM ARCHIES SIDDHARTH</t>
  </si>
  <si>
    <t>MHATRE GAURAV PRAMOD</t>
  </si>
  <si>
    <t>MODI JIGNA BIPIN</t>
  </si>
  <si>
    <t>/ MORE POOJA OMPRAKASH</t>
  </si>
  <si>
    <t>NAYAK HARSHIT SANTVIJAY</t>
  </si>
  <si>
    <t>/ PACHLOD BHAVISHYA MANOHAR</t>
  </si>
  <si>
    <t>PALAV ABHISHEK SITARAM</t>
  </si>
  <si>
    <t>PALKAR MOHIT PRAFULLA</t>
  </si>
  <si>
    <t>PAREKH ANKIT GHANSHYAM</t>
  </si>
  <si>
    <t>PATEL DIVESH ASHOK</t>
  </si>
  <si>
    <t>PATEL NIKHILANIL</t>
  </si>
  <si>
    <t>QURESHI YAMIN MOHAMMED NAIM</t>
  </si>
  <si>
    <t>/ RANE TANVI SANJAY</t>
  </si>
  <si>
    <t>REHMAN NADEEM NAJEEB</t>
  </si>
  <si>
    <t>REVANDKAR MIHIR MADHUSUDAN</t>
  </si>
  <si>
    <t>/ RITIKA GEEVARGHESE</t>
  </si>
  <si>
    <t>SANAP AVINASH BABU</t>
  </si>
  <si>
    <t>SAWANT AMEYA AJIT</t>
  </si>
  <si>
    <t>SAWANT BHUSHAN SHARAD</t>
  </si>
  <si>
    <t>SHAH SOUMIK KETAN</t>
  </si>
  <si>
    <t>SHELAR TEJAS NARAYAN</t>
  </si>
  <si>
    <t>SHEVALE UMESH NAMDEV</t>
  </si>
  <si>
    <t>SHINDE MAYUR MADAN</t>
  </si>
  <si>
    <t>SHINDE SAGAR VIJAY</t>
  </si>
  <si>
    <t>SHIRWADKAR ROHIT GAJANAN</t>
  </si>
  <si>
    <t>SURYAWANSHI DUSHYANT SHANKAR</t>
  </si>
  <si>
    <t>TELI JAY SATISH</t>
  </si>
  <si>
    <t>VALSE AMIT PRAKASH</t>
  </si>
  <si>
    <t>WAYOKE ANIKET PRABODH</t>
  </si>
  <si>
    <t>GHORPADE AMOL EKNATH</t>
  </si>
  <si>
    <t>LOKHANDE NIKHIL NITIN</t>
  </si>
  <si>
    <t>MANTE NITIN MANIKRAO</t>
  </si>
  <si>
    <t>47+</t>
  </si>
  <si>
    <t>52+</t>
  </si>
  <si>
    <t>48+</t>
  </si>
  <si>
    <t>40+</t>
  </si>
  <si>
    <t>53+</t>
  </si>
  <si>
    <t>46+</t>
  </si>
  <si>
    <t>42+</t>
  </si>
  <si>
    <t>44+</t>
  </si>
  <si>
    <t>43+</t>
  </si>
  <si>
    <t>56+</t>
  </si>
  <si>
    <t>23+</t>
  </si>
  <si>
    <t>18+</t>
  </si>
  <si>
    <t>19+</t>
  </si>
  <si>
    <t>20+</t>
  </si>
  <si>
    <t>12+</t>
  </si>
  <si>
    <t>22+</t>
  </si>
  <si>
    <t>21+</t>
  </si>
  <si>
    <t>15+</t>
  </si>
  <si>
    <t>34+</t>
  </si>
  <si>
    <t>38+</t>
  </si>
  <si>
    <t>37+</t>
  </si>
  <si>
    <t>35+</t>
  </si>
  <si>
    <t>41+</t>
  </si>
  <si>
    <t>39+</t>
  </si>
  <si>
    <t>54+</t>
  </si>
  <si>
    <t>57+</t>
  </si>
  <si>
    <t>55+</t>
  </si>
  <si>
    <t>45+</t>
  </si>
  <si>
    <t>16+</t>
  </si>
  <si>
    <t>17+</t>
  </si>
  <si>
    <t>36+</t>
  </si>
  <si>
    <t>51+</t>
  </si>
  <si>
    <t>14+</t>
  </si>
  <si>
    <t>58+</t>
  </si>
  <si>
    <t>49+</t>
  </si>
  <si>
    <t>11+</t>
  </si>
  <si>
    <t>62+</t>
  </si>
  <si>
    <t>60+</t>
  </si>
  <si>
    <t>61+</t>
  </si>
  <si>
    <t>33+</t>
  </si>
  <si>
    <t>32+</t>
  </si>
  <si>
    <t>30+</t>
  </si>
  <si>
    <t>28+</t>
  </si>
  <si>
    <t>31+</t>
  </si>
  <si>
    <t>27+</t>
  </si>
  <si>
    <t>25+</t>
  </si>
  <si>
    <t>29+</t>
  </si>
  <si>
    <t>AB</t>
  </si>
  <si>
    <t>How many Student Appeared</t>
  </si>
  <si>
    <t>How many student failed</t>
  </si>
  <si>
    <t>How Many students Passed</t>
  </si>
  <si>
    <t>Average Marks</t>
  </si>
  <si>
    <t>Maximum Marks</t>
  </si>
  <si>
    <t>Marks greater than  60</t>
  </si>
  <si>
    <t>Marks between 40 and 60</t>
  </si>
  <si>
    <t>Total No. of Students Appeared :</t>
  </si>
  <si>
    <t>Total No. of Students Passed :</t>
  </si>
  <si>
    <t>Overall Percentage of Passing  :</t>
  </si>
  <si>
    <t>Branch : Computer Engineering</t>
  </si>
  <si>
    <t>S NO.</t>
  </si>
  <si>
    <t>Subject Name</t>
  </si>
  <si>
    <t>Name of Examiner</t>
  </si>
  <si>
    <t>Total no of students appeared</t>
  </si>
  <si>
    <t>Total no of students passed</t>
  </si>
  <si>
    <t>% of Passing in the subjects</t>
  </si>
  <si>
    <t>No of grace marks awarded in the subject by examiner</t>
  </si>
  <si>
    <t>03</t>
  </si>
  <si>
    <t>Total no of students appeared:</t>
  </si>
  <si>
    <t>Total no of students passed:</t>
  </si>
  <si>
    <t>Overall Percentage of passing:</t>
  </si>
  <si>
    <t>Computer Network</t>
  </si>
  <si>
    <t xml:space="preserve"> Advance Database Management System</t>
  </si>
  <si>
    <t xml:space="preserve"> Microprocessor</t>
  </si>
  <si>
    <t>Theory of Computer Science</t>
  </si>
  <si>
    <t xml:space="preserve"> Web Engineering</t>
  </si>
  <si>
    <t xml:space="preserve"> Environment studies</t>
  </si>
  <si>
    <t>Prof.Rashmi Thakur (TCET)</t>
  </si>
  <si>
    <t>Prof.Vaishali Nirgude (TCET)</t>
  </si>
  <si>
    <t>Prof.Neelima Pathak (ACE)</t>
  </si>
  <si>
    <t>Name of Moderator</t>
  </si>
  <si>
    <t>Candidates scored marks between 40 &amp; 60</t>
  </si>
  <si>
    <t>Number of candidates scored marks above 60</t>
  </si>
  <si>
    <t xml:space="preserve"> </t>
  </si>
  <si>
    <t>F</t>
  </si>
  <si>
    <t>FAIL</t>
  </si>
  <si>
    <t xml:space="preserve">Four Hundred Ninety </t>
  </si>
  <si>
    <t>E</t>
  </si>
  <si>
    <t/>
  </si>
  <si>
    <t xml:space="preserve">Four Hundred Forty  </t>
  </si>
  <si>
    <t xml:space="preserve">Four Hundred Fourteen </t>
  </si>
  <si>
    <t xml:space="preserve">Four Hundred Seventy  </t>
  </si>
  <si>
    <t xml:space="preserve">Four Hundred Eleven </t>
  </si>
  <si>
    <t>PASS</t>
  </si>
  <si>
    <t xml:space="preserve">Five Hundred Twenty Seven </t>
  </si>
  <si>
    <t xml:space="preserve">Four Hundred Nineteen </t>
  </si>
  <si>
    <t xml:space="preserve">Three Hundred Eighty  </t>
  </si>
  <si>
    <t xml:space="preserve">Four Hundred Forty Four </t>
  </si>
  <si>
    <t>ABSENT</t>
  </si>
  <si>
    <t xml:space="preserve">Three Hundred Seven </t>
  </si>
  <si>
    <t xml:space="preserve">Four Hundred Twenty Three </t>
  </si>
  <si>
    <t xml:space="preserve">Four Hundred NinetyThree </t>
  </si>
  <si>
    <t xml:space="preserve">Four Hundred Four </t>
  </si>
  <si>
    <t xml:space="preserve">Four Hundred Fifty Eight </t>
  </si>
  <si>
    <t xml:space="preserve">Three Hundred Sixty Six </t>
  </si>
  <si>
    <t xml:space="preserve">Four Hundred Sixty Two </t>
  </si>
  <si>
    <t xml:space="preserve">Four Hundred Eighty Five </t>
  </si>
  <si>
    <t xml:space="preserve">Four Hundred Eighty Four </t>
  </si>
  <si>
    <t xml:space="preserve">Four Hundred Sixty Seven </t>
  </si>
  <si>
    <t xml:space="preserve">Four Hundred Thirty  </t>
  </si>
  <si>
    <t xml:space="preserve">Four Hundred Seventy One </t>
  </si>
  <si>
    <t xml:space="preserve">Four Hundred Forty Two </t>
  </si>
  <si>
    <t xml:space="preserve">Four Hundred Fifty Nine </t>
  </si>
  <si>
    <t xml:space="preserve">Three Hundred Seventy  </t>
  </si>
  <si>
    <t xml:space="preserve">Four Hundred Fifty Three </t>
  </si>
  <si>
    <t xml:space="preserve">Four Hundred Sixty Five </t>
  </si>
  <si>
    <t xml:space="preserve">Four Hundred Eighty Two </t>
  </si>
  <si>
    <t xml:space="preserve">Four Hundred Eighty Nine </t>
  </si>
  <si>
    <t xml:space="preserve">Four Hundred Sixty  </t>
  </si>
  <si>
    <t xml:space="preserve">Five Hundred Four </t>
  </si>
  <si>
    <t xml:space="preserve">Four Hundred Forty Seven </t>
  </si>
  <si>
    <t xml:space="preserve">Four Hundred Forty One </t>
  </si>
  <si>
    <t xml:space="preserve">Four Hundred Fifty Two </t>
  </si>
  <si>
    <t xml:space="preserve">Four Hundred Sixty Four </t>
  </si>
  <si>
    <t xml:space="preserve">Three Hundred NinetyFive </t>
  </si>
  <si>
    <t xml:space="preserve">Four Hundred Twenty Nine </t>
  </si>
  <si>
    <t xml:space="preserve">Four Hundred Forty Five </t>
  </si>
  <si>
    <t xml:space="preserve">Five Hundred Fourteen </t>
  </si>
  <si>
    <t xml:space="preserve">Five Hundred Seven </t>
  </si>
  <si>
    <t xml:space="preserve">Three Hundred Twenty Four </t>
  </si>
  <si>
    <t xml:space="preserve">Four Hundred Eighty One </t>
  </si>
  <si>
    <t xml:space="preserve">Four Hundred Seventeen </t>
  </si>
  <si>
    <t xml:space="preserve">Four Hundred NinetyNine </t>
  </si>
  <si>
    <t>NUM</t>
  </si>
  <si>
    <t>NAME</t>
  </si>
  <si>
    <t>CN-TH</t>
  </si>
  <si>
    <t>CN-TW</t>
  </si>
  <si>
    <t>CN-P</t>
  </si>
  <si>
    <t>ADS-TH</t>
  </si>
  <si>
    <t>ADS-TW</t>
  </si>
  <si>
    <t>ADS-P</t>
  </si>
  <si>
    <t>MP-TH</t>
  </si>
  <si>
    <t>MP-TW</t>
  </si>
  <si>
    <t>MP-P</t>
  </si>
  <si>
    <t>TCS-TH</t>
  </si>
  <si>
    <t>TCS-TW</t>
  </si>
  <si>
    <t>WE-TH</t>
  </si>
  <si>
    <t>WE-TW</t>
  </si>
  <si>
    <t>WE-P</t>
  </si>
  <si>
    <t>EVS-TH</t>
  </si>
  <si>
    <t>EVS-TW</t>
  </si>
  <si>
    <t>TOT</t>
  </si>
  <si>
    <t>SPELLNUMBER</t>
  </si>
  <si>
    <t>ACHAREKAR RUTURAJ PRAMOD</t>
  </si>
  <si>
    <t>AMBRE ABHISHEK ARUN</t>
  </si>
  <si>
    <t>ANSARI ABEER AHMED</t>
  </si>
  <si>
    <t>AWARI ANESH SITARAM</t>
  </si>
  <si>
    <t>BADVE ADITYA SANJAY</t>
  </si>
  <si>
    <t>BAGKAR AARTI NARESH</t>
  </si>
  <si>
    <t>BARKE SAIPRASAD GOVIND ALKA</t>
  </si>
  <si>
    <t>BHANDARE RAJKUMAR NAGORAO</t>
  </si>
  <si>
    <t>BHARTI HARSHADA TUKARAM</t>
  </si>
  <si>
    <t>BHUPENDRA MAHENDRA SASWADE</t>
  </si>
  <si>
    <t>CASTELINO JAMES JOHN</t>
  </si>
  <si>
    <t>CHAUDHARI AJINKYA VIJAY</t>
  </si>
  <si>
    <t xml:space="preserve">CHAVAN  RUPALI VIJAY </t>
  </si>
  <si>
    <t>CHETTIER SANJAY GANESHAN</t>
  </si>
  <si>
    <t>CHINDARKAR ANIRUDDHA VISHNU</t>
  </si>
  <si>
    <t>CHOUDHARI YOGESH AJIT</t>
  </si>
  <si>
    <t>CHOUDHARY SHANKAR MAFATLAL</t>
  </si>
  <si>
    <t>DALVI SAGAR SANJAY</t>
  </si>
  <si>
    <t>DEDHIA SOHIL BHARAT</t>
  </si>
  <si>
    <t>DEOLE ADITYA VIKRAM</t>
  </si>
  <si>
    <t>DESHMUKH AMEYA CHANDRAKUMAR</t>
  </si>
  <si>
    <t>DHANEDHAR SNEHAL PRAKASH</t>
  </si>
  <si>
    <t>DHOTRE KUNAL RAMCHANDRA</t>
  </si>
  <si>
    <t>DIVYA RAJ</t>
  </si>
  <si>
    <t>DOSHI DIVYA DHIREN</t>
  </si>
  <si>
    <t>DUKHANDE PRASAD PRAKASH</t>
  </si>
  <si>
    <t>EDAVI PRATIK PRAKASH</t>
  </si>
  <si>
    <t>GAHANE KETAN DHANANJAY</t>
  </si>
  <si>
    <t>GAIKWAD NITISH RAVINDRA</t>
  </si>
  <si>
    <t>GHADGE ANUPAMA AVINASH</t>
  </si>
  <si>
    <t>GHARAT BHAGYASHREE ASHOK</t>
  </si>
  <si>
    <t>GHUNAVAT ATUL  ISHWAR</t>
  </si>
  <si>
    <t>GHUTUKADE GANESH SUBRAO SHALANA</t>
  </si>
  <si>
    <t>GILANI ANISA IQBAL</t>
  </si>
  <si>
    <t>GOHIL NAVAL PRAKASH BHAI</t>
  </si>
  <si>
    <t>GORAD SURAJ RAMESH</t>
  </si>
  <si>
    <t>GOSAVI MANJIRI DINKAR</t>
  </si>
  <si>
    <t>HARDIK NAVIN MISTRY</t>
  </si>
  <si>
    <t>HAROON NASSER KOTADIYA</t>
  </si>
  <si>
    <t>HARSHAVARDHAN PRABHAKARA POOJARY</t>
  </si>
  <si>
    <t>HOLAMB SHWETA DEEPAK</t>
  </si>
  <si>
    <t>HULYALKAR SAYALI SUHAS</t>
  </si>
  <si>
    <t>INGALE SINDHU VITTHALRAO</t>
  </si>
  <si>
    <t>JADHAV CHANDRAKANT ASHOK</t>
  </si>
  <si>
    <t>JADHAV NISHIGANDHA RAVINDRA</t>
  </si>
  <si>
    <t>JHAVERI SIDDHARTH PANKAJ</t>
  </si>
  <si>
    <t>JOSHI MANASI KISHORE</t>
  </si>
  <si>
    <t>JOSHI SAGAR RAMESH</t>
  </si>
  <si>
    <t>K SUCHITHA SURESH</t>
  </si>
  <si>
    <t>KADAM SACHIN ANKUSH</t>
  </si>
  <si>
    <t>KAMBLE PRIYANKA DILIP</t>
  </si>
  <si>
    <t>KATARE SUNITA DATTU</t>
  </si>
  <si>
    <t>KATARIYA SURYAKANT PREMJIBHAI</t>
  </si>
  <si>
    <t>KESARKAR SONALI SHAM</t>
  </si>
  <si>
    <t>KHAIRE AMEY SATYAWAN</t>
  </si>
  <si>
    <t>KHARSHIKAR TANMAY SUBODH</t>
  </si>
  <si>
    <t>KHOBRAGADE ASHISH MAHESH</t>
  </si>
  <si>
    <t>KOHLI AMANDEEP SINGH AMARPAL SINGH</t>
  </si>
  <si>
    <t>KUDTARKAR BHAKTI DEEPAK</t>
  </si>
  <si>
    <t>LAD OMKAR SURESH</t>
  </si>
  <si>
    <t>LADHE SNEHAL BHASKAR</t>
  </si>
  <si>
    <t>LOHAR SHIVKUMAR GHANSHYAM</t>
  </si>
  <si>
    <t>LONDHE SUNNY RAVINDRA</t>
  </si>
  <si>
    <t>MAHADIK OMKAR DHONDU</t>
  </si>
  <si>
    <t>MALLIK SHRUTI SARAT</t>
  </si>
  <si>
    <t>MARIGUDDI RAHUL MALLIKARJUN</t>
  </si>
  <si>
    <t>MEHTA JINESH JASWANTRAI</t>
  </si>
  <si>
    <t>MEHTA RADHI KETAN</t>
  </si>
  <si>
    <t>MHATRE SUMIT BHALCHANDRA</t>
  </si>
  <si>
    <t>MHATRE YASH PRABODH</t>
  </si>
  <si>
    <t>MISTRY YUVARAJ SHAILESH</t>
  </si>
  <si>
    <t>MOHAMMED MUSTAFA MOHAMMED HAROON</t>
  </si>
  <si>
    <t>MORE DEVANGI PRAKASH</t>
  </si>
  <si>
    <t>MORE SANKET CHANDRASHEKHAR</t>
  </si>
  <si>
    <t xml:space="preserve">MORE TANMAY MURLIDHAR </t>
  </si>
  <si>
    <t>MUNAVVAR AHMED</t>
  </si>
  <si>
    <t>NAIK KALPESH DILIP</t>
  </si>
  <si>
    <t>NANGARE PRATHAMESH RAMESH</t>
  </si>
  <si>
    <t>NARWATE ROHAN DILIP</t>
  </si>
  <si>
    <t>NARWEKAR KOMAL DEVENDRA</t>
  </si>
  <si>
    <t>NAVALE KETAN BHAUSAHEB</t>
  </si>
  <si>
    <t>NIKAM PRIYANKA SHANKAR</t>
  </si>
  <si>
    <t>PADAYA HARSHAD PANKAJ</t>
  </si>
  <si>
    <t>PAGARE KIRTI ULHAS</t>
  </si>
  <si>
    <t>PAL DEBJYOTI NARAYAN</t>
  </si>
  <si>
    <t>PALVE GANESH SUBHASH</t>
  </si>
  <si>
    <t>PANDEY NIRAJ RAMASHANKAR</t>
  </si>
  <si>
    <t>PARAB RUPALI RAMAKANT NEHA</t>
  </si>
  <si>
    <t>PARMITA SAR</t>
  </si>
  <si>
    <t>PAKHARE MAHESH MAHADEO</t>
  </si>
  <si>
    <t>PATIL PRACHITI CHANDRAKANT</t>
  </si>
  <si>
    <t>PATIL PRIYANKA RAMKRISHNA</t>
  </si>
  <si>
    <t>PATIL RAVINDRA YASHWANT</t>
  </si>
  <si>
    <t>PATIL ROHIT NARENDRA</t>
  </si>
  <si>
    <t>PATIL SANJALI SANDIP</t>
  </si>
  <si>
    <t>PATIL VISHAL SHRIKANT</t>
  </si>
  <si>
    <t>PATIL VRUSHALI KISHOR</t>
  </si>
  <si>
    <t>PATKAR DIPIKA SANTOSH</t>
  </si>
  <si>
    <t>PAWAR MINAKSHI SHATRU</t>
  </si>
  <si>
    <t>PEDNEKAR ROMIT GAUTAM</t>
  </si>
  <si>
    <t>PEVEKAR NEHA BALKRISHNA</t>
  </si>
  <si>
    <t>PIMPLE ROSHAN ASHOK</t>
  </si>
  <si>
    <t>POOJA BHARATKUMAR LAD</t>
  </si>
  <si>
    <t>PUJARI PUNEET SUNDAR</t>
  </si>
  <si>
    <t>PURALKAR TEJESH RAMAKANT</t>
  </si>
  <si>
    <t>RAHUL DEEPAK JADHAV</t>
  </si>
  <si>
    <t>RAHUL SOLANKI</t>
  </si>
  <si>
    <t>RANA VIVEK DIPAK</t>
  </si>
  <si>
    <t>RANE ANKITA UMESH</t>
  </si>
  <si>
    <t>RANE TEJAL SHANTA</t>
  </si>
  <si>
    <t>RATHOD SURABHI MANHAR</t>
  </si>
  <si>
    <t>RAUT PALASH RAVINDRA</t>
  </si>
  <si>
    <t>SAINDANE BHUSHAN GOPAL</t>
  </si>
  <si>
    <t xml:space="preserve">SAKARSUDHA JASPREET SINGH DARVINDERPAL SINGH </t>
  </si>
  <si>
    <t>SAKRE SUSHANT SURESH</t>
  </si>
  <si>
    <t>SALONI UJWAL KARNIK</t>
  </si>
  <si>
    <t>SANKHE TEJASVI BALARAM</t>
  </si>
  <si>
    <t>SARVAIYA HEENA RAMESHBHAI</t>
  </si>
  <si>
    <t>SATAM JIGNESH SURYAKANT</t>
  </si>
  <si>
    <t>SATVIK MADHAVA SHETTY</t>
  </si>
  <si>
    <t>SAWANT GAURAV SUDHIR</t>
  </si>
  <si>
    <t>SAWANT GAUTAM SUDHIR</t>
  </si>
  <si>
    <t>SAWANT SIDDHESH SHIVRAM</t>
  </si>
  <si>
    <t>SAWANT SWATI MADHAV</t>
  </si>
  <si>
    <t>SAWANT VIKRAM MARUTI</t>
  </si>
  <si>
    <t>SHAH AAKASH SUNIL</t>
  </si>
  <si>
    <t>SHAH AKSHAY RAJESH</t>
  </si>
  <si>
    <t>SHAH JAY PANKAJ</t>
  </si>
  <si>
    <t>SHAH NISHAL PARESH</t>
  </si>
  <si>
    <t>SHAH PARAG NISHITHKUMAR</t>
  </si>
  <si>
    <t>SHAIKH AAYSHA ABDUL QADIR</t>
  </si>
  <si>
    <t>SHETYE SONALI MUKUND</t>
  </si>
  <si>
    <t>SHINDE NISHAD RAMESH</t>
  </si>
  <si>
    <t>SHINDE SAMRUDDHI ABHAY</t>
  </si>
  <si>
    <t>SHINDE SARIKA NANDKISHORE</t>
  </si>
  <si>
    <t>SHIRSAT DHARMESH ANAND</t>
  </si>
  <si>
    <t>SHUKLA ABHISHEK</t>
  </si>
  <si>
    <t>SINGH DHIRAJ NARESH</t>
  </si>
  <si>
    <t>SINGH PRASHANT KUMAR GIRISHANKAR</t>
  </si>
  <si>
    <t>SONAR SUMIT RAMESH</t>
  </si>
  <si>
    <t>SUBHRIMA BHADURY</t>
  </si>
  <si>
    <t>SUCHETA RAVINDRA RAICHUR</t>
  </si>
  <si>
    <t>SURYAVANSHI VAISHALI MANRAJ</t>
  </si>
  <si>
    <t>SWAPNIL KR SINGH</t>
  </si>
  <si>
    <t>SWARNKAR SHASHIKESH SATISH</t>
  </si>
  <si>
    <t>TAILOR PURAV SANJAY</t>
  </si>
  <si>
    <t>TANEJA ROHIT SANTOSH</t>
  </si>
  <si>
    <t>THAKKAR JIGNAL NILESH</t>
  </si>
  <si>
    <t>THAKUR OMKAR PRALHAD</t>
  </si>
  <si>
    <t>TRIVEDI ADITYA DUSHYANT</t>
  </si>
  <si>
    <t>VANMALI SANKET DILIP</t>
  </si>
  <si>
    <t>VISHWAKARMA VIKASKUMAR RAJNATH</t>
  </si>
  <si>
    <t>VYAS MAHEK TUSHAR</t>
  </si>
  <si>
    <t>WARADE SONAL EKNATH</t>
  </si>
  <si>
    <t>YADAV AMIT KUMAR VIKRAMA PRASAD</t>
  </si>
  <si>
    <t>YADAV ASHISH KUMAR HEERALAL</t>
  </si>
  <si>
    <t>YADAV LALJI MUNIRAM</t>
  </si>
  <si>
    <t>YADAV NIKHIL BHARAT</t>
  </si>
  <si>
    <t>SHARMA SHIVAM SUBHASH</t>
  </si>
  <si>
    <t>BOLINJKAR SNEHA VIJAY</t>
  </si>
  <si>
    <t>PATWARDHAN ANIKET ASHOK</t>
  </si>
  <si>
    <t>BHOLE NILIMA SURESH</t>
  </si>
  <si>
    <t>GHUMAN RANJEET SINGH IQBAL SINGH</t>
  </si>
  <si>
    <t>PACHLOD BHAVISHYA MANOHAR</t>
  </si>
  <si>
    <t>PC5001</t>
  </si>
  <si>
    <t xml:space="preserve">BOLINJKAR  SNEHA </t>
  </si>
  <si>
    <t>PC5002</t>
  </si>
  <si>
    <t>CHANDGUDE  TEJAL</t>
  </si>
  <si>
    <t>PC5003</t>
  </si>
  <si>
    <t>CHAVAN RAVI BHIKAJI</t>
  </si>
  <si>
    <t>PC5004</t>
  </si>
  <si>
    <t>PALEKAR  AKSHAY</t>
  </si>
  <si>
    <t>PC5005</t>
  </si>
  <si>
    <t xml:space="preserve">RANE YUGANDHARA </t>
  </si>
  <si>
    <t>PC5006</t>
  </si>
  <si>
    <t xml:space="preserve">SABHALE DINESH </t>
  </si>
  <si>
    <t>PC5007</t>
  </si>
  <si>
    <t>SATARDEKAR SIDDHESH</t>
  </si>
  <si>
    <t>PC5008</t>
  </si>
  <si>
    <t>SHUKLA MANOJ</t>
  </si>
  <si>
    <t>PC5009</t>
  </si>
  <si>
    <t>SIDHAPURA  CHIRAG</t>
  </si>
  <si>
    <t>PC5010</t>
  </si>
  <si>
    <t>SURYAWANSHI PRIYANKA</t>
  </si>
  <si>
    <t>50+</t>
  </si>
  <si>
    <t xml:space="preserve">Statistical Data in various subjects prescribed at the T.E. SEM. (V)  Second  Half of 2012 Examination held by college </t>
  </si>
  <si>
    <t>on behalf of the University in the month of  Nov/Dec 2012.</t>
  </si>
  <si>
    <t>grace marks</t>
  </si>
  <si>
    <t>33*</t>
  </si>
  <si>
    <t>466*</t>
  </si>
  <si>
    <t>496*</t>
  </si>
  <si>
    <t>31*</t>
  </si>
  <si>
    <t>489*</t>
  </si>
  <si>
    <t>32*</t>
  </si>
  <si>
    <t>516*</t>
  </si>
  <si>
    <t>495*</t>
  </si>
  <si>
    <t>EXAM SEAT NO.</t>
  </si>
  <si>
    <t>Atharva College of Engineering, Malad (W)</t>
  </si>
  <si>
    <t>Name of the college:</t>
  </si>
  <si>
    <t>18/01/2013</t>
  </si>
  <si>
    <t>Date:</t>
  </si>
  <si>
    <t xml:space="preserve"> Prof. Roshni Padate (FRCRCE)</t>
  </si>
  <si>
    <t>119        (marks between 20 &amp; 30)</t>
  </si>
  <si>
    <t>45                   (marks above 30)</t>
  </si>
  <si>
    <t>Prof.Pratibha Bhola    (ACE)</t>
  </si>
  <si>
    <t>Prof.Shweta Sharma    (ACE)</t>
  </si>
  <si>
    <t>Prof.Mishra Varun B.    (ACE)</t>
  </si>
  <si>
    <t>Prof.Alka Srivastava     (ACE)</t>
  </si>
  <si>
    <t>Prof.Chetana Dodke    (ACE)</t>
  </si>
  <si>
    <t>Prof.Anand Khandare    (TCET)</t>
  </si>
  <si>
    <t>Prof.Manish Rana     (TCET)</t>
  </si>
  <si>
    <t xml:space="preserve">                      (Signature of principal with College seal)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</si>
</sst>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"/>
  </numFmts>
  <fonts count="24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Times New Roman"/>
      <family val="1"/>
    </font>
    <font>
      <sz val="11"/>
      <color theme="1"/>
      <name val="Times New Roman"/>
      <family val="1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Times New Roman"/>
      <family val="1"/>
    </font>
    <font>
      <sz val="12"/>
      <color indexed="8"/>
      <name val="Calibri"/>
      <family val="2"/>
    </font>
    <font>
      <b/>
      <sz val="12"/>
      <color rgb="FF000000"/>
      <name val="Calibri"/>
      <family val="2"/>
    </font>
    <font>
      <b/>
      <sz val="12"/>
      <color rgb="FF000000"/>
      <name val="Times New Roman"/>
      <family val="1"/>
    </font>
    <font>
      <b/>
      <sz val="12"/>
      <color indexed="8"/>
      <name val="Calibri"/>
      <family val="2"/>
    </font>
    <font>
      <b/>
      <sz val="10"/>
      <color indexed="8"/>
      <name val="Times New Roman"/>
      <family val="1"/>
    </font>
    <font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6" fillId="0" borderId="0"/>
    <xf numFmtId="9" fontId="8" fillId="0" borderId="0" applyFont="0" applyFill="0" applyBorder="0" applyAlignment="0" applyProtection="0"/>
  </cellStyleXfs>
  <cellXfs count="99">
    <xf numFmtId="0" fontId="0" fillId="0" borderId="0" xfId="0"/>
    <xf numFmtId="0" fontId="0" fillId="0" borderId="4" xfId="0" applyBorder="1" applyProtection="1">
      <protection hidden="1"/>
    </xf>
    <xf numFmtId="165" fontId="0" fillId="0" borderId="1" xfId="0" applyNumberFormat="1" applyBorder="1" applyAlignment="1" applyProtection="1">
      <alignment horizontal="center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0" xfId="0" applyProtection="1">
      <protection locked="0" hidden="1"/>
    </xf>
    <xf numFmtId="0" fontId="4" fillId="0" borderId="1" xfId="0" applyFont="1" applyBorder="1" applyAlignment="1" applyProtection="1">
      <alignment horizontal="center" vertical="top" wrapText="1"/>
      <protection locked="0" hidden="1"/>
    </xf>
    <xf numFmtId="0" fontId="4" fillId="0" borderId="1" xfId="0" applyFont="1" applyBorder="1" applyAlignment="1" applyProtection="1">
      <alignment vertical="top" wrapText="1"/>
      <protection locked="0" hidden="1"/>
    </xf>
    <xf numFmtId="0" fontId="5" fillId="0" borderId="1" xfId="0" applyFont="1" applyBorder="1" applyAlignment="1" applyProtection="1">
      <alignment vertical="top" wrapText="1"/>
      <protection locked="0" hidden="1"/>
    </xf>
    <xf numFmtId="164" fontId="7" fillId="0" borderId="11" xfId="1" applyNumberFormat="1" applyFont="1" applyFill="1" applyBorder="1" applyAlignment="1" applyProtection="1">
      <alignment horizontal="left" wrapText="1"/>
      <protection locked="0"/>
    </xf>
    <xf numFmtId="0" fontId="0" fillId="0" borderId="0" xfId="0" applyProtection="1">
      <protection locked="0"/>
    </xf>
    <xf numFmtId="164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wrapText="1"/>
      <protection locked="0"/>
    </xf>
    <xf numFmtId="0" fontId="0" fillId="0" borderId="0" xfId="0" applyBorder="1" applyAlignment="1" applyProtection="1">
      <alignment wrapText="1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Fill="1" applyBorder="1" applyAlignment="1" applyProtection="1">
      <alignment horizontal="left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164" fontId="3" fillId="0" borderId="0" xfId="0" applyNumberFormat="1" applyFont="1" applyFill="1" applyBorder="1" applyAlignment="1" applyProtection="1">
      <alignment horizontal="left" vertical="center"/>
      <protection locked="0"/>
    </xf>
    <xf numFmtId="0" fontId="2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left" vertical="center"/>
      <protection locked="0"/>
    </xf>
    <xf numFmtId="164" fontId="2" fillId="0" borderId="0" xfId="0" applyNumberFormat="1" applyFont="1" applyFill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left"/>
      <protection locked="0"/>
    </xf>
    <xf numFmtId="164" fontId="3" fillId="0" borderId="0" xfId="0" applyNumberFormat="1" applyFont="1" applyAlignment="1" applyProtection="1">
      <alignment horizontal="left"/>
      <protection locked="0"/>
    </xf>
    <xf numFmtId="0" fontId="1" fillId="0" borderId="4" xfId="0" applyFont="1" applyFill="1" applyBorder="1" applyAlignment="1" applyProtection="1">
      <alignment horizontal="right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10" fontId="0" fillId="0" borderId="0" xfId="2" applyNumberFormat="1" applyFont="1" applyBorder="1" applyAlignment="1" applyProtection="1">
      <alignment horizontal="center"/>
      <protection locked="0"/>
    </xf>
    <xf numFmtId="164" fontId="0" fillId="2" borderId="0" xfId="0" applyNumberFormat="1" applyFill="1" applyAlignment="1" applyProtection="1">
      <alignment horizontal="left"/>
      <protection locked="0"/>
    </xf>
    <xf numFmtId="0" fontId="15" fillId="0" borderId="0" xfId="0" applyFont="1" applyProtection="1">
      <protection locked="0"/>
    </xf>
    <xf numFmtId="165" fontId="15" fillId="0" borderId="1" xfId="0" applyNumberFormat="1" applyFont="1" applyBorder="1" applyAlignment="1" applyProtection="1">
      <alignment horizontal="center"/>
      <protection hidden="1"/>
    </xf>
    <xf numFmtId="0" fontId="15" fillId="0" borderId="1" xfId="0" applyFont="1" applyBorder="1" applyAlignment="1" applyProtection="1">
      <alignment horizontal="center"/>
      <protection hidden="1"/>
    </xf>
    <xf numFmtId="0" fontId="15" fillId="0" borderId="0" xfId="0" applyFont="1" applyProtection="1">
      <protection hidden="1"/>
    </xf>
    <xf numFmtId="0" fontId="15" fillId="0" borderId="0" xfId="0" applyFont="1" applyBorder="1" applyProtection="1">
      <protection locked="0"/>
    </xf>
    <xf numFmtId="0" fontId="1" fillId="0" borderId="1" xfId="0" applyFont="1" applyFill="1" applyBorder="1" applyAlignment="1" applyProtection="1">
      <alignment horizontal="center"/>
      <protection locked="0"/>
    </xf>
    <xf numFmtId="0" fontId="1" fillId="0" borderId="6" xfId="0" applyFont="1" applyFill="1" applyBorder="1" applyAlignment="1" applyProtection="1">
      <alignment horizontal="center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vertical="center" wrapText="1"/>
      <protection locked="0"/>
    </xf>
    <xf numFmtId="0" fontId="10" fillId="0" borderId="1" xfId="0" applyFont="1" applyBorder="1" applyAlignment="1" applyProtection="1">
      <alignment vertical="center" wrapText="1"/>
      <protection locked="0"/>
    </xf>
    <xf numFmtId="0" fontId="19" fillId="0" borderId="1" xfId="0" applyFont="1" applyBorder="1" applyAlignment="1" applyProtection="1">
      <alignment horizontal="center" vertical="center" wrapText="1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14" fillId="0" borderId="1" xfId="0" applyFont="1" applyBorder="1" applyAlignment="1" applyProtection="1">
      <alignment vertical="center" wrapText="1"/>
      <protection locked="0"/>
    </xf>
    <xf numFmtId="164" fontId="18" fillId="0" borderId="13" xfId="1" applyNumberFormat="1" applyFont="1" applyFill="1" applyBorder="1" applyAlignment="1" applyProtection="1">
      <alignment horizontal="right" wrapText="1"/>
      <protection locked="0"/>
    </xf>
    <xf numFmtId="164" fontId="15" fillId="0" borderId="0" xfId="0" applyNumberFormat="1" applyFont="1" applyAlignment="1" applyProtection="1">
      <alignment horizontal="right"/>
      <protection locked="0"/>
    </xf>
    <xf numFmtId="164" fontId="15" fillId="0" borderId="2" xfId="0" applyNumberFormat="1" applyFont="1" applyBorder="1" applyAlignment="1" applyProtection="1">
      <alignment horizontal="right"/>
      <protection locked="0"/>
    </xf>
    <xf numFmtId="164" fontId="0" fillId="0" borderId="0" xfId="0" applyNumberFormat="1" applyAlignment="1" applyProtection="1">
      <alignment horizontal="right"/>
      <protection locked="0"/>
    </xf>
    <xf numFmtId="164" fontId="3" fillId="0" borderId="0" xfId="0" applyNumberFormat="1" applyFont="1" applyFill="1" applyBorder="1" applyAlignment="1" applyProtection="1">
      <alignment horizontal="right"/>
      <protection locked="0"/>
    </xf>
    <xf numFmtId="0" fontId="15" fillId="0" borderId="2" xfId="0" applyFont="1" applyBorder="1" applyAlignment="1" applyProtection="1">
      <alignment horizontal="right"/>
      <protection hidden="1"/>
    </xf>
    <xf numFmtId="164" fontId="3" fillId="0" borderId="0" xfId="0" applyNumberFormat="1" applyFont="1" applyAlignment="1" applyProtection="1">
      <alignment horizontal="right"/>
      <protection locked="0"/>
    </xf>
    <xf numFmtId="164" fontId="18" fillId="0" borderId="11" xfId="1" applyNumberFormat="1" applyFont="1" applyFill="1" applyBorder="1" applyAlignment="1" applyProtection="1">
      <alignment horizontal="right" wrapText="1"/>
      <protection locked="0"/>
    </xf>
    <xf numFmtId="164" fontId="18" fillId="0" borderId="2" xfId="1" applyNumberFormat="1" applyFont="1" applyFill="1" applyBorder="1" applyAlignment="1" applyProtection="1">
      <alignment horizontal="right" wrapText="1"/>
      <protection locked="0"/>
    </xf>
    <xf numFmtId="164" fontId="3" fillId="0" borderId="0" xfId="0" applyNumberFormat="1" applyFont="1" applyFill="1" applyBorder="1" applyAlignment="1" applyProtection="1">
      <alignment horizontal="right" vertical="center"/>
      <protection locked="0"/>
    </xf>
    <xf numFmtId="0" fontId="10" fillId="0" borderId="0" xfId="0" applyFont="1" applyAlignment="1" applyProtection="1">
      <alignment horizontal="right"/>
      <protection locked="0"/>
    </xf>
    <xf numFmtId="164" fontId="18" fillId="0" borderId="14" xfId="1" applyNumberFormat="1" applyFont="1" applyFill="1" applyBorder="1" applyAlignment="1" applyProtection="1">
      <alignment horizontal="right" wrapText="1"/>
      <protection locked="0"/>
    </xf>
    <xf numFmtId="0" fontId="11" fillId="0" borderId="0" xfId="0" applyFont="1" applyAlignment="1" applyProtection="1">
      <alignment horizontal="right"/>
      <protection locked="0"/>
    </xf>
    <xf numFmtId="164" fontId="0" fillId="0" borderId="0" xfId="0" applyNumberFormat="1" applyBorder="1" applyAlignment="1" applyProtection="1">
      <alignment horizontal="right"/>
      <protection locked="0"/>
    </xf>
    <xf numFmtId="164" fontId="2" fillId="0" borderId="0" xfId="0" applyNumberFormat="1" applyFont="1" applyAlignment="1" applyProtection="1">
      <alignment horizontal="right"/>
      <protection locked="0"/>
    </xf>
    <xf numFmtId="164" fontId="2" fillId="0" borderId="0" xfId="0" applyNumberFormat="1" applyFont="1" applyFill="1" applyBorder="1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15" fillId="0" borderId="3" xfId="0" applyFont="1" applyBorder="1" applyAlignment="1" applyProtection="1">
      <alignment horizontal="left"/>
      <protection hidden="1"/>
    </xf>
    <xf numFmtId="0" fontId="15" fillId="0" borderId="4" xfId="0" applyFont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left"/>
      <protection locked="0"/>
    </xf>
    <xf numFmtId="0" fontId="2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1" fillId="0" borderId="0" xfId="0" applyFont="1" applyFill="1" applyBorder="1" applyAlignment="1" applyProtection="1">
      <alignment horizontal="center"/>
      <protection locked="0"/>
    </xf>
    <xf numFmtId="0" fontId="1" fillId="0" borderId="10" xfId="0" applyFont="1" applyFill="1" applyBorder="1" applyAlignment="1" applyProtection="1">
      <alignment horizontal="right" vertical="center"/>
      <protection locked="0"/>
    </xf>
    <xf numFmtId="0" fontId="1" fillId="0" borderId="0" xfId="0" applyFont="1"/>
    <xf numFmtId="0" fontId="1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left" vertical="center" wrapText="1"/>
    </xf>
    <xf numFmtId="0" fontId="15" fillId="0" borderId="1" xfId="0" applyNumberFormat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0" fontId="15" fillId="0" borderId="1" xfId="2" applyNumberFormat="1" applyFont="1" applyBorder="1" applyAlignment="1">
      <alignment horizontal="center" vertical="center" wrapText="1"/>
    </xf>
    <xf numFmtId="164" fontId="15" fillId="0" borderId="1" xfId="0" applyNumberFormat="1" applyFont="1" applyBorder="1" applyAlignment="1">
      <alignment horizontal="center" vertical="center" wrapText="1"/>
    </xf>
    <xf numFmtId="0" fontId="15" fillId="0" borderId="0" xfId="0" applyFont="1"/>
    <xf numFmtId="0" fontId="15" fillId="0" borderId="0" xfId="0" applyFont="1" applyBorder="1" applyAlignment="1">
      <alignment horizontal="center" vertical="center" wrapText="1"/>
    </xf>
    <xf numFmtId="0" fontId="15" fillId="0" borderId="1" xfId="0" applyNumberFormat="1" applyFont="1" applyBorder="1" applyAlignment="1">
      <alignment horizontal="left" vertical="center" wrapText="1"/>
    </xf>
    <xf numFmtId="0" fontId="15" fillId="0" borderId="0" xfId="0" applyFont="1" applyAlignment="1">
      <alignment horizontal="left" vertical="top"/>
    </xf>
    <xf numFmtId="10" fontId="15" fillId="0" borderId="0" xfId="2" applyNumberFormat="1" applyFont="1" applyAlignment="1">
      <alignment horizontal="left" vertical="top"/>
    </xf>
    <xf numFmtId="14" fontId="15" fillId="0" borderId="0" xfId="0" applyNumberFormat="1" applyFont="1" applyAlignment="1">
      <alignment horizontal="left"/>
    </xf>
    <xf numFmtId="0" fontId="22" fillId="0" borderId="1" xfId="0" applyFont="1" applyBorder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1" fillId="0" borderId="2" xfId="0" applyFont="1" applyFill="1" applyBorder="1" applyAlignment="1" applyProtection="1">
      <alignment horizontal="center"/>
      <protection locked="0"/>
    </xf>
    <xf numFmtId="0" fontId="1" fillId="0" borderId="4" xfId="0" applyFont="1" applyFill="1" applyBorder="1" applyAlignment="1" applyProtection="1">
      <alignment horizontal="center"/>
      <protection locked="0"/>
    </xf>
    <xf numFmtId="0" fontId="1" fillId="0" borderId="5" xfId="0" applyFont="1" applyFill="1" applyBorder="1" applyAlignment="1" applyProtection="1">
      <alignment horizontal="center"/>
      <protection locked="0"/>
    </xf>
    <xf numFmtId="0" fontId="21" fillId="0" borderId="5" xfId="0" applyFont="1" applyFill="1" applyBorder="1" applyAlignment="1" applyProtection="1">
      <alignment horizontal="center" vertical="center"/>
      <protection locked="0"/>
    </xf>
    <xf numFmtId="0" fontId="21" fillId="0" borderId="6" xfId="0" applyFont="1" applyFill="1" applyBorder="1" applyAlignment="1" applyProtection="1">
      <alignment horizontal="center" vertical="center"/>
      <protection locked="0"/>
    </xf>
    <xf numFmtId="0" fontId="21" fillId="0" borderId="7" xfId="0" applyFont="1" applyFill="1" applyBorder="1" applyAlignment="1" applyProtection="1">
      <alignment horizontal="center" vertical="center"/>
      <protection locked="0"/>
    </xf>
    <xf numFmtId="0" fontId="21" fillId="0" borderId="2" xfId="0" applyFont="1" applyFill="1" applyBorder="1" applyAlignment="1" applyProtection="1">
      <alignment horizontal="center"/>
      <protection locked="0"/>
    </xf>
    <xf numFmtId="0" fontId="21" fillId="0" borderId="4" xfId="0" applyFont="1" applyFill="1" applyBorder="1" applyAlignment="1" applyProtection="1">
      <alignment horizontal="center"/>
      <protection locked="0"/>
    </xf>
    <xf numFmtId="0" fontId="1" fillId="0" borderId="3" xfId="0" applyFont="1" applyFill="1" applyBorder="1" applyAlignment="1" applyProtection="1">
      <alignment horizontal="center"/>
      <protection locked="0"/>
    </xf>
    <xf numFmtId="0" fontId="1" fillId="0" borderId="6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15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 applyProtection="1">
      <alignment horizontal="center" vertical="center" wrapText="1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Normal_Sheet1" xfId="1"/>
    <cellStyle name="Percent" xfId="2" builtinId="5"/>
  </cellStyles>
  <dxfs count="17"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  <dxf>
      <font>
        <condense val="0"/>
        <extend val="0"/>
        <color rgb="FF9C0006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2314575</xdr:colOff>
      <xdr:row>22</xdr:row>
      <xdr:rowOff>9525</xdr:rowOff>
    </xdr:from>
    <xdr:to>
      <xdr:col>2</xdr:col>
      <xdr:colOff>2314575</xdr:colOff>
      <xdr:row>24</xdr:row>
      <xdr:rowOff>0</xdr:rowOff>
    </xdr:to>
    <xdr:cxnSp macro="">
      <xdr:nvCxnSpPr>
        <xdr:cNvPr id="3" name="Straight Connector 2"/>
        <xdr:cNvCxnSpPr/>
      </xdr:nvCxnSpPr>
      <xdr:spPr>
        <a:xfrm>
          <a:off x="3552825" y="4400550"/>
          <a:ext cx="0" cy="3810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AM222"/>
  <sheetViews>
    <sheetView tabSelected="1" topLeftCell="A199" workbookViewId="0">
      <selection activeCell="AH207" sqref="AH207"/>
    </sheetView>
  </sheetViews>
  <sheetFormatPr defaultColWidth="8.85546875" defaultRowHeight="15"/>
  <cols>
    <col min="1" max="1" width="8.85546875" style="9"/>
    <col min="2" max="2" width="9.7109375" style="9" customWidth="1"/>
    <col min="3" max="3" width="41.7109375" style="9" customWidth="1"/>
    <col min="4" max="4" width="4.140625" style="10" customWidth="1"/>
    <col min="5" max="5" width="1.7109375" style="59" customWidth="1"/>
    <col min="6" max="6" width="4.140625" style="46" customWidth="1"/>
    <col min="7" max="7" width="1.7109375" style="59" customWidth="1"/>
    <col min="8" max="8" width="4.140625" style="46" customWidth="1"/>
    <col min="9" max="9" width="1.5703125" style="59" customWidth="1"/>
    <col min="10" max="10" width="4.140625" style="46" customWidth="1"/>
    <col min="11" max="11" width="1.7109375" style="59" customWidth="1"/>
    <col min="12" max="12" width="4.140625" style="46" customWidth="1"/>
    <col min="13" max="13" width="1.7109375" style="59" customWidth="1"/>
    <col min="14" max="14" width="4.140625" style="46" customWidth="1"/>
    <col min="15" max="15" width="1.7109375" style="59" customWidth="1"/>
    <col min="16" max="16" width="4.140625" style="46" customWidth="1"/>
    <col min="17" max="17" width="1.7109375" style="59" customWidth="1"/>
    <col min="18" max="18" width="4.140625" style="46" customWidth="1"/>
    <col min="19" max="19" width="1.7109375" style="59" customWidth="1"/>
    <col min="20" max="20" width="4.140625" style="46" customWidth="1"/>
    <col min="21" max="21" width="1.7109375" style="59" customWidth="1"/>
    <col min="22" max="22" width="4.140625" style="46" customWidth="1"/>
    <col min="23" max="23" width="1.7109375" style="59" customWidth="1"/>
    <col min="24" max="24" width="4.140625" style="10" customWidth="1"/>
    <col min="25" max="25" width="1.5703125" style="59" customWidth="1"/>
    <col min="26" max="26" width="4.140625" style="46" customWidth="1"/>
    <col min="27" max="27" width="1.7109375" style="59" customWidth="1"/>
    <col min="28" max="28" width="4.140625" style="46" customWidth="1"/>
    <col min="29" max="29" width="1.7109375" style="59" customWidth="1"/>
    <col min="30" max="30" width="4.140625" style="46" customWidth="1"/>
    <col min="31" max="31" width="1.7109375" style="59" customWidth="1"/>
    <col min="32" max="32" width="4.140625" style="46" customWidth="1"/>
    <col min="33" max="33" width="1.7109375" style="59" customWidth="1"/>
    <col min="34" max="34" width="4.140625" style="46" customWidth="1"/>
    <col min="35" max="35" width="1.7109375" style="59" customWidth="1"/>
    <col min="36" max="37" width="9.140625" style="11" customWidth="1"/>
    <col min="38" max="38" width="20.28515625" style="9" customWidth="1"/>
    <col min="39" max="16384" width="8.85546875" style="9"/>
  </cols>
  <sheetData>
    <row r="3" spans="2:38">
      <c r="D3" s="10" t="s">
        <v>0</v>
      </c>
      <c r="J3" s="46" t="s">
        <v>1</v>
      </c>
      <c r="P3" s="46" t="s">
        <v>2</v>
      </c>
      <c r="V3" s="46" t="s">
        <v>3</v>
      </c>
      <c r="Z3" s="46" t="s">
        <v>4</v>
      </c>
      <c r="AF3" s="46" t="s">
        <v>5</v>
      </c>
    </row>
    <row r="4" spans="2:38">
      <c r="C4" s="12" t="s">
        <v>114</v>
      </c>
      <c r="D4" s="10">
        <f>COUNT(D25:D216)+D11</f>
        <v>165</v>
      </c>
      <c r="J4" s="10">
        <f>COUNT(J25:J216)+J11</f>
        <v>164</v>
      </c>
      <c r="P4" s="10">
        <f>COUNT(P25:P216)+P11</f>
        <v>168</v>
      </c>
      <c r="V4" s="10">
        <f>COUNT(V25:V216)+V11</f>
        <v>175</v>
      </c>
      <c r="Z4" s="10">
        <f>COUNT(Z25:Z216)+Z11</f>
        <v>170</v>
      </c>
      <c r="AF4" s="10">
        <f>COUNT(AF25:AF216)+AF11</f>
        <v>164</v>
      </c>
    </row>
    <row r="5" spans="2:38">
      <c r="C5" s="12" t="s">
        <v>115</v>
      </c>
      <c r="D5" s="10">
        <f>COUNTIF(E25:E216,"F")</f>
        <v>5</v>
      </c>
      <c r="J5" s="46">
        <f>COUNTIF(K25:K216,"F")</f>
        <v>16</v>
      </c>
      <c r="P5" s="46">
        <f>COUNTIF(Q25:Q216,"F")</f>
        <v>16</v>
      </c>
      <c r="V5" s="46">
        <f>COUNTIF(W25:W216,"F")</f>
        <v>19</v>
      </c>
      <c r="Z5" s="46">
        <f>COUNTIF(AA25:AA216,"F")</f>
        <v>18</v>
      </c>
      <c r="AF5" s="46">
        <f>COUNTIF(AG25:AG216,"F")</f>
        <v>0</v>
      </c>
    </row>
    <row r="6" spans="2:38">
      <c r="C6" s="12" t="s">
        <v>116</v>
      </c>
      <c r="D6" s="10">
        <f>D4-D5</f>
        <v>160</v>
      </c>
      <c r="J6" s="46">
        <f>J4-J5</f>
        <v>148</v>
      </c>
      <c r="P6" s="46">
        <f>P4-P5</f>
        <v>152</v>
      </c>
      <c r="V6" s="46">
        <f>V4-V5</f>
        <v>156</v>
      </c>
      <c r="Z6" s="46">
        <f>Z4-Z5</f>
        <v>152</v>
      </c>
      <c r="AF6" s="46">
        <f>AF4-AF5</f>
        <v>164</v>
      </c>
    </row>
    <row r="7" spans="2:38">
      <c r="C7" s="12" t="s">
        <v>117</v>
      </c>
      <c r="D7" s="10">
        <f>AVERAGE(D25:D216)</f>
        <v>52.339393939393936</v>
      </c>
      <c r="J7" s="46">
        <f>AVERAGE(J25:J216)</f>
        <v>46.780487804878049</v>
      </c>
      <c r="P7" s="46">
        <f>AVERAGE(P25:P216)</f>
        <v>46.128834355828218</v>
      </c>
      <c r="V7" s="46">
        <f>AVERAGE(V25:V216)</f>
        <v>52.028571428571432</v>
      </c>
      <c r="Z7" s="46">
        <f>AVERAGE(Z25:Z216)</f>
        <v>48.72941176470588</v>
      </c>
      <c r="AF7" s="46">
        <f>AVERAGE(AF25:AF216)</f>
        <v>27.189024390243901</v>
      </c>
    </row>
    <row r="8" spans="2:38">
      <c r="C8" s="12" t="s">
        <v>118</v>
      </c>
      <c r="D8" s="10">
        <f>MAX(D25:D216)</f>
        <v>78</v>
      </c>
      <c r="J8" s="46">
        <f>MAX(J25:J216)</f>
        <v>85</v>
      </c>
      <c r="P8" s="46">
        <f>MAX(P25:P216)</f>
        <v>80</v>
      </c>
      <c r="V8" s="46">
        <f>MAX(V25:V216)</f>
        <v>79</v>
      </c>
      <c r="Z8" s="46">
        <f>MAX(Z25:Z216)</f>
        <v>72</v>
      </c>
      <c r="AF8" s="46">
        <f>MAX(AF25:AF216)</f>
        <v>39</v>
      </c>
    </row>
    <row r="9" spans="2:38">
      <c r="C9" s="12" t="s">
        <v>119</v>
      </c>
      <c r="D9" s="10">
        <f>COUNTIF(D25:D216,"&gt;=60")</f>
        <v>50</v>
      </c>
      <c r="J9" s="46">
        <f>COUNTIF(J25:J216,"&gt;=60")</f>
        <v>22</v>
      </c>
      <c r="P9" s="46">
        <f>COUNTIF(P25:P216,"&gt;=60")</f>
        <v>21</v>
      </c>
      <c r="V9" s="46">
        <f>COUNTIF(V25:V216,"&gt;=60")</f>
        <v>62</v>
      </c>
      <c r="Z9" s="46">
        <f>COUNTIF(Z25:Z216,"&gt;=60")</f>
        <v>44</v>
      </c>
      <c r="AF9" s="46">
        <f>COUNTIF(AF25:AF216,"&gt;=30")</f>
        <v>45</v>
      </c>
    </row>
    <row r="10" spans="2:38">
      <c r="C10" s="13" t="s">
        <v>120</v>
      </c>
      <c r="D10" s="10">
        <f>D6-D9</f>
        <v>110</v>
      </c>
      <c r="J10" s="46">
        <f>J6-J9</f>
        <v>126</v>
      </c>
      <c r="P10" s="46">
        <f>P6-P9</f>
        <v>131</v>
      </c>
      <c r="V10" s="46">
        <f>V6-V9</f>
        <v>94</v>
      </c>
      <c r="Z10" s="46">
        <f>Z6-Z9</f>
        <v>108</v>
      </c>
      <c r="AF10" s="46">
        <f>AF6-AF9</f>
        <v>119</v>
      </c>
    </row>
    <row r="11" spans="2:38">
      <c r="C11" s="13" t="s">
        <v>405</v>
      </c>
      <c r="D11" s="10">
        <f>COUNTIF(D25:D216,"??~*")</f>
        <v>0</v>
      </c>
      <c r="J11" s="46">
        <f>COUNTIF(J25:J216,"??~*")</f>
        <v>0</v>
      </c>
      <c r="P11" s="46">
        <f>COUNTIF(P25:P216,"??~*")</f>
        <v>5</v>
      </c>
      <c r="V11" s="46">
        <f>COUNTIF(V25:V216,"??~*")</f>
        <v>0</v>
      </c>
      <c r="Z11" s="46">
        <f>COUNTIF(Z25:Z216,"??~*")</f>
        <v>0</v>
      </c>
      <c r="AF11" s="46">
        <f>COUNTIF(AF25:AF216,"??~*")</f>
        <v>0</v>
      </c>
    </row>
    <row r="12" spans="2:38">
      <c r="C12" s="13"/>
    </row>
    <row r="13" spans="2:38">
      <c r="C13" s="13"/>
    </row>
    <row r="14" spans="2:38">
      <c r="C14" s="13"/>
    </row>
    <row r="16" spans="2:38" ht="18.75">
      <c r="B16" s="14" t="s">
        <v>14</v>
      </c>
      <c r="C16" s="15"/>
      <c r="D16" s="16" t="s">
        <v>15</v>
      </c>
      <c r="E16" s="22"/>
      <c r="H16" s="47"/>
      <c r="J16" s="47"/>
      <c r="K16" s="63"/>
      <c r="M16" s="22"/>
      <c r="N16" s="47"/>
      <c r="P16" s="47"/>
      <c r="Q16" s="63"/>
      <c r="R16" s="47"/>
      <c r="S16" s="63"/>
      <c r="T16" s="47"/>
      <c r="U16" s="63"/>
      <c r="V16" s="47"/>
      <c r="W16" s="63"/>
      <c r="X16" s="18" t="s">
        <v>16</v>
      </c>
      <c r="Y16" s="60"/>
      <c r="Z16" s="47"/>
      <c r="AA16" s="64"/>
      <c r="AB16" s="52"/>
      <c r="AC16" s="20"/>
      <c r="AD16" s="52"/>
      <c r="AE16" s="20"/>
      <c r="AG16" s="63"/>
      <c r="AH16" s="57"/>
      <c r="AI16" s="22"/>
      <c r="AJ16" s="19"/>
      <c r="AK16" s="17"/>
      <c r="AL16" s="17"/>
    </row>
    <row r="17" spans="1:39" ht="18.75">
      <c r="A17" s="66"/>
      <c r="B17" s="14"/>
      <c r="C17" s="19"/>
      <c r="D17" s="16"/>
      <c r="E17" s="60"/>
      <c r="F17" s="47"/>
      <c r="G17" s="60"/>
      <c r="H17" s="47"/>
      <c r="I17" s="63"/>
      <c r="J17" s="47"/>
      <c r="K17" s="21"/>
      <c r="L17" s="47"/>
      <c r="M17" s="60"/>
      <c r="N17" s="47"/>
      <c r="O17" s="60"/>
      <c r="P17" s="47"/>
      <c r="Q17" s="60"/>
      <c r="R17" s="47"/>
      <c r="S17" s="60"/>
      <c r="T17" s="47"/>
      <c r="U17" s="60"/>
      <c r="V17" s="47"/>
      <c r="W17" s="60"/>
      <c r="X17" s="16"/>
      <c r="Y17" s="60"/>
      <c r="Z17" s="47"/>
      <c r="AA17" s="60"/>
      <c r="AB17" s="47"/>
      <c r="AC17" s="60"/>
      <c r="AD17" s="47"/>
      <c r="AE17" s="60"/>
      <c r="AF17" s="47"/>
      <c r="AG17" s="63"/>
      <c r="AH17" s="58"/>
      <c r="AI17" s="63"/>
      <c r="AJ17" s="19"/>
      <c r="AK17" s="17"/>
      <c r="AL17" s="17"/>
    </row>
    <row r="18" spans="1:39" ht="18.75">
      <c r="A18" s="66"/>
      <c r="B18" s="14" t="s">
        <v>17</v>
      </c>
      <c r="C18" s="22"/>
      <c r="D18" s="23" t="s">
        <v>18</v>
      </c>
      <c r="E18" s="22"/>
      <c r="G18" s="22"/>
      <c r="H18" s="49"/>
      <c r="I18" s="22"/>
      <c r="J18" s="49"/>
      <c r="K18" s="22"/>
      <c r="L18" s="49"/>
      <c r="M18" s="22"/>
      <c r="N18" s="49"/>
      <c r="O18" s="22"/>
      <c r="P18" s="49"/>
      <c r="Q18" s="22"/>
      <c r="R18" s="49"/>
      <c r="S18" s="22"/>
      <c r="T18" s="49"/>
      <c r="U18" s="22"/>
      <c r="V18" s="49"/>
      <c r="W18" s="22"/>
      <c r="X18" s="23" t="s">
        <v>19</v>
      </c>
      <c r="Y18" s="22"/>
      <c r="Z18" s="49"/>
      <c r="AA18" s="64"/>
      <c r="AB18" s="49"/>
      <c r="AC18" s="64"/>
      <c r="AD18" s="49"/>
      <c r="AE18" s="64"/>
      <c r="AG18" s="22"/>
      <c r="AH18" s="49"/>
      <c r="AI18" s="22"/>
      <c r="AJ18" s="15"/>
      <c r="AK18" s="15"/>
      <c r="AL18" s="22"/>
    </row>
    <row r="20" spans="1:39" ht="15.75" thickBot="1"/>
    <row r="21" spans="1:39" s="30" customFormat="1" ht="15.75">
      <c r="B21" s="96" t="s">
        <v>414</v>
      </c>
      <c r="C21" s="93" t="s">
        <v>8</v>
      </c>
      <c r="D21" s="83" t="s">
        <v>0</v>
      </c>
      <c r="E21" s="91"/>
      <c r="F21" s="91"/>
      <c r="G21" s="91"/>
      <c r="H21" s="91"/>
      <c r="I21" s="84"/>
      <c r="J21" s="83" t="s">
        <v>1</v>
      </c>
      <c r="K21" s="91"/>
      <c r="L21" s="91"/>
      <c r="M21" s="91"/>
      <c r="N21" s="91"/>
      <c r="O21" s="84"/>
      <c r="P21" s="83" t="s">
        <v>2</v>
      </c>
      <c r="Q21" s="91"/>
      <c r="R21" s="91"/>
      <c r="S21" s="91"/>
      <c r="T21" s="91"/>
      <c r="U21" s="84"/>
      <c r="V21" s="83" t="s">
        <v>3</v>
      </c>
      <c r="W21" s="91"/>
      <c r="X21" s="91"/>
      <c r="Y21" s="84"/>
      <c r="Z21" s="83" t="s">
        <v>4</v>
      </c>
      <c r="AA21" s="91"/>
      <c r="AB21" s="91"/>
      <c r="AC21" s="91"/>
      <c r="AD21" s="91"/>
      <c r="AE21" s="84"/>
      <c r="AF21" s="83" t="s">
        <v>5</v>
      </c>
      <c r="AG21" s="91"/>
      <c r="AH21" s="91"/>
      <c r="AI21" s="84"/>
      <c r="AJ21" s="35" t="s">
        <v>6</v>
      </c>
      <c r="AK21" s="93" t="s">
        <v>7</v>
      </c>
      <c r="AL21" s="36"/>
      <c r="AM21" s="98"/>
    </row>
    <row r="22" spans="1:39" s="30" customFormat="1" ht="15" customHeight="1">
      <c r="B22" s="97"/>
      <c r="C22" s="95"/>
      <c r="D22" s="89" t="s">
        <v>9</v>
      </c>
      <c r="E22" s="90"/>
      <c r="F22" s="89" t="s">
        <v>10</v>
      </c>
      <c r="G22" s="90"/>
      <c r="H22" s="89" t="s">
        <v>11</v>
      </c>
      <c r="I22" s="90"/>
      <c r="J22" s="89" t="s">
        <v>9</v>
      </c>
      <c r="K22" s="90"/>
      <c r="L22" s="89" t="s">
        <v>10</v>
      </c>
      <c r="M22" s="90"/>
      <c r="N22" s="89" t="s">
        <v>11</v>
      </c>
      <c r="O22" s="90"/>
      <c r="P22" s="89" t="s">
        <v>9</v>
      </c>
      <c r="Q22" s="90"/>
      <c r="R22" s="89" t="s">
        <v>10</v>
      </c>
      <c r="S22" s="90"/>
      <c r="T22" s="89" t="s">
        <v>11</v>
      </c>
      <c r="U22" s="90"/>
      <c r="V22" s="89" t="s">
        <v>9</v>
      </c>
      <c r="W22" s="90"/>
      <c r="X22" s="89" t="s">
        <v>10</v>
      </c>
      <c r="Y22" s="90"/>
      <c r="Z22" s="89" t="s">
        <v>9</v>
      </c>
      <c r="AA22" s="90"/>
      <c r="AB22" s="89" t="s">
        <v>10</v>
      </c>
      <c r="AC22" s="90"/>
      <c r="AD22" s="89" t="s">
        <v>11</v>
      </c>
      <c r="AE22" s="90"/>
      <c r="AF22" s="89" t="s">
        <v>9</v>
      </c>
      <c r="AG22" s="90"/>
      <c r="AH22" s="89" t="s">
        <v>10</v>
      </c>
      <c r="AI22" s="90"/>
      <c r="AJ22" s="86">
        <v>850</v>
      </c>
      <c r="AK22" s="94"/>
      <c r="AL22" s="92"/>
      <c r="AM22" s="98"/>
    </row>
    <row r="23" spans="1:39" s="30" customFormat="1" ht="15.75">
      <c r="B23" s="97"/>
      <c r="C23" s="24" t="s">
        <v>12</v>
      </c>
      <c r="D23" s="83">
        <v>100</v>
      </c>
      <c r="E23" s="84"/>
      <c r="F23" s="83">
        <v>25</v>
      </c>
      <c r="G23" s="84"/>
      <c r="H23" s="83">
        <v>50</v>
      </c>
      <c r="I23" s="84"/>
      <c r="J23" s="83">
        <v>100</v>
      </c>
      <c r="K23" s="84"/>
      <c r="L23" s="83">
        <v>25</v>
      </c>
      <c r="M23" s="84"/>
      <c r="N23" s="83">
        <v>50</v>
      </c>
      <c r="O23" s="84"/>
      <c r="P23" s="83">
        <v>100</v>
      </c>
      <c r="Q23" s="84"/>
      <c r="R23" s="83">
        <v>25</v>
      </c>
      <c r="S23" s="84"/>
      <c r="T23" s="83">
        <v>25</v>
      </c>
      <c r="U23" s="84"/>
      <c r="V23" s="83">
        <v>100</v>
      </c>
      <c r="W23" s="84"/>
      <c r="X23" s="83">
        <v>25</v>
      </c>
      <c r="Y23" s="84"/>
      <c r="Z23" s="83">
        <v>100</v>
      </c>
      <c r="AA23" s="84"/>
      <c r="AB23" s="83">
        <v>25</v>
      </c>
      <c r="AC23" s="84"/>
      <c r="AD23" s="83">
        <v>25</v>
      </c>
      <c r="AE23" s="84"/>
      <c r="AF23" s="83">
        <v>50</v>
      </c>
      <c r="AG23" s="84"/>
      <c r="AH23" s="83">
        <v>25</v>
      </c>
      <c r="AI23" s="84"/>
      <c r="AJ23" s="87"/>
      <c r="AK23" s="94"/>
      <c r="AL23" s="92"/>
      <c r="AM23" s="98"/>
    </row>
    <row r="24" spans="1:39" s="30" customFormat="1" ht="15" customHeight="1">
      <c r="B24" s="97"/>
      <c r="C24" s="67" t="s">
        <v>13</v>
      </c>
      <c r="D24" s="83">
        <v>40</v>
      </c>
      <c r="E24" s="84"/>
      <c r="F24" s="85">
        <v>10</v>
      </c>
      <c r="G24" s="84"/>
      <c r="H24" s="85">
        <v>20</v>
      </c>
      <c r="I24" s="84"/>
      <c r="J24" s="83">
        <v>40</v>
      </c>
      <c r="K24" s="84"/>
      <c r="L24" s="85">
        <v>10</v>
      </c>
      <c r="M24" s="84"/>
      <c r="N24" s="85">
        <v>20</v>
      </c>
      <c r="O24" s="84"/>
      <c r="P24" s="85">
        <v>40</v>
      </c>
      <c r="Q24" s="84"/>
      <c r="R24" s="85">
        <v>10</v>
      </c>
      <c r="S24" s="84"/>
      <c r="T24" s="85">
        <v>10</v>
      </c>
      <c r="U24" s="84"/>
      <c r="V24" s="85">
        <v>40</v>
      </c>
      <c r="W24" s="84"/>
      <c r="X24" s="85">
        <v>10</v>
      </c>
      <c r="Y24" s="84"/>
      <c r="Z24" s="83">
        <v>40</v>
      </c>
      <c r="AA24" s="84"/>
      <c r="AB24" s="85">
        <v>10</v>
      </c>
      <c r="AC24" s="84"/>
      <c r="AD24" s="85">
        <v>10</v>
      </c>
      <c r="AE24" s="84"/>
      <c r="AF24" s="85">
        <v>20</v>
      </c>
      <c r="AG24" s="84"/>
      <c r="AH24" s="85">
        <v>10</v>
      </c>
      <c r="AI24" s="84"/>
      <c r="AJ24" s="88"/>
      <c r="AK24" s="95"/>
      <c r="AL24" s="92"/>
      <c r="AM24" s="98"/>
    </row>
    <row r="25" spans="1:39" s="30" customFormat="1" ht="15.95" customHeight="1">
      <c r="B25" s="37">
        <v>225201</v>
      </c>
      <c r="C25" s="38" t="s">
        <v>218</v>
      </c>
      <c r="D25" s="43">
        <v>59</v>
      </c>
      <c r="E25" s="61" t="str">
        <f>IF(IFERROR(FIND("+",D25),0)," ",
IF(D25="AB","",
IF(D25&lt;$D$24,"F",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F25" s="48">
        <v>23</v>
      </c>
      <c r="G25" s="61" t="str">
        <f>IF(IFERROR(FIND("+",F25),0)," ",
IF(F25="AB","",
IF(F25&lt;$F$24,"F",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H25" s="48">
        <v>41</v>
      </c>
      <c r="I25" s="62" t="str">
        <f>IF(IFERROR(FIND("+",H25),0)," ",
IF(H25="AB","",
IF(H25&lt;$H$24,"F",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J25" s="50">
        <v>64</v>
      </c>
      <c r="K25" s="61" t="str">
        <f>IF(IFERROR(FIND("+",J25),0)," ",
IF(J25="AB","",
IF(J25&lt;$J$24,"F",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L25" s="48">
        <v>23</v>
      </c>
      <c r="M25" s="61" t="str">
        <f>IF(IFERROR(FIND("+",L25),0)," ",
IF(L25="AB","",
IF(L25&lt;$L$24,"F",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N25" s="48">
        <v>42</v>
      </c>
      <c r="O25" s="61" t="str">
        <f>IF(IFERROR(FIND("+",N25),0)," ",
IF(N25="AB","",
IF(N25&lt;$N$24,"F",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P25" s="51">
        <v>40</v>
      </c>
      <c r="Q25" s="61" t="str">
        <f>IF(IFERROR(FIND("+",P25),0)," ",
IF(P25="AB","",
IF(P25&lt;$P$24,"F",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R25" s="48">
        <v>23</v>
      </c>
      <c r="S25" s="61" t="str">
        <f>IF(IFERROR(FIND("+",R25),0)," ",
IF(R25="AB","",
IF(R25&lt;$R$24,"F",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T25" s="48">
        <v>21</v>
      </c>
      <c r="U25" s="61" t="str">
        <f>IF(IFERROR(FIND("+",T25),0)," ",
IF(T25="AB","",
IF(T25&lt;$T$24,"F",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V25" s="51">
        <v>50</v>
      </c>
      <c r="W25" s="61" t="str">
        <f>IF(IFERROR(FIND("+",V25),0)," ",
IF(V25="AB","",
IF(V25&lt;$V$24,"F",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X25" s="48">
        <v>23</v>
      </c>
      <c r="Y25" s="62" t="str">
        <f>IF(IFERROR(FIND("+",X25),0)," ",
IF(X25="AB","",
IF(X25&lt;$X$24,"F",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Z25" s="54">
        <v>56</v>
      </c>
      <c r="AA25" s="61" t="str">
        <f>IF(IFERROR(FIND("+",Z25),0)," ",
IF(Z25="AB","",
IF(Z25&lt;$Z$24,"F",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AB25" s="48">
        <v>23</v>
      </c>
      <c r="AC25" s="61" t="str">
        <f>IF(IFERROR(FIND("+",AB25),0)," ",
IF(AB25="AB","",
IF(AB25&lt;$AB$24,"F",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AD25" s="48">
        <v>22</v>
      </c>
      <c r="AE25" s="61" t="str">
        <f>IF(IFERROR(FIND("+",AD25),0)," ",
IF(AD25="AB","",
IF(AD25&lt;$AD$24,"F",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AF25" s="51">
        <v>24</v>
      </c>
      <c r="AG25" s="61" t="str">
        <f>IF(IFERROR(FIND("+",AF25),0)," ",
IF(AF25="AB","",
IF(AF25&lt;$AF$24,"F",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AH25" s="48">
        <v>23</v>
      </c>
      <c r="AI25" s="62" t="str">
        <f>IF(IFERROR(FIND("+",AH25),0)," ",
IF(AH25="AB","",
IF(AH25&lt;$AH$24,"F",
IF(AND(D25&gt;=$D$24,F25&gt;=$F$24,H25&gt;=$H$24,
J25&gt;=$J$24,L25&gt;=$L$24,
N25&gt;=$N$24,P25&gt;=$P$24,R25&gt;=$R$24,T25&gt;=$T$24,V25&gt;=$V$24,
X25&gt;=$X$24,Z25&gt;=$Z$24,AB25&gt;=$AB$24,AD25&gt;=$AD$24,AF25&gt;=$AF$24,
AH25&gt;=$AH$24,D25&lt;&gt;"AB",F25&lt;&gt;"AB",H25&lt;&gt;"AB",
J25&lt;&gt;"AB",L25&lt;&gt;"AB",
N25&lt;&gt;"AB",P25&lt;&gt;"AB",R25&lt;&gt;"AB",T25&lt;&gt;"AB",V25&lt;&gt;"AB",
X25&lt;&gt;"AB",Z25&lt;&gt;"AB",AB25&lt;&gt;"AB",AD25&lt;&gt;"AB",AF25&lt;&gt;"AB",
AH25&lt;&gt;"AB"),"","E"))))</f>
        <v/>
      </c>
      <c r="AJ25" s="31">
        <f>IF(AND(OR(COUNTIF(D25:AI25,"=31")&gt;=1,COUNTIF(D25:AI25,"=32")&gt;=1,COUNTIF(D25:AI25,"=33")&gt;=1,COUNTIF(D25:AI25,"=34")&gt;=1,COUNTIF(D25:AI25,"=35")=1,COUNTIF(D25:AI25,"=36")&gt;=1 ),COUNTIF(D25:AI25,"")=0,COUNTIF(D25:AI25," ")=0,COUNTIF(D25:AI25,"F")=1),CONCATENATE(SUM(EXTRACTNUMBER(D25),EXTRACTNUMBER(F25),
EXTRACTNUMBER(H25),EXTRACTNUMBER(J25),
EXTRACTNUMBER(L25),EXTRACTNUMBER(N25),
EXTRACTNUMBER(P25),EXTRACTNUMBER(R25),
EXTRACTNUMBER(T25),EXTRACTNUMBER(V25),
EXTRACTNUMBER(X25),EXTRACTNUMBER(Z25),EXTRACTNUMBER(AB25),
EXTRACTNUMBER(AD25),EXTRACTNUMBER(AF25),EXTRACTNUMBER(AH25)),"*"),IF(AND(COUNTIF(D25:AI25,"=34")&gt;=1,COUNTIF(D25:AI25,"=35")&gt;=1,COUNTIF(D25:AI25,"f")=2,COUNTIF(D25:AI25,"")=0,COUNTIF(D25:AI25," ")=0),CONCATENATE(SUM(EXTRACTNUMBER(D25),EXTRACTNUMBER(F25),
EXTRACTNUMBER(H25),EXTRACTNUMBER(J25),
EXTRACTNUMBER(L25),EXTRACTNUMBER(N25),
EXTRACTNUMBER(P25),EXTRACTNUMBER(R25),
EXTRACTNUMBER(T25),EXTRACTNUMBER(V25),
EXTRACTNUMBER(X25),EXTRACTNUMBER(Z25),EXTRACTNUMBER(AB25),
EXTRACTNUMBER(AD25),EXTRACTNUMBER(AF25),EXTRACTNUMBER(AH25)),"*"),IF(AND(COUNTIF(D25:AI25,"=36")&gt;=2,COUNTIF(D25:AI25,"f")=2,COUNTIF(D25:AI25,"")=0,COUNTIF(D25:AI25," ")=0),CONCATENATE(SUM(EXTRACTNUMBER(D25),EXTRACTNUMBER(F25),
EXTRACTNUMBER(H25),EXTRACTNUMBER(J25),
EXTRACTNUMBER(L25),EXTRACTNUMBER(N25),
EXTRACTNUMBER(P25),EXTRACTNUMBER(R25),
EXTRACTNUMBER(T25),EXTRACTNUMBER(V25),
EXTRACTNUMBER(X25),EXTRACTNUMBER(Z25),EXTRACTNUMBER(AB25),
EXTRACTNUMBER(AD25),EXTRACTNUMBER(AF25),EXTRACTNUMBER(AH25)),"*"),SUM(EXTRACTNUMBER(D25),EXTRACTNUMBER(F25),
EXTRACTNUMBER(H25),EXTRACTNUMBER(J25),
EXTRACTNUMBER(L25),EXTRACTNUMBER(N25),
EXTRACTNUMBER(P25),EXTRACTNUMBER(R25),
EXTRACTNUMBER(T25),EXTRACTNUMBER(V25),
EXTRACTNUMBER(X25),EXTRACTNUMBER(Z25),EXTRACTNUMBER(AB25),
EXTRACTNUMBER(AD25),EXTRACTNUMBER(AF25),EXTRACTNUMBER(AH25)))))</f>
        <v>557</v>
      </c>
      <c r="AK25" s="32" t="str">
        <f>IF(AND(COUNTIF(D25:AI25,"AB")&lt;16-COUNTIF(D25:AI25," "),
COUNTIF(D25:AI25,"AB")&lt;&gt;0),"FAIL",
IF(COUNTIF(D25:AI25,"AB")=16-COUNTIF(D25:AI25," "),"ABSENT",
IF(AND(COUNTIF(D25:AI25,"AB")=0,COUNTIF(D25:AI25,"F")=0),"PASS","FAIL")))</f>
        <v>PASS</v>
      </c>
      <c r="AL25" s="33" t="str">
        <f>SPELLNUMBER(extractnumber_tot(AJ25))</f>
        <v xml:space="preserve">Five Hundred Fifty Seven </v>
      </c>
    </row>
    <row r="26" spans="1:39" s="30" customFormat="1" ht="15.95" customHeight="1">
      <c r="B26" s="37">
        <v>225202</v>
      </c>
      <c r="C26" s="38" t="s">
        <v>219</v>
      </c>
      <c r="D26" s="43">
        <v>40</v>
      </c>
      <c r="E26" s="61" t="str">
        <f t="shared" ref="E26:E30" si="0">IF(IFERROR(FIND("+",D26),0)," ",
IF(D26="AB","",
IF(D26&lt;$D$24,"F",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F26" s="48">
        <v>20</v>
      </c>
      <c r="G26" s="62" t="str">
        <f t="shared" ref="G26:G88" si="1">IF(IFERROR(FIND("+",F26),0)," ",
IF(F26="AB","",
IF(F26&lt;$F$24,"F",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H26" s="48">
        <v>41</v>
      </c>
      <c r="I26" s="62" t="str">
        <f t="shared" ref="I26:I88" si="2">IF(IFERROR(FIND("+",H26),0)," ",
IF(H26="AB","",
IF(H26&lt;$H$24,"F",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J26" s="50">
        <v>58</v>
      </c>
      <c r="K26" s="62" t="str">
        <f t="shared" ref="K26:K88" si="3">IF(IFERROR(FIND("+",J26),0)," ",
IF(J26="AB","",
IF(J26&lt;$J$24,"F",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L26" s="48">
        <v>23</v>
      </c>
      <c r="M26" s="62" t="str">
        <f t="shared" ref="M26:M88" si="4">IF(IFERROR(FIND("+",L26),0)," ",
IF(L26="AB","",
IF(L26&lt;$L$24,"F",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N26" s="48">
        <v>38</v>
      </c>
      <c r="O26" s="62" t="str">
        <f t="shared" ref="O26:O88" si="5">IF(IFERROR(FIND("+",N26),0)," ",
IF(N26="AB","",
IF(N26&lt;$N$24,"F",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P26" s="51">
        <v>44</v>
      </c>
      <c r="Q26" s="62" t="str">
        <f t="shared" ref="Q26:Q88" si="6">IF(IFERROR(FIND("+",P26),0)," ",
IF(P26="AB","",
IF(P26&lt;$P$24,"F",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R26" s="48">
        <v>20</v>
      </c>
      <c r="S26" s="62" t="str">
        <f t="shared" ref="S26:S88" si="7">IF(IFERROR(FIND("+",R26),0)," ",
IF(R26="AB","",
IF(R26&lt;$R$24,"F",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T26" s="48">
        <v>21</v>
      </c>
      <c r="U26" s="62" t="str">
        <f t="shared" ref="U26:U88" si="8">IF(IFERROR(FIND("+",T26),0)," ",
IF(T26="AB","",
IF(T26&lt;$T$24,"F",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V26" s="51">
        <v>0</v>
      </c>
      <c r="W26" s="62" t="str">
        <f t="shared" ref="W26:W88" si="9">IF(IFERROR(FIND("+",V26),0)," ",
IF(V26="AB","",
IF(V26&lt;$V$24,"F",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F</v>
      </c>
      <c r="X26" s="48">
        <v>20</v>
      </c>
      <c r="Y26" s="61" t="str">
        <f t="shared" ref="Y26:Y88" si="10">IF(IFERROR(FIND("+",X26),0)," ",
IF(X26="AB","",
IF(X26&lt;$X$24,"F",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Z26" s="51">
        <v>4</v>
      </c>
      <c r="AA26" s="62" t="str">
        <f t="shared" ref="AA26:AA88" si="11">IF(IFERROR(FIND("+",Z26),0)," ",
IF(Z26="AB","",
IF(Z26&lt;$Z$24,"F",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F</v>
      </c>
      <c r="AB26" s="48">
        <v>23</v>
      </c>
      <c r="AC26" s="62" t="str">
        <f t="shared" ref="AC26:AC88" si="12">IF(IFERROR(FIND("+",AB26),0)," ",
IF(AB26="AB","",
IF(AB26&lt;$AB$24,"F",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AD26" s="48">
        <v>20</v>
      </c>
      <c r="AE26" s="62" t="str">
        <f t="shared" ref="AE26:AE88" si="13">IF(IFERROR(FIND("+",AD26),0)," ",
IF(AD26="AB","",
IF(AD26&lt;$AD$24,"F",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AF26" s="51">
        <v>27</v>
      </c>
      <c r="AG26" s="62" t="str">
        <f t="shared" ref="AG26:AG88" si="14">IF(IFERROR(FIND("+",AF26),0)," ",
IF(AF26="AB","",
IF(AF26&lt;$AF$24,"F",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AH26" s="48">
        <v>23</v>
      </c>
      <c r="AI26" s="62" t="str">
        <f t="shared" ref="AI26:AI88" si="15">IF(IFERROR(FIND("+",AH26),0)," ",
IF(AH26="AB","",
IF(AH26&lt;$AH$24,"F",
IF(AND(D26&gt;=$D$24,F26&gt;=$F$24,H26&gt;=$H$24,
J26&gt;=$J$24,L26&gt;=$L$24,
N26&gt;=$N$24,P26&gt;=$P$24,R26&gt;=$R$24,T26&gt;=$T$24,V26&gt;=$V$24,
X26&gt;=$X$24,Z26&gt;=$Z$24,AB26&gt;=$AB$24,AD26&gt;=$AD$24,AF26&gt;=$AF$24,
AH26&gt;=$AH$24,D26&lt;&gt;"AB",F26&lt;&gt;"AB",H26&lt;&gt;"AB",
J26&lt;&gt;"AB",L26&lt;&gt;"AB",
N26&lt;&gt;"AB",P26&lt;&gt;"AB",R26&lt;&gt;"AB",T26&lt;&gt;"AB",V26&lt;&gt;"AB",
X26&lt;&gt;"AB",Z26&lt;&gt;"AB",AB26&lt;&gt;"AB",AD26&lt;&gt;"AB",AF26&lt;&gt;"AB",
AH26&lt;&gt;"AB"),"","E"))))</f>
        <v>E</v>
      </c>
      <c r="AJ26" s="31">
        <f>IF(AND(OR(COUNTIF(D26:AI26,"=31")&gt;=1,COUNTIF(D26:AI26,"=32")&gt;=1,COUNTIF(D26:AI26,"=33")&gt;=1,COUNTIF(D26:AI26,"=34")&gt;=1,COUNTIF(D26:AI26,"=35")=1,COUNTIF(D26:AI26,"=36")&gt;=1 ),COUNTIF(D26:AI26,"")=0,COUNTIF(D26:AI26," ")=0,COUNTIF(D26:AI26,"F")=1),CONCATENATE(SUM(EXTRACTNUMBER(D26),EXTRACTNUMBER(F26),
EXTRACTNUMBER(H26),EXTRACTNUMBER(J26),
EXTRACTNUMBER(L26),EXTRACTNUMBER(N26),
EXTRACTNUMBER(P26),EXTRACTNUMBER(R26),
EXTRACTNUMBER(T26),EXTRACTNUMBER(V26),
EXTRACTNUMBER(X26),EXTRACTNUMBER(Z26),EXTRACTNUMBER(AB26),
EXTRACTNUMBER(AD26),EXTRACTNUMBER(AF26),EXTRACTNUMBER(AH26)),"*"),IF(AND(COUNTIF(D26:AI26,"=34")&gt;=1,COUNTIF(D26:AI26,"=35")&gt;=1,COUNTIF(D26:AI26,"f")=2,COUNTIF(D26:AI26,"")=0,COUNTIF(D26:AI26," ")=0),CONCATENATE(SUM(EXTRACTNUMBER(D26),EXTRACTNUMBER(F26),
EXTRACTNUMBER(H26),EXTRACTNUMBER(J26),
EXTRACTNUMBER(L26),EXTRACTNUMBER(N26),
EXTRACTNUMBER(P26),EXTRACTNUMBER(R26),
EXTRACTNUMBER(T26),EXTRACTNUMBER(V26),
EXTRACTNUMBER(X26),EXTRACTNUMBER(Z26),EXTRACTNUMBER(AB26),
EXTRACTNUMBER(AD26),EXTRACTNUMBER(AF26),EXTRACTNUMBER(AH26)),"*"),IF(AND(COUNTIF(D26:AI26,"=36")&gt;=2,COUNTIF(D26:AI26,"f")=2,COUNTIF(D26:AI26,"")=0,COUNTIF(D26:AI26," ")=0),CONCATENATE(SUM(EXTRACTNUMBER(D26),EXTRACTNUMBER(F26),
EXTRACTNUMBER(H26),EXTRACTNUMBER(J26),
EXTRACTNUMBER(L26),EXTRACTNUMBER(N26),
EXTRACTNUMBER(P26),EXTRACTNUMBER(R26),
EXTRACTNUMBER(T26),EXTRACTNUMBER(V26),
EXTRACTNUMBER(X26),EXTRACTNUMBER(Z26),EXTRACTNUMBER(AB26),
EXTRACTNUMBER(AD26),EXTRACTNUMBER(AF26),EXTRACTNUMBER(AH26)),"*"),SUM(EXTRACTNUMBER(D26),EXTRACTNUMBER(F26),
EXTRACTNUMBER(H26),EXTRACTNUMBER(J26),
EXTRACTNUMBER(L26),EXTRACTNUMBER(N26),
EXTRACTNUMBER(P26),EXTRACTNUMBER(R26),
EXTRACTNUMBER(T26),EXTRACTNUMBER(V26),
EXTRACTNUMBER(X26),EXTRACTNUMBER(Z26),EXTRACTNUMBER(AB26),
EXTRACTNUMBER(AD26),EXTRACTNUMBER(AF26),EXTRACTNUMBER(AH26)))))</f>
        <v>422</v>
      </c>
      <c r="AK26" s="32" t="str">
        <f t="shared" ref="AK26:AK89" si="16">IF(AND(COUNTIF(D26:AI26,"AB")&lt;16-COUNTIF(D26:AI26," "),
COUNTIF(D26:AI26,"AB")&lt;&gt;0),"FAIL",
IF(COUNTIF(D26:AI26,"AB")=16-COUNTIF(D26:AI26," "),"ABSENT",
IF(AND(COUNTIF(D26:AI26,"AB")=0,COUNTIF(D26:AI26,"F")=0),"PASS","FAIL")))</f>
        <v>FAIL</v>
      </c>
      <c r="AL26" s="33" t="str">
        <f>SPELLNUMBER(extractnumber_tot(AJ26))</f>
        <v xml:space="preserve">Four Hundred Twenty Two </v>
      </c>
    </row>
    <row r="27" spans="1:39" s="30" customFormat="1" ht="15.95" customHeight="1">
      <c r="B27" s="37">
        <v>225203</v>
      </c>
      <c r="C27" s="38" t="s">
        <v>220</v>
      </c>
      <c r="D27" s="43">
        <v>46</v>
      </c>
      <c r="E27" s="61" t="str">
        <f t="shared" si="0"/>
        <v/>
      </c>
      <c r="F27" s="48">
        <v>19</v>
      </c>
      <c r="G27" s="62" t="str">
        <f t="shared" si="1"/>
        <v/>
      </c>
      <c r="H27" s="48">
        <v>41</v>
      </c>
      <c r="I27" s="62" t="str">
        <f t="shared" si="2"/>
        <v/>
      </c>
      <c r="J27" s="50">
        <v>58</v>
      </c>
      <c r="K27" s="62" t="str">
        <f t="shared" si="3"/>
        <v/>
      </c>
      <c r="L27" s="48">
        <v>22</v>
      </c>
      <c r="M27" s="62" t="str">
        <f t="shared" si="4"/>
        <v/>
      </c>
      <c r="N27" s="48">
        <v>44</v>
      </c>
      <c r="O27" s="62" t="str">
        <f t="shared" si="5"/>
        <v/>
      </c>
      <c r="P27" s="51">
        <v>40</v>
      </c>
      <c r="Q27" s="62" t="str">
        <f t="shared" si="6"/>
        <v/>
      </c>
      <c r="R27" s="48">
        <v>19</v>
      </c>
      <c r="S27" s="62" t="str">
        <f t="shared" si="7"/>
        <v/>
      </c>
      <c r="T27" s="48">
        <v>21</v>
      </c>
      <c r="U27" s="62" t="str">
        <f t="shared" si="8"/>
        <v/>
      </c>
      <c r="V27" s="51">
        <v>40</v>
      </c>
      <c r="W27" s="62" t="str">
        <f t="shared" si="9"/>
        <v/>
      </c>
      <c r="X27" s="48">
        <v>19</v>
      </c>
      <c r="Y27" s="62" t="str">
        <f t="shared" si="10"/>
        <v/>
      </c>
      <c r="Z27" s="51">
        <v>48</v>
      </c>
      <c r="AA27" s="62" t="str">
        <f t="shared" si="11"/>
        <v/>
      </c>
      <c r="AB27" s="48">
        <v>22</v>
      </c>
      <c r="AC27" s="62" t="str">
        <f t="shared" si="12"/>
        <v/>
      </c>
      <c r="AD27" s="48">
        <v>17</v>
      </c>
      <c r="AE27" s="62" t="str">
        <f t="shared" si="13"/>
        <v/>
      </c>
      <c r="AF27" s="51">
        <v>24</v>
      </c>
      <c r="AG27" s="62" t="str">
        <f t="shared" si="14"/>
        <v/>
      </c>
      <c r="AH27" s="48">
        <v>18</v>
      </c>
      <c r="AI27" s="62" t="str">
        <f t="shared" si="15"/>
        <v/>
      </c>
      <c r="AJ27" s="31">
        <f>IF(AND(OR(COUNTIF(D27:AI27,"=31")&gt;=1,COUNTIF(D27:AI27,"=32")&gt;=1,COUNTIF(D27:AI27,"=33")&gt;=1,COUNTIF(D27:AI27,"=34")&gt;=1,COUNTIF(D27:AI27,"=35")=1,COUNTIF(D27:AI27,"=36")&gt;=1 ),COUNTIF(D27:AI27,"")=0,COUNTIF(D27:AI27," ")=0,COUNTIF(D27:AI27,"F")=1),CONCATENATE(SUM(EXTRACTNUMBER(D27),EXTRACTNUMBER(F27),
EXTRACTNUMBER(H27),EXTRACTNUMBER(J27),
EXTRACTNUMBER(L27),EXTRACTNUMBER(N27),
EXTRACTNUMBER(P27),EXTRACTNUMBER(R27),
EXTRACTNUMBER(T27),EXTRACTNUMBER(V27),
EXTRACTNUMBER(X27),EXTRACTNUMBER(Z27),EXTRACTNUMBER(AB27),
EXTRACTNUMBER(AD27),EXTRACTNUMBER(AF27),EXTRACTNUMBER(AH27)),"*"),IF(AND(COUNTIF(D27:AI27,"=34")&gt;=1,COUNTIF(D27:AI27,"=35")&gt;=1,COUNTIF(D27:AI27,"f")=2,COUNTIF(D27:AI27,"")=0,COUNTIF(D27:AI27," ")=0),CONCATENATE(SUM(EXTRACTNUMBER(D27),EXTRACTNUMBER(F27),
EXTRACTNUMBER(H27),EXTRACTNUMBER(J27),
EXTRACTNUMBER(L27),EXTRACTNUMBER(N27),
EXTRACTNUMBER(P27),EXTRACTNUMBER(R27),
EXTRACTNUMBER(T27),EXTRACTNUMBER(V27),
EXTRACTNUMBER(X27),EXTRACTNUMBER(Z27),EXTRACTNUMBER(AB27),
EXTRACTNUMBER(AD27),EXTRACTNUMBER(AF27),EXTRACTNUMBER(AH27)),"*"),IF(AND(COUNTIF(D27:AI27,"=36")&gt;=2,COUNTIF(D27:AI27,"f")=2,COUNTIF(D27:AI27,"")=0,COUNTIF(D27:AI27," ")=0),CONCATENATE(SUM(EXTRACTNUMBER(D27),EXTRACTNUMBER(F27),
EXTRACTNUMBER(H27),EXTRACTNUMBER(J27),
EXTRACTNUMBER(L27),EXTRACTNUMBER(N27),
EXTRACTNUMBER(P27),EXTRACTNUMBER(R27),
EXTRACTNUMBER(T27),EXTRACTNUMBER(V27),
EXTRACTNUMBER(X27),EXTRACTNUMBER(Z27),EXTRACTNUMBER(AB27),
EXTRACTNUMBER(AD27),EXTRACTNUMBER(AF27),EXTRACTNUMBER(AH27)),"*"),SUM(EXTRACTNUMBER(D27),EXTRACTNUMBER(F27),
EXTRACTNUMBER(H27),EXTRACTNUMBER(J27),
EXTRACTNUMBER(L27),EXTRACTNUMBER(N27),
EXTRACTNUMBER(P27),EXTRACTNUMBER(R27),
EXTRACTNUMBER(T27),EXTRACTNUMBER(V27),
EXTRACTNUMBER(X27),EXTRACTNUMBER(Z27),EXTRACTNUMBER(AB27),
EXTRACTNUMBER(AD27),EXTRACTNUMBER(AF27),EXTRACTNUMBER(AH27)))))</f>
        <v>498</v>
      </c>
      <c r="AK27" s="32" t="str">
        <f t="shared" si="16"/>
        <v>PASS</v>
      </c>
      <c r="AL27" s="33" t="str">
        <f>SPELLNUMBER(extractnumber_tot(AJ27))</f>
        <v xml:space="preserve">Four Hundred NinetyEight </v>
      </c>
    </row>
    <row r="28" spans="1:39" s="30" customFormat="1" ht="15.95" customHeight="1">
      <c r="B28" s="37">
        <v>225204</v>
      </c>
      <c r="C28" s="38" t="s">
        <v>221</v>
      </c>
      <c r="D28" s="43">
        <v>46</v>
      </c>
      <c r="E28" s="61" t="str">
        <f t="shared" si="0"/>
        <v/>
      </c>
      <c r="F28" s="48">
        <v>18</v>
      </c>
      <c r="G28" s="62" t="str">
        <f t="shared" si="1"/>
        <v/>
      </c>
      <c r="H28" s="48">
        <v>39</v>
      </c>
      <c r="I28" s="62" t="str">
        <f t="shared" si="2"/>
        <v/>
      </c>
      <c r="J28" s="50">
        <v>61</v>
      </c>
      <c r="K28" s="62" t="str">
        <f t="shared" si="3"/>
        <v/>
      </c>
      <c r="L28" s="48">
        <v>22</v>
      </c>
      <c r="M28" s="62" t="str">
        <f t="shared" si="4"/>
        <v/>
      </c>
      <c r="N28" s="48">
        <v>42</v>
      </c>
      <c r="O28" s="62" t="str">
        <f t="shared" si="5"/>
        <v/>
      </c>
      <c r="P28" s="51">
        <v>40</v>
      </c>
      <c r="Q28" s="62" t="str">
        <f t="shared" si="6"/>
        <v/>
      </c>
      <c r="R28" s="48">
        <v>18</v>
      </c>
      <c r="S28" s="62" t="str">
        <f t="shared" si="7"/>
        <v/>
      </c>
      <c r="T28" s="48">
        <v>20</v>
      </c>
      <c r="U28" s="62" t="str">
        <f t="shared" si="8"/>
        <v/>
      </c>
      <c r="V28" s="51">
        <v>41</v>
      </c>
      <c r="W28" s="62" t="str">
        <f t="shared" si="9"/>
        <v/>
      </c>
      <c r="X28" s="48">
        <v>16</v>
      </c>
      <c r="Y28" s="62" t="str">
        <f t="shared" si="10"/>
        <v/>
      </c>
      <c r="Z28" s="51">
        <v>50</v>
      </c>
      <c r="AA28" s="62" t="str">
        <f t="shared" si="11"/>
        <v/>
      </c>
      <c r="AB28" s="48">
        <v>22</v>
      </c>
      <c r="AC28" s="62" t="str">
        <f t="shared" si="12"/>
        <v/>
      </c>
      <c r="AD28" s="48">
        <v>19</v>
      </c>
      <c r="AE28" s="62" t="str">
        <f t="shared" si="13"/>
        <v/>
      </c>
      <c r="AF28" s="51">
        <v>20</v>
      </c>
      <c r="AG28" s="62" t="str">
        <f t="shared" si="14"/>
        <v/>
      </c>
      <c r="AH28" s="48">
        <v>16</v>
      </c>
      <c r="AI28" s="62" t="str">
        <f t="shared" si="15"/>
        <v/>
      </c>
      <c r="AJ28" s="31">
        <f>IF(AND(OR(COUNTIF(D28:AI28,"=31")&gt;=1,COUNTIF(D28:AI28,"=32")&gt;=1,COUNTIF(D28:AI28,"=33")&gt;=1,COUNTIF(D28:AI28,"=34")&gt;=1,COUNTIF(D28:AI28,"=35")=1,COUNTIF(D28:AI28,"=36")&gt;=1 ),COUNTIF(D28:AI28,"")=0,COUNTIF(D28:AI28," ")=0,COUNTIF(D28:AI28,"F")=1),CONCATENATE(SUM(EXTRACTNUMBER(D28),EXTRACTNUMBER(F28),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EXTRACTNUMBER(AD28),EXTRACTNUMBER(AF28),EXTRACTNUMBER(AH28)),"*"),IF(AND(COUNTIF(D28:AI28,"=34")&gt;=1,COUNTIF(D28:AI28,"=35")&gt;=1,COUNTIF(D28:AI28,"f")=2,COUNTIF(D28:AI28,"")=0,COUNTIF(D28:AI28," ")=0),CONCATENATE(SUM(EXTRACTNUMBER(D28),EXTRACTNUMBER(F28),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EXTRACTNUMBER(AD28),EXTRACTNUMBER(AF28),EXTRACTNUMBER(AH28)),"*"),IF(AND(COUNTIF(D28:AI28,"=36")&gt;=2,COUNTIF(D28:AI28,"f")=2,COUNTIF(D28:AI28,"")=0,COUNTIF(D28:AI28," ")=0),CONCATENATE(SUM(EXTRACTNUMBER(D28),EXTRACTNUMBER(F28),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EXTRACTNUMBER(AD28),EXTRACTNUMBER(AF28),EXTRACTNUMBER(AH28)),"*"),SUM(EXTRACTNUMBER(D28),EXTRACTNUMBER(F28),
EXTRACTNUMBER(H28),EXTRACTNUMBER(J28),
EXTRACTNUMBER(L28),EXTRACTNUMBER(N28),
EXTRACTNUMBER(P28),EXTRACTNUMBER(R28),
EXTRACTNUMBER(T28),EXTRACTNUMBER(V28),
EXTRACTNUMBER(X28),EXTRACTNUMBER(Z28),EXTRACTNUMBER(AB28),
EXTRACTNUMBER(AD28),EXTRACTNUMBER(AF28),EXTRACTNUMBER(AH28)))))</f>
        <v>490</v>
      </c>
      <c r="AK28" s="32" t="str">
        <f t="shared" si="16"/>
        <v>PASS</v>
      </c>
      <c r="AL28" s="33" t="str">
        <f>SPELLNUMBER(extractnumber_tot(AJ28))</f>
        <v xml:space="preserve">Four Hundred Ninety </v>
      </c>
    </row>
    <row r="29" spans="1:39" s="30" customFormat="1" ht="15.95" customHeight="1">
      <c r="B29" s="37">
        <v>225205</v>
      </c>
      <c r="C29" s="38" t="s">
        <v>222</v>
      </c>
      <c r="D29" s="43">
        <v>71</v>
      </c>
      <c r="E29" s="61" t="str">
        <f t="shared" si="0"/>
        <v/>
      </c>
      <c r="F29" s="48">
        <v>24</v>
      </c>
      <c r="G29" s="62" t="str">
        <f t="shared" si="1"/>
        <v/>
      </c>
      <c r="H29" s="48">
        <v>42</v>
      </c>
      <c r="I29" s="62" t="str">
        <f t="shared" si="2"/>
        <v/>
      </c>
      <c r="J29" s="50">
        <v>85</v>
      </c>
      <c r="K29" s="62" t="str">
        <f t="shared" si="3"/>
        <v/>
      </c>
      <c r="L29" s="48">
        <v>21</v>
      </c>
      <c r="M29" s="62" t="str">
        <f t="shared" si="4"/>
        <v/>
      </c>
      <c r="N29" s="48">
        <v>40</v>
      </c>
      <c r="O29" s="62" t="str">
        <f t="shared" si="5"/>
        <v/>
      </c>
      <c r="P29" s="51">
        <v>75</v>
      </c>
      <c r="Q29" s="62" t="str">
        <f t="shared" si="6"/>
        <v/>
      </c>
      <c r="R29" s="48">
        <v>24</v>
      </c>
      <c r="S29" s="62" t="str">
        <f t="shared" si="7"/>
        <v/>
      </c>
      <c r="T29" s="48">
        <v>22</v>
      </c>
      <c r="U29" s="62" t="str">
        <f t="shared" si="8"/>
        <v/>
      </c>
      <c r="V29" s="51">
        <v>68</v>
      </c>
      <c r="W29" s="62" t="str">
        <f t="shared" si="9"/>
        <v/>
      </c>
      <c r="X29" s="48">
        <v>22</v>
      </c>
      <c r="Y29" s="62" t="str">
        <f t="shared" si="10"/>
        <v/>
      </c>
      <c r="Z29" s="51">
        <v>69</v>
      </c>
      <c r="AA29" s="62" t="str">
        <f t="shared" si="11"/>
        <v/>
      </c>
      <c r="AB29" s="48">
        <v>21</v>
      </c>
      <c r="AC29" s="62" t="str">
        <f t="shared" si="12"/>
        <v/>
      </c>
      <c r="AD29" s="48">
        <v>19</v>
      </c>
      <c r="AE29" s="62" t="str">
        <f t="shared" si="13"/>
        <v/>
      </c>
      <c r="AF29" s="51">
        <v>34</v>
      </c>
      <c r="AG29" s="62" t="str">
        <f t="shared" si="14"/>
        <v/>
      </c>
      <c r="AH29" s="48">
        <v>22</v>
      </c>
      <c r="AI29" s="62" t="str">
        <f t="shared" si="15"/>
        <v/>
      </c>
      <c r="AJ29" s="31">
        <f>IF(AND(OR(COUNTIF(D29:AI29,"=31")&gt;=1,COUNTIF(D29:AI29,"=32")&gt;=1,COUNTIF(D29:AI29,"=33")&gt;=1,COUNTIF(D29:AI29,"=34")&gt;=1,COUNTIF(D29:AI29,"=35")=1,COUNTIF(D29:AI29,"=36")&gt;=1 ),COUNTIF(D29:AI29,"")=0,COUNTIF(D29:AI29," ")=0,COUNTIF(D29:AI29,"F")=1),CONCATENATE(SUM(EXTRACTNUMBER(D29),EXTRACTNUMBER(F29),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EXTRACTNUMBER(AD29),EXTRACTNUMBER(AF29),EXTRACTNUMBER(AH29)),"*"),IF(AND(COUNTIF(D29:AI29,"=34")&gt;=1,COUNTIF(D29:AI29,"=35")&gt;=1,COUNTIF(D29:AI29,"f")=2,COUNTIF(D29:AI29,"")=0,COUNTIF(D29:AI29," ")=0),CONCATENATE(SUM(EXTRACTNUMBER(D29),EXTRACTNUMBER(F29),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EXTRACTNUMBER(AD29),EXTRACTNUMBER(AF29),EXTRACTNUMBER(AH29)),"*"),IF(AND(COUNTIF(D29:AI29,"=36")&gt;=2,COUNTIF(D29:AI29,"f")=2,COUNTIF(D29:AI29,"")=0,COUNTIF(D29:AI29," ")=0),CONCATENATE(SUM(EXTRACTNUMBER(D29),EXTRACTNUMBER(F29),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EXTRACTNUMBER(AD29),EXTRACTNUMBER(AF29),EXTRACTNUMBER(AH29)),"*"),SUM(EXTRACTNUMBER(D29),EXTRACTNUMBER(F29),
EXTRACTNUMBER(H29),EXTRACTNUMBER(J29),
EXTRACTNUMBER(L29),EXTRACTNUMBER(N29),
EXTRACTNUMBER(P29),EXTRACTNUMBER(R29),
EXTRACTNUMBER(T29),EXTRACTNUMBER(V29),
EXTRACTNUMBER(X29),EXTRACTNUMBER(Z29),EXTRACTNUMBER(AB29),
EXTRACTNUMBER(AD29),EXTRACTNUMBER(AF29),EXTRACTNUMBER(AH29)))))</f>
        <v>659</v>
      </c>
      <c r="AK29" s="32" t="str">
        <f t="shared" si="16"/>
        <v>PASS</v>
      </c>
      <c r="AL29" s="33" t="str">
        <f>SPELLNUMBER(extractnumber_tot(AJ29))</f>
        <v xml:space="preserve">Six Hundred Fifty Nine </v>
      </c>
    </row>
    <row r="30" spans="1:39" s="30" customFormat="1" ht="15.95" customHeight="1">
      <c r="B30" s="37">
        <v>225206</v>
      </c>
      <c r="C30" s="38" t="s">
        <v>223</v>
      </c>
      <c r="D30" s="43">
        <v>69</v>
      </c>
      <c r="E30" s="61" t="str">
        <f t="shared" si="0"/>
        <v/>
      </c>
      <c r="F30" s="48">
        <v>20</v>
      </c>
      <c r="G30" s="62" t="str">
        <f t="shared" si="1"/>
        <v/>
      </c>
      <c r="H30" s="48">
        <v>43</v>
      </c>
      <c r="I30" s="62" t="str">
        <f t="shared" si="2"/>
        <v/>
      </c>
      <c r="J30" s="50">
        <v>44</v>
      </c>
      <c r="K30" s="62" t="str">
        <f t="shared" si="3"/>
        <v/>
      </c>
      <c r="L30" s="48">
        <v>21</v>
      </c>
      <c r="M30" s="62" t="str">
        <f t="shared" si="4"/>
        <v/>
      </c>
      <c r="N30" s="48">
        <v>42</v>
      </c>
      <c r="O30" s="62" t="str">
        <f t="shared" si="5"/>
        <v/>
      </c>
      <c r="P30" s="51">
        <v>65</v>
      </c>
      <c r="Q30" s="62" t="str">
        <f t="shared" si="6"/>
        <v/>
      </c>
      <c r="R30" s="48">
        <v>20</v>
      </c>
      <c r="S30" s="62" t="str">
        <f t="shared" si="7"/>
        <v/>
      </c>
      <c r="T30" s="48">
        <v>23</v>
      </c>
      <c r="U30" s="62" t="str">
        <f t="shared" si="8"/>
        <v/>
      </c>
      <c r="V30" s="51">
        <v>58</v>
      </c>
      <c r="W30" s="62" t="str">
        <f t="shared" si="9"/>
        <v/>
      </c>
      <c r="X30" s="48">
        <v>20</v>
      </c>
      <c r="Y30" s="62" t="str">
        <f t="shared" si="10"/>
        <v/>
      </c>
      <c r="Z30" s="51">
        <v>67</v>
      </c>
      <c r="AA30" s="62" t="str">
        <f t="shared" si="11"/>
        <v/>
      </c>
      <c r="AB30" s="48">
        <v>19</v>
      </c>
      <c r="AC30" s="62" t="str">
        <f t="shared" si="12"/>
        <v/>
      </c>
      <c r="AD30" s="48">
        <v>17</v>
      </c>
      <c r="AE30" s="62" t="str">
        <f t="shared" si="13"/>
        <v/>
      </c>
      <c r="AF30" s="51">
        <v>33</v>
      </c>
      <c r="AG30" s="62" t="str">
        <f t="shared" si="14"/>
        <v/>
      </c>
      <c r="AH30" s="48">
        <v>18</v>
      </c>
      <c r="AI30" s="62" t="str">
        <f t="shared" si="15"/>
        <v/>
      </c>
      <c r="AJ30" s="31">
        <f>IF(AND(OR(COUNTIF(D30:AI30,"=31")&gt;=1,COUNTIF(D30:AI30,"=32")&gt;=1,COUNTIF(D30:AI30,"=33")&gt;=1,COUNTIF(D30:AI30,"=34")&gt;=1,COUNTIF(D30:AI30,"=35")=1,COUNTIF(D30:AI30,"=36")&gt;=1 ),COUNTIF(D30:AI30,"")=0,COUNTIF(D30:AI30," ")=0,COUNTIF(D30:AI30,"F")=1),CONCATENATE(SUM(EXTRACTNUMBER(D30),EXTRACTNUMBER(F30),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EXTRACTNUMBER(AD30),EXTRACTNUMBER(AF30),EXTRACTNUMBER(AH30)),"*"),IF(AND(COUNTIF(D30:AI30,"=34")&gt;=1,COUNTIF(D30:AI30,"=35")&gt;=1,COUNTIF(D30:AI30,"f")=2,COUNTIF(D30:AI30,"")=0,COUNTIF(D30:AI30,"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EXTRACTNUMBER(AD30),EXTRACTNUMBER(AF30),EXTRACTNUMBER(AH30)),"*"),IF(AND(COUNTIF(D30:AI30,"=36")&gt;=2,COUNTIF(D30:AI30,"f")=2,COUNTIF(D30:AI30,"")=0,COUNTIF(D30:AI30," ")=0),CONCATENATE(SUM(EXTRACTNUMBER(D30),EXTRACTNUMBER(F30),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EXTRACTNUMBER(AD30),EXTRACTNUMBER(AF30),EXTRACTNUMBER(AH30)),"*"),SUM(EXTRACTNUMBER(D30),EXTRACTNUMBER(F30),
EXTRACTNUMBER(H30),EXTRACTNUMBER(J30),
EXTRACTNUMBER(L30),EXTRACTNUMBER(N30),
EXTRACTNUMBER(P30),EXTRACTNUMBER(R30),
EXTRACTNUMBER(T30),EXTRACTNUMBER(V30),
EXTRACTNUMBER(X30),EXTRACTNUMBER(Z30),EXTRACTNUMBER(AB30),
EXTRACTNUMBER(AD30),EXTRACTNUMBER(AF30),EXTRACTNUMBER(AH30)))))</f>
        <v>579</v>
      </c>
      <c r="AK30" s="32" t="str">
        <f t="shared" si="16"/>
        <v>PASS</v>
      </c>
      <c r="AL30" s="33" t="str">
        <f>SPELLNUMBER(extractnumber_tot(AJ30))</f>
        <v xml:space="preserve">Five Hundred Seventy Nine </v>
      </c>
    </row>
    <row r="31" spans="1:39" s="30" customFormat="1" ht="15.95" customHeight="1">
      <c r="B31" s="37">
        <v>225207</v>
      </c>
      <c r="C31" s="38" t="s">
        <v>224</v>
      </c>
      <c r="D31" s="43">
        <v>66</v>
      </c>
      <c r="E31" s="61" t="str">
        <f t="shared" ref="E31:E88" si="17">IF(IFERROR(FIND("+",D31),0)," ",
IF(D31="AB","",
IF(D31&lt;$D$24,"F",
IF(AND(D31&gt;=$D$24,F31&gt;=$F$24,H31&gt;=$H$24,
J31&gt;=$J$24,L31&gt;=$L$24,
N31&gt;=$N$24,P31&gt;=$P$24,R31&gt;=$R$24,T31&gt;=$T$24,V31&gt;=$V$24,
X31&gt;=$X$24,Z31&gt;=$Z$24,AB31&gt;=$AB$24,AD31&gt;=$AD$24,AF31&gt;=$AF$24,
AH31&gt;=$AH$24,D31&lt;&gt;"AB",F31&lt;&gt;"AB",H31&lt;&gt;"AB",
J31&lt;&gt;"AB",L31&lt;&gt;"AB",
N31&lt;&gt;"AB",P31&lt;&gt;"AB",R31&lt;&gt;"AB",T31&lt;&gt;"AB",V31&lt;&gt;"AB",
X31&lt;&gt;"AB",Z31&lt;&gt;"AB",AB31&lt;&gt;"AB",AD31&lt;&gt;"AB",AF31&lt;&gt;"AB",
AH31&lt;&gt;"AB"),"","E"))))</f>
        <v/>
      </c>
      <c r="F31" s="48">
        <v>21</v>
      </c>
      <c r="G31" s="62" t="str">
        <f t="shared" si="1"/>
        <v/>
      </c>
      <c r="H31" s="48">
        <v>42</v>
      </c>
      <c r="I31" s="62" t="str">
        <f t="shared" si="2"/>
        <v/>
      </c>
      <c r="J31" s="50">
        <v>59</v>
      </c>
      <c r="K31" s="62" t="str">
        <f t="shared" si="3"/>
        <v/>
      </c>
      <c r="L31" s="48">
        <v>23</v>
      </c>
      <c r="M31" s="62" t="str">
        <f t="shared" si="4"/>
        <v/>
      </c>
      <c r="N31" s="48">
        <v>36</v>
      </c>
      <c r="O31" s="62" t="str">
        <f t="shared" si="5"/>
        <v/>
      </c>
      <c r="P31" s="51">
        <v>58</v>
      </c>
      <c r="Q31" s="62" t="str">
        <f t="shared" si="6"/>
        <v/>
      </c>
      <c r="R31" s="48">
        <v>21</v>
      </c>
      <c r="S31" s="62" t="str">
        <f t="shared" si="7"/>
        <v/>
      </c>
      <c r="T31" s="48">
        <v>22</v>
      </c>
      <c r="U31" s="62" t="str">
        <f t="shared" si="8"/>
        <v/>
      </c>
      <c r="V31" s="51">
        <v>64</v>
      </c>
      <c r="W31" s="62" t="str">
        <f t="shared" si="9"/>
        <v/>
      </c>
      <c r="X31" s="48">
        <v>23</v>
      </c>
      <c r="Y31" s="62" t="str">
        <f t="shared" si="10"/>
        <v/>
      </c>
      <c r="Z31" s="51">
        <v>70</v>
      </c>
      <c r="AA31" s="62" t="str">
        <f t="shared" si="11"/>
        <v/>
      </c>
      <c r="AB31" s="48">
        <v>23</v>
      </c>
      <c r="AC31" s="62" t="str">
        <f t="shared" si="12"/>
        <v/>
      </c>
      <c r="AD31" s="48">
        <v>21</v>
      </c>
      <c r="AE31" s="62" t="str">
        <f t="shared" si="13"/>
        <v/>
      </c>
      <c r="AF31" s="51">
        <v>33</v>
      </c>
      <c r="AG31" s="62" t="str">
        <f t="shared" si="14"/>
        <v/>
      </c>
      <c r="AH31" s="48">
        <v>21</v>
      </c>
      <c r="AI31" s="62" t="str">
        <f t="shared" si="15"/>
        <v/>
      </c>
      <c r="AJ31" s="31">
        <f>IF(AND(OR(COUNTIF(D31:AI31,"=31")&gt;=1,COUNTIF(D31:AI31,"=32")&gt;=1,COUNTIF(D31:AI31,"=33")&gt;=1,COUNTIF(D31:AI31,"=34")&gt;=1,COUNTIF(D31:AI31,"=35")=1,COUNTIF(D31:AI31,"=36")&gt;=1 ),COUNTIF(D31:AI31,"")=0,COUNTIF(D31:AI31," ")=0,COUNTIF(D31:AI31,"F")=1),CONCATENATE(SUM(EXTRACTNUMBER(D31),EXTRACTNUMBER(F31),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EXTRACTNUMBER(AD31),EXTRACTNUMBER(AF31),EXTRACTNUMBER(AH31)),"*"),IF(AND(COUNTIF(D31:AI31,"=34")&gt;=1,COUNTIF(D31:AI31,"=35")&gt;=1,COUNTIF(D31:AI31,"f")=2,COUNTIF(D31:AI31,"")=0,COUNTIF(D31:AI31,"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EXTRACTNUMBER(AD31),EXTRACTNUMBER(AF31),EXTRACTNUMBER(AH31)),"*"),IF(AND(COUNTIF(D31:AI31,"=36")&gt;=2,COUNTIF(D31:AI31,"f")=2,COUNTIF(D31:AI31,"")=0,COUNTIF(D31:AI31," ")=0),CONCATENATE(SUM(EXTRACTNUMBER(D31),EXTRACTNUMBER(F31),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EXTRACTNUMBER(AD31),EXTRACTNUMBER(AF31),EXTRACTNUMBER(AH31)),"*"),SUM(EXTRACTNUMBER(D31),EXTRACTNUMBER(F31),
EXTRACTNUMBER(H31),EXTRACTNUMBER(J31),
EXTRACTNUMBER(L31),EXTRACTNUMBER(N31),
EXTRACTNUMBER(P31),EXTRACTNUMBER(R31),
EXTRACTNUMBER(T31),EXTRACTNUMBER(V31),
EXTRACTNUMBER(X31),EXTRACTNUMBER(Z31),EXTRACTNUMBER(AB31),
EXTRACTNUMBER(AD31),EXTRACTNUMBER(AF31),EXTRACTNUMBER(AH31)))))</f>
        <v>603</v>
      </c>
      <c r="AK31" s="32" t="str">
        <f t="shared" si="16"/>
        <v>PASS</v>
      </c>
      <c r="AL31" s="33" t="str">
        <f>SPELLNUMBER(extractnumber_tot(AJ31))</f>
        <v xml:space="preserve">Six Hundred Three </v>
      </c>
    </row>
    <row r="32" spans="1:39" s="30" customFormat="1" ht="15.95" customHeight="1">
      <c r="B32" s="37">
        <v>225208</v>
      </c>
      <c r="C32" s="38" t="s">
        <v>225</v>
      </c>
      <c r="D32" s="44" t="s">
        <v>113</v>
      </c>
      <c r="E32" s="61" t="str">
        <f t="shared" si="17"/>
        <v/>
      </c>
      <c r="F32" s="48">
        <v>18</v>
      </c>
      <c r="G32" s="62" t="str">
        <f t="shared" si="1"/>
        <v>E</v>
      </c>
      <c r="H32" s="48">
        <v>38</v>
      </c>
      <c r="I32" s="62" t="str">
        <f t="shared" si="2"/>
        <v>E</v>
      </c>
      <c r="J32" s="50" t="s">
        <v>113</v>
      </c>
      <c r="K32" s="62" t="str">
        <f t="shared" si="3"/>
        <v/>
      </c>
      <c r="L32" s="48">
        <v>18</v>
      </c>
      <c r="M32" s="62" t="str">
        <f t="shared" si="4"/>
        <v>E</v>
      </c>
      <c r="N32" s="48">
        <v>42</v>
      </c>
      <c r="O32" s="62" t="str">
        <f t="shared" si="5"/>
        <v>E</v>
      </c>
      <c r="P32" s="51" t="s">
        <v>113</v>
      </c>
      <c r="Q32" s="62" t="str">
        <f t="shared" si="6"/>
        <v/>
      </c>
      <c r="R32" s="48">
        <v>18</v>
      </c>
      <c r="S32" s="62" t="str">
        <f t="shared" si="7"/>
        <v>E</v>
      </c>
      <c r="T32" s="48">
        <v>19</v>
      </c>
      <c r="U32" s="62" t="str">
        <f t="shared" si="8"/>
        <v>E</v>
      </c>
      <c r="V32" s="51" t="s">
        <v>113</v>
      </c>
      <c r="W32" s="62" t="str">
        <f t="shared" si="9"/>
        <v/>
      </c>
      <c r="X32" s="48">
        <v>16</v>
      </c>
      <c r="Y32" s="62" t="str">
        <f t="shared" si="10"/>
        <v>E</v>
      </c>
      <c r="Z32" s="51" t="s">
        <v>113</v>
      </c>
      <c r="AA32" s="62" t="str">
        <f t="shared" si="11"/>
        <v/>
      </c>
      <c r="AB32" s="48">
        <v>18</v>
      </c>
      <c r="AC32" s="62" t="str">
        <f t="shared" si="12"/>
        <v>E</v>
      </c>
      <c r="AD32" s="48">
        <v>14</v>
      </c>
      <c r="AE32" s="62" t="str">
        <f t="shared" si="13"/>
        <v>E</v>
      </c>
      <c r="AF32" s="51">
        <v>25</v>
      </c>
      <c r="AG32" s="62" t="str">
        <f t="shared" si="14"/>
        <v>E</v>
      </c>
      <c r="AH32" s="48">
        <v>16</v>
      </c>
      <c r="AI32" s="62" t="str">
        <f t="shared" si="15"/>
        <v>E</v>
      </c>
      <c r="AJ32" s="31">
        <f>IF(AND(OR(COUNTIF(D32:AI32,"=31")&gt;=1,COUNTIF(D32:AI32,"=32")&gt;=1,COUNTIF(D32:AI32,"=33")&gt;=1,COUNTIF(D32:AI32,"=34")&gt;=1,COUNTIF(D32:AI32,"=35")=1,COUNTIF(D32:AI32,"=36")&gt;=1 ),COUNTIF(D32:AI32,"")=0,COUNTIF(D32:AI32," ")=0,COUNTIF(D32:AI32,"F")=1),CONCATENATE(SUM(EXTRACTNUMBER(D32),EXTRACTNUMBER(F32),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EXTRACTNUMBER(AD32),EXTRACTNUMBER(AF32),EXTRACTNUMBER(AH32)),"*"),IF(AND(COUNTIF(D32:AI32,"=34")&gt;=1,COUNTIF(D32:AI32,"=35")&gt;=1,COUNTIF(D32:AI32,"f")=2,COUNTIF(D32:AI32,"")=0,COUNTIF(D32:AI32," ")=0),CONCATENATE(SUM(EXTRACTNUMBER(D32),EXTRACTNUMBER(F32),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EXTRACTNUMBER(AD32),EXTRACTNUMBER(AF32),EXTRACTNUMBER(AH32)),"*"),IF(AND(COUNTIF(D32:AI32,"=36")&gt;=2,COUNTIF(D32:AI32,"f")=2,COUNTIF(D32:AI32,"")=0,COUNTIF(D32:AI32," ")=0),CONCATENATE(SUM(EXTRACTNUMBER(D32),EXTRACTNUMBER(F32),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EXTRACTNUMBER(AD32),EXTRACTNUMBER(AF32),EXTRACTNUMBER(AH32)),"*"),SUM(EXTRACTNUMBER(D32),EXTRACTNUMBER(F32),
EXTRACTNUMBER(H32),EXTRACTNUMBER(J32),
EXTRACTNUMBER(L32),EXTRACTNUMBER(N32),
EXTRACTNUMBER(P32),EXTRACTNUMBER(R32),
EXTRACTNUMBER(T32),EXTRACTNUMBER(V32),
EXTRACTNUMBER(X32),EXTRACTNUMBER(Z32),EXTRACTNUMBER(AB32),
EXTRACTNUMBER(AD32),EXTRACTNUMBER(AF32),EXTRACTNUMBER(AH32)))))</f>
        <v>242</v>
      </c>
      <c r="AK32" s="32" t="str">
        <f t="shared" si="16"/>
        <v>FAIL</v>
      </c>
      <c r="AL32" s="33" t="str">
        <f>SPELLNUMBER(extractnumber_tot(AJ32))</f>
        <v xml:space="preserve">Two Hundred Forty Two </v>
      </c>
    </row>
    <row r="33" spans="2:38" s="30" customFormat="1" ht="15.95" customHeight="1">
      <c r="B33" s="37">
        <v>225209</v>
      </c>
      <c r="C33" s="38" t="s">
        <v>226</v>
      </c>
      <c r="D33" s="43">
        <v>53</v>
      </c>
      <c r="E33" s="61" t="str">
        <f t="shared" si="17"/>
        <v/>
      </c>
      <c r="F33" s="48">
        <v>19</v>
      </c>
      <c r="G33" s="62" t="str">
        <f t="shared" si="1"/>
        <v/>
      </c>
      <c r="H33" s="48">
        <v>40</v>
      </c>
      <c r="I33" s="62" t="str">
        <f t="shared" si="2"/>
        <v/>
      </c>
      <c r="J33" s="50">
        <v>56</v>
      </c>
      <c r="K33" s="62" t="str">
        <f t="shared" si="3"/>
        <v/>
      </c>
      <c r="L33" s="48">
        <v>22</v>
      </c>
      <c r="M33" s="62" t="str">
        <f t="shared" si="4"/>
        <v/>
      </c>
      <c r="N33" s="48">
        <v>42</v>
      </c>
      <c r="O33" s="62" t="str">
        <f t="shared" si="5"/>
        <v/>
      </c>
      <c r="P33" s="51">
        <v>51</v>
      </c>
      <c r="Q33" s="62" t="str">
        <f t="shared" si="6"/>
        <v/>
      </c>
      <c r="R33" s="48">
        <v>19</v>
      </c>
      <c r="S33" s="62" t="str">
        <f t="shared" si="7"/>
        <v/>
      </c>
      <c r="T33" s="48">
        <v>20</v>
      </c>
      <c r="U33" s="62" t="str">
        <f t="shared" si="8"/>
        <v/>
      </c>
      <c r="V33" s="51">
        <v>67</v>
      </c>
      <c r="W33" s="62" t="str">
        <f t="shared" si="9"/>
        <v/>
      </c>
      <c r="X33" s="48">
        <v>16</v>
      </c>
      <c r="Y33" s="62" t="str">
        <f t="shared" si="10"/>
        <v/>
      </c>
      <c r="Z33" s="51">
        <v>46</v>
      </c>
      <c r="AA33" s="62" t="str">
        <f t="shared" si="11"/>
        <v/>
      </c>
      <c r="AB33" s="48">
        <v>22</v>
      </c>
      <c r="AC33" s="62" t="str">
        <f t="shared" si="12"/>
        <v/>
      </c>
      <c r="AD33" s="48">
        <v>20</v>
      </c>
      <c r="AE33" s="62" t="str">
        <f t="shared" si="13"/>
        <v/>
      </c>
      <c r="AF33" s="51">
        <v>29</v>
      </c>
      <c r="AG33" s="62" t="str">
        <f t="shared" si="14"/>
        <v/>
      </c>
      <c r="AH33" s="48">
        <v>20</v>
      </c>
      <c r="AI33" s="62" t="str">
        <f t="shared" si="15"/>
        <v/>
      </c>
      <c r="AJ33" s="31">
        <f>IF(AND(OR(COUNTIF(D33:AI33,"=31")&gt;=1,COUNTIF(D33:AI33,"=32")&gt;=1,COUNTIF(D33:AI33,"=33")&gt;=1,COUNTIF(D33:AI33,"=34")&gt;=1,COUNTIF(D33:AI33,"=35")=1,COUNTIF(D33:AI33,"=36")&gt;=1 ),COUNTIF(D33:AI33,"")=0,COUNTIF(D33:AI33," ")=0,COUNTIF(D33:AI33,"F")=1),CONCATENATE(SUM(EXTRACTNUMBER(D33),EXTRACTNUMBER(F33),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EXTRACTNUMBER(AD33),EXTRACTNUMBER(AF33),EXTRACTNUMBER(AH33)),"*"),IF(AND(COUNTIF(D33:AI33,"=34")&gt;=1,COUNTIF(D33:AI33,"=35")&gt;=1,COUNTIF(D33:AI33,"f")=2,COUNTIF(D33:AI33,"")=0,COUNTIF(D33:AI33," ")=0),CONCATENATE(SUM(EXTRACTNUMBER(D33),EXTRACTNUMBER(F33),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EXTRACTNUMBER(AD33),EXTRACTNUMBER(AF33),EXTRACTNUMBER(AH33)),"*"),IF(AND(COUNTIF(D33:AI33,"=36")&gt;=2,COUNTIF(D33:AI33,"f")=2,COUNTIF(D33:AI33,"")=0,COUNTIF(D33:AI33," ")=0),CONCATENATE(SUM(EXTRACTNUMBER(D33),EXTRACTNUMBER(F33),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EXTRACTNUMBER(AD33),EXTRACTNUMBER(AF33),EXTRACTNUMBER(AH33)),"*"),SUM(EXTRACTNUMBER(D33),EXTRACTNUMBER(F33),
EXTRACTNUMBER(H33),EXTRACTNUMBER(J33),
EXTRACTNUMBER(L33),EXTRACTNUMBER(N33),
EXTRACTNUMBER(P33),EXTRACTNUMBER(R33),
EXTRACTNUMBER(T33),EXTRACTNUMBER(V33),
EXTRACTNUMBER(X33),EXTRACTNUMBER(Z33),EXTRACTNUMBER(AB33),
EXTRACTNUMBER(AD33),EXTRACTNUMBER(AF33),EXTRACTNUMBER(AH33)))))</f>
        <v>542</v>
      </c>
      <c r="AK33" s="32" t="str">
        <f t="shared" si="16"/>
        <v>PASS</v>
      </c>
      <c r="AL33" s="33" t="str">
        <f>SPELLNUMBER(extractnumber_tot(AJ33))</f>
        <v xml:space="preserve">Five Hundred Forty Two </v>
      </c>
    </row>
    <row r="34" spans="2:38" s="30" customFormat="1" ht="15.95" customHeight="1">
      <c r="B34" s="37">
        <v>225210</v>
      </c>
      <c r="C34" s="38" t="s">
        <v>227</v>
      </c>
      <c r="D34" s="43">
        <v>46</v>
      </c>
      <c r="E34" s="61" t="str">
        <f t="shared" si="17"/>
        <v/>
      </c>
      <c r="F34" s="48">
        <v>20</v>
      </c>
      <c r="G34" s="62" t="str">
        <f t="shared" si="1"/>
        <v/>
      </c>
      <c r="H34" s="48">
        <v>37</v>
      </c>
      <c r="I34" s="62" t="str">
        <f t="shared" si="2"/>
        <v/>
      </c>
      <c r="J34" s="50">
        <v>42</v>
      </c>
      <c r="K34" s="62" t="str">
        <f t="shared" si="3"/>
        <v/>
      </c>
      <c r="L34" s="48">
        <v>20</v>
      </c>
      <c r="M34" s="62" t="str">
        <f t="shared" si="4"/>
        <v/>
      </c>
      <c r="N34" s="48">
        <v>42</v>
      </c>
      <c r="O34" s="62" t="str">
        <f t="shared" si="5"/>
        <v/>
      </c>
      <c r="P34" s="51">
        <v>40</v>
      </c>
      <c r="Q34" s="62" t="str">
        <f t="shared" si="6"/>
        <v/>
      </c>
      <c r="R34" s="48">
        <v>20</v>
      </c>
      <c r="S34" s="62" t="str">
        <f t="shared" si="7"/>
        <v/>
      </c>
      <c r="T34" s="48">
        <v>19</v>
      </c>
      <c r="U34" s="62" t="str">
        <f t="shared" si="8"/>
        <v/>
      </c>
      <c r="V34" s="51">
        <v>60</v>
      </c>
      <c r="W34" s="62" t="str">
        <f t="shared" si="9"/>
        <v/>
      </c>
      <c r="X34" s="48">
        <v>20</v>
      </c>
      <c r="Y34" s="62" t="str">
        <f t="shared" si="10"/>
        <v/>
      </c>
      <c r="Z34" s="51">
        <v>45</v>
      </c>
      <c r="AA34" s="62" t="str">
        <f t="shared" si="11"/>
        <v/>
      </c>
      <c r="AB34" s="48">
        <v>20</v>
      </c>
      <c r="AC34" s="62" t="str">
        <f t="shared" si="12"/>
        <v/>
      </c>
      <c r="AD34" s="48">
        <v>18</v>
      </c>
      <c r="AE34" s="62" t="str">
        <f t="shared" si="13"/>
        <v/>
      </c>
      <c r="AF34" s="51">
        <v>23</v>
      </c>
      <c r="AG34" s="62" t="str">
        <f t="shared" si="14"/>
        <v/>
      </c>
      <c r="AH34" s="48">
        <v>16</v>
      </c>
      <c r="AI34" s="62" t="str">
        <f t="shared" si="15"/>
        <v/>
      </c>
      <c r="AJ34" s="31">
        <f>IF(AND(OR(COUNTIF(D34:AI34,"=31")&gt;=1,COUNTIF(D34:AI34,"=32")&gt;=1,COUNTIF(D34:AI34,"=33")&gt;=1,COUNTIF(D34:AI34,"=34")&gt;=1,COUNTIF(D34:AI34,"=35")=1,COUNTIF(D34:AI34,"=36")&gt;=1 ),COUNTIF(D34:AI34,"")=0,COUNTIF(D34:AI34," ")=0,COUNTIF(D34:AI34,"F")=1),CONCATENATE(SUM(EXTRACTNUMBER(D34),EXTRACTNUMBER(F34),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EXTRACTNUMBER(AD34),EXTRACTNUMBER(AF34),EXTRACTNUMBER(AH34)),"*"),IF(AND(COUNTIF(D34:AI34,"=34")&gt;=1,COUNTIF(D34:AI34,"=35")&gt;=1,COUNTIF(D34:AI34,"f")=2,COUNTIF(D34:AI34,"")=0,COUNTIF(D34:AI34," ")=0),CONCATENATE(SUM(EXTRACTNUMBER(D34),EXTRACTNUMBER(F34),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EXTRACTNUMBER(AD34),EXTRACTNUMBER(AF34),EXTRACTNUMBER(AH34)),"*"),IF(AND(COUNTIF(D34:AI34,"=36")&gt;=2,COUNTIF(D34:AI34,"f")=2,COUNTIF(D34:AI34,"")=0,COUNTIF(D34:AI34," ")=0),CONCATENATE(SUM(EXTRACTNUMBER(D34),EXTRACTNUMBER(F34),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EXTRACTNUMBER(AD34),EXTRACTNUMBER(AF34),EXTRACTNUMBER(AH34)),"*"),SUM(EXTRACTNUMBER(D34),EXTRACTNUMBER(F34),
EXTRACTNUMBER(H34),EXTRACTNUMBER(J34),
EXTRACTNUMBER(L34),EXTRACTNUMBER(N34),
EXTRACTNUMBER(P34),EXTRACTNUMBER(R34),
EXTRACTNUMBER(T34),EXTRACTNUMBER(V34),
EXTRACTNUMBER(X34),EXTRACTNUMBER(Z34),EXTRACTNUMBER(AB34),
EXTRACTNUMBER(AD34),EXTRACTNUMBER(AF34),EXTRACTNUMBER(AH34)))))</f>
        <v>488</v>
      </c>
      <c r="AK34" s="32" t="str">
        <f t="shared" si="16"/>
        <v>PASS</v>
      </c>
      <c r="AL34" s="33" t="str">
        <f>SPELLNUMBER(extractnumber_tot(AJ34))</f>
        <v xml:space="preserve">Four Hundred Eighty Eight </v>
      </c>
    </row>
    <row r="35" spans="2:38" s="30" customFormat="1" ht="15.95" customHeight="1">
      <c r="B35" s="37">
        <v>225211</v>
      </c>
      <c r="C35" s="38" t="s">
        <v>228</v>
      </c>
      <c r="D35" s="43">
        <v>49</v>
      </c>
      <c r="E35" s="61" t="str">
        <f t="shared" si="17"/>
        <v/>
      </c>
      <c r="F35" s="48">
        <v>22</v>
      </c>
      <c r="G35" s="62" t="str">
        <f t="shared" si="1"/>
        <v/>
      </c>
      <c r="H35" s="48">
        <v>42</v>
      </c>
      <c r="I35" s="62" t="str">
        <f t="shared" si="2"/>
        <v/>
      </c>
      <c r="J35" s="50">
        <v>58</v>
      </c>
      <c r="K35" s="62" t="str">
        <f t="shared" si="3"/>
        <v/>
      </c>
      <c r="L35" s="48">
        <v>20</v>
      </c>
      <c r="M35" s="62" t="str">
        <f t="shared" si="4"/>
        <v/>
      </c>
      <c r="N35" s="48">
        <v>40</v>
      </c>
      <c r="O35" s="62" t="str">
        <f t="shared" si="5"/>
        <v/>
      </c>
      <c r="P35" s="51">
        <v>43</v>
      </c>
      <c r="Q35" s="62" t="str">
        <f t="shared" si="6"/>
        <v/>
      </c>
      <c r="R35" s="48">
        <v>22</v>
      </c>
      <c r="S35" s="62" t="str">
        <f t="shared" si="7"/>
        <v/>
      </c>
      <c r="T35" s="48">
        <v>22</v>
      </c>
      <c r="U35" s="62" t="str">
        <f t="shared" si="8"/>
        <v/>
      </c>
      <c r="V35" s="51">
        <v>63</v>
      </c>
      <c r="W35" s="62" t="str">
        <f t="shared" si="9"/>
        <v/>
      </c>
      <c r="X35" s="48">
        <v>22</v>
      </c>
      <c r="Y35" s="62" t="str">
        <f t="shared" si="10"/>
        <v/>
      </c>
      <c r="Z35" s="51">
        <v>58</v>
      </c>
      <c r="AA35" s="62" t="str">
        <f t="shared" si="11"/>
        <v/>
      </c>
      <c r="AB35" s="48">
        <v>21</v>
      </c>
      <c r="AC35" s="62" t="str">
        <f t="shared" si="12"/>
        <v/>
      </c>
      <c r="AD35" s="48">
        <v>19</v>
      </c>
      <c r="AE35" s="62" t="str">
        <f t="shared" si="13"/>
        <v/>
      </c>
      <c r="AF35" s="51">
        <v>27</v>
      </c>
      <c r="AG35" s="62" t="str">
        <f t="shared" si="14"/>
        <v/>
      </c>
      <c r="AH35" s="48">
        <v>22</v>
      </c>
      <c r="AI35" s="62" t="str">
        <f t="shared" si="15"/>
        <v/>
      </c>
      <c r="AJ35" s="31">
        <f>IF(AND(OR(COUNTIF(D35:AI35,"=31")&gt;=1,COUNTIF(D35:AI35,"=32")&gt;=1,COUNTIF(D35:AI35,"=33")&gt;=1,COUNTIF(D35:AI35,"=34")&gt;=1,COUNTIF(D35:AI35,"=35")=1,COUNTIF(D35:AI35,"=36")&gt;=1 ),COUNTIF(D35:AI35,"")=0,COUNTIF(D35:AI35," ")=0,COUNTIF(D35:AI35,"F")=1),CONCATENATE(SUM(EXTRACTNUMBER(D35),EXTRACTNUMBER(F35),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EXTRACTNUMBER(AD35),EXTRACTNUMBER(AF35),EXTRACTNUMBER(AH35)),"*"),IF(AND(COUNTIF(D35:AI35,"=34")&gt;=1,COUNTIF(D35:AI35,"=35")&gt;=1,COUNTIF(D35:AI35,"f")=2,COUNTIF(D35:AI35,"")=0,COUNTIF(D35:AI35," ")=0),CONCATENATE(SUM(EXTRACTNUMBER(D35),EXTRACTNUMBER(F35),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EXTRACTNUMBER(AD35),EXTRACTNUMBER(AF35),EXTRACTNUMBER(AH35)),"*"),IF(AND(COUNTIF(D35:AI35,"=36")&gt;=2,COUNTIF(D35:AI35,"f")=2,COUNTIF(D35:AI35,"")=0,COUNTIF(D35:AI35," ")=0),CONCATENATE(SUM(EXTRACTNUMBER(D35),EXTRACTNUMBER(F35),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EXTRACTNUMBER(AD35),EXTRACTNUMBER(AF35),EXTRACTNUMBER(AH35)),"*"),SUM(EXTRACTNUMBER(D35),EXTRACTNUMBER(F35),
EXTRACTNUMBER(H35),EXTRACTNUMBER(J35),
EXTRACTNUMBER(L35),EXTRACTNUMBER(N35),
EXTRACTNUMBER(P35),EXTRACTNUMBER(R35),
EXTRACTNUMBER(T35),EXTRACTNUMBER(V35),
EXTRACTNUMBER(X35),EXTRACTNUMBER(Z35),EXTRACTNUMBER(AB35),
EXTRACTNUMBER(AD35),EXTRACTNUMBER(AF35),EXTRACTNUMBER(AH35)))))</f>
        <v>550</v>
      </c>
      <c r="AK35" s="32" t="str">
        <f t="shared" si="16"/>
        <v>PASS</v>
      </c>
      <c r="AL35" s="33" t="str">
        <f>SPELLNUMBER(extractnumber_tot(AJ35))</f>
        <v xml:space="preserve">Five Hundred Fifty  </v>
      </c>
    </row>
    <row r="36" spans="2:38" s="30" customFormat="1" ht="15.95" customHeight="1">
      <c r="B36" s="37">
        <v>225212</v>
      </c>
      <c r="C36" s="38" t="s">
        <v>229</v>
      </c>
      <c r="D36" s="43">
        <v>54</v>
      </c>
      <c r="E36" s="61" t="str">
        <f t="shared" si="17"/>
        <v/>
      </c>
      <c r="F36" s="48">
        <v>22</v>
      </c>
      <c r="G36" s="62" t="str">
        <f t="shared" si="1"/>
        <v/>
      </c>
      <c r="H36" s="48">
        <v>39</v>
      </c>
      <c r="I36" s="62" t="str">
        <f t="shared" si="2"/>
        <v/>
      </c>
      <c r="J36" s="50">
        <v>47</v>
      </c>
      <c r="K36" s="62" t="str">
        <f t="shared" si="3"/>
        <v/>
      </c>
      <c r="L36" s="48">
        <v>19</v>
      </c>
      <c r="M36" s="62" t="str">
        <f t="shared" si="4"/>
        <v/>
      </c>
      <c r="N36" s="48">
        <v>44</v>
      </c>
      <c r="O36" s="62" t="str">
        <f t="shared" si="5"/>
        <v/>
      </c>
      <c r="P36" s="51">
        <v>40</v>
      </c>
      <c r="Q36" s="62" t="str">
        <f t="shared" si="6"/>
        <v/>
      </c>
      <c r="R36" s="48">
        <v>22</v>
      </c>
      <c r="S36" s="62" t="str">
        <f t="shared" si="7"/>
        <v/>
      </c>
      <c r="T36" s="48">
        <v>19</v>
      </c>
      <c r="U36" s="62" t="str">
        <f t="shared" si="8"/>
        <v/>
      </c>
      <c r="V36" s="51">
        <v>52</v>
      </c>
      <c r="W36" s="62" t="str">
        <f t="shared" si="9"/>
        <v/>
      </c>
      <c r="X36" s="48">
        <v>16</v>
      </c>
      <c r="Y36" s="62" t="str">
        <f t="shared" si="10"/>
        <v/>
      </c>
      <c r="Z36" s="51">
        <v>42</v>
      </c>
      <c r="AA36" s="62" t="str">
        <f t="shared" si="11"/>
        <v/>
      </c>
      <c r="AB36" s="48">
        <v>19</v>
      </c>
      <c r="AC36" s="62" t="str">
        <f t="shared" si="12"/>
        <v/>
      </c>
      <c r="AD36" s="48">
        <v>12</v>
      </c>
      <c r="AE36" s="62" t="str">
        <f t="shared" si="13"/>
        <v/>
      </c>
      <c r="AF36" s="51">
        <v>29</v>
      </c>
      <c r="AG36" s="62" t="str">
        <f t="shared" si="14"/>
        <v/>
      </c>
      <c r="AH36" s="48">
        <v>18</v>
      </c>
      <c r="AI36" s="62" t="str">
        <f t="shared" si="15"/>
        <v/>
      </c>
      <c r="AJ36" s="31">
        <f>IF(AND(OR(COUNTIF(D36:AI36,"=31")&gt;=1,COUNTIF(D36:AI36,"=32")&gt;=1,COUNTIF(D36:AI36,"=33")&gt;=1,COUNTIF(D36:AI36,"=34")&gt;=1,COUNTIF(D36:AI36,"=35")=1,COUNTIF(D36:AI36,"=36")&gt;=1 ),COUNTIF(D36:AI36,"")=0,COUNTIF(D36:AI36," ")=0,COUNTIF(D36:AI36,"F")=1),CONCATENATE(SUM(EXTRACTNUMBER(D36),EXTRACTNUMBER(F36),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EXTRACTNUMBER(AD36),EXTRACTNUMBER(AF36),EXTRACTNUMBER(AH36)),"*"),IF(AND(COUNTIF(D36:AI36,"=34")&gt;=1,COUNTIF(D36:AI36,"=35")&gt;=1,COUNTIF(D36:AI36,"f")=2,COUNTIF(D36:AI36,"")=0,COUNTIF(D36:AI36," ")=0),CONCATENATE(SUM(EXTRACTNUMBER(D36),EXTRACTNUMBER(F36),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EXTRACTNUMBER(AD36),EXTRACTNUMBER(AF36),EXTRACTNUMBER(AH36)),"*"),IF(AND(COUNTIF(D36:AI36,"=36")&gt;=2,COUNTIF(D36:AI36,"f")=2,COUNTIF(D36:AI36,"")=0,COUNTIF(D36:AI36," ")=0),CONCATENATE(SUM(EXTRACTNUMBER(D36),EXTRACTNUMBER(F36),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EXTRACTNUMBER(AD36),EXTRACTNUMBER(AF36),EXTRACTNUMBER(AH36)),"*"),SUM(EXTRACTNUMBER(D36),EXTRACTNUMBER(F36),
EXTRACTNUMBER(H36),EXTRACTNUMBER(J36),
EXTRACTNUMBER(L36),EXTRACTNUMBER(N36),
EXTRACTNUMBER(P36),EXTRACTNUMBER(R36),
EXTRACTNUMBER(T36),EXTRACTNUMBER(V36),
EXTRACTNUMBER(X36),EXTRACTNUMBER(Z36),EXTRACTNUMBER(AB36),
EXTRACTNUMBER(AD36),EXTRACTNUMBER(AF36),EXTRACTNUMBER(AH36)))))</f>
        <v>494</v>
      </c>
      <c r="AK36" s="32" t="str">
        <f t="shared" si="16"/>
        <v>PASS</v>
      </c>
      <c r="AL36" s="33" t="str">
        <f>SPELLNUMBER(extractnumber_tot(AJ36))</f>
        <v xml:space="preserve">Four Hundred NinetyFour </v>
      </c>
    </row>
    <row r="37" spans="2:38" s="30" customFormat="1" ht="15.95" customHeight="1">
      <c r="B37" s="37">
        <v>225213</v>
      </c>
      <c r="C37" s="38" t="s">
        <v>230</v>
      </c>
      <c r="D37" s="43">
        <v>40</v>
      </c>
      <c r="E37" s="61" t="str">
        <f t="shared" si="17"/>
        <v/>
      </c>
      <c r="F37" s="48">
        <v>20</v>
      </c>
      <c r="G37" s="62" t="str">
        <f t="shared" si="1"/>
        <v/>
      </c>
      <c r="H37" s="48">
        <v>44</v>
      </c>
      <c r="I37" s="62" t="str">
        <f t="shared" si="2"/>
        <v/>
      </c>
      <c r="J37" s="50">
        <v>51</v>
      </c>
      <c r="K37" s="62" t="str">
        <f t="shared" si="3"/>
        <v/>
      </c>
      <c r="L37" s="48">
        <v>21</v>
      </c>
      <c r="M37" s="62" t="str">
        <f t="shared" si="4"/>
        <v/>
      </c>
      <c r="N37" s="48">
        <v>44</v>
      </c>
      <c r="O37" s="62" t="str">
        <f t="shared" si="5"/>
        <v/>
      </c>
      <c r="P37" s="51">
        <v>40</v>
      </c>
      <c r="Q37" s="62" t="str">
        <f t="shared" si="6"/>
        <v/>
      </c>
      <c r="R37" s="48">
        <v>20</v>
      </c>
      <c r="S37" s="62" t="str">
        <f t="shared" si="7"/>
        <v/>
      </c>
      <c r="T37" s="48">
        <v>22</v>
      </c>
      <c r="U37" s="62" t="str">
        <f t="shared" si="8"/>
        <v/>
      </c>
      <c r="V37" s="51">
        <v>55</v>
      </c>
      <c r="W37" s="62" t="str">
        <f t="shared" si="9"/>
        <v/>
      </c>
      <c r="X37" s="48">
        <v>20</v>
      </c>
      <c r="Y37" s="62" t="str">
        <f t="shared" si="10"/>
        <v/>
      </c>
      <c r="Z37" s="51">
        <v>56</v>
      </c>
      <c r="AA37" s="62" t="str">
        <f t="shared" si="11"/>
        <v/>
      </c>
      <c r="AB37" s="48">
        <v>21</v>
      </c>
      <c r="AC37" s="62" t="str">
        <f t="shared" si="12"/>
        <v/>
      </c>
      <c r="AD37" s="48">
        <v>17</v>
      </c>
      <c r="AE37" s="62" t="str">
        <f t="shared" si="13"/>
        <v/>
      </c>
      <c r="AF37" s="51">
        <v>28</v>
      </c>
      <c r="AG37" s="62" t="str">
        <f t="shared" si="14"/>
        <v/>
      </c>
      <c r="AH37" s="48">
        <v>19</v>
      </c>
      <c r="AI37" s="62" t="str">
        <f t="shared" si="15"/>
        <v/>
      </c>
      <c r="AJ37" s="31">
        <f>IF(AND(OR(COUNTIF(D37:AI37,"=31")&gt;=1,COUNTIF(D37:AI37,"=32")&gt;=1,COUNTIF(D37:AI37,"=33")&gt;=1,COUNTIF(D37:AI37,"=34")&gt;=1,COUNTIF(D37:AI37,"=35")=1,COUNTIF(D37:AI37,"=36")&gt;=1 ),COUNTIF(D37:AI37,"")=0,COUNTIF(D37:AI37," ")=0,COUNTIF(D37:AI37,"F")=1),CONCATENATE(SUM(EXTRACTNUMBER(D37),EXTRACTNUMBER(F37),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EXTRACTNUMBER(AD37),EXTRACTNUMBER(AF37),EXTRACTNUMBER(AH37)),"*"),IF(AND(COUNTIF(D37:AI37,"=34")&gt;=1,COUNTIF(D37:AI37,"=35")&gt;=1,COUNTIF(D37:AI37,"f")=2,COUNTIF(D37:AI37,"")=0,COUNTIF(D37:AI37," ")=0),CONCATENATE(SUM(EXTRACTNUMBER(D37),EXTRACTNUMBER(F37),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EXTRACTNUMBER(AD37),EXTRACTNUMBER(AF37),EXTRACTNUMBER(AH37)),"*"),IF(AND(COUNTIF(D37:AI37,"=36")&gt;=2,COUNTIF(D37:AI37,"f")=2,COUNTIF(D37:AI37,"")=0,COUNTIF(D37:AI37," ")=0),CONCATENATE(SUM(EXTRACTNUMBER(D37),EXTRACTNUMBER(F37),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EXTRACTNUMBER(AD37),EXTRACTNUMBER(AF37),EXTRACTNUMBER(AH37)),"*"),SUM(EXTRACTNUMBER(D37),EXTRACTNUMBER(F37),
EXTRACTNUMBER(H37),EXTRACTNUMBER(J37),
EXTRACTNUMBER(L37),EXTRACTNUMBER(N37),
EXTRACTNUMBER(P37),EXTRACTNUMBER(R37),
EXTRACTNUMBER(T37),EXTRACTNUMBER(V37),
EXTRACTNUMBER(X37),EXTRACTNUMBER(Z37),EXTRACTNUMBER(AB37),
EXTRACTNUMBER(AD37),EXTRACTNUMBER(AF37),EXTRACTNUMBER(AH37)))))</f>
        <v>518</v>
      </c>
      <c r="AK37" s="32" t="str">
        <f t="shared" si="16"/>
        <v>PASS</v>
      </c>
      <c r="AL37" s="33" t="str">
        <f>SPELLNUMBER(extractnumber_tot(AJ37))</f>
        <v xml:space="preserve">Five Hundred Eighteen </v>
      </c>
    </row>
    <row r="38" spans="2:38" s="30" customFormat="1" ht="15.95" customHeight="1">
      <c r="B38" s="37">
        <v>225214</v>
      </c>
      <c r="C38" s="38" t="s">
        <v>231</v>
      </c>
      <c r="D38" s="43">
        <v>40</v>
      </c>
      <c r="E38" s="61" t="str">
        <f t="shared" si="17"/>
        <v>E</v>
      </c>
      <c r="F38" s="48">
        <v>23</v>
      </c>
      <c r="G38" s="62" t="str">
        <f t="shared" si="1"/>
        <v>E</v>
      </c>
      <c r="H38" s="48">
        <v>40</v>
      </c>
      <c r="I38" s="62" t="str">
        <f t="shared" si="2"/>
        <v>E</v>
      </c>
      <c r="J38" s="50">
        <v>28</v>
      </c>
      <c r="K38" s="62" t="str">
        <f t="shared" si="3"/>
        <v>F</v>
      </c>
      <c r="L38" s="48">
        <v>23</v>
      </c>
      <c r="M38" s="62" t="str">
        <f t="shared" si="4"/>
        <v>E</v>
      </c>
      <c r="N38" s="48">
        <v>36</v>
      </c>
      <c r="O38" s="62" t="str">
        <f t="shared" si="5"/>
        <v>E</v>
      </c>
      <c r="P38" s="51">
        <v>27</v>
      </c>
      <c r="Q38" s="62" t="str">
        <f t="shared" si="6"/>
        <v>F</v>
      </c>
      <c r="R38" s="48">
        <v>23</v>
      </c>
      <c r="S38" s="62" t="str">
        <f t="shared" si="7"/>
        <v>E</v>
      </c>
      <c r="T38" s="48">
        <v>20</v>
      </c>
      <c r="U38" s="62" t="str">
        <f t="shared" si="8"/>
        <v>E</v>
      </c>
      <c r="V38" s="51">
        <v>40</v>
      </c>
      <c r="W38" s="62" t="str">
        <f t="shared" si="9"/>
        <v>E</v>
      </c>
      <c r="X38" s="48">
        <v>23</v>
      </c>
      <c r="Y38" s="62" t="str">
        <f t="shared" si="10"/>
        <v>E</v>
      </c>
      <c r="Z38" s="51">
        <v>20</v>
      </c>
      <c r="AA38" s="62" t="str">
        <f t="shared" si="11"/>
        <v>F</v>
      </c>
      <c r="AB38" s="48">
        <v>23</v>
      </c>
      <c r="AC38" s="62" t="str">
        <f t="shared" si="12"/>
        <v>E</v>
      </c>
      <c r="AD38" s="48">
        <v>17</v>
      </c>
      <c r="AE38" s="62" t="str">
        <f t="shared" si="13"/>
        <v>E</v>
      </c>
      <c r="AF38" s="51">
        <v>21</v>
      </c>
      <c r="AG38" s="62" t="str">
        <f t="shared" si="14"/>
        <v>E</v>
      </c>
      <c r="AH38" s="48">
        <v>23</v>
      </c>
      <c r="AI38" s="62" t="str">
        <f t="shared" si="15"/>
        <v>E</v>
      </c>
      <c r="AJ38" s="31">
        <f>IF(AND(OR(COUNTIF(D38:AI38,"=31")&gt;=1,COUNTIF(D38:AI38,"=32")&gt;=1,COUNTIF(D38:AI38,"=33")&gt;=1,COUNTIF(D38:AI38,"=34")&gt;=1,COUNTIF(D38:AI38,"=35")=1,COUNTIF(D38:AI38,"=36")&gt;=1 ),COUNTIF(D38:AI38,"")=0,COUNTIF(D38:AI38," ")=0,COUNTIF(D38:AI38,"F")=1),CONCATENATE(SUM(EXTRACTNUMBER(D38),EXTRACTNUMBER(F38),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EXTRACTNUMBER(AD38),EXTRACTNUMBER(AF38),EXTRACTNUMBER(AH38)),"*"),IF(AND(COUNTIF(D38:AI38,"=34")&gt;=1,COUNTIF(D38:AI38,"=35")&gt;=1,COUNTIF(D38:AI38,"f")=2,COUNTIF(D38:AI38,"")=0,COUNTIF(D38:AI38," ")=0),CONCATENATE(SUM(EXTRACTNUMBER(D38),EXTRACTNUMBER(F38),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EXTRACTNUMBER(AD38),EXTRACTNUMBER(AF38),EXTRACTNUMBER(AH38)),"*"),IF(AND(COUNTIF(D38:AI38,"=36")&gt;=2,COUNTIF(D38:AI38,"f")=2,COUNTIF(D38:AI38,"")=0,COUNTIF(D38:AI38," ")=0),CONCATENATE(SUM(EXTRACTNUMBER(D38),EXTRACTNUMBER(F38),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EXTRACTNUMBER(AD38),EXTRACTNUMBER(AF38),EXTRACTNUMBER(AH38)),"*"),SUM(EXTRACTNUMBER(D38),EXTRACTNUMBER(F38),
EXTRACTNUMBER(H38),EXTRACTNUMBER(J38),
EXTRACTNUMBER(L38),EXTRACTNUMBER(N38),
EXTRACTNUMBER(P38),EXTRACTNUMBER(R38),
EXTRACTNUMBER(T38),EXTRACTNUMBER(V38),
EXTRACTNUMBER(X38),EXTRACTNUMBER(Z38),EXTRACTNUMBER(AB38),
EXTRACTNUMBER(AD38),EXTRACTNUMBER(AF38),EXTRACTNUMBER(AH38)))))</f>
        <v>427</v>
      </c>
      <c r="AK38" s="32" t="str">
        <f t="shared" si="16"/>
        <v>FAIL</v>
      </c>
      <c r="AL38" s="33" t="str">
        <f>SPELLNUMBER(extractnumber_tot(AJ38))</f>
        <v xml:space="preserve">Four Hundred Twenty Seven </v>
      </c>
    </row>
    <row r="39" spans="2:38" s="30" customFormat="1" ht="15.95" customHeight="1">
      <c r="B39" s="37">
        <v>225215</v>
      </c>
      <c r="C39" s="38" t="s">
        <v>232</v>
      </c>
      <c r="D39" s="43">
        <v>51</v>
      </c>
      <c r="E39" s="61" t="str">
        <f t="shared" si="17"/>
        <v/>
      </c>
      <c r="F39" s="48">
        <v>21</v>
      </c>
      <c r="G39" s="62" t="str">
        <f t="shared" si="1"/>
        <v/>
      </c>
      <c r="H39" s="48">
        <v>42</v>
      </c>
      <c r="I39" s="62" t="str">
        <f t="shared" si="2"/>
        <v/>
      </c>
      <c r="J39" s="50">
        <v>66</v>
      </c>
      <c r="K39" s="62" t="str">
        <f t="shared" si="3"/>
        <v/>
      </c>
      <c r="L39" s="48">
        <v>23</v>
      </c>
      <c r="M39" s="62" t="str">
        <f t="shared" si="4"/>
        <v/>
      </c>
      <c r="N39" s="48">
        <v>46</v>
      </c>
      <c r="O39" s="62" t="str">
        <f t="shared" si="5"/>
        <v/>
      </c>
      <c r="P39" s="51">
        <v>50</v>
      </c>
      <c r="Q39" s="62" t="str">
        <f t="shared" si="6"/>
        <v/>
      </c>
      <c r="R39" s="48">
        <v>21</v>
      </c>
      <c r="S39" s="62" t="str">
        <f t="shared" si="7"/>
        <v/>
      </c>
      <c r="T39" s="48">
        <v>22</v>
      </c>
      <c r="U39" s="62" t="str">
        <f t="shared" si="8"/>
        <v/>
      </c>
      <c r="V39" s="51">
        <v>65</v>
      </c>
      <c r="W39" s="62" t="str">
        <f t="shared" si="9"/>
        <v/>
      </c>
      <c r="X39" s="48">
        <v>24</v>
      </c>
      <c r="Y39" s="62" t="str">
        <f t="shared" si="10"/>
        <v/>
      </c>
      <c r="Z39" s="51">
        <v>66</v>
      </c>
      <c r="AA39" s="62" t="str">
        <f t="shared" si="11"/>
        <v/>
      </c>
      <c r="AB39" s="48">
        <v>23</v>
      </c>
      <c r="AC39" s="62" t="str">
        <f t="shared" si="12"/>
        <v/>
      </c>
      <c r="AD39" s="48">
        <v>18</v>
      </c>
      <c r="AE39" s="62" t="str">
        <f t="shared" si="13"/>
        <v/>
      </c>
      <c r="AF39" s="51">
        <v>30</v>
      </c>
      <c r="AG39" s="62" t="str">
        <f t="shared" si="14"/>
        <v/>
      </c>
      <c r="AH39" s="48">
        <v>23</v>
      </c>
      <c r="AI39" s="62" t="str">
        <f t="shared" si="15"/>
        <v/>
      </c>
      <c r="AJ39" s="31">
        <f>IF(AND(OR(COUNTIF(D39:AI39,"=31")&gt;=1,COUNTIF(D39:AI39,"=32")&gt;=1,COUNTIF(D39:AI39,"=33")&gt;=1,COUNTIF(D39:AI39,"=34")&gt;=1,COUNTIF(D39:AI39,"=35")=1,COUNTIF(D39:AI39,"=36")&gt;=1 ),COUNTIF(D39:AI39,"")=0,COUNTIF(D39:AI39," ")=0,COUNTIF(D39:AI39,"F")=1),CONCATENATE(SUM(EXTRACTNUMBER(D39),EXTRACTNUMBER(F39),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EXTRACTNUMBER(AD39),EXTRACTNUMBER(AF39),EXTRACTNUMBER(AH39)),"*"),IF(AND(COUNTIF(D39:AI39,"=34")&gt;=1,COUNTIF(D39:AI39,"=35")&gt;=1,COUNTIF(D39:AI39,"f")=2,COUNTIF(D39:AI39,"")=0,COUNTIF(D39:AI39," ")=0),CONCATENATE(SUM(EXTRACTNUMBER(D39),EXTRACTNUMBER(F39),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EXTRACTNUMBER(AD39),EXTRACTNUMBER(AF39),EXTRACTNUMBER(AH39)),"*"),IF(AND(COUNTIF(D39:AI39,"=36")&gt;=2,COUNTIF(D39:AI39,"f")=2,COUNTIF(D39:AI39,"")=0,COUNTIF(D39:AI39," ")=0),CONCATENATE(SUM(EXTRACTNUMBER(D39),EXTRACTNUMBER(F39),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EXTRACTNUMBER(AD39),EXTRACTNUMBER(AF39),EXTRACTNUMBER(AH39)),"*"),SUM(EXTRACTNUMBER(D39),EXTRACTNUMBER(F39),
EXTRACTNUMBER(H39),EXTRACTNUMBER(J39),
EXTRACTNUMBER(L39),EXTRACTNUMBER(N39),
EXTRACTNUMBER(P39),EXTRACTNUMBER(R39),
EXTRACTNUMBER(T39),EXTRACTNUMBER(V39),
EXTRACTNUMBER(X39),EXTRACTNUMBER(Z39),EXTRACTNUMBER(AB39),
EXTRACTNUMBER(AD39),EXTRACTNUMBER(AF39),EXTRACTNUMBER(AH39)))))</f>
        <v>591</v>
      </c>
      <c r="AK39" s="32" t="str">
        <f t="shared" si="16"/>
        <v>PASS</v>
      </c>
      <c r="AL39" s="33" t="str">
        <f>SPELLNUMBER(extractnumber_tot(AJ39))</f>
        <v xml:space="preserve">Five Hundred NinetyOne </v>
      </c>
    </row>
    <row r="40" spans="2:38" s="30" customFormat="1" ht="15.95" customHeight="1">
      <c r="B40" s="37">
        <v>225216</v>
      </c>
      <c r="C40" s="38" t="s">
        <v>233</v>
      </c>
      <c r="D40" s="43">
        <v>52</v>
      </c>
      <c r="E40" s="61" t="str">
        <f t="shared" si="17"/>
        <v/>
      </c>
      <c r="F40" s="48">
        <v>20</v>
      </c>
      <c r="G40" s="62" t="str">
        <f t="shared" si="1"/>
        <v/>
      </c>
      <c r="H40" s="48">
        <v>38</v>
      </c>
      <c r="I40" s="62" t="str">
        <f t="shared" si="2"/>
        <v/>
      </c>
      <c r="J40" s="50">
        <v>43</v>
      </c>
      <c r="K40" s="62" t="str">
        <f t="shared" si="3"/>
        <v/>
      </c>
      <c r="L40" s="48">
        <v>18</v>
      </c>
      <c r="M40" s="62" t="str">
        <f t="shared" si="4"/>
        <v/>
      </c>
      <c r="N40" s="48">
        <v>38</v>
      </c>
      <c r="O40" s="62" t="str">
        <f t="shared" si="5"/>
        <v/>
      </c>
      <c r="P40" s="51">
        <v>40</v>
      </c>
      <c r="Q40" s="62" t="str">
        <f t="shared" si="6"/>
        <v/>
      </c>
      <c r="R40" s="48">
        <v>20</v>
      </c>
      <c r="S40" s="62" t="str">
        <f t="shared" si="7"/>
        <v/>
      </c>
      <c r="T40" s="48">
        <v>18</v>
      </c>
      <c r="U40" s="62" t="str">
        <f t="shared" si="8"/>
        <v/>
      </c>
      <c r="V40" s="51">
        <v>48</v>
      </c>
      <c r="W40" s="62" t="str">
        <f t="shared" si="9"/>
        <v/>
      </c>
      <c r="X40" s="48">
        <v>16</v>
      </c>
      <c r="Y40" s="62" t="str">
        <f t="shared" si="10"/>
        <v/>
      </c>
      <c r="Z40" s="51">
        <v>54</v>
      </c>
      <c r="AA40" s="62" t="str">
        <f t="shared" si="11"/>
        <v/>
      </c>
      <c r="AB40" s="48">
        <v>18</v>
      </c>
      <c r="AC40" s="62" t="str">
        <f t="shared" si="12"/>
        <v/>
      </c>
      <c r="AD40" s="48">
        <v>20</v>
      </c>
      <c r="AE40" s="62" t="str">
        <f t="shared" si="13"/>
        <v/>
      </c>
      <c r="AF40" s="51">
        <v>28</v>
      </c>
      <c r="AG40" s="62" t="str">
        <f t="shared" si="14"/>
        <v/>
      </c>
      <c r="AH40" s="48">
        <v>16</v>
      </c>
      <c r="AI40" s="62" t="str">
        <f t="shared" si="15"/>
        <v/>
      </c>
      <c r="AJ40" s="31">
        <f>IF(AND(OR(COUNTIF(D40:AI40,"=31")&gt;=1,COUNTIF(D40:AI40,"=32")&gt;=1,COUNTIF(D40:AI40,"=33")&gt;=1,COUNTIF(D40:AI40,"=34")&gt;=1,COUNTIF(D40:AI40,"=35")=1,COUNTIF(D40:AI40,"=36")&gt;=1 ),COUNTIF(D40:AI40,"")=0,COUNTIF(D40:AI40," ")=0,COUNTIF(D40:AI40,"F")=1),CONCATENATE(SUM(EXTRACTNUMBER(D40),EXTRACTNUMBER(F40),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EXTRACTNUMBER(AD40),EXTRACTNUMBER(AF40),EXTRACTNUMBER(AH40)),"*"),IF(AND(COUNTIF(D40:AI40,"=34")&gt;=1,COUNTIF(D40:AI40,"=35")&gt;=1,COUNTIF(D40:AI40,"f")=2,COUNTIF(D40:AI40,"")=0,COUNTIF(D40:AI40," ")=0),CONCATENATE(SUM(EXTRACTNUMBER(D40),EXTRACTNUMBER(F40),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EXTRACTNUMBER(AD40),EXTRACTNUMBER(AF40),EXTRACTNUMBER(AH40)),"*"),IF(AND(COUNTIF(D40:AI40,"=36")&gt;=2,COUNTIF(D40:AI40,"f")=2,COUNTIF(D40:AI40,"")=0,COUNTIF(D40:AI40," ")=0),CONCATENATE(SUM(EXTRACTNUMBER(D40),EXTRACTNUMBER(F40),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EXTRACTNUMBER(AD40),EXTRACTNUMBER(AF40),EXTRACTNUMBER(AH40)),"*"),SUM(EXTRACTNUMBER(D40),EXTRACTNUMBER(F40),
EXTRACTNUMBER(H40),EXTRACTNUMBER(J40),
EXTRACTNUMBER(L40),EXTRACTNUMBER(N40),
EXTRACTNUMBER(P40),EXTRACTNUMBER(R40),
EXTRACTNUMBER(T40),EXTRACTNUMBER(V40),
EXTRACTNUMBER(X40),EXTRACTNUMBER(Z40),EXTRACTNUMBER(AB40),
EXTRACTNUMBER(AD40),EXTRACTNUMBER(AF40),EXTRACTNUMBER(AH40)))))</f>
        <v>487</v>
      </c>
      <c r="AK40" s="32" t="str">
        <f t="shared" si="16"/>
        <v>PASS</v>
      </c>
      <c r="AL40" s="33" t="str">
        <f>SPELLNUMBER(extractnumber_tot(AJ40))</f>
        <v xml:space="preserve">Four Hundred Eighty Seven </v>
      </c>
    </row>
    <row r="41" spans="2:38" s="30" customFormat="1" ht="15.95" customHeight="1">
      <c r="B41" s="37">
        <v>225217</v>
      </c>
      <c r="C41" s="38" t="s">
        <v>234</v>
      </c>
      <c r="D41" s="43">
        <v>9</v>
      </c>
      <c r="E41" s="61" t="str">
        <f t="shared" si="17"/>
        <v>F</v>
      </c>
      <c r="F41" s="48">
        <v>23</v>
      </c>
      <c r="G41" s="62" t="str">
        <f t="shared" si="1"/>
        <v>E</v>
      </c>
      <c r="H41" s="48">
        <v>36</v>
      </c>
      <c r="I41" s="62" t="str">
        <f t="shared" si="2"/>
        <v>E</v>
      </c>
      <c r="J41" s="50">
        <v>13</v>
      </c>
      <c r="K41" s="62" t="str">
        <f t="shared" si="3"/>
        <v>F</v>
      </c>
      <c r="L41" s="48">
        <v>23</v>
      </c>
      <c r="M41" s="62" t="str">
        <f t="shared" si="4"/>
        <v>E</v>
      </c>
      <c r="N41" s="48">
        <v>44</v>
      </c>
      <c r="O41" s="62" t="str">
        <f t="shared" si="5"/>
        <v>E</v>
      </c>
      <c r="P41" s="51">
        <v>28</v>
      </c>
      <c r="Q41" s="62" t="str">
        <f t="shared" si="6"/>
        <v>F</v>
      </c>
      <c r="R41" s="48">
        <v>23</v>
      </c>
      <c r="S41" s="62" t="str">
        <f t="shared" si="7"/>
        <v>E</v>
      </c>
      <c r="T41" s="48">
        <v>19</v>
      </c>
      <c r="U41" s="62" t="str">
        <f t="shared" si="8"/>
        <v>E</v>
      </c>
      <c r="V41" s="51">
        <v>56</v>
      </c>
      <c r="W41" s="62" t="str">
        <f t="shared" si="9"/>
        <v>E</v>
      </c>
      <c r="X41" s="48">
        <v>23</v>
      </c>
      <c r="Y41" s="62" t="str">
        <f t="shared" si="10"/>
        <v>E</v>
      </c>
      <c r="Z41" s="51">
        <v>4</v>
      </c>
      <c r="AA41" s="62" t="str">
        <f t="shared" si="11"/>
        <v>F</v>
      </c>
      <c r="AB41" s="48">
        <v>23</v>
      </c>
      <c r="AC41" s="62" t="str">
        <f t="shared" si="12"/>
        <v>E</v>
      </c>
      <c r="AD41" s="48">
        <v>19</v>
      </c>
      <c r="AE41" s="62" t="str">
        <f t="shared" si="13"/>
        <v>E</v>
      </c>
      <c r="AF41" s="51">
        <v>25</v>
      </c>
      <c r="AG41" s="62" t="str">
        <f t="shared" si="14"/>
        <v>E</v>
      </c>
      <c r="AH41" s="48">
        <v>23</v>
      </c>
      <c r="AI41" s="62" t="str">
        <f t="shared" si="15"/>
        <v>E</v>
      </c>
      <c r="AJ41" s="31">
        <f>IF(AND(OR(COUNTIF(D41:AI41,"=31")&gt;=1,COUNTIF(D41:AI41,"=32")&gt;=1,COUNTIF(D41:AI41,"=33")&gt;=1,COUNTIF(D41:AI41,"=34")&gt;=1,COUNTIF(D41:AI41,"=35")=1,COUNTIF(D41:AI41,"=36")&gt;=1 ),COUNTIF(D41:AI41,"")=0,COUNTIF(D41:AI41," ")=0,COUNTIF(D41:AI41,"F")=1),CONCATENATE(SUM(EXTRACTNUMBER(D41),EXTRACTNUMBER(F41),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EXTRACTNUMBER(AD41),EXTRACTNUMBER(AF41),EXTRACTNUMBER(AH41)),"*"),IF(AND(COUNTIF(D41:AI41,"=34")&gt;=1,COUNTIF(D41:AI41,"=35")&gt;=1,COUNTIF(D41:AI41,"f")=2,COUNTIF(D41:AI41,"")=0,COUNTIF(D41:AI41," ")=0),CONCATENATE(SUM(EXTRACTNUMBER(D41),EXTRACTNUMBER(F41),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EXTRACTNUMBER(AD41),EXTRACTNUMBER(AF41),EXTRACTNUMBER(AH41)),"*"),IF(AND(COUNTIF(D41:AI41,"=36")&gt;=2,COUNTIF(D41:AI41,"f")=2,COUNTIF(D41:AI41,"")=0,COUNTIF(D41:AI41," ")=0),CONCATENATE(SUM(EXTRACTNUMBER(D41),EXTRACTNUMBER(F41),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EXTRACTNUMBER(AD41),EXTRACTNUMBER(AF41),EXTRACTNUMBER(AH41)),"*"),SUM(EXTRACTNUMBER(D41),EXTRACTNUMBER(F41),
EXTRACTNUMBER(H41),EXTRACTNUMBER(J41),
EXTRACTNUMBER(L41),EXTRACTNUMBER(N41),
EXTRACTNUMBER(P41),EXTRACTNUMBER(R41),
EXTRACTNUMBER(T41),EXTRACTNUMBER(V41),
EXTRACTNUMBER(X41),EXTRACTNUMBER(Z41),EXTRACTNUMBER(AB41),
EXTRACTNUMBER(AD41),EXTRACTNUMBER(AF41),EXTRACTNUMBER(AH41)))))</f>
        <v>391</v>
      </c>
      <c r="AK41" s="32" t="str">
        <f t="shared" si="16"/>
        <v>FAIL</v>
      </c>
      <c r="AL41" s="33" t="str">
        <f>SPELLNUMBER(extractnumber_tot(AJ41))</f>
        <v xml:space="preserve">Three Hundred NinetyOne </v>
      </c>
    </row>
    <row r="42" spans="2:38" s="30" customFormat="1" ht="15.95" customHeight="1">
      <c r="B42" s="37">
        <v>225219</v>
      </c>
      <c r="C42" s="38" t="s">
        <v>235</v>
      </c>
      <c r="D42" s="43">
        <v>64</v>
      </c>
      <c r="E42" s="61" t="str">
        <f t="shared" si="17"/>
        <v/>
      </c>
      <c r="F42" s="48">
        <v>19</v>
      </c>
      <c r="G42" s="62" t="str">
        <f t="shared" si="1"/>
        <v/>
      </c>
      <c r="H42" s="48">
        <v>39</v>
      </c>
      <c r="I42" s="62" t="str">
        <f t="shared" si="2"/>
        <v/>
      </c>
      <c r="J42" s="50">
        <v>73</v>
      </c>
      <c r="K42" s="62" t="str">
        <f t="shared" si="3"/>
        <v/>
      </c>
      <c r="L42" s="48">
        <v>21</v>
      </c>
      <c r="M42" s="62" t="str">
        <f t="shared" si="4"/>
        <v/>
      </c>
      <c r="N42" s="48">
        <v>44</v>
      </c>
      <c r="O42" s="62" t="str">
        <f t="shared" si="5"/>
        <v/>
      </c>
      <c r="P42" s="51">
        <v>41</v>
      </c>
      <c r="Q42" s="62" t="str">
        <f t="shared" si="6"/>
        <v/>
      </c>
      <c r="R42" s="48">
        <v>19</v>
      </c>
      <c r="S42" s="62" t="str">
        <f t="shared" si="7"/>
        <v/>
      </c>
      <c r="T42" s="48">
        <v>20</v>
      </c>
      <c r="U42" s="62" t="str">
        <f t="shared" si="8"/>
        <v/>
      </c>
      <c r="V42" s="51">
        <v>51</v>
      </c>
      <c r="W42" s="62" t="str">
        <f t="shared" si="9"/>
        <v/>
      </c>
      <c r="X42" s="48">
        <v>24</v>
      </c>
      <c r="Y42" s="62" t="str">
        <f t="shared" si="10"/>
        <v/>
      </c>
      <c r="Z42" s="51">
        <v>57</v>
      </c>
      <c r="AA42" s="62" t="str">
        <f t="shared" si="11"/>
        <v/>
      </c>
      <c r="AB42" s="48">
        <v>21</v>
      </c>
      <c r="AC42" s="62" t="str">
        <f t="shared" si="12"/>
        <v/>
      </c>
      <c r="AD42" s="48">
        <v>18</v>
      </c>
      <c r="AE42" s="62" t="str">
        <f t="shared" si="13"/>
        <v/>
      </c>
      <c r="AF42" s="51">
        <v>24</v>
      </c>
      <c r="AG42" s="62" t="str">
        <f t="shared" si="14"/>
        <v/>
      </c>
      <c r="AH42" s="48">
        <v>22</v>
      </c>
      <c r="AI42" s="62" t="str">
        <f t="shared" si="15"/>
        <v/>
      </c>
      <c r="AJ42" s="31">
        <f>IF(AND(OR(COUNTIF(D42:AI42,"=31")&gt;=1,COUNTIF(D42:AI42,"=32")&gt;=1,COUNTIF(D42:AI42,"=33")&gt;=1,COUNTIF(D42:AI42,"=34")&gt;=1,COUNTIF(D42:AI42,"=35")=1,COUNTIF(D42:AI42,"=36")&gt;=1 ),COUNTIF(D42:AI42,"")=0,COUNTIF(D42:AI42," ")=0,COUNTIF(D42:AI42,"F")=1),CONCATENATE(SUM(EXTRACTNUMBER(D42),EXTRACTNUMBER(F42),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EXTRACTNUMBER(AD42),EXTRACTNUMBER(AF42),EXTRACTNUMBER(AH42)),"*"),IF(AND(COUNTIF(D42:AI42,"=34")&gt;=1,COUNTIF(D42:AI42,"=35")&gt;=1,COUNTIF(D42:AI42,"f")=2,COUNTIF(D42:AI42,"")=0,COUNTIF(D42:AI42," ")=0),CONCATENATE(SUM(EXTRACTNUMBER(D42),EXTRACTNUMBER(F42),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EXTRACTNUMBER(AD42),EXTRACTNUMBER(AF42),EXTRACTNUMBER(AH42)),"*"),IF(AND(COUNTIF(D42:AI42,"=36")&gt;=2,COUNTIF(D42:AI42,"f")=2,COUNTIF(D42:AI42,"")=0,COUNTIF(D42:AI42," ")=0),CONCATENATE(SUM(EXTRACTNUMBER(D42),EXTRACTNUMBER(F42),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EXTRACTNUMBER(AD42),EXTRACTNUMBER(AF42),EXTRACTNUMBER(AH42)),"*"),SUM(EXTRACTNUMBER(D42),EXTRACTNUMBER(F42),
EXTRACTNUMBER(H42),EXTRACTNUMBER(J42),
EXTRACTNUMBER(L42),EXTRACTNUMBER(N42),
EXTRACTNUMBER(P42),EXTRACTNUMBER(R42),
EXTRACTNUMBER(T42),EXTRACTNUMBER(V42),
EXTRACTNUMBER(X42),EXTRACTNUMBER(Z42),EXTRACTNUMBER(AB42),
EXTRACTNUMBER(AD42),EXTRACTNUMBER(AF42),EXTRACTNUMBER(AH42)))))</f>
        <v>557</v>
      </c>
      <c r="AK42" s="32" t="str">
        <f t="shared" si="16"/>
        <v>PASS</v>
      </c>
      <c r="AL42" s="33" t="str">
        <f>SPELLNUMBER(extractnumber_tot(AJ42))</f>
        <v xml:space="preserve">Five Hundred Fifty Seven </v>
      </c>
    </row>
    <row r="43" spans="2:38" s="30" customFormat="1" ht="15.95" customHeight="1">
      <c r="B43" s="37">
        <v>225220</v>
      </c>
      <c r="C43" s="38" t="s">
        <v>236</v>
      </c>
      <c r="D43" s="43">
        <v>63</v>
      </c>
      <c r="E43" s="61" t="str">
        <f t="shared" si="17"/>
        <v/>
      </c>
      <c r="F43" s="48">
        <v>20</v>
      </c>
      <c r="G43" s="62" t="str">
        <f t="shared" si="1"/>
        <v/>
      </c>
      <c r="H43" s="48">
        <v>39</v>
      </c>
      <c r="I43" s="62" t="str">
        <f t="shared" si="2"/>
        <v/>
      </c>
      <c r="J43" s="50">
        <v>66</v>
      </c>
      <c r="K43" s="62" t="str">
        <f t="shared" si="3"/>
        <v/>
      </c>
      <c r="L43" s="48">
        <v>17</v>
      </c>
      <c r="M43" s="62" t="str">
        <f t="shared" si="4"/>
        <v/>
      </c>
      <c r="N43" s="48">
        <v>46</v>
      </c>
      <c r="O43" s="62" t="str">
        <f t="shared" si="5"/>
        <v/>
      </c>
      <c r="P43" s="51">
        <v>47</v>
      </c>
      <c r="Q43" s="62" t="str">
        <f t="shared" si="6"/>
        <v/>
      </c>
      <c r="R43" s="48">
        <v>20</v>
      </c>
      <c r="S43" s="62" t="str">
        <f t="shared" si="7"/>
        <v/>
      </c>
      <c r="T43" s="48">
        <v>20</v>
      </c>
      <c r="U43" s="62" t="str">
        <f t="shared" si="8"/>
        <v/>
      </c>
      <c r="V43" s="51">
        <v>67</v>
      </c>
      <c r="W43" s="62" t="str">
        <f t="shared" si="9"/>
        <v/>
      </c>
      <c r="X43" s="48">
        <v>22</v>
      </c>
      <c r="Y43" s="62" t="str">
        <f t="shared" si="10"/>
        <v/>
      </c>
      <c r="Z43" s="51">
        <v>65</v>
      </c>
      <c r="AA43" s="62" t="str">
        <f t="shared" si="11"/>
        <v/>
      </c>
      <c r="AB43" s="48">
        <v>17</v>
      </c>
      <c r="AC43" s="62" t="str">
        <f t="shared" si="12"/>
        <v/>
      </c>
      <c r="AD43" s="48">
        <v>18</v>
      </c>
      <c r="AE43" s="62" t="str">
        <f t="shared" si="13"/>
        <v/>
      </c>
      <c r="AF43" s="51">
        <v>24</v>
      </c>
      <c r="AG43" s="62" t="str">
        <f t="shared" si="14"/>
        <v/>
      </c>
      <c r="AH43" s="48">
        <v>19</v>
      </c>
      <c r="AI43" s="62" t="str">
        <f t="shared" si="15"/>
        <v/>
      </c>
      <c r="AJ43" s="31">
        <f>IF(AND(OR(COUNTIF(D43:AI43,"=31")&gt;=1,COUNTIF(D43:AI43,"=32")&gt;=1,COUNTIF(D43:AI43,"=33")&gt;=1,COUNTIF(D43:AI43,"=34")&gt;=1,COUNTIF(D43:AI43,"=35")=1,COUNTIF(D43:AI43,"=36")&gt;=1 ),COUNTIF(D43:AI43,"")=0,COUNTIF(D43:AI43," ")=0,COUNTIF(D43:AI43,"F")=1),CONCATENATE(SUM(EXTRACTNUMBER(D43),EXTRACTNUMBER(F43),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EXTRACTNUMBER(AD43),EXTRACTNUMBER(AF43),EXTRACTNUMBER(AH43)),"*"),IF(AND(COUNTIF(D43:AI43,"=34")&gt;=1,COUNTIF(D43:AI43,"=35")&gt;=1,COUNTIF(D43:AI43,"f")=2,COUNTIF(D43:AI43,"")=0,COUNTIF(D43:AI43," ")=0),CONCATENATE(SUM(EXTRACTNUMBER(D43),EXTRACTNUMBER(F43),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EXTRACTNUMBER(AD43),EXTRACTNUMBER(AF43),EXTRACTNUMBER(AH43)),"*"),IF(AND(COUNTIF(D43:AI43,"=36")&gt;=2,COUNTIF(D43:AI43,"f")=2,COUNTIF(D43:AI43,"")=0,COUNTIF(D43:AI43," ")=0),CONCATENATE(SUM(EXTRACTNUMBER(D43),EXTRACTNUMBER(F43),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EXTRACTNUMBER(AD43),EXTRACTNUMBER(AF43),EXTRACTNUMBER(AH43)),"*"),SUM(EXTRACTNUMBER(D43),EXTRACTNUMBER(F43),
EXTRACTNUMBER(H43),EXTRACTNUMBER(J43),
EXTRACTNUMBER(L43),EXTRACTNUMBER(N43),
EXTRACTNUMBER(P43),EXTRACTNUMBER(R43),
EXTRACTNUMBER(T43),EXTRACTNUMBER(V43),
EXTRACTNUMBER(X43),EXTRACTNUMBER(Z43),EXTRACTNUMBER(AB43),
EXTRACTNUMBER(AD43),EXTRACTNUMBER(AF43),EXTRACTNUMBER(AH43)))))</f>
        <v>570</v>
      </c>
      <c r="AK43" s="32" t="str">
        <f t="shared" si="16"/>
        <v>PASS</v>
      </c>
      <c r="AL43" s="33" t="str">
        <f>SPELLNUMBER(extractnumber_tot(AJ43))</f>
        <v xml:space="preserve">Five Hundred Seventy  </v>
      </c>
    </row>
    <row r="44" spans="2:38" s="30" customFormat="1" ht="15.95" customHeight="1">
      <c r="B44" s="37">
        <v>225221</v>
      </c>
      <c r="C44" s="38" t="s">
        <v>237</v>
      </c>
      <c r="D44" s="43">
        <v>43</v>
      </c>
      <c r="E44" s="61" t="str">
        <f t="shared" si="17"/>
        <v>E</v>
      </c>
      <c r="F44" s="48">
        <v>23</v>
      </c>
      <c r="G44" s="62" t="str">
        <f t="shared" si="1"/>
        <v>E</v>
      </c>
      <c r="H44" s="48">
        <v>45</v>
      </c>
      <c r="I44" s="62" t="str">
        <f t="shared" si="2"/>
        <v>E</v>
      </c>
      <c r="J44" s="50">
        <v>40</v>
      </c>
      <c r="K44" s="62" t="str">
        <f t="shared" si="3"/>
        <v>E</v>
      </c>
      <c r="L44" s="48">
        <v>23</v>
      </c>
      <c r="M44" s="62" t="str">
        <f t="shared" si="4"/>
        <v>E</v>
      </c>
      <c r="N44" s="48">
        <v>42</v>
      </c>
      <c r="O44" s="62" t="str">
        <f t="shared" si="5"/>
        <v>E</v>
      </c>
      <c r="P44" s="51">
        <v>40</v>
      </c>
      <c r="Q44" s="62" t="str">
        <f t="shared" si="6"/>
        <v>E</v>
      </c>
      <c r="R44" s="48">
        <v>23</v>
      </c>
      <c r="S44" s="62" t="str">
        <f t="shared" si="7"/>
        <v>E</v>
      </c>
      <c r="T44" s="48">
        <v>23</v>
      </c>
      <c r="U44" s="62" t="str">
        <f t="shared" si="8"/>
        <v>E</v>
      </c>
      <c r="V44" s="51">
        <v>53</v>
      </c>
      <c r="W44" s="62" t="str">
        <f t="shared" si="9"/>
        <v>E</v>
      </c>
      <c r="X44" s="48">
        <v>23</v>
      </c>
      <c r="Y44" s="62" t="str">
        <f t="shared" si="10"/>
        <v>E</v>
      </c>
      <c r="Z44" s="51">
        <v>9</v>
      </c>
      <c r="AA44" s="62" t="str">
        <f t="shared" si="11"/>
        <v>F</v>
      </c>
      <c r="AB44" s="48">
        <v>23</v>
      </c>
      <c r="AC44" s="62" t="str">
        <f t="shared" si="12"/>
        <v>E</v>
      </c>
      <c r="AD44" s="48">
        <v>17</v>
      </c>
      <c r="AE44" s="62" t="str">
        <f t="shared" si="13"/>
        <v>E</v>
      </c>
      <c r="AF44" s="51">
        <v>20</v>
      </c>
      <c r="AG44" s="62" t="str">
        <f t="shared" si="14"/>
        <v>E</v>
      </c>
      <c r="AH44" s="48">
        <v>23</v>
      </c>
      <c r="AI44" s="62" t="str">
        <f t="shared" si="15"/>
        <v>E</v>
      </c>
      <c r="AJ44" s="31">
        <f>IF(AND(OR(COUNTIF(D44:AI44,"=31")&gt;=1,COUNTIF(D44:AI44,"=32")&gt;=1,COUNTIF(D44:AI44,"=33")&gt;=1,COUNTIF(D44:AI44,"=34")&gt;=1,COUNTIF(D44:AI44,"=35")=1,COUNTIF(D44:AI44,"=36")&gt;=1 ),COUNTIF(D44:AI44,"")=0,COUNTIF(D44:AI44," ")=0,COUNTIF(D44:AI44,"F")=1),CONCATENATE(SUM(EXTRACTNUMBER(D44),EXTRACTNUMBER(F44),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EXTRACTNUMBER(AD44),EXTRACTNUMBER(AF44),EXTRACTNUMBER(AH44)),"*"),IF(AND(COUNTIF(D44:AI44,"=34")&gt;=1,COUNTIF(D44:AI44,"=35")&gt;=1,COUNTIF(D44:AI44,"f")=2,COUNTIF(D44:AI44,"")=0,COUNTIF(D44:AI44," ")=0),CONCATENATE(SUM(EXTRACTNUMBER(D44),EXTRACTNUMBER(F44),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EXTRACTNUMBER(AD44),EXTRACTNUMBER(AF44),EXTRACTNUMBER(AH44)),"*"),IF(AND(COUNTIF(D44:AI44,"=36")&gt;=2,COUNTIF(D44:AI44,"f")=2,COUNTIF(D44:AI44,"")=0,COUNTIF(D44:AI44," ")=0),CONCATENATE(SUM(EXTRACTNUMBER(D44),EXTRACTNUMBER(F44),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EXTRACTNUMBER(AD44),EXTRACTNUMBER(AF44),EXTRACTNUMBER(AH44)),"*"),SUM(EXTRACTNUMBER(D44),EXTRACTNUMBER(F44),
EXTRACTNUMBER(H44),EXTRACTNUMBER(J44),
EXTRACTNUMBER(L44),EXTRACTNUMBER(N44),
EXTRACTNUMBER(P44),EXTRACTNUMBER(R44),
EXTRACTNUMBER(T44),EXTRACTNUMBER(V44),
EXTRACTNUMBER(X44),EXTRACTNUMBER(Z44),EXTRACTNUMBER(AB44),
EXTRACTNUMBER(AD44),EXTRACTNUMBER(AF44),EXTRACTNUMBER(AH44)))))</f>
        <v>470</v>
      </c>
      <c r="AK44" s="32" t="str">
        <f t="shared" si="16"/>
        <v>FAIL</v>
      </c>
      <c r="AL44" s="33" t="str">
        <f>SPELLNUMBER(extractnumber_tot(AJ44))</f>
        <v xml:space="preserve">Four Hundred Seventy  </v>
      </c>
    </row>
    <row r="45" spans="2:38" s="30" customFormat="1" ht="15.95" customHeight="1">
      <c r="B45" s="37">
        <v>225222</v>
      </c>
      <c r="C45" s="38" t="s">
        <v>238</v>
      </c>
      <c r="D45" s="43">
        <v>53</v>
      </c>
      <c r="E45" s="61" t="str">
        <f t="shared" si="17"/>
        <v/>
      </c>
      <c r="F45" s="48">
        <v>21</v>
      </c>
      <c r="G45" s="62" t="str">
        <f t="shared" si="1"/>
        <v/>
      </c>
      <c r="H45" s="48">
        <v>41</v>
      </c>
      <c r="I45" s="62" t="str">
        <f t="shared" si="2"/>
        <v/>
      </c>
      <c r="J45" s="50">
        <v>45</v>
      </c>
      <c r="K45" s="62" t="str">
        <f t="shared" si="3"/>
        <v/>
      </c>
      <c r="L45" s="48">
        <v>23</v>
      </c>
      <c r="M45" s="62" t="str">
        <f t="shared" si="4"/>
        <v/>
      </c>
      <c r="N45" s="48">
        <v>42</v>
      </c>
      <c r="O45" s="62" t="str">
        <f t="shared" si="5"/>
        <v/>
      </c>
      <c r="P45" s="51">
        <v>41</v>
      </c>
      <c r="Q45" s="62" t="str">
        <f t="shared" si="6"/>
        <v/>
      </c>
      <c r="R45" s="48">
        <v>21</v>
      </c>
      <c r="S45" s="62" t="str">
        <f t="shared" si="7"/>
        <v/>
      </c>
      <c r="T45" s="48">
        <v>21</v>
      </c>
      <c r="U45" s="62" t="str">
        <f t="shared" si="8"/>
        <v/>
      </c>
      <c r="V45" s="51">
        <v>52</v>
      </c>
      <c r="W45" s="62" t="str">
        <f t="shared" si="9"/>
        <v/>
      </c>
      <c r="X45" s="48">
        <v>21</v>
      </c>
      <c r="Y45" s="62" t="str">
        <f t="shared" si="10"/>
        <v/>
      </c>
      <c r="Z45" s="51">
        <v>43</v>
      </c>
      <c r="AA45" s="62" t="str">
        <f t="shared" si="11"/>
        <v/>
      </c>
      <c r="AB45" s="48">
        <v>23</v>
      </c>
      <c r="AC45" s="62" t="str">
        <f t="shared" si="12"/>
        <v/>
      </c>
      <c r="AD45" s="48">
        <v>20</v>
      </c>
      <c r="AE45" s="62" t="str">
        <f t="shared" si="13"/>
        <v/>
      </c>
      <c r="AF45" s="51">
        <v>24</v>
      </c>
      <c r="AG45" s="62" t="str">
        <f t="shared" si="14"/>
        <v/>
      </c>
      <c r="AH45" s="48">
        <v>22</v>
      </c>
      <c r="AI45" s="62" t="str">
        <f t="shared" si="15"/>
        <v/>
      </c>
      <c r="AJ45" s="31">
        <f>IF(AND(OR(COUNTIF(D45:AI45,"=31")&gt;=1,COUNTIF(D45:AI45,"=32")&gt;=1,COUNTIF(D45:AI45,"=33")&gt;=1,COUNTIF(D45:AI45,"=34")&gt;=1,COUNTIF(D45:AI45,"=35")=1,COUNTIF(D45:AI45,"=36")&gt;=1 ),COUNTIF(D45:AI45,"")=0,COUNTIF(D45:AI45," ")=0,COUNTIF(D45:AI45,"F")=1),CONCATENATE(SUM(EXTRACTNUMBER(D45),EXTRACTNUMBER(F45),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EXTRACTNUMBER(AD45),EXTRACTNUMBER(AF45),EXTRACTNUMBER(AH45)),"*"),IF(AND(COUNTIF(D45:AI45,"=34")&gt;=1,COUNTIF(D45:AI45,"=35")&gt;=1,COUNTIF(D45:AI45,"f")=2,COUNTIF(D45:AI45,"")=0,COUNTIF(D45:AI45," ")=0),CONCATENATE(SUM(EXTRACTNUMBER(D45),EXTRACTNUMBER(F45),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EXTRACTNUMBER(AD45),EXTRACTNUMBER(AF45),EXTRACTNUMBER(AH45)),"*"),IF(AND(COUNTIF(D45:AI45,"=36")&gt;=2,COUNTIF(D45:AI45,"f")=2,COUNTIF(D45:AI45,"")=0,COUNTIF(D45:AI45," ")=0),CONCATENATE(SUM(EXTRACTNUMBER(D45),EXTRACTNUMBER(F45),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EXTRACTNUMBER(AD45),EXTRACTNUMBER(AF45),EXTRACTNUMBER(AH45)),"*"),SUM(EXTRACTNUMBER(D45),EXTRACTNUMBER(F45),
EXTRACTNUMBER(H45),EXTRACTNUMBER(J45),
EXTRACTNUMBER(L45),EXTRACTNUMBER(N45),
EXTRACTNUMBER(P45),EXTRACTNUMBER(R45),
EXTRACTNUMBER(T45),EXTRACTNUMBER(V45),
EXTRACTNUMBER(X45),EXTRACTNUMBER(Z45),EXTRACTNUMBER(AB45),
EXTRACTNUMBER(AD45),EXTRACTNUMBER(AF45),EXTRACTNUMBER(AH45)))))</f>
        <v>513</v>
      </c>
      <c r="AK45" s="32" t="str">
        <f t="shared" si="16"/>
        <v>PASS</v>
      </c>
      <c r="AL45" s="33" t="str">
        <f>SPELLNUMBER(extractnumber_tot(AJ45))</f>
        <v xml:space="preserve">Five Hundred Thirteen </v>
      </c>
    </row>
    <row r="46" spans="2:38" s="30" customFormat="1" ht="15.95" customHeight="1">
      <c r="B46" s="37">
        <v>225223</v>
      </c>
      <c r="C46" s="38" t="s">
        <v>239</v>
      </c>
      <c r="D46" s="43">
        <v>40</v>
      </c>
      <c r="E46" s="61" t="str">
        <f t="shared" si="17"/>
        <v/>
      </c>
      <c r="F46" s="48">
        <v>20</v>
      </c>
      <c r="G46" s="62" t="str">
        <f t="shared" si="1"/>
        <v/>
      </c>
      <c r="H46" s="48">
        <v>40</v>
      </c>
      <c r="I46" s="62" t="str">
        <f t="shared" si="2"/>
        <v/>
      </c>
      <c r="J46" s="50">
        <v>46</v>
      </c>
      <c r="K46" s="62" t="str">
        <f t="shared" si="3"/>
        <v/>
      </c>
      <c r="L46" s="48">
        <v>19</v>
      </c>
      <c r="M46" s="62" t="str">
        <f t="shared" si="4"/>
        <v/>
      </c>
      <c r="N46" s="48">
        <v>42</v>
      </c>
      <c r="O46" s="62" t="str">
        <f t="shared" si="5"/>
        <v/>
      </c>
      <c r="P46" s="51">
        <v>40</v>
      </c>
      <c r="Q46" s="62" t="str">
        <f t="shared" si="6"/>
        <v/>
      </c>
      <c r="R46" s="48">
        <v>20</v>
      </c>
      <c r="S46" s="62" t="str">
        <f t="shared" si="7"/>
        <v/>
      </c>
      <c r="T46" s="48">
        <v>20</v>
      </c>
      <c r="U46" s="62" t="str">
        <f t="shared" si="8"/>
        <v/>
      </c>
      <c r="V46" s="51">
        <v>47</v>
      </c>
      <c r="W46" s="62" t="str">
        <f t="shared" si="9"/>
        <v/>
      </c>
      <c r="X46" s="48">
        <v>20</v>
      </c>
      <c r="Y46" s="62" t="str">
        <f t="shared" si="10"/>
        <v/>
      </c>
      <c r="Z46" s="51">
        <v>40</v>
      </c>
      <c r="AA46" s="62" t="str">
        <f t="shared" si="11"/>
        <v/>
      </c>
      <c r="AB46" s="48">
        <v>19</v>
      </c>
      <c r="AC46" s="62" t="str">
        <f t="shared" si="12"/>
        <v/>
      </c>
      <c r="AD46" s="48">
        <v>18</v>
      </c>
      <c r="AE46" s="62" t="str">
        <f t="shared" si="13"/>
        <v/>
      </c>
      <c r="AF46" s="51">
        <v>29</v>
      </c>
      <c r="AG46" s="62" t="str">
        <f t="shared" si="14"/>
        <v/>
      </c>
      <c r="AH46" s="48">
        <v>20</v>
      </c>
      <c r="AI46" s="62" t="str">
        <f t="shared" si="15"/>
        <v/>
      </c>
      <c r="AJ46" s="31">
        <f>IF(AND(OR(COUNTIF(D46:AI46,"=31")&gt;=1,COUNTIF(D46:AI46,"=32")&gt;=1,COUNTIF(D46:AI46,"=33")&gt;=1,COUNTIF(D46:AI46,"=34")&gt;=1,COUNTIF(D46:AI46,"=35")=1,COUNTIF(D46:AI46,"=36")&gt;=1 ),COUNTIF(D46:AI46,"")=0,COUNTIF(D46:AI46," ")=0,COUNTIF(D46:AI46,"F")=1),CONCATENATE(SUM(EXTRACTNUMBER(D46),EXTRACTNUMBER(F46),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EXTRACTNUMBER(AD46),EXTRACTNUMBER(AF46),EXTRACTNUMBER(AH46)),"*"),IF(AND(COUNTIF(D46:AI46,"=34")&gt;=1,COUNTIF(D46:AI46,"=35")&gt;=1,COUNTIF(D46:AI46,"f")=2,COUNTIF(D46:AI46,"")=0,COUNTIF(D46:AI46," ")=0),CONCATENATE(SUM(EXTRACTNUMBER(D46),EXTRACTNUMBER(F46),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EXTRACTNUMBER(AD46),EXTRACTNUMBER(AF46),EXTRACTNUMBER(AH46)),"*"),IF(AND(COUNTIF(D46:AI46,"=36")&gt;=2,COUNTIF(D46:AI46,"f")=2,COUNTIF(D46:AI46,"")=0,COUNTIF(D46:AI46," ")=0),CONCATENATE(SUM(EXTRACTNUMBER(D46),EXTRACTNUMBER(F46),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EXTRACTNUMBER(AD46),EXTRACTNUMBER(AF46),EXTRACTNUMBER(AH46)),"*"),SUM(EXTRACTNUMBER(D46),EXTRACTNUMBER(F46),
EXTRACTNUMBER(H46),EXTRACTNUMBER(J46),
EXTRACTNUMBER(L46),EXTRACTNUMBER(N46),
EXTRACTNUMBER(P46),EXTRACTNUMBER(R46),
EXTRACTNUMBER(T46),EXTRACTNUMBER(V46),
EXTRACTNUMBER(X46),EXTRACTNUMBER(Z46),EXTRACTNUMBER(AB46),
EXTRACTNUMBER(AD46),EXTRACTNUMBER(AF46),EXTRACTNUMBER(AH46)))))</f>
        <v>480</v>
      </c>
      <c r="AK46" s="32" t="str">
        <f t="shared" si="16"/>
        <v>PASS</v>
      </c>
      <c r="AL46" s="33" t="str">
        <f>SPELLNUMBER(extractnumber_tot(AJ46))</f>
        <v xml:space="preserve">Four Hundred Eighty  </v>
      </c>
    </row>
    <row r="47" spans="2:38" s="30" customFormat="1" ht="15.95" customHeight="1">
      <c r="B47" s="37">
        <v>225224</v>
      </c>
      <c r="C47" s="38" t="s">
        <v>240</v>
      </c>
      <c r="D47" s="44" t="s">
        <v>113</v>
      </c>
      <c r="E47" s="61" t="str">
        <f t="shared" si="17"/>
        <v/>
      </c>
      <c r="F47" s="48">
        <v>21</v>
      </c>
      <c r="G47" s="62" t="str">
        <f t="shared" si="1"/>
        <v>E</v>
      </c>
      <c r="H47" s="48">
        <v>43</v>
      </c>
      <c r="I47" s="62" t="str">
        <f t="shared" si="2"/>
        <v>E</v>
      </c>
      <c r="J47" s="50">
        <v>2</v>
      </c>
      <c r="K47" s="62" t="str">
        <f t="shared" si="3"/>
        <v>F</v>
      </c>
      <c r="L47" s="48">
        <v>19</v>
      </c>
      <c r="M47" s="62" t="str">
        <f t="shared" si="4"/>
        <v>E</v>
      </c>
      <c r="N47" s="48">
        <v>38</v>
      </c>
      <c r="O47" s="62" t="str">
        <f t="shared" si="5"/>
        <v>E</v>
      </c>
      <c r="P47" s="51">
        <v>18</v>
      </c>
      <c r="Q47" s="62" t="str">
        <f t="shared" si="6"/>
        <v>F</v>
      </c>
      <c r="R47" s="48">
        <v>21</v>
      </c>
      <c r="S47" s="62" t="str">
        <f t="shared" si="7"/>
        <v>E</v>
      </c>
      <c r="T47" s="48">
        <v>23</v>
      </c>
      <c r="U47" s="62" t="str">
        <f t="shared" si="8"/>
        <v>E</v>
      </c>
      <c r="V47" s="51">
        <v>15</v>
      </c>
      <c r="W47" s="62" t="str">
        <f t="shared" si="9"/>
        <v>F</v>
      </c>
      <c r="X47" s="48">
        <v>23</v>
      </c>
      <c r="Y47" s="62" t="str">
        <f t="shared" si="10"/>
        <v>E</v>
      </c>
      <c r="Z47" s="51">
        <v>5</v>
      </c>
      <c r="AA47" s="62" t="str">
        <f t="shared" si="11"/>
        <v>F</v>
      </c>
      <c r="AB47" s="48">
        <v>20</v>
      </c>
      <c r="AC47" s="62" t="str">
        <f t="shared" si="12"/>
        <v>E</v>
      </c>
      <c r="AD47" s="48">
        <v>19</v>
      </c>
      <c r="AE47" s="62" t="str">
        <f t="shared" si="13"/>
        <v>E</v>
      </c>
      <c r="AF47" s="51">
        <v>23</v>
      </c>
      <c r="AG47" s="62" t="str">
        <f t="shared" si="14"/>
        <v>E</v>
      </c>
      <c r="AH47" s="48">
        <v>22</v>
      </c>
      <c r="AI47" s="62" t="str">
        <f t="shared" si="15"/>
        <v>E</v>
      </c>
      <c r="AJ47" s="31">
        <f>IF(AND(OR(COUNTIF(D47:AI47,"=31")&gt;=1,COUNTIF(D47:AI47,"=32")&gt;=1,COUNTIF(D47:AI47,"=33")&gt;=1,COUNTIF(D47:AI47,"=34")&gt;=1,COUNTIF(D47:AI47,"=35")=1,COUNTIF(D47:AI47,"=36")&gt;=1 ),COUNTIF(D47:AI47,"")=0,COUNTIF(D47:AI47," ")=0,COUNTIF(D47:AI47,"F")=1),CONCATENATE(SUM(EXTRACTNUMBER(D47),EXTRACTNUMBER(F47),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EXTRACTNUMBER(AD47),EXTRACTNUMBER(AF47),EXTRACTNUMBER(AH47)),"*"),IF(AND(COUNTIF(D47:AI47,"=34")&gt;=1,COUNTIF(D47:AI47,"=35")&gt;=1,COUNTIF(D47:AI47,"f")=2,COUNTIF(D47:AI47,"")=0,COUNTIF(D47:AI47," ")=0),CONCATENATE(SUM(EXTRACTNUMBER(D47),EXTRACTNUMBER(F47),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EXTRACTNUMBER(AD47),EXTRACTNUMBER(AF47),EXTRACTNUMBER(AH47)),"*"),IF(AND(COUNTIF(D47:AI47,"=36")&gt;=2,COUNTIF(D47:AI47,"f")=2,COUNTIF(D47:AI47,"")=0,COUNTIF(D47:AI47," ")=0),CONCATENATE(SUM(EXTRACTNUMBER(D47),EXTRACTNUMBER(F47),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EXTRACTNUMBER(AD47),EXTRACTNUMBER(AF47),EXTRACTNUMBER(AH47)),"*"),SUM(EXTRACTNUMBER(D47),EXTRACTNUMBER(F47),
EXTRACTNUMBER(H47),EXTRACTNUMBER(J47),
EXTRACTNUMBER(L47),EXTRACTNUMBER(N47),
EXTRACTNUMBER(P47),EXTRACTNUMBER(R47),
EXTRACTNUMBER(T47),EXTRACTNUMBER(V47),
EXTRACTNUMBER(X47),EXTRACTNUMBER(Z47),EXTRACTNUMBER(AB47),
EXTRACTNUMBER(AD47),EXTRACTNUMBER(AF47),EXTRACTNUMBER(AH47)))))</f>
        <v>312</v>
      </c>
      <c r="AK47" s="32" t="str">
        <f t="shared" si="16"/>
        <v>FAIL</v>
      </c>
      <c r="AL47" s="33" t="str">
        <f>SPELLNUMBER(extractnumber_tot(AJ47))</f>
        <v xml:space="preserve">Three Hundred Twelve </v>
      </c>
    </row>
    <row r="48" spans="2:38" s="30" customFormat="1" ht="15.95" customHeight="1">
      <c r="B48" s="37">
        <v>225225</v>
      </c>
      <c r="C48" s="38" t="s">
        <v>241</v>
      </c>
      <c r="D48" s="43">
        <v>62</v>
      </c>
      <c r="E48" s="61" t="str">
        <f t="shared" si="17"/>
        <v/>
      </c>
      <c r="F48" s="48">
        <v>23</v>
      </c>
      <c r="G48" s="62" t="str">
        <f t="shared" si="1"/>
        <v/>
      </c>
      <c r="H48" s="48">
        <v>40</v>
      </c>
      <c r="I48" s="62" t="str">
        <f t="shared" si="2"/>
        <v/>
      </c>
      <c r="J48" s="50">
        <v>59</v>
      </c>
      <c r="K48" s="62" t="str">
        <f t="shared" si="3"/>
        <v/>
      </c>
      <c r="L48" s="48">
        <v>23</v>
      </c>
      <c r="M48" s="62" t="str">
        <f t="shared" si="4"/>
        <v/>
      </c>
      <c r="N48" s="48">
        <v>46</v>
      </c>
      <c r="O48" s="62" t="str">
        <f t="shared" si="5"/>
        <v/>
      </c>
      <c r="P48" s="51">
        <v>40</v>
      </c>
      <c r="Q48" s="62" t="str">
        <f t="shared" si="6"/>
        <v/>
      </c>
      <c r="R48" s="48">
        <v>22</v>
      </c>
      <c r="S48" s="62" t="str">
        <f t="shared" si="7"/>
        <v/>
      </c>
      <c r="T48" s="48">
        <v>20</v>
      </c>
      <c r="U48" s="62" t="str">
        <f t="shared" si="8"/>
        <v/>
      </c>
      <c r="V48" s="51">
        <v>65</v>
      </c>
      <c r="W48" s="62" t="str">
        <f t="shared" si="9"/>
        <v/>
      </c>
      <c r="X48" s="48">
        <v>23</v>
      </c>
      <c r="Y48" s="62" t="str">
        <f t="shared" si="10"/>
        <v/>
      </c>
      <c r="Z48" s="51">
        <v>69</v>
      </c>
      <c r="AA48" s="62" t="str">
        <f t="shared" si="11"/>
        <v/>
      </c>
      <c r="AB48" s="48">
        <v>23</v>
      </c>
      <c r="AC48" s="62" t="str">
        <f t="shared" si="12"/>
        <v/>
      </c>
      <c r="AD48" s="48">
        <v>18</v>
      </c>
      <c r="AE48" s="62" t="str">
        <f t="shared" si="13"/>
        <v/>
      </c>
      <c r="AF48" s="51">
        <v>29</v>
      </c>
      <c r="AG48" s="62" t="str">
        <f t="shared" si="14"/>
        <v/>
      </c>
      <c r="AH48" s="48">
        <v>23</v>
      </c>
      <c r="AI48" s="62" t="str">
        <f t="shared" si="15"/>
        <v/>
      </c>
      <c r="AJ48" s="31">
        <f>IF(AND(OR(COUNTIF(D48:AI48,"=31")&gt;=1,COUNTIF(D48:AI48,"=32")&gt;=1,COUNTIF(D48:AI48,"=33")&gt;=1,COUNTIF(D48:AI48,"=34")&gt;=1,COUNTIF(D48:AI48,"=35")=1,COUNTIF(D48:AI48,"=36")&gt;=1 ),COUNTIF(D48:AI48,"")=0,COUNTIF(D48:AI48," ")=0,COUNTIF(D48:AI48,"F")=1),CONCATENATE(SUM(EXTRACTNUMBER(D48),EXTRACTNUMBER(F48),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EXTRACTNUMBER(AD48),EXTRACTNUMBER(AF48),EXTRACTNUMBER(AH48)),"*"),IF(AND(COUNTIF(D48:AI48,"=34")&gt;=1,COUNTIF(D48:AI48,"=35")&gt;=1,COUNTIF(D48:AI48,"f")=2,COUNTIF(D48:AI48,"")=0,COUNTIF(D48:AI48," ")=0),CONCATENATE(SUM(EXTRACTNUMBER(D48),EXTRACTNUMBER(F48),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EXTRACTNUMBER(AD48),EXTRACTNUMBER(AF48),EXTRACTNUMBER(AH48)),"*"),IF(AND(COUNTIF(D48:AI48,"=36")&gt;=2,COUNTIF(D48:AI48,"f")=2,COUNTIF(D48:AI48,"")=0,COUNTIF(D48:AI48," ")=0),CONCATENATE(SUM(EXTRACTNUMBER(D48),EXTRACTNUMBER(F48),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EXTRACTNUMBER(AD48),EXTRACTNUMBER(AF48),EXTRACTNUMBER(AH48)),"*"),SUM(EXTRACTNUMBER(D48),EXTRACTNUMBER(F48),
EXTRACTNUMBER(H48),EXTRACTNUMBER(J48),
EXTRACTNUMBER(L48),EXTRACTNUMBER(N48),
EXTRACTNUMBER(P48),EXTRACTNUMBER(R48),
EXTRACTNUMBER(T48),EXTRACTNUMBER(V48),
EXTRACTNUMBER(X48),EXTRACTNUMBER(Z48),EXTRACTNUMBER(AB48),
EXTRACTNUMBER(AD48),EXTRACTNUMBER(AF48),EXTRACTNUMBER(AH48)))))</f>
        <v>585</v>
      </c>
      <c r="AK48" s="32" t="str">
        <f t="shared" si="16"/>
        <v>PASS</v>
      </c>
      <c r="AL48" s="33" t="str">
        <f>SPELLNUMBER(extractnumber_tot(AJ48))</f>
        <v xml:space="preserve">Five Hundred Eighty Five </v>
      </c>
    </row>
    <row r="49" spans="2:38" s="30" customFormat="1" ht="15.95" customHeight="1">
      <c r="B49" s="37">
        <v>225226</v>
      </c>
      <c r="C49" s="38" t="s">
        <v>242</v>
      </c>
      <c r="D49" s="43">
        <v>55</v>
      </c>
      <c r="E49" s="61" t="str">
        <f t="shared" si="17"/>
        <v/>
      </c>
      <c r="F49" s="48">
        <v>23</v>
      </c>
      <c r="G49" s="62" t="str">
        <f t="shared" si="1"/>
        <v/>
      </c>
      <c r="H49" s="48">
        <v>39</v>
      </c>
      <c r="I49" s="62" t="str">
        <f t="shared" si="2"/>
        <v/>
      </c>
      <c r="J49" s="50">
        <v>40</v>
      </c>
      <c r="K49" s="62" t="str">
        <f t="shared" si="3"/>
        <v/>
      </c>
      <c r="L49" s="48">
        <v>22</v>
      </c>
      <c r="M49" s="62" t="str">
        <f t="shared" si="4"/>
        <v/>
      </c>
      <c r="N49" s="48">
        <v>46</v>
      </c>
      <c r="O49" s="62" t="str">
        <f t="shared" si="5"/>
        <v/>
      </c>
      <c r="P49" s="51">
        <v>40</v>
      </c>
      <c r="Q49" s="62" t="str">
        <f t="shared" si="6"/>
        <v/>
      </c>
      <c r="R49" s="48">
        <v>23</v>
      </c>
      <c r="S49" s="62" t="str">
        <f t="shared" si="7"/>
        <v/>
      </c>
      <c r="T49" s="48">
        <v>20</v>
      </c>
      <c r="U49" s="62" t="str">
        <f t="shared" si="8"/>
        <v/>
      </c>
      <c r="V49" s="51">
        <v>62</v>
      </c>
      <c r="W49" s="62" t="str">
        <f t="shared" si="9"/>
        <v/>
      </c>
      <c r="X49" s="48">
        <v>23</v>
      </c>
      <c r="Y49" s="62" t="str">
        <f t="shared" si="10"/>
        <v/>
      </c>
      <c r="Z49" s="51">
        <v>44</v>
      </c>
      <c r="AA49" s="62" t="str">
        <f t="shared" si="11"/>
        <v/>
      </c>
      <c r="AB49" s="48">
        <v>22</v>
      </c>
      <c r="AC49" s="62" t="str">
        <f t="shared" si="12"/>
        <v/>
      </c>
      <c r="AD49" s="48">
        <v>18</v>
      </c>
      <c r="AE49" s="62" t="str">
        <f t="shared" si="13"/>
        <v/>
      </c>
      <c r="AF49" s="51">
        <v>26</v>
      </c>
      <c r="AG49" s="62" t="str">
        <f t="shared" si="14"/>
        <v/>
      </c>
      <c r="AH49" s="48">
        <v>23</v>
      </c>
      <c r="AI49" s="62" t="str">
        <f t="shared" si="15"/>
        <v/>
      </c>
      <c r="AJ49" s="31">
        <f>IF(AND(OR(COUNTIF(D49:AI49,"=31")&gt;=1,COUNTIF(D49:AI49,"=32")&gt;=1,COUNTIF(D49:AI49,"=33")&gt;=1,COUNTIF(D49:AI49,"=34")&gt;=1,COUNTIF(D49:AI49,"=35")=1,COUNTIF(D49:AI49,"=36")&gt;=1 ),COUNTIF(D49:AI49,"")=0,COUNTIF(D49:AI49," ")=0,COUNTIF(D49:AI49,"F")=1),CONCATENATE(SUM(EXTRACTNUMBER(D49),EXTRACTNUMBER(F49),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EXTRACTNUMBER(AD49),EXTRACTNUMBER(AF49),EXTRACTNUMBER(AH49)),"*"),IF(AND(COUNTIF(D49:AI49,"=34")&gt;=1,COUNTIF(D49:AI49,"=35")&gt;=1,COUNTIF(D49:AI49,"f")=2,COUNTIF(D49:AI49,"")=0,COUNTIF(D49:AI49," ")=0),CONCATENATE(SUM(EXTRACTNUMBER(D49),EXTRACTNUMBER(F49),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EXTRACTNUMBER(AD49),EXTRACTNUMBER(AF49),EXTRACTNUMBER(AH49)),"*"),IF(AND(COUNTIF(D49:AI49,"=36")&gt;=2,COUNTIF(D49:AI49,"f")=2,COUNTIF(D49:AI49,"")=0,COUNTIF(D49:AI49," ")=0),CONCATENATE(SUM(EXTRACTNUMBER(D49),EXTRACTNUMBER(F49),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EXTRACTNUMBER(AD49),EXTRACTNUMBER(AF49),EXTRACTNUMBER(AH49)),"*"),SUM(EXTRACTNUMBER(D49),EXTRACTNUMBER(F49),
EXTRACTNUMBER(H49),EXTRACTNUMBER(J49),
EXTRACTNUMBER(L49),EXTRACTNUMBER(N49),
EXTRACTNUMBER(P49),EXTRACTNUMBER(R49),
EXTRACTNUMBER(T49),EXTRACTNUMBER(V49),
EXTRACTNUMBER(X49),EXTRACTNUMBER(Z49),EXTRACTNUMBER(AB49),
EXTRACTNUMBER(AD49),EXTRACTNUMBER(AF49),EXTRACTNUMBER(AH49)))))</f>
        <v>526</v>
      </c>
      <c r="AK49" s="32" t="str">
        <f t="shared" si="16"/>
        <v>PASS</v>
      </c>
      <c r="AL49" s="33" t="str">
        <f>SPELLNUMBER(extractnumber_tot(AJ49))</f>
        <v xml:space="preserve">Five Hundred Twenty Six </v>
      </c>
    </row>
    <row r="50" spans="2:38" s="30" customFormat="1" ht="15.95" customHeight="1">
      <c r="B50" s="37">
        <v>225227</v>
      </c>
      <c r="C50" s="38" t="s">
        <v>243</v>
      </c>
      <c r="D50" s="43">
        <v>68</v>
      </c>
      <c r="E50" s="61" t="str">
        <f t="shared" si="17"/>
        <v/>
      </c>
      <c r="F50" s="48">
        <v>20</v>
      </c>
      <c r="G50" s="62" t="str">
        <f t="shared" si="1"/>
        <v/>
      </c>
      <c r="H50" s="48">
        <v>44</v>
      </c>
      <c r="I50" s="62" t="str">
        <f t="shared" si="2"/>
        <v/>
      </c>
      <c r="J50" s="50">
        <v>68</v>
      </c>
      <c r="K50" s="62" t="str">
        <f t="shared" si="3"/>
        <v/>
      </c>
      <c r="L50" s="48">
        <v>22</v>
      </c>
      <c r="M50" s="62" t="str">
        <f t="shared" si="4"/>
        <v/>
      </c>
      <c r="N50" s="48">
        <v>44</v>
      </c>
      <c r="O50" s="62" t="str">
        <f t="shared" si="5"/>
        <v/>
      </c>
      <c r="P50" s="51">
        <v>62</v>
      </c>
      <c r="Q50" s="62" t="str">
        <f t="shared" si="6"/>
        <v/>
      </c>
      <c r="R50" s="48">
        <v>19</v>
      </c>
      <c r="S50" s="62" t="str">
        <f t="shared" si="7"/>
        <v/>
      </c>
      <c r="T50" s="48">
        <v>23</v>
      </c>
      <c r="U50" s="62" t="str">
        <f t="shared" si="8"/>
        <v/>
      </c>
      <c r="V50" s="51">
        <v>69</v>
      </c>
      <c r="W50" s="62" t="str">
        <f t="shared" si="9"/>
        <v/>
      </c>
      <c r="X50" s="48">
        <v>22</v>
      </c>
      <c r="Y50" s="62" t="str">
        <f t="shared" si="10"/>
        <v/>
      </c>
      <c r="Z50" s="51">
        <v>70</v>
      </c>
      <c r="AA50" s="62" t="str">
        <f t="shared" si="11"/>
        <v/>
      </c>
      <c r="AB50" s="48">
        <v>22</v>
      </c>
      <c r="AC50" s="62" t="str">
        <f t="shared" si="12"/>
        <v/>
      </c>
      <c r="AD50" s="48">
        <v>19</v>
      </c>
      <c r="AE50" s="62" t="str">
        <f t="shared" si="13"/>
        <v/>
      </c>
      <c r="AF50" s="51">
        <v>30</v>
      </c>
      <c r="AG50" s="62" t="str">
        <f t="shared" si="14"/>
        <v/>
      </c>
      <c r="AH50" s="48">
        <v>21</v>
      </c>
      <c r="AI50" s="62" t="str">
        <f t="shared" si="15"/>
        <v/>
      </c>
      <c r="AJ50" s="31">
        <f>IF(AND(OR(COUNTIF(D50:AI50,"=31")&gt;=1,COUNTIF(D50:AI50,"=32")&gt;=1,COUNTIF(D50:AI50,"=33")&gt;=1,COUNTIF(D50:AI50,"=34")&gt;=1,COUNTIF(D50:AI50,"=35")=1,COUNTIF(D50:AI50,"=36")&gt;=1 ),COUNTIF(D50:AI50,"")=0,COUNTIF(D50:AI50," ")=0,COUNTIF(D50:AI50,"F")=1),CONCATENATE(SUM(EXTRACTNUMBER(D50),EXTRACTNUMBER(F50),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EXTRACTNUMBER(AD50),EXTRACTNUMBER(AF50),EXTRACTNUMBER(AH50)),"*"),IF(AND(COUNTIF(D50:AI50,"=34")&gt;=1,COUNTIF(D50:AI50,"=35")&gt;=1,COUNTIF(D50:AI50,"f")=2,COUNTIF(D50:AI50,"")=0,COUNTIF(D50:AI50," ")=0),CONCATENATE(SUM(EXTRACTNUMBER(D50),EXTRACTNUMBER(F50),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EXTRACTNUMBER(AD50),EXTRACTNUMBER(AF50),EXTRACTNUMBER(AH50)),"*"),IF(AND(COUNTIF(D50:AI50,"=36")&gt;=2,COUNTIF(D50:AI50,"f")=2,COUNTIF(D50:AI50,"")=0,COUNTIF(D50:AI50," ")=0),CONCATENATE(SUM(EXTRACTNUMBER(D50),EXTRACTNUMBER(F50),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EXTRACTNUMBER(AD50),EXTRACTNUMBER(AF50),EXTRACTNUMBER(AH50)),"*"),SUM(EXTRACTNUMBER(D50),EXTRACTNUMBER(F50),
EXTRACTNUMBER(H50),EXTRACTNUMBER(J50),
EXTRACTNUMBER(L50),EXTRACTNUMBER(N50),
EXTRACTNUMBER(P50),EXTRACTNUMBER(R50),
EXTRACTNUMBER(T50),EXTRACTNUMBER(V50),
EXTRACTNUMBER(X50),EXTRACTNUMBER(Z50),EXTRACTNUMBER(AB50),
EXTRACTNUMBER(AD50),EXTRACTNUMBER(AF50),EXTRACTNUMBER(AH50)))))</f>
        <v>623</v>
      </c>
      <c r="AK50" s="32" t="str">
        <f t="shared" si="16"/>
        <v>PASS</v>
      </c>
      <c r="AL50" s="33" t="str">
        <f>SPELLNUMBER(extractnumber_tot(AJ50))</f>
        <v xml:space="preserve">Six Hundred Twenty Three </v>
      </c>
    </row>
    <row r="51" spans="2:38" s="30" customFormat="1" ht="15.95" customHeight="1">
      <c r="B51" s="37">
        <v>225228</v>
      </c>
      <c r="C51" s="38" t="s">
        <v>244</v>
      </c>
      <c r="D51" s="43">
        <v>41</v>
      </c>
      <c r="E51" s="61" t="str">
        <f t="shared" si="17"/>
        <v/>
      </c>
      <c r="F51" s="48">
        <v>19</v>
      </c>
      <c r="G51" s="62" t="str">
        <f t="shared" si="1"/>
        <v/>
      </c>
      <c r="H51" s="48">
        <v>41</v>
      </c>
      <c r="I51" s="62" t="str">
        <f t="shared" si="2"/>
        <v/>
      </c>
      <c r="J51" s="50">
        <v>44</v>
      </c>
      <c r="K51" s="62" t="str">
        <f t="shared" si="3"/>
        <v/>
      </c>
      <c r="L51" s="48">
        <v>23</v>
      </c>
      <c r="M51" s="62" t="str">
        <f t="shared" si="4"/>
        <v/>
      </c>
      <c r="N51" s="48">
        <v>44</v>
      </c>
      <c r="O51" s="62" t="str">
        <f t="shared" si="5"/>
        <v/>
      </c>
      <c r="P51" s="51">
        <v>40</v>
      </c>
      <c r="Q51" s="62" t="str">
        <f t="shared" si="6"/>
        <v/>
      </c>
      <c r="R51" s="48">
        <v>20</v>
      </c>
      <c r="S51" s="62" t="str">
        <f t="shared" si="7"/>
        <v/>
      </c>
      <c r="T51" s="48">
        <v>21</v>
      </c>
      <c r="U51" s="62" t="str">
        <f t="shared" si="8"/>
        <v/>
      </c>
      <c r="V51" s="51">
        <v>63</v>
      </c>
      <c r="W51" s="62" t="str">
        <f t="shared" si="9"/>
        <v/>
      </c>
      <c r="X51" s="48">
        <v>22</v>
      </c>
      <c r="Y51" s="62" t="str">
        <f t="shared" si="10"/>
        <v/>
      </c>
      <c r="Z51" s="51">
        <v>55</v>
      </c>
      <c r="AA51" s="62" t="str">
        <f t="shared" si="11"/>
        <v/>
      </c>
      <c r="AB51" s="48">
        <v>23</v>
      </c>
      <c r="AC51" s="62" t="str">
        <f t="shared" si="12"/>
        <v/>
      </c>
      <c r="AD51" s="48">
        <v>20</v>
      </c>
      <c r="AE51" s="62" t="str">
        <f t="shared" si="13"/>
        <v/>
      </c>
      <c r="AF51" s="51">
        <v>22</v>
      </c>
      <c r="AG51" s="62" t="str">
        <f t="shared" si="14"/>
        <v/>
      </c>
      <c r="AH51" s="48">
        <v>20</v>
      </c>
      <c r="AI51" s="62" t="str">
        <f t="shared" si="15"/>
        <v/>
      </c>
      <c r="AJ51" s="31">
        <f>IF(AND(OR(COUNTIF(D51:AI51,"=31")&gt;=1,COUNTIF(D51:AI51,"=32")&gt;=1,COUNTIF(D51:AI51,"=33")&gt;=1,COUNTIF(D51:AI51,"=34")&gt;=1,COUNTIF(D51:AI51,"=35")=1,COUNTIF(D51:AI51,"=36")&gt;=1 ),COUNTIF(D51:AI51,"")=0,COUNTIF(D51:AI51," ")=0,COUNTIF(D51:AI51,"F")=1),CONCATENATE(SUM(EXTRACTNUMBER(D51),EXTRACTNUMBER(F51),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EXTRACTNUMBER(AD51),EXTRACTNUMBER(AF51),EXTRACTNUMBER(AH51)),"*"),IF(AND(COUNTIF(D51:AI51,"=34")&gt;=1,COUNTIF(D51:AI51,"=35")&gt;=1,COUNTIF(D51:AI51,"f")=2,COUNTIF(D51:AI51,"")=0,COUNTIF(D51:AI51," ")=0),CONCATENATE(SUM(EXTRACTNUMBER(D51),EXTRACTNUMBER(F51),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EXTRACTNUMBER(AD51),EXTRACTNUMBER(AF51),EXTRACTNUMBER(AH51)),"*"),IF(AND(COUNTIF(D51:AI51,"=36")&gt;=2,COUNTIF(D51:AI51,"f")=2,COUNTIF(D51:AI51,"")=0,COUNTIF(D51:AI51," ")=0),CONCATENATE(SUM(EXTRACTNUMBER(D51),EXTRACTNUMBER(F51),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EXTRACTNUMBER(AD51),EXTRACTNUMBER(AF51),EXTRACTNUMBER(AH51)),"*"),SUM(EXTRACTNUMBER(D51),EXTRACTNUMBER(F51),
EXTRACTNUMBER(H51),EXTRACTNUMBER(J51),
EXTRACTNUMBER(L51),EXTRACTNUMBER(N51),
EXTRACTNUMBER(P51),EXTRACTNUMBER(R51),
EXTRACTNUMBER(T51),EXTRACTNUMBER(V51),
EXTRACTNUMBER(X51),EXTRACTNUMBER(Z51),EXTRACTNUMBER(AB51),
EXTRACTNUMBER(AD51),EXTRACTNUMBER(AF51),EXTRACTNUMBER(AH51)))))</f>
        <v>518</v>
      </c>
      <c r="AK51" s="32" t="str">
        <f t="shared" si="16"/>
        <v>PASS</v>
      </c>
      <c r="AL51" s="33" t="str">
        <f>SPELLNUMBER(extractnumber_tot(AJ51))</f>
        <v xml:space="preserve">Five Hundred Eighteen </v>
      </c>
    </row>
    <row r="52" spans="2:38" s="30" customFormat="1" ht="15.95" customHeight="1">
      <c r="B52" s="37">
        <v>225229</v>
      </c>
      <c r="C52" s="38" t="s">
        <v>245</v>
      </c>
      <c r="D52" s="43">
        <v>56</v>
      </c>
      <c r="E52" s="61" t="str">
        <f t="shared" si="17"/>
        <v/>
      </c>
      <c r="F52" s="48">
        <v>20</v>
      </c>
      <c r="G52" s="62" t="str">
        <f t="shared" si="1"/>
        <v/>
      </c>
      <c r="H52" s="48">
        <v>44</v>
      </c>
      <c r="I52" s="62" t="str">
        <f t="shared" si="2"/>
        <v/>
      </c>
      <c r="J52" s="50">
        <v>52</v>
      </c>
      <c r="K52" s="62" t="str">
        <f t="shared" si="3"/>
        <v/>
      </c>
      <c r="L52" s="48">
        <v>20</v>
      </c>
      <c r="M52" s="62" t="str">
        <f t="shared" si="4"/>
        <v/>
      </c>
      <c r="N52" s="48">
        <v>36</v>
      </c>
      <c r="O52" s="62" t="str">
        <f t="shared" si="5"/>
        <v/>
      </c>
      <c r="P52" s="51">
        <v>40</v>
      </c>
      <c r="Q52" s="62" t="str">
        <f t="shared" si="6"/>
        <v/>
      </c>
      <c r="R52" s="48">
        <v>20</v>
      </c>
      <c r="S52" s="62" t="str">
        <f t="shared" si="7"/>
        <v/>
      </c>
      <c r="T52" s="48">
        <v>23</v>
      </c>
      <c r="U52" s="62" t="str">
        <f t="shared" si="8"/>
        <v/>
      </c>
      <c r="V52" s="51">
        <v>69</v>
      </c>
      <c r="W52" s="62" t="str">
        <f t="shared" si="9"/>
        <v/>
      </c>
      <c r="X52" s="48">
        <v>16</v>
      </c>
      <c r="Y52" s="62" t="str">
        <f t="shared" si="10"/>
        <v/>
      </c>
      <c r="Z52" s="51">
        <v>56</v>
      </c>
      <c r="AA52" s="62" t="str">
        <f t="shared" si="11"/>
        <v/>
      </c>
      <c r="AB52" s="48">
        <v>20</v>
      </c>
      <c r="AC52" s="62" t="str">
        <f t="shared" si="12"/>
        <v/>
      </c>
      <c r="AD52" s="48">
        <v>18</v>
      </c>
      <c r="AE52" s="62" t="str">
        <f t="shared" si="13"/>
        <v/>
      </c>
      <c r="AF52" s="51">
        <v>27</v>
      </c>
      <c r="AG52" s="62" t="str">
        <f t="shared" si="14"/>
        <v/>
      </c>
      <c r="AH52" s="48">
        <v>17</v>
      </c>
      <c r="AI52" s="62" t="str">
        <f t="shared" si="15"/>
        <v/>
      </c>
      <c r="AJ52" s="31">
        <f>IF(AND(OR(COUNTIF(D52:AI52,"=31")&gt;=1,COUNTIF(D52:AI52,"=32")&gt;=1,COUNTIF(D52:AI52,"=33")&gt;=1,COUNTIF(D52:AI52,"=34")&gt;=1,COUNTIF(D52:AI52,"=35")=1,COUNTIF(D52:AI52,"=36")&gt;=1 ),COUNTIF(D52:AI52,"")=0,COUNTIF(D52:AI52," ")=0,COUNTIF(D52:AI52,"F")=1),CONCATENATE(SUM(EXTRACTNUMBER(D52),EXTRACTNUMBER(F52),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EXTRACTNUMBER(AD52),EXTRACTNUMBER(AF52),EXTRACTNUMBER(AH52)),"*"),IF(AND(COUNTIF(D52:AI52,"=34")&gt;=1,COUNTIF(D52:AI52,"=35")&gt;=1,COUNTIF(D52:AI52,"f")=2,COUNTIF(D52:AI52,"")=0,COUNTIF(D52:AI52," ")=0),CONCATENATE(SUM(EXTRACTNUMBER(D52),EXTRACTNUMBER(F52),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EXTRACTNUMBER(AD52),EXTRACTNUMBER(AF52),EXTRACTNUMBER(AH52)),"*"),IF(AND(COUNTIF(D52:AI52,"=36")&gt;=2,COUNTIF(D52:AI52,"f")=2,COUNTIF(D52:AI52,"")=0,COUNTIF(D52:AI52," ")=0),CONCATENATE(SUM(EXTRACTNUMBER(D52),EXTRACTNUMBER(F52),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EXTRACTNUMBER(AD52),EXTRACTNUMBER(AF52),EXTRACTNUMBER(AH52)),"*"),SUM(EXTRACTNUMBER(D52),EXTRACTNUMBER(F52),
EXTRACTNUMBER(H52),EXTRACTNUMBER(J52),
EXTRACTNUMBER(L52),EXTRACTNUMBER(N52),
EXTRACTNUMBER(P52),EXTRACTNUMBER(R52),
EXTRACTNUMBER(T52),EXTRACTNUMBER(V52),
EXTRACTNUMBER(X52),EXTRACTNUMBER(Z52),EXTRACTNUMBER(AB52),
EXTRACTNUMBER(AD52),EXTRACTNUMBER(AF52),EXTRACTNUMBER(AH52)))))</f>
        <v>534</v>
      </c>
      <c r="AK52" s="32" t="str">
        <f t="shared" si="16"/>
        <v>PASS</v>
      </c>
      <c r="AL52" s="33" t="str">
        <f>SPELLNUMBER(extractnumber_tot(AJ52))</f>
        <v xml:space="preserve">Five Hundred Thirty Four </v>
      </c>
    </row>
    <row r="53" spans="2:38" s="30" customFormat="1" ht="15.95" customHeight="1">
      <c r="B53" s="37">
        <v>225230</v>
      </c>
      <c r="C53" s="38" t="s">
        <v>246</v>
      </c>
      <c r="D53" s="43">
        <v>40</v>
      </c>
      <c r="E53" s="61" t="str">
        <f t="shared" si="17"/>
        <v>E</v>
      </c>
      <c r="F53" s="48">
        <v>23</v>
      </c>
      <c r="G53" s="62" t="str">
        <f t="shared" si="1"/>
        <v>E</v>
      </c>
      <c r="H53" s="48">
        <v>44</v>
      </c>
      <c r="I53" s="62" t="str">
        <f t="shared" si="2"/>
        <v>E</v>
      </c>
      <c r="J53" s="50">
        <v>24</v>
      </c>
      <c r="K53" s="62" t="str">
        <f t="shared" si="3"/>
        <v>F</v>
      </c>
      <c r="L53" s="48">
        <v>23</v>
      </c>
      <c r="M53" s="62" t="str">
        <f t="shared" si="4"/>
        <v>E</v>
      </c>
      <c r="N53" s="48">
        <v>46</v>
      </c>
      <c r="O53" s="62" t="str">
        <f t="shared" si="5"/>
        <v>E</v>
      </c>
      <c r="P53" s="51">
        <v>20</v>
      </c>
      <c r="Q53" s="62" t="str">
        <f t="shared" si="6"/>
        <v>F</v>
      </c>
      <c r="R53" s="48">
        <v>23</v>
      </c>
      <c r="S53" s="62" t="str">
        <f t="shared" si="7"/>
        <v>E</v>
      </c>
      <c r="T53" s="48">
        <v>23</v>
      </c>
      <c r="U53" s="62" t="str">
        <f t="shared" si="8"/>
        <v>E</v>
      </c>
      <c r="V53" s="51">
        <v>18</v>
      </c>
      <c r="W53" s="62" t="str">
        <f t="shared" si="9"/>
        <v>F</v>
      </c>
      <c r="X53" s="48">
        <v>23</v>
      </c>
      <c r="Y53" s="62" t="str">
        <f t="shared" si="10"/>
        <v>E</v>
      </c>
      <c r="Z53" s="51">
        <v>41</v>
      </c>
      <c r="AA53" s="62" t="str">
        <f t="shared" si="11"/>
        <v>E</v>
      </c>
      <c r="AB53" s="48">
        <v>23</v>
      </c>
      <c r="AC53" s="62" t="str">
        <f t="shared" si="12"/>
        <v>E</v>
      </c>
      <c r="AD53" s="48">
        <v>20</v>
      </c>
      <c r="AE53" s="62" t="str">
        <f t="shared" si="13"/>
        <v>E</v>
      </c>
      <c r="AF53" s="51">
        <v>26</v>
      </c>
      <c r="AG53" s="62" t="str">
        <f t="shared" si="14"/>
        <v>E</v>
      </c>
      <c r="AH53" s="48">
        <v>23</v>
      </c>
      <c r="AI53" s="62" t="str">
        <f t="shared" si="15"/>
        <v>E</v>
      </c>
      <c r="AJ53" s="31">
        <f>IF(AND(OR(COUNTIF(D53:AI53,"=31")&gt;=1,COUNTIF(D53:AI53,"=32")&gt;=1,COUNTIF(D53:AI53,"=33")&gt;=1,COUNTIF(D53:AI53,"=34")&gt;=1,COUNTIF(D53:AI53,"=35")=1,COUNTIF(D53:AI53,"=36")&gt;=1 ),COUNTIF(D53:AI53,"")=0,COUNTIF(D53:AI53," ")=0,COUNTIF(D53:AI53,"F")=1),CONCATENATE(SUM(EXTRACTNUMBER(D53),EXTRACTNUMBER(F53),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EXTRACTNUMBER(AD53),EXTRACTNUMBER(AF53),EXTRACTNUMBER(AH53)),"*"),IF(AND(COUNTIF(D53:AI53,"=34")&gt;=1,COUNTIF(D53:AI53,"=35")&gt;=1,COUNTIF(D53:AI53,"f")=2,COUNTIF(D53:AI53,"")=0,COUNTIF(D53:AI53," ")=0),CONCATENATE(SUM(EXTRACTNUMBER(D53),EXTRACTNUMBER(F53),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EXTRACTNUMBER(AD53),EXTRACTNUMBER(AF53),EXTRACTNUMBER(AH53)),"*"),IF(AND(COUNTIF(D53:AI53,"=36")&gt;=2,COUNTIF(D53:AI53,"f")=2,COUNTIF(D53:AI53,"")=0,COUNTIF(D53:AI53," ")=0),CONCATENATE(SUM(EXTRACTNUMBER(D53),EXTRACTNUMBER(F53),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EXTRACTNUMBER(AD53),EXTRACTNUMBER(AF53),EXTRACTNUMBER(AH53)),"*"),SUM(EXTRACTNUMBER(D53),EXTRACTNUMBER(F53),
EXTRACTNUMBER(H53),EXTRACTNUMBER(J53),
EXTRACTNUMBER(L53),EXTRACTNUMBER(N53),
EXTRACTNUMBER(P53),EXTRACTNUMBER(R53),
EXTRACTNUMBER(T53),EXTRACTNUMBER(V53),
EXTRACTNUMBER(X53),EXTRACTNUMBER(Z53),EXTRACTNUMBER(AB53),
EXTRACTNUMBER(AD53),EXTRACTNUMBER(AF53),EXTRACTNUMBER(AH53)))))</f>
        <v>440</v>
      </c>
      <c r="AK53" s="32" t="str">
        <f t="shared" si="16"/>
        <v>FAIL</v>
      </c>
      <c r="AL53" s="33" t="str">
        <f>SPELLNUMBER(extractnumber_tot(AJ53))</f>
        <v xml:space="preserve">Four Hundred Forty  </v>
      </c>
    </row>
    <row r="54" spans="2:38" s="30" customFormat="1" ht="15.95" customHeight="1">
      <c r="B54" s="37">
        <v>225231</v>
      </c>
      <c r="C54" s="38" t="s">
        <v>247</v>
      </c>
      <c r="D54" s="43">
        <v>70</v>
      </c>
      <c r="E54" s="61" t="str">
        <f t="shared" si="17"/>
        <v/>
      </c>
      <c r="F54" s="48">
        <v>20</v>
      </c>
      <c r="G54" s="62" t="str">
        <f t="shared" si="1"/>
        <v/>
      </c>
      <c r="H54" s="48">
        <v>41</v>
      </c>
      <c r="I54" s="62" t="str">
        <f t="shared" si="2"/>
        <v/>
      </c>
      <c r="J54" s="50">
        <v>66</v>
      </c>
      <c r="K54" s="62" t="str">
        <f t="shared" si="3"/>
        <v/>
      </c>
      <c r="L54" s="48">
        <v>21</v>
      </c>
      <c r="M54" s="62" t="str">
        <f t="shared" si="4"/>
        <v/>
      </c>
      <c r="N54" s="48">
        <v>44</v>
      </c>
      <c r="O54" s="62" t="str">
        <f t="shared" si="5"/>
        <v/>
      </c>
      <c r="P54" s="51">
        <v>67</v>
      </c>
      <c r="Q54" s="62" t="str">
        <f t="shared" si="6"/>
        <v/>
      </c>
      <c r="R54" s="48">
        <v>20</v>
      </c>
      <c r="S54" s="62" t="str">
        <f t="shared" si="7"/>
        <v/>
      </c>
      <c r="T54" s="48">
        <v>21</v>
      </c>
      <c r="U54" s="62" t="str">
        <f t="shared" si="8"/>
        <v/>
      </c>
      <c r="V54" s="51">
        <v>79</v>
      </c>
      <c r="W54" s="62" t="str">
        <f t="shared" si="9"/>
        <v/>
      </c>
      <c r="X54" s="48">
        <v>23</v>
      </c>
      <c r="Y54" s="62" t="str">
        <f t="shared" si="10"/>
        <v/>
      </c>
      <c r="Z54" s="51">
        <v>72</v>
      </c>
      <c r="AA54" s="62" t="str">
        <f t="shared" si="11"/>
        <v/>
      </c>
      <c r="AB54" s="48">
        <v>21</v>
      </c>
      <c r="AC54" s="62" t="str">
        <f t="shared" si="12"/>
        <v/>
      </c>
      <c r="AD54" s="48">
        <v>20</v>
      </c>
      <c r="AE54" s="62" t="str">
        <f t="shared" si="13"/>
        <v/>
      </c>
      <c r="AF54" s="51">
        <v>31</v>
      </c>
      <c r="AG54" s="62" t="str">
        <f t="shared" si="14"/>
        <v/>
      </c>
      <c r="AH54" s="48">
        <v>23</v>
      </c>
      <c r="AI54" s="62" t="str">
        <f t="shared" si="15"/>
        <v/>
      </c>
      <c r="AJ54" s="31">
        <f>IF(AND(OR(COUNTIF(D54:AI54,"=31")&gt;=1,COUNTIF(D54:AI54,"=32")&gt;=1,COUNTIF(D54:AI54,"=33")&gt;=1,COUNTIF(D54:AI54,"=34")&gt;=1,COUNTIF(D54:AI54,"=35")=1,COUNTIF(D54:AI54,"=36")&gt;=1 ),COUNTIF(D54:AI54,"")=0,COUNTIF(D54:AI54," ")=0,COUNTIF(D54:AI54,"F")=1),CONCATENATE(SUM(EXTRACTNUMBER(D54),EXTRACTNUMBER(F54),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EXTRACTNUMBER(AD54),EXTRACTNUMBER(AF54),EXTRACTNUMBER(AH54)),"*"),IF(AND(COUNTIF(D54:AI54,"=34")&gt;=1,COUNTIF(D54:AI54,"=35")&gt;=1,COUNTIF(D54:AI54,"f")=2,COUNTIF(D54:AI54,"")=0,COUNTIF(D54:AI54," ")=0),CONCATENATE(SUM(EXTRACTNUMBER(D54),EXTRACTNUMBER(F54),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EXTRACTNUMBER(AD54),EXTRACTNUMBER(AF54),EXTRACTNUMBER(AH54)),"*"),IF(AND(COUNTIF(D54:AI54,"=36")&gt;=2,COUNTIF(D54:AI54,"f")=2,COUNTIF(D54:AI54,"")=0,COUNTIF(D54:AI54," ")=0),CONCATENATE(SUM(EXTRACTNUMBER(D54),EXTRACTNUMBER(F54),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EXTRACTNUMBER(AD54),EXTRACTNUMBER(AF54),EXTRACTNUMBER(AH54)),"*"),SUM(EXTRACTNUMBER(D54),EXTRACTNUMBER(F54),
EXTRACTNUMBER(H54),EXTRACTNUMBER(J54),
EXTRACTNUMBER(L54),EXTRACTNUMBER(N54),
EXTRACTNUMBER(P54),EXTRACTNUMBER(R54),
EXTRACTNUMBER(T54),EXTRACTNUMBER(V54),
EXTRACTNUMBER(X54),EXTRACTNUMBER(Z54),EXTRACTNUMBER(AB54),
EXTRACTNUMBER(AD54),EXTRACTNUMBER(AF54),EXTRACTNUMBER(AH54)))))</f>
        <v>639</v>
      </c>
      <c r="AK54" s="32" t="str">
        <f t="shared" si="16"/>
        <v>PASS</v>
      </c>
      <c r="AL54" s="33" t="str">
        <f>SPELLNUMBER(extractnumber_tot(AJ54))</f>
        <v xml:space="preserve">Six Hundred Thirty Nine </v>
      </c>
    </row>
    <row r="55" spans="2:38" s="30" customFormat="1" ht="15.95" customHeight="1">
      <c r="B55" s="37">
        <v>225232</v>
      </c>
      <c r="C55" s="38" t="s">
        <v>248</v>
      </c>
      <c r="D55" s="43">
        <v>66</v>
      </c>
      <c r="E55" s="61" t="str">
        <f t="shared" si="17"/>
        <v/>
      </c>
      <c r="F55" s="48">
        <v>21</v>
      </c>
      <c r="G55" s="62" t="str">
        <f t="shared" si="1"/>
        <v/>
      </c>
      <c r="H55" s="48">
        <v>43</v>
      </c>
      <c r="I55" s="62" t="str">
        <f t="shared" si="2"/>
        <v/>
      </c>
      <c r="J55" s="50">
        <v>45</v>
      </c>
      <c r="K55" s="62" t="str">
        <f t="shared" si="3"/>
        <v/>
      </c>
      <c r="L55" s="48">
        <v>21</v>
      </c>
      <c r="M55" s="62" t="str">
        <f t="shared" si="4"/>
        <v/>
      </c>
      <c r="N55" s="48">
        <v>44</v>
      </c>
      <c r="O55" s="62" t="str">
        <f t="shared" si="5"/>
        <v/>
      </c>
      <c r="P55" s="51">
        <v>40</v>
      </c>
      <c r="Q55" s="62" t="str">
        <f t="shared" si="6"/>
        <v/>
      </c>
      <c r="R55" s="48">
        <v>21</v>
      </c>
      <c r="S55" s="62" t="str">
        <f t="shared" si="7"/>
        <v/>
      </c>
      <c r="T55" s="48">
        <v>23</v>
      </c>
      <c r="U55" s="62" t="str">
        <f t="shared" si="8"/>
        <v/>
      </c>
      <c r="V55" s="51">
        <v>63</v>
      </c>
      <c r="W55" s="62" t="str">
        <f t="shared" si="9"/>
        <v/>
      </c>
      <c r="X55" s="48">
        <v>22</v>
      </c>
      <c r="Y55" s="62" t="str">
        <f t="shared" si="10"/>
        <v/>
      </c>
      <c r="Z55" s="51">
        <v>54</v>
      </c>
      <c r="AA55" s="62" t="str">
        <f t="shared" si="11"/>
        <v/>
      </c>
      <c r="AB55" s="48">
        <v>21</v>
      </c>
      <c r="AC55" s="62" t="str">
        <f t="shared" si="12"/>
        <v/>
      </c>
      <c r="AD55" s="48">
        <v>22</v>
      </c>
      <c r="AE55" s="62" t="str">
        <f t="shared" si="13"/>
        <v/>
      </c>
      <c r="AF55" s="51">
        <v>29</v>
      </c>
      <c r="AG55" s="62" t="str">
        <f t="shared" si="14"/>
        <v/>
      </c>
      <c r="AH55" s="48">
        <v>22</v>
      </c>
      <c r="AI55" s="62" t="str">
        <f t="shared" si="15"/>
        <v/>
      </c>
      <c r="AJ55" s="31">
        <f>IF(AND(OR(COUNTIF(D55:AI55,"=31")&gt;=1,COUNTIF(D55:AI55,"=32")&gt;=1,COUNTIF(D55:AI55,"=33")&gt;=1,COUNTIF(D55:AI55,"=34")&gt;=1,COUNTIF(D55:AI55,"=35")=1,COUNTIF(D55:AI55,"=36")&gt;=1 ),COUNTIF(D55:AI55,"")=0,COUNTIF(D55:AI55," ")=0,COUNTIF(D55:AI55,"F")=1),CONCATENATE(SUM(EXTRACTNUMBER(D55),EXTRACTNUMBER(F55),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EXTRACTNUMBER(AD55),EXTRACTNUMBER(AF55),EXTRACTNUMBER(AH55)),"*"),IF(AND(COUNTIF(D55:AI55,"=34")&gt;=1,COUNTIF(D55:AI55,"=35")&gt;=1,COUNTIF(D55:AI55,"f")=2,COUNTIF(D55:AI55,"")=0,COUNTIF(D55:AI55," ")=0),CONCATENATE(SUM(EXTRACTNUMBER(D55),EXTRACTNUMBER(F55),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EXTRACTNUMBER(AD55),EXTRACTNUMBER(AF55),EXTRACTNUMBER(AH55)),"*"),IF(AND(COUNTIF(D55:AI55,"=36")&gt;=2,COUNTIF(D55:AI55,"f")=2,COUNTIF(D55:AI55,"")=0,COUNTIF(D55:AI55," ")=0),CONCATENATE(SUM(EXTRACTNUMBER(D55),EXTRACTNUMBER(F55),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EXTRACTNUMBER(AD55),EXTRACTNUMBER(AF55),EXTRACTNUMBER(AH55)),"*"),SUM(EXTRACTNUMBER(D55),EXTRACTNUMBER(F55),
EXTRACTNUMBER(H55),EXTRACTNUMBER(J55),
EXTRACTNUMBER(L55),EXTRACTNUMBER(N55),
EXTRACTNUMBER(P55),EXTRACTNUMBER(R55),
EXTRACTNUMBER(T55),EXTRACTNUMBER(V55),
EXTRACTNUMBER(X55),EXTRACTNUMBER(Z55),EXTRACTNUMBER(AB55),
EXTRACTNUMBER(AD55),EXTRACTNUMBER(AF55),EXTRACTNUMBER(AH55)))))</f>
        <v>557</v>
      </c>
      <c r="AK55" s="32" t="str">
        <f t="shared" si="16"/>
        <v>PASS</v>
      </c>
      <c r="AL55" s="33" t="str">
        <f>SPELLNUMBER(extractnumber_tot(AJ55))</f>
        <v xml:space="preserve">Five Hundred Fifty Seven </v>
      </c>
    </row>
    <row r="56" spans="2:38" s="30" customFormat="1" ht="15.95" customHeight="1">
      <c r="B56" s="37">
        <v>225233</v>
      </c>
      <c r="C56" s="38" t="s">
        <v>249</v>
      </c>
      <c r="D56" s="43">
        <v>40</v>
      </c>
      <c r="E56" s="61" t="str">
        <f t="shared" si="17"/>
        <v>E</v>
      </c>
      <c r="F56" s="48">
        <v>19</v>
      </c>
      <c r="G56" s="62" t="str">
        <f t="shared" si="1"/>
        <v>E</v>
      </c>
      <c r="H56" s="48">
        <v>41</v>
      </c>
      <c r="I56" s="62" t="str">
        <f t="shared" si="2"/>
        <v>E</v>
      </c>
      <c r="J56" s="50">
        <v>40</v>
      </c>
      <c r="K56" s="62" t="str">
        <f t="shared" si="3"/>
        <v>E</v>
      </c>
      <c r="L56" s="48">
        <v>23</v>
      </c>
      <c r="M56" s="62" t="str">
        <f t="shared" si="4"/>
        <v>E</v>
      </c>
      <c r="N56" s="48">
        <v>36</v>
      </c>
      <c r="O56" s="62" t="str">
        <f t="shared" si="5"/>
        <v>E</v>
      </c>
      <c r="P56" s="51">
        <v>33</v>
      </c>
      <c r="Q56" s="62" t="str">
        <f t="shared" si="6"/>
        <v>F</v>
      </c>
      <c r="R56" s="48">
        <v>19</v>
      </c>
      <c r="S56" s="62" t="str">
        <f t="shared" si="7"/>
        <v>E</v>
      </c>
      <c r="T56" s="48">
        <v>21</v>
      </c>
      <c r="U56" s="62" t="str">
        <f t="shared" si="8"/>
        <v>E</v>
      </c>
      <c r="V56" s="51">
        <v>51</v>
      </c>
      <c r="W56" s="62" t="str">
        <f t="shared" si="9"/>
        <v>E</v>
      </c>
      <c r="X56" s="48">
        <v>23</v>
      </c>
      <c r="Y56" s="62" t="str">
        <f t="shared" si="10"/>
        <v>E</v>
      </c>
      <c r="Z56" s="51">
        <v>16</v>
      </c>
      <c r="AA56" s="62" t="str">
        <f t="shared" si="11"/>
        <v>F</v>
      </c>
      <c r="AB56" s="48">
        <v>23</v>
      </c>
      <c r="AC56" s="62" t="str">
        <f t="shared" si="12"/>
        <v>E</v>
      </c>
      <c r="AD56" s="48">
        <v>15</v>
      </c>
      <c r="AE56" s="62" t="str">
        <f t="shared" si="13"/>
        <v>E</v>
      </c>
      <c r="AF56" s="51">
        <v>20</v>
      </c>
      <c r="AG56" s="62" t="str">
        <f t="shared" si="14"/>
        <v>E</v>
      </c>
      <c r="AH56" s="48">
        <v>20</v>
      </c>
      <c r="AI56" s="62" t="str">
        <f t="shared" si="15"/>
        <v>E</v>
      </c>
      <c r="AJ56" s="31">
        <f>IF(AND(OR(COUNTIF(D56:AI56,"=31")&gt;=1,COUNTIF(D56:AI56,"=32")&gt;=1,COUNTIF(D56:AI56,"=33")&gt;=1,COUNTIF(D56:AI56,"=34")&gt;=1,COUNTIF(D56:AI56,"=35")=1,COUNTIF(D56:AI56,"=36")&gt;=1 ),COUNTIF(D56:AI56,"")=0,COUNTIF(D56:AI56," ")=0,COUNTIF(D56:AI56,"F")=1),CONCATENATE(SUM(EXTRACTNUMBER(D56),EXTRACTNUMBER(F56),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EXTRACTNUMBER(AD56),EXTRACTNUMBER(AF56),EXTRACTNUMBER(AH56)),"*"),IF(AND(COUNTIF(D56:AI56,"=34")&gt;=1,COUNTIF(D56:AI56,"=35")&gt;=1,COUNTIF(D56:AI56,"f")=2,COUNTIF(D56:AI56,"")=0,COUNTIF(D56:AI56," ")=0),CONCATENATE(SUM(EXTRACTNUMBER(D56),EXTRACTNUMBER(F56),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EXTRACTNUMBER(AD56),EXTRACTNUMBER(AF56),EXTRACTNUMBER(AH56)),"*"),IF(AND(COUNTIF(D56:AI56,"=36")&gt;=2,COUNTIF(D56:AI56,"f")=2,COUNTIF(D56:AI56,"")=0,COUNTIF(D56:AI56," ")=0),CONCATENATE(SUM(EXTRACTNUMBER(D56),EXTRACTNUMBER(F56),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EXTRACTNUMBER(AD56),EXTRACTNUMBER(AF56),EXTRACTNUMBER(AH56)),"*"),SUM(EXTRACTNUMBER(D56),EXTRACTNUMBER(F56),
EXTRACTNUMBER(H56),EXTRACTNUMBER(J56),
EXTRACTNUMBER(L56),EXTRACTNUMBER(N56),
EXTRACTNUMBER(P56),EXTRACTNUMBER(R56),
EXTRACTNUMBER(T56),EXTRACTNUMBER(V56),
EXTRACTNUMBER(X56),EXTRACTNUMBER(Z56),EXTRACTNUMBER(AB56),
EXTRACTNUMBER(AD56),EXTRACTNUMBER(AF56),EXTRACTNUMBER(AH56)))))</f>
        <v>440</v>
      </c>
      <c r="AK56" s="32" t="str">
        <f t="shared" si="16"/>
        <v>FAIL</v>
      </c>
      <c r="AL56" s="33" t="str">
        <f>SPELLNUMBER(extractnumber_tot(AJ56))</f>
        <v xml:space="preserve">Four Hundred Forty  </v>
      </c>
    </row>
    <row r="57" spans="2:38" s="30" customFormat="1" ht="15.95" customHeight="1">
      <c r="B57" s="37">
        <v>225234</v>
      </c>
      <c r="C57" s="38" t="s">
        <v>250</v>
      </c>
      <c r="D57" s="43">
        <v>56</v>
      </c>
      <c r="E57" s="61" t="str">
        <f t="shared" si="17"/>
        <v/>
      </c>
      <c r="F57" s="48">
        <v>22</v>
      </c>
      <c r="G57" s="62" t="str">
        <f t="shared" si="1"/>
        <v/>
      </c>
      <c r="H57" s="48">
        <v>41</v>
      </c>
      <c r="I57" s="62" t="str">
        <f t="shared" si="2"/>
        <v/>
      </c>
      <c r="J57" s="50">
        <v>67</v>
      </c>
      <c r="K57" s="62" t="str">
        <f t="shared" si="3"/>
        <v/>
      </c>
      <c r="L57" s="48">
        <v>19</v>
      </c>
      <c r="M57" s="62" t="str">
        <f t="shared" si="4"/>
        <v/>
      </c>
      <c r="N57" s="48">
        <v>38</v>
      </c>
      <c r="O57" s="62" t="str">
        <f t="shared" si="5"/>
        <v/>
      </c>
      <c r="P57" s="51">
        <v>41</v>
      </c>
      <c r="Q57" s="62" t="str">
        <f t="shared" si="6"/>
        <v/>
      </c>
      <c r="R57" s="48">
        <v>22</v>
      </c>
      <c r="S57" s="62" t="str">
        <f t="shared" si="7"/>
        <v/>
      </c>
      <c r="T57" s="48">
        <v>21</v>
      </c>
      <c r="U57" s="62" t="str">
        <f t="shared" si="8"/>
        <v/>
      </c>
      <c r="V57" s="51">
        <v>72</v>
      </c>
      <c r="W57" s="62" t="str">
        <f t="shared" si="9"/>
        <v/>
      </c>
      <c r="X57" s="48">
        <v>20</v>
      </c>
      <c r="Y57" s="62" t="str">
        <f t="shared" si="10"/>
        <v/>
      </c>
      <c r="Z57" s="51">
        <v>48</v>
      </c>
      <c r="AA57" s="62" t="str">
        <f t="shared" si="11"/>
        <v/>
      </c>
      <c r="AB57" s="48">
        <v>19</v>
      </c>
      <c r="AC57" s="62" t="str">
        <f t="shared" si="12"/>
        <v/>
      </c>
      <c r="AD57" s="48">
        <v>18</v>
      </c>
      <c r="AE57" s="62" t="str">
        <f t="shared" si="13"/>
        <v/>
      </c>
      <c r="AF57" s="51">
        <v>34</v>
      </c>
      <c r="AG57" s="62" t="str">
        <f t="shared" si="14"/>
        <v/>
      </c>
      <c r="AH57" s="48">
        <v>20</v>
      </c>
      <c r="AI57" s="62" t="str">
        <f t="shared" si="15"/>
        <v/>
      </c>
      <c r="AJ57" s="31">
        <f>IF(AND(OR(COUNTIF(D57:AI57,"=31")&gt;=1,COUNTIF(D57:AI57,"=32")&gt;=1,COUNTIF(D57:AI57,"=33")&gt;=1,COUNTIF(D57:AI57,"=34")&gt;=1,COUNTIF(D57:AI57,"=35")=1,COUNTIF(D57:AI57,"=36")&gt;=1 ),COUNTIF(D57:AI57,"")=0,COUNTIF(D57:AI57," ")=0,COUNTIF(D57:AI57,"F")=1),CONCATENATE(SUM(EXTRACTNUMBER(D57),EXTRACTNUMBER(F57),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EXTRACTNUMBER(AD57),EXTRACTNUMBER(AF57),EXTRACTNUMBER(AH57)),"*"),IF(AND(COUNTIF(D57:AI57,"=34")&gt;=1,COUNTIF(D57:AI57,"=35")&gt;=1,COUNTIF(D57:AI57,"f")=2,COUNTIF(D57:AI57,"")=0,COUNTIF(D57:AI57," ")=0),CONCATENATE(SUM(EXTRACTNUMBER(D57),EXTRACTNUMBER(F57),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EXTRACTNUMBER(AD57),EXTRACTNUMBER(AF57),EXTRACTNUMBER(AH57)),"*"),IF(AND(COUNTIF(D57:AI57,"=36")&gt;=2,COUNTIF(D57:AI57,"f")=2,COUNTIF(D57:AI57,"")=0,COUNTIF(D57:AI57," ")=0),CONCATENATE(SUM(EXTRACTNUMBER(D57),EXTRACTNUMBER(F57),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EXTRACTNUMBER(AD57),EXTRACTNUMBER(AF57),EXTRACTNUMBER(AH57)),"*"),SUM(EXTRACTNUMBER(D57),EXTRACTNUMBER(F57),
EXTRACTNUMBER(H57),EXTRACTNUMBER(J57),
EXTRACTNUMBER(L57),EXTRACTNUMBER(N57),
EXTRACTNUMBER(P57),EXTRACTNUMBER(R57),
EXTRACTNUMBER(T57),EXTRACTNUMBER(V57),
EXTRACTNUMBER(X57),EXTRACTNUMBER(Z57),EXTRACTNUMBER(AB57),
EXTRACTNUMBER(AD57),EXTRACTNUMBER(AF57),EXTRACTNUMBER(AH57)))))</f>
        <v>558</v>
      </c>
      <c r="AK57" s="32" t="str">
        <f t="shared" si="16"/>
        <v>PASS</v>
      </c>
      <c r="AL57" s="33" t="str">
        <f>SPELLNUMBER(extractnumber_tot(AJ57))</f>
        <v xml:space="preserve">Five Hundred Fifty Eight </v>
      </c>
    </row>
    <row r="58" spans="2:38" s="30" customFormat="1" ht="15.95" customHeight="1">
      <c r="B58" s="37">
        <v>225235</v>
      </c>
      <c r="C58" s="38" t="s">
        <v>251</v>
      </c>
      <c r="D58" s="43">
        <v>78</v>
      </c>
      <c r="E58" s="61" t="str">
        <f t="shared" si="17"/>
        <v/>
      </c>
      <c r="F58" s="48">
        <v>23</v>
      </c>
      <c r="G58" s="62" t="str">
        <f t="shared" si="1"/>
        <v/>
      </c>
      <c r="H58" s="48">
        <v>41</v>
      </c>
      <c r="I58" s="62" t="str">
        <f t="shared" si="2"/>
        <v/>
      </c>
      <c r="J58" s="50">
        <v>70</v>
      </c>
      <c r="K58" s="62" t="str">
        <f t="shared" si="3"/>
        <v/>
      </c>
      <c r="L58" s="48">
        <v>23</v>
      </c>
      <c r="M58" s="62" t="str">
        <f t="shared" si="4"/>
        <v/>
      </c>
      <c r="N58" s="48">
        <v>44</v>
      </c>
      <c r="O58" s="62" t="str">
        <f t="shared" si="5"/>
        <v/>
      </c>
      <c r="P58" s="51">
        <v>60</v>
      </c>
      <c r="Q58" s="62" t="str">
        <f t="shared" si="6"/>
        <v/>
      </c>
      <c r="R58" s="48">
        <v>23</v>
      </c>
      <c r="S58" s="62" t="str">
        <f t="shared" si="7"/>
        <v/>
      </c>
      <c r="T58" s="48">
        <v>21</v>
      </c>
      <c r="U58" s="62" t="str">
        <f t="shared" si="8"/>
        <v/>
      </c>
      <c r="V58" s="51">
        <v>66</v>
      </c>
      <c r="W58" s="62" t="str">
        <f t="shared" si="9"/>
        <v/>
      </c>
      <c r="X58" s="48">
        <v>23</v>
      </c>
      <c r="Y58" s="62" t="str">
        <f t="shared" si="10"/>
        <v/>
      </c>
      <c r="Z58" s="51">
        <v>66</v>
      </c>
      <c r="AA58" s="62" t="str">
        <f t="shared" si="11"/>
        <v/>
      </c>
      <c r="AB58" s="48">
        <v>23</v>
      </c>
      <c r="AC58" s="62" t="str">
        <f t="shared" si="12"/>
        <v/>
      </c>
      <c r="AD58" s="48">
        <v>17</v>
      </c>
      <c r="AE58" s="62" t="str">
        <f t="shared" si="13"/>
        <v/>
      </c>
      <c r="AF58" s="51">
        <v>29</v>
      </c>
      <c r="AG58" s="62" t="str">
        <f t="shared" si="14"/>
        <v/>
      </c>
      <c r="AH58" s="48">
        <v>23</v>
      </c>
      <c r="AI58" s="62" t="str">
        <f t="shared" si="15"/>
        <v/>
      </c>
      <c r="AJ58" s="31">
        <f>IF(AND(OR(COUNTIF(D58:AI58,"=31")&gt;=1,COUNTIF(D58:AI58,"=32")&gt;=1,COUNTIF(D58:AI58,"=33")&gt;=1,COUNTIF(D58:AI58,"=34")&gt;=1,COUNTIF(D58:AI58,"=35")=1,COUNTIF(D58:AI58,"=36")&gt;=1 ),COUNTIF(D58:AI58,"")=0,COUNTIF(D58:AI58," ")=0,COUNTIF(D58:AI58,"F")=1),CONCATENATE(SUM(EXTRACTNUMBER(D58),EXTRACTNUMBER(F58),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EXTRACTNUMBER(AD58),EXTRACTNUMBER(AF58),EXTRACTNUMBER(AH58)),"*"),IF(AND(COUNTIF(D58:AI58,"=34")&gt;=1,COUNTIF(D58:AI58,"=35")&gt;=1,COUNTIF(D58:AI58,"f")=2,COUNTIF(D58:AI58,"")=0,COUNTIF(D58:AI58," ")=0),CONCATENATE(SUM(EXTRACTNUMBER(D58),EXTRACTNUMBER(F58),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EXTRACTNUMBER(AD58),EXTRACTNUMBER(AF58),EXTRACTNUMBER(AH58)),"*"),IF(AND(COUNTIF(D58:AI58,"=36")&gt;=2,COUNTIF(D58:AI58,"f")=2,COUNTIF(D58:AI58,"")=0,COUNTIF(D58:AI58," ")=0),CONCATENATE(SUM(EXTRACTNUMBER(D58),EXTRACTNUMBER(F58),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EXTRACTNUMBER(AD58),EXTRACTNUMBER(AF58),EXTRACTNUMBER(AH58)),"*"),SUM(EXTRACTNUMBER(D58),EXTRACTNUMBER(F58),
EXTRACTNUMBER(H58),EXTRACTNUMBER(J58),
EXTRACTNUMBER(L58),EXTRACTNUMBER(N58),
EXTRACTNUMBER(P58),EXTRACTNUMBER(R58),
EXTRACTNUMBER(T58),EXTRACTNUMBER(V58),
EXTRACTNUMBER(X58),EXTRACTNUMBER(Z58),EXTRACTNUMBER(AB58),
EXTRACTNUMBER(AD58),EXTRACTNUMBER(AF58),EXTRACTNUMBER(AH58)))))</f>
        <v>630</v>
      </c>
      <c r="AK58" s="32" t="str">
        <f t="shared" si="16"/>
        <v>PASS</v>
      </c>
      <c r="AL58" s="33" t="str">
        <f>SPELLNUMBER(extractnumber_tot(AJ58))</f>
        <v xml:space="preserve">Six Hundred Thirty  </v>
      </c>
    </row>
    <row r="59" spans="2:38" s="30" customFormat="1" ht="15.95" customHeight="1">
      <c r="B59" s="37">
        <v>225236</v>
      </c>
      <c r="C59" s="38" t="s">
        <v>252</v>
      </c>
      <c r="D59" s="43">
        <v>50</v>
      </c>
      <c r="E59" s="61" t="str">
        <f t="shared" si="17"/>
        <v/>
      </c>
      <c r="F59" s="48">
        <v>20</v>
      </c>
      <c r="G59" s="62" t="str">
        <f t="shared" si="1"/>
        <v/>
      </c>
      <c r="H59" s="48">
        <v>43</v>
      </c>
      <c r="I59" s="62" t="str">
        <f t="shared" si="2"/>
        <v/>
      </c>
      <c r="J59" s="50">
        <v>53</v>
      </c>
      <c r="K59" s="62" t="str">
        <f t="shared" si="3"/>
        <v/>
      </c>
      <c r="L59" s="48">
        <v>22</v>
      </c>
      <c r="M59" s="62" t="str">
        <f t="shared" si="4"/>
        <v/>
      </c>
      <c r="N59" s="48">
        <v>46</v>
      </c>
      <c r="O59" s="62" t="str">
        <f t="shared" si="5"/>
        <v/>
      </c>
      <c r="P59" s="51">
        <v>49</v>
      </c>
      <c r="Q59" s="62" t="str">
        <f t="shared" si="6"/>
        <v/>
      </c>
      <c r="R59" s="48">
        <v>20</v>
      </c>
      <c r="S59" s="62" t="str">
        <f t="shared" si="7"/>
        <v/>
      </c>
      <c r="T59" s="48">
        <v>23</v>
      </c>
      <c r="U59" s="62" t="str">
        <f t="shared" si="8"/>
        <v/>
      </c>
      <c r="V59" s="51">
        <v>57</v>
      </c>
      <c r="W59" s="62" t="str">
        <f t="shared" si="9"/>
        <v/>
      </c>
      <c r="X59" s="48">
        <v>19</v>
      </c>
      <c r="Y59" s="62" t="str">
        <f t="shared" si="10"/>
        <v/>
      </c>
      <c r="Z59" s="51">
        <v>52</v>
      </c>
      <c r="AA59" s="62" t="str">
        <f t="shared" si="11"/>
        <v/>
      </c>
      <c r="AB59" s="48">
        <v>22</v>
      </c>
      <c r="AC59" s="62" t="str">
        <f t="shared" si="12"/>
        <v/>
      </c>
      <c r="AD59" s="48">
        <v>16</v>
      </c>
      <c r="AE59" s="62" t="str">
        <f t="shared" si="13"/>
        <v/>
      </c>
      <c r="AF59" s="51">
        <v>25</v>
      </c>
      <c r="AG59" s="62" t="str">
        <f t="shared" si="14"/>
        <v/>
      </c>
      <c r="AH59" s="48">
        <v>20</v>
      </c>
      <c r="AI59" s="62" t="str">
        <f t="shared" si="15"/>
        <v/>
      </c>
      <c r="AJ59" s="31">
        <f>IF(AND(OR(COUNTIF(D59:AI59,"=31")&gt;=1,COUNTIF(D59:AI59,"=32")&gt;=1,COUNTIF(D59:AI59,"=33")&gt;=1,COUNTIF(D59:AI59,"=34")&gt;=1,COUNTIF(D59:AI59,"=35")=1,COUNTIF(D59:AI59,"=36")&gt;=1 ),COUNTIF(D59:AI59,"")=0,COUNTIF(D59:AI59," ")=0,COUNTIF(D59:AI59,"F")=1),CONCATENATE(SUM(EXTRACTNUMBER(D59),EXTRACTNUMBER(F59),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EXTRACTNUMBER(AD59),EXTRACTNUMBER(AF59),EXTRACTNUMBER(AH59)),"*"),IF(AND(COUNTIF(D59:AI59,"=34")&gt;=1,COUNTIF(D59:AI59,"=35")&gt;=1,COUNTIF(D59:AI59,"f")=2,COUNTIF(D59:AI59,"")=0,COUNTIF(D59:AI59," ")=0),CONCATENATE(SUM(EXTRACTNUMBER(D59),EXTRACTNUMBER(F59),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EXTRACTNUMBER(AD59),EXTRACTNUMBER(AF59),EXTRACTNUMBER(AH59)),"*"),IF(AND(COUNTIF(D59:AI59,"=36")&gt;=2,COUNTIF(D59:AI59,"f")=2,COUNTIF(D59:AI59,"")=0,COUNTIF(D59:AI59," ")=0),CONCATENATE(SUM(EXTRACTNUMBER(D59),EXTRACTNUMBER(F59),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EXTRACTNUMBER(AD59),EXTRACTNUMBER(AF59),EXTRACTNUMBER(AH59)),"*"),SUM(EXTRACTNUMBER(D59),EXTRACTNUMBER(F59),
EXTRACTNUMBER(H59),EXTRACTNUMBER(J59),
EXTRACTNUMBER(L59),EXTRACTNUMBER(N59),
EXTRACTNUMBER(P59),EXTRACTNUMBER(R59),
EXTRACTNUMBER(T59),EXTRACTNUMBER(V59),
EXTRACTNUMBER(X59),EXTRACTNUMBER(Z59),EXTRACTNUMBER(AB59),
EXTRACTNUMBER(AD59),EXTRACTNUMBER(AF59),EXTRACTNUMBER(AH59)))))</f>
        <v>537</v>
      </c>
      <c r="AK59" s="32" t="str">
        <f t="shared" si="16"/>
        <v>PASS</v>
      </c>
      <c r="AL59" s="33" t="str">
        <f>SPELLNUMBER(extractnumber_tot(AJ59))</f>
        <v xml:space="preserve">Five Hundred Thirty Seven </v>
      </c>
    </row>
    <row r="60" spans="2:38" s="30" customFormat="1" ht="15.95" customHeight="1">
      <c r="B60" s="37">
        <v>225237</v>
      </c>
      <c r="C60" s="38" t="s">
        <v>253</v>
      </c>
      <c r="D60" s="43">
        <v>63</v>
      </c>
      <c r="E60" s="61" t="str">
        <f t="shared" si="17"/>
        <v/>
      </c>
      <c r="F60" s="48">
        <v>22</v>
      </c>
      <c r="G60" s="62" t="str">
        <f t="shared" si="1"/>
        <v/>
      </c>
      <c r="H60" s="48">
        <v>42</v>
      </c>
      <c r="I60" s="62" t="str">
        <f t="shared" si="2"/>
        <v/>
      </c>
      <c r="J60" s="50">
        <v>42</v>
      </c>
      <c r="K60" s="62" t="str">
        <f t="shared" si="3"/>
        <v/>
      </c>
      <c r="L60" s="48">
        <v>20</v>
      </c>
      <c r="M60" s="62" t="str">
        <f t="shared" si="4"/>
        <v/>
      </c>
      <c r="N60" s="48">
        <v>42</v>
      </c>
      <c r="O60" s="62" t="str">
        <f t="shared" si="5"/>
        <v/>
      </c>
      <c r="P60" s="51">
        <v>40</v>
      </c>
      <c r="Q60" s="62" t="str">
        <f t="shared" si="6"/>
        <v/>
      </c>
      <c r="R60" s="48">
        <v>22</v>
      </c>
      <c r="S60" s="62" t="str">
        <f t="shared" si="7"/>
        <v/>
      </c>
      <c r="T60" s="48">
        <v>22</v>
      </c>
      <c r="U60" s="62" t="str">
        <f t="shared" si="8"/>
        <v/>
      </c>
      <c r="V60" s="51">
        <v>47</v>
      </c>
      <c r="W60" s="62" t="str">
        <f t="shared" si="9"/>
        <v/>
      </c>
      <c r="X60" s="48">
        <v>16</v>
      </c>
      <c r="Y60" s="62" t="str">
        <f t="shared" si="10"/>
        <v/>
      </c>
      <c r="Z60" s="51">
        <v>50</v>
      </c>
      <c r="AA60" s="62" t="str">
        <f t="shared" si="11"/>
        <v/>
      </c>
      <c r="AB60" s="48">
        <v>20</v>
      </c>
      <c r="AC60" s="62" t="str">
        <f t="shared" si="12"/>
        <v/>
      </c>
      <c r="AD60" s="48">
        <v>19</v>
      </c>
      <c r="AE60" s="62" t="str">
        <f t="shared" si="13"/>
        <v/>
      </c>
      <c r="AF60" s="51">
        <v>32</v>
      </c>
      <c r="AG60" s="62" t="str">
        <f t="shared" si="14"/>
        <v/>
      </c>
      <c r="AH60" s="48">
        <v>16</v>
      </c>
      <c r="AI60" s="62" t="str">
        <f t="shared" si="15"/>
        <v/>
      </c>
      <c r="AJ60" s="31">
        <f>IF(AND(OR(COUNTIF(D60:AI60,"=31")&gt;=1,COUNTIF(D60:AI60,"=32")&gt;=1,COUNTIF(D60:AI60,"=33")&gt;=1,COUNTIF(D60:AI60,"=34")&gt;=1,COUNTIF(D60:AI60,"=35")=1,COUNTIF(D60:AI60,"=36")&gt;=1 ),COUNTIF(D60:AI60,"")=0,COUNTIF(D60:AI60," ")=0,COUNTIF(D60:AI60,"F")=1),CONCATENATE(SUM(EXTRACTNUMBER(D60),EXTRACTNUMBER(F60),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EXTRACTNUMBER(AD60),EXTRACTNUMBER(AF60),EXTRACTNUMBER(AH60)),"*"),IF(AND(COUNTIF(D60:AI60,"=34")&gt;=1,COUNTIF(D60:AI60,"=35")&gt;=1,COUNTIF(D60:AI60,"f")=2,COUNTIF(D60:AI60,"")=0,COUNTIF(D60:AI60," ")=0),CONCATENATE(SUM(EXTRACTNUMBER(D60),EXTRACTNUMBER(F60),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EXTRACTNUMBER(AD60),EXTRACTNUMBER(AF60),EXTRACTNUMBER(AH60)),"*"),IF(AND(COUNTIF(D60:AI60,"=36")&gt;=2,COUNTIF(D60:AI60,"f")=2,COUNTIF(D60:AI60,"")=0,COUNTIF(D60:AI60," ")=0),CONCATENATE(SUM(EXTRACTNUMBER(D60),EXTRACTNUMBER(F60),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EXTRACTNUMBER(AD60),EXTRACTNUMBER(AF60),EXTRACTNUMBER(AH60)),"*"),SUM(EXTRACTNUMBER(D60),EXTRACTNUMBER(F60),
EXTRACTNUMBER(H60),EXTRACTNUMBER(J60),
EXTRACTNUMBER(L60),EXTRACTNUMBER(N60),
EXTRACTNUMBER(P60),EXTRACTNUMBER(R60),
EXTRACTNUMBER(T60),EXTRACTNUMBER(V60),
EXTRACTNUMBER(X60),EXTRACTNUMBER(Z60),EXTRACTNUMBER(AB60),
EXTRACTNUMBER(AD60),EXTRACTNUMBER(AF60),EXTRACTNUMBER(AH60)))))</f>
        <v>515</v>
      </c>
      <c r="AK60" s="32" t="str">
        <f t="shared" si="16"/>
        <v>PASS</v>
      </c>
      <c r="AL60" s="33" t="str">
        <f>SPELLNUMBER(extractnumber_tot(AJ60))</f>
        <v xml:space="preserve">Five Hundred Fifteen </v>
      </c>
    </row>
    <row r="61" spans="2:38" s="30" customFormat="1" ht="15.95" customHeight="1">
      <c r="B61" s="37">
        <v>225238</v>
      </c>
      <c r="C61" s="38" t="s">
        <v>254</v>
      </c>
      <c r="D61" s="43">
        <v>64</v>
      </c>
      <c r="E61" s="61" t="str">
        <f t="shared" si="17"/>
        <v/>
      </c>
      <c r="F61" s="48">
        <v>20</v>
      </c>
      <c r="G61" s="62" t="str">
        <f t="shared" si="1"/>
        <v/>
      </c>
      <c r="H61" s="48">
        <v>40</v>
      </c>
      <c r="I61" s="62" t="str">
        <f t="shared" si="2"/>
        <v/>
      </c>
      <c r="J61" s="50">
        <v>56</v>
      </c>
      <c r="K61" s="62" t="str">
        <f t="shared" si="3"/>
        <v/>
      </c>
      <c r="L61" s="48">
        <v>21</v>
      </c>
      <c r="M61" s="62" t="str">
        <f t="shared" si="4"/>
        <v/>
      </c>
      <c r="N61" s="48">
        <v>42</v>
      </c>
      <c r="O61" s="62" t="str">
        <f t="shared" si="5"/>
        <v/>
      </c>
      <c r="P61" s="51">
        <v>41</v>
      </c>
      <c r="Q61" s="62" t="str">
        <f t="shared" si="6"/>
        <v/>
      </c>
      <c r="R61" s="48">
        <v>20</v>
      </c>
      <c r="S61" s="62" t="str">
        <f t="shared" si="7"/>
        <v/>
      </c>
      <c r="T61" s="48">
        <v>20</v>
      </c>
      <c r="U61" s="62" t="str">
        <f t="shared" si="8"/>
        <v/>
      </c>
      <c r="V61" s="51">
        <v>65</v>
      </c>
      <c r="W61" s="62" t="str">
        <f t="shared" si="9"/>
        <v/>
      </c>
      <c r="X61" s="48">
        <v>16</v>
      </c>
      <c r="Y61" s="62" t="str">
        <f t="shared" si="10"/>
        <v/>
      </c>
      <c r="Z61" s="51">
        <v>46</v>
      </c>
      <c r="AA61" s="62" t="str">
        <f t="shared" si="11"/>
        <v/>
      </c>
      <c r="AB61" s="48">
        <v>21</v>
      </c>
      <c r="AC61" s="62" t="str">
        <f t="shared" si="12"/>
        <v/>
      </c>
      <c r="AD61" s="48">
        <v>16</v>
      </c>
      <c r="AE61" s="62" t="str">
        <f t="shared" si="13"/>
        <v/>
      </c>
      <c r="AF61" s="51">
        <v>27</v>
      </c>
      <c r="AG61" s="62" t="str">
        <f t="shared" si="14"/>
        <v/>
      </c>
      <c r="AH61" s="48">
        <v>18</v>
      </c>
      <c r="AI61" s="62" t="str">
        <f t="shared" si="15"/>
        <v/>
      </c>
      <c r="AJ61" s="31">
        <f>IF(AND(OR(COUNTIF(D61:AI61,"=31")&gt;=1,COUNTIF(D61:AI61,"=32")&gt;=1,COUNTIF(D61:AI61,"=33")&gt;=1,COUNTIF(D61:AI61,"=34")&gt;=1,COUNTIF(D61:AI61,"=35")=1,COUNTIF(D61:AI61,"=36")&gt;=1 ),COUNTIF(D61:AI61,"")=0,COUNTIF(D61:AI61," ")=0,COUNTIF(D61:AI61,"F")=1),CONCATENATE(SUM(EXTRACTNUMBER(D61),EXTRACTNUMBER(F61),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EXTRACTNUMBER(AD61),EXTRACTNUMBER(AF61),EXTRACTNUMBER(AH61)),"*"),IF(AND(COUNTIF(D61:AI61,"=34")&gt;=1,COUNTIF(D61:AI61,"=35")&gt;=1,COUNTIF(D61:AI61,"f")=2,COUNTIF(D61:AI61,"")=0,COUNTIF(D61:AI61," ")=0),CONCATENATE(SUM(EXTRACTNUMBER(D61),EXTRACTNUMBER(F61),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EXTRACTNUMBER(AD61),EXTRACTNUMBER(AF61),EXTRACTNUMBER(AH61)),"*"),IF(AND(COUNTIF(D61:AI61,"=36")&gt;=2,COUNTIF(D61:AI61,"f")=2,COUNTIF(D61:AI61,"")=0,COUNTIF(D61:AI61," ")=0),CONCATENATE(SUM(EXTRACTNUMBER(D61),EXTRACTNUMBER(F61),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EXTRACTNUMBER(AD61),EXTRACTNUMBER(AF61),EXTRACTNUMBER(AH61)),"*"),SUM(EXTRACTNUMBER(D61),EXTRACTNUMBER(F61),
EXTRACTNUMBER(H61),EXTRACTNUMBER(J61),
EXTRACTNUMBER(L61),EXTRACTNUMBER(N61),
EXTRACTNUMBER(P61),EXTRACTNUMBER(R61),
EXTRACTNUMBER(T61),EXTRACTNUMBER(V61),
EXTRACTNUMBER(X61),EXTRACTNUMBER(Z61),EXTRACTNUMBER(AB61),
EXTRACTNUMBER(AD61),EXTRACTNUMBER(AF61),EXTRACTNUMBER(AH61)))))</f>
        <v>533</v>
      </c>
      <c r="AK61" s="32" t="str">
        <f t="shared" si="16"/>
        <v>PASS</v>
      </c>
      <c r="AL61" s="33" t="str">
        <f>SPELLNUMBER(extractnumber_tot(AJ61))</f>
        <v xml:space="preserve">Five Hundred Thirty Three </v>
      </c>
    </row>
    <row r="62" spans="2:38" s="30" customFormat="1" ht="15.95" customHeight="1">
      <c r="B62" s="37">
        <v>225239</v>
      </c>
      <c r="C62" s="38" t="s">
        <v>255</v>
      </c>
      <c r="D62" s="43">
        <v>65</v>
      </c>
      <c r="E62" s="61" t="str">
        <f t="shared" si="17"/>
        <v/>
      </c>
      <c r="F62" s="48">
        <v>21</v>
      </c>
      <c r="G62" s="62" t="str">
        <f t="shared" si="1"/>
        <v/>
      </c>
      <c r="H62" s="48">
        <v>43</v>
      </c>
      <c r="I62" s="62" t="str">
        <f t="shared" si="2"/>
        <v/>
      </c>
      <c r="J62" s="50">
        <v>60</v>
      </c>
      <c r="K62" s="62" t="str">
        <f t="shared" si="3"/>
        <v/>
      </c>
      <c r="L62" s="48">
        <v>24</v>
      </c>
      <c r="M62" s="62" t="str">
        <f t="shared" si="4"/>
        <v/>
      </c>
      <c r="N62" s="48">
        <v>46</v>
      </c>
      <c r="O62" s="62" t="str">
        <f t="shared" si="5"/>
        <v/>
      </c>
      <c r="P62" s="51">
        <v>41</v>
      </c>
      <c r="Q62" s="62" t="str">
        <f t="shared" si="6"/>
        <v/>
      </c>
      <c r="R62" s="48">
        <v>21</v>
      </c>
      <c r="S62" s="62" t="str">
        <f t="shared" si="7"/>
        <v/>
      </c>
      <c r="T62" s="48">
        <v>23</v>
      </c>
      <c r="U62" s="62" t="str">
        <f t="shared" si="8"/>
        <v/>
      </c>
      <c r="V62" s="51">
        <v>65</v>
      </c>
      <c r="W62" s="62" t="str">
        <f t="shared" si="9"/>
        <v/>
      </c>
      <c r="X62" s="48">
        <v>24</v>
      </c>
      <c r="Y62" s="62" t="str">
        <f t="shared" si="10"/>
        <v/>
      </c>
      <c r="Z62" s="51">
        <v>63</v>
      </c>
      <c r="AA62" s="62" t="str">
        <f t="shared" si="11"/>
        <v/>
      </c>
      <c r="AB62" s="48">
        <v>23</v>
      </c>
      <c r="AC62" s="62" t="str">
        <f t="shared" si="12"/>
        <v/>
      </c>
      <c r="AD62" s="48">
        <v>23</v>
      </c>
      <c r="AE62" s="62" t="str">
        <f t="shared" si="13"/>
        <v/>
      </c>
      <c r="AF62" s="51">
        <v>31</v>
      </c>
      <c r="AG62" s="62" t="str">
        <f t="shared" si="14"/>
        <v/>
      </c>
      <c r="AH62" s="48">
        <v>23</v>
      </c>
      <c r="AI62" s="62" t="str">
        <f t="shared" si="15"/>
        <v/>
      </c>
      <c r="AJ62" s="31">
        <f>IF(AND(OR(COUNTIF(D62:AI62,"=31")&gt;=1,COUNTIF(D62:AI62,"=32")&gt;=1,COUNTIF(D62:AI62,"=33")&gt;=1,COUNTIF(D62:AI62,"=34")&gt;=1,COUNTIF(D62:AI62,"=35")=1,COUNTIF(D62:AI62,"=36")&gt;=1 ),COUNTIF(D62:AI62,"")=0,COUNTIF(D62:AI62," ")=0,COUNTIF(D62:AI62,"F")=1),CONCATENATE(SUM(EXTRACTNUMBER(D62),EXTRACTNUMBER(F62),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EXTRACTNUMBER(AD62),EXTRACTNUMBER(AF62),EXTRACTNUMBER(AH62)),"*"),IF(AND(COUNTIF(D62:AI62,"=34")&gt;=1,COUNTIF(D62:AI62,"=35")&gt;=1,COUNTIF(D62:AI62,"f")=2,COUNTIF(D62:AI62,"")=0,COUNTIF(D62:AI62," ")=0),CONCATENATE(SUM(EXTRACTNUMBER(D62),EXTRACTNUMBER(F62),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EXTRACTNUMBER(AD62),EXTRACTNUMBER(AF62),EXTRACTNUMBER(AH62)),"*"),IF(AND(COUNTIF(D62:AI62,"=36")&gt;=2,COUNTIF(D62:AI62,"f")=2,COUNTIF(D62:AI62,"")=0,COUNTIF(D62:AI62," ")=0),CONCATENATE(SUM(EXTRACTNUMBER(D62),EXTRACTNUMBER(F62),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EXTRACTNUMBER(AD62),EXTRACTNUMBER(AF62),EXTRACTNUMBER(AH62)),"*"),SUM(EXTRACTNUMBER(D62),EXTRACTNUMBER(F62),
EXTRACTNUMBER(H62),EXTRACTNUMBER(J62),
EXTRACTNUMBER(L62),EXTRACTNUMBER(N62),
EXTRACTNUMBER(P62),EXTRACTNUMBER(R62),
EXTRACTNUMBER(T62),EXTRACTNUMBER(V62),
EXTRACTNUMBER(X62),EXTRACTNUMBER(Z62),EXTRACTNUMBER(AB62),
EXTRACTNUMBER(AD62),EXTRACTNUMBER(AF62),EXTRACTNUMBER(AH62)))))</f>
        <v>596</v>
      </c>
      <c r="AK62" s="32" t="str">
        <f t="shared" si="16"/>
        <v>PASS</v>
      </c>
      <c r="AL62" s="33" t="str">
        <f>SPELLNUMBER(extractnumber_tot(AJ62))</f>
        <v xml:space="preserve">Five Hundred NinetySix </v>
      </c>
    </row>
    <row r="63" spans="2:38" s="30" customFormat="1" ht="15.95" customHeight="1">
      <c r="B63" s="37">
        <v>225240</v>
      </c>
      <c r="C63" s="38" t="s">
        <v>256</v>
      </c>
      <c r="D63" s="43">
        <v>63</v>
      </c>
      <c r="E63" s="61" t="str">
        <f t="shared" si="17"/>
        <v/>
      </c>
      <c r="F63" s="48">
        <v>22</v>
      </c>
      <c r="G63" s="62" t="str">
        <f t="shared" si="1"/>
        <v/>
      </c>
      <c r="H63" s="48">
        <v>43</v>
      </c>
      <c r="I63" s="62" t="str">
        <f t="shared" si="2"/>
        <v/>
      </c>
      <c r="J63" s="50">
        <v>50</v>
      </c>
      <c r="K63" s="62" t="str">
        <f t="shared" si="3"/>
        <v/>
      </c>
      <c r="L63" s="48">
        <v>19</v>
      </c>
      <c r="M63" s="62" t="str">
        <f t="shared" si="4"/>
        <v/>
      </c>
      <c r="N63" s="48">
        <v>42</v>
      </c>
      <c r="O63" s="62" t="str">
        <f t="shared" si="5"/>
        <v/>
      </c>
      <c r="P63" s="51">
        <v>40</v>
      </c>
      <c r="Q63" s="62" t="str">
        <f t="shared" si="6"/>
        <v/>
      </c>
      <c r="R63" s="48">
        <v>22</v>
      </c>
      <c r="S63" s="62" t="str">
        <f t="shared" si="7"/>
        <v/>
      </c>
      <c r="T63" s="48">
        <v>23</v>
      </c>
      <c r="U63" s="62" t="str">
        <f t="shared" si="8"/>
        <v/>
      </c>
      <c r="V63" s="51">
        <v>46</v>
      </c>
      <c r="W63" s="62" t="str">
        <f t="shared" si="9"/>
        <v/>
      </c>
      <c r="X63" s="48">
        <v>22</v>
      </c>
      <c r="Y63" s="62" t="str">
        <f t="shared" si="10"/>
        <v/>
      </c>
      <c r="Z63" s="51">
        <v>64</v>
      </c>
      <c r="AA63" s="62" t="str">
        <f t="shared" si="11"/>
        <v/>
      </c>
      <c r="AB63" s="48">
        <v>19</v>
      </c>
      <c r="AC63" s="62" t="str">
        <f t="shared" si="12"/>
        <v/>
      </c>
      <c r="AD63" s="48">
        <v>20</v>
      </c>
      <c r="AE63" s="62" t="str">
        <f t="shared" si="13"/>
        <v/>
      </c>
      <c r="AF63" s="51">
        <v>34</v>
      </c>
      <c r="AG63" s="62" t="str">
        <f t="shared" si="14"/>
        <v/>
      </c>
      <c r="AH63" s="48">
        <v>22</v>
      </c>
      <c r="AI63" s="62" t="str">
        <f t="shared" si="15"/>
        <v/>
      </c>
      <c r="AJ63" s="31">
        <f>IF(AND(OR(COUNTIF(D63:AI63,"=31")&gt;=1,COUNTIF(D63:AI63,"=32")&gt;=1,COUNTIF(D63:AI63,"=33")&gt;=1,COUNTIF(D63:AI63,"=34")&gt;=1,COUNTIF(D63:AI63,"=35")=1,COUNTIF(D63:AI63,"=36")&gt;=1 ),COUNTIF(D63:AI63,"")=0,COUNTIF(D63:AI63," ")=0,COUNTIF(D63:AI63,"F")=1),CONCATENATE(SUM(EXTRACTNUMBER(D63),EXTRACTNUMBER(F63),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EXTRACTNUMBER(AD63),EXTRACTNUMBER(AF63),EXTRACTNUMBER(AH63)),"*"),IF(AND(COUNTIF(D63:AI63,"=34")&gt;=1,COUNTIF(D63:AI63,"=35")&gt;=1,COUNTIF(D63:AI63,"f")=2,COUNTIF(D63:AI63,"")=0,COUNTIF(D63:AI63," ")=0),CONCATENATE(SUM(EXTRACTNUMBER(D63),EXTRACTNUMBER(F63),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EXTRACTNUMBER(AD63),EXTRACTNUMBER(AF63),EXTRACTNUMBER(AH63)),"*"),IF(AND(COUNTIF(D63:AI63,"=36")&gt;=2,COUNTIF(D63:AI63,"f")=2,COUNTIF(D63:AI63,"")=0,COUNTIF(D63:AI63," ")=0),CONCATENATE(SUM(EXTRACTNUMBER(D63),EXTRACTNUMBER(F63),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EXTRACTNUMBER(AD63),EXTRACTNUMBER(AF63),EXTRACTNUMBER(AH63)),"*"),SUM(EXTRACTNUMBER(D63),EXTRACTNUMBER(F63),
EXTRACTNUMBER(H63),EXTRACTNUMBER(J63),
EXTRACTNUMBER(L63),EXTRACTNUMBER(N63),
EXTRACTNUMBER(P63),EXTRACTNUMBER(R63),
EXTRACTNUMBER(T63),EXTRACTNUMBER(V63),
EXTRACTNUMBER(X63),EXTRACTNUMBER(Z63),EXTRACTNUMBER(AB63),
EXTRACTNUMBER(AD63),EXTRACTNUMBER(AF63),EXTRACTNUMBER(AH63)))))</f>
        <v>551</v>
      </c>
      <c r="AK63" s="32" t="str">
        <f t="shared" si="16"/>
        <v>PASS</v>
      </c>
      <c r="AL63" s="33" t="str">
        <f>SPELLNUMBER(extractnumber_tot(AJ63))</f>
        <v xml:space="preserve">Five Hundred Fifty One </v>
      </c>
    </row>
    <row r="64" spans="2:38" s="30" customFormat="1" ht="15.95" customHeight="1">
      <c r="B64" s="37">
        <v>225241</v>
      </c>
      <c r="C64" s="38" t="s">
        <v>257</v>
      </c>
      <c r="D64" s="43">
        <v>47</v>
      </c>
      <c r="E64" s="61" t="str">
        <f t="shared" si="17"/>
        <v>E</v>
      </c>
      <c r="F64" s="48">
        <v>23</v>
      </c>
      <c r="G64" s="62" t="str">
        <f t="shared" si="1"/>
        <v>E</v>
      </c>
      <c r="H64" s="48">
        <v>44</v>
      </c>
      <c r="I64" s="62" t="str">
        <f t="shared" si="2"/>
        <v>E</v>
      </c>
      <c r="J64" s="50">
        <v>46</v>
      </c>
      <c r="K64" s="62" t="str">
        <f t="shared" si="3"/>
        <v>E</v>
      </c>
      <c r="L64" s="48">
        <v>23</v>
      </c>
      <c r="M64" s="62" t="str">
        <f t="shared" si="4"/>
        <v>E</v>
      </c>
      <c r="N64" s="48">
        <v>42</v>
      </c>
      <c r="O64" s="62" t="str">
        <f t="shared" si="5"/>
        <v>E</v>
      </c>
      <c r="P64" s="51">
        <v>30</v>
      </c>
      <c r="Q64" s="62" t="str">
        <f t="shared" si="6"/>
        <v>F</v>
      </c>
      <c r="R64" s="48">
        <v>23</v>
      </c>
      <c r="S64" s="62" t="str">
        <f t="shared" si="7"/>
        <v>E</v>
      </c>
      <c r="T64" s="48">
        <v>22</v>
      </c>
      <c r="U64" s="62" t="str">
        <f t="shared" si="8"/>
        <v>E</v>
      </c>
      <c r="V64" s="51">
        <v>32</v>
      </c>
      <c r="W64" s="62" t="str">
        <f t="shared" si="9"/>
        <v>F</v>
      </c>
      <c r="X64" s="48">
        <v>24</v>
      </c>
      <c r="Y64" s="62" t="str">
        <f t="shared" si="10"/>
        <v>E</v>
      </c>
      <c r="Z64" s="51">
        <v>57</v>
      </c>
      <c r="AA64" s="62" t="str">
        <f t="shared" si="11"/>
        <v>E</v>
      </c>
      <c r="AB64" s="48">
        <v>23</v>
      </c>
      <c r="AC64" s="62" t="str">
        <f t="shared" si="12"/>
        <v>E</v>
      </c>
      <c r="AD64" s="48">
        <v>21</v>
      </c>
      <c r="AE64" s="62" t="str">
        <f t="shared" si="13"/>
        <v>E</v>
      </c>
      <c r="AF64" s="51">
        <v>24</v>
      </c>
      <c r="AG64" s="62" t="str">
        <f t="shared" si="14"/>
        <v>E</v>
      </c>
      <c r="AH64" s="48">
        <v>23</v>
      </c>
      <c r="AI64" s="62" t="str">
        <f t="shared" si="15"/>
        <v>E</v>
      </c>
      <c r="AJ64" s="31">
        <f>IF(AND(OR(COUNTIF(D64:AI64,"=31")&gt;=1,COUNTIF(D64:AI64,"=32")&gt;=1,COUNTIF(D64:AI64,"=33")&gt;=1,COUNTIF(D64:AI64,"=34")&gt;=1,COUNTIF(D64:AI64,"=35")=1,COUNTIF(D64:AI64,"=36")&gt;=1 ),COUNTIF(D64:AI64,"")=0,COUNTIF(D64:AI64," ")=0,COUNTIF(D64:AI64,"F")=1),CONCATENATE(SUM(EXTRACTNUMBER(D64),EXTRACTNUMBER(F64),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EXTRACTNUMBER(AD64),EXTRACTNUMBER(AF64),EXTRACTNUMBER(AH64)),"*"),IF(AND(COUNTIF(D64:AI64,"=34")&gt;=1,COUNTIF(D64:AI64,"=35")&gt;=1,COUNTIF(D64:AI64,"f")=2,COUNTIF(D64:AI64,"")=0,COUNTIF(D64:AI64," ")=0),CONCATENATE(SUM(EXTRACTNUMBER(D64),EXTRACTNUMBER(F64),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EXTRACTNUMBER(AD64),EXTRACTNUMBER(AF64),EXTRACTNUMBER(AH64)),"*"),IF(AND(COUNTIF(D64:AI64,"=36")&gt;=2,COUNTIF(D64:AI64,"f")=2,COUNTIF(D64:AI64,"")=0,COUNTIF(D64:AI64," ")=0),CONCATENATE(SUM(EXTRACTNUMBER(D64),EXTRACTNUMBER(F64),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EXTRACTNUMBER(AD64),EXTRACTNUMBER(AF64),EXTRACTNUMBER(AH64)),"*"),SUM(EXTRACTNUMBER(D64),EXTRACTNUMBER(F64),
EXTRACTNUMBER(H64),EXTRACTNUMBER(J64),
EXTRACTNUMBER(L64),EXTRACTNUMBER(N64),
EXTRACTNUMBER(P64),EXTRACTNUMBER(R64),
EXTRACTNUMBER(T64),EXTRACTNUMBER(V64),
EXTRACTNUMBER(X64),EXTRACTNUMBER(Z64),EXTRACTNUMBER(AB64),
EXTRACTNUMBER(AD64),EXTRACTNUMBER(AF64),EXTRACTNUMBER(AH64)))))</f>
        <v>504</v>
      </c>
      <c r="AK64" s="32" t="str">
        <f t="shared" si="16"/>
        <v>FAIL</v>
      </c>
      <c r="AL64" s="33" t="str">
        <f>SPELLNUMBER(extractnumber_tot(AJ64))</f>
        <v xml:space="preserve">Five Hundred Four </v>
      </c>
    </row>
    <row r="65" spans="2:38" s="30" customFormat="1" ht="15.95" customHeight="1">
      <c r="B65" s="37">
        <v>225242</v>
      </c>
      <c r="C65" s="38" t="s">
        <v>258</v>
      </c>
      <c r="D65" s="43">
        <v>59</v>
      </c>
      <c r="E65" s="61" t="str">
        <f t="shared" si="17"/>
        <v/>
      </c>
      <c r="F65" s="48">
        <v>20</v>
      </c>
      <c r="G65" s="62" t="str">
        <f t="shared" si="1"/>
        <v/>
      </c>
      <c r="H65" s="48">
        <v>37</v>
      </c>
      <c r="I65" s="62" t="str">
        <f t="shared" si="2"/>
        <v/>
      </c>
      <c r="J65" s="50">
        <v>63</v>
      </c>
      <c r="K65" s="62" t="str">
        <f t="shared" si="3"/>
        <v/>
      </c>
      <c r="L65" s="48">
        <v>23</v>
      </c>
      <c r="M65" s="62" t="str">
        <f t="shared" si="4"/>
        <v/>
      </c>
      <c r="N65" s="48">
        <v>46</v>
      </c>
      <c r="O65" s="62" t="str">
        <f t="shared" si="5"/>
        <v/>
      </c>
      <c r="P65" s="51">
        <v>55</v>
      </c>
      <c r="Q65" s="62" t="str">
        <f t="shared" si="6"/>
        <v/>
      </c>
      <c r="R65" s="48">
        <v>20</v>
      </c>
      <c r="S65" s="62" t="str">
        <f t="shared" si="7"/>
        <v/>
      </c>
      <c r="T65" s="48">
        <v>20</v>
      </c>
      <c r="U65" s="62" t="str">
        <f t="shared" si="8"/>
        <v/>
      </c>
      <c r="V65" s="51">
        <v>65</v>
      </c>
      <c r="W65" s="62" t="str">
        <f t="shared" si="9"/>
        <v/>
      </c>
      <c r="X65" s="48">
        <v>23</v>
      </c>
      <c r="Y65" s="62" t="str">
        <f t="shared" si="10"/>
        <v/>
      </c>
      <c r="Z65" s="51">
        <v>56</v>
      </c>
      <c r="AA65" s="62" t="str">
        <f t="shared" si="11"/>
        <v/>
      </c>
      <c r="AB65" s="48">
        <v>23</v>
      </c>
      <c r="AC65" s="62" t="str">
        <f t="shared" si="12"/>
        <v/>
      </c>
      <c r="AD65" s="48">
        <v>18</v>
      </c>
      <c r="AE65" s="62" t="str">
        <f t="shared" si="13"/>
        <v/>
      </c>
      <c r="AF65" s="51">
        <v>29</v>
      </c>
      <c r="AG65" s="62" t="str">
        <f t="shared" si="14"/>
        <v/>
      </c>
      <c r="AH65" s="48">
        <v>22</v>
      </c>
      <c r="AI65" s="62" t="str">
        <f t="shared" si="15"/>
        <v/>
      </c>
      <c r="AJ65" s="31">
        <f>IF(AND(OR(COUNTIF(D65:AI65,"=31")&gt;=1,COUNTIF(D65:AI65,"=32")&gt;=1,COUNTIF(D65:AI65,"=33")&gt;=1,COUNTIF(D65:AI65,"=34")&gt;=1,COUNTIF(D65:AI65,"=35")=1,COUNTIF(D65:AI65,"=36")&gt;=1 ),COUNTIF(D65:AI65,"")=0,COUNTIF(D65:AI65," ")=0,COUNTIF(D65:AI65,"F")=1),CONCATENATE(SUM(EXTRACTNUMBER(D65),EXTRACTNUMBER(F65),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EXTRACTNUMBER(AD65),EXTRACTNUMBER(AF65),EXTRACTNUMBER(AH65)),"*"),IF(AND(COUNTIF(D65:AI65,"=34")&gt;=1,COUNTIF(D65:AI65,"=35")&gt;=1,COUNTIF(D65:AI65,"f")=2,COUNTIF(D65:AI65,"")=0,COUNTIF(D65:AI65," ")=0),CONCATENATE(SUM(EXTRACTNUMBER(D65),EXTRACTNUMBER(F65),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EXTRACTNUMBER(AD65),EXTRACTNUMBER(AF65),EXTRACTNUMBER(AH65)),"*"),IF(AND(COUNTIF(D65:AI65,"=36")&gt;=2,COUNTIF(D65:AI65,"f")=2,COUNTIF(D65:AI65,"")=0,COUNTIF(D65:AI65," ")=0),CONCATENATE(SUM(EXTRACTNUMBER(D65),EXTRACTNUMBER(F65),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EXTRACTNUMBER(AD65),EXTRACTNUMBER(AF65),EXTRACTNUMBER(AH65)),"*"),SUM(EXTRACTNUMBER(D65),EXTRACTNUMBER(F65),
EXTRACTNUMBER(H65),EXTRACTNUMBER(J65),
EXTRACTNUMBER(L65),EXTRACTNUMBER(N65),
EXTRACTNUMBER(P65),EXTRACTNUMBER(R65),
EXTRACTNUMBER(T65),EXTRACTNUMBER(V65),
EXTRACTNUMBER(X65),EXTRACTNUMBER(Z65),EXTRACTNUMBER(AB65),
EXTRACTNUMBER(AD65),EXTRACTNUMBER(AF65),EXTRACTNUMBER(AH65)))))</f>
        <v>579</v>
      </c>
      <c r="AK65" s="32" t="str">
        <f t="shared" si="16"/>
        <v>PASS</v>
      </c>
      <c r="AL65" s="33" t="str">
        <f>SPELLNUMBER(extractnumber_tot(AJ65))</f>
        <v xml:space="preserve">Five Hundred Seventy Nine </v>
      </c>
    </row>
    <row r="66" spans="2:38" s="30" customFormat="1" ht="15.95" customHeight="1">
      <c r="B66" s="37">
        <v>225243</v>
      </c>
      <c r="C66" s="39" t="s">
        <v>259</v>
      </c>
      <c r="D66" s="43">
        <v>61</v>
      </c>
      <c r="E66" s="61" t="str">
        <f t="shared" si="17"/>
        <v/>
      </c>
      <c r="F66" s="48">
        <v>21</v>
      </c>
      <c r="G66" s="62" t="str">
        <f t="shared" si="1"/>
        <v/>
      </c>
      <c r="H66" s="48">
        <v>41</v>
      </c>
      <c r="I66" s="62" t="str">
        <f t="shared" si="2"/>
        <v/>
      </c>
      <c r="J66" s="50">
        <v>61</v>
      </c>
      <c r="K66" s="62" t="str">
        <f t="shared" si="3"/>
        <v/>
      </c>
      <c r="L66" s="48">
        <v>22</v>
      </c>
      <c r="M66" s="62" t="str">
        <f t="shared" si="4"/>
        <v/>
      </c>
      <c r="N66" s="48">
        <v>44</v>
      </c>
      <c r="O66" s="62" t="str">
        <f t="shared" si="5"/>
        <v/>
      </c>
      <c r="P66" s="51">
        <v>65</v>
      </c>
      <c r="Q66" s="62" t="str">
        <f t="shared" si="6"/>
        <v/>
      </c>
      <c r="R66" s="48">
        <v>21</v>
      </c>
      <c r="S66" s="62" t="str">
        <f t="shared" si="7"/>
        <v/>
      </c>
      <c r="T66" s="48">
        <v>21</v>
      </c>
      <c r="U66" s="62" t="str">
        <f t="shared" si="8"/>
        <v/>
      </c>
      <c r="V66" s="51">
        <v>64</v>
      </c>
      <c r="W66" s="62" t="str">
        <f t="shared" si="9"/>
        <v/>
      </c>
      <c r="X66" s="48">
        <v>21</v>
      </c>
      <c r="Y66" s="62" t="str">
        <f t="shared" si="10"/>
        <v/>
      </c>
      <c r="Z66" s="51">
        <v>69</v>
      </c>
      <c r="AA66" s="62" t="str">
        <f t="shared" si="11"/>
        <v/>
      </c>
      <c r="AB66" s="48">
        <v>22</v>
      </c>
      <c r="AC66" s="62" t="str">
        <f t="shared" si="12"/>
        <v/>
      </c>
      <c r="AD66" s="48">
        <v>23</v>
      </c>
      <c r="AE66" s="62" t="str">
        <f t="shared" si="13"/>
        <v/>
      </c>
      <c r="AF66" s="51">
        <v>34</v>
      </c>
      <c r="AG66" s="62" t="str">
        <f t="shared" si="14"/>
        <v/>
      </c>
      <c r="AH66" s="48">
        <v>23</v>
      </c>
      <c r="AI66" s="62" t="str">
        <f t="shared" si="15"/>
        <v/>
      </c>
      <c r="AJ66" s="31">
        <f>IF(AND(OR(COUNTIF(D66:AI66,"=31")&gt;=1,COUNTIF(D66:AI66,"=32")&gt;=1,COUNTIF(D66:AI66,"=33")&gt;=1,COUNTIF(D66:AI66,"=34")&gt;=1,COUNTIF(D66:AI66,"=35")=1,COUNTIF(D66:AI66,"=36")&gt;=1 ),COUNTIF(D66:AI66,"")=0,COUNTIF(D66:AI66," ")=0,COUNTIF(D66:AI66,"F")=1),CONCATENATE(SUM(EXTRACTNUMBER(D66),EXTRACTNUMBER(F66),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EXTRACTNUMBER(AD66),EXTRACTNUMBER(AF66),EXTRACTNUMBER(AH66)),"*"),IF(AND(COUNTIF(D66:AI66,"=34")&gt;=1,COUNTIF(D66:AI66,"=35")&gt;=1,COUNTIF(D66:AI66,"f")=2,COUNTIF(D66:AI66,"")=0,COUNTIF(D66:AI66," ")=0),CONCATENATE(SUM(EXTRACTNUMBER(D66),EXTRACTNUMBER(F66),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EXTRACTNUMBER(AD66),EXTRACTNUMBER(AF66),EXTRACTNUMBER(AH66)),"*"),IF(AND(COUNTIF(D66:AI66,"=36")&gt;=2,COUNTIF(D66:AI66,"f")=2,COUNTIF(D66:AI66,"")=0,COUNTIF(D66:AI66," ")=0),CONCATENATE(SUM(EXTRACTNUMBER(D66),EXTRACTNUMBER(F66),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EXTRACTNUMBER(AD66),EXTRACTNUMBER(AF66),EXTRACTNUMBER(AH66)),"*"),SUM(EXTRACTNUMBER(D66),EXTRACTNUMBER(F66),
EXTRACTNUMBER(H66),EXTRACTNUMBER(J66),
EXTRACTNUMBER(L66),EXTRACTNUMBER(N66),
EXTRACTNUMBER(P66),EXTRACTNUMBER(R66),
EXTRACTNUMBER(T66),EXTRACTNUMBER(V66),
EXTRACTNUMBER(X66),EXTRACTNUMBER(Z66),EXTRACTNUMBER(AB66),
EXTRACTNUMBER(AD66),EXTRACTNUMBER(AF66),EXTRACTNUMBER(AH66)))))</f>
        <v>613</v>
      </c>
      <c r="AK66" s="32" t="str">
        <f t="shared" si="16"/>
        <v>PASS</v>
      </c>
      <c r="AL66" s="33" t="str">
        <f>SPELLNUMBER(extractnumber_tot(AJ66))</f>
        <v xml:space="preserve">Six Hundred Thirteen </v>
      </c>
    </row>
    <row r="67" spans="2:38" s="30" customFormat="1" ht="15.95" customHeight="1">
      <c r="B67" s="37">
        <v>225244</v>
      </c>
      <c r="C67" s="38" t="s">
        <v>260</v>
      </c>
      <c r="D67" s="43">
        <v>48</v>
      </c>
      <c r="E67" s="61" t="str">
        <f t="shared" si="17"/>
        <v>E</v>
      </c>
      <c r="F67" s="48">
        <v>21</v>
      </c>
      <c r="G67" s="62" t="str">
        <f t="shared" si="1"/>
        <v>E</v>
      </c>
      <c r="H67" s="48">
        <v>39</v>
      </c>
      <c r="I67" s="62" t="str">
        <f t="shared" si="2"/>
        <v>E</v>
      </c>
      <c r="J67" s="50">
        <v>43</v>
      </c>
      <c r="K67" s="62" t="str">
        <f t="shared" si="3"/>
        <v>E</v>
      </c>
      <c r="L67" s="48">
        <v>19</v>
      </c>
      <c r="M67" s="62" t="str">
        <f t="shared" si="4"/>
        <v>E</v>
      </c>
      <c r="N67" s="48">
        <v>38</v>
      </c>
      <c r="O67" s="62" t="str">
        <f t="shared" si="5"/>
        <v>E</v>
      </c>
      <c r="P67" s="51">
        <v>43</v>
      </c>
      <c r="Q67" s="62" t="str">
        <f t="shared" si="6"/>
        <v>E</v>
      </c>
      <c r="R67" s="48">
        <v>20</v>
      </c>
      <c r="S67" s="62" t="str">
        <f t="shared" si="7"/>
        <v>E</v>
      </c>
      <c r="T67" s="48">
        <v>20</v>
      </c>
      <c r="U67" s="62" t="str">
        <f t="shared" si="8"/>
        <v>E</v>
      </c>
      <c r="V67" s="51">
        <v>48</v>
      </c>
      <c r="W67" s="62" t="str">
        <f t="shared" si="9"/>
        <v>E</v>
      </c>
      <c r="X67" s="48">
        <v>21</v>
      </c>
      <c r="Y67" s="62" t="str">
        <f t="shared" si="10"/>
        <v>E</v>
      </c>
      <c r="Z67" s="51">
        <v>29</v>
      </c>
      <c r="AA67" s="62" t="str">
        <f t="shared" si="11"/>
        <v>F</v>
      </c>
      <c r="AB67" s="48">
        <v>19</v>
      </c>
      <c r="AC67" s="62" t="str">
        <f t="shared" si="12"/>
        <v>E</v>
      </c>
      <c r="AD67" s="48">
        <v>17</v>
      </c>
      <c r="AE67" s="62" t="str">
        <f t="shared" si="13"/>
        <v>E</v>
      </c>
      <c r="AF67" s="51">
        <v>28</v>
      </c>
      <c r="AG67" s="62" t="str">
        <f t="shared" si="14"/>
        <v>E</v>
      </c>
      <c r="AH67" s="48">
        <v>20</v>
      </c>
      <c r="AI67" s="62" t="str">
        <f t="shared" si="15"/>
        <v>E</v>
      </c>
      <c r="AJ67" s="31">
        <f>IF(AND(OR(COUNTIF(D67:AI67,"=31")&gt;=1,COUNTIF(D67:AI67,"=32")&gt;=1,COUNTIF(D67:AI67,"=33")&gt;=1,COUNTIF(D67:AI67,"=34")&gt;=1,COUNTIF(D67:AI67,"=35")=1,COUNTIF(D67:AI67,"=36")&gt;=1 ),COUNTIF(D67:AI67,"")=0,COUNTIF(D67:AI67," ")=0,COUNTIF(D67:AI67,"F")=1),CONCATENATE(SUM(EXTRACTNUMBER(D67),EXTRACTNUMBER(F67),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EXTRACTNUMBER(AD67),EXTRACTNUMBER(AF67),EXTRACTNUMBER(AH67)),"*"),IF(AND(COUNTIF(D67:AI67,"=34")&gt;=1,COUNTIF(D67:AI67,"=35")&gt;=1,COUNTIF(D67:AI67,"f")=2,COUNTIF(D67:AI67,"")=0,COUNTIF(D67:AI67," ")=0),CONCATENATE(SUM(EXTRACTNUMBER(D67),EXTRACTNUMBER(F67),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EXTRACTNUMBER(AD67),EXTRACTNUMBER(AF67),EXTRACTNUMBER(AH67)),"*"),IF(AND(COUNTIF(D67:AI67,"=36")&gt;=2,COUNTIF(D67:AI67,"f")=2,COUNTIF(D67:AI67,"")=0,COUNTIF(D67:AI67," ")=0),CONCATENATE(SUM(EXTRACTNUMBER(D67),EXTRACTNUMBER(F67),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EXTRACTNUMBER(AD67),EXTRACTNUMBER(AF67),EXTRACTNUMBER(AH67)),"*"),SUM(EXTRACTNUMBER(D67),EXTRACTNUMBER(F67),
EXTRACTNUMBER(H67),EXTRACTNUMBER(J67),
EXTRACTNUMBER(L67),EXTRACTNUMBER(N67),
EXTRACTNUMBER(P67),EXTRACTNUMBER(R67),
EXTRACTNUMBER(T67),EXTRACTNUMBER(V67),
EXTRACTNUMBER(X67),EXTRACTNUMBER(Z67),EXTRACTNUMBER(AB67),
EXTRACTNUMBER(AD67),EXTRACTNUMBER(AF67),EXTRACTNUMBER(AH67)))))</f>
        <v>473</v>
      </c>
      <c r="AK67" s="32" t="str">
        <f t="shared" si="16"/>
        <v>FAIL</v>
      </c>
      <c r="AL67" s="33" t="str">
        <f>SPELLNUMBER(extractnumber_tot(AJ67))</f>
        <v xml:space="preserve">Four Hundred Seventy Three </v>
      </c>
    </row>
    <row r="68" spans="2:38" s="30" customFormat="1" ht="15.95" customHeight="1">
      <c r="B68" s="37">
        <v>225245</v>
      </c>
      <c r="C68" s="38" t="s">
        <v>261</v>
      </c>
      <c r="D68" s="43">
        <v>40</v>
      </c>
      <c r="E68" s="61" t="str">
        <f t="shared" si="17"/>
        <v/>
      </c>
      <c r="F68" s="48">
        <v>20</v>
      </c>
      <c r="G68" s="62" t="str">
        <f t="shared" si="1"/>
        <v/>
      </c>
      <c r="H68" s="48">
        <v>39</v>
      </c>
      <c r="I68" s="62" t="str">
        <f t="shared" si="2"/>
        <v/>
      </c>
      <c r="J68" s="50">
        <v>40</v>
      </c>
      <c r="K68" s="62" t="str">
        <f t="shared" si="3"/>
        <v/>
      </c>
      <c r="L68" s="48">
        <v>20</v>
      </c>
      <c r="M68" s="62" t="str">
        <f t="shared" si="4"/>
        <v/>
      </c>
      <c r="N68" s="48">
        <v>42</v>
      </c>
      <c r="O68" s="62" t="str">
        <f t="shared" si="5"/>
        <v/>
      </c>
      <c r="P68" s="51" t="s">
        <v>406</v>
      </c>
      <c r="Q68" s="62" t="str">
        <f t="shared" si="6"/>
        <v/>
      </c>
      <c r="R68" s="48">
        <v>20</v>
      </c>
      <c r="S68" s="62" t="str">
        <f t="shared" si="7"/>
        <v/>
      </c>
      <c r="T68" s="48">
        <v>20</v>
      </c>
      <c r="U68" s="62" t="str">
        <f t="shared" si="8"/>
        <v/>
      </c>
      <c r="V68" s="51">
        <v>51</v>
      </c>
      <c r="W68" s="62" t="str">
        <f t="shared" si="9"/>
        <v/>
      </c>
      <c r="X68" s="48">
        <v>20</v>
      </c>
      <c r="Y68" s="62" t="str">
        <f t="shared" si="10"/>
        <v/>
      </c>
      <c r="Z68" s="51">
        <v>40</v>
      </c>
      <c r="AA68" s="62" t="str">
        <f t="shared" si="11"/>
        <v/>
      </c>
      <c r="AB68" s="48">
        <v>21</v>
      </c>
      <c r="AC68" s="62" t="str">
        <f t="shared" si="12"/>
        <v/>
      </c>
      <c r="AD68" s="48">
        <v>20</v>
      </c>
      <c r="AE68" s="62" t="str">
        <f t="shared" si="13"/>
        <v/>
      </c>
      <c r="AF68" s="51">
        <v>20</v>
      </c>
      <c r="AG68" s="62" t="str">
        <f t="shared" si="14"/>
        <v/>
      </c>
      <c r="AH68" s="48">
        <v>20</v>
      </c>
      <c r="AI68" s="62" t="str">
        <f t="shared" si="15"/>
        <v/>
      </c>
      <c r="AJ68" s="31" t="s">
        <v>407</v>
      </c>
      <c r="AK68" s="32" t="str">
        <f t="shared" si="16"/>
        <v>PASS</v>
      </c>
      <c r="AL68" s="33" t="str">
        <f>SPELLNUMBER(extractnumber_tot(AJ68))</f>
        <v xml:space="preserve">Four Hundred Sixty Six </v>
      </c>
    </row>
    <row r="69" spans="2:38" s="30" customFormat="1" ht="15.95" customHeight="1">
      <c r="B69" s="37">
        <v>225246</v>
      </c>
      <c r="C69" s="38" t="s">
        <v>262</v>
      </c>
      <c r="D69" s="43">
        <v>69</v>
      </c>
      <c r="E69" s="61" t="str">
        <f t="shared" si="17"/>
        <v/>
      </c>
      <c r="F69" s="48">
        <v>21</v>
      </c>
      <c r="G69" s="62" t="str">
        <f t="shared" si="1"/>
        <v/>
      </c>
      <c r="H69" s="48">
        <v>42</v>
      </c>
      <c r="I69" s="62" t="str">
        <f t="shared" si="2"/>
        <v/>
      </c>
      <c r="J69" s="50">
        <v>73</v>
      </c>
      <c r="K69" s="62" t="str">
        <f t="shared" si="3"/>
        <v/>
      </c>
      <c r="L69" s="48">
        <v>23</v>
      </c>
      <c r="M69" s="62" t="str">
        <f t="shared" si="4"/>
        <v/>
      </c>
      <c r="N69" s="48">
        <v>46</v>
      </c>
      <c r="O69" s="62" t="str">
        <f t="shared" si="5"/>
        <v/>
      </c>
      <c r="P69" s="51">
        <v>71</v>
      </c>
      <c r="Q69" s="62" t="str">
        <f t="shared" si="6"/>
        <v/>
      </c>
      <c r="R69" s="48">
        <v>21</v>
      </c>
      <c r="S69" s="62" t="str">
        <f t="shared" si="7"/>
        <v/>
      </c>
      <c r="T69" s="48">
        <v>22</v>
      </c>
      <c r="U69" s="62" t="str">
        <f t="shared" si="8"/>
        <v/>
      </c>
      <c r="V69" s="51">
        <v>75</v>
      </c>
      <c r="W69" s="62" t="str">
        <f t="shared" si="9"/>
        <v/>
      </c>
      <c r="X69" s="48">
        <v>24</v>
      </c>
      <c r="Y69" s="62" t="str">
        <f t="shared" si="10"/>
        <v/>
      </c>
      <c r="Z69" s="51">
        <v>55</v>
      </c>
      <c r="AA69" s="62" t="str">
        <f t="shared" si="11"/>
        <v/>
      </c>
      <c r="AB69" s="48">
        <v>23</v>
      </c>
      <c r="AC69" s="62" t="str">
        <f t="shared" si="12"/>
        <v/>
      </c>
      <c r="AD69" s="48">
        <v>18</v>
      </c>
      <c r="AE69" s="62" t="str">
        <f t="shared" si="13"/>
        <v/>
      </c>
      <c r="AF69" s="51">
        <v>35</v>
      </c>
      <c r="AG69" s="62" t="str">
        <f t="shared" si="14"/>
        <v/>
      </c>
      <c r="AH69" s="48">
        <v>23</v>
      </c>
      <c r="AI69" s="62" t="str">
        <f t="shared" si="15"/>
        <v/>
      </c>
      <c r="AJ69" s="31">
        <f>IF(AND(OR(COUNTIF(D69:AI69,"=31")&gt;=1,COUNTIF(D69:AI69,"=32")&gt;=1,COUNTIF(D69:AI69,"=33")&gt;=1,COUNTIF(D69:AI69,"=34")&gt;=1,COUNTIF(D69:AI69,"=35")=1,COUNTIF(D69:AI69,"=36")&gt;=1 ),COUNTIF(D69:AI69,"")=0,COUNTIF(D69:AI69," ")=0,COUNTIF(D69:AI69,"F")=1),CONCATENATE(SUM(EXTRACTNUMBER(D69),EXTRACTNUMBER(F69),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EXTRACTNUMBER(AD69),EXTRACTNUMBER(AF69),EXTRACTNUMBER(AH69)),"*"),IF(AND(COUNTIF(D69:AI69,"=34")&gt;=1,COUNTIF(D69:AI69,"=35")&gt;=1,COUNTIF(D69:AI69,"f")=2,COUNTIF(D69:AI69,"")=0,COUNTIF(D69:AI69," ")=0),CONCATENATE(SUM(EXTRACTNUMBER(D69),EXTRACTNUMBER(F69),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EXTRACTNUMBER(AD69),EXTRACTNUMBER(AF69),EXTRACTNUMBER(AH69)),"*"),IF(AND(COUNTIF(D69:AI69,"=36")&gt;=2,COUNTIF(D69:AI69,"f")=2,COUNTIF(D69:AI69,"")=0,COUNTIF(D69:AI69," ")=0),CONCATENATE(SUM(EXTRACTNUMBER(D69),EXTRACTNUMBER(F69),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EXTRACTNUMBER(AD69),EXTRACTNUMBER(AF69),EXTRACTNUMBER(AH69)),"*"),SUM(EXTRACTNUMBER(D69),EXTRACTNUMBER(F69),
EXTRACTNUMBER(H69),EXTRACTNUMBER(J69),
EXTRACTNUMBER(L69),EXTRACTNUMBER(N69),
EXTRACTNUMBER(P69),EXTRACTNUMBER(R69),
EXTRACTNUMBER(T69),EXTRACTNUMBER(V69),
EXTRACTNUMBER(X69),EXTRACTNUMBER(Z69),EXTRACTNUMBER(AB69),
EXTRACTNUMBER(AD69),EXTRACTNUMBER(AF69),EXTRACTNUMBER(AH69)))))</f>
        <v>641</v>
      </c>
      <c r="AK69" s="32" t="str">
        <f t="shared" si="16"/>
        <v>PASS</v>
      </c>
      <c r="AL69" s="33" t="str">
        <f>SPELLNUMBER(extractnumber_tot(AJ69))</f>
        <v xml:space="preserve">Six Hundred Forty One </v>
      </c>
    </row>
    <row r="70" spans="2:38" s="34" customFormat="1" ht="15.95" customHeight="1">
      <c r="B70" s="37">
        <v>225247</v>
      </c>
      <c r="C70" s="38" t="s">
        <v>263</v>
      </c>
      <c r="D70" s="45">
        <v>61</v>
      </c>
      <c r="E70" s="61" t="str">
        <f t="shared" si="17"/>
        <v/>
      </c>
      <c r="F70" s="48">
        <v>22</v>
      </c>
      <c r="G70" s="62" t="str">
        <f t="shared" si="1"/>
        <v/>
      </c>
      <c r="H70" s="48">
        <v>37</v>
      </c>
      <c r="I70" s="62" t="str">
        <f t="shared" si="2"/>
        <v/>
      </c>
      <c r="J70" s="50">
        <v>61</v>
      </c>
      <c r="K70" s="62" t="str">
        <f t="shared" si="3"/>
        <v/>
      </c>
      <c r="L70" s="48">
        <v>23</v>
      </c>
      <c r="M70" s="62" t="str">
        <f t="shared" si="4"/>
        <v/>
      </c>
      <c r="N70" s="48">
        <v>40</v>
      </c>
      <c r="O70" s="62" t="str">
        <f t="shared" si="5"/>
        <v/>
      </c>
      <c r="P70" s="51">
        <v>55</v>
      </c>
      <c r="Q70" s="62" t="str">
        <f t="shared" si="6"/>
        <v/>
      </c>
      <c r="R70" s="48">
        <v>22</v>
      </c>
      <c r="S70" s="62" t="str">
        <f t="shared" si="7"/>
        <v/>
      </c>
      <c r="T70" s="48">
        <v>19</v>
      </c>
      <c r="U70" s="62" t="str">
        <f t="shared" si="8"/>
        <v/>
      </c>
      <c r="V70" s="51">
        <v>65</v>
      </c>
      <c r="W70" s="62" t="str">
        <f t="shared" si="9"/>
        <v/>
      </c>
      <c r="X70" s="48">
        <v>23</v>
      </c>
      <c r="Y70" s="62" t="str">
        <f t="shared" si="10"/>
        <v/>
      </c>
      <c r="Z70" s="51">
        <v>55</v>
      </c>
      <c r="AA70" s="62" t="str">
        <f t="shared" si="11"/>
        <v/>
      </c>
      <c r="AB70" s="48">
        <v>23</v>
      </c>
      <c r="AC70" s="62" t="str">
        <f t="shared" si="12"/>
        <v/>
      </c>
      <c r="AD70" s="48">
        <v>20</v>
      </c>
      <c r="AE70" s="62" t="str">
        <f t="shared" si="13"/>
        <v/>
      </c>
      <c r="AF70" s="51">
        <v>37</v>
      </c>
      <c r="AG70" s="62" t="str">
        <f t="shared" si="14"/>
        <v/>
      </c>
      <c r="AH70" s="48">
        <v>22</v>
      </c>
      <c r="AI70" s="62" t="str">
        <f t="shared" si="15"/>
        <v/>
      </c>
      <c r="AJ70" s="31">
        <f>IF(AND(OR(COUNTIF(D70:AI70,"=31")&gt;=1,COUNTIF(D70:AI70,"=32")&gt;=1,COUNTIF(D70:AI70,"=33")&gt;=1,COUNTIF(D70:AI70,"=34")&gt;=1,COUNTIF(D70:AI70,"=35")=1,COUNTIF(D70:AI70,"=36")&gt;=1 ),COUNTIF(D70:AI70,"")=0,COUNTIF(D70:AI70," ")=0,COUNTIF(D70:AI70,"F")=1),CONCATENATE(SUM(EXTRACTNUMBER(D70),EXTRACTNUMBER(F70),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EXTRACTNUMBER(AD70),EXTRACTNUMBER(AF70),EXTRACTNUMBER(AH70)),"*"),IF(AND(COUNTIF(D70:AI70,"=34")&gt;=1,COUNTIF(D70:AI70,"=35")&gt;=1,COUNTIF(D70:AI70,"f")=2,COUNTIF(D70:AI70,"")=0,COUNTIF(D70:AI70," ")=0),CONCATENATE(SUM(EXTRACTNUMBER(D70),EXTRACTNUMBER(F70),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EXTRACTNUMBER(AD70),EXTRACTNUMBER(AF70),EXTRACTNUMBER(AH70)),"*"),IF(AND(COUNTIF(D70:AI70,"=36")&gt;=2,COUNTIF(D70:AI70,"f")=2,COUNTIF(D70:AI70,"")=0,COUNTIF(D70:AI70," ")=0),CONCATENATE(SUM(EXTRACTNUMBER(D70),EXTRACTNUMBER(F70),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EXTRACTNUMBER(AD70),EXTRACTNUMBER(AF70),EXTRACTNUMBER(AH70)),"*"),SUM(EXTRACTNUMBER(D70),EXTRACTNUMBER(F70),
EXTRACTNUMBER(H70),EXTRACTNUMBER(J70),
EXTRACTNUMBER(L70),EXTRACTNUMBER(N70),
EXTRACTNUMBER(P70),EXTRACTNUMBER(R70),
EXTRACTNUMBER(T70),EXTRACTNUMBER(V70),
EXTRACTNUMBER(X70),EXTRACTNUMBER(Z70),EXTRACTNUMBER(AB70),
EXTRACTNUMBER(AD70),EXTRACTNUMBER(AF70),EXTRACTNUMBER(AH70)))))</f>
        <v>585</v>
      </c>
      <c r="AK70" s="32" t="str">
        <f t="shared" si="16"/>
        <v>PASS</v>
      </c>
      <c r="AL70" s="33" t="str">
        <f>SPELLNUMBER(extractnumber_tot(AJ70))</f>
        <v xml:space="preserve">Five Hundred Eighty Five </v>
      </c>
    </row>
    <row r="71" spans="2:38" s="34" customFormat="1" ht="15.95" customHeight="1">
      <c r="B71" s="37">
        <v>225248</v>
      </c>
      <c r="C71" s="38" t="s">
        <v>264</v>
      </c>
      <c r="D71" s="45">
        <v>65</v>
      </c>
      <c r="E71" s="61" t="str">
        <f t="shared" si="17"/>
        <v/>
      </c>
      <c r="F71" s="48">
        <v>23</v>
      </c>
      <c r="G71" s="62" t="str">
        <f t="shared" si="1"/>
        <v/>
      </c>
      <c r="H71" s="48">
        <v>41</v>
      </c>
      <c r="I71" s="62" t="str">
        <f t="shared" si="2"/>
        <v/>
      </c>
      <c r="J71" s="50">
        <v>52</v>
      </c>
      <c r="K71" s="62" t="str">
        <f t="shared" si="3"/>
        <v/>
      </c>
      <c r="L71" s="48">
        <v>23</v>
      </c>
      <c r="M71" s="62" t="str">
        <f t="shared" si="4"/>
        <v/>
      </c>
      <c r="N71" s="48">
        <v>46</v>
      </c>
      <c r="O71" s="62" t="str">
        <f t="shared" si="5"/>
        <v/>
      </c>
      <c r="P71" s="51">
        <v>48</v>
      </c>
      <c r="Q71" s="62" t="str">
        <f t="shared" si="6"/>
        <v/>
      </c>
      <c r="R71" s="48">
        <v>23</v>
      </c>
      <c r="S71" s="62" t="str">
        <f t="shared" si="7"/>
        <v/>
      </c>
      <c r="T71" s="48">
        <v>21</v>
      </c>
      <c r="U71" s="62" t="str">
        <f t="shared" si="8"/>
        <v/>
      </c>
      <c r="V71" s="51">
        <v>64</v>
      </c>
      <c r="W71" s="62" t="str">
        <f t="shared" si="9"/>
        <v/>
      </c>
      <c r="X71" s="48">
        <v>23</v>
      </c>
      <c r="Y71" s="62" t="str">
        <f t="shared" si="10"/>
        <v/>
      </c>
      <c r="Z71" s="51">
        <v>65</v>
      </c>
      <c r="AA71" s="62" t="str">
        <f t="shared" si="11"/>
        <v/>
      </c>
      <c r="AB71" s="48">
        <v>23</v>
      </c>
      <c r="AC71" s="62" t="str">
        <f t="shared" si="12"/>
        <v/>
      </c>
      <c r="AD71" s="48">
        <v>21</v>
      </c>
      <c r="AE71" s="62" t="str">
        <f t="shared" si="13"/>
        <v/>
      </c>
      <c r="AF71" s="51">
        <v>31</v>
      </c>
      <c r="AG71" s="62" t="str">
        <f t="shared" si="14"/>
        <v/>
      </c>
      <c r="AH71" s="48">
        <v>23</v>
      </c>
      <c r="AI71" s="62" t="str">
        <f t="shared" si="15"/>
        <v/>
      </c>
      <c r="AJ71" s="31">
        <f>IF(AND(OR(COUNTIF(D71:AI71,"=31")&gt;=1,COUNTIF(D71:AI71,"=32")&gt;=1,COUNTIF(D71:AI71,"=33")&gt;=1,COUNTIF(D71:AI71,"=34")&gt;=1,COUNTIF(D71:AI71,"=35")=1,COUNTIF(D71:AI71,"=36")&gt;=1 ),COUNTIF(D71:AI71,"")=0,COUNTIF(D71:AI71," ")=0,COUNTIF(D71:AI71,"F")=1),CONCATENATE(SUM(EXTRACTNUMBER(D71),EXTRACTNUMBER(F71),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EXTRACTNUMBER(AD71),EXTRACTNUMBER(AF71),EXTRACTNUMBER(AH71)),"*"),IF(AND(COUNTIF(D71:AI71,"=34")&gt;=1,COUNTIF(D71:AI71,"=35")&gt;=1,COUNTIF(D71:AI71,"f")=2,COUNTIF(D71:AI71,"")=0,COUNTIF(D71:AI71," ")=0),CONCATENATE(SUM(EXTRACTNUMBER(D71),EXTRACTNUMBER(F71),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EXTRACTNUMBER(AD71),EXTRACTNUMBER(AF71),EXTRACTNUMBER(AH71)),"*"),IF(AND(COUNTIF(D71:AI71,"=36")&gt;=2,COUNTIF(D71:AI71,"f")=2,COUNTIF(D71:AI71,"")=0,COUNTIF(D71:AI71," ")=0),CONCATENATE(SUM(EXTRACTNUMBER(D71),EXTRACTNUMBER(F71),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EXTRACTNUMBER(AD71),EXTRACTNUMBER(AF71),EXTRACTNUMBER(AH71)),"*"),SUM(EXTRACTNUMBER(D71),EXTRACTNUMBER(F71),
EXTRACTNUMBER(H71),EXTRACTNUMBER(J71),
EXTRACTNUMBER(L71),EXTRACTNUMBER(N71),
EXTRACTNUMBER(P71),EXTRACTNUMBER(R71),
EXTRACTNUMBER(T71),EXTRACTNUMBER(V71),
EXTRACTNUMBER(X71),EXTRACTNUMBER(Z71),EXTRACTNUMBER(AB71),
EXTRACTNUMBER(AD71),EXTRACTNUMBER(AF71),EXTRACTNUMBER(AH71)))))</f>
        <v>592</v>
      </c>
      <c r="AK71" s="32" t="str">
        <f t="shared" si="16"/>
        <v>PASS</v>
      </c>
      <c r="AL71" s="33" t="str">
        <f>SPELLNUMBER(extractnumber_tot(AJ71))</f>
        <v xml:space="preserve">Five Hundred NinetyTwo </v>
      </c>
    </row>
    <row r="72" spans="2:38" s="34" customFormat="1" ht="15.95" customHeight="1">
      <c r="B72" s="37">
        <v>225249</v>
      </c>
      <c r="C72" s="38" t="s">
        <v>265</v>
      </c>
      <c r="D72" s="45">
        <v>49</v>
      </c>
      <c r="E72" s="61" t="str">
        <f t="shared" si="17"/>
        <v/>
      </c>
      <c r="F72" s="48">
        <v>20</v>
      </c>
      <c r="G72" s="62" t="str">
        <f t="shared" si="1"/>
        <v/>
      </c>
      <c r="H72" s="48">
        <v>42</v>
      </c>
      <c r="I72" s="62" t="str">
        <f t="shared" si="2"/>
        <v/>
      </c>
      <c r="J72" s="50">
        <v>59</v>
      </c>
      <c r="K72" s="62" t="str">
        <f t="shared" si="3"/>
        <v/>
      </c>
      <c r="L72" s="48">
        <v>22</v>
      </c>
      <c r="M72" s="62" t="str">
        <f t="shared" si="4"/>
        <v/>
      </c>
      <c r="N72" s="48">
        <v>42</v>
      </c>
      <c r="O72" s="62" t="str">
        <f t="shared" si="5"/>
        <v/>
      </c>
      <c r="P72" s="51">
        <v>43</v>
      </c>
      <c r="Q72" s="62" t="str">
        <f t="shared" si="6"/>
        <v/>
      </c>
      <c r="R72" s="48">
        <v>20</v>
      </c>
      <c r="S72" s="62" t="str">
        <f t="shared" si="7"/>
        <v/>
      </c>
      <c r="T72" s="48">
        <v>22</v>
      </c>
      <c r="U72" s="62" t="str">
        <f t="shared" si="8"/>
        <v/>
      </c>
      <c r="V72" s="51">
        <v>54</v>
      </c>
      <c r="W72" s="62" t="str">
        <f t="shared" si="9"/>
        <v/>
      </c>
      <c r="X72" s="48">
        <v>23</v>
      </c>
      <c r="Y72" s="62" t="str">
        <f t="shared" si="10"/>
        <v/>
      </c>
      <c r="Z72" s="51">
        <v>62</v>
      </c>
      <c r="AA72" s="62" t="str">
        <f t="shared" si="11"/>
        <v/>
      </c>
      <c r="AB72" s="48">
        <v>23</v>
      </c>
      <c r="AC72" s="62" t="str">
        <f t="shared" si="12"/>
        <v/>
      </c>
      <c r="AD72" s="48">
        <v>20</v>
      </c>
      <c r="AE72" s="62" t="str">
        <f t="shared" si="13"/>
        <v/>
      </c>
      <c r="AF72" s="51">
        <v>30</v>
      </c>
      <c r="AG72" s="62" t="str">
        <f t="shared" si="14"/>
        <v/>
      </c>
      <c r="AH72" s="48">
        <v>20</v>
      </c>
      <c r="AI72" s="62" t="str">
        <f t="shared" si="15"/>
        <v/>
      </c>
      <c r="AJ72" s="31">
        <f>IF(AND(OR(COUNTIF(D72:AI72,"=31")&gt;=1,COUNTIF(D72:AI72,"=32")&gt;=1,COUNTIF(D72:AI72,"=33")&gt;=1,COUNTIF(D72:AI72,"=34")&gt;=1,COUNTIF(D72:AI72,"=35")=1,COUNTIF(D72:AI72,"=36")&gt;=1 ),COUNTIF(D72:AI72,"")=0,COUNTIF(D72:AI72," ")=0,COUNTIF(D72:AI72,"F")=1),CONCATENATE(SUM(EXTRACTNUMBER(D72),EXTRACTNUMBER(F72),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EXTRACTNUMBER(AD72),EXTRACTNUMBER(AF72),EXTRACTNUMBER(AH72)),"*"),IF(AND(COUNTIF(D72:AI72,"=34")&gt;=1,COUNTIF(D72:AI72,"=35")&gt;=1,COUNTIF(D72:AI72,"f")=2,COUNTIF(D72:AI72,"")=0,COUNTIF(D72:AI72," ")=0),CONCATENATE(SUM(EXTRACTNUMBER(D72),EXTRACTNUMBER(F72),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EXTRACTNUMBER(AD72),EXTRACTNUMBER(AF72),EXTRACTNUMBER(AH72)),"*"),IF(AND(COUNTIF(D72:AI72,"=36")&gt;=2,COUNTIF(D72:AI72,"f")=2,COUNTIF(D72:AI72,"")=0,COUNTIF(D72:AI72," ")=0),CONCATENATE(SUM(EXTRACTNUMBER(D72),EXTRACTNUMBER(F72),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EXTRACTNUMBER(AD72),EXTRACTNUMBER(AF72),EXTRACTNUMBER(AH72)),"*"),SUM(EXTRACTNUMBER(D72),EXTRACTNUMBER(F72),
EXTRACTNUMBER(H72),EXTRACTNUMBER(J72),
EXTRACTNUMBER(L72),EXTRACTNUMBER(N72),
EXTRACTNUMBER(P72),EXTRACTNUMBER(R72),
EXTRACTNUMBER(T72),EXTRACTNUMBER(V72),
EXTRACTNUMBER(X72),EXTRACTNUMBER(Z72),EXTRACTNUMBER(AB72),
EXTRACTNUMBER(AD72),EXTRACTNUMBER(AF72),EXTRACTNUMBER(AH72)))))</f>
        <v>551</v>
      </c>
      <c r="AK72" s="32" t="str">
        <f t="shared" si="16"/>
        <v>PASS</v>
      </c>
      <c r="AL72" s="33" t="str">
        <f>SPELLNUMBER(extractnumber_tot(AJ72))</f>
        <v xml:space="preserve">Five Hundred Fifty One </v>
      </c>
    </row>
    <row r="73" spans="2:38" s="34" customFormat="1" ht="15.95" customHeight="1">
      <c r="B73" s="37">
        <v>225250</v>
      </c>
      <c r="C73" s="38" t="s">
        <v>266</v>
      </c>
      <c r="D73" s="45">
        <v>62</v>
      </c>
      <c r="E73" s="61" t="str">
        <f t="shared" si="17"/>
        <v/>
      </c>
      <c r="F73" s="48">
        <v>20</v>
      </c>
      <c r="G73" s="62" t="str">
        <f t="shared" si="1"/>
        <v/>
      </c>
      <c r="H73" s="48">
        <v>44</v>
      </c>
      <c r="I73" s="62" t="str">
        <f t="shared" si="2"/>
        <v/>
      </c>
      <c r="J73" s="50">
        <v>53</v>
      </c>
      <c r="K73" s="62" t="str">
        <f t="shared" si="3"/>
        <v/>
      </c>
      <c r="L73" s="48">
        <v>23</v>
      </c>
      <c r="M73" s="62" t="str">
        <f t="shared" si="4"/>
        <v/>
      </c>
      <c r="N73" s="48">
        <v>46</v>
      </c>
      <c r="O73" s="62" t="str">
        <f t="shared" si="5"/>
        <v/>
      </c>
      <c r="P73" s="51">
        <v>47</v>
      </c>
      <c r="Q73" s="62" t="str">
        <f t="shared" si="6"/>
        <v/>
      </c>
      <c r="R73" s="48">
        <v>20</v>
      </c>
      <c r="S73" s="62" t="str">
        <f t="shared" si="7"/>
        <v/>
      </c>
      <c r="T73" s="48">
        <v>23</v>
      </c>
      <c r="U73" s="62" t="str">
        <f t="shared" si="8"/>
        <v/>
      </c>
      <c r="V73" s="51">
        <v>60</v>
      </c>
      <c r="W73" s="62" t="str">
        <f t="shared" si="9"/>
        <v/>
      </c>
      <c r="X73" s="48">
        <v>23</v>
      </c>
      <c r="Y73" s="62" t="str">
        <f t="shared" si="10"/>
        <v/>
      </c>
      <c r="Z73" s="51">
        <v>53</v>
      </c>
      <c r="AA73" s="62" t="str">
        <f t="shared" si="11"/>
        <v/>
      </c>
      <c r="AB73" s="48">
        <v>23</v>
      </c>
      <c r="AC73" s="62" t="str">
        <f t="shared" si="12"/>
        <v/>
      </c>
      <c r="AD73" s="48">
        <v>20</v>
      </c>
      <c r="AE73" s="62" t="str">
        <f t="shared" si="13"/>
        <v/>
      </c>
      <c r="AF73" s="51">
        <v>32</v>
      </c>
      <c r="AG73" s="62" t="str">
        <f t="shared" si="14"/>
        <v/>
      </c>
      <c r="AH73" s="48">
        <v>22</v>
      </c>
      <c r="AI73" s="62" t="str">
        <f t="shared" si="15"/>
        <v/>
      </c>
      <c r="AJ73" s="31">
        <f>IF(AND(OR(COUNTIF(D73:AI73,"=31")&gt;=1,COUNTIF(D73:AI73,"=32")&gt;=1,COUNTIF(D73:AI73,"=33")&gt;=1,COUNTIF(D73:AI73,"=34")&gt;=1,COUNTIF(D73:AI73,"=35")=1,COUNTIF(D73:AI73,"=36")&gt;=1 ),COUNTIF(D73:AI73,"")=0,COUNTIF(D73:AI73," ")=0,COUNTIF(D73:AI73,"F")=1),CONCATENATE(SUM(EXTRACTNUMBER(D73),EXTRACTNUMBER(F73),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EXTRACTNUMBER(AD73),EXTRACTNUMBER(AF73),EXTRACTNUMBER(AH73)),"*"),IF(AND(COUNTIF(D73:AI73,"=34")&gt;=1,COUNTIF(D73:AI73,"=35")&gt;=1,COUNTIF(D73:AI73,"f")=2,COUNTIF(D73:AI73,"")=0,COUNTIF(D73:AI73," ")=0),CONCATENATE(SUM(EXTRACTNUMBER(D73),EXTRACTNUMBER(F73),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EXTRACTNUMBER(AD73),EXTRACTNUMBER(AF73),EXTRACTNUMBER(AH73)),"*"),IF(AND(COUNTIF(D73:AI73,"=36")&gt;=2,COUNTIF(D73:AI73,"f")=2,COUNTIF(D73:AI73,"")=0,COUNTIF(D73:AI73," ")=0),CONCATENATE(SUM(EXTRACTNUMBER(D73),EXTRACTNUMBER(F73),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EXTRACTNUMBER(AD73),EXTRACTNUMBER(AF73),EXTRACTNUMBER(AH73)),"*"),SUM(EXTRACTNUMBER(D73),EXTRACTNUMBER(F73),
EXTRACTNUMBER(H73),EXTRACTNUMBER(J73),
EXTRACTNUMBER(L73),EXTRACTNUMBER(N73),
EXTRACTNUMBER(P73),EXTRACTNUMBER(R73),
EXTRACTNUMBER(T73),EXTRACTNUMBER(V73),
EXTRACTNUMBER(X73),EXTRACTNUMBER(Z73),EXTRACTNUMBER(AB73),
EXTRACTNUMBER(AD73),EXTRACTNUMBER(AF73),EXTRACTNUMBER(AH73)))))</f>
        <v>571</v>
      </c>
      <c r="AK73" s="32" t="str">
        <f t="shared" si="16"/>
        <v>PASS</v>
      </c>
      <c r="AL73" s="33" t="str">
        <f>SPELLNUMBER(extractnumber_tot(AJ73))</f>
        <v xml:space="preserve">Five Hundred Seventy One </v>
      </c>
    </row>
    <row r="74" spans="2:38" s="34" customFormat="1" ht="15.95" customHeight="1">
      <c r="B74" s="37">
        <v>225251</v>
      </c>
      <c r="C74" s="38" t="s">
        <v>267</v>
      </c>
      <c r="D74" s="45">
        <v>48</v>
      </c>
      <c r="E74" s="61" t="str">
        <f t="shared" si="17"/>
        <v/>
      </c>
      <c r="F74" s="48">
        <v>21</v>
      </c>
      <c r="G74" s="62" t="str">
        <f t="shared" si="1"/>
        <v/>
      </c>
      <c r="H74" s="48">
        <v>43</v>
      </c>
      <c r="I74" s="62" t="str">
        <f t="shared" si="2"/>
        <v/>
      </c>
      <c r="J74" s="50">
        <v>49</v>
      </c>
      <c r="K74" s="62" t="str">
        <f t="shared" si="3"/>
        <v/>
      </c>
      <c r="L74" s="48">
        <v>19</v>
      </c>
      <c r="M74" s="62" t="str">
        <f t="shared" si="4"/>
        <v/>
      </c>
      <c r="N74" s="48">
        <v>36</v>
      </c>
      <c r="O74" s="62" t="str">
        <f t="shared" si="5"/>
        <v/>
      </c>
      <c r="P74" s="51">
        <v>42</v>
      </c>
      <c r="Q74" s="62" t="str">
        <f t="shared" si="6"/>
        <v/>
      </c>
      <c r="R74" s="48">
        <v>21</v>
      </c>
      <c r="S74" s="62" t="str">
        <f t="shared" si="7"/>
        <v/>
      </c>
      <c r="T74" s="48">
        <v>23</v>
      </c>
      <c r="U74" s="62" t="str">
        <f t="shared" si="8"/>
        <v/>
      </c>
      <c r="V74" s="51">
        <v>40</v>
      </c>
      <c r="W74" s="62" t="str">
        <f t="shared" si="9"/>
        <v/>
      </c>
      <c r="X74" s="48">
        <v>18</v>
      </c>
      <c r="Y74" s="62" t="str">
        <f t="shared" si="10"/>
        <v/>
      </c>
      <c r="Z74" s="51">
        <v>50</v>
      </c>
      <c r="AA74" s="62" t="str">
        <f t="shared" si="11"/>
        <v/>
      </c>
      <c r="AB74" s="48">
        <v>19</v>
      </c>
      <c r="AC74" s="62" t="str">
        <f t="shared" si="12"/>
        <v/>
      </c>
      <c r="AD74" s="48">
        <v>20</v>
      </c>
      <c r="AE74" s="62" t="str">
        <f t="shared" si="13"/>
        <v/>
      </c>
      <c r="AF74" s="51">
        <v>26</v>
      </c>
      <c r="AG74" s="62" t="str">
        <f t="shared" si="14"/>
        <v/>
      </c>
      <c r="AH74" s="48">
        <v>18</v>
      </c>
      <c r="AI74" s="62" t="str">
        <f t="shared" si="15"/>
        <v/>
      </c>
      <c r="AJ74" s="31">
        <f>IF(AND(OR(COUNTIF(D74:AI74,"=31")&gt;=1,COUNTIF(D74:AI74,"=32")&gt;=1,COUNTIF(D74:AI74,"=33")&gt;=1,COUNTIF(D74:AI74,"=34")&gt;=1,COUNTIF(D74:AI74,"=35")=1,COUNTIF(D74:AI74,"=36")&gt;=1 ),COUNTIF(D74:AI74,"")=0,COUNTIF(D74:AI74," ")=0,COUNTIF(D74:AI74,"F")=1),CONCATENATE(SUM(EXTRACTNUMBER(D74),EXTRACTNUMBER(F74),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EXTRACTNUMBER(AD74),EXTRACTNUMBER(AF74),EXTRACTNUMBER(AH74)),"*"),IF(AND(COUNTIF(D74:AI74,"=34")&gt;=1,COUNTIF(D74:AI74,"=35")&gt;=1,COUNTIF(D74:AI74,"f")=2,COUNTIF(D74:AI74,"")=0,COUNTIF(D74:AI74," ")=0),CONCATENATE(SUM(EXTRACTNUMBER(D74),EXTRACTNUMBER(F74),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EXTRACTNUMBER(AD74),EXTRACTNUMBER(AF74),EXTRACTNUMBER(AH74)),"*"),IF(AND(COUNTIF(D74:AI74,"=36")&gt;=2,COUNTIF(D74:AI74,"f")=2,COUNTIF(D74:AI74,"")=0,COUNTIF(D74:AI74," ")=0),CONCATENATE(SUM(EXTRACTNUMBER(D74),EXTRACTNUMBER(F74),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EXTRACTNUMBER(AD74),EXTRACTNUMBER(AF74),EXTRACTNUMBER(AH74)),"*"),SUM(EXTRACTNUMBER(D74),EXTRACTNUMBER(F74),
EXTRACTNUMBER(H74),EXTRACTNUMBER(J74),
EXTRACTNUMBER(L74),EXTRACTNUMBER(N74),
EXTRACTNUMBER(P74),EXTRACTNUMBER(R74),
EXTRACTNUMBER(T74),EXTRACTNUMBER(V74),
EXTRACTNUMBER(X74),EXTRACTNUMBER(Z74),EXTRACTNUMBER(AB74),
EXTRACTNUMBER(AD74),EXTRACTNUMBER(AF74),EXTRACTNUMBER(AH74)))))</f>
        <v>493</v>
      </c>
      <c r="AK74" s="32" t="str">
        <f t="shared" si="16"/>
        <v>PASS</v>
      </c>
      <c r="AL74" s="33" t="str">
        <f>SPELLNUMBER(extractnumber_tot(AJ74))</f>
        <v xml:space="preserve">Four Hundred NinetyThree </v>
      </c>
    </row>
    <row r="75" spans="2:38" s="34" customFormat="1" ht="15.95" customHeight="1">
      <c r="B75" s="37">
        <v>225252</v>
      </c>
      <c r="C75" s="38" t="s">
        <v>268</v>
      </c>
      <c r="D75" s="45">
        <v>51</v>
      </c>
      <c r="E75" s="61" t="str">
        <f t="shared" si="17"/>
        <v/>
      </c>
      <c r="F75" s="48">
        <v>22</v>
      </c>
      <c r="G75" s="62" t="str">
        <f t="shared" si="1"/>
        <v/>
      </c>
      <c r="H75" s="48">
        <v>42</v>
      </c>
      <c r="I75" s="62" t="str">
        <f t="shared" si="2"/>
        <v/>
      </c>
      <c r="J75" s="50">
        <v>59</v>
      </c>
      <c r="K75" s="62" t="str">
        <f t="shared" si="3"/>
        <v/>
      </c>
      <c r="L75" s="48">
        <v>19</v>
      </c>
      <c r="M75" s="62" t="str">
        <f t="shared" si="4"/>
        <v/>
      </c>
      <c r="N75" s="48">
        <v>38</v>
      </c>
      <c r="O75" s="62" t="str">
        <f t="shared" si="5"/>
        <v/>
      </c>
      <c r="P75" s="51">
        <v>45</v>
      </c>
      <c r="Q75" s="62" t="str">
        <f t="shared" si="6"/>
        <v/>
      </c>
      <c r="R75" s="48">
        <v>22</v>
      </c>
      <c r="S75" s="62" t="str">
        <f t="shared" si="7"/>
        <v/>
      </c>
      <c r="T75" s="48">
        <v>22</v>
      </c>
      <c r="U75" s="62" t="str">
        <f t="shared" si="8"/>
        <v/>
      </c>
      <c r="V75" s="51">
        <v>59</v>
      </c>
      <c r="W75" s="62" t="str">
        <f t="shared" si="9"/>
        <v/>
      </c>
      <c r="X75" s="48">
        <v>22</v>
      </c>
      <c r="Y75" s="62" t="str">
        <f t="shared" si="10"/>
        <v/>
      </c>
      <c r="Z75" s="51">
        <v>56</v>
      </c>
      <c r="AA75" s="62" t="str">
        <f t="shared" si="11"/>
        <v/>
      </c>
      <c r="AB75" s="48">
        <v>19</v>
      </c>
      <c r="AC75" s="62" t="str">
        <f t="shared" si="12"/>
        <v/>
      </c>
      <c r="AD75" s="48">
        <v>16</v>
      </c>
      <c r="AE75" s="62" t="str">
        <f t="shared" si="13"/>
        <v/>
      </c>
      <c r="AF75" s="51">
        <v>31</v>
      </c>
      <c r="AG75" s="62" t="str">
        <f t="shared" si="14"/>
        <v/>
      </c>
      <c r="AH75" s="48">
        <v>23</v>
      </c>
      <c r="AI75" s="62" t="str">
        <f t="shared" si="15"/>
        <v/>
      </c>
      <c r="AJ75" s="31">
        <f>IF(AND(OR(COUNTIF(D75:AI75,"=31")&gt;=1,COUNTIF(D75:AI75,"=32")&gt;=1,COUNTIF(D75:AI75,"=33")&gt;=1,COUNTIF(D75:AI75,"=34")&gt;=1,COUNTIF(D75:AI75,"=35")=1,COUNTIF(D75:AI75,"=36")&gt;=1 ),COUNTIF(D75:AI75,"")=0,COUNTIF(D75:AI75," ")=0,COUNTIF(D75:AI75,"F")=1),CONCATENATE(SUM(EXTRACTNUMBER(D75),EXTRACTNUMBER(F75),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EXTRACTNUMBER(AD75),EXTRACTNUMBER(AF75),EXTRACTNUMBER(AH75)),"*"),IF(AND(COUNTIF(D75:AI75,"=34")&gt;=1,COUNTIF(D75:AI75,"=35")&gt;=1,COUNTIF(D75:AI75,"f")=2,COUNTIF(D75:AI75,"")=0,COUNTIF(D75:AI75," ")=0),CONCATENATE(SUM(EXTRACTNUMBER(D75),EXTRACTNUMBER(F75),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EXTRACTNUMBER(AD75),EXTRACTNUMBER(AF75),EXTRACTNUMBER(AH75)),"*"),IF(AND(COUNTIF(D75:AI75,"=36")&gt;=2,COUNTIF(D75:AI75,"f")=2,COUNTIF(D75:AI75,"")=0,COUNTIF(D75:AI75," ")=0),CONCATENATE(SUM(EXTRACTNUMBER(D75),EXTRACTNUMBER(F75),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EXTRACTNUMBER(AD75),EXTRACTNUMBER(AF75),EXTRACTNUMBER(AH75)),"*"),SUM(EXTRACTNUMBER(D75),EXTRACTNUMBER(F75),
EXTRACTNUMBER(H75),EXTRACTNUMBER(J75),
EXTRACTNUMBER(L75),EXTRACTNUMBER(N75),
EXTRACTNUMBER(P75),EXTRACTNUMBER(R75),
EXTRACTNUMBER(T75),EXTRACTNUMBER(V75),
EXTRACTNUMBER(X75),EXTRACTNUMBER(Z75),EXTRACTNUMBER(AB75),
EXTRACTNUMBER(AD75),EXTRACTNUMBER(AF75),EXTRACTNUMBER(AH75)))))</f>
        <v>546</v>
      </c>
      <c r="AK75" s="32" t="str">
        <f t="shared" si="16"/>
        <v>PASS</v>
      </c>
      <c r="AL75" s="33" t="str">
        <f>SPELLNUMBER(extractnumber_tot(AJ75))</f>
        <v xml:space="preserve">Five Hundred Forty Six </v>
      </c>
    </row>
    <row r="76" spans="2:38" s="34" customFormat="1" ht="15.95" customHeight="1">
      <c r="B76" s="37">
        <v>225253</v>
      </c>
      <c r="C76" s="38" t="s">
        <v>269</v>
      </c>
      <c r="D76" s="45">
        <v>40</v>
      </c>
      <c r="E76" s="61" t="str">
        <f t="shared" si="17"/>
        <v/>
      </c>
      <c r="F76" s="48">
        <v>22</v>
      </c>
      <c r="G76" s="62" t="str">
        <f t="shared" si="1"/>
        <v/>
      </c>
      <c r="H76" s="48">
        <v>38</v>
      </c>
      <c r="I76" s="62" t="str">
        <f t="shared" si="2"/>
        <v/>
      </c>
      <c r="J76" s="50">
        <v>40</v>
      </c>
      <c r="K76" s="62" t="str">
        <f t="shared" si="3"/>
        <v/>
      </c>
      <c r="L76" s="48">
        <v>20</v>
      </c>
      <c r="M76" s="62" t="str">
        <f t="shared" si="4"/>
        <v/>
      </c>
      <c r="N76" s="48">
        <v>42</v>
      </c>
      <c r="O76" s="62" t="str">
        <f t="shared" si="5"/>
        <v/>
      </c>
      <c r="P76" s="51">
        <v>40</v>
      </c>
      <c r="Q76" s="62" t="str">
        <f t="shared" si="6"/>
        <v/>
      </c>
      <c r="R76" s="48">
        <v>22</v>
      </c>
      <c r="S76" s="62" t="str">
        <f t="shared" si="7"/>
        <v/>
      </c>
      <c r="T76" s="48">
        <v>20</v>
      </c>
      <c r="U76" s="62" t="str">
        <f t="shared" si="8"/>
        <v/>
      </c>
      <c r="V76" s="51">
        <v>40</v>
      </c>
      <c r="W76" s="62" t="str">
        <f t="shared" si="9"/>
        <v/>
      </c>
      <c r="X76" s="48">
        <v>20</v>
      </c>
      <c r="Y76" s="62" t="str">
        <f t="shared" si="10"/>
        <v/>
      </c>
      <c r="Z76" s="51">
        <v>40</v>
      </c>
      <c r="AA76" s="62" t="str">
        <f t="shared" si="11"/>
        <v/>
      </c>
      <c r="AB76" s="48">
        <v>20</v>
      </c>
      <c r="AC76" s="62" t="str">
        <f t="shared" si="12"/>
        <v/>
      </c>
      <c r="AD76" s="48">
        <v>17</v>
      </c>
      <c r="AE76" s="62" t="str">
        <f t="shared" si="13"/>
        <v/>
      </c>
      <c r="AF76" s="51">
        <v>20</v>
      </c>
      <c r="AG76" s="62" t="str">
        <f t="shared" si="14"/>
        <v/>
      </c>
      <c r="AH76" s="48">
        <v>20</v>
      </c>
      <c r="AI76" s="62" t="str">
        <f t="shared" si="15"/>
        <v/>
      </c>
      <c r="AJ76" s="31">
        <f>IF(AND(OR(COUNTIF(D76:AI76,"=31")&gt;=1,COUNTIF(D76:AI76,"=32")&gt;=1,COUNTIF(D76:AI76,"=33")&gt;=1,COUNTIF(D76:AI76,"=34")&gt;=1,COUNTIF(D76:AI76,"=35")=1,COUNTIF(D76:AI76,"=36")&gt;=1 ),COUNTIF(D76:AI76,"")=0,COUNTIF(D76:AI76," ")=0,COUNTIF(D76:AI76,"F")=1),CONCATENATE(SUM(EXTRACTNUMBER(D76),EXTRACTNUMBER(F76),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EXTRACTNUMBER(AD76),EXTRACTNUMBER(AF76),EXTRACTNUMBER(AH76)),"*"),IF(AND(COUNTIF(D76:AI76,"=34")&gt;=1,COUNTIF(D76:AI76,"=35")&gt;=1,COUNTIF(D76:AI76,"f")=2,COUNTIF(D76:AI76,"")=0,COUNTIF(D76:AI76," ")=0),CONCATENATE(SUM(EXTRACTNUMBER(D76),EXTRACTNUMBER(F76),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EXTRACTNUMBER(AD76),EXTRACTNUMBER(AF76),EXTRACTNUMBER(AH76)),"*"),IF(AND(COUNTIF(D76:AI76,"=36")&gt;=2,COUNTIF(D76:AI76,"f")=2,COUNTIF(D76:AI76,"")=0,COUNTIF(D76:AI76," ")=0),CONCATENATE(SUM(EXTRACTNUMBER(D76),EXTRACTNUMBER(F76),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EXTRACTNUMBER(AD76),EXTRACTNUMBER(AF76),EXTRACTNUMBER(AH76)),"*"),SUM(EXTRACTNUMBER(D76),EXTRACTNUMBER(F76),
EXTRACTNUMBER(H76),EXTRACTNUMBER(J76),
EXTRACTNUMBER(L76),EXTRACTNUMBER(N76),
EXTRACTNUMBER(P76),EXTRACTNUMBER(R76),
EXTRACTNUMBER(T76),EXTRACTNUMBER(V76),
EXTRACTNUMBER(X76),EXTRACTNUMBER(Z76),EXTRACTNUMBER(AB76),
EXTRACTNUMBER(AD76),EXTRACTNUMBER(AF76),EXTRACTNUMBER(AH76)))))</f>
        <v>461</v>
      </c>
      <c r="AK76" s="32" t="str">
        <f t="shared" si="16"/>
        <v>PASS</v>
      </c>
      <c r="AL76" s="33" t="str">
        <f>SPELLNUMBER(extractnumber_tot(AJ76))</f>
        <v xml:space="preserve">Four Hundred Sixty One </v>
      </c>
    </row>
    <row r="77" spans="2:38" s="34" customFormat="1" ht="15.95" customHeight="1">
      <c r="B77" s="37">
        <v>225254</v>
      </c>
      <c r="C77" s="38" t="s">
        <v>270</v>
      </c>
      <c r="D77" s="45">
        <v>44</v>
      </c>
      <c r="E77" s="61" t="str">
        <f t="shared" si="17"/>
        <v>E</v>
      </c>
      <c r="F77" s="48">
        <v>20</v>
      </c>
      <c r="G77" s="62" t="str">
        <f t="shared" si="1"/>
        <v>E</v>
      </c>
      <c r="H77" s="48">
        <v>40</v>
      </c>
      <c r="I77" s="62" t="str">
        <f t="shared" si="2"/>
        <v>E</v>
      </c>
      <c r="J77" s="50">
        <v>40</v>
      </c>
      <c r="K77" s="62" t="str">
        <f t="shared" si="3"/>
        <v>E</v>
      </c>
      <c r="L77" s="48">
        <v>18</v>
      </c>
      <c r="M77" s="62" t="str">
        <f t="shared" si="4"/>
        <v>E</v>
      </c>
      <c r="N77" s="48">
        <v>42</v>
      </c>
      <c r="O77" s="62" t="str">
        <f t="shared" si="5"/>
        <v>E</v>
      </c>
      <c r="P77" s="51">
        <v>40</v>
      </c>
      <c r="Q77" s="62" t="str">
        <f t="shared" si="6"/>
        <v>E</v>
      </c>
      <c r="R77" s="48">
        <v>20</v>
      </c>
      <c r="S77" s="62" t="str">
        <f t="shared" si="7"/>
        <v>E</v>
      </c>
      <c r="T77" s="48">
        <v>20</v>
      </c>
      <c r="U77" s="62" t="str">
        <f t="shared" si="8"/>
        <v>E</v>
      </c>
      <c r="V77" s="51">
        <v>17</v>
      </c>
      <c r="W77" s="62" t="str">
        <f t="shared" si="9"/>
        <v>F</v>
      </c>
      <c r="X77" s="48">
        <v>20</v>
      </c>
      <c r="Y77" s="62" t="str">
        <f t="shared" si="10"/>
        <v>E</v>
      </c>
      <c r="Z77" s="51">
        <v>40</v>
      </c>
      <c r="AA77" s="62" t="str">
        <f t="shared" si="11"/>
        <v>E</v>
      </c>
      <c r="AB77" s="48">
        <v>18</v>
      </c>
      <c r="AC77" s="62" t="str">
        <f t="shared" si="12"/>
        <v>E</v>
      </c>
      <c r="AD77" s="48">
        <v>18</v>
      </c>
      <c r="AE77" s="62" t="str">
        <f t="shared" si="13"/>
        <v>E</v>
      </c>
      <c r="AF77" s="51">
        <v>30</v>
      </c>
      <c r="AG77" s="62" t="str">
        <f t="shared" si="14"/>
        <v>E</v>
      </c>
      <c r="AH77" s="48">
        <v>20</v>
      </c>
      <c r="AI77" s="62" t="str">
        <f t="shared" si="15"/>
        <v>E</v>
      </c>
      <c r="AJ77" s="31">
        <f>IF(AND(OR(COUNTIF(D77:AI77,"=31")&gt;=1,COUNTIF(D77:AI77,"=32")&gt;=1,COUNTIF(D77:AI77,"=33")&gt;=1,COUNTIF(D77:AI77,"=34")&gt;=1,COUNTIF(D77:AI77,"=35")=1,COUNTIF(D77:AI77,"=36")&gt;=1 ),COUNTIF(D77:AI77,"")=0,COUNTIF(D77:AI77," ")=0,COUNTIF(D77:AI77,"F")=1),CONCATENATE(SUM(EXTRACTNUMBER(D77),EXTRACTNUMBER(F77),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EXTRACTNUMBER(AD77),EXTRACTNUMBER(AF77),EXTRACTNUMBER(AH77)),"*"),IF(AND(COUNTIF(D77:AI77,"=34")&gt;=1,COUNTIF(D77:AI77,"=35")&gt;=1,COUNTIF(D77:AI77,"f")=2,COUNTIF(D77:AI77,"")=0,COUNTIF(D77:AI77," ")=0),CONCATENATE(SUM(EXTRACTNUMBER(D77),EXTRACTNUMBER(F77),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EXTRACTNUMBER(AD77),EXTRACTNUMBER(AF77),EXTRACTNUMBER(AH77)),"*"),IF(AND(COUNTIF(D77:AI77,"=36")&gt;=2,COUNTIF(D77:AI77,"f")=2,COUNTIF(D77:AI77,"")=0,COUNTIF(D77:AI77," ")=0),CONCATENATE(SUM(EXTRACTNUMBER(D77),EXTRACTNUMBER(F77),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EXTRACTNUMBER(AD77),EXTRACTNUMBER(AF77),EXTRACTNUMBER(AH77)),"*"),SUM(EXTRACTNUMBER(D77),EXTRACTNUMBER(F77),
EXTRACTNUMBER(H77),EXTRACTNUMBER(J77),
EXTRACTNUMBER(L77),EXTRACTNUMBER(N77),
EXTRACTNUMBER(P77),EXTRACTNUMBER(R77),
EXTRACTNUMBER(T77),EXTRACTNUMBER(V77),
EXTRACTNUMBER(X77),EXTRACTNUMBER(Z77),EXTRACTNUMBER(AB77),
EXTRACTNUMBER(AD77),EXTRACTNUMBER(AF77),EXTRACTNUMBER(AH77)))))</f>
        <v>447</v>
      </c>
      <c r="AK77" s="32" t="str">
        <f t="shared" si="16"/>
        <v>FAIL</v>
      </c>
      <c r="AL77" s="33" t="str">
        <f>SPELLNUMBER(extractnumber_tot(AJ77))</f>
        <v xml:space="preserve">Four Hundred Forty Seven </v>
      </c>
    </row>
    <row r="78" spans="2:38" s="34" customFormat="1" ht="15.95" customHeight="1">
      <c r="B78" s="37">
        <v>225255</v>
      </c>
      <c r="C78" s="38" t="s">
        <v>271</v>
      </c>
      <c r="D78" s="45">
        <v>52</v>
      </c>
      <c r="E78" s="61" t="str">
        <f t="shared" si="17"/>
        <v/>
      </c>
      <c r="F78" s="48">
        <v>19</v>
      </c>
      <c r="G78" s="62" t="str">
        <f t="shared" si="1"/>
        <v/>
      </c>
      <c r="H78" s="48">
        <v>38</v>
      </c>
      <c r="I78" s="62" t="str">
        <f t="shared" si="2"/>
        <v/>
      </c>
      <c r="J78" s="50">
        <v>42</v>
      </c>
      <c r="K78" s="62" t="str">
        <f t="shared" si="3"/>
        <v/>
      </c>
      <c r="L78" s="48">
        <v>17</v>
      </c>
      <c r="M78" s="62" t="str">
        <f t="shared" si="4"/>
        <v/>
      </c>
      <c r="N78" s="48">
        <v>38</v>
      </c>
      <c r="O78" s="62" t="str">
        <f t="shared" si="5"/>
        <v/>
      </c>
      <c r="P78" s="51">
        <v>40</v>
      </c>
      <c r="Q78" s="62" t="str">
        <f t="shared" si="6"/>
        <v/>
      </c>
      <c r="R78" s="48">
        <v>19</v>
      </c>
      <c r="S78" s="62" t="str">
        <f t="shared" si="7"/>
        <v/>
      </c>
      <c r="T78" s="48">
        <v>20</v>
      </c>
      <c r="U78" s="62" t="str">
        <f t="shared" si="8"/>
        <v/>
      </c>
      <c r="V78" s="51">
        <v>58</v>
      </c>
      <c r="W78" s="62" t="str">
        <f t="shared" si="9"/>
        <v/>
      </c>
      <c r="X78" s="48">
        <v>19</v>
      </c>
      <c r="Y78" s="62" t="str">
        <f t="shared" si="10"/>
        <v/>
      </c>
      <c r="Z78" s="51">
        <v>52</v>
      </c>
      <c r="AA78" s="62" t="str">
        <f t="shared" si="11"/>
        <v/>
      </c>
      <c r="AB78" s="48">
        <v>17</v>
      </c>
      <c r="AC78" s="62" t="str">
        <f t="shared" si="12"/>
        <v/>
      </c>
      <c r="AD78" s="48">
        <v>17</v>
      </c>
      <c r="AE78" s="62" t="str">
        <f t="shared" si="13"/>
        <v/>
      </c>
      <c r="AF78" s="51">
        <v>27</v>
      </c>
      <c r="AG78" s="62" t="str">
        <f t="shared" si="14"/>
        <v/>
      </c>
      <c r="AH78" s="48">
        <v>19</v>
      </c>
      <c r="AI78" s="62" t="str">
        <f t="shared" si="15"/>
        <v/>
      </c>
      <c r="AJ78" s="31">
        <f>IF(AND(OR(COUNTIF(D78:AI78,"=31")&gt;=1,COUNTIF(D78:AI78,"=32")&gt;=1,COUNTIF(D78:AI78,"=33")&gt;=1,COUNTIF(D78:AI78,"=34")&gt;=1,COUNTIF(D78:AI78,"=35")=1,COUNTIF(D78:AI78,"=36")&gt;=1 ),COUNTIF(D78:AI78,"")=0,COUNTIF(D78:AI78," ")=0,COUNTIF(D78:AI78,"F")=1),CONCATENATE(SUM(EXTRACTNUMBER(D78),EXTRACTNUMBER(F78),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EXTRACTNUMBER(AD78),EXTRACTNUMBER(AF78),EXTRACTNUMBER(AH78)),"*"),IF(AND(COUNTIF(D78:AI78,"=34")&gt;=1,COUNTIF(D78:AI78,"=35")&gt;=1,COUNTIF(D78:AI78,"f")=2,COUNTIF(D78:AI78,"")=0,COUNTIF(D78:AI78," ")=0),CONCATENATE(SUM(EXTRACTNUMBER(D78),EXTRACTNUMBER(F78),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EXTRACTNUMBER(AD78),EXTRACTNUMBER(AF78),EXTRACTNUMBER(AH78)),"*"),IF(AND(COUNTIF(D78:AI78,"=36")&gt;=2,COUNTIF(D78:AI78,"f")=2,COUNTIF(D78:AI78,"")=0,COUNTIF(D78:AI78," ")=0),CONCATENATE(SUM(EXTRACTNUMBER(D78),EXTRACTNUMBER(F78),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EXTRACTNUMBER(AD78),EXTRACTNUMBER(AF78),EXTRACTNUMBER(AH78)),"*"),SUM(EXTRACTNUMBER(D78),EXTRACTNUMBER(F78),
EXTRACTNUMBER(H78),EXTRACTNUMBER(J78),
EXTRACTNUMBER(L78),EXTRACTNUMBER(N78),
EXTRACTNUMBER(P78),EXTRACTNUMBER(R78),
EXTRACTNUMBER(T78),EXTRACTNUMBER(V78),
EXTRACTNUMBER(X78),EXTRACTNUMBER(Z78),EXTRACTNUMBER(AB78),
EXTRACTNUMBER(AD78),EXTRACTNUMBER(AF78),EXTRACTNUMBER(AH78)))))</f>
        <v>494</v>
      </c>
      <c r="AK78" s="32" t="str">
        <f t="shared" si="16"/>
        <v>PASS</v>
      </c>
      <c r="AL78" s="33" t="str">
        <f>SPELLNUMBER(extractnumber_tot(AJ78))</f>
        <v xml:space="preserve">Four Hundred NinetyFour </v>
      </c>
    </row>
    <row r="79" spans="2:38" s="34" customFormat="1" ht="15.95" customHeight="1">
      <c r="B79" s="37">
        <v>225256</v>
      </c>
      <c r="C79" s="38" t="s">
        <v>272</v>
      </c>
      <c r="D79" s="45">
        <v>44</v>
      </c>
      <c r="E79" s="61" t="str">
        <f t="shared" si="17"/>
        <v>E</v>
      </c>
      <c r="F79" s="48">
        <v>20</v>
      </c>
      <c r="G79" s="62" t="str">
        <f t="shared" si="1"/>
        <v>E</v>
      </c>
      <c r="H79" s="48">
        <v>41</v>
      </c>
      <c r="I79" s="62" t="str">
        <f t="shared" si="2"/>
        <v>E</v>
      </c>
      <c r="J79" s="50">
        <v>40</v>
      </c>
      <c r="K79" s="62" t="str">
        <f t="shared" si="3"/>
        <v>E</v>
      </c>
      <c r="L79" s="48">
        <v>19</v>
      </c>
      <c r="M79" s="62" t="str">
        <f t="shared" si="4"/>
        <v>E</v>
      </c>
      <c r="N79" s="48">
        <v>36</v>
      </c>
      <c r="O79" s="62" t="str">
        <f t="shared" si="5"/>
        <v>E</v>
      </c>
      <c r="P79" s="51">
        <v>11</v>
      </c>
      <c r="Q79" s="62" t="str">
        <f t="shared" si="6"/>
        <v>F</v>
      </c>
      <c r="R79" s="48">
        <v>20</v>
      </c>
      <c r="S79" s="62" t="str">
        <f t="shared" si="7"/>
        <v>E</v>
      </c>
      <c r="T79" s="48">
        <v>21</v>
      </c>
      <c r="U79" s="62" t="str">
        <f t="shared" si="8"/>
        <v>E</v>
      </c>
      <c r="V79" s="51">
        <v>34</v>
      </c>
      <c r="W79" s="62" t="str">
        <f t="shared" si="9"/>
        <v>F</v>
      </c>
      <c r="X79" s="48">
        <v>16</v>
      </c>
      <c r="Y79" s="62" t="str">
        <f t="shared" si="10"/>
        <v>E</v>
      </c>
      <c r="Z79" s="51">
        <v>54</v>
      </c>
      <c r="AA79" s="62" t="str">
        <f t="shared" si="11"/>
        <v>E</v>
      </c>
      <c r="AB79" s="48">
        <v>19</v>
      </c>
      <c r="AC79" s="62" t="str">
        <f t="shared" si="12"/>
        <v>E</v>
      </c>
      <c r="AD79" s="48">
        <v>15</v>
      </c>
      <c r="AE79" s="62" t="str">
        <f t="shared" si="13"/>
        <v>E</v>
      </c>
      <c r="AF79" s="51">
        <v>25</v>
      </c>
      <c r="AG79" s="62" t="str">
        <f t="shared" si="14"/>
        <v>E</v>
      </c>
      <c r="AH79" s="48">
        <v>17</v>
      </c>
      <c r="AI79" s="62" t="str">
        <f t="shared" si="15"/>
        <v>E</v>
      </c>
      <c r="AJ79" s="31">
        <f>IF(AND(OR(COUNTIF(D79:AI79,"=31")&gt;=1,COUNTIF(D79:AI79,"=32")&gt;=1,COUNTIF(D79:AI79,"=33")&gt;=1,COUNTIF(D79:AI79,"=34")&gt;=1,COUNTIF(D79:AI79,"=35")=1,COUNTIF(D79:AI79,"=36")&gt;=1 ),COUNTIF(D79:AI79,"")=0,COUNTIF(D79:AI79," ")=0,COUNTIF(D79:AI79,"F")=1),CONCATENATE(SUM(EXTRACTNUMBER(D79),EXTRACTNUMBER(F79),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EXTRACTNUMBER(AD79),EXTRACTNUMBER(AF79),EXTRACTNUMBER(AH79)),"*"),IF(AND(COUNTIF(D79:AI79,"=34")&gt;=1,COUNTIF(D79:AI79,"=35")&gt;=1,COUNTIF(D79:AI79,"f")=2,COUNTIF(D79:AI79,"")=0,COUNTIF(D79:AI79," ")=0),CONCATENATE(SUM(EXTRACTNUMBER(D79),EXTRACTNUMBER(F79),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EXTRACTNUMBER(AD79),EXTRACTNUMBER(AF79),EXTRACTNUMBER(AH79)),"*"),IF(AND(COUNTIF(D79:AI79,"=36")&gt;=2,COUNTIF(D79:AI79,"f")=2,COUNTIF(D79:AI79,"")=0,COUNTIF(D79:AI79," ")=0),CONCATENATE(SUM(EXTRACTNUMBER(D79),EXTRACTNUMBER(F79),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EXTRACTNUMBER(AD79),EXTRACTNUMBER(AF79),EXTRACTNUMBER(AH79)),"*"),SUM(EXTRACTNUMBER(D79),EXTRACTNUMBER(F79),
EXTRACTNUMBER(H79),EXTRACTNUMBER(J79),
EXTRACTNUMBER(L79),EXTRACTNUMBER(N79),
EXTRACTNUMBER(P79),EXTRACTNUMBER(R79),
EXTRACTNUMBER(T79),EXTRACTNUMBER(V79),
EXTRACTNUMBER(X79),EXTRACTNUMBER(Z79),EXTRACTNUMBER(AB79),
EXTRACTNUMBER(AD79),EXTRACTNUMBER(AF79),EXTRACTNUMBER(AH79)))))</f>
        <v>432</v>
      </c>
      <c r="AK79" s="32" t="str">
        <f t="shared" si="16"/>
        <v>FAIL</v>
      </c>
      <c r="AL79" s="33" t="str">
        <f>SPELLNUMBER(extractnumber_tot(AJ79))</f>
        <v xml:space="preserve">Four Hundred Thirty Two </v>
      </c>
    </row>
    <row r="80" spans="2:38" s="34" customFormat="1" ht="15.95" customHeight="1">
      <c r="B80" s="37">
        <v>225257</v>
      </c>
      <c r="C80" s="38" t="s">
        <v>273</v>
      </c>
      <c r="D80" s="45">
        <v>52</v>
      </c>
      <c r="E80" s="61" t="str">
        <f t="shared" si="17"/>
        <v/>
      </c>
      <c r="F80" s="48">
        <v>21</v>
      </c>
      <c r="G80" s="62" t="str">
        <f t="shared" si="1"/>
        <v/>
      </c>
      <c r="H80" s="48">
        <v>41</v>
      </c>
      <c r="I80" s="62" t="str">
        <f t="shared" si="2"/>
        <v/>
      </c>
      <c r="J80" s="50">
        <v>53</v>
      </c>
      <c r="K80" s="62" t="str">
        <f t="shared" si="3"/>
        <v/>
      </c>
      <c r="L80" s="48">
        <v>20</v>
      </c>
      <c r="M80" s="62" t="str">
        <f t="shared" si="4"/>
        <v/>
      </c>
      <c r="N80" s="48">
        <v>42</v>
      </c>
      <c r="O80" s="62" t="str">
        <f t="shared" si="5"/>
        <v/>
      </c>
      <c r="P80" s="51">
        <v>41</v>
      </c>
      <c r="Q80" s="62" t="str">
        <f t="shared" si="6"/>
        <v/>
      </c>
      <c r="R80" s="48">
        <v>21</v>
      </c>
      <c r="S80" s="62" t="str">
        <f t="shared" si="7"/>
        <v/>
      </c>
      <c r="T80" s="48">
        <v>21</v>
      </c>
      <c r="U80" s="62" t="str">
        <f t="shared" si="8"/>
        <v/>
      </c>
      <c r="V80" s="51">
        <v>62</v>
      </c>
      <c r="W80" s="62" t="str">
        <f t="shared" si="9"/>
        <v/>
      </c>
      <c r="X80" s="48">
        <v>23</v>
      </c>
      <c r="Y80" s="62" t="str">
        <f t="shared" si="10"/>
        <v/>
      </c>
      <c r="Z80" s="51">
        <v>62</v>
      </c>
      <c r="AA80" s="62" t="str">
        <f t="shared" si="11"/>
        <v/>
      </c>
      <c r="AB80" s="48">
        <v>20</v>
      </c>
      <c r="AC80" s="62" t="str">
        <f t="shared" si="12"/>
        <v/>
      </c>
      <c r="AD80" s="48">
        <v>17</v>
      </c>
      <c r="AE80" s="62" t="str">
        <f t="shared" si="13"/>
        <v/>
      </c>
      <c r="AF80" s="51">
        <v>26</v>
      </c>
      <c r="AG80" s="62" t="str">
        <f t="shared" si="14"/>
        <v/>
      </c>
      <c r="AH80" s="48">
        <v>20</v>
      </c>
      <c r="AI80" s="62" t="str">
        <f t="shared" si="15"/>
        <v/>
      </c>
      <c r="AJ80" s="31">
        <f>IF(AND(OR(COUNTIF(D80:AI80,"=31")&gt;=1,COUNTIF(D80:AI80,"=32")&gt;=1,COUNTIF(D80:AI80,"=33")&gt;=1,COUNTIF(D80:AI80,"=34")&gt;=1,COUNTIF(D80:AI80,"=35")=1,COUNTIF(D80:AI80,"=36")&gt;=1 ),COUNTIF(D80:AI80,"")=0,COUNTIF(D80:AI80," ")=0,COUNTIF(D80:AI80,"F")=1),CONCATENATE(SUM(EXTRACTNUMBER(D80),EXTRACTNUMBER(F80),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EXTRACTNUMBER(AD80),EXTRACTNUMBER(AF80),EXTRACTNUMBER(AH80)),"*"),IF(AND(COUNTIF(D80:AI80,"=34")&gt;=1,COUNTIF(D80:AI80,"=35")&gt;=1,COUNTIF(D80:AI80,"f")=2,COUNTIF(D80:AI80,"")=0,COUNTIF(D80:AI80," ")=0),CONCATENATE(SUM(EXTRACTNUMBER(D80),EXTRACTNUMBER(F80),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EXTRACTNUMBER(AD80),EXTRACTNUMBER(AF80),EXTRACTNUMBER(AH80)),"*"),IF(AND(COUNTIF(D80:AI80,"=36")&gt;=2,COUNTIF(D80:AI80,"f")=2,COUNTIF(D80:AI80,"")=0,COUNTIF(D80:AI80," ")=0),CONCATENATE(SUM(EXTRACTNUMBER(D80),EXTRACTNUMBER(F80),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EXTRACTNUMBER(AD80),EXTRACTNUMBER(AF80),EXTRACTNUMBER(AH80)),"*"),SUM(EXTRACTNUMBER(D80),EXTRACTNUMBER(F80),
EXTRACTNUMBER(H80),EXTRACTNUMBER(J80),
EXTRACTNUMBER(L80),EXTRACTNUMBER(N80),
EXTRACTNUMBER(P80),EXTRACTNUMBER(R80),
EXTRACTNUMBER(T80),EXTRACTNUMBER(V80),
EXTRACTNUMBER(X80),EXTRACTNUMBER(Z80),EXTRACTNUMBER(AB80),
EXTRACTNUMBER(AD80),EXTRACTNUMBER(AF80),EXTRACTNUMBER(AH80)))))</f>
        <v>542</v>
      </c>
      <c r="AK80" s="32" t="str">
        <f t="shared" si="16"/>
        <v>PASS</v>
      </c>
      <c r="AL80" s="33" t="str">
        <f>SPELLNUMBER(extractnumber_tot(AJ80))</f>
        <v xml:space="preserve">Five Hundred Forty Two </v>
      </c>
    </row>
    <row r="81" spans="2:38" s="30" customFormat="1" ht="15.95" customHeight="1">
      <c r="B81" s="37">
        <v>225258</v>
      </c>
      <c r="C81" s="38" t="s">
        <v>274</v>
      </c>
      <c r="D81" s="45">
        <v>62</v>
      </c>
      <c r="E81" s="61" t="str">
        <f t="shared" si="17"/>
        <v/>
      </c>
      <c r="F81" s="48">
        <v>21</v>
      </c>
      <c r="G81" s="62" t="str">
        <f t="shared" si="1"/>
        <v/>
      </c>
      <c r="H81" s="48">
        <v>44</v>
      </c>
      <c r="I81" s="62" t="str">
        <f t="shared" si="2"/>
        <v/>
      </c>
      <c r="J81" s="50">
        <v>40</v>
      </c>
      <c r="K81" s="62" t="str">
        <f t="shared" si="3"/>
        <v/>
      </c>
      <c r="L81" s="48">
        <v>20</v>
      </c>
      <c r="M81" s="62" t="str">
        <f t="shared" si="4"/>
        <v/>
      </c>
      <c r="N81" s="48">
        <v>42</v>
      </c>
      <c r="O81" s="62" t="str">
        <f t="shared" si="5"/>
        <v/>
      </c>
      <c r="P81" s="51" t="s">
        <v>406</v>
      </c>
      <c r="Q81" s="62" t="str">
        <f t="shared" si="6"/>
        <v/>
      </c>
      <c r="R81" s="48">
        <v>21</v>
      </c>
      <c r="S81" s="62" t="str">
        <f t="shared" si="7"/>
        <v/>
      </c>
      <c r="T81" s="48">
        <v>22</v>
      </c>
      <c r="U81" s="62" t="str">
        <f t="shared" si="8"/>
        <v/>
      </c>
      <c r="V81" s="51">
        <v>50</v>
      </c>
      <c r="W81" s="62" t="str">
        <f t="shared" si="9"/>
        <v/>
      </c>
      <c r="X81" s="48">
        <v>16</v>
      </c>
      <c r="Y81" s="62" t="str">
        <f t="shared" si="10"/>
        <v/>
      </c>
      <c r="Z81" s="51">
        <v>43</v>
      </c>
      <c r="AA81" s="62" t="str">
        <f t="shared" si="11"/>
        <v/>
      </c>
      <c r="AB81" s="48">
        <v>20</v>
      </c>
      <c r="AC81" s="62" t="str">
        <f t="shared" si="12"/>
        <v/>
      </c>
      <c r="AD81" s="48">
        <v>18</v>
      </c>
      <c r="AE81" s="62" t="str">
        <f t="shared" si="13"/>
        <v/>
      </c>
      <c r="AF81" s="51">
        <v>25</v>
      </c>
      <c r="AG81" s="62" t="str">
        <f t="shared" si="14"/>
        <v/>
      </c>
      <c r="AH81" s="48">
        <v>19</v>
      </c>
      <c r="AI81" s="62" t="str">
        <f t="shared" si="15"/>
        <v/>
      </c>
      <c r="AJ81" s="31" t="s">
        <v>408</v>
      </c>
      <c r="AK81" s="32" t="str">
        <f t="shared" si="16"/>
        <v>PASS</v>
      </c>
      <c r="AL81" s="33" t="str">
        <f>SPELLNUMBER(extractnumber_tot(AJ81))</f>
        <v xml:space="preserve">Four Hundred NinetySix </v>
      </c>
    </row>
    <row r="82" spans="2:38" s="30" customFormat="1" ht="15.95" customHeight="1">
      <c r="B82" s="37">
        <v>225259</v>
      </c>
      <c r="C82" s="38" t="s">
        <v>275</v>
      </c>
      <c r="D82" s="45">
        <v>56</v>
      </c>
      <c r="E82" s="61" t="str">
        <f t="shared" si="17"/>
        <v/>
      </c>
      <c r="F82" s="48">
        <v>20</v>
      </c>
      <c r="G82" s="62" t="str">
        <f t="shared" si="1"/>
        <v/>
      </c>
      <c r="H82" s="48">
        <v>40</v>
      </c>
      <c r="I82" s="62" t="str">
        <f t="shared" si="2"/>
        <v/>
      </c>
      <c r="J82" s="50">
        <v>53</v>
      </c>
      <c r="K82" s="62" t="str">
        <f t="shared" si="3"/>
        <v/>
      </c>
      <c r="L82" s="48">
        <v>21</v>
      </c>
      <c r="M82" s="62" t="str">
        <f t="shared" si="4"/>
        <v/>
      </c>
      <c r="N82" s="48">
        <v>44</v>
      </c>
      <c r="O82" s="62" t="str">
        <f t="shared" si="5"/>
        <v/>
      </c>
      <c r="P82" s="51">
        <v>40</v>
      </c>
      <c r="Q82" s="62" t="str">
        <f t="shared" si="6"/>
        <v/>
      </c>
      <c r="R82" s="48">
        <v>20</v>
      </c>
      <c r="S82" s="62" t="str">
        <f t="shared" si="7"/>
        <v/>
      </c>
      <c r="T82" s="48">
        <v>20</v>
      </c>
      <c r="U82" s="62" t="str">
        <f t="shared" si="8"/>
        <v/>
      </c>
      <c r="V82" s="51">
        <v>55</v>
      </c>
      <c r="W82" s="62" t="str">
        <f t="shared" si="9"/>
        <v/>
      </c>
      <c r="X82" s="48">
        <v>20</v>
      </c>
      <c r="Y82" s="62" t="str">
        <f t="shared" si="10"/>
        <v/>
      </c>
      <c r="Z82" s="51">
        <v>64</v>
      </c>
      <c r="AA82" s="62" t="str">
        <f t="shared" si="11"/>
        <v/>
      </c>
      <c r="AB82" s="48">
        <v>21</v>
      </c>
      <c r="AC82" s="62" t="str">
        <f t="shared" si="12"/>
        <v/>
      </c>
      <c r="AD82" s="48">
        <v>19</v>
      </c>
      <c r="AE82" s="62" t="str">
        <f t="shared" si="13"/>
        <v/>
      </c>
      <c r="AF82" s="51">
        <v>31</v>
      </c>
      <c r="AG82" s="62" t="str">
        <f t="shared" si="14"/>
        <v/>
      </c>
      <c r="AH82" s="48">
        <v>20</v>
      </c>
      <c r="AI82" s="62" t="str">
        <f t="shared" si="15"/>
        <v/>
      </c>
      <c r="AJ82" s="31">
        <f>IF(AND(OR(COUNTIF(D82:AI82,"=31")&gt;=1,COUNTIF(D82:AI82,"=32")&gt;=1,COUNTIF(D82:AI82,"=33")&gt;=1,COUNTIF(D82:AI82,"=34")&gt;=1,COUNTIF(D82:AI82,"=35")=1,COUNTIF(D82:AI82,"=36")&gt;=1 ),COUNTIF(D82:AI82,"")=0,COUNTIF(D82:AI82," ")=0,COUNTIF(D82:AI82,"F")=1),CONCATENATE(SUM(EXTRACTNUMBER(D82),EXTRACTNUMBER(F82),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EXTRACTNUMBER(AD82),EXTRACTNUMBER(AF82),EXTRACTNUMBER(AH82)),"*"),IF(AND(COUNTIF(D82:AI82,"=34")&gt;=1,COUNTIF(D82:AI82,"=35")&gt;=1,COUNTIF(D82:AI82,"f")=2,COUNTIF(D82:AI82,"")=0,COUNTIF(D82:AI82," ")=0),CONCATENATE(SUM(EXTRACTNUMBER(D82),EXTRACTNUMBER(F82),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EXTRACTNUMBER(AD82),EXTRACTNUMBER(AF82),EXTRACTNUMBER(AH82)),"*"),IF(AND(COUNTIF(D82:AI82,"=36")&gt;=2,COUNTIF(D82:AI82,"f")=2,COUNTIF(D82:AI82,"")=0,COUNTIF(D82:AI82," ")=0),CONCATENATE(SUM(EXTRACTNUMBER(D82),EXTRACTNUMBER(F82),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EXTRACTNUMBER(AD82),EXTRACTNUMBER(AF82),EXTRACTNUMBER(AH82)),"*"),SUM(EXTRACTNUMBER(D82),EXTRACTNUMBER(F82),
EXTRACTNUMBER(H82),EXTRACTNUMBER(J82),
EXTRACTNUMBER(L82),EXTRACTNUMBER(N82),
EXTRACTNUMBER(P82),EXTRACTNUMBER(R82),
EXTRACTNUMBER(T82),EXTRACTNUMBER(V82),
EXTRACTNUMBER(X82),EXTRACTNUMBER(Z82),EXTRACTNUMBER(AB82),
EXTRACTNUMBER(AD82),EXTRACTNUMBER(AF82),EXTRACTNUMBER(AH82)))))</f>
        <v>544</v>
      </c>
      <c r="AK82" s="32" t="str">
        <f t="shared" si="16"/>
        <v>PASS</v>
      </c>
      <c r="AL82" s="33" t="str">
        <f>SPELLNUMBER(extractnumber_tot(AJ82))</f>
        <v xml:space="preserve">Five Hundred Forty Four </v>
      </c>
    </row>
    <row r="83" spans="2:38" s="30" customFormat="1" ht="15.95" customHeight="1">
      <c r="B83" s="37">
        <v>225260</v>
      </c>
      <c r="C83" s="38" t="s">
        <v>276</v>
      </c>
      <c r="D83" s="45">
        <v>55</v>
      </c>
      <c r="E83" s="61" t="str">
        <f t="shared" si="17"/>
        <v/>
      </c>
      <c r="F83" s="48">
        <v>20</v>
      </c>
      <c r="G83" s="62" t="str">
        <f t="shared" si="1"/>
        <v/>
      </c>
      <c r="H83" s="48">
        <v>41</v>
      </c>
      <c r="I83" s="62" t="str">
        <f t="shared" si="2"/>
        <v/>
      </c>
      <c r="J83" s="50">
        <v>48</v>
      </c>
      <c r="K83" s="62" t="str">
        <f t="shared" si="3"/>
        <v/>
      </c>
      <c r="L83" s="48">
        <v>21</v>
      </c>
      <c r="M83" s="62" t="str">
        <f t="shared" si="4"/>
        <v/>
      </c>
      <c r="N83" s="48">
        <v>42</v>
      </c>
      <c r="O83" s="62" t="str">
        <f t="shared" si="5"/>
        <v/>
      </c>
      <c r="P83" s="51">
        <v>43</v>
      </c>
      <c r="Q83" s="62" t="str">
        <f t="shared" si="6"/>
        <v/>
      </c>
      <c r="R83" s="48">
        <v>20</v>
      </c>
      <c r="S83" s="62" t="str">
        <f t="shared" si="7"/>
        <v/>
      </c>
      <c r="T83" s="48">
        <v>21</v>
      </c>
      <c r="U83" s="62" t="str">
        <f t="shared" si="8"/>
        <v/>
      </c>
      <c r="V83" s="51">
        <v>55</v>
      </c>
      <c r="W83" s="62" t="str">
        <f t="shared" si="9"/>
        <v/>
      </c>
      <c r="X83" s="48">
        <v>20</v>
      </c>
      <c r="Y83" s="62" t="str">
        <f t="shared" si="10"/>
        <v/>
      </c>
      <c r="Z83" s="51">
        <v>42</v>
      </c>
      <c r="AA83" s="62" t="str">
        <f t="shared" si="11"/>
        <v/>
      </c>
      <c r="AB83" s="48">
        <v>21</v>
      </c>
      <c r="AC83" s="62" t="str">
        <f t="shared" si="12"/>
        <v/>
      </c>
      <c r="AD83" s="48">
        <v>17</v>
      </c>
      <c r="AE83" s="62" t="str">
        <f t="shared" si="13"/>
        <v/>
      </c>
      <c r="AF83" s="51">
        <v>26</v>
      </c>
      <c r="AG83" s="62" t="str">
        <f t="shared" si="14"/>
        <v/>
      </c>
      <c r="AH83" s="48">
        <v>20</v>
      </c>
      <c r="AI83" s="62" t="str">
        <f t="shared" si="15"/>
        <v/>
      </c>
      <c r="AJ83" s="31">
        <f>IF(AND(OR(COUNTIF(D83:AI83,"=31")&gt;=1,COUNTIF(D83:AI83,"=32")&gt;=1,COUNTIF(D83:AI83,"=33")&gt;=1,COUNTIF(D83:AI83,"=34")&gt;=1,COUNTIF(D83:AI83,"=35")=1,COUNTIF(D83:AI83,"=36")&gt;=1 ),COUNTIF(D83:AI83,"")=0,COUNTIF(D83:AI83," ")=0,COUNTIF(D83:AI83,"F")=1),CONCATENATE(SUM(EXTRACTNUMBER(D83),EXTRACTNUMBER(F83),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EXTRACTNUMBER(AD83),EXTRACTNUMBER(AF83),EXTRACTNUMBER(AH83)),"*"),IF(AND(COUNTIF(D83:AI83,"=34")&gt;=1,COUNTIF(D83:AI83,"=35")&gt;=1,COUNTIF(D83:AI83,"f")=2,COUNTIF(D83:AI83,"")=0,COUNTIF(D83:AI83," ")=0),CONCATENATE(SUM(EXTRACTNUMBER(D83),EXTRACTNUMBER(F83),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EXTRACTNUMBER(AD83),EXTRACTNUMBER(AF83),EXTRACTNUMBER(AH83)),"*"),IF(AND(COUNTIF(D83:AI83,"=36")&gt;=2,COUNTIF(D83:AI83,"f")=2,COUNTIF(D83:AI83,"")=0,COUNTIF(D83:AI83," ")=0),CONCATENATE(SUM(EXTRACTNUMBER(D83),EXTRACTNUMBER(F83),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EXTRACTNUMBER(AD83),EXTRACTNUMBER(AF83),EXTRACTNUMBER(AH83)),"*"),SUM(EXTRACTNUMBER(D83),EXTRACTNUMBER(F83),
EXTRACTNUMBER(H83),EXTRACTNUMBER(J83),
EXTRACTNUMBER(L83),EXTRACTNUMBER(N83),
EXTRACTNUMBER(P83),EXTRACTNUMBER(R83),
EXTRACTNUMBER(T83),EXTRACTNUMBER(V83),
EXTRACTNUMBER(X83),EXTRACTNUMBER(Z83),EXTRACTNUMBER(AB83),
EXTRACTNUMBER(AD83),EXTRACTNUMBER(AF83),EXTRACTNUMBER(AH83)))))</f>
        <v>512</v>
      </c>
      <c r="AK83" s="32" t="str">
        <f t="shared" si="16"/>
        <v>PASS</v>
      </c>
      <c r="AL83" s="33" t="str">
        <f>SPELLNUMBER(extractnumber_tot(AJ83))</f>
        <v xml:space="preserve">Five Hundred Twelve </v>
      </c>
    </row>
    <row r="84" spans="2:38" s="30" customFormat="1" ht="15.95" customHeight="1">
      <c r="B84" s="37">
        <v>225261</v>
      </c>
      <c r="C84" s="38" t="s">
        <v>277</v>
      </c>
      <c r="D84" s="45">
        <v>52</v>
      </c>
      <c r="E84" s="61" t="str">
        <f t="shared" si="17"/>
        <v/>
      </c>
      <c r="F84" s="48">
        <v>21</v>
      </c>
      <c r="G84" s="62" t="str">
        <f t="shared" si="1"/>
        <v/>
      </c>
      <c r="H84" s="48">
        <v>42</v>
      </c>
      <c r="I84" s="62" t="str">
        <f t="shared" si="2"/>
        <v/>
      </c>
      <c r="J84" s="50">
        <v>43</v>
      </c>
      <c r="K84" s="62" t="str">
        <f t="shared" si="3"/>
        <v/>
      </c>
      <c r="L84" s="48">
        <v>21</v>
      </c>
      <c r="M84" s="62" t="str">
        <f t="shared" si="4"/>
        <v/>
      </c>
      <c r="N84" s="48">
        <v>42</v>
      </c>
      <c r="O84" s="62" t="str">
        <f t="shared" si="5"/>
        <v/>
      </c>
      <c r="P84" s="51" t="s">
        <v>409</v>
      </c>
      <c r="Q84" s="62" t="str">
        <f t="shared" si="6"/>
        <v/>
      </c>
      <c r="R84" s="48">
        <v>21</v>
      </c>
      <c r="S84" s="62" t="str">
        <f t="shared" si="7"/>
        <v/>
      </c>
      <c r="T84" s="48">
        <v>22</v>
      </c>
      <c r="U84" s="62" t="str">
        <f t="shared" si="8"/>
        <v/>
      </c>
      <c r="V84" s="51">
        <v>49</v>
      </c>
      <c r="W84" s="62" t="str">
        <f t="shared" si="9"/>
        <v/>
      </c>
      <c r="X84" s="48">
        <v>18</v>
      </c>
      <c r="Y84" s="62" t="str">
        <f t="shared" si="10"/>
        <v/>
      </c>
      <c r="Z84" s="51">
        <v>40</v>
      </c>
      <c r="AA84" s="62" t="str">
        <f t="shared" si="11"/>
        <v/>
      </c>
      <c r="AB84" s="48">
        <v>21</v>
      </c>
      <c r="AC84" s="62" t="str">
        <f t="shared" si="12"/>
        <v/>
      </c>
      <c r="AD84" s="48">
        <v>20</v>
      </c>
      <c r="AE84" s="62" t="str">
        <f t="shared" si="13"/>
        <v/>
      </c>
      <c r="AF84" s="51">
        <v>25</v>
      </c>
      <c r="AG84" s="62" t="str">
        <f t="shared" si="14"/>
        <v/>
      </c>
      <c r="AH84" s="48">
        <v>21</v>
      </c>
      <c r="AI84" s="62" t="str">
        <f t="shared" si="15"/>
        <v/>
      </c>
      <c r="AJ84" s="31" t="s">
        <v>410</v>
      </c>
      <c r="AK84" s="32" t="str">
        <f t="shared" si="16"/>
        <v>PASS</v>
      </c>
      <c r="AL84" s="33" t="str">
        <f>SPELLNUMBER(extractnumber_tot(AJ84))</f>
        <v xml:space="preserve">Four Hundred Eighty Nine </v>
      </c>
    </row>
    <row r="85" spans="2:38" s="30" customFormat="1" ht="15.95" customHeight="1">
      <c r="B85" s="37">
        <v>225262</v>
      </c>
      <c r="C85" s="38" t="s">
        <v>278</v>
      </c>
      <c r="D85" s="45">
        <v>47</v>
      </c>
      <c r="E85" s="61" t="str">
        <f t="shared" si="17"/>
        <v/>
      </c>
      <c r="F85" s="48">
        <v>22</v>
      </c>
      <c r="G85" s="62" t="str">
        <f t="shared" si="1"/>
        <v/>
      </c>
      <c r="H85" s="48">
        <v>39</v>
      </c>
      <c r="I85" s="62" t="str">
        <f t="shared" si="2"/>
        <v/>
      </c>
      <c r="J85" s="50">
        <v>44</v>
      </c>
      <c r="K85" s="62" t="str">
        <f t="shared" si="3"/>
        <v/>
      </c>
      <c r="L85" s="48">
        <v>19</v>
      </c>
      <c r="M85" s="62" t="str">
        <f t="shared" si="4"/>
        <v/>
      </c>
      <c r="N85" s="48">
        <v>42</v>
      </c>
      <c r="O85" s="62" t="str">
        <f t="shared" si="5"/>
        <v/>
      </c>
      <c r="P85" s="51">
        <v>40</v>
      </c>
      <c r="Q85" s="62" t="str">
        <f t="shared" si="6"/>
        <v/>
      </c>
      <c r="R85" s="48">
        <v>22</v>
      </c>
      <c r="S85" s="62" t="str">
        <f t="shared" si="7"/>
        <v/>
      </c>
      <c r="T85" s="48">
        <v>20</v>
      </c>
      <c r="U85" s="62" t="str">
        <f t="shared" si="8"/>
        <v/>
      </c>
      <c r="V85" s="51">
        <v>60</v>
      </c>
      <c r="W85" s="62" t="str">
        <f t="shared" si="9"/>
        <v/>
      </c>
      <c r="X85" s="48">
        <v>16</v>
      </c>
      <c r="Y85" s="62" t="str">
        <f t="shared" si="10"/>
        <v/>
      </c>
      <c r="Z85" s="51">
        <v>44</v>
      </c>
      <c r="AA85" s="62" t="str">
        <f t="shared" si="11"/>
        <v/>
      </c>
      <c r="AB85" s="48">
        <v>19</v>
      </c>
      <c r="AC85" s="62" t="str">
        <f t="shared" si="12"/>
        <v/>
      </c>
      <c r="AD85" s="48">
        <v>19</v>
      </c>
      <c r="AE85" s="62" t="str">
        <f t="shared" si="13"/>
        <v/>
      </c>
      <c r="AF85" s="51">
        <v>28</v>
      </c>
      <c r="AG85" s="62" t="str">
        <f t="shared" si="14"/>
        <v/>
      </c>
      <c r="AH85" s="48">
        <v>17</v>
      </c>
      <c r="AI85" s="62" t="str">
        <f t="shared" si="15"/>
        <v/>
      </c>
      <c r="AJ85" s="31">
        <f>IF(AND(OR(COUNTIF(D85:AI85,"=31")&gt;=1,COUNTIF(D85:AI85,"=32")&gt;=1,COUNTIF(D85:AI85,"=33")&gt;=1,COUNTIF(D85:AI85,"=34")&gt;=1,COUNTIF(D85:AI85,"=35")=1,COUNTIF(D85:AI85,"=36")&gt;=1 ),COUNTIF(D85:AI85,"")=0,COUNTIF(D85:AI85," ")=0,COUNTIF(D85:AI85,"F")=1),CONCATENATE(SUM(EXTRACTNUMBER(D85),EXTRACTNUMBER(F85),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EXTRACTNUMBER(AD85),EXTRACTNUMBER(AF85),EXTRACTNUMBER(AH85)),"*"),IF(AND(COUNTIF(D85:AI85,"=34")&gt;=1,COUNTIF(D85:AI85,"=35")&gt;=1,COUNTIF(D85:AI85,"f")=2,COUNTIF(D85:AI85,"")=0,COUNTIF(D85:AI85," ")=0),CONCATENATE(SUM(EXTRACTNUMBER(D85),EXTRACTNUMBER(F85),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EXTRACTNUMBER(AD85),EXTRACTNUMBER(AF85),EXTRACTNUMBER(AH85)),"*"),IF(AND(COUNTIF(D85:AI85,"=36")&gt;=2,COUNTIF(D85:AI85,"f")=2,COUNTIF(D85:AI85,"")=0,COUNTIF(D85:AI85," ")=0),CONCATENATE(SUM(EXTRACTNUMBER(D85),EXTRACTNUMBER(F85),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EXTRACTNUMBER(AD85),EXTRACTNUMBER(AF85),EXTRACTNUMBER(AH85)),"*"),SUM(EXTRACTNUMBER(D85),EXTRACTNUMBER(F85),
EXTRACTNUMBER(H85),EXTRACTNUMBER(J85),
EXTRACTNUMBER(L85),EXTRACTNUMBER(N85),
EXTRACTNUMBER(P85),EXTRACTNUMBER(R85),
EXTRACTNUMBER(T85),EXTRACTNUMBER(V85),
EXTRACTNUMBER(X85),EXTRACTNUMBER(Z85),EXTRACTNUMBER(AB85),
EXTRACTNUMBER(AD85),EXTRACTNUMBER(AF85),EXTRACTNUMBER(AH85)))))</f>
        <v>498</v>
      </c>
      <c r="AK85" s="32" t="str">
        <f t="shared" si="16"/>
        <v>PASS</v>
      </c>
      <c r="AL85" s="33" t="str">
        <f>SPELLNUMBER(extractnumber_tot(AJ85))</f>
        <v xml:space="preserve">Four Hundred NinetyEight </v>
      </c>
    </row>
    <row r="86" spans="2:38" s="30" customFormat="1" ht="15.95" customHeight="1">
      <c r="B86" s="37">
        <v>225263</v>
      </c>
      <c r="C86" s="38" t="s">
        <v>279</v>
      </c>
      <c r="D86" s="45">
        <v>63</v>
      </c>
      <c r="E86" s="61" t="str">
        <f t="shared" si="17"/>
        <v/>
      </c>
      <c r="F86" s="48">
        <v>23</v>
      </c>
      <c r="G86" s="62" t="str">
        <f t="shared" si="1"/>
        <v/>
      </c>
      <c r="H86" s="48">
        <v>43</v>
      </c>
      <c r="I86" s="62" t="str">
        <f t="shared" si="2"/>
        <v/>
      </c>
      <c r="J86" s="50">
        <v>47</v>
      </c>
      <c r="K86" s="62" t="str">
        <f t="shared" si="3"/>
        <v/>
      </c>
      <c r="L86" s="48">
        <v>23</v>
      </c>
      <c r="M86" s="62" t="str">
        <f t="shared" si="4"/>
        <v/>
      </c>
      <c r="N86" s="48">
        <v>46</v>
      </c>
      <c r="O86" s="62" t="str">
        <f t="shared" si="5"/>
        <v/>
      </c>
      <c r="P86" s="51">
        <v>48</v>
      </c>
      <c r="Q86" s="62" t="str">
        <f t="shared" si="6"/>
        <v/>
      </c>
      <c r="R86" s="48">
        <v>22</v>
      </c>
      <c r="S86" s="62" t="str">
        <f t="shared" si="7"/>
        <v/>
      </c>
      <c r="T86" s="48">
        <v>23</v>
      </c>
      <c r="U86" s="62" t="str">
        <f t="shared" si="8"/>
        <v/>
      </c>
      <c r="V86" s="51">
        <v>64</v>
      </c>
      <c r="W86" s="62" t="str">
        <f t="shared" si="9"/>
        <v/>
      </c>
      <c r="X86" s="48">
        <v>23</v>
      </c>
      <c r="Y86" s="62" t="str">
        <f t="shared" si="10"/>
        <v/>
      </c>
      <c r="Z86" s="51">
        <v>65</v>
      </c>
      <c r="AA86" s="62" t="str">
        <f t="shared" si="11"/>
        <v/>
      </c>
      <c r="AB86" s="48">
        <v>23</v>
      </c>
      <c r="AC86" s="62" t="str">
        <f t="shared" si="12"/>
        <v/>
      </c>
      <c r="AD86" s="48">
        <v>23</v>
      </c>
      <c r="AE86" s="62" t="str">
        <f t="shared" si="13"/>
        <v/>
      </c>
      <c r="AF86" s="51">
        <v>32</v>
      </c>
      <c r="AG86" s="62" t="str">
        <f t="shared" si="14"/>
        <v/>
      </c>
      <c r="AH86" s="48">
        <v>23</v>
      </c>
      <c r="AI86" s="62" t="str">
        <f t="shared" si="15"/>
        <v/>
      </c>
      <c r="AJ86" s="31">
        <f>IF(AND(OR(COUNTIF(D86:AI86,"=31")&gt;=1,COUNTIF(D86:AI86,"=32")&gt;=1,COUNTIF(D86:AI86,"=33")&gt;=1,COUNTIF(D86:AI86,"=34")&gt;=1,COUNTIF(D86:AI86,"=35")=1,COUNTIF(D86:AI86,"=36")&gt;=1 ),COUNTIF(D86:AI86,"")=0,COUNTIF(D86:AI86," ")=0,COUNTIF(D86:AI86,"F")=1),CONCATENATE(SUM(EXTRACTNUMBER(D86),EXTRACTNUMBER(F86),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EXTRACTNUMBER(AD86),EXTRACTNUMBER(AF86),EXTRACTNUMBER(AH86)),"*"),IF(AND(COUNTIF(D86:AI86,"=34")&gt;=1,COUNTIF(D86:AI86,"=35")&gt;=1,COUNTIF(D86:AI86,"f")=2,COUNTIF(D86:AI86,"")=0,COUNTIF(D86:AI86," ")=0),CONCATENATE(SUM(EXTRACTNUMBER(D86),EXTRACTNUMBER(F86),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EXTRACTNUMBER(AD86),EXTRACTNUMBER(AF86),EXTRACTNUMBER(AH86)),"*"),IF(AND(COUNTIF(D86:AI86,"=36")&gt;=2,COUNTIF(D86:AI86,"f")=2,COUNTIF(D86:AI86,"")=0,COUNTIF(D86:AI86," ")=0),CONCATENATE(SUM(EXTRACTNUMBER(D86),EXTRACTNUMBER(F86),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EXTRACTNUMBER(AD86),EXTRACTNUMBER(AF86),EXTRACTNUMBER(AH86)),"*"),SUM(EXTRACTNUMBER(D86),EXTRACTNUMBER(F86),
EXTRACTNUMBER(H86),EXTRACTNUMBER(J86),
EXTRACTNUMBER(L86),EXTRACTNUMBER(N86),
EXTRACTNUMBER(P86),EXTRACTNUMBER(R86),
EXTRACTNUMBER(T86),EXTRACTNUMBER(V86),
EXTRACTNUMBER(X86),EXTRACTNUMBER(Z86),EXTRACTNUMBER(AB86),
EXTRACTNUMBER(AD86),EXTRACTNUMBER(AF86),EXTRACTNUMBER(AH86)))))</f>
        <v>591</v>
      </c>
      <c r="AK86" s="32" t="str">
        <f t="shared" si="16"/>
        <v>PASS</v>
      </c>
      <c r="AL86" s="33" t="str">
        <f>SPELLNUMBER(extractnumber_tot(AJ86))</f>
        <v xml:space="preserve">Five Hundred NinetyOne </v>
      </c>
    </row>
    <row r="87" spans="2:38" s="30" customFormat="1" ht="15.95" customHeight="1">
      <c r="B87" s="37">
        <v>225264</v>
      </c>
      <c r="C87" s="38" t="s">
        <v>280</v>
      </c>
      <c r="D87" s="45">
        <v>51</v>
      </c>
      <c r="E87" s="61" t="str">
        <f t="shared" si="17"/>
        <v/>
      </c>
      <c r="F87" s="48">
        <v>20</v>
      </c>
      <c r="G87" s="62" t="str">
        <f t="shared" si="1"/>
        <v/>
      </c>
      <c r="H87" s="48">
        <v>41</v>
      </c>
      <c r="I87" s="62" t="str">
        <f t="shared" si="2"/>
        <v/>
      </c>
      <c r="J87" s="50">
        <v>40</v>
      </c>
      <c r="K87" s="62" t="str">
        <f t="shared" si="3"/>
        <v/>
      </c>
      <c r="L87" s="48">
        <v>22</v>
      </c>
      <c r="M87" s="62" t="str">
        <f t="shared" si="4"/>
        <v/>
      </c>
      <c r="N87" s="48">
        <v>42</v>
      </c>
      <c r="O87" s="62" t="str">
        <f t="shared" si="5"/>
        <v/>
      </c>
      <c r="P87" s="51">
        <v>45</v>
      </c>
      <c r="Q87" s="62" t="str">
        <f t="shared" si="6"/>
        <v/>
      </c>
      <c r="R87" s="48">
        <v>20</v>
      </c>
      <c r="S87" s="62" t="str">
        <f t="shared" si="7"/>
        <v/>
      </c>
      <c r="T87" s="48">
        <v>21</v>
      </c>
      <c r="U87" s="62" t="str">
        <f t="shared" si="8"/>
        <v/>
      </c>
      <c r="V87" s="51">
        <v>60</v>
      </c>
      <c r="W87" s="62" t="str">
        <f t="shared" si="9"/>
        <v/>
      </c>
      <c r="X87" s="48">
        <v>20</v>
      </c>
      <c r="Y87" s="62" t="str">
        <f t="shared" si="10"/>
        <v/>
      </c>
      <c r="Z87" s="51">
        <v>41</v>
      </c>
      <c r="AA87" s="62" t="str">
        <f t="shared" si="11"/>
        <v/>
      </c>
      <c r="AB87" s="48">
        <v>22</v>
      </c>
      <c r="AC87" s="62" t="str">
        <f t="shared" si="12"/>
        <v/>
      </c>
      <c r="AD87" s="48">
        <v>20</v>
      </c>
      <c r="AE87" s="62" t="str">
        <f t="shared" si="13"/>
        <v/>
      </c>
      <c r="AF87" s="51">
        <v>29</v>
      </c>
      <c r="AG87" s="62" t="str">
        <f t="shared" si="14"/>
        <v/>
      </c>
      <c r="AH87" s="48">
        <v>22</v>
      </c>
      <c r="AI87" s="62" t="str">
        <f t="shared" si="15"/>
        <v/>
      </c>
      <c r="AJ87" s="31">
        <f>IF(AND(OR(COUNTIF(D87:AI87,"=31")&gt;=1,COUNTIF(D87:AI87,"=32")&gt;=1,COUNTIF(D87:AI87,"=33")&gt;=1,COUNTIF(D87:AI87,"=34")&gt;=1,COUNTIF(D87:AI87,"=35")=1,COUNTIF(D87:AI87,"=36")&gt;=1 ),COUNTIF(D87:AI87,"")=0,COUNTIF(D87:AI87," ")=0,COUNTIF(D87:AI87,"F")=1),CONCATENATE(SUM(EXTRACTNUMBER(D87),EXTRACTNUMBER(F87),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EXTRACTNUMBER(AD87),EXTRACTNUMBER(AF87),EXTRACTNUMBER(AH87)),"*"),IF(AND(COUNTIF(D87:AI87,"=34")&gt;=1,COUNTIF(D87:AI87,"=35")&gt;=1,COUNTIF(D87:AI87,"f")=2,COUNTIF(D87:AI87,"")=0,COUNTIF(D87:AI87," ")=0),CONCATENATE(SUM(EXTRACTNUMBER(D87),EXTRACTNUMBER(F87),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EXTRACTNUMBER(AD87),EXTRACTNUMBER(AF87),EXTRACTNUMBER(AH87)),"*"),IF(AND(COUNTIF(D87:AI87,"=36")&gt;=2,COUNTIF(D87:AI87,"f")=2,COUNTIF(D87:AI87,"")=0,COUNTIF(D87:AI87," ")=0),CONCATENATE(SUM(EXTRACTNUMBER(D87),EXTRACTNUMBER(F87),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EXTRACTNUMBER(AD87),EXTRACTNUMBER(AF87),EXTRACTNUMBER(AH87)),"*"),SUM(EXTRACTNUMBER(D87),EXTRACTNUMBER(F87),
EXTRACTNUMBER(H87),EXTRACTNUMBER(J87),
EXTRACTNUMBER(L87),EXTRACTNUMBER(N87),
EXTRACTNUMBER(P87),EXTRACTNUMBER(R87),
EXTRACTNUMBER(T87),EXTRACTNUMBER(V87),
EXTRACTNUMBER(X87),EXTRACTNUMBER(Z87),EXTRACTNUMBER(AB87),
EXTRACTNUMBER(AD87),EXTRACTNUMBER(AF87),EXTRACTNUMBER(AH87)))))</f>
        <v>516</v>
      </c>
      <c r="AK87" s="32" t="str">
        <f t="shared" si="16"/>
        <v>PASS</v>
      </c>
      <c r="AL87" s="33" t="str">
        <f>SPELLNUMBER(extractnumber_tot(AJ87))</f>
        <v xml:space="preserve">Five Hundred Sixteen </v>
      </c>
    </row>
    <row r="88" spans="2:38" s="30" customFormat="1" ht="15.95" customHeight="1">
      <c r="B88" s="37">
        <v>225265</v>
      </c>
      <c r="C88" s="38" t="s">
        <v>281</v>
      </c>
      <c r="D88" s="45">
        <v>53</v>
      </c>
      <c r="E88" s="61" t="str">
        <f t="shared" si="17"/>
        <v/>
      </c>
      <c r="F88" s="48">
        <v>23</v>
      </c>
      <c r="G88" s="62" t="str">
        <f t="shared" si="1"/>
        <v/>
      </c>
      <c r="H88" s="48">
        <v>39</v>
      </c>
      <c r="I88" s="62" t="str">
        <f t="shared" si="2"/>
        <v/>
      </c>
      <c r="J88" s="50">
        <v>48</v>
      </c>
      <c r="K88" s="62" t="str">
        <f t="shared" si="3"/>
        <v/>
      </c>
      <c r="L88" s="48">
        <v>23</v>
      </c>
      <c r="M88" s="62" t="str">
        <f t="shared" si="4"/>
        <v/>
      </c>
      <c r="N88" s="48">
        <v>42</v>
      </c>
      <c r="O88" s="62" t="str">
        <f t="shared" si="5"/>
        <v/>
      </c>
      <c r="P88" s="51">
        <v>42</v>
      </c>
      <c r="Q88" s="62" t="str">
        <f t="shared" si="6"/>
        <v/>
      </c>
      <c r="R88" s="48">
        <v>23</v>
      </c>
      <c r="S88" s="62" t="str">
        <f t="shared" si="7"/>
        <v/>
      </c>
      <c r="T88" s="48">
        <v>22</v>
      </c>
      <c r="U88" s="62" t="str">
        <f t="shared" si="8"/>
        <v/>
      </c>
      <c r="V88" s="51">
        <v>51</v>
      </c>
      <c r="W88" s="62" t="str">
        <f t="shared" si="9"/>
        <v/>
      </c>
      <c r="X88" s="48">
        <v>23</v>
      </c>
      <c r="Y88" s="62" t="str">
        <f t="shared" si="10"/>
        <v/>
      </c>
      <c r="Z88" s="51">
        <v>62</v>
      </c>
      <c r="AA88" s="62" t="str">
        <f t="shared" si="11"/>
        <v/>
      </c>
      <c r="AB88" s="48">
        <v>23</v>
      </c>
      <c r="AC88" s="62" t="str">
        <f t="shared" si="12"/>
        <v/>
      </c>
      <c r="AD88" s="48">
        <v>19</v>
      </c>
      <c r="AE88" s="62" t="str">
        <f t="shared" si="13"/>
        <v/>
      </c>
      <c r="AF88" s="51">
        <v>29</v>
      </c>
      <c r="AG88" s="62" t="str">
        <f t="shared" si="14"/>
        <v/>
      </c>
      <c r="AH88" s="48">
        <v>23</v>
      </c>
      <c r="AI88" s="62" t="str">
        <f t="shared" si="15"/>
        <v/>
      </c>
      <c r="AJ88" s="31">
        <f>IF(AND(OR(COUNTIF(D88:AI88,"=31")&gt;=1,COUNTIF(D88:AI88,"=32")&gt;=1,COUNTIF(D88:AI88,"=33")&gt;=1,COUNTIF(D88:AI88,"=34")&gt;=1,COUNTIF(D88:AI88,"=35")=1,COUNTIF(D88:AI88,"=36")&gt;=1 ),COUNTIF(D88:AI88,"")=0,COUNTIF(D88:AI88," ")=0,COUNTIF(D88:AI88,"F")=1),CONCATENATE(SUM(EXTRACTNUMBER(D88),EXTRACTNUMBER(F88),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EXTRACTNUMBER(AD88),EXTRACTNUMBER(AF88),EXTRACTNUMBER(AH88)),"*"),IF(AND(COUNTIF(D88:AI88,"=34")&gt;=1,COUNTIF(D88:AI88,"=35")&gt;=1,COUNTIF(D88:AI88,"f")=2,COUNTIF(D88:AI88,"")=0,COUNTIF(D88:AI88," ")=0),CONCATENATE(SUM(EXTRACTNUMBER(D88),EXTRACTNUMBER(F88),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EXTRACTNUMBER(AD88),EXTRACTNUMBER(AF88),EXTRACTNUMBER(AH88)),"*"),IF(AND(COUNTIF(D88:AI88,"=36")&gt;=2,COUNTIF(D88:AI88,"f")=2,COUNTIF(D88:AI88,"")=0,COUNTIF(D88:AI88," ")=0),CONCATENATE(SUM(EXTRACTNUMBER(D88),EXTRACTNUMBER(F88),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EXTRACTNUMBER(AD88),EXTRACTNUMBER(AF88),EXTRACTNUMBER(AH88)),"*"),SUM(EXTRACTNUMBER(D88),EXTRACTNUMBER(F88),
EXTRACTNUMBER(H88),EXTRACTNUMBER(J88),
EXTRACTNUMBER(L88),EXTRACTNUMBER(N88),
EXTRACTNUMBER(P88),EXTRACTNUMBER(R88),
EXTRACTNUMBER(T88),EXTRACTNUMBER(V88),
EXTRACTNUMBER(X88),EXTRACTNUMBER(Z88),EXTRACTNUMBER(AB88),
EXTRACTNUMBER(AD88),EXTRACTNUMBER(AF88),EXTRACTNUMBER(AH88)))))</f>
        <v>545</v>
      </c>
      <c r="AK88" s="32" t="str">
        <f t="shared" si="16"/>
        <v>PASS</v>
      </c>
      <c r="AL88" s="33" t="str">
        <f>SPELLNUMBER(extractnumber_tot(AJ88))</f>
        <v xml:space="preserve">Five Hundred Forty Five </v>
      </c>
    </row>
    <row r="89" spans="2:38" s="30" customFormat="1" ht="15.95" customHeight="1">
      <c r="B89" s="37">
        <v>225266</v>
      </c>
      <c r="C89" s="38" t="s">
        <v>282</v>
      </c>
      <c r="D89" s="45">
        <v>53</v>
      </c>
      <c r="E89" s="61" t="str">
        <f t="shared" ref="E89:E120" si="18">IF(IFERROR(FIND("+",D89),0)," ",
IF(D89="AB","",
IF(D89&lt;$D$24,"F",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F89" s="48">
        <v>20</v>
      </c>
      <c r="G89" s="62" t="str">
        <f t="shared" ref="G89:G120" si="19">IF(IFERROR(FIND("+",F89),0)," ",
IF(F89="AB","",
IF(F89&lt;$F$24,"F",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H89" s="48">
        <v>40</v>
      </c>
      <c r="I89" s="62" t="str">
        <f t="shared" ref="I89:I120" si="20">IF(IFERROR(FIND("+",H89),0)," ",
IF(H89="AB","",
IF(H89&lt;$H$24,"F",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J89" s="50">
        <v>46</v>
      </c>
      <c r="K89" s="62" t="str">
        <f t="shared" ref="K89:K120" si="21">IF(IFERROR(FIND("+",J89),0)," ",
IF(J89="AB","",
IF(J89&lt;$J$24,"F",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L89" s="48">
        <v>22</v>
      </c>
      <c r="M89" s="62" t="str">
        <f t="shared" ref="M89:M120" si="22">IF(IFERROR(FIND("+",L89),0)," ",
IF(L89="AB","",
IF(L89&lt;$L$24,"F",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N89" s="48">
        <v>46</v>
      </c>
      <c r="O89" s="62" t="str">
        <f t="shared" ref="O89:O120" si="23">IF(IFERROR(FIND("+",N89),0)," ",
IF(N89="AB","",
IF(N89&lt;$N$24,"F",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P89" s="51">
        <v>51</v>
      </c>
      <c r="Q89" s="62" t="str">
        <f t="shared" ref="Q89:Q120" si="24">IF(IFERROR(FIND("+",P89),0)," ",
IF(P89="AB","",
IF(P89&lt;$P$24,"F",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R89" s="48">
        <v>20</v>
      </c>
      <c r="S89" s="62" t="str">
        <f t="shared" ref="S89:S120" si="25">IF(IFERROR(FIND("+",R89),0)," ",
IF(R89="AB","",
IF(R89&lt;$R$24,"F",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T89" s="48">
        <v>20</v>
      </c>
      <c r="U89" s="62" t="str">
        <f t="shared" ref="U89:U120" si="26">IF(IFERROR(FIND("+",T89),0)," ",
IF(T89="AB","",
IF(T89&lt;$T$24,"F",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V89" s="51">
        <v>61</v>
      </c>
      <c r="W89" s="62" t="str">
        <f t="shared" ref="W89:W120" si="27">IF(IFERROR(FIND("+",V89),0)," ",
IF(V89="AB","",
IF(V89&lt;$V$24,"F",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X89" s="48">
        <v>22</v>
      </c>
      <c r="Y89" s="62" t="str">
        <f t="shared" ref="Y89:Y120" si="28">IF(IFERROR(FIND("+",X89),0)," ",
IF(X89="AB","",
IF(X89&lt;$X$24,"F",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Z89" s="51">
        <v>40</v>
      </c>
      <c r="AA89" s="62" t="str">
        <f t="shared" ref="AA89:AA120" si="29">IF(IFERROR(FIND("+",Z89),0)," ",
IF(Z89="AB","",
IF(Z89&lt;$Z$24,"F",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AB89" s="48">
        <v>22</v>
      </c>
      <c r="AC89" s="62" t="str">
        <f t="shared" ref="AC89:AC120" si="30">IF(IFERROR(FIND("+",AB89),0)," ",
IF(AB89="AB","",
IF(AB89&lt;$AB$24,"F",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AD89" s="48">
        <v>18</v>
      </c>
      <c r="AE89" s="62" t="str">
        <f t="shared" ref="AE89:AE120" si="31">IF(IFERROR(FIND("+",AD89),0)," ",
IF(AD89="AB","",
IF(AD89&lt;$AD$24,"F",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AF89" s="51">
        <v>30</v>
      </c>
      <c r="AG89" s="62" t="str">
        <f t="shared" ref="AG89:AG120" si="32">IF(IFERROR(FIND("+",AF89),0)," ",
IF(AF89="AB","",
IF(AF89&lt;$AF$24,"F",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AH89" s="48">
        <v>22</v>
      </c>
      <c r="AI89" s="62" t="str">
        <f t="shared" ref="AI89:AI120" si="33">IF(IFERROR(FIND("+",AH89),0)," ",
IF(AH89="AB","",
IF(AH89&lt;$AH$24,"F",
IF(AND(D89&gt;=$D$24,F89&gt;=$F$24,H89&gt;=$H$24,
J89&gt;=$J$24,L89&gt;=$L$24,
N89&gt;=$N$24,P89&gt;=$P$24,R89&gt;=$R$24,T89&gt;=$T$24,V89&gt;=$V$24,
X89&gt;=$X$24,Z89&gt;=$Z$24,AB89&gt;=$AB$24,AD89&gt;=$AD$24,AF89&gt;=$AF$24,
AH89&gt;=$AH$24,D89&lt;&gt;"AB",F89&lt;&gt;"AB",H89&lt;&gt;"AB",
J89&lt;&gt;"AB",L89&lt;&gt;"AB",
N89&lt;&gt;"AB",P89&lt;&gt;"AB",R89&lt;&gt;"AB",T89&lt;&gt;"AB",V89&lt;&gt;"AB",
X89&lt;&gt;"AB",Z89&lt;&gt;"AB",AB89&lt;&gt;"AB",AD89&lt;&gt;"AB",AF89&lt;&gt;"AB",
AH89&lt;&gt;"AB"),"","E"))))</f>
        <v/>
      </c>
      <c r="AJ89" s="31">
        <f>IF(AND(OR(COUNTIF(D89:AI89,"=31")&gt;=1,COUNTIF(D89:AI89,"=32")&gt;=1,COUNTIF(D89:AI89,"=33")&gt;=1,COUNTIF(D89:AI89,"=34")&gt;=1,COUNTIF(D89:AI89,"=35")=1,COUNTIF(D89:AI89,"=36")&gt;=1 ),COUNTIF(D89:AI89,"")=0,COUNTIF(D89:AI89," ")=0,COUNTIF(D89:AI89,"F")=1),CONCATENATE(SUM(EXTRACTNUMBER(D89),EXTRACTNUMBER(F89),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EXTRACTNUMBER(AD89),EXTRACTNUMBER(AF89),EXTRACTNUMBER(AH89)),"*"),IF(AND(COUNTIF(D89:AI89,"=34")&gt;=1,COUNTIF(D89:AI89,"=35")&gt;=1,COUNTIF(D89:AI89,"f")=2,COUNTIF(D89:AI89,"")=0,COUNTIF(D89:AI89," ")=0),CONCATENATE(SUM(EXTRACTNUMBER(D89),EXTRACTNUMBER(F89),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EXTRACTNUMBER(AD89),EXTRACTNUMBER(AF89),EXTRACTNUMBER(AH89)),"*"),IF(AND(COUNTIF(D89:AI89,"=36")&gt;=2,COUNTIF(D89:AI89,"f")=2,COUNTIF(D89:AI89,"")=0,COUNTIF(D89:AI89," ")=0),CONCATENATE(SUM(EXTRACTNUMBER(D89),EXTRACTNUMBER(F89),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EXTRACTNUMBER(AD89),EXTRACTNUMBER(AF89),EXTRACTNUMBER(AH89)),"*"),SUM(EXTRACTNUMBER(D89),EXTRACTNUMBER(F89),
EXTRACTNUMBER(H89),EXTRACTNUMBER(J89),
EXTRACTNUMBER(L89),EXTRACTNUMBER(N89),
EXTRACTNUMBER(P89),EXTRACTNUMBER(R89),
EXTRACTNUMBER(T89),EXTRACTNUMBER(V89),
EXTRACTNUMBER(X89),EXTRACTNUMBER(Z89),EXTRACTNUMBER(AB89),
EXTRACTNUMBER(AD89),EXTRACTNUMBER(AF89),EXTRACTNUMBER(AH89)))))</f>
        <v>533</v>
      </c>
      <c r="AK89" s="32" t="str">
        <f t="shared" si="16"/>
        <v>PASS</v>
      </c>
      <c r="AL89" s="33" t="str">
        <f>SPELLNUMBER(extractnumber_tot(AJ89))</f>
        <v xml:space="preserve">Five Hundred Thirty Three </v>
      </c>
    </row>
    <row r="90" spans="2:38" s="30" customFormat="1" ht="15.95" customHeight="1">
      <c r="B90" s="37">
        <v>225267</v>
      </c>
      <c r="C90" s="38" t="s">
        <v>283</v>
      </c>
      <c r="D90" s="45">
        <v>42</v>
      </c>
      <c r="E90" s="61" t="str">
        <f t="shared" si="18"/>
        <v>E</v>
      </c>
      <c r="F90" s="48">
        <v>21</v>
      </c>
      <c r="G90" s="62" t="str">
        <f t="shared" si="19"/>
        <v>E</v>
      </c>
      <c r="H90" s="48">
        <v>44</v>
      </c>
      <c r="I90" s="62" t="str">
        <f t="shared" si="20"/>
        <v>E</v>
      </c>
      <c r="J90" s="50">
        <v>53</v>
      </c>
      <c r="K90" s="62" t="str">
        <f t="shared" si="21"/>
        <v>E</v>
      </c>
      <c r="L90" s="48">
        <v>18</v>
      </c>
      <c r="M90" s="62" t="str">
        <f t="shared" si="22"/>
        <v>E</v>
      </c>
      <c r="N90" s="48">
        <v>38</v>
      </c>
      <c r="O90" s="62" t="str">
        <f t="shared" si="23"/>
        <v>E</v>
      </c>
      <c r="P90" s="51">
        <v>30</v>
      </c>
      <c r="Q90" s="62" t="str">
        <f t="shared" si="24"/>
        <v>F</v>
      </c>
      <c r="R90" s="48">
        <v>21</v>
      </c>
      <c r="S90" s="62" t="str">
        <f t="shared" si="25"/>
        <v>E</v>
      </c>
      <c r="T90" s="48">
        <v>22</v>
      </c>
      <c r="U90" s="62" t="str">
        <f t="shared" si="26"/>
        <v>E</v>
      </c>
      <c r="V90" s="51">
        <v>53</v>
      </c>
      <c r="W90" s="62" t="str">
        <f t="shared" si="27"/>
        <v>E</v>
      </c>
      <c r="X90" s="48">
        <v>18</v>
      </c>
      <c r="Y90" s="62" t="str">
        <f t="shared" si="28"/>
        <v>E</v>
      </c>
      <c r="Z90" s="51">
        <v>46</v>
      </c>
      <c r="AA90" s="62" t="str">
        <f t="shared" si="29"/>
        <v>E</v>
      </c>
      <c r="AB90" s="48">
        <v>18</v>
      </c>
      <c r="AC90" s="62" t="str">
        <f t="shared" si="30"/>
        <v>E</v>
      </c>
      <c r="AD90" s="48">
        <v>17</v>
      </c>
      <c r="AE90" s="62" t="str">
        <f t="shared" si="31"/>
        <v>E</v>
      </c>
      <c r="AF90" s="51">
        <v>25</v>
      </c>
      <c r="AG90" s="62" t="str">
        <f t="shared" si="32"/>
        <v>E</v>
      </c>
      <c r="AH90" s="48">
        <v>21</v>
      </c>
      <c r="AI90" s="62" t="str">
        <f t="shared" si="33"/>
        <v>E</v>
      </c>
      <c r="AJ90" s="31">
        <f>IF(AND(OR(COUNTIF(D90:AI90,"=31")&gt;=1,COUNTIF(D90:AI90,"=32")&gt;=1,COUNTIF(D90:AI90,"=33")&gt;=1,COUNTIF(D90:AI90,"=34")&gt;=1,COUNTIF(D90:AI90,"=35")=1,COUNTIF(D90:AI90,"=36")&gt;=1 ),COUNTIF(D90:AI90,"")=0,COUNTIF(D90:AI90," ")=0,COUNTIF(D90:AI90,"F")=1),CONCATENATE(SUM(EXTRACTNUMBER(D90),EXTRACTNUMBER(F90),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EXTRACTNUMBER(AD90),EXTRACTNUMBER(AF90),EXTRACTNUMBER(AH90)),"*"),IF(AND(COUNTIF(D90:AI90,"=34")&gt;=1,COUNTIF(D90:AI90,"=35")&gt;=1,COUNTIF(D90:AI90,"f")=2,COUNTIF(D90:AI90,"")=0,COUNTIF(D90:AI90," ")=0),CONCATENATE(SUM(EXTRACTNUMBER(D90),EXTRACTNUMBER(F90),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EXTRACTNUMBER(AD90),EXTRACTNUMBER(AF90),EXTRACTNUMBER(AH90)),"*"),IF(AND(COUNTIF(D90:AI90,"=36")&gt;=2,COUNTIF(D90:AI90,"f")=2,COUNTIF(D90:AI90,"")=0,COUNTIF(D90:AI90," ")=0),CONCATENATE(SUM(EXTRACTNUMBER(D90),EXTRACTNUMBER(F90),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EXTRACTNUMBER(AD90),EXTRACTNUMBER(AF90),EXTRACTNUMBER(AH90)),"*"),SUM(EXTRACTNUMBER(D90),EXTRACTNUMBER(F90),
EXTRACTNUMBER(H90),EXTRACTNUMBER(J90),
EXTRACTNUMBER(L90),EXTRACTNUMBER(N90),
EXTRACTNUMBER(P90),EXTRACTNUMBER(R90),
EXTRACTNUMBER(T90),EXTRACTNUMBER(V90),
EXTRACTNUMBER(X90),EXTRACTNUMBER(Z90),EXTRACTNUMBER(AB90),
EXTRACTNUMBER(AD90),EXTRACTNUMBER(AF90),EXTRACTNUMBER(AH90)))))</f>
        <v>487</v>
      </c>
      <c r="AK90" s="32" t="str">
        <f t="shared" ref="AK90:AK153" si="34">IF(AND(COUNTIF(D90:AI90,"AB")&lt;16-COUNTIF(D90:AI90," "),
COUNTIF(D90:AI90,"AB")&lt;&gt;0),"FAIL",
IF(COUNTIF(D90:AI90,"AB")=16-COUNTIF(D90:AI90," "),"ABSENT",
IF(AND(COUNTIF(D90:AI90,"AB")=0,COUNTIF(D90:AI90,"F")=0),"PASS","FAIL")))</f>
        <v>FAIL</v>
      </c>
      <c r="AL90" s="33" t="str">
        <f>SPELLNUMBER(extractnumber_tot(AJ90))</f>
        <v xml:space="preserve">Four Hundred Eighty Seven </v>
      </c>
    </row>
    <row r="91" spans="2:38" s="30" customFormat="1" ht="15.95" customHeight="1">
      <c r="B91" s="37">
        <v>225268</v>
      </c>
      <c r="C91" s="38" t="s">
        <v>284</v>
      </c>
      <c r="D91" s="45">
        <v>66</v>
      </c>
      <c r="E91" s="61" t="str">
        <f t="shared" si="18"/>
        <v/>
      </c>
      <c r="F91" s="48">
        <v>22</v>
      </c>
      <c r="G91" s="62" t="str">
        <f t="shared" si="19"/>
        <v/>
      </c>
      <c r="H91" s="48">
        <v>40</v>
      </c>
      <c r="I91" s="62" t="str">
        <f t="shared" si="20"/>
        <v/>
      </c>
      <c r="J91" s="50">
        <v>45</v>
      </c>
      <c r="K91" s="62" t="str">
        <f t="shared" si="21"/>
        <v/>
      </c>
      <c r="L91" s="48">
        <v>22</v>
      </c>
      <c r="M91" s="62" t="str">
        <f t="shared" si="22"/>
        <v/>
      </c>
      <c r="N91" s="48">
        <v>46</v>
      </c>
      <c r="O91" s="62" t="str">
        <f t="shared" si="23"/>
        <v/>
      </c>
      <c r="P91" s="51">
        <v>50</v>
      </c>
      <c r="Q91" s="62" t="str">
        <f t="shared" si="24"/>
        <v/>
      </c>
      <c r="R91" s="48">
        <v>22</v>
      </c>
      <c r="S91" s="62" t="str">
        <f t="shared" si="25"/>
        <v/>
      </c>
      <c r="T91" s="48">
        <v>20</v>
      </c>
      <c r="U91" s="62" t="str">
        <f t="shared" si="26"/>
        <v/>
      </c>
      <c r="V91" s="51">
        <v>45</v>
      </c>
      <c r="W91" s="62" t="str">
        <f t="shared" si="27"/>
        <v/>
      </c>
      <c r="X91" s="48">
        <v>20</v>
      </c>
      <c r="Y91" s="62" t="str">
        <f t="shared" si="28"/>
        <v/>
      </c>
      <c r="Z91" s="51">
        <v>54</v>
      </c>
      <c r="AA91" s="62" t="str">
        <f t="shared" si="29"/>
        <v/>
      </c>
      <c r="AB91" s="48">
        <v>22</v>
      </c>
      <c r="AC91" s="62" t="str">
        <f t="shared" si="30"/>
        <v/>
      </c>
      <c r="AD91" s="48">
        <v>18</v>
      </c>
      <c r="AE91" s="62" t="str">
        <f t="shared" si="31"/>
        <v/>
      </c>
      <c r="AF91" s="51">
        <v>24</v>
      </c>
      <c r="AG91" s="62" t="str">
        <f t="shared" si="32"/>
        <v/>
      </c>
      <c r="AH91" s="48">
        <v>20</v>
      </c>
      <c r="AI91" s="62" t="str">
        <f t="shared" si="33"/>
        <v/>
      </c>
      <c r="AJ91" s="31">
        <f>IF(AND(OR(COUNTIF(D91:AI91,"=31")&gt;=1,COUNTIF(D91:AI91,"=32")&gt;=1,COUNTIF(D91:AI91,"=33")&gt;=1,COUNTIF(D91:AI91,"=34")&gt;=1,COUNTIF(D91:AI91,"=35")=1,COUNTIF(D91:AI91,"=36")&gt;=1 ),COUNTIF(D91:AI91,"")=0,COUNTIF(D91:AI91," ")=0,COUNTIF(D91:AI91,"F")=1),CONCATENATE(SUM(EXTRACTNUMBER(D91),EXTRACTNUMBER(F91),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EXTRACTNUMBER(AD91),EXTRACTNUMBER(AF91),EXTRACTNUMBER(AH91)),"*"),IF(AND(COUNTIF(D91:AI91,"=34")&gt;=1,COUNTIF(D91:AI91,"=35")&gt;=1,COUNTIF(D91:AI91,"f")=2,COUNTIF(D91:AI91,"")=0,COUNTIF(D91:AI91," ")=0),CONCATENATE(SUM(EXTRACTNUMBER(D91),EXTRACTNUMBER(F91),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EXTRACTNUMBER(AD91),EXTRACTNUMBER(AF91),EXTRACTNUMBER(AH91)),"*"),IF(AND(COUNTIF(D91:AI91,"=36")&gt;=2,COUNTIF(D91:AI91,"f")=2,COUNTIF(D91:AI91,"")=0,COUNTIF(D91:AI91," ")=0),CONCATENATE(SUM(EXTRACTNUMBER(D91),EXTRACTNUMBER(F91),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EXTRACTNUMBER(AD91),EXTRACTNUMBER(AF91),EXTRACTNUMBER(AH91)),"*"),SUM(EXTRACTNUMBER(D91),EXTRACTNUMBER(F91),
EXTRACTNUMBER(H91),EXTRACTNUMBER(J91),
EXTRACTNUMBER(L91),EXTRACTNUMBER(N91),
EXTRACTNUMBER(P91),EXTRACTNUMBER(R91),
EXTRACTNUMBER(T91),EXTRACTNUMBER(V91),
EXTRACTNUMBER(X91),EXTRACTNUMBER(Z91),EXTRACTNUMBER(AB91),
EXTRACTNUMBER(AD91),EXTRACTNUMBER(AF91),EXTRACTNUMBER(AH91)))))</f>
        <v>536</v>
      </c>
      <c r="AK91" s="32" t="str">
        <f t="shared" si="34"/>
        <v>PASS</v>
      </c>
      <c r="AL91" s="33" t="str">
        <f>SPELLNUMBER(extractnumber_tot(AJ91))</f>
        <v xml:space="preserve">Five Hundred Thirty Six </v>
      </c>
    </row>
    <row r="92" spans="2:38" s="30" customFormat="1" ht="15.95" customHeight="1">
      <c r="B92" s="37">
        <v>225269</v>
      </c>
      <c r="C92" s="38" t="s">
        <v>285</v>
      </c>
      <c r="D92" s="45">
        <v>66</v>
      </c>
      <c r="E92" s="61" t="str">
        <f t="shared" si="18"/>
        <v/>
      </c>
      <c r="F92" s="48">
        <v>23</v>
      </c>
      <c r="G92" s="62" t="str">
        <f t="shared" si="19"/>
        <v/>
      </c>
      <c r="H92" s="48">
        <v>39</v>
      </c>
      <c r="I92" s="62" t="str">
        <f t="shared" si="20"/>
        <v/>
      </c>
      <c r="J92" s="50">
        <v>60</v>
      </c>
      <c r="K92" s="62" t="str">
        <f t="shared" si="21"/>
        <v/>
      </c>
      <c r="L92" s="48">
        <v>23</v>
      </c>
      <c r="M92" s="62" t="str">
        <f t="shared" si="22"/>
        <v/>
      </c>
      <c r="N92" s="48">
        <v>44</v>
      </c>
      <c r="O92" s="62" t="str">
        <f t="shared" si="23"/>
        <v/>
      </c>
      <c r="P92" s="51">
        <v>51</v>
      </c>
      <c r="Q92" s="62" t="str">
        <f t="shared" si="24"/>
        <v/>
      </c>
      <c r="R92" s="48">
        <v>23</v>
      </c>
      <c r="S92" s="62" t="str">
        <f t="shared" si="25"/>
        <v/>
      </c>
      <c r="T92" s="48">
        <v>20</v>
      </c>
      <c r="U92" s="62" t="str">
        <f t="shared" si="26"/>
        <v/>
      </c>
      <c r="V92" s="51">
        <v>67</v>
      </c>
      <c r="W92" s="62" t="str">
        <f t="shared" si="27"/>
        <v/>
      </c>
      <c r="X92" s="48">
        <v>23</v>
      </c>
      <c r="Y92" s="62" t="str">
        <f t="shared" si="28"/>
        <v/>
      </c>
      <c r="Z92" s="51">
        <v>60</v>
      </c>
      <c r="AA92" s="62" t="str">
        <f t="shared" si="29"/>
        <v/>
      </c>
      <c r="AB92" s="48">
        <v>23</v>
      </c>
      <c r="AC92" s="62" t="str">
        <f t="shared" si="30"/>
        <v/>
      </c>
      <c r="AD92" s="48">
        <v>23</v>
      </c>
      <c r="AE92" s="62" t="str">
        <f t="shared" si="31"/>
        <v/>
      </c>
      <c r="AF92" s="51">
        <v>28</v>
      </c>
      <c r="AG92" s="62" t="str">
        <f t="shared" si="32"/>
        <v/>
      </c>
      <c r="AH92" s="48">
        <v>23</v>
      </c>
      <c r="AI92" s="62" t="str">
        <f t="shared" si="33"/>
        <v/>
      </c>
      <c r="AJ92" s="31">
        <f>IF(AND(OR(COUNTIF(D92:AI92,"=31")&gt;=1,COUNTIF(D92:AI92,"=32")&gt;=1,COUNTIF(D92:AI92,"=33")&gt;=1,COUNTIF(D92:AI92,"=34")&gt;=1,COUNTIF(D92:AI92,"=35")=1,COUNTIF(D92:AI92,"=36")&gt;=1 ),COUNTIF(D92:AI92,"")=0,COUNTIF(D92:AI92," ")=0,COUNTIF(D92:AI92,"F")=1),CONCATENATE(SUM(EXTRACTNUMBER(D92),EXTRACTNUMBER(F92),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EXTRACTNUMBER(AD92),EXTRACTNUMBER(AF92),EXTRACTNUMBER(AH92)),"*"),IF(AND(COUNTIF(D92:AI92,"=34")&gt;=1,COUNTIF(D92:AI92,"=35")&gt;=1,COUNTIF(D92:AI92,"f")=2,COUNTIF(D92:AI92,"")=0,COUNTIF(D92:AI92," ")=0),CONCATENATE(SUM(EXTRACTNUMBER(D92),EXTRACTNUMBER(F92),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EXTRACTNUMBER(AD92),EXTRACTNUMBER(AF92),EXTRACTNUMBER(AH92)),"*"),IF(AND(COUNTIF(D92:AI92,"=36")&gt;=2,COUNTIF(D92:AI92,"f")=2,COUNTIF(D92:AI92,"")=0,COUNTIF(D92:AI92," ")=0),CONCATENATE(SUM(EXTRACTNUMBER(D92),EXTRACTNUMBER(F92),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EXTRACTNUMBER(AD92),EXTRACTNUMBER(AF92),EXTRACTNUMBER(AH92)),"*"),SUM(EXTRACTNUMBER(D92),EXTRACTNUMBER(F92),
EXTRACTNUMBER(H92),EXTRACTNUMBER(J92),
EXTRACTNUMBER(L92),EXTRACTNUMBER(N92),
EXTRACTNUMBER(P92),EXTRACTNUMBER(R92),
EXTRACTNUMBER(T92),EXTRACTNUMBER(V92),
EXTRACTNUMBER(X92),EXTRACTNUMBER(Z92),EXTRACTNUMBER(AB92),
EXTRACTNUMBER(AD92),EXTRACTNUMBER(AF92),EXTRACTNUMBER(AH92)))))</f>
        <v>596</v>
      </c>
      <c r="AK92" s="32" t="str">
        <f t="shared" si="34"/>
        <v>PASS</v>
      </c>
      <c r="AL92" s="33" t="str">
        <f>SPELLNUMBER(extractnumber_tot(AJ92))</f>
        <v xml:space="preserve">Five Hundred NinetySix </v>
      </c>
    </row>
    <row r="93" spans="2:38" s="30" customFormat="1" ht="15.95" customHeight="1">
      <c r="B93" s="37">
        <v>225270</v>
      </c>
      <c r="C93" s="38" t="s">
        <v>286</v>
      </c>
      <c r="D93" s="45">
        <v>46</v>
      </c>
      <c r="E93" s="61" t="str">
        <f t="shared" si="18"/>
        <v>E</v>
      </c>
      <c r="F93" s="48">
        <v>20</v>
      </c>
      <c r="G93" s="62" t="str">
        <f t="shared" si="19"/>
        <v>E</v>
      </c>
      <c r="H93" s="48">
        <v>39</v>
      </c>
      <c r="I93" s="62" t="str">
        <f t="shared" si="20"/>
        <v>E</v>
      </c>
      <c r="J93" s="50">
        <v>46</v>
      </c>
      <c r="K93" s="62" t="str">
        <f t="shared" si="21"/>
        <v>E</v>
      </c>
      <c r="L93" s="48">
        <v>20</v>
      </c>
      <c r="M93" s="62" t="str">
        <f t="shared" si="22"/>
        <v>E</v>
      </c>
      <c r="N93" s="48">
        <v>42</v>
      </c>
      <c r="O93" s="62" t="str">
        <f t="shared" si="23"/>
        <v>E</v>
      </c>
      <c r="P93" s="51">
        <v>27</v>
      </c>
      <c r="Q93" s="62" t="str">
        <f t="shared" si="24"/>
        <v>F</v>
      </c>
      <c r="R93" s="48">
        <v>20</v>
      </c>
      <c r="S93" s="62" t="str">
        <f t="shared" si="25"/>
        <v>E</v>
      </c>
      <c r="T93" s="48">
        <v>20</v>
      </c>
      <c r="U93" s="62" t="str">
        <f t="shared" si="26"/>
        <v>E</v>
      </c>
      <c r="V93" s="51">
        <v>52</v>
      </c>
      <c r="W93" s="62" t="str">
        <f t="shared" si="27"/>
        <v>E</v>
      </c>
      <c r="X93" s="48">
        <v>20</v>
      </c>
      <c r="Y93" s="62" t="str">
        <f t="shared" si="28"/>
        <v>E</v>
      </c>
      <c r="Z93" s="51">
        <v>51</v>
      </c>
      <c r="AA93" s="62" t="str">
        <f t="shared" si="29"/>
        <v>E</v>
      </c>
      <c r="AB93" s="48">
        <v>20</v>
      </c>
      <c r="AC93" s="62" t="str">
        <f t="shared" si="30"/>
        <v>E</v>
      </c>
      <c r="AD93" s="48">
        <v>18</v>
      </c>
      <c r="AE93" s="62" t="str">
        <f t="shared" si="31"/>
        <v>E</v>
      </c>
      <c r="AF93" s="51">
        <v>20</v>
      </c>
      <c r="AG93" s="62" t="str">
        <f t="shared" si="32"/>
        <v>E</v>
      </c>
      <c r="AH93" s="48">
        <v>20</v>
      </c>
      <c r="AI93" s="62" t="str">
        <f t="shared" si="33"/>
        <v>E</v>
      </c>
      <c r="AJ93" s="31">
        <f>IF(AND(OR(COUNTIF(D93:AI93,"=31")&gt;=1,COUNTIF(D93:AI93,"=32")&gt;=1,COUNTIF(D93:AI93,"=33")&gt;=1,COUNTIF(D93:AI93,"=34")&gt;=1,COUNTIF(D93:AI93,"=35")=1,COUNTIF(D93:AI93,"=36")&gt;=1 ),COUNTIF(D93:AI93,"")=0,COUNTIF(D93:AI93," ")=0,COUNTIF(D93:AI93,"F")=1),CONCATENATE(SUM(EXTRACTNUMBER(D93),EXTRACTNUMBER(F93),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EXTRACTNUMBER(AD93),EXTRACTNUMBER(AF93),EXTRACTNUMBER(AH93)),"*"),IF(AND(COUNTIF(D93:AI93,"=34")&gt;=1,COUNTIF(D93:AI93,"=35")&gt;=1,COUNTIF(D93:AI93,"f")=2,COUNTIF(D93:AI93,"")=0,COUNTIF(D93:AI93," ")=0),CONCATENATE(SUM(EXTRACTNUMBER(D93),EXTRACTNUMBER(F93),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EXTRACTNUMBER(AD93),EXTRACTNUMBER(AF93),EXTRACTNUMBER(AH93)),"*"),IF(AND(COUNTIF(D93:AI93,"=36")&gt;=2,COUNTIF(D93:AI93,"f")=2,COUNTIF(D93:AI93,"")=0,COUNTIF(D93:AI93," ")=0),CONCATENATE(SUM(EXTRACTNUMBER(D93),EXTRACTNUMBER(F93),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EXTRACTNUMBER(AD93),EXTRACTNUMBER(AF93),EXTRACTNUMBER(AH93)),"*"),SUM(EXTRACTNUMBER(D93),EXTRACTNUMBER(F93),
EXTRACTNUMBER(H93),EXTRACTNUMBER(J93),
EXTRACTNUMBER(L93),EXTRACTNUMBER(N93),
EXTRACTNUMBER(P93),EXTRACTNUMBER(R93),
EXTRACTNUMBER(T93),EXTRACTNUMBER(V93),
EXTRACTNUMBER(X93),EXTRACTNUMBER(Z93),EXTRACTNUMBER(AB93),
EXTRACTNUMBER(AD93),EXTRACTNUMBER(AF93),EXTRACTNUMBER(AH93)))))</f>
        <v>481</v>
      </c>
      <c r="AK93" s="32" t="str">
        <f t="shared" si="34"/>
        <v>FAIL</v>
      </c>
      <c r="AL93" s="33" t="str">
        <f>SPELLNUMBER(extractnumber_tot(AJ93))</f>
        <v xml:space="preserve">Four Hundred Eighty One </v>
      </c>
    </row>
    <row r="94" spans="2:38" s="30" customFormat="1" ht="15.95" customHeight="1">
      <c r="B94" s="37">
        <v>225271</v>
      </c>
      <c r="C94" s="38" t="s">
        <v>287</v>
      </c>
      <c r="D94" s="45">
        <v>50</v>
      </c>
      <c r="E94" s="61" t="str">
        <f t="shared" si="18"/>
        <v/>
      </c>
      <c r="F94" s="48">
        <v>20</v>
      </c>
      <c r="G94" s="62" t="str">
        <f t="shared" si="19"/>
        <v/>
      </c>
      <c r="H94" s="48">
        <v>42</v>
      </c>
      <c r="I94" s="62" t="str">
        <f t="shared" si="20"/>
        <v/>
      </c>
      <c r="J94" s="50">
        <v>53</v>
      </c>
      <c r="K94" s="62" t="str">
        <f t="shared" si="21"/>
        <v/>
      </c>
      <c r="L94" s="48">
        <v>17</v>
      </c>
      <c r="M94" s="62" t="str">
        <f t="shared" si="22"/>
        <v/>
      </c>
      <c r="N94" s="48">
        <v>40</v>
      </c>
      <c r="O94" s="62" t="str">
        <f t="shared" si="23"/>
        <v/>
      </c>
      <c r="P94" s="51">
        <v>40</v>
      </c>
      <c r="Q94" s="62" t="str">
        <f t="shared" si="24"/>
        <v/>
      </c>
      <c r="R94" s="48">
        <v>20</v>
      </c>
      <c r="S94" s="62" t="str">
        <f t="shared" si="25"/>
        <v/>
      </c>
      <c r="T94" s="48">
        <v>22</v>
      </c>
      <c r="U94" s="62" t="str">
        <f t="shared" si="26"/>
        <v/>
      </c>
      <c r="V94" s="51">
        <v>56</v>
      </c>
      <c r="W94" s="62" t="str">
        <f t="shared" si="27"/>
        <v/>
      </c>
      <c r="X94" s="48">
        <v>20</v>
      </c>
      <c r="Y94" s="62" t="str">
        <f t="shared" si="28"/>
        <v/>
      </c>
      <c r="Z94" s="51">
        <v>58</v>
      </c>
      <c r="AA94" s="62" t="str">
        <f t="shared" si="29"/>
        <v/>
      </c>
      <c r="AB94" s="48">
        <v>16</v>
      </c>
      <c r="AC94" s="62" t="str">
        <f t="shared" si="30"/>
        <v/>
      </c>
      <c r="AD94" s="48">
        <v>20</v>
      </c>
      <c r="AE94" s="62" t="str">
        <f t="shared" si="31"/>
        <v/>
      </c>
      <c r="AF94" s="51">
        <v>26</v>
      </c>
      <c r="AG94" s="62" t="str">
        <f t="shared" si="32"/>
        <v/>
      </c>
      <c r="AH94" s="48">
        <v>20</v>
      </c>
      <c r="AI94" s="62" t="str">
        <f t="shared" si="33"/>
        <v/>
      </c>
      <c r="AJ94" s="31">
        <f>IF(AND(OR(COUNTIF(D94:AI94,"=31")&gt;=1,COUNTIF(D94:AI94,"=32")&gt;=1,COUNTIF(D94:AI94,"=33")&gt;=1,COUNTIF(D94:AI94,"=34")&gt;=1,COUNTIF(D94:AI94,"=35")=1,COUNTIF(D94:AI94,"=36")&gt;=1 ),COUNTIF(D94:AI94,"")=0,COUNTIF(D94:AI94," ")=0,COUNTIF(D94:AI94,"F")=1),CONCATENATE(SUM(EXTRACTNUMBER(D94),EXTRACTNUMBER(F94),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EXTRACTNUMBER(AD94),EXTRACTNUMBER(AF94),EXTRACTNUMBER(AH94)),"*"),IF(AND(COUNTIF(D94:AI94,"=34")&gt;=1,COUNTIF(D94:AI94,"=35")&gt;=1,COUNTIF(D94:AI94,"f")=2,COUNTIF(D94:AI94,"")=0,COUNTIF(D94:AI94," ")=0),CONCATENATE(SUM(EXTRACTNUMBER(D94),EXTRACTNUMBER(F94),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EXTRACTNUMBER(AD94),EXTRACTNUMBER(AF94),EXTRACTNUMBER(AH94)),"*"),IF(AND(COUNTIF(D94:AI94,"=36")&gt;=2,COUNTIF(D94:AI94,"f")=2,COUNTIF(D94:AI94,"")=0,COUNTIF(D94:AI94," ")=0),CONCATENATE(SUM(EXTRACTNUMBER(D94),EXTRACTNUMBER(F94),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EXTRACTNUMBER(AD94),EXTRACTNUMBER(AF94),EXTRACTNUMBER(AH94)),"*"),SUM(EXTRACTNUMBER(D94),EXTRACTNUMBER(F94),
EXTRACTNUMBER(H94),EXTRACTNUMBER(J94),
EXTRACTNUMBER(L94),EXTRACTNUMBER(N94),
EXTRACTNUMBER(P94),EXTRACTNUMBER(R94),
EXTRACTNUMBER(T94),EXTRACTNUMBER(V94),
EXTRACTNUMBER(X94),EXTRACTNUMBER(Z94),EXTRACTNUMBER(AB94),
EXTRACTNUMBER(AD94),EXTRACTNUMBER(AF94),EXTRACTNUMBER(AH94)))))</f>
        <v>520</v>
      </c>
      <c r="AK94" s="32" t="str">
        <f t="shared" si="34"/>
        <v>PASS</v>
      </c>
      <c r="AL94" s="33" t="str">
        <f>SPELLNUMBER(extractnumber_tot(AJ94))</f>
        <v xml:space="preserve">Five Hundred Twenty  </v>
      </c>
    </row>
    <row r="95" spans="2:38" s="30" customFormat="1" ht="15.95" customHeight="1">
      <c r="B95" s="37">
        <v>225272</v>
      </c>
      <c r="C95" s="38" t="s">
        <v>288</v>
      </c>
      <c r="D95" s="45">
        <v>47</v>
      </c>
      <c r="E95" s="61" t="str">
        <f t="shared" si="18"/>
        <v/>
      </c>
      <c r="F95" s="48">
        <v>22</v>
      </c>
      <c r="G95" s="62" t="str">
        <f t="shared" si="19"/>
        <v/>
      </c>
      <c r="H95" s="48">
        <v>41</v>
      </c>
      <c r="I95" s="62" t="str">
        <f t="shared" si="20"/>
        <v/>
      </c>
      <c r="J95" s="50">
        <v>51</v>
      </c>
      <c r="K95" s="62" t="str">
        <f t="shared" si="21"/>
        <v/>
      </c>
      <c r="L95" s="48">
        <v>21</v>
      </c>
      <c r="M95" s="62" t="str">
        <f t="shared" si="22"/>
        <v/>
      </c>
      <c r="N95" s="48">
        <v>44</v>
      </c>
      <c r="O95" s="62" t="str">
        <f t="shared" si="23"/>
        <v/>
      </c>
      <c r="P95" s="51">
        <v>40</v>
      </c>
      <c r="Q95" s="62" t="str">
        <f t="shared" si="24"/>
        <v/>
      </c>
      <c r="R95" s="48">
        <v>22</v>
      </c>
      <c r="S95" s="62" t="str">
        <f t="shared" si="25"/>
        <v/>
      </c>
      <c r="T95" s="48">
        <v>21</v>
      </c>
      <c r="U95" s="62" t="str">
        <f t="shared" si="26"/>
        <v/>
      </c>
      <c r="V95" s="51">
        <v>50</v>
      </c>
      <c r="W95" s="62" t="str">
        <f t="shared" si="27"/>
        <v/>
      </c>
      <c r="X95" s="48">
        <v>20</v>
      </c>
      <c r="Y95" s="62" t="str">
        <f t="shared" si="28"/>
        <v/>
      </c>
      <c r="Z95" s="51">
        <v>50</v>
      </c>
      <c r="AA95" s="62" t="str">
        <f t="shared" si="29"/>
        <v/>
      </c>
      <c r="AB95" s="48">
        <v>21</v>
      </c>
      <c r="AC95" s="62" t="str">
        <f t="shared" si="30"/>
        <v/>
      </c>
      <c r="AD95" s="48">
        <v>20</v>
      </c>
      <c r="AE95" s="62" t="str">
        <f t="shared" si="31"/>
        <v/>
      </c>
      <c r="AF95" s="51">
        <v>26</v>
      </c>
      <c r="AG95" s="62" t="str">
        <f t="shared" si="32"/>
        <v/>
      </c>
      <c r="AH95" s="48">
        <v>20</v>
      </c>
      <c r="AI95" s="62" t="str">
        <f t="shared" si="33"/>
        <v/>
      </c>
      <c r="AJ95" s="31">
        <f>IF(AND(OR(COUNTIF(D95:AI95,"=31")&gt;=1,COUNTIF(D95:AI95,"=32")&gt;=1,COUNTIF(D95:AI95,"=33")&gt;=1,COUNTIF(D95:AI95,"=34")&gt;=1,COUNTIF(D95:AI95,"=35")=1,COUNTIF(D95:AI95,"=36")&gt;=1 ),COUNTIF(D95:AI95,"")=0,COUNTIF(D95:AI95," ")=0,COUNTIF(D95:AI95,"F")=1),CONCATENATE(SUM(EXTRACTNUMBER(D95),EXTRACTNUMBER(F95),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EXTRACTNUMBER(AD95),EXTRACTNUMBER(AF95),EXTRACTNUMBER(AH95)),"*"),IF(AND(COUNTIF(D95:AI95,"=34")&gt;=1,COUNTIF(D95:AI95,"=35")&gt;=1,COUNTIF(D95:AI95,"f")=2,COUNTIF(D95:AI95,"")=0,COUNTIF(D95:AI95," ")=0),CONCATENATE(SUM(EXTRACTNUMBER(D95),EXTRACTNUMBER(F95),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EXTRACTNUMBER(AD95),EXTRACTNUMBER(AF95),EXTRACTNUMBER(AH95)),"*"),IF(AND(COUNTIF(D95:AI95,"=36")&gt;=2,COUNTIF(D95:AI95,"f")=2,COUNTIF(D95:AI95,"")=0,COUNTIF(D95:AI95," ")=0),CONCATENATE(SUM(EXTRACTNUMBER(D95),EXTRACTNUMBER(F95),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EXTRACTNUMBER(AD95),EXTRACTNUMBER(AF95),EXTRACTNUMBER(AH95)),"*"),SUM(EXTRACTNUMBER(D95),EXTRACTNUMBER(F95),
EXTRACTNUMBER(H95),EXTRACTNUMBER(J95),
EXTRACTNUMBER(L95),EXTRACTNUMBER(N95),
EXTRACTNUMBER(P95),EXTRACTNUMBER(R95),
EXTRACTNUMBER(T95),EXTRACTNUMBER(V95),
EXTRACTNUMBER(X95),EXTRACTNUMBER(Z95),EXTRACTNUMBER(AB95),
EXTRACTNUMBER(AD95),EXTRACTNUMBER(AF95),EXTRACTNUMBER(AH95)))))</f>
        <v>516</v>
      </c>
      <c r="AK95" s="32" t="str">
        <f t="shared" si="34"/>
        <v>PASS</v>
      </c>
      <c r="AL95" s="33" t="str">
        <f>SPELLNUMBER(extractnumber_tot(AJ95))</f>
        <v xml:space="preserve">Five Hundred Sixteen </v>
      </c>
    </row>
    <row r="96" spans="2:38" s="30" customFormat="1" ht="15.95" customHeight="1">
      <c r="B96" s="37">
        <v>225273</v>
      </c>
      <c r="C96" s="38" t="s">
        <v>289</v>
      </c>
      <c r="D96" s="45">
        <v>41</v>
      </c>
      <c r="E96" s="61" t="str">
        <f t="shared" si="18"/>
        <v/>
      </c>
      <c r="F96" s="48">
        <v>21</v>
      </c>
      <c r="G96" s="62" t="str">
        <f t="shared" si="19"/>
        <v/>
      </c>
      <c r="H96" s="48">
        <v>40</v>
      </c>
      <c r="I96" s="62" t="str">
        <f t="shared" si="20"/>
        <v/>
      </c>
      <c r="J96" s="50">
        <v>45</v>
      </c>
      <c r="K96" s="62" t="str">
        <f t="shared" si="21"/>
        <v/>
      </c>
      <c r="L96" s="48">
        <v>22</v>
      </c>
      <c r="M96" s="62" t="str">
        <f t="shared" si="22"/>
        <v/>
      </c>
      <c r="N96" s="48">
        <v>46</v>
      </c>
      <c r="O96" s="62" t="str">
        <f t="shared" si="23"/>
        <v/>
      </c>
      <c r="P96" s="51">
        <v>40</v>
      </c>
      <c r="Q96" s="62" t="str">
        <f t="shared" si="24"/>
        <v/>
      </c>
      <c r="R96" s="48">
        <v>21</v>
      </c>
      <c r="S96" s="62" t="str">
        <f t="shared" si="25"/>
        <v/>
      </c>
      <c r="T96" s="48">
        <v>20</v>
      </c>
      <c r="U96" s="62" t="str">
        <f t="shared" si="26"/>
        <v/>
      </c>
      <c r="V96" s="51">
        <v>45</v>
      </c>
      <c r="W96" s="62" t="str">
        <f t="shared" si="27"/>
        <v/>
      </c>
      <c r="X96" s="48">
        <v>18</v>
      </c>
      <c r="Y96" s="62" t="str">
        <f t="shared" si="28"/>
        <v/>
      </c>
      <c r="Z96" s="51">
        <v>48</v>
      </c>
      <c r="AA96" s="62" t="str">
        <f t="shared" si="29"/>
        <v/>
      </c>
      <c r="AB96" s="48">
        <v>22</v>
      </c>
      <c r="AC96" s="62" t="str">
        <f t="shared" si="30"/>
        <v/>
      </c>
      <c r="AD96" s="48">
        <v>19</v>
      </c>
      <c r="AE96" s="62" t="str">
        <f t="shared" si="31"/>
        <v/>
      </c>
      <c r="AF96" s="51">
        <v>24</v>
      </c>
      <c r="AG96" s="62" t="str">
        <f t="shared" si="32"/>
        <v/>
      </c>
      <c r="AH96" s="48">
        <v>20</v>
      </c>
      <c r="AI96" s="62" t="str">
        <f t="shared" si="33"/>
        <v/>
      </c>
      <c r="AJ96" s="31">
        <f>IF(AND(OR(COUNTIF(D96:AI96,"=31")&gt;=1,COUNTIF(D96:AI96,"=32")&gt;=1,COUNTIF(D96:AI96,"=33")&gt;=1,COUNTIF(D96:AI96,"=34")&gt;=1,COUNTIF(D96:AI96,"=35")=1,COUNTIF(D96:AI96,"=36")&gt;=1 ),COUNTIF(D96:AI96,"")=0,COUNTIF(D96:AI96," ")=0,COUNTIF(D96:AI96,"F")=1),CONCATENATE(SUM(EXTRACTNUMBER(D96),EXTRACTNUMBER(F96),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EXTRACTNUMBER(AD96),EXTRACTNUMBER(AF96),EXTRACTNUMBER(AH96)),"*"),IF(AND(COUNTIF(D96:AI96,"=34")&gt;=1,COUNTIF(D96:AI96,"=35")&gt;=1,COUNTIF(D96:AI96,"f")=2,COUNTIF(D96:AI96,"")=0,COUNTIF(D96:AI96," ")=0),CONCATENATE(SUM(EXTRACTNUMBER(D96),EXTRACTNUMBER(F96),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EXTRACTNUMBER(AD96),EXTRACTNUMBER(AF96),EXTRACTNUMBER(AH96)),"*"),IF(AND(COUNTIF(D96:AI96,"=36")&gt;=2,COUNTIF(D96:AI96,"f")=2,COUNTIF(D96:AI96,"")=0,COUNTIF(D96:AI96," ")=0),CONCATENATE(SUM(EXTRACTNUMBER(D96),EXTRACTNUMBER(F96),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EXTRACTNUMBER(AD96),EXTRACTNUMBER(AF96),EXTRACTNUMBER(AH96)),"*"),SUM(EXTRACTNUMBER(D96),EXTRACTNUMBER(F96),
EXTRACTNUMBER(H96),EXTRACTNUMBER(J96),
EXTRACTNUMBER(L96),EXTRACTNUMBER(N96),
EXTRACTNUMBER(P96),EXTRACTNUMBER(R96),
EXTRACTNUMBER(T96),EXTRACTNUMBER(V96),
EXTRACTNUMBER(X96),EXTRACTNUMBER(Z96),EXTRACTNUMBER(AB96),
EXTRACTNUMBER(AD96),EXTRACTNUMBER(AF96),EXTRACTNUMBER(AH96)))))</f>
        <v>492</v>
      </c>
      <c r="AK96" s="32" t="str">
        <f t="shared" si="34"/>
        <v>PASS</v>
      </c>
      <c r="AL96" s="33" t="str">
        <f>SPELLNUMBER(extractnumber_tot(AJ96))</f>
        <v xml:space="preserve">Four Hundred NinetyTwo </v>
      </c>
    </row>
    <row r="97" spans="2:38" s="30" customFormat="1" ht="15.95" customHeight="1">
      <c r="B97" s="37">
        <v>225274</v>
      </c>
      <c r="C97" s="38" t="s">
        <v>290</v>
      </c>
      <c r="D97" s="45">
        <v>41</v>
      </c>
      <c r="E97" s="61" t="str">
        <f t="shared" si="18"/>
        <v/>
      </c>
      <c r="F97" s="48">
        <v>20</v>
      </c>
      <c r="G97" s="62" t="str">
        <f t="shared" si="19"/>
        <v/>
      </c>
      <c r="H97" s="48">
        <v>39</v>
      </c>
      <c r="I97" s="62" t="str">
        <f t="shared" si="20"/>
        <v/>
      </c>
      <c r="J97" s="50">
        <v>48</v>
      </c>
      <c r="K97" s="62" t="str">
        <f t="shared" si="21"/>
        <v/>
      </c>
      <c r="L97" s="48">
        <v>17</v>
      </c>
      <c r="M97" s="62" t="str">
        <f t="shared" si="22"/>
        <v/>
      </c>
      <c r="N97" s="48">
        <v>40</v>
      </c>
      <c r="O97" s="62" t="str">
        <f t="shared" si="23"/>
        <v/>
      </c>
      <c r="P97" s="51">
        <v>40</v>
      </c>
      <c r="Q97" s="62" t="str">
        <f t="shared" si="24"/>
        <v/>
      </c>
      <c r="R97" s="48">
        <v>20</v>
      </c>
      <c r="S97" s="62" t="str">
        <f t="shared" si="25"/>
        <v/>
      </c>
      <c r="T97" s="48">
        <v>20</v>
      </c>
      <c r="U97" s="62" t="str">
        <f t="shared" si="26"/>
        <v/>
      </c>
      <c r="V97" s="51">
        <v>46</v>
      </c>
      <c r="W97" s="62" t="str">
        <f t="shared" si="27"/>
        <v/>
      </c>
      <c r="X97" s="48">
        <v>20</v>
      </c>
      <c r="Y97" s="62" t="str">
        <f t="shared" si="28"/>
        <v/>
      </c>
      <c r="Z97" s="51">
        <v>54</v>
      </c>
      <c r="AA97" s="62" t="str">
        <f t="shared" si="29"/>
        <v/>
      </c>
      <c r="AB97" s="48">
        <v>18</v>
      </c>
      <c r="AC97" s="62" t="str">
        <f t="shared" si="30"/>
        <v/>
      </c>
      <c r="AD97" s="48">
        <v>22</v>
      </c>
      <c r="AE97" s="62" t="str">
        <f t="shared" si="31"/>
        <v/>
      </c>
      <c r="AF97" s="51">
        <v>24</v>
      </c>
      <c r="AG97" s="62" t="str">
        <f t="shared" si="32"/>
        <v/>
      </c>
      <c r="AH97" s="48">
        <v>20</v>
      </c>
      <c r="AI97" s="62" t="str">
        <f t="shared" si="33"/>
        <v/>
      </c>
      <c r="AJ97" s="31">
        <f>IF(AND(OR(COUNTIF(D97:AI97,"=31")&gt;=1,COUNTIF(D97:AI97,"=32")&gt;=1,COUNTIF(D97:AI97,"=33")&gt;=1,COUNTIF(D97:AI97,"=34")&gt;=1,COUNTIF(D97:AI97,"=35")=1,COUNTIF(D97:AI97,"=36")&gt;=1 ),COUNTIF(D97:AI97,"")=0,COUNTIF(D97:AI97," ")=0,COUNTIF(D97:AI97,"F")=1),CONCATENATE(SUM(EXTRACTNUMBER(D97),EXTRACTNUMBER(F97),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EXTRACTNUMBER(AD97),EXTRACTNUMBER(AF97),EXTRACTNUMBER(AH97)),"*"),IF(AND(COUNTIF(D97:AI97,"=34")&gt;=1,COUNTIF(D97:AI97,"=35")&gt;=1,COUNTIF(D97:AI97,"f")=2,COUNTIF(D97:AI97,"")=0,COUNTIF(D97:AI97," ")=0),CONCATENATE(SUM(EXTRACTNUMBER(D97),EXTRACTNUMBER(F97),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EXTRACTNUMBER(AD97),EXTRACTNUMBER(AF97),EXTRACTNUMBER(AH97)),"*"),IF(AND(COUNTIF(D97:AI97,"=36")&gt;=2,COUNTIF(D97:AI97,"f")=2,COUNTIF(D97:AI97,"")=0,COUNTIF(D97:AI97," ")=0),CONCATENATE(SUM(EXTRACTNUMBER(D97),EXTRACTNUMBER(F97),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EXTRACTNUMBER(AD97),EXTRACTNUMBER(AF97),EXTRACTNUMBER(AH97)),"*"),SUM(EXTRACTNUMBER(D97),EXTRACTNUMBER(F97),
EXTRACTNUMBER(H97),EXTRACTNUMBER(J97),
EXTRACTNUMBER(L97),EXTRACTNUMBER(N97),
EXTRACTNUMBER(P97),EXTRACTNUMBER(R97),
EXTRACTNUMBER(T97),EXTRACTNUMBER(V97),
EXTRACTNUMBER(X97),EXTRACTNUMBER(Z97),EXTRACTNUMBER(AB97),
EXTRACTNUMBER(AD97),EXTRACTNUMBER(AF97),EXTRACTNUMBER(AH97)))))</f>
        <v>489</v>
      </c>
      <c r="AK97" s="32" t="str">
        <f t="shared" si="34"/>
        <v>PASS</v>
      </c>
      <c r="AL97" s="33" t="str">
        <f>SPELLNUMBER(extractnumber_tot(AJ97))</f>
        <v xml:space="preserve">Four Hundred Eighty Nine </v>
      </c>
    </row>
    <row r="98" spans="2:38" s="30" customFormat="1" ht="15.95" customHeight="1">
      <c r="B98" s="37">
        <v>225275</v>
      </c>
      <c r="C98" s="38" t="s">
        <v>291</v>
      </c>
      <c r="D98" s="45">
        <v>62</v>
      </c>
      <c r="E98" s="61" t="str">
        <f t="shared" si="18"/>
        <v/>
      </c>
      <c r="F98" s="48">
        <v>19</v>
      </c>
      <c r="G98" s="62" t="str">
        <f t="shared" si="19"/>
        <v/>
      </c>
      <c r="H98" s="48">
        <v>44</v>
      </c>
      <c r="I98" s="62" t="str">
        <f t="shared" si="20"/>
        <v/>
      </c>
      <c r="J98" s="50">
        <v>59</v>
      </c>
      <c r="K98" s="62" t="str">
        <f t="shared" si="21"/>
        <v/>
      </c>
      <c r="L98" s="48">
        <v>21</v>
      </c>
      <c r="M98" s="62" t="str">
        <f t="shared" si="22"/>
        <v/>
      </c>
      <c r="N98" s="48">
        <v>46</v>
      </c>
      <c r="O98" s="62" t="str">
        <f t="shared" si="23"/>
        <v/>
      </c>
      <c r="P98" s="51">
        <v>42</v>
      </c>
      <c r="Q98" s="62" t="str">
        <f t="shared" si="24"/>
        <v/>
      </c>
      <c r="R98" s="48">
        <v>19</v>
      </c>
      <c r="S98" s="62" t="str">
        <f t="shared" si="25"/>
        <v/>
      </c>
      <c r="T98" s="48">
        <v>23</v>
      </c>
      <c r="U98" s="62" t="str">
        <f t="shared" si="26"/>
        <v/>
      </c>
      <c r="V98" s="51">
        <v>58</v>
      </c>
      <c r="W98" s="62" t="str">
        <f t="shared" si="27"/>
        <v/>
      </c>
      <c r="X98" s="48">
        <v>18</v>
      </c>
      <c r="Y98" s="62" t="str">
        <f t="shared" si="28"/>
        <v/>
      </c>
      <c r="Z98" s="51">
        <v>64</v>
      </c>
      <c r="AA98" s="62" t="str">
        <f t="shared" si="29"/>
        <v/>
      </c>
      <c r="AB98" s="48">
        <v>21</v>
      </c>
      <c r="AC98" s="62" t="str">
        <f t="shared" si="30"/>
        <v/>
      </c>
      <c r="AD98" s="48">
        <v>18</v>
      </c>
      <c r="AE98" s="62" t="str">
        <f t="shared" si="31"/>
        <v/>
      </c>
      <c r="AF98" s="51">
        <v>26</v>
      </c>
      <c r="AG98" s="62" t="str">
        <f t="shared" si="32"/>
        <v/>
      </c>
      <c r="AH98" s="48">
        <v>18</v>
      </c>
      <c r="AI98" s="62" t="str">
        <f t="shared" si="33"/>
        <v/>
      </c>
      <c r="AJ98" s="31">
        <f>IF(AND(OR(COUNTIF(D98:AI98,"=31")&gt;=1,COUNTIF(D98:AI98,"=32")&gt;=1,COUNTIF(D98:AI98,"=33")&gt;=1,COUNTIF(D98:AI98,"=34")&gt;=1,COUNTIF(D98:AI98,"=35")=1,COUNTIF(D98:AI98,"=36")&gt;=1 ),COUNTIF(D98:AI98,"")=0,COUNTIF(D98:AI98," ")=0,COUNTIF(D98:AI98,"F")=1),CONCATENATE(SUM(EXTRACTNUMBER(D98),EXTRACTNUMBER(F98),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EXTRACTNUMBER(AD98),EXTRACTNUMBER(AF98),EXTRACTNUMBER(AH98)),"*"),IF(AND(COUNTIF(D98:AI98,"=34")&gt;=1,COUNTIF(D98:AI98,"=35")&gt;=1,COUNTIF(D98:AI98,"f")=2,COUNTIF(D98:AI98,"")=0,COUNTIF(D98:AI98," ")=0),CONCATENATE(SUM(EXTRACTNUMBER(D98),EXTRACTNUMBER(F98),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EXTRACTNUMBER(AD98),EXTRACTNUMBER(AF98),EXTRACTNUMBER(AH98)),"*"),IF(AND(COUNTIF(D98:AI98,"=36")&gt;=2,COUNTIF(D98:AI98,"f")=2,COUNTIF(D98:AI98,"")=0,COUNTIF(D98:AI98," ")=0),CONCATENATE(SUM(EXTRACTNUMBER(D98),EXTRACTNUMBER(F98),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EXTRACTNUMBER(AD98),EXTRACTNUMBER(AF98),EXTRACTNUMBER(AH98)),"*"),SUM(EXTRACTNUMBER(D98),EXTRACTNUMBER(F98),
EXTRACTNUMBER(H98),EXTRACTNUMBER(J98),
EXTRACTNUMBER(L98),EXTRACTNUMBER(N98),
EXTRACTNUMBER(P98),EXTRACTNUMBER(R98),
EXTRACTNUMBER(T98),EXTRACTNUMBER(V98),
EXTRACTNUMBER(X98),EXTRACTNUMBER(Z98),EXTRACTNUMBER(AB98),
EXTRACTNUMBER(AD98),EXTRACTNUMBER(AF98),EXTRACTNUMBER(AH98)))))</f>
        <v>558</v>
      </c>
      <c r="AK98" s="32" t="str">
        <f t="shared" si="34"/>
        <v>PASS</v>
      </c>
      <c r="AL98" s="33" t="str">
        <f>SPELLNUMBER(extractnumber_tot(AJ98))</f>
        <v xml:space="preserve">Five Hundred Fifty Eight </v>
      </c>
    </row>
    <row r="99" spans="2:38" s="30" customFormat="1" ht="15.95" customHeight="1">
      <c r="B99" s="37">
        <v>225276</v>
      </c>
      <c r="C99" s="38" t="s">
        <v>292</v>
      </c>
      <c r="D99" s="45">
        <v>61</v>
      </c>
      <c r="E99" s="61" t="str">
        <f t="shared" si="18"/>
        <v/>
      </c>
      <c r="F99" s="48">
        <v>20</v>
      </c>
      <c r="G99" s="62" t="str">
        <f t="shared" si="19"/>
        <v/>
      </c>
      <c r="H99" s="48">
        <v>40</v>
      </c>
      <c r="I99" s="62" t="str">
        <f t="shared" si="20"/>
        <v/>
      </c>
      <c r="J99" s="50">
        <v>48</v>
      </c>
      <c r="K99" s="62" t="str">
        <f t="shared" si="21"/>
        <v/>
      </c>
      <c r="L99" s="48">
        <v>17</v>
      </c>
      <c r="M99" s="62" t="str">
        <f t="shared" si="22"/>
        <v/>
      </c>
      <c r="N99" s="48">
        <v>38</v>
      </c>
      <c r="O99" s="62" t="str">
        <f t="shared" si="23"/>
        <v/>
      </c>
      <c r="P99" s="51">
        <v>47</v>
      </c>
      <c r="Q99" s="62" t="str">
        <f t="shared" si="24"/>
        <v/>
      </c>
      <c r="R99" s="48">
        <v>20</v>
      </c>
      <c r="S99" s="62" t="str">
        <f t="shared" si="25"/>
        <v/>
      </c>
      <c r="T99" s="48">
        <v>20</v>
      </c>
      <c r="U99" s="62" t="str">
        <f t="shared" si="26"/>
        <v/>
      </c>
      <c r="V99" s="51">
        <v>62</v>
      </c>
      <c r="W99" s="62" t="str">
        <f t="shared" si="27"/>
        <v/>
      </c>
      <c r="X99" s="48">
        <v>24</v>
      </c>
      <c r="Y99" s="62" t="str">
        <f t="shared" si="28"/>
        <v/>
      </c>
      <c r="Z99" s="51">
        <v>46</v>
      </c>
      <c r="AA99" s="62" t="str">
        <f t="shared" si="29"/>
        <v/>
      </c>
      <c r="AB99" s="48">
        <v>19</v>
      </c>
      <c r="AC99" s="62" t="str">
        <f t="shared" si="30"/>
        <v/>
      </c>
      <c r="AD99" s="48">
        <v>20</v>
      </c>
      <c r="AE99" s="62" t="str">
        <f t="shared" si="31"/>
        <v/>
      </c>
      <c r="AF99" s="51">
        <v>26</v>
      </c>
      <c r="AG99" s="62" t="str">
        <f t="shared" si="32"/>
        <v/>
      </c>
      <c r="AH99" s="48">
        <v>22</v>
      </c>
      <c r="AI99" s="62" t="str">
        <f t="shared" si="33"/>
        <v/>
      </c>
      <c r="AJ99" s="31">
        <f>IF(AND(OR(COUNTIF(D99:AI99,"=31")&gt;=1,COUNTIF(D99:AI99,"=32")&gt;=1,COUNTIF(D99:AI99,"=33")&gt;=1,COUNTIF(D99:AI99,"=34")&gt;=1,COUNTIF(D99:AI99,"=35")=1,COUNTIF(D99:AI99,"=36")&gt;=1 ),COUNTIF(D99:AI99,"")=0,COUNTIF(D99:AI99," ")=0,COUNTIF(D99:AI99,"F")=1),CONCATENATE(SUM(EXTRACTNUMBER(D99),EXTRACTNUMBER(F99),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EXTRACTNUMBER(AD99),EXTRACTNUMBER(AF99),EXTRACTNUMBER(AH99)),"*"),IF(AND(COUNTIF(D99:AI99,"=34")&gt;=1,COUNTIF(D99:AI99,"=35")&gt;=1,COUNTIF(D99:AI99,"f")=2,COUNTIF(D99:AI99,"")=0,COUNTIF(D99:AI99," ")=0),CONCATENATE(SUM(EXTRACTNUMBER(D99),EXTRACTNUMBER(F99),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EXTRACTNUMBER(AD99),EXTRACTNUMBER(AF99),EXTRACTNUMBER(AH99)),"*"),IF(AND(COUNTIF(D99:AI99,"=36")&gt;=2,COUNTIF(D99:AI99,"f")=2,COUNTIF(D99:AI99,"")=0,COUNTIF(D99:AI99," ")=0),CONCATENATE(SUM(EXTRACTNUMBER(D99),EXTRACTNUMBER(F99),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EXTRACTNUMBER(AD99),EXTRACTNUMBER(AF99),EXTRACTNUMBER(AH99)),"*"),SUM(EXTRACTNUMBER(D99),EXTRACTNUMBER(F99),
EXTRACTNUMBER(H99),EXTRACTNUMBER(J99),
EXTRACTNUMBER(L99),EXTRACTNUMBER(N99),
EXTRACTNUMBER(P99),EXTRACTNUMBER(R99),
EXTRACTNUMBER(T99),EXTRACTNUMBER(V99),
EXTRACTNUMBER(X99),EXTRACTNUMBER(Z99),EXTRACTNUMBER(AB99),
EXTRACTNUMBER(AD99),EXTRACTNUMBER(AF99),EXTRACTNUMBER(AH99)))))</f>
        <v>530</v>
      </c>
      <c r="AK99" s="32" t="str">
        <f t="shared" si="34"/>
        <v>PASS</v>
      </c>
      <c r="AL99" s="33" t="str">
        <f>SPELLNUMBER(extractnumber_tot(AJ99))</f>
        <v xml:space="preserve">Five Hundred Thirty  </v>
      </c>
    </row>
    <row r="100" spans="2:38" s="30" customFormat="1" ht="15.95" customHeight="1">
      <c r="B100" s="37">
        <v>225277</v>
      </c>
      <c r="C100" s="38" t="s">
        <v>293</v>
      </c>
      <c r="D100" s="45">
        <v>55</v>
      </c>
      <c r="E100" s="61" t="str">
        <f t="shared" si="18"/>
        <v/>
      </c>
      <c r="F100" s="48">
        <v>19</v>
      </c>
      <c r="G100" s="62" t="str">
        <f t="shared" si="19"/>
        <v/>
      </c>
      <c r="H100" s="48">
        <v>39</v>
      </c>
      <c r="I100" s="62" t="str">
        <f t="shared" si="20"/>
        <v/>
      </c>
      <c r="J100" s="50">
        <v>54</v>
      </c>
      <c r="K100" s="62" t="str">
        <f t="shared" si="21"/>
        <v/>
      </c>
      <c r="L100" s="48">
        <v>21</v>
      </c>
      <c r="M100" s="62" t="str">
        <f t="shared" si="22"/>
        <v/>
      </c>
      <c r="N100" s="48">
        <v>42</v>
      </c>
      <c r="O100" s="62" t="str">
        <f t="shared" si="23"/>
        <v/>
      </c>
      <c r="P100" s="51">
        <v>40</v>
      </c>
      <c r="Q100" s="62" t="str">
        <f t="shared" si="24"/>
        <v/>
      </c>
      <c r="R100" s="48">
        <v>19</v>
      </c>
      <c r="S100" s="62" t="str">
        <f t="shared" si="25"/>
        <v/>
      </c>
      <c r="T100" s="48">
        <v>20</v>
      </c>
      <c r="U100" s="62" t="str">
        <f t="shared" si="26"/>
        <v/>
      </c>
      <c r="V100" s="51">
        <v>62</v>
      </c>
      <c r="W100" s="62" t="str">
        <f t="shared" si="27"/>
        <v/>
      </c>
      <c r="X100" s="48">
        <v>18</v>
      </c>
      <c r="Y100" s="62" t="str">
        <f t="shared" si="28"/>
        <v/>
      </c>
      <c r="Z100" s="51">
        <v>62</v>
      </c>
      <c r="AA100" s="62" t="str">
        <f t="shared" si="29"/>
        <v/>
      </c>
      <c r="AB100" s="48">
        <v>21</v>
      </c>
      <c r="AC100" s="62" t="str">
        <f t="shared" si="30"/>
        <v/>
      </c>
      <c r="AD100" s="48">
        <v>18</v>
      </c>
      <c r="AE100" s="62" t="str">
        <f t="shared" si="31"/>
        <v/>
      </c>
      <c r="AF100" s="51">
        <v>29</v>
      </c>
      <c r="AG100" s="62" t="str">
        <f t="shared" si="32"/>
        <v/>
      </c>
      <c r="AH100" s="48">
        <v>20</v>
      </c>
      <c r="AI100" s="62" t="str">
        <f t="shared" si="33"/>
        <v/>
      </c>
      <c r="AJ100" s="31">
        <f>IF(AND(OR(COUNTIF(D100:AI100,"=31")&gt;=1,COUNTIF(D100:AI100,"=32")&gt;=1,COUNTIF(D100:AI100,"=33")&gt;=1,COUNTIF(D100:AI100,"=34")&gt;=1,COUNTIF(D100:AI100,"=35")=1,COUNTIF(D100:AI100,"=36")&gt;=1 ),COUNTIF(D100:AI100,"")=0,COUNTIF(D100:AI100," ")=0,COUNTIF(D100:AI100,"F")=1),CONCATENATE(SUM(EXTRACTNUMBER(D100),EXTRACTNUMBER(F100),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EXTRACTNUMBER(AD100),EXTRACTNUMBER(AF100),EXTRACTNUMBER(AH100)),"*"),IF(AND(COUNTIF(D100:AI100,"=34")&gt;=1,COUNTIF(D100:AI100,"=35")&gt;=1,COUNTIF(D100:AI100,"f")=2,COUNTIF(D100:AI100,"")=0,COUNTIF(D100:AI100," ")=0),CONCATENATE(SUM(EXTRACTNUMBER(D100),EXTRACTNUMBER(F100),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EXTRACTNUMBER(AD100),EXTRACTNUMBER(AF100),EXTRACTNUMBER(AH100)),"*"),IF(AND(COUNTIF(D100:AI100,"=36")&gt;=2,COUNTIF(D100:AI100,"f")=2,COUNTIF(D100:AI100,"")=0,COUNTIF(D100:AI100," ")=0),CONCATENATE(SUM(EXTRACTNUMBER(D100),EXTRACTNUMBER(F100),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EXTRACTNUMBER(AD100),EXTRACTNUMBER(AF100),EXTRACTNUMBER(AH100)),"*"),SUM(EXTRACTNUMBER(D100),EXTRACTNUMBER(F100),
EXTRACTNUMBER(H100),EXTRACTNUMBER(J100),
EXTRACTNUMBER(L100),EXTRACTNUMBER(N100),
EXTRACTNUMBER(P100),EXTRACTNUMBER(R100),
EXTRACTNUMBER(T100),EXTRACTNUMBER(V100),
EXTRACTNUMBER(X100),EXTRACTNUMBER(Z100),EXTRACTNUMBER(AB100),
EXTRACTNUMBER(AD100),EXTRACTNUMBER(AF100),EXTRACTNUMBER(AH100)))))</f>
        <v>539</v>
      </c>
      <c r="AK100" s="32" t="str">
        <f t="shared" si="34"/>
        <v>PASS</v>
      </c>
      <c r="AL100" s="33" t="str">
        <f>SPELLNUMBER(extractnumber_tot(AJ100))</f>
        <v xml:space="preserve">Five Hundred Thirty Nine </v>
      </c>
    </row>
    <row r="101" spans="2:38" s="30" customFormat="1" ht="15.95" customHeight="1">
      <c r="B101" s="37">
        <v>225278</v>
      </c>
      <c r="C101" s="38" t="s">
        <v>294</v>
      </c>
      <c r="D101" s="45">
        <v>50</v>
      </c>
      <c r="E101" s="61" t="str">
        <f t="shared" si="18"/>
        <v/>
      </c>
      <c r="F101" s="48">
        <v>20</v>
      </c>
      <c r="G101" s="62" t="str">
        <f t="shared" si="19"/>
        <v/>
      </c>
      <c r="H101" s="48">
        <v>40</v>
      </c>
      <c r="I101" s="62" t="str">
        <f t="shared" si="20"/>
        <v/>
      </c>
      <c r="J101" s="50">
        <v>53</v>
      </c>
      <c r="K101" s="62" t="str">
        <f t="shared" si="21"/>
        <v/>
      </c>
      <c r="L101" s="48">
        <v>21</v>
      </c>
      <c r="M101" s="62" t="str">
        <f t="shared" si="22"/>
        <v/>
      </c>
      <c r="N101" s="48">
        <v>44</v>
      </c>
      <c r="O101" s="62" t="str">
        <f t="shared" si="23"/>
        <v/>
      </c>
      <c r="P101" s="51">
        <v>46</v>
      </c>
      <c r="Q101" s="62" t="str">
        <f t="shared" si="24"/>
        <v/>
      </c>
      <c r="R101" s="48">
        <v>20</v>
      </c>
      <c r="S101" s="62" t="str">
        <f t="shared" si="25"/>
        <v/>
      </c>
      <c r="T101" s="48">
        <v>20</v>
      </c>
      <c r="U101" s="62" t="str">
        <f t="shared" si="26"/>
        <v/>
      </c>
      <c r="V101" s="51">
        <v>64</v>
      </c>
      <c r="W101" s="62" t="str">
        <f t="shared" si="27"/>
        <v/>
      </c>
      <c r="X101" s="48">
        <v>20</v>
      </c>
      <c r="Y101" s="62" t="str">
        <f t="shared" si="28"/>
        <v/>
      </c>
      <c r="Z101" s="51">
        <v>52</v>
      </c>
      <c r="AA101" s="62" t="str">
        <f t="shared" si="29"/>
        <v/>
      </c>
      <c r="AB101" s="48">
        <v>21</v>
      </c>
      <c r="AC101" s="62" t="str">
        <f t="shared" si="30"/>
        <v/>
      </c>
      <c r="AD101" s="48">
        <v>19</v>
      </c>
      <c r="AE101" s="62" t="str">
        <f t="shared" si="31"/>
        <v/>
      </c>
      <c r="AF101" s="51">
        <v>25</v>
      </c>
      <c r="AG101" s="62" t="str">
        <f t="shared" si="32"/>
        <v/>
      </c>
      <c r="AH101" s="48">
        <v>19</v>
      </c>
      <c r="AI101" s="62" t="str">
        <f t="shared" si="33"/>
        <v/>
      </c>
      <c r="AJ101" s="31">
        <f>IF(AND(OR(COUNTIF(D101:AI101,"=31")&gt;=1,COUNTIF(D101:AI101,"=32")&gt;=1,COUNTIF(D101:AI101,"=33")&gt;=1,COUNTIF(D101:AI101,"=34")&gt;=1,COUNTIF(D101:AI101,"=35")=1,COUNTIF(D101:AI101,"=36")&gt;=1 ),COUNTIF(D101:AI101,"")=0,COUNTIF(D101:AI101," ")=0,COUNTIF(D101:AI101,"F")=1),CONCATENATE(SUM(EXTRACTNUMBER(D101),EXTRACTNUMBER(F101),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EXTRACTNUMBER(AD101),EXTRACTNUMBER(AF101),EXTRACTNUMBER(AH101)),"*"),IF(AND(COUNTIF(D101:AI101,"=34")&gt;=1,COUNTIF(D101:AI101,"=35")&gt;=1,COUNTIF(D101:AI101,"f")=2,COUNTIF(D101:AI101,"")=0,COUNTIF(D101:AI101," ")=0),CONCATENATE(SUM(EXTRACTNUMBER(D101),EXTRACTNUMBER(F101),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EXTRACTNUMBER(AD101),EXTRACTNUMBER(AF101),EXTRACTNUMBER(AH101)),"*"),IF(AND(COUNTIF(D101:AI101,"=36")&gt;=2,COUNTIF(D101:AI101,"f")=2,COUNTIF(D101:AI101,"")=0,COUNTIF(D101:AI101," ")=0),CONCATENATE(SUM(EXTRACTNUMBER(D101),EXTRACTNUMBER(F101),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EXTRACTNUMBER(AD101),EXTRACTNUMBER(AF101),EXTRACTNUMBER(AH101)),"*"),SUM(EXTRACTNUMBER(D101),EXTRACTNUMBER(F101),
EXTRACTNUMBER(H101),EXTRACTNUMBER(J101),
EXTRACTNUMBER(L101),EXTRACTNUMBER(N101),
EXTRACTNUMBER(P101),EXTRACTNUMBER(R101),
EXTRACTNUMBER(T101),EXTRACTNUMBER(V101),
EXTRACTNUMBER(X101),EXTRACTNUMBER(Z101),EXTRACTNUMBER(AB101),
EXTRACTNUMBER(AD101),EXTRACTNUMBER(AF101),EXTRACTNUMBER(AH101)))))</f>
        <v>534</v>
      </c>
      <c r="AK101" s="32" t="str">
        <f t="shared" si="34"/>
        <v>PASS</v>
      </c>
      <c r="AL101" s="33" t="str">
        <f>SPELLNUMBER(extractnumber_tot(AJ101))</f>
        <v xml:space="preserve">Five Hundred Thirty Four </v>
      </c>
    </row>
    <row r="102" spans="2:38" s="30" customFormat="1" ht="15.95" customHeight="1">
      <c r="B102" s="37">
        <v>225279</v>
      </c>
      <c r="C102" s="38" t="s">
        <v>295</v>
      </c>
      <c r="D102" s="45">
        <v>47</v>
      </c>
      <c r="E102" s="61" t="str">
        <f t="shared" si="18"/>
        <v/>
      </c>
      <c r="F102" s="48">
        <v>22</v>
      </c>
      <c r="G102" s="62" t="str">
        <f t="shared" si="19"/>
        <v/>
      </c>
      <c r="H102" s="48">
        <v>43</v>
      </c>
      <c r="I102" s="62" t="str">
        <f t="shared" si="20"/>
        <v/>
      </c>
      <c r="J102" s="50">
        <v>50</v>
      </c>
      <c r="K102" s="62" t="str">
        <f t="shared" si="21"/>
        <v/>
      </c>
      <c r="L102" s="48">
        <v>22</v>
      </c>
      <c r="M102" s="62" t="str">
        <f t="shared" si="22"/>
        <v/>
      </c>
      <c r="N102" s="48">
        <v>44</v>
      </c>
      <c r="O102" s="62" t="str">
        <f t="shared" si="23"/>
        <v/>
      </c>
      <c r="P102" s="51" t="s">
        <v>411</v>
      </c>
      <c r="Q102" s="62" t="str">
        <f t="shared" si="24"/>
        <v/>
      </c>
      <c r="R102" s="48">
        <v>22</v>
      </c>
      <c r="S102" s="62" t="str">
        <f t="shared" si="25"/>
        <v/>
      </c>
      <c r="T102" s="48">
        <v>23</v>
      </c>
      <c r="U102" s="62" t="str">
        <f t="shared" si="26"/>
        <v/>
      </c>
      <c r="V102" s="51">
        <v>43</v>
      </c>
      <c r="W102" s="62" t="str">
        <f t="shared" si="27"/>
        <v/>
      </c>
      <c r="X102" s="48">
        <v>24</v>
      </c>
      <c r="Y102" s="62" t="str">
        <f t="shared" si="28"/>
        <v/>
      </c>
      <c r="Z102" s="51">
        <v>56</v>
      </c>
      <c r="AA102" s="62" t="str">
        <f t="shared" si="29"/>
        <v/>
      </c>
      <c r="AB102" s="48">
        <v>22</v>
      </c>
      <c r="AC102" s="62" t="str">
        <f t="shared" si="30"/>
        <v/>
      </c>
      <c r="AD102" s="48">
        <v>21</v>
      </c>
      <c r="AE102" s="62" t="str">
        <f t="shared" si="31"/>
        <v/>
      </c>
      <c r="AF102" s="51">
        <v>23</v>
      </c>
      <c r="AG102" s="62" t="str">
        <f t="shared" si="32"/>
        <v/>
      </c>
      <c r="AH102" s="48">
        <v>22</v>
      </c>
      <c r="AI102" s="62" t="str">
        <f t="shared" si="33"/>
        <v/>
      </c>
      <c r="AJ102" s="31" t="s">
        <v>412</v>
      </c>
      <c r="AK102" s="32" t="str">
        <f t="shared" si="34"/>
        <v>PASS</v>
      </c>
      <c r="AL102" s="33" t="str">
        <f>SPELLNUMBER(extractnumber_tot(AJ102))</f>
        <v xml:space="preserve">Five Hundred Sixteen </v>
      </c>
    </row>
    <row r="103" spans="2:38" s="30" customFormat="1" ht="15.95" customHeight="1">
      <c r="B103" s="37">
        <v>225280</v>
      </c>
      <c r="C103" s="38" t="s">
        <v>296</v>
      </c>
      <c r="D103" s="45">
        <v>40</v>
      </c>
      <c r="E103" s="61" t="str">
        <f t="shared" si="18"/>
        <v/>
      </c>
      <c r="F103" s="48">
        <v>20</v>
      </c>
      <c r="G103" s="62" t="str">
        <f t="shared" si="19"/>
        <v/>
      </c>
      <c r="H103" s="48">
        <v>44</v>
      </c>
      <c r="I103" s="62" t="str">
        <f t="shared" si="20"/>
        <v/>
      </c>
      <c r="J103" s="50">
        <v>40</v>
      </c>
      <c r="K103" s="62" t="str">
        <f t="shared" si="21"/>
        <v/>
      </c>
      <c r="L103" s="48">
        <v>16</v>
      </c>
      <c r="M103" s="62" t="str">
        <f t="shared" si="22"/>
        <v/>
      </c>
      <c r="N103" s="48">
        <v>42</v>
      </c>
      <c r="O103" s="62" t="str">
        <f t="shared" si="23"/>
        <v/>
      </c>
      <c r="P103" s="51">
        <v>40</v>
      </c>
      <c r="Q103" s="62" t="str">
        <f t="shared" si="24"/>
        <v/>
      </c>
      <c r="R103" s="48">
        <v>20</v>
      </c>
      <c r="S103" s="62" t="str">
        <f t="shared" si="25"/>
        <v/>
      </c>
      <c r="T103" s="48">
        <v>23</v>
      </c>
      <c r="U103" s="62" t="str">
        <f t="shared" si="26"/>
        <v/>
      </c>
      <c r="V103" s="51">
        <v>54</v>
      </c>
      <c r="W103" s="62" t="str">
        <f t="shared" si="27"/>
        <v/>
      </c>
      <c r="X103" s="48">
        <v>20</v>
      </c>
      <c r="Y103" s="62" t="str">
        <f t="shared" si="28"/>
        <v/>
      </c>
      <c r="Z103" s="51">
        <v>48</v>
      </c>
      <c r="AA103" s="62" t="str">
        <f t="shared" si="29"/>
        <v/>
      </c>
      <c r="AB103" s="48">
        <v>16</v>
      </c>
      <c r="AC103" s="62" t="str">
        <f t="shared" si="30"/>
        <v/>
      </c>
      <c r="AD103" s="48">
        <v>18</v>
      </c>
      <c r="AE103" s="62" t="str">
        <f t="shared" si="31"/>
        <v/>
      </c>
      <c r="AF103" s="51">
        <v>20</v>
      </c>
      <c r="AG103" s="62" t="str">
        <f t="shared" si="32"/>
        <v/>
      </c>
      <c r="AH103" s="48">
        <v>20</v>
      </c>
      <c r="AI103" s="62" t="str">
        <f t="shared" si="33"/>
        <v/>
      </c>
      <c r="AJ103" s="31">
        <f>IF(AND(OR(COUNTIF(D103:AI103,"=31")&gt;=1,COUNTIF(D103:AI103,"=32")&gt;=1,COUNTIF(D103:AI103,"=33")&gt;=1,COUNTIF(D103:AI103,"=34")&gt;=1,COUNTIF(D103:AI103,"=35")=1,COUNTIF(D103:AI103,"=36")&gt;=1 ),COUNTIF(D103:AI103,"")=0,COUNTIF(D103:AI103," ")=0,COUNTIF(D103:AI103,"F")=1),CONCATENATE(SUM(EXTRACTNUMBER(D103),EXTRACTNUMBER(F103),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EXTRACTNUMBER(AD103),EXTRACTNUMBER(AF103),EXTRACTNUMBER(AH103)),"*"),IF(AND(COUNTIF(D103:AI103,"=34")&gt;=1,COUNTIF(D103:AI103,"=35")&gt;=1,COUNTIF(D103:AI103,"f")=2,COUNTIF(D103:AI103,"")=0,COUNTIF(D103:AI103," ")=0),CONCATENATE(SUM(EXTRACTNUMBER(D103),EXTRACTNUMBER(F103),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EXTRACTNUMBER(AD103),EXTRACTNUMBER(AF103),EXTRACTNUMBER(AH103)),"*"),IF(AND(COUNTIF(D103:AI103,"=36")&gt;=2,COUNTIF(D103:AI103,"f")=2,COUNTIF(D103:AI103,"")=0,COUNTIF(D103:AI103," ")=0),CONCATENATE(SUM(EXTRACTNUMBER(D103),EXTRACTNUMBER(F103),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EXTRACTNUMBER(AD103),EXTRACTNUMBER(AF103),EXTRACTNUMBER(AH103)),"*"),SUM(EXTRACTNUMBER(D103),EXTRACTNUMBER(F103),
EXTRACTNUMBER(H103),EXTRACTNUMBER(J103),
EXTRACTNUMBER(L103),EXTRACTNUMBER(N103),
EXTRACTNUMBER(P103),EXTRACTNUMBER(R103),
EXTRACTNUMBER(T103),EXTRACTNUMBER(V103),
EXTRACTNUMBER(X103),EXTRACTNUMBER(Z103),EXTRACTNUMBER(AB103),
EXTRACTNUMBER(AD103),EXTRACTNUMBER(AF103),EXTRACTNUMBER(AH103)))))</f>
        <v>481</v>
      </c>
      <c r="AK103" s="32" t="str">
        <f t="shared" si="34"/>
        <v>PASS</v>
      </c>
      <c r="AL103" s="33" t="str">
        <f>SPELLNUMBER(extractnumber_tot(AJ103))</f>
        <v xml:space="preserve">Four Hundred Eighty One </v>
      </c>
    </row>
    <row r="104" spans="2:38" s="30" customFormat="1" ht="15.95" customHeight="1">
      <c r="B104" s="37">
        <v>225281</v>
      </c>
      <c r="C104" s="38" t="s">
        <v>297</v>
      </c>
      <c r="D104" s="45">
        <v>70</v>
      </c>
      <c r="E104" s="61" t="str">
        <f t="shared" si="18"/>
        <v/>
      </c>
      <c r="F104" s="48">
        <v>21</v>
      </c>
      <c r="G104" s="62" t="str">
        <f t="shared" si="19"/>
        <v/>
      </c>
      <c r="H104" s="48">
        <v>40</v>
      </c>
      <c r="I104" s="62" t="str">
        <f t="shared" si="20"/>
        <v/>
      </c>
      <c r="J104" s="50">
        <v>57</v>
      </c>
      <c r="K104" s="62" t="str">
        <f t="shared" si="21"/>
        <v/>
      </c>
      <c r="L104" s="48">
        <v>23</v>
      </c>
      <c r="M104" s="62" t="str">
        <f t="shared" si="22"/>
        <v/>
      </c>
      <c r="N104" s="48">
        <v>42</v>
      </c>
      <c r="O104" s="62" t="str">
        <f t="shared" si="23"/>
        <v/>
      </c>
      <c r="P104" s="51">
        <v>62</v>
      </c>
      <c r="Q104" s="62" t="str">
        <f t="shared" si="24"/>
        <v/>
      </c>
      <c r="R104" s="48">
        <v>21</v>
      </c>
      <c r="S104" s="62" t="str">
        <f t="shared" si="25"/>
        <v/>
      </c>
      <c r="T104" s="48">
        <v>20</v>
      </c>
      <c r="U104" s="62" t="str">
        <f t="shared" si="26"/>
        <v/>
      </c>
      <c r="V104" s="51">
        <v>55</v>
      </c>
      <c r="W104" s="62" t="str">
        <f t="shared" si="27"/>
        <v/>
      </c>
      <c r="X104" s="48">
        <v>22</v>
      </c>
      <c r="Y104" s="62" t="str">
        <f t="shared" si="28"/>
        <v/>
      </c>
      <c r="Z104" s="51">
        <v>69</v>
      </c>
      <c r="AA104" s="62" t="str">
        <f t="shared" si="29"/>
        <v/>
      </c>
      <c r="AB104" s="48">
        <v>23</v>
      </c>
      <c r="AC104" s="62" t="str">
        <f t="shared" si="30"/>
        <v/>
      </c>
      <c r="AD104" s="48">
        <v>20</v>
      </c>
      <c r="AE104" s="62" t="str">
        <f t="shared" si="31"/>
        <v/>
      </c>
      <c r="AF104" s="51">
        <v>32</v>
      </c>
      <c r="AG104" s="62" t="str">
        <f t="shared" si="32"/>
        <v/>
      </c>
      <c r="AH104" s="48">
        <v>21</v>
      </c>
      <c r="AI104" s="62" t="str">
        <f t="shared" si="33"/>
        <v/>
      </c>
      <c r="AJ104" s="31">
        <f>IF(AND(OR(COUNTIF(D104:AI104,"=31")&gt;=1,COUNTIF(D104:AI104,"=32")&gt;=1,COUNTIF(D104:AI104,"=33")&gt;=1,COUNTIF(D104:AI104,"=34")&gt;=1,COUNTIF(D104:AI104,"=35")=1,COUNTIF(D104:AI104,"=36")&gt;=1 ),COUNTIF(D104:AI104,"")=0,COUNTIF(D104:AI104," ")=0,COUNTIF(D104:AI104,"F")=1),CONCATENATE(SUM(EXTRACTNUMBER(D104),EXTRACTNUMBER(F104),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EXTRACTNUMBER(AD104),EXTRACTNUMBER(AF104),EXTRACTNUMBER(AH104)),"*"),IF(AND(COUNTIF(D104:AI104,"=34")&gt;=1,COUNTIF(D104:AI104,"=35")&gt;=1,COUNTIF(D104:AI104,"f")=2,COUNTIF(D104:AI104,"")=0,COUNTIF(D104:AI104," ")=0),CONCATENATE(SUM(EXTRACTNUMBER(D104),EXTRACTNUMBER(F104),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EXTRACTNUMBER(AD104),EXTRACTNUMBER(AF104),EXTRACTNUMBER(AH104)),"*"),IF(AND(COUNTIF(D104:AI104,"=36")&gt;=2,COUNTIF(D104:AI104,"f")=2,COUNTIF(D104:AI104,"")=0,COUNTIF(D104:AI104," ")=0),CONCATENATE(SUM(EXTRACTNUMBER(D104),EXTRACTNUMBER(F104),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EXTRACTNUMBER(AD104),EXTRACTNUMBER(AF104),EXTRACTNUMBER(AH104)),"*"),SUM(EXTRACTNUMBER(D104),EXTRACTNUMBER(F104),
EXTRACTNUMBER(H104),EXTRACTNUMBER(J104),
EXTRACTNUMBER(L104),EXTRACTNUMBER(N104),
EXTRACTNUMBER(P104),EXTRACTNUMBER(R104),
EXTRACTNUMBER(T104),EXTRACTNUMBER(V104),
EXTRACTNUMBER(X104),EXTRACTNUMBER(Z104),EXTRACTNUMBER(AB104),
EXTRACTNUMBER(AD104),EXTRACTNUMBER(AF104),EXTRACTNUMBER(AH104)))))</f>
        <v>598</v>
      </c>
      <c r="AK104" s="32" t="str">
        <f t="shared" si="34"/>
        <v>PASS</v>
      </c>
      <c r="AL104" s="33" t="str">
        <f>SPELLNUMBER(extractnumber_tot(AJ104))</f>
        <v xml:space="preserve">Five Hundred NinetyEight </v>
      </c>
    </row>
    <row r="105" spans="2:38" s="30" customFormat="1" ht="15.95" customHeight="1">
      <c r="B105" s="37">
        <v>225282</v>
      </c>
      <c r="C105" s="38" t="s">
        <v>298</v>
      </c>
      <c r="D105" s="45">
        <v>50</v>
      </c>
      <c r="E105" s="61" t="str">
        <f t="shared" si="18"/>
        <v/>
      </c>
      <c r="F105" s="48">
        <v>18</v>
      </c>
      <c r="G105" s="62" t="str">
        <f t="shared" si="19"/>
        <v/>
      </c>
      <c r="H105" s="48">
        <v>42</v>
      </c>
      <c r="I105" s="62" t="str">
        <f t="shared" si="20"/>
        <v/>
      </c>
      <c r="J105" s="50">
        <v>55</v>
      </c>
      <c r="K105" s="62" t="str">
        <f t="shared" si="21"/>
        <v/>
      </c>
      <c r="L105" s="48">
        <v>17</v>
      </c>
      <c r="M105" s="62" t="str">
        <f t="shared" si="22"/>
        <v/>
      </c>
      <c r="N105" s="48">
        <v>38</v>
      </c>
      <c r="O105" s="62" t="str">
        <f t="shared" si="23"/>
        <v/>
      </c>
      <c r="P105" s="51">
        <v>46</v>
      </c>
      <c r="Q105" s="62" t="str">
        <f t="shared" si="24"/>
        <v/>
      </c>
      <c r="R105" s="48">
        <v>18</v>
      </c>
      <c r="S105" s="62" t="str">
        <f t="shared" si="25"/>
        <v/>
      </c>
      <c r="T105" s="48">
        <v>22</v>
      </c>
      <c r="U105" s="62" t="str">
        <f t="shared" si="26"/>
        <v/>
      </c>
      <c r="V105" s="51">
        <v>49</v>
      </c>
      <c r="W105" s="62" t="str">
        <f t="shared" si="27"/>
        <v/>
      </c>
      <c r="X105" s="48">
        <v>20</v>
      </c>
      <c r="Y105" s="62" t="str">
        <f t="shared" si="28"/>
        <v/>
      </c>
      <c r="Z105" s="51">
        <v>49</v>
      </c>
      <c r="AA105" s="62" t="str">
        <f t="shared" si="29"/>
        <v/>
      </c>
      <c r="AB105" s="48">
        <v>17</v>
      </c>
      <c r="AC105" s="62" t="str">
        <f t="shared" si="30"/>
        <v/>
      </c>
      <c r="AD105" s="48">
        <v>18</v>
      </c>
      <c r="AE105" s="62" t="str">
        <f t="shared" si="31"/>
        <v/>
      </c>
      <c r="AF105" s="51">
        <v>26</v>
      </c>
      <c r="AG105" s="62" t="str">
        <f t="shared" si="32"/>
        <v/>
      </c>
      <c r="AH105" s="48">
        <v>19</v>
      </c>
      <c r="AI105" s="62" t="str">
        <f t="shared" si="33"/>
        <v/>
      </c>
      <c r="AJ105" s="31">
        <f>IF(AND(OR(COUNTIF(D105:AI105,"=31")&gt;=1,COUNTIF(D105:AI105,"=32")&gt;=1,COUNTIF(D105:AI105,"=33")&gt;=1,COUNTIF(D105:AI105,"=34")&gt;=1,COUNTIF(D105:AI105,"=35")=1,COUNTIF(D105:AI105,"=36")&gt;=1 ),COUNTIF(D105:AI105,"")=0,COUNTIF(D105:AI105," ")=0,COUNTIF(D105:AI105,"F")=1),CONCATENATE(SUM(EXTRACTNUMBER(D105),EXTRACTNUMBER(F105),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EXTRACTNUMBER(AD105),EXTRACTNUMBER(AF105),EXTRACTNUMBER(AH105)),"*"),IF(AND(COUNTIF(D105:AI105,"=34")&gt;=1,COUNTIF(D105:AI105,"=35")&gt;=1,COUNTIF(D105:AI105,"f")=2,COUNTIF(D105:AI105,"")=0,COUNTIF(D105:AI105," ")=0),CONCATENATE(SUM(EXTRACTNUMBER(D105),EXTRACTNUMBER(F105),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EXTRACTNUMBER(AD105),EXTRACTNUMBER(AF105),EXTRACTNUMBER(AH105)),"*"),IF(AND(COUNTIF(D105:AI105,"=36")&gt;=2,COUNTIF(D105:AI105,"f")=2,COUNTIF(D105:AI105,"")=0,COUNTIF(D105:AI105," ")=0),CONCATENATE(SUM(EXTRACTNUMBER(D105),EXTRACTNUMBER(F105),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EXTRACTNUMBER(AD105),EXTRACTNUMBER(AF105),EXTRACTNUMBER(AH105)),"*"),SUM(EXTRACTNUMBER(D105),EXTRACTNUMBER(F105),
EXTRACTNUMBER(H105),EXTRACTNUMBER(J105),
EXTRACTNUMBER(L105),EXTRACTNUMBER(N105),
EXTRACTNUMBER(P105),EXTRACTNUMBER(R105),
EXTRACTNUMBER(T105),EXTRACTNUMBER(V105),
EXTRACTNUMBER(X105),EXTRACTNUMBER(Z105),EXTRACTNUMBER(AB105),
EXTRACTNUMBER(AD105),EXTRACTNUMBER(AF105),EXTRACTNUMBER(AH105)))))</f>
        <v>504</v>
      </c>
      <c r="AK105" s="32" t="str">
        <f t="shared" si="34"/>
        <v>PASS</v>
      </c>
      <c r="AL105" s="33" t="str">
        <f>SPELLNUMBER(extractnumber_tot(AJ105))</f>
        <v xml:space="preserve">Five Hundred Four </v>
      </c>
    </row>
    <row r="106" spans="2:38" s="30" customFormat="1" ht="15.95" customHeight="1">
      <c r="B106" s="37">
        <v>225283</v>
      </c>
      <c r="C106" s="38" t="s">
        <v>299</v>
      </c>
      <c r="D106" s="45">
        <v>15</v>
      </c>
      <c r="E106" s="61" t="str">
        <f t="shared" si="18"/>
        <v>F</v>
      </c>
      <c r="F106" s="48">
        <v>20</v>
      </c>
      <c r="G106" s="62" t="str">
        <f t="shared" si="19"/>
        <v>E</v>
      </c>
      <c r="H106" s="48">
        <v>45</v>
      </c>
      <c r="I106" s="62" t="str">
        <f t="shared" si="20"/>
        <v>E</v>
      </c>
      <c r="J106" s="50">
        <v>40</v>
      </c>
      <c r="K106" s="62" t="str">
        <f t="shared" si="21"/>
        <v>E</v>
      </c>
      <c r="L106" s="48">
        <v>20</v>
      </c>
      <c r="M106" s="62" t="str">
        <f t="shared" si="22"/>
        <v>E</v>
      </c>
      <c r="N106" s="48">
        <v>42</v>
      </c>
      <c r="O106" s="62" t="str">
        <f t="shared" si="23"/>
        <v>E</v>
      </c>
      <c r="P106" s="51">
        <v>58</v>
      </c>
      <c r="Q106" s="62" t="str">
        <f t="shared" si="24"/>
        <v>E</v>
      </c>
      <c r="R106" s="48">
        <v>20</v>
      </c>
      <c r="S106" s="62" t="str">
        <f t="shared" si="25"/>
        <v>E</v>
      </c>
      <c r="T106" s="48">
        <v>23</v>
      </c>
      <c r="U106" s="62" t="str">
        <f t="shared" si="26"/>
        <v>E</v>
      </c>
      <c r="V106" s="51">
        <v>48</v>
      </c>
      <c r="W106" s="62" t="str">
        <f t="shared" si="27"/>
        <v>E</v>
      </c>
      <c r="X106" s="48">
        <v>16</v>
      </c>
      <c r="Y106" s="62" t="str">
        <f t="shared" si="28"/>
        <v>E</v>
      </c>
      <c r="Z106" s="51">
        <v>43</v>
      </c>
      <c r="AA106" s="62" t="str">
        <f t="shared" si="29"/>
        <v>E</v>
      </c>
      <c r="AB106" s="48">
        <v>20</v>
      </c>
      <c r="AC106" s="62" t="str">
        <f t="shared" si="30"/>
        <v>E</v>
      </c>
      <c r="AD106" s="48">
        <v>17</v>
      </c>
      <c r="AE106" s="62" t="str">
        <f t="shared" si="31"/>
        <v>E</v>
      </c>
      <c r="AF106" s="51">
        <v>26</v>
      </c>
      <c r="AG106" s="62" t="str">
        <f t="shared" si="32"/>
        <v>E</v>
      </c>
      <c r="AH106" s="48">
        <v>17</v>
      </c>
      <c r="AI106" s="62" t="str">
        <f t="shared" si="33"/>
        <v>E</v>
      </c>
      <c r="AJ106" s="31">
        <f>IF(AND(OR(COUNTIF(D106:AI106,"=31")&gt;=1,COUNTIF(D106:AI106,"=32")&gt;=1,COUNTIF(D106:AI106,"=33")&gt;=1,COUNTIF(D106:AI106,"=34")&gt;=1,COUNTIF(D106:AI106,"=35")=1,COUNTIF(D106:AI106,"=36")&gt;=1 ),COUNTIF(D106:AI106,"")=0,COUNTIF(D106:AI106," ")=0,COUNTIF(D106:AI106,"F")=1),CONCATENATE(SUM(EXTRACTNUMBER(D106),EXTRACTNUMBER(F106),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EXTRACTNUMBER(AD106),EXTRACTNUMBER(AF106),EXTRACTNUMBER(AH106)),"*"),IF(AND(COUNTIF(D106:AI106,"=34")&gt;=1,COUNTIF(D106:AI106,"=35")&gt;=1,COUNTIF(D106:AI106,"f")=2,COUNTIF(D106:AI106,"")=0,COUNTIF(D106:AI106," ")=0),CONCATENATE(SUM(EXTRACTNUMBER(D106),EXTRACTNUMBER(F106),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EXTRACTNUMBER(AD106),EXTRACTNUMBER(AF106),EXTRACTNUMBER(AH106)),"*"),IF(AND(COUNTIF(D106:AI106,"=36")&gt;=2,COUNTIF(D106:AI106,"f")=2,COUNTIF(D106:AI106,"")=0,COUNTIF(D106:AI106," ")=0),CONCATENATE(SUM(EXTRACTNUMBER(D106),EXTRACTNUMBER(F106),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EXTRACTNUMBER(AD106),EXTRACTNUMBER(AF106),EXTRACTNUMBER(AH106)),"*"),SUM(EXTRACTNUMBER(D106),EXTRACTNUMBER(F106),
EXTRACTNUMBER(H106),EXTRACTNUMBER(J106),
EXTRACTNUMBER(L106),EXTRACTNUMBER(N106),
EXTRACTNUMBER(P106),EXTRACTNUMBER(R106),
EXTRACTNUMBER(T106),EXTRACTNUMBER(V106),
EXTRACTNUMBER(X106),EXTRACTNUMBER(Z106),EXTRACTNUMBER(AB106),
EXTRACTNUMBER(AD106),EXTRACTNUMBER(AF106),EXTRACTNUMBER(AH106)))))</f>
        <v>470</v>
      </c>
      <c r="AK106" s="32" t="str">
        <f t="shared" si="34"/>
        <v>FAIL</v>
      </c>
      <c r="AL106" s="33" t="str">
        <f>SPELLNUMBER(extractnumber_tot(AJ106))</f>
        <v xml:space="preserve">Four Hundred Seventy  </v>
      </c>
    </row>
    <row r="107" spans="2:38" s="30" customFormat="1" ht="15.95" customHeight="1">
      <c r="B107" s="37">
        <v>225284</v>
      </c>
      <c r="C107" s="38" t="s">
        <v>300</v>
      </c>
      <c r="D107" s="45">
        <v>42</v>
      </c>
      <c r="E107" s="61" t="str">
        <f t="shared" si="18"/>
        <v>E</v>
      </c>
      <c r="F107" s="48">
        <v>20</v>
      </c>
      <c r="G107" s="62" t="str">
        <f t="shared" si="19"/>
        <v>E</v>
      </c>
      <c r="H107" s="48">
        <v>42</v>
      </c>
      <c r="I107" s="62" t="str">
        <f t="shared" si="20"/>
        <v>E</v>
      </c>
      <c r="J107" s="50">
        <v>42</v>
      </c>
      <c r="K107" s="62" t="str">
        <f t="shared" si="21"/>
        <v>E</v>
      </c>
      <c r="L107" s="48">
        <v>19</v>
      </c>
      <c r="M107" s="62" t="str">
        <f t="shared" si="22"/>
        <v>E</v>
      </c>
      <c r="N107" s="48">
        <v>38</v>
      </c>
      <c r="O107" s="62" t="str">
        <f t="shared" si="23"/>
        <v>E</v>
      </c>
      <c r="P107" s="51">
        <v>30</v>
      </c>
      <c r="Q107" s="62" t="str">
        <f t="shared" si="24"/>
        <v>F</v>
      </c>
      <c r="R107" s="48">
        <v>20</v>
      </c>
      <c r="S107" s="62" t="str">
        <f t="shared" si="25"/>
        <v>E</v>
      </c>
      <c r="T107" s="48">
        <v>22</v>
      </c>
      <c r="U107" s="62" t="str">
        <f t="shared" si="26"/>
        <v>E</v>
      </c>
      <c r="V107" s="51">
        <v>58</v>
      </c>
      <c r="W107" s="62" t="str">
        <f t="shared" si="27"/>
        <v>E</v>
      </c>
      <c r="X107" s="48">
        <v>16</v>
      </c>
      <c r="Y107" s="62" t="str">
        <f t="shared" si="28"/>
        <v>E</v>
      </c>
      <c r="Z107" s="51">
        <v>69</v>
      </c>
      <c r="AA107" s="62" t="str">
        <f t="shared" si="29"/>
        <v>E</v>
      </c>
      <c r="AB107" s="48">
        <v>19</v>
      </c>
      <c r="AC107" s="62" t="str">
        <f t="shared" si="30"/>
        <v>E</v>
      </c>
      <c r="AD107" s="48">
        <v>19</v>
      </c>
      <c r="AE107" s="62" t="str">
        <f t="shared" si="31"/>
        <v>E</v>
      </c>
      <c r="AF107" s="51">
        <v>30</v>
      </c>
      <c r="AG107" s="62" t="str">
        <f t="shared" si="32"/>
        <v>E</v>
      </c>
      <c r="AH107" s="48">
        <v>17</v>
      </c>
      <c r="AI107" s="62" t="str">
        <f t="shared" si="33"/>
        <v>E</v>
      </c>
      <c r="AJ107" s="31">
        <f>IF(AND(OR(COUNTIF(D107:AI107,"=31")&gt;=1,COUNTIF(D107:AI107,"=32")&gt;=1,COUNTIF(D107:AI107,"=33")&gt;=1,COUNTIF(D107:AI107,"=34")&gt;=1,COUNTIF(D107:AI107,"=35")=1,COUNTIF(D107:AI107,"=36")&gt;=1 ),COUNTIF(D107:AI107,"")=0,COUNTIF(D107:AI107," ")=0,COUNTIF(D107:AI107,"F")=1),CONCATENATE(SUM(EXTRACTNUMBER(D107),EXTRACTNUMBER(F107),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EXTRACTNUMBER(AD107),EXTRACTNUMBER(AF107),EXTRACTNUMBER(AH107)),"*"),IF(AND(COUNTIF(D107:AI107,"=34")&gt;=1,COUNTIF(D107:AI107,"=35")&gt;=1,COUNTIF(D107:AI107,"f")=2,COUNTIF(D107:AI107,"")=0,COUNTIF(D107:AI107," ")=0),CONCATENATE(SUM(EXTRACTNUMBER(D107),EXTRACTNUMBER(F107),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EXTRACTNUMBER(AD107),EXTRACTNUMBER(AF107),EXTRACTNUMBER(AH107)),"*"),IF(AND(COUNTIF(D107:AI107,"=36")&gt;=2,COUNTIF(D107:AI107,"f")=2,COUNTIF(D107:AI107,"")=0,COUNTIF(D107:AI107," ")=0),CONCATENATE(SUM(EXTRACTNUMBER(D107),EXTRACTNUMBER(F107),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EXTRACTNUMBER(AD107),EXTRACTNUMBER(AF107),EXTRACTNUMBER(AH107)),"*"),SUM(EXTRACTNUMBER(D107),EXTRACTNUMBER(F107),
EXTRACTNUMBER(H107),EXTRACTNUMBER(J107),
EXTRACTNUMBER(L107),EXTRACTNUMBER(N107),
EXTRACTNUMBER(P107),EXTRACTNUMBER(R107),
EXTRACTNUMBER(T107),EXTRACTNUMBER(V107),
EXTRACTNUMBER(X107),EXTRACTNUMBER(Z107),EXTRACTNUMBER(AB107),
EXTRACTNUMBER(AD107),EXTRACTNUMBER(AF107),EXTRACTNUMBER(AH107)))))</f>
        <v>503</v>
      </c>
      <c r="AK107" s="32" t="str">
        <f t="shared" si="34"/>
        <v>FAIL</v>
      </c>
      <c r="AL107" s="33" t="str">
        <f>SPELLNUMBER(extractnumber_tot(AJ107))</f>
        <v xml:space="preserve">Five Hundred Three </v>
      </c>
    </row>
    <row r="108" spans="2:38" s="30" customFormat="1" ht="15.95" customHeight="1">
      <c r="B108" s="37">
        <v>225285</v>
      </c>
      <c r="C108" s="38" t="s">
        <v>301</v>
      </c>
      <c r="D108" s="45">
        <v>63</v>
      </c>
      <c r="E108" s="61" t="str">
        <f t="shared" si="18"/>
        <v/>
      </c>
      <c r="F108" s="48">
        <v>21</v>
      </c>
      <c r="G108" s="62" t="str">
        <f t="shared" si="19"/>
        <v/>
      </c>
      <c r="H108" s="48">
        <v>43</v>
      </c>
      <c r="I108" s="62" t="str">
        <f t="shared" si="20"/>
        <v/>
      </c>
      <c r="J108" s="50">
        <v>40</v>
      </c>
      <c r="K108" s="62" t="str">
        <f t="shared" si="21"/>
        <v/>
      </c>
      <c r="L108" s="48">
        <v>22</v>
      </c>
      <c r="M108" s="62" t="str">
        <f t="shared" si="22"/>
        <v/>
      </c>
      <c r="N108" s="48">
        <v>42</v>
      </c>
      <c r="O108" s="62" t="str">
        <f t="shared" si="23"/>
        <v/>
      </c>
      <c r="P108" s="51">
        <v>55</v>
      </c>
      <c r="Q108" s="62" t="str">
        <f t="shared" si="24"/>
        <v/>
      </c>
      <c r="R108" s="48">
        <v>21</v>
      </c>
      <c r="S108" s="62" t="str">
        <f t="shared" si="25"/>
        <v/>
      </c>
      <c r="T108" s="48">
        <v>23</v>
      </c>
      <c r="U108" s="62" t="str">
        <f t="shared" si="26"/>
        <v/>
      </c>
      <c r="V108" s="51">
        <v>58</v>
      </c>
      <c r="W108" s="62" t="str">
        <f t="shared" si="27"/>
        <v/>
      </c>
      <c r="X108" s="48">
        <v>21</v>
      </c>
      <c r="Y108" s="62" t="str">
        <f t="shared" si="28"/>
        <v/>
      </c>
      <c r="Z108" s="51">
        <v>40</v>
      </c>
      <c r="AA108" s="62" t="str">
        <f t="shared" si="29"/>
        <v/>
      </c>
      <c r="AB108" s="48">
        <v>22</v>
      </c>
      <c r="AC108" s="62" t="str">
        <f t="shared" si="30"/>
        <v/>
      </c>
      <c r="AD108" s="48">
        <v>18</v>
      </c>
      <c r="AE108" s="62" t="str">
        <f t="shared" si="31"/>
        <v/>
      </c>
      <c r="AF108" s="51">
        <v>31</v>
      </c>
      <c r="AG108" s="62" t="str">
        <f t="shared" si="32"/>
        <v/>
      </c>
      <c r="AH108" s="48">
        <v>23</v>
      </c>
      <c r="AI108" s="62" t="str">
        <f t="shared" si="33"/>
        <v/>
      </c>
      <c r="AJ108" s="31">
        <f>IF(AND(OR(COUNTIF(D108:AI108,"=31")&gt;=1,COUNTIF(D108:AI108,"=32")&gt;=1,COUNTIF(D108:AI108,"=33")&gt;=1,COUNTIF(D108:AI108,"=34")&gt;=1,COUNTIF(D108:AI108,"=35")=1,COUNTIF(D108:AI108,"=36")&gt;=1 ),COUNTIF(D108:AI108,"")=0,COUNTIF(D108:AI108," ")=0,COUNTIF(D108:AI108,"F")=1),CONCATENATE(SUM(EXTRACTNUMBER(D108),EXTRACTNUMBER(F108),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EXTRACTNUMBER(AD108),EXTRACTNUMBER(AF108),EXTRACTNUMBER(AH108)),"*"),IF(AND(COUNTIF(D108:AI108,"=34")&gt;=1,COUNTIF(D108:AI108,"=35")&gt;=1,COUNTIF(D108:AI108,"f")=2,COUNTIF(D108:AI108,"")=0,COUNTIF(D108:AI108," ")=0),CONCATENATE(SUM(EXTRACTNUMBER(D108),EXTRACTNUMBER(F108),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EXTRACTNUMBER(AD108),EXTRACTNUMBER(AF108),EXTRACTNUMBER(AH108)),"*"),IF(AND(COUNTIF(D108:AI108,"=36")&gt;=2,COUNTIF(D108:AI108,"f")=2,COUNTIF(D108:AI108,"")=0,COUNTIF(D108:AI108," ")=0),CONCATENATE(SUM(EXTRACTNUMBER(D108),EXTRACTNUMBER(F108),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EXTRACTNUMBER(AD108),EXTRACTNUMBER(AF108),EXTRACTNUMBER(AH108)),"*"),SUM(EXTRACTNUMBER(D108),EXTRACTNUMBER(F108),
EXTRACTNUMBER(H108),EXTRACTNUMBER(J108),
EXTRACTNUMBER(L108),EXTRACTNUMBER(N108),
EXTRACTNUMBER(P108),EXTRACTNUMBER(R108),
EXTRACTNUMBER(T108),EXTRACTNUMBER(V108),
EXTRACTNUMBER(X108),EXTRACTNUMBER(Z108),EXTRACTNUMBER(AB108),
EXTRACTNUMBER(AD108),EXTRACTNUMBER(AF108),EXTRACTNUMBER(AH108)))))</f>
        <v>543</v>
      </c>
      <c r="AK108" s="32" t="str">
        <f t="shared" si="34"/>
        <v>PASS</v>
      </c>
      <c r="AL108" s="33" t="str">
        <f>SPELLNUMBER(extractnumber_tot(AJ108))</f>
        <v xml:space="preserve">Five Hundred Forty Three </v>
      </c>
    </row>
    <row r="109" spans="2:38" s="30" customFormat="1" ht="15.95" customHeight="1">
      <c r="B109" s="37">
        <v>225286</v>
      </c>
      <c r="C109" s="38" t="s">
        <v>302</v>
      </c>
      <c r="D109" s="45">
        <v>64</v>
      </c>
      <c r="E109" s="61" t="str">
        <f t="shared" si="18"/>
        <v/>
      </c>
      <c r="F109" s="48">
        <v>21</v>
      </c>
      <c r="G109" s="62" t="str">
        <f t="shared" si="19"/>
        <v/>
      </c>
      <c r="H109" s="48">
        <v>44</v>
      </c>
      <c r="I109" s="62" t="str">
        <f t="shared" si="20"/>
        <v/>
      </c>
      <c r="J109" s="50">
        <v>64</v>
      </c>
      <c r="K109" s="62" t="str">
        <f t="shared" si="21"/>
        <v/>
      </c>
      <c r="L109" s="48">
        <v>23</v>
      </c>
      <c r="M109" s="62" t="str">
        <f t="shared" si="22"/>
        <v/>
      </c>
      <c r="N109" s="48">
        <v>46</v>
      </c>
      <c r="O109" s="62" t="str">
        <f t="shared" si="23"/>
        <v/>
      </c>
      <c r="P109" s="51">
        <v>52</v>
      </c>
      <c r="Q109" s="62" t="str">
        <f t="shared" si="24"/>
        <v/>
      </c>
      <c r="R109" s="48">
        <v>22</v>
      </c>
      <c r="S109" s="62" t="str">
        <f t="shared" si="25"/>
        <v/>
      </c>
      <c r="T109" s="48">
        <v>23</v>
      </c>
      <c r="U109" s="62" t="str">
        <f t="shared" si="26"/>
        <v/>
      </c>
      <c r="V109" s="51">
        <v>58</v>
      </c>
      <c r="W109" s="62" t="str">
        <f t="shared" si="27"/>
        <v/>
      </c>
      <c r="X109" s="48">
        <v>22</v>
      </c>
      <c r="Y109" s="62" t="str">
        <f t="shared" si="28"/>
        <v/>
      </c>
      <c r="Z109" s="51">
        <v>68</v>
      </c>
      <c r="AA109" s="62" t="str">
        <f t="shared" si="29"/>
        <v/>
      </c>
      <c r="AB109" s="48">
        <v>23</v>
      </c>
      <c r="AC109" s="62" t="str">
        <f t="shared" si="30"/>
        <v/>
      </c>
      <c r="AD109" s="48">
        <v>20</v>
      </c>
      <c r="AE109" s="62" t="str">
        <f t="shared" si="31"/>
        <v/>
      </c>
      <c r="AF109" s="51">
        <v>30</v>
      </c>
      <c r="AG109" s="62" t="str">
        <f t="shared" si="32"/>
        <v/>
      </c>
      <c r="AH109" s="48">
        <v>20</v>
      </c>
      <c r="AI109" s="62" t="str">
        <f t="shared" si="33"/>
        <v/>
      </c>
      <c r="AJ109" s="31">
        <f>IF(AND(OR(COUNTIF(D109:AI109,"=31")&gt;=1,COUNTIF(D109:AI109,"=32")&gt;=1,COUNTIF(D109:AI109,"=33")&gt;=1,COUNTIF(D109:AI109,"=34")&gt;=1,COUNTIF(D109:AI109,"=35")=1,COUNTIF(D109:AI109,"=36")&gt;=1 ),COUNTIF(D109:AI109,"")=0,COUNTIF(D109:AI109," ")=0,COUNTIF(D109:AI109,"F")=1),CONCATENATE(SUM(EXTRACTNUMBER(D109),EXTRACTNUMBER(F109),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EXTRACTNUMBER(AD109),EXTRACTNUMBER(AF109),EXTRACTNUMBER(AH109)),"*"),IF(AND(COUNTIF(D109:AI109,"=34")&gt;=1,COUNTIF(D109:AI109,"=35")&gt;=1,COUNTIF(D109:AI109,"f")=2,COUNTIF(D109:AI109,"")=0,COUNTIF(D109:AI109," ")=0),CONCATENATE(SUM(EXTRACTNUMBER(D109),EXTRACTNUMBER(F109),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EXTRACTNUMBER(AD109),EXTRACTNUMBER(AF109),EXTRACTNUMBER(AH109)),"*"),IF(AND(COUNTIF(D109:AI109,"=36")&gt;=2,COUNTIF(D109:AI109,"f")=2,COUNTIF(D109:AI109,"")=0,COUNTIF(D109:AI109," ")=0),CONCATENATE(SUM(EXTRACTNUMBER(D109),EXTRACTNUMBER(F109),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EXTRACTNUMBER(AD109),EXTRACTNUMBER(AF109),EXTRACTNUMBER(AH109)),"*"),SUM(EXTRACTNUMBER(D109),EXTRACTNUMBER(F109),
EXTRACTNUMBER(H109),EXTRACTNUMBER(J109),
EXTRACTNUMBER(L109),EXTRACTNUMBER(N109),
EXTRACTNUMBER(P109),EXTRACTNUMBER(R109),
EXTRACTNUMBER(T109),EXTRACTNUMBER(V109),
EXTRACTNUMBER(X109),EXTRACTNUMBER(Z109),EXTRACTNUMBER(AB109),
EXTRACTNUMBER(AD109),EXTRACTNUMBER(AF109),EXTRACTNUMBER(AH109)))))</f>
        <v>600</v>
      </c>
      <c r="AK109" s="32" t="str">
        <f t="shared" si="34"/>
        <v>PASS</v>
      </c>
      <c r="AL109" s="33" t="str">
        <f>SPELLNUMBER(extractnumber_tot(AJ109))</f>
        <v xml:space="preserve">Six Hundred  </v>
      </c>
    </row>
    <row r="110" spans="2:38" s="30" customFormat="1" ht="15.95" customHeight="1">
      <c r="B110" s="37">
        <v>225287</v>
      </c>
      <c r="C110" s="38" t="s">
        <v>303</v>
      </c>
      <c r="D110" s="45">
        <v>61</v>
      </c>
      <c r="E110" s="61" t="str">
        <f t="shared" si="18"/>
        <v/>
      </c>
      <c r="F110" s="48">
        <v>20</v>
      </c>
      <c r="G110" s="62" t="str">
        <f t="shared" si="19"/>
        <v/>
      </c>
      <c r="H110" s="48">
        <v>42</v>
      </c>
      <c r="I110" s="62" t="str">
        <f t="shared" si="20"/>
        <v/>
      </c>
      <c r="J110" s="50">
        <v>45</v>
      </c>
      <c r="K110" s="62" t="str">
        <f t="shared" si="21"/>
        <v/>
      </c>
      <c r="L110" s="48">
        <v>17</v>
      </c>
      <c r="M110" s="62" t="str">
        <f t="shared" si="22"/>
        <v/>
      </c>
      <c r="N110" s="48">
        <v>38</v>
      </c>
      <c r="O110" s="62" t="str">
        <f t="shared" si="23"/>
        <v/>
      </c>
      <c r="P110" s="51">
        <v>45</v>
      </c>
      <c r="Q110" s="62" t="str">
        <f t="shared" si="24"/>
        <v/>
      </c>
      <c r="R110" s="48">
        <v>20</v>
      </c>
      <c r="S110" s="62" t="str">
        <f t="shared" si="25"/>
        <v/>
      </c>
      <c r="T110" s="48">
        <v>22</v>
      </c>
      <c r="U110" s="62" t="str">
        <f t="shared" si="26"/>
        <v/>
      </c>
      <c r="V110" s="51">
        <v>57</v>
      </c>
      <c r="W110" s="62" t="str">
        <f t="shared" si="27"/>
        <v/>
      </c>
      <c r="X110" s="48">
        <v>20</v>
      </c>
      <c r="Y110" s="62" t="str">
        <f t="shared" si="28"/>
        <v/>
      </c>
      <c r="Z110" s="51">
        <v>44</v>
      </c>
      <c r="AA110" s="62" t="str">
        <f t="shared" si="29"/>
        <v/>
      </c>
      <c r="AB110" s="48">
        <v>18</v>
      </c>
      <c r="AC110" s="62" t="str">
        <f t="shared" si="30"/>
        <v/>
      </c>
      <c r="AD110" s="48">
        <v>17</v>
      </c>
      <c r="AE110" s="62" t="str">
        <f t="shared" si="31"/>
        <v/>
      </c>
      <c r="AF110" s="51">
        <v>31</v>
      </c>
      <c r="AG110" s="62" t="str">
        <f t="shared" si="32"/>
        <v/>
      </c>
      <c r="AH110" s="48">
        <v>20</v>
      </c>
      <c r="AI110" s="62" t="str">
        <f t="shared" si="33"/>
        <v/>
      </c>
      <c r="AJ110" s="31">
        <f>IF(AND(OR(COUNTIF(D110:AI110,"=31")&gt;=1,COUNTIF(D110:AI110,"=32")&gt;=1,COUNTIF(D110:AI110,"=33")&gt;=1,COUNTIF(D110:AI110,"=34")&gt;=1,COUNTIF(D110:AI110,"=35")=1,COUNTIF(D110:AI110,"=36")&gt;=1 ),COUNTIF(D110:AI110,"")=0,COUNTIF(D110:AI110," ")=0,COUNTIF(D110:AI110,"F")=1),CONCATENATE(SUM(EXTRACTNUMBER(D110),EXTRACTNUMBER(F110),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EXTRACTNUMBER(AD110),EXTRACTNUMBER(AF110),EXTRACTNUMBER(AH110)),"*"),IF(AND(COUNTIF(D110:AI110,"=34")&gt;=1,COUNTIF(D110:AI110,"=35")&gt;=1,COUNTIF(D110:AI110,"f")=2,COUNTIF(D110:AI110,"")=0,COUNTIF(D110:AI110," ")=0),CONCATENATE(SUM(EXTRACTNUMBER(D110),EXTRACTNUMBER(F110),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EXTRACTNUMBER(AD110),EXTRACTNUMBER(AF110),EXTRACTNUMBER(AH110)),"*"),IF(AND(COUNTIF(D110:AI110,"=36")&gt;=2,COUNTIF(D110:AI110,"f")=2,COUNTIF(D110:AI110,"")=0,COUNTIF(D110:AI110," ")=0),CONCATENATE(SUM(EXTRACTNUMBER(D110),EXTRACTNUMBER(F110),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EXTRACTNUMBER(AD110),EXTRACTNUMBER(AF110),EXTRACTNUMBER(AH110)),"*"),SUM(EXTRACTNUMBER(D110),EXTRACTNUMBER(F110),
EXTRACTNUMBER(H110),EXTRACTNUMBER(J110),
EXTRACTNUMBER(L110),EXTRACTNUMBER(N110),
EXTRACTNUMBER(P110),EXTRACTNUMBER(R110),
EXTRACTNUMBER(T110),EXTRACTNUMBER(V110),
EXTRACTNUMBER(X110),EXTRACTNUMBER(Z110),EXTRACTNUMBER(AB110),
EXTRACTNUMBER(AD110),EXTRACTNUMBER(AF110),EXTRACTNUMBER(AH110)))))</f>
        <v>517</v>
      </c>
      <c r="AK110" s="32" t="str">
        <f t="shared" si="34"/>
        <v>PASS</v>
      </c>
      <c r="AL110" s="33" t="str">
        <f>SPELLNUMBER(extractnumber_tot(AJ110))</f>
        <v xml:space="preserve">Five Hundred Seventeen </v>
      </c>
    </row>
    <row r="111" spans="2:38" s="30" customFormat="1" ht="15.95" customHeight="1">
      <c r="B111" s="37">
        <v>225288</v>
      </c>
      <c r="C111" s="38" t="s">
        <v>304</v>
      </c>
      <c r="D111" s="45">
        <v>63</v>
      </c>
      <c r="E111" s="61" t="str">
        <f t="shared" si="18"/>
        <v/>
      </c>
      <c r="F111" s="48">
        <v>23</v>
      </c>
      <c r="G111" s="62" t="str">
        <f t="shared" si="19"/>
        <v/>
      </c>
      <c r="H111" s="48">
        <v>44</v>
      </c>
      <c r="I111" s="62" t="str">
        <f t="shared" si="20"/>
        <v/>
      </c>
      <c r="J111" s="50">
        <v>46</v>
      </c>
      <c r="K111" s="62" t="str">
        <f t="shared" si="21"/>
        <v/>
      </c>
      <c r="L111" s="48">
        <v>23</v>
      </c>
      <c r="M111" s="62" t="str">
        <f t="shared" si="22"/>
        <v/>
      </c>
      <c r="N111" s="48">
        <v>42</v>
      </c>
      <c r="O111" s="62" t="str">
        <f t="shared" si="23"/>
        <v/>
      </c>
      <c r="P111" s="51">
        <v>47</v>
      </c>
      <c r="Q111" s="62" t="str">
        <f t="shared" si="24"/>
        <v/>
      </c>
      <c r="R111" s="48">
        <v>23</v>
      </c>
      <c r="S111" s="62" t="str">
        <f t="shared" si="25"/>
        <v/>
      </c>
      <c r="T111" s="48">
        <v>23</v>
      </c>
      <c r="U111" s="62" t="str">
        <f t="shared" si="26"/>
        <v/>
      </c>
      <c r="V111" s="51">
        <v>61</v>
      </c>
      <c r="W111" s="62" t="str">
        <f t="shared" si="27"/>
        <v/>
      </c>
      <c r="X111" s="48">
        <v>23</v>
      </c>
      <c r="Y111" s="62" t="str">
        <f t="shared" si="28"/>
        <v/>
      </c>
      <c r="Z111" s="51">
        <v>68</v>
      </c>
      <c r="AA111" s="62" t="str">
        <f t="shared" si="29"/>
        <v/>
      </c>
      <c r="AB111" s="48">
        <v>23</v>
      </c>
      <c r="AC111" s="62" t="str">
        <f t="shared" si="30"/>
        <v/>
      </c>
      <c r="AD111" s="48">
        <v>17</v>
      </c>
      <c r="AE111" s="62" t="str">
        <f t="shared" si="31"/>
        <v/>
      </c>
      <c r="AF111" s="51">
        <v>27</v>
      </c>
      <c r="AG111" s="62" t="str">
        <f t="shared" si="32"/>
        <v/>
      </c>
      <c r="AH111" s="48">
        <v>23</v>
      </c>
      <c r="AI111" s="62" t="str">
        <f t="shared" si="33"/>
        <v/>
      </c>
      <c r="AJ111" s="31">
        <f>IF(AND(OR(COUNTIF(D111:AI111,"=31")&gt;=1,COUNTIF(D111:AI111,"=32")&gt;=1,COUNTIF(D111:AI111,"=33")&gt;=1,COUNTIF(D111:AI111,"=34")&gt;=1,COUNTIF(D111:AI111,"=35")=1,COUNTIF(D111:AI111,"=36")&gt;=1 ),COUNTIF(D111:AI111,"")=0,COUNTIF(D111:AI111," ")=0,COUNTIF(D111:AI111,"F")=1),CONCATENATE(SUM(EXTRACTNUMBER(D111),EXTRACTNUMBER(F111),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EXTRACTNUMBER(AD111),EXTRACTNUMBER(AF111),EXTRACTNUMBER(AH111)),"*"),IF(AND(COUNTIF(D111:AI111,"=34")&gt;=1,COUNTIF(D111:AI111,"=35")&gt;=1,COUNTIF(D111:AI111,"f")=2,COUNTIF(D111:AI111,"")=0,COUNTIF(D111:AI111," ")=0),CONCATENATE(SUM(EXTRACTNUMBER(D111),EXTRACTNUMBER(F111),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EXTRACTNUMBER(AD111),EXTRACTNUMBER(AF111),EXTRACTNUMBER(AH111)),"*"),IF(AND(COUNTIF(D111:AI111,"=36")&gt;=2,COUNTIF(D111:AI111,"f")=2,COUNTIF(D111:AI111,"")=0,COUNTIF(D111:AI111," ")=0),CONCATENATE(SUM(EXTRACTNUMBER(D111),EXTRACTNUMBER(F111),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EXTRACTNUMBER(AD111),EXTRACTNUMBER(AF111),EXTRACTNUMBER(AH111)),"*"),SUM(EXTRACTNUMBER(D111),EXTRACTNUMBER(F111),
EXTRACTNUMBER(H111),EXTRACTNUMBER(J111),
EXTRACTNUMBER(L111),EXTRACTNUMBER(N111),
EXTRACTNUMBER(P111),EXTRACTNUMBER(R111),
EXTRACTNUMBER(T111),EXTRACTNUMBER(V111),
EXTRACTNUMBER(X111),EXTRACTNUMBER(Z111),EXTRACTNUMBER(AB111),
EXTRACTNUMBER(AD111),EXTRACTNUMBER(AF111),EXTRACTNUMBER(AH111)))))</f>
        <v>576</v>
      </c>
      <c r="AK111" s="32" t="str">
        <f t="shared" si="34"/>
        <v>PASS</v>
      </c>
      <c r="AL111" s="33" t="str">
        <f>SPELLNUMBER(extractnumber_tot(AJ111))</f>
        <v xml:space="preserve">Five Hundred Seventy Six </v>
      </c>
    </row>
    <row r="112" spans="2:38" s="30" customFormat="1" ht="15.95" customHeight="1">
      <c r="B112" s="37">
        <v>225289</v>
      </c>
      <c r="C112" s="38" t="s">
        <v>305</v>
      </c>
      <c r="D112" s="45">
        <v>52</v>
      </c>
      <c r="E112" s="61" t="str">
        <f t="shared" si="18"/>
        <v>E</v>
      </c>
      <c r="F112" s="48">
        <v>21</v>
      </c>
      <c r="G112" s="62" t="str">
        <f t="shared" si="19"/>
        <v>E</v>
      </c>
      <c r="H112" s="48">
        <v>42</v>
      </c>
      <c r="I112" s="62" t="str">
        <f t="shared" si="20"/>
        <v>E</v>
      </c>
      <c r="J112" s="50">
        <v>28</v>
      </c>
      <c r="K112" s="62" t="str">
        <f t="shared" si="21"/>
        <v>F</v>
      </c>
      <c r="L112" s="48">
        <v>20</v>
      </c>
      <c r="M112" s="62" t="str">
        <f t="shared" si="22"/>
        <v>E</v>
      </c>
      <c r="N112" s="48">
        <v>42</v>
      </c>
      <c r="O112" s="62" t="str">
        <f t="shared" si="23"/>
        <v>E</v>
      </c>
      <c r="P112" s="51">
        <v>62</v>
      </c>
      <c r="Q112" s="62" t="str">
        <f t="shared" si="24"/>
        <v>E</v>
      </c>
      <c r="R112" s="48">
        <v>21</v>
      </c>
      <c r="S112" s="62" t="str">
        <f t="shared" si="25"/>
        <v>E</v>
      </c>
      <c r="T112" s="48">
        <v>22</v>
      </c>
      <c r="U112" s="62" t="str">
        <f t="shared" si="26"/>
        <v>E</v>
      </c>
      <c r="V112" s="51">
        <v>63</v>
      </c>
      <c r="W112" s="62" t="str">
        <f t="shared" si="27"/>
        <v>E</v>
      </c>
      <c r="X112" s="48">
        <v>21</v>
      </c>
      <c r="Y112" s="62" t="str">
        <f t="shared" si="28"/>
        <v>E</v>
      </c>
      <c r="Z112" s="51">
        <v>42</v>
      </c>
      <c r="AA112" s="62" t="str">
        <f t="shared" si="29"/>
        <v>E</v>
      </c>
      <c r="AB112" s="48">
        <v>20</v>
      </c>
      <c r="AC112" s="62" t="str">
        <f t="shared" si="30"/>
        <v>E</v>
      </c>
      <c r="AD112" s="48">
        <v>15</v>
      </c>
      <c r="AE112" s="62" t="str">
        <f t="shared" si="31"/>
        <v>E</v>
      </c>
      <c r="AF112" s="51">
        <v>31</v>
      </c>
      <c r="AG112" s="62" t="str">
        <f t="shared" si="32"/>
        <v>E</v>
      </c>
      <c r="AH112" s="48">
        <v>21</v>
      </c>
      <c r="AI112" s="62" t="str">
        <f t="shared" si="33"/>
        <v>E</v>
      </c>
      <c r="AJ112" s="31">
        <v>523</v>
      </c>
      <c r="AK112" s="32" t="str">
        <f t="shared" si="34"/>
        <v>FAIL</v>
      </c>
      <c r="AL112" s="33" t="str">
        <f>SPELLNUMBER(extractnumber_tot(AJ112))</f>
        <v xml:space="preserve">Five Hundred Twenty Three </v>
      </c>
    </row>
    <row r="113" spans="2:38" s="30" customFormat="1" ht="15.95" customHeight="1">
      <c r="B113" s="37">
        <v>225290</v>
      </c>
      <c r="C113" s="38" t="s">
        <v>306</v>
      </c>
      <c r="D113" s="45">
        <v>56</v>
      </c>
      <c r="E113" s="61" t="str">
        <f t="shared" si="18"/>
        <v/>
      </c>
      <c r="F113" s="48">
        <v>20</v>
      </c>
      <c r="G113" s="62" t="str">
        <f t="shared" si="19"/>
        <v/>
      </c>
      <c r="H113" s="48">
        <v>43</v>
      </c>
      <c r="I113" s="62" t="str">
        <f t="shared" si="20"/>
        <v/>
      </c>
      <c r="J113" s="50">
        <v>63</v>
      </c>
      <c r="K113" s="62" t="str">
        <f t="shared" si="21"/>
        <v/>
      </c>
      <c r="L113" s="48">
        <v>21</v>
      </c>
      <c r="M113" s="62" t="str">
        <f t="shared" si="22"/>
        <v/>
      </c>
      <c r="N113" s="48">
        <v>42</v>
      </c>
      <c r="O113" s="62" t="str">
        <f t="shared" si="23"/>
        <v/>
      </c>
      <c r="P113" s="51">
        <v>47</v>
      </c>
      <c r="Q113" s="62" t="str">
        <f t="shared" si="24"/>
        <v/>
      </c>
      <c r="R113" s="48">
        <v>20</v>
      </c>
      <c r="S113" s="62" t="str">
        <f t="shared" si="25"/>
        <v/>
      </c>
      <c r="T113" s="48">
        <v>23</v>
      </c>
      <c r="U113" s="62" t="str">
        <f t="shared" si="26"/>
        <v/>
      </c>
      <c r="V113" s="51">
        <v>61</v>
      </c>
      <c r="W113" s="62" t="str">
        <f t="shared" si="27"/>
        <v/>
      </c>
      <c r="X113" s="48">
        <v>20</v>
      </c>
      <c r="Y113" s="62" t="str">
        <f t="shared" si="28"/>
        <v/>
      </c>
      <c r="Z113" s="51">
        <v>42</v>
      </c>
      <c r="AA113" s="62" t="str">
        <f t="shared" si="29"/>
        <v/>
      </c>
      <c r="AB113" s="48">
        <v>21</v>
      </c>
      <c r="AC113" s="62" t="str">
        <f t="shared" si="30"/>
        <v/>
      </c>
      <c r="AD113" s="48">
        <v>20</v>
      </c>
      <c r="AE113" s="62" t="str">
        <f t="shared" si="31"/>
        <v/>
      </c>
      <c r="AF113" s="51">
        <v>33</v>
      </c>
      <c r="AG113" s="62" t="str">
        <f t="shared" si="32"/>
        <v/>
      </c>
      <c r="AH113" s="48">
        <v>22</v>
      </c>
      <c r="AI113" s="62" t="str">
        <f t="shared" si="33"/>
        <v/>
      </c>
      <c r="AJ113" s="31">
        <f>IF(AND(OR(COUNTIF(D113:AI113,"=31")&gt;=1,COUNTIF(D113:AI113,"=32")&gt;=1,COUNTIF(D113:AI113,"=33")&gt;=1,COUNTIF(D113:AI113,"=34")&gt;=1,COUNTIF(D113:AI113,"=35")=1,COUNTIF(D113:AI113,"=36")&gt;=1 ),COUNTIF(D113:AI113,"")=0,COUNTIF(D113:AI113," ")=0,COUNTIF(D113:AI113,"F")=1),CONCATENATE(SUM(EXTRACTNUMBER(D113),EXTRACTNUMBER(F113),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EXTRACTNUMBER(AD113),EXTRACTNUMBER(AF113),EXTRACTNUMBER(AH113)),"*"),IF(AND(COUNTIF(D113:AI113,"=34")&gt;=1,COUNTIF(D113:AI113,"=35")&gt;=1,COUNTIF(D113:AI113,"f")=2,COUNTIF(D113:AI113,"")=0,COUNTIF(D113:AI113," ")=0),CONCATENATE(SUM(EXTRACTNUMBER(D113),EXTRACTNUMBER(F113),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EXTRACTNUMBER(AD113),EXTRACTNUMBER(AF113),EXTRACTNUMBER(AH113)),"*"),IF(AND(COUNTIF(D113:AI113,"=36")&gt;=2,COUNTIF(D113:AI113,"f")=2,COUNTIF(D113:AI113,"")=0,COUNTIF(D113:AI113," ")=0),CONCATENATE(SUM(EXTRACTNUMBER(D113),EXTRACTNUMBER(F113),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EXTRACTNUMBER(AD113),EXTRACTNUMBER(AF113),EXTRACTNUMBER(AH113)),"*"),SUM(EXTRACTNUMBER(D113),EXTRACTNUMBER(F113),
EXTRACTNUMBER(H113),EXTRACTNUMBER(J113),
EXTRACTNUMBER(L113),EXTRACTNUMBER(N113),
EXTRACTNUMBER(P113),EXTRACTNUMBER(R113),
EXTRACTNUMBER(T113),EXTRACTNUMBER(V113),
EXTRACTNUMBER(X113),EXTRACTNUMBER(Z113),EXTRACTNUMBER(AB113),
EXTRACTNUMBER(AD113),EXTRACTNUMBER(AF113),EXTRACTNUMBER(AH113)))))</f>
        <v>554</v>
      </c>
      <c r="AK113" s="32" t="str">
        <f t="shared" si="34"/>
        <v>PASS</v>
      </c>
      <c r="AL113" s="33" t="str">
        <f>SPELLNUMBER(extractnumber_tot(AJ113))</f>
        <v xml:space="preserve">Five Hundred Fifty Four </v>
      </c>
    </row>
    <row r="114" spans="2:38" s="30" customFormat="1" ht="15.95" customHeight="1">
      <c r="B114" s="37">
        <v>225291</v>
      </c>
      <c r="C114" s="38" t="s">
        <v>307</v>
      </c>
      <c r="D114" s="45">
        <v>40</v>
      </c>
      <c r="E114" s="61" t="str">
        <f t="shared" si="18"/>
        <v/>
      </c>
      <c r="F114" s="48">
        <v>20</v>
      </c>
      <c r="G114" s="62" t="str">
        <f t="shared" si="19"/>
        <v/>
      </c>
      <c r="H114" s="48">
        <v>44</v>
      </c>
      <c r="I114" s="62" t="str">
        <f t="shared" si="20"/>
        <v/>
      </c>
      <c r="J114" s="50">
        <v>44</v>
      </c>
      <c r="K114" s="62" t="str">
        <f t="shared" si="21"/>
        <v/>
      </c>
      <c r="L114" s="48">
        <v>23</v>
      </c>
      <c r="M114" s="62" t="str">
        <f t="shared" si="22"/>
        <v/>
      </c>
      <c r="N114" s="48">
        <v>44</v>
      </c>
      <c r="O114" s="62" t="str">
        <f t="shared" si="23"/>
        <v/>
      </c>
      <c r="P114" s="51" t="s">
        <v>406</v>
      </c>
      <c r="Q114" s="62" t="str">
        <f t="shared" si="24"/>
        <v/>
      </c>
      <c r="R114" s="48">
        <v>20</v>
      </c>
      <c r="S114" s="62" t="str">
        <f t="shared" si="25"/>
        <v/>
      </c>
      <c r="T114" s="48">
        <v>23</v>
      </c>
      <c r="U114" s="62" t="str">
        <f t="shared" si="26"/>
        <v/>
      </c>
      <c r="V114" s="51">
        <v>53</v>
      </c>
      <c r="W114" s="62" t="str">
        <f t="shared" si="27"/>
        <v/>
      </c>
      <c r="X114" s="48">
        <v>17</v>
      </c>
      <c r="Y114" s="62" t="str">
        <f t="shared" si="28"/>
        <v/>
      </c>
      <c r="Z114" s="51">
        <v>55</v>
      </c>
      <c r="AA114" s="62" t="str">
        <f t="shared" si="29"/>
        <v/>
      </c>
      <c r="AB114" s="48">
        <v>23</v>
      </c>
      <c r="AC114" s="62" t="str">
        <f t="shared" si="30"/>
        <v/>
      </c>
      <c r="AD114" s="48">
        <v>19</v>
      </c>
      <c r="AE114" s="62" t="str">
        <f t="shared" si="31"/>
        <v/>
      </c>
      <c r="AF114" s="51">
        <v>20</v>
      </c>
      <c r="AG114" s="62" t="str">
        <f t="shared" si="32"/>
        <v/>
      </c>
      <c r="AH114" s="48">
        <v>17</v>
      </c>
      <c r="AI114" s="62" t="str">
        <f t="shared" si="33"/>
        <v/>
      </c>
      <c r="AJ114" s="31" t="s">
        <v>413</v>
      </c>
      <c r="AK114" s="32" t="str">
        <f t="shared" si="34"/>
        <v>PASS</v>
      </c>
      <c r="AL114" s="33" t="str">
        <f>SPELLNUMBER(extractnumber_tot(AJ114))</f>
        <v xml:space="preserve">Four Hundred NinetyFive </v>
      </c>
    </row>
    <row r="115" spans="2:38" s="30" customFormat="1" ht="15.95" customHeight="1">
      <c r="B115" s="37">
        <v>225292</v>
      </c>
      <c r="C115" s="38" t="s">
        <v>308</v>
      </c>
      <c r="D115" s="45">
        <v>54</v>
      </c>
      <c r="E115" s="61" t="str">
        <f t="shared" si="18"/>
        <v/>
      </c>
      <c r="F115" s="48">
        <v>21</v>
      </c>
      <c r="G115" s="62" t="str">
        <f t="shared" si="19"/>
        <v/>
      </c>
      <c r="H115" s="48">
        <v>42</v>
      </c>
      <c r="I115" s="62" t="str">
        <f t="shared" si="20"/>
        <v/>
      </c>
      <c r="J115" s="50">
        <v>46</v>
      </c>
      <c r="K115" s="62" t="str">
        <f t="shared" si="21"/>
        <v/>
      </c>
      <c r="L115" s="48">
        <v>22</v>
      </c>
      <c r="M115" s="62" t="str">
        <f t="shared" si="22"/>
        <v/>
      </c>
      <c r="N115" s="48">
        <v>42</v>
      </c>
      <c r="O115" s="62" t="str">
        <f t="shared" si="23"/>
        <v/>
      </c>
      <c r="P115" s="51">
        <v>52</v>
      </c>
      <c r="Q115" s="62" t="str">
        <f t="shared" si="24"/>
        <v/>
      </c>
      <c r="R115" s="48">
        <v>21</v>
      </c>
      <c r="S115" s="62" t="str">
        <f t="shared" si="25"/>
        <v/>
      </c>
      <c r="T115" s="48">
        <v>22</v>
      </c>
      <c r="U115" s="62" t="str">
        <f t="shared" si="26"/>
        <v/>
      </c>
      <c r="V115" s="51">
        <v>49</v>
      </c>
      <c r="W115" s="62" t="str">
        <f t="shared" si="27"/>
        <v/>
      </c>
      <c r="X115" s="48">
        <v>22</v>
      </c>
      <c r="Y115" s="62" t="str">
        <f t="shared" si="28"/>
        <v/>
      </c>
      <c r="Z115" s="51">
        <v>46</v>
      </c>
      <c r="AA115" s="62" t="str">
        <f t="shared" si="29"/>
        <v/>
      </c>
      <c r="AB115" s="48">
        <v>22</v>
      </c>
      <c r="AC115" s="62" t="str">
        <f t="shared" si="30"/>
        <v/>
      </c>
      <c r="AD115" s="48">
        <v>16</v>
      </c>
      <c r="AE115" s="62" t="str">
        <f t="shared" si="31"/>
        <v/>
      </c>
      <c r="AF115" s="51">
        <v>23</v>
      </c>
      <c r="AG115" s="62" t="str">
        <f t="shared" si="32"/>
        <v/>
      </c>
      <c r="AH115" s="48">
        <v>21</v>
      </c>
      <c r="AI115" s="62" t="str">
        <f t="shared" si="33"/>
        <v/>
      </c>
      <c r="AJ115" s="31">
        <f>IF(AND(OR(COUNTIF(D115:AI115,"=31")&gt;=1,COUNTIF(D115:AI115,"=32")&gt;=1,COUNTIF(D115:AI115,"=33")&gt;=1,COUNTIF(D115:AI115,"=34")&gt;=1,COUNTIF(D115:AI115,"=35")=1,COUNTIF(D115:AI115,"=36")&gt;=1 ),COUNTIF(D115:AI115,"")=0,COUNTIF(D115:AI115," ")=0,COUNTIF(D115:AI115,"F")=1),CONCATENATE(SUM(EXTRACTNUMBER(D115),EXTRACTNUMBER(F115),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EXTRACTNUMBER(AD115),EXTRACTNUMBER(AF115),EXTRACTNUMBER(AH115)),"*"),IF(AND(COUNTIF(D115:AI115,"=34")&gt;=1,COUNTIF(D115:AI115,"=35")&gt;=1,COUNTIF(D115:AI115,"f")=2,COUNTIF(D115:AI115,"")=0,COUNTIF(D115:AI115," ")=0),CONCATENATE(SUM(EXTRACTNUMBER(D115),EXTRACTNUMBER(F115),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EXTRACTNUMBER(AD115),EXTRACTNUMBER(AF115),EXTRACTNUMBER(AH115)),"*"),IF(AND(COUNTIF(D115:AI115,"=36")&gt;=2,COUNTIF(D115:AI115,"f")=2,COUNTIF(D115:AI115,"")=0,COUNTIF(D115:AI115," ")=0),CONCATENATE(SUM(EXTRACTNUMBER(D115),EXTRACTNUMBER(F115),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EXTRACTNUMBER(AD115),EXTRACTNUMBER(AF115),EXTRACTNUMBER(AH115)),"*"),SUM(EXTRACTNUMBER(D115),EXTRACTNUMBER(F115),
EXTRACTNUMBER(H115),EXTRACTNUMBER(J115),
EXTRACTNUMBER(L115),EXTRACTNUMBER(N115),
EXTRACTNUMBER(P115),EXTRACTNUMBER(R115),
EXTRACTNUMBER(T115),EXTRACTNUMBER(V115),
EXTRACTNUMBER(X115),EXTRACTNUMBER(Z115),EXTRACTNUMBER(AB115),
EXTRACTNUMBER(AD115),EXTRACTNUMBER(AF115),EXTRACTNUMBER(AH115)))))</f>
        <v>521</v>
      </c>
      <c r="AK115" s="32" t="str">
        <f t="shared" si="34"/>
        <v>PASS</v>
      </c>
      <c r="AL115" s="33" t="str">
        <f>SPELLNUMBER(extractnumber_tot(AJ115))</f>
        <v xml:space="preserve">Five Hundred Twenty One </v>
      </c>
    </row>
    <row r="116" spans="2:38" s="30" customFormat="1" ht="15.95" customHeight="1">
      <c r="B116" s="37">
        <v>225293</v>
      </c>
      <c r="C116" s="38" t="s">
        <v>309</v>
      </c>
      <c r="D116" s="45">
        <v>68</v>
      </c>
      <c r="E116" s="61" t="str">
        <f t="shared" si="18"/>
        <v/>
      </c>
      <c r="F116" s="48">
        <v>21</v>
      </c>
      <c r="G116" s="62" t="str">
        <f t="shared" si="19"/>
        <v/>
      </c>
      <c r="H116" s="48">
        <v>39</v>
      </c>
      <c r="I116" s="62" t="str">
        <f t="shared" si="20"/>
        <v/>
      </c>
      <c r="J116" s="50">
        <v>53</v>
      </c>
      <c r="K116" s="62" t="str">
        <f t="shared" si="21"/>
        <v/>
      </c>
      <c r="L116" s="48">
        <v>22</v>
      </c>
      <c r="M116" s="62" t="str">
        <f t="shared" si="22"/>
        <v/>
      </c>
      <c r="N116" s="48">
        <v>42</v>
      </c>
      <c r="O116" s="62" t="str">
        <f t="shared" si="23"/>
        <v/>
      </c>
      <c r="P116" s="51">
        <v>64</v>
      </c>
      <c r="Q116" s="62" t="str">
        <f t="shared" si="24"/>
        <v/>
      </c>
      <c r="R116" s="48">
        <v>21</v>
      </c>
      <c r="S116" s="62" t="str">
        <f t="shared" si="25"/>
        <v/>
      </c>
      <c r="T116" s="48">
        <v>20</v>
      </c>
      <c r="U116" s="62" t="str">
        <f t="shared" si="26"/>
        <v/>
      </c>
      <c r="V116" s="51">
        <v>65</v>
      </c>
      <c r="W116" s="62" t="str">
        <f t="shared" si="27"/>
        <v/>
      </c>
      <c r="X116" s="48">
        <v>22</v>
      </c>
      <c r="Y116" s="62" t="str">
        <f t="shared" si="28"/>
        <v/>
      </c>
      <c r="Z116" s="51">
        <v>47</v>
      </c>
      <c r="AA116" s="62" t="str">
        <f t="shared" si="29"/>
        <v/>
      </c>
      <c r="AB116" s="48">
        <v>22</v>
      </c>
      <c r="AC116" s="62" t="str">
        <f t="shared" si="30"/>
        <v/>
      </c>
      <c r="AD116" s="48">
        <v>18</v>
      </c>
      <c r="AE116" s="62" t="str">
        <f t="shared" si="31"/>
        <v/>
      </c>
      <c r="AF116" s="51">
        <v>31</v>
      </c>
      <c r="AG116" s="62" t="str">
        <f t="shared" si="32"/>
        <v/>
      </c>
      <c r="AH116" s="48">
        <v>20</v>
      </c>
      <c r="AI116" s="62" t="str">
        <f t="shared" si="33"/>
        <v/>
      </c>
      <c r="AJ116" s="31">
        <f>IF(AND(OR(COUNTIF(D116:AI116,"=31")&gt;=1,COUNTIF(D116:AI116,"=32")&gt;=1,COUNTIF(D116:AI116,"=33")&gt;=1,COUNTIF(D116:AI116,"=34")&gt;=1,COUNTIF(D116:AI116,"=35")=1,COUNTIF(D116:AI116,"=36")&gt;=1 ),COUNTIF(D116:AI116,"")=0,COUNTIF(D116:AI116," ")=0,COUNTIF(D116:AI116,"F")=1),CONCATENATE(SUM(EXTRACTNUMBER(D116),EXTRACTNUMBER(F116),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EXTRACTNUMBER(AD116),EXTRACTNUMBER(AF116),EXTRACTNUMBER(AH116)),"*"),IF(AND(COUNTIF(D116:AI116,"=34")&gt;=1,COUNTIF(D116:AI116,"=35")&gt;=1,COUNTIF(D116:AI116,"f")=2,COUNTIF(D116:AI116,"")=0,COUNTIF(D116:AI116," ")=0),CONCATENATE(SUM(EXTRACTNUMBER(D116),EXTRACTNUMBER(F116),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EXTRACTNUMBER(AD116),EXTRACTNUMBER(AF116),EXTRACTNUMBER(AH116)),"*"),IF(AND(COUNTIF(D116:AI116,"=36")&gt;=2,COUNTIF(D116:AI116,"f")=2,COUNTIF(D116:AI116,"")=0,COUNTIF(D116:AI116," ")=0),CONCATENATE(SUM(EXTRACTNUMBER(D116),EXTRACTNUMBER(F116),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EXTRACTNUMBER(AD116),EXTRACTNUMBER(AF116),EXTRACTNUMBER(AH116)),"*"),SUM(EXTRACTNUMBER(D116),EXTRACTNUMBER(F116),
EXTRACTNUMBER(H116),EXTRACTNUMBER(J116),
EXTRACTNUMBER(L116),EXTRACTNUMBER(N116),
EXTRACTNUMBER(P116),EXTRACTNUMBER(R116),
EXTRACTNUMBER(T116),EXTRACTNUMBER(V116),
EXTRACTNUMBER(X116),EXTRACTNUMBER(Z116),EXTRACTNUMBER(AB116),
EXTRACTNUMBER(AD116),EXTRACTNUMBER(AF116),EXTRACTNUMBER(AH116)))))</f>
        <v>575</v>
      </c>
      <c r="AK116" s="32" t="str">
        <f t="shared" si="34"/>
        <v>PASS</v>
      </c>
      <c r="AL116" s="33" t="str">
        <f>SPELLNUMBER(extractnumber_tot(AJ116))</f>
        <v xml:space="preserve">Five Hundred Seventy Five </v>
      </c>
    </row>
    <row r="117" spans="2:38" s="30" customFormat="1" ht="15.95" customHeight="1">
      <c r="B117" s="37">
        <v>225294</v>
      </c>
      <c r="C117" s="38" t="s">
        <v>310</v>
      </c>
      <c r="D117" s="45">
        <v>50</v>
      </c>
      <c r="E117" s="61" t="str">
        <f t="shared" si="18"/>
        <v>E</v>
      </c>
      <c r="F117" s="48">
        <v>22</v>
      </c>
      <c r="G117" s="62" t="str">
        <f t="shared" si="19"/>
        <v>E</v>
      </c>
      <c r="H117" s="48">
        <v>39</v>
      </c>
      <c r="I117" s="62" t="str">
        <f t="shared" si="20"/>
        <v>E</v>
      </c>
      <c r="J117" s="50">
        <v>24</v>
      </c>
      <c r="K117" s="62" t="str">
        <f t="shared" si="21"/>
        <v>F</v>
      </c>
      <c r="L117" s="48">
        <v>17</v>
      </c>
      <c r="M117" s="62" t="str">
        <f t="shared" si="22"/>
        <v>E</v>
      </c>
      <c r="N117" s="48">
        <v>44</v>
      </c>
      <c r="O117" s="62" t="str">
        <f t="shared" si="23"/>
        <v>E</v>
      </c>
      <c r="P117" s="51">
        <v>24</v>
      </c>
      <c r="Q117" s="62" t="str">
        <f t="shared" si="24"/>
        <v>F</v>
      </c>
      <c r="R117" s="48">
        <v>22</v>
      </c>
      <c r="S117" s="62" t="str">
        <f t="shared" si="25"/>
        <v>E</v>
      </c>
      <c r="T117" s="48">
        <v>20</v>
      </c>
      <c r="U117" s="62" t="str">
        <f t="shared" si="26"/>
        <v>E</v>
      </c>
      <c r="V117" s="51">
        <v>57</v>
      </c>
      <c r="W117" s="62" t="str">
        <f t="shared" si="27"/>
        <v>E</v>
      </c>
      <c r="X117" s="48">
        <v>22</v>
      </c>
      <c r="Y117" s="62" t="str">
        <f t="shared" si="28"/>
        <v>E</v>
      </c>
      <c r="Z117" s="51">
        <v>42</v>
      </c>
      <c r="AA117" s="62" t="str">
        <f t="shared" si="29"/>
        <v>E</v>
      </c>
      <c r="AB117" s="48">
        <v>17</v>
      </c>
      <c r="AC117" s="62" t="str">
        <f t="shared" si="30"/>
        <v>E</v>
      </c>
      <c r="AD117" s="48">
        <v>16</v>
      </c>
      <c r="AE117" s="62" t="str">
        <f t="shared" si="31"/>
        <v>E</v>
      </c>
      <c r="AF117" s="51">
        <v>20</v>
      </c>
      <c r="AG117" s="62" t="str">
        <f t="shared" si="32"/>
        <v>E</v>
      </c>
      <c r="AH117" s="48">
        <v>22</v>
      </c>
      <c r="AI117" s="62" t="str">
        <f t="shared" si="33"/>
        <v>E</v>
      </c>
      <c r="AJ117" s="31">
        <f>IF(AND(OR(COUNTIF(D117:AI117,"=31")&gt;=1,COUNTIF(D117:AI117,"=32")&gt;=1,COUNTIF(D117:AI117,"=33")&gt;=1,COUNTIF(D117:AI117,"=34")&gt;=1,COUNTIF(D117:AI117,"=35")=1,COUNTIF(D117:AI117,"=36")&gt;=1 ),COUNTIF(D117:AI117,"")=0,COUNTIF(D117:AI117," ")=0,COUNTIF(D117:AI117,"F")=1),CONCATENATE(SUM(EXTRACTNUMBER(D117),EXTRACTNUMBER(F117),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EXTRACTNUMBER(AD117),EXTRACTNUMBER(AF117),EXTRACTNUMBER(AH117)),"*"),IF(AND(COUNTIF(D117:AI117,"=34")&gt;=1,COUNTIF(D117:AI117,"=35")&gt;=1,COUNTIF(D117:AI117,"f")=2,COUNTIF(D117:AI117,"")=0,COUNTIF(D117:AI117," ")=0),CONCATENATE(SUM(EXTRACTNUMBER(D117),EXTRACTNUMBER(F117),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EXTRACTNUMBER(AD117),EXTRACTNUMBER(AF117),EXTRACTNUMBER(AH117)),"*"),IF(AND(COUNTIF(D117:AI117,"=36")&gt;=2,COUNTIF(D117:AI117,"f")=2,COUNTIF(D117:AI117,"")=0,COUNTIF(D117:AI117," ")=0),CONCATENATE(SUM(EXTRACTNUMBER(D117),EXTRACTNUMBER(F117),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EXTRACTNUMBER(AD117),EXTRACTNUMBER(AF117),EXTRACTNUMBER(AH117)),"*"),SUM(EXTRACTNUMBER(D117),EXTRACTNUMBER(F117),
EXTRACTNUMBER(H117),EXTRACTNUMBER(J117),
EXTRACTNUMBER(L117),EXTRACTNUMBER(N117),
EXTRACTNUMBER(P117),EXTRACTNUMBER(R117),
EXTRACTNUMBER(T117),EXTRACTNUMBER(V117),
EXTRACTNUMBER(X117),EXTRACTNUMBER(Z117),EXTRACTNUMBER(AB117),
EXTRACTNUMBER(AD117),EXTRACTNUMBER(AF117),EXTRACTNUMBER(AH117)))))</f>
        <v>458</v>
      </c>
      <c r="AK117" s="32" t="str">
        <f t="shared" si="34"/>
        <v>FAIL</v>
      </c>
      <c r="AL117" s="33" t="str">
        <f>SPELLNUMBER(extractnumber_tot(AJ117))</f>
        <v xml:space="preserve">Four Hundred Fifty Eight </v>
      </c>
    </row>
    <row r="118" spans="2:38" s="30" customFormat="1" ht="15.95" customHeight="1">
      <c r="B118" s="37">
        <v>225295</v>
      </c>
      <c r="C118" s="38" t="s">
        <v>311</v>
      </c>
      <c r="D118" s="45">
        <v>47</v>
      </c>
      <c r="E118" s="61" t="str">
        <f t="shared" si="18"/>
        <v>E</v>
      </c>
      <c r="F118" s="48">
        <v>22</v>
      </c>
      <c r="G118" s="62" t="str">
        <f t="shared" si="19"/>
        <v>E</v>
      </c>
      <c r="H118" s="48">
        <v>40</v>
      </c>
      <c r="I118" s="62" t="str">
        <f t="shared" si="20"/>
        <v>E</v>
      </c>
      <c r="J118" s="50">
        <v>28</v>
      </c>
      <c r="K118" s="62" t="str">
        <f t="shared" si="21"/>
        <v>F</v>
      </c>
      <c r="L118" s="48">
        <v>19</v>
      </c>
      <c r="M118" s="62" t="str">
        <f t="shared" si="22"/>
        <v>E</v>
      </c>
      <c r="N118" s="48">
        <v>42</v>
      </c>
      <c r="O118" s="62" t="str">
        <f t="shared" si="23"/>
        <v>E</v>
      </c>
      <c r="P118" s="51">
        <v>47</v>
      </c>
      <c r="Q118" s="62" t="str">
        <f t="shared" si="24"/>
        <v>E</v>
      </c>
      <c r="R118" s="48">
        <v>22</v>
      </c>
      <c r="S118" s="62" t="str">
        <f t="shared" si="25"/>
        <v>E</v>
      </c>
      <c r="T118" s="48">
        <v>20</v>
      </c>
      <c r="U118" s="62" t="str">
        <f t="shared" si="26"/>
        <v>E</v>
      </c>
      <c r="V118" s="51">
        <v>43</v>
      </c>
      <c r="W118" s="62" t="str">
        <f t="shared" si="27"/>
        <v>E</v>
      </c>
      <c r="X118" s="48">
        <v>16</v>
      </c>
      <c r="Y118" s="62" t="str">
        <f t="shared" si="28"/>
        <v>E</v>
      </c>
      <c r="Z118" s="51">
        <v>40</v>
      </c>
      <c r="AA118" s="62" t="str">
        <f t="shared" si="29"/>
        <v>E</v>
      </c>
      <c r="AB118" s="48">
        <v>19</v>
      </c>
      <c r="AC118" s="62" t="str">
        <f t="shared" si="30"/>
        <v>E</v>
      </c>
      <c r="AD118" s="48">
        <v>20</v>
      </c>
      <c r="AE118" s="62" t="str">
        <f t="shared" si="31"/>
        <v>E</v>
      </c>
      <c r="AF118" s="51">
        <v>25</v>
      </c>
      <c r="AG118" s="62" t="str">
        <f t="shared" si="32"/>
        <v>E</v>
      </c>
      <c r="AH118" s="48">
        <v>16</v>
      </c>
      <c r="AI118" s="62" t="str">
        <f t="shared" si="33"/>
        <v>E</v>
      </c>
      <c r="AJ118" s="31">
        <f>IF(AND(OR(COUNTIF(D118:AI118,"=31")&gt;=1,COUNTIF(D118:AI118,"=32")&gt;=1,COUNTIF(D118:AI118,"=33")&gt;=1,COUNTIF(D118:AI118,"=34")&gt;=1,COUNTIF(D118:AI118,"=35")=1,COUNTIF(D118:AI118,"=36")&gt;=1 ),COUNTIF(D118:AI118,"")=0,COUNTIF(D118:AI118," ")=0,COUNTIF(D118:AI118,"F")=1),CONCATENATE(SUM(EXTRACTNUMBER(D118),EXTRACTNUMBER(F118),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EXTRACTNUMBER(AD118),EXTRACTNUMBER(AF118),EXTRACTNUMBER(AH118)),"*"),IF(AND(COUNTIF(D118:AI118,"=34")&gt;=1,COUNTIF(D118:AI118,"=35")&gt;=1,COUNTIF(D118:AI118,"f")=2,COUNTIF(D118:AI118,"")=0,COUNTIF(D118:AI118," ")=0),CONCATENATE(SUM(EXTRACTNUMBER(D118),EXTRACTNUMBER(F118),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EXTRACTNUMBER(AD118),EXTRACTNUMBER(AF118),EXTRACTNUMBER(AH118)),"*"),IF(AND(COUNTIF(D118:AI118,"=36")&gt;=2,COUNTIF(D118:AI118,"f")=2,COUNTIF(D118:AI118,"")=0,COUNTIF(D118:AI118," ")=0),CONCATENATE(SUM(EXTRACTNUMBER(D118),EXTRACTNUMBER(F118),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EXTRACTNUMBER(AD118),EXTRACTNUMBER(AF118),EXTRACTNUMBER(AH118)),"*"),SUM(EXTRACTNUMBER(D118),EXTRACTNUMBER(F118),
EXTRACTNUMBER(H118),EXTRACTNUMBER(J118),
EXTRACTNUMBER(L118),EXTRACTNUMBER(N118),
EXTRACTNUMBER(P118),EXTRACTNUMBER(R118),
EXTRACTNUMBER(T118),EXTRACTNUMBER(V118),
EXTRACTNUMBER(X118),EXTRACTNUMBER(Z118),EXTRACTNUMBER(AB118),
EXTRACTNUMBER(AD118),EXTRACTNUMBER(AF118),EXTRACTNUMBER(AH118)))))</f>
        <v>466</v>
      </c>
      <c r="AK118" s="32" t="str">
        <f t="shared" si="34"/>
        <v>FAIL</v>
      </c>
      <c r="AL118" s="33" t="str">
        <f>SPELLNUMBER(extractnumber_tot(AJ118))</f>
        <v xml:space="preserve">Four Hundred Sixty Six </v>
      </c>
    </row>
    <row r="119" spans="2:38" s="30" customFormat="1" ht="15.95" customHeight="1">
      <c r="B119" s="37">
        <v>225296</v>
      </c>
      <c r="C119" s="38" t="s">
        <v>312</v>
      </c>
      <c r="D119" s="45">
        <v>45</v>
      </c>
      <c r="E119" s="61" t="str">
        <f t="shared" si="18"/>
        <v/>
      </c>
      <c r="F119" s="48">
        <v>22</v>
      </c>
      <c r="G119" s="62" t="str">
        <f t="shared" si="19"/>
        <v/>
      </c>
      <c r="H119" s="48">
        <v>42</v>
      </c>
      <c r="I119" s="62" t="str">
        <f t="shared" si="20"/>
        <v/>
      </c>
      <c r="J119" s="50">
        <v>40</v>
      </c>
      <c r="K119" s="62" t="str">
        <f t="shared" si="21"/>
        <v/>
      </c>
      <c r="L119" s="48">
        <v>22</v>
      </c>
      <c r="M119" s="62" t="str">
        <f t="shared" si="22"/>
        <v/>
      </c>
      <c r="N119" s="48">
        <v>42</v>
      </c>
      <c r="O119" s="62" t="str">
        <f t="shared" si="23"/>
        <v/>
      </c>
      <c r="P119" s="51">
        <v>41</v>
      </c>
      <c r="Q119" s="62" t="str">
        <f t="shared" si="24"/>
        <v/>
      </c>
      <c r="R119" s="48">
        <v>22</v>
      </c>
      <c r="S119" s="62" t="str">
        <f t="shared" si="25"/>
        <v/>
      </c>
      <c r="T119" s="48">
        <v>22</v>
      </c>
      <c r="U119" s="62" t="str">
        <f t="shared" si="26"/>
        <v/>
      </c>
      <c r="V119" s="51">
        <v>50</v>
      </c>
      <c r="W119" s="62" t="str">
        <f t="shared" si="27"/>
        <v/>
      </c>
      <c r="X119" s="48">
        <v>18</v>
      </c>
      <c r="Y119" s="62" t="str">
        <f t="shared" si="28"/>
        <v/>
      </c>
      <c r="Z119" s="51">
        <v>48</v>
      </c>
      <c r="AA119" s="62" t="str">
        <f t="shared" si="29"/>
        <v/>
      </c>
      <c r="AB119" s="48">
        <v>22</v>
      </c>
      <c r="AC119" s="62" t="str">
        <f t="shared" si="30"/>
        <v/>
      </c>
      <c r="AD119" s="48">
        <v>19</v>
      </c>
      <c r="AE119" s="62" t="str">
        <f t="shared" si="31"/>
        <v/>
      </c>
      <c r="AF119" s="51">
        <v>26</v>
      </c>
      <c r="AG119" s="62" t="str">
        <f t="shared" si="32"/>
        <v/>
      </c>
      <c r="AH119" s="48">
        <v>20</v>
      </c>
      <c r="AI119" s="62" t="str">
        <f t="shared" si="33"/>
        <v/>
      </c>
      <c r="AJ119" s="31">
        <f>IF(AND(OR(COUNTIF(D119:AI119,"=31")&gt;=1,COUNTIF(D119:AI119,"=32")&gt;=1,COUNTIF(D119:AI119,"=33")&gt;=1,COUNTIF(D119:AI119,"=34")&gt;=1,COUNTIF(D119:AI119,"=35")=1,COUNTIF(D119:AI119,"=36")&gt;=1 ),COUNTIF(D119:AI119,"")=0,COUNTIF(D119:AI119," ")=0,COUNTIF(D119:AI119,"F")=1),CONCATENATE(SUM(EXTRACTNUMBER(D119),EXTRACTNUMBER(F119),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EXTRACTNUMBER(AD119),EXTRACTNUMBER(AF119),EXTRACTNUMBER(AH119)),"*"),IF(AND(COUNTIF(D119:AI119,"=34")&gt;=1,COUNTIF(D119:AI119,"=35")&gt;=1,COUNTIF(D119:AI119,"f")=2,COUNTIF(D119:AI119,"")=0,COUNTIF(D119:AI119," ")=0),CONCATENATE(SUM(EXTRACTNUMBER(D119),EXTRACTNUMBER(F119),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EXTRACTNUMBER(AD119),EXTRACTNUMBER(AF119),EXTRACTNUMBER(AH119)),"*"),IF(AND(COUNTIF(D119:AI119,"=36")&gt;=2,COUNTIF(D119:AI119,"f")=2,COUNTIF(D119:AI119,"")=0,COUNTIF(D119:AI119," ")=0),CONCATENATE(SUM(EXTRACTNUMBER(D119),EXTRACTNUMBER(F119),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EXTRACTNUMBER(AD119),EXTRACTNUMBER(AF119),EXTRACTNUMBER(AH119)),"*"),SUM(EXTRACTNUMBER(D119),EXTRACTNUMBER(F119),
EXTRACTNUMBER(H119),EXTRACTNUMBER(J119),
EXTRACTNUMBER(L119),EXTRACTNUMBER(N119),
EXTRACTNUMBER(P119),EXTRACTNUMBER(R119),
EXTRACTNUMBER(T119),EXTRACTNUMBER(V119),
EXTRACTNUMBER(X119),EXTRACTNUMBER(Z119),EXTRACTNUMBER(AB119),
EXTRACTNUMBER(AD119),EXTRACTNUMBER(AF119),EXTRACTNUMBER(AH119)))))</f>
        <v>501</v>
      </c>
      <c r="AK119" s="32" t="str">
        <f t="shared" si="34"/>
        <v>PASS</v>
      </c>
      <c r="AL119" s="33" t="str">
        <f>SPELLNUMBER(extractnumber_tot(AJ119))</f>
        <v xml:space="preserve">Five Hundred One </v>
      </c>
    </row>
    <row r="120" spans="2:38" s="30" customFormat="1" ht="15.95" customHeight="1">
      <c r="B120" s="37">
        <v>225297</v>
      </c>
      <c r="C120" s="38" t="s">
        <v>313</v>
      </c>
      <c r="D120" s="45">
        <v>48</v>
      </c>
      <c r="E120" s="61" t="str">
        <f t="shared" si="18"/>
        <v>E</v>
      </c>
      <c r="F120" s="48">
        <v>21</v>
      </c>
      <c r="G120" s="62" t="str">
        <f t="shared" si="19"/>
        <v>E</v>
      </c>
      <c r="H120" s="48">
        <v>40</v>
      </c>
      <c r="I120" s="62" t="str">
        <f t="shared" si="20"/>
        <v>E</v>
      </c>
      <c r="J120" s="50">
        <v>17</v>
      </c>
      <c r="K120" s="62" t="str">
        <f t="shared" si="21"/>
        <v>F</v>
      </c>
      <c r="L120" s="48">
        <v>19</v>
      </c>
      <c r="M120" s="62" t="str">
        <f t="shared" si="22"/>
        <v>E</v>
      </c>
      <c r="N120" s="48">
        <v>38</v>
      </c>
      <c r="O120" s="62" t="str">
        <f t="shared" si="23"/>
        <v>E</v>
      </c>
      <c r="P120" s="51" t="s">
        <v>113</v>
      </c>
      <c r="Q120" s="62" t="str">
        <f t="shared" si="24"/>
        <v/>
      </c>
      <c r="R120" s="48">
        <v>21</v>
      </c>
      <c r="S120" s="62" t="str">
        <f t="shared" si="25"/>
        <v>E</v>
      </c>
      <c r="T120" s="48">
        <v>20</v>
      </c>
      <c r="U120" s="62" t="str">
        <f t="shared" si="26"/>
        <v>E</v>
      </c>
      <c r="V120" s="51">
        <v>33</v>
      </c>
      <c r="W120" s="62" t="str">
        <f t="shared" si="27"/>
        <v>F</v>
      </c>
      <c r="X120" s="48">
        <v>16</v>
      </c>
      <c r="Y120" s="62" t="str">
        <f t="shared" si="28"/>
        <v>E</v>
      </c>
      <c r="Z120" s="51">
        <v>40</v>
      </c>
      <c r="AA120" s="62" t="str">
        <f t="shared" si="29"/>
        <v>E</v>
      </c>
      <c r="AB120" s="48">
        <v>19</v>
      </c>
      <c r="AC120" s="62" t="str">
        <f t="shared" si="30"/>
        <v>E</v>
      </c>
      <c r="AD120" s="48">
        <v>15</v>
      </c>
      <c r="AE120" s="62" t="str">
        <f t="shared" si="31"/>
        <v>E</v>
      </c>
      <c r="AF120" s="51">
        <v>25</v>
      </c>
      <c r="AG120" s="62" t="str">
        <f t="shared" si="32"/>
        <v>E</v>
      </c>
      <c r="AH120" s="48">
        <v>17</v>
      </c>
      <c r="AI120" s="62" t="str">
        <f t="shared" si="33"/>
        <v>E</v>
      </c>
      <c r="AJ120" s="31">
        <f>IF(AND(OR(COUNTIF(D120:AI120,"=31")&gt;=1,COUNTIF(D120:AI120,"=32")&gt;=1,COUNTIF(D120:AI120,"=33")&gt;=1,COUNTIF(D120:AI120,"=34")&gt;=1,COUNTIF(D120:AI120,"=35")=1,COUNTIF(D120:AI120,"=36")&gt;=1 ),COUNTIF(D120:AI120,"")=0,COUNTIF(D120:AI120," ")=0,COUNTIF(D120:AI120,"F")=1),CONCATENATE(SUM(EXTRACTNUMBER(D120),EXTRACTNUMBER(F120),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EXTRACTNUMBER(AD120),EXTRACTNUMBER(AF120),EXTRACTNUMBER(AH120)),"*"),IF(AND(COUNTIF(D120:AI120,"=34")&gt;=1,COUNTIF(D120:AI120,"=35")&gt;=1,COUNTIF(D120:AI120,"f")=2,COUNTIF(D120:AI120,"")=0,COUNTIF(D120:AI120," ")=0),CONCATENATE(SUM(EXTRACTNUMBER(D120),EXTRACTNUMBER(F120),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EXTRACTNUMBER(AD120),EXTRACTNUMBER(AF120),EXTRACTNUMBER(AH120)),"*"),IF(AND(COUNTIF(D120:AI120,"=36")&gt;=2,COUNTIF(D120:AI120,"f")=2,COUNTIF(D120:AI120,"")=0,COUNTIF(D120:AI120," ")=0),CONCATENATE(SUM(EXTRACTNUMBER(D120),EXTRACTNUMBER(F120),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EXTRACTNUMBER(AD120),EXTRACTNUMBER(AF120),EXTRACTNUMBER(AH120)),"*"),SUM(EXTRACTNUMBER(D120),EXTRACTNUMBER(F120),
EXTRACTNUMBER(H120),EXTRACTNUMBER(J120),
EXTRACTNUMBER(L120),EXTRACTNUMBER(N120),
EXTRACTNUMBER(P120),EXTRACTNUMBER(R120),
EXTRACTNUMBER(T120),EXTRACTNUMBER(V120),
EXTRACTNUMBER(X120),EXTRACTNUMBER(Z120),EXTRACTNUMBER(AB120),
EXTRACTNUMBER(AD120),EXTRACTNUMBER(AF120),EXTRACTNUMBER(AH120)))))</f>
        <v>389</v>
      </c>
      <c r="AK120" s="32" t="str">
        <f t="shared" si="34"/>
        <v>FAIL</v>
      </c>
      <c r="AL120" s="33" t="str">
        <f>SPELLNUMBER(extractnumber_tot(AJ120))</f>
        <v xml:space="preserve">Three Hundred Eighty Nine </v>
      </c>
    </row>
    <row r="121" spans="2:38" s="30" customFormat="1" ht="15.95" customHeight="1">
      <c r="B121" s="37">
        <v>225298</v>
      </c>
      <c r="C121" s="38" t="s">
        <v>314</v>
      </c>
      <c r="D121" s="45">
        <v>46</v>
      </c>
      <c r="E121" s="61" t="str">
        <f t="shared" ref="E121:E151" si="35">IF(IFERROR(FIND("+",D121),0)," ",
IF(D121="AB","",
IF(D121&lt;$D$24,"F",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F121" s="48">
        <v>21</v>
      </c>
      <c r="G121" s="62" t="str">
        <f t="shared" ref="G121:G151" si="36">IF(IFERROR(FIND("+",F121),0)," ",
IF(F121="AB","",
IF(F121&lt;$F$24,"F",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H121" s="48">
        <v>40</v>
      </c>
      <c r="I121" s="62" t="str">
        <f t="shared" ref="I121:I151" si="37">IF(IFERROR(FIND("+",H121),0)," ",
IF(H121="AB","",
IF(H121&lt;$H$24,"F",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J121" s="50">
        <v>42</v>
      </c>
      <c r="K121" s="62" t="str">
        <f t="shared" ref="K121:K151" si="38">IF(IFERROR(FIND("+",J121),0)," ",
IF(J121="AB","",
IF(J121&lt;$J$24,"F",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L121" s="48">
        <v>22</v>
      </c>
      <c r="M121" s="62" t="str">
        <f t="shared" ref="M121:M151" si="39">IF(IFERROR(FIND("+",L121),0)," ",
IF(L121="AB","",
IF(L121&lt;$L$24,"F",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N121" s="48">
        <v>42</v>
      </c>
      <c r="O121" s="62" t="str">
        <f t="shared" ref="O121:O151" si="40">IF(IFERROR(FIND("+",N121),0)," ",
IF(N121="AB","",
IF(N121&lt;$N$24,"F",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P121" s="51">
        <v>56</v>
      </c>
      <c r="Q121" s="62" t="str">
        <f t="shared" ref="Q121:Q151" si="41">IF(IFERROR(FIND("+",P121),0)," ",
IF(P121="AB","",
IF(P121&lt;$P$24,"F",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R121" s="48">
        <v>21</v>
      </c>
      <c r="S121" s="62" t="str">
        <f t="shared" ref="S121:S151" si="42">IF(IFERROR(FIND("+",R121),0)," ",
IF(R121="AB","",
IF(R121&lt;$R$24,"F",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T121" s="48">
        <v>20</v>
      </c>
      <c r="U121" s="62" t="str">
        <f t="shared" ref="U121:U151" si="43">IF(IFERROR(FIND("+",T121),0)," ",
IF(T121="AB","",
IF(T121&lt;$T$24,"F",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V121" s="51">
        <v>40</v>
      </c>
      <c r="W121" s="62" t="str">
        <f t="shared" ref="W121:W151" si="44">IF(IFERROR(FIND("+",V121),0)," ",
IF(V121="AB","",
IF(V121&lt;$V$24,"F",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X121" s="48">
        <v>21</v>
      </c>
      <c r="Y121" s="62" t="str">
        <f t="shared" ref="Y121:Y151" si="45">IF(IFERROR(FIND("+",X121),0)," ",
IF(X121="AB","",
IF(X121&lt;$X$24,"F",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Z121" s="51">
        <v>61</v>
      </c>
      <c r="AA121" s="62" t="str">
        <f t="shared" ref="AA121:AA151" si="46">IF(IFERROR(FIND("+",Z121),0)," ",
IF(Z121="AB","",
IF(Z121&lt;$Z$24,"F",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AB121" s="48">
        <v>22</v>
      </c>
      <c r="AC121" s="62" t="str">
        <f t="shared" ref="AC121:AC151" si="47">IF(IFERROR(FIND("+",AB121),0)," ",
IF(AB121="AB","",
IF(AB121&lt;$AB$24,"F",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AD121" s="48">
        <v>20</v>
      </c>
      <c r="AE121" s="62" t="str">
        <f t="shared" ref="AE121:AE151" si="48">IF(IFERROR(FIND("+",AD121),0)," ",
IF(AD121="AB","",
IF(AD121&lt;$AD$24,"F",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AF121" s="51">
        <v>22</v>
      </c>
      <c r="AG121" s="62" t="str">
        <f t="shared" ref="AG121:AG151" si="49">IF(IFERROR(FIND("+",AF121),0)," ",
IF(AF121="AB","",
IF(AF121&lt;$AF$24,"F",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AH121" s="48">
        <v>21</v>
      </c>
      <c r="AI121" s="62" t="str">
        <f t="shared" ref="AI121:AI151" si="50">IF(IFERROR(FIND("+",AH121),0)," ",
IF(AH121="AB","",
IF(AH121&lt;$AH$24,"F",
IF(AND(D121&gt;=$D$24,F121&gt;=$F$24,H121&gt;=$H$24,
J121&gt;=$J$24,L121&gt;=$L$24,
N121&gt;=$N$24,P121&gt;=$P$24,R121&gt;=$R$24,T121&gt;=$T$24,V121&gt;=$V$24,
X121&gt;=$X$24,Z121&gt;=$Z$24,AB121&gt;=$AB$24,AD121&gt;=$AD$24,AF121&gt;=$AF$24,
AH121&gt;=$AH$24,D121&lt;&gt;"AB",F121&lt;&gt;"AB",H121&lt;&gt;"AB",
J121&lt;&gt;"AB",L121&lt;&gt;"AB",
N121&lt;&gt;"AB",P121&lt;&gt;"AB",R121&lt;&gt;"AB",T121&lt;&gt;"AB",V121&lt;&gt;"AB",
X121&lt;&gt;"AB",Z121&lt;&gt;"AB",AB121&lt;&gt;"AB",AD121&lt;&gt;"AB",AF121&lt;&gt;"AB",
AH121&lt;&gt;"AB"),"","E"))))</f>
        <v/>
      </c>
      <c r="AJ121" s="31">
        <f>IF(AND(OR(COUNTIF(D121:AI121,"=31")&gt;=1,COUNTIF(D121:AI121,"=32")&gt;=1,COUNTIF(D121:AI121,"=33")&gt;=1,COUNTIF(D121:AI121,"=34")&gt;=1,COUNTIF(D121:AI121,"=35")=1,COUNTIF(D121:AI121,"=36")&gt;=1 ),COUNTIF(D121:AI121,"")=0,COUNTIF(D121:AI121," ")=0,COUNTIF(D121:AI121,"F")=1),CONCATENATE(SUM(EXTRACTNUMBER(D121),EXTRACTNUMBER(F121),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EXTRACTNUMBER(AD121),EXTRACTNUMBER(AF121),EXTRACTNUMBER(AH121)),"*"),IF(AND(COUNTIF(D121:AI121,"=34")&gt;=1,COUNTIF(D121:AI121,"=35")&gt;=1,COUNTIF(D121:AI121,"f")=2,COUNTIF(D121:AI121,"")=0,COUNTIF(D121:AI121," ")=0),CONCATENATE(SUM(EXTRACTNUMBER(D121),EXTRACTNUMBER(F121),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EXTRACTNUMBER(AD121),EXTRACTNUMBER(AF121),EXTRACTNUMBER(AH121)),"*"),IF(AND(COUNTIF(D121:AI121,"=36")&gt;=2,COUNTIF(D121:AI121,"f")=2,COUNTIF(D121:AI121,"")=0,COUNTIF(D121:AI121," ")=0),CONCATENATE(SUM(EXTRACTNUMBER(D121),EXTRACTNUMBER(F121),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EXTRACTNUMBER(AD121),EXTRACTNUMBER(AF121),EXTRACTNUMBER(AH121)),"*"),SUM(EXTRACTNUMBER(D121),EXTRACTNUMBER(F121),
EXTRACTNUMBER(H121),EXTRACTNUMBER(J121),
EXTRACTNUMBER(L121),EXTRACTNUMBER(N121),
EXTRACTNUMBER(P121),EXTRACTNUMBER(R121),
EXTRACTNUMBER(T121),EXTRACTNUMBER(V121),
EXTRACTNUMBER(X121),EXTRACTNUMBER(Z121),EXTRACTNUMBER(AB121),
EXTRACTNUMBER(AD121),EXTRACTNUMBER(AF121),EXTRACTNUMBER(AH121)))))</f>
        <v>517</v>
      </c>
      <c r="AK121" s="32" t="str">
        <f t="shared" si="34"/>
        <v>PASS</v>
      </c>
      <c r="AL121" s="33" t="str">
        <f>SPELLNUMBER(extractnumber_tot(AJ121))</f>
        <v xml:space="preserve">Five Hundred Seventeen </v>
      </c>
    </row>
    <row r="122" spans="2:38" s="30" customFormat="1" ht="15.95" customHeight="1">
      <c r="B122" s="37">
        <v>225299</v>
      </c>
      <c r="C122" s="38" t="s">
        <v>315</v>
      </c>
      <c r="D122" s="45">
        <v>40</v>
      </c>
      <c r="E122" s="61" t="str">
        <f t="shared" si="35"/>
        <v>E</v>
      </c>
      <c r="F122" s="48">
        <v>21</v>
      </c>
      <c r="G122" s="62" t="str">
        <f t="shared" si="36"/>
        <v>E</v>
      </c>
      <c r="H122" s="48">
        <v>40</v>
      </c>
      <c r="I122" s="62" t="str">
        <f t="shared" si="37"/>
        <v>E</v>
      </c>
      <c r="J122" s="50">
        <v>41</v>
      </c>
      <c r="K122" s="62" t="str">
        <f t="shared" si="38"/>
        <v>E</v>
      </c>
      <c r="L122" s="48">
        <v>22</v>
      </c>
      <c r="M122" s="62" t="str">
        <f t="shared" si="39"/>
        <v>E</v>
      </c>
      <c r="N122" s="48">
        <v>44</v>
      </c>
      <c r="O122" s="62" t="str">
        <f t="shared" si="40"/>
        <v>E</v>
      </c>
      <c r="P122" s="51">
        <v>20</v>
      </c>
      <c r="Q122" s="62" t="str">
        <f t="shared" si="41"/>
        <v>F</v>
      </c>
      <c r="R122" s="48">
        <v>21</v>
      </c>
      <c r="S122" s="62" t="str">
        <f t="shared" si="42"/>
        <v>E</v>
      </c>
      <c r="T122" s="48">
        <v>20</v>
      </c>
      <c r="U122" s="62" t="str">
        <f t="shared" si="43"/>
        <v>E</v>
      </c>
      <c r="V122" s="51">
        <v>46</v>
      </c>
      <c r="W122" s="62" t="str">
        <f t="shared" si="44"/>
        <v>E</v>
      </c>
      <c r="X122" s="48">
        <v>21</v>
      </c>
      <c r="Y122" s="62" t="str">
        <f t="shared" si="45"/>
        <v>E</v>
      </c>
      <c r="Z122" s="51">
        <v>40</v>
      </c>
      <c r="AA122" s="62" t="str">
        <f t="shared" si="46"/>
        <v>E</v>
      </c>
      <c r="AB122" s="48">
        <v>21</v>
      </c>
      <c r="AC122" s="62" t="str">
        <f t="shared" si="47"/>
        <v>E</v>
      </c>
      <c r="AD122" s="48">
        <v>22</v>
      </c>
      <c r="AE122" s="62" t="str">
        <f t="shared" si="48"/>
        <v>E</v>
      </c>
      <c r="AF122" s="51">
        <v>28</v>
      </c>
      <c r="AG122" s="62" t="str">
        <f t="shared" si="49"/>
        <v>E</v>
      </c>
      <c r="AH122" s="48">
        <v>21</v>
      </c>
      <c r="AI122" s="62" t="str">
        <f t="shared" si="50"/>
        <v>E</v>
      </c>
      <c r="AJ122" s="31">
        <f>IF(AND(OR(COUNTIF(D122:AI122,"=31")&gt;=1,COUNTIF(D122:AI122,"=32")&gt;=1,COUNTIF(D122:AI122,"=33")&gt;=1,COUNTIF(D122:AI122,"=34")&gt;=1,COUNTIF(D122:AI122,"=35")=1,COUNTIF(D122:AI122,"=36")&gt;=1 ),COUNTIF(D122:AI122,"")=0,COUNTIF(D122:AI122," ")=0,COUNTIF(D122:AI122,"F")=1),CONCATENATE(SUM(EXTRACTNUMBER(D122),EXTRACTNUMBER(F122),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EXTRACTNUMBER(AD122),EXTRACTNUMBER(AF122),EXTRACTNUMBER(AH122)),"*"),IF(AND(COUNTIF(D122:AI122,"=34")&gt;=1,COUNTIF(D122:AI122,"=35")&gt;=1,COUNTIF(D122:AI122,"f")=2,COUNTIF(D122:AI122,"")=0,COUNTIF(D122:AI122," ")=0),CONCATENATE(SUM(EXTRACTNUMBER(D122),EXTRACTNUMBER(F122),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EXTRACTNUMBER(AD122),EXTRACTNUMBER(AF122),EXTRACTNUMBER(AH122)),"*"),IF(AND(COUNTIF(D122:AI122,"=36")&gt;=2,COUNTIF(D122:AI122,"f")=2,COUNTIF(D122:AI122,"")=0,COUNTIF(D122:AI122," ")=0),CONCATENATE(SUM(EXTRACTNUMBER(D122),EXTRACTNUMBER(F122),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EXTRACTNUMBER(AD122),EXTRACTNUMBER(AF122),EXTRACTNUMBER(AH122)),"*"),SUM(EXTRACTNUMBER(D122),EXTRACTNUMBER(F122),
EXTRACTNUMBER(H122),EXTRACTNUMBER(J122),
EXTRACTNUMBER(L122),EXTRACTNUMBER(N122),
EXTRACTNUMBER(P122),EXTRACTNUMBER(R122),
EXTRACTNUMBER(T122),EXTRACTNUMBER(V122),
EXTRACTNUMBER(X122),EXTRACTNUMBER(Z122),EXTRACTNUMBER(AB122),
EXTRACTNUMBER(AD122),EXTRACTNUMBER(AF122),EXTRACTNUMBER(AH122)))))</f>
        <v>468</v>
      </c>
      <c r="AK122" s="32" t="str">
        <f t="shared" si="34"/>
        <v>FAIL</v>
      </c>
      <c r="AL122" s="33" t="str">
        <f>SPELLNUMBER(extractnumber_tot(AJ122))</f>
        <v xml:space="preserve">Four Hundred Sixty Eight </v>
      </c>
    </row>
    <row r="123" spans="2:38" s="30" customFormat="1" ht="15.95" customHeight="1">
      <c r="B123" s="37">
        <v>225300</v>
      </c>
      <c r="C123" s="38" t="s">
        <v>316</v>
      </c>
      <c r="D123" s="45">
        <v>54</v>
      </c>
      <c r="E123" s="61" t="str">
        <f t="shared" si="35"/>
        <v>E</v>
      </c>
      <c r="F123" s="48">
        <v>20</v>
      </c>
      <c r="G123" s="62" t="str">
        <f t="shared" si="36"/>
        <v>E</v>
      </c>
      <c r="H123" s="48">
        <v>39</v>
      </c>
      <c r="I123" s="62" t="str">
        <f t="shared" si="37"/>
        <v>E</v>
      </c>
      <c r="J123" s="50">
        <v>19</v>
      </c>
      <c r="K123" s="62" t="str">
        <f t="shared" si="38"/>
        <v>F</v>
      </c>
      <c r="L123" s="48">
        <v>18</v>
      </c>
      <c r="M123" s="62" t="str">
        <f t="shared" si="39"/>
        <v>E</v>
      </c>
      <c r="N123" s="48">
        <v>38</v>
      </c>
      <c r="O123" s="62" t="str">
        <f t="shared" si="40"/>
        <v>E</v>
      </c>
      <c r="P123" s="51">
        <v>43</v>
      </c>
      <c r="Q123" s="62" t="str">
        <f t="shared" si="41"/>
        <v>E</v>
      </c>
      <c r="R123" s="48">
        <v>20</v>
      </c>
      <c r="S123" s="62" t="str">
        <f t="shared" si="42"/>
        <v>E</v>
      </c>
      <c r="T123" s="48">
        <v>20</v>
      </c>
      <c r="U123" s="62" t="str">
        <f t="shared" si="43"/>
        <v>E</v>
      </c>
      <c r="V123" s="51">
        <v>50</v>
      </c>
      <c r="W123" s="62" t="str">
        <f t="shared" si="44"/>
        <v>E</v>
      </c>
      <c r="X123" s="48">
        <v>20</v>
      </c>
      <c r="Y123" s="62" t="str">
        <f t="shared" si="45"/>
        <v>E</v>
      </c>
      <c r="Z123" s="51">
        <v>53</v>
      </c>
      <c r="AA123" s="62" t="str">
        <f t="shared" si="46"/>
        <v>E</v>
      </c>
      <c r="AB123" s="48">
        <v>18</v>
      </c>
      <c r="AC123" s="62" t="str">
        <f t="shared" si="47"/>
        <v>E</v>
      </c>
      <c r="AD123" s="48">
        <v>19</v>
      </c>
      <c r="AE123" s="62" t="str">
        <f t="shared" si="48"/>
        <v>E</v>
      </c>
      <c r="AF123" s="51">
        <v>25</v>
      </c>
      <c r="AG123" s="62" t="str">
        <f t="shared" si="49"/>
        <v>E</v>
      </c>
      <c r="AH123" s="48">
        <v>20</v>
      </c>
      <c r="AI123" s="62" t="str">
        <f t="shared" si="50"/>
        <v>E</v>
      </c>
      <c r="AJ123" s="31">
        <f>IF(AND(OR(COUNTIF(D123:AI123,"=31")&gt;=1,COUNTIF(D123:AI123,"=32")&gt;=1,COUNTIF(D123:AI123,"=33")&gt;=1,COUNTIF(D123:AI123,"=34")&gt;=1,COUNTIF(D123:AI123,"=35")=1,COUNTIF(D123:AI123,"=36")&gt;=1 ),COUNTIF(D123:AI123,"")=0,COUNTIF(D123:AI123," ")=0,COUNTIF(D123:AI123,"F")=1),CONCATENATE(SUM(EXTRACTNUMBER(D123),EXTRACTNUMBER(F123),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EXTRACTNUMBER(AD123),EXTRACTNUMBER(AF123),EXTRACTNUMBER(AH123)),"*"),IF(AND(COUNTIF(D123:AI123,"=34")&gt;=1,COUNTIF(D123:AI123,"=35")&gt;=1,COUNTIF(D123:AI123,"f")=2,COUNTIF(D123:AI123,"")=0,COUNTIF(D123:AI123," ")=0),CONCATENATE(SUM(EXTRACTNUMBER(D123),EXTRACTNUMBER(F123),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EXTRACTNUMBER(AD123),EXTRACTNUMBER(AF123),EXTRACTNUMBER(AH123)),"*"),IF(AND(COUNTIF(D123:AI123,"=36")&gt;=2,COUNTIF(D123:AI123,"f")=2,COUNTIF(D123:AI123,"")=0,COUNTIF(D123:AI123," ")=0),CONCATENATE(SUM(EXTRACTNUMBER(D123),EXTRACTNUMBER(F123),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EXTRACTNUMBER(AD123),EXTRACTNUMBER(AF123),EXTRACTNUMBER(AH123)),"*"),SUM(EXTRACTNUMBER(D123),EXTRACTNUMBER(F123),
EXTRACTNUMBER(H123),EXTRACTNUMBER(J123),
EXTRACTNUMBER(L123),EXTRACTNUMBER(N123),
EXTRACTNUMBER(P123),EXTRACTNUMBER(R123),
EXTRACTNUMBER(T123),EXTRACTNUMBER(V123),
EXTRACTNUMBER(X123),EXTRACTNUMBER(Z123),EXTRACTNUMBER(AB123),
EXTRACTNUMBER(AD123),EXTRACTNUMBER(AF123),EXTRACTNUMBER(AH123)))))</f>
        <v>476</v>
      </c>
      <c r="AK123" s="32" t="str">
        <f t="shared" si="34"/>
        <v>FAIL</v>
      </c>
      <c r="AL123" s="33" t="str">
        <f>SPELLNUMBER(extractnumber_tot(AJ123))</f>
        <v xml:space="preserve">Four Hundred Seventy Six </v>
      </c>
    </row>
    <row r="124" spans="2:38" s="30" customFormat="1" ht="15.95" customHeight="1">
      <c r="B124" s="37">
        <v>225301</v>
      </c>
      <c r="C124" s="38" t="s">
        <v>317</v>
      </c>
      <c r="D124" s="45">
        <v>57</v>
      </c>
      <c r="E124" s="61" t="str">
        <f t="shared" si="35"/>
        <v/>
      </c>
      <c r="F124" s="48">
        <v>20</v>
      </c>
      <c r="G124" s="62" t="str">
        <f t="shared" si="36"/>
        <v/>
      </c>
      <c r="H124" s="48">
        <v>42</v>
      </c>
      <c r="I124" s="62" t="str">
        <f t="shared" si="37"/>
        <v/>
      </c>
      <c r="J124" s="50">
        <v>51</v>
      </c>
      <c r="K124" s="62" t="str">
        <f t="shared" si="38"/>
        <v/>
      </c>
      <c r="L124" s="48">
        <v>21</v>
      </c>
      <c r="M124" s="62" t="str">
        <f t="shared" si="39"/>
        <v/>
      </c>
      <c r="N124" s="48">
        <v>36</v>
      </c>
      <c r="O124" s="62" t="str">
        <f t="shared" si="40"/>
        <v/>
      </c>
      <c r="P124" s="51">
        <v>54</v>
      </c>
      <c r="Q124" s="62" t="str">
        <f t="shared" si="41"/>
        <v/>
      </c>
      <c r="R124" s="48">
        <v>20</v>
      </c>
      <c r="S124" s="62" t="str">
        <f t="shared" si="42"/>
        <v/>
      </c>
      <c r="T124" s="48">
        <v>22</v>
      </c>
      <c r="U124" s="62" t="str">
        <f t="shared" si="43"/>
        <v/>
      </c>
      <c r="V124" s="51">
        <v>58</v>
      </c>
      <c r="W124" s="62" t="str">
        <f t="shared" si="44"/>
        <v/>
      </c>
      <c r="X124" s="48">
        <v>18</v>
      </c>
      <c r="Y124" s="62" t="str">
        <f t="shared" si="45"/>
        <v/>
      </c>
      <c r="Z124" s="51">
        <v>60</v>
      </c>
      <c r="AA124" s="62" t="str">
        <f t="shared" si="46"/>
        <v/>
      </c>
      <c r="AB124" s="48">
        <v>21</v>
      </c>
      <c r="AC124" s="62" t="str">
        <f t="shared" si="47"/>
        <v/>
      </c>
      <c r="AD124" s="48">
        <v>20</v>
      </c>
      <c r="AE124" s="62" t="str">
        <f t="shared" si="48"/>
        <v/>
      </c>
      <c r="AF124" s="51">
        <v>33</v>
      </c>
      <c r="AG124" s="62" t="str">
        <f t="shared" si="49"/>
        <v/>
      </c>
      <c r="AH124" s="48">
        <v>21</v>
      </c>
      <c r="AI124" s="62" t="str">
        <f t="shared" si="50"/>
        <v/>
      </c>
      <c r="AJ124" s="31">
        <f>IF(AND(OR(COUNTIF(D124:AI124,"=31")&gt;=1,COUNTIF(D124:AI124,"=32")&gt;=1,COUNTIF(D124:AI124,"=33")&gt;=1,COUNTIF(D124:AI124,"=34")&gt;=1,COUNTIF(D124:AI124,"=35")=1,COUNTIF(D124:AI124,"=36")&gt;=1 ),COUNTIF(D124:AI124,"")=0,COUNTIF(D124:AI124," ")=0,COUNTIF(D124:AI124,"F")=1),CONCATENATE(SUM(EXTRACTNUMBER(D124),EXTRACTNUMBER(F124),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EXTRACTNUMBER(AD124),EXTRACTNUMBER(AF124),EXTRACTNUMBER(AH124)),"*"),IF(AND(COUNTIF(D124:AI124,"=34")&gt;=1,COUNTIF(D124:AI124,"=35")&gt;=1,COUNTIF(D124:AI124,"f")=2,COUNTIF(D124:AI124,"")=0,COUNTIF(D124:AI124," ")=0),CONCATENATE(SUM(EXTRACTNUMBER(D124),EXTRACTNUMBER(F124),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EXTRACTNUMBER(AD124),EXTRACTNUMBER(AF124),EXTRACTNUMBER(AH124)),"*"),IF(AND(COUNTIF(D124:AI124,"=36")&gt;=2,COUNTIF(D124:AI124,"f")=2,COUNTIF(D124:AI124,"")=0,COUNTIF(D124:AI124," ")=0),CONCATENATE(SUM(EXTRACTNUMBER(D124),EXTRACTNUMBER(F124),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EXTRACTNUMBER(AD124),EXTRACTNUMBER(AF124),EXTRACTNUMBER(AH124)),"*"),SUM(EXTRACTNUMBER(D124),EXTRACTNUMBER(F124),
EXTRACTNUMBER(H124),EXTRACTNUMBER(J124),
EXTRACTNUMBER(L124),EXTRACTNUMBER(N124),
EXTRACTNUMBER(P124),EXTRACTNUMBER(R124),
EXTRACTNUMBER(T124),EXTRACTNUMBER(V124),
EXTRACTNUMBER(X124),EXTRACTNUMBER(Z124),EXTRACTNUMBER(AB124),
EXTRACTNUMBER(AD124),EXTRACTNUMBER(AF124),EXTRACTNUMBER(AH124)))))</f>
        <v>554</v>
      </c>
      <c r="AK124" s="32" t="str">
        <f t="shared" si="34"/>
        <v>PASS</v>
      </c>
      <c r="AL124" s="33" t="str">
        <f>SPELLNUMBER(extractnumber_tot(AJ124))</f>
        <v xml:space="preserve">Five Hundred Fifty Four </v>
      </c>
    </row>
    <row r="125" spans="2:38" s="30" customFormat="1" ht="15.95" customHeight="1">
      <c r="B125" s="37">
        <v>225302</v>
      </c>
      <c r="C125" s="38" t="s">
        <v>318</v>
      </c>
      <c r="D125" s="45">
        <v>40</v>
      </c>
      <c r="E125" s="61" t="str">
        <f t="shared" si="35"/>
        <v/>
      </c>
      <c r="F125" s="48">
        <v>21</v>
      </c>
      <c r="G125" s="62" t="str">
        <f t="shared" si="36"/>
        <v/>
      </c>
      <c r="H125" s="48">
        <v>39</v>
      </c>
      <c r="I125" s="62" t="str">
        <f t="shared" si="37"/>
        <v/>
      </c>
      <c r="J125" s="50">
        <v>45</v>
      </c>
      <c r="K125" s="62" t="str">
        <f t="shared" si="38"/>
        <v/>
      </c>
      <c r="L125" s="48">
        <v>19</v>
      </c>
      <c r="M125" s="62" t="str">
        <f t="shared" si="39"/>
        <v/>
      </c>
      <c r="N125" s="48">
        <v>42</v>
      </c>
      <c r="O125" s="62" t="str">
        <f t="shared" si="40"/>
        <v/>
      </c>
      <c r="P125" s="51">
        <v>47</v>
      </c>
      <c r="Q125" s="62" t="str">
        <f t="shared" si="41"/>
        <v/>
      </c>
      <c r="R125" s="48">
        <v>21</v>
      </c>
      <c r="S125" s="62" t="str">
        <f t="shared" si="42"/>
        <v/>
      </c>
      <c r="T125" s="48">
        <v>20</v>
      </c>
      <c r="U125" s="62" t="str">
        <f t="shared" si="43"/>
        <v/>
      </c>
      <c r="V125" s="51">
        <v>40</v>
      </c>
      <c r="W125" s="62" t="str">
        <f t="shared" si="44"/>
        <v/>
      </c>
      <c r="X125" s="48">
        <v>16</v>
      </c>
      <c r="Y125" s="62" t="str">
        <f t="shared" si="45"/>
        <v/>
      </c>
      <c r="Z125" s="51">
        <v>43</v>
      </c>
      <c r="AA125" s="62" t="str">
        <f t="shared" si="46"/>
        <v/>
      </c>
      <c r="AB125" s="48">
        <v>18</v>
      </c>
      <c r="AC125" s="62" t="str">
        <f t="shared" si="47"/>
        <v/>
      </c>
      <c r="AD125" s="48">
        <v>16</v>
      </c>
      <c r="AE125" s="62" t="str">
        <f t="shared" si="48"/>
        <v/>
      </c>
      <c r="AF125" s="51">
        <v>24</v>
      </c>
      <c r="AG125" s="62" t="str">
        <f t="shared" si="49"/>
        <v/>
      </c>
      <c r="AH125" s="48">
        <v>18</v>
      </c>
      <c r="AI125" s="62" t="str">
        <f t="shared" si="50"/>
        <v/>
      </c>
      <c r="AJ125" s="31">
        <f>IF(AND(OR(COUNTIF(D125:AI125,"=31")&gt;=1,COUNTIF(D125:AI125,"=32")&gt;=1,COUNTIF(D125:AI125,"=33")&gt;=1,COUNTIF(D125:AI125,"=34")&gt;=1,COUNTIF(D125:AI125,"=35")=1,COUNTIF(D125:AI125,"=36")&gt;=1 ),COUNTIF(D125:AI125,"")=0,COUNTIF(D125:AI125," ")=0,COUNTIF(D125:AI125,"F")=1),CONCATENATE(SUM(EXTRACTNUMBER(D125),EXTRACTNUMBER(F125),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EXTRACTNUMBER(AD125),EXTRACTNUMBER(AF125),EXTRACTNUMBER(AH125)),"*"),IF(AND(COUNTIF(D125:AI125,"=34")&gt;=1,COUNTIF(D125:AI125,"=35")&gt;=1,COUNTIF(D125:AI125,"f")=2,COUNTIF(D125:AI125,"")=0,COUNTIF(D125:AI125," ")=0),CONCATENATE(SUM(EXTRACTNUMBER(D125),EXTRACTNUMBER(F125),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EXTRACTNUMBER(AD125),EXTRACTNUMBER(AF125),EXTRACTNUMBER(AH125)),"*"),IF(AND(COUNTIF(D125:AI125,"=36")&gt;=2,COUNTIF(D125:AI125,"f")=2,COUNTIF(D125:AI125,"")=0,COUNTIF(D125:AI125," ")=0),CONCATENATE(SUM(EXTRACTNUMBER(D125),EXTRACTNUMBER(F125),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EXTRACTNUMBER(AD125),EXTRACTNUMBER(AF125),EXTRACTNUMBER(AH125)),"*"),SUM(EXTRACTNUMBER(D125),EXTRACTNUMBER(F125),
EXTRACTNUMBER(H125),EXTRACTNUMBER(J125),
EXTRACTNUMBER(L125),EXTRACTNUMBER(N125),
EXTRACTNUMBER(P125),EXTRACTNUMBER(R125),
EXTRACTNUMBER(T125),EXTRACTNUMBER(V125),
EXTRACTNUMBER(X125),EXTRACTNUMBER(Z125),EXTRACTNUMBER(AB125),
EXTRACTNUMBER(AD125),EXTRACTNUMBER(AF125),EXTRACTNUMBER(AH125)))))</f>
        <v>469</v>
      </c>
      <c r="AK125" s="32" t="str">
        <f t="shared" si="34"/>
        <v>PASS</v>
      </c>
      <c r="AL125" s="33" t="str">
        <f>SPELLNUMBER(extractnumber_tot(AJ125))</f>
        <v xml:space="preserve">Four Hundred Sixty Nine </v>
      </c>
    </row>
    <row r="126" spans="2:38" s="30" customFormat="1" ht="15.95" customHeight="1">
      <c r="B126" s="37">
        <v>225303</v>
      </c>
      <c r="C126" s="38" t="s">
        <v>319</v>
      </c>
      <c r="D126" s="45">
        <v>55</v>
      </c>
      <c r="E126" s="61" t="str">
        <f t="shared" si="35"/>
        <v/>
      </c>
      <c r="F126" s="48">
        <v>22</v>
      </c>
      <c r="G126" s="62" t="str">
        <f t="shared" si="36"/>
        <v/>
      </c>
      <c r="H126" s="48">
        <v>38</v>
      </c>
      <c r="I126" s="62" t="str">
        <f t="shared" si="37"/>
        <v/>
      </c>
      <c r="J126" s="50">
        <v>45</v>
      </c>
      <c r="K126" s="62" t="str">
        <f t="shared" si="38"/>
        <v/>
      </c>
      <c r="L126" s="48">
        <v>16</v>
      </c>
      <c r="M126" s="62" t="str">
        <f t="shared" si="39"/>
        <v/>
      </c>
      <c r="N126" s="48">
        <v>38</v>
      </c>
      <c r="O126" s="62" t="str">
        <f t="shared" si="40"/>
        <v/>
      </c>
      <c r="P126" s="51">
        <v>42</v>
      </c>
      <c r="Q126" s="62" t="str">
        <f t="shared" si="41"/>
        <v/>
      </c>
      <c r="R126" s="48">
        <v>22</v>
      </c>
      <c r="S126" s="62" t="str">
        <f t="shared" si="42"/>
        <v/>
      </c>
      <c r="T126" s="48">
        <v>19</v>
      </c>
      <c r="U126" s="62" t="str">
        <f t="shared" si="43"/>
        <v/>
      </c>
      <c r="V126" s="51">
        <v>53</v>
      </c>
      <c r="W126" s="62" t="str">
        <f t="shared" si="44"/>
        <v/>
      </c>
      <c r="X126" s="48">
        <v>22</v>
      </c>
      <c r="Y126" s="62" t="str">
        <f t="shared" si="45"/>
        <v/>
      </c>
      <c r="Z126" s="51">
        <v>40</v>
      </c>
      <c r="AA126" s="62" t="str">
        <f t="shared" si="46"/>
        <v/>
      </c>
      <c r="AB126" s="48">
        <v>15</v>
      </c>
      <c r="AC126" s="62" t="str">
        <f t="shared" si="47"/>
        <v/>
      </c>
      <c r="AD126" s="48">
        <v>15</v>
      </c>
      <c r="AE126" s="62" t="str">
        <f t="shared" si="48"/>
        <v/>
      </c>
      <c r="AF126" s="51">
        <v>25</v>
      </c>
      <c r="AG126" s="62" t="str">
        <f t="shared" si="49"/>
        <v/>
      </c>
      <c r="AH126" s="48">
        <v>22</v>
      </c>
      <c r="AI126" s="62" t="str">
        <f t="shared" si="50"/>
        <v/>
      </c>
      <c r="AJ126" s="31">
        <f>IF(AND(OR(COUNTIF(D126:AI126,"=31")&gt;=1,COUNTIF(D126:AI126,"=32")&gt;=1,COUNTIF(D126:AI126,"=33")&gt;=1,COUNTIF(D126:AI126,"=34")&gt;=1,COUNTIF(D126:AI126,"=35")=1,COUNTIF(D126:AI126,"=36")&gt;=1 ),COUNTIF(D126:AI126,"")=0,COUNTIF(D126:AI126," ")=0,COUNTIF(D126:AI126,"F")=1),CONCATENATE(SUM(EXTRACTNUMBER(D126),EXTRACTNUMBER(F126),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EXTRACTNUMBER(AD126),EXTRACTNUMBER(AF126),EXTRACTNUMBER(AH126)),"*"),IF(AND(COUNTIF(D126:AI126,"=34")&gt;=1,COUNTIF(D126:AI126,"=35")&gt;=1,COUNTIF(D126:AI126,"f")=2,COUNTIF(D126:AI126,"")=0,COUNTIF(D126:AI126," ")=0),CONCATENATE(SUM(EXTRACTNUMBER(D126),EXTRACTNUMBER(F126),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EXTRACTNUMBER(AD126),EXTRACTNUMBER(AF126),EXTRACTNUMBER(AH126)),"*"),IF(AND(COUNTIF(D126:AI126,"=36")&gt;=2,COUNTIF(D126:AI126,"f")=2,COUNTIF(D126:AI126,"")=0,COUNTIF(D126:AI126," ")=0),CONCATENATE(SUM(EXTRACTNUMBER(D126),EXTRACTNUMBER(F126),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EXTRACTNUMBER(AD126),EXTRACTNUMBER(AF126),EXTRACTNUMBER(AH126)),"*"),SUM(EXTRACTNUMBER(D126),EXTRACTNUMBER(F126),
EXTRACTNUMBER(H126),EXTRACTNUMBER(J126),
EXTRACTNUMBER(L126),EXTRACTNUMBER(N126),
EXTRACTNUMBER(P126),EXTRACTNUMBER(R126),
EXTRACTNUMBER(T126),EXTRACTNUMBER(V126),
EXTRACTNUMBER(X126),EXTRACTNUMBER(Z126),EXTRACTNUMBER(AB126),
EXTRACTNUMBER(AD126),EXTRACTNUMBER(AF126),EXTRACTNUMBER(AH126)))))</f>
        <v>489</v>
      </c>
      <c r="AK126" s="32" t="str">
        <f t="shared" si="34"/>
        <v>PASS</v>
      </c>
      <c r="AL126" s="33" t="str">
        <f>SPELLNUMBER(extractnumber_tot(AJ126))</f>
        <v xml:space="preserve">Four Hundred Eighty Nine </v>
      </c>
    </row>
    <row r="127" spans="2:38" s="30" customFormat="1" ht="15.95" customHeight="1">
      <c r="B127" s="37">
        <v>225304</v>
      </c>
      <c r="C127" s="38" t="s">
        <v>320</v>
      </c>
      <c r="D127" s="45">
        <v>53</v>
      </c>
      <c r="E127" s="61" t="str">
        <f t="shared" si="35"/>
        <v/>
      </c>
      <c r="F127" s="48">
        <v>20</v>
      </c>
      <c r="G127" s="62" t="str">
        <f t="shared" si="36"/>
        <v/>
      </c>
      <c r="H127" s="48">
        <v>44</v>
      </c>
      <c r="I127" s="62" t="str">
        <f t="shared" si="37"/>
        <v/>
      </c>
      <c r="J127" s="50">
        <v>44</v>
      </c>
      <c r="K127" s="62" t="str">
        <f t="shared" si="38"/>
        <v/>
      </c>
      <c r="L127" s="48">
        <v>21</v>
      </c>
      <c r="M127" s="62" t="str">
        <f t="shared" si="39"/>
        <v/>
      </c>
      <c r="N127" s="48">
        <v>42</v>
      </c>
      <c r="O127" s="62" t="str">
        <f t="shared" si="40"/>
        <v/>
      </c>
      <c r="P127" s="51">
        <v>45</v>
      </c>
      <c r="Q127" s="62" t="str">
        <f t="shared" si="41"/>
        <v/>
      </c>
      <c r="R127" s="48">
        <v>20</v>
      </c>
      <c r="S127" s="62" t="str">
        <f t="shared" si="42"/>
        <v/>
      </c>
      <c r="T127" s="48">
        <v>22</v>
      </c>
      <c r="U127" s="62" t="str">
        <f t="shared" si="43"/>
        <v/>
      </c>
      <c r="V127" s="51">
        <v>62</v>
      </c>
      <c r="W127" s="62" t="str">
        <f t="shared" si="44"/>
        <v/>
      </c>
      <c r="X127" s="48">
        <v>19</v>
      </c>
      <c r="Y127" s="62" t="str">
        <f t="shared" si="45"/>
        <v/>
      </c>
      <c r="Z127" s="51">
        <v>48</v>
      </c>
      <c r="AA127" s="62" t="str">
        <f t="shared" si="46"/>
        <v/>
      </c>
      <c r="AB127" s="48">
        <v>21</v>
      </c>
      <c r="AC127" s="62" t="str">
        <f t="shared" si="47"/>
        <v/>
      </c>
      <c r="AD127" s="48">
        <v>16</v>
      </c>
      <c r="AE127" s="62" t="str">
        <f t="shared" si="48"/>
        <v/>
      </c>
      <c r="AF127" s="51">
        <v>30</v>
      </c>
      <c r="AG127" s="62" t="str">
        <f t="shared" si="49"/>
        <v/>
      </c>
      <c r="AH127" s="48">
        <v>22</v>
      </c>
      <c r="AI127" s="62" t="str">
        <f t="shared" si="50"/>
        <v/>
      </c>
      <c r="AJ127" s="31">
        <f>IF(AND(OR(COUNTIF(D127:AI127,"=31")&gt;=1,COUNTIF(D127:AI127,"=32")&gt;=1,COUNTIF(D127:AI127,"=33")&gt;=1,COUNTIF(D127:AI127,"=34")&gt;=1,COUNTIF(D127:AI127,"=35")=1,COUNTIF(D127:AI127,"=36")&gt;=1 ),COUNTIF(D127:AI127,"")=0,COUNTIF(D127:AI127," ")=0,COUNTIF(D127:AI127,"F")=1),CONCATENATE(SUM(EXTRACTNUMBER(D127),EXTRACTNUMBER(F127),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EXTRACTNUMBER(AD127),EXTRACTNUMBER(AF127),EXTRACTNUMBER(AH127)),"*"),IF(AND(COUNTIF(D127:AI127,"=34")&gt;=1,COUNTIF(D127:AI127,"=35")&gt;=1,COUNTIF(D127:AI127,"f")=2,COUNTIF(D127:AI127,"")=0,COUNTIF(D127:AI127," ")=0),CONCATENATE(SUM(EXTRACTNUMBER(D127),EXTRACTNUMBER(F127),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EXTRACTNUMBER(AD127),EXTRACTNUMBER(AF127),EXTRACTNUMBER(AH127)),"*"),IF(AND(COUNTIF(D127:AI127,"=36")&gt;=2,COUNTIF(D127:AI127,"f")=2,COUNTIF(D127:AI127,"")=0,COUNTIF(D127:AI127," ")=0),CONCATENATE(SUM(EXTRACTNUMBER(D127),EXTRACTNUMBER(F127),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EXTRACTNUMBER(AD127),EXTRACTNUMBER(AF127),EXTRACTNUMBER(AH127)),"*"),SUM(EXTRACTNUMBER(D127),EXTRACTNUMBER(F127),
EXTRACTNUMBER(H127),EXTRACTNUMBER(J127),
EXTRACTNUMBER(L127),EXTRACTNUMBER(N127),
EXTRACTNUMBER(P127),EXTRACTNUMBER(R127),
EXTRACTNUMBER(T127),EXTRACTNUMBER(V127),
EXTRACTNUMBER(X127),EXTRACTNUMBER(Z127),EXTRACTNUMBER(AB127),
EXTRACTNUMBER(AD127),EXTRACTNUMBER(AF127),EXTRACTNUMBER(AH127)))))</f>
        <v>529</v>
      </c>
      <c r="AK127" s="32" t="str">
        <f t="shared" si="34"/>
        <v>PASS</v>
      </c>
      <c r="AL127" s="33" t="str">
        <f>SPELLNUMBER(extractnumber_tot(AJ127))</f>
        <v xml:space="preserve">Five Hundred Twenty Nine </v>
      </c>
    </row>
    <row r="128" spans="2:38" s="30" customFormat="1" ht="15.95" customHeight="1">
      <c r="B128" s="37">
        <v>225305</v>
      </c>
      <c r="C128" s="38" t="s">
        <v>321</v>
      </c>
      <c r="D128" s="45">
        <v>61</v>
      </c>
      <c r="E128" s="61" t="str">
        <f t="shared" si="35"/>
        <v/>
      </c>
      <c r="F128" s="48">
        <v>20</v>
      </c>
      <c r="G128" s="62" t="str">
        <f t="shared" si="36"/>
        <v/>
      </c>
      <c r="H128" s="48">
        <v>42</v>
      </c>
      <c r="I128" s="62" t="str">
        <f t="shared" si="37"/>
        <v/>
      </c>
      <c r="J128" s="50">
        <v>55</v>
      </c>
      <c r="K128" s="62" t="str">
        <f t="shared" si="38"/>
        <v/>
      </c>
      <c r="L128" s="48">
        <v>21</v>
      </c>
      <c r="M128" s="62" t="str">
        <f t="shared" si="39"/>
        <v/>
      </c>
      <c r="N128" s="48">
        <v>46</v>
      </c>
      <c r="O128" s="62" t="str">
        <f t="shared" si="40"/>
        <v/>
      </c>
      <c r="P128" s="51">
        <v>50</v>
      </c>
      <c r="Q128" s="62" t="str">
        <f t="shared" si="41"/>
        <v/>
      </c>
      <c r="R128" s="48">
        <v>20</v>
      </c>
      <c r="S128" s="62" t="str">
        <f t="shared" si="42"/>
        <v/>
      </c>
      <c r="T128" s="48">
        <v>22</v>
      </c>
      <c r="U128" s="62" t="str">
        <f t="shared" si="43"/>
        <v/>
      </c>
      <c r="V128" s="51">
        <v>53</v>
      </c>
      <c r="W128" s="62" t="str">
        <f t="shared" si="44"/>
        <v/>
      </c>
      <c r="X128" s="48">
        <v>16</v>
      </c>
      <c r="Y128" s="62" t="str">
        <f t="shared" si="45"/>
        <v/>
      </c>
      <c r="Z128" s="51">
        <v>62</v>
      </c>
      <c r="AA128" s="62" t="str">
        <f t="shared" si="46"/>
        <v/>
      </c>
      <c r="AB128" s="48">
        <v>21</v>
      </c>
      <c r="AC128" s="62" t="str">
        <f t="shared" si="47"/>
        <v/>
      </c>
      <c r="AD128" s="48">
        <v>21</v>
      </c>
      <c r="AE128" s="62" t="str">
        <f t="shared" si="48"/>
        <v/>
      </c>
      <c r="AF128" s="51">
        <v>31</v>
      </c>
      <c r="AG128" s="62" t="str">
        <f t="shared" si="49"/>
        <v/>
      </c>
      <c r="AH128" s="48">
        <v>23</v>
      </c>
      <c r="AI128" s="62" t="str">
        <f t="shared" si="50"/>
        <v/>
      </c>
      <c r="AJ128" s="31">
        <f>IF(AND(OR(COUNTIF(D128:AI128,"=31")&gt;=1,COUNTIF(D128:AI128,"=32")&gt;=1,COUNTIF(D128:AI128,"=33")&gt;=1,COUNTIF(D128:AI128,"=34")&gt;=1,COUNTIF(D128:AI128,"=35")=1,COUNTIF(D128:AI128,"=36")&gt;=1 ),COUNTIF(D128:AI128,"")=0,COUNTIF(D128:AI128," ")=0,COUNTIF(D128:AI128,"F")=1),CONCATENATE(SUM(EXTRACTNUMBER(D128),EXTRACTNUMBER(F128),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EXTRACTNUMBER(AD128),EXTRACTNUMBER(AF128),EXTRACTNUMBER(AH128)),"*"),IF(AND(COUNTIF(D128:AI128,"=34")&gt;=1,COUNTIF(D128:AI128,"=35")&gt;=1,COUNTIF(D128:AI128,"f")=2,COUNTIF(D128:AI128,"")=0,COUNTIF(D128:AI128," ")=0),CONCATENATE(SUM(EXTRACTNUMBER(D128),EXTRACTNUMBER(F128),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EXTRACTNUMBER(AD128),EXTRACTNUMBER(AF128),EXTRACTNUMBER(AH128)),"*"),IF(AND(COUNTIF(D128:AI128,"=36")&gt;=2,COUNTIF(D128:AI128,"f")=2,COUNTIF(D128:AI128,"")=0,COUNTIF(D128:AI128," ")=0),CONCATENATE(SUM(EXTRACTNUMBER(D128),EXTRACTNUMBER(F128),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EXTRACTNUMBER(AD128),EXTRACTNUMBER(AF128),EXTRACTNUMBER(AH128)),"*"),SUM(EXTRACTNUMBER(D128),EXTRACTNUMBER(F128),
EXTRACTNUMBER(H128),EXTRACTNUMBER(J128),
EXTRACTNUMBER(L128),EXTRACTNUMBER(N128),
EXTRACTNUMBER(P128),EXTRACTNUMBER(R128),
EXTRACTNUMBER(T128),EXTRACTNUMBER(V128),
EXTRACTNUMBER(X128),EXTRACTNUMBER(Z128),EXTRACTNUMBER(AB128),
EXTRACTNUMBER(AD128),EXTRACTNUMBER(AF128),EXTRACTNUMBER(AH128)))))</f>
        <v>564</v>
      </c>
      <c r="AK128" s="32" t="str">
        <f t="shared" si="34"/>
        <v>PASS</v>
      </c>
      <c r="AL128" s="33" t="str">
        <f>SPELLNUMBER(extractnumber_tot(AJ128))</f>
        <v xml:space="preserve">Five Hundred Sixty Four </v>
      </c>
    </row>
    <row r="129" spans="2:38" s="30" customFormat="1" ht="15.95" customHeight="1">
      <c r="B129" s="37">
        <v>225306</v>
      </c>
      <c r="C129" s="38" t="s">
        <v>322</v>
      </c>
      <c r="D129" s="45">
        <v>50</v>
      </c>
      <c r="E129" s="61" t="str">
        <f t="shared" si="35"/>
        <v/>
      </c>
      <c r="F129" s="48">
        <v>21</v>
      </c>
      <c r="G129" s="62" t="str">
        <f t="shared" si="36"/>
        <v/>
      </c>
      <c r="H129" s="48">
        <v>41</v>
      </c>
      <c r="I129" s="62" t="str">
        <f t="shared" si="37"/>
        <v/>
      </c>
      <c r="J129" s="50">
        <v>42</v>
      </c>
      <c r="K129" s="62" t="str">
        <f t="shared" si="38"/>
        <v/>
      </c>
      <c r="L129" s="48">
        <v>20</v>
      </c>
      <c r="M129" s="62" t="str">
        <f t="shared" si="39"/>
        <v/>
      </c>
      <c r="N129" s="48">
        <v>42</v>
      </c>
      <c r="O129" s="62" t="str">
        <f t="shared" si="40"/>
        <v/>
      </c>
      <c r="P129" s="51">
        <v>41</v>
      </c>
      <c r="Q129" s="62" t="str">
        <f t="shared" si="41"/>
        <v/>
      </c>
      <c r="R129" s="48">
        <v>21</v>
      </c>
      <c r="S129" s="62" t="str">
        <f t="shared" si="42"/>
        <v/>
      </c>
      <c r="T129" s="48">
        <v>21</v>
      </c>
      <c r="U129" s="62" t="str">
        <f t="shared" si="43"/>
        <v/>
      </c>
      <c r="V129" s="51">
        <v>51</v>
      </c>
      <c r="W129" s="62" t="str">
        <f t="shared" si="44"/>
        <v/>
      </c>
      <c r="X129" s="48">
        <v>16</v>
      </c>
      <c r="Y129" s="62" t="str">
        <f t="shared" si="45"/>
        <v/>
      </c>
      <c r="Z129" s="51">
        <v>45</v>
      </c>
      <c r="AA129" s="62" t="str">
        <f t="shared" si="46"/>
        <v/>
      </c>
      <c r="AB129" s="48">
        <v>20</v>
      </c>
      <c r="AC129" s="62" t="str">
        <f t="shared" si="47"/>
        <v/>
      </c>
      <c r="AD129" s="48">
        <v>16</v>
      </c>
      <c r="AE129" s="62" t="str">
        <f t="shared" si="48"/>
        <v/>
      </c>
      <c r="AF129" s="51">
        <v>28</v>
      </c>
      <c r="AG129" s="62" t="str">
        <f t="shared" si="49"/>
        <v/>
      </c>
      <c r="AH129" s="48">
        <v>17</v>
      </c>
      <c r="AI129" s="62" t="str">
        <f t="shared" si="50"/>
        <v/>
      </c>
      <c r="AJ129" s="31">
        <f>IF(AND(OR(COUNTIF(D129:AI129,"=31")&gt;=1,COUNTIF(D129:AI129,"=32")&gt;=1,COUNTIF(D129:AI129,"=33")&gt;=1,COUNTIF(D129:AI129,"=34")&gt;=1,COUNTIF(D129:AI129,"=35")=1,COUNTIF(D129:AI129,"=36")&gt;=1 ),COUNTIF(D129:AI129,"")=0,COUNTIF(D129:AI129," ")=0,COUNTIF(D129:AI129,"F")=1),CONCATENATE(SUM(EXTRACTNUMBER(D129),EXTRACTNUMBER(F129),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EXTRACTNUMBER(AD129),EXTRACTNUMBER(AF129),EXTRACTNUMBER(AH129)),"*"),IF(AND(COUNTIF(D129:AI129,"=34")&gt;=1,COUNTIF(D129:AI129,"=35")&gt;=1,COUNTIF(D129:AI129,"f")=2,COUNTIF(D129:AI129,"")=0,COUNTIF(D129:AI129," ")=0),CONCATENATE(SUM(EXTRACTNUMBER(D129),EXTRACTNUMBER(F129),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EXTRACTNUMBER(AD129),EXTRACTNUMBER(AF129),EXTRACTNUMBER(AH129)),"*"),IF(AND(COUNTIF(D129:AI129,"=36")&gt;=2,COUNTIF(D129:AI129,"f")=2,COUNTIF(D129:AI129,"")=0,COUNTIF(D129:AI129," ")=0),CONCATENATE(SUM(EXTRACTNUMBER(D129),EXTRACTNUMBER(F129),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EXTRACTNUMBER(AD129),EXTRACTNUMBER(AF129),EXTRACTNUMBER(AH129)),"*"),SUM(EXTRACTNUMBER(D129),EXTRACTNUMBER(F129),
EXTRACTNUMBER(H129),EXTRACTNUMBER(J129),
EXTRACTNUMBER(L129),EXTRACTNUMBER(N129),
EXTRACTNUMBER(P129),EXTRACTNUMBER(R129),
EXTRACTNUMBER(T129),EXTRACTNUMBER(V129),
EXTRACTNUMBER(X129),EXTRACTNUMBER(Z129),EXTRACTNUMBER(AB129),
EXTRACTNUMBER(AD129),EXTRACTNUMBER(AF129),EXTRACTNUMBER(AH129)))))</f>
        <v>492</v>
      </c>
      <c r="AK129" s="32" t="str">
        <f t="shared" si="34"/>
        <v>PASS</v>
      </c>
      <c r="AL129" s="33" t="str">
        <f>SPELLNUMBER(extractnumber_tot(AJ129))</f>
        <v xml:space="preserve">Four Hundred NinetyTwo </v>
      </c>
    </row>
    <row r="130" spans="2:38" s="30" customFormat="1" ht="15.95" customHeight="1">
      <c r="B130" s="37">
        <v>225307</v>
      </c>
      <c r="C130" s="38" t="s">
        <v>323</v>
      </c>
      <c r="D130" s="45">
        <v>55</v>
      </c>
      <c r="E130" s="61" t="str">
        <f t="shared" si="35"/>
        <v/>
      </c>
      <c r="F130" s="48">
        <v>21</v>
      </c>
      <c r="G130" s="62" t="str">
        <f t="shared" si="36"/>
        <v/>
      </c>
      <c r="H130" s="48">
        <v>44</v>
      </c>
      <c r="I130" s="62" t="str">
        <f t="shared" si="37"/>
        <v/>
      </c>
      <c r="J130" s="50">
        <v>40</v>
      </c>
      <c r="K130" s="62" t="str">
        <f t="shared" si="38"/>
        <v/>
      </c>
      <c r="L130" s="48">
        <v>21</v>
      </c>
      <c r="M130" s="62" t="str">
        <f t="shared" si="39"/>
        <v/>
      </c>
      <c r="N130" s="48">
        <v>38</v>
      </c>
      <c r="O130" s="62" t="str">
        <f t="shared" si="40"/>
        <v/>
      </c>
      <c r="P130" s="51">
        <v>41</v>
      </c>
      <c r="Q130" s="62" t="str">
        <f t="shared" si="41"/>
        <v/>
      </c>
      <c r="R130" s="48">
        <v>21</v>
      </c>
      <c r="S130" s="62" t="str">
        <f t="shared" si="42"/>
        <v/>
      </c>
      <c r="T130" s="48">
        <v>23</v>
      </c>
      <c r="U130" s="62" t="str">
        <f t="shared" si="43"/>
        <v/>
      </c>
      <c r="V130" s="51">
        <v>55</v>
      </c>
      <c r="W130" s="62" t="str">
        <f t="shared" si="44"/>
        <v/>
      </c>
      <c r="X130" s="48">
        <v>18</v>
      </c>
      <c r="Y130" s="62" t="str">
        <f t="shared" si="45"/>
        <v/>
      </c>
      <c r="Z130" s="51">
        <v>56</v>
      </c>
      <c r="AA130" s="62" t="str">
        <f t="shared" si="46"/>
        <v/>
      </c>
      <c r="AB130" s="48">
        <v>21</v>
      </c>
      <c r="AC130" s="62" t="str">
        <f t="shared" si="47"/>
        <v/>
      </c>
      <c r="AD130" s="48">
        <v>19</v>
      </c>
      <c r="AE130" s="62" t="str">
        <f t="shared" si="48"/>
        <v/>
      </c>
      <c r="AF130" s="51">
        <v>26</v>
      </c>
      <c r="AG130" s="62" t="str">
        <f t="shared" si="49"/>
        <v/>
      </c>
      <c r="AH130" s="48">
        <v>20</v>
      </c>
      <c r="AI130" s="62" t="str">
        <f t="shared" si="50"/>
        <v/>
      </c>
      <c r="AJ130" s="31">
        <f>IF(AND(OR(COUNTIF(D130:AI130,"=31")&gt;=1,COUNTIF(D130:AI130,"=32")&gt;=1,COUNTIF(D130:AI130,"=33")&gt;=1,COUNTIF(D130:AI130,"=34")&gt;=1,COUNTIF(D130:AI130,"=35")=1,COUNTIF(D130:AI130,"=36")&gt;=1 ),COUNTIF(D130:AI130,"")=0,COUNTIF(D130:AI130," ")=0,COUNTIF(D130:AI130,"F")=1),CONCATENATE(SUM(EXTRACTNUMBER(D130),EXTRACTNUMBER(F130),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EXTRACTNUMBER(AD130),EXTRACTNUMBER(AF130),EXTRACTNUMBER(AH130)),"*"),IF(AND(COUNTIF(D130:AI130,"=34")&gt;=1,COUNTIF(D130:AI130,"=35")&gt;=1,COUNTIF(D130:AI130,"f")=2,COUNTIF(D130:AI130,"")=0,COUNTIF(D130:AI130," ")=0),CONCATENATE(SUM(EXTRACTNUMBER(D130),EXTRACTNUMBER(F130),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EXTRACTNUMBER(AD130),EXTRACTNUMBER(AF130),EXTRACTNUMBER(AH130)),"*"),IF(AND(COUNTIF(D130:AI130,"=36")&gt;=2,COUNTIF(D130:AI130,"f")=2,COUNTIF(D130:AI130,"")=0,COUNTIF(D130:AI130," ")=0),CONCATENATE(SUM(EXTRACTNUMBER(D130),EXTRACTNUMBER(F130),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EXTRACTNUMBER(AD130),EXTRACTNUMBER(AF130),EXTRACTNUMBER(AH130)),"*"),SUM(EXTRACTNUMBER(D130),EXTRACTNUMBER(F130),
EXTRACTNUMBER(H130),EXTRACTNUMBER(J130),
EXTRACTNUMBER(L130),EXTRACTNUMBER(N130),
EXTRACTNUMBER(P130),EXTRACTNUMBER(R130),
EXTRACTNUMBER(T130),EXTRACTNUMBER(V130),
EXTRACTNUMBER(X130),EXTRACTNUMBER(Z130),EXTRACTNUMBER(AB130),
EXTRACTNUMBER(AD130),EXTRACTNUMBER(AF130),EXTRACTNUMBER(AH130)))))</f>
        <v>519</v>
      </c>
      <c r="AK130" s="32" t="str">
        <f t="shared" si="34"/>
        <v>PASS</v>
      </c>
      <c r="AL130" s="33" t="str">
        <f>SPELLNUMBER(extractnumber_tot(AJ130))</f>
        <v xml:space="preserve">Five Hundred Nineteen </v>
      </c>
    </row>
    <row r="131" spans="2:38" s="30" customFormat="1" ht="15.95" customHeight="1">
      <c r="B131" s="37">
        <v>225308</v>
      </c>
      <c r="C131" s="38" t="s">
        <v>324</v>
      </c>
      <c r="D131" s="45">
        <v>63</v>
      </c>
      <c r="E131" s="61" t="str">
        <f t="shared" si="35"/>
        <v/>
      </c>
      <c r="F131" s="48">
        <v>20</v>
      </c>
      <c r="G131" s="62" t="str">
        <f t="shared" si="36"/>
        <v/>
      </c>
      <c r="H131" s="48">
        <v>44</v>
      </c>
      <c r="I131" s="62" t="str">
        <f t="shared" si="37"/>
        <v/>
      </c>
      <c r="J131" s="50">
        <v>40</v>
      </c>
      <c r="K131" s="62" t="str">
        <f t="shared" si="38"/>
        <v/>
      </c>
      <c r="L131" s="48">
        <v>19</v>
      </c>
      <c r="M131" s="62" t="str">
        <f t="shared" si="39"/>
        <v/>
      </c>
      <c r="N131" s="48">
        <v>38</v>
      </c>
      <c r="O131" s="62" t="str">
        <f t="shared" si="40"/>
        <v/>
      </c>
      <c r="P131" s="51">
        <v>44</v>
      </c>
      <c r="Q131" s="62" t="str">
        <f t="shared" si="41"/>
        <v/>
      </c>
      <c r="R131" s="48">
        <v>20</v>
      </c>
      <c r="S131" s="62" t="str">
        <f t="shared" si="42"/>
        <v/>
      </c>
      <c r="T131" s="48">
        <v>23</v>
      </c>
      <c r="U131" s="62" t="str">
        <f t="shared" si="43"/>
        <v/>
      </c>
      <c r="V131" s="51">
        <v>63</v>
      </c>
      <c r="W131" s="62" t="str">
        <f t="shared" si="44"/>
        <v/>
      </c>
      <c r="X131" s="48">
        <v>20</v>
      </c>
      <c r="Y131" s="62" t="str">
        <f t="shared" si="45"/>
        <v/>
      </c>
      <c r="Z131" s="51">
        <v>48</v>
      </c>
      <c r="AA131" s="62" t="str">
        <f t="shared" si="46"/>
        <v/>
      </c>
      <c r="AB131" s="48">
        <v>17</v>
      </c>
      <c r="AC131" s="62" t="str">
        <f t="shared" si="47"/>
        <v/>
      </c>
      <c r="AD131" s="48">
        <v>18</v>
      </c>
      <c r="AE131" s="62" t="str">
        <f t="shared" si="48"/>
        <v/>
      </c>
      <c r="AF131" s="51">
        <v>21</v>
      </c>
      <c r="AG131" s="62" t="str">
        <f t="shared" si="49"/>
        <v/>
      </c>
      <c r="AH131" s="48">
        <v>20</v>
      </c>
      <c r="AI131" s="62" t="str">
        <f t="shared" si="50"/>
        <v/>
      </c>
      <c r="AJ131" s="31">
        <f>IF(AND(OR(COUNTIF(D131:AI131,"=31")&gt;=1,COUNTIF(D131:AI131,"=32")&gt;=1,COUNTIF(D131:AI131,"=33")&gt;=1,COUNTIF(D131:AI131,"=34")&gt;=1,COUNTIF(D131:AI131,"=35")=1,COUNTIF(D131:AI131,"=36")&gt;=1 ),COUNTIF(D131:AI131,"")=0,COUNTIF(D131:AI131," ")=0,COUNTIF(D131:AI131,"F")=1),CONCATENATE(SUM(EXTRACTNUMBER(D131),EXTRACTNUMBER(F131),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EXTRACTNUMBER(AD131),EXTRACTNUMBER(AF131),EXTRACTNUMBER(AH131)),"*"),IF(AND(COUNTIF(D131:AI131,"=34")&gt;=1,COUNTIF(D131:AI131,"=35")&gt;=1,COUNTIF(D131:AI131,"f")=2,COUNTIF(D131:AI131,"")=0,COUNTIF(D131:AI131," ")=0),CONCATENATE(SUM(EXTRACTNUMBER(D131),EXTRACTNUMBER(F131),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EXTRACTNUMBER(AD131),EXTRACTNUMBER(AF131),EXTRACTNUMBER(AH131)),"*"),IF(AND(COUNTIF(D131:AI131,"=36")&gt;=2,COUNTIF(D131:AI131,"f")=2,COUNTIF(D131:AI131,"")=0,COUNTIF(D131:AI131," ")=0),CONCATENATE(SUM(EXTRACTNUMBER(D131),EXTRACTNUMBER(F131),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EXTRACTNUMBER(AD131),EXTRACTNUMBER(AF131),EXTRACTNUMBER(AH131)),"*"),SUM(EXTRACTNUMBER(D131),EXTRACTNUMBER(F131),
EXTRACTNUMBER(H131),EXTRACTNUMBER(J131),
EXTRACTNUMBER(L131),EXTRACTNUMBER(N131),
EXTRACTNUMBER(P131),EXTRACTNUMBER(R131),
EXTRACTNUMBER(T131),EXTRACTNUMBER(V131),
EXTRACTNUMBER(X131),EXTRACTNUMBER(Z131),EXTRACTNUMBER(AB131),
EXTRACTNUMBER(AD131),EXTRACTNUMBER(AF131),EXTRACTNUMBER(AH131)))))</f>
        <v>518</v>
      </c>
      <c r="AK131" s="32" t="str">
        <f t="shared" si="34"/>
        <v>PASS</v>
      </c>
      <c r="AL131" s="33" t="str">
        <f>SPELLNUMBER(extractnumber_tot(AJ131))</f>
        <v xml:space="preserve">Five Hundred Eighteen </v>
      </c>
    </row>
    <row r="132" spans="2:38" s="30" customFormat="1" ht="15.95" customHeight="1">
      <c r="B132" s="37">
        <v>225309</v>
      </c>
      <c r="C132" s="38" t="s">
        <v>325</v>
      </c>
      <c r="D132" s="45">
        <v>52</v>
      </c>
      <c r="E132" s="61" t="str">
        <f t="shared" si="35"/>
        <v>E</v>
      </c>
      <c r="F132" s="48">
        <v>20</v>
      </c>
      <c r="G132" s="62" t="str">
        <f t="shared" si="36"/>
        <v>E</v>
      </c>
      <c r="H132" s="48">
        <v>41</v>
      </c>
      <c r="I132" s="62" t="str">
        <f t="shared" si="37"/>
        <v>E</v>
      </c>
      <c r="J132" s="50">
        <v>10</v>
      </c>
      <c r="K132" s="62" t="str">
        <f t="shared" si="38"/>
        <v>F</v>
      </c>
      <c r="L132" s="48">
        <v>18</v>
      </c>
      <c r="M132" s="62" t="str">
        <f t="shared" si="39"/>
        <v>E</v>
      </c>
      <c r="N132" s="48">
        <v>38</v>
      </c>
      <c r="O132" s="62" t="str">
        <f t="shared" si="40"/>
        <v>E</v>
      </c>
      <c r="P132" s="51">
        <v>46</v>
      </c>
      <c r="Q132" s="62" t="str">
        <f t="shared" si="41"/>
        <v>E</v>
      </c>
      <c r="R132" s="48">
        <v>20</v>
      </c>
      <c r="S132" s="62" t="str">
        <f t="shared" si="42"/>
        <v>E</v>
      </c>
      <c r="T132" s="48">
        <v>21</v>
      </c>
      <c r="U132" s="62" t="str">
        <f t="shared" si="43"/>
        <v>E</v>
      </c>
      <c r="V132" s="51">
        <v>48</v>
      </c>
      <c r="W132" s="62" t="str">
        <f t="shared" si="44"/>
        <v>E</v>
      </c>
      <c r="X132" s="48">
        <v>20</v>
      </c>
      <c r="Y132" s="62" t="str">
        <f t="shared" si="45"/>
        <v>E</v>
      </c>
      <c r="Z132" s="51">
        <v>40</v>
      </c>
      <c r="AA132" s="62" t="str">
        <f t="shared" si="46"/>
        <v>E</v>
      </c>
      <c r="AB132" s="48">
        <v>19</v>
      </c>
      <c r="AC132" s="62" t="str">
        <f t="shared" si="47"/>
        <v>E</v>
      </c>
      <c r="AD132" s="48">
        <v>19</v>
      </c>
      <c r="AE132" s="62" t="str">
        <f t="shared" si="48"/>
        <v>E</v>
      </c>
      <c r="AF132" s="51">
        <v>28</v>
      </c>
      <c r="AG132" s="62" t="str">
        <f t="shared" si="49"/>
        <v>E</v>
      </c>
      <c r="AH132" s="48">
        <v>22</v>
      </c>
      <c r="AI132" s="62" t="str">
        <f t="shared" si="50"/>
        <v>E</v>
      </c>
      <c r="AJ132" s="31">
        <f>IF(AND(OR(COUNTIF(D132:AI132,"=31")&gt;=1,COUNTIF(D132:AI132,"=32")&gt;=1,COUNTIF(D132:AI132,"=33")&gt;=1,COUNTIF(D132:AI132,"=34")&gt;=1,COUNTIF(D132:AI132,"=35")=1,COUNTIF(D132:AI132,"=36")&gt;=1 ),COUNTIF(D132:AI132,"")=0,COUNTIF(D132:AI132," ")=0,COUNTIF(D132:AI132,"F")=1),CONCATENATE(SUM(EXTRACTNUMBER(D132),EXTRACTNUMBER(F132),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EXTRACTNUMBER(AD132),EXTRACTNUMBER(AF132),EXTRACTNUMBER(AH132)),"*"),IF(AND(COUNTIF(D132:AI132,"=34")&gt;=1,COUNTIF(D132:AI132,"=35")&gt;=1,COUNTIF(D132:AI132,"f")=2,COUNTIF(D132:AI132,"")=0,COUNTIF(D132:AI132," ")=0),CONCATENATE(SUM(EXTRACTNUMBER(D132),EXTRACTNUMBER(F132),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EXTRACTNUMBER(AD132),EXTRACTNUMBER(AF132),EXTRACTNUMBER(AH132)),"*"),IF(AND(COUNTIF(D132:AI132,"=36")&gt;=2,COUNTIF(D132:AI132,"f")=2,COUNTIF(D132:AI132,"")=0,COUNTIF(D132:AI132," ")=0),CONCATENATE(SUM(EXTRACTNUMBER(D132),EXTRACTNUMBER(F132),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EXTRACTNUMBER(AD132),EXTRACTNUMBER(AF132),EXTRACTNUMBER(AH132)),"*"),SUM(EXTRACTNUMBER(D132),EXTRACTNUMBER(F132),
EXTRACTNUMBER(H132),EXTRACTNUMBER(J132),
EXTRACTNUMBER(L132),EXTRACTNUMBER(N132),
EXTRACTNUMBER(P132),EXTRACTNUMBER(R132),
EXTRACTNUMBER(T132),EXTRACTNUMBER(V132),
EXTRACTNUMBER(X132),EXTRACTNUMBER(Z132),EXTRACTNUMBER(AB132),
EXTRACTNUMBER(AD132),EXTRACTNUMBER(AF132),EXTRACTNUMBER(AH132)))))</f>
        <v>462</v>
      </c>
      <c r="AK132" s="32" t="str">
        <f t="shared" si="34"/>
        <v>FAIL</v>
      </c>
      <c r="AL132" s="33" t="str">
        <f>SPELLNUMBER(extractnumber_tot(AJ132))</f>
        <v xml:space="preserve">Four Hundred Sixty Two </v>
      </c>
    </row>
    <row r="133" spans="2:38" s="30" customFormat="1" ht="15.95" customHeight="1">
      <c r="B133" s="37">
        <v>225310</v>
      </c>
      <c r="C133" s="38" t="s">
        <v>326</v>
      </c>
      <c r="D133" s="45">
        <v>62</v>
      </c>
      <c r="E133" s="61" t="str">
        <f t="shared" si="35"/>
        <v/>
      </c>
      <c r="F133" s="48">
        <v>20</v>
      </c>
      <c r="G133" s="62" t="str">
        <f t="shared" si="36"/>
        <v/>
      </c>
      <c r="H133" s="48">
        <v>44</v>
      </c>
      <c r="I133" s="62" t="str">
        <f t="shared" si="37"/>
        <v/>
      </c>
      <c r="J133" s="50">
        <v>58</v>
      </c>
      <c r="K133" s="62" t="str">
        <f t="shared" si="38"/>
        <v/>
      </c>
      <c r="L133" s="48">
        <v>21</v>
      </c>
      <c r="M133" s="62" t="str">
        <f t="shared" si="39"/>
        <v/>
      </c>
      <c r="N133" s="48">
        <v>42</v>
      </c>
      <c r="O133" s="62" t="str">
        <f t="shared" si="40"/>
        <v/>
      </c>
      <c r="P133" s="51">
        <v>67</v>
      </c>
      <c r="Q133" s="62" t="str">
        <f t="shared" si="41"/>
        <v/>
      </c>
      <c r="R133" s="48">
        <v>20</v>
      </c>
      <c r="S133" s="62" t="str">
        <f t="shared" si="42"/>
        <v/>
      </c>
      <c r="T133" s="48">
        <v>23</v>
      </c>
      <c r="U133" s="62" t="str">
        <f t="shared" si="43"/>
        <v/>
      </c>
      <c r="V133" s="51">
        <v>68</v>
      </c>
      <c r="W133" s="62" t="str">
        <f t="shared" si="44"/>
        <v/>
      </c>
      <c r="X133" s="48">
        <v>22</v>
      </c>
      <c r="Y133" s="62" t="str">
        <f t="shared" si="45"/>
        <v/>
      </c>
      <c r="Z133" s="51">
        <v>69</v>
      </c>
      <c r="AA133" s="62" t="str">
        <f t="shared" si="46"/>
        <v/>
      </c>
      <c r="AB133" s="48">
        <v>21</v>
      </c>
      <c r="AC133" s="62" t="str">
        <f t="shared" si="47"/>
        <v/>
      </c>
      <c r="AD133" s="48">
        <v>17</v>
      </c>
      <c r="AE133" s="62" t="str">
        <f t="shared" si="48"/>
        <v/>
      </c>
      <c r="AF133" s="51">
        <v>29</v>
      </c>
      <c r="AG133" s="62" t="str">
        <f t="shared" si="49"/>
        <v/>
      </c>
      <c r="AH133" s="48">
        <v>20</v>
      </c>
      <c r="AI133" s="62" t="str">
        <f t="shared" si="50"/>
        <v/>
      </c>
      <c r="AJ133" s="31">
        <f>IF(AND(OR(COUNTIF(D133:AI133,"=31")&gt;=1,COUNTIF(D133:AI133,"=32")&gt;=1,COUNTIF(D133:AI133,"=33")&gt;=1,COUNTIF(D133:AI133,"=34")&gt;=1,COUNTIF(D133:AI133,"=35")=1,COUNTIF(D133:AI133,"=36")&gt;=1 ),COUNTIF(D133:AI133,"")=0,COUNTIF(D133:AI133," ")=0,COUNTIF(D133:AI133,"F")=1),CONCATENATE(SUM(EXTRACTNUMBER(D133),EXTRACTNUMBER(F133),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EXTRACTNUMBER(AD133),EXTRACTNUMBER(AF133),EXTRACTNUMBER(AH133)),"*"),IF(AND(COUNTIF(D133:AI133,"=34")&gt;=1,COUNTIF(D133:AI133,"=35")&gt;=1,COUNTIF(D133:AI133,"f")=2,COUNTIF(D133:AI133,"")=0,COUNTIF(D133:AI133," ")=0),CONCATENATE(SUM(EXTRACTNUMBER(D133),EXTRACTNUMBER(F133),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EXTRACTNUMBER(AD133),EXTRACTNUMBER(AF133),EXTRACTNUMBER(AH133)),"*"),IF(AND(COUNTIF(D133:AI133,"=36")&gt;=2,COUNTIF(D133:AI133,"f")=2,COUNTIF(D133:AI133,"")=0,COUNTIF(D133:AI133," ")=0),CONCATENATE(SUM(EXTRACTNUMBER(D133),EXTRACTNUMBER(F133),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EXTRACTNUMBER(AD133),EXTRACTNUMBER(AF133),EXTRACTNUMBER(AH133)),"*"),SUM(EXTRACTNUMBER(D133),EXTRACTNUMBER(F133),
EXTRACTNUMBER(H133),EXTRACTNUMBER(J133),
EXTRACTNUMBER(L133),EXTRACTNUMBER(N133),
EXTRACTNUMBER(P133),EXTRACTNUMBER(R133),
EXTRACTNUMBER(T133),EXTRACTNUMBER(V133),
EXTRACTNUMBER(X133),EXTRACTNUMBER(Z133),EXTRACTNUMBER(AB133),
EXTRACTNUMBER(AD133),EXTRACTNUMBER(AF133),EXTRACTNUMBER(AH133)))))</f>
        <v>603</v>
      </c>
      <c r="AK133" s="32" t="str">
        <f t="shared" si="34"/>
        <v>PASS</v>
      </c>
      <c r="AL133" s="33" t="str">
        <f>SPELLNUMBER(extractnumber_tot(AJ133))</f>
        <v xml:space="preserve">Six Hundred Three </v>
      </c>
    </row>
    <row r="134" spans="2:38" s="30" customFormat="1" ht="15.95" customHeight="1">
      <c r="B134" s="37">
        <v>225311</v>
      </c>
      <c r="C134" s="38" t="s">
        <v>327</v>
      </c>
      <c r="D134" s="45">
        <v>65</v>
      </c>
      <c r="E134" s="61" t="str">
        <f t="shared" si="35"/>
        <v/>
      </c>
      <c r="F134" s="48">
        <v>21</v>
      </c>
      <c r="G134" s="62" t="str">
        <f t="shared" si="36"/>
        <v/>
      </c>
      <c r="H134" s="48">
        <v>44</v>
      </c>
      <c r="I134" s="62" t="str">
        <f t="shared" si="37"/>
        <v/>
      </c>
      <c r="J134" s="50">
        <v>63</v>
      </c>
      <c r="K134" s="62" t="str">
        <f t="shared" si="38"/>
        <v/>
      </c>
      <c r="L134" s="48">
        <v>21</v>
      </c>
      <c r="M134" s="62" t="str">
        <f t="shared" si="39"/>
        <v/>
      </c>
      <c r="N134" s="48">
        <v>42</v>
      </c>
      <c r="O134" s="62" t="str">
        <f t="shared" si="40"/>
        <v/>
      </c>
      <c r="P134" s="51">
        <v>69</v>
      </c>
      <c r="Q134" s="62" t="str">
        <f t="shared" si="41"/>
        <v/>
      </c>
      <c r="R134" s="48">
        <v>21</v>
      </c>
      <c r="S134" s="62" t="str">
        <f t="shared" si="42"/>
        <v/>
      </c>
      <c r="T134" s="48">
        <v>23</v>
      </c>
      <c r="U134" s="62" t="str">
        <f t="shared" si="43"/>
        <v/>
      </c>
      <c r="V134" s="51">
        <v>66</v>
      </c>
      <c r="W134" s="62" t="str">
        <f t="shared" si="44"/>
        <v/>
      </c>
      <c r="X134" s="48">
        <v>21</v>
      </c>
      <c r="Y134" s="62" t="str">
        <f t="shared" si="45"/>
        <v/>
      </c>
      <c r="Z134" s="51">
        <v>64</v>
      </c>
      <c r="AA134" s="62" t="str">
        <f t="shared" si="46"/>
        <v/>
      </c>
      <c r="AB134" s="48">
        <v>22</v>
      </c>
      <c r="AC134" s="62" t="str">
        <f t="shared" si="47"/>
        <v/>
      </c>
      <c r="AD134" s="48">
        <v>22</v>
      </c>
      <c r="AE134" s="62" t="str">
        <f t="shared" si="48"/>
        <v/>
      </c>
      <c r="AF134" s="51">
        <v>39</v>
      </c>
      <c r="AG134" s="62" t="str">
        <f t="shared" si="49"/>
        <v/>
      </c>
      <c r="AH134" s="48">
        <v>23</v>
      </c>
      <c r="AI134" s="62" t="str">
        <f t="shared" si="50"/>
        <v/>
      </c>
      <c r="AJ134" s="31">
        <f>IF(AND(OR(COUNTIF(D134:AI134,"=31")&gt;=1,COUNTIF(D134:AI134,"=32")&gt;=1,COUNTIF(D134:AI134,"=33")&gt;=1,COUNTIF(D134:AI134,"=34")&gt;=1,COUNTIF(D134:AI134,"=35")=1,COUNTIF(D134:AI134,"=36")&gt;=1 ),COUNTIF(D134:AI134,"")=0,COUNTIF(D134:AI134," ")=0,COUNTIF(D134:AI134,"F")=1),CONCATENATE(SUM(EXTRACTNUMBER(D134),EXTRACTNUMBER(F134),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EXTRACTNUMBER(AD134),EXTRACTNUMBER(AF134),EXTRACTNUMBER(AH134)),"*"),IF(AND(COUNTIF(D134:AI134,"=34")&gt;=1,COUNTIF(D134:AI134,"=35")&gt;=1,COUNTIF(D134:AI134,"f")=2,COUNTIF(D134:AI134,"")=0,COUNTIF(D134:AI134," ")=0),CONCATENATE(SUM(EXTRACTNUMBER(D134),EXTRACTNUMBER(F134),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EXTRACTNUMBER(AD134),EXTRACTNUMBER(AF134),EXTRACTNUMBER(AH134)),"*"),IF(AND(COUNTIF(D134:AI134,"=36")&gt;=2,COUNTIF(D134:AI134,"f")=2,COUNTIF(D134:AI134,"")=0,COUNTIF(D134:AI134," ")=0),CONCATENATE(SUM(EXTRACTNUMBER(D134),EXTRACTNUMBER(F134),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EXTRACTNUMBER(AD134),EXTRACTNUMBER(AF134),EXTRACTNUMBER(AH134)),"*"),SUM(EXTRACTNUMBER(D134),EXTRACTNUMBER(F134),
EXTRACTNUMBER(H134),EXTRACTNUMBER(J134),
EXTRACTNUMBER(L134),EXTRACTNUMBER(N134),
EXTRACTNUMBER(P134),EXTRACTNUMBER(R134),
EXTRACTNUMBER(T134),EXTRACTNUMBER(V134),
EXTRACTNUMBER(X134),EXTRACTNUMBER(Z134),EXTRACTNUMBER(AB134),
EXTRACTNUMBER(AD134),EXTRACTNUMBER(AF134),EXTRACTNUMBER(AH134)))))</f>
        <v>626</v>
      </c>
      <c r="AK134" s="32" t="str">
        <f t="shared" si="34"/>
        <v>PASS</v>
      </c>
      <c r="AL134" s="33" t="str">
        <f>SPELLNUMBER(extractnumber_tot(AJ134))</f>
        <v xml:space="preserve">Six Hundred Twenty Six </v>
      </c>
    </row>
    <row r="135" spans="2:38" s="30" customFormat="1" ht="15.95" customHeight="1">
      <c r="B135" s="37">
        <v>225312</v>
      </c>
      <c r="C135" s="38" t="s">
        <v>328</v>
      </c>
      <c r="D135" s="45">
        <v>58</v>
      </c>
      <c r="E135" s="61" t="str">
        <f t="shared" si="35"/>
        <v/>
      </c>
      <c r="F135" s="48">
        <v>23</v>
      </c>
      <c r="G135" s="62" t="str">
        <f t="shared" si="36"/>
        <v/>
      </c>
      <c r="H135" s="48">
        <v>43</v>
      </c>
      <c r="I135" s="62" t="str">
        <f t="shared" si="37"/>
        <v/>
      </c>
      <c r="J135" s="50">
        <v>45</v>
      </c>
      <c r="K135" s="62" t="str">
        <f t="shared" si="38"/>
        <v/>
      </c>
      <c r="L135" s="48">
        <v>23</v>
      </c>
      <c r="M135" s="62" t="str">
        <f t="shared" si="39"/>
        <v/>
      </c>
      <c r="N135" s="48">
        <v>42</v>
      </c>
      <c r="O135" s="62" t="str">
        <f t="shared" si="40"/>
        <v/>
      </c>
      <c r="P135" s="51">
        <v>67</v>
      </c>
      <c r="Q135" s="62" t="str">
        <f t="shared" si="41"/>
        <v/>
      </c>
      <c r="R135" s="48">
        <v>23</v>
      </c>
      <c r="S135" s="62" t="str">
        <f t="shared" si="42"/>
        <v/>
      </c>
      <c r="T135" s="48">
        <v>23</v>
      </c>
      <c r="U135" s="62" t="str">
        <f t="shared" si="43"/>
        <v/>
      </c>
      <c r="V135" s="51">
        <v>64</v>
      </c>
      <c r="W135" s="62" t="str">
        <f t="shared" si="44"/>
        <v/>
      </c>
      <c r="X135" s="48">
        <v>23</v>
      </c>
      <c r="Y135" s="62" t="str">
        <f t="shared" si="45"/>
        <v/>
      </c>
      <c r="Z135" s="51">
        <v>51</v>
      </c>
      <c r="AA135" s="62" t="str">
        <f t="shared" si="46"/>
        <v/>
      </c>
      <c r="AB135" s="48">
        <v>23</v>
      </c>
      <c r="AC135" s="62" t="str">
        <f t="shared" si="47"/>
        <v/>
      </c>
      <c r="AD135" s="48">
        <v>20</v>
      </c>
      <c r="AE135" s="62" t="str">
        <f t="shared" si="48"/>
        <v/>
      </c>
      <c r="AF135" s="51">
        <v>30</v>
      </c>
      <c r="AG135" s="62" t="str">
        <f t="shared" si="49"/>
        <v/>
      </c>
      <c r="AH135" s="48">
        <v>23</v>
      </c>
      <c r="AI135" s="62" t="str">
        <f t="shared" si="50"/>
        <v/>
      </c>
      <c r="AJ135" s="31">
        <f>IF(AND(OR(COUNTIF(D135:AI135,"=31")&gt;=1,COUNTIF(D135:AI135,"=32")&gt;=1,COUNTIF(D135:AI135,"=33")&gt;=1,COUNTIF(D135:AI135,"=34")&gt;=1,COUNTIF(D135:AI135,"=35")=1,COUNTIF(D135:AI135,"=36")&gt;=1 ),COUNTIF(D135:AI135,"")=0,COUNTIF(D135:AI135," ")=0,COUNTIF(D135:AI135,"F")=1),CONCATENATE(SUM(EXTRACTNUMBER(D135),EXTRACTNUMBER(F135),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EXTRACTNUMBER(AD135),EXTRACTNUMBER(AF135),EXTRACTNUMBER(AH135)),"*"),IF(AND(COUNTIF(D135:AI135,"=34")&gt;=1,COUNTIF(D135:AI135,"=35")&gt;=1,COUNTIF(D135:AI135,"f")=2,COUNTIF(D135:AI135,"")=0,COUNTIF(D135:AI135," ")=0),CONCATENATE(SUM(EXTRACTNUMBER(D135),EXTRACTNUMBER(F135),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EXTRACTNUMBER(AD135),EXTRACTNUMBER(AF135),EXTRACTNUMBER(AH135)),"*"),IF(AND(COUNTIF(D135:AI135,"=36")&gt;=2,COUNTIF(D135:AI135,"f")=2,COUNTIF(D135:AI135,"")=0,COUNTIF(D135:AI135," ")=0),CONCATENATE(SUM(EXTRACTNUMBER(D135),EXTRACTNUMBER(F135),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EXTRACTNUMBER(AD135),EXTRACTNUMBER(AF135),EXTRACTNUMBER(AH135)),"*"),SUM(EXTRACTNUMBER(D135),EXTRACTNUMBER(F135),
EXTRACTNUMBER(H135),EXTRACTNUMBER(J135),
EXTRACTNUMBER(L135),EXTRACTNUMBER(N135),
EXTRACTNUMBER(P135),EXTRACTNUMBER(R135),
EXTRACTNUMBER(T135),EXTRACTNUMBER(V135),
EXTRACTNUMBER(X135),EXTRACTNUMBER(Z135),EXTRACTNUMBER(AB135),
EXTRACTNUMBER(AD135),EXTRACTNUMBER(AF135),EXTRACTNUMBER(AH135)))))</f>
        <v>581</v>
      </c>
      <c r="AK135" s="32" t="str">
        <f t="shared" si="34"/>
        <v>PASS</v>
      </c>
      <c r="AL135" s="33" t="str">
        <f>SPELLNUMBER(extractnumber_tot(AJ135))</f>
        <v xml:space="preserve">Five Hundred Eighty One </v>
      </c>
    </row>
    <row r="136" spans="2:38" s="30" customFormat="1" ht="15.95" customHeight="1">
      <c r="B136" s="37">
        <v>225313</v>
      </c>
      <c r="C136" s="38" t="s">
        <v>329</v>
      </c>
      <c r="D136" s="45">
        <v>54</v>
      </c>
      <c r="E136" s="61" t="str">
        <f t="shared" si="35"/>
        <v/>
      </c>
      <c r="F136" s="48">
        <v>21</v>
      </c>
      <c r="G136" s="62" t="str">
        <f t="shared" si="36"/>
        <v/>
      </c>
      <c r="H136" s="48">
        <v>44</v>
      </c>
      <c r="I136" s="62" t="str">
        <f t="shared" si="37"/>
        <v/>
      </c>
      <c r="J136" s="50">
        <v>40</v>
      </c>
      <c r="K136" s="62" t="str">
        <f t="shared" si="38"/>
        <v/>
      </c>
      <c r="L136" s="48">
        <v>20</v>
      </c>
      <c r="M136" s="62" t="str">
        <f t="shared" si="39"/>
        <v/>
      </c>
      <c r="N136" s="48">
        <v>42</v>
      </c>
      <c r="O136" s="62" t="str">
        <f t="shared" si="40"/>
        <v/>
      </c>
      <c r="P136" s="51">
        <v>48</v>
      </c>
      <c r="Q136" s="62" t="str">
        <f t="shared" si="41"/>
        <v/>
      </c>
      <c r="R136" s="48">
        <v>21</v>
      </c>
      <c r="S136" s="62" t="str">
        <f t="shared" si="42"/>
        <v/>
      </c>
      <c r="T136" s="48">
        <v>22</v>
      </c>
      <c r="U136" s="62" t="str">
        <f t="shared" si="43"/>
        <v/>
      </c>
      <c r="V136" s="51">
        <v>53</v>
      </c>
      <c r="W136" s="62" t="str">
        <f t="shared" si="44"/>
        <v/>
      </c>
      <c r="X136" s="48">
        <v>20</v>
      </c>
      <c r="Y136" s="62" t="str">
        <f t="shared" si="45"/>
        <v/>
      </c>
      <c r="Z136" s="51">
        <v>52</v>
      </c>
      <c r="AA136" s="62" t="str">
        <f t="shared" si="46"/>
        <v/>
      </c>
      <c r="AB136" s="48">
        <v>20</v>
      </c>
      <c r="AC136" s="62" t="str">
        <f t="shared" si="47"/>
        <v/>
      </c>
      <c r="AD136" s="48">
        <v>20</v>
      </c>
      <c r="AE136" s="62" t="str">
        <f t="shared" si="48"/>
        <v/>
      </c>
      <c r="AF136" s="51">
        <v>25</v>
      </c>
      <c r="AG136" s="62" t="str">
        <f t="shared" si="49"/>
        <v/>
      </c>
      <c r="AH136" s="48">
        <v>20</v>
      </c>
      <c r="AI136" s="62" t="str">
        <f t="shared" si="50"/>
        <v/>
      </c>
      <c r="AJ136" s="31">
        <f>IF(AND(OR(COUNTIF(D136:AI136,"=31")&gt;=1,COUNTIF(D136:AI136,"=32")&gt;=1,COUNTIF(D136:AI136,"=33")&gt;=1,COUNTIF(D136:AI136,"=34")&gt;=1,COUNTIF(D136:AI136,"=35")=1,COUNTIF(D136:AI136,"=36")&gt;=1 ),COUNTIF(D136:AI136,"")=0,COUNTIF(D136:AI136," ")=0,COUNTIF(D136:AI136,"F")=1),CONCATENATE(SUM(EXTRACTNUMBER(D136),EXTRACTNUMBER(F136),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EXTRACTNUMBER(AD136),EXTRACTNUMBER(AF136),EXTRACTNUMBER(AH136)),"*"),IF(AND(COUNTIF(D136:AI136,"=34")&gt;=1,COUNTIF(D136:AI136,"=35")&gt;=1,COUNTIF(D136:AI136,"f")=2,COUNTIF(D136:AI136,"")=0,COUNTIF(D136:AI136," ")=0),CONCATENATE(SUM(EXTRACTNUMBER(D136),EXTRACTNUMBER(F136),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EXTRACTNUMBER(AD136),EXTRACTNUMBER(AF136),EXTRACTNUMBER(AH136)),"*"),IF(AND(COUNTIF(D136:AI136,"=36")&gt;=2,COUNTIF(D136:AI136,"f")=2,COUNTIF(D136:AI136,"")=0,COUNTIF(D136:AI136," ")=0),CONCATENATE(SUM(EXTRACTNUMBER(D136),EXTRACTNUMBER(F136),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EXTRACTNUMBER(AD136),EXTRACTNUMBER(AF136),EXTRACTNUMBER(AH136)),"*"),SUM(EXTRACTNUMBER(D136),EXTRACTNUMBER(F136),
EXTRACTNUMBER(H136),EXTRACTNUMBER(J136),
EXTRACTNUMBER(L136),EXTRACTNUMBER(N136),
EXTRACTNUMBER(P136),EXTRACTNUMBER(R136),
EXTRACTNUMBER(T136),EXTRACTNUMBER(V136),
EXTRACTNUMBER(X136),EXTRACTNUMBER(Z136),EXTRACTNUMBER(AB136),
EXTRACTNUMBER(AD136),EXTRACTNUMBER(AF136),EXTRACTNUMBER(AH136)))))</f>
        <v>522</v>
      </c>
      <c r="AK136" s="32" t="str">
        <f t="shared" si="34"/>
        <v>PASS</v>
      </c>
      <c r="AL136" s="33" t="str">
        <f>SPELLNUMBER(extractnumber_tot(AJ136))</f>
        <v xml:space="preserve">Five Hundred Twenty Two </v>
      </c>
    </row>
    <row r="137" spans="2:38" s="30" customFormat="1" ht="15.95" customHeight="1">
      <c r="B137" s="37">
        <v>225315</v>
      </c>
      <c r="C137" s="38" t="s">
        <v>330</v>
      </c>
      <c r="D137" s="45">
        <v>62</v>
      </c>
      <c r="E137" s="61" t="str">
        <f t="shared" si="35"/>
        <v/>
      </c>
      <c r="F137" s="48">
        <v>20</v>
      </c>
      <c r="G137" s="62" t="str">
        <f t="shared" si="36"/>
        <v/>
      </c>
      <c r="H137" s="48">
        <v>41</v>
      </c>
      <c r="I137" s="62" t="str">
        <f t="shared" si="37"/>
        <v/>
      </c>
      <c r="J137" s="50">
        <v>46</v>
      </c>
      <c r="K137" s="62" t="str">
        <f t="shared" si="38"/>
        <v/>
      </c>
      <c r="L137" s="48">
        <v>22</v>
      </c>
      <c r="M137" s="62" t="str">
        <f t="shared" si="39"/>
        <v/>
      </c>
      <c r="N137" s="48">
        <v>44</v>
      </c>
      <c r="O137" s="62" t="str">
        <f t="shared" si="40"/>
        <v/>
      </c>
      <c r="P137" s="51">
        <v>53</v>
      </c>
      <c r="Q137" s="62" t="str">
        <f t="shared" si="41"/>
        <v/>
      </c>
      <c r="R137" s="48">
        <v>20</v>
      </c>
      <c r="S137" s="62" t="str">
        <f t="shared" si="42"/>
        <v/>
      </c>
      <c r="T137" s="48">
        <v>21</v>
      </c>
      <c r="U137" s="62" t="str">
        <f t="shared" si="43"/>
        <v/>
      </c>
      <c r="V137" s="51">
        <v>60</v>
      </c>
      <c r="W137" s="62" t="str">
        <f t="shared" si="44"/>
        <v/>
      </c>
      <c r="X137" s="48">
        <v>20</v>
      </c>
      <c r="Y137" s="62" t="str">
        <f t="shared" si="45"/>
        <v/>
      </c>
      <c r="Z137" s="51">
        <v>60</v>
      </c>
      <c r="AA137" s="62" t="str">
        <f t="shared" si="46"/>
        <v/>
      </c>
      <c r="AB137" s="48">
        <v>22</v>
      </c>
      <c r="AC137" s="62" t="str">
        <f t="shared" si="47"/>
        <v/>
      </c>
      <c r="AD137" s="48">
        <v>18</v>
      </c>
      <c r="AE137" s="62" t="str">
        <f t="shared" si="48"/>
        <v/>
      </c>
      <c r="AF137" s="51">
        <v>26</v>
      </c>
      <c r="AG137" s="62" t="str">
        <f t="shared" si="49"/>
        <v/>
      </c>
      <c r="AH137" s="48">
        <v>20</v>
      </c>
      <c r="AI137" s="62" t="str">
        <f t="shared" si="50"/>
        <v/>
      </c>
      <c r="AJ137" s="31">
        <f>IF(AND(OR(COUNTIF(D137:AI137,"=31")&gt;=1,COUNTIF(D137:AI137,"=32")&gt;=1,COUNTIF(D137:AI137,"=33")&gt;=1,COUNTIF(D137:AI137,"=34")&gt;=1,COUNTIF(D137:AI137,"=35")=1,COUNTIF(D137:AI137,"=36")&gt;=1 ),COUNTIF(D137:AI137,"")=0,COUNTIF(D137:AI137," ")=0,COUNTIF(D137:AI137,"F")=1),CONCATENATE(SUM(EXTRACTNUMBER(D137),EXTRACTNUMBER(F137),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EXTRACTNUMBER(AD137),EXTRACTNUMBER(AF137),EXTRACTNUMBER(AH137)),"*"),IF(AND(COUNTIF(D137:AI137,"=34")&gt;=1,COUNTIF(D137:AI137,"=35")&gt;=1,COUNTIF(D137:AI137,"f")=2,COUNTIF(D137:AI137,"")=0,COUNTIF(D137:AI137," ")=0),CONCATENATE(SUM(EXTRACTNUMBER(D137),EXTRACTNUMBER(F137),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EXTRACTNUMBER(AD137),EXTRACTNUMBER(AF137),EXTRACTNUMBER(AH137)),"*"),IF(AND(COUNTIF(D137:AI137,"=36")&gt;=2,COUNTIF(D137:AI137,"f")=2,COUNTIF(D137:AI137,"")=0,COUNTIF(D137:AI137," ")=0),CONCATENATE(SUM(EXTRACTNUMBER(D137),EXTRACTNUMBER(F137),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EXTRACTNUMBER(AD137),EXTRACTNUMBER(AF137),EXTRACTNUMBER(AH137)),"*"),SUM(EXTRACTNUMBER(D137),EXTRACTNUMBER(F137),
EXTRACTNUMBER(H137),EXTRACTNUMBER(J137),
EXTRACTNUMBER(L137),EXTRACTNUMBER(N137),
EXTRACTNUMBER(P137),EXTRACTNUMBER(R137),
EXTRACTNUMBER(T137),EXTRACTNUMBER(V137),
EXTRACTNUMBER(X137),EXTRACTNUMBER(Z137),EXTRACTNUMBER(AB137),
EXTRACTNUMBER(AD137),EXTRACTNUMBER(AF137),EXTRACTNUMBER(AH137)))))</f>
        <v>555</v>
      </c>
      <c r="AK137" s="32" t="str">
        <f t="shared" si="34"/>
        <v>PASS</v>
      </c>
      <c r="AL137" s="33" t="str">
        <f>SPELLNUMBER(extractnumber_tot(AJ137))</f>
        <v xml:space="preserve">Five Hundred Fifty Five </v>
      </c>
    </row>
    <row r="138" spans="2:38" s="30" customFormat="1" ht="15.95" customHeight="1">
      <c r="B138" s="37">
        <v>225316</v>
      </c>
      <c r="C138" s="38" t="s">
        <v>331</v>
      </c>
      <c r="D138" s="45">
        <v>64</v>
      </c>
      <c r="E138" s="61" t="str">
        <f t="shared" si="35"/>
        <v/>
      </c>
      <c r="F138" s="48">
        <v>20</v>
      </c>
      <c r="G138" s="62" t="str">
        <f t="shared" si="36"/>
        <v/>
      </c>
      <c r="H138" s="48">
        <v>40</v>
      </c>
      <c r="I138" s="62" t="str">
        <f t="shared" si="37"/>
        <v/>
      </c>
      <c r="J138" s="50">
        <v>49</v>
      </c>
      <c r="K138" s="62" t="str">
        <f t="shared" si="38"/>
        <v/>
      </c>
      <c r="L138" s="48">
        <v>22</v>
      </c>
      <c r="M138" s="62" t="str">
        <f t="shared" si="39"/>
        <v/>
      </c>
      <c r="N138" s="48">
        <v>42</v>
      </c>
      <c r="O138" s="62" t="str">
        <f t="shared" si="40"/>
        <v/>
      </c>
      <c r="P138" s="51">
        <v>54</v>
      </c>
      <c r="Q138" s="62" t="str">
        <f t="shared" si="41"/>
        <v/>
      </c>
      <c r="R138" s="48">
        <v>20</v>
      </c>
      <c r="S138" s="62" t="str">
        <f t="shared" si="42"/>
        <v/>
      </c>
      <c r="T138" s="48">
        <v>20</v>
      </c>
      <c r="U138" s="62" t="str">
        <f t="shared" si="43"/>
        <v/>
      </c>
      <c r="V138" s="51">
        <v>63</v>
      </c>
      <c r="W138" s="62" t="str">
        <f t="shared" si="44"/>
        <v/>
      </c>
      <c r="X138" s="48">
        <v>18</v>
      </c>
      <c r="Y138" s="62" t="str">
        <f t="shared" si="45"/>
        <v/>
      </c>
      <c r="Z138" s="51">
        <v>60</v>
      </c>
      <c r="AA138" s="62" t="str">
        <f t="shared" si="46"/>
        <v/>
      </c>
      <c r="AB138" s="48">
        <v>22</v>
      </c>
      <c r="AC138" s="62" t="str">
        <f t="shared" si="47"/>
        <v/>
      </c>
      <c r="AD138" s="48">
        <v>19</v>
      </c>
      <c r="AE138" s="62" t="str">
        <f t="shared" si="48"/>
        <v/>
      </c>
      <c r="AF138" s="51">
        <v>24</v>
      </c>
      <c r="AG138" s="62" t="str">
        <f t="shared" si="49"/>
        <v/>
      </c>
      <c r="AH138" s="48">
        <v>23</v>
      </c>
      <c r="AI138" s="62" t="str">
        <f t="shared" si="50"/>
        <v/>
      </c>
      <c r="AJ138" s="31">
        <f>IF(AND(OR(COUNTIF(D138:AI138,"=31")&gt;=1,COUNTIF(D138:AI138,"=32")&gt;=1,COUNTIF(D138:AI138,"=33")&gt;=1,COUNTIF(D138:AI138,"=34")&gt;=1,COUNTIF(D138:AI138,"=35")=1,COUNTIF(D138:AI138,"=36")&gt;=1 ),COUNTIF(D138:AI138,"")=0,COUNTIF(D138:AI138," ")=0,COUNTIF(D138:AI138,"F")=1),CONCATENATE(SUM(EXTRACTNUMBER(D138),EXTRACTNUMBER(F138),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EXTRACTNUMBER(AD138),EXTRACTNUMBER(AF138),EXTRACTNUMBER(AH138)),"*"),IF(AND(COUNTIF(D138:AI138,"=34")&gt;=1,COUNTIF(D138:AI138,"=35")&gt;=1,COUNTIF(D138:AI138,"f")=2,COUNTIF(D138:AI138,"")=0,COUNTIF(D138:AI138," ")=0),CONCATENATE(SUM(EXTRACTNUMBER(D138),EXTRACTNUMBER(F138),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EXTRACTNUMBER(AD138),EXTRACTNUMBER(AF138),EXTRACTNUMBER(AH138)),"*"),IF(AND(COUNTIF(D138:AI138,"=36")&gt;=2,COUNTIF(D138:AI138,"f")=2,COUNTIF(D138:AI138,"")=0,COUNTIF(D138:AI138," ")=0),CONCATENATE(SUM(EXTRACTNUMBER(D138),EXTRACTNUMBER(F138),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EXTRACTNUMBER(AD138),EXTRACTNUMBER(AF138),EXTRACTNUMBER(AH138)),"*"),SUM(EXTRACTNUMBER(D138),EXTRACTNUMBER(F138),
EXTRACTNUMBER(H138),EXTRACTNUMBER(J138),
EXTRACTNUMBER(L138),EXTRACTNUMBER(N138),
EXTRACTNUMBER(P138),EXTRACTNUMBER(R138),
EXTRACTNUMBER(T138),EXTRACTNUMBER(V138),
EXTRACTNUMBER(X138),EXTRACTNUMBER(Z138),EXTRACTNUMBER(AB138),
EXTRACTNUMBER(AD138),EXTRACTNUMBER(AF138),EXTRACTNUMBER(AH138)))))</f>
        <v>560</v>
      </c>
      <c r="AK138" s="32" t="str">
        <f t="shared" si="34"/>
        <v>PASS</v>
      </c>
      <c r="AL138" s="33" t="str">
        <f>SPELLNUMBER(extractnumber_tot(AJ138))</f>
        <v xml:space="preserve">Five Hundred Sixty  </v>
      </c>
    </row>
    <row r="139" spans="2:38" s="30" customFormat="1" ht="15.95" customHeight="1">
      <c r="B139" s="37">
        <v>225317</v>
      </c>
      <c r="C139" s="38" t="s">
        <v>332</v>
      </c>
      <c r="D139" s="45">
        <v>67</v>
      </c>
      <c r="E139" s="61" t="str">
        <f t="shared" si="35"/>
        <v/>
      </c>
      <c r="F139" s="48">
        <v>21</v>
      </c>
      <c r="G139" s="62" t="str">
        <f t="shared" si="36"/>
        <v/>
      </c>
      <c r="H139" s="48">
        <v>40</v>
      </c>
      <c r="I139" s="62" t="str">
        <f t="shared" si="37"/>
        <v/>
      </c>
      <c r="J139" s="50">
        <v>63</v>
      </c>
      <c r="K139" s="62" t="str">
        <f t="shared" si="38"/>
        <v/>
      </c>
      <c r="L139" s="48">
        <v>22</v>
      </c>
      <c r="M139" s="62" t="str">
        <f t="shared" si="39"/>
        <v/>
      </c>
      <c r="N139" s="48">
        <v>42</v>
      </c>
      <c r="O139" s="62" t="str">
        <f t="shared" si="40"/>
        <v/>
      </c>
      <c r="P139" s="51">
        <v>53</v>
      </c>
      <c r="Q139" s="62" t="str">
        <f t="shared" si="41"/>
        <v/>
      </c>
      <c r="R139" s="48">
        <v>21</v>
      </c>
      <c r="S139" s="62" t="str">
        <f t="shared" si="42"/>
        <v/>
      </c>
      <c r="T139" s="48">
        <v>20</v>
      </c>
      <c r="U139" s="62" t="str">
        <f t="shared" si="43"/>
        <v/>
      </c>
      <c r="V139" s="51">
        <v>65</v>
      </c>
      <c r="W139" s="62" t="str">
        <f t="shared" si="44"/>
        <v/>
      </c>
      <c r="X139" s="48">
        <v>16</v>
      </c>
      <c r="Y139" s="62" t="str">
        <f t="shared" si="45"/>
        <v/>
      </c>
      <c r="Z139" s="51">
        <v>66</v>
      </c>
      <c r="AA139" s="62" t="str">
        <f t="shared" si="46"/>
        <v/>
      </c>
      <c r="AB139" s="48">
        <v>22</v>
      </c>
      <c r="AC139" s="62" t="str">
        <f t="shared" si="47"/>
        <v/>
      </c>
      <c r="AD139" s="48">
        <v>19</v>
      </c>
      <c r="AE139" s="62" t="str">
        <f t="shared" si="48"/>
        <v/>
      </c>
      <c r="AF139" s="51">
        <v>26</v>
      </c>
      <c r="AG139" s="62" t="str">
        <f t="shared" si="49"/>
        <v/>
      </c>
      <c r="AH139" s="48">
        <v>18</v>
      </c>
      <c r="AI139" s="62" t="str">
        <f t="shared" si="50"/>
        <v/>
      </c>
      <c r="AJ139" s="31">
        <f>IF(AND(OR(COUNTIF(D139:AI139,"=31")&gt;=1,COUNTIF(D139:AI139,"=32")&gt;=1,COUNTIF(D139:AI139,"=33")&gt;=1,COUNTIF(D139:AI139,"=34")&gt;=1,COUNTIF(D139:AI139,"=35")=1,COUNTIF(D139:AI139,"=36")&gt;=1 ),COUNTIF(D139:AI139,"")=0,COUNTIF(D139:AI139," ")=0,COUNTIF(D139:AI139,"F")=1),CONCATENATE(SUM(EXTRACTNUMBER(D139),EXTRACTNUMBER(F139),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EXTRACTNUMBER(AD139),EXTRACTNUMBER(AF139),EXTRACTNUMBER(AH139)),"*"),IF(AND(COUNTIF(D139:AI139,"=34")&gt;=1,COUNTIF(D139:AI139,"=35")&gt;=1,COUNTIF(D139:AI139,"f")=2,COUNTIF(D139:AI139,"")=0,COUNTIF(D139:AI139," ")=0),CONCATENATE(SUM(EXTRACTNUMBER(D139),EXTRACTNUMBER(F139),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EXTRACTNUMBER(AD139),EXTRACTNUMBER(AF139),EXTRACTNUMBER(AH139)),"*"),IF(AND(COUNTIF(D139:AI139,"=36")&gt;=2,COUNTIF(D139:AI139,"f")=2,COUNTIF(D139:AI139,"")=0,COUNTIF(D139:AI139," ")=0),CONCATENATE(SUM(EXTRACTNUMBER(D139),EXTRACTNUMBER(F139),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EXTRACTNUMBER(AD139),EXTRACTNUMBER(AF139),EXTRACTNUMBER(AH139)),"*"),SUM(EXTRACTNUMBER(D139),EXTRACTNUMBER(F139),
EXTRACTNUMBER(H139),EXTRACTNUMBER(J139),
EXTRACTNUMBER(L139),EXTRACTNUMBER(N139),
EXTRACTNUMBER(P139),EXTRACTNUMBER(R139),
EXTRACTNUMBER(T139),EXTRACTNUMBER(V139),
EXTRACTNUMBER(X139),EXTRACTNUMBER(Z139),EXTRACTNUMBER(AB139),
EXTRACTNUMBER(AD139),EXTRACTNUMBER(AF139),EXTRACTNUMBER(AH139)))))</f>
        <v>581</v>
      </c>
      <c r="AK139" s="32" t="str">
        <f t="shared" si="34"/>
        <v>PASS</v>
      </c>
      <c r="AL139" s="33" t="str">
        <f>SPELLNUMBER(extractnumber_tot(AJ139))</f>
        <v xml:space="preserve">Five Hundred Eighty One </v>
      </c>
    </row>
    <row r="140" spans="2:38" s="30" customFormat="1" ht="15.95" customHeight="1">
      <c r="B140" s="37">
        <v>225318</v>
      </c>
      <c r="C140" s="38" t="s">
        <v>333</v>
      </c>
      <c r="D140" s="45">
        <v>58</v>
      </c>
      <c r="E140" s="61" t="str">
        <f t="shared" si="35"/>
        <v/>
      </c>
      <c r="F140" s="48">
        <v>20</v>
      </c>
      <c r="G140" s="62" t="str">
        <f t="shared" si="36"/>
        <v/>
      </c>
      <c r="H140" s="48">
        <v>41</v>
      </c>
      <c r="I140" s="62" t="str">
        <f t="shared" si="37"/>
        <v/>
      </c>
      <c r="J140" s="50">
        <v>59</v>
      </c>
      <c r="K140" s="62" t="str">
        <f t="shared" si="38"/>
        <v/>
      </c>
      <c r="L140" s="48">
        <v>20</v>
      </c>
      <c r="M140" s="62" t="str">
        <f t="shared" si="39"/>
        <v/>
      </c>
      <c r="N140" s="48">
        <v>42</v>
      </c>
      <c r="O140" s="62" t="str">
        <f t="shared" si="40"/>
        <v/>
      </c>
      <c r="P140" s="51">
        <v>45</v>
      </c>
      <c r="Q140" s="62" t="str">
        <f t="shared" si="41"/>
        <v/>
      </c>
      <c r="R140" s="48">
        <v>20</v>
      </c>
      <c r="S140" s="62" t="str">
        <f t="shared" si="42"/>
        <v/>
      </c>
      <c r="T140" s="48">
        <v>21</v>
      </c>
      <c r="U140" s="62" t="str">
        <f t="shared" si="43"/>
        <v/>
      </c>
      <c r="V140" s="51">
        <v>56</v>
      </c>
      <c r="W140" s="62" t="str">
        <f t="shared" si="44"/>
        <v/>
      </c>
      <c r="X140" s="48">
        <v>20</v>
      </c>
      <c r="Y140" s="62" t="str">
        <f t="shared" si="45"/>
        <v/>
      </c>
      <c r="Z140" s="51">
        <v>47</v>
      </c>
      <c r="AA140" s="62" t="str">
        <f t="shared" si="46"/>
        <v/>
      </c>
      <c r="AB140" s="48">
        <v>21</v>
      </c>
      <c r="AC140" s="62" t="str">
        <f t="shared" si="47"/>
        <v/>
      </c>
      <c r="AD140" s="48">
        <v>22</v>
      </c>
      <c r="AE140" s="62" t="str">
        <f t="shared" si="48"/>
        <v/>
      </c>
      <c r="AF140" s="51">
        <v>31</v>
      </c>
      <c r="AG140" s="62" t="str">
        <f t="shared" si="49"/>
        <v/>
      </c>
      <c r="AH140" s="48">
        <v>20</v>
      </c>
      <c r="AI140" s="62" t="str">
        <f t="shared" si="50"/>
        <v/>
      </c>
      <c r="AJ140" s="31">
        <f>IF(AND(OR(COUNTIF(D140:AI140,"=31")&gt;=1,COUNTIF(D140:AI140,"=32")&gt;=1,COUNTIF(D140:AI140,"=33")&gt;=1,COUNTIF(D140:AI140,"=34")&gt;=1,COUNTIF(D140:AI140,"=35")=1,COUNTIF(D140:AI140,"=36")&gt;=1 ),COUNTIF(D140:AI140,"")=0,COUNTIF(D140:AI140," ")=0,COUNTIF(D140:AI140,"F")=1),CONCATENATE(SUM(EXTRACTNUMBER(D140),EXTRACTNUMBER(F140),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EXTRACTNUMBER(AD140),EXTRACTNUMBER(AF140),EXTRACTNUMBER(AH140)),"*"),IF(AND(COUNTIF(D140:AI140,"=34")&gt;=1,COUNTIF(D140:AI140,"=35")&gt;=1,COUNTIF(D140:AI140,"f")=2,COUNTIF(D140:AI140,"")=0,COUNTIF(D140:AI140," ")=0),CONCATENATE(SUM(EXTRACTNUMBER(D140),EXTRACTNUMBER(F140),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EXTRACTNUMBER(AD140),EXTRACTNUMBER(AF140),EXTRACTNUMBER(AH140)),"*"),IF(AND(COUNTIF(D140:AI140,"=36")&gt;=2,COUNTIF(D140:AI140,"f")=2,COUNTIF(D140:AI140,"")=0,COUNTIF(D140:AI140," ")=0),CONCATENATE(SUM(EXTRACTNUMBER(D140),EXTRACTNUMBER(F140),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EXTRACTNUMBER(AD140),EXTRACTNUMBER(AF140),EXTRACTNUMBER(AH140)),"*"),SUM(EXTRACTNUMBER(D140),EXTRACTNUMBER(F140),
EXTRACTNUMBER(H140),EXTRACTNUMBER(J140),
EXTRACTNUMBER(L140),EXTRACTNUMBER(N140),
EXTRACTNUMBER(P140),EXTRACTNUMBER(R140),
EXTRACTNUMBER(T140),EXTRACTNUMBER(V140),
EXTRACTNUMBER(X140),EXTRACTNUMBER(Z140),EXTRACTNUMBER(AB140),
EXTRACTNUMBER(AD140),EXTRACTNUMBER(AF140),EXTRACTNUMBER(AH140)))))</f>
        <v>543</v>
      </c>
      <c r="AK140" s="32" t="str">
        <f t="shared" si="34"/>
        <v>PASS</v>
      </c>
      <c r="AL140" s="33" t="str">
        <f>SPELLNUMBER(extractnumber_tot(AJ140))</f>
        <v xml:space="preserve">Five Hundred Forty Three </v>
      </c>
    </row>
    <row r="141" spans="2:38" s="30" customFormat="1" ht="15.95" customHeight="1">
      <c r="B141" s="37">
        <v>225319</v>
      </c>
      <c r="C141" s="38" t="s">
        <v>334</v>
      </c>
      <c r="D141" s="45">
        <v>66</v>
      </c>
      <c r="E141" s="61" t="str">
        <f t="shared" si="35"/>
        <v/>
      </c>
      <c r="F141" s="48">
        <v>23</v>
      </c>
      <c r="G141" s="62" t="str">
        <f t="shared" si="36"/>
        <v/>
      </c>
      <c r="H141" s="48">
        <v>44</v>
      </c>
      <c r="I141" s="62" t="str">
        <f t="shared" si="37"/>
        <v/>
      </c>
      <c r="J141" s="50">
        <v>53</v>
      </c>
      <c r="K141" s="62" t="str">
        <f t="shared" si="38"/>
        <v/>
      </c>
      <c r="L141" s="48">
        <v>22</v>
      </c>
      <c r="M141" s="62" t="str">
        <f t="shared" si="39"/>
        <v/>
      </c>
      <c r="N141" s="48">
        <v>44</v>
      </c>
      <c r="O141" s="62" t="str">
        <f t="shared" si="40"/>
        <v/>
      </c>
      <c r="P141" s="51">
        <v>57</v>
      </c>
      <c r="Q141" s="62" t="str">
        <f t="shared" si="41"/>
        <v/>
      </c>
      <c r="R141" s="48">
        <v>23</v>
      </c>
      <c r="S141" s="62" t="str">
        <f t="shared" si="42"/>
        <v/>
      </c>
      <c r="T141" s="48">
        <v>23</v>
      </c>
      <c r="U141" s="62" t="str">
        <f t="shared" si="43"/>
        <v/>
      </c>
      <c r="V141" s="51">
        <v>66</v>
      </c>
      <c r="W141" s="62" t="str">
        <f t="shared" si="44"/>
        <v/>
      </c>
      <c r="X141" s="48">
        <v>16</v>
      </c>
      <c r="Y141" s="62" t="str">
        <f t="shared" si="45"/>
        <v/>
      </c>
      <c r="Z141" s="51">
        <v>60</v>
      </c>
      <c r="AA141" s="62" t="str">
        <f t="shared" si="46"/>
        <v/>
      </c>
      <c r="AB141" s="48">
        <v>22</v>
      </c>
      <c r="AC141" s="62" t="str">
        <f t="shared" si="47"/>
        <v/>
      </c>
      <c r="AD141" s="48">
        <v>16</v>
      </c>
      <c r="AE141" s="62" t="str">
        <f t="shared" si="48"/>
        <v/>
      </c>
      <c r="AF141" s="51">
        <v>28</v>
      </c>
      <c r="AG141" s="62" t="str">
        <f t="shared" si="49"/>
        <v/>
      </c>
      <c r="AH141" s="48">
        <v>23</v>
      </c>
      <c r="AI141" s="62" t="str">
        <f t="shared" si="50"/>
        <v/>
      </c>
      <c r="AJ141" s="31">
        <f>IF(AND(OR(COUNTIF(D141:AI141,"=31")&gt;=1,COUNTIF(D141:AI141,"=32")&gt;=1,COUNTIF(D141:AI141,"=33")&gt;=1,COUNTIF(D141:AI141,"=34")&gt;=1,COUNTIF(D141:AI141,"=35")=1,COUNTIF(D141:AI141,"=36")&gt;=1 ),COUNTIF(D141:AI141,"")=0,COUNTIF(D141:AI141," ")=0,COUNTIF(D141:AI141,"F")=1),CONCATENATE(SUM(EXTRACTNUMBER(D141),EXTRACTNUMBER(F141),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EXTRACTNUMBER(AD141),EXTRACTNUMBER(AF141),EXTRACTNUMBER(AH141)),"*"),IF(AND(COUNTIF(D141:AI141,"=34")&gt;=1,COUNTIF(D141:AI141,"=35")&gt;=1,COUNTIF(D141:AI141,"f")=2,COUNTIF(D141:AI141,"")=0,COUNTIF(D141:AI141," ")=0),CONCATENATE(SUM(EXTRACTNUMBER(D141),EXTRACTNUMBER(F141),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EXTRACTNUMBER(AD141),EXTRACTNUMBER(AF141),EXTRACTNUMBER(AH141)),"*"),IF(AND(COUNTIF(D141:AI141,"=36")&gt;=2,COUNTIF(D141:AI141,"f")=2,COUNTIF(D141:AI141,"")=0,COUNTIF(D141:AI141," ")=0),CONCATENATE(SUM(EXTRACTNUMBER(D141),EXTRACTNUMBER(F141),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EXTRACTNUMBER(AD141),EXTRACTNUMBER(AF141),EXTRACTNUMBER(AH141)),"*"),SUM(EXTRACTNUMBER(D141),EXTRACTNUMBER(F141),
EXTRACTNUMBER(H141),EXTRACTNUMBER(J141),
EXTRACTNUMBER(L141),EXTRACTNUMBER(N141),
EXTRACTNUMBER(P141),EXTRACTNUMBER(R141),
EXTRACTNUMBER(T141),EXTRACTNUMBER(V141),
EXTRACTNUMBER(X141),EXTRACTNUMBER(Z141),EXTRACTNUMBER(AB141),
EXTRACTNUMBER(AD141),EXTRACTNUMBER(AF141),EXTRACTNUMBER(AH141)))))</f>
        <v>586</v>
      </c>
      <c r="AK141" s="32" t="str">
        <f t="shared" si="34"/>
        <v>PASS</v>
      </c>
      <c r="AL141" s="33" t="str">
        <f>SPELLNUMBER(extractnumber_tot(AJ141))</f>
        <v xml:space="preserve">Five Hundred Eighty Six </v>
      </c>
    </row>
    <row r="142" spans="2:38" s="30" customFormat="1" ht="15.95" customHeight="1">
      <c r="B142" s="37">
        <v>225320</v>
      </c>
      <c r="C142" s="38" t="s">
        <v>335</v>
      </c>
      <c r="D142" s="45">
        <v>61</v>
      </c>
      <c r="E142" s="61" t="str">
        <f t="shared" si="35"/>
        <v/>
      </c>
      <c r="F142" s="48">
        <v>20</v>
      </c>
      <c r="G142" s="62" t="str">
        <f t="shared" si="36"/>
        <v/>
      </c>
      <c r="H142" s="48">
        <v>43</v>
      </c>
      <c r="I142" s="62" t="str">
        <f t="shared" si="37"/>
        <v/>
      </c>
      <c r="J142" s="50">
        <v>47</v>
      </c>
      <c r="K142" s="62" t="str">
        <f t="shared" si="38"/>
        <v/>
      </c>
      <c r="L142" s="48">
        <v>19</v>
      </c>
      <c r="M142" s="62" t="str">
        <f t="shared" si="39"/>
        <v/>
      </c>
      <c r="N142" s="48">
        <v>42</v>
      </c>
      <c r="O142" s="62" t="str">
        <f t="shared" si="40"/>
        <v/>
      </c>
      <c r="P142" s="51">
        <v>57</v>
      </c>
      <c r="Q142" s="62" t="str">
        <f t="shared" si="41"/>
        <v/>
      </c>
      <c r="R142" s="48">
        <v>23</v>
      </c>
      <c r="S142" s="62" t="str">
        <f t="shared" si="42"/>
        <v/>
      </c>
      <c r="T142" s="48">
        <v>23</v>
      </c>
      <c r="U142" s="62" t="str">
        <f t="shared" si="43"/>
        <v/>
      </c>
      <c r="V142" s="51">
        <v>66</v>
      </c>
      <c r="W142" s="62" t="str">
        <f t="shared" si="44"/>
        <v/>
      </c>
      <c r="X142" s="48">
        <v>20</v>
      </c>
      <c r="Y142" s="62" t="str">
        <f t="shared" si="45"/>
        <v/>
      </c>
      <c r="Z142" s="51">
        <v>50</v>
      </c>
      <c r="AA142" s="62" t="str">
        <f t="shared" si="46"/>
        <v/>
      </c>
      <c r="AB142" s="48">
        <v>19</v>
      </c>
      <c r="AC142" s="62" t="str">
        <f t="shared" si="47"/>
        <v/>
      </c>
      <c r="AD142" s="48">
        <v>22</v>
      </c>
      <c r="AE142" s="62" t="str">
        <f t="shared" si="48"/>
        <v/>
      </c>
      <c r="AF142" s="51">
        <v>30</v>
      </c>
      <c r="AG142" s="62" t="str">
        <f t="shared" si="49"/>
        <v/>
      </c>
      <c r="AH142" s="48">
        <v>23</v>
      </c>
      <c r="AI142" s="62" t="str">
        <f t="shared" si="50"/>
        <v/>
      </c>
      <c r="AJ142" s="31">
        <f>IF(AND(OR(COUNTIF(D142:AI142,"=31")&gt;=1,COUNTIF(D142:AI142,"=32")&gt;=1,COUNTIF(D142:AI142,"=33")&gt;=1,COUNTIF(D142:AI142,"=34")&gt;=1,COUNTIF(D142:AI142,"=35")=1,COUNTIF(D142:AI142,"=36")&gt;=1 ),COUNTIF(D142:AI142,"")=0,COUNTIF(D142:AI142," ")=0,COUNTIF(D142:AI142,"F")=1),CONCATENATE(SUM(EXTRACTNUMBER(D142),EXTRACTNUMBER(F142),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EXTRACTNUMBER(AD142),EXTRACTNUMBER(AF142),EXTRACTNUMBER(AH142)),"*"),IF(AND(COUNTIF(D142:AI142,"=34")&gt;=1,COUNTIF(D142:AI142,"=35")&gt;=1,COUNTIF(D142:AI142,"f")=2,COUNTIF(D142:AI142,"")=0,COUNTIF(D142:AI142," ")=0),CONCATENATE(SUM(EXTRACTNUMBER(D142),EXTRACTNUMBER(F142),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EXTRACTNUMBER(AD142),EXTRACTNUMBER(AF142),EXTRACTNUMBER(AH142)),"*"),IF(AND(COUNTIF(D142:AI142,"=36")&gt;=2,COUNTIF(D142:AI142,"f")=2,COUNTIF(D142:AI142,"")=0,COUNTIF(D142:AI142," ")=0),CONCATENATE(SUM(EXTRACTNUMBER(D142),EXTRACTNUMBER(F142),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EXTRACTNUMBER(AD142),EXTRACTNUMBER(AF142),EXTRACTNUMBER(AH142)),"*"),SUM(EXTRACTNUMBER(D142),EXTRACTNUMBER(F142),
EXTRACTNUMBER(H142),EXTRACTNUMBER(J142),
EXTRACTNUMBER(L142),EXTRACTNUMBER(N142),
EXTRACTNUMBER(P142),EXTRACTNUMBER(R142),
EXTRACTNUMBER(T142),EXTRACTNUMBER(V142),
EXTRACTNUMBER(X142),EXTRACTNUMBER(Z142),EXTRACTNUMBER(AB142),
EXTRACTNUMBER(AD142),EXTRACTNUMBER(AF142),EXTRACTNUMBER(AH142)))))</f>
        <v>565</v>
      </c>
      <c r="AK142" s="32" t="str">
        <f t="shared" si="34"/>
        <v>PASS</v>
      </c>
      <c r="AL142" s="33" t="str">
        <f>SPELLNUMBER(extractnumber_tot(AJ142))</f>
        <v xml:space="preserve">Five Hundred Sixty Five </v>
      </c>
    </row>
    <row r="143" spans="2:38" s="30" customFormat="1" ht="15.95" customHeight="1">
      <c r="B143" s="37">
        <v>225321</v>
      </c>
      <c r="C143" s="38" t="s">
        <v>336</v>
      </c>
      <c r="D143" s="45">
        <v>55</v>
      </c>
      <c r="E143" s="61" t="str">
        <f t="shared" si="35"/>
        <v/>
      </c>
      <c r="F143" s="48">
        <v>20</v>
      </c>
      <c r="G143" s="62" t="str">
        <f t="shared" si="36"/>
        <v/>
      </c>
      <c r="H143" s="48">
        <v>44</v>
      </c>
      <c r="I143" s="62" t="str">
        <f t="shared" si="37"/>
        <v/>
      </c>
      <c r="J143" s="50">
        <v>52</v>
      </c>
      <c r="K143" s="62" t="str">
        <f t="shared" si="38"/>
        <v/>
      </c>
      <c r="L143" s="48">
        <v>21</v>
      </c>
      <c r="M143" s="62" t="str">
        <f t="shared" si="39"/>
        <v/>
      </c>
      <c r="N143" s="48">
        <v>46</v>
      </c>
      <c r="O143" s="62" t="str">
        <f t="shared" si="40"/>
        <v/>
      </c>
      <c r="P143" s="51">
        <v>53</v>
      </c>
      <c r="Q143" s="62" t="str">
        <f t="shared" si="41"/>
        <v/>
      </c>
      <c r="R143" s="48">
        <v>20</v>
      </c>
      <c r="S143" s="62" t="str">
        <f t="shared" si="42"/>
        <v/>
      </c>
      <c r="T143" s="48">
        <v>23</v>
      </c>
      <c r="U143" s="62" t="str">
        <f t="shared" si="43"/>
        <v/>
      </c>
      <c r="V143" s="51">
        <v>68</v>
      </c>
      <c r="W143" s="62" t="str">
        <f t="shared" si="44"/>
        <v/>
      </c>
      <c r="X143" s="48">
        <v>20</v>
      </c>
      <c r="Y143" s="62" t="str">
        <f t="shared" si="45"/>
        <v/>
      </c>
      <c r="Z143" s="51">
        <v>65</v>
      </c>
      <c r="AA143" s="62" t="str">
        <f t="shared" si="46"/>
        <v/>
      </c>
      <c r="AB143" s="48">
        <v>21</v>
      </c>
      <c r="AC143" s="62" t="str">
        <f t="shared" si="47"/>
        <v/>
      </c>
      <c r="AD143" s="48">
        <v>20</v>
      </c>
      <c r="AE143" s="62" t="str">
        <f t="shared" si="48"/>
        <v/>
      </c>
      <c r="AF143" s="51">
        <v>27</v>
      </c>
      <c r="AG143" s="62" t="str">
        <f t="shared" si="49"/>
        <v/>
      </c>
      <c r="AH143" s="48">
        <v>20</v>
      </c>
      <c r="AI143" s="62" t="str">
        <f t="shared" si="50"/>
        <v/>
      </c>
      <c r="AJ143" s="31">
        <f>IF(AND(OR(COUNTIF(D143:AI143,"=31")&gt;=1,COUNTIF(D143:AI143,"=32")&gt;=1,COUNTIF(D143:AI143,"=33")&gt;=1,COUNTIF(D143:AI143,"=34")&gt;=1,COUNTIF(D143:AI143,"=35")=1,COUNTIF(D143:AI143,"=36")&gt;=1 ),COUNTIF(D143:AI143,"")=0,COUNTIF(D143:AI143," ")=0,COUNTIF(D143:AI143,"F")=1),CONCATENATE(SUM(EXTRACTNUMBER(D143),EXTRACTNUMBER(F143),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EXTRACTNUMBER(AD143),EXTRACTNUMBER(AF143),EXTRACTNUMBER(AH143)),"*"),IF(AND(COUNTIF(D143:AI143,"=34")&gt;=1,COUNTIF(D143:AI143,"=35")&gt;=1,COUNTIF(D143:AI143,"f")=2,COUNTIF(D143:AI143,"")=0,COUNTIF(D143:AI143," ")=0),CONCATENATE(SUM(EXTRACTNUMBER(D143),EXTRACTNUMBER(F143),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EXTRACTNUMBER(AD143),EXTRACTNUMBER(AF143),EXTRACTNUMBER(AH143)),"*"),IF(AND(COUNTIF(D143:AI143,"=36")&gt;=2,COUNTIF(D143:AI143,"f")=2,COUNTIF(D143:AI143,"")=0,COUNTIF(D143:AI143," ")=0),CONCATENATE(SUM(EXTRACTNUMBER(D143),EXTRACTNUMBER(F143),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EXTRACTNUMBER(AD143),EXTRACTNUMBER(AF143),EXTRACTNUMBER(AH143)),"*"),SUM(EXTRACTNUMBER(D143),EXTRACTNUMBER(F143),
EXTRACTNUMBER(H143),EXTRACTNUMBER(J143),
EXTRACTNUMBER(L143),EXTRACTNUMBER(N143),
EXTRACTNUMBER(P143),EXTRACTNUMBER(R143),
EXTRACTNUMBER(T143),EXTRACTNUMBER(V143),
EXTRACTNUMBER(X143),EXTRACTNUMBER(Z143),EXTRACTNUMBER(AB143),
EXTRACTNUMBER(AD143),EXTRACTNUMBER(AF143),EXTRACTNUMBER(AH143)))))</f>
        <v>575</v>
      </c>
      <c r="AK143" s="32" t="str">
        <f t="shared" si="34"/>
        <v>PASS</v>
      </c>
      <c r="AL143" s="33" t="str">
        <f>SPELLNUMBER(extractnumber_tot(AJ143))</f>
        <v xml:space="preserve">Five Hundred Seventy Five </v>
      </c>
    </row>
    <row r="144" spans="2:38" s="30" customFormat="1" ht="15.95" customHeight="1">
      <c r="B144" s="37">
        <v>225322</v>
      </c>
      <c r="C144" s="38" t="s">
        <v>337</v>
      </c>
      <c r="D144" s="45">
        <v>49</v>
      </c>
      <c r="E144" s="61" t="str">
        <f t="shared" si="35"/>
        <v/>
      </c>
      <c r="F144" s="48">
        <v>21</v>
      </c>
      <c r="G144" s="62" t="str">
        <f t="shared" si="36"/>
        <v/>
      </c>
      <c r="H144" s="48">
        <v>40</v>
      </c>
      <c r="I144" s="62" t="str">
        <f t="shared" si="37"/>
        <v/>
      </c>
      <c r="J144" s="50">
        <v>50</v>
      </c>
      <c r="K144" s="62" t="str">
        <f t="shared" si="38"/>
        <v/>
      </c>
      <c r="L144" s="48">
        <v>21</v>
      </c>
      <c r="M144" s="62" t="str">
        <f t="shared" si="39"/>
        <v/>
      </c>
      <c r="N144" s="48">
        <v>38</v>
      </c>
      <c r="O144" s="62" t="str">
        <f t="shared" si="40"/>
        <v/>
      </c>
      <c r="P144" s="51">
        <v>40</v>
      </c>
      <c r="Q144" s="62" t="str">
        <f t="shared" si="41"/>
        <v/>
      </c>
      <c r="R144" s="48">
        <v>21</v>
      </c>
      <c r="S144" s="62" t="str">
        <f t="shared" si="42"/>
        <v/>
      </c>
      <c r="T144" s="48">
        <v>20</v>
      </c>
      <c r="U144" s="62" t="str">
        <f t="shared" si="43"/>
        <v/>
      </c>
      <c r="V144" s="51">
        <v>46</v>
      </c>
      <c r="W144" s="62" t="str">
        <f t="shared" si="44"/>
        <v/>
      </c>
      <c r="X144" s="48">
        <v>21</v>
      </c>
      <c r="Y144" s="62" t="str">
        <f t="shared" si="45"/>
        <v/>
      </c>
      <c r="Z144" s="51">
        <v>60</v>
      </c>
      <c r="AA144" s="62" t="str">
        <f t="shared" si="46"/>
        <v/>
      </c>
      <c r="AB144" s="48">
        <v>21</v>
      </c>
      <c r="AC144" s="62" t="str">
        <f t="shared" si="47"/>
        <v/>
      </c>
      <c r="AD144" s="48">
        <v>21</v>
      </c>
      <c r="AE144" s="62" t="str">
        <f t="shared" si="48"/>
        <v/>
      </c>
      <c r="AF144" s="51">
        <v>26</v>
      </c>
      <c r="AG144" s="62" t="str">
        <f t="shared" si="49"/>
        <v/>
      </c>
      <c r="AH144" s="48">
        <v>21</v>
      </c>
      <c r="AI144" s="62" t="str">
        <f t="shared" si="50"/>
        <v/>
      </c>
      <c r="AJ144" s="31">
        <f>IF(AND(OR(COUNTIF(D144:AI144,"=31")&gt;=1,COUNTIF(D144:AI144,"=32")&gt;=1,COUNTIF(D144:AI144,"=33")&gt;=1,COUNTIF(D144:AI144,"=34")&gt;=1,COUNTIF(D144:AI144,"=35")=1,COUNTIF(D144:AI144,"=36")&gt;=1 ),COUNTIF(D144:AI144,"")=0,COUNTIF(D144:AI144," ")=0,COUNTIF(D144:AI144,"F")=1),CONCATENATE(SUM(EXTRACTNUMBER(D144),EXTRACTNUMBER(F144),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EXTRACTNUMBER(AD144),EXTRACTNUMBER(AF144),EXTRACTNUMBER(AH144)),"*"),IF(AND(COUNTIF(D144:AI144,"=34")&gt;=1,COUNTIF(D144:AI144,"=35")&gt;=1,COUNTIF(D144:AI144,"f")=2,COUNTIF(D144:AI144,"")=0,COUNTIF(D144:AI144," ")=0),CONCATENATE(SUM(EXTRACTNUMBER(D144),EXTRACTNUMBER(F144),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EXTRACTNUMBER(AD144),EXTRACTNUMBER(AF144),EXTRACTNUMBER(AH144)),"*"),IF(AND(COUNTIF(D144:AI144,"=36")&gt;=2,COUNTIF(D144:AI144,"f")=2,COUNTIF(D144:AI144,"")=0,COUNTIF(D144:AI144," ")=0),CONCATENATE(SUM(EXTRACTNUMBER(D144),EXTRACTNUMBER(F144),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EXTRACTNUMBER(AD144),EXTRACTNUMBER(AF144),EXTRACTNUMBER(AH144)),"*"),SUM(EXTRACTNUMBER(D144),EXTRACTNUMBER(F144),
EXTRACTNUMBER(H144),EXTRACTNUMBER(J144),
EXTRACTNUMBER(L144),EXTRACTNUMBER(N144),
EXTRACTNUMBER(P144),EXTRACTNUMBER(R144),
EXTRACTNUMBER(T144),EXTRACTNUMBER(V144),
EXTRACTNUMBER(X144),EXTRACTNUMBER(Z144),EXTRACTNUMBER(AB144),
EXTRACTNUMBER(AD144),EXTRACTNUMBER(AF144),EXTRACTNUMBER(AH144)))))</f>
        <v>516</v>
      </c>
      <c r="AK144" s="32" t="str">
        <f t="shared" si="34"/>
        <v>PASS</v>
      </c>
      <c r="AL144" s="33" t="str">
        <f>SPELLNUMBER(extractnumber_tot(AJ144))</f>
        <v xml:space="preserve">Five Hundred Sixteen </v>
      </c>
    </row>
    <row r="145" spans="2:39" s="30" customFormat="1" ht="15.95" customHeight="1">
      <c r="B145" s="37">
        <v>225323</v>
      </c>
      <c r="C145" s="38" t="s">
        <v>338</v>
      </c>
      <c r="D145" s="45">
        <v>48</v>
      </c>
      <c r="E145" s="61" t="str">
        <f t="shared" si="35"/>
        <v/>
      </c>
      <c r="F145" s="48">
        <v>20</v>
      </c>
      <c r="G145" s="62" t="str">
        <f t="shared" si="36"/>
        <v/>
      </c>
      <c r="H145" s="48">
        <v>42</v>
      </c>
      <c r="I145" s="62" t="str">
        <f t="shared" si="37"/>
        <v/>
      </c>
      <c r="J145" s="50">
        <v>42</v>
      </c>
      <c r="K145" s="62" t="str">
        <f t="shared" si="38"/>
        <v/>
      </c>
      <c r="L145" s="48">
        <v>20</v>
      </c>
      <c r="M145" s="62" t="str">
        <f t="shared" si="39"/>
        <v/>
      </c>
      <c r="N145" s="48">
        <v>42</v>
      </c>
      <c r="O145" s="62" t="str">
        <f t="shared" si="40"/>
        <v/>
      </c>
      <c r="P145" s="51">
        <v>57</v>
      </c>
      <c r="Q145" s="62" t="str">
        <f t="shared" si="41"/>
        <v/>
      </c>
      <c r="R145" s="48">
        <v>20</v>
      </c>
      <c r="S145" s="62" t="str">
        <f t="shared" si="42"/>
        <v/>
      </c>
      <c r="T145" s="48">
        <v>22</v>
      </c>
      <c r="U145" s="62" t="str">
        <f t="shared" si="43"/>
        <v/>
      </c>
      <c r="V145" s="51">
        <v>43</v>
      </c>
      <c r="W145" s="62" t="str">
        <f t="shared" si="44"/>
        <v/>
      </c>
      <c r="X145" s="48">
        <v>21</v>
      </c>
      <c r="Y145" s="62" t="str">
        <f t="shared" si="45"/>
        <v/>
      </c>
      <c r="Z145" s="51">
        <v>46</v>
      </c>
      <c r="AA145" s="62" t="str">
        <f t="shared" si="46"/>
        <v/>
      </c>
      <c r="AB145" s="48">
        <v>20</v>
      </c>
      <c r="AC145" s="62" t="str">
        <f t="shared" si="47"/>
        <v/>
      </c>
      <c r="AD145" s="48">
        <v>19</v>
      </c>
      <c r="AE145" s="62" t="str">
        <f t="shared" si="48"/>
        <v/>
      </c>
      <c r="AF145" s="51">
        <v>30</v>
      </c>
      <c r="AG145" s="62" t="str">
        <f t="shared" si="49"/>
        <v/>
      </c>
      <c r="AH145" s="48">
        <v>20</v>
      </c>
      <c r="AI145" s="62" t="str">
        <f t="shared" si="50"/>
        <v/>
      </c>
      <c r="AJ145" s="31">
        <f>IF(AND(OR(COUNTIF(D145:AI145,"=31")&gt;=1,COUNTIF(D145:AI145,"=32")&gt;=1,COUNTIF(D145:AI145,"=33")&gt;=1,COUNTIF(D145:AI145,"=34")&gt;=1,COUNTIF(D145:AI145,"=35")=1,COUNTIF(D145:AI145,"=36")&gt;=1 ),COUNTIF(D145:AI145,"")=0,COUNTIF(D145:AI145," ")=0,COUNTIF(D145:AI145,"F")=1),CONCATENATE(SUM(EXTRACTNUMBER(D145),EXTRACTNUMBER(F145),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EXTRACTNUMBER(AD145),EXTRACTNUMBER(AF145),EXTRACTNUMBER(AH145)),"*"),IF(AND(COUNTIF(D145:AI145,"=34")&gt;=1,COUNTIF(D145:AI145,"=35")&gt;=1,COUNTIF(D145:AI145,"f")=2,COUNTIF(D145:AI145,"")=0,COUNTIF(D145:AI145," ")=0),CONCATENATE(SUM(EXTRACTNUMBER(D145),EXTRACTNUMBER(F145),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EXTRACTNUMBER(AD145),EXTRACTNUMBER(AF145),EXTRACTNUMBER(AH145)),"*"),IF(AND(COUNTIF(D145:AI145,"=36")&gt;=2,COUNTIF(D145:AI145,"f")=2,COUNTIF(D145:AI145,"")=0,COUNTIF(D145:AI145," ")=0),CONCATENATE(SUM(EXTRACTNUMBER(D145),EXTRACTNUMBER(F145),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EXTRACTNUMBER(AD145),EXTRACTNUMBER(AF145),EXTRACTNUMBER(AH145)),"*"),SUM(EXTRACTNUMBER(D145),EXTRACTNUMBER(F145),
EXTRACTNUMBER(H145),EXTRACTNUMBER(J145),
EXTRACTNUMBER(L145),EXTRACTNUMBER(N145),
EXTRACTNUMBER(P145),EXTRACTNUMBER(R145),
EXTRACTNUMBER(T145),EXTRACTNUMBER(V145),
EXTRACTNUMBER(X145),EXTRACTNUMBER(Z145),EXTRACTNUMBER(AB145),
EXTRACTNUMBER(AD145),EXTRACTNUMBER(AF145),EXTRACTNUMBER(AH145)))))</f>
        <v>512</v>
      </c>
      <c r="AK145" s="32" t="str">
        <f t="shared" si="34"/>
        <v>PASS</v>
      </c>
      <c r="AL145" s="33" t="str">
        <f>SPELLNUMBER(extractnumber_tot(AJ145))</f>
        <v xml:space="preserve">Five Hundred Twelve </v>
      </c>
    </row>
    <row r="146" spans="2:39" s="30" customFormat="1" ht="15.95" customHeight="1">
      <c r="B146" s="37">
        <v>225324</v>
      </c>
      <c r="C146" s="38" t="s">
        <v>339</v>
      </c>
      <c r="D146" s="45">
        <v>54</v>
      </c>
      <c r="E146" s="61" t="str">
        <f t="shared" si="35"/>
        <v/>
      </c>
      <c r="F146" s="48">
        <v>20</v>
      </c>
      <c r="G146" s="62" t="str">
        <f t="shared" si="36"/>
        <v/>
      </c>
      <c r="H146" s="48">
        <v>42</v>
      </c>
      <c r="I146" s="62" t="str">
        <f t="shared" si="37"/>
        <v/>
      </c>
      <c r="J146" s="50">
        <v>45</v>
      </c>
      <c r="K146" s="62" t="str">
        <f t="shared" si="38"/>
        <v/>
      </c>
      <c r="L146" s="48">
        <v>20</v>
      </c>
      <c r="M146" s="62" t="str">
        <f t="shared" si="39"/>
        <v/>
      </c>
      <c r="N146" s="48">
        <v>42</v>
      </c>
      <c r="O146" s="62" t="str">
        <f t="shared" si="40"/>
        <v/>
      </c>
      <c r="P146" s="51">
        <v>49</v>
      </c>
      <c r="Q146" s="62" t="str">
        <f t="shared" si="41"/>
        <v/>
      </c>
      <c r="R146" s="48">
        <v>20</v>
      </c>
      <c r="S146" s="62" t="str">
        <f t="shared" si="42"/>
        <v/>
      </c>
      <c r="T146" s="48">
        <v>22</v>
      </c>
      <c r="U146" s="62" t="str">
        <f t="shared" si="43"/>
        <v/>
      </c>
      <c r="V146" s="51">
        <v>43</v>
      </c>
      <c r="W146" s="62" t="str">
        <f t="shared" si="44"/>
        <v/>
      </c>
      <c r="X146" s="48">
        <v>22</v>
      </c>
      <c r="Y146" s="62" t="str">
        <f t="shared" si="45"/>
        <v/>
      </c>
      <c r="Z146" s="51">
        <v>56</v>
      </c>
      <c r="AA146" s="62" t="str">
        <f t="shared" si="46"/>
        <v/>
      </c>
      <c r="AB146" s="48">
        <v>20</v>
      </c>
      <c r="AC146" s="62" t="str">
        <f t="shared" si="47"/>
        <v/>
      </c>
      <c r="AD146" s="48">
        <v>21</v>
      </c>
      <c r="AE146" s="62" t="str">
        <f t="shared" si="48"/>
        <v/>
      </c>
      <c r="AF146" s="51">
        <v>29</v>
      </c>
      <c r="AG146" s="62" t="str">
        <f t="shared" si="49"/>
        <v/>
      </c>
      <c r="AH146" s="48">
        <v>20</v>
      </c>
      <c r="AI146" s="62" t="str">
        <f t="shared" si="50"/>
        <v/>
      </c>
      <c r="AJ146" s="31">
        <f>IF(AND(OR(COUNTIF(D146:AI146,"=31")&gt;=1,COUNTIF(D146:AI146,"=32")&gt;=1,COUNTIF(D146:AI146,"=33")&gt;=1,COUNTIF(D146:AI146,"=34")&gt;=1,COUNTIF(D146:AI146,"=35")=1,COUNTIF(D146:AI146,"=36")&gt;=1 ),COUNTIF(D146:AI146,"")=0,COUNTIF(D146:AI146," ")=0,COUNTIF(D146:AI146,"F")=1),CONCATENATE(SUM(EXTRACTNUMBER(D146),EXTRACTNUMBER(F146),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EXTRACTNUMBER(AD146),EXTRACTNUMBER(AF146),EXTRACTNUMBER(AH146)),"*"),IF(AND(COUNTIF(D146:AI146,"=34")&gt;=1,COUNTIF(D146:AI146,"=35")&gt;=1,COUNTIF(D146:AI146,"f")=2,COUNTIF(D146:AI146,"")=0,COUNTIF(D146:AI146," ")=0),CONCATENATE(SUM(EXTRACTNUMBER(D146),EXTRACTNUMBER(F146),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EXTRACTNUMBER(AD146),EXTRACTNUMBER(AF146),EXTRACTNUMBER(AH146)),"*"),IF(AND(COUNTIF(D146:AI146,"=36")&gt;=2,COUNTIF(D146:AI146,"f")=2,COUNTIF(D146:AI146,"")=0,COUNTIF(D146:AI146," ")=0),CONCATENATE(SUM(EXTRACTNUMBER(D146),EXTRACTNUMBER(F146),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EXTRACTNUMBER(AD146),EXTRACTNUMBER(AF146),EXTRACTNUMBER(AH146)),"*"),SUM(EXTRACTNUMBER(D146),EXTRACTNUMBER(F146),
EXTRACTNUMBER(H146),EXTRACTNUMBER(J146),
EXTRACTNUMBER(L146),EXTRACTNUMBER(N146),
EXTRACTNUMBER(P146),EXTRACTNUMBER(R146),
EXTRACTNUMBER(T146),EXTRACTNUMBER(V146),
EXTRACTNUMBER(X146),EXTRACTNUMBER(Z146),EXTRACTNUMBER(AB146),
EXTRACTNUMBER(AD146),EXTRACTNUMBER(AF146),EXTRACTNUMBER(AH146)))))</f>
        <v>525</v>
      </c>
      <c r="AK146" s="32" t="str">
        <f t="shared" si="34"/>
        <v>PASS</v>
      </c>
      <c r="AL146" s="33" t="str">
        <f>SPELLNUMBER(extractnumber_tot(AJ146))</f>
        <v xml:space="preserve">Five Hundred Twenty Five </v>
      </c>
    </row>
    <row r="147" spans="2:39" s="30" customFormat="1" ht="15.95" customHeight="1">
      <c r="B147" s="37">
        <v>225325</v>
      </c>
      <c r="C147" s="38" t="s">
        <v>340</v>
      </c>
      <c r="D147" s="45">
        <v>49</v>
      </c>
      <c r="E147" s="61" t="str">
        <f t="shared" si="35"/>
        <v/>
      </c>
      <c r="F147" s="48">
        <v>21</v>
      </c>
      <c r="G147" s="62" t="str">
        <f t="shared" si="36"/>
        <v/>
      </c>
      <c r="H147" s="48">
        <v>43</v>
      </c>
      <c r="I147" s="62" t="str">
        <f t="shared" si="37"/>
        <v/>
      </c>
      <c r="J147" s="50">
        <v>46</v>
      </c>
      <c r="K147" s="62" t="str">
        <f t="shared" si="38"/>
        <v/>
      </c>
      <c r="L147" s="48">
        <v>23</v>
      </c>
      <c r="M147" s="62" t="str">
        <f t="shared" si="39"/>
        <v/>
      </c>
      <c r="N147" s="48">
        <v>44</v>
      </c>
      <c r="O147" s="62" t="str">
        <f t="shared" si="40"/>
        <v/>
      </c>
      <c r="P147" s="51">
        <v>52</v>
      </c>
      <c r="Q147" s="62" t="str">
        <f t="shared" si="41"/>
        <v/>
      </c>
      <c r="R147" s="48">
        <v>21</v>
      </c>
      <c r="S147" s="62" t="str">
        <f t="shared" si="42"/>
        <v/>
      </c>
      <c r="T147" s="48">
        <v>23</v>
      </c>
      <c r="U147" s="62" t="str">
        <f t="shared" si="43"/>
        <v/>
      </c>
      <c r="V147" s="51">
        <v>64</v>
      </c>
      <c r="W147" s="62" t="str">
        <f t="shared" si="44"/>
        <v/>
      </c>
      <c r="X147" s="48">
        <v>23</v>
      </c>
      <c r="Y147" s="62" t="str">
        <f t="shared" si="45"/>
        <v/>
      </c>
      <c r="Z147" s="51">
        <v>60</v>
      </c>
      <c r="AA147" s="62" t="str">
        <f t="shared" si="46"/>
        <v/>
      </c>
      <c r="AB147" s="48">
        <v>23</v>
      </c>
      <c r="AC147" s="62" t="str">
        <f t="shared" si="47"/>
        <v/>
      </c>
      <c r="AD147" s="48">
        <v>18</v>
      </c>
      <c r="AE147" s="62" t="str">
        <f t="shared" si="48"/>
        <v/>
      </c>
      <c r="AF147" s="51">
        <v>28</v>
      </c>
      <c r="AG147" s="62" t="str">
        <f t="shared" si="49"/>
        <v/>
      </c>
      <c r="AH147" s="48">
        <v>20</v>
      </c>
      <c r="AI147" s="62" t="str">
        <f t="shared" si="50"/>
        <v/>
      </c>
      <c r="AJ147" s="31">
        <f>IF(AND(OR(COUNTIF(D147:AI147,"=31")&gt;=1,COUNTIF(D147:AI147,"=32")&gt;=1,COUNTIF(D147:AI147,"=33")&gt;=1,COUNTIF(D147:AI147,"=34")&gt;=1,COUNTIF(D147:AI147,"=35")=1,COUNTIF(D147:AI147,"=36")&gt;=1 ),COUNTIF(D147:AI147,"")=0,COUNTIF(D147:AI147," ")=0,COUNTIF(D147:AI147,"F")=1),CONCATENATE(SUM(EXTRACTNUMBER(D147),EXTRACTNUMBER(F147),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EXTRACTNUMBER(AD147),EXTRACTNUMBER(AF147),EXTRACTNUMBER(AH147)),"*"),IF(AND(COUNTIF(D147:AI147,"=34")&gt;=1,COUNTIF(D147:AI147,"=35")&gt;=1,COUNTIF(D147:AI147,"f")=2,COUNTIF(D147:AI147,"")=0,COUNTIF(D147:AI147," ")=0),CONCATENATE(SUM(EXTRACTNUMBER(D147),EXTRACTNUMBER(F147),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EXTRACTNUMBER(AD147),EXTRACTNUMBER(AF147),EXTRACTNUMBER(AH147)),"*"),IF(AND(COUNTIF(D147:AI147,"=36")&gt;=2,COUNTIF(D147:AI147,"f")=2,COUNTIF(D147:AI147,"")=0,COUNTIF(D147:AI147," ")=0),CONCATENATE(SUM(EXTRACTNUMBER(D147),EXTRACTNUMBER(F147),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EXTRACTNUMBER(AD147),EXTRACTNUMBER(AF147),EXTRACTNUMBER(AH147)),"*"),SUM(EXTRACTNUMBER(D147),EXTRACTNUMBER(F147),
EXTRACTNUMBER(H147),EXTRACTNUMBER(J147),
EXTRACTNUMBER(L147),EXTRACTNUMBER(N147),
EXTRACTNUMBER(P147),EXTRACTNUMBER(R147),
EXTRACTNUMBER(T147),EXTRACTNUMBER(V147),
EXTRACTNUMBER(X147),EXTRACTNUMBER(Z147),EXTRACTNUMBER(AB147),
EXTRACTNUMBER(AD147),EXTRACTNUMBER(AF147),EXTRACTNUMBER(AH147)))))</f>
        <v>558</v>
      </c>
      <c r="AK147" s="32" t="str">
        <f t="shared" si="34"/>
        <v>PASS</v>
      </c>
      <c r="AL147" s="33" t="str">
        <f>SPELLNUMBER(extractnumber_tot(AJ147))</f>
        <v xml:space="preserve">Five Hundred Fifty Eight </v>
      </c>
    </row>
    <row r="148" spans="2:39" s="30" customFormat="1" ht="15.95" customHeight="1">
      <c r="B148" s="37">
        <v>225326</v>
      </c>
      <c r="C148" s="38" t="s">
        <v>341</v>
      </c>
      <c r="D148" s="45">
        <v>40</v>
      </c>
      <c r="E148" s="61" t="str">
        <f t="shared" si="35"/>
        <v/>
      </c>
      <c r="F148" s="48">
        <v>19</v>
      </c>
      <c r="G148" s="62" t="str">
        <f t="shared" si="36"/>
        <v/>
      </c>
      <c r="H148" s="48">
        <v>40</v>
      </c>
      <c r="I148" s="62" t="str">
        <f t="shared" si="37"/>
        <v/>
      </c>
      <c r="J148" s="50">
        <v>45</v>
      </c>
      <c r="K148" s="62" t="str">
        <f t="shared" si="38"/>
        <v/>
      </c>
      <c r="L148" s="48">
        <v>20</v>
      </c>
      <c r="M148" s="62" t="str">
        <f t="shared" si="39"/>
        <v/>
      </c>
      <c r="N148" s="48">
        <v>40</v>
      </c>
      <c r="O148" s="62" t="str">
        <f t="shared" si="40"/>
        <v/>
      </c>
      <c r="P148" s="51">
        <v>50</v>
      </c>
      <c r="Q148" s="62" t="str">
        <f t="shared" si="41"/>
        <v/>
      </c>
      <c r="R148" s="48">
        <v>19</v>
      </c>
      <c r="S148" s="62" t="str">
        <f t="shared" si="42"/>
        <v/>
      </c>
      <c r="T148" s="48">
        <v>20</v>
      </c>
      <c r="U148" s="62" t="str">
        <f t="shared" si="43"/>
        <v/>
      </c>
      <c r="V148" s="51">
        <v>50</v>
      </c>
      <c r="W148" s="62" t="str">
        <f t="shared" si="44"/>
        <v/>
      </c>
      <c r="X148" s="48">
        <v>16</v>
      </c>
      <c r="Y148" s="62" t="str">
        <f t="shared" si="45"/>
        <v/>
      </c>
      <c r="Z148" s="51">
        <v>40</v>
      </c>
      <c r="AA148" s="62" t="str">
        <f t="shared" si="46"/>
        <v/>
      </c>
      <c r="AB148" s="48">
        <v>20</v>
      </c>
      <c r="AC148" s="62" t="str">
        <f t="shared" si="47"/>
        <v/>
      </c>
      <c r="AD148" s="48">
        <v>20</v>
      </c>
      <c r="AE148" s="62" t="str">
        <f t="shared" si="48"/>
        <v/>
      </c>
      <c r="AF148" s="51">
        <v>20</v>
      </c>
      <c r="AG148" s="62" t="str">
        <f t="shared" si="49"/>
        <v/>
      </c>
      <c r="AH148" s="48">
        <v>16</v>
      </c>
      <c r="AI148" s="62" t="str">
        <f t="shared" si="50"/>
        <v/>
      </c>
      <c r="AJ148" s="31">
        <f>IF(AND(OR(COUNTIF(D148:AI148,"=31")&gt;=1,COUNTIF(D148:AI148,"=32")&gt;=1,COUNTIF(D148:AI148,"=33")&gt;=1,COUNTIF(D148:AI148,"=34")&gt;=1,COUNTIF(D148:AI148,"=35")=1,COUNTIF(D148:AI148,"=36")&gt;=1 ),COUNTIF(D148:AI148,"")=0,COUNTIF(D148:AI148," ")=0,COUNTIF(D148:AI148,"F")=1),CONCATENATE(SUM(EXTRACTNUMBER(D148),EXTRACTNUMBER(F148),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EXTRACTNUMBER(AD148),EXTRACTNUMBER(AF148),EXTRACTNUMBER(AH148)),"*"),IF(AND(COUNTIF(D148:AI148,"=34")&gt;=1,COUNTIF(D148:AI148,"=35")&gt;=1,COUNTIF(D148:AI148,"f")=2,COUNTIF(D148:AI148,"")=0,COUNTIF(D148:AI148," ")=0),CONCATENATE(SUM(EXTRACTNUMBER(D148),EXTRACTNUMBER(F148),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EXTRACTNUMBER(AD148),EXTRACTNUMBER(AF148),EXTRACTNUMBER(AH148)),"*"),IF(AND(COUNTIF(D148:AI148,"=36")&gt;=2,COUNTIF(D148:AI148,"f")=2,COUNTIF(D148:AI148,"")=0,COUNTIF(D148:AI148," ")=0),CONCATENATE(SUM(EXTRACTNUMBER(D148),EXTRACTNUMBER(F148),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EXTRACTNUMBER(AD148),EXTRACTNUMBER(AF148),EXTRACTNUMBER(AH148)),"*"),SUM(EXTRACTNUMBER(D148),EXTRACTNUMBER(F148),
EXTRACTNUMBER(H148),EXTRACTNUMBER(J148),
EXTRACTNUMBER(L148),EXTRACTNUMBER(N148),
EXTRACTNUMBER(P148),EXTRACTNUMBER(R148),
EXTRACTNUMBER(T148),EXTRACTNUMBER(V148),
EXTRACTNUMBER(X148),EXTRACTNUMBER(Z148),EXTRACTNUMBER(AB148),
EXTRACTNUMBER(AD148),EXTRACTNUMBER(AF148),EXTRACTNUMBER(AH148)))))</f>
        <v>475</v>
      </c>
      <c r="AK148" s="32" t="str">
        <f t="shared" si="34"/>
        <v>PASS</v>
      </c>
      <c r="AL148" s="33" t="str">
        <f>SPELLNUMBER(extractnumber_tot(AJ148))</f>
        <v xml:space="preserve">Four Hundred Seventy Five </v>
      </c>
    </row>
    <row r="149" spans="2:39" s="30" customFormat="1" ht="15.95" customHeight="1">
      <c r="B149" s="37">
        <v>225327</v>
      </c>
      <c r="C149" s="38" t="s">
        <v>342</v>
      </c>
      <c r="D149" s="45">
        <v>63</v>
      </c>
      <c r="E149" s="61" t="str">
        <f t="shared" si="35"/>
        <v/>
      </c>
      <c r="F149" s="48">
        <v>20</v>
      </c>
      <c r="G149" s="62" t="str">
        <f t="shared" si="36"/>
        <v/>
      </c>
      <c r="H149" s="48">
        <v>42</v>
      </c>
      <c r="I149" s="62" t="str">
        <f t="shared" si="37"/>
        <v/>
      </c>
      <c r="J149" s="50">
        <v>48</v>
      </c>
      <c r="K149" s="62" t="str">
        <f t="shared" si="38"/>
        <v/>
      </c>
      <c r="L149" s="48">
        <v>19</v>
      </c>
      <c r="M149" s="62" t="str">
        <f t="shared" si="39"/>
        <v/>
      </c>
      <c r="N149" s="48">
        <v>42</v>
      </c>
      <c r="O149" s="62" t="str">
        <f t="shared" si="40"/>
        <v/>
      </c>
      <c r="P149" s="51">
        <v>60</v>
      </c>
      <c r="Q149" s="62" t="str">
        <f t="shared" si="41"/>
        <v/>
      </c>
      <c r="R149" s="48">
        <v>20</v>
      </c>
      <c r="S149" s="62" t="str">
        <f t="shared" si="42"/>
        <v/>
      </c>
      <c r="T149" s="48">
        <v>22</v>
      </c>
      <c r="U149" s="62" t="str">
        <f t="shared" si="43"/>
        <v/>
      </c>
      <c r="V149" s="51">
        <v>68</v>
      </c>
      <c r="W149" s="62" t="str">
        <f t="shared" si="44"/>
        <v/>
      </c>
      <c r="X149" s="48">
        <v>18</v>
      </c>
      <c r="Y149" s="62" t="str">
        <f t="shared" si="45"/>
        <v/>
      </c>
      <c r="Z149" s="51">
        <v>69</v>
      </c>
      <c r="AA149" s="62" t="str">
        <f t="shared" si="46"/>
        <v/>
      </c>
      <c r="AB149" s="48">
        <v>19</v>
      </c>
      <c r="AC149" s="62" t="str">
        <f t="shared" si="47"/>
        <v/>
      </c>
      <c r="AD149" s="48">
        <v>18</v>
      </c>
      <c r="AE149" s="62" t="str">
        <f t="shared" si="48"/>
        <v/>
      </c>
      <c r="AF149" s="51">
        <v>35</v>
      </c>
      <c r="AG149" s="62" t="str">
        <f t="shared" si="49"/>
        <v/>
      </c>
      <c r="AH149" s="48">
        <v>23</v>
      </c>
      <c r="AI149" s="62" t="str">
        <f t="shared" si="50"/>
        <v/>
      </c>
      <c r="AJ149" s="31">
        <f>IF(AND(OR(COUNTIF(D149:AI149,"=31")&gt;=1,COUNTIF(D149:AI149,"=32")&gt;=1,COUNTIF(D149:AI149,"=33")&gt;=1,COUNTIF(D149:AI149,"=34")&gt;=1,COUNTIF(D149:AI149,"=35")=1,COUNTIF(D149:AI149,"=36")&gt;=1 ),COUNTIF(D149:AI149,"")=0,COUNTIF(D149:AI149," ")=0,COUNTIF(D149:AI149,"F")=1),CONCATENATE(SUM(EXTRACTNUMBER(D149),EXTRACTNUMBER(F149),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EXTRACTNUMBER(AD149),EXTRACTNUMBER(AF149),EXTRACTNUMBER(AH149)),"*"),IF(AND(COUNTIF(D149:AI149,"=34")&gt;=1,COUNTIF(D149:AI149,"=35")&gt;=1,COUNTIF(D149:AI149,"f")=2,COUNTIF(D149:AI149,"")=0,COUNTIF(D149:AI149," ")=0),CONCATENATE(SUM(EXTRACTNUMBER(D149),EXTRACTNUMBER(F149),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EXTRACTNUMBER(AD149),EXTRACTNUMBER(AF149),EXTRACTNUMBER(AH149)),"*"),IF(AND(COUNTIF(D149:AI149,"=36")&gt;=2,COUNTIF(D149:AI149,"f")=2,COUNTIF(D149:AI149,"")=0,COUNTIF(D149:AI149," ")=0),CONCATENATE(SUM(EXTRACTNUMBER(D149),EXTRACTNUMBER(F149),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EXTRACTNUMBER(AD149),EXTRACTNUMBER(AF149),EXTRACTNUMBER(AH149)),"*"),SUM(EXTRACTNUMBER(D149),EXTRACTNUMBER(F149),
EXTRACTNUMBER(H149),EXTRACTNUMBER(J149),
EXTRACTNUMBER(L149),EXTRACTNUMBER(N149),
EXTRACTNUMBER(P149),EXTRACTNUMBER(R149),
EXTRACTNUMBER(T149),EXTRACTNUMBER(V149),
EXTRACTNUMBER(X149),EXTRACTNUMBER(Z149),EXTRACTNUMBER(AB149),
EXTRACTNUMBER(AD149),EXTRACTNUMBER(AF149),EXTRACTNUMBER(AH149)))))</f>
        <v>586</v>
      </c>
      <c r="AK149" s="32" t="str">
        <f t="shared" si="34"/>
        <v>PASS</v>
      </c>
      <c r="AL149" s="33" t="str">
        <f>SPELLNUMBER(extractnumber_tot(AJ149))</f>
        <v xml:space="preserve">Five Hundred Eighty Six </v>
      </c>
    </row>
    <row r="150" spans="2:39" s="30" customFormat="1" ht="15.95" customHeight="1">
      <c r="B150" s="37">
        <v>225328</v>
      </c>
      <c r="C150" s="38" t="s">
        <v>343</v>
      </c>
      <c r="D150" s="45">
        <v>48</v>
      </c>
      <c r="E150" s="61" t="str">
        <f t="shared" si="35"/>
        <v/>
      </c>
      <c r="F150" s="48">
        <v>21</v>
      </c>
      <c r="G150" s="62" t="str">
        <f t="shared" si="36"/>
        <v/>
      </c>
      <c r="H150" s="48">
        <v>42</v>
      </c>
      <c r="I150" s="62" t="str">
        <f t="shared" si="37"/>
        <v/>
      </c>
      <c r="J150" s="50">
        <v>40</v>
      </c>
      <c r="K150" s="62" t="str">
        <f t="shared" si="38"/>
        <v/>
      </c>
      <c r="L150" s="48">
        <v>19</v>
      </c>
      <c r="M150" s="62" t="str">
        <f t="shared" si="39"/>
        <v/>
      </c>
      <c r="N150" s="48">
        <v>42</v>
      </c>
      <c r="O150" s="62" t="str">
        <f t="shared" si="40"/>
        <v/>
      </c>
      <c r="P150" s="51">
        <v>40</v>
      </c>
      <c r="Q150" s="62" t="str">
        <f t="shared" si="41"/>
        <v/>
      </c>
      <c r="R150" s="48">
        <v>21</v>
      </c>
      <c r="S150" s="62" t="str">
        <f t="shared" si="42"/>
        <v/>
      </c>
      <c r="T150" s="48">
        <v>22</v>
      </c>
      <c r="U150" s="62" t="str">
        <f t="shared" si="43"/>
        <v/>
      </c>
      <c r="V150" s="51">
        <v>46</v>
      </c>
      <c r="W150" s="62" t="str">
        <f t="shared" si="44"/>
        <v/>
      </c>
      <c r="X150" s="48">
        <v>21</v>
      </c>
      <c r="Y150" s="62" t="str">
        <f t="shared" si="45"/>
        <v/>
      </c>
      <c r="Z150" s="51">
        <v>40</v>
      </c>
      <c r="AA150" s="62" t="str">
        <f t="shared" si="46"/>
        <v/>
      </c>
      <c r="AB150" s="48">
        <v>19</v>
      </c>
      <c r="AC150" s="62" t="str">
        <f t="shared" si="47"/>
        <v/>
      </c>
      <c r="AD150" s="48">
        <v>18</v>
      </c>
      <c r="AE150" s="62" t="str">
        <f t="shared" si="48"/>
        <v/>
      </c>
      <c r="AF150" s="51">
        <v>30</v>
      </c>
      <c r="AG150" s="62" t="str">
        <f t="shared" si="49"/>
        <v/>
      </c>
      <c r="AH150" s="48">
        <v>23</v>
      </c>
      <c r="AI150" s="62" t="str">
        <f t="shared" si="50"/>
        <v/>
      </c>
      <c r="AJ150" s="31">
        <f>IF(AND(OR(COUNTIF(D150:AI150,"=31")&gt;=1,COUNTIF(D150:AI150,"=32")&gt;=1,COUNTIF(D150:AI150,"=33")&gt;=1,COUNTIF(D150:AI150,"=34")&gt;=1,COUNTIF(D150:AI150,"=35")=1,COUNTIF(D150:AI150,"=36")&gt;=1 ),COUNTIF(D150:AI150,"")=0,COUNTIF(D150:AI150," ")=0,COUNTIF(D150:AI150,"F")=1),CONCATENATE(SUM(EXTRACTNUMBER(D150),EXTRACTNUMBER(F150),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EXTRACTNUMBER(AD150),EXTRACTNUMBER(AF150),EXTRACTNUMBER(AH150)),"*"),IF(AND(COUNTIF(D150:AI150,"=34")&gt;=1,COUNTIF(D150:AI150,"=35")&gt;=1,COUNTIF(D150:AI150,"f")=2,COUNTIF(D150:AI150,"")=0,COUNTIF(D150:AI150," ")=0),CONCATENATE(SUM(EXTRACTNUMBER(D150),EXTRACTNUMBER(F150),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EXTRACTNUMBER(AD150),EXTRACTNUMBER(AF150),EXTRACTNUMBER(AH150)),"*"),IF(AND(COUNTIF(D150:AI150,"=36")&gt;=2,COUNTIF(D150:AI150,"f")=2,COUNTIF(D150:AI150,"")=0,COUNTIF(D150:AI150," ")=0),CONCATENATE(SUM(EXTRACTNUMBER(D150),EXTRACTNUMBER(F150),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EXTRACTNUMBER(AD150),EXTRACTNUMBER(AF150),EXTRACTNUMBER(AH150)),"*"),SUM(EXTRACTNUMBER(D150),EXTRACTNUMBER(F150),
EXTRACTNUMBER(H150),EXTRACTNUMBER(J150),
EXTRACTNUMBER(L150),EXTRACTNUMBER(N150),
EXTRACTNUMBER(P150),EXTRACTNUMBER(R150),
EXTRACTNUMBER(T150),EXTRACTNUMBER(V150),
EXTRACTNUMBER(X150),EXTRACTNUMBER(Z150),EXTRACTNUMBER(AB150),
EXTRACTNUMBER(AD150),EXTRACTNUMBER(AF150),EXTRACTNUMBER(AH150)))))</f>
        <v>492</v>
      </c>
      <c r="AK150" s="32" t="str">
        <f t="shared" si="34"/>
        <v>PASS</v>
      </c>
      <c r="AL150" s="33" t="str">
        <f>SPELLNUMBER(extractnumber_tot(AJ150))</f>
        <v xml:space="preserve">Four Hundred NinetyTwo </v>
      </c>
    </row>
    <row r="151" spans="2:39" s="30" customFormat="1" ht="15.95" customHeight="1">
      <c r="B151" s="37">
        <v>225329</v>
      </c>
      <c r="C151" s="38" t="s">
        <v>344</v>
      </c>
      <c r="D151" s="45">
        <v>40</v>
      </c>
      <c r="E151" s="61" t="str">
        <f t="shared" si="35"/>
        <v/>
      </c>
      <c r="F151" s="48">
        <v>21</v>
      </c>
      <c r="G151" s="62" t="str">
        <f t="shared" si="36"/>
        <v/>
      </c>
      <c r="H151" s="48">
        <v>39</v>
      </c>
      <c r="I151" s="62" t="str">
        <f t="shared" si="37"/>
        <v/>
      </c>
      <c r="J151" s="50">
        <v>40</v>
      </c>
      <c r="K151" s="62" t="str">
        <f t="shared" si="38"/>
        <v/>
      </c>
      <c r="L151" s="48">
        <v>21</v>
      </c>
      <c r="M151" s="62" t="str">
        <f t="shared" si="39"/>
        <v/>
      </c>
      <c r="N151" s="48">
        <v>42</v>
      </c>
      <c r="O151" s="62" t="str">
        <f t="shared" si="40"/>
        <v/>
      </c>
      <c r="P151" s="51">
        <v>40</v>
      </c>
      <c r="Q151" s="62" t="str">
        <f t="shared" si="41"/>
        <v/>
      </c>
      <c r="R151" s="48">
        <v>21</v>
      </c>
      <c r="S151" s="62" t="str">
        <f t="shared" si="42"/>
        <v/>
      </c>
      <c r="T151" s="48">
        <v>20</v>
      </c>
      <c r="U151" s="62" t="str">
        <f t="shared" si="43"/>
        <v/>
      </c>
      <c r="V151" s="51">
        <v>55</v>
      </c>
      <c r="W151" s="62" t="str">
        <f t="shared" si="44"/>
        <v/>
      </c>
      <c r="X151" s="48">
        <v>21</v>
      </c>
      <c r="Y151" s="62" t="str">
        <f t="shared" si="45"/>
        <v/>
      </c>
      <c r="Z151" s="51">
        <v>41</v>
      </c>
      <c r="AA151" s="62" t="str">
        <f t="shared" si="46"/>
        <v/>
      </c>
      <c r="AB151" s="48">
        <v>21</v>
      </c>
      <c r="AC151" s="62" t="str">
        <f t="shared" si="47"/>
        <v/>
      </c>
      <c r="AD151" s="48">
        <v>19</v>
      </c>
      <c r="AE151" s="62" t="str">
        <f t="shared" si="48"/>
        <v/>
      </c>
      <c r="AF151" s="51">
        <v>24</v>
      </c>
      <c r="AG151" s="62" t="str">
        <f t="shared" si="49"/>
        <v/>
      </c>
      <c r="AH151" s="48">
        <v>20</v>
      </c>
      <c r="AI151" s="62" t="str">
        <f t="shared" si="50"/>
        <v/>
      </c>
      <c r="AJ151" s="31">
        <f>IF(AND(OR(COUNTIF(D151:AI151,"=31")&gt;=1,COUNTIF(D151:AI151,"=32")&gt;=1,COUNTIF(D151:AI151,"=33")&gt;=1,COUNTIF(D151:AI151,"=34")&gt;=1,COUNTIF(D151:AI151,"=35")=1,COUNTIF(D151:AI151,"=36")&gt;=1 ),COUNTIF(D151:AI151,"")=0,COUNTIF(D151:AI151," ")=0,COUNTIF(D151:AI151,"F")=1),CONCATENATE(SUM(EXTRACTNUMBER(D151),EXTRACTNUMBER(F151),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EXTRACTNUMBER(AD151),EXTRACTNUMBER(AF151),EXTRACTNUMBER(AH151)),"*"),IF(AND(COUNTIF(D151:AI151,"=34")&gt;=1,COUNTIF(D151:AI151,"=35")&gt;=1,COUNTIF(D151:AI151,"f")=2,COUNTIF(D151:AI151,"")=0,COUNTIF(D151:AI151," ")=0),CONCATENATE(SUM(EXTRACTNUMBER(D151),EXTRACTNUMBER(F151),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EXTRACTNUMBER(AD151),EXTRACTNUMBER(AF151),EXTRACTNUMBER(AH151)),"*"),IF(AND(COUNTIF(D151:AI151,"=36")&gt;=2,COUNTIF(D151:AI151,"f")=2,COUNTIF(D151:AI151,"")=0,COUNTIF(D151:AI151," ")=0),CONCATENATE(SUM(EXTRACTNUMBER(D151),EXTRACTNUMBER(F151),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EXTRACTNUMBER(AD151),EXTRACTNUMBER(AF151),EXTRACTNUMBER(AH151)),"*"),SUM(EXTRACTNUMBER(D151),EXTRACTNUMBER(F151),
EXTRACTNUMBER(H151),EXTRACTNUMBER(J151),
EXTRACTNUMBER(L151),EXTRACTNUMBER(N151),
EXTRACTNUMBER(P151),EXTRACTNUMBER(R151),
EXTRACTNUMBER(T151),EXTRACTNUMBER(V151),
EXTRACTNUMBER(X151),EXTRACTNUMBER(Z151),EXTRACTNUMBER(AB151),
EXTRACTNUMBER(AD151),EXTRACTNUMBER(AF151),EXTRACTNUMBER(AH151)))))</f>
        <v>485</v>
      </c>
      <c r="AK151" s="32" t="str">
        <f t="shared" si="34"/>
        <v>PASS</v>
      </c>
      <c r="AL151" s="33" t="str">
        <f>SPELLNUMBER(extractnumber_tot(AJ151))</f>
        <v xml:space="preserve">Four Hundred Eighty Five </v>
      </c>
    </row>
    <row r="152" spans="2:39" s="30" customFormat="1" ht="15.95" customHeight="1">
      <c r="B152" s="37">
        <v>225330</v>
      </c>
      <c r="C152" s="38" t="s">
        <v>345</v>
      </c>
      <c r="D152" s="45">
        <v>46</v>
      </c>
      <c r="E152" s="61" t="str">
        <f t="shared" ref="E152:E215" si="51">IF(IFERROR(FIND("+",D152),0)," ",
IF(D152="AB","",
IF(D152&lt;$D$24,"F",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F152" s="48">
        <v>20</v>
      </c>
      <c r="G152" s="62" t="str">
        <f t="shared" ref="G152:G215" si="52">IF(IFERROR(FIND("+",F152),0)," ",
IF(F152="AB","",
IF(F152&lt;$F$24,"F",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H152" s="48">
        <v>39</v>
      </c>
      <c r="I152" s="62" t="str">
        <f t="shared" ref="I152:I215" si="53">IF(IFERROR(FIND("+",H152),0)," ",
IF(H152="AB","",
IF(H152&lt;$H$24,"F",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J152" s="50">
        <v>41</v>
      </c>
      <c r="K152" s="62" t="str">
        <f t="shared" ref="K152:K215" si="54">IF(IFERROR(FIND("+",J152),0)," ",
IF(J152="AB","",
IF(J152&lt;$J$24,"F",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L152" s="48">
        <v>21</v>
      </c>
      <c r="M152" s="62" t="str">
        <f t="shared" ref="M152:M215" si="55">IF(IFERROR(FIND("+",L152),0)," ",
IF(L152="AB","",
IF(L152&lt;$L$24,"F",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N152" s="48">
        <v>44</v>
      </c>
      <c r="O152" s="62" t="str">
        <f t="shared" ref="O152:O215" si="56">IF(IFERROR(FIND("+",N152),0)," ",
IF(N152="AB","",
IF(N152&lt;$N$24,"F",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P152" s="51">
        <v>51</v>
      </c>
      <c r="Q152" s="62" t="str">
        <f t="shared" ref="Q152:Q215" si="57">IF(IFERROR(FIND("+",P152),0)," ",
IF(P152="AB","",
IF(P152&lt;$P$24,"F",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R152" s="48">
        <v>20</v>
      </c>
      <c r="S152" s="62" t="str">
        <f t="shared" ref="S152:S215" si="58">IF(IFERROR(FIND("+",R152),0)," ",
IF(R152="AB","",
IF(R152&lt;$R$24,"F",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T152" s="48">
        <v>20</v>
      </c>
      <c r="U152" s="62" t="str">
        <f t="shared" ref="U152:U215" si="59">IF(IFERROR(FIND("+",T152),0)," ",
IF(T152="AB","",
IF(T152&lt;$T$24,"F",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V152" s="51">
        <v>58</v>
      </c>
      <c r="W152" s="62" t="str">
        <f t="shared" ref="W152:W215" si="60">IF(IFERROR(FIND("+",V152),0)," ",
IF(V152="AB","",
IF(V152&lt;$V$24,"F",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X152" s="48">
        <v>17</v>
      </c>
      <c r="Y152" s="62" t="str">
        <f t="shared" ref="Y152:Y215" si="61">IF(IFERROR(FIND("+",X152),0)," ",
IF(X152="AB","",
IF(X152&lt;$X$24,"F",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Z152" s="51">
        <v>45</v>
      </c>
      <c r="AA152" s="62" t="str">
        <f t="shared" ref="AA152:AA215" si="62">IF(IFERROR(FIND("+",Z152),0)," ",
IF(Z152="AB","",
IF(Z152&lt;$Z$24,"F",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AB152" s="48">
        <v>21</v>
      </c>
      <c r="AC152" s="62" t="str">
        <f t="shared" ref="AC152:AC215" si="63">IF(IFERROR(FIND("+",AB152),0)," ",
IF(AB152="AB","",
IF(AB152&lt;$AB$24,"F",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AD152" s="48">
        <v>17</v>
      </c>
      <c r="AE152" s="62" t="str">
        <f t="shared" ref="AE152:AE215" si="64">IF(IFERROR(FIND("+",AD152),0)," ",
IF(AD152="AB","",
IF(AD152&lt;$AD$24,"F",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AF152" s="51">
        <v>22</v>
      </c>
      <c r="AG152" s="62" t="str">
        <f t="shared" ref="AG152:AG215" si="65">IF(IFERROR(FIND("+",AF152),0)," ",
IF(AF152="AB","",
IF(AF152&lt;$AF$24,"F",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AH152" s="48">
        <v>19</v>
      </c>
      <c r="AI152" s="62" t="str">
        <f t="shared" ref="AI152:AI215" si="66">IF(IFERROR(FIND("+",AH152),0)," ",
IF(AH152="AB","",
IF(AH152&lt;$AH$24,"F",
IF(AND(D152&gt;=$D$24,F152&gt;=$F$24,H152&gt;=$H$24,
J152&gt;=$J$24,L152&gt;=$L$24,
N152&gt;=$N$24,P152&gt;=$P$24,R152&gt;=$R$24,T152&gt;=$T$24,V152&gt;=$V$24,
X152&gt;=$X$24,Z152&gt;=$Z$24,AB152&gt;=$AB$24,AD152&gt;=$AD$24,AF152&gt;=$AF$24,
AH152&gt;=$AH$24,D152&lt;&gt;"AB",F152&lt;&gt;"AB",H152&lt;&gt;"AB",
J152&lt;&gt;"AB",L152&lt;&gt;"AB",
N152&lt;&gt;"AB",P152&lt;&gt;"AB",R152&lt;&gt;"AB",T152&lt;&gt;"AB",V152&lt;&gt;"AB",
X152&lt;&gt;"AB",Z152&lt;&gt;"AB",AB152&lt;&gt;"AB",AD152&lt;&gt;"AB",AF152&lt;&gt;"AB",
AH152&lt;&gt;"AB"),"","E"))))</f>
        <v/>
      </c>
      <c r="AJ152" s="31">
        <f>IF(AND(OR(COUNTIF(D152:AI152,"=31")&gt;=1,COUNTIF(D152:AI152,"=32")&gt;=1,COUNTIF(D152:AI152,"=33")&gt;=1,COUNTIF(D152:AI152,"=34")&gt;=1,COUNTIF(D152:AI152,"=35")=1,COUNTIF(D152:AI152,"=36")&gt;=1 ),COUNTIF(D152:AI152,"")=0,COUNTIF(D152:AI152," ")=0,COUNTIF(D152:AI152,"F")=1),CONCATENATE(SUM(EXTRACTNUMBER(D152),EXTRACTNUMBER(F152),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EXTRACTNUMBER(AD152),EXTRACTNUMBER(AF152),EXTRACTNUMBER(AH152)),"*"),IF(AND(COUNTIF(D152:AI152,"=34")&gt;=1,COUNTIF(D152:AI152,"=35")&gt;=1,COUNTIF(D152:AI152,"f")=2,COUNTIF(D152:AI152,"")=0,COUNTIF(D152:AI152," ")=0),CONCATENATE(SUM(EXTRACTNUMBER(D152),EXTRACTNUMBER(F152),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EXTRACTNUMBER(AD152),EXTRACTNUMBER(AF152),EXTRACTNUMBER(AH152)),"*"),IF(AND(COUNTIF(D152:AI152,"=36")&gt;=2,COUNTIF(D152:AI152,"f")=2,COUNTIF(D152:AI152,"")=0,COUNTIF(D152:AI152," ")=0),CONCATENATE(SUM(EXTRACTNUMBER(D152),EXTRACTNUMBER(F152),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EXTRACTNUMBER(AD152),EXTRACTNUMBER(AF152),EXTRACTNUMBER(AH152)),"*"),SUM(EXTRACTNUMBER(D152),EXTRACTNUMBER(F152),
EXTRACTNUMBER(H152),EXTRACTNUMBER(J152),
EXTRACTNUMBER(L152),EXTRACTNUMBER(N152),
EXTRACTNUMBER(P152),EXTRACTNUMBER(R152),
EXTRACTNUMBER(T152),EXTRACTNUMBER(V152),
EXTRACTNUMBER(X152),EXTRACTNUMBER(Z152),EXTRACTNUMBER(AB152),
EXTRACTNUMBER(AD152),EXTRACTNUMBER(AF152),EXTRACTNUMBER(AH152)))))</f>
        <v>501</v>
      </c>
      <c r="AK152" s="32" t="str">
        <f t="shared" si="34"/>
        <v>PASS</v>
      </c>
      <c r="AL152" s="33" t="str">
        <f>SPELLNUMBER(extractnumber_tot(AJ152))</f>
        <v xml:space="preserve">Five Hundred One </v>
      </c>
    </row>
    <row r="153" spans="2:39" s="30" customFormat="1" ht="15.95" customHeight="1">
      <c r="B153" s="37">
        <v>225331</v>
      </c>
      <c r="C153" s="38" t="s">
        <v>346</v>
      </c>
      <c r="D153" s="45">
        <v>65</v>
      </c>
      <c r="E153" s="61" t="str">
        <f t="shared" si="51"/>
        <v/>
      </c>
      <c r="F153" s="48">
        <v>20</v>
      </c>
      <c r="G153" s="62" t="str">
        <f t="shared" si="52"/>
        <v/>
      </c>
      <c r="H153" s="48">
        <v>38</v>
      </c>
      <c r="I153" s="62" t="str">
        <f t="shared" si="53"/>
        <v/>
      </c>
      <c r="J153" s="50">
        <v>50</v>
      </c>
      <c r="K153" s="62" t="str">
        <f t="shared" si="54"/>
        <v/>
      </c>
      <c r="L153" s="48">
        <v>22</v>
      </c>
      <c r="M153" s="62" t="str">
        <f t="shared" si="55"/>
        <v/>
      </c>
      <c r="N153" s="48">
        <v>42</v>
      </c>
      <c r="O153" s="62" t="str">
        <f t="shared" si="56"/>
        <v/>
      </c>
      <c r="P153" s="51">
        <v>80</v>
      </c>
      <c r="Q153" s="62" t="str">
        <f t="shared" si="57"/>
        <v/>
      </c>
      <c r="R153" s="48">
        <v>20</v>
      </c>
      <c r="S153" s="62" t="str">
        <f t="shared" si="58"/>
        <v/>
      </c>
      <c r="T153" s="48">
        <v>19</v>
      </c>
      <c r="U153" s="62" t="str">
        <f t="shared" si="59"/>
        <v/>
      </c>
      <c r="V153" s="51">
        <v>66</v>
      </c>
      <c r="W153" s="62" t="str">
        <f t="shared" si="60"/>
        <v/>
      </c>
      <c r="X153" s="48">
        <v>20</v>
      </c>
      <c r="Y153" s="62" t="str">
        <f t="shared" si="61"/>
        <v/>
      </c>
      <c r="Z153" s="51">
        <v>40</v>
      </c>
      <c r="AA153" s="62" t="str">
        <f t="shared" si="62"/>
        <v/>
      </c>
      <c r="AB153" s="48">
        <v>22</v>
      </c>
      <c r="AC153" s="62" t="str">
        <f t="shared" si="63"/>
        <v/>
      </c>
      <c r="AD153" s="48">
        <v>14</v>
      </c>
      <c r="AE153" s="62" t="str">
        <f t="shared" si="64"/>
        <v/>
      </c>
      <c r="AF153" s="51">
        <v>34</v>
      </c>
      <c r="AG153" s="62" t="str">
        <f t="shared" si="65"/>
        <v/>
      </c>
      <c r="AH153" s="48">
        <v>23</v>
      </c>
      <c r="AI153" s="62" t="str">
        <f t="shared" si="66"/>
        <v/>
      </c>
      <c r="AJ153" s="31">
        <f>IF(AND(OR(COUNTIF(D153:AI153,"=31")&gt;=1,COUNTIF(D153:AI153,"=32")&gt;=1,COUNTIF(D153:AI153,"=33")&gt;=1,COUNTIF(D153:AI153,"=34")&gt;=1,COUNTIF(D153:AI153,"=35")=1,COUNTIF(D153:AI153,"=36")&gt;=1 ),COUNTIF(D153:AI153,"")=0,COUNTIF(D153:AI153," ")=0,COUNTIF(D153:AI153,"F")=1),CONCATENATE(SUM(EXTRACTNUMBER(D153),EXTRACTNUMBER(F153),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EXTRACTNUMBER(AD153),EXTRACTNUMBER(AF153),EXTRACTNUMBER(AH153)),"*"),IF(AND(COUNTIF(D153:AI153,"=34")&gt;=1,COUNTIF(D153:AI153,"=35")&gt;=1,COUNTIF(D153:AI153,"f")=2,COUNTIF(D153:AI153,"")=0,COUNTIF(D153:AI153," ")=0),CONCATENATE(SUM(EXTRACTNUMBER(D153),EXTRACTNUMBER(F153),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EXTRACTNUMBER(AD153),EXTRACTNUMBER(AF153),EXTRACTNUMBER(AH153)),"*"),IF(AND(COUNTIF(D153:AI153,"=36")&gt;=2,COUNTIF(D153:AI153,"f")=2,COUNTIF(D153:AI153,"")=0,COUNTIF(D153:AI153," ")=0),CONCATENATE(SUM(EXTRACTNUMBER(D153),EXTRACTNUMBER(F153),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EXTRACTNUMBER(AD153),EXTRACTNUMBER(AF153),EXTRACTNUMBER(AH153)),"*"),SUM(EXTRACTNUMBER(D153),EXTRACTNUMBER(F153),
EXTRACTNUMBER(H153),EXTRACTNUMBER(J153),
EXTRACTNUMBER(L153),EXTRACTNUMBER(N153),
EXTRACTNUMBER(P153),EXTRACTNUMBER(R153),
EXTRACTNUMBER(T153),EXTRACTNUMBER(V153),
EXTRACTNUMBER(X153),EXTRACTNUMBER(Z153),EXTRACTNUMBER(AB153),
EXTRACTNUMBER(AD153),EXTRACTNUMBER(AF153),EXTRACTNUMBER(AH153)))))</f>
        <v>575</v>
      </c>
      <c r="AK153" s="32" t="str">
        <f t="shared" si="34"/>
        <v>PASS</v>
      </c>
      <c r="AL153" s="33" t="str">
        <f>SPELLNUMBER(extractnumber_tot(AJ153))</f>
        <v xml:space="preserve">Five Hundred Seventy Five </v>
      </c>
    </row>
    <row r="154" spans="2:39" s="30" customFormat="1" ht="15.95" customHeight="1">
      <c r="B154" s="37">
        <v>225332</v>
      </c>
      <c r="C154" s="38" t="s">
        <v>347</v>
      </c>
      <c r="D154" s="45">
        <v>62</v>
      </c>
      <c r="E154" s="61" t="str">
        <f t="shared" si="51"/>
        <v/>
      </c>
      <c r="F154" s="48">
        <v>21</v>
      </c>
      <c r="G154" s="62" t="str">
        <f t="shared" si="52"/>
        <v/>
      </c>
      <c r="H154" s="48">
        <v>42</v>
      </c>
      <c r="I154" s="62" t="str">
        <f t="shared" si="53"/>
        <v/>
      </c>
      <c r="J154" s="50">
        <v>49</v>
      </c>
      <c r="K154" s="62" t="str">
        <f t="shared" si="54"/>
        <v/>
      </c>
      <c r="L154" s="48">
        <v>20</v>
      </c>
      <c r="M154" s="62" t="str">
        <f t="shared" si="55"/>
        <v/>
      </c>
      <c r="N154" s="48">
        <v>44</v>
      </c>
      <c r="O154" s="62" t="str">
        <f t="shared" si="56"/>
        <v/>
      </c>
      <c r="P154" s="51">
        <v>54</v>
      </c>
      <c r="Q154" s="62" t="str">
        <f t="shared" si="57"/>
        <v/>
      </c>
      <c r="R154" s="48">
        <v>21</v>
      </c>
      <c r="S154" s="62" t="str">
        <f t="shared" si="58"/>
        <v/>
      </c>
      <c r="T154" s="48">
        <v>22</v>
      </c>
      <c r="U154" s="62" t="str">
        <f t="shared" si="59"/>
        <v/>
      </c>
      <c r="V154" s="51">
        <v>52</v>
      </c>
      <c r="W154" s="62" t="str">
        <f t="shared" si="60"/>
        <v/>
      </c>
      <c r="X154" s="48">
        <v>21</v>
      </c>
      <c r="Y154" s="62" t="str">
        <f t="shared" si="61"/>
        <v/>
      </c>
      <c r="Z154" s="51">
        <v>63</v>
      </c>
      <c r="AA154" s="62" t="str">
        <f t="shared" si="62"/>
        <v/>
      </c>
      <c r="AB154" s="48">
        <v>20</v>
      </c>
      <c r="AC154" s="62" t="str">
        <f t="shared" si="63"/>
        <v/>
      </c>
      <c r="AD154" s="48">
        <v>20</v>
      </c>
      <c r="AE154" s="62" t="str">
        <f t="shared" si="64"/>
        <v/>
      </c>
      <c r="AF154" s="51">
        <v>25</v>
      </c>
      <c r="AG154" s="62" t="str">
        <f t="shared" si="65"/>
        <v/>
      </c>
      <c r="AH154" s="48">
        <v>21</v>
      </c>
      <c r="AI154" s="62" t="str">
        <f t="shared" si="66"/>
        <v/>
      </c>
      <c r="AJ154" s="31">
        <f>IF(AND(OR(COUNTIF(D154:AI154,"=31")&gt;=1,COUNTIF(D154:AI154,"=32")&gt;=1,COUNTIF(D154:AI154,"=33")&gt;=1,COUNTIF(D154:AI154,"=34")&gt;=1,COUNTIF(D154:AI154,"=35")=1,COUNTIF(D154:AI154,"=36")&gt;=1 ),COUNTIF(D154:AI154,"")=0,COUNTIF(D154:AI154," ")=0,COUNTIF(D154:AI154,"F")=1),CONCATENATE(SUM(EXTRACTNUMBER(D154),EXTRACTNUMBER(F154),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EXTRACTNUMBER(AD154),EXTRACTNUMBER(AF154),EXTRACTNUMBER(AH154)),"*"),IF(AND(COUNTIF(D154:AI154,"=34")&gt;=1,COUNTIF(D154:AI154,"=35")&gt;=1,COUNTIF(D154:AI154,"f")=2,COUNTIF(D154:AI154,"")=0,COUNTIF(D154:AI154," ")=0),CONCATENATE(SUM(EXTRACTNUMBER(D154),EXTRACTNUMBER(F154),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EXTRACTNUMBER(AD154),EXTRACTNUMBER(AF154),EXTRACTNUMBER(AH154)),"*"),IF(AND(COUNTIF(D154:AI154,"=36")&gt;=2,COUNTIF(D154:AI154,"f")=2,COUNTIF(D154:AI154,"")=0,COUNTIF(D154:AI154," ")=0),CONCATENATE(SUM(EXTRACTNUMBER(D154),EXTRACTNUMBER(F154),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EXTRACTNUMBER(AD154),EXTRACTNUMBER(AF154),EXTRACTNUMBER(AH154)),"*"),SUM(EXTRACTNUMBER(D154),EXTRACTNUMBER(F154),
EXTRACTNUMBER(H154),EXTRACTNUMBER(J154),
EXTRACTNUMBER(L154),EXTRACTNUMBER(N154),
EXTRACTNUMBER(P154),EXTRACTNUMBER(R154),
EXTRACTNUMBER(T154),EXTRACTNUMBER(V154),
EXTRACTNUMBER(X154),EXTRACTNUMBER(Z154),EXTRACTNUMBER(AB154),
EXTRACTNUMBER(AD154),EXTRACTNUMBER(AF154),EXTRACTNUMBER(AH154)))))</f>
        <v>557</v>
      </c>
      <c r="AK154" s="32" t="str">
        <f t="shared" ref="AK154:AK216" si="67">IF(AND(COUNTIF(D154:AI154,"AB")&lt;16-COUNTIF(D154:AI154," "),
COUNTIF(D154:AI154,"AB")&lt;&gt;0),"FAIL",
IF(COUNTIF(D154:AI154,"AB")=16-COUNTIF(D154:AI154," "),"ABSENT",
IF(AND(COUNTIF(D154:AI154,"AB")=0,COUNTIF(D154:AI154,"F")=0),"PASS","FAIL")))</f>
        <v>PASS</v>
      </c>
      <c r="AL154" s="33" t="str">
        <f>SPELLNUMBER(extractnumber_tot(AJ154))</f>
        <v xml:space="preserve">Five Hundred Fifty Seven </v>
      </c>
    </row>
    <row r="155" spans="2:39" s="30" customFormat="1" ht="15.95" customHeight="1">
      <c r="B155" s="37">
        <v>225333</v>
      </c>
      <c r="C155" s="38" t="s">
        <v>348</v>
      </c>
      <c r="D155" s="45">
        <v>52</v>
      </c>
      <c r="E155" s="61" t="str">
        <f t="shared" si="51"/>
        <v/>
      </c>
      <c r="F155" s="48">
        <v>22</v>
      </c>
      <c r="G155" s="62" t="str">
        <f t="shared" si="52"/>
        <v/>
      </c>
      <c r="H155" s="48">
        <v>43</v>
      </c>
      <c r="I155" s="62" t="str">
        <f t="shared" si="53"/>
        <v/>
      </c>
      <c r="J155" s="50">
        <v>40</v>
      </c>
      <c r="K155" s="62" t="str">
        <f t="shared" si="54"/>
        <v/>
      </c>
      <c r="L155" s="48">
        <v>21</v>
      </c>
      <c r="M155" s="62" t="str">
        <f t="shared" si="55"/>
        <v/>
      </c>
      <c r="N155" s="48">
        <v>44</v>
      </c>
      <c r="O155" s="62" t="str">
        <f t="shared" si="56"/>
        <v/>
      </c>
      <c r="P155" s="51">
        <v>45</v>
      </c>
      <c r="Q155" s="62" t="str">
        <f t="shared" si="57"/>
        <v/>
      </c>
      <c r="R155" s="48">
        <v>22</v>
      </c>
      <c r="S155" s="62" t="str">
        <f t="shared" si="58"/>
        <v/>
      </c>
      <c r="T155" s="48">
        <v>23</v>
      </c>
      <c r="U155" s="62" t="str">
        <f t="shared" si="59"/>
        <v/>
      </c>
      <c r="V155" s="51">
        <v>70</v>
      </c>
      <c r="W155" s="62" t="str">
        <f t="shared" si="60"/>
        <v/>
      </c>
      <c r="X155" s="48">
        <v>23</v>
      </c>
      <c r="Y155" s="62" t="str">
        <f t="shared" si="61"/>
        <v/>
      </c>
      <c r="Z155" s="51">
        <v>50</v>
      </c>
      <c r="AA155" s="62" t="str">
        <f t="shared" si="62"/>
        <v/>
      </c>
      <c r="AB155" s="48">
        <v>21</v>
      </c>
      <c r="AC155" s="62" t="str">
        <f t="shared" si="63"/>
        <v/>
      </c>
      <c r="AD155" s="48">
        <v>22</v>
      </c>
      <c r="AE155" s="62" t="str">
        <f t="shared" si="64"/>
        <v/>
      </c>
      <c r="AF155" s="51">
        <v>26</v>
      </c>
      <c r="AG155" s="62" t="str">
        <f t="shared" si="65"/>
        <v/>
      </c>
      <c r="AH155" s="48">
        <v>23</v>
      </c>
      <c r="AI155" s="62" t="str">
        <f t="shared" si="66"/>
        <v/>
      </c>
      <c r="AJ155" s="31">
        <f>IF(AND(OR(COUNTIF(D155:AI155,"=31")&gt;=1,COUNTIF(D155:AI155,"=32")&gt;=1,COUNTIF(D155:AI155,"=33")&gt;=1,COUNTIF(D155:AI155,"=34")&gt;=1,COUNTIF(D155:AI155,"=35")=1,COUNTIF(D155:AI155,"=36")&gt;=1 ),COUNTIF(D155:AI155,"")=0,COUNTIF(D155:AI155," ")=0,COUNTIF(D155:AI155,"F")=1),CONCATENATE(SUM(EXTRACTNUMBER(D155),EXTRACTNUMBER(F155),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EXTRACTNUMBER(AD155),EXTRACTNUMBER(AF155),EXTRACTNUMBER(AH155)),"*"),IF(AND(COUNTIF(D155:AI155,"=34")&gt;=1,COUNTIF(D155:AI155,"=35")&gt;=1,COUNTIF(D155:AI155,"f")=2,COUNTIF(D155:AI155,"")=0,COUNTIF(D155:AI155," ")=0),CONCATENATE(SUM(EXTRACTNUMBER(D155),EXTRACTNUMBER(F155),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EXTRACTNUMBER(AD155),EXTRACTNUMBER(AF155),EXTRACTNUMBER(AH155)),"*"),IF(AND(COUNTIF(D155:AI155,"=36")&gt;=2,COUNTIF(D155:AI155,"f")=2,COUNTIF(D155:AI155,"")=0,COUNTIF(D155:AI155," ")=0),CONCATENATE(SUM(EXTRACTNUMBER(D155),EXTRACTNUMBER(F155),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EXTRACTNUMBER(AD155),EXTRACTNUMBER(AF155),EXTRACTNUMBER(AH155)),"*"),SUM(EXTRACTNUMBER(D155),EXTRACTNUMBER(F155),
EXTRACTNUMBER(H155),EXTRACTNUMBER(J155),
EXTRACTNUMBER(L155),EXTRACTNUMBER(N155),
EXTRACTNUMBER(P155),EXTRACTNUMBER(R155),
EXTRACTNUMBER(T155),EXTRACTNUMBER(V155),
EXTRACTNUMBER(X155),EXTRACTNUMBER(Z155),EXTRACTNUMBER(AB155),
EXTRACTNUMBER(AD155),EXTRACTNUMBER(AF155),EXTRACTNUMBER(AH155)))))</f>
        <v>547</v>
      </c>
      <c r="AK155" s="32" t="str">
        <f t="shared" si="67"/>
        <v>PASS</v>
      </c>
      <c r="AL155" s="33" t="str">
        <f>SPELLNUMBER(extractnumber_tot(AJ155))</f>
        <v xml:space="preserve">Five Hundred Forty Seven </v>
      </c>
    </row>
    <row r="156" spans="2:39" s="30" customFormat="1" ht="15.95" customHeight="1">
      <c r="B156" s="37">
        <v>225334</v>
      </c>
      <c r="C156" s="38" t="s">
        <v>349</v>
      </c>
      <c r="D156" s="45">
        <v>52</v>
      </c>
      <c r="E156" s="61" t="str">
        <f t="shared" si="51"/>
        <v/>
      </c>
      <c r="F156" s="48">
        <v>21</v>
      </c>
      <c r="G156" s="62" t="str">
        <f t="shared" si="52"/>
        <v/>
      </c>
      <c r="H156" s="48">
        <v>39</v>
      </c>
      <c r="I156" s="62" t="str">
        <f t="shared" si="53"/>
        <v/>
      </c>
      <c r="J156" s="50">
        <v>42</v>
      </c>
      <c r="K156" s="62" t="str">
        <f t="shared" si="54"/>
        <v/>
      </c>
      <c r="L156" s="48">
        <v>22</v>
      </c>
      <c r="M156" s="62" t="str">
        <f t="shared" si="55"/>
        <v/>
      </c>
      <c r="N156" s="48">
        <v>44</v>
      </c>
      <c r="O156" s="62" t="str">
        <f t="shared" si="56"/>
        <v/>
      </c>
      <c r="P156" s="51">
        <v>62</v>
      </c>
      <c r="Q156" s="62" t="str">
        <f t="shared" si="57"/>
        <v/>
      </c>
      <c r="R156" s="48">
        <v>21</v>
      </c>
      <c r="S156" s="62" t="str">
        <f t="shared" si="58"/>
        <v/>
      </c>
      <c r="T156" s="48">
        <v>20</v>
      </c>
      <c r="U156" s="62" t="str">
        <f t="shared" si="59"/>
        <v/>
      </c>
      <c r="V156" s="51">
        <v>61</v>
      </c>
      <c r="W156" s="62" t="str">
        <f t="shared" si="60"/>
        <v/>
      </c>
      <c r="X156" s="48">
        <v>22</v>
      </c>
      <c r="Y156" s="62" t="str">
        <f t="shared" si="61"/>
        <v/>
      </c>
      <c r="Z156" s="51">
        <v>42</v>
      </c>
      <c r="AA156" s="62" t="str">
        <f t="shared" si="62"/>
        <v/>
      </c>
      <c r="AB156" s="48">
        <v>22</v>
      </c>
      <c r="AC156" s="62" t="str">
        <f t="shared" si="63"/>
        <v/>
      </c>
      <c r="AD156" s="48">
        <v>20</v>
      </c>
      <c r="AE156" s="62" t="str">
        <f t="shared" si="64"/>
        <v/>
      </c>
      <c r="AF156" s="51">
        <v>32</v>
      </c>
      <c r="AG156" s="62" t="str">
        <f t="shared" si="65"/>
        <v/>
      </c>
      <c r="AH156" s="48">
        <v>23</v>
      </c>
      <c r="AI156" s="62" t="str">
        <f t="shared" si="66"/>
        <v/>
      </c>
      <c r="AJ156" s="31">
        <f>IF(AND(OR(COUNTIF(D156:AI156,"=31")&gt;=1,COUNTIF(D156:AI156,"=32")&gt;=1,COUNTIF(D156:AI156,"=33")&gt;=1,COUNTIF(D156:AI156,"=34")&gt;=1,COUNTIF(D156:AI156,"=35")=1,COUNTIF(D156:AI156,"=36")&gt;=1 ),COUNTIF(D156:AI156,"")=0,COUNTIF(D156:AI156," ")=0,COUNTIF(D156:AI156,"F")=1),CONCATENATE(SUM(EXTRACTNUMBER(D156),EXTRACTNUMBER(F156),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EXTRACTNUMBER(AD156),EXTRACTNUMBER(AF156),EXTRACTNUMBER(AH156)),"*"),IF(AND(COUNTIF(D156:AI156,"=34")&gt;=1,COUNTIF(D156:AI156,"=35")&gt;=1,COUNTIF(D156:AI156,"f")=2,COUNTIF(D156:AI156,"")=0,COUNTIF(D156:AI156," ")=0),CONCATENATE(SUM(EXTRACTNUMBER(D156),EXTRACTNUMBER(F156),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EXTRACTNUMBER(AD156),EXTRACTNUMBER(AF156),EXTRACTNUMBER(AH156)),"*"),IF(AND(COUNTIF(D156:AI156,"=36")&gt;=2,COUNTIF(D156:AI156,"f")=2,COUNTIF(D156:AI156,"")=0,COUNTIF(D156:AI156," ")=0),CONCATENATE(SUM(EXTRACTNUMBER(D156),EXTRACTNUMBER(F156),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EXTRACTNUMBER(AD156),EXTRACTNUMBER(AF156),EXTRACTNUMBER(AH156)),"*"),SUM(EXTRACTNUMBER(D156),EXTRACTNUMBER(F156),
EXTRACTNUMBER(H156),EXTRACTNUMBER(J156),
EXTRACTNUMBER(L156),EXTRACTNUMBER(N156),
EXTRACTNUMBER(P156),EXTRACTNUMBER(R156),
EXTRACTNUMBER(T156),EXTRACTNUMBER(V156),
EXTRACTNUMBER(X156),EXTRACTNUMBER(Z156),EXTRACTNUMBER(AB156),
EXTRACTNUMBER(AD156),EXTRACTNUMBER(AF156),EXTRACTNUMBER(AH156)))))</f>
        <v>545</v>
      </c>
      <c r="AK156" s="32" t="str">
        <f t="shared" si="67"/>
        <v>PASS</v>
      </c>
      <c r="AL156" s="33" t="str">
        <f>SPELLNUMBER(extractnumber_tot(AJ156))</f>
        <v xml:space="preserve">Five Hundred Forty Five </v>
      </c>
    </row>
    <row r="157" spans="2:39" s="30" customFormat="1" ht="15.95" customHeight="1">
      <c r="B157" s="37">
        <v>225335</v>
      </c>
      <c r="C157" s="38" t="s">
        <v>350</v>
      </c>
      <c r="D157" s="45">
        <v>40</v>
      </c>
      <c r="E157" s="61" t="str">
        <f t="shared" si="51"/>
        <v>E</v>
      </c>
      <c r="F157" s="48">
        <v>23</v>
      </c>
      <c r="G157" s="62" t="str">
        <f t="shared" si="52"/>
        <v>E</v>
      </c>
      <c r="H157" s="48">
        <v>39</v>
      </c>
      <c r="I157" s="62" t="str">
        <f t="shared" si="53"/>
        <v>E</v>
      </c>
      <c r="J157" s="50">
        <v>40</v>
      </c>
      <c r="K157" s="62" t="str">
        <f t="shared" si="54"/>
        <v>E</v>
      </c>
      <c r="L157" s="48">
        <v>19</v>
      </c>
      <c r="M157" s="62" t="str">
        <f t="shared" si="55"/>
        <v>E</v>
      </c>
      <c r="N157" s="48">
        <v>36</v>
      </c>
      <c r="O157" s="62" t="str">
        <f t="shared" si="56"/>
        <v>E</v>
      </c>
      <c r="P157" s="51">
        <v>12</v>
      </c>
      <c r="Q157" s="62" t="str">
        <f t="shared" si="57"/>
        <v>F</v>
      </c>
      <c r="R157" s="48">
        <v>23</v>
      </c>
      <c r="S157" s="62" t="str">
        <f t="shared" si="58"/>
        <v>E</v>
      </c>
      <c r="T157" s="48">
        <v>20</v>
      </c>
      <c r="U157" s="62" t="str">
        <f t="shared" si="59"/>
        <v>E</v>
      </c>
      <c r="V157" s="51">
        <v>45</v>
      </c>
      <c r="W157" s="62" t="str">
        <f t="shared" si="60"/>
        <v>E</v>
      </c>
      <c r="X157" s="48">
        <v>16</v>
      </c>
      <c r="Y157" s="62" t="str">
        <f t="shared" si="61"/>
        <v>E</v>
      </c>
      <c r="Z157" s="51">
        <v>40</v>
      </c>
      <c r="AA157" s="62" t="str">
        <f t="shared" si="62"/>
        <v>E</v>
      </c>
      <c r="AB157" s="48">
        <v>19</v>
      </c>
      <c r="AC157" s="62" t="str">
        <f t="shared" si="63"/>
        <v>E</v>
      </c>
      <c r="AD157" s="48">
        <v>20</v>
      </c>
      <c r="AE157" s="62" t="str">
        <f t="shared" si="64"/>
        <v>E</v>
      </c>
      <c r="AF157" s="51">
        <v>26</v>
      </c>
      <c r="AG157" s="62" t="str">
        <f t="shared" si="65"/>
        <v>E</v>
      </c>
      <c r="AH157" s="48">
        <v>22</v>
      </c>
      <c r="AI157" s="62" t="str">
        <f t="shared" si="66"/>
        <v>E</v>
      </c>
      <c r="AJ157" s="31">
        <v>440</v>
      </c>
      <c r="AK157" s="32" t="str">
        <f t="shared" si="67"/>
        <v>FAIL</v>
      </c>
      <c r="AL157" s="33" t="str">
        <f>SPELLNUMBER(extractnumber_tot(AJ157))</f>
        <v xml:space="preserve">Four Hundred Forty  </v>
      </c>
      <c r="AM157" s="31" t="e">
        <f>IF(AND(OR(COUNTIF(G157:AL157,"=31")&gt;=1,COUNTIF(G157:AL157,"=32")&gt;=1,COUNTIF(G157:AL157,"=33")&gt;=1,COUNTIF(G157:AL157,"=34")&gt;=1,COUNTIF(G157:AL157,"=35")=1,COUNTIF(G157:AL157,"=36")&gt;=1 ),COUNTIF(G157:AL157,"")=0,COUNTIF(G157:AL157," ")=0,COUNTIF(G157:AL157,"F")=1),CONCATENATE(SUM(EXTRACTNUMBER(G157),EXTRACTNUMBER(I157),
EXTRACTNUMBER(K157),EXTRACTNUMBER(M157),
EXTRACTNUMBER(O157),EXTRACTNUMBER(Q157),
EXTRACTNUMBER(S157),EXTRACTNUMBER(U157),
EXTRACTNUMBER(W157),EXTRACTNUMBER(Y157),
EXTRACTNUMBER(AA157),EXTRACTNUMBER(AC157),EXTRACTNUMBER(AE157),
EXTRACTNUMBER(AG157),EXTRACTNUMBER(AI157),EXTRACTNUMBER(AK157)),"*"),IF(AND(COUNTIF(G157:AL157,"=34")&gt;=1,COUNTIF(G157:AL157,"=35")&gt;=1,COUNTIF(G157:AL157,"f")=2,COUNTIF(G157:AL157,"")=0,COUNTIF(G157:AL157," ")=0),CONCATENATE(SUM(EXTRACTNUMBER(G157),EXTRACTNUMBER(I157),
EXTRACTNUMBER(K157),EXTRACTNUMBER(M157),
EXTRACTNUMBER(O157),EXTRACTNUMBER(Q157),
EXTRACTNUMBER(S157),EXTRACTNUMBER(U157),
EXTRACTNUMBER(W157),EXTRACTNUMBER(Y157),
EXTRACTNUMBER(AA157),EXTRACTNUMBER(AC157),EXTRACTNUMBER(AE157),
EXTRACTNUMBER(AG157),EXTRACTNUMBER(AI157),EXTRACTNUMBER(AK157)),"*"),IF(AND(COUNTIF(G157:AL157,"=36")&gt;=2,COUNTIF(G157:AL157,"f")=2,COUNTIF(G157:AL157,"")=0,COUNTIF(G157:AL157," ")=0),CONCATENATE(SUM(EXTRACTNUMBER(G157),EXTRACTNUMBER(I157),
EXTRACTNUMBER(K157),EXTRACTNUMBER(M157),
EXTRACTNUMBER(O157),EXTRACTNUMBER(Q157),
EXTRACTNUMBER(S157),EXTRACTNUMBER(U157),
EXTRACTNUMBER(W157),EXTRACTNUMBER(Y157),
EXTRACTNUMBER(AA157),EXTRACTNUMBER(AC157),EXTRACTNUMBER(AE157),
EXTRACTNUMBER(AG157),EXTRACTNUMBER(AI157),EXTRACTNUMBER(AK157)),"*"),SUM(EXTRACTNUMBER(G157),EXTRACTNUMBER(I157),
EXTRACTNUMBER(K157),EXTRACTNUMBER(M157),
EXTRACTNUMBER(O157),EXTRACTNUMBER(Q157),
EXTRACTNUMBER(S157),EXTRACTNUMBER(U157),
EXTRACTNUMBER(W157),EXTRACTNUMBER(Y157),
EXTRACTNUMBER(AA157),EXTRACTNUMBER(AC157),EXTRACTNUMBER(AE157),
EXTRACTNUMBER(AG157),EXTRACTNUMBER(AI157),EXTRACTNUMBER(AK157)))))</f>
        <v>#VALUE!</v>
      </c>
    </row>
    <row r="158" spans="2:39" s="30" customFormat="1" ht="15.95" customHeight="1">
      <c r="B158" s="37">
        <v>225336</v>
      </c>
      <c r="C158" s="38" t="s">
        <v>351</v>
      </c>
      <c r="D158" s="45">
        <v>50</v>
      </c>
      <c r="E158" s="61" t="str">
        <f t="shared" si="51"/>
        <v/>
      </c>
      <c r="F158" s="48">
        <v>22</v>
      </c>
      <c r="G158" s="62" t="str">
        <f t="shared" si="52"/>
        <v/>
      </c>
      <c r="H158" s="48">
        <v>44</v>
      </c>
      <c r="I158" s="62" t="str">
        <f t="shared" si="53"/>
        <v/>
      </c>
      <c r="J158" s="50">
        <v>47</v>
      </c>
      <c r="K158" s="62" t="str">
        <f t="shared" si="54"/>
        <v/>
      </c>
      <c r="L158" s="48">
        <v>19</v>
      </c>
      <c r="M158" s="62" t="str">
        <f t="shared" si="55"/>
        <v/>
      </c>
      <c r="N158" s="48">
        <v>38</v>
      </c>
      <c r="O158" s="62" t="str">
        <f t="shared" si="56"/>
        <v/>
      </c>
      <c r="P158" s="51">
        <v>55</v>
      </c>
      <c r="Q158" s="62" t="str">
        <f t="shared" si="57"/>
        <v/>
      </c>
      <c r="R158" s="48">
        <v>22</v>
      </c>
      <c r="S158" s="62" t="str">
        <f t="shared" si="58"/>
        <v/>
      </c>
      <c r="T158" s="48">
        <v>23</v>
      </c>
      <c r="U158" s="62" t="str">
        <f t="shared" si="59"/>
        <v/>
      </c>
      <c r="V158" s="51">
        <v>50</v>
      </c>
      <c r="W158" s="62" t="str">
        <f t="shared" si="60"/>
        <v/>
      </c>
      <c r="X158" s="48">
        <v>22</v>
      </c>
      <c r="Y158" s="62" t="str">
        <f t="shared" si="61"/>
        <v/>
      </c>
      <c r="Z158" s="51">
        <v>44</v>
      </c>
      <c r="AA158" s="62" t="str">
        <f t="shared" si="62"/>
        <v/>
      </c>
      <c r="AB158" s="48">
        <v>19</v>
      </c>
      <c r="AC158" s="62" t="str">
        <f t="shared" si="63"/>
        <v/>
      </c>
      <c r="AD158" s="48">
        <v>19</v>
      </c>
      <c r="AE158" s="62" t="str">
        <f t="shared" si="64"/>
        <v/>
      </c>
      <c r="AF158" s="51">
        <v>32</v>
      </c>
      <c r="AG158" s="62" t="str">
        <f t="shared" si="65"/>
        <v/>
      </c>
      <c r="AH158" s="48">
        <v>22</v>
      </c>
      <c r="AI158" s="62" t="str">
        <f t="shared" si="66"/>
        <v/>
      </c>
      <c r="AJ158" s="31">
        <f>IF(AND(OR(COUNTIF(D158:AI158,"=31")&gt;=1,COUNTIF(D158:AI158,"=32")&gt;=1,COUNTIF(D158:AI158,"=33")&gt;=1,COUNTIF(D158:AI158,"=34")&gt;=1,COUNTIF(D158:AI158,"=35")=1,COUNTIF(D158:AI158,"=36")&gt;=1 ),COUNTIF(D158:AI158,"")=0,COUNTIF(D158:AI158," ")=0,COUNTIF(D158:AI158,"F")=1),CONCATENATE(SUM(EXTRACTNUMBER(D158),EXTRACTNUMBER(F158),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EXTRACTNUMBER(AD158),EXTRACTNUMBER(AF158),EXTRACTNUMBER(AH158)),"*"),IF(AND(COUNTIF(D158:AI158,"=34")&gt;=1,COUNTIF(D158:AI158,"=35")&gt;=1,COUNTIF(D158:AI158,"f")=2,COUNTIF(D158:AI158,"")=0,COUNTIF(D158:AI158," ")=0),CONCATENATE(SUM(EXTRACTNUMBER(D158),EXTRACTNUMBER(F158),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EXTRACTNUMBER(AD158),EXTRACTNUMBER(AF158),EXTRACTNUMBER(AH158)),"*"),IF(AND(COUNTIF(D158:AI158,"=36")&gt;=2,COUNTIF(D158:AI158,"f")=2,COUNTIF(D158:AI158,"")=0,COUNTIF(D158:AI158," ")=0),CONCATENATE(SUM(EXTRACTNUMBER(D158),EXTRACTNUMBER(F158),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EXTRACTNUMBER(AD158),EXTRACTNUMBER(AF158),EXTRACTNUMBER(AH158)),"*"),SUM(EXTRACTNUMBER(D158),EXTRACTNUMBER(F158),
EXTRACTNUMBER(H158),EXTRACTNUMBER(J158),
EXTRACTNUMBER(L158),EXTRACTNUMBER(N158),
EXTRACTNUMBER(P158),EXTRACTNUMBER(R158),
EXTRACTNUMBER(T158),EXTRACTNUMBER(V158),
EXTRACTNUMBER(X158),EXTRACTNUMBER(Z158),EXTRACTNUMBER(AB158),
EXTRACTNUMBER(AD158),EXTRACTNUMBER(AF158),EXTRACTNUMBER(AH158)))))</f>
        <v>528</v>
      </c>
      <c r="AK158" s="32" t="str">
        <f t="shared" si="67"/>
        <v>PASS</v>
      </c>
      <c r="AL158" s="33" t="str">
        <f>SPELLNUMBER(extractnumber_tot(AJ158))</f>
        <v xml:space="preserve">Five Hundred Twenty Eight </v>
      </c>
    </row>
    <row r="159" spans="2:39" s="30" customFormat="1" ht="15.95" customHeight="1">
      <c r="B159" s="37">
        <v>225337</v>
      </c>
      <c r="C159" s="38" t="s">
        <v>352</v>
      </c>
      <c r="D159" s="45">
        <v>47</v>
      </c>
      <c r="E159" s="61" t="str">
        <f t="shared" si="51"/>
        <v/>
      </c>
      <c r="F159" s="48">
        <v>22</v>
      </c>
      <c r="G159" s="62" t="str">
        <f t="shared" si="52"/>
        <v/>
      </c>
      <c r="H159" s="48">
        <v>40</v>
      </c>
      <c r="I159" s="62" t="str">
        <f t="shared" si="53"/>
        <v/>
      </c>
      <c r="J159" s="50">
        <v>64</v>
      </c>
      <c r="K159" s="62" t="str">
        <f t="shared" si="54"/>
        <v/>
      </c>
      <c r="L159" s="48">
        <v>23</v>
      </c>
      <c r="M159" s="62" t="str">
        <f t="shared" si="55"/>
        <v/>
      </c>
      <c r="N159" s="48">
        <v>46</v>
      </c>
      <c r="O159" s="62" t="str">
        <f t="shared" si="56"/>
        <v/>
      </c>
      <c r="P159" s="51">
        <v>71</v>
      </c>
      <c r="Q159" s="62" t="str">
        <f t="shared" si="57"/>
        <v/>
      </c>
      <c r="R159" s="48">
        <v>22</v>
      </c>
      <c r="S159" s="62" t="str">
        <f t="shared" si="58"/>
        <v/>
      </c>
      <c r="T159" s="48">
        <v>20</v>
      </c>
      <c r="U159" s="62" t="str">
        <f t="shared" si="59"/>
        <v/>
      </c>
      <c r="V159" s="51">
        <v>66</v>
      </c>
      <c r="W159" s="62" t="str">
        <f t="shared" si="60"/>
        <v/>
      </c>
      <c r="X159" s="48">
        <v>22</v>
      </c>
      <c r="Y159" s="62" t="str">
        <f t="shared" si="61"/>
        <v/>
      </c>
      <c r="Z159" s="51">
        <v>63</v>
      </c>
      <c r="AA159" s="62" t="str">
        <f t="shared" si="62"/>
        <v/>
      </c>
      <c r="AB159" s="48">
        <v>22</v>
      </c>
      <c r="AC159" s="62" t="str">
        <f t="shared" si="63"/>
        <v/>
      </c>
      <c r="AD159" s="48">
        <v>20</v>
      </c>
      <c r="AE159" s="62" t="str">
        <f t="shared" si="64"/>
        <v/>
      </c>
      <c r="AF159" s="51">
        <v>29</v>
      </c>
      <c r="AG159" s="62" t="str">
        <f t="shared" si="65"/>
        <v/>
      </c>
      <c r="AH159" s="48">
        <v>23</v>
      </c>
      <c r="AI159" s="62" t="str">
        <f t="shared" si="66"/>
        <v/>
      </c>
      <c r="AJ159" s="31">
        <f>IF(AND(OR(COUNTIF(D159:AI159,"=31")&gt;=1,COUNTIF(D159:AI159,"=32")&gt;=1,COUNTIF(D159:AI159,"=33")&gt;=1,COUNTIF(D159:AI159,"=34")&gt;=1,COUNTIF(D159:AI159,"=35")=1,COUNTIF(D159:AI159,"=36")&gt;=1 ),COUNTIF(D159:AI159,"")=0,COUNTIF(D159:AI159," ")=0,COUNTIF(D159:AI159,"F")=1),CONCATENATE(SUM(EXTRACTNUMBER(D159),EXTRACTNUMBER(F159),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EXTRACTNUMBER(AD159),EXTRACTNUMBER(AF159),EXTRACTNUMBER(AH159)),"*"),IF(AND(COUNTIF(D159:AI159,"=34")&gt;=1,COUNTIF(D159:AI159,"=35")&gt;=1,COUNTIF(D159:AI159,"f")=2,COUNTIF(D159:AI159,"")=0,COUNTIF(D159:AI159," ")=0),CONCATENATE(SUM(EXTRACTNUMBER(D159),EXTRACTNUMBER(F159),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EXTRACTNUMBER(AD159),EXTRACTNUMBER(AF159),EXTRACTNUMBER(AH159)),"*"),IF(AND(COUNTIF(D159:AI159,"=36")&gt;=2,COUNTIF(D159:AI159,"f")=2,COUNTIF(D159:AI159,"")=0,COUNTIF(D159:AI159," ")=0),CONCATENATE(SUM(EXTRACTNUMBER(D159),EXTRACTNUMBER(F159),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EXTRACTNUMBER(AD159),EXTRACTNUMBER(AF159),EXTRACTNUMBER(AH159)),"*"),SUM(EXTRACTNUMBER(D159),EXTRACTNUMBER(F159),
EXTRACTNUMBER(H159),EXTRACTNUMBER(J159),
EXTRACTNUMBER(L159),EXTRACTNUMBER(N159),
EXTRACTNUMBER(P159),EXTRACTNUMBER(R159),
EXTRACTNUMBER(T159),EXTRACTNUMBER(V159),
EXTRACTNUMBER(X159),EXTRACTNUMBER(Z159),EXTRACTNUMBER(AB159),
EXTRACTNUMBER(AD159),EXTRACTNUMBER(AF159),EXTRACTNUMBER(AH159)))))</f>
        <v>600</v>
      </c>
      <c r="AK159" s="32" t="str">
        <f t="shared" si="67"/>
        <v>PASS</v>
      </c>
      <c r="AL159" s="33" t="str">
        <f>SPELLNUMBER(extractnumber_tot(AJ159))</f>
        <v xml:space="preserve">Six Hundred  </v>
      </c>
    </row>
    <row r="160" spans="2:39" s="30" customFormat="1" ht="15.95" customHeight="1">
      <c r="B160" s="37">
        <v>225338</v>
      </c>
      <c r="C160" s="38" t="s">
        <v>353</v>
      </c>
      <c r="D160" s="45">
        <v>50</v>
      </c>
      <c r="E160" s="61" t="str">
        <f t="shared" si="51"/>
        <v/>
      </c>
      <c r="F160" s="48">
        <v>23</v>
      </c>
      <c r="G160" s="62" t="str">
        <f t="shared" si="52"/>
        <v/>
      </c>
      <c r="H160" s="48">
        <v>44</v>
      </c>
      <c r="I160" s="62" t="str">
        <f t="shared" si="53"/>
        <v/>
      </c>
      <c r="J160" s="50">
        <v>42</v>
      </c>
      <c r="K160" s="62" t="str">
        <f t="shared" si="54"/>
        <v/>
      </c>
      <c r="L160" s="48">
        <v>23</v>
      </c>
      <c r="M160" s="62" t="str">
        <f t="shared" si="55"/>
        <v/>
      </c>
      <c r="N160" s="48">
        <v>40</v>
      </c>
      <c r="O160" s="62" t="str">
        <f t="shared" si="56"/>
        <v/>
      </c>
      <c r="P160" s="51">
        <v>43</v>
      </c>
      <c r="Q160" s="62" t="str">
        <f t="shared" si="57"/>
        <v/>
      </c>
      <c r="R160" s="48">
        <v>23</v>
      </c>
      <c r="S160" s="62" t="str">
        <f t="shared" si="58"/>
        <v/>
      </c>
      <c r="T160" s="48">
        <v>23</v>
      </c>
      <c r="U160" s="62" t="str">
        <f t="shared" si="59"/>
        <v/>
      </c>
      <c r="V160" s="51">
        <v>44</v>
      </c>
      <c r="W160" s="62" t="str">
        <f t="shared" si="60"/>
        <v/>
      </c>
      <c r="X160" s="48">
        <v>23</v>
      </c>
      <c r="Y160" s="62" t="str">
        <f t="shared" si="61"/>
        <v/>
      </c>
      <c r="Z160" s="51">
        <v>53</v>
      </c>
      <c r="AA160" s="62" t="str">
        <f t="shared" si="62"/>
        <v/>
      </c>
      <c r="AB160" s="48">
        <v>23</v>
      </c>
      <c r="AC160" s="62" t="str">
        <f t="shared" si="63"/>
        <v/>
      </c>
      <c r="AD160" s="48">
        <v>19</v>
      </c>
      <c r="AE160" s="62" t="str">
        <f t="shared" si="64"/>
        <v/>
      </c>
      <c r="AF160" s="51">
        <v>25</v>
      </c>
      <c r="AG160" s="62" t="str">
        <f t="shared" si="65"/>
        <v/>
      </c>
      <c r="AH160" s="48">
        <v>23</v>
      </c>
      <c r="AI160" s="62" t="str">
        <f t="shared" si="66"/>
        <v/>
      </c>
      <c r="AJ160" s="31">
        <f>IF(AND(OR(COUNTIF(D160:AI160,"=31")&gt;=1,COUNTIF(D160:AI160,"=32")&gt;=1,COUNTIF(D160:AI160,"=33")&gt;=1,COUNTIF(D160:AI160,"=34")&gt;=1,COUNTIF(D160:AI160,"=35")=1,COUNTIF(D160:AI160,"=36")&gt;=1 ),COUNTIF(D160:AI160,"")=0,COUNTIF(D160:AI160," ")=0,COUNTIF(D160:AI160,"F")=1),CONCATENATE(SUM(EXTRACTNUMBER(D160),EXTRACTNUMBER(F160),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EXTRACTNUMBER(AD160),EXTRACTNUMBER(AF160),EXTRACTNUMBER(AH160)),"*"),IF(AND(COUNTIF(D160:AI160,"=34")&gt;=1,COUNTIF(D160:AI160,"=35")&gt;=1,COUNTIF(D160:AI160,"f")=2,COUNTIF(D160:AI160,"")=0,COUNTIF(D160:AI160," ")=0),CONCATENATE(SUM(EXTRACTNUMBER(D160),EXTRACTNUMBER(F160),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EXTRACTNUMBER(AD160),EXTRACTNUMBER(AF160),EXTRACTNUMBER(AH160)),"*"),IF(AND(COUNTIF(D160:AI160,"=36")&gt;=2,COUNTIF(D160:AI160,"f")=2,COUNTIF(D160:AI160,"")=0,COUNTIF(D160:AI160," ")=0),CONCATENATE(SUM(EXTRACTNUMBER(D160),EXTRACTNUMBER(F160),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EXTRACTNUMBER(AD160),EXTRACTNUMBER(AF160),EXTRACTNUMBER(AH160)),"*"),SUM(EXTRACTNUMBER(D160),EXTRACTNUMBER(F160),
EXTRACTNUMBER(H160),EXTRACTNUMBER(J160),
EXTRACTNUMBER(L160),EXTRACTNUMBER(N160),
EXTRACTNUMBER(P160),EXTRACTNUMBER(R160),
EXTRACTNUMBER(T160),EXTRACTNUMBER(V160),
EXTRACTNUMBER(X160),EXTRACTNUMBER(Z160),EXTRACTNUMBER(AB160),
EXTRACTNUMBER(AD160),EXTRACTNUMBER(AF160),EXTRACTNUMBER(AH160)))))</f>
        <v>521</v>
      </c>
      <c r="AK160" s="32" t="str">
        <f t="shared" si="67"/>
        <v>PASS</v>
      </c>
      <c r="AL160" s="33" t="str">
        <f>SPELLNUMBER(extractnumber_tot(AJ160))</f>
        <v xml:space="preserve">Five Hundred Twenty One </v>
      </c>
    </row>
    <row r="161" spans="2:38" s="30" customFormat="1" ht="15.95" customHeight="1">
      <c r="B161" s="37">
        <v>225339</v>
      </c>
      <c r="C161" s="38" t="s">
        <v>58</v>
      </c>
      <c r="D161" s="45" t="s">
        <v>113</v>
      </c>
      <c r="E161" s="61" t="str">
        <f t="shared" si="51"/>
        <v/>
      </c>
      <c r="F161" s="48" t="s">
        <v>78</v>
      </c>
      <c r="G161" s="62" t="str">
        <f t="shared" si="52"/>
        <v xml:space="preserve"> </v>
      </c>
      <c r="H161" s="48" t="s">
        <v>88</v>
      </c>
      <c r="I161" s="62" t="str">
        <f t="shared" si="53"/>
        <v xml:space="preserve"> </v>
      </c>
      <c r="J161" s="50" t="s">
        <v>113</v>
      </c>
      <c r="K161" s="62" t="str">
        <f t="shared" si="54"/>
        <v/>
      </c>
      <c r="L161" s="48" t="s">
        <v>79</v>
      </c>
      <c r="M161" s="62" t="str">
        <f t="shared" si="55"/>
        <v xml:space="preserve"> </v>
      </c>
      <c r="N161" s="48" t="s">
        <v>96</v>
      </c>
      <c r="O161" s="62" t="str">
        <f t="shared" si="56"/>
        <v xml:space="preserve"> </v>
      </c>
      <c r="P161" s="51" t="s">
        <v>113</v>
      </c>
      <c r="Q161" s="62" t="str">
        <f t="shared" si="57"/>
        <v/>
      </c>
      <c r="R161" s="48" t="s">
        <v>81</v>
      </c>
      <c r="S161" s="62" t="str">
        <f t="shared" si="58"/>
        <v xml:space="preserve"> </v>
      </c>
      <c r="T161" s="48" t="s">
        <v>82</v>
      </c>
      <c r="U161" s="62" t="str">
        <f t="shared" si="59"/>
        <v xml:space="preserve"> </v>
      </c>
      <c r="V161" s="51" t="s">
        <v>113</v>
      </c>
      <c r="W161" s="62" t="str">
        <f t="shared" si="60"/>
        <v/>
      </c>
      <c r="X161" s="48" t="s">
        <v>76</v>
      </c>
      <c r="Y161" s="62" t="str">
        <f t="shared" si="61"/>
        <v xml:space="preserve"> </v>
      </c>
      <c r="Z161" s="51" t="s">
        <v>113</v>
      </c>
      <c r="AA161" s="62" t="str">
        <f t="shared" si="62"/>
        <v/>
      </c>
      <c r="AB161" s="48" t="s">
        <v>78</v>
      </c>
      <c r="AC161" s="62" t="str">
        <f t="shared" si="63"/>
        <v xml:space="preserve"> </v>
      </c>
      <c r="AD161" s="48" t="s">
        <v>82</v>
      </c>
      <c r="AE161" s="62" t="str">
        <f t="shared" si="64"/>
        <v xml:space="preserve"> </v>
      </c>
      <c r="AF161" s="51" t="s">
        <v>113</v>
      </c>
      <c r="AG161" s="62" t="str">
        <f t="shared" si="65"/>
        <v/>
      </c>
      <c r="AH161" s="48" t="s">
        <v>76</v>
      </c>
      <c r="AI161" s="62" t="str">
        <f t="shared" si="66"/>
        <v xml:space="preserve"> </v>
      </c>
      <c r="AJ161" s="31">
        <f>IF(AND(OR(COUNTIF(D161:AI161,"=31")&gt;=1,COUNTIF(D161:AI161,"=32")&gt;=1,COUNTIF(D161:AI161,"=33")&gt;=1,COUNTIF(D161:AI161,"=34")&gt;=1,COUNTIF(D161:AI161,"=35")=1,COUNTIF(D161:AI161,"=36")&gt;=1 ),COUNTIF(D161:AI161,"")=0,COUNTIF(D161:AI161," ")=0,COUNTIF(D161:AI161,"F")=1),CONCATENATE(SUM(EXTRACTNUMBER(D161),EXTRACTNUMBER(F161),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EXTRACTNUMBER(AD161),EXTRACTNUMBER(AF161),EXTRACTNUMBER(AH161)),"*"),IF(AND(COUNTIF(D161:AI161,"=34")&gt;=1,COUNTIF(D161:AI161,"=35")&gt;=1,COUNTIF(D161:AI161,"f")=2,COUNTIF(D161:AI161,"")=0,COUNTIF(D161:AI161," ")=0),CONCATENATE(SUM(EXTRACTNUMBER(D161),EXTRACTNUMBER(F161),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EXTRACTNUMBER(AD161),EXTRACTNUMBER(AF161),EXTRACTNUMBER(AH161)),"*"),IF(AND(COUNTIF(D161:AI161,"=36")&gt;=2,COUNTIF(D161:AI161,"f")=2,COUNTIF(D161:AI161,"")=0,COUNTIF(D161:AI161," ")=0),CONCATENATE(SUM(EXTRACTNUMBER(D161),EXTRACTNUMBER(F161),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EXTRACTNUMBER(AD161),EXTRACTNUMBER(AF161),EXTRACTNUMBER(AH161)),"*"),SUM(EXTRACTNUMBER(D161),EXTRACTNUMBER(F161),
EXTRACTNUMBER(H161),EXTRACTNUMBER(J161),
EXTRACTNUMBER(L161),EXTRACTNUMBER(N161),
EXTRACTNUMBER(P161),EXTRACTNUMBER(R161),
EXTRACTNUMBER(T161),EXTRACTNUMBER(V161),
EXTRACTNUMBER(X161),EXTRACTNUMBER(Z161),EXTRACTNUMBER(AB161),
EXTRACTNUMBER(AD161),EXTRACTNUMBER(AF161),EXTRACTNUMBER(AH161)))))</f>
        <v>245</v>
      </c>
      <c r="AK161" s="32" t="str">
        <f t="shared" si="67"/>
        <v>ABSENT</v>
      </c>
      <c r="AL161" s="33" t="str">
        <f>SPELLNUMBER(extractnumber_tot(AJ161))</f>
        <v xml:space="preserve">Two Hundred Forty Five </v>
      </c>
    </row>
    <row r="162" spans="2:38" s="30" customFormat="1" ht="15.95" customHeight="1">
      <c r="B162" s="37">
        <v>225340</v>
      </c>
      <c r="C162" s="38" t="s">
        <v>354</v>
      </c>
      <c r="D162" s="45">
        <v>57</v>
      </c>
      <c r="E162" s="61" t="str">
        <f t="shared" si="51"/>
        <v/>
      </c>
      <c r="F162" s="48">
        <v>21</v>
      </c>
      <c r="G162" s="62" t="str">
        <f t="shared" si="52"/>
        <v/>
      </c>
      <c r="H162" s="48">
        <v>42</v>
      </c>
      <c r="I162" s="62" t="str">
        <f t="shared" si="53"/>
        <v/>
      </c>
      <c r="J162" s="50">
        <v>40</v>
      </c>
      <c r="K162" s="62" t="str">
        <f t="shared" si="54"/>
        <v/>
      </c>
      <c r="L162" s="48">
        <v>20</v>
      </c>
      <c r="M162" s="62" t="str">
        <f t="shared" si="55"/>
        <v/>
      </c>
      <c r="N162" s="48">
        <v>40</v>
      </c>
      <c r="O162" s="62" t="str">
        <f t="shared" si="56"/>
        <v/>
      </c>
      <c r="P162" s="51">
        <v>40</v>
      </c>
      <c r="Q162" s="62" t="str">
        <f t="shared" si="57"/>
        <v/>
      </c>
      <c r="R162" s="48">
        <v>21</v>
      </c>
      <c r="S162" s="62" t="str">
        <f t="shared" si="58"/>
        <v/>
      </c>
      <c r="T162" s="48">
        <v>22</v>
      </c>
      <c r="U162" s="62" t="str">
        <f t="shared" si="59"/>
        <v/>
      </c>
      <c r="V162" s="51">
        <v>54</v>
      </c>
      <c r="W162" s="62" t="str">
        <f t="shared" si="60"/>
        <v/>
      </c>
      <c r="X162" s="48">
        <v>21</v>
      </c>
      <c r="Y162" s="62" t="str">
        <f t="shared" si="61"/>
        <v/>
      </c>
      <c r="Z162" s="51">
        <v>40</v>
      </c>
      <c r="AA162" s="62" t="str">
        <f t="shared" si="62"/>
        <v/>
      </c>
      <c r="AB162" s="48">
        <v>20</v>
      </c>
      <c r="AC162" s="62" t="str">
        <f t="shared" si="63"/>
        <v/>
      </c>
      <c r="AD162" s="48">
        <v>20</v>
      </c>
      <c r="AE162" s="62" t="str">
        <f t="shared" si="64"/>
        <v/>
      </c>
      <c r="AF162" s="51">
        <v>23</v>
      </c>
      <c r="AG162" s="62" t="str">
        <f t="shared" si="65"/>
        <v/>
      </c>
      <c r="AH162" s="48">
        <v>21</v>
      </c>
      <c r="AI162" s="62" t="str">
        <f t="shared" si="66"/>
        <v/>
      </c>
      <c r="AJ162" s="31">
        <f>IF(AND(OR(COUNTIF(D162:AI162,"=31")&gt;=1,COUNTIF(D162:AI162,"=32")&gt;=1,COUNTIF(D162:AI162,"=33")&gt;=1,COUNTIF(D162:AI162,"=34")&gt;=1,COUNTIF(D162:AI162,"=35")=1,COUNTIF(D162:AI162,"=36")&gt;=1 ),COUNTIF(D162:AI162,"")=0,COUNTIF(D162:AI162," ")=0,COUNTIF(D162:AI162,"F")=1),CONCATENATE(SUM(EXTRACTNUMBER(D162),EXTRACTNUMBER(F162),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EXTRACTNUMBER(AD162),EXTRACTNUMBER(AF162),EXTRACTNUMBER(AH162)),"*"),IF(AND(COUNTIF(D162:AI162,"=34")&gt;=1,COUNTIF(D162:AI162,"=35")&gt;=1,COUNTIF(D162:AI162,"f")=2,COUNTIF(D162:AI162,"")=0,COUNTIF(D162:AI162," ")=0),CONCATENATE(SUM(EXTRACTNUMBER(D162),EXTRACTNUMBER(F162),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EXTRACTNUMBER(AD162),EXTRACTNUMBER(AF162),EXTRACTNUMBER(AH162)),"*"),IF(AND(COUNTIF(D162:AI162,"=36")&gt;=2,COUNTIF(D162:AI162,"f")=2,COUNTIF(D162:AI162,"")=0,COUNTIF(D162:AI162," ")=0),CONCATENATE(SUM(EXTRACTNUMBER(D162),EXTRACTNUMBER(F162),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EXTRACTNUMBER(AD162),EXTRACTNUMBER(AF162),EXTRACTNUMBER(AH162)),"*"),SUM(EXTRACTNUMBER(D162),EXTRACTNUMBER(F162),
EXTRACTNUMBER(H162),EXTRACTNUMBER(J162),
EXTRACTNUMBER(L162),EXTRACTNUMBER(N162),
EXTRACTNUMBER(P162),EXTRACTNUMBER(R162),
EXTRACTNUMBER(T162),EXTRACTNUMBER(V162),
EXTRACTNUMBER(X162),EXTRACTNUMBER(Z162),EXTRACTNUMBER(AB162),
EXTRACTNUMBER(AD162),EXTRACTNUMBER(AF162),EXTRACTNUMBER(AH162)))))</f>
        <v>502</v>
      </c>
      <c r="AK162" s="32" t="str">
        <f t="shared" si="67"/>
        <v>PASS</v>
      </c>
      <c r="AL162" s="33" t="str">
        <f>SPELLNUMBER(extractnumber_tot(AJ162))</f>
        <v xml:space="preserve">Five Hundred Two </v>
      </c>
    </row>
    <row r="163" spans="2:38" s="30" customFormat="1" ht="15.95" customHeight="1">
      <c r="B163" s="37">
        <v>225341</v>
      </c>
      <c r="C163" s="38" t="s">
        <v>355</v>
      </c>
      <c r="D163" s="45">
        <v>50</v>
      </c>
      <c r="E163" s="61" t="str">
        <f t="shared" si="51"/>
        <v/>
      </c>
      <c r="F163" s="48">
        <v>21</v>
      </c>
      <c r="G163" s="62" t="str">
        <f t="shared" si="52"/>
        <v/>
      </c>
      <c r="H163" s="48">
        <v>42</v>
      </c>
      <c r="I163" s="62" t="str">
        <f t="shared" si="53"/>
        <v/>
      </c>
      <c r="J163" s="50">
        <v>50</v>
      </c>
      <c r="K163" s="62" t="str">
        <f t="shared" si="54"/>
        <v/>
      </c>
      <c r="L163" s="48">
        <v>19</v>
      </c>
      <c r="M163" s="62" t="str">
        <f t="shared" si="55"/>
        <v/>
      </c>
      <c r="N163" s="48">
        <v>44</v>
      </c>
      <c r="O163" s="62" t="str">
        <f t="shared" si="56"/>
        <v/>
      </c>
      <c r="P163" s="51">
        <v>57</v>
      </c>
      <c r="Q163" s="62" t="str">
        <f t="shared" si="57"/>
        <v/>
      </c>
      <c r="R163" s="48">
        <v>21</v>
      </c>
      <c r="S163" s="62" t="str">
        <f t="shared" si="58"/>
        <v/>
      </c>
      <c r="T163" s="48">
        <v>22</v>
      </c>
      <c r="U163" s="62" t="str">
        <f t="shared" si="59"/>
        <v/>
      </c>
      <c r="V163" s="51">
        <v>62</v>
      </c>
      <c r="W163" s="62" t="str">
        <f t="shared" si="60"/>
        <v/>
      </c>
      <c r="X163" s="48">
        <v>21</v>
      </c>
      <c r="Y163" s="62" t="str">
        <f t="shared" si="61"/>
        <v/>
      </c>
      <c r="Z163" s="51">
        <v>64</v>
      </c>
      <c r="AA163" s="62" t="str">
        <f t="shared" si="62"/>
        <v/>
      </c>
      <c r="AB163" s="48">
        <v>18</v>
      </c>
      <c r="AC163" s="62" t="str">
        <f t="shared" si="63"/>
        <v/>
      </c>
      <c r="AD163" s="48">
        <v>20</v>
      </c>
      <c r="AE163" s="62" t="str">
        <f t="shared" si="64"/>
        <v/>
      </c>
      <c r="AF163" s="51">
        <v>27</v>
      </c>
      <c r="AG163" s="62" t="str">
        <f t="shared" si="65"/>
        <v/>
      </c>
      <c r="AH163" s="48">
        <v>21</v>
      </c>
      <c r="AI163" s="62" t="str">
        <f t="shared" si="66"/>
        <v/>
      </c>
      <c r="AJ163" s="31">
        <f>IF(AND(OR(COUNTIF(D163:AI163,"=31")&gt;=1,COUNTIF(D163:AI163,"=32")&gt;=1,COUNTIF(D163:AI163,"=33")&gt;=1,COUNTIF(D163:AI163,"=34")&gt;=1,COUNTIF(D163:AI163,"=35")=1,COUNTIF(D163:AI163,"=36")&gt;=1 ),COUNTIF(D163:AI163,"")=0,COUNTIF(D163:AI163," ")=0,COUNTIF(D163:AI163,"F")=1),CONCATENATE(SUM(EXTRACTNUMBER(D163),EXTRACTNUMBER(F163),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EXTRACTNUMBER(AD163),EXTRACTNUMBER(AF163),EXTRACTNUMBER(AH163)),"*"),IF(AND(COUNTIF(D163:AI163,"=34")&gt;=1,COUNTIF(D163:AI163,"=35")&gt;=1,COUNTIF(D163:AI163,"f")=2,COUNTIF(D163:AI163,"")=0,COUNTIF(D163:AI163," ")=0),CONCATENATE(SUM(EXTRACTNUMBER(D163),EXTRACTNUMBER(F163),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EXTRACTNUMBER(AD163),EXTRACTNUMBER(AF163),EXTRACTNUMBER(AH163)),"*"),IF(AND(COUNTIF(D163:AI163,"=36")&gt;=2,COUNTIF(D163:AI163,"f")=2,COUNTIF(D163:AI163,"")=0,COUNTIF(D163:AI163," ")=0),CONCATENATE(SUM(EXTRACTNUMBER(D163),EXTRACTNUMBER(F163),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EXTRACTNUMBER(AD163),EXTRACTNUMBER(AF163),EXTRACTNUMBER(AH163)),"*"),SUM(EXTRACTNUMBER(D163),EXTRACTNUMBER(F163),
EXTRACTNUMBER(H163),EXTRACTNUMBER(J163),
EXTRACTNUMBER(L163),EXTRACTNUMBER(N163),
EXTRACTNUMBER(P163),EXTRACTNUMBER(R163),
EXTRACTNUMBER(T163),EXTRACTNUMBER(V163),
EXTRACTNUMBER(X163),EXTRACTNUMBER(Z163),EXTRACTNUMBER(AB163),
EXTRACTNUMBER(AD163),EXTRACTNUMBER(AF163),EXTRACTNUMBER(AH163)))))</f>
        <v>559</v>
      </c>
      <c r="AK163" s="32" t="str">
        <f t="shared" si="67"/>
        <v>PASS</v>
      </c>
      <c r="AL163" s="33" t="str">
        <f>SPELLNUMBER(extractnumber_tot(AJ163))</f>
        <v xml:space="preserve">Five Hundred Fifty Nine </v>
      </c>
    </row>
    <row r="164" spans="2:38" s="30" customFormat="1" ht="15.95" customHeight="1">
      <c r="B164" s="37">
        <v>225342</v>
      </c>
      <c r="C164" s="38" t="s">
        <v>356</v>
      </c>
      <c r="D164" s="45">
        <v>52</v>
      </c>
      <c r="E164" s="61" t="str">
        <f t="shared" si="51"/>
        <v/>
      </c>
      <c r="F164" s="48">
        <v>23</v>
      </c>
      <c r="G164" s="62" t="str">
        <f t="shared" si="52"/>
        <v/>
      </c>
      <c r="H164" s="48">
        <v>42</v>
      </c>
      <c r="I164" s="62" t="str">
        <f t="shared" si="53"/>
        <v/>
      </c>
      <c r="J164" s="50">
        <v>58</v>
      </c>
      <c r="K164" s="62" t="str">
        <f t="shared" si="54"/>
        <v/>
      </c>
      <c r="L164" s="48">
        <v>21</v>
      </c>
      <c r="M164" s="62" t="str">
        <f t="shared" si="55"/>
        <v/>
      </c>
      <c r="N164" s="48">
        <v>40</v>
      </c>
      <c r="O164" s="62" t="str">
        <f t="shared" si="56"/>
        <v/>
      </c>
      <c r="P164" s="51">
        <v>63</v>
      </c>
      <c r="Q164" s="62" t="str">
        <f t="shared" si="57"/>
        <v/>
      </c>
      <c r="R164" s="48">
        <v>23</v>
      </c>
      <c r="S164" s="62" t="str">
        <f t="shared" si="58"/>
        <v/>
      </c>
      <c r="T164" s="48">
        <v>22</v>
      </c>
      <c r="U164" s="62" t="str">
        <f t="shared" si="59"/>
        <v/>
      </c>
      <c r="V164" s="51">
        <v>77</v>
      </c>
      <c r="W164" s="62" t="str">
        <f t="shared" si="60"/>
        <v/>
      </c>
      <c r="X164" s="48">
        <v>22</v>
      </c>
      <c r="Y164" s="62" t="str">
        <f t="shared" si="61"/>
        <v/>
      </c>
      <c r="Z164" s="51">
        <v>67</v>
      </c>
      <c r="AA164" s="62" t="str">
        <f t="shared" si="62"/>
        <v/>
      </c>
      <c r="AB164" s="48">
        <v>21</v>
      </c>
      <c r="AC164" s="62" t="str">
        <f t="shared" si="63"/>
        <v/>
      </c>
      <c r="AD164" s="48">
        <v>19</v>
      </c>
      <c r="AE164" s="62" t="str">
        <f t="shared" si="64"/>
        <v/>
      </c>
      <c r="AF164" s="51">
        <v>27</v>
      </c>
      <c r="AG164" s="62" t="str">
        <f t="shared" si="65"/>
        <v/>
      </c>
      <c r="AH164" s="48">
        <v>22</v>
      </c>
      <c r="AI164" s="62" t="str">
        <f t="shared" si="66"/>
        <v/>
      </c>
      <c r="AJ164" s="31">
        <f>IF(AND(OR(COUNTIF(D164:AI164,"=31")&gt;=1,COUNTIF(D164:AI164,"=32")&gt;=1,COUNTIF(D164:AI164,"=33")&gt;=1,COUNTIF(D164:AI164,"=34")&gt;=1,COUNTIF(D164:AI164,"=35")=1,COUNTIF(D164:AI164,"=36")&gt;=1 ),COUNTIF(D164:AI164,"")=0,COUNTIF(D164:AI164," ")=0,COUNTIF(D164:AI164,"F")=1),CONCATENATE(SUM(EXTRACTNUMBER(D164),EXTRACTNUMBER(F164),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EXTRACTNUMBER(AD164),EXTRACTNUMBER(AF164),EXTRACTNUMBER(AH164)),"*"),IF(AND(COUNTIF(D164:AI164,"=34")&gt;=1,COUNTIF(D164:AI164,"=35")&gt;=1,COUNTIF(D164:AI164,"f")=2,COUNTIF(D164:AI164,"")=0,COUNTIF(D164:AI164," ")=0),CONCATENATE(SUM(EXTRACTNUMBER(D164),EXTRACTNUMBER(F164),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EXTRACTNUMBER(AD164),EXTRACTNUMBER(AF164),EXTRACTNUMBER(AH164)),"*"),IF(AND(COUNTIF(D164:AI164,"=36")&gt;=2,COUNTIF(D164:AI164,"f")=2,COUNTIF(D164:AI164,"")=0,COUNTIF(D164:AI164," ")=0),CONCATENATE(SUM(EXTRACTNUMBER(D164),EXTRACTNUMBER(F164),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EXTRACTNUMBER(AD164),EXTRACTNUMBER(AF164),EXTRACTNUMBER(AH164)),"*"),SUM(EXTRACTNUMBER(D164),EXTRACTNUMBER(F164),
EXTRACTNUMBER(H164),EXTRACTNUMBER(J164),
EXTRACTNUMBER(L164),EXTRACTNUMBER(N164),
EXTRACTNUMBER(P164),EXTRACTNUMBER(R164),
EXTRACTNUMBER(T164),EXTRACTNUMBER(V164),
EXTRACTNUMBER(X164),EXTRACTNUMBER(Z164),EXTRACTNUMBER(AB164),
EXTRACTNUMBER(AD164),EXTRACTNUMBER(AF164),EXTRACTNUMBER(AH164)))))</f>
        <v>599</v>
      </c>
      <c r="AK164" s="32" t="str">
        <f t="shared" si="67"/>
        <v>PASS</v>
      </c>
      <c r="AL164" s="33" t="str">
        <f>SPELLNUMBER(extractnumber_tot(AJ164))</f>
        <v xml:space="preserve">Five Hundred NinetyNine </v>
      </c>
    </row>
    <row r="165" spans="2:38" s="30" customFormat="1" ht="15.95" customHeight="1">
      <c r="B165" s="37">
        <v>225343</v>
      </c>
      <c r="C165" s="38" t="s">
        <v>357</v>
      </c>
      <c r="D165" s="45">
        <v>42</v>
      </c>
      <c r="E165" s="61" t="str">
        <f t="shared" si="51"/>
        <v/>
      </c>
      <c r="F165" s="48">
        <v>20</v>
      </c>
      <c r="G165" s="62" t="str">
        <f t="shared" si="52"/>
        <v/>
      </c>
      <c r="H165" s="48">
        <v>41</v>
      </c>
      <c r="I165" s="62" t="str">
        <f t="shared" si="53"/>
        <v/>
      </c>
      <c r="J165" s="50">
        <v>42</v>
      </c>
      <c r="K165" s="62" t="str">
        <f t="shared" si="54"/>
        <v/>
      </c>
      <c r="L165" s="48">
        <v>20</v>
      </c>
      <c r="M165" s="62" t="str">
        <f t="shared" si="55"/>
        <v/>
      </c>
      <c r="N165" s="48">
        <v>46</v>
      </c>
      <c r="O165" s="62" t="str">
        <f t="shared" si="56"/>
        <v/>
      </c>
      <c r="P165" s="51">
        <v>47</v>
      </c>
      <c r="Q165" s="62" t="str">
        <f t="shared" si="57"/>
        <v/>
      </c>
      <c r="R165" s="48">
        <v>20</v>
      </c>
      <c r="S165" s="62" t="str">
        <f t="shared" si="58"/>
        <v/>
      </c>
      <c r="T165" s="48">
        <v>21</v>
      </c>
      <c r="U165" s="62" t="str">
        <f t="shared" si="59"/>
        <v/>
      </c>
      <c r="V165" s="51">
        <v>49</v>
      </c>
      <c r="W165" s="62" t="str">
        <f t="shared" si="60"/>
        <v/>
      </c>
      <c r="X165" s="48">
        <v>20</v>
      </c>
      <c r="Y165" s="62" t="str">
        <f t="shared" si="61"/>
        <v/>
      </c>
      <c r="Z165" s="51">
        <v>43</v>
      </c>
      <c r="AA165" s="62" t="str">
        <f t="shared" si="62"/>
        <v/>
      </c>
      <c r="AB165" s="48">
        <v>18</v>
      </c>
      <c r="AC165" s="62" t="str">
        <f t="shared" si="63"/>
        <v/>
      </c>
      <c r="AD165" s="48">
        <v>21</v>
      </c>
      <c r="AE165" s="62" t="str">
        <f t="shared" si="64"/>
        <v/>
      </c>
      <c r="AF165" s="51">
        <v>20</v>
      </c>
      <c r="AG165" s="62" t="str">
        <f t="shared" si="65"/>
        <v/>
      </c>
      <c r="AH165" s="48">
        <v>20</v>
      </c>
      <c r="AI165" s="62" t="str">
        <f t="shared" si="66"/>
        <v/>
      </c>
      <c r="AJ165" s="31">
        <f>IF(AND(OR(COUNTIF(D165:AI165,"=31")&gt;=1,COUNTIF(D165:AI165,"=32")&gt;=1,COUNTIF(D165:AI165,"=33")&gt;=1,COUNTIF(D165:AI165,"=34")&gt;=1,COUNTIF(D165:AI165,"=35")=1,COUNTIF(D165:AI165,"=36")&gt;=1 ),COUNTIF(D165:AI165,"")=0,COUNTIF(D165:AI165," ")=0,COUNTIF(D165:AI165,"F")=1),CONCATENATE(SUM(EXTRACTNUMBER(D165),EXTRACTNUMBER(F165),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EXTRACTNUMBER(AD165),EXTRACTNUMBER(AF165),EXTRACTNUMBER(AH165)),"*"),IF(AND(COUNTIF(D165:AI165,"=34")&gt;=1,COUNTIF(D165:AI165,"=35")&gt;=1,COUNTIF(D165:AI165,"f")=2,COUNTIF(D165:AI165,"")=0,COUNTIF(D165:AI165," ")=0),CONCATENATE(SUM(EXTRACTNUMBER(D165),EXTRACTNUMBER(F165),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EXTRACTNUMBER(AD165),EXTRACTNUMBER(AF165),EXTRACTNUMBER(AH165)),"*"),IF(AND(COUNTIF(D165:AI165,"=36")&gt;=2,COUNTIF(D165:AI165,"f")=2,COUNTIF(D165:AI165,"")=0,COUNTIF(D165:AI165," ")=0),CONCATENATE(SUM(EXTRACTNUMBER(D165),EXTRACTNUMBER(F165),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EXTRACTNUMBER(AD165),EXTRACTNUMBER(AF165),EXTRACTNUMBER(AH165)),"*"),SUM(EXTRACTNUMBER(D165),EXTRACTNUMBER(F165),
EXTRACTNUMBER(H165),EXTRACTNUMBER(J165),
EXTRACTNUMBER(L165),EXTRACTNUMBER(N165),
EXTRACTNUMBER(P165),EXTRACTNUMBER(R165),
EXTRACTNUMBER(T165),EXTRACTNUMBER(V165),
EXTRACTNUMBER(X165),EXTRACTNUMBER(Z165),EXTRACTNUMBER(AB165),
EXTRACTNUMBER(AD165),EXTRACTNUMBER(AF165),EXTRACTNUMBER(AH165)))))</f>
        <v>490</v>
      </c>
      <c r="AK165" s="32" t="str">
        <f t="shared" si="67"/>
        <v>PASS</v>
      </c>
      <c r="AL165" s="33" t="str">
        <f>SPELLNUMBER(extractnumber_tot(AJ165))</f>
        <v xml:space="preserve">Four Hundred Ninety </v>
      </c>
    </row>
    <row r="166" spans="2:38" s="30" customFormat="1" ht="15.95" customHeight="1">
      <c r="B166" s="37">
        <v>225344</v>
      </c>
      <c r="C166" s="38" t="s">
        <v>358</v>
      </c>
      <c r="D166" s="45">
        <v>40</v>
      </c>
      <c r="E166" s="61" t="str">
        <f t="shared" si="51"/>
        <v/>
      </c>
      <c r="F166" s="48">
        <v>20</v>
      </c>
      <c r="G166" s="62" t="str">
        <f t="shared" si="52"/>
        <v/>
      </c>
      <c r="H166" s="48">
        <v>40</v>
      </c>
      <c r="I166" s="62" t="str">
        <f t="shared" si="53"/>
        <v/>
      </c>
      <c r="J166" s="50">
        <v>60</v>
      </c>
      <c r="K166" s="62" t="str">
        <f t="shared" si="54"/>
        <v/>
      </c>
      <c r="L166" s="48">
        <v>20</v>
      </c>
      <c r="M166" s="62" t="str">
        <f t="shared" si="55"/>
        <v/>
      </c>
      <c r="N166" s="48">
        <v>42</v>
      </c>
      <c r="O166" s="62" t="str">
        <f t="shared" si="56"/>
        <v/>
      </c>
      <c r="P166" s="51">
        <v>52</v>
      </c>
      <c r="Q166" s="62" t="str">
        <f t="shared" si="57"/>
        <v/>
      </c>
      <c r="R166" s="48">
        <v>20</v>
      </c>
      <c r="S166" s="62" t="str">
        <f t="shared" si="58"/>
        <v/>
      </c>
      <c r="T166" s="48">
        <v>20</v>
      </c>
      <c r="U166" s="62" t="str">
        <f t="shared" si="59"/>
        <v/>
      </c>
      <c r="V166" s="51">
        <v>40</v>
      </c>
      <c r="W166" s="62" t="str">
        <f t="shared" si="60"/>
        <v/>
      </c>
      <c r="X166" s="48">
        <v>20</v>
      </c>
      <c r="Y166" s="62" t="str">
        <f t="shared" si="61"/>
        <v/>
      </c>
      <c r="Z166" s="51">
        <v>44</v>
      </c>
      <c r="AA166" s="62" t="str">
        <f t="shared" si="62"/>
        <v/>
      </c>
      <c r="AB166" s="48">
        <v>20</v>
      </c>
      <c r="AC166" s="62" t="str">
        <f t="shared" si="63"/>
        <v/>
      </c>
      <c r="AD166" s="48">
        <v>20</v>
      </c>
      <c r="AE166" s="62" t="str">
        <f t="shared" si="64"/>
        <v/>
      </c>
      <c r="AF166" s="51">
        <v>37</v>
      </c>
      <c r="AG166" s="62" t="str">
        <f t="shared" si="65"/>
        <v/>
      </c>
      <c r="AH166" s="48">
        <v>20</v>
      </c>
      <c r="AI166" s="62" t="str">
        <f t="shared" si="66"/>
        <v/>
      </c>
      <c r="AJ166" s="31">
        <f>IF(AND(OR(COUNTIF(D166:AI166,"=31")&gt;=1,COUNTIF(D166:AI166,"=32")&gt;=1,COUNTIF(D166:AI166,"=33")&gt;=1,COUNTIF(D166:AI166,"=34")&gt;=1,COUNTIF(D166:AI166,"=35")=1,COUNTIF(D166:AI166,"=36")&gt;=1 ),COUNTIF(D166:AI166,"")=0,COUNTIF(D166:AI166," ")=0,COUNTIF(D166:AI166,"F")=1),CONCATENATE(SUM(EXTRACTNUMBER(D166),EXTRACTNUMBER(F166),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EXTRACTNUMBER(AD166),EXTRACTNUMBER(AF166),EXTRACTNUMBER(AH166)),"*"),IF(AND(COUNTIF(D166:AI166,"=34")&gt;=1,COUNTIF(D166:AI166,"=35")&gt;=1,COUNTIF(D166:AI166,"f")=2,COUNTIF(D166:AI166,"")=0,COUNTIF(D166:AI166," ")=0),CONCATENATE(SUM(EXTRACTNUMBER(D166),EXTRACTNUMBER(F166),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EXTRACTNUMBER(AD166),EXTRACTNUMBER(AF166),EXTRACTNUMBER(AH166)),"*"),IF(AND(COUNTIF(D166:AI166,"=36")&gt;=2,COUNTIF(D166:AI166,"f")=2,COUNTIF(D166:AI166,"")=0,COUNTIF(D166:AI166," ")=0),CONCATENATE(SUM(EXTRACTNUMBER(D166),EXTRACTNUMBER(F166),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EXTRACTNUMBER(AD166),EXTRACTNUMBER(AF166),EXTRACTNUMBER(AH166)),"*"),SUM(EXTRACTNUMBER(D166),EXTRACTNUMBER(F166),
EXTRACTNUMBER(H166),EXTRACTNUMBER(J166),
EXTRACTNUMBER(L166),EXTRACTNUMBER(N166),
EXTRACTNUMBER(P166),EXTRACTNUMBER(R166),
EXTRACTNUMBER(T166),EXTRACTNUMBER(V166),
EXTRACTNUMBER(X166),EXTRACTNUMBER(Z166),EXTRACTNUMBER(AB166),
EXTRACTNUMBER(AD166),EXTRACTNUMBER(AF166),EXTRACTNUMBER(AH166)))))</f>
        <v>515</v>
      </c>
      <c r="AK166" s="32" t="str">
        <f t="shared" si="67"/>
        <v>PASS</v>
      </c>
      <c r="AL166" s="33" t="str">
        <f>SPELLNUMBER(extractnumber_tot(AJ166))</f>
        <v xml:space="preserve">Five Hundred Fifteen </v>
      </c>
    </row>
    <row r="167" spans="2:38" s="30" customFormat="1" ht="15.95" customHeight="1">
      <c r="B167" s="37">
        <v>225345</v>
      </c>
      <c r="C167" s="38" t="s">
        <v>359</v>
      </c>
      <c r="D167" s="45">
        <v>52</v>
      </c>
      <c r="E167" s="61" t="str">
        <f t="shared" si="51"/>
        <v/>
      </c>
      <c r="F167" s="48">
        <v>21</v>
      </c>
      <c r="G167" s="62" t="str">
        <f t="shared" si="52"/>
        <v/>
      </c>
      <c r="H167" s="48">
        <v>40</v>
      </c>
      <c r="I167" s="62" t="str">
        <f t="shared" si="53"/>
        <v/>
      </c>
      <c r="J167" s="50">
        <v>59</v>
      </c>
      <c r="K167" s="62" t="str">
        <f t="shared" si="54"/>
        <v/>
      </c>
      <c r="L167" s="48">
        <v>22</v>
      </c>
      <c r="M167" s="62" t="str">
        <f t="shared" si="55"/>
        <v/>
      </c>
      <c r="N167" s="48">
        <v>44</v>
      </c>
      <c r="O167" s="62" t="str">
        <f t="shared" si="56"/>
        <v/>
      </c>
      <c r="P167" s="51">
        <v>58</v>
      </c>
      <c r="Q167" s="62" t="str">
        <f t="shared" si="57"/>
        <v/>
      </c>
      <c r="R167" s="48">
        <v>21</v>
      </c>
      <c r="S167" s="62" t="str">
        <f t="shared" si="58"/>
        <v/>
      </c>
      <c r="T167" s="48">
        <v>20</v>
      </c>
      <c r="U167" s="62" t="str">
        <f t="shared" si="59"/>
        <v/>
      </c>
      <c r="V167" s="51">
        <v>60</v>
      </c>
      <c r="W167" s="62" t="str">
        <f t="shared" si="60"/>
        <v/>
      </c>
      <c r="X167" s="48">
        <v>21</v>
      </c>
      <c r="Y167" s="62" t="str">
        <f t="shared" si="61"/>
        <v/>
      </c>
      <c r="Z167" s="51">
        <v>62</v>
      </c>
      <c r="AA167" s="62" t="str">
        <f t="shared" si="62"/>
        <v/>
      </c>
      <c r="AB167" s="48">
        <v>22</v>
      </c>
      <c r="AC167" s="62" t="str">
        <f t="shared" si="63"/>
        <v/>
      </c>
      <c r="AD167" s="48">
        <v>17</v>
      </c>
      <c r="AE167" s="62" t="str">
        <f t="shared" si="64"/>
        <v/>
      </c>
      <c r="AF167" s="51">
        <v>28</v>
      </c>
      <c r="AG167" s="62" t="str">
        <f t="shared" si="65"/>
        <v/>
      </c>
      <c r="AH167" s="48">
        <v>22</v>
      </c>
      <c r="AI167" s="62" t="str">
        <f t="shared" si="66"/>
        <v/>
      </c>
      <c r="AJ167" s="31">
        <f>IF(AND(OR(COUNTIF(D167:AI167,"=31")&gt;=1,COUNTIF(D167:AI167,"=32")&gt;=1,COUNTIF(D167:AI167,"=33")&gt;=1,COUNTIF(D167:AI167,"=34")&gt;=1,COUNTIF(D167:AI167,"=35")=1,COUNTIF(D167:AI167,"=36")&gt;=1 ),COUNTIF(D167:AI167,"")=0,COUNTIF(D167:AI167," ")=0,COUNTIF(D167:AI167,"F")=1),CONCATENATE(SUM(EXTRACTNUMBER(D167),EXTRACTNUMBER(F167),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EXTRACTNUMBER(AD167),EXTRACTNUMBER(AF167),EXTRACTNUMBER(AH167)),"*"),IF(AND(COUNTIF(D167:AI167,"=34")&gt;=1,COUNTIF(D167:AI167,"=35")&gt;=1,COUNTIF(D167:AI167,"f")=2,COUNTIF(D167:AI167,"")=0,COUNTIF(D167:AI167," ")=0),CONCATENATE(SUM(EXTRACTNUMBER(D167),EXTRACTNUMBER(F167),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EXTRACTNUMBER(AD167),EXTRACTNUMBER(AF167),EXTRACTNUMBER(AH167)),"*"),IF(AND(COUNTIF(D167:AI167,"=36")&gt;=2,COUNTIF(D167:AI167,"f")=2,COUNTIF(D167:AI167,"")=0,COUNTIF(D167:AI167," ")=0),CONCATENATE(SUM(EXTRACTNUMBER(D167),EXTRACTNUMBER(F167),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EXTRACTNUMBER(AD167),EXTRACTNUMBER(AF167),EXTRACTNUMBER(AH167)),"*"),SUM(EXTRACTNUMBER(D167),EXTRACTNUMBER(F167),
EXTRACTNUMBER(H167),EXTRACTNUMBER(J167),
EXTRACTNUMBER(L167),EXTRACTNUMBER(N167),
EXTRACTNUMBER(P167),EXTRACTNUMBER(R167),
EXTRACTNUMBER(T167),EXTRACTNUMBER(V167),
EXTRACTNUMBER(X167),EXTRACTNUMBER(Z167),EXTRACTNUMBER(AB167),
EXTRACTNUMBER(AD167),EXTRACTNUMBER(AF167),EXTRACTNUMBER(AH167)))))</f>
        <v>569</v>
      </c>
      <c r="AK167" s="32" t="str">
        <f t="shared" si="67"/>
        <v>PASS</v>
      </c>
      <c r="AL167" s="33" t="str">
        <f>SPELLNUMBER(extractnumber_tot(AJ167))</f>
        <v xml:space="preserve">Five Hundred Sixty Nine </v>
      </c>
    </row>
    <row r="168" spans="2:38" s="30" customFormat="1" ht="15.95" customHeight="1">
      <c r="B168" s="37">
        <v>225346</v>
      </c>
      <c r="C168" s="38" t="s">
        <v>360</v>
      </c>
      <c r="D168" s="45">
        <v>44</v>
      </c>
      <c r="E168" s="61" t="str">
        <f t="shared" si="51"/>
        <v>E</v>
      </c>
      <c r="F168" s="48">
        <v>21</v>
      </c>
      <c r="G168" s="62" t="str">
        <f t="shared" si="52"/>
        <v>E</v>
      </c>
      <c r="H168" s="48">
        <v>40</v>
      </c>
      <c r="I168" s="62" t="str">
        <f t="shared" si="53"/>
        <v>E</v>
      </c>
      <c r="J168" s="50">
        <v>28</v>
      </c>
      <c r="K168" s="62" t="str">
        <f t="shared" si="54"/>
        <v>F</v>
      </c>
      <c r="L168" s="48">
        <v>21</v>
      </c>
      <c r="M168" s="62" t="str">
        <f t="shared" si="55"/>
        <v>E</v>
      </c>
      <c r="N168" s="48">
        <v>42</v>
      </c>
      <c r="O168" s="62" t="str">
        <f t="shared" si="56"/>
        <v>E</v>
      </c>
      <c r="P168" s="51">
        <v>60</v>
      </c>
      <c r="Q168" s="62" t="str">
        <f t="shared" si="57"/>
        <v>E</v>
      </c>
      <c r="R168" s="48">
        <v>21</v>
      </c>
      <c r="S168" s="62" t="str">
        <f t="shared" si="58"/>
        <v>E</v>
      </c>
      <c r="T168" s="48">
        <v>20</v>
      </c>
      <c r="U168" s="62" t="str">
        <f t="shared" si="59"/>
        <v>E</v>
      </c>
      <c r="V168" s="51">
        <v>46</v>
      </c>
      <c r="W168" s="62" t="str">
        <f t="shared" si="60"/>
        <v>E</v>
      </c>
      <c r="X168" s="48">
        <v>18</v>
      </c>
      <c r="Y168" s="62" t="str">
        <f t="shared" si="61"/>
        <v>E</v>
      </c>
      <c r="Z168" s="51">
        <v>42</v>
      </c>
      <c r="AA168" s="62" t="str">
        <f t="shared" si="62"/>
        <v>E</v>
      </c>
      <c r="AB168" s="48">
        <v>21</v>
      </c>
      <c r="AC168" s="62" t="str">
        <f t="shared" si="63"/>
        <v>E</v>
      </c>
      <c r="AD168" s="48">
        <v>19</v>
      </c>
      <c r="AE168" s="62" t="str">
        <f t="shared" si="64"/>
        <v>E</v>
      </c>
      <c r="AF168" s="51">
        <v>29</v>
      </c>
      <c r="AG168" s="62" t="str">
        <f t="shared" si="65"/>
        <v>E</v>
      </c>
      <c r="AH168" s="48">
        <v>22</v>
      </c>
      <c r="AI168" s="62" t="str">
        <f t="shared" si="66"/>
        <v>E</v>
      </c>
      <c r="AJ168" s="31">
        <f>IF(AND(OR(COUNTIF(D168:AI168,"=31")&gt;=1,COUNTIF(D168:AI168,"=32")&gt;=1,COUNTIF(D168:AI168,"=33")&gt;=1,COUNTIF(D168:AI168,"=34")&gt;=1,COUNTIF(D168:AI168,"=35")=1,COUNTIF(D168:AI168,"=36")&gt;=1 ),COUNTIF(D168:AI168,"")=0,COUNTIF(D168:AI168," ")=0,COUNTIF(D168:AI168,"F")=1),CONCATENATE(SUM(EXTRACTNUMBER(D168),EXTRACTNUMBER(F168),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EXTRACTNUMBER(AD168),EXTRACTNUMBER(AF168),EXTRACTNUMBER(AH168)),"*"),IF(AND(COUNTIF(D168:AI168,"=34")&gt;=1,COUNTIF(D168:AI168,"=35")&gt;=1,COUNTIF(D168:AI168,"f")=2,COUNTIF(D168:AI168,"")=0,COUNTIF(D168:AI168," ")=0),CONCATENATE(SUM(EXTRACTNUMBER(D168),EXTRACTNUMBER(F168),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EXTRACTNUMBER(AD168),EXTRACTNUMBER(AF168),EXTRACTNUMBER(AH168)),"*"),IF(AND(COUNTIF(D168:AI168,"=36")&gt;=2,COUNTIF(D168:AI168,"f")=2,COUNTIF(D168:AI168,"")=0,COUNTIF(D168:AI168," ")=0),CONCATENATE(SUM(EXTRACTNUMBER(D168),EXTRACTNUMBER(F168),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EXTRACTNUMBER(AD168),EXTRACTNUMBER(AF168),EXTRACTNUMBER(AH168)),"*"),SUM(EXTRACTNUMBER(D168),EXTRACTNUMBER(F168),
EXTRACTNUMBER(H168),EXTRACTNUMBER(J168),
EXTRACTNUMBER(L168),EXTRACTNUMBER(N168),
EXTRACTNUMBER(P168),EXTRACTNUMBER(R168),
EXTRACTNUMBER(T168),EXTRACTNUMBER(V168),
EXTRACTNUMBER(X168),EXTRACTNUMBER(Z168),EXTRACTNUMBER(AB168),
EXTRACTNUMBER(AD168),EXTRACTNUMBER(AF168),EXTRACTNUMBER(AH168)))))</f>
        <v>494</v>
      </c>
      <c r="AK168" s="32" t="str">
        <f t="shared" si="67"/>
        <v>FAIL</v>
      </c>
      <c r="AL168" s="33" t="str">
        <f>SPELLNUMBER(extractnumber_tot(AJ168))</f>
        <v xml:space="preserve">Four Hundred NinetyFour </v>
      </c>
    </row>
    <row r="169" spans="2:38" s="30" customFormat="1" ht="15.95" customHeight="1">
      <c r="B169" s="37">
        <v>225347</v>
      </c>
      <c r="C169" s="38" t="s">
        <v>361</v>
      </c>
      <c r="D169" s="45">
        <v>60</v>
      </c>
      <c r="E169" s="61" t="str">
        <f t="shared" si="51"/>
        <v/>
      </c>
      <c r="F169" s="48">
        <v>21</v>
      </c>
      <c r="G169" s="62" t="str">
        <f t="shared" si="52"/>
        <v/>
      </c>
      <c r="H169" s="48">
        <v>42</v>
      </c>
      <c r="I169" s="62" t="str">
        <f t="shared" si="53"/>
        <v/>
      </c>
      <c r="J169" s="50">
        <v>45</v>
      </c>
      <c r="K169" s="62" t="str">
        <f t="shared" si="54"/>
        <v/>
      </c>
      <c r="L169" s="48">
        <v>21</v>
      </c>
      <c r="M169" s="62" t="str">
        <f t="shared" si="55"/>
        <v/>
      </c>
      <c r="N169" s="48">
        <v>36</v>
      </c>
      <c r="O169" s="62" t="str">
        <f t="shared" si="56"/>
        <v/>
      </c>
      <c r="P169" s="51">
        <v>50</v>
      </c>
      <c r="Q169" s="62" t="str">
        <f t="shared" si="57"/>
        <v/>
      </c>
      <c r="R169" s="48">
        <v>21</v>
      </c>
      <c r="S169" s="62" t="str">
        <f t="shared" si="58"/>
        <v/>
      </c>
      <c r="T169" s="48">
        <v>22</v>
      </c>
      <c r="U169" s="62" t="str">
        <f t="shared" si="59"/>
        <v/>
      </c>
      <c r="V169" s="51">
        <v>58</v>
      </c>
      <c r="W169" s="62" t="str">
        <f t="shared" si="60"/>
        <v/>
      </c>
      <c r="X169" s="48">
        <v>21</v>
      </c>
      <c r="Y169" s="62" t="str">
        <f t="shared" si="61"/>
        <v/>
      </c>
      <c r="Z169" s="51">
        <v>51</v>
      </c>
      <c r="AA169" s="62" t="str">
        <f t="shared" si="62"/>
        <v/>
      </c>
      <c r="AB169" s="48">
        <v>19</v>
      </c>
      <c r="AC169" s="62" t="str">
        <f t="shared" si="63"/>
        <v/>
      </c>
      <c r="AD169" s="48">
        <v>20</v>
      </c>
      <c r="AE169" s="62" t="str">
        <f t="shared" si="64"/>
        <v/>
      </c>
      <c r="AF169" s="51">
        <v>26</v>
      </c>
      <c r="AG169" s="62" t="str">
        <f t="shared" si="65"/>
        <v/>
      </c>
      <c r="AH169" s="48">
        <v>21</v>
      </c>
      <c r="AI169" s="62" t="str">
        <f t="shared" si="66"/>
        <v/>
      </c>
      <c r="AJ169" s="31">
        <f>IF(AND(OR(COUNTIF(D169:AI169,"=31")&gt;=1,COUNTIF(D169:AI169,"=32")&gt;=1,COUNTIF(D169:AI169,"=33")&gt;=1,COUNTIF(D169:AI169,"=34")&gt;=1,COUNTIF(D169:AI169,"=35")=1,COUNTIF(D169:AI169,"=36")&gt;=1 ),COUNTIF(D169:AI169,"")=0,COUNTIF(D169:AI169," ")=0,COUNTIF(D169:AI169,"F")=1),CONCATENATE(SUM(EXTRACTNUMBER(D169),EXTRACTNUMBER(F169),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EXTRACTNUMBER(AD169),EXTRACTNUMBER(AF169),EXTRACTNUMBER(AH169)),"*"),IF(AND(COUNTIF(D169:AI169,"=34")&gt;=1,COUNTIF(D169:AI169,"=35")&gt;=1,COUNTIF(D169:AI169,"f")=2,COUNTIF(D169:AI169,"")=0,COUNTIF(D169:AI169," ")=0),CONCATENATE(SUM(EXTRACTNUMBER(D169),EXTRACTNUMBER(F169),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EXTRACTNUMBER(AD169),EXTRACTNUMBER(AF169),EXTRACTNUMBER(AH169)),"*"),IF(AND(COUNTIF(D169:AI169,"=36")&gt;=2,COUNTIF(D169:AI169,"f")=2,COUNTIF(D169:AI169,"")=0,COUNTIF(D169:AI169," ")=0),CONCATENATE(SUM(EXTRACTNUMBER(D169),EXTRACTNUMBER(F169),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EXTRACTNUMBER(AD169),EXTRACTNUMBER(AF169),EXTRACTNUMBER(AH169)),"*"),SUM(EXTRACTNUMBER(D169),EXTRACTNUMBER(F169),
EXTRACTNUMBER(H169),EXTRACTNUMBER(J169),
EXTRACTNUMBER(L169),EXTRACTNUMBER(N169),
EXTRACTNUMBER(P169),EXTRACTNUMBER(R169),
EXTRACTNUMBER(T169),EXTRACTNUMBER(V169),
EXTRACTNUMBER(X169),EXTRACTNUMBER(Z169),EXTRACTNUMBER(AB169),
EXTRACTNUMBER(AD169),EXTRACTNUMBER(AF169),EXTRACTNUMBER(AH169)))))</f>
        <v>534</v>
      </c>
      <c r="AK169" s="32" t="str">
        <f t="shared" si="67"/>
        <v>PASS</v>
      </c>
      <c r="AL169" s="33" t="str">
        <f>SPELLNUMBER(extractnumber_tot(AJ169))</f>
        <v xml:space="preserve">Five Hundred Thirty Four </v>
      </c>
    </row>
    <row r="170" spans="2:38" s="30" customFormat="1" ht="15.95" customHeight="1">
      <c r="B170" s="37">
        <v>225348</v>
      </c>
      <c r="C170" s="38" t="s">
        <v>362</v>
      </c>
      <c r="D170" s="45">
        <v>63</v>
      </c>
      <c r="E170" s="61" t="str">
        <f t="shared" si="51"/>
        <v/>
      </c>
      <c r="F170" s="48">
        <v>19</v>
      </c>
      <c r="G170" s="62" t="str">
        <f t="shared" si="52"/>
        <v/>
      </c>
      <c r="H170" s="48">
        <v>42</v>
      </c>
      <c r="I170" s="62" t="str">
        <f t="shared" si="53"/>
        <v/>
      </c>
      <c r="J170" s="50">
        <v>44</v>
      </c>
      <c r="K170" s="62" t="str">
        <f t="shared" si="54"/>
        <v/>
      </c>
      <c r="L170" s="48">
        <v>19</v>
      </c>
      <c r="M170" s="62" t="str">
        <f t="shared" si="55"/>
        <v/>
      </c>
      <c r="N170" s="48">
        <v>36</v>
      </c>
      <c r="O170" s="62" t="str">
        <f t="shared" si="56"/>
        <v/>
      </c>
      <c r="P170" s="51">
        <v>49</v>
      </c>
      <c r="Q170" s="62" t="str">
        <f t="shared" si="57"/>
        <v/>
      </c>
      <c r="R170" s="48">
        <v>19</v>
      </c>
      <c r="S170" s="62" t="str">
        <f t="shared" si="58"/>
        <v/>
      </c>
      <c r="T170" s="48">
        <v>22</v>
      </c>
      <c r="U170" s="62" t="str">
        <f t="shared" si="59"/>
        <v/>
      </c>
      <c r="V170" s="51">
        <v>53</v>
      </c>
      <c r="W170" s="62" t="str">
        <f t="shared" si="60"/>
        <v/>
      </c>
      <c r="X170" s="48">
        <v>19</v>
      </c>
      <c r="Y170" s="62" t="str">
        <f t="shared" si="61"/>
        <v/>
      </c>
      <c r="Z170" s="51">
        <v>57</v>
      </c>
      <c r="AA170" s="62" t="str">
        <f t="shared" si="62"/>
        <v/>
      </c>
      <c r="AB170" s="48">
        <v>19</v>
      </c>
      <c r="AC170" s="62" t="str">
        <f t="shared" si="63"/>
        <v/>
      </c>
      <c r="AD170" s="48">
        <v>17</v>
      </c>
      <c r="AE170" s="62" t="str">
        <f t="shared" si="64"/>
        <v/>
      </c>
      <c r="AF170" s="51">
        <v>27</v>
      </c>
      <c r="AG170" s="62" t="str">
        <f t="shared" si="65"/>
        <v/>
      </c>
      <c r="AH170" s="48">
        <v>18</v>
      </c>
      <c r="AI170" s="62" t="str">
        <f t="shared" si="66"/>
        <v/>
      </c>
      <c r="AJ170" s="31">
        <f>IF(AND(OR(COUNTIF(D170:AI170,"=31")&gt;=1,COUNTIF(D170:AI170,"=32")&gt;=1,COUNTIF(D170:AI170,"=33")&gt;=1,COUNTIF(D170:AI170,"=34")&gt;=1,COUNTIF(D170:AI170,"=35")=1,COUNTIF(D170:AI170,"=36")&gt;=1 ),COUNTIF(D170:AI170,"")=0,COUNTIF(D170:AI170," ")=0,COUNTIF(D170:AI170,"F")=1),CONCATENATE(SUM(EXTRACTNUMBER(D170),EXTRACTNUMBER(F170),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EXTRACTNUMBER(AD170),EXTRACTNUMBER(AF170),EXTRACTNUMBER(AH170)),"*"),IF(AND(COUNTIF(D170:AI170,"=34")&gt;=1,COUNTIF(D170:AI170,"=35")&gt;=1,COUNTIF(D170:AI170,"f")=2,COUNTIF(D170:AI170,"")=0,COUNTIF(D170:AI170," ")=0),CONCATENATE(SUM(EXTRACTNUMBER(D170),EXTRACTNUMBER(F170),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EXTRACTNUMBER(AD170),EXTRACTNUMBER(AF170),EXTRACTNUMBER(AH170)),"*"),IF(AND(COUNTIF(D170:AI170,"=36")&gt;=2,COUNTIF(D170:AI170,"f")=2,COUNTIF(D170:AI170,"")=0,COUNTIF(D170:AI170," ")=0),CONCATENATE(SUM(EXTRACTNUMBER(D170),EXTRACTNUMBER(F170),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EXTRACTNUMBER(AD170),EXTRACTNUMBER(AF170),EXTRACTNUMBER(AH170)),"*"),SUM(EXTRACTNUMBER(D170),EXTRACTNUMBER(F170),
EXTRACTNUMBER(H170),EXTRACTNUMBER(J170),
EXTRACTNUMBER(L170),EXTRACTNUMBER(N170),
EXTRACTNUMBER(P170),EXTRACTNUMBER(R170),
EXTRACTNUMBER(T170),EXTRACTNUMBER(V170),
EXTRACTNUMBER(X170),EXTRACTNUMBER(Z170),EXTRACTNUMBER(AB170),
EXTRACTNUMBER(AD170),EXTRACTNUMBER(AF170),EXTRACTNUMBER(AH170)))))</f>
        <v>523</v>
      </c>
      <c r="AK170" s="32" t="str">
        <f t="shared" si="67"/>
        <v>PASS</v>
      </c>
      <c r="AL170" s="33" t="str">
        <f>SPELLNUMBER(extractnumber_tot(AJ170))</f>
        <v xml:space="preserve">Five Hundred Twenty Three </v>
      </c>
    </row>
    <row r="171" spans="2:38" s="30" customFormat="1" ht="15.95" customHeight="1">
      <c r="B171" s="37">
        <v>225349</v>
      </c>
      <c r="C171" s="38" t="s">
        <v>363</v>
      </c>
      <c r="D171" s="45">
        <v>60</v>
      </c>
      <c r="E171" s="61" t="str">
        <f t="shared" si="51"/>
        <v/>
      </c>
      <c r="F171" s="48">
        <v>20</v>
      </c>
      <c r="G171" s="62" t="str">
        <f t="shared" si="52"/>
        <v/>
      </c>
      <c r="H171" s="48">
        <v>41</v>
      </c>
      <c r="I171" s="62" t="str">
        <f t="shared" si="53"/>
        <v/>
      </c>
      <c r="J171" s="50">
        <v>52</v>
      </c>
      <c r="K171" s="62" t="str">
        <f t="shared" si="54"/>
        <v/>
      </c>
      <c r="L171" s="48">
        <v>22</v>
      </c>
      <c r="M171" s="62" t="str">
        <f t="shared" si="55"/>
        <v/>
      </c>
      <c r="N171" s="48">
        <v>40</v>
      </c>
      <c r="O171" s="62" t="str">
        <f t="shared" si="56"/>
        <v/>
      </c>
      <c r="P171" s="51">
        <v>53</v>
      </c>
      <c r="Q171" s="62" t="str">
        <f t="shared" si="57"/>
        <v/>
      </c>
      <c r="R171" s="48">
        <v>20</v>
      </c>
      <c r="S171" s="62" t="str">
        <f t="shared" si="58"/>
        <v/>
      </c>
      <c r="T171" s="48">
        <v>21</v>
      </c>
      <c r="U171" s="62" t="str">
        <f t="shared" si="59"/>
        <v/>
      </c>
      <c r="V171" s="51">
        <v>65</v>
      </c>
      <c r="W171" s="62" t="str">
        <f t="shared" si="60"/>
        <v/>
      </c>
      <c r="X171" s="48">
        <v>20</v>
      </c>
      <c r="Y171" s="62" t="str">
        <f t="shared" si="61"/>
        <v/>
      </c>
      <c r="Z171" s="51">
        <v>51</v>
      </c>
      <c r="AA171" s="62" t="str">
        <f t="shared" si="62"/>
        <v/>
      </c>
      <c r="AB171" s="48">
        <v>22</v>
      </c>
      <c r="AC171" s="62" t="str">
        <f t="shared" si="63"/>
        <v/>
      </c>
      <c r="AD171" s="48">
        <v>17</v>
      </c>
      <c r="AE171" s="62" t="str">
        <f t="shared" si="64"/>
        <v/>
      </c>
      <c r="AF171" s="51">
        <v>26</v>
      </c>
      <c r="AG171" s="62" t="str">
        <f t="shared" si="65"/>
        <v/>
      </c>
      <c r="AH171" s="48">
        <v>23</v>
      </c>
      <c r="AI171" s="62" t="str">
        <f t="shared" si="66"/>
        <v/>
      </c>
      <c r="AJ171" s="31">
        <f>IF(AND(OR(COUNTIF(D171:AI171,"=31")&gt;=1,COUNTIF(D171:AI171,"=32")&gt;=1,COUNTIF(D171:AI171,"=33")&gt;=1,COUNTIF(D171:AI171,"=34")&gt;=1,COUNTIF(D171:AI171,"=35")=1,COUNTIF(D171:AI171,"=36")&gt;=1 ),COUNTIF(D171:AI171,"")=0,COUNTIF(D171:AI171," ")=0,COUNTIF(D171:AI171,"F")=1),CONCATENATE(SUM(EXTRACTNUMBER(D171),EXTRACTNUMBER(F171),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EXTRACTNUMBER(AD171),EXTRACTNUMBER(AF171),EXTRACTNUMBER(AH171)),"*"),IF(AND(COUNTIF(D171:AI171,"=34")&gt;=1,COUNTIF(D171:AI171,"=35")&gt;=1,COUNTIF(D171:AI171,"f")=2,COUNTIF(D171:AI171,"")=0,COUNTIF(D171:AI171," ")=0),CONCATENATE(SUM(EXTRACTNUMBER(D171),EXTRACTNUMBER(F171),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EXTRACTNUMBER(AD171),EXTRACTNUMBER(AF171),EXTRACTNUMBER(AH171)),"*"),IF(AND(COUNTIF(D171:AI171,"=36")&gt;=2,COUNTIF(D171:AI171,"f")=2,COUNTIF(D171:AI171,"")=0,COUNTIF(D171:AI171," ")=0),CONCATENATE(SUM(EXTRACTNUMBER(D171),EXTRACTNUMBER(F171),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EXTRACTNUMBER(AD171),EXTRACTNUMBER(AF171),EXTRACTNUMBER(AH171)),"*"),SUM(EXTRACTNUMBER(D171),EXTRACTNUMBER(F171),
EXTRACTNUMBER(H171),EXTRACTNUMBER(J171),
EXTRACTNUMBER(L171),EXTRACTNUMBER(N171),
EXTRACTNUMBER(P171),EXTRACTNUMBER(R171),
EXTRACTNUMBER(T171),EXTRACTNUMBER(V171),
EXTRACTNUMBER(X171),EXTRACTNUMBER(Z171),EXTRACTNUMBER(AB171),
EXTRACTNUMBER(AD171),EXTRACTNUMBER(AF171),EXTRACTNUMBER(AH171)))))</f>
        <v>553</v>
      </c>
      <c r="AK171" s="32" t="str">
        <f t="shared" si="67"/>
        <v>PASS</v>
      </c>
      <c r="AL171" s="33" t="str">
        <f>SPELLNUMBER(extractnumber_tot(AJ171))</f>
        <v xml:space="preserve">Five Hundred Fifty Three </v>
      </c>
    </row>
    <row r="172" spans="2:38" s="30" customFormat="1" ht="15.95" customHeight="1">
      <c r="B172" s="37">
        <v>225350</v>
      </c>
      <c r="C172" s="38" t="s">
        <v>364</v>
      </c>
      <c r="D172" s="45">
        <v>61</v>
      </c>
      <c r="E172" s="61" t="str">
        <f t="shared" si="51"/>
        <v/>
      </c>
      <c r="F172" s="48">
        <v>23</v>
      </c>
      <c r="G172" s="62" t="str">
        <f t="shared" si="52"/>
        <v/>
      </c>
      <c r="H172" s="48">
        <v>42</v>
      </c>
      <c r="I172" s="62" t="str">
        <f t="shared" si="53"/>
        <v/>
      </c>
      <c r="J172" s="50">
        <v>46</v>
      </c>
      <c r="K172" s="62" t="str">
        <f t="shared" si="54"/>
        <v/>
      </c>
      <c r="L172" s="48">
        <v>23</v>
      </c>
      <c r="M172" s="62" t="str">
        <f t="shared" si="55"/>
        <v/>
      </c>
      <c r="N172" s="48">
        <v>44</v>
      </c>
      <c r="O172" s="62" t="str">
        <f t="shared" si="56"/>
        <v/>
      </c>
      <c r="P172" s="51">
        <v>44</v>
      </c>
      <c r="Q172" s="62" t="str">
        <f t="shared" si="57"/>
        <v/>
      </c>
      <c r="R172" s="48">
        <v>23</v>
      </c>
      <c r="S172" s="62" t="str">
        <f t="shared" si="58"/>
        <v/>
      </c>
      <c r="T172" s="48">
        <v>22</v>
      </c>
      <c r="U172" s="62" t="str">
        <f t="shared" si="59"/>
        <v/>
      </c>
      <c r="V172" s="51">
        <v>66</v>
      </c>
      <c r="W172" s="62" t="str">
        <f t="shared" si="60"/>
        <v/>
      </c>
      <c r="X172" s="48">
        <v>23</v>
      </c>
      <c r="Y172" s="62" t="str">
        <f t="shared" si="61"/>
        <v/>
      </c>
      <c r="Z172" s="51">
        <v>55</v>
      </c>
      <c r="AA172" s="62" t="str">
        <f t="shared" si="62"/>
        <v/>
      </c>
      <c r="AB172" s="48">
        <v>23</v>
      </c>
      <c r="AC172" s="62" t="str">
        <f t="shared" si="63"/>
        <v/>
      </c>
      <c r="AD172" s="48">
        <v>18</v>
      </c>
      <c r="AE172" s="62" t="str">
        <f t="shared" si="64"/>
        <v/>
      </c>
      <c r="AF172" s="51">
        <v>25</v>
      </c>
      <c r="AG172" s="62" t="str">
        <f t="shared" si="65"/>
        <v/>
      </c>
      <c r="AH172" s="48">
        <v>22</v>
      </c>
      <c r="AI172" s="62" t="str">
        <f t="shared" si="66"/>
        <v/>
      </c>
      <c r="AJ172" s="31">
        <f>IF(AND(OR(COUNTIF(D172:AI172,"=31")&gt;=1,COUNTIF(D172:AI172,"=32")&gt;=1,COUNTIF(D172:AI172,"=33")&gt;=1,COUNTIF(D172:AI172,"=34")&gt;=1,COUNTIF(D172:AI172,"=35")=1,COUNTIF(D172:AI172,"=36")&gt;=1 ),COUNTIF(D172:AI172,"")=0,COUNTIF(D172:AI172," ")=0,COUNTIF(D172:AI172,"F")=1),CONCATENATE(SUM(EXTRACTNUMBER(D172),EXTRACTNUMBER(F172),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EXTRACTNUMBER(AD172),EXTRACTNUMBER(AF172),EXTRACTNUMBER(AH172)),"*"),IF(AND(COUNTIF(D172:AI172,"=34")&gt;=1,COUNTIF(D172:AI172,"=35")&gt;=1,COUNTIF(D172:AI172,"f")=2,COUNTIF(D172:AI172,"")=0,COUNTIF(D172:AI172," ")=0),CONCATENATE(SUM(EXTRACTNUMBER(D172),EXTRACTNUMBER(F172),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EXTRACTNUMBER(AD172),EXTRACTNUMBER(AF172),EXTRACTNUMBER(AH172)),"*"),IF(AND(COUNTIF(D172:AI172,"=36")&gt;=2,COUNTIF(D172:AI172,"f")=2,COUNTIF(D172:AI172,"")=0,COUNTIF(D172:AI172," ")=0),CONCATENATE(SUM(EXTRACTNUMBER(D172),EXTRACTNUMBER(F172),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EXTRACTNUMBER(AD172),EXTRACTNUMBER(AF172),EXTRACTNUMBER(AH172)),"*"),SUM(EXTRACTNUMBER(D172),EXTRACTNUMBER(F172),
EXTRACTNUMBER(H172),EXTRACTNUMBER(J172),
EXTRACTNUMBER(L172),EXTRACTNUMBER(N172),
EXTRACTNUMBER(P172),EXTRACTNUMBER(R172),
EXTRACTNUMBER(T172),EXTRACTNUMBER(V172),
EXTRACTNUMBER(X172),EXTRACTNUMBER(Z172),EXTRACTNUMBER(AB172),
EXTRACTNUMBER(AD172),EXTRACTNUMBER(AF172),EXTRACTNUMBER(AH172)))))</f>
        <v>560</v>
      </c>
      <c r="AK172" s="32" t="str">
        <f t="shared" si="67"/>
        <v>PASS</v>
      </c>
      <c r="AL172" s="33" t="str">
        <f>SPELLNUMBER(extractnumber_tot(AJ172))</f>
        <v xml:space="preserve">Five Hundred Sixty  </v>
      </c>
    </row>
    <row r="173" spans="2:38" s="30" customFormat="1" ht="15.95" customHeight="1">
      <c r="B173" s="37">
        <v>225351</v>
      </c>
      <c r="C173" s="38" t="s">
        <v>365</v>
      </c>
      <c r="D173" s="45">
        <v>47</v>
      </c>
      <c r="E173" s="61" t="str">
        <f t="shared" si="51"/>
        <v/>
      </c>
      <c r="F173" s="48">
        <v>21</v>
      </c>
      <c r="G173" s="62" t="str">
        <f t="shared" si="52"/>
        <v/>
      </c>
      <c r="H173" s="48">
        <v>43</v>
      </c>
      <c r="I173" s="62" t="str">
        <f t="shared" si="53"/>
        <v/>
      </c>
      <c r="J173" s="50">
        <v>43</v>
      </c>
      <c r="K173" s="62" t="str">
        <f t="shared" si="54"/>
        <v/>
      </c>
      <c r="L173" s="48">
        <v>23</v>
      </c>
      <c r="M173" s="62" t="str">
        <f t="shared" si="55"/>
        <v/>
      </c>
      <c r="N173" s="48">
        <v>46</v>
      </c>
      <c r="O173" s="62" t="str">
        <f t="shared" si="56"/>
        <v/>
      </c>
      <c r="P173" s="51">
        <v>47</v>
      </c>
      <c r="Q173" s="62" t="str">
        <f t="shared" si="57"/>
        <v/>
      </c>
      <c r="R173" s="48">
        <v>21</v>
      </c>
      <c r="S173" s="62" t="str">
        <f t="shared" si="58"/>
        <v/>
      </c>
      <c r="T173" s="48">
        <v>23</v>
      </c>
      <c r="U173" s="62" t="str">
        <f t="shared" si="59"/>
        <v/>
      </c>
      <c r="V173" s="51">
        <v>49</v>
      </c>
      <c r="W173" s="62" t="str">
        <f t="shared" si="60"/>
        <v/>
      </c>
      <c r="X173" s="48">
        <v>21</v>
      </c>
      <c r="Y173" s="62" t="str">
        <f t="shared" si="61"/>
        <v/>
      </c>
      <c r="Z173" s="51">
        <v>41</v>
      </c>
      <c r="AA173" s="62" t="str">
        <f t="shared" si="62"/>
        <v/>
      </c>
      <c r="AB173" s="48">
        <v>23</v>
      </c>
      <c r="AC173" s="62" t="str">
        <f t="shared" si="63"/>
        <v/>
      </c>
      <c r="AD173" s="48">
        <v>18</v>
      </c>
      <c r="AE173" s="62" t="str">
        <f t="shared" si="64"/>
        <v/>
      </c>
      <c r="AF173" s="51">
        <v>23</v>
      </c>
      <c r="AG173" s="62" t="str">
        <f t="shared" si="65"/>
        <v/>
      </c>
      <c r="AH173" s="48">
        <v>21</v>
      </c>
      <c r="AI173" s="62" t="str">
        <f t="shared" si="66"/>
        <v/>
      </c>
      <c r="AJ173" s="31">
        <f>IF(AND(OR(COUNTIF(D173:AI173,"=31")&gt;=1,COUNTIF(D173:AI173,"=32")&gt;=1,COUNTIF(D173:AI173,"=33")&gt;=1,COUNTIF(D173:AI173,"=34")&gt;=1,COUNTIF(D173:AI173,"=35")=1,COUNTIF(D173:AI173,"=36")&gt;=1 ),COUNTIF(D173:AI173,"")=0,COUNTIF(D173:AI173," ")=0,COUNTIF(D173:AI173,"F")=1),CONCATENATE(SUM(EXTRACTNUMBER(D173),EXTRACTNUMBER(F173),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EXTRACTNUMBER(AD173),EXTRACTNUMBER(AF173),EXTRACTNUMBER(AH173)),"*"),IF(AND(COUNTIF(D173:AI173,"=34")&gt;=1,COUNTIF(D173:AI173,"=35")&gt;=1,COUNTIF(D173:AI173,"f")=2,COUNTIF(D173:AI173,"")=0,COUNTIF(D173:AI173," ")=0),CONCATENATE(SUM(EXTRACTNUMBER(D173),EXTRACTNUMBER(F173),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EXTRACTNUMBER(AD173),EXTRACTNUMBER(AF173),EXTRACTNUMBER(AH173)),"*"),IF(AND(COUNTIF(D173:AI173,"=36")&gt;=2,COUNTIF(D173:AI173,"f")=2,COUNTIF(D173:AI173,"")=0,COUNTIF(D173:AI173," ")=0),CONCATENATE(SUM(EXTRACTNUMBER(D173),EXTRACTNUMBER(F173),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EXTRACTNUMBER(AD173),EXTRACTNUMBER(AF173),EXTRACTNUMBER(AH173)),"*"),SUM(EXTRACTNUMBER(D173),EXTRACTNUMBER(F173),
EXTRACTNUMBER(H173),EXTRACTNUMBER(J173),
EXTRACTNUMBER(L173),EXTRACTNUMBER(N173),
EXTRACTNUMBER(P173),EXTRACTNUMBER(R173),
EXTRACTNUMBER(T173),EXTRACTNUMBER(V173),
EXTRACTNUMBER(X173),EXTRACTNUMBER(Z173),EXTRACTNUMBER(AB173),
EXTRACTNUMBER(AD173),EXTRACTNUMBER(AF173),EXTRACTNUMBER(AH173)))))</f>
        <v>510</v>
      </c>
      <c r="AK173" s="32" t="str">
        <f t="shared" si="67"/>
        <v>PASS</v>
      </c>
      <c r="AL173" s="33" t="str">
        <f>SPELLNUMBER(extractnumber_tot(AJ173))</f>
        <v xml:space="preserve">Five Hundred Ten </v>
      </c>
    </row>
    <row r="174" spans="2:38" s="30" customFormat="1" ht="15.95" customHeight="1">
      <c r="B174" s="37">
        <v>225352</v>
      </c>
      <c r="C174" s="38" t="s">
        <v>366</v>
      </c>
      <c r="D174" s="45">
        <v>46</v>
      </c>
      <c r="E174" s="61" t="str">
        <f t="shared" si="51"/>
        <v/>
      </c>
      <c r="F174" s="48">
        <v>21</v>
      </c>
      <c r="G174" s="62" t="str">
        <f t="shared" si="52"/>
        <v/>
      </c>
      <c r="H174" s="48">
        <v>40</v>
      </c>
      <c r="I174" s="62" t="str">
        <f t="shared" si="53"/>
        <v/>
      </c>
      <c r="J174" s="50">
        <v>40</v>
      </c>
      <c r="K174" s="62" t="str">
        <f t="shared" si="54"/>
        <v/>
      </c>
      <c r="L174" s="48">
        <v>19</v>
      </c>
      <c r="M174" s="62" t="str">
        <f t="shared" si="55"/>
        <v/>
      </c>
      <c r="N174" s="48">
        <v>42</v>
      </c>
      <c r="O174" s="62" t="str">
        <f t="shared" si="56"/>
        <v/>
      </c>
      <c r="P174" s="51">
        <v>59</v>
      </c>
      <c r="Q174" s="62" t="str">
        <f t="shared" si="57"/>
        <v/>
      </c>
      <c r="R174" s="48">
        <v>21</v>
      </c>
      <c r="S174" s="62" t="str">
        <f t="shared" si="58"/>
        <v/>
      </c>
      <c r="T174" s="48">
        <v>20</v>
      </c>
      <c r="U174" s="62" t="str">
        <f t="shared" si="59"/>
        <v/>
      </c>
      <c r="V174" s="51">
        <v>62</v>
      </c>
      <c r="W174" s="62" t="str">
        <f t="shared" si="60"/>
        <v/>
      </c>
      <c r="X174" s="48">
        <v>21</v>
      </c>
      <c r="Y174" s="62" t="str">
        <f t="shared" si="61"/>
        <v/>
      </c>
      <c r="Z174" s="51">
        <v>40</v>
      </c>
      <c r="AA174" s="62" t="str">
        <f t="shared" si="62"/>
        <v/>
      </c>
      <c r="AB174" s="48">
        <v>19</v>
      </c>
      <c r="AC174" s="62" t="str">
        <f t="shared" si="63"/>
        <v/>
      </c>
      <c r="AD174" s="48">
        <v>15</v>
      </c>
      <c r="AE174" s="62" t="str">
        <f t="shared" si="64"/>
        <v/>
      </c>
      <c r="AF174" s="51">
        <v>23</v>
      </c>
      <c r="AG174" s="62" t="str">
        <f t="shared" si="65"/>
        <v/>
      </c>
      <c r="AH174" s="48">
        <v>23</v>
      </c>
      <c r="AI174" s="62" t="str">
        <f t="shared" si="66"/>
        <v/>
      </c>
      <c r="AJ174" s="31">
        <f>IF(AND(OR(COUNTIF(D174:AI174,"=31")&gt;=1,COUNTIF(D174:AI174,"=32")&gt;=1,COUNTIF(D174:AI174,"=33")&gt;=1,COUNTIF(D174:AI174,"=34")&gt;=1,COUNTIF(D174:AI174,"=35")=1,COUNTIF(D174:AI174,"=36")&gt;=1 ),COUNTIF(D174:AI174,"")=0,COUNTIF(D174:AI174," ")=0,COUNTIF(D174:AI174,"F")=1),CONCATENATE(SUM(EXTRACTNUMBER(D174),EXTRACTNUMBER(F174),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EXTRACTNUMBER(AD174),EXTRACTNUMBER(AF174),EXTRACTNUMBER(AH174)),"*"),IF(AND(COUNTIF(D174:AI174,"=34")&gt;=1,COUNTIF(D174:AI174,"=35")&gt;=1,COUNTIF(D174:AI174,"f")=2,COUNTIF(D174:AI174,"")=0,COUNTIF(D174:AI174," ")=0),CONCATENATE(SUM(EXTRACTNUMBER(D174),EXTRACTNUMBER(F174),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EXTRACTNUMBER(AD174),EXTRACTNUMBER(AF174),EXTRACTNUMBER(AH174)),"*"),IF(AND(COUNTIF(D174:AI174,"=36")&gt;=2,COUNTIF(D174:AI174,"f")=2,COUNTIF(D174:AI174,"")=0,COUNTIF(D174:AI174," ")=0),CONCATENATE(SUM(EXTRACTNUMBER(D174),EXTRACTNUMBER(F174),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EXTRACTNUMBER(AD174),EXTRACTNUMBER(AF174),EXTRACTNUMBER(AH174)),"*"),SUM(EXTRACTNUMBER(D174),EXTRACTNUMBER(F174),
EXTRACTNUMBER(H174),EXTRACTNUMBER(J174),
EXTRACTNUMBER(L174),EXTRACTNUMBER(N174),
EXTRACTNUMBER(P174),EXTRACTNUMBER(R174),
EXTRACTNUMBER(T174),EXTRACTNUMBER(V174),
EXTRACTNUMBER(X174),EXTRACTNUMBER(Z174),EXTRACTNUMBER(AB174),
EXTRACTNUMBER(AD174),EXTRACTNUMBER(AF174),EXTRACTNUMBER(AH174)))))</f>
        <v>511</v>
      </c>
      <c r="AK174" s="32" t="str">
        <f t="shared" si="67"/>
        <v>PASS</v>
      </c>
      <c r="AL174" s="33" t="str">
        <f>SPELLNUMBER(extractnumber_tot(AJ174))</f>
        <v xml:space="preserve">Five Hundred Eleven </v>
      </c>
    </row>
    <row r="175" spans="2:38" s="30" customFormat="1" ht="15.95" customHeight="1">
      <c r="B175" s="37">
        <v>225353</v>
      </c>
      <c r="C175" s="38" t="s">
        <v>367</v>
      </c>
      <c r="D175" s="45">
        <v>67</v>
      </c>
      <c r="E175" s="61" t="str">
        <f t="shared" si="51"/>
        <v/>
      </c>
      <c r="F175" s="48">
        <v>22</v>
      </c>
      <c r="G175" s="62" t="str">
        <f t="shared" si="52"/>
        <v/>
      </c>
      <c r="H175" s="48">
        <v>42</v>
      </c>
      <c r="I175" s="62" t="str">
        <f t="shared" si="53"/>
        <v/>
      </c>
      <c r="J175" s="50">
        <v>46</v>
      </c>
      <c r="K175" s="62" t="str">
        <f t="shared" si="54"/>
        <v/>
      </c>
      <c r="L175" s="48">
        <v>23</v>
      </c>
      <c r="M175" s="62" t="str">
        <f t="shared" si="55"/>
        <v/>
      </c>
      <c r="N175" s="48">
        <v>46</v>
      </c>
      <c r="O175" s="62" t="str">
        <f t="shared" si="56"/>
        <v/>
      </c>
      <c r="P175" s="51">
        <v>58</v>
      </c>
      <c r="Q175" s="62" t="str">
        <f t="shared" si="57"/>
        <v/>
      </c>
      <c r="R175" s="48">
        <v>22</v>
      </c>
      <c r="S175" s="62" t="str">
        <f t="shared" si="58"/>
        <v/>
      </c>
      <c r="T175" s="48">
        <v>22</v>
      </c>
      <c r="U175" s="62" t="str">
        <f t="shared" si="59"/>
        <v/>
      </c>
      <c r="V175" s="51">
        <v>71</v>
      </c>
      <c r="W175" s="62" t="str">
        <f t="shared" si="60"/>
        <v/>
      </c>
      <c r="X175" s="48">
        <v>23</v>
      </c>
      <c r="Y175" s="62" t="str">
        <f t="shared" si="61"/>
        <v/>
      </c>
      <c r="Z175" s="51">
        <v>71</v>
      </c>
      <c r="AA175" s="62" t="str">
        <f t="shared" si="62"/>
        <v/>
      </c>
      <c r="AB175" s="48">
        <v>23</v>
      </c>
      <c r="AC175" s="62" t="str">
        <f t="shared" si="63"/>
        <v/>
      </c>
      <c r="AD175" s="48">
        <v>20</v>
      </c>
      <c r="AE175" s="62" t="str">
        <f t="shared" si="64"/>
        <v/>
      </c>
      <c r="AF175" s="51">
        <v>29</v>
      </c>
      <c r="AG175" s="62" t="str">
        <f t="shared" si="65"/>
        <v/>
      </c>
      <c r="AH175" s="48">
        <v>20</v>
      </c>
      <c r="AI175" s="62" t="str">
        <f t="shared" si="66"/>
        <v/>
      </c>
      <c r="AJ175" s="31">
        <f>IF(AND(OR(COUNTIF(D175:AI175,"=31")&gt;=1,COUNTIF(D175:AI175,"=32")&gt;=1,COUNTIF(D175:AI175,"=33")&gt;=1,COUNTIF(D175:AI175,"=34")&gt;=1,COUNTIF(D175:AI175,"=35")=1,COUNTIF(D175:AI175,"=36")&gt;=1 ),COUNTIF(D175:AI175,"")=0,COUNTIF(D175:AI175," ")=0,COUNTIF(D175:AI175,"F")=1),CONCATENATE(SUM(EXTRACTNUMBER(D175),EXTRACTNUMBER(F175),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EXTRACTNUMBER(AD175),EXTRACTNUMBER(AF175),EXTRACTNUMBER(AH175)),"*"),IF(AND(COUNTIF(D175:AI175,"=34")&gt;=1,COUNTIF(D175:AI175,"=35")&gt;=1,COUNTIF(D175:AI175,"f")=2,COUNTIF(D175:AI175,"")=0,COUNTIF(D175:AI175," ")=0),CONCATENATE(SUM(EXTRACTNUMBER(D175),EXTRACTNUMBER(F175),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EXTRACTNUMBER(AD175),EXTRACTNUMBER(AF175),EXTRACTNUMBER(AH175)),"*"),IF(AND(COUNTIF(D175:AI175,"=36")&gt;=2,COUNTIF(D175:AI175,"f")=2,COUNTIF(D175:AI175,"")=0,COUNTIF(D175:AI175," ")=0),CONCATENATE(SUM(EXTRACTNUMBER(D175),EXTRACTNUMBER(F175),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EXTRACTNUMBER(AD175),EXTRACTNUMBER(AF175),EXTRACTNUMBER(AH175)),"*"),SUM(EXTRACTNUMBER(D175),EXTRACTNUMBER(F175),
EXTRACTNUMBER(H175),EXTRACTNUMBER(J175),
EXTRACTNUMBER(L175),EXTRACTNUMBER(N175),
EXTRACTNUMBER(P175),EXTRACTNUMBER(R175),
EXTRACTNUMBER(T175),EXTRACTNUMBER(V175),
EXTRACTNUMBER(X175),EXTRACTNUMBER(Z175),EXTRACTNUMBER(AB175),
EXTRACTNUMBER(AD175),EXTRACTNUMBER(AF175),EXTRACTNUMBER(AH175)))))</f>
        <v>605</v>
      </c>
      <c r="AK175" s="32" t="str">
        <f t="shared" si="67"/>
        <v>PASS</v>
      </c>
      <c r="AL175" s="33" t="str">
        <f>SPELLNUMBER(extractnumber_tot(AJ175))</f>
        <v xml:space="preserve">Six Hundred Five </v>
      </c>
    </row>
    <row r="176" spans="2:38" s="30" customFormat="1" ht="15.95" customHeight="1">
      <c r="B176" s="37">
        <v>225354</v>
      </c>
      <c r="C176" s="38" t="s">
        <v>368</v>
      </c>
      <c r="D176" s="45">
        <v>40</v>
      </c>
      <c r="E176" s="61" t="str">
        <f t="shared" si="51"/>
        <v>E</v>
      </c>
      <c r="F176" s="48">
        <v>20</v>
      </c>
      <c r="G176" s="62" t="str">
        <f t="shared" si="52"/>
        <v>E</v>
      </c>
      <c r="H176" s="48">
        <v>40</v>
      </c>
      <c r="I176" s="62" t="str">
        <f t="shared" si="53"/>
        <v>E</v>
      </c>
      <c r="J176" s="50">
        <v>40</v>
      </c>
      <c r="K176" s="62" t="str">
        <f t="shared" si="54"/>
        <v>E</v>
      </c>
      <c r="L176" s="48">
        <v>16</v>
      </c>
      <c r="M176" s="62" t="str">
        <f t="shared" si="55"/>
        <v>E</v>
      </c>
      <c r="N176" s="48">
        <v>38</v>
      </c>
      <c r="O176" s="62" t="str">
        <f t="shared" si="56"/>
        <v>E</v>
      </c>
      <c r="P176" s="51">
        <v>41</v>
      </c>
      <c r="Q176" s="62" t="str">
        <f t="shared" si="57"/>
        <v>E</v>
      </c>
      <c r="R176" s="48">
        <v>20</v>
      </c>
      <c r="S176" s="62" t="str">
        <f t="shared" si="58"/>
        <v>E</v>
      </c>
      <c r="T176" s="48">
        <v>20</v>
      </c>
      <c r="U176" s="62" t="str">
        <f t="shared" si="59"/>
        <v>E</v>
      </c>
      <c r="V176" s="51">
        <v>52</v>
      </c>
      <c r="W176" s="62" t="str">
        <f t="shared" si="60"/>
        <v>E</v>
      </c>
      <c r="X176" s="48">
        <v>20</v>
      </c>
      <c r="Y176" s="62" t="str">
        <f t="shared" si="61"/>
        <v>E</v>
      </c>
      <c r="Z176" s="51">
        <v>23</v>
      </c>
      <c r="AA176" s="62" t="str">
        <f t="shared" si="62"/>
        <v>F</v>
      </c>
      <c r="AB176" s="48">
        <v>17</v>
      </c>
      <c r="AC176" s="62" t="str">
        <f t="shared" si="63"/>
        <v>E</v>
      </c>
      <c r="AD176" s="48">
        <v>20</v>
      </c>
      <c r="AE176" s="62" t="str">
        <f t="shared" si="64"/>
        <v>E</v>
      </c>
      <c r="AF176" s="51">
        <v>24</v>
      </c>
      <c r="AG176" s="62" t="str">
        <f t="shared" si="65"/>
        <v>E</v>
      </c>
      <c r="AH176" s="48">
        <v>20</v>
      </c>
      <c r="AI176" s="62" t="str">
        <f t="shared" si="66"/>
        <v>E</v>
      </c>
      <c r="AJ176" s="31">
        <f>IF(AND(OR(COUNTIF(D176:AI176,"=31")&gt;=1,COUNTIF(D176:AI176,"=32")&gt;=1,COUNTIF(D176:AI176,"=33")&gt;=1,COUNTIF(D176:AI176,"=34")&gt;=1,COUNTIF(D176:AI176,"=35")=1,COUNTIF(D176:AI176,"=36")&gt;=1 ),COUNTIF(D176:AI176,"")=0,COUNTIF(D176:AI176," ")=0,COUNTIF(D176:AI176,"F")=1),CONCATENATE(SUM(EXTRACTNUMBER(D176),EXTRACTNUMBER(F176),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EXTRACTNUMBER(AD176),EXTRACTNUMBER(AF176),EXTRACTNUMBER(AH176)),"*"),IF(AND(COUNTIF(D176:AI176,"=34")&gt;=1,COUNTIF(D176:AI176,"=35")&gt;=1,COUNTIF(D176:AI176,"f")=2,COUNTIF(D176:AI176,"")=0,COUNTIF(D176:AI176," ")=0),CONCATENATE(SUM(EXTRACTNUMBER(D176),EXTRACTNUMBER(F176),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EXTRACTNUMBER(AD176),EXTRACTNUMBER(AF176),EXTRACTNUMBER(AH176)),"*"),IF(AND(COUNTIF(D176:AI176,"=36")&gt;=2,COUNTIF(D176:AI176,"f")=2,COUNTIF(D176:AI176,"")=0,COUNTIF(D176:AI176," ")=0),CONCATENATE(SUM(EXTRACTNUMBER(D176),EXTRACTNUMBER(F176),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EXTRACTNUMBER(AD176),EXTRACTNUMBER(AF176),EXTRACTNUMBER(AH176)),"*"),SUM(EXTRACTNUMBER(D176),EXTRACTNUMBER(F176),
EXTRACTNUMBER(H176),EXTRACTNUMBER(J176),
EXTRACTNUMBER(L176),EXTRACTNUMBER(N176),
EXTRACTNUMBER(P176),EXTRACTNUMBER(R176),
EXTRACTNUMBER(T176),EXTRACTNUMBER(V176),
EXTRACTNUMBER(X176),EXTRACTNUMBER(Z176),EXTRACTNUMBER(AB176),
EXTRACTNUMBER(AD176),EXTRACTNUMBER(AF176),EXTRACTNUMBER(AH176)))))</f>
        <v>451</v>
      </c>
      <c r="AK176" s="32" t="str">
        <f t="shared" si="67"/>
        <v>FAIL</v>
      </c>
      <c r="AL176" s="33" t="str">
        <f>SPELLNUMBER(extractnumber_tot(AJ176))</f>
        <v xml:space="preserve">Four Hundred Fifty One </v>
      </c>
    </row>
    <row r="177" spans="2:38" s="30" customFormat="1" ht="15.95" customHeight="1">
      <c r="B177" s="37">
        <v>225355</v>
      </c>
      <c r="C177" s="38" t="s">
        <v>369</v>
      </c>
      <c r="D177" s="45">
        <v>50</v>
      </c>
      <c r="E177" s="61" t="str">
        <f t="shared" si="51"/>
        <v/>
      </c>
      <c r="F177" s="48">
        <v>20</v>
      </c>
      <c r="G177" s="62" t="str">
        <f t="shared" si="52"/>
        <v/>
      </c>
      <c r="H177" s="48">
        <v>42</v>
      </c>
      <c r="I177" s="62" t="str">
        <f t="shared" si="53"/>
        <v/>
      </c>
      <c r="J177" s="50">
        <v>41</v>
      </c>
      <c r="K177" s="62" t="str">
        <f t="shared" si="54"/>
        <v/>
      </c>
      <c r="L177" s="48">
        <v>21</v>
      </c>
      <c r="M177" s="62" t="str">
        <f t="shared" si="55"/>
        <v/>
      </c>
      <c r="N177" s="48">
        <v>44</v>
      </c>
      <c r="O177" s="62" t="str">
        <f t="shared" si="56"/>
        <v/>
      </c>
      <c r="P177" s="51">
        <v>50</v>
      </c>
      <c r="Q177" s="62" t="str">
        <f t="shared" si="57"/>
        <v/>
      </c>
      <c r="R177" s="48">
        <v>20</v>
      </c>
      <c r="S177" s="62" t="str">
        <f t="shared" si="58"/>
        <v/>
      </c>
      <c r="T177" s="48">
        <v>22</v>
      </c>
      <c r="U177" s="62" t="str">
        <f t="shared" si="59"/>
        <v/>
      </c>
      <c r="V177" s="51">
        <v>50</v>
      </c>
      <c r="W177" s="62" t="str">
        <f t="shared" si="60"/>
        <v/>
      </c>
      <c r="X177" s="48">
        <v>16</v>
      </c>
      <c r="Y177" s="62" t="str">
        <f t="shared" si="61"/>
        <v/>
      </c>
      <c r="Z177" s="51">
        <v>54</v>
      </c>
      <c r="AA177" s="62" t="str">
        <f t="shared" si="62"/>
        <v/>
      </c>
      <c r="AB177" s="48">
        <v>21</v>
      </c>
      <c r="AC177" s="62" t="str">
        <f t="shared" si="63"/>
        <v/>
      </c>
      <c r="AD177" s="48">
        <v>16</v>
      </c>
      <c r="AE177" s="62" t="str">
        <f t="shared" si="64"/>
        <v/>
      </c>
      <c r="AF177" s="51">
        <v>27</v>
      </c>
      <c r="AG177" s="62" t="str">
        <f t="shared" si="65"/>
        <v/>
      </c>
      <c r="AH177" s="48">
        <v>19</v>
      </c>
      <c r="AI177" s="62" t="str">
        <f t="shared" si="66"/>
        <v/>
      </c>
      <c r="AJ177" s="31">
        <f>IF(AND(OR(COUNTIF(D177:AI177,"=31")&gt;=1,COUNTIF(D177:AI177,"=32")&gt;=1,COUNTIF(D177:AI177,"=33")&gt;=1,COUNTIF(D177:AI177,"=34")&gt;=1,COUNTIF(D177:AI177,"=35")=1,COUNTIF(D177:AI177,"=36")&gt;=1 ),COUNTIF(D177:AI177,"")=0,COUNTIF(D177:AI177," ")=0,COUNTIF(D177:AI177,"F")=1),CONCATENATE(SUM(EXTRACTNUMBER(D177),EXTRACTNUMBER(F177),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EXTRACTNUMBER(AD177),EXTRACTNUMBER(AF177),EXTRACTNUMBER(AH177)),"*"),IF(AND(COUNTIF(D177:AI177,"=34")&gt;=1,COUNTIF(D177:AI177,"=35")&gt;=1,COUNTIF(D177:AI177,"f")=2,COUNTIF(D177:AI177,"")=0,COUNTIF(D177:AI177," ")=0),CONCATENATE(SUM(EXTRACTNUMBER(D177),EXTRACTNUMBER(F177),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EXTRACTNUMBER(AD177),EXTRACTNUMBER(AF177),EXTRACTNUMBER(AH177)),"*"),IF(AND(COUNTIF(D177:AI177,"=36")&gt;=2,COUNTIF(D177:AI177,"f")=2,COUNTIF(D177:AI177,"")=0,COUNTIF(D177:AI177," ")=0),CONCATENATE(SUM(EXTRACTNUMBER(D177),EXTRACTNUMBER(F177),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EXTRACTNUMBER(AD177),EXTRACTNUMBER(AF177),EXTRACTNUMBER(AH177)),"*"),SUM(EXTRACTNUMBER(D177),EXTRACTNUMBER(F177),
EXTRACTNUMBER(H177),EXTRACTNUMBER(J177),
EXTRACTNUMBER(L177),EXTRACTNUMBER(N177),
EXTRACTNUMBER(P177),EXTRACTNUMBER(R177),
EXTRACTNUMBER(T177),EXTRACTNUMBER(V177),
EXTRACTNUMBER(X177),EXTRACTNUMBER(Z177),EXTRACTNUMBER(AB177),
EXTRACTNUMBER(AD177),EXTRACTNUMBER(AF177),EXTRACTNUMBER(AH177)))))</f>
        <v>513</v>
      </c>
      <c r="AK177" s="32" t="str">
        <f t="shared" si="67"/>
        <v>PASS</v>
      </c>
      <c r="AL177" s="33" t="str">
        <f>SPELLNUMBER(extractnumber_tot(AJ177))</f>
        <v xml:space="preserve">Five Hundred Thirteen </v>
      </c>
    </row>
    <row r="178" spans="2:38" s="30" customFormat="1" ht="15.95" customHeight="1">
      <c r="B178" s="37">
        <v>225356</v>
      </c>
      <c r="C178" s="38" t="s">
        <v>370</v>
      </c>
      <c r="D178" s="45">
        <v>60</v>
      </c>
      <c r="E178" s="61" t="str">
        <f t="shared" si="51"/>
        <v/>
      </c>
      <c r="F178" s="48">
        <v>21</v>
      </c>
      <c r="G178" s="62" t="str">
        <f t="shared" si="52"/>
        <v/>
      </c>
      <c r="H178" s="48">
        <v>43</v>
      </c>
      <c r="I178" s="62" t="str">
        <f t="shared" si="53"/>
        <v/>
      </c>
      <c r="J178" s="50">
        <v>48</v>
      </c>
      <c r="K178" s="62" t="str">
        <f t="shared" si="54"/>
        <v/>
      </c>
      <c r="L178" s="48">
        <v>20</v>
      </c>
      <c r="M178" s="62" t="str">
        <f t="shared" si="55"/>
        <v/>
      </c>
      <c r="N178" s="48">
        <v>42</v>
      </c>
      <c r="O178" s="62" t="str">
        <f t="shared" si="56"/>
        <v/>
      </c>
      <c r="P178" s="51">
        <v>60</v>
      </c>
      <c r="Q178" s="62" t="str">
        <f t="shared" si="57"/>
        <v/>
      </c>
      <c r="R178" s="48">
        <v>21</v>
      </c>
      <c r="S178" s="62" t="str">
        <f t="shared" si="58"/>
        <v/>
      </c>
      <c r="T178" s="48">
        <v>23</v>
      </c>
      <c r="U178" s="62" t="str">
        <f t="shared" si="59"/>
        <v/>
      </c>
      <c r="V178" s="51">
        <v>40</v>
      </c>
      <c r="W178" s="62" t="str">
        <f t="shared" si="60"/>
        <v/>
      </c>
      <c r="X178" s="48">
        <v>16</v>
      </c>
      <c r="Y178" s="62" t="str">
        <f t="shared" si="61"/>
        <v/>
      </c>
      <c r="Z178" s="51">
        <v>52</v>
      </c>
      <c r="AA178" s="62" t="str">
        <f t="shared" si="62"/>
        <v/>
      </c>
      <c r="AB178" s="48">
        <v>20</v>
      </c>
      <c r="AC178" s="62" t="str">
        <f t="shared" si="63"/>
        <v/>
      </c>
      <c r="AD178" s="48">
        <v>16</v>
      </c>
      <c r="AE178" s="62" t="str">
        <f t="shared" si="64"/>
        <v/>
      </c>
      <c r="AF178" s="51">
        <v>28</v>
      </c>
      <c r="AG178" s="62" t="str">
        <f t="shared" si="65"/>
        <v/>
      </c>
      <c r="AH178" s="48">
        <v>18</v>
      </c>
      <c r="AI178" s="62" t="str">
        <f t="shared" si="66"/>
        <v/>
      </c>
      <c r="AJ178" s="31">
        <f>IF(AND(OR(COUNTIF(D178:AI178,"=31")&gt;=1,COUNTIF(D178:AI178,"=32")&gt;=1,COUNTIF(D178:AI178,"=33")&gt;=1,COUNTIF(D178:AI178,"=34")&gt;=1,COUNTIF(D178:AI178,"=35")=1,COUNTIF(D178:AI178,"=36")&gt;=1 ),COUNTIF(D178:AI178,"")=0,COUNTIF(D178:AI178," ")=0,COUNTIF(D178:AI178,"F")=1),CONCATENATE(SUM(EXTRACTNUMBER(D178),EXTRACTNUMBER(F178),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EXTRACTNUMBER(AD178),EXTRACTNUMBER(AF178),EXTRACTNUMBER(AH178)),"*"),IF(AND(COUNTIF(D178:AI178,"=34")&gt;=1,COUNTIF(D178:AI178,"=35")&gt;=1,COUNTIF(D178:AI178,"f")=2,COUNTIF(D178:AI178,"")=0,COUNTIF(D178:AI178," ")=0),CONCATENATE(SUM(EXTRACTNUMBER(D178),EXTRACTNUMBER(F178),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EXTRACTNUMBER(AD178),EXTRACTNUMBER(AF178),EXTRACTNUMBER(AH178)),"*"),IF(AND(COUNTIF(D178:AI178,"=36")&gt;=2,COUNTIF(D178:AI178,"f")=2,COUNTIF(D178:AI178,"")=0,COUNTIF(D178:AI178," ")=0),CONCATENATE(SUM(EXTRACTNUMBER(D178),EXTRACTNUMBER(F178),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EXTRACTNUMBER(AD178),EXTRACTNUMBER(AF178),EXTRACTNUMBER(AH178)),"*"),SUM(EXTRACTNUMBER(D178),EXTRACTNUMBER(F178),
EXTRACTNUMBER(H178),EXTRACTNUMBER(J178),
EXTRACTNUMBER(L178),EXTRACTNUMBER(N178),
EXTRACTNUMBER(P178),EXTRACTNUMBER(R178),
EXTRACTNUMBER(T178),EXTRACTNUMBER(V178),
EXTRACTNUMBER(X178),EXTRACTNUMBER(Z178),EXTRACTNUMBER(AB178),
EXTRACTNUMBER(AD178),EXTRACTNUMBER(AF178),EXTRACTNUMBER(AH178)))))</f>
        <v>528</v>
      </c>
      <c r="AK178" s="32" t="str">
        <f t="shared" si="67"/>
        <v>PASS</v>
      </c>
      <c r="AL178" s="33" t="str">
        <f>SPELLNUMBER(extractnumber_tot(AJ178))</f>
        <v xml:space="preserve">Five Hundred Twenty Eight </v>
      </c>
    </row>
    <row r="179" spans="2:38" s="30" customFormat="1" ht="15.95" customHeight="1">
      <c r="B179" s="37">
        <v>225357</v>
      </c>
      <c r="C179" s="38" t="s">
        <v>371</v>
      </c>
      <c r="D179" s="45">
        <v>52</v>
      </c>
      <c r="E179" s="61" t="str">
        <f t="shared" si="51"/>
        <v/>
      </c>
      <c r="F179" s="48">
        <v>21</v>
      </c>
      <c r="G179" s="62" t="str">
        <f t="shared" si="52"/>
        <v/>
      </c>
      <c r="H179" s="48">
        <v>40</v>
      </c>
      <c r="I179" s="62" t="str">
        <f t="shared" si="53"/>
        <v/>
      </c>
      <c r="J179" s="50">
        <v>46</v>
      </c>
      <c r="K179" s="62" t="str">
        <f t="shared" si="54"/>
        <v/>
      </c>
      <c r="L179" s="48">
        <v>22</v>
      </c>
      <c r="M179" s="62" t="str">
        <f t="shared" si="55"/>
        <v/>
      </c>
      <c r="N179" s="48">
        <v>44</v>
      </c>
      <c r="O179" s="62" t="str">
        <f t="shared" si="56"/>
        <v/>
      </c>
      <c r="P179" s="51">
        <v>63</v>
      </c>
      <c r="Q179" s="62" t="str">
        <f t="shared" si="57"/>
        <v/>
      </c>
      <c r="R179" s="48">
        <v>21</v>
      </c>
      <c r="S179" s="62" t="str">
        <f t="shared" si="58"/>
        <v/>
      </c>
      <c r="T179" s="48">
        <v>20</v>
      </c>
      <c r="U179" s="62" t="str">
        <f t="shared" si="59"/>
        <v/>
      </c>
      <c r="V179" s="51">
        <v>44</v>
      </c>
      <c r="W179" s="62" t="str">
        <f t="shared" si="60"/>
        <v/>
      </c>
      <c r="X179" s="48">
        <v>21</v>
      </c>
      <c r="Y179" s="62" t="str">
        <f t="shared" si="61"/>
        <v/>
      </c>
      <c r="Z179" s="51">
        <v>44</v>
      </c>
      <c r="AA179" s="62" t="str">
        <f t="shared" si="62"/>
        <v/>
      </c>
      <c r="AB179" s="48">
        <v>22</v>
      </c>
      <c r="AC179" s="62" t="str">
        <f t="shared" si="63"/>
        <v/>
      </c>
      <c r="AD179" s="48">
        <v>20</v>
      </c>
      <c r="AE179" s="62" t="str">
        <f t="shared" si="64"/>
        <v/>
      </c>
      <c r="AF179" s="51">
        <v>28</v>
      </c>
      <c r="AG179" s="62" t="str">
        <f t="shared" si="65"/>
        <v/>
      </c>
      <c r="AH179" s="48">
        <v>23</v>
      </c>
      <c r="AI179" s="62" t="str">
        <f t="shared" si="66"/>
        <v/>
      </c>
      <c r="AJ179" s="31">
        <f>IF(AND(OR(COUNTIF(D179:AI179,"=31")&gt;=1,COUNTIF(D179:AI179,"=32")&gt;=1,COUNTIF(D179:AI179,"=33")&gt;=1,COUNTIF(D179:AI179,"=34")&gt;=1,COUNTIF(D179:AI179,"=35")=1,COUNTIF(D179:AI179,"=36")&gt;=1 ),COUNTIF(D179:AI179,"")=0,COUNTIF(D179:AI179," ")=0,COUNTIF(D179:AI179,"F")=1),CONCATENATE(SUM(EXTRACTNUMBER(D179),EXTRACTNUMBER(F179),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EXTRACTNUMBER(AD179),EXTRACTNUMBER(AF179),EXTRACTNUMBER(AH179)),"*"),IF(AND(COUNTIF(D179:AI179,"=34")&gt;=1,COUNTIF(D179:AI179,"=35")&gt;=1,COUNTIF(D179:AI179,"f")=2,COUNTIF(D179:AI179,"")=0,COUNTIF(D179:AI179," ")=0),CONCATENATE(SUM(EXTRACTNUMBER(D179),EXTRACTNUMBER(F179),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EXTRACTNUMBER(AD179),EXTRACTNUMBER(AF179),EXTRACTNUMBER(AH179)),"*"),IF(AND(COUNTIF(D179:AI179,"=36")&gt;=2,COUNTIF(D179:AI179,"f")=2,COUNTIF(D179:AI179,"")=0,COUNTIF(D179:AI179," ")=0),CONCATENATE(SUM(EXTRACTNUMBER(D179),EXTRACTNUMBER(F179),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EXTRACTNUMBER(AD179),EXTRACTNUMBER(AF179),EXTRACTNUMBER(AH179)),"*"),SUM(EXTRACTNUMBER(D179),EXTRACTNUMBER(F179),
EXTRACTNUMBER(H179),EXTRACTNUMBER(J179),
EXTRACTNUMBER(L179),EXTRACTNUMBER(N179),
EXTRACTNUMBER(P179),EXTRACTNUMBER(R179),
EXTRACTNUMBER(T179),EXTRACTNUMBER(V179),
EXTRACTNUMBER(X179),EXTRACTNUMBER(Z179),EXTRACTNUMBER(AB179),
EXTRACTNUMBER(AD179),EXTRACTNUMBER(AF179),EXTRACTNUMBER(AH179)))))</f>
        <v>531</v>
      </c>
      <c r="AK179" s="32" t="str">
        <f t="shared" si="67"/>
        <v>PASS</v>
      </c>
      <c r="AL179" s="33" t="str">
        <f>SPELLNUMBER(extractnumber_tot(AJ179))</f>
        <v xml:space="preserve">Five Hundred Thirty One </v>
      </c>
    </row>
    <row r="180" spans="2:38" s="30" customFormat="1" ht="15.95" customHeight="1">
      <c r="B180" s="37">
        <v>225358</v>
      </c>
      <c r="C180" s="38" t="s">
        <v>372</v>
      </c>
      <c r="D180" s="45">
        <v>52</v>
      </c>
      <c r="E180" s="61" t="str">
        <f t="shared" si="51"/>
        <v/>
      </c>
      <c r="F180" s="48">
        <v>21</v>
      </c>
      <c r="G180" s="62" t="str">
        <f t="shared" si="52"/>
        <v/>
      </c>
      <c r="H180" s="48">
        <v>42</v>
      </c>
      <c r="I180" s="62" t="str">
        <f t="shared" si="53"/>
        <v/>
      </c>
      <c r="J180" s="50">
        <v>49</v>
      </c>
      <c r="K180" s="62" t="str">
        <f t="shared" si="54"/>
        <v/>
      </c>
      <c r="L180" s="48">
        <v>16</v>
      </c>
      <c r="M180" s="62" t="str">
        <f t="shared" si="55"/>
        <v/>
      </c>
      <c r="N180" s="48">
        <v>42</v>
      </c>
      <c r="O180" s="62" t="str">
        <f t="shared" si="56"/>
        <v/>
      </c>
      <c r="P180" s="51">
        <v>44</v>
      </c>
      <c r="Q180" s="62" t="str">
        <f t="shared" si="57"/>
        <v/>
      </c>
      <c r="R180" s="48">
        <v>21</v>
      </c>
      <c r="S180" s="62" t="str">
        <f t="shared" si="58"/>
        <v/>
      </c>
      <c r="T180" s="48">
        <v>22</v>
      </c>
      <c r="U180" s="62" t="str">
        <f t="shared" si="59"/>
        <v/>
      </c>
      <c r="V180" s="51">
        <v>54</v>
      </c>
      <c r="W180" s="62" t="str">
        <f t="shared" si="60"/>
        <v/>
      </c>
      <c r="X180" s="48">
        <v>21</v>
      </c>
      <c r="Y180" s="62" t="str">
        <f t="shared" si="61"/>
        <v/>
      </c>
      <c r="Z180" s="51">
        <v>46</v>
      </c>
      <c r="AA180" s="62" t="str">
        <f t="shared" si="62"/>
        <v/>
      </c>
      <c r="AB180" s="48">
        <v>15</v>
      </c>
      <c r="AC180" s="62" t="str">
        <f t="shared" si="63"/>
        <v/>
      </c>
      <c r="AD180" s="48">
        <v>17</v>
      </c>
      <c r="AE180" s="62" t="str">
        <f t="shared" si="64"/>
        <v/>
      </c>
      <c r="AF180" s="51">
        <v>22</v>
      </c>
      <c r="AG180" s="62" t="str">
        <f t="shared" si="65"/>
        <v/>
      </c>
      <c r="AH180" s="48">
        <v>20</v>
      </c>
      <c r="AI180" s="62" t="str">
        <f t="shared" si="66"/>
        <v/>
      </c>
      <c r="AJ180" s="31">
        <f>IF(AND(OR(COUNTIF(D180:AI180,"=31")&gt;=1,COUNTIF(D180:AI180,"=32")&gt;=1,COUNTIF(D180:AI180,"=33")&gt;=1,COUNTIF(D180:AI180,"=34")&gt;=1,COUNTIF(D180:AI180,"=35")=1,COUNTIF(D180:AI180,"=36")&gt;=1 ),COUNTIF(D180:AI180,"")=0,COUNTIF(D180:AI180," ")=0,COUNTIF(D180:AI180,"F")=1),CONCATENATE(SUM(EXTRACTNUMBER(D180),EXTRACTNUMBER(F180),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EXTRACTNUMBER(AD180),EXTRACTNUMBER(AF180),EXTRACTNUMBER(AH180)),"*"),IF(AND(COUNTIF(D180:AI180,"=34")&gt;=1,COUNTIF(D180:AI180,"=35")&gt;=1,COUNTIF(D180:AI180,"f")=2,COUNTIF(D180:AI180,"")=0,COUNTIF(D180:AI180," ")=0),CONCATENATE(SUM(EXTRACTNUMBER(D180),EXTRACTNUMBER(F180),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EXTRACTNUMBER(AD180),EXTRACTNUMBER(AF180),EXTRACTNUMBER(AH180)),"*"),IF(AND(COUNTIF(D180:AI180,"=36")&gt;=2,COUNTIF(D180:AI180,"f")=2,COUNTIF(D180:AI180,"")=0,COUNTIF(D180:AI180," ")=0),CONCATENATE(SUM(EXTRACTNUMBER(D180),EXTRACTNUMBER(F180),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EXTRACTNUMBER(AD180),EXTRACTNUMBER(AF180),EXTRACTNUMBER(AH180)),"*"),SUM(EXTRACTNUMBER(D180),EXTRACTNUMBER(F180),
EXTRACTNUMBER(H180),EXTRACTNUMBER(J180),
EXTRACTNUMBER(L180),EXTRACTNUMBER(N180),
EXTRACTNUMBER(P180),EXTRACTNUMBER(R180),
EXTRACTNUMBER(T180),EXTRACTNUMBER(V180),
EXTRACTNUMBER(X180),EXTRACTNUMBER(Z180),EXTRACTNUMBER(AB180),
EXTRACTNUMBER(AD180),EXTRACTNUMBER(AF180),EXTRACTNUMBER(AH180)))))</f>
        <v>504</v>
      </c>
      <c r="AK180" s="32" t="str">
        <f t="shared" si="67"/>
        <v>PASS</v>
      </c>
      <c r="AL180" s="33" t="str">
        <f>SPELLNUMBER(extractnumber_tot(AJ180))</f>
        <v xml:space="preserve">Five Hundred Four </v>
      </c>
    </row>
    <row r="181" spans="2:38" s="30" customFormat="1" ht="15.95" customHeight="1">
      <c r="B181" s="37">
        <v>225359</v>
      </c>
      <c r="C181" s="38" t="s">
        <v>373</v>
      </c>
      <c r="D181" s="45">
        <v>57</v>
      </c>
      <c r="E181" s="61" t="str">
        <f t="shared" si="51"/>
        <v/>
      </c>
      <c r="F181" s="48">
        <v>22</v>
      </c>
      <c r="G181" s="62" t="str">
        <f t="shared" si="52"/>
        <v/>
      </c>
      <c r="H181" s="48">
        <v>41</v>
      </c>
      <c r="I181" s="62" t="str">
        <f t="shared" si="53"/>
        <v/>
      </c>
      <c r="J181" s="50">
        <v>41</v>
      </c>
      <c r="K181" s="62" t="str">
        <f t="shared" si="54"/>
        <v/>
      </c>
      <c r="L181" s="48">
        <v>16</v>
      </c>
      <c r="M181" s="62" t="str">
        <f t="shared" si="55"/>
        <v/>
      </c>
      <c r="N181" s="48">
        <v>42</v>
      </c>
      <c r="O181" s="62" t="str">
        <f t="shared" si="56"/>
        <v/>
      </c>
      <c r="P181" s="51">
        <v>47</v>
      </c>
      <c r="Q181" s="62" t="str">
        <f t="shared" si="57"/>
        <v/>
      </c>
      <c r="R181" s="48">
        <v>21</v>
      </c>
      <c r="S181" s="62" t="str">
        <f t="shared" si="58"/>
        <v/>
      </c>
      <c r="T181" s="48">
        <v>21</v>
      </c>
      <c r="U181" s="62" t="str">
        <f t="shared" si="59"/>
        <v/>
      </c>
      <c r="V181" s="51">
        <v>55</v>
      </c>
      <c r="W181" s="62" t="str">
        <f t="shared" si="60"/>
        <v/>
      </c>
      <c r="X181" s="48">
        <v>22</v>
      </c>
      <c r="Y181" s="62" t="str">
        <f t="shared" si="61"/>
        <v/>
      </c>
      <c r="Z181" s="51">
        <v>40</v>
      </c>
      <c r="AA181" s="62" t="str">
        <f t="shared" si="62"/>
        <v/>
      </c>
      <c r="AB181" s="48">
        <v>16</v>
      </c>
      <c r="AC181" s="62" t="str">
        <f t="shared" si="63"/>
        <v/>
      </c>
      <c r="AD181" s="48">
        <v>20</v>
      </c>
      <c r="AE181" s="62" t="str">
        <f t="shared" si="64"/>
        <v/>
      </c>
      <c r="AF181" s="51">
        <v>29</v>
      </c>
      <c r="AG181" s="62" t="str">
        <f t="shared" si="65"/>
        <v/>
      </c>
      <c r="AH181" s="48">
        <v>22</v>
      </c>
      <c r="AI181" s="62" t="str">
        <f t="shared" si="66"/>
        <v/>
      </c>
      <c r="AJ181" s="31">
        <f>IF(AND(OR(COUNTIF(D181:AI181,"=31")&gt;=1,COUNTIF(D181:AI181,"=32")&gt;=1,COUNTIF(D181:AI181,"=33")&gt;=1,COUNTIF(D181:AI181,"=34")&gt;=1,COUNTIF(D181:AI181,"=35")=1,COUNTIF(D181:AI181,"=36")&gt;=1 ),COUNTIF(D181:AI181,"")=0,COUNTIF(D181:AI181," ")=0,COUNTIF(D181:AI181,"F")=1),CONCATENATE(SUM(EXTRACTNUMBER(D181),EXTRACTNUMBER(F181),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EXTRACTNUMBER(AD181),EXTRACTNUMBER(AF181),EXTRACTNUMBER(AH181)),"*"),IF(AND(COUNTIF(D181:AI181,"=34")&gt;=1,COUNTIF(D181:AI181,"=35")&gt;=1,COUNTIF(D181:AI181,"f")=2,COUNTIF(D181:AI181,"")=0,COUNTIF(D181:AI181," ")=0),CONCATENATE(SUM(EXTRACTNUMBER(D181),EXTRACTNUMBER(F181),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EXTRACTNUMBER(AD181),EXTRACTNUMBER(AF181),EXTRACTNUMBER(AH181)),"*"),IF(AND(COUNTIF(D181:AI181,"=36")&gt;=2,COUNTIF(D181:AI181,"f")=2,COUNTIF(D181:AI181,"")=0,COUNTIF(D181:AI181," ")=0),CONCATENATE(SUM(EXTRACTNUMBER(D181),EXTRACTNUMBER(F181),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EXTRACTNUMBER(AD181),EXTRACTNUMBER(AF181),EXTRACTNUMBER(AH181)),"*"),SUM(EXTRACTNUMBER(D181),EXTRACTNUMBER(F181),
EXTRACTNUMBER(H181),EXTRACTNUMBER(J181),
EXTRACTNUMBER(L181),EXTRACTNUMBER(N181),
EXTRACTNUMBER(P181),EXTRACTNUMBER(R181),
EXTRACTNUMBER(T181),EXTRACTNUMBER(V181),
EXTRACTNUMBER(X181),EXTRACTNUMBER(Z181),EXTRACTNUMBER(AB181),
EXTRACTNUMBER(AD181),EXTRACTNUMBER(AF181),EXTRACTNUMBER(AH181)))))</f>
        <v>512</v>
      </c>
      <c r="AK181" s="32" t="str">
        <f t="shared" si="67"/>
        <v>PASS</v>
      </c>
      <c r="AL181" s="33" t="str">
        <f>SPELLNUMBER(extractnumber_tot(AJ181))</f>
        <v xml:space="preserve">Five Hundred Twelve </v>
      </c>
    </row>
    <row r="182" spans="2:38" s="30" customFormat="1" ht="15.95" customHeight="1">
      <c r="B182" s="37">
        <v>225360</v>
      </c>
      <c r="C182" s="38" t="s">
        <v>374</v>
      </c>
      <c r="D182" s="45">
        <v>70</v>
      </c>
      <c r="E182" s="61" t="str">
        <f t="shared" si="51"/>
        <v/>
      </c>
      <c r="F182" s="48">
        <v>22</v>
      </c>
      <c r="G182" s="62" t="str">
        <f t="shared" si="52"/>
        <v/>
      </c>
      <c r="H182" s="48">
        <v>44</v>
      </c>
      <c r="I182" s="62" t="str">
        <f t="shared" si="53"/>
        <v/>
      </c>
      <c r="J182" s="50">
        <v>54</v>
      </c>
      <c r="K182" s="62" t="str">
        <f t="shared" si="54"/>
        <v/>
      </c>
      <c r="L182" s="48">
        <v>23</v>
      </c>
      <c r="M182" s="62" t="str">
        <f t="shared" si="55"/>
        <v/>
      </c>
      <c r="N182" s="48">
        <v>44</v>
      </c>
      <c r="O182" s="62" t="str">
        <f t="shared" si="56"/>
        <v/>
      </c>
      <c r="P182" s="51">
        <v>54</v>
      </c>
      <c r="Q182" s="62" t="str">
        <f t="shared" si="57"/>
        <v/>
      </c>
      <c r="R182" s="48">
        <v>22</v>
      </c>
      <c r="S182" s="62" t="str">
        <f t="shared" si="58"/>
        <v/>
      </c>
      <c r="T182" s="48">
        <v>23</v>
      </c>
      <c r="U182" s="62" t="str">
        <f t="shared" si="59"/>
        <v/>
      </c>
      <c r="V182" s="51">
        <v>68</v>
      </c>
      <c r="W182" s="62" t="str">
        <f t="shared" si="60"/>
        <v/>
      </c>
      <c r="X182" s="48">
        <v>19</v>
      </c>
      <c r="Y182" s="62" t="str">
        <f t="shared" si="61"/>
        <v/>
      </c>
      <c r="Z182" s="51">
        <v>58</v>
      </c>
      <c r="AA182" s="62" t="str">
        <f t="shared" si="62"/>
        <v/>
      </c>
      <c r="AB182" s="48">
        <v>23</v>
      </c>
      <c r="AC182" s="62" t="str">
        <f t="shared" si="63"/>
        <v/>
      </c>
      <c r="AD182" s="48">
        <v>21</v>
      </c>
      <c r="AE182" s="62" t="str">
        <f t="shared" si="64"/>
        <v/>
      </c>
      <c r="AF182" s="51">
        <v>25</v>
      </c>
      <c r="AG182" s="62" t="str">
        <f t="shared" si="65"/>
        <v/>
      </c>
      <c r="AH182" s="48">
        <v>22</v>
      </c>
      <c r="AI182" s="62" t="str">
        <f t="shared" si="66"/>
        <v/>
      </c>
      <c r="AJ182" s="31">
        <f>IF(AND(OR(COUNTIF(D182:AI182,"=31")&gt;=1,COUNTIF(D182:AI182,"=32")&gt;=1,COUNTIF(D182:AI182,"=33")&gt;=1,COUNTIF(D182:AI182,"=34")&gt;=1,COUNTIF(D182:AI182,"=35")=1,COUNTIF(D182:AI182,"=36")&gt;=1 ),COUNTIF(D182:AI182,"")=0,COUNTIF(D182:AI182," ")=0,COUNTIF(D182:AI182,"F")=1),CONCATENATE(SUM(EXTRACTNUMBER(D182),EXTRACTNUMBER(F182),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EXTRACTNUMBER(AD182),EXTRACTNUMBER(AF182),EXTRACTNUMBER(AH182)),"*"),IF(AND(COUNTIF(D182:AI182,"=34")&gt;=1,COUNTIF(D182:AI182,"=35")&gt;=1,COUNTIF(D182:AI182,"f")=2,COUNTIF(D182:AI182,"")=0,COUNTIF(D182:AI182," ")=0),CONCATENATE(SUM(EXTRACTNUMBER(D182),EXTRACTNUMBER(F182),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EXTRACTNUMBER(AD182),EXTRACTNUMBER(AF182),EXTRACTNUMBER(AH182)),"*"),IF(AND(COUNTIF(D182:AI182,"=36")&gt;=2,COUNTIF(D182:AI182,"f")=2,COUNTIF(D182:AI182,"")=0,COUNTIF(D182:AI182," ")=0),CONCATENATE(SUM(EXTRACTNUMBER(D182),EXTRACTNUMBER(F182),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EXTRACTNUMBER(AD182),EXTRACTNUMBER(AF182),EXTRACTNUMBER(AH182)),"*"),SUM(EXTRACTNUMBER(D182),EXTRACTNUMBER(F182),
EXTRACTNUMBER(H182),EXTRACTNUMBER(J182),
EXTRACTNUMBER(L182),EXTRACTNUMBER(N182),
EXTRACTNUMBER(P182),EXTRACTNUMBER(R182),
EXTRACTNUMBER(T182),EXTRACTNUMBER(V182),
EXTRACTNUMBER(X182),EXTRACTNUMBER(Z182),EXTRACTNUMBER(AB182),
EXTRACTNUMBER(AD182),EXTRACTNUMBER(AF182),EXTRACTNUMBER(AH182)))))</f>
        <v>592</v>
      </c>
      <c r="AK182" s="32" t="str">
        <f t="shared" si="67"/>
        <v>PASS</v>
      </c>
      <c r="AL182" s="33" t="str">
        <f>SPELLNUMBER(extractnumber_tot(AJ182))</f>
        <v xml:space="preserve">Five Hundred NinetyTwo </v>
      </c>
    </row>
    <row r="183" spans="2:38" s="30" customFormat="1" ht="15.95" customHeight="1">
      <c r="B183" s="37">
        <v>225361</v>
      </c>
      <c r="C183" s="38" t="s">
        <v>375</v>
      </c>
      <c r="D183" s="45">
        <v>55</v>
      </c>
      <c r="E183" s="61" t="str">
        <f t="shared" si="51"/>
        <v/>
      </c>
      <c r="F183" s="48">
        <v>23</v>
      </c>
      <c r="G183" s="62" t="str">
        <f t="shared" si="52"/>
        <v/>
      </c>
      <c r="H183" s="48">
        <v>43</v>
      </c>
      <c r="I183" s="62" t="str">
        <f t="shared" si="53"/>
        <v/>
      </c>
      <c r="J183" s="50">
        <v>40</v>
      </c>
      <c r="K183" s="62" t="str">
        <f t="shared" si="54"/>
        <v/>
      </c>
      <c r="L183" s="48">
        <v>23</v>
      </c>
      <c r="M183" s="62" t="str">
        <f t="shared" si="55"/>
        <v/>
      </c>
      <c r="N183" s="48">
        <v>42</v>
      </c>
      <c r="O183" s="62" t="str">
        <f t="shared" si="56"/>
        <v/>
      </c>
      <c r="P183" s="51">
        <v>40</v>
      </c>
      <c r="Q183" s="62" t="str">
        <f t="shared" si="57"/>
        <v/>
      </c>
      <c r="R183" s="48">
        <v>23</v>
      </c>
      <c r="S183" s="62" t="str">
        <f t="shared" si="58"/>
        <v/>
      </c>
      <c r="T183" s="48">
        <v>23</v>
      </c>
      <c r="U183" s="62" t="str">
        <f t="shared" si="59"/>
        <v/>
      </c>
      <c r="V183" s="51">
        <v>42</v>
      </c>
      <c r="W183" s="62" t="str">
        <f t="shared" si="60"/>
        <v/>
      </c>
      <c r="X183" s="48">
        <v>23</v>
      </c>
      <c r="Y183" s="62" t="str">
        <f t="shared" si="61"/>
        <v/>
      </c>
      <c r="Z183" s="51">
        <v>49</v>
      </c>
      <c r="AA183" s="62" t="str">
        <f t="shared" si="62"/>
        <v/>
      </c>
      <c r="AB183" s="48">
        <v>23</v>
      </c>
      <c r="AC183" s="62" t="str">
        <f t="shared" si="63"/>
        <v/>
      </c>
      <c r="AD183" s="48">
        <v>18</v>
      </c>
      <c r="AE183" s="62" t="str">
        <f t="shared" si="64"/>
        <v/>
      </c>
      <c r="AF183" s="51">
        <v>31</v>
      </c>
      <c r="AG183" s="62" t="str">
        <f t="shared" si="65"/>
        <v/>
      </c>
      <c r="AH183" s="48">
        <v>23</v>
      </c>
      <c r="AI183" s="62" t="str">
        <f t="shared" si="66"/>
        <v/>
      </c>
      <c r="AJ183" s="31">
        <f>IF(AND(OR(COUNTIF(D183:AI183,"=31")&gt;=1,COUNTIF(D183:AI183,"=32")&gt;=1,COUNTIF(D183:AI183,"=33")&gt;=1,COUNTIF(D183:AI183,"=34")&gt;=1,COUNTIF(D183:AI183,"=35")=1,COUNTIF(D183:AI183,"=36")&gt;=1 ),COUNTIF(D183:AI183,"")=0,COUNTIF(D183:AI183," ")=0,COUNTIF(D183:AI183,"F")=1),CONCATENATE(SUM(EXTRACTNUMBER(D183),EXTRACTNUMBER(F183),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EXTRACTNUMBER(AD183),EXTRACTNUMBER(AF183),EXTRACTNUMBER(AH183)),"*"),IF(AND(COUNTIF(D183:AI183,"=34")&gt;=1,COUNTIF(D183:AI183,"=35")&gt;=1,COUNTIF(D183:AI183,"f")=2,COUNTIF(D183:AI183,"")=0,COUNTIF(D183:AI183," ")=0),CONCATENATE(SUM(EXTRACTNUMBER(D183),EXTRACTNUMBER(F183),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EXTRACTNUMBER(AD183),EXTRACTNUMBER(AF183),EXTRACTNUMBER(AH183)),"*"),IF(AND(COUNTIF(D183:AI183,"=36")&gt;=2,COUNTIF(D183:AI183,"f")=2,COUNTIF(D183:AI183,"")=0,COUNTIF(D183:AI183," ")=0),CONCATENATE(SUM(EXTRACTNUMBER(D183),EXTRACTNUMBER(F183),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EXTRACTNUMBER(AD183),EXTRACTNUMBER(AF183),EXTRACTNUMBER(AH183)),"*"),SUM(EXTRACTNUMBER(D183),EXTRACTNUMBER(F183),
EXTRACTNUMBER(H183),EXTRACTNUMBER(J183),
EXTRACTNUMBER(L183),EXTRACTNUMBER(N183),
EXTRACTNUMBER(P183),EXTRACTNUMBER(R183),
EXTRACTNUMBER(T183),EXTRACTNUMBER(V183),
EXTRACTNUMBER(X183),EXTRACTNUMBER(Z183),EXTRACTNUMBER(AB183),
EXTRACTNUMBER(AD183),EXTRACTNUMBER(AF183),EXTRACTNUMBER(AH183)))))</f>
        <v>521</v>
      </c>
      <c r="AK183" s="32" t="str">
        <f t="shared" si="67"/>
        <v>PASS</v>
      </c>
      <c r="AL183" s="33" t="str">
        <f>SPELLNUMBER(extractnumber_tot(AJ183))</f>
        <v xml:space="preserve">Five Hundred Twenty One </v>
      </c>
    </row>
    <row r="184" spans="2:38" s="30" customFormat="1" ht="15.95" customHeight="1">
      <c r="B184" s="37">
        <v>225362</v>
      </c>
      <c r="C184" s="39" t="s">
        <v>376</v>
      </c>
      <c r="D184" s="45">
        <v>26</v>
      </c>
      <c r="E184" s="61" t="str">
        <f t="shared" si="51"/>
        <v>F</v>
      </c>
      <c r="F184" s="48">
        <v>19</v>
      </c>
      <c r="G184" s="62" t="str">
        <f t="shared" si="52"/>
        <v>E</v>
      </c>
      <c r="H184" s="48">
        <v>40</v>
      </c>
      <c r="I184" s="62" t="str">
        <f t="shared" si="53"/>
        <v>E</v>
      </c>
      <c r="J184" s="50">
        <v>10</v>
      </c>
      <c r="K184" s="62" t="str">
        <f t="shared" si="54"/>
        <v>F</v>
      </c>
      <c r="L184" s="48">
        <v>17</v>
      </c>
      <c r="M184" s="62" t="str">
        <f t="shared" si="55"/>
        <v>E</v>
      </c>
      <c r="N184" s="48">
        <v>38</v>
      </c>
      <c r="O184" s="62" t="str">
        <f t="shared" si="56"/>
        <v>E</v>
      </c>
      <c r="P184" s="51">
        <v>17</v>
      </c>
      <c r="Q184" s="62" t="str">
        <f t="shared" si="57"/>
        <v>F</v>
      </c>
      <c r="R184" s="48">
        <v>19</v>
      </c>
      <c r="S184" s="62" t="str">
        <f t="shared" si="58"/>
        <v>E</v>
      </c>
      <c r="T184" s="48">
        <v>20</v>
      </c>
      <c r="U184" s="62" t="str">
        <f t="shared" si="59"/>
        <v>E</v>
      </c>
      <c r="V184" s="51">
        <v>0</v>
      </c>
      <c r="W184" s="62" t="str">
        <f t="shared" si="60"/>
        <v>F</v>
      </c>
      <c r="X184" s="48">
        <v>19</v>
      </c>
      <c r="Y184" s="62" t="str">
        <f t="shared" si="61"/>
        <v>E</v>
      </c>
      <c r="Z184" s="51">
        <v>13</v>
      </c>
      <c r="AA184" s="62" t="str">
        <f t="shared" si="62"/>
        <v>F</v>
      </c>
      <c r="AB184" s="48">
        <v>15</v>
      </c>
      <c r="AC184" s="62" t="str">
        <f t="shared" si="63"/>
        <v>E</v>
      </c>
      <c r="AD184" s="48">
        <v>17</v>
      </c>
      <c r="AE184" s="62" t="str">
        <f t="shared" si="64"/>
        <v>E</v>
      </c>
      <c r="AF184" s="51">
        <v>20</v>
      </c>
      <c r="AG184" s="62" t="str">
        <f t="shared" si="65"/>
        <v>E</v>
      </c>
      <c r="AH184" s="48">
        <v>18</v>
      </c>
      <c r="AI184" s="62" t="str">
        <f t="shared" si="66"/>
        <v>E</v>
      </c>
      <c r="AJ184" s="31">
        <f>IF(AND(OR(COUNTIF(D184:AI184,"=31")&gt;=1,COUNTIF(D184:AI184,"=32")&gt;=1,COUNTIF(D184:AI184,"=33")&gt;=1,COUNTIF(D184:AI184,"=34")&gt;=1,COUNTIF(D184:AI184,"=35")=1,COUNTIF(D184:AI184,"=36")&gt;=1 ),COUNTIF(D184:AI184,"")=0,COUNTIF(D184:AI184," ")=0,COUNTIF(D184:AI184,"F")=1),CONCATENATE(SUM(EXTRACTNUMBER(D184),EXTRACTNUMBER(F184),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EXTRACTNUMBER(AD184),EXTRACTNUMBER(AF184),EXTRACTNUMBER(AH184)),"*"),IF(AND(COUNTIF(D184:AI184,"=34")&gt;=1,COUNTIF(D184:AI184,"=35")&gt;=1,COUNTIF(D184:AI184,"f")=2,COUNTIF(D184:AI184,"")=0,COUNTIF(D184:AI184," ")=0),CONCATENATE(SUM(EXTRACTNUMBER(D184),EXTRACTNUMBER(F184),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EXTRACTNUMBER(AD184),EXTRACTNUMBER(AF184),EXTRACTNUMBER(AH184)),"*"),IF(AND(COUNTIF(D184:AI184,"=36")&gt;=2,COUNTIF(D184:AI184,"f")=2,COUNTIF(D184:AI184,"")=0,COUNTIF(D184:AI184," ")=0),CONCATENATE(SUM(EXTRACTNUMBER(D184),EXTRACTNUMBER(F184),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EXTRACTNUMBER(AD184),EXTRACTNUMBER(AF184),EXTRACTNUMBER(AH184)),"*"),SUM(EXTRACTNUMBER(D184),EXTRACTNUMBER(F184),
EXTRACTNUMBER(H184),EXTRACTNUMBER(J184),
EXTRACTNUMBER(L184),EXTRACTNUMBER(N184),
EXTRACTNUMBER(P184),EXTRACTNUMBER(R184),
EXTRACTNUMBER(T184),EXTRACTNUMBER(V184),
EXTRACTNUMBER(X184),EXTRACTNUMBER(Z184),EXTRACTNUMBER(AB184),
EXTRACTNUMBER(AD184),EXTRACTNUMBER(AF184),EXTRACTNUMBER(AH184)))))</f>
        <v>308</v>
      </c>
      <c r="AK184" s="32" t="str">
        <f t="shared" si="67"/>
        <v>FAIL</v>
      </c>
      <c r="AL184" s="33" t="str">
        <f>SPELLNUMBER(extractnumber_tot(AJ184))</f>
        <v xml:space="preserve">Three Hundred Eight </v>
      </c>
    </row>
    <row r="185" spans="2:38" s="30" customFormat="1" ht="15.95" customHeight="1">
      <c r="B185" s="37">
        <v>225363</v>
      </c>
      <c r="C185" s="39" t="s">
        <v>377</v>
      </c>
      <c r="D185" s="45" t="s">
        <v>113</v>
      </c>
      <c r="E185" s="61" t="str">
        <f t="shared" si="51"/>
        <v/>
      </c>
      <c r="F185" s="48">
        <v>19</v>
      </c>
      <c r="G185" s="62" t="str">
        <f t="shared" si="52"/>
        <v>E</v>
      </c>
      <c r="H185" s="48">
        <v>40</v>
      </c>
      <c r="I185" s="62" t="str">
        <f t="shared" si="53"/>
        <v>E</v>
      </c>
      <c r="J185" s="50" t="s">
        <v>113</v>
      </c>
      <c r="K185" s="62" t="str">
        <f t="shared" si="54"/>
        <v/>
      </c>
      <c r="L185" s="48">
        <v>19</v>
      </c>
      <c r="M185" s="62" t="str">
        <f t="shared" si="55"/>
        <v>E</v>
      </c>
      <c r="N185" s="48">
        <v>40</v>
      </c>
      <c r="O185" s="62" t="str">
        <f t="shared" si="56"/>
        <v>E</v>
      </c>
      <c r="P185" s="51" t="s">
        <v>113</v>
      </c>
      <c r="Q185" s="62" t="str">
        <f t="shared" si="57"/>
        <v/>
      </c>
      <c r="R185" s="48">
        <v>19</v>
      </c>
      <c r="S185" s="62" t="str">
        <f t="shared" si="58"/>
        <v>E</v>
      </c>
      <c r="T185" s="48">
        <v>20</v>
      </c>
      <c r="U185" s="62" t="str">
        <f t="shared" si="59"/>
        <v>E</v>
      </c>
      <c r="V185" s="51" t="s">
        <v>113</v>
      </c>
      <c r="W185" s="62" t="str">
        <f t="shared" si="60"/>
        <v/>
      </c>
      <c r="X185" s="48">
        <v>16</v>
      </c>
      <c r="Y185" s="62" t="str">
        <f t="shared" si="61"/>
        <v>E</v>
      </c>
      <c r="Z185" s="51" t="s">
        <v>113</v>
      </c>
      <c r="AA185" s="62" t="str">
        <f t="shared" si="62"/>
        <v/>
      </c>
      <c r="AB185" s="48">
        <v>19</v>
      </c>
      <c r="AC185" s="62" t="str">
        <f t="shared" si="63"/>
        <v>E</v>
      </c>
      <c r="AD185" s="48">
        <v>19</v>
      </c>
      <c r="AE185" s="62" t="str">
        <f t="shared" si="64"/>
        <v>E</v>
      </c>
      <c r="AF185" s="51" t="s">
        <v>113</v>
      </c>
      <c r="AG185" s="62" t="str">
        <f t="shared" si="65"/>
        <v/>
      </c>
      <c r="AH185" s="48">
        <v>23</v>
      </c>
      <c r="AI185" s="62" t="str">
        <f t="shared" si="66"/>
        <v>E</v>
      </c>
      <c r="AJ185" s="31">
        <f>IF(AND(OR(COUNTIF(D185:AI185,"=31")&gt;=1,COUNTIF(D185:AI185,"=32")&gt;=1,COUNTIF(D185:AI185,"=33")&gt;=1,COUNTIF(D185:AI185,"=34")&gt;=1,COUNTIF(D185:AI185,"=35")=1,COUNTIF(D185:AI185,"=36")&gt;=1 ),COUNTIF(D185:AI185,"")=0,COUNTIF(D185:AI185," ")=0,COUNTIF(D185:AI185,"F")=1),CONCATENATE(SUM(EXTRACTNUMBER(D185),EXTRACTNUMBER(F185),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EXTRACTNUMBER(AD185),EXTRACTNUMBER(AF185),EXTRACTNUMBER(AH185)),"*"),IF(AND(COUNTIF(D185:AI185,"=34")&gt;=1,COUNTIF(D185:AI185,"=35")&gt;=1,COUNTIF(D185:AI185,"f")=2,COUNTIF(D185:AI185,"")=0,COUNTIF(D185:AI185," ")=0),CONCATENATE(SUM(EXTRACTNUMBER(D185),EXTRACTNUMBER(F185),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EXTRACTNUMBER(AD185),EXTRACTNUMBER(AF185),EXTRACTNUMBER(AH185)),"*"),IF(AND(COUNTIF(D185:AI185,"=36")&gt;=2,COUNTIF(D185:AI185,"f")=2,COUNTIF(D185:AI185,"")=0,COUNTIF(D185:AI185," ")=0),CONCATENATE(SUM(EXTRACTNUMBER(D185),EXTRACTNUMBER(F185),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EXTRACTNUMBER(AD185),EXTRACTNUMBER(AF185),EXTRACTNUMBER(AH185)),"*"),SUM(EXTRACTNUMBER(D185),EXTRACTNUMBER(F185),
EXTRACTNUMBER(H185),EXTRACTNUMBER(J185),
EXTRACTNUMBER(L185),EXTRACTNUMBER(N185),
EXTRACTNUMBER(P185),EXTRACTNUMBER(R185),
EXTRACTNUMBER(T185),EXTRACTNUMBER(V185),
EXTRACTNUMBER(X185),EXTRACTNUMBER(Z185),EXTRACTNUMBER(AB185),
EXTRACTNUMBER(AD185),EXTRACTNUMBER(AF185),EXTRACTNUMBER(AH185)))))</f>
        <v>234</v>
      </c>
      <c r="AK185" s="32" t="str">
        <f t="shared" si="67"/>
        <v>FAIL</v>
      </c>
      <c r="AL185" s="33" t="str">
        <f>SPELLNUMBER(extractnumber_tot(AJ185))</f>
        <v xml:space="preserve">Two Hundred Thirty Four </v>
      </c>
    </row>
    <row r="186" spans="2:38" s="30" customFormat="1" ht="15.95" customHeight="1">
      <c r="B186" s="37">
        <v>225364</v>
      </c>
      <c r="C186" s="39" t="s">
        <v>378</v>
      </c>
      <c r="D186" s="45" t="s">
        <v>113</v>
      </c>
      <c r="E186" s="61" t="str">
        <f t="shared" si="51"/>
        <v/>
      </c>
      <c r="F186" s="48" t="s">
        <v>113</v>
      </c>
      <c r="G186" s="62" t="str">
        <f t="shared" si="52"/>
        <v/>
      </c>
      <c r="H186" s="48" t="s">
        <v>113</v>
      </c>
      <c r="I186" s="62" t="str">
        <f t="shared" si="53"/>
        <v/>
      </c>
      <c r="J186" s="50" t="s">
        <v>113</v>
      </c>
      <c r="K186" s="62" t="str">
        <f t="shared" si="54"/>
        <v/>
      </c>
      <c r="L186" s="48" t="s">
        <v>113</v>
      </c>
      <c r="M186" s="62" t="str">
        <f t="shared" si="55"/>
        <v/>
      </c>
      <c r="N186" s="48" t="s">
        <v>113</v>
      </c>
      <c r="O186" s="62" t="str">
        <f t="shared" si="56"/>
        <v/>
      </c>
      <c r="P186" s="51" t="s">
        <v>113</v>
      </c>
      <c r="Q186" s="62" t="str">
        <f t="shared" si="57"/>
        <v/>
      </c>
      <c r="R186" s="48" t="s">
        <v>113</v>
      </c>
      <c r="S186" s="62" t="str">
        <f t="shared" si="58"/>
        <v/>
      </c>
      <c r="T186" s="48" t="s">
        <v>113</v>
      </c>
      <c r="U186" s="62" t="str">
        <f t="shared" si="59"/>
        <v/>
      </c>
      <c r="V186" s="51" t="s">
        <v>113</v>
      </c>
      <c r="W186" s="62" t="str">
        <f t="shared" si="60"/>
        <v/>
      </c>
      <c r="X186" s="48" t="s">
        <v>113</v>
      </c>
      <c r="Y186" s="62" t="str">
        <f t="shared" si="61"/>
        <v/>
      </c>
      <c r="Z186" s="51" t="s">
        <v>113</v>
      </c>
      <c r="AA186" s="62" t="str">
        <f t="shared" si="62"/>
        <v/>
      </c>
      <c r="AB186" s="48" t="s">
        <v>113</v>
      </c>
      <c r="AC186" s="62" t="str">
        <f t="shared" si="63"/>
        <v/>
      </c>
      <c r="AD186" s="48" t="s">
        <v>113</v>
      </c>
      <c r="AE186" s="62" t="str">
        <f t="shared" si="64"/>
        <v/>
      </c>
      <c r="AF186" s="51" t="s">
        <v>113</v>
      </c>
      <c r="AG186" s="62" t="str">
        <f t="shared" si="65"/>
        <v/>
      </c>
      <c r="AH186" s="48" t="s">
        <v>113</v>
      </c>
      <c r="AI186" s="62" t="str">
        <f t="shared" si="66"/>
        <v/>
      </c>
      <c r="AJ186" s="31">
        <f>IF(AND(OR(COUNTIF(D186:AI186,"=31")&gt;=1,COUNTIF(D186:AI186,"=32")&gt;=1,COUNTIF(D186:AI186,"=33")&gt;=1,COUNTIF(D186:AI186,"=34")&gt;=1,COUNTIF(D186:AI186,"=35")=1,COUNTIF(D186:AI186,"=36")&gt;=1 ),COUNTIF(D186:AI186,"")=0,COUNTIF(D186:AI186," ")=0,COUNTIF(D186:AI186,"F")=1),CONCATENATE(SUM(EXTRACTNUMBER(D186),EXTRACTNUMBER(F186),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EXTRACTNUMBER(AD186),EXTRACTNUMBER(AF186),EXTRACTNUMBER(AH186)),"*"),IF(AND(COUNTIF(D186:AI186,"=34")&gt;=1,COUNTIF(D186:AI186,"=35")&gt;=1,COUNTIF(D186:AI186,"f")=2,COUNTIF(D186:AI186,"")=0,COUNTIF(D186:AI186," ")=0),CONCATENATE(SUM(EXTRACTNUMBER(D186),EXTRACTNUMBER(F186),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EXTRACTNUMBER(AD186),EXTRACTNUMBER(AF186),EXTRACTNUMBER(AH186)),"*"),IF(AND(COUNTIF(D186:AI186,"=36")&gt;=2,COUNTIF(D186:AI186,"f")=2,COUNTIF(D186:AI186,"")=0,COUNTIF(D186:AI186," ")=0),CONCATENATE(SUM(EXTRACTNUMBER(D186),EXTRACTNUMBER(F186),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EXTRACTNUMBER(AD186),EXTRACTNUMBER(AF186),EXTRACTNUMBER(AH186)),"*"),SUM(EXTRACTNUMBER(D186),EXTRACTNUMBER(F186),
EXTRACTNUMBER(H186),EXTRACTNUMBER(J186),
EXTRACTNUMBER(L186),EXTRACTNUMBER(N186),
EXTRACTNUMBER(P186),EXTRACTNUMBER(R186),
EXTRACTNUMBER(T186),EXTRACTNUMBER(V186),
EXTRACTNUMBER(X186),EXTRACTNUMBER(Z186),EXTRACTNUMBER(AB186),
EXTRACTNUMBER(AD186),EXTRACTNUMBER(AF186),EXTRACTNUMBER(AH186)))))</f>
        <v>0</v>
      </c>
      <c r="AK186" s="32" t="str">
        <f t="shared" si="67"/>
        <v>ABSENT</v>
      </c>
      <c r="AL186" s="33" t="str">
        <f>SPELLNUMBER(extractnumber_tot(AJ186))</f>
        <v xml:space="preserve"> </v>
      </c>
    </row>
    <row r="187" spans="2:38" s="30" customFormat="1" ht="15.95" customHeight="1">
      <c r="B187" s="40">
        <v>225365</v>
      </c>
      <c r="C187" s="41" t="s">
        <v>20</v>
      </c>
      <c r="D187" s="45" t="s">
        <v>66</v>
      </c>
      <c r="E187" s="61" t="str">
        <f t="shared" si="51"/>
        <v xml:space="preserve"> </v>
      </c>
      <c r="F187" s="48" t="s">
        <v>76</v>
      </c>
      <c r="G187" s="62" t="str">
        <f t="shared" si="52"/>
        <v xml:space="preserve"> </v>
      </c>
      <c r="H187" s="48" t="s">
        <v>69</v>
      </c>
      <c r="I187" s="62" t="str">
        <f t="shared" si="53"/>
        <v xml:space="preserve"> </v>
      </c>
      <c r="J187" s="50" t="s">
        <v>69</v>
      </c>
      <c r="K187" s="62" t="str">
        <f t="shared" si="54"/>
        <v xml:space="preserve"> </v>
      </c>
      <c r="L187" s="48" t="s">
        <v>76</v>
      </c>
      <c r="M187" s="62" t="str">
        <f t="shared" si="55"/>
        <v xml:space="preserve"> </v>
      </c>
      <c r="N187" s="48" t="s">
        <v>89</v>
      </c>
      <c r="O187" s="62" t="str">
        <f t="shared" si="56"/>
        <v xml:space="preserve"> </v>
      </c>
      <c r="P187" s="51">
        <v>52</v>
      </c>
      <c r="Q187" s="62" t="str">
        <f t="shared" si="57"/>
        <v/>
      </c>
      <c r="R187" s="48" t="s">
        <v>76</v>
      </c>
      <c r="S187" s="62" t="str">
        <f t="shared" si="58"/>
        <v xml:space="preserve"> </v>
      </c>
      <c r="T187" s="48" t="s">
        <v>82</v>
      </c>
      <c r="U187" s="62" t="str">
        <f t="shared" si="59"/>
        <v xml:space="preserve"> </v>
      </c>
      <c r="V187" s="51" t="s">
        <v>88</v>
      </c>
      <c r="W187" s="62" t="str">
        <f t="shared" si="60"/>
        <v xml:space="preserve"> </v>
      </c>
      <c r="X187" s="48" t="s">
        <v>76</v>
      </c>
      <c r="Y187" s="62" t="str">
        <f t="shared" si="61"/>
        <v xml:space="preserve"> </v>
      </c>
      <c r="Z187" s="51" t="s">
        <v>72</v>
      </c>
      <c r="AA187" s="62" t="str">
        <f t="shared" si="62"/>
        <v xml:space="preserve"> </v>
      </c>
      <c r="AB187" s="48" t="s">
        <v>76</v>
      </c>
      <c r="AC187" s="62" t="str">
        <f t="shared" si="63"/>
        <v xml:space="preserve"> </v>
      </c>
      <c r="AD187" s="48" t="s">
        <v>77</v>
      </c>
      <c r="AE187" s="62" t="str">
        <f t="shared" si="64"/>
        <v xml:space="preserve"> </v>
      </c>
      <c r="AF187" s="51" t="s">
        <v>105</v>
      </c>
      <c r="AG187" s="62" t="str">
        <f t="shared" si="65"/>
        <v xml:space="preserve"> </v>
      </c>
      <c r="AH187" s="48" t="s">
        <v>76</v>
      </c>
      <c r="AI187" s="62" t="str">
        <f t="shared" si="66"/>
        <v xml:space="preserve"> </v>
      </c>
      <c r="AJ187" s="31">
        <f>IF(AND(OR(COUNTIF(D187:AI187,"=31")&gt;=1,COUNTIF(D187:AI187,"=32")&gt;=1,COUNTIF(D187:AI187,"=33")&gt;=1,COUNTIF(D187:AI187,"=34")&gt;=1,COUNTIF(D187:AI187,"=35")=1,COUNTIF(D187:AI187,"=36")&gt;=1 ),COUNTIF(D187:AI187,"")=0,COUNTIF(D187:AI187," ")=0,COUNTIF(D187:AI187,"F")=1),CONCATENATE(SUM(EXTRACTNUMBER(D187),EXTRACTNUMBER(F187),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EXTRACTNUMBER(AD187),EXTRACTNUMBER(AF187),EXTRACTNUMBER(AH187)),"*"),IF(AND(COUNTIF(D187:AI187,"=34")&gt;=1,COUNTIF(D187:AI187,"=35")&gt;=1,COUNTIF(D187:AI187,"f")=2,COUNTIF(D187:AI187,"")=0,COUNTIF(D187:AI187," ")=0),CONCATENATE(SUM(EXTRACTNUMBER(D187),EXTRACTNUMBER(F187),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EXTRACTNUMBER(AD187),EXTRACTNUMBER(AF187),EXTRACTNUMBER(AH187)),"*"),IF(AND(COUNTIF(D187:AI187,"=36")&gt;=2,COUNTIF(D187:AI187,"f")=2,COUNTIF(D187:AI187,"")=0,COUNTIF(D187:AI187," ")=0),CONCATENATE(SUM(EXTRACTNUMBER(D187),EXTRACTNUMBER(F187),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EXTRACTNUMBER(AD187),EXTRACTNUMBER(AF187),EXTRACTNUMBER(AH187)),"*"),SUM(EXTRACTNUMBER(D187),EXTRACTNUMBER(F187),
EXTRACTNUMBER(H187),EXTRACTNUMBER(J187),
EXTRACTNUMBER(L187),EXTRACTNUMBER(N187),
EXTRACTNUMBER(P187),EXTRACTNUMBER(R187),
EXTRACTNUMBER(T187),EXTRACTNUMBER(V187),
EXTRACTNUMBER(X187),EXTRACTNUMBER(Z187),EXTRACTNUMBER(AB187),
EXTRACTNUMBER(AD187),EXTRACTNUMBER(AF187),EXTRACTNUMBER(AH187)))))</f>
        <v>511</v>
      </c>
      <c r="AK187" s="32" t="str">
        <f t="shared" si="67"/>
        <v>PASS</v>
      </c>
      <c r="AL187" s="33" t="str">
        <f>SPELLNUMBER(extractnumber_tot(AJ187))</f>
        <v xml:space="preserve">Five Hundred Eleven </v>
      </c>
    </row>
    <row r="188" spans="2:38" s="30" customFormat="1" ht="15.95" customHeight="1">
      <c r="B188" s="40">
        <v>225366</v>
      </c>
      <c r="C188" s="41" t="s">
        <v>379</v>
      </c>
      <c r="D188" s="45">
        <v>26</v>
      </c>
      <c r="E188" s="61" t="str">
        <f t="shared" si="51"/>
        <v>F</v>
      </c>
      <c r="F188" s="48" t="s">
        <v>79</v>
      </c>
      <c r="G188" s="62" t="str">
        <f t="shared" si="52"/>
        <v xml:space="preserve"> </v>
      </c>
      <c r="H188" s="48" t="s">
        <v>88</v>
      </c>
      <c r="I188" s="62" t="str">
        <f t="shared" si="53"/>
        <v xml:space="preserve"> </v>
      </c>
      <c r="J188" s="50" t="s">
        <v>69</v>
      </c>
      <c r="K188" s="62" t="str">
        <f t="shared" si="54"/>
        <v xml:space="preserve"> </v>
      </c>
      <c r="L188" s="48" t="s">
        <v>79</v>
      </c>
      <c r="M188" s="62" t="str">
        <f t="shared" si="55"/>
        <v xml:space="preserve"> </v>
      </c>
      <c r="N188" s="48" t="s">
        <v>73</v>
      </c>
      <c r="O188" s="62" t="str">
        <f t="shared" si="56"/>
        <v xml:space="preserve"> </v>
      </c>
      <c r="P188" s="51" t="s">
        <v>113</v>
      </c>
      <c r="Q188" s="62" t="str">
        <f t="shared" si="57"/>
        <v/>
      </c>
      <c r="R188" s="48" t="s">
        <v>79</v>
      </c>
      <c r="S188" s="62" t="str">
        <f t="shared" si="58"/>
        <v xml:space="preserve"> </v>
      </c>
      <c r="T188" s="48" t="s">
        <v>95</v>
      </c>
      <c r="U188" s="62" t="str">
        <f t="shared" si="59"/>
        <v xml:space="preserve"> </v>
      </c>
      <c r="V188" s="51" t="s">
        <v>113</v>
      </c>
      <c r="W188" s="62" t="str">
        <f t="shared" si="60"/>
        <v/>
      </c>
      <c r="X188" s="48" t="s">
        <v>79</v>
      </c>
      <c r="Y188" s="62" t="str">
        <f t="shared" si="61"/>
        <v xml:space="preserve"> </v>
      </c>
      <c r="Z188" s="51" t="s">
        <v>88</v>
      </c>
      <c r="AA188" s="62" t="str">
        <f t="shared" si="62"/>
        <v xml:space="preserve"> </v>
      </c>
      <c r="AB188" s="48" t="s">
        <v>79</v>
      </c>
      <c r="AC188" s="62" t="str">
        <f t="shared" si="63"/>
        <v xml:space="preserve"> </v>
      </c>
      <c r="AD188" s="48" t="s">
        <v>77</v>
      </c>
      <c r="AE188" s="62" t="str">
        <f t="shared" si="64"/>
        <v xml:space="preserve"> </v>
      </c>
      <c r="AF188" s="51" t="s">
        <v>81</v>
      </c>
      <c r="AG188" s="62" t="str">
        <f t="shared" si="65"/>
        <v xml:space="preserve"> </v>
      </c>
      <c r="AH188" s="48" t="s">
        <v>79</v>
      </c>
      <c r="AI188" s="62" t="str">
        <f t="shared" si="66"/>
        <v xml:space="preserve"> </v>
      </c>
      <c r="AJ188" s="31">
        <f>IF(AND(OR(COUNTIF(D188:AI188,"=31")&gt;=1,COUNTIF(D188:AI188,"=32")&gt;=1,COUNTIF(D188:AI188,"=33")&gt;=1,COUNTIF(D188:AI188,"=34")&gt;=1,COUNTIF(D188:AI188,"=35")=1,COUNTIF(D188:AI188,"=36")&gt;=1 ),COUNTIF(D188:AI188,"")=0,COUNTIF(D188:AI188," ")=0,COUNTIF(D188:AI188,"F")=1),CONCATENATE(SUM(EXTRACTNUMBER(D188),EXTRACTNUMBER(F188),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EXTRACTNUMBER(AD188),EXTRACTNUMBER(AF188),EXTRACTNUMBER(AH188)),"*"),IF(AND(COUNTIF(D188:AI188,"=34")&gt;=1,COUNTIF(D188:AI188,"=35")&gt;=1,COUNTIF(D188:AI188,"f")=2,COUNTIF(D188:AI188,"")=0,COUNTIF(D188:AI188," ")=0),CONCATENATE(SUM(EXTRACTNUMBER(D188),EXTRACTNUMBER(F188),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EXTRACTNUMBER(AD188),EXTRACTNUMBER(AF188),EXTRACTNUMBER(AH188)),"*"),IF(AND(COUNTIF(D188:AI188,"=36")&gt;=2,COUNTIF(D188:AI188,"f")=2,COUNTIF(D188:AI188,"")=0,COUNTIF(D188:AI188," ")=0),CONCATENATE(SUM(EXTRACTNUMBER(D188),EXTRACTNUMBER(F188),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EXTRACTNUMBER(AD188),EXTRACTNUMBER(AF188),EXTRACTNUMBER(AH188)),"*"),SUM(EXTRACTNUMBER(D188),EXTRACTNUMBER(F188),
EXTRACTNUMBER(H188),EXTRACTNUMBER(J188),
EXTRACTNUMBER(L188),EXTRACTNUMBER(N188),
EXTRACTNUMBER(P188),EXTRACTNUMBER(R188),
EXTRACTNUMBER(T188),EXTRACTNUMBER(V188),
EXTRACTNUMBER(X188),EXTRACTNUMBER(Z188),EXTRACTNUMBER(AB188),
EXTRACTNUMBER(AD188),EXTRACTNUMBER(AF188),EXTRACTNUMBER(AH188)))))</f>
        <v>369</v>
      </c>
      <c r="AK188" s="32" t="str">
        <f t="shared" si="67"/>
        <v>FAIL</v>
      </c>
      <c r="AL188" s="33" t="str">
        <f>SPELLNUMBER(extractnumber_tot(AJ188))</f>
        <v xml:space="preserve">Three Hundred Sixty Nine </v>
      </c>
    </row>
    <row r="189" spans="2:38" s="30" customFormat="1" ht="15.95" customHeight="1">
      <c r="B189" s="40">
        <v>225367</v>
      </c>
      <c r="C189" s="41" t="s">
        <v>27</v>
      </c>
      <c r="D189" s="45" t="s">
        <v>88</v>
      </c>
      <c r="E189" s="61" t="str">
        <f t="shared" si="51"/>
        <v xml:space="preserve"> </v>
      </c>
      <c r="F189" s="48" t="s">
        <v>80</v>
      </c>
      <c r="G189" s="62" t="str">
        <f t="shared" si="52"/>
        <v xml:space="preserve"> </v>
      </c>
      <c r="H189" s="48" t="s">
        <v>87</v>
      </c>
      <c r="I189" s="62" t="str">
        <f t="shared" si="53"/>
        <v xml:space="preserve"> </v>
      </c>
      <c r="J189" s="50" t="s">
        <v>92</v>
      </c>
      <c r="K189" s="62" t="str">
        <f t="shared" si="54"/>
        <v xml:space="preserve"> </v>
      </c>
      <c r="L189" s="48" t="s">
        <v>78</v>
      </c>
      <c r="M189" s="62" t="str">
        <f t="shared" si="55"/>
        <v xml:space="preserve"> </v>
      </c>
      <c r="N189" s="48" t="s">
        <v>84</v>
      </c>
      <c r="O189" s="62" t="str">
        <f t="shared" si="56"/>
        <v xml:space="preserve"> </v>
      </c>
      <c r="P189" s="51" t="s">
        <v>69</v>
      </c>
      <c r="Q189" s="62" t="str">
        <f t="shared" si="57"/>
        <v xml:space="preserve"> </v>
      </c>
      <c r="R189" s="48" t="s">
        <v>80</v>
      </c>
      <c r="S189" s="62" t="str">
        <f t="shared" si="58"/>
        <v xml:space="preserve"> </v>
      </c>
      <c r="T189" s="48" t="s">
        <v>113</v>
      </c>
      <c r="U189" s="62" t="str">
        <f t="shared" si="59"/>
        <v/>
      </c>
      <c r="V189" s="51" t="s">
        <v>113</v>
      </c>
      <c r="W189" s="62" t="str">
        <f t="shared" si="60"/>
        <v/>
      </c>
      <c r="X189" s="48" t="s">
        <v>78</v>
      </c>
      <c r="Y189" s="62" t="str">
        <f t="shared" si="61"/>
        <v xml:space="preserve"> </v>
      </c>
      <c r="Z189" s="51" t="s">
        <v>69</v>
      </c>
      <c r="AA189" s="62" t="str">
        <f t="shared" si="62"/>
        <v xml:space="preserve"> </v>
      </c>
      <c r="AB189" s="48" t="s">
        <v>80</v>
      </c>
      <c r="AC189" s="62" t="str">
        <f t="shared" si="63"/>
        <v xml:space="preserve"> </v>
      </c>
      <c r="AD189" s="48">
        <v>15</v>
      </c>
      <c r="AE189" s="62" t="str">
        <f t="shared" si="64"/>
        <v>E</v>
      </c>
      <c r="AF189" s="51" t="s">
        <v>84</v>
      </c>
      <c r="AG189" s="62" t="str">
        <f t="shared" si="65"/>
        <v xml:space="preserve"> </v>
      </c>
      <c r="AH189" s="48" t="s">
        <v>79</v>
      </c>
      <c r="AI189" s="62" t="str">
        <f t="shared" si="66"/>
        <v xml:space="preserve"> </v>
      </c>
      <c r="AJ189" s="31">
        <f>IF(AND(OR(COUNTIF(D189:AI189,"=31")&gt;=1,COUNTIF(D189:AI189,"=32")&gt;=1,COUNTIF(D189:AI189,"=33")&gt;=1,COUNTIF(D189:AI189,"=34")&gt;=1,COUNTIF(D189:AI189,"=35")=1,COUNTIF(D189:AI189,"=36")&gt;=1 ),COUNTIF(D189:AI189,"")=0,COUNTIF(D189:AI189," ")=0,COUNTIF(D189:AI189,"F")=1),CONCATENATE(SUM(EXTRACTNUMBER(D189),EXTRACTNUMBER(F189),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EXTRACTNUMBER(AD189),EXTRACTNUMBER(AF189),EXTRACTNUMBER(AH189)),"*"),IF(AND(COUNTIF(D189:AI189,"=34")&gt;=1,COUNTIF(D189:AI189,"=35")&gt;=1,COUNTIF(D189:AI189,"f")=2,COUNTIF(D189:AI189,"")=0,COUNTIF(D189:AI189," ")=0),CONCATENATE(SUM(EXTRACTNUMBER(D189),EXTRACTNUMBER(F189),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EXTRACTNUMBER(AD189),EXTRACTNUMBER(AF189),EXTRACTNUMBER(AH189)),"*"),IF(AND(COUNTIF(D189:AI189,"=36")&gt;=2,COUNTIF(D189:AI189,"f")=2,COUNTIF(D189:AI189,"")=0,COUNTIF(D189:AI189," ")=0),CONCATENATE(SUM(EXTRACTNUMBER(D189),EXTRACTNUMBER(F189),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EXTRACTNUMBER(AD189),EXTRACTNUMBER(AF189),EXTRACTNUMBER(AH189)),"*"),SUM(EXTRACTNUMBER(D189),EXTRACTNUMBER(F189),
EXTRACTNUMBER(H189),EXTRACTNUMBER(J189),
EXTRACTNUMBER(L189),EXTRACTNUMBER(N189),
EXTRACTNUMBER(P189),EXTRACTNUMBER(R189),
EXTRACTNUMBER(T189),EXTRACTNUMBER(V189),
EXTRACTNUMBER(X189),EXTRACTNUMBER(Z189),EXTRACTNUMBER(AB189),
EXTRACTNUMBER(AD189),EXTRACTNUMBER(AF189),EXTRACTNUMBER(AH189)))))</f>
        <v>388</v>
      </c>
      <c r="AK189" s="32" t="str">
        <f t="shared" si="67"/>
        <v>FAIL</v>
      </c>
      <c r="AL189" s="33" t="str">
        <f>SPELLNUMBER(extractnumber_tot(AJ189))</f>
        <v xml:space="preserve">Three Hundred Eighty Eight </v>
      </c>
    </row>
    <row r="190" spans="2:38" s="30" customFormat="1" ht="15.95" customHeight="1">
      <c r="B190" s="40">
        <v>225368</v>
      </c>
      <c r="C190" s="41" t="s">
        <v>28</v>
      </c>
      <c r="D190" s="45" t="s">
        <v>69</v>
      </c>
      <c r="E190" s="61" t="str">
        <f t="shared" si="51"/>
        <v xml:space="preserve"> </v>
      </c>
      <c r="F190" s="48" t="s">
        <v>81</v>
      </c>
      <c r="G190" s="62" t="str">
        <f t="shared" si="52"/>
        <v xml:space="preserve"> </v>
      </c>
      <c r="H190" s="48" t="s">
        <v>85</v>
      </c>
      <c r="I190" s="62" t="str">
        <f t="shared" si="53"/>
        <v xml:space="preserve"> </v>
      </c>
      <c r="J190" s="50" t="s">
        <v>74</v>
      </c>
      <c r="K190" s="62" t="str">
        <f t="shared" si="54"/>
        <v xml:space="preserve"> </v>
      </c>
      <c r="L190" s="48" t="s">
        <v>81</v>
      </c>
      <c r="M190" s="62" t="str">
        <f t="shared" si="55"/>
        <v xml:space="preserve"> </v>
      </c>
      <c r="N190" s="48" t="s">
        <v>93</v>
      </c>
      <c r="O190" s="62" t="str">
        <f t="shared" si="56"/>
        <v xml:space="preserve"> </v>
      </c>
      <c r="P190" s="51" t="s">
        <v>72</v>
      </c>
      <c r="Q190" s="62" t="str">
        <f t="shared" si="57"/>
        <v xml:space="preserve"> </v>
      </c>
      <c r="R190" s="48" t="s">
        <v>82</v>
      </c>
      <c r="S190" s="62" t="str">
        <f t="shared" si="58"/>
        <v xml:space="preserve"> </v>
      </c>
      <c r="T190" s="48" t="s">
        <v>79</v>
      </c>
      <c r="U190" s="62" t="str">
        <f t="shared" si="59"/>
        <v xml:space="preserve"> </v>
      </c>
      <c r="V190" s="51">
        <v>33</v>
      </c>
      <c r="W190" s="62" t="str">
        <f t="shared" si="60"/>
        <v>F</v>
      </c>
      <c r="X190" s="48" t="s">
        <v>81</v>
      </c>
      <c r="Y190" s="62" t="str">
        <f t="shared" si="61"/>
        <v xml:space="preserve"> </v>
      </c>
      <c r="Z190" s="51">
        <v>40</v>
      </c>
      <c r="AA190" s="62" t="str">
        <f t="shared" si="62"/>
        <v>E</v>
      </c>
      <c r="AB190" s="48" t="s">
        <v>81</v>
      </c>
      <c r="AC190" s="62" t="str">
        <f t="shared" si="63"/>
        <v xml:space="preserve"> </v>
      </c>
      <c r="AD190" s="48" t="s">
        <v>77</v>
      </c>
      <c r="AE190" s="62" t="str">
        <f t="shared" si="64"/>
        <v xml:space="preserve"> </v>
      </c>
      <c r="AF190" s="51" t="s">
        <v>108</v>
      </c>
      <c r="AG190" s="62" t="str">
        <f t="shared" si="65"/>
        <v xml:space="preserve"> </v>
      </c>
      <c r="AH190" s="48" t="s">
        <v>82</v>
      </c>
      <c r="AI190" s="62" t="str">
        <f t="shared" si="66"/>
        <v xml:space="preserve"> </v>
      </c>
      <c r="AJ190" s="31">
        <f>IF(AND(OR(COUNTIF(D190:AI190,"=31")&gt;=1,COUNTIF(D190:AI190,"=32")&gt;=1,COUNTIF(D190:AI190,"=33")&gt;=1,COUNTIF(D190:AI190,"=34")&gt;=1,COUNTIF(D190:AI190,"=35")=1,COUNTIF(D190:AI190,"=36")&gt;=1 ),COUNTIF(D190:AI190,"")=0,COUNTIF(D190:AI190," ")=0,COUNTIF(D190:AI190,"F")=1),CONCATENATE(SUM(EXTRACTNUMBER(D190),EXTRACTNUMBER(F190),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EXTRACTNUMBER(AD190),EXTRACTNUMBER(AF190),EXTRACTNUMBER(AH190)),"*"),IF(AND(COUNTIF(D190:AI190,"=34")&gt;=1,COUNTIF(D190:AI190,"=35")&gt;=1,COUNTIF(D190:AI190,"f")=2,COUNTIF(D190:AI190,"")=0,COUNTIF(D190:AI190," ")=0),CONCATENATE(SUM(EXTRACTNUMBER(D190),EXTRACTNUMBER(F190),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EXTRACTNUMBER(AD190),EXTRACTNUMBER(AF190),EXTRACTNUMBER(AH190)),"*"),IF(AND(COUNTIF(D190:AI190,"=36")&gt;=2,COUNTIF(D190:AI190,"f")=2,COUNTIF(D190:AI190,"")=0,COUNTIF(D190:AI190," ")=0),CONCATENATE(SUM(EXTRACTNUMBER(D190),EXTRACTNUMBER(F190),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EXTRACTNUMBER(AD190),EXTRACTNUMBER(AF190),EXTRACTNUMBER(AH190)),"*"),SUM(EXTRACTNUMBER(D190),EXTRACTNUMBER(F190),
EXTRACTNUMBER(H190),EXTRACTNUMBER(J190),
EXTRACTNUMBER(L190),EXTRACTNUMBER(N190),
EXTRACTNUMBER(P190),EXTRACTNUMBER(R190),
EXTRACTNUMBER(T190),EXTRACTNUMBER(V190),
EXTRACTNUMBER(X190),EXTRACTNUMBER(Z190),EXTRACTNUMBER(AB190),
EXTRACTNUMBER(AD190),EXTRACTNUMBER(AF190),EXTRACTNUMBER(AH190)))))</f>
        <v>477</v>
      </c>
      <c r="AK190" s="32" t="str">
        <f t="shared" si="67"/>
        <v>FAIL</v>
      </c>
      <c r="AL190" s="33" t="str">
        <f>SPELLNUMBER(extractnumber_tot(AJ190))</f>
        <v xml:space="preserve">Four Hundred Seventy Seven </v>
      </c>
    </row>
    <row r="191" spans="2:38" s="30" customFormat="1" ht="15.95" customHeight="1">
      <c r="B191" s="40">
        <v>225369</v>
      </c>
      <c r="C191" s="41" t="s">
        <v>63</v>
      </c>
      <c r="D191" s="45" t="s">
        <v>67</v>
      </c>
      <c r="E191" s="61" t="str">
        <f t="shared" si="51"/>
        <v xml:space="preserve"> </v>
      </c>
      <c r="F191" s="48" t="s">
        <v>79</v>
      </c>
      <c r="G191" s="62" t="str">
        <f t="shared" si="52"/>
        <v xml:space="preserve"> </v>
      </c>
      <c r="H191" s="48" t="s">
        <v>89</v>
      </c>
      <c r="I191" s="62" t="str">
        <f t="shared" si="53"/>
        <v xml:space="preserve"> </v>
      </c>
      <c r="J191" s="50" t="s">
        <v>402</v>
      </c>
      <c r="K191" s="62" t="str">
        <f t="shared" si="54"/>
        <v xml:space="preserve"> </v>
      </c>
      <c r="L191" s="48" t="s">
        <v>95</v>
      </c>
      <c r="M191" s="62" t="str">
        <f t="shared" si="55"/>
        <v xml:space="preserve"> </v>
      </c>
      <c r="N191" s="48" t="s">
        <v>96</v>
      </c>
      <c r="O191" s="62" t="str">
        <f t="shared" si="56"/>
        <v xml:space="preserve"> </v>
      </c>
      <c r="P191" s="51" t="s">
        <v>113</v>
      </c>
      <c r="Q191" s="62" t="str">
        <f t="shared" si="57"/>
        <v/>
      </c>
      <c r="R191" s="48" t="s">
        <v>79</v>
      </c>
      <c r="S191" s="62" t="str">
        <f t="shared" si="58"/>
        <v xml:space="preserve"> </v>
      </c>
      <c r="T191" s="48" t="s">
        <v>82</v>
      </c>
      <c r="U191" s="62" t="str">
        <f t="shared" si="59"/>
        <v xml:space="preserve"> </v>
      </c>
      <c r="V191" s="51" t="s">
        <v>113</v>
      </c>
      <c r="W191" s="62" t="str">
        <f t="shared" si="60"/>
        <v/>
      </c>
      <c r="X191" s="48" t="s">
        <v>79</v>
      </c>
      <c r="Y191" s="62" t="str">
        <f t="shared" si="61"/>
        <v xml:space="preserve"> </v>
      </c>
      <c r="Z191" s="51" t="s">
        <v>74</v>
      </c>
      <c r="AA191" s="62" t="str">
        <f t="shared" si="62"/>
        <v xml:space="preserve"> </v>
      </c>
      <c r="AB191" s="48" t="s">
        <v>79</v>
      </c>
      <c r="AC191" s="62" t="str">
        <f t="shared" si="63"/>
        <v xml:space="preserve"> </v>
      </c>
      <c r="AD191" s="48" t="s">
        <v>79</v>
      </c>
      <c r="AE191" s="62" t="str">
        <f t="shared" si="64"/>
        <v xml:space="preserve"> </v>
      </c>
      <c r="AF191" s="51" t="s">
        <v>108</v>
      </c>
      <c r="AG191" s="62" t="str">
        <f t="shared" si="65"/>
        <v xml:space="preserve"> </v>
      </c>
      <c r="AH191" s="48" t="s">
        <v>79</v>
      </c>
      <c r="AI191" s="62" t="str">
        <f t="shared" si="66"/>
        <v xml:space="preserve"> </v>
      </c>
      <c r="AJ191" s="31">
        <f>IF(AND(OR(COUNTIF(D191:AI191,"=31")&gt;=1,COUNTIF(D191:AI191,"=32")&gt;=1,COUNTIF(D191:AI191,"=33")&gt;=1,COUNTIF(D191:AI191,"=34")&gt;=1,COUNTIF(D191:AI191,"=35")=1,COUNTIF(D191:AI191,"=36")&gt;=1 ),COUNTIF(D191:AI191,"")=0,COUNTIF(D191:AI191," ")=0,COUNTIF(D191:AI191,"F")=1),CONCATENATE(SUM(EXTRACTNUMBER(D191),EXTRACTNUMBER(F191),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EXTRACTNUMBER(AD191),EXTRACTNUMBER(AF191),EXTRACTNUMBER(AH191)),"*"),IF(AND(COUNTIF(D191:AI191,"=34")&gt;=1,COUNTIF(D191:AI191,"=35")&gt;=1,COUNTIF(D191:AI191,"f")=2,COUNTIF(D191:AI191,"")=0,COUNTIF(D191:AI191," ")=0),CONCATENATE(SUM(EXTRACTNUMBER(D191),EXTRACTNUMBER(F191),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EXTRACTNUMBER(AD191),EXTRACTNUMBER(AF191),EXTRACTNUMBER(AH191)),"*"),IF(AND(COUNTIF(D191:AI191,"=36")&gt;=2,COUNTIF(D191:AI191,"f")=2,COUNTIF(D191:AI191,"")=0,COUNTIF(D191:AI191," ")=0),CONCATENATE(SUM(EXTRACTNUMBER(D191),EXTRACTNUMBER(F191),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EXTRACTNUMBER(AD191),EXTRACTNUMBER(AF191),EXTRACTNUMBER(AH191)),"*"),SUM(EXTRACTNUMBER(D191),EXTRACTNUMBER(F191),
EXTRACTNUMBER(H191),EXTRACTNUMBER(J191),
EXTRACTNUMBER(L191),EXTRACTNUMBER(N191),
EXTRACTNUMBER(P191),EXTRACTNUMBER(R191),
EXTRACTNUMBER(T191),EXTRACTNUMBER(V191),
EXTRACTNUMBER(X191),EXTRACTNUMBER(Z191),EXTRACTNUMBER(AB191),
EXTRACTNUMBER(AD191),EXTRACTNUMBER(AF191),EXTRACTNUMBER(AH191)))))</f>
        <v>406</v>
      </c>
      <c r="AK191" s="32" t="str">
        <f t="shared" si="67"/>
        <v>ABSENT</v>
      </c>
      <c r="AL191" s="33" t="str">
        <f>SPELLNUMBER(extractnumber_tot(AJ191))</f>
        <v xml:space="preserve">Four Hundred Six </v>
      </c>
    </row>
    <row r="192" spans="2:38" s="30" customFormat="1" ht="15.95" customHeight="1">
      <c r="B192" s="40">
        <v>225370</v>
      </c>
      <c r="C192" s="41" t="s">
        <v>380</v>
      </c>
      <c r="D192" s="45">
        <v>16</v>
      </c>
      <c r="E192" s="61" t="str">
        <f t="shared" si="51"/>
        <v>F</v>
      </c>
      <c r="F192" s="48" t="s">
        <v>79</v>
      </c>
      <c r="G192" s="62" t="str">
        <f t="shared" si="52"/>
        <v xml:space="preserve"> </v>
      </c>
      <c r="H192" s="48" t="s">
        <v>69</v>
      </c>
      <c r="I192" s="62" t="str">
        <f t="shared" si="53"/>
        <v xml:space="preserve"> </v>
      </c>
      <c r="J192" s="50" t="s">
        <v>91</v>
      </c>
      <c r="K192" s="62" t="str">
        <f t="shared" si="54"/>
        <v xml:space="preserve"> </v>
      </c>
      <c r="L192" s="48" t="s">
        <v>94</v>
      </c>
      <c r="M192" s="62" t="str">
        <f t="shared" si="55"/>
        <v xml:space="preserve"> </v>
      </c>
      <c r="N192" s="48" t="s">
        <v>86</v>
      </c>
      <c r="O192" s="62" t="str">
        <f t="shared" si="56"/>
        <v xml:space="preserve"> </v>
      </c>
      <c r="P192" s="51">
        <v>15</v>
      </c>
      <c r="Q192" s="62" t="str">
        <f t="shared" si="57"/>
        <v>F</v>
      </c>
      <c r="R192" s="48" t="s">
        <v>79</v>
      </c>
      <c r="S192" s="62" t="str">
        <f t="shared" si="58"/>
        <v xml:space="preserve"> </v>
      </c>
      <c r="T192" s="48" t="s">
        <v>79</v>
      </c>
      <c r="U192" s="62" t="str">
        <f t="shared" si="59"/>
        <v xml:space="preserve"> </v>
      </c>
      <c r="V192" s="51">
        <v>5</v>
      </c>
      <c r="W192" s="62" t="str">
        <f t="shared" si="60"/>
        <v>F</v>
      </c>
      <c r="X192" s="48" t="s">
        <v>77</v>
      </c>
      <c r="Y192" s="62" t="str">
        <f t="shared" si="61"/>
        <v xml:space="preserve"> </v>
      </c>
      <c r="Z192" s="51">
        <v>6</v>
      </c>
      <c r="AA192" s="62" t="str">
        <f t="shared" si="62"/>
        <v>F</v>
      </c>
      <c r="AB192" s="48" t="s">
        <v>77</v>
      </c>
      <c r="AC192" s="62" t="str">
        <f t="shared" si="63"/>
        <v xml:space="preserve"> </v>
      </c>
      <c r="AD192" s="48" t="s">
        <v>78</v>
      </c>
      <c r="AE192" s="62" t="str">
        <f t="shared" si="64"/>
        <v xml:space="preserve"> </v>
      </c>
      <c r="AF192" s="51" t="s">
        <v>81</v>
      </c>
      <c r="AG192" s="62" t="str">
        <f t="shared" si="65"/>
        <v xml:space="preserve"> </v>
      </c>
      <c r="AH192" s="48" t="s">
        <v>79</v>
      </c>
      <c r="AI192" s="62" t="str">
        <f t="shared" si="66"/>
        <v xml:space="preserve"> </v>
      </c>
      <c r="AJ192" s="31">
        <f>IF(AND(OR(COUNTIF(D192:AI192,"=31")&gt;=1,COUNTIF(D192:AI192,"=32")&gt;=1,COUNTIF(D192:AI192,"=33")&gt;=1,COUNTIF(D192:AI192,"=34")&gt;=1,COUNTIF(D192:AI192,"=35")=1,COUNTIF(D192:AI192,"=36")&gt;=1 ),COUNTIF(D192:AI192,"")=0,COUNTIF(D192:AI192," ")=0,COUNTIF(D192:AI192,"F")=1),CONCATENATE(SUM(EXTRACTNUMBER(D192),EXTRACTNUMBER(F192),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EXTRACTNUMBER(AD192),EXTRACTNUMBER(AF192),EXTRACTNUMBER(AH192)),"*"),IF(AND(COUNTIF(D192:AI192,"=34")&gt;=1,COUNTIF(D192:AI192,"=35")&gt;=1,COUNTIF(D192:AI192,"f")=2,COUNTIF(D192:AI192,"")=0,COUNTIF(D192:AI192," ")=0),CONCATENATE(SUM(EXTRACTNUMBER(D192),EXTRACTNUMBER(F192),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EXTRACTNUMBER(AD192),EXTRACTNUMBER(AF192),EXTRACTNUMBER(AH192)),"*"),IF(AND(COUNTIF(D192:AI192,"=36")&gt;=2,COUNTIF(D192:AI192,"f")=2,COUNTIF(D192:AI192,"")=0,COUNTIF(D192:AI192," ")=0),CONCATENATE(SUM(EXTRACTNUMBER(D192),EXTRACTNUMBER(F192),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EXTRACTNUMBER(AD192),EXTRACTNUMBER(AF192),EXTRACTNUMBER(AH192)),"*"),SUM(EXTRACTNUMBER(D192),EXTRACTNUMBER(F192),
EXTRACTNUMBER(H192),EXTRACTNUMBER(J192),
EXTRACTNUMBER(L192),EXTRACTNUMBER(N192),
EXTRACTNUMBER(P192),EXTRACTNUMBER(R192),
EXTRACTNUMBER(T192),EXTRACTNUMBER(V192),
EXTRACTNUMBER(X192),EXTRACTNUMBER(Z192),EXTRACTNUMBER(AB192),
EXTRACTNUMBER(AD192),EXTRACTNUMBER(AF192),EXTRACTNUMBER(AH192)))))</f>
        <v>349</v>
      </c>
      <c r="AK192" s="32" t="str">
        <f t="shared" si="67"/>
        <v>FAIL</v>
      </c>
      <c r="AL192" s="33" t="str">
        <f>SPELLNUMBER(extractnumber_tot(AJ192))</f>
        <v xml:space="preserve">Three Hundred Forty Nine </v>
      </c>
    </row>
    <row r="193" spans="2:38" s="30" customFormat="1" ht="15.95" customHeight="1">
      <c r="B193" s="40">
        <v>225371</v>
      </c>
      <c r="C193" s="41" t="s">
        <v>30</v>
      </c>
      <c r="D193" s="45" t="s">
        <v>88</v>
      </c>
      <c r="E193" s="61" t="str">
        <f t="shared" si="51"/>
        <v xml:space="preserve"> </v>
      </c>
      <c r="F193" s="48" t="s">
        <v>79</v>
      </c>
      <c r="G193" s="62" t="str">
        <f t="shared" si="52"/>
        <v xml:space="preserve"> </v>
      </c>
      <c r="H193" s="48" t="s">
        <v>85</v>
      </c>
      <c r="I193" s="62" t="str">
        <f t="shared" si="53"/>
        <v xml:space="preserve"> </v>
      </c>
      <c r="J193" s="50" t="s">
        <v>69</v>
      </c>
      <c r="K193" s="62" t="str">
        <f t="shared" si="54"/>
        <v xml:space="preserve"> </v>
      </c>
      <c r="L193" s="48" t="s">
        <v>79</v>
      </c>
      <c r="M193" s="62" t="str">
        <f t="shared" si="55"/>
        <v xml:space="preserve"> </v>
      </c>
      <c r="N193" s="48" t="s">
        <v>72</v>
      </c>
      <c r="O193" s="62" t="str">
        <f t="shared" si="56"/>
        <v xml:space="preserve"> </v>
      </c>
      <c r="P193" s="51" t="s">
        <v>69</v>
      </c>
      <c r="Q193" s="62" t="str">
        <f t="shared" si="57"/>
        <v xml:space="preserve"> </v>
      </c>
      <c r="R193" s="48" t="s">
        <v>79</v>
      </c>
      <c r="S193" s="62" t="str">
        <f t="shared" si="58"/>
        <v xml:space="preserve"> </v>
      </c>
      <c r="T193" s="48" t="s">
        <v>79</v>
      </c>
      <c r="U193" s="62" t="str">
        <f t="shared" si="59"/>
        <v xml:space="preserve"> </v>
      </c>
      <c r="V193" s="51">
        <v>15</v>
      </c>
      <c r="W193" s="62" t="str">
        <f t="shared" si="60"/>
        <v>F</v>
      </c>
      <c r="X193" s="48" t="s">
        <v>79</v>
      </c>
      <c r="Y193" s="62" t="str">
        <f t="shared" si="61"/>
        <v xml:space="preserve"> </v>
      </c>
      <c r="Z193" s="51">
        <v>30</v>
      </c>
      <c r="AA193" s="62" t="str">
        <f t="shared" si="62"/>
        <v>F</v>
      </c>
      <c r="AB193" s="48" t="s">
        <v>79</v>
      </c>
      <c r="AC193" s="62" t="str">
        <f t="shared" si="63"/>
        <v xml:space="preserve"> </v>
      </c>
      <c r="AD193" s="48" t="s">
        <v>95</v>
      </c>
      <c r="AE193" s="62" t="str">
        <f t="shared" si="64"/>
        <v xml:space="preserve"> </v>
      </c>
      <c r="AF193" s="51" t="s">
        <v>87</v>
      </c>
      <c r="AG193" s="62" t="str">
        <f t="shared" si="65"/>
        <v xml:space="preserve"> </v>
      </c>
      <c r="AH193" s="48" t="s">
        <v>78</v>
      </c>
      <c r="AI193" s="62" t="str">
        <f t="shared" si="66"/>
        <v xml:space="preserve"> </v>
      </c>
      <c r="AJ193" s="31">
        <f>IF(AND(OR(COUNTIF(D193:AI193,"=31")&gt;=1,COUNTIF(D193:AI193,"=32")&gt;=1,COUNTIF(D193:AI193,"=33")&gt;=1,COUNTIF(D193:AI193,"=34")&gt;=1,COUNTIF(D193:AI193,"=35")=1,COUNTIF(D193:AI193,"=36")&gt;=1 ),COUNTIF(D193:AI193,"")=0,COUNTIF(D193:AI193," ")=0,COUNTIF(D193:AI193,"F")=1),CONCATENATE(SUM(EXTRACTNUMBER(D193),EXTRACTNUMBER(F193),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EXTRACTNUMBER(AD193),EXTRACTNUMBER(AF193),EXTRACTNUMBER(AH193)),"*"),IF(AND(COUNTIF(D193:AI193,"=34")&gt;=1,COUNTIF(D193:AI193,"=35")&gt;=1,COUNTIF(D193:AI193,"f")=2,COUNTIF(D193:AI193,"")=0,COUNTIF(D193:AI193," ")=0),CONCATENATE(SUM(EXTRACTNUMBER(D193),EXTRACTNUMBER(F193),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EXTRACTNUMBER(AD193),EXTRACTNUMBER(AF193),EXTRACTNUMBER(AH193)),"*"),IF(AND(COUNTIF(D193:AI193,"=36")&gt;=2,COUNTIF(D193:AI193,"f")=2,COUNTIF(D193:AI193,"")=0,COUNTIF(D193:AI193," ")=0),CONCATENATE(SUM(EXTRACTNUMBER(D193),EXTRACTNUMBER(F193),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EXTRACTNUMBER(AD193),EXTRACTNUMBER(AF193),EXTRACTNUMBER(AH193)),"*"),SUM(EXTRACTNUMBER(D193),EXTRACTNUMBER(F193),
EXTRACTNUMBER(H193),EXTRACTNUMBER(J193),
EXTRACTNUMBER(L193),EXTRACTNUMBER(N193),
EXTRACTNUMBER(P193),EXTRACTNUMBER(R193),
EXTRACTNUMBER(T193),EXTRACTNUMBER(V193),
EXTRACTNUMBER(X193),EXTRACTNUMBER(Z193),EXTRACTNUMBER(AB193),
EXTRACTNUMBER(AD193),EXTRACTNUMBER(AF193),EXTRACTNUMBER(AH193)))))</f>
        <v>437</v>
      </c>
      <c r="AK193" s="32" t="str">
        <f t="shared" si="67"/>
        <v>FAIL</v>
      </c>
      <c r="AL193" s="33" t="str">
        <f>SPELLNUMBER(extractnumber_tot(AJ193))</f>
        <v xml:space="preserve">Four Hundred Thirty Seven </v>
      </c>
    </row>
    <row r="194" spans="2:38" s="30" customFormat="1" ht="15.95" customHeight="1">
      <c r="B194" s="40">
        <v>225372</v>
      </c>
      <c r="C194" s="41" t="s">
        <v>32</v>
      </c>
      <c r="D194" s="45" t="s">
        <v>72</v>
      </c>
      <c r="E194" s="61" t="str">
        <f t="shared" si="51"/>
        <v xml:space="preserve"> </v>
      </c>
      <c r="F194" s="48" t="s">
        <v>82</v>
      </c>
      <c r="G194" s="62" t="str">
        <f t="shared" si="52"/>
        <v xml:space="preserve"> </v>
      </c>
      <c r="H194" s="48" t="s">
        <v>88</v>
      </c>
      <c r="I194" s="62" t="str">
        <f t="shared" si="53"/>
        <v xml:space="preserve"> </v>
      </c>
      <c r="J194" s="50" t="s">
        <v>88</v>
      </c>
      <c r="K194" s="62" t="str">
        <f t="shared" si="54"/>
        <v xml:space="preserve"> </v>
      </c>
      <c r="L194" s="48" t="s">
        <v>79</v>
      </c>
      <c r="M194" s="62" t="str">
        <f t="shared" si="55"/>
        <v xml:space="preserve"> </v>
      </c>
      <c r="N194" s="48" t="s">
        <v>74</v>
      </c>
      <c r="O194" s="62" t="str">
        <f t="shared" si="56"/>
        <v xml:space="preserve"> </v>
      </c>
      <c r="P194" s="51" t="s">
        <v>69</v>
      </c>
      <c r="Q194" s="62" t="str">
        <f t="shared" si="57"/>
        <v xml:space="preserve"> </v>
      </c>
      <c r="R194" s="48" t="s">
        <v>79</v>
      </c>
      <c r="S194" s="62" t="str">
        <f t="shared" si="58"/>
        <v xml:space="preserve"> </v>
      </c>
      <c r="T194" s="48" t="s">
        <v>81</v>
      </c>
      <c r="U194" s="62" t="str">
        <f t="shared" si="59"/>
        <v xml:space="preserve"> </v>
      </c>
      <c r="V194" s="51">
        <v>4</v>
      </c>
      <c r="W194" s="62" t="str">
        <f t="shared" si="60"/>
        <v>F</v>
      </c>
      <c r="X194" s="48" t="s">
        <v>79</v>
      </c>
      <c r="Y194" s="62" t="str">
        <f t="shared" si="61"/>
        <v xml:space="preserve"> </v>
      </c>
      <c r="Z194" s="51" t="s">
        <v>69</v>
      </c>
      <c r="AA194" s="62" t="str">
        <f t="shared" si="62"/>
        <v xml:space="preserve"> </v>
      </c>
      <c r="AB194" s="48" t="s">
        <v>82</v>
      </c>
      <c r="AC194" s="62" t="str">
        <f t="shared" si="63"/>
        <v xml:space="preserve"> </v>
      </c>
      <c r="AD194" s="48" t="s">
        <v>82</v>
      </c>
      <c r="AE194" s="62" t="str">
        <f t="shared" si="64"/>
        <v xml:space="preserve"> </v>
      </c>
      <c r="AF194" s="51" t="s">
        <v>106</v>
      </c>
      <c r="AG194" s="62" t="str">
        <f t="shared" si="65"/>
        <v xml:space="preserve"> </v>
      </c>
      <c r="AH194" s="48" t="s">
        <v>79</v>
      </c>
      <c r="AI194" s="62" t="str">
        <f t="shared" si="66"/>
        <v xml:space="preserve"> </v>
      </c>
      <c r="AJ194" s="31">
        <f>IF(AND(OR(COUNTIF(D194:AI194,"=31")&gt;=1,COUNTIF(D194:AI194,"=32")&gt;=1,COUNTIF(D194:AI194,"=33")&gt;=1,COUNTIF(D194:AI194,"=34")&gt;=1,COUNTIF(D194:AI194,"=35")=1,COUNTIF(D194:AI194,"=36")&gt;=1 ),COUNTIF(D194:AI194,"")=0,COUNTIF(D194:AI194," ")=0,COUNTIF(D194:AI194,"F")=1),CONCATENATE(SUM(EXTRACTNUMBER(D194),EXTRACTNUMBER(F194),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EXTRACTNUMBER(AD194),EXTRACTNUMBER(AF194),EXTRACTNUMBER(AH194)),"*"),IF(AND(COUNTIF(D194:AI194,"=34")&gt;=1,COUNTIF(D194:AI194,"=35")&gt;=1,COUNTIF(D194:AI194,"f")=2,COUNTIF(D194:AI194,"")=0,COUNTIF(D194:AI194," ")=0),CONCATENATE(SUM(EXTRACTNUMBER(D194),EXTRACTNUMBER(F194),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EXTRACTNUMBER(AD194),EXTRACTNUMBER(AF194),EXTRACTNUMBER(AH194)),"*"),IF(AND(COUNTIF(D194:AI194,"=36")&gt;=2,COUNTIF(D194:AI194,"f")=2,COUNTIF(D194:AI194,"")=0,COUNTIF(D194:AI194," ")=0),CONCATENATE(SUM(EXTRACTNUMBER(D194),EXTRACTNUMBER(F194),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EXTRACTNUMBER(AD194),EXTRACTNUMBER(AF194),EXTRACTNUMBER(AH194)),"*"),SUM(EXTRACTNUMBER(D194),EXTRACTNUMBER(F194),
EXTRACTNUMBER(H194),EXTRACTNUMBER(J194),
EXTRACTNUMBER(L194),EXTRACTNUMBER(N194),
EXTRACTNUMBER(P194),EXTRACTNUMBER(R194),
EXTRACTNUMBER(T194),EXTRACTNUMBER(V194),
EXTRACTNUMBER(X194),EXTRACTNUMBER(Z194),EXTRACTNUMBER(AB194),
EXTRACTNUMBER(AD194),EXTRACTNUMBER(AF194),EXTRACTNUMBER(AH194)))))</f>
        <v>448</v>
      </c>
      <c r="AK194" s="32" t="str">
        <f t="shared" si="67"/>
        <v>FAIL</v>
      </c>
      <c r="AL194" s="33" t="str">
        <f>SPELLNUMBER(extractnumber_tot(AJ194))</f>
        <v xml:space="preserve">Four Hundred Forty Eight </v>
      </c>
    </row>
    <row r="195" spans="2:38" s="30" customFormat="1" ht="15.95" customHeight="1">
      <c r="B195" s="40">
        <v>225373</v>
      </c>
      <c r="C195" s="41" t="s">
        <v>33</v>
      </c>
      <c r="D195" s="45" t="s">
        <v>72</v>
      </c>
      <c r="E195" s="61" t="str">
        <f t="shared" si="51"/>
        <v xml:space="preserve"> </v>
      </c>
      <c r="F195" s="48" t="s">
        <v>78</v>
      </c>
      <c r="G195" s="62" t="str">
        <f t="shared" si="52"/>
        <v xml:space="preserve"> </v>
      </c>
      <c r="H195" s="48" t="s">
        <v>88</v>
      </c>
      <c r="I195" s="62" t="str">
        <f t="shared" si="53"/>
        <v xml:space="preserve"> </v>
      </c>
      <c r="J195" s="50" t="s">
        <v>88</v>
      </c>
      <c r="K195" s="62" t="str">
        <f t="shared" si="54"/>
        <v xml:space="preserve"> </v>
      </c>
      <c r="L195" s="48" t="s">
        <v>79</v>
      </c>
      <c r="M195" s="62" t="str">
        <f t="shared" si="55"/>
        <v xml:space="preserve"> </v>
      </c>
      <c r="N195" s="48" t="s">
        <v>88</v>
      </c>
      <c r="O195" s="62" t="str">
        <f t="shared" si="56"/>
        <v xml:space="preserve"> </v>
      </c>
      <c r="P195" s="51" t="s">
        <v>73</v>
      </c>
      <c r="Q195" s="62" t="str">
        <f t="shared" si="57"/>
        <v xml:space="preserve"> </v>
      </c>
      <c r="R195" s="48" t="s">
        <v>82</v>
      </c>
      <c r="S195" s="62" t="str">
        <f t="shared" si="58"/>
        <v xml:space="preserve"> </v>
      </c>
      <c r="T195" s="48" t="s">
        <v>82</v>
      </c>
      <c r="U195" s="62" t="str">
        <f t="shared" si="59"/>
        <v xml:space="preserve"> </v>
      </c>
      <c r="V195" s="51">
        <v>44</v>
      </c>
      <c r="W195" s="62" t="str">
        <f t="shared" si="60"/>
        <v/>
      </c>
      <c r="X195" s="48" t="s">
        <v>79</v>
      </c>
      <c r="Y195" s="62" t="str">
        <f t="shared" si="61"/>
        <v xml:space="preserve"> </v>
      </c>
      <c r="Z195" s="51" t="s">
        <v>88</v>
      </c>
      <c r="AA195" s="62" t="str">
        <f t="shared" si="62"/>
        <v xml:space="preserve"> </v>
      </c>
      <c r="AB195" s="48" t="s">
        <v>78</v>
      </c>
      <c r="AC195" s="62" t="str">
        <f t="shared" si="63"/>
        <v xml:space="preserve"> </v>
      </c>
      <c r="AD195" s="48" t="s">
        <v>82</v>
      </c>
      <c r="AE195" s="62" t="str">
        <f t="shared" si="64"/>
        <v xml:space="preserve"> </v>
      </c>
      <c r="AF195" s="51" t="s">
        <v>84</v>
      </c>
      <c r="AG195" s="62" t="str">
        <f t="shared" si="65"/>
        <v xml:space="preserve"> </v>
      </c>
      <c r="AH195" s="48" t="s">
        <v>79</v>
      </c>
      <c r="AI195" s="62" t="str">
        <f t="shared" si="66"/>
        <v xml:space="preserve"> </v>
      </c>
      <c r="AJ195" s="31">
        <f>IF(AND(OR(COUNTIF(D195:AI195,"=31")&gt;=1,COUNTIF(D195:AI195,"=32")&gt;=1,COUNTIF(D195:AI195,"=33")&gt;=1,COUNTIF(D195:AI195,"=34")&gt;=1,COUNTIF(D195:AI195,"=35")=1,COUNTIF(D195:AI195,"=36")&gt;=1 ),COUNTIF(D195:AI195,"")=0,COUNTIF(D195:AI195," ")=0,COUNTIF(D195:AI195,"F")=1),CONCATENATE(SUM(EXTRACTNUMBER(D195),EXTRACTNUMBER(F195),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EXTRACTNUMBER(AD195),EXTRACTNUMBER(AF195),EXTRACTNUMBER(AH195)),"*"),IF(AND(COUNTIF(D195:AI195,"=34")&gt;=1,COUNTIF(D195:AI195,"=35")&gt;=1,COUNTIF(D195:AI195,"f")=2,COUNTIF(D195:AI195,"")=0,COUNTIF(D195:AI195," ")=0),CONCATENATE(SUM(EXTRACTNUMBER(D195),EXTRACTNUMBER(F195),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EXTRACTNUMBER(AD195),EXTRACTNUMBER(AF195),EXTRACTNUMBER(AH195)),"*"),IF(AND(COUNTIF(D195:AI195,"=36")&gt;=2,COUNTIF(D195:AI195,"f")=2,COUNTIF(D195:AI195,"")=0,COUNTIF(D195:AI195," ")=0),CONCATENATE(SUM(EXTRACTNUMBER(D195),EXTRACTNUMBER(F195),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EXTRACTNUMBER(AD195),EXTRACTNUMBER(AF195),EXTRACTNUMBER(AH195)),"*"),SUM(EXTRACTNUMBER(D195),EXTRACTNUMBER(F195),
EXTRACTNUMBER(H195),EXTRACTNUMBER(J195),
EXTRACTNUMBER(L195),EXTRACTNUMBER(N195),
EXTRACTNUMBER(P195),EXTRACTNUMBER(R195),
EXTRACTNUMBER(T195),EXTRACTNUMBER(V195),
EXTRACTNUMBER(X195),EXTRACTNUMBER(Z195),EXTRACTNUMBER(AB195),
EXTRACTNUMBER(AD195),EXTRACTNUMBER(AF195),EXTRACTNUMBER(AH195)))))</f>
        <v>489</v>
      </c>
      <c r="AK195" s="32" t="str">
        <f t="shared" si="67"/>
        <v>PASS</v>
      </c>
      <c r="AL195" s="33" t="str">
        <f>SPELLNUMBER(extractnumber_tot(AJ195))</f>
        <v xml:space="preserve">Four Hundred Eighty Nine </v>
      </c>
    </row>
    <row r="196" spans="2:38" s="30" customFormat="1" ht="15.95" customHeight="1">
      <c r="B196" s="40">
        <v>225374</v>
      </c>
      <c r="C196" s="41" t="s">
        <v>34</v>
      </c>
      <c r="D196" s="45" t="s">
        <v>73</v>
      </c>
      <c r="E196" s="61" t="str">
        <f t="shared" si="51"/>
        <v xml:space="preserve"> </v>
      </c>
      <c r="F196" s="48" t="s">
        <v>81</v>
      </c>
      <c r="G196" s="62" t="str">
        <f t="shared" si="52"/>
        <v xml:space="preserve"> </v>
      </c>
      <c r="H196" s="48" t="s">
        <v>85</v>
      </c>
      <c r="I196" s="62" t="str">
        <f t="shared" si="53"/>
        <v xml:space="preserve"> </v>
      </c>
      <c r="J196" s="50" t="s">
        <v>69</v>
      </c>
      <c r="K196" s="62" t="str">
        <f t="shared" si="54"/>
        <v xml:space="preserve"> </v>
      </c>
      <c r="L196" s="48" t="s">
        <v>81</v>
      </c>
      <c r="M196" s="62" t="str">
        <f t="shared" si="55"/>
        <v xml:space="preserve"> </v>
      </c>
      <c r="N196" s="48" t="s">
        <v>74</v>
      </c>
      <c r="O196" s="62" t="str">
        <f t="shared" si="56"/>
        <v xml:space="preserve"> </v>
      </c>
      <c r="P196" s="51" t="s">
        <v>113</v>
      </c>
      <c r="Q196" s="62" t="str">
        <f t="shared" si="57"/>
        <v/>
      </c>
      <c r="R196" s="48" t="s">
        <v>79</v>
      </c>
      <c r="S196" s="62" t="str">
        <f t="shared" si="58"/>
        <v xml:space="preserve"> </v>
      </c>
      <c r="T196" s="48" t="s">
        <v>79</v>
      </c>
      <c r="U196" s="62" t="str">
        <f t="shared" si="59"/>
        <v xml:space="preserve"> </v>
      </c>
      <c r="V196" s="51" t="s">
        <v>113</v>
      </c>
      <c r="W196" s="62" t="str">
        <f t="shared" si="60"/>
        <v/>
      </c>
      <c r="X196" s="48" t="s">
        <v>81</v>
      </c>
      <c r="Y196" s="62" t="str">
        <f t="shared" si="61"/>
        <v xml:space="preserve"> </v>
      </c>
      <c r="Z196" s="51" t="s">
        <v>113</v>
      </c>
      <c r="AA196" s="62" t="str">
        <f t="shared" si="62"/>
        <v/>
      </c>
      <c r="AB196" s="48" t="s">
        <v>81</v>
      </c>
      <c r="AC196" s="62" t="str">
        <f t="shared" si="63"/>
        <v xml:space="preserve"> </v>
      </c>
      <c r="AD196" s="48" t="s">
        <v>78</v>
      </c>
      <c r="AE196" s="62" t="str">
        <f t="shared" si="64"/>
        <v xml:space="preserve"> </v>
      </c>
      <c r="AF196" s="51" t="s">
        <v>105</v>
      </c>
      <c r="AG196" s="62" t="str">
        <f t="shared" si="65"/>
        <v xml:space="preserve"> </v>
      </c>
      <c r="AH196" s="48" t="s">
        <v>82</v>
      </c>
      <c r="AI196" s="62" t="str">
        <f t="shared" si="66"/>
        <v xml:space="preserve"> </v>
      </c>
      <c r="AJ196" s="31">
        <f>IF(AND(OR(COUNTIF(D196:AI196,"=31")&gt;=1,COUNTIF(D196:AI196,"=32")&gt;=1,COUNTIF(D196:AI196,"=33")&gt;=1,COUNTIF(D196:AI196,"=34")&gt;=1,COUNTIF(D196:AI196,"=35")=1,COUNTIF(D196:AI196,"=36")&gt;=1 ),COUNTIF(D196:AI196,"")=0,COUNTIF(D196:AI196," ")=0,COUNTIF(D196:AI196,"F")=1),CONCATENATE(SUM(EXTRACTNUMBER(D196),EXTRACTNUMBER(F196),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EXTRACTNUMBER(AD196),EXTRACTNUMBER(AF196),EXTRACTNUMBER(AH196)),"*"),IF(AND(COUNTIF(D196:AI196,"=34")&gt;=1,COUNTIF(D196:AI196,"=35")&gt;=1,COUNTIF(D196:AI196,"f")=2,COUNTIF(D196:AI196,"")=0,COUNTIF(D196:AI196," ")=0),CONCATENATE(SUM(EXTRACTNUMBER(D196),EXTRACTNUMBER(F196),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EXTRACTNUMBER(AD196),EXTRACTNUMBER(AF196),EXTRACTNUMBER(AH196)),"*"),IF(AND(COUNTIF(D196:AI196,"=36")&gt;=2,COUNTIF(D196:AI196,"f")=2,COUNTIF(D196:AI196,"")=0,COUNTIF(D196:AI196," ")=0),CONCATENATE(SUM(EXTRACTNUMBER(D196),EXTRACTNUMBER(F196),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EXTRACTNUMBER(AD196),EXTRACTNUMBER(AF196),EXTRACTNUMBER(AH196)),"*"),SUM(EXTRACTNUMBER(D196),EXTRACTNUMBER(F196),
EXTRACTNUMBER(H196),EXTRACTNUMBER(J196),
EXTRACTNUMBER(L196),EXTRACTNUMBER(N196),
EXTRACTNUMBER(P196),EXTRACTNUMBER(R196),
EXTRACTNUMBER(T196),EXTRACTNUMBER(V196),
EXTRACTNUMBER(X196),EXTRACTNUMBER(Z196),EXTRACTNUMBER(AB196),
EXTRACTNUMBER(AD196),EXTRACTNUMBER(AF196),EXTRACTNUMBER(AH196)))))</f>
        <v>366</v>
      </c>
      <c r="AK196" s="32" t="str">
        <f t="shared" si="67"/>
        <v>ABSENT</v>
      </c>
      <c r="AL196" s="33" t="str">
        <f>SPELLNUMBER(extractnumber_tot(AJ196))</f>
        <v xml:space="preserve">Three Hundred Sixty Six </v>
      </c>
    </row>
    <row r="197" spans="2:38" s="30" customFormat="1" ht="15.95" customHeight="1">
      <c r="B197" s="40">
        <v>225375</v>
      </c>
      <c r="C197" s="41" t="s">
        <v>381</v>
      </c>
      <c r="D197" s="45" t="s">
        <v>90</v>
      </c>
      <c r="E197" s="61" t="str">
        <f t="shared" si="51"/>
        <v xml:space="preserve"> </v>
      </c>
      <c r="F197" s="48" t="s">
        <v>79</v>
      </c>
      <c r="G197" s="62" t="str">
        <f t="shared" si="52"/>
        <v xml:space="preserve"> </v>
      </c>
      <c r="H197" s="48" t="s">
        <v>85</v>
      </c>
      <c r="I197" s="62" t="str">
        <f t="shared" si="53"/>
        <v xml:space="preserve"> </v>
      </c>
      <c r="J197" s="50" t="s">
        <v>88</v>
      </c>
      <c r="K197" s="62" t="str">
        <f t="shared" si="54"/>
        <v xml:space="preserve"> </v>
      </c>
      <c r="L197" s="48" t="s">
        <v>79</v>
      </c>
      <c r="M197" s="62" t="str">
        <f t="shared" si="55"/>
        <v xml:space="preserve"> </v>
      </c>
      <c r="N197" s="48" t="s">
        <v>88</v>
      </c>
      <c r="O197" s="62" t="str">
        <f t="shared" si="56"/>
        <v xml:space="preserve"> </v>
      </c>
      <c r="P197" s="51" t="s">
        <v>69</v>
      </c>
      <c r="Q197" s="62" t="str">
        <f t="shared" si="57"/>
        <v xml:space="preserve"> </v>
      </c>
      <c r="R197" s="48" t="s">
        <v>79</v>
      </c>
      <c r="S197" s="62" t="str">
        <f t="shared" si="58"/>
        <v xml:space="preserve"> </v>
      </c>
      <c r="T197" s="48" t="s">
        <v>79</v>
      </c>
      <c r="U197" s="62" t="str">
        <f t="shared" si="59"/>
        <v xml:space="preserve"> </v>
      </c>
      <c r="V197" s="51" t="s">
        <v>74</v>
      </c>
      <c r="W197" s="62" t="str">
        <f t="shared" si="60"/>
        <v xml:space="preserve"> </v>
      </c>
      <c r="X197" s="48" t="s">
        <v>79</v>
      </c>
      <c r="Y197" s="62" t="str">
        <f t="shared" si="61"/>
        <v xml:space="preserve"> </v>
      </c>
      <c r="Z197" s="51">
        <v>30</v>
      </c>
      <c r="AA197" s="62" t="str">
        <f t="shared" si="62"/>
        <v>F</v>
      </c>
      <c r="AB197" s="48" t="s">
        <v>79</v>
      </c>
      <c r="AC197" s="62" t="str">
        <f t="shared" si="63"/>
        <v xml:space="preserve"> </v>
      </c>
      <c r="AD197" s="48" t="s">
        <v>78</v>
      </c>
      <c r="AE197" s="62" t="str">
        <f t="shared" si="64"/>
        <v xml:space="preserve"> </v>
      </c>
      <c r="AF197" s="51" t="s">
        <v>109</v>
      </c>
      <c r="AG197" s="62" t="str">
        <f t="shared" si="65"/>
        <v xml:space="preserve"> </v>
      </c>
      <c r="AH197" s="48" t="s">
        <v>79</v>
      </c>
      <c r="AI197" s="62" t="str">
        <f t="shared" si="66"/>
        <v xml:space="preserve"> </v>
      </c>
      <c r="AJ197" s="31">
        <f>IF(AND(OR(COUNTIF(D197:AI197,"=31")&gt;=1,COUNTIF(D197:AI197,"=32")&gt;=1,COUNTIF(D197:AI197,"=33")&gt;=1,COUNTIF(D197:AI197,"=34")&gt;=1,COUNTIF(D197:AI197,"=35")=1,COUNTIF(D197:AI197,"=36")&gt;=1 ),COUNTIF(D197:AI197,"")=0,COUNTIF(D197:AI197," ")=0,COUNTIF(D197:AI197,"F")=1),CONCATENATE(SUM(EXTRACTNUMBER(D197),EXTRACTNUMBER(F197),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EXTRACTNUMBER(AD197),EXTRACTNUMBER(AF197),EXTRACTNUMBER(AH197)),"*"),IF(AND(COUNTIF(D197:AI197,"=34")&gt;=1,COUNTIF(D197:AI197,"=35")&gt;=1,COUNTIF(D197:AI197,"f")=2,COUNTIF(D197:AI197,"")=0,COUNTIF(D197:AI197," ")=0),CONCATENATE(SUM(EXTRACTNUMBER(D197),EXTRACTNUMBER(F197),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EXTRACTNUMBER(AD197),EXTRACTNUMBER(AF197),EXTRACTNUMBER(AH197)),"*"),IF(AND(COUNTIF(D197:AI197,"=36")&gt;=2,COUNTIF(D197:AI197,"f")=2,COUNTIF(D197:AI197,"")=0,COUNTIF(D197:AI197," ")=0),CONCATENATE(SUM(EXTRACTNUMBER(D197),EXTRACTNUMBER(F197),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EXTRACTNUMBER(AD197),EXTRACTNUMBER(AF197),EXTRACTNUMBER(AH197)),"*"),SUM(EXTRACTNUMBER(D197),EXTRACTNUMBER(F197),
EXTRACTNUMBER(H197),EXTRACTNUMBER(J197),
EXTRACTNUMBER(L197),EXTRACTNUMBER(N197),
EXTRACTNUMBER(P197),EXTRACTNUMBER(R197),
EXTRACTNUMBER(T197),EXTRACTNUMBER(V197),
EXTRACTNUMBER(X197),EXTRACTNUMBER(Z197),EXTRACTNUMBER(AB197),
EXTRACTNUMBER(AD197),EXTRACTNUMBER(AF197),EXTRACTNUMBER(AH197)))))</f>
        <v>477</v>
      </c>
      <c r="AK197" s="32" t="str">
        <f t="shared" si="67"/>
        <v>FAIL</v>
      </c>
      <c r="AL197" s="33" t="str">
        <f>SPELLNUMBER(extractnumber_tot(AJ197))</f>
        <v xml:space="preserve">Four Hundred Seventy Seven </v>
      </c>
    </row>
    <row r="198" spans="2:38" s="30" customFormat="1" ht="15.95" customHeight="1">
      <c r="B198" s="40">
        <v>225376</v>
      </c>
      <c r="C198" s="41" t="s">
        <v>40</v>
      </c>
      <c r="D198" s="45" t="s">
        <v>69</v>
      </c>
      <c r="E198" s="61" t="str">
        <f t="shared" si="51"/>
        <v xml:space="preserve"> </v>
      </c>
      <c r="F198" s="48" t="s">
        <v>81</v>
      </c>
      <c r="G198" s="62" t="str">
        <f t="shared" si="52"/>
        <v xml:space="preserve"> </v>
      </c>
      <c r="H198" s="48" t="s">
        <v>88</v>
      </c>
      <c r="I198" s="62" t="str">
        <f t="shared" si="53"/>
        <v xml:space="preserve"> </v>
      </c>
      <c r="J198" s="50" t="s">
        <v>69</v>
      </c>
      <c r="K198" s="62" t="str">
        <f t="shared" si="54"/>
        <v xml:space="preserve"> </v>
      </c>
      <c r="L198" s="48" t="s">
        <v>81</v>
      </c>
      <c r="M198" s="62" t="str">
        <f t="shared" si="55"/>
        <v xml:space="preserve"> </v>
      </c>
      <c r="N198" s="48" t="s">
        <v>93</v>
      </c>
      <c r="O198" s="62" t="str">
        <f t="shared" si="56"/>
        <v xml:space="preserve"> </v>
      </c>
      <c r="P198" s="51" t="s">
        <v>93</v>
      </c>
      <c r="Q198" s="62" t="str">
        <f t="shared" si="57"/>
        <v xml:space="preserve"> </v>
      </c>
      <c r="R198" s="48" t="s">
        <v>79</v>
      </c>
      <c r="S198" s="62" t="str">
        <f t="shared" si="58"/>
        <v xml:space="preserve"> </v>
      </c>
      <c r="T198" s="48" t="s">
        <v>82</v>
      </c>
      <c r="U198" s="62" t="str">
        <f t="shared" si="59"/>
        <v xml:space="preserve"> </v>
      </c>
      <c r="V198" s="51" t="s">
        <v>73</v>
      </c>
      <c r="W198" s="62" t="str">
        <f t="shared" si="60"/>
        <v xml:space="preserve"> </v>
      </c>
      <c r="X198" s="48" t="s">
        <v>81</v>
      </c>
      <c r="Y198" s="62" t="str">
        <f t="shared" si="61"/>
        <v xml:space="preserve"> </v>
      </c>
      <c r="Z198" s="51">
        <v>20</v>
      </c>
      <c r="AA198" s="62" t="str">
        <f t="shared" si="62"/>
        <v>F</v>
      </c>
      <c r="AB198" s="48" t="s">
        <v>81</v>
      </c>
      <c r="AC198" s="62" t="str">
        <f t="shared" si="63"/>
        <v xml:space="preserve"> </v>
      </c>
      <c r="AD198" s="48" t="s">
        <v>82</v>
      </c>
      <c r="AE198" s="62" t="str">
        <f t="shared" si="64"/>
        <v xml:space="preserve"> </v>
      </c>
      <c r="AF198" s="51" t="s">
        <v>110</v>
      </c>
      <c r="AG198" s="62" t="str">
        <f t="shared" si="65"/>
        <v xml:space="preserve"> </v>
      </c>
      <c r="AH198" s="48" t="s">
        <v>81</v>
      </c>
      <c r="AI198" s="62" t="str">
        <f t="shared" si="66"/>
        <v xml:space="preserve"> </v>
      </c>
      <c r="AJ198" s="31">
        <f>IF(AND(OR(COUNTIF(D198:AI198,"=31")&gt;=1,COUNTIF(D198:AI198,"=32")&gt;=1,COUNTIF(D198:AI198,"=33")&gt;=1,COUNTIF(D198:AI198,"=34")&gt;=1,COUNTIF(D198:AI198,"=35")=1,COUNTIF(D198:AI198,"=36")&gt;=1 ),COUNTIF(D198:AI198,"")=0,COUNTIF(D198:AI198," ")=0,COUNTIF(D198:AI198,"F")=1),CONCATENATE(SUM(EXTRACTNUMBER(D198),EXTRACTNUMBER(F198),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EXTRACTNUMBER(AD198),EXTRACTNUMBER(AF198),EXTRACTNUMBER(AH198)),"*"),IF(AND(COUNTIF(D198:AI198,"=34")&gt;=1,COUNTIF(D198:AI198,"=35")&gt;=1,COUNTIF(D198:AI198,"f")=2,COUNTIF(D198:AI198,"")=0,COUNTIF(D198:AI198," ")=0),CONCATENATE(SUM(EXTRACTNUMBER(D198),EXTRACTNUMBER(F198),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EXTRACTNUMBER(AD198),EXTRACTNUMBER(AF198),EXTRACTNUMBER(AH198)),"*"),IF(AND(COUNTIF(D198:AI198,"=36")&gt;=2,COUNTIF(D198:AI198,"f")=2,COUNTIF(D198:AI198,"")=0,COUNTIF(D198:AI198," ")=0),CONCATENATE(SUM(EXTRACTNUMBER(D198),EXTRACTNUMBER(F198),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EXTRACTNUMBER(AD198),EXTRACTNUMBER(AF198),EXTRACTNUMBER(AH198)),"*"),SUM(EXTRACTNUMBER(D198),EXTRACTNUMBER(F198),
EXTRACTNUMBER(H198),EXTRACTNUMBER(J198),
EXTRACTNUMBER(L198),EXTRACTNUMBER(N198),
EXTRACTNUMBER(P198),EXTRACTNUMBER(R198),
EXTRACTNUMBER(T198),EXTRACTNUMBER(V198),
EXTRACTNUMBER(X198),EXTRACTNUMBER(Z198),EXTRACTNUMBER(AB198),
EXTRACTNUMBER(AD198),EXTRACTNUMBER(AF198),EXTRACTNUMBER(AH198)))))</f>
        <v>474</v>
      </c>
      <c r="AK198" s="32" t="str">
        <f t="shared" si="67"/>
        <v>FAIL</v>
      </c>
      <c r="AL198" s="33" t="str">
        <f>SPELLNUMBER(extractnumber_tot(AJ198))</f>
        <v xml:space="preserve">Four Hundred Seventy Four </v>
      </c>
    </row>
    <row r="199" spans="2:38" s="30" customFormat="1" ht="15.95" customHeight="1">
      <c r="B199" s="40">
        <v>225377</v>
      </c>
      <c r="C199" s="41" t="s">
        <v>41</v>
      </c>
      <c r="D199" s="45" t="s">
        <v>69</v>
      </c>
      <c r="E199" s="61" t="str">
        <f t="shared" si="51"/>
        <v xml:space="preserve"> </v>
      </c>
      <c r="F199" s="48" t="s">
        <v>81</v>
      </c>
      <c r="G199" s="62" t="str">
        <f t="shared" si="52"/>
        <v xml:space="preserve"> </v>
      </c>
      <c r="H199" s="48" t="s">
        <v>69</v>
      </c>
      <c r="I199" s="62" t="str">
        <f t="shared" si="53"/>
        <v xml:space="preserve"> </v>
      </c>
      <c r="J199" s="50" t="s">
        <v>69</v>
      </c>
      <c r="K199" s="62" t="str">
        <f t="shared" si="54"/>
        <v xml:space="preserve"> </v>
      </c>
      <c r="L199" s="48" t="s">
        <v>81</v>
      </c>
      <c r="M199" s="62" t="str">
        <f t="shared" si="55"/>
        <v xml:space="preserve"> </v>
      </c>
      <c r="N199" s="48" t="s">
        <v>93</v>
      </c>
      <c r="O199" s="62" t="str">
        <f t="shared" si="56"/>
        <v xml:space="preserve"> </v>
      </c>
      <c r="P199" s="51">
        <v>40</v>
      </c>
      <c r="Q199" s="62" t="str">
        <f t="shared" si="57"/>
        <v>E</v>
      </c>
      <c r="R199" s="48" t="s">
        <v>76</v>
      </c>
      <c r="S199" s="62" t="str">
        <f t="shared" si="58"/>
        <v xml:space="preserve"> </v>
      </c>
      <c r="T199" s="48" t="s">
        <v>82</v>
      </c>
      <c r="U199" s="62" t="str">
        <f t="shared" si="59"/>
        <v xml:space="preserve"> </v>
      </c>
      <c r="V199" s="51">
        <v>15</v>
      </c>
      <c r="W199" s="62" t="str">
        <f t="shared" si="60"/>
        <v>F</v>
      </c>
      <c r="X199" s="48" t="s">
        <v>76</v>
      </c>
      <c r="Y199" s="62" t="str">
        <f t="shared" si="61"/>
        <v xml:space="preserve"> </v>
      </c>
      <c r="Z199" s="51" t="s">
        <v>69</v>
      </c>
      <c r="AA199" s="62" t="str">
        <f t="shared" si="62"/>
        <v xml:space="preserve"> </v>
      </c>
      <c r="AB199" s="48" t="s">
        <v>81</v>
      </c>
      <c r="AC199" s="62" t="str">
        <f t="shared" si="63"/>
        <v xml:space="preserve"> </v>
      </c>
      <c r="AD199" s="48" t="s">
        <v>78</v>
      </c>
      <c r="AE199" s="62" t="str">
        <f t="shared" si="64"/>
        <v xml:space="preserve"> </v>
      </c>
      <c r="AF199" s="51" t="s">
        <v>110</v>
      </c>
      <c r="AG199" s="62" t="str">
        <f t="shared" si="65"/>
        <v xml:space="preserve"> </v>
      </c>
      <c r="AH199" s="48" t="s">
        <v>76</v>
      </c>
      <c r="AI199" s="62" t="str">
        <f t="shared" si="66"/>
        <v xml:space="preserve"> </v>
      </c>
      <c r="AJ199" s="31">
        <f>IF(AND(OR(COUNTIF(D199:AI199,"=31")&gt;=1,COUNTIF(D199:AI199,"=32")&gt;=1,COUNTIF(D199:AI199,"=33")&gt;=1,COUNTIF(D199:AI199,"=34")&gt;=1,COUNTIF(D199:AI199,"=35")=1,COUNTIF(D199:AI199,"=36")&gt;=1 ),COUNTIF(D199:AI199,"")=0,COUNTIF(D199:AI199," ")=0,COUNTIF(D199:AI199,"F")=1),CONCATENATE(SUM(EXTRACTNUMBER(D199),EXTRACTNUMBER(F199),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EXTRACTNUMBER(AD199),EXTRACTNUMBER(AF199),EXTRACTNUMBER(AH199)),"*"),IF(AND(COUNTIF(D199:AI199,"=34")&gt;=1,COUNTIF(D199:AI199,"=35")&gt;=1,COUNTIF(D199:AI199,"f")=2,COUNTIF(D199:AI199,"")=0,COUNTIF(D199:AI199," ")=0),CONCATENATE(SUM(EXTRACTNUMBER(D199),EXTRACTNUMBER(F199),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EXTRACTNUMBER(AD199),EXTRACTNUMBER(AF199),EXTRACTNUMBER(AH199)),"*"),IF(AND(COUNTIF(D199:AI199,"=36")&gt;=2,COUNTIF(D199:AI199,"f")=2,COUNTIF(D199:AI199,"")=0,COUNTIF(D199:AI199," ")=0),CONCATENATE(SUM(EXTRACTNUMBER(D199),EXTRACTNUMBER(F199),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EXTRACTNUMBER(AD199),EXTRACTNUMBER(AF199),EXTRACTNUMBER(AH199)),"*"),SUM(EXTRACTNUMBER(D199),EXTRACTNUMBER(F199),
EXTRACTNUMBER(H199),EXTRACTNUMBER(J199),
EXTRACTNUMBER(L199),EXTRACTNUMBER(N199),
EXTRACTNUMBER(P199),EXTRACTNUMBER(R199),
EXTRACTNUMBER(T199),EXTRACTNUMBER(V199),
EXTRACTNUMBER(X199),EXTRACTNUMBER(Z199),EXTRACTNUMBER(AB199),
EXTRACTNUMBER(AD199),EXTRACTNUMBER(AF199),EXTRACTNUMBER(AH199)))))</f>
        <v>462</v>
      </c>
      <c r="AK199" s="32" t="str">
        <f t="shared" si="67"/>
        <v>FAIL</v>
      </c>
      <c r="AL199" s="33" t="str">
        <f>SPELLNUMBER(extractnumber_tot(AJ199))</f>
        <v xml:space="preserve">Four Hundred Sixty Two </v>
      </c>
    </row>
    <row r="200" spans="2:38" s="30" customFormat="1" ht="15.95" customHeight="1">
      <c r="B200" s="40">
        <v>225378</v>
      </c>
      <c r="C200" s="41" t="s">
        <v>48</v>
      </c>
      <c r="D200" s="45" t="s">
        <v>70</v>
      </c>
      <c r="E200" s="61" t="str">
        <f t="shared" si="51"/>
        <v xml:space="preserve"> </v>
      </c>
      <c r="F200" s="48" t="s">
        <v>79</v>
      </c>
      <c r="G200" s="62" t="str">
        <f t="shared" si="52"/>
        <v xml:space="preserve"> </v>
      </c>
      <c r="H200" s="48" t="s">
        <v>72</v>
      </c>
      <c r="I200" s="62" t="str">
        <f t="shared" si="53"/>
        <v xml:space="preserve"> </v>
      </c>
      <c r="J200" s="50" t="s">
        <v>91</v>
      </c>
      <c r="K200" s="62" t="str">
        <f t="shared" si="54"/>
        <v xml:space="preserve"> </v>
      </c>
      <c r="L200" s="48" t="s">
        <v>95</v>
      </c>
      <c r="M200" s="62" t="str">
        <f t="shared" si="55"/>
        <v xml:space="preserve"> </v>
      </c>
      <c r="N200" s="48" t="s">
        <v>69</v>
      </c>
      <c r="O200" s="62" t="str">
        <f t="shared" si="56"/>
        <v xml:space="preserve"> </v>
      </c>
      <c r="P200" s="51" t="s">
        <v>97</v>
      </c>
      <c r="Q200" s="62" t="str">
        <f t="shared" si="57"/>
        <v xml:space="preserve"> </v>
      </c>
      <c r="R200" s="48" t="s">
        <v>81</v>
      </c>
      <c r="S200" s="62" t="str">
        <f t="shared" si="58"/>
        <v xml:space="preserve"> </v>
      </c>
      <c r="T200" s="48" t="s">
        <v>81</v>
      </c>
      <c r="U200" s="62" t="str">
        <f t="shared" si="59"/>
        <v xml:space="preserve"> </v>
      </c>
      <c r="V200" s="51">
        <v>48</v>
      </c>
      <c r="W200" s="62" t="str">
        <f t="shared" si="60"/>
        <v/>
      </c>
      <c r="X200" s="48" t="s">
        <v>101</v>
      </c>
      <c r="Y200" s="62" t="str">
        <f t="shared" si="61"/>
        <v xml:space="preserve"> </v>
      </c>
      <c r="Z200" s="51" t="s">
        <v>69</v>
      </c>
      <c r="AA200" s="62" t="str">
        <f t="shared" si="62"/>
        <v xml:space="preserve"> </v>
      </c>
      <c r="AB200" s="48" t="s">
        <v>83</v>
      </c>
      <c r="AC200" s="62" t="str">
        <f t="shared" si="63"/>
        <v xml:space="preserve"> </v>
      </c>
      <c r="AD200" s="48" t="s">
        <v>79</v>
      </c>
      <c r="AE200" s="62" t="str">
        <f t="shared" si="64"/>
        <v xml:space="preserve"> </v>
      </c>
      <c r="AF200" s="51" t="s">
        <v>81</v>
      </c>
      <c r="AG200" s="62" t="str">
        <f t="shared" si="65"/>
        <v xml:space="preserve"> </v>
      </c>
      <c r="AH200" s="48" t="s">
        <v>79</v>
      </c>
      <c r="AI200" s="62" t="str">
        <f t="shared" si="66"/>
        <v xml:space="preserve"> </v>
      </c>
      <c r="AJ200" s="31">
        <f>IF(AND(OR(COUNTIF(D200:AI200,"=31")&gt;=1,COUNTIF(D200:AI200,"=32")&gt;=1,COUNTIF(D200:AI200,"=33")&gt;=1,COUNTIF(D200:AI200,"=34")&gt;=1,COUNTIF(D200:AI200,"=35")=1,COUNTIF(D200:AI200,"=36")&gt;=1 ),COUNTIF(D200:AI200,"")=0,COUNTIF(D200:AI200," ")=0,COUNTIF(D200:AI200,"F")=1),CONCATENATE(SUM(EXTRACTNUMBER(D200),EXTRACTNUMBER(F200),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EXTRACTNUMBER(AD200),EXTRACTNUMBER(AF200),EXTRACTNUMBER(AH200)),"*"),IF(AND(COUNTIF(D200:AI200,"=34")&gt;=1,COUNTIF(D200:AI200,"=35")&gt;=1,COUNTIF(D200:AI200,"f")=2,COUNTIF(D200:AI200,"")=0,COUNTIF(D200:AI200," ")=0),CONCATENATE(SUM(EXTRACTNUMBER(D200),EXTRACTNUMBER(F200),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EXTRACTNUMBER(AD200),EXTRACTNUMBER(AF200),EXTRACTNUMBER(AH200)),"*"),IF(AND(COUNTIF(D200:AI200,"=36")&gt;=2,COUNTIF(D200:AI200,"f")=2,COUNTIF(D200:AI200,"")=0,COUNTIF(D200:AI200," ")=0),CONCATENATE(SUM(EXTRACTNUMBER(D200),EXTRACTNUMBER(F200),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EXTRACTNUMBER(AD200),EXTRACTNUMBER(AF200),EXTRACTNUMBER(AH200)),"*"),SUM(EXTRACTNUMBER(D200),EXTRACTNUMBER(F200),
EXTRACTNUMBER(H200),EXTRACTNUMBER(J200),
EXTRACTNUMBER(L200),EXTRACTNUMBER(N200),
EXTRACTNUMBER(P200),EXTRACTNUMBER(R200),
EXTRACTNUMBER(T200),EXTRACTNUMBER(V200),
EXTRACTNUMBER(X200),EXTRACTNUMBER(Z200),EXTRACTNUMBER(AB200),
EXTRACTNUMBER(AD200),EXTRACTNUMBER(AF200),EXTRACTNUMBER(AH200)))))</f>
        <v>500</v>
      </c>
      <c r="AK200" s="32" t="str">
        <f t="shared" si="67"/>
        <v>PASS</v>
      </c>
      <c r="AL200" s="33" t="str">
        <f>SPELLNUMBER(extractnumber_tot(AJ200))</f>
        <v xml:space="preserve">Five Hundred  </v>
      </c>
    </row>
    <row r="201" spans="2:38" s="30" customFormat="1" ht="15.95" customHeight="1">
      <c r="B201" s="40">
        <v>225379</v>
      </c>
      <c r="C201" s="41" t="s">
        <v>50</v>
      </c>
      <c r="D201" s="45" t="s">
        <v>92</v>
      </c>
      <c r="E201" s="61" t="str">
        <f t="shared" si="51"/>
        <v xml:space="preserve"> </v>
      </c>
      <c r="F201" s="48" t="s">
        <v>82</v>
      </c>
      <c r="G201" s="62" t="str">
        <f t="shared" si="52"/>
        <v xml:space="preserve"> </v>
      </c>
      <c r="H201" s="48" t="s">
        <v>88</v>
      </c>
      <c r="I201" s="62" t="str">
        <f t="shared" si="53"/>
        <v xml:space="preserve"> </v>
      </c>
      <c r="J201" s="50" t="s">
        <v>69</v>
      </c>
      <c r="K201" s="62" t="str">
        <f t="shared" si="54"/>
        <v xml:space="preserve"> </v>
      </c>
      <c r="L201" s="48" t="s">
        <v>79</v>
      </c>
      <c r="M201" s="62" t="str">
        <f t="shared" si="55"/>
        <v xml:space="preserve"> </v>
      </c>
      <c r="N201" s="48" t="s">
        <v>69</v>
      </c>
      <c r="O201" s="62" t="str">
        <f t="shared" si="56"/>
        <v xml:space="preserve"> </v>
      </c>
      <c r="P201" s="51" t="s">
        <v>97</v>
      </c>
      <c r="Q201" s="62" t="str">
        <f t="shared" si="57"/>
        <v xml:space="preserve"> </v>
      </c>
      <c r="R201" s="48" t="s">
        <v>79</v>
      </c>
      <c r="S201" s="62" t="str">
        <f t="shared" si="58"/>
        <v xml:space="preserve"> </v>
      </c>
      <c r="T201" s="48" t="s">
        <v>82</v>
      </c>
      <c r="U201" s="62" t="str">
        <f t="shared" si="59"/>
        <v xml:space="preserve"> </v>
      </c>
      <c r="V201" s="51">
        <v>41</v>
      </c>
      <c r="W201" s="62" t="str">
        <f t="shared" si="60"/>
        <v>E</v>
      </c>
      <c r="X201" s="48" t="s">
        <v>82</v>
      </c>
      <c r="Y201" s="62" t="str">
        <f t="shared" si="61"/>
        <v xml:space="preserve"> </v>
      </c>
      <c r="Z201" s="51">
        <v>5</v>
      </c>
      <c r="AA201" s="62" t="str">
        <f t="shared" si="62"/>
        <v>F</v>
      </c>
      <c r="AB201" s="48" t="s">
        <v>82</v>
      </c>
      <c r="AC201" s="62" t="str">
        <f t="shared" si="63"/>
        <v xml:space="preserve"> </v>
      </c>
      <c r="AD201" s="48" t="s">
        <v>79</v>
      </c>
      <c r="AE201" s="62" t="str">
        <f t="shared" si="64"/>
        <v xml:space="preserve"> </v>
      </c>
      <c r="AF201" s="51" t="s">
        <v>109</v>
      </c>
      <c r="AG201" s="62" t="str">
        <f t="shared" si="65"/>
        <v xml:space="preserve"> </v>
      </c>
      <c r="AH201" s="48" t="s">
        <v>79</v>
      </c>
      <c r="AI201" s="62" t="str">
        <f t="shared" si="66"/>
        <v xml:space="preserve"> </v>
      </c>
      <c r="AJ201" s="31">
        <f>IF(AND(OR(COUNTIF(D201:AI201,"=31")&gt;=1,COUNTIF(D201:AI201,"=32")&gt;=1,COUNTIF(D201:AI201,"=33")&gt;=1,COUNTIF(D201:AI201,"=34")&gt;=1,COUNTIF(D201:AI201,"=35")=1,COUNTIF(D201:AI201,"=36")&gt;=1 ),COUNTIF(D201:AI201,"")=0,COUNTIF(D201:AI201," ")=0,COUNTIF(D201:AI201,"F")=1),CONCATENATE(SUM(EXTRACTNUMBER(D201),EXTRACTNUMBER(F201),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EXTRACTNUMBER(AD201),EXTRACTNUMBER(AF201),EXTRACTNUMBER(AH201)),"*"),IF(AND(COUNTIF(D201:AI201,"=34")&gt;=1,COUNTIF(D201:AI201,"=35")&gt;=1,COUNTIF(D201:AI201,"f")=2,COUNTIF(D201:AI201,"")=0,COUNTIF(D201:AI201," ")=0),CONCATENATE(SUM(EXTRACTNUMBER(D201),EXTRACTNUMBER(F201),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EXTRACTNUMBER(AD201),EXTRACTNUMBER(AF201),EXTRACTNUMBER(AH201)),"*"),IF(AND(COUNTIF(D201:AI201,"=36")&gt;=2,COUNTIF(D201:AI201,"f")=2,COUNTIF(D201:AI201,"")=0,COUNTIF(D201:AI201," ")=0),CONCATENATE(SUM(EXTRACTNUMBER(D201),EXTRACTNUMBER(F201),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EXTRACTNUMBER(AD201),EXTRACTNUMBER(AF201),EXTRACTNUMBER(AH201)),"*"),SUM(EXTRACTNUMBER(D201),EXTRACTNUMBER(F201),
EXTRACTNUMBER(H201),EXTRACTNUMBER(J201),
EXTRACTNUMBER(L201),EXTRACTNUMBER(N201),
EXTRACTNUMBER(P201),EXTRACTNUMBER(R201),
EXTRACTNUMBER(T201),EXTRACTNUMBER(V201),
EXTRACTNUMBER(X201),EXTRACTNUMBER(Z201),EXTRACTNUMBER(AB201),
EXTRACTNUMBER(AD201),EXTRACTNUMBER(AF201),EXTRACTNUMBER(AH201)))))</f>
        <v>468</v>
      </c>
      <c r="AK201" s="32" t="str">
        <f t="shared" si="67"/>
        <v>FAIL</v>
      </c>
      <c r="AL201" s="33" t="str">
        <f>SPELLNUMBER(extractnumber_tot(AJ201))</f>
        <v xml:space="preserve">Four Hundred Sixty Eight </v>
      </c>
    </row>
    <row r="202" spans="2:38" s="30" customFormat="1" ht="15.95" customHeight="1">
      <c r="B202" s="40">
        <v>225380</v>
      </c>
      <c r="C202" s="41" t="s">
        <v>51</v>
      </c>
      <c r="D202" s="45" t="s">
        <v>69</v>
      </c>
      <c r="E202" s="61" t="str">
        <f t="shared" si="51"/>
        <v xml:space="preserve"> </v>
      </c>
      <c r="F202" s="48" t="s">
        <v>76</v>
      </c>
      <c r="G202" s="62" t="str">
        <f t="shared" si="52"/>
        <v xml:space="preserve"> </v>
      </c>
      <c r="H202" s="48" t="s">
        <v>72</v>
      </c>
      <c r="I202" s="62" t="str">
        <f t="shared" si="53"/>
        <v xml:space="preserve"> </v>
      </c>
      <c r="J202" s="50" t="s">
        <v>69</v>
      </c>
      <c r="K202" s="62" t="str">
        <f t="shared" si="54"/>
        <v xml:space="preserve"> </v>
      </c>
      <c r="L202" s="48" t="s">
        <v>81</v>
      </c>
      <c r="M202" s="62" t="str">
        <f t="shared" si="55"/>
        <v xml:space="preserve"> </v>
      </c>
      <c r="N202" s="48" t="s">
        <v>72</v>
      </c>
      <c r="O202" s="62" t="str">
        <f t="shared" si="56"/>
        <v xml:space="preserve"> </v>
      </c>
      <c r="P202" s="51">
        <v>6</v>
      </c>
      <c r="Q202" s="62" t="str">
        <f t="shared" si="57"/>
        <v>F</v>
      </c>
      <c r="R202" s="48" t="s">
        <v>79</v>
      </c>
      <c r="S202" s="62" t="str">
        <f t="shared" si="58"/>
        <v xml:space="preserve"> </v>
      </c>
      <c r="T202" s="48" t="s">
        <v>82</v>
      </c>
      <c r="U202" s="62" t="str">
        <f t="shared" si="59"/>
        <v xml:space="preserve"> </v>
      </c>
      <c r="V202" s="51">
        <v>32</v>
      </c>
      <c r="W202" s="62" t="str">
        <f t="shared" si="60"/>
        <v>F</v>
      </c>
      <c r="X202" s="48" t="s">
        <v>76</v>
      </c>
      <c r="Y202" s="62" t="str">
        <f t="shared" si="61"/>
        <v xml:space="preserve"> </v>
      </c>
      <c r="Z202" s="51" t="s">
        <v>72</v>
      </c>
      <c r="AA202" s="62" t="str">
        <f t="shared" si="62"/>
        <v xml:space="preserve"> </v>
      </c>
      <c r="AB202" s="48" t="s">
        <v>76</v>
      </c>
      <c r="AC202" s="62" t="str">
        <f t="shared" si="63"/>
        <v xml:space="preserve"> </v>
      </c>
      <c r="AD202" s="48" t="s">
        <v>76</v>
      </c>
      <c r="AE202" s="62" t="str">
        <f t="shared" si="64"/>
        <v xml:space="preserve"> </v>
      </c>
      <c r="AF202" s="51" t="s">
        <v>84</v>
      </c>
      <c r="AG202" s="62" t="str">
        <f t="shared" si="65"/>
        <v xml:space="preserve"> </v>
      </c>
      <c r="AH202" s="48" t="s">
        <v>76</v>
      </c>
      <c r="AI202" s="62" t="str">
        <f t="shared" si="66"/>
        <v xml:space="preserve"> </v>
      </c>
      <c r="AJ202" s="31">
        <f>IF(AND(OR(COUNTIF(D202:AI202,"=31")&gt;=1,COUNTIF(D202:AI202,"=32")&gt;=1,COUNTIF(D202:AI202,"=33")&gt;=1,COUNTIF(D202:AI202,"=34")&gt;=1,COUNTIF(D202:AI202,"=35")=1,COUNTIF(D202:AI202,"=36")&gt;=1 ),COUNTIF(D202:AI202,"")=0,COUNTIF(D202:AI202," ")=0,COUNTIF(D202:AI202,"F")=1),CONCATENATE(SUM(EXTRACTNUMBER(D202),EXTRACTNUMBER(F202),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EXTRACTNUMBER(AD202),EXTRACTNUMBER(AF202),EXTRACTNUMBER(AH202)),"*"),IF(AND(COUNTIF(D202:AI202,"=34")&gt;=1,COUNTIF(D202:AI202,"=35")&gt;=1,COUNTIF(D202:AI202,"f")=2,COUNTIF(D202:AI202,"")=0,COUNTIF(D202:AI202," ")=0),CONCATENATE(SUM(EXTRACTNUMBER(D202),EXTRACTNUMBER(F202),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EXTRACTNUMBER(AD202),EXTRACTNUMBER(AF202),EXTRACTNUMBER(AH202)),"*"),IF(AND(COUNTIF(D202:AI202,"=36")&gt;=2,COUNTIF(D202:AI202,"f")=2,COUNTIF(D202:AI202,"")=0,COUNTIF(D202:AI202," ")=0),CONCATENATE(SUM(EXTRACTNUMBER(D202),EXTRACTNUMBER(F202),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EXTRACTNUMBER(AD202),EXTRACTNUMBER(AF202),EXTRACTNUMBER(AH202)),"*"),SUM(EXTRACTNUMBER(D202),EXTRACTNUMBER(F202),
EXTRACTNUMBER(H202),EXTRACTNUMBER(J202),
EXTRACTNUMBER(L202),EXTRACTNUMBER(N202),
EXTRACTNUMBER(P202),EXTRACTNUMBER(R202),
EXTRACTNUMBER(T202),EXTRACTNUMBER(V202),
EXTRACTNUMBER(X202),EXTRACTNUMBER(Z202),EXTRACTNUMBER(AB202),
EXTRACTNUMBER(AD202),EXTRACTNUMBER(AF202),EXTRACTNUMBER(AH202)))))</f>
        <v>456</v>
      </c>
      <c r="AK202" s="32" t="str">
        <f t="shared" si="67"/>
        <v>FAIL</v>
      </c>
      <c r="AL202" s="33" t="str">
        <f>SPELLNUMBER(extractnumber_tot(AJ202))</f>
        <v xml:space="preserve">Four Hundred Fifty Six </v>
      </c>
    </row>
    <row r="203" spans="2:38" s="30" customFormat="1" ht="15.95" customHeight="1">
      <c r="B203" s="40">
        <v>225381</v>
      </c>
      <c r="C203" s="41" t="s">
        <v>52</v>
      </c>
      <c r="D203" s="45" t="s">
        <v>72</v>
      </c>
      <c r="E203" s="61" t="str">
        <f t="shared" si="51"/>
        <v xml:space="preserve"> </v>
      </c>
      <c r="F203" s="48" t="s">
        <v>81</v>
      </c>
      <c r="G203" s="62" t="str">
        <f t="shared" si="52"/>
        <v xml:space="preserve"> </v>
      </c>
      <c r="H203" s="48" t="s">
        <v>73</v>
      </c>
      <c r="I203" s="62" t="str">
        <f t="shared" si="53"/>
        <v xml:space="preserve"> </v>
      </c>
      <c r="J203" s="50" t="s">
        <v>70</v>
      </c>
      <c r="K203" s="62" t="str">
        <f t="shared" si="54"/>
        <v xml:space="preserve"> </v>
      </c>
      <c r="L203" s="48" t="s">
        <v>94</v>
      </c>
      <c r="M203" s="62" t="str">
        <f t="shared" si="55"/>
        <v xml:space="preserve"> </v>
      </c>
      <c r="N203" s="48" t="s">
        <v>87</v>
      </c>
      <c r="O203" s="62" t="str">
        <f t="shared" si="56"/>
        <v xml:space="preserve"> </v>
      </c>
      <c r="P203" s="51" t="s">
        <v>93</v>
      </c>
      <c r="Q203" s="62" t="str">
        <f t="shared" si="57"/>
        <v xml:space="preserve"> </v>
      </c>
      <c r="R203" s="48" t="s">
        <v>82</v>
      </c>
      <c r="S203" s="62" t="str">
        <f t="shared" si="58"/>
        <v xml:space="preserve"> </v>
      </c>
      <c r="T203" s="48" t="s">
        <v>82</v>
      </c>
      <c r="U203" s="62" t="str">
        <f t="shared" si="59"/>
        <v xml:space="preserve"> </v>
      </c>
      <c r="V203" s="51" t="s">
        <v>113</v>
      </c>
      <c r="W203" s="62" t="str">
        <f t="shared" si="60"/>
        <v/>
      </c>
      <c r="X203" s="48" t="s">
        <v>95</v>
      </c>
      <c r="Y203" s="62" t="str">
        <f t="shared" si="61"/>
        <v xml:space="preserve"> </v>
      </c>
      <c r="Z203" s="51" t="s">
        <v>69</v>
      </c>
      <c r="AA203" s="62" t="str">
        <f t="shared" si="62"/>
        <v xml:space="preserve"> </v>
      </c>
      <c r="AB203" s="48" t="s">
        <v>77</v>
      </c>
      <c r="AC203" s="62" t="str">
        <f t="shared" si="63"/>
        <v xml:space="preserve"> </v>
      </c>
      <c r="AD203" s="48" t="s">
        <v>77</v>
      </c>
      <c r="AE203" s="62" t="str">
        <f t="shared" si="64"/>
        <v xml:space="preserve"> </v>
      </c>
      <c r="AF203" s="51" t="s">
        <v>79</v>
      </c>
      <c r="AG203" s="62" t="str">
        <f t="shared" si="65"/>
        <v xml:space="preserve"> </v>
      </c>
      <c r="AH203" s="48" t="s">
        <v>95</v>
      </c>
      <c r="AI203" s="62" t="str">
        <f t="shared" si="66"/>
        <v xml:space="preserve"> </v>
      </c>
      <c r="AJ203" s="31">
        <f>IF(AND(OR(COUNTIF(D203:AI203,"=31")&gt;=1,COUNTIF(D203:AI203,"=32")&gt;=1,COUNTIF(D203:AI203,"=33")&gt;=1,COUNTIF(D203:AI203,"=34")&gt;=1,COUNTIF(D203:AI203,"=35")=1,COUNTIF(D203:AI203,"=36")&gt;=1 ),COUNTIF(D203:AI203,"")=0,COUNTIF(D203:AI203," ")=0,COUNTIF(D203:AI203,"F")=1),CONCATENATE(SUM(EXTRACTNUMBER(D203),EXTRACTNUMBER(F203),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EXTRACTNUMBER(AD203),EXTRACTNUMBER(AF203),EXTRACTNUMBER(AH203)),"*"),IF(AND(COUNTIF(D203:AI203,"=34")&gt;=1,COUNTIF(D203:AI203,"=35")&gt;=1,COUNTIF(D203:AI203,"f")=2,COUNTIF(D203:AI203,"")=0,COUNTIF(D203:AI203," ")=0),CONCATENATE(SUM(EXTRACTNUMBER(D203),EXTRACTNUMBER(F203),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EXTRACTNUMBER(AD203),EXTRACTNUMBER(AF203),EXTRACTNUMBER(AH203)),"*"),IF(AND(COUNTIF(D203:AI203,"=36")&gt;=2,COUNTIF(D203:AI203,"f")=2,COUNTIF(D203:AI203,"")=0,COUNTIF(D203:AI203," ")=0),CONCATENATE(SUM(EXTRACTNUMBER(D203),EXTRACTNUMBER(F203),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EXTRACTNUMBER(AD203),EXTRACTNUMBER(AF203),EXTRACTNUMBER(AH203)),"*"),SUM(EXTRACTNUMBER(D203),EXTRACTNUMBER(F203),
EXTRACTNUMBER(H203),EXTRACTNUMBER(J203),
EXTRACTNUMBER(L203),EXTRACTNUMBER(N203),
EXTRACTNUMBER(P203),EXTRACTNUMBER(R203),
EXTRACTNUMBER(T203),EXTRACTNUMBER(V203),
EXTRACTNUMBER(X203),EXTRACTNUMBER(Z203),EXTRACTNUMBER(AB203),
EXTRACTNUMBER(AD203),EXTRACTNUMBER(AF203),EXTRACTNUMBER(AH203)))))</f>
        <v>429</v>
      </c>
      <c r="AK203" s="32" t="str">
        <f t="shared" si="67"/>
        <v>ABSENT</v>
      </c>
      <c r="AL203" s="33" t="str">
        <f>SPELLNUMBER(extractnumber_tot(AJ203))</f>
        <v xml:space="preserve">Four Hundred Twenty Nine </v>
      </c>
    </row>
    <row r="204" spans="2:38" s="30" customFormat="1" ht="15.95" customHeight="1">
      <c r="B204" s="40">
        <v>225382</v>
      </c>
      <c r="C204" s="41" t="s">
        <v>54</v>
      </c>
      <c r="D204" s="45" t="s">
        <v>69</v>
      </c>
      <c r="E204" s="61" t="str">
        <f t="shared" si="51"/>
        <v xml:space="preserve"> </v>
      </c>
      <c r="F204" s="48" t="s">
        <v>76</v>
      </c>
      <c r="G204" s="62" t="str">
        <f t="shared" si="52"/>
        <v xml:space="preserve"> </v>
      </c>
      <c r="H204" s="48" t="s">
        <v>88</v>
      </c>
      <c r="I204" s="62" t="str">
        <f t="shared" si="53"/>
        <v xml:space="preserve"> </v>
      </c>
      <c r="J204" s="50" t="s">
        <v>69</v>
      </c>
      <c r="K204" s="62" t="str">
        <f t="shared" si="54"/>
        <v xml:space="preserve"> </v>
      </c>
      <c r="L204" s="48" t="s">
        <v>81</v>
      </c>
      <c r="M204" s="62" t="str">
        <f t="shared" si="55"/>
        <v xml:space="preserve"> </v>
      </c>
      <c r="N204" s="48" t="s">
        <v>72</v>
      </c>
      <c r="O204" s="62" t="str">
        <f t="shared" si="56"/>
        <v xml:space="preserve"> </v>
      </c>
      <c r="P204" s="51" t="s">
        <v>72</v>
      </c>
      <c r="Q204" s="62" t="str">
        <f t="shared" si="57"/>
        <v xml:space="preserve"> </v>
      </c>
      <c r="R204" s="48" t="s">
        <v>76</v>
      </c>
      <c r="S204" s="62" t="str">
        <f t="shared" si="58"/>
        <v xml:space="preserve"> </v>
      </c>
      <c r="T204" s="48" t="s">
        <v>82</v>
      </c>
      <c r="U204" s="62" t="str">
        <f t="shared" si="59"/>
        <v xml:space="preserve"> </v>
      </c>
      <c r="V204" s="51">
        <v>55</v>
      </c>
      <c r="W204" s="62" t="str">
        <f t="shared" si="60"/>
        <v/>
      </c>
      <c r="X204" s="48" t="s">
        <v>76</v>
      </c>
      <c r="Y204" s="62" t="str">
        <f t="shared" si="61"/>
        <v xml:space="preserve"> </v>
      </c>
      <c r="Z204" s="51" t="s">
        <v>69</v>
      </c>
      <c r="AA204" s="62" t="str">
        <f t="shared" si="62"/>
        <v xml:space="preserve"> </v>
      </c>
      <c r="AB204" s="48" t="s">
        <v>76</v>
      </c>
      <c r="AC204" s="62" t="str">
        <f t="shared" si="63"/>
        <v xml:space="preserve"> </v>
      </c>
      <c r="AD204" s="48" t="s">
        <v>79</v>
      </c>
      <c r="AE204" s="62" t="str">
        <f t="shared" si="64"/>
        <v xml:space="preserve"> </v>
      </c>
      <c r="AF204" s="51" t="s">
        <v>106</v>
      </c>
      <c r="AG204" s="62" t="str">
        <f t="shared" si="65"/>
        <v xml:space="preserve"> </v>
      </c>
      <c r="AH204" s="48" t="s">
        <v>76</v>
      </c>
      <c r="AI204" s="62" t="str">
        <f t="shared" si="66"/>
        <v xml:space="preserve"> </v>
      </c>
      <c r="AJ204" s="31">
        <f>IF(AND(OR(COUNTIF(D204:AI204,"=31")&gt;=1,COUNTIF(D204:AI204,"=32")&gt;=1,COUNTIF(D204:AI204,"=33")&gt;=1,COUNTIF(D204:AI204,"=34")&gt;=1,COUNTIF(D204:AI204,"=35")=1,COUNTIF(D204:AI204,"=36")&gt;=1 ),COUNTIF(D204:AI204,"")=0,COUNTIF(D204:AI204," ")=0,COUNTIF(D204:AI204,"F")=1),CONCATENATE(SUM(EXTRACTNUMBER(D204),EXTRACTNUMBER(F204),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EXTRACTNUMBER(AD204),EXTRACTNUMBER(AF204),EXTRACTNUMBER(AH204)),"*"),IF(AND(COUNTIF(D204:AI204,"=34")&gt;=1,COUNTIF(D204:AI204,"=35")&gt;=1,COUNTIF(D204:AI204,"f")=2,COUNTIF(D204:AI204,"")=0,COUNTIF(D204:AI204," ")=0),CONCATENATE(SUM(EXTRACTNUMBER(D204),EXTRACTNUMBER(F204),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EXTRACTNUMBER(AD204),EXTRACTNUMBER(AF204),EXTRACTNUMBER(AH204)),"*"),IF(AND(COUNTIF(D204:AI204,"=36")&gt;=2,COUNTIF(D204:AI204,"f")=2,COUNTIF(D204:AI204,"")=0,COUNTIF(D204:AI204," ")=0),CONCATENATE(SUM(EXTRACTNUMBER(D204),EXTRACTNUMBER(F204),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EXTRACTNUMBER(AD204),EXTRACTNUMBER(AF204),EXTRACTNUMBER(AH204)),"*"),SUM(EXTRACTNUMBER(D204),EXTRACTNUMBER(F204),
EXTRACTNUMBER(H204),EXTRACTNUMBER(J204),
EXTRACTNUMBER(L204),EXTRACTNUMBER(N204),
EXTRACTNUMBER(P204),EXTRACTNUMBER(R204),
EXTRACTNUMBER(T204),EXTRACTNUMBER(V204),
EXTRACTNUMBER(X204),EXTRACTNUMBER(Z204),EXTRACTNUMBER(AB204),
EXTRACTNUMBER(AD204),EXTRACTNUMBER(AF204),EXTRACTNUMBER(AH204)))))</f>
        <v>510</v>
      </c>
      <c r="AK204" s="32" t="str">
        <f t="shared" si="67"/>
        <v>PASS</v>
      </c>
      <c r="AL204" s="33" t="str">
        <f>SPELLNUMBER(extractnumber_tot(AJ204))</f>
        <v xml:space="preserve">Five Hundred Ten </v>
      </c>
    </row>
    <row r="205" spans="2:38" s="30" customFormat="1" ht="15.95" customHeight="1">
      <c r="B205" s="40">
        <v>225383</v>
      </c>
      <c r="C205" s="41" t="s">
        <v>55</v>
      </c>
      <c r="D205" s="45" t="s">
        <v>69</v>
      </c>
      <c r="E205" s="61" t="str">
        <f t="shared" si="51"/>
        <v xml:space="preserve"> </v>
      </c>
      <c r="F205" s="48" t="s">
        <v>79</v>
      </c>
      <c r="G205" s="62" t="str">
        <f t="shared" si="52"/>
        <v xml:space="preserve"> </v>
      </c>
      <c r="H205" s="48" t="s">
        <v>88</v>
      </c>
      <c r="I205" s="62" t="str">
        <f t="shared" si="53"/>
        <v xml:space="preserve"> </v>
      </c>
      <c r="J205" s="50" t="s">
        <v>69</v>
      </c>
      <c r="K205" s="62" t="str">
        <f t="shared" si="54"/>
        <v xml:space="preserve"> </v>
      </c>
      <c r="L205" s="48" t="s">
        <v>79</v>
      </c>
      <c r="M205" s="62" t="str">
        <f t="shared" si="55"/>
        <v xml:space="preserve"> </v>
      </c>
      <c r="N205" s="48" t="s">
        <v>96</v>
      </c>
      <c r="O205" s="62" t="str">
        <f t="shared" si="56"/>
        <v xml:space="preserve"> </v>
      </c>
      <c r="P205" s="51">
        <v>49</v>
      </c>
      <c r="Q205" s="62" t="str">
        <f t="shared" si="57"/>
        <v>E</v>
      </c>
      <c r="R205" s="48" t="s">
        <v>82</v>
      </c>
      <c r="S205" s="62" t="str">
        <f t="shared" si="58"/>
        <v xml:space="preserve"> </v>
      </c>
      <c r="T205" s="48" t="s">
        <v>82</v>
      </c>
      <c r="U205" s="62" t="str">
        <f t="shared" si="59"/>
        <v xml:space="preserve"> </v>
      </c>
      <c r="V205" s="51">
        <v>45</v>
      </c>
      <c r="W205" s="62" t="str">
        <f t="shared" si="60"/>
        <v>E</v>
      </c>
      <c r="X205" s="48" t="s">
        <v>79</v>
      </c>
      <c r="Y205" s="62" t="str">
        <f t="shared" si="61"/>
        <v xml:space="preserve"> </v>
      </c>
      <c r="Z205" s="51">
        <v>22</v>
      </c>
      <c r="AA205" s="62" t="str">
        <f t="shared" si="62"/>
        <v>F</v>
      </c>
      <c r="AB205" s="48" t="s">
        <v>79</v>
      </c>
      <c r="AC205" s="62" t="str">
        <f t="shared" si="63"/>
        <v xml:space="preserve"> </v>
      </c>
      <c r="AD205" s="48" t="s">
        <v>78</v>
      </c>
      <c r="AE205" s="62" t="str">
        <f t="shared" si="64"/>
        <v xml:space="preserve"> </v>
      </c>
      <c r="AF205" s="51" t="s">
        <v>111</v>
      </c>
      <c r="AG205" s="62" t="str">
        <f t="shared" si="65"/>
        <v xml:space="preserve"> </v>
      </c>
      <c r="AH205" s="48" t="s">
        <v>79</v>
      </c>
      <c r="AI205" s="62" t="str">
        <f t="shared" si="66"/>
        <v xml:space="preserve"> </v>
      </c>
      <c r="AJ205" s="31">
        <f>IF(AND(OR(COUNTIF(D205:AI205,"=31")&gt;=1,COUNTIF(D205:AI205,"=32")&gt;=1,COUNTIF(D205:AI205,"=33")&gt;=1,COUNTIF(D205:AI205,"=34")&gt;=1,COUNTIF(D205:AI205,"=35")=1,COUNTIF(D205:AI205,"=36")&gt;=1 ),COUNTIF(D205:AI205,"")=0,COUNTIF(D205:AI205," ")=0,COUNTIF(D205:AI205,"F")=1),CONCATENATE(SUM(EXTRACTNUMBER(D205),EXTRACTNUMBER(F205),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EXTRACTNUMBER(AD205),EXTRACTNUMBER(AF205),EXTRACTNUMBER(AH205)),"*"),IF(AND(COUNTIF(D205:AI205,"=34")&gt;=1,COUNTIF(D205:AI205,"=35")&gt;=1,COUNTIF(D205:AI205,"f")=2,COUNTIF(D205:AI205,"")=0,COUNTIF(D205:AI205," ")=0),CONCATENATE(SUM(EXTRACTNUMBER(D205),EXTRACTNUMBER(F205),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EXTRACTNUMBER(AD205),EXTRACTNUMBER(AF205),EXTRACTNUMBER(AH205)),"*"),IF(AND(COUNTIF(D205:AI205,"=36")&gt;=2,COUNTIF(D205:AI205,"f")=2,COUNTIF(D205:AI205,"")=0,COUNTIF(D205:AI205," ")=0),CONCATENATE(SUM(EXTRACTNUMBER(D205),EXTRACTNUMBER(F205),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EXTRACTNUMBER(AD205),EXTRACTNUMBER(AF205),EXTRACTNUMBER(AH205)),"*"),SUM(EXTRACTNUMBER(D205),EXTRACTNUMBER(F205),
EXTRACTNUMBER(H205),EXTRACTNUMBER(J205),
EXTRACTNUMBER(L205),EXTRACTNUMBER(N205),
EXTRACTNUMBER(P205),EXTRACTNUMBER(R205),
EXTRACTNUMBER(T205),EXTRACTNUMBER(V205),
EXTRACTNUMBER(X205),EXTRACTNUMBER(Z205),EXTRACTNUMBER(AB205),
EXTRACTNUMBER(AD205),EXTRACTNUMBER(AF205),EXTRACTNUMBER(AH205)))))</f>
        <v>459</v>
      </c>
      <c r="AK205" s="32" t="str">
        <f t="shared" si="67"/>
        <v>FAIL</v>
      </c>
      <c r="AL205" s="33" t="str">
        <f>SPELLNUMBER(extractnumber_tot(AJ205))</f>
        <v xml:space="preserve">Four Hundred Fifty Nine </v>
      </c>
    </row>
    <row r="206" spans="2:38" s="30" customFormat="1" ht="15.95" customHeight="1">
      <c r="B206" s="40">
        <v>225384</v>
      </c>
      <c r="C206" s="42" t="s">
        <v>61</v>
      </c>
      <c r="D206" s="45">
        <v>40</v>
      </c>
      <c r="E206" s="61" t="str">
        <f t="shared" si="51"/>
        <v/>
      </c>
      <c r="F206" s="48" t="s">
        <v>79</v>
      </c>
      <c r="G206" s="62" t="str">
        <f t="shared" si="52"/>
        <v xml:space="preserve"> </v>
      </c>
      <c r="H206" s="48" t="s">
        <v>71</v>
      </c>
      <c r="I206" s="62" t="str">
        <f t="shared" si="53"/>
        <v xml:space="preserve"> </v>
      </c>
      <c r="J206" s="50" t="s">
        <v>69</v>
      </c>
      <c r="K206" s="62" t="str">
        <f t="shared" si="54"/>
        <v xml:space="preserve"> </v>
      </c>
      <c r="L206" s="48" t="s">
        <v>82</v>
      </c>
      <c r="M206" s="62" t="str">
        <f t="shared" si="55"/>
        <v xml:space="preserve"> </v>
      </c>
      <c r="N206" s="48" t="s">
        <v>93</v>
      </c>
      <c r="O206" s="62" t="str">
        <f t="shared" si="56"/>
        <v xml:space="preserve"> </v>
      </c>
      <c r="P206" s="51">
        <v>40</v>
      </c>
      <c r="Q206" s="62" t="str">
        <f t="shared" si="57"/>
        <v/>
      </c>
      <c r="R206" s="48" t="s">
        <v>82</v>
      </c>
      <c r="S206" s="62" t="str">
        <f t="shared" si="58"/>
        <v xml:space="preserve"> </v>
      </c>
      <c r="T206" s="48" t="s">
        <v>76</v>
      </c>
      <c r="U206" s="62" t="str">
        <f t="shared" si="59"/>
        <v xml:space="preserve"> </v>
      </c>
      <c r="V206" s="51">
        <v>40</v>
      </c>
      <c r="W206" s="62" t="str">
        <f t="shared" si="60"/>
        <v/>
      </c>
      <c r="X206" s="48" t="s">
        <v>82</v>
      </c>
      <c r="Y206" s="62" t="str">
        <f t="shared" si="61"/>
        <v xml:space="preserve"> </v>
      </c>
      <c r="Z206" s="51">
        <v>46</v>
      </c>
      <c r="AA206" s="62" t="str">
        <f t="shared" si="62"/>
        <v/>
      </c>
      <c r="AB206" s="48" t="s">
        <v>79</v>
      </c>
      <c r="AC206" s="62" t="str">
        <f t="shared" si="63"/>
        <v xml:space="preserve"> </v>
      </c>
      <c r="AD206" s="48" t="s">
        <v>81</v>
      </c>
      <c r="AE206" s="62" t="str">
        <f t="shared" si="64"/>
        <v xml:space="preserve"> </v>
      </c>
      <c r="AF206" s="51" t="s">
        <v>111</v>
      </c>
      <c r="AG206" s="62" t="str">
        <f t="shared" si="65"/>
        <v xml:space="preserve"> </v>
      </c>
      <c r="AH206" s="48" t="s">
        <v>79</v>
      </c>
      <c r="AI206" s="62" t="str">
        <f t="shared" si="66"/>
        <v xml:space="preserve"> </v>
      </c>
      <c r="AJ206" s="31">
        <f>IF(AND(OR(COUNTIF(D206:AI206,"=31")&gt;=1,COUNTIF(D206:AI206,"=32")&gt;=1,COUNTIF(D206:AI206,"=33")&gt;=1,COUNTIF(D206:AI206,"=34")&gt;=1,COUNTIF(D206:AI206,"=35")=1,COUNTIF(D206:AI206,"=36")&gt;=1 ),COUNTIF(D206:AI206,"")=0,COUNTIF(D206:AI206," ")=0,COUNTIF(D206:AI206,"F")=1),CONCATENATE(SUM(EXTRACTNUMBER(D206),EXTRACTNUMBER(F206),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EXTRACTNUMBER(AD206),EXTRACTNUMBER(AF206),EXTRACTNUMBER(AH206)),"*"),IF(AND(COUNTIF(D206:AI206,"=34")&gt;=1,COUNTIF(D206:AI206,"=35")&gt;=1,COUNTIF(D206:AI206,"f")=2,COUNTIF(D206:AI206,"")=0,COUNTIF(D206:AI206," ")=0),CONCATENATE(SUM(EXTRACTNUMBER(D206),EXTRACTNUMBER(F206),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EXTRACTNUMBER(AD206),EXTRACTNUMBER(AF206),EXTRACTNUMBER(AH206)),"*"),IF(AND(COUNTIF(D206:AI206,"=36")&gt;=2,COUNTIF(D206:AI206,"f")=2,COUNTIF(D206:AI206,"")=0,COUNTIF(D206:AI206," ")=0),CONCATENATE(SUM(EXTRACTNUMBER(D206),EXTRACTNUMBER(F206),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EXTRACTNUMBER(AD206),EXTRACTNUMBER(AF206),EXTRACTNUMBER(AH206)),"*"),SUM(EXTRACTNUMBER(D206),EXTRACTNUMBER(F206),
EXTRACTNUMBER(H206),EXTRACTNUMBER(J206),
EXTRACTNUMBER(L206),EXTRACTNUMBER(N206),
EXTRACTNUMBER(P206),EXTRACTNUMBER(R206),
EXTRACTNUMBER(T206),EXTRACTNUMBER(V206),
EXTRACTNUMBER(X206),EXTRACTNUMBER(Z206),EXTRACTNUMBER(AB206),
EXTRACTNUMBER(AD206),EXTRACTNUMBER(AF206),EXTRACTNUMBER(AH206)))))</f>
        <v>490</v>
      </c>
      <c r="AK206" s="32" t="str">
        <f t="shared" si="67"/>
        <v>PASS</v>
      </c>
      <c r="AL206" s="33" t="str">
        <f>SPELLNUMBER(extractnumber_tot(AJ206))</f>
        <v xml:space="preserve">Four Hundred Ninety </v>
      </c>
    </row>
    <row r="207" spans="2:38" s="30" customFormat="1" ht="15.95" customHeight="1">
      <c r="B207" s="40" t="s">
        <v>382</v>
      </c>
      <c r="C207" s="42" t="s">
        <v>383</v>
      </c>
      <c r="D207" s="45">
        <v>40</v>
      </c>
      <c r="E207" s="61" t="str">
        <f t="shared" si="51"/>
        <v>E</v>
      </c>
      <c r="F207" s="48">
        <v>19</v>
      </c>
      <c r="G207" s="62" t="str">
        <f t="shared" si="52"/>
        <v>E</v>
      </c>
      <c r="H207" s="48">
        <v>40</v>
      </c>
      <c r="I207" s="62" t="str">
        <f t="shared" si="53"/>
        <v>E</v>
      </c>
      <c r="J207" s="50">
        <v>49</v>
      </c>
      <c r="K207" s="62" t="str">
        <f t="shared" si="54"/>
        <v>E</v>
      </c>
      <c r="L207" s="48">
        <v>19</v>
      </c>
      <c r="M207" s="62" t="str">
        <f t="shared" si="55"/>
        <v>E</v>
      </c>
      <c r="N207" s="48">
        <v>40</v>
      </c>
      <c r="O207" s="62" t="str">
        <f t="shared" si="56"/>
        <v>E</v>
      </c>
      <c r="P207" s="51">
        <v>40</v>
      </c>
      <c r="Q207" s="62" t="str">
        <f t="shared" si="57"/>
        <v>E</v>
      </c>
      <c r="R207" s="48">
        <v>19</v>
      </c>
      <c r="S207" s="62" t="str">
        <f t="shared" si="58"/>
        <v>E</v>
      </c>
      <c r="T207" s="48">
        <v>20</v>
      </c>
      <c r="U207" s="62" t="str">
        <f t="shared" si="59"/>
        <v>E</v>
      </c>
      <c r="V207" s="51">
        <v>16</v>
      </c>
      <c r="W207" s="62" t="str">
        <f t="shared" si="60"/>
        <v>F</v>
      </c>
      <c r="X207" s="48">
        <v>16</v>
      </c>
      <c r="Y207" s="62" t="str">
        <f t="shared" si="61"/>
        <v>E</v>
      </c>
      <c r="Z207" s="51">
        <v>40</v>
      </c>
      <c r="AA207" s="62" t="str">
        <f t="shared" si="62"/>
        <v>E</v>
      </c>
      <c r="AB207" s="48">
        <v>19</v>
      </c>
      <c r="AC207" s="62" t="str">
        <f t="shared" si="63"/>
        <v>E</v>
      </c>
      <c r="AD207" s="48">
        <v>19</v>
      </c>
      <c r="AE207" s="62" t="str">
        <f t="shared" si="64"/>
        <v>E</v>
      </c>
      <c r="AF207" s="51">
        <v>24</v>
      </c>
      <c r="AG207" s="62" t="str">
        <f t="shared" si="65"/>
        <v>E</v>
      </c>
      <c r="AH207" s="48">
        <v>23</v>
      </c>
      <c r="AI207" s="62" t="str">
        <f t="shared" si="66"/>
        <v>E</v>
      </c>
      <c r="AJ207" s="31">
        <f>IF(AND(OR(COUNTIF(D207:AI207,"=31")&gt;=1,COUNTIF(D207:AI207,"=32")&gt;=1,COUNTIF(D207:AI207,"=33")&gt;=1,COUNTIF(D207:AI207,"=34")&gt;=1,COUNTIF(D207:AI207,"=35")=1,COUNTIF(D207:AI207,"=36")&gt;=1 ),COUNTIF(D207:AI207,"")=0,COUNTIF(D207:AI207," ")=0,COUNTIF(D207:AI207,"F")=1),CONCATENATE(SUM(EXTRACTNUMBER(D207),EXTRACTNUMBER(F207),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EXTRACTNUMBER(AD207),EXTRACTNUMBER(AF207),EXTRACTNUMBER(AH207)),"*"),IF(AND(COUNTIF(D207:AI207,"=34")&gt;=1,COUNTIF(D207:AI207,"=35")&gt;=1,COUNTIF(D207:AI207,"f")=2,COUNTIF(D207:AI207,"")=0,COUNTIF(D207:AI207," ")=0),CONCATENATE(SUM(EXTRACTNUMBER(D207),EXTRACTNUMBER(F207),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EXTRACTNUMBER(AD207),EXTRACTNUMBER(AF207),EXTRACTNUMBER(AH207)),"*"),IF(AND(COUNTIF(D207:AI207,"=36")&gt;=2,COUNTIF(D207:AI207,"f")=2,COUNTIF(D207:AI207,"")=0,COUNTIF(D207:AI207," ")=0),CONCATENATE(SUM(EXTRACTNUMBER(D207),EXTRACTNUMBER(F207),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EXTRACTNUMBER(AD207),EXTRACTNUMBER(AF207),EXTRACTNUMBER(AH207)),"*"),SUM(EXTRACTNUMBER(D207),EXTRACTNUMBER(F207),
EXTRACTNUMBER(H207),EXTRACTNUMBER(J207),
EXTRACTNUMBER(L207),EXTRACTNUMBER(N207),
EXTRACTNUMBER(P207),EXTRACTNUMBER(R207),
EXTRACTNUMBER(T207),EXTRACTNUMBER(V207),
EXTRACTNUMBER(X207),EXTRACTNUMBER(Z207),EXTRACTNUMBER(AB207),
EXTRACTNUMBER(AD207),EXTRACTNUMBER(AF207),EXTRACTNUMBER(AH207)))))</f>
        <v>443</v>
      </c>
      <c r="AK207" s="32" t="str">
        <f t="shared" si="67"/>
        <v>FAIL</v>
      </c>
      <c r="AL207" s="33" t="str">
        <f>SPELLNUMBER(extractnumber_tot(AJ207))</f>
        <v xml:space="preserve">Four Hundred Forty Three </v>
      </c>
    </row>
    <row r="208" spans="2:38" s="30" customFormat="1" ht="15.95" customHeight="1">
      <c r="B208" s="40" t="s">
        <v>384</v>
      </c>
      <c r="C208" s="42" t="s">
        <v>385</v>
      </c>
      <c r="D208" s="45">
        <v>50</v>
      </c>
      <c r="E208" s="61" t="str">
        <f t="shared" si="51"/>
        <v>E</v>
      </c>
      <c r="F208" s="48">
        <v>19</v>
      </c>
      <c r="G208" s="62" t="str">
        <f t="shared" si="52"/>
        <v>E</v>
      </c>
      <c r="H208" s="48">
        <v>40</v>
      </c>
      <c r="I208" s="62" t="str">
        <f t="shared" si="53"/>
        <v>E</v>
      </c>
      <c r="J208" s="50">
        <v>17</v>
      </c>
      <c r="K208" s="62" t="str">
        <f t="shared" si="54"/>
        <v>F</v>
      </c>
      <c r="L208" s="48">
        <v>22</v>
      </c>
      <c r="M208" s="62" t="str">
        <f t="shared" si="55"/>
        <v>E</v>
      </c>
      <c r="N208" s="48">
        <v>40</v>
      </c>
      <c r="O208" s="62" t="str">
        <f t="shared" si="56"/>
        <v>E</v>
      </c>
      <c r="P208" s="51">
        <v>44</v>
      </c>
      <c r="Q208" s="62" t="str">
        <f t="shared" si="57"/>
        <v>E</v>
      </c>
      <c r="R208" s="48">
        <v>20</v>
      </c>
      <c r="S208" s="62" t="str">
        <f t="shared" si="58"/>
        <v>E</v>
      </c>
      <c r="T208" s="48">
        <v>20</v>
      </c>
      <c r="U208" s="62" t="str">
        <f t="shared" si="59"/>
        <v>E</v>
      </c>
      <c r="V208" s="51">
        <v>26</v>
      </c>
      <c r="W208" s="62" t="str">
        <f t="shared" si="60"/>
        <v>F</v>
      </c>
      <c r="X208" s="48">
        <v>16</v>
      </c>
      <c r="Y208" s="62" t="str">
        <f t="shared" si="61"/>
        <v>E</v>
      </c>
      <c r="Z208" s="51">
        <v>25</v>
      </c>
      <c r="AA208" s="62" t="str">
        <f t="shared" si="62"/>
        <v>F</v>
      </c>
      <c r="AB208" s="48">
        <v>22</v>
      </c>
      <c r="AC208" s="62" t="str">
        <f t="shared" si="63"/>
        <v>E</v>
      </c>
      <c r="AD208" s="48">
        <v>18</v>
      </c>
      <c r="AE208" s="62" t="str">
        <f t="shared" si="64"/>
        <v>E</v>
      </c>
      <c r="AF208" s="51">
        <v>29</v>
      </c>
      <c r="AG208" s="62" t="str">
        <f t="shared" si="65"/>
        <v>E</v>
      </c>
      <c r="AH208" s="48">
        <v>18</v>
      </c>
      <c r="AI208" s="62" t="str">
        <f t="shared" si="66"/>
        <v>E</v>
      </c>
      <c r="AJ208" s="31">
        <f>IF(AND(OR(COUNTIF(D208:AI208,"=31")&gt;=1,COUNTIF(D208:AI208,"=32")&gt;=1,COUNTIF(D208:AI208,"=33")&gt;=1,COUNTIF(D208:AI208,"=34")&gt;=1,COUNTIF(D208:AI208,"=35")=1,COUNTIF(D208:AI208,"=36")&gt;=1 ),COUNTIF(D208:AI208,"")=0,COUNTIF(D208:AI208," ")=0,COUNTIF(D208:AI208,"F")=1),CONCATENATE(SUM(EXTRACTNUMBER(D208),EXTRACTNUMBER(F208),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EXTRACTNUMBER(AD208),EXTRACTNUMBER(AF208),EXTRACTNUMBER(AH208)),"*"),IF(AND(COUNTIF(D208:AI208,"=34")&gt;=1,COUNTIF(D208:AI208,"=35")&gt;=1,COUNTIF(D208:AI208,"f")=2,COUNTIF(D208:AI208,"")=0,COUNTIF(D208:AI208," ")=0),CONCATENATE(SUM(EXTRACTNUMBER(D208),EXTRACTNUMBER(F208),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EXTRACTNUMBER(AD208),EXTRACTNUMBER(AF208),EXTRACTNUMBER(AH208)),"*"),IF(AND(COUNTIF(D208:AI208,"=36")&gt;=2,COUNTIF(D208:AI208,"f")=2,COUNTIF(D208:AI208,"")=0,COUNTIF(D208:AI208," ")=0),CONCATENATE(SUM(EXTRACTNUMBER(D208),EXTRACTNUMBER(F208),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EXTRACTNUMBER(AD208),EXTRACTNUMBER(AF208),EXTRACTNUMBER(AH208)),"*"),SUM(EXTRACTNUMBER(D208),EXTRACTNUMBER(F208),
EXTRACTNUMBER(H208),EXTRACTNUMBER(J208),
EXTRACTNUMBER(L208),EXTRACTNUMBER(N208),
EXTRACTNUMBER(P208),EXTRACTNUMBER(R208),
EXTRACTNUMBER(T208),EXTRACTNUMBER(V208),
EXTRACTNUMBER(X208),EXTRACTNUMBER(Z208),EXTRACTNUMBER(AB208),
EXTRACTNUMBER(AD208),EXTRACTNUMBER(AF208),EXTRACTNUMBER(AH208)))))</f>
        <v>426</v>
      </c>
      <c r="AK208" s="32" t="str">
        <f t="shared" si="67"/>
        <v>FAIL</v>
      </c>
      <c r="AL208" s="33" t="str">
        <f>SPELLNUMBER(extractnumber_tot(AJ208))</f>
        <v xml:space="preserve">Four Hundred Twenty Six </v>
      </c>
    </row>
    <row r="209" spans="2:38" s="30" customFormat="1" ht="15.95" customHeight="1">
      <c r="B209" s="40" t="s">
        <v>386</v>
      </c>
      <c r="C209" s="42" t="s">
        <v>387</v>
      </c>
      <c r="D209" s="45" t="s">
        <v>113</v>
      </c>
      <c r="E209" s="61" t="str">
        <f t="shared" si="51"/>
        <v/>
      </c>
      <c r="F209" s="48">
        <v>19</v>
      </c>
      <c r="G209" s="62" t="str">
        <f t="shared" si="52"/>
        <v>E</v>
      </c>
      <c r="H209" s="48">
        <v>40</v>
      </c>
      <c r="I209" s="62" t="str">
        <f t="shared" si="53"/>
        <v>E</v>
      </c>
      <c r="J209" s="50">
        <v>8</v>
      </c>
      <c r="K209" s="62" t="str">
        <f t="shared" si="54"/>
        <v>F</v>
      </c>
      <c r="L209" s="48">
        <v>15</v>
      </c>
      <c r="M209" s="62" t="str">
        <f t="shared" si="55"/>
        <v>E</v>
      </c>
      <c r="N209" s="48">
        <v>38</v>
      </c>
      <c r="O209" s="62" t="str">
        <f t="shared" si="56"/>
        <v>E</v>
      </c>
      <c r="P209" s="51" t="s">
        <v>113</v>
      </c>
      <c r="Q209" s="62" t="str">
        <f t="shared" si="57"/>
        <v/>
      </c>
      <c r="R209" s="48">
        <v>20</v>
      </c>
      <c r="S209" s="62" t="str">
        <f t="shared" si="58"/>
        <v>E</v>
      </c>
      <c r="T209" s="48">
        <v>19</v>
      </c>
      <c r="U209" s="62" t="str">
        <f t="shared" si="59"/>
        <v>E</v>
      </c>
      <c r="V209" s="51" t="s">
        <v>113</v>
      </c>
      <c r="W209" s="62" t="str">
        <f t="shared" si="60"/>
        <v/>
      </c>
      <c r="X209" s="48">
        <v>19</v>
      </c>
      <c r="Y209" s="62" t="str">
        <f t="shared" si="61"/>
        <v>E</v>
      </c>
      <c r="Z209" s="51" t="s">
        <v>113</v>
      </c>
      <c r="AA209" s="62" t="str">
        <f t="shared" si="62"/>
        <v/>
      </c>
      <c r="AB209" s="48">
        <v>15</v>
      </c>
      <c r="AC209" s="62" t="str">
        <f t="shared" si="63"/>
        <v>E</v>
      </c>
      <c r="AD209" s="48">
        <v>19</v>
      </c>
      <c r="AE209" s="62" t="str">
        <f t="shared" si="64"/>
        <v>E</v>
      </c>
      <c r="AF209" s="51" t="s">
        <v>113</v>
      </c>
      <c r="AG209" s="62" t="str">
        <f t="shared" si="65"/>
        <v/>
      </c>
      <c r="AH209" s="48">
        <v>19</v>
      </c>
      <c r="AI209" s="62" t="str">
        <f t="shared" si="66"/>
        <v>E</v>
      </c>
      <c r="AJ209" s="31">
        <f>IF(AND(OR(COUNTIF(D209:AI209,"=31")&gt;=1,COUNTIF(D209:AI209,"=32")&gt;=1,COUNTIF(D209:AI209,"=33")&gt;=1,COUNTIF(D209:AI209,"=34")&gt;=1,COUNTIF(D209:AI209,"=35")=1,COUNTIF(D209:AI209,"=36")&gt;=1 ),COUNTIF(D209:AI209,"")=0,COUNTIF(D209:AI209," ")=0,COUNTIF(D209:AI209,"F")=1),CONCATENATE(SUM(EXTRACTNUMBER(D209),EXTRACTNUMBER(F209),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EXTRACTNUMBER(AD209),EXTRACTNUMBER(AF209),EXTRACTNUMBER(AH209)),"*"),IF(AND(COUNTIF(D209:AI209,"=34")&gt;=1,COUNTIF(D209:AI209,"=35")&gt;=1,COUNTIF(D209:AI209,"f")=2,COUNTIF(D209:AI209,"")=0,COUNTIF(D209:AI209," ")=0),CONCATENATE(SUM(EXTRACTNUMBER(D209),EXTRACTNUMBER(F209),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EXTRACTNUMBER(AD209),EXTRACTNUMBER(AF209),EXTRACTNUMBER(AH209)),"*"),IF(AND(COUNTIF(D209:AI209,"=36")&gt;=2,COUNTIF(D209:AI209,"f")=2,COUNTIF(D209:AI209,"")=0,COUNTIF(D209:AI209," ")=0),CONCATENATE(SUM(EXTRACTNUMBER(D209),EXTRACTNUMBER(F209),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EXTRACTNUMBER(AD209),EXTRACTNUMBER(AF209),EXTRACTNUMBER(AH209)),"*"),SUM(EXTRACTNUMBER(D209),EXTRACTNUMBER(F209),
EXTRACTNUMBER(H209),EXTRACTNUMBER(J209),
EXTRACTNUMBER(L209),EXTRACTNUMBER(N209),
EXTRACTNUMBER(P209),EXTRACTNUMBER(R209),
EXTRACTNUMBER(T209),EXTRACTNUMBER(V209),
EXTRACTNUMBER(X209),EXTRACTNUMBER(Z209),EXTRACTNUMBER(AB209),
EXTRACTNUMBER(AD209),EXTRACTNUMBER(AF209),EXTRACTNUMBER(AH209)))))</f>
        <v>231</v>
      </c>
      <c r="AK209" s="32" t="str">
        <f t="shared" si="67"/>
        <v>FAIL</v>
      </c>
      <c r="AL209" s="33" t="str">
        <f>SPELLNUMBER(extractnumber_tot(AJ209))</f>
        <v xml:space="preserve">Two Hundred Thirty One </v>
      </c>
    </row>
    <row r="210" spans="2:38" s="30" customFormat="1" ht="15.95" customHeight="1">
      <c r="B210" s="40" t="s">
        <v>388</v>
      </c>
      <c r="C210" s="42" t="s">
        <v>389</v>
      </c>
      <c r="D210" s="45">
        <v>40</v>
      </c>
      <c r="E210" s="61" t="str">
        <f t="shared" si="51"/>
        <v>E</v>
      </c>
      <c r="F210" s="48">
        <v>20</v>
      </c>
      <c r="G210" s="62" t="str">
        <f t="shared" si="52"/>
        <v>E</v>
      </c>
      <c r="H210" s="48">
        <v>38</v>
      </c>
      <c r="I210" s="62" t="str">
        <f t="shared" si="53"/>
        <v>E</v>
      </c>
      <c r="J210" s="50">
        <v>40</v>
      </c>
      <c r="K210" s="62" t="str">
        <f t="shared" si="54"/>
        <v>E</v>
      </c>
      <c r="L210" s="48">
        <v>21</v>
      </c>
      <c r="M210" s="62" t="str">
        <f t="shared" si="55"/>
        <v>E</v>
      </c>
      <c r="N210" s="48">
        <v>38</v>
      </c>
      <c r="O210" s="62" t="str">
        <f t="shared" si="56"/>
        <v>E</v>
      </c>
      <c r="P210" s="51">
        <v>40</v>
      </c>
      <c r="Q210" s="62" t="str">
        <f t="shared" si="57"/>
        <v>E</v>
      </c>
      <c r="R210" s="48">
        <v>20</v>
      </c>
      <c r="S210" s="62" t="str">
        <f t="shared" si="58"/>
        <v>E</v>
      </c>
      <c r="T210" s="48">
        <v>20</v>
      </c>
      <c r="U210" s="62" t="str">
        <f t="shared" si="59"/>
        <v>E</v>
      </c>
      <c r="V210" s="51">
        <v>32</v>
      </c>
      <c r="W210" s="62" t="str">
        <f t="shared" si="60"/>
        <v>F</v>
      </c>
      <c r="X210" s="48">
        <v>20</v>
      </c>
      <c r="Y210" s="62" t="str">
        <f t="shared" si="61"/>
        <v>E</v>
      </c>
      <c r="Z210" s="51">
        <v>25</v>
      </c>
      <c r="AA210" s="62" t="str">
        <f t="shared" si="62"/>
        <v>F</v>
      </c>
      <c r="AB210" s="48">
        <v>15</v>
      </c>
      <c r="AC210" s="62" t="str">
        <f t="shared" si="63"/>
        <v>E</v>
      </c>
      <c r="AD210" s="48">
        <v>19</v>
      </c>
      <c r="AE210" s="62" t="str">
        <f t="shared" si="64"/>
        <v>E</v>
      </c>
      <c r="AF210" s="51">
        <v>25</v>
      </c>
      <c r="AG210" s="62" t="str">
        <f t="shared" si="65"/>
        <v>E</v>
      </c>
      <c r="AH210" s="48">
        <v>21</v>
      </c>
      <c r="AI210" s="62" t="str">
        <f t="shared" si="66"/>
        <v>E</v>
      </c>
      <c r="AJ210" s="31">
        <f>IF(AND(OR(COUNTIF(D210:AI210,"=31")&gt;=1,COUNTIF(D210:AI210,"=32")&gt;=1,COUNTIF(D210:AI210,"=33")&gt;=1,COUNTIF(D210:AI210,"=34")&gt;=1,COUNTIF(D210:AI210,"=35")=1,COUNTIF(D210:AI210,"=36")&gt;=1 ),COUNTIF(D210:AI210,"")=0,COUNTIF(D210:AI210," ")=0,COUNTIF(D210:AI210,"F")=1),CONCATENATE(SUM(EXTRACTNUMBER(D210),EXTRACTNUMBER(F210),
EXTRACTNUMBER(H210),EXTRACTNUMBER(J210),
EXTRACTNUMBER(L210),EXTRACTNUMBER(N210),
EXTRACTNUMBER(P210),EXTRACTNUMBER(R210),
EXTRACTNUMBER(T210),EXTRACTNUMBER(V210),
EXTRACTNUMBER(X210),EXTRACTNUMBER(Z210),EXTRACTNUMBER(AB210),
EXTRACTNUMBER(AD210),EXTRACTNUMBER(AF210),EXTRACTNUMBER(AH210)),"*"),IF(AND(COUNTIF(D210:AI210,"=34")&gt;=1,COUNTIF(D210:AI210,"=35")&gt;=1,COUNTIF(D210:AI210,"f")=2,COUNTIF(D210:AI210,"")=0,COUNTIF(D210:AI210," ")=0),CONCATENATE(SUM(EXTRACTNUMBER(D210),EXTRACTNUMBER(F210),
EXTRACTNUMBER(H210),EXTRACTNUMBER(J210),
EXTRACTNUMBER(L210),EXTRACTNUMBER(N210),
EXTRACTNUMBER(P210),EXTRACTNUMBER(R210),
EXTRACTNUMBER(T210),EXTRACTNUMBER(V210),
EXTRACTNUMBER(X210),EXTRACTNUMBER(Z210),EXTRACTNUMBER(AB210),
EXTRACTNUMBER(AD210),EXTRACTNUMBER(AF210),EXTRACTNUMBER(AH210)),"*"),IF(AND(COUNTIF(D210:AI210,"=36")&gt;=2,COUNTIF(D210:AI210,"f")=2,COUNTIF(D210:AI210,"")=0,COUNTIF(D210:AI210," ")=0),CONCATENATE(SUM(EXTRACTNUMBER(D210),EXTRACTNUMBER(F210),
EXTRACTNUMBER(H210),EXTRACTNUMBER(J210),
EXTRACTNUMBER(L210),EXTRACTNUMBER(N210),
EXTRACTNUMBER(P210),EXTRACTNUMBER(R210),
EXTRACTNUMBER(T210),EXTRACTNUMBER(V210),
EXTRACTNUMBER(X210),EXTRACTNUMBER(Z210),EXTRACTNUMBER(AB210),
EXTRACTNUMBER(AD210),EXTRACTNUMBER(AF210),EXTRACTNUMBER(AH210)),"*"),SUM(EXTRACTNUMBER(D210),EXTRACTNUMBER(F210),
EXTRACTNUMBER(H210),EXTRACTNUMBER(J210),
EXTRACTNUMBER(L210),EXTRACTNUMBER(N210),
EXTRACTNUMBER(P210),EXTRACTNUMBER(R210),
EXTRACTNUMBER(T210),EXTRACTNUMBER(V210),
EXTRACTNUMBER(X210),EXTRACTNUMBER(Z210),EXTRACTNUMBER(AB210),
EXTRACTNUMBER(AD210),EXTRACTNUMBER(AF210),EXTRACTNUMBER(AH210)))))</f>
        <v>434</v>
      </c>
      <c r="AK210" s="32" t="str">
        <f t="shared" si="67"/>
        <v>FAIL</v>
      </c>
      <c r="AL210" s="33" t="str">
        <f>SPELLNUMBER(extractnumber_tot(AJ210))</f>
        <v xml:space="preserve">Four Hundred Thirty Four </v>
      </c>
    </row>
    <row r="211" spans="2:38" s="30" customFormat="1" ht="15.95" customHeight="1">
      <c r="B211" s="40" t="s">
        <v>390</v>
      </c>
      <c r="C211" s="42" t="s">
        <v>391</v>
      </c>
      <c r="D211" s="45">
        <v>51</v>
      </c>
      <c r="E211" s="61" t="str">
        <f t="shared" si="51"/>
        <v>E</v>
      </c>
      <c r="F211" s="48">
        <v>20</v>
      </c>
      <c r="G211" s="62" t="str">
        <f t="shared" si="52"/>
        <v>E</v>
      </c>
      <c r="H211" s="48">
        <v>39</v>
      </c>
      <c r="I211" s="62" t="str">
        <f t="shared" si="53"/>
        <v>E</v>
      </c>
      <c r="J211" s="50">
        <v>25</v>
      </c>
      <c r="K211" s="62" t="str">
        <f t="shared" si="54"/>
        <v>F</v>
      </c>
      <c r="L211" s="48">
        <v>15</v>
      </c>
      <c r="M211" s="62" t="str">
        <f t="shared" si="55"/>
        <v>E</v>
      </c>
      <c r="N211" s="48">
        <v>38</v>
      </c>
      <c r="O211" s="62" t="str">
        <f t="shared" si="56"/>
        <v>E</v>
      </c>
      <c r="P211" s="51">
        <v>40</v>
      </c>
      <c r="Q211" s="62" t="str">
        <f t="shared" si="57"/>
        <v>E</v>
      </c>
      <c r="R211" s="48">
        <v>19</v>
      </c>
      <c r="S211" s="62" t="str">
        <f t="shared" si="58"/>
        <v>E</v>
      </c>
      <c r="T211" s="48">
        <v>19</v>
      </c>
      <c r="U211" s="62" t="str">
        <f t="shared" si="59"/>
        <v>E</v>
      </c>
      <c r="V211" s="51">
        <v>32</v>
      </c>
      <c r="W211" s="62" t="str">
        <f t="shared" si="60"/>
        <v>F</v>
      </c>
      <c r="X211" s="48">
        <v>20</v>
      </c>
      <c r="Y211" s="62" t="str">
        <f t="shared" si="61"/>
        <v>E</v>
      </c>
      <c r="Z211" s="51">
        <v>19</v>
      </c>
      <c r="AA211" s="62" t="str">
        <f t="shared" si="62"/>
        <v>F</v>
      </c>
      <c r="AB211" s="48">
        <v>15</v>
      </c>
      <c r="AC211" s="62" t="str">
        <f t="shared" si="63"/>
        <v>E</v>
      </c>
      <c r="AD211" s="48">
        <v>17</v>
      </c>
      <c r="AE211" s="62" t="str">
        <f t="shared" si="64"/>
        <v>E</v>
      </c>
      <c r="AF211" s="51">
        <v>28</v>
      </c>
      <c r="AG211" s="62" t="str">
        <f t="shared" si="65"/>
        <v>E</v>
      </c>
      <c r="AH211" s="48">
        <v>20</v>
      </c>
      <c r="AI211" s="62" t="str">
        <f t="shared" si="66"/>
        <v>E</v>
      </c>
      <c r="AJ211" s="31">
        <f>IF(AND(OR(COUNTIF(D211:AI211,"=31")&gt;=1,COUNTIF(D211:AI211,"=32")&gt;=1,COUNTIF(D211:AI211,"=33")&gt;=1,COUNTIF(D211:AI211,"=34")&gt;=1,COUNTIF(D211:AI211,"=35")=1,COUNTIF(D211:AI211,"=36")&gt;=1 ),COUNTIF(D211:AI211,"")=0,COUNTIF(D211:AI211," ")=0,COUNTIF(D211:AI211,"F")=1),CONCATENATE(SUM(EXTRACTNUMBER(D211),EXTRACTNUMBER(F211),
EXTRACTNUMBER(H211),EXTRACTNUMBER(J211),
EXTRACTNUMBER(L211),EXTRACTNUMBER(N211),
EXTRACTNUMBER(P211),EXTRACTNUMBER(R211),
EXTRACTNUMBER(T211),EXTRACTNUMBER(V211),
EXTRACTNUMBER(X211),EXTRACTNUMBER(Z211),EXTRACTNUMBER(AB211),
EXTRACTNUMBER(AD211),EXTRACTNUMBER(AF211),EXTRACTNUMBER(AH211)),"*"),IF(AND(COUNTIF(D211:AI211,"=34")&gt;=1,COUNTIF(D211:AI211,"=35")&gt;=1,COUNTIF(D211:AI211,"f")=2,COUNTIF(D211:AI211,"")=0,COUNTIF(D211:AI211," ")=0),CONCATENATE(SUM(EXTRACTNUMBER(D211),EXTRACTNUMBER(F211),
EXTRACTNUMBER(H211),EXTRACTNUMBER(J211),
EXTRACTNUMBER(L211),EXTRACTNUMBER(N211),
EXTRACTNUMBER(P211),EXTRACTNUMBER(R211),
EXTRACTNUMBER(T211),EXTRACTNUMBER(V211),
EXTRACTNUMBER(X211),EXTRACTNUMBER(Z211),EXTRACTNUMBER(AB211),
EXTRACTNUMBER(AD211),EXTRACTNUMBER(AF211),EXTRACTNUMBER(AH211)),"*"),IF(AND(COUNTIF(D211:AI211,"=36")&gt;=2,COUNTIF(D211:AI211,"f")=2,COUNTIF(D211:AI211,"")=0,COUNTIF(D211:AI211," ")=0),CONCATENATE(SUM(EXTRACTNUMBER(D211),EXTRACTNUMBER(F211),
EXTRACTNUMBER(H211),EXTRACTNUMBER(J211),
EXTRACTNUMBER(L211),EXTRACTNUMBER(N211),
EXTRACTNUMBER(P211),EXTRACTNUMBER(R211),
EXTRACTNUMBER(T211),EXTRACTNUMBER(V211),
EXTRACTNUMBER(X211),EXTRACTNUMBER(Z211),EXTRACTNUMBER(AB211),
EXTRACTNUMBER(AD211),EXTRACTNUMBER(AF211),EXTRACTNUMBER(AH211)),"*"),SUM(EXTRACTNUMBER(D211),EXTRACTNUMBER(F211),
EXTRACTNUMBER(H211),EXTRACTNUMBER(J211),
EXTRACTNUMBER(L211),EXTRACTNUMBER(N211),
EXTRACTNUMBER(P211),EXTRACTNUMBER(R211),
EXTRACTNUMBER(T211),EXTRACTNUMBER(V211),
EXTRACTNUMBER(X211),EXTRACTNUMBER(Z211),EXTRACTNUMBER(AB211),
EXTRACTNUMBER(AD211),EXTRACTNUMBER(AF211),EXTRACTNUMBER(AH211)))))</f>
        <v>417</v>
      </c>
      <c r="AK211" s="32" t="str">
        <f t="shared" si="67"/>
        <v>FAIL</v>
      </c>
      <c r="AL211" s="33" t="str">
        <f>SPELLNUMBER(extractnumber_tot(AJ211))</f>
        <v xml:space="preserve">Four Hundred Seventeen </v>
      </c>
    </row>
    <row r="212" spans="2:38" s="30" customFormat="1" ht="15.95" customHeight="1">
      <c r="B212" s="40" t="s">
        <v>392</v>
      </c>
      <c r="C212" s="42" t="s">
        <v>393</v>
      </c>
      <c r="D212" s="45" t="s">
        <v>113</v>
      </c>
      <c r="E212" s="61" t="str">
        <f t="shared" si="51"/>
        <v/>
      </c>
      <c r="F212" s="48" t="s">
        <v>113</v>
      </c>
      <c r="G212" s="62" t="str">
        <f t="shared" si="52"/>
        <v/>
      </c>
      <c r="H212" s="48" t="s">
        <v>113</v>
      </c>
      <c r="I212" s="62" t="str">
        <f t="shared" si="53"/>
        <v/>
      </c>
      <c r="J212" s="50" t="s">
        <v>113</v>
      </c>
      <c r="K212" s="62" t="str">
        <f t="shared" si="54"/>
        <v/>
      </c>
      <c r="L212" s="48" t="s">
        <v>113</v>
      </c>
      <c r="M212" s="62" t="str">
        <f t="shared" si="55"/>
        <v/>
      </c>
      <c r="N212" s="48" t="s">
        <v>113</v>
      </c>
      <c r="O212" s="62" t="str">
        <f t="shared" si="56"/>
        <v/>
      </c>
      <c r="P212" s="51" t="s">
        <v>113</v>
      </c>
      <c r="Q212" s="62" t="str">
        <f t="shared" si="57"/>
        <v/>
      </c>
      <c r="R212" s="48" t="s">
        <v>113</v>
      </c>
      <c r="S212" s="62" t="str">
        <f t="shared" si="58"/>
        <v/>
      </c>
      <c r="T212" s="48" t="s">
        <v>113</v>
      </c>
      <c r="U212" s="62" t="str">
        <f t="shared" si="59"/>
        <v/>
      </c>
      <c r="V212" s="51" t="s">
        <v>113</v>
      </c>
      <c r="W212" s="62" t="str">
        <f t="shared" si="60"/>
        <v/>
      </c>
      <c r="X212" s="48" t="s">
        <v>113</v>
      </c>
      <c r="Y212" s="62" t="str">
        <f t="shared" si="61"/>
        <v/>
      </c>
      <c r="Z212" s="51" t="s">
        <v>113</v>
      </c>
      <c r="AA212" s="62" t="str">
        <f t="shared" si="62"/>
        <v/>
      </c>
      <c r="AB212" s="48" t="s">
        <v>113</v>
      </c>
      <c r="AC212" s="62" t="str">
        <f t="shared" si="63"/>
        <v/>
      </c>
      <c r="AD212" s="48" t="s">
        <v>113</v>
      </c>
      <c r="AE212" s="62" t="str">
        <f t="shared" si="64"/>
        <v/>
      </c>
      <c r="AF212" s="51" t="s">
        <v>113</v>
      </c>
      <c r="AG212" s="62" t="str">
        <f t="shared" si="65"/>
        <v/>
      </c>
      <c r="AH212" s="48" t="s">
        <v>113</v>
      </c>
      <c r="AI212" s="62" t="str">
        <f t="shared" si="66"/>
        <v/>
      </c>
      <c r="AJ212" s="31">
        <f>IF(AND(OR(COUNTIF(D212:AI212,"=31")&gt;=1,COUNTIF(D212:AI212,"=32")&gt;=1,COUNTIF(D212:AI212,"=33")&gt;=1,COUNTIF(D212:AI212,"=34")&gt;=1,COUNTIF(D212:AI212,"=35")=1,COUNTIF(D212:AI212,"=36")&gt;=1 ),COUNTIF(D212:AI212,"")=0,COUNTIF(D212:AI212," ")=0,COUNTIF(D212:AI212,"F")=1),CONCATENATE(SUM(EXTRACTNUMBER(D212),EXTRACTNUMBER(F212),
EXTRACTNUMBER(H212),EXTRACTNUMBER(J212),
EXTRACTNUMBER(L212),EXTRACTNUMBER(N212),
EXTRACTNUMBER(P212),EXTRACTNUMBER(R212),
EXTRACTNUMBER(T212),EXTRACTNUMBER(V212),
EXTRACTNUMBER(X212),EXTRACTNUMBER(Z212),EXTRACTNUMBER(AB212),
EXTRACTNUMBER(AD212),EXTRACTNUMBER(AF212),EXTRACTNUMBER(AH212)),"*"),IF(AND(COUNTIF(D212:AI212,"=34")&gt;=1,COUNTIF(D212:AI212,"=35")&gt;=1,COUNTIF(D212:AI212,"f")=2,COUNTIF(D212:AI212,"")=0,COUNTIF(D212:AI212," ")=0),CONCATENATE(SUM(EXTRACTNUMBER(D212),EXTRACTNUMBER(F212),
EXTRACTNUMBER(H212),EXTRACTNUMBER(J212),
EXTRACTNUMBER(L212),EXTRACTNUMBER(N212),
EXTRACTNUMBER(P212),EXTRACTNUMBER(R212),
EXTRACTNUMBER(T212),EXTRACTNUMBER(V212),
EXTRACTNUMBER(X212),EXTRACTNUMBER(Z212),EXTRACTNUMBER(AB212),
EXTRACTNUMBER(AD212),EXTRACTNUMBER(AF212),EXTRACTNUMBER(AH212)),"*"),IF(AND(COUNTIF(D212:AI212,"=36")&gt;=2,COUNTIF(D212:AI212,"f")=2,COUNTIF(D212:AI212,"")=0,COUNTIF(D212:AI212," ")=0),CONCATENATE(SUM(EXTRACTNUMBER(D212),EXTRACTNUMBER(F212),
EXTRACTNUMBER(H212),EXTRACTNUMBER(J212),
EXTRACTNUMBER(L212),EXTRACTNUMBER(N212),
EXTRACTNUMBER(P212),EXTRACTNUMBER(R212),
EXTRACTNUMBER(T212),EXTRACTNUMBER(V212),
EXTRACTNUMBER(X212),EXTRACTNUMBER(Z212),EXTRACTNUMBER(AB212),
EXTRACTNUMBER(AD212),EXTRACTNUMBER(AF212),EXTRACTNUMBER(AH212)),"*"),SUM(EXTRACTNUMBER(D212),EXTRACTNUMBER(F212),
EXTRACTNUMBER(H212),EXTRACTNUMBER(J212),
EXTRACTNUMBER(L212),EXTRACTNUMBER(N212),
EXTRACTNUMBER(P212),EXTRACTNUMBER(R212),
EXTRACTNUMBER(T212),EXTRACTNUMBER(V212),
EXTRACTNUMBER(X212),EXTRACTNUMBER(Z212),EXTRACTNUMBER(AB212),
EXTRACTNUMBER(AD212),EXTRACTNUMBER(AF212),EXTRACTNUMBER(AH212)))))</f>
        <v>0</v>
      </c>
      <c r="AK212" s="32" t="str">
        <f t="shared" si="67"/>
        <v>ABSENT</v>
      </c>
      <c r="AL212" s="33" t="str">
        <f>SPELLNUMBER(extractnumber_tot(AJ212))</f>
        <v xml:space="preserve"> </v>
      </c>
    </row>
    <row r="213" spans="2:38" s="30" customFormat="1" ht="15.95" customHeight="1">
      <c r="B213" s="40" t="s">
        <v>394</v>
      </c>
      <c r="C213" s="42" t="s">
        <v>395</v>
      </c>
      <c r="D213" s="45" t="s">
        <v>113</v>
      </c>
      <c r="E213" s="61" t="str">
        <f t="shared" si="51"/>
        <v/>
      </c>
      <c r="F213" s="48">
        <v>20</v>
      </c>
      <c r="G213" s="62" t="str">
        <f t="shared" si="52"/>
        <v>E</v>
      </c>
      <c r="H213" s="48">
        <v>39</v>
      </c>
      <c r="I213" s="62" t="str">
        <f t="shared" si="53"/>
        <v>E</v>
      </c>
      <c r="J213" s="50" t="s">
        <v>113</v>
      </c>
      <c r="K213" s="62" t="str">
        <f t="shared" si="54"/>
        <v/>
      </c>
      <c r="L213" s="48">
        <v>17</v>
      </c>
      <c r="M213" s="62" t="str">
        <f t="shared" si="55"/>
        <v>E</v>
      </c>
      <c r="N213" s="48">
        <v>40</v>
      </c>
      <c r="O213" s="62" t="str">
        <f t="shared" si="56"/>
        <v>E</v>
      </c>
      <c r="P213" s="51" t="s">
        <v>113</v>
      </c>
      <c r="Q213" s="62" t="str">
        <f t="shared" si="57"/>
        <v/>
      </c>
      <c r="R213" s="48">
        <v>19</v>
      </c>
      <c r="S213" s="62" t="str">
        <f t="shared" si="58"/>
        <v>E</v>
      </c>
      <c r="T213" s="48" t="s">
        <v>113</v>
      </c>
      <c r="U213" s="62" t="str">
        <f t="shared" si="59"/>
        <v/>
      </c>
      <c r="V213" s="51" t="s">
        <v>113</v>
      </c>
      <c r="W213" s="62" t="str">
        <f t="shared" si="60"/>
        <v/>
      </c>
      <c r="X213" s="48">
        <v>16</v>
      </c>
      <c r="Y213" s="62" t="str">
        <f t="shared" si="61"/>
        <v>E</v>
      </c>
      <c r="Z213" s="51" t="s">
        <v>113</v>
      </c>
      <c r="AA213" s="62" t="str">
        <f t="shared" si="62"/>
        <v/>
      </c>
      <c r="AB213" s="48">
        <v>17</v>
      </c>
      <c r="AC213" s="62" t="str">
        <f t="shared" si="63"/>
        <v>E</v>
      </c>
      <c r="AD213" s="48">
        <v>17</v>
      </c>
      <c r="AE213" s="62" t="str">
        <f t="shared" si="64"/>
        <v>E</v>
      </c>
      <c r="AF213" s="51" t="s">
        <v>113</v>
      </c>
      <c r="AG213" s="62" t="str">
        <f t="shared" si="65"/>
        <v/>
      </c>
      <c r="AH213" s="48">
        <v>18</v>
      </c>
      <c r="AI213" s="62" t="str">
        <f t="shared" si="66"/>
        <v>E</v>
      </c>
      <c r="AJ213" s="31">
        <f>IF(AND(OR(COUNTIF(D213:AI213,"=31")&gt;=1,COUNTIF(D213:AI213,"=32")&gt;=1,COUNTIF(D213:AI213,"=33")&gt;=1,COUNTIF(D213:AI213,"=34")&gt;=1,COUNTIF(D213:AI213,"=35")=1,COUNTIF(D213:AI213,"=36")&gt;=1 ),COUNTIF(D213:AI213,"")=0,COUNTIF(D213:AI213," ")=0,COUNTIF(D213:AI213,"F")=1),CONCATENATE(SUM(EXTRACTNUMBER(D213),EXTRACTNUMBER(F213),
EXTRACTNUMBER(H213),EXTRACTNUMBER(J213),
EXTRACTNUMBER(L213),EXTRACTNUMBER(N213),
EXTRACTNUMBER(P213),EXTRACTNUMBER(R213),
EXTRACTNUMBER(T213),EXTRACTNUMBER(V213),
EXTRACTNUMBER(X213),EXTRACTNUMBER(Z213),EXTRACTNUMBER(AB213),
EXTRACTNUMBER(AD213),EXTRACTNUMBER(AF213),EXTRACTNUMBER(AH213)),"*"),IF(AND(COUNTIF(D213:AI213,"=34")&gt;=1,COUNTIF(D213:AI213,"=35")&gt;=1,COUNTIF(D213:AI213,"f")=2,COUNTIF(D213:AI213,"")=0,COUNTIF(D213:AI213," ")=0),CONCATENATE(SUM(EXTRACTNUMBER(D213),EXTRACTNUMBER(F213),
EXTRACTNUMBER(H213),EXTRACTNUMBER(J213),
EXTRACTNUMBER(L213),EXTRACTNUMBER(N213),
EXTRACTNUMBER(P213),EXTRACTNUMBER(R213),
EXTRACTNUMBER(T213),EXTRACTNUMBER(V213),
EXTRACTNUMBER(X213),EXTRACTNUMBER(Z213),EXTRACTNUMBER(AB213),
EXTRACTNUMBER(AD213),EXTRACTNUMBER(AF213),EXTRACTNUMBER(AH213)),"*"),IF(AND(COUNTIF(D213:AI213,"=36")&gt;=2,COUNTIF(D213:AI213,"f")=2,COUNTIF(D213:AI213,"")=0,COUNTIF(D213:AI213," ")=0),CONCATENATE(SUM(EXTRACTNUMBER(D213),EXTRACTNUMBER(F213),
EXTRACTNUMBER(H213),EXTRACTNUMBER(J213),
EXTRACTNUMBER(L213),EXTRACTNUMBER(N213),
EXTRACTNUMBER(P213),EXTRACTNUMBER(R213),
EXTRACTNUMBER(T213),EXTRACTNUMBER(V213),
EXTRACTNUMBER(X213),EXTRACTNUMBER(Z213),EXTRACTNUMBER(AB213),
EXTRACTNUMBER(AD213),EXTRACTNUMBER(AF213),EXTRACTNUMBER(AH213)),"*"),SUM(EXTRACTNUMBER(D213),EXTRACTNUMBER(F213),
EXTRACTNUMBER(H213),EXTRACTNUMBER(J213),
EXTRACTNUMBER(L213),EXTRACTNUMBER(N213),
EXTRACTNUMBER(P213),EXTRACTNUMBER(R213),
EXTRACTNUMBER(T213),EXTRACTNUMBER(V213),
EXTRACTNUMBER(X213),EXTRACTNUMBER(Z213),EXTRACTNUMBER(AB213),
EXTRACTNUMBER(AD213),EXTRACTNUMBER(AF213),EXTRACTNUMBER(AH213)))))</f>
        <v>203</v>
      </c>
      <c r="AK213" s="32" t="str">
        <f t="shared" si="67"/>
        <v>FAIL</v>
      </c>
      <c r="AL213" s="33" t="str">
        <f>SPELLNUMBER(extractnumber_tot(AJ213))</f>
        <v xml:space="preserve">Two Hundred Three </v>
      </c>
    </row>
    <row r="214" spans="2:38" s="30" customFormat="1" ht="15.95" customHeight="1">
      <c r="B214" s="40" t="s">
        <v>396</v>
      </c>
      <c r="C214" s="42" t="s">
        <v>397</v>
      </c>
      <c r="D214" s="45">
        <v>40</v>
      </c>
      <c r="E214" s="61" t="str">
        <f t="shared" si="51"/>
        <v>E</v>
      </c>
      <c r="F214" s="48">
        <v>12</v>
      </c>
      <c r="G214" s="62" t="str">
        <f t="shared" si="52"/>
        <v>E</v>
      </c>
      <c r="H214" s="48" t="s">
        <v>113</v>
      </c>
      <c r="I214" s="62" t="str">
        <f t="shared" si="53"/>
        <v/>
      </c>
      <c r="J214" s="50">
        <v>30</v>
      </c>
      <c r="K214" s="62" t="str">
        <f t="shared" si="54"/>
        <v>F</v>
      </c>
      <c r="L214" s="48">
        <v>12</v>
      </c>
      <c r="M214" s="62" t="str">
        <f t="shared" si="55"/>
        <v>E</v>
      </c>
      <c r="N214" s="48">
        <v>40</v>
      </c>
      <c r="O214" s="62" t="str">
        <f t="shared" si="56"/>
        <v>E</v>
      </c>
      <c r="P214" s="51">
        <v>55</v>
      </c>
      <c r="Q214" s="62" t="str">
        <f t="shared" si="57"/>
        <v>E</v>
      </c>
      <c r="R214" s="48">
        <v>12</v>
      </c>
      <c r="S214" s="62" t="str">
        <f t="shared" si="58"/>
        <v>E</v>
      </c>
      <c r="T214" s="48">
        <v>20</v>
      </c>
      <c r="U214" s="62" t="str">
        <f t="shared" si="59"/>
        <v>E</v>
      </c>
      <c r="V214" s="51">
        <v>27</v>
      </c>
      <c r="W214" s="62" t="str">
        <f t="shared" si="60"/>
        <v>F</v>
      </c>
      <c r="X214" s="48">
        <v>12</v>
      </c>
      <c r="Y214" s="62" t="str">
        <f t="shared" si="61"/>
        <v>E</v>
      </c>
      <c r="Z214" s="51" t="s">
        <v>113</v>
      </c>
      <c r="AA214" s="62" t="str">
        <f t="shared" si="62"/>
        <v/>
      </c>
      <c r="AB214" s="48">
        <v>12</v>
      </c>
      <c r="AC214" s="62" t="str">
        <f t="shared" si="63"/>
        <v>E</v>
      </c>
      <c r="AD214" s="48">
        <v>20</v>
      </c>
      <c r="AE214" s="62" t="str">
        <f t="shared" si="64"/>
        <v>E</v>
      </c>
      <c r="AF214" s="51">
        <v>31</v>
      </c>
      <c r="AG214" s="62" t="str">
        <f t="shared" si="65"/>
        <v>E</v>
      </c>
      <c r="AH214" s="48">
        <v>12</v>
      </c>
      <c r="AI214" s="62" t="str">
        <f t="shared" si="66"/>
        <v>E</v>
      </c>
      <c r="AJ214" s="31">
        <f>IF(AND(OR(COUNTIF(D214:AI214,"=31")&gt;=1,COUNTIF(D214:AI214,"=32")&gt;=1,COUNTIF(D214:AI214,"=33")&gt;=1,COUNTIF(D214:AI214,"=34")&gt;=1,COUNTIF(D214:AI214,"=35")=1,COUNTIF(D214:AI214,"=36")&gt;=1 ),COUNTIF(D214:AI214,"")=0,COUNTIF(D214:AI214," ")=0,COUNTIF(D214:AI214,"F")=1),CONCATENATE(SUM(EXTRACTNUMBER(D214),EXTRACTNUMBER(F214),
EXTRACTNUMBER(H214),EXTRACTNUMBER(J214),
EXTRACTNUMBER(L214),EXTRACTNUMBER(N214),
EXTRACTNUMBER(P214),EXTRACTNUMBER(R214),
EXTRACTNUMBER(T214),EXTRACTNUMBER(V214),
EXTRACTNUMBER(X214),EXTRACTNUMBER(Z214),EXTRACTNUMBER(AB214),
EXTRACTNUMBER(AD214),EXTRACTNUMBER(AF214),EXTRACTNUMBER(AH214)),"*"),IF(AND(COUNTIF(D214:AI214,"=34")&gt;=1,COUNTIF(D214:AI214,"=35")&gt;=1,COUNTIF(D214:AI214,"f")=2,COUNTIF(D214:AI214,"")=0,COUNTIF(D214:AI214," ")=0),CONCATENATE(SUM(EXTRACTNUMBER(D214),EXTRACTNUMBER(F214),
EXTRACTNUMBER(H214),EXTRACTNUMBER(J214),
EXTRACTNUMBER(L214),EXTRACTNUMBER(N214),
EXTRACTNUMBER(P214),EXTRACTNUMBER(R214),
EXTRACTNUMBER(T214),EXTRACTNUMBER(V214),
EXTRACTNUMBER(X214),EXTRACTNUMBER(Z214),EXTRACTNUMBER(AB214),
EXTRACTNUMBER(AD214),EXTRACTNUMBER(AF214),EXTRACTNUMBER(AH214)),"*"),IF(AND(COUNTIF(D214:AI214,"=36")&gt;=2,COUNTIF(D214:AI214,"f")=2,COUNTIF(D214:AI214,"")=0,COUNTIF(D214:AI214," ")=0),CONCATENATE(SUM(EXTRACTNUMBER(D214),EXTRACTNUMBER(F214),
EXTRACTNUMBER(H214),EXTRACTNUMBER(J214),
EXTRACTNUMBER(L214),EXTRACTNUMBER(N214),
EXTRACTNUMBER(P214),EXTRACTNUMBER(R214),
EXTRACTNUMBER(T214),EXTRACTNUMBER(V214),
EXTRACTNUMBER(X214),EXTRACTNUMBER(Z214),EXTRACTNUMBER(AB214),
EXTRACTNUMBER(AD214),EXTRACTNUMBER(AF214),EXTRACTNUMBER(AH214)),"*"),SUM(EXTRACTNUMBER(D214),EXTRACTNUMBER(F214),
EXTRACTNUMBER(H214),EXTRACTNUMBER(J214),
EXTRACTNUMBER(L214),EXTRACTNUMBER(N214),
EXTRACTNUMBER(P214),EXTRACTNUMBER(R214),
EXTRACTNUMBER(T214),EXTRACTNUMBER(V214),
EXTRACTNUMBER(X214),EXTRACTNUMBER(Z214),EXTRACTNUMBER(AB214),
EXTRACTNUMBER(AD214),EXTRACTNUMBER(AF214),EXTRACTNUMBER(AH214)))))</f>
        <v>335</v>
      </c>
      <c r="AK214" s="32" t="str">
        <f t="shared" si="67"/>
        <v>FAIL</v>
      </c>
      <c r="AL214" s="33" t="str">
        <f>SPELLNUMBER(extractnumber_tot(AJ214))</f>
        <v xml:space="preserve">Three Hundred Thirty Five </v>
      </c>
    </row>
    <row r="215" spans="2:38" s="30" customFormat="1" ht="15.95" customHeight="1">
      <c r="B215" s="40" t="s">
        <v>398</v>
      </c>
      <c r="C215" s="42" t="s">
        <v>399</v>
      </c>
      <c r="D215" s="45" t="s">
        <v>113</v>
      </c>
      <c r="E215" s="61" t="str">
        <f t="shared" si="51"/>
        <v/>
      </c>
      <c r="F215" s="48" t="s">
        <v>113</v>
      </c>
      <c r="G215" s="62" t="str">
        <f t="shared" si="52"/>
        <v/>
      </c>
      <c r="H215" s="48" t="s">
        <v>113</v>
      </c>
      <c r="I215" s="62" t="str">
        <f t="shared" si="53"/>
        <v/>
      </c>
      <c r="J215" s="50" t="s">
        <v>113</v>
      </c>
      <c r="K215" s="62" t="str">
        <f t="shared" si="54"/>
        <v/>
      </c>
      <c r="L215" s="48" t="s">
        <v>113</v>
      </c>
      <c r="M215" s="62" t="str">
        <f t="shared" si="55"/>
        <v/>
      </c>
      <c r="N215" s="48" t="s">
        <v>113</v>
      </c>
      <c r="O215" s="62" t="str">
        <f t="shared" si="56"/>
        <v/>
      </c>
      <c r="P215" s="51" t="s">
        <v>113</v>
      </c>
      <c r="Q215" s="62" t="str">
        <f t="shared" si="57"/>
        <v/>
      </c>
      <c r="R215" s="48" t="s">
        <v>113</v>
      </c>
      <c r="S215" s="62" t="str">
        <f t="shared" si="58"/>
        <v/>
      </c>
      <c r="T215" s="48" t="s">
        <v>113</v>
      </c>
      <c r="U215" s="62" t="str">
        <f t="shared" si="59"/>
        <v/>
      </c>
      <c r="V215" s="51" t="s">
        <v>113</v>
      </c>
      <c r="W215" s="62" t="str">
        <f t="shared" si="60"/>
        <v/>
      </c>
      <c r="X215" s="48" t="s">
        <v>113</v>
      </c>
      <c r="Y215" s="62" t="str">
        <f t="shared" si="61"/>
        <v/>
      </c>
      <c r="Z215" s="51" t="s">
        <v>113</v>
      </c>
      <c r="AA215" s="62" t="str">
        <f t="shared" si="62"/>
        <v/>
      </c>
      <c r="AB215" s="48" t="s">
        <v>113</v>
      </c>
      <c r="AC215" s="62" t="str">
        <f t="shared" si="63"/>
        <v/>
      </c>
      <c r="AD215" s="48" t="s">
        <v>113</v>
      </c>
      <c r="AE215" s="62" t="str">
        <f t="shared" si="64"/>
        <v/>
      </c>
      <c r="AF215" s="51" t="s">
        <v>113</v>
      </c>
      <c r="AG215" s="62" t="str">
        <f t="shared" si="65"/>
        <v/>
      </c>
      <c r="AH215" s="48" t="s">
        <v>113</v>
      </c>
      <c r="AI215" s="62" t="str">
        <f t="shared" si="66"/>
        <v/>
      </c>
      <c r="AJ215" s="31">
        <f>IF(AND(OR(COUNTIF(D215:AI215,"=31")&gt;=1,COUNTIF(D215:AI215,"=32")&gt;=1,COUNTIF(D215:AI215,"=33")&gt;=1,COUNTIF(D215:AI215,"=34")&gt;=1,COUNTIF(D215:AI215,"=35")=1,COUNTIF(D215:AI215,"=36")&gt;=1 ),COUNTIF(D215:AI215,"")=0,COUNTIF(D215:AI215," ")=0,COUNTIF(D215:AI215,"F")=1),CONCATENATE(SUM(EXTRACTNUMBER(D215),EXTRACTNUMBER(F215),
EXTRACTNUMBER(H215),EXTRACTNUMBER(J215),
EXTRACTNUMBER(L215),EXTRACTNUMBER(N215),
EXTRACTNUMBER(P215),EXTRACTNUMBER(R215),
EXTRACTNUMBER(T215),EXTRACTNUMBER(V215),
EXTRACTNUMBER(X215),EXTRACTNUMBER(Z215),EXTRACTNUMBER(AB215),
EXTRACTNUMBER(AD215),EXTRACTNUMBER(AF215),EXTRACTNUMBER(AH215)),"*"),IF(AND(COUNTIF(D215:AI215,"=34")&gt;=1,COUNTIF(D215:AI215,"=35")&gt;=1,COUNTIF(D215:AI215,"f")=2,COUNTIF(D215:AI215,"")=0,COUNTIF(D215:AI215," ")=0),CONCATENATE(SUM(EXTRACTNUMBER(D215),EXTRACTNUMBER(F215),
EXTRACTNUMBER(H215),EXTRACTNUMBER(J215),
EXTRACTNUMBER(L215),EXTRACTNUMBER(N215),
EXTRACTNUMBER(P215),EXTRACTNUMBER(R215),
EXTRACTNUMBER(T215),EXTRACTNUMBER(V215),
EXTRACTNUMBER(X215),EXTRACTNUMBER(Z215),EXTRACTNUMBER(AB215),
EXTRACTNUMBER(AD215),EXTRACTNUMBER(AF215),EXTRACTNUMBER(AH215)),"*"),IF(AND(COUNTIF(D215:AI215,"=36")&gt;=2,COUNTIF(D215:AI215,"f")=2,COUNTIF(D215:AI215,"")=0,COUNTIF(D215:AI215," ")=0),CONCATENATE(SUM(EXTRACTNUMBER(D215),EXTRACTNUMBER(F215),
EXTRACTNUMBER(H215),EXTRACTNUMBER(J215),
EXTRACTNUMBER(L215),EXTRACTNUMBER(N215),
EXTRACTNUMBER(P215),EXTRACTNUMBER(R215),
EXTRACTNUMBER(T215),EXTRACTNUMBER(V215),
EXTRACTNUMBER(X215),EXTRACTNUMBER(Z215),EXTRACTNUMBER(AB215),
EXTRACTNUMBER(AD215),EXTRACTNUMBER(AF215),EXTRACTNUMBER(AH215)),"*"),SUM(EXTRACTNUMBER(D215),EXTRACTNUMBER(F215),
EXTRACTNUMBER(H215),EXTRACTNUMBER(J215),
EXTRACTNUMBER(L215),EXTRACTNUMBER(N215),
EXTRACTNUMBER(P215),EXTRACTNUMBER(R215),
EXTRACTNUMBER(T215),EXTRACTNUMBER(V215),
EXTRACTNUMBER(X215),EXTRACTNUMBER(Z215),EXTRACTNUMBER(AB215),
EXTRACTNUMBER(AD215),EXTRACTNUMBER(AF215),EXTRACTNUMBER(AH215)))))</f>
        <v>0</v>
      </c>
      <c r="AK215" s="32" t="str">
        <f t="shared" si="67"/>
        <v>ABSENT</v>
      </c>
      <c r="AL215" s="33" t="str">
        <f>SPELLNUMBER(extractnumber_tot(AJ215))</f>
        <v xml:space="preserve"> </v>
      </c>
    </row>
    <row r="216" spans="2:38" s="30" customFormat="1" ht="15.95" customHeight="1">
      <c r="B216" s="40" t="s">
        <v>400</v>
      </c>
      <c r="C216" s="42" t="s">
        <v>401</v>
      </c>
      <c r="D216" s="45" t="s">
        <v>113</v>
      </c>
      <c r="E216" s="61" t="str">
        <f t="shared" ref="E216" si="68">IF(IFERROR(FIND("+",D216),0)," ",
IF(D216="AB","",
IF(D216&lt;$D$24,"F",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F216" s="48" t="s">
        <v>113</v>
      </c>
      <c r="G216" s="62" t="str">
        <f t="shared" ref="G216" si="69">IF(IFERROR(FIND("+",F216),0)," ",
IF(F216="AB","",
IF(F216&lt;$F$24,"F",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H216" s="48" t="s">
        <v>113</v>
      </c>
      <c r="I216" s="62" t="str">
        <f t="shared" ref="I216" si="70">IF(IFERROR(FIND("+",H216),0)," ",
IF(H216="AB","",
IF(H216&lt;$H$24,"F",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J216" s="50" t="s">
        <v>113</v>
      </c>
      <c r="K216" s="62" t="str">
        <f t="shared" ref="K216" si="71">IF(IFERROR(FIND("+",J216),0)," ",
IF(J216="AB","",
IF(J216&lt;$J$24,"F",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L216" s="48" t="s">
        <v>113</v>
      </c>
      <c r="M216" s="62" t="str">
        <f t="shared" ref="M216" si="72">IF(IFERROR(FIND("+",L216),0)," ",
IF(L216="AB","",
IF(L216&lt;$L$24,"F",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N216" s="48" t="s">
        <v>113</v>
      </c>
      <c r="O216" s="62" t="str">
        <f t="shared" ref="O216" si="73">IF(IFERROR(FIND("+",N216),0)," ",
IF(N216="AB","",
IF(N216&lt;$N$24,"F",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P216" s="51" t="s">
        <v>113</v>
      </c>
      <c r="Q216" s="62" t="str">
        <f t="shared" ref="Q216" si="74">IF(IFERROR(FIND("+",P216),0)," ",
IF(P216="AB","",
IF(P216&lt;$P$24,"F",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R216" s="48" t="s">
        <v>113</v>
      </c>
      <c r="S216" s="62" t="str">
        <f t="shared" ref="S216" si="75">IF(IFERROR(FIND("+",R216),0)," ",
IF(R216="AB","",
IF(R216&lt;$R$24,"F",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T216" s="48" t="s">
        <v>113</v>
      </c>
      <c r="U216" s="62" t="str">
        <f t="shared" ref="U216" si="76">IF(IFERROR(FIND("+",T216),0)," ",
IF(T216="AB","",
IF(T216&lt;$T$24,"F",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V216" s="51" t="s">
        <v>113</v>
      </c>
      <c r="W216" s="62" t="str">
        <f t="shared" ref="W216" si="77">IF(IFERROR(FIND("+",V216),0)," ",
IF(V216="AB","",
IF(V216&lt;$V$24,"F",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X216" s="48" t="s">
        <v>113</v>
      </c>
      <c r="Y216" s="62" t="str">
        <f t="shared" ref="Y216" si="78">IF(IFERROR(FIND("+",X216),0)," ",
IF(X216="AB","",
IF(X216&lt;$X$24,"F",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Z216" s="51" t="s">
        <v>113</v>
      </c>
      <c r="AA216" s="62" t="str">
        <f t="shared" ref="AA216" si="79">IF(IFERROR(FIND("+",Z216),0)," ",
IF(Z216="AB","",
IF(Z216&lt;$Z$24,"F",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AB216" s="48" t="s">
        <v>113</v>
      </c>
      <c r="AC216" s="62" t="str">
        <f t="shared" ref="AC216" si="80">IF(IFERROR(FIND("+",AB216),0)," ",
IF(AB216="AB","",
IF(AB216&lt;$AB$24,"F",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AD216" s="48" t="s">
        <v>113</v>
      </c>
      <c r="AE216" s="62" t="str">
        <f t="shared" ref="AE216" si="81">IF(IFERROR(FIND("+",AD216),0)," ",
IF(AD216="AB","",
IF(AD216&lt;$AD$24,"F",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AF216" s="51" t="s">
        <v>113</v>
      </c>
      <c r="AG216" s="62" t="str">
        <f t="shared" ref="AG216" si="82">IF(IFERROR(FIND("+",AF216),0)," ",
IF(AF216="AB","",
IF(AF216&lt;$AF$24,"F",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AH216" s="48" t="s">
        <v>113</v>
      </c>
      <c r="AI216" s="62" t="str">
        <f t="shared" ref="AI216" si="83">IF(IFERROR(FIND("+",AH216),0)," ",
IF(AH216="AB","",
IF(AH216&lt;$AH$24,"F",
IF(AND(D216&gt;=$D$24,F216&gt;=$F$24,H216&gt;=$H$24,
J216&gt;=$J$24,L216&gt;=$L$24,
N216&gt;=$N$24,P216&gt;=$P$24,R216&gt;=$R$24,T216&gt;=$T$24,V216&gt;=$V$24,
X216&gt;=$X$24,Z216&gt;=$Z$24,AB216&gt;=$AB$24,AD216&gt;=$AD$24,AF216&gt;=$AF$24,
AH216&gt;=$AH$24,D216&lt;&gt;"AB",F216&lt;&gt;"AB",H216&lt;&gt;"AB",
J216&lt;&gt;"AB",L216&lt;&gt;"AB",
N216&lt;&gt;"AB",P216&lt;&gt;"AB",R216&lt;&gt;"AB",T216&lt;&gt;"AB",V216&lt;&gt;"AB",
X216&lt;&gt;"AB",Z216&lt;&gt;"AB",AB216&lt;&gt;"AB",AD216&lt;&gt;"AB",AF216&lt;&gt;"AB",
AH216&lt;&gt;"AB"),"","E"))))</f>
        <v/>
      </c>
      <c r="AJ216" s="31">
        <f>IF(AND(OR(COUNTIF(D216:AI216,"=31")&gt;=1,COUNTIF(D216:AI216,"=32")&gt;=1,COUNTIF(D216:AI216,"=33")&gt;=1,COUNTIF(D216:AI216,"=34")&gt;=1,COUNTIF(D216:AI216,"=35")=1,COUNTIF(D216:AI216,"=36")&gt;=1 ),COUNTIF(D216:AI216,"")=0,COUNTIF(D216:AI216," ")=0,COUNTIF(D216:AI216,"F")=1),CONCATENATE(SUM(EXTRACTNUMBER(D216),EXTRACTNUMBER(F216),
EXTRACTNUMBER(H216),EXTRACTNUMBER(J216),
EXTRACTNUMBER(L216),EXTRACTNUMBER(N216),
EXTRACTNUMBER(P216),EXTRACTNUMBER(R216),
EXTRACTNUMBER(T216),EXTRACTNUMBER(V216),
EXTRACTNUMBER(X216),EXTRACTNUMBER(Z216),EXTRACTNUMBER(AB216),
EXTRACTNUMBER(AD216),EXTRACTNUMBER(AF216),EXTRACTNUMBER(AH216)),"*"),IF(AND(COUNTIF(D216:AI216,"=34")&gt;=1,COUNTIF(D216:AI216,"=35")&gt;=1,COUNTIF(D216:AI216,"f")=2,COUNTIF(D216:AI216,"")=0,COUNTIF(D216:AI216," ")=0),CONCATENATE(SUM(EXTRACTNUMBER(D216),EXTRACTNUMBER(F216),
EXTRACTNUMBER(H216),EXTRACTNUMBER(J216),
EXTRACTNUMBER(L216),EXTRACTNUMBER(N216),
EXTRACTNUMBER(P216),EXTRACTNUMBER(R216),
EXTRACTNUMBER(T216),EXTRACTNUMBER(V216),
EXTRACTNUMBER(X216),EXTRACTNUMBER(Z216),EXTRACTNUMBER(AB216),
EXTRACTNUMBER(AD216),EXTRACTNUMBER(AF216),EXTRACTNUMBER(AH216)),"*"),IF(AND(COUNTIF(D216:AI216,"=36")&gt;=2,COUNTIF(D216:AI216,"f")=2,COUNTIF(D216:AI216,"")=0,COUNTIF(D216:AI216," ")=0),CONCATENATE(SUM(EXTRACTNUMBER(D216),EXTRACTNUMBER(F216),
EXTRACTNUMBER(H216),EXTRACTNUMBER(J216),
EXTRACTNUMBER(L216),EXTRACTNUMBER(N216),
EXTRACTNUMBER(P216),EXTRACTNUMBER(R216),
EXTRACTNUMBER(T216),EXTRACTNUMBER(V216),
EXTRACTNUMBER(X216),EXTRACTNUMBER(Z216),EXTRACTNUMBER(AB216),
EXTRACTNUMBER(AD216),EXTRACTNUMBER(AF216),EXTRACTNUMBER(AH216)),"*"),SUM(EXTRACTNUMBER(D216),EXTRACTNUMBER(F216),
EXTRACTNUMBER(H216),EXTRACTNUMBER(J216),
EXTRACTNUMBER(L216),EXTRACTNUMBER(N216),
EXTRACTNUMBER(P216),EXTRACTNUMBER(R216),
EXTRACTNUMBER(T216),EXTRACTNUMBER(V216),
EXTRACTNUMBER(X216),EXTRACTNUMBER(Z216),EXTRACTNUMBER(AB216),
EXTRACTNUMBER(AD216),EXTRACTNUMBER(AF216),EXTRACTNUMBER(AH216)))))</f>
        <v>0</v>
      </c>
      <c r="AK216" s="32" t="str">
        <f t="shared" si="67"/>
        <v>ABSENT</v>
      </c>
      <c r="AL216" s="33" t="str">
        <f>SPELLNUMBER(extractnumber_tot(AJ216))</f>
        <v xml:space="preserve"> </v>
      </c>
    </row>
    <row r="217" spans="2:38">
      <c r="D217" s="29"/>
    </row>
    <row r="218" spans="2:38" ht="17.25">
      <c r="D218" s="29"/>
      <c r="AB218" s="53" t="s">
        <v>121</v>
      </c>
      <c r="AD218" s="55"/>
      <c r="AF218" s="56"/>
      <c r="AG218" s="65"/>
      <c r="AH218" s="56"/>
      <c r="AI218" s="65"/>
      <c r="AJ218" s="26"/>
      <c r="AK218" s="27">
        <f>COUNTIF(AK25:AK216,"PASS")+COUNTIF(AK25:AK216,"FAIL")</f>
        <v>184</v>
      </c>
      <c r="AL218" s="25">
        <f>COUNTIF(AK25:AK216,"ABSENT")</f>
        <v>8</v>
      </c>
    </row>
    <row r="219" spans="2:38" ht="17.25">
      <c r="AB219" s="53" t="s">
        <v>122</v>
      </c>
      <c r="AD219" s="55"/>
      <c r="AF219" s="56"/>
      <c r="AG219" s="65"/>
      <c r="AH219" s="56"/>
      <c r="AI219" s="65"/>
      <c r="AJ219" s="26"/>
      <c r="AK219" s="27">
        <f>COUNTIF(AK25:AK216,"PASS")</f>
        <v>137</v>
      </c>
      <c r="AL219" s="25">
        <f>COUNTIF(AK25:AK216,"FAIL")</f>
        <v>47</v>
      </c>
    </row>
    <row r="220" spans="2:38" ht="17.25">
      <c r="AB220" s="53" t="s">
        <v>123</v>
      </c>
      <c r="AD220" s="55"/>
      <c r="AF220" s="56"/>
      <c r="AG220" s="65"/>
      <c r="AH220" s="56"/>
      <c r="AI220" s="65"/>
      <c r="AJ220" s="26"/>
      <c r="AK220" s="28">
        <f>AK219/AK218</f>
        <v>0.74456521739130432</v>
      </c>
      <c r="AL220" s="25">
        <f>8+47+137</f>
        <v>192</v>
      </c>
    </row>
    <row r="221" spans="2:38">
      <c r="AL221" s="9">
        <f>192-184</f>
        <v>8</v>
      </c>
    </row>
    <row r="222" spans="2:38">
      <c r="C222" s="9">
        <f>216-25</f>
        <v>191</v>
      </c>
    </row>
  </sheetData>
  <mergeCells count="60">
    <mergeCell ref="B21:B24"/>
    <mergeCell ref="C21:C22"/>
    <mergeCell ref="AM21:AM24"/>
    <mergeCell ref="D22:E22"/>
    <mergeCell ref="F22:G22"/>
    <mergeCell ref="H22:I22"/>
    <mergeCell ref="J22:K22"/>
    <mergeCell ref="L22:M22"/>
    <mergeCell ref="N22:O22"/>
    <mergeCell ref="P22:Q22"/>
    <mergeCell ref="R22:S22"/>
    <mergeCell ref="D21:I21"/>
    <mergeCell ref="J21:O21"/>
    <mergeCell ref="P21:U21"/>
    <mergeCell ref="V21:Y21"/>
    <mergeCell ref="Z21:AE21"/>
    <mergeCell ref="AF21:AI21"/>
    <mergeCell ref="T22:U22"/>
    <mergeCell ref="AL22:AL24"/>
    <mergeCell ref="D23:E23"/>
    <mergeCell ref="F23:G23"/>
    <mergeCell ref="H23:I23"/>
    <mergeCell ref="J23:K23"/>
    <mergeCell ref="L23:M23"/>
    <mergeCell ref="N23:O23"/>
    <mergeCell ref="AK21:AK24"/>
    <mergeCell ref="V22:W22"/>
    <mergeCell ref="P23:Q23"/>
    <mergeCell ref="R23:S23"/>
    <mergeCell ref="T23:U23"/>
    <mergeCell ref="V23:W23"/>
    <mergeCell ref="X22:Y22"/>
    <mergeCell ref="Z22:AA22"/>
    <mergeCell ref="AB22:AC22"/>
    <mergeCell ref="AF23:AG23"/>
    <mergeCell ref="AH23:AI23"/>
    <mergeCell ref="AF22:AG22"/>
    <mergeCell ref="AH22:AI22"/>
    <mergeCell ref="AD22:AE22"/>
    <mergeCell ref="AJ22:AJ24"/>
    <mergeCell ref="N24:O24"/>
    <mergeCell ref="X23:Y23"/>
    <mergeCell ref="Z23:AA23"/>
    <mergeCell ref="AB23:AC23"/>
    <mergeCell ref="AD23:AE23"/>
    <mergeCell ref="AB24:AC24"/>
    <mergeCell ref="AD24:AE24"/>
    <mergeCell ref="AF24:AG24"/>
    <mergeCell ref="AH24:AI24"/>
    <mergeCell ref="P24:Q24"/>
    <mergeCell ref="R24:S24"/>
    <mergeCell ref="T24:U24"/>
    <mergeCell ref="V24:W24"/>
    <mergeCell ref="X24:Y24"/>
    <mergeCell ref="Z24:AA24"/>
    <mergeCell ref="D24:E24"/>
    <mergeCell ref="F24:G24"/>
    <mergeCell ref="H24:I24"/>
    <mergeCell ref="J24:K24"/>
    <mergeCell ref="L24:M24"/>
  </mergeCells>
  <conditionalFormatting sqref="E21:E23 G21:G23 I21:I23 K21:K23 M21:M23 O21:O23 Q21:Q23 S21:S23 U21:U23 Y21:Y23 AA21:AA23 AC21:AC23 W21:W23 AI21:AI23 AG21:AG23 AE21:AE23 C16:C18 E16:E18 AC16:AC18 G17:G18 K16:K18 M16:M18 O17:O18 Q16:Q18 S16:S18 W16:W18 Y16:Y18 AA16:AA18 U16:U18 AG16:AG18 AE16:AE18 I17:I18">
    <cfRule type="cellIs" dxfId="16" priority="69" operator="equal">
      <formula>"AB"</formula>
    </cfRule>
  </conditionalFormatting>
  <conditionalFormatting sqref="E21:E23 K21:K23 Q21:Q23 AA21:AA23 W21:W23 C16:C18 U16:U18 O17:O18 Y16:Y18 I17:I18">
    <cfRule type="cellIs" dxfId="15" priority="68" operator="lessThan">
      <formula>40</formula>
    </cfRule>
  </conditionalFormatting>
  <conditionalFormatting sqref="G21:G23 AI21:AI23 AC21:AC23 Y21:Y23 U21:U23 S21:S23 M21:M23 AE21:AE23 E16:E18 AG16:AG18 AA16:AA18 W16:W18 S16:S18 Q16:Q18 K16:K18 AC16:AC18">
    <cfRule type="cellIs" dxfId="14" priority="67" operator="lessThan">
      <formula>10</formula>
    </cfRule>
  </conditionalFormatting>
  <conditionalFormatting sqref="AG21:AG23 I21:I23 O21:O23 AE16:AE18 M16:M18 G17:G18">
    <cfRule type="cellIs" dxfId="13" priority="66" operator="lessThan">
      <formula>20</formula>
    </cfRule>
  </conditionalFormatting>
  <conditionalFormatting sqref="AK1:AK1048576">
    <cfRule type="cellIs" dxfId="12" priority="54" operator="equal">
      <formula>"FAIL"</formula>
    </cfRule>
  </conditionalFormatting>
  <conditionalFormatting sqref="AC1:AC1048576 AE1:AE1048576 AG1:AG1048576 AI1:AI1048576 E1:E1048576 G1:G1048576 I1:I1048576 K1:K1048576 M1:M1048576 O1:O1048576 Q1:Q1048576 S1:S1048576 U1:U1048576 W1:W1048576 Y1:Y1048576 AA1:AA1048576">
    <cfRule type="cellIs" dxfId="11" priority="53" operator="equal">
      <formula>"F"</formula>
    </cfRule>
  </conditionalFormatting>
  <conditionalFormatting sqref="D1:D1048576 F1:F1048576 H1:H1048576 L1:L1048576 N1:N1048576 R1:R1048576 T1:T1048576 X1:X1048576 AB1:AB1048576 AD1:AD1048576 AH1:AH1048576 J1:J1048576 P1:P1048576 V1:V1048576 Z1:Z1048576 AF1:AF1048576">
    <cfRule type="cellIs" dxfId="10" priority="5" operator="equal">
      <formula>"AB"</formula>
    </cfRule>
  </conditionalFormatting>
  <conditionalFormatting sqref="D1:D1048576 J1:J1048576 P1:P1048576 V1:V1048576 Z1:Z1048576">
    <cfRule type="cellIs" dxfId="9" priority="4" operator="lessThan">
      <formula>40</formula>
    </cfRule>
  </conditionalFormatting>
  <conditionalFormatting sqref="F1:F1048576 L1:L1048576 R1:R1048576 T1:T1048576 X1:X1048576 AB1:AB1048576 AD1:AD1048576 AH1:AH1048576">
    <cfRule type="cellIs" dxfId="8" priority="3" operator="lessThan">
      <formula>10</formula>
    </cfRule>
  </conditionalFormatting>
  <conditionalFormatting sqref="H1:H1048576 N1:N1048576 AF1:AF1048576">
    <cfRule type="cellIs" dxfId="7" priority="2" operator="lessThan">
      <formula>20</formula>
    </cfRule>
  </conditionalFormatting>
  <conditionalFormatting sqref="AF4">
    <cfRule type="cellIs" dxfId="6" priority="1" operator="lessThan">
      <formula>40</formula>
    </cfRule>
  </conditionalFormatting>
  <pageMargins left="1.52" right="0.70866141732283505" top="1.96" bottom="2.63" header="0.71" footer="0.65"/>
  <pageSetup paperSize="8" orientation="landscape" r:id="rId1"/>
  <headerFooter>
    <oddHeader>&amp;C&amp;"-,Bold"&amp;16University of Mumbai
Atharva college of Engineering Malad(W),Mumbai -400095
Statement of Marks for T.Y.B.E Semester-V Nov/Dec 2012 Examination      Branch :- Computer Engineering</oddHeader>
    <oddFooter>&amp;L           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19"/>
  <sheetViews>
    <sheetView topLeftCell="A4" workbookViewId="0">
      <selection activeCell="D15" sqref="D15"/>
    </sheetView>
  </sheetViews>
  <sheetFormatPr defaultRowHeight="15.75"/>
  <cols>
    <col min="1" max="1" width="6.5703125" style="75" customWidth="1"/>
    <col min="2" max="3" width="20.28515625" style="75" customWidth="1"/>
    <col min="4" max="4" width="20.42578125" style="75" customWidth="1"/>
    <col min="5" max="5" width="9.85546875" style="75" customWidth="1"/>
    <col min="6" max="6" width="8.7109375" style="75" customWidth="1"/>
    <col min="7" max="7" width="9.140625" style="75"/>
    <col min="8" max="8" width="10.28515625" style="75" customWidth="1"/>
    <col min="9" max="9" width="11.28515625" style="75" customWidth="1"/>
    <col min="10" max="10" width="10.42578125" style="75" customWidth="1"/>
    <col min="11" max="16384" width="9.140625" style="75"/>
  </cols>
  <sheetData>
    <row r="1" spans="1:12" s="68" customFormat="1">
      <c r="A1" s="68" t="s">
        <v>403</v>
      </c>
    </row>
    <row r="2" spans="1:12" s="68" customFormat="1">
      <c r="A2" s="68" t="s">
        <v>404</v>
      </c>
    </row>
    <row r="3" spans="1:12" s="68" customFormat="1"/>
    <row r="4" spans="1:12" s="68" customFormat="1">
      <c r="A4" s="68" t="s">
        <v>124</v>
      </c>
    </row>
    <row r="5" spans="1:12" s="68" customFormat="1"/>
    <row r="6" spans="1:12" s="82" customFormat="1" ht="75" customHeight="1">
      <c r="A6" s="81" t="s">
        <v>125</v>
      </c>
      <c r="B6" s="81" t="s">
        <v>126</v>
      </c>
      <c r="C6" s="81" t="s">
        <v>127</v>
      </c>
      <c r="D6" s="81" t="s">
        <v>145</v>
      </c>
      <c r="E6" s="81" t="s">
        <v>128</v>
      </c>
      <c r="F6" s="81" t="s">
        <v>129</v>
      </c>
      <c r="G6" s="81" t="s">
        <v>130</v>
      </c>
      <c r="H6" s="81" t="s">
        <v>146</v>
      </c>
      <c r="I6" s="81" t="s">
        <v>147</v>
      </c>
      <c r="J6" s="81" t="s">
        <v>131</v>
      </c>
    </row>
    <row r="7" spans="1:12" ht="34.5" customHeight="1">
      <c r="A7" s="69">
        <v>1</v>
      </c>
      <c r="B7" s="70" t="s">
        <v>136</v>
      </c>
      <c r="C7" s="71" t="s">
        <v>422</v>
      </c>
      <c r="D7" s="72" t="s">
        <v>142</v>
      </c>
      <c r="E7" s="72">
        <f>GAZET!D4</f>
        <v>165</v>
      </c>
      <c r="F7" s="72">
        <f>GAZET!D6</f>
        <v>160</v>
      </c>
      <c r="G7" s="73">
        <f>F7/E7</f>
        <v>0.96969696969696972</v>
      </c>
      <c r="H7" s="74">
        <f>GAZET!D10</f>
        <v>110</v>
      </c>
      <c r="I7" s="74">
        <f>F7-H7</f>
        <v>50</v>
      </c>
      <c r="J7" s="74" t="s">
        <v>132</v>
      </c>
      <c r="L7" s="76"/>
    </row>
    <row r="8" spans="1:12" ht="33.75" customHeight="1">
      <c r="A8" s="69">
        <v>2</v>
      </c>
      <c r="B8" s="70" t="s">
        <v>137</v>
      </c>
      <c r="C8" s="72" t="s">
        <v>423</v>
      </c>
      <c r="D8" s="72" t="s">
        <v>142</v>
      </c>
      <c r="E8" s="74">
        <f>GAZET!J4</f>
        <v>164</v>
      </c>
      <c r="F8" s="74">
        <f>GAZET!J6</f>
        <v>148</v>
      </c>
      <c r="G8" s="73">
        <f t="shared" ref="G8:G12" si="0">F8/E8</f>
        <v>0.90243902439024393</v>
      </c>
      <c r="H8" s="74">
        <f>GAZET!J10</f>
        <v>126</v>
      </c>
      <c r="I8" s="74">
        <f t="shared" ref="I8:I11" si="1">F8-H8</f>
        <v>22</v>
      </c>
      <c r="J8" s="74" t="s">
        <v>132</v>
      </c>
    </row>
    <row r="9" spans="1:12" ht="33" customHeight="1">
      <c r="A9" s="69">
        <v>3</v>
      </c>
      <c r="B9" s="70" t="s">
        <v>138</v>
      </c>
      <c r="C9" s="72" t="s">
        <v>424</v>
      </c>
      <c r="D9" s="72" t="s">
        <v>143</v>
      </c>
      <c r="E9" s="74">
        <f>GAZET!P4</f>
        <v>168</v>
      </c>
      <c r="F9" s="74">
        <f>GAZET!P6</f>
        <v>152</v>
      </c>
      <c r="G9" s="73">
        <f t="shared" si="0"/>
        <v>0.90476190476190477</v>
      </c>
      <c r="H9" s="74">
        <f>GAZET!P10</f>
        <v>131</v>
      </c>
      <c r="I9" s="74">
        <f t="shared" si="1"/>
        <v>21</v>
      </c>
      <c r="J9" s="74" t="s">
        <v>132</v>
      </c>
    </row>
    <row r="10" spans="1:12" ht="32.25" customHeight="1">
      <c r="A10" s="69">
        <v>4</v>
      </c>
      <c r="B10" s="70" t="s">
        <v>139</v>
      </c>
      <c r="C10" s="72" t="s">
        <v>425</v>
      </c>
      <c r="D10" s="72" t="s">
        <v>419</v>
      </c>
      <c r="E10" s="74">
        <f>GAZET!V4</f>
        <v>175</v>
      </c>
      <c r="F10" s="74">
        <f>GAZET!V6</f>
        <v>156</v>
      </c>
      <c r="G10" s="73">
        <f t="shared" si="0"/>
        <v>0.89142857142857146</v>
      </c>
      <c r="H10" s="74">
        <f>GAZET!V10</f>
        <v>94</v>
      </c>
      <c r="I10" s="74">
        <f t="shared" si="1"/>
        <v>62</v>
      </c>
      <c r="J10" s="74" t="s">
        <v>132</v>
      </c>
    </row>
    <row r="11" spans="1:12" ht="36.75" customHeight="1">
      <c r="A11" s="69">
        <v>5</v>
      </c>
      <c r="B11" s="70" t="s">
        <v>140</v>
      </c>
      <c r="C11" s="72" t="s">
        <v>144</v>
      </c>
      <c r="D11" s="72" t="s">
        <v>427</v>
      </c>
      <c r="E11" s="74">
        <f>GAZET!Z4</f>
        <v>170</v>
      </c>
      <c r="F11" s="74">
        <f>GAZET!Z6</f>
        <v>152</v>
      </c>
      <c r="G11" s="73">
        <f t="shared" si="0"/>
        <v>0.89411764705882357</v>
      </c>
      <c r="H11" s="74">
        <f>GAZET!Z10</f>
        <v>108</v>
      </c>
      <c r="I11" s="74">
        <f t="shared" si="1"/>
        <v>44</v>
      </c>
      <c r="J11" s="74" t="s">
        <v>132</v>
      </c>
    </row>
    <row r="12" spans="1:12" ht="62.25" customHeight="1">
      <c r="A12" s="69">
        <v>6</v>
      </c>
      <c r="B12" s="77" t="s">
        <v>141</v>
      </c>
      <c r="C12" s="72" t="s">
        <v>426</v>
      </c>
      <c r="D12" s="72" t="s">
        <v>428</v>
      </c>
      <c r="E12" s="74">
        <f>GAZET!AF4</f>
        <v>164</v>
      </c>
      <c r="F12" s="74">
        <f>GAZET!AF6</f>
        <v>164</v>
      </c>
      <c r="G12" s="73">
        <f t="shared" si="0"/>
        <v>1</v>
      </c>
      <c r="H12" s="74" t="s">
        <v>420</v>
      </c>
      <c r="I12" s="74" t="s">
        <v>421</v>
      </c>
      <c r="J12" s="74">
        <v>2</v>
      </c>
    </row>
    <row r="14" spans="1:12">
      <c r="B14" s="75" t="s">
        <v>133</v>
      </c>
      <c r="D14" s="78">
        <f>GAZET!AK218</f>
        <v>184</v>
      </c>
    </row>
    <row r="15" spans="1:12">
      <c r="B15" s="75" t="s">
        <v>134</v>
      </c>
      <c r="D15" s="78">
        <f>GAZET!AK219</f>
        <v>137</v>
      </c>
    </row>
    <row r="16" spans="1:12">
      <c r="B16" s="75" t="s">
        <v>135</v>
      </c>
      <c r="D16" s="79">
        <f>GAZET!AK220</f>
        <v>0.74456521739130432</v>
      </c>
    </row>
    <row r="17" spans="2:6">
      <c r="B17" s="68" t="s">
        <v>416</v>
      </c>
      <c r="C17" s="68"/>
      <c r="D17" s="68" t="s">
        <v>415</v>
      </c>
      <c r="E17" s="68"/>
    </row>
    <row r="18" spans="2:6">
      <c r="B18" s="75" t="s">
        <v>418</v>
      </c>
      <c r="D18" s="80" t="s">
        <v>417</v>
      </c>
    </row>
    <row r="19" spans="2:6">
      <c r="F19" s="75" t="s">
        <v>429</v>
      </c>
    </row>
  </sheetData>
  <pageMargins left="1.1200000000000001" right="0.70866141732283505" top="0.82" bottom="0.74803149606299202" header="0.41" footer="0.31496062992126"/>
  <pageSetup paperSize="9" orientation="landscape" horizontalDpi="300" verticalDpi="300" r:id="rId1"/>
  <headerFooter>
    <oddHeader>&amp;C&amp;UUNIVERSITY OF MUMBAI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K47"/>
  <sheetViews>
    <sheetView workbookViewId="0">
      <selection activeCell="U6" sqref="U6"/>
    </sheetView>
  </sheetViews>
  <sheetFormatPr defaultColWidth="3.7109375" defaultRowHeight="15" customHeight="1"/>
  <cols>
    <col min="1" max="1" width="10.140625" customWidth="1"/>
    <col min="2" max="2" width="24.42578125" customWidth="1"/>
    <col min="35" max="35" width="5.85546875" customWidth="1"/>
    <col min="36" max="36" width="13.85546875" customWidth="1"/>
    <col min="37" max="37" width="24.5703125" customWidth="1"/>
  </cols>
  <sheetData>
    <row r="1" spans="1:37" ht="15" customHeight="1">
      <c r="A1" t="s">
        <v>198</v>
      </c>
      <c r="B1" t="s">
        <v>199</v>
      </c>
      <c r="C1" t="s">
        <v>200</v>
      </c>
      <c r="E1" t="s">
        <v>201</v>
      </c>
      <c r="G1" t="s">
        <v>202</v>
      </c>
      <c r="I1" t="s">
        <v>203</v>
      </c>
      <c r="K1" t="s">
        <v>204</v>
      </c>
      <c r="M1" t="s">
        <v>205</v>
      </c>
      <c r="O1" t="s">
        <v>206</v>
      </c>
      <c r="Q1" t="s">
        <v>207</v>
      </c>
      <c r="S1" t="s">
        <v>208</v>
      </c>
      <c r="U1" t="s">
        <v>209</v>
      </c>
      <c r="W1" t="s">
        <v>210</v>
      </c>
      <c r="Y1" t="s">
        <v>211</v>
      </c>
      <c r="AA1" t="s">
        <v>212</v>
      </c>
      <c r="AC1" t="s">
        <v>213</v>
      </c>
      <c r="AE1" t="s">
        <v>214</v>
      </c>
      <c r="AG1" t="s">
        <v>215</v>
      </c>
      <c r="AI1" t="s">
        <v>216</v>
      </c>
      <c r="AJ1" t="s">
        <v>7</v>
      </c>
      <c r="AK1" t="s">
        <v>217</v>
      </c>
    </row>
    <row r="2" spans="1:37" ht="15" customHeight="1">
      <c r="A2" s="5">
        <v>125201</v>
      </c>
      <c r="B2" s="6" t="s">
        <v>20</v>
      </c>
      <c r="C2" s="8" t="s">
        <v>66</v>
      </c>
      <c r="D2" s="1" t="s">
        <v>148</v>
      </c>
      <c r="E2" s="8" t="s">
        <v>76</v>
      </c>
      <c r="F2" s="1" t="s">
        <v>148</v>
      </c>
      <c r="G2" s="8" t="s">
        <v>69</v>
      </c>
      <c r="H2" s="1" t="s">
        <v>148</v>
      </c>
      <c r="I2" s="8" t="s">
        <v>69</v>
      </c>
      <c r="J2" s="1" t="s">
        <v>148</v>
      </c>
      <c r="K2" s="8" t="s">
        <v>76</v>
      </c>
      <c r="L2" s="1" t="s">
        <v>148</v>
      </c>
      <c r="M2" s="8" t="s">
        <v>89</v>
      </c>
      <c r="N2" s="1" t="s">
        <v>148</v>
      </c>
      <c r="O2" s="8">
        <v>31</v>
      </c>
      <c r="P2" s="1" t="s">
        <v>149</v>
      </c>
      <c r="Q2" s="8" t="s">
        <v>76</v>
      </c>
      <c r="R2" s="1" t="s">
        <v>148</v>
      </c>
      <c r="S2" s="8" t="s">
        <v>82</v>
      </c>
      <c r="T2" s="1" t="s">
        <v>148</v>
      </c>
      <c r="U2" s="8" t="s">
        <v>88</v>
      </c>
      <c r="V2" s="1" t="s">
        <v>148</v>
      </c>
      <c r="W2" s="8" t="s">
        <v>76</v>
      </c>
      <c r="X2" s="1" t="s">
        <v>148</v>
      </c>
      <c r="Y2" s="8" t="s">
        <v>72</v>
      </c>
      <c r="Z2" s="1" t="s">
        <v>148</v>
      </c>
      <c r="AA2" s="8" t="s">
        <v>76</v>
      </c>
      <c r="AB2" s="1" t="s">
        <v>148</v>
      </c>
      <c r="AC2" s="8" t="s">
        <v>77</v>
      </c>
      <c r="AD2" s="1" t="s">
        <v>148</v>
      </c>
      <c r="AE2" s="8" t="s">
        <v>105</v>
      </c>
      <c r="AF2" s="1" t="s">
        <v>148</v>
      </c>
      <c r="AG2" s="8" t="s">
        <v>76</v>
      </c>
      <c r="AH2" s="1" t="s">
        <v>148</v>
      </c>
      <c r="AI2" s="2">
        <v>490</v>
      </c>
      <c r="AJ2" s="3" t="s">
        <v>150</v>
      </c>
      <c r="AK2" s="4" t="s">
        <v>151</v>
      </c>
    </row>
    <row r="3" spans="1:37" ht="15" customHeight="1">
      <c r="A3" s="5">
        <v>125202</v>
      </c>
      <c r="B3" s="6" t="s">
        <v>21</v>
      </c>
      <c r="C3" s="8" t="s">
        <v>67</v>
      </c>
      <c r="D3" s="1" t="s">
        <v>148</v>
      </c>
      <c r="E3" s="8" t="s">
        <v>77</v>
      </c>
      <c r="F3" s="1" t="s">
        <v>148</v>
      </c>
      <c r="G3" s="8" t="s">
        <v>84</v>
      </c>
      <c r="H3" s="1" t="s">
        <v>148</v>
      </c>
      <c r="I3" s="8" t="s">
        <v>69</v>
      </c>
      <c r="J3" s="1" t="s">
        <v>148</v>
      </c>
      <c r="K3" s="8" t="s">
        <v>78</v>
      </c>
      <c r="L3" s="1" t="s">
        <v>148</v>
      </c>
      <c r="M3" s="8" t="s">
        <v>69</v>
      </c>
      <c r="N3" s="1" t="s">
        <v>148</v>
      </c>
      <c r="O3" s="8">
        <v>47</v>
      </c>
      <c r="P3" s="1" t="s">
        <v>152</v>
      </c>
      <c r="Q3" s="8" t="s">
        <v>79</v>
      </c>
      <c r="R3" s="1" t="s">
        <v>148</v>
      </c>
      <c r="S3" s="8" t="s">
        <v>79</v>
      </c>
      <c r="T3" s="1" t="s">
        <v>148</v>
      </c>
      <c r="U3" s="8" t="s">
        <v>113</v>
      </c>
      <c r="V3" s="1" t="s">
        <v>153</v>
      </c>
      <c r="W3" s="8" t="s">
        <v>78</v>
      </c>
      <c r="X3" s="1" t="s">
        <v>148</v>
      </c>
      <c r="Y3" s="8">
        <v>41</v>
      </c>
      <c r="Z3" s="1" t="s">
        <v>152</v>
      </c>
      <c r="AA3" s="8" t="s">
        <v>77</v>
      </c>
      <c r="AB3" s="1" t="s">
        <v>148</v>
      </c>
      <c r="AC3" s="8" t="s">
        <v>82</v>
      </c>
      <c r="AD3" s="1" t="s">
        <v>148</v>
      </c>
      <c r="AE3" s="8" t="s">
        <v>106</v>
      </c>
      <c r="AF3" s="1" t="s">
        <v>148</v>
      </c>
      <c r="AG3" s="8" t="s">
        <v>78</v>
      </c>
      <c r="AH3" s="1" t="s">
        <v>148</v>
      </c>
      <c r="AI3" s="2">
        <v>440</v>
      </c>
      <c r="AJ3" s="3" t="s">
        <v>150</v>
      </c>
      <c r="AK3" s="4" t="s">
        <v>154</v>
      </c>
    </row>
    <row r="4" spans="1:37" ht="15" customHeight="1">
      <c r="A4" s="5">
        <v>125203</v>
      </c>
      <c r="B4" s="6" t="s">
        <v>22</v>
      </c>
      <c r="C4" s="8" t="s">
        <v>68</v>
      </c>
      <c r="D4" s="1" t="s">
        <v>148</v>
      </c>
      <c r="E4" s="8" t="s">
        <v>78</v>
      </c>
      <c r="F4" s="1" t="s">
        <v>148</v>
      </c>
      <c r="G4" s="8" t="s">
        <v>85</v>
      </c>
      <c r="H4" s="1" t="s">
        <v>148</v>
      </c>
      <c r="I4" s="8" t="s">
        <v>71</v>
      </c>
      <c r="J4" s="1" t="s">
        <v>148</v>
      </c>
      <c r="K4" s="8" t="s">
        <v>77</v>
      </c>
      <c r="L4" s="1" t="s">
        <v>148</v>
      </c>
      <c r="M4" s="8" t="s">
        <v>69</v>
      </c>
      <c r="N4" s="1" t="s">
        <v>148</v>
      </c>
      <c r="O4" s="8">
        <v>53</v>
      </c>
      <c r="P4" s="1" t="s">
        <v>152</v>
      </c>
      <c r="Q4" s="8" t="s">
        <v>79</v>
      </c>
      <c r="R4" s="1" t="s">
        <v>148</v>
      </c>
      <c r="S4" s="8" t="s">
        <v>79</v>
      </c>
      <c r="T4" s="1" t="s">
        <v>148</v>
      </c>
      <c r="U4" s="8" t="s">
        <v>113</v>
      </c>
      <c r="V4" s="1" t="s">
        <v>153</v>
      </c>
      <c r="W4" s="8" t="s">
        <v>78</v>
      </c>
      <c r="X4" s="1" t="s">
        <v>148</v>
      </c>
      <c r="Y4" s="8" t="s">
        <v>113</v>
      </c>
      <c r="Z4" s="1" t="s">
        <v>153</v>
      </c>
      <c r="AA4" s="8" t="s">
        <v>78</v>
      </c>
      <c r="AB4" s="1" t="s">
        <v>148</v>
      </c>
      <c r="AC4" s="8" t="s">
        <v>81</v>
      </c>
      <c r="AD4" s="1" t="s">
        <v>148</v>
      </c>
      <c r="AE4" s="8" t="s">
        <v>105</v>
      </c>
      <c r="AF4" s="1" t="s">
        <v>148</v>
      </c>
      <c r="AG4" s="8" t="s">
        <v>78</v>
      </c>
      <c r="AH4" s="1" t="s">
        <v>148</v>
      </c>
      <c r="AI4" s="2">
        <v>414</v>
      </c>
      <c r="AJ4" s="3" t="s">
        <v>150</v>
      </c>
      <c r="AK4" s="4" t="s">
        <v>155</v>
      </c>
    </row>
    <row r="5" spans="1:37" ht="15" customHeight="1">
      <c r="A5" s="5">
        <v>125204</v>
      </c>
      <c r="B5" s="6" t="s">
        <v>23</v>
      </c>
      <c r="C5" s="8" t="s">
        <v>69</v>
      </c>
      <c r="D5" s="1" t="s">
        <v>148</v>
      </c>
      <c r="E5" s="8" t="s">
        <v>76</v>
      </c>
      <c r="F5" s="1" t="s">
        <v>148</v>
      </c>
      <c r="G5" s="8" t="s">
        <v>86</v>
      </c>
      <c r="H5" s="1" t="s">
        <v>148</v>
      </c>
      <c r="I5" s="8" t="s">
        <v>113</v>
      </c>
      <c r="J5" s="1" t="s">
        <v>153</v>
      </c>
      <c r="K5" s="8" t="s">
        <v>76</v>
      </c>
      <c r="L5" s="1" t="s">
        <v>148</v>
      </c>
      <c r="M5" s="8" t="s">
        <v>72</v>
      </c>
      <c r="N5" s="1" t="s">
        <v>148</v>
      </c>
      <c r="O5" s="8">
        <v>52</v>
      </c>
      <c r="P5" s="1" t="s">
        <v>152</v>
      </c>
      <c r="Q5" s="8" t="s">
        <v>76</v>
      </c>
      <c r="R5" s="1" t="s">
        <v>148</v>
      </c>
      <c r="S5" s="8" t="s">
        <v>79</v>
      </c>
      <c r="T5" s="1" t="s">
        <v>148</v>
      </c>
      <c r="U5" s="8" t="s">
        <v>71</v>
      </c>
      <c r="V5" s="1" t="s">
        <v>148</v>
      </c>
      <c r="W5" s="8" t="s">
        <v>76</v>
      </c>
      <c r="X5" s="1" t="s">
        <v>148</v>
      </c>
      <c r="Y5" s="8">
        <v>44</v>
      </c>
      <c r="Z5" s="1" t="s">
        <v>152</v>
      </c>
      <c r="AA5" s="8" t="s">
        <v>76</v>
      </c>
      <c r="AB5" s="1" t="s">
        <v>148</v>
      </c>
      <c r="AC5" s="8" t="s">
        <v>82</v>
      </c>
      <c r="AD5" s="1" t="s">
        <v>148</v>
      </c>
      <c r="AE5" s="8" t="s">
        <v>107</v>
      </c>
      <c r="AF5" s="1" t="s">
        <v>148</v>
      </c>
      <c r="AG5" s="8" t="s">
        <v>76</v>
      </c>
      <c r="AH5" s="1" t="s">
        <v>148</v>
      </c>
      <c r="AI5" s="2">
        <v>470</v>
      </c>
      <c r="AJ5" s="3" t="s">
        <v>150</v>
      </c>
      <c r="AK5" s="4" t="s">
        <v>156</v>
      </c>
    </row>
    <row r="6" spans="1:37" ht="15" customHeight="1">
      <c r="A6" s="5">
        <v>125205</v>
      </c>
      <c r="B6" s="6" t="s">
        <v>24</v>
      </c>
      <c r="C6" s="8">
        <v>29</v>
      </c>
      <c r="D6" s="1" t="s">
        <v>149</v>
      </c>
      <c r="E6" s="8" t="s">
        <v>79</v>
      </c>
      <c r="F6" s="1" t="s">
        <v>148</v>
      </c>
      <c r="G6" s="8">
        <v>41</v>
      </c>
      <c r="H6" s="1" t="s">
        <v>152</v>
      </c>
      <c r="I6" s="8">
        <v>40</v>
      </c>
      <c r="J6" s="1" t="s">
        <v>152</v>
      </c>
      <c r="K6" s="8" t="s">
        <v>79</v>
      </c>
      <c r="L6" s="1" t="s">
        <v>148</v>
      </c>
      <c r="M6" s="8">
        <v>44</v>
      </c>
      <c r="N6" s="1" t="s">
        <v>152</v>
      </c>
      <c r="O6" s="8">
        <v>13</v>
      </c>
      <c r="P6" s="1" t="s">
        <v>149</v>
      </c>
      <c r="Q6" s="8" t="s">
        <v>79</v>
      </c>
      <c r="R6" s="1" t="s">
        <v>148</v>
      </c>
      <c r="S6" s="8">
        <v>17</v>
      </c>
      <c r="T6" s="1" t="s">
        <v>152</v>
      </c>
      <c r="U6" s="8">
        <v>6</v>
      </c>
      <c r="V6" s="1" t="s">
        <v>149</v>
      </c>
      <c r="W6" s="8" t="s">
        <v>79</v>
      </c>
      <c r="X6" s="1" t="s">
        <v>148</v>
      </c>
      <c r="Y6" s="8">
        <v>41</v>
      </c>
      <c r="Z6" s="1" t="s">
        <v>152</v>
      </c>
      <c r="AA6" s="8" t="s">
        <v>79</v>
      </c>
      <c r="AB6" s="1" t="s">
        <v>148</v>
      </c>
      <c r="AC6" s="8">
        <v>38</v>
      </c>
      <c r="AD6" s="1" t="s">
        <v>152</v>
      </c>
      <c r="AE6" s="8" t="s">
        <v>81</v>
      </c>
      <c r="AF6" s="1" t="s">
        <v>148</v>
      </c>
      <c r="AG6" s="8" t="s">
        <v>79</v>
      </c>
      <c r="AH6" s="1" t="s">
        <v>148</v>
      </c>
      <c r="AI6" s="2">
        <v>411</v>
      </c>
      <c r="AJ6" s="3" t="s">
        <v>150</v>
      </c>
      <c r="AK6" s="4" t="s">
        <v>157</v>
      </c>
    </row>
    <row r="7" spans="1:37" ht="15" customHeight="1">
      <c r="A7" s="5">
        <v>125206</v>
      </c>
      <c r="B7" s="6" t="s">
        <v>25</v>
      </c>
      <c r="C7" s="8" t="s">
        <v>70</v>
      </c>
      <c r="D7" s="1" t="s">
        <v>148</v>
      </c>
      <c r="E7" s="8" t="s">
        <v>78</v>
      </c>
      <c r="F7" s="1" t="s">
        <v>148</v>
      </c>
      <c r="G7" s="8" t="s">
        <v>87</v>
      </c>
      <c r="H7" s="1" t="s">
        <v>148</v>
      </c>
      <c r="I7" s="8" t="s">
        <v>90</v>
      </c>
      <c r="J7" s="1" t="s">
        <v>148</v>
      </c>
      <c r="K7" s="8" t="s">
        <v>78</v>
      </c>
      <c r="L7" s="1" t="s">
        <v>148</v>
      </c>
      <c r="M7" s="8" t="s">
        <v>88</v>
      </c>
      <c r="N7" s="1" t="s">
        <v>148</v>
      </c>
      <c r="O7" s="8">
        <v>58</v>
      </c>
      <c r="P7" s="1" t="s">
        <v>153</v>
      </c>
      <c r="Q7" s="8" t="s">
        <v>79</v>
      </c>
      <c r="R7" s="1" t="s">
        <v>148</v>
      </c>
      <c r="S7" s="8" t="s">
        <v>79</v>
      </c>
      <c r="T7" s="1" t="s">
        <v>148</v>
      </c>
      <c r="U7" s="8" t="s">
        <v>99</v>
      </c>
      <c r="V7" s="1" t="s">
        <v>148</v>
      </c>
      <c r="W7" s="8" t="s">
        <v>78</v>
      </c>
      <c r="X7" s="1" t="s">
        <v>148</v>
      </c>
      <c r="Y7" s="8" t="s">
        <v>69</v>
      </c>
      <c r="Z7" s="1" t="s">
        <v>148</v>
      </c>
      <c r="AA7" s="8" t="s">
        <v>78</v>
      </c>
      <c r="AB7" s="1" t="s">
        <v>148</v>
      </c>
      <c r="AC7" s="8" t="s">
        <v>78</v>
      </c>
      <c r="AD7" s="1" t="s">
        <v>148</v>
      </c>
      <c r="AE7" s="8" t="s">
        <v>84</v>
      </c>
      <c r="AF7" s="1" t="s">
        <v>148</v>
      </c>
      <c r="AG7" s="8" t="s">
        <v>78</v>
      </c>
      <c r="AH7" s="1" t="s">
        <v>148</v>
      </c>
      <c r="AI7" s="2">
        <v>527</v>
      </c>
      <c r="AJ7" s="3" t="s">
        <v>158</v>
      </c>
      <c r="AK7" s="4" t="s">
        <v>159</v>
      </c>
    </row>
    <row r="8" spans="1:37" ht="15" customHeight="1">
      <c r="A8" s="5">
        <v>125207</v>
      </c>
      <c r="B8" s="6" t="s">
        <v>26</v>
      </c>
      <c r="C8" s="8" t="s">
        <v>69</v>
      </c>
      <c r="D8" s="1" t="s">
        <v>148</v>
      </c>
      <c r="E8" s="8" t="s">
        <v>76</v>
      </c>
      <c r="F8" s="1" t="s">
        <v>148</v>
      </c>
      <c r="G8" s="8" t="s">
        <v>69</v>
      </c>
      <c r="H8" s="1" t="s">
        <v>148</v>
      </c>
      <c r="I8" s="8" t="s">
        <v>69</v>
      </c>
      <c r="J8" s="1" t="s">
        <v>148</v>
      </c>
      <c r="K8" s="8" t="s">
        <v>76</v>
      </c>
      <c r="L8" s="1" t="s">
        <v>148</v>
      </c>
      <c r="M8" s="8" t="s">
        <v>74</v>
      </c>
      <c r="N8" s="1" t="s">
        <v>148</v>
      </c>
      <c r="O8" s="8">
        <v>44</v>
      </c>
      <c r="P8" s="1" t="s">
        <v>152</v>
      </c>
      <c r="Q8" s="8" t="s">
        <v>76</v>
      </c>
      <c r="R8" s="1" t="s">
        <v>148</v>
      </c>
      <c r="S8" s="8" t="s">
        <v>82</v>
      </c>
      <c r="T8" s="1" t="s">
        <v>148</v>
      </c>
      <c r="U8" s="8" t="s">
        <v>113</v>
      </c>
      <c r="V8" s="1" t="s">
        <v>153</v>
      </c>
      <c r="W8" s="8" t="s">
        <v>76</v>
      </c>
      <c r="X8" s="1" t="s">
        <v>148</v>
      </c>
      <c r="Y8" s="8" t="s">
        <v>113</v>
      </c>
      <c r="Z8" s="1" t="s">
        <v>153</v>
      </c>
      <c r="AA8" s="8" t="s">
        <v>76</v>
      </c>
      <c r="AB8" s="1" t="s">
        <v>148</v>
      </c>
      <c r="AC8" s="8" t="s">
        <v>82</v>
      </c>
      <c r="AD8" s="1" t="s">
        <v>148</v>
      </c>
      <c r="AE8" s="8" t="s">
        <v>106</v>
      </c>
      <c r="AF8" s="1" t="s">
        <v>148</v>
      </c>
      <c r="AG8" s="8" t="s">
        <v>76</v>
      </c>
      <c r="AH8" s="1" t="s">
        <v>148</v>
      </c>
      <c r="AI8" s="2">
        <v>419</v>
      </c>
      <c r="AJ8" s="3" t="s">
        <v>150</v>
      </c>
      <c r="AK8" s="4" t="s">
        <v>160</v>
      </c>
    </row>
    <row r="9" spans="1:37" ht="15" customHeight="1">
      <c r="A9" s="5">
        <v>125208</v>
      </c>
      <c r="B9" s="6" t="s">
        <v>27</v>
      </c>
      <c r="C9" s="8">
        <v>41</v>
      </c>
      <c r="D9" s="1" t="s">
        <v>152</v>
      </c>
      <c r="E9" s="8" t="s">
        <v>80</v>
      </c>
      <c r="F9" s="1" t="s">
        <v>148</v>
      </c>
      <c r="G9" s="8">
        <v>35</v>
      </c>
      <c r="H9" s="1" t="s">
        <v>152</v>
      </c>
      <c r="I9" s="8">
        <v>55</v>
      </c>
      <c r="J9" s="1" t="s">
        <v>152</v>
      </c>
      <c r="K9" s="8" t="s">
        <v>78</v>
      </c>
      <c r="L9" s="1" t="s">
        <v>148</v>
      </c>
      <c r="M9" s="8">
        <v>34</v>
      </c>
      <c r="N9" s="1" t="s">
        <v>152</v>
      </c>
      <c r="O9" s="8">
        <v>40</v>
      </c>
      <c r="P9" s="1" t="s">
        <v>152</v>
      </c>
      <c r="Q9" s="8" t="s">
        <v>80</v>
      </c>
      <c r="R9" s="1" t="s">
        <v>148</v>
      </c>
      <c r="S9" s="8" t="s">
        <v>113</v>
      </c>
      <c r="T9" s="1" t="s">
        <v>153</v>
      </c>
      <c r="U9" s="8">
        <v>7</v>
      </c>
      <c r="V9" s="1" t="s">
        <v>149</v>
      </c>
      <c r="W9" s="8" t="s">
        <v>78</v>
      </c>
      <c r="X9" s="1" t="s">
        <v>148</v>
      </c>
      <c r="Y9" s="8" t="s">
        <v>69</v>
      </c>
      <c r="Z9" s="1" t="s">
        <v>148</v>
      </c>
      <c r="AA9" s="8" t="s">
        <v>80</v>
      </c>
      <c r="AB9" s="1" t="s">
        <v>148</v>
      </c>
      <c r="AC9" s="8" t="s">
        <v>113</v>
      </c>
      <c r="AD9" s="1" t="s">
        <v>153</v>
      </c>
      <c r="AE9" s="8" t="s">
        <v>84</v>
      </c>
      <c r="AF9" s="1" t="s">
        <v>148</v>
      </c>
      <c r="AG9" s="8" t="s">
        <v>79</v>
      </c>
      <c r="AH9" s="1" t="s">
        <v>148</v>
      </c>
      <c r="AI9" s="2">
        <v>380</v>
      </c>
      <c r="AJ9" s="3" t="s">
        <v>150</v>
      </c>
      <c r="AK9" s="4" t="s">
        <v>161</v>
      </c>
    </row>
    <row r="10" spans="1:37" ht="15" customHeight="1">
      <c r="A10" s="5">
        <v>125209</v>
      </c>
      <c r="B10" s="6" t="s">
        <v>28</v>
      </c>
      <c r="C10" s="8" t="s">
        <v>69</v>
      </c>
      <c r="D10" s="1" t="s">
        <v>148</v>
      </c>
      <c r="E10" s="8" t="s">
        <v>81</v>
      </c>
      <c r="F10" s="1" t="s">
        <v>148</v>
      </c>
      <c r="G10" s="8" t="s">
        <v>85</v>
      </c>
      <c r="H10" s="1" t="s">
        <v>148</v>
      </c>
      <c r="I10" s="8">
        <v>43</v>
      </c>
      <c r="J10" s="1" t="s">
        <v>152</v>
      </c>
      <c r="K10" s="8" t="s">
        <v>81</v>
      </c>
      <c r="L10" s="1" t="s">
        <v>148</v>
      </c>
      <c r="M10" s="8" t="s">
        <v>93</v>
      </c>
      <c r="N10" s="1" t="s">
        <v>148</v>
      </c>
      <c r="O10" s="8">
        <v>42</v>
      </c>
      <c r="P10" s="1" t="s">
        <v>152</v>
      </c>
      <c r="Q10" s="8" t="s">
        <v>82</v>
      </c>
      <c r="R10" s="1" t="s">
        <v>148</v>
      </c>
      <c r="S10" s="8" t="s">
        <v>79</v>
      </c>
      <c r="T10" s="1" t="s">
        <v>148</v>
      </c>
      <c r="U10" s="8">
        <v>16</v>
      </c>
      <c r="V10" s="1" t="s">
        <v>149</v>
      </c>
      <c r="W10" s="8" t="s">
        <v>81</v>
      </c>
      <c r="X10" s="1" t="s">
        <v>148</v>
      </c>
      <c r="Y10" s="8">
        <v>24</v>
      </c>
      <c r="Z10" s="1" t="s">
        <v>149</v>
      </c>
      <c r="AA10" s="8" t="s">
        <v>81</v>
      </c>
      <c r="AB10" s="1" t="s">
        <v>148</v>
      </c>
      <c r="AC10" s="8" t="s">
        <v>77</v>
      </c>
      <c r="AD10" s="1" t="s">
        <v>148</v>
      </c>
      <c r="AE10" s="8" t="s">
        <v>108</v>
      </c>
      <c r="AF10" s="1" t="s">
        <v>148</v>
      </c>
      <c r="AG10" s="8" t="s">
        <v>82</v>
      </c>
      <c r="AH10" s="1" t="s">
        <v>148</v>
      </c>
      <c r="AI10" s="2">
        <v>444</v>
      </c>
      <c r="AJ10" s="3" t="s">
        <v>150</v>
      </c>
      <c r="AK10" s="4" t="s">
        <v>162</v>
      </c>
    </row>
    <row r="11" spans="1:37" ht="15" customHeight="1">
      <c r="A11" s="5">
        <v>125210</v>
      </c>
      <c r="B11" s="7" t="s">
        <v>29</v>
      </c>
      <c r="C11" s="8" t="s">
        <v>113</v>
      </c>
      <c r="D11" s="1" t="s">
        <v>153</v>
      </c>
      <c r="E11" s="8" t="s">
        <v>79</v>
      </c>
      <c r="F11" s="1" t="s">
        <v>148</v>
      </c>
      <c r="G11" s="8" t="s">
        <v>69</v>
      </c>
      <c r="H11" s="1" t="s">
        <v>148</v>
      </c>
      <c r="I11" s="8" t="s">
        <v>91</v>
      </c>
      <c r="J11" s="1" t="s">
        <v>148</v>
      </c>
      <c r="K11" s="8" t="s">
        <v>94</v>
      </c>
      <c r="L11" s="1" t="s">
        <v>148</v>
      </c>
      <c r="M11" s="8" t="s">
        <v>86</v>
      </c>
      <c r="N11" s="1" t="s">
        <v>148</v>
      </c>
      <c r="O11" s="8" t="s">
        <v>113</v>
      </c>
      <c r="P11" s="1" t="s">
        <v>153</v>
      </c>
      <c r="Q11" s="8" t="s">
        <v>79</v>
      </c>
      <c r="R11" s="1" t="s">
        <v>148</v>
      </c>
      <c r="S11" s="8" t="s">
        <v>79</v>
      </c>
      <c r="T11" s="1" t="s">
        <v>148</v>
      </c>
      <c r="U11" s="8" t="s">
        <v>113</v>
      </c>
      <c r="V11" s="1" t="s">
        <v>153</v>
      </c>
      <c r="W11" s="8" t="s">
        <v>77</v>
      </c>
      <c r="X11" s="1" t="s">
        <v>148</v>
      </c>
      <c r="Y11" s="8" t="s">
        <v>113</v>
      </c>
      <c r="Z11" s="1" t="s">
        <v>153</v>
      </c>
      <c r="AA11" s="8" t="s">
        <v>77</v>
      </c>
      <c r="AB11" s="1" t="s">
        <v>148</v>
      </c>
      <c r="AC11" s="8" t="s">
        <v>78</v>
      </c>
      <c r="AD11" s="1" t="s">
        <v>148</v>
      </c>
      <c r="AE11" s="8" t="s">
        <v>81</v>
      </c>
      <c r="AF11" s="1" t="s">
        <v>148</v>
      </c>
      <c r="AG11" s="8" t="s">
        <v>79</v>
      </c>
      <c r="AH11" s="1" t="s">
        <v>148</v>
      </c>
      <c r="AI11" s="2">
        <v>307</v>
      </c>
      <c r="AJ11" s="3" t="s">
        <v>163</v>
      </c>
      <c r="AK11" s="4" t="s">
        <v>164</v>
      </c>
    </row>
    <row r="12" spans="1:37" ht="15" customHeight="1">
      <c r="A12" s="5">
        <v>125211</v>
      </c>
      <c r="B12" s="6" t="s">
        <v>30</v>
      </c>
      <c r="C12" s="8">
        <v>41</v>
      </c>
      <c r="D12" s="1" t="s">
        <v>152</v>
      </c>
      <c r="E12" s="8" t="s">
        <v>79</v>
      </c>
      <c r="F12" s="1" t="s">
        <v>148</v>
      </c>
      <c r="G12" s="8" t="s">
        <v>85</v>
      </c>
      <c r="H12" s="1" t="s">
        <v>148</v>
      </c>
      <c r="I12" s="8" t="s">
        <v>69</v>
      </c>
      <c r="J12" s="1" t="s">
        <v>148</v>
      </c>
      <c r="K12" s="8" t="s">
        <v>79</v>
      </c>
      <c r="L12" s="1" t="s">
        <v>148</v>
      </c>
      <c r="M12" s="8" t="s">
        <v>72</v>
      </c>
      <c r="N12" s="1" t="s">
        <v>148</v>
      </c>
      <c r="O12" s="8">
        <v>40</v>
      </c>
      <c r="P12" s="1" t="s">
        <v>152</v>
      </c>
      <c r="Q12" s="8" t="s">
        <v>79</v>
      </c>
      <c r="R12" s="1" t="s">
        <v>148</v>
      </c>
      <c r="S12" s="8" t="s">
        <v>79</v>
      </c>
      <c r="T12" s="1" t="s">
        <v>148</v>
      </c>
      <c r="U12" s="8">
        <v>13</v>
      </c>
      <c r="V12" s="1" t="s">
        <v>149</v>
      </c>
      <c r="W12" s="8" t="s">
        <v>79</v>
      </c>
      <c r="X12" s="1" t="s">
        <v>148</v>
      </c>
      <c r="Y12" s="8">
        <v>18</v>
      </c>
      <c r="Z12" s="1" t="s">
        <v>149</v>
      </c>
      <c r="AA12" s="8" t="s">
        <v>79</v>
      </c>
      <c r="AB12" s="1" t="s">
        <v>148</v>
      </c>
      <c r="AC12" s="8" t="s">
        <v>95</v>
      </c>
      <c r="AD12" s="1" t="s">
        <v>148</v>
      </c>
      <c r="AE12" s="8" t="s">
        <v>87</v>
      </c>
      <c r="AF12" s="1" t="s">
        <v>148</v>
      </c>
      <c r="AG12" s="8" t="s">
        <v>78</v>
      </c>
      <c r="AH12" s="1" t="s">
        <v>148</v>
      </c>
      <c r="AI12" s="2">
        <v>423</v>
      </c>
      <c r="AJ12" s="3" t="s">
        <v>150</v>
      </c>
      <c r="AK12" s="4" t="s">
        <v>165</v>
      </c>
    </row>
    <row r="13" spans="1:37" ht="15" customHeight="1">
      <c r="A13" s="5">
        <v>125212</v>
      </c>
      <c r="B13" s="6" t="s">
        <v>31</v>
      </c>
      <c r="C13" s="8" t="s">
        <v>71</v>
      </c>
      <c r="D13" s="1" t="s">
        <v>148</v>
      </c>
      <c r="E13" s="8" t="s">
        <v>79</v>
      </c>
      <c r="F13" s="1" t="s">
        <v>148</v>
      </c>
      <c r="G13" s="8" t="s">
        <v>73</v>
      </c>
      <c r="H13" s="1" t="s">
        <v>148</v>
      </c>
      <c r="I13" s="8" t="s">
        <v>69</v>
      </c>
      <c r="J13" s="1" t="s">
        <v>148</v>
      </c>
      <c r="K13" s="8" t="s">
        <v>79</v>
      </c>
      <c r="L13" s="1" t="s">
        <v>148</v>
      </c>
      <c r="M13" s="8" t="s">
        <v>69</v>
      </c>
      <c r="N13" s="1" t="s">
        <v>148</v>
      </c>
      <c r="O13" s="8" t="s">
        <v>69</v>
      </c>
      <c r="P13" s="1" t="s">
        <v>148</v>
      </c>
      <c r="Q13" s="8" t="s">
        <v>79</v>
      </c>
      <c r="R13" s="1" t="s">
        <v>148</v>
      </c>
      <c r="S13" s="8" t="s">
        <v>81</v>
      </c>
      <c r="T13" s="1" t="s">
        <v>148</v>
      </c>
      <c r="U13" s="8" t="s">
        <v>71</v>
      </c>
      <c r="V13" s="1" t="s">
        <v>148</v>
      </c>
      <c r="W13" s="8" t="s">
        <v>79</v>
      </c>
      <c r="X13" s="1" t="s">
        <v>148</v>
      </c>
      <c r="Y13" s="8">
        <v>42</v>
      </c>
      <c r="Z13" s="1" t="s">
        <v>153</v>
      </c>
      <c r="AA13" s="8" t="s">
        <v>79</v>
      </c>
      <c r="AB13" s="1" t="s">
        <v>148</v>
      </c>
      <c r="AC13" s="8" t="s">
        <v>81</v>
      </c>
      <c r="AD13" s="1" t="s">
        <v>148</v>
      </c>
      <c r="AE13" s="8" t="s">
        <v>109</v>
      </c>
      <c r="AF13" s="1" t="s">
        <v>148</v>
      </c>
      <c r="AG13" s="8" t="s">
        <v>79</v>
      </c>
      <c r="AH13" s="1" t="s">
        <v>148</v>
      </c>
      <c r="AI13" s="2">
        <v>493</v>
      </c>
      <c r="AJ13" s="3" t="s">
        <v>158</v>
      </c>
      <c r="AK13" s="4" t="s">
        <v>166</v>
      </c>
    </row>
    <row r="14" spans="1:37" ht="15" customHeight="1">
      <c r="A14" s="5">
        <v>125213</v>
      </c>
      <c r="B14" s="6" t="s">
        <v>32</v>
      </c>
      <c r="C14" s="8" t="s">
        <v>72</v>
      </c>
      <c r="D14" s="1" t="s">
        <v>148</v>
      </c>
      <c r="E14" s="8" t="s">
        <v>82</v>
      </c>
      <c r="F14" s="1" t="s">
        <v>148</v>
      </c>
      <c r="G14" s="8" t="s">
        <v>88</v>
      </c>
      <c r="H14" s="1" t="s">
        <v>148</v>
      </c>
      <c r="I14" s="8" t="s">
        <v>88</v>
      </c>
      <c r="J14" s="1" t="s">
        <v>148</v>
      </c>
      <c r="K14" s="8" t="s">
        <v>79</v>
      </c>
      <c r="L14" s="1" t="s">
        <v>148</v>
      </c>
      <c r="M14" s="8" t="s">
        <v>74</v>
      </c>
      <c r="N14" s="1" t="s">
        <v>148</v>
      </c>
      <c r="O14" s="8" t="s">
        <v>69</v>
      </c>
      <c r="P14" s="1" t="s">
        <v>148</v>
      </c>
      <c r="Q14" s="8" t="s">
        <v>79</v>
      </c>
      <c r="R14" s="1" t="s">
        <v>148</v>
      </c>
      <c r="S14" s="8" t="s">
        <v>81</v>
      </c>
      <c r="T14" s="1" t="s">
        <v>148</v>
      </c>
      <c r="U14" s="8">
        <v>0</v>
      </c>
      <c r="V14" s="1" t="s">
        <v>149</v>
      </c>
      <c r="W14" s="8" t="s">
        <v>79</v>
      </c>
      <c r="X14" s="1" t="s">
        <v>148</v>
      </c>
      <c r="Y14" s="8" t="s">
        <v>113</v>
      </c>
      <c r="Z14" s="1" t="s">
        <v>153</v>
      </c>
      <c r="AA14" s="8" t="s">
        <v>82</v>
      </c>
      <c r="AB14" s="1" t="s">
        <v>148</v>
      </c>
      <c r="AC14" s="8" t="s">
        <v>82</v>
      </c>
      <c r="AD14" s="1" t="s">
        <v>148</v>
      </c>
      <c r="AE14" s="8" t="s">
        <v>106</v>
      </c>
      <c r="AF14" s="1" t="s">
        <v>148</v>
      </c>
      <c r="AG14" s="8" t="s">
        <v>79</v>
      </c>
      <c r="AH14" s="1" t="s">
        <v>148</v>
      </c>
      <c r="AI14" s="2">
        <v>404</v>
      </c>
      <c r="AJ14" s="3" t="s">
        <v>150</v>
      </c>
      <c r="AK14" s="4" t="s">
        <v>167</v>
      </c>
    </row>
    <row r="15" spans="1:37" ht="15" customHeight="1">
      <c r="A15" s="5">
        <v>125214</v>
      </c>
      <c r="B15" s="6" t="s">
        <v>33</v>
      </c>
      <c r="C15" s="8" t="s">
        <v>72</v>
      </c>
      <c r="D15" s="1" t="s">
        <v>148</v>
      </c>
      <c r="E15" s="8" t="s">
        <v>78</v>
      </c>
      <c r="F15" s="1" t="s">
        <v>148</v>
      </c>
      <c r="G15" s="8" t="s">
        <v>88</v>
      </c>
      <c r="H15" s="1" t="s">
        <v>148</v>
      </c>
      <c r="I15" s="8" t="s">
        <v>88</v>
      </c>
      <c r="J15" s="1" t="s">
        <v>148</v>
      </c>
      <c r="K15" s="8" t="s">
        <v>79</v>
      </c>
      <c r="L15" s="1" t="s">
        <v>148</v>
      </c>
      <c r="M15" s="8" t="s">
        <v>88</v>
      </c>
      <c r="N15" s="1" t="s">
        <v>148</v>
      </c>
      <c r="O15" s="8">
        <v>44</v>
      </c>
      <c r="P15" s="1" t="s">
        <v>152</v>
      </c>
      <c r="Q15" s="8" t="s">
        <v>82</v>
      </c>
      <c r="R15" s="1" t="s">
        <v>148</v>
      </c>
      <c r="S15" s="8" t="s">
        <v>82</v>
      </c>
      <c r="T15" s="1" t="s">
        <v>148</v>
      </c>
      <c r="U15" s="8">
        <v>13</v>
      </c>
      <c r="V15" s="1" t="s">
        <v>149</v>
      </c>
      <c r="W15" s="8" t="s">
        <v>79</v>
      </c>
      <c r="X15" s="1" t="s">
        <v>148</v>
      </c>
      <c r="Y15" s="8">
        <v>41</v>
      </c>
      <c r="Z15" s="1" t="s">
        <v>152</v>
      </c>
      <c r="AA15" s="8" t="s">
        <v>78</v>
      </c>
      <c r="AB15" s="1" t="s">
        <v>148</v>
      </c>
      <c r="AC15" s="8" t="s">
        <v>82</v>
      </c>
      <c r="AD15" s="1" t="s">
        <v>148</v>
      </c>
      <c r="AE15" s="8" t="s">
        <v>84</v>
      </c>
      <c r="AF15" s="1" t="s">
        <v>148</v>
      </c>
      <c r="AG15" s="8" t="s">
        <v>79</v>
      </c>
      <c r="AH15" s="1" t="s">
        <v>148</v>
      </c>
      <c r="AI15" s="2">
        <v>458</v>
      </c>
      <c r="AJ15" s="3" t="s">
        <v>150</v>
      </c>
      <c r="AK15" s="4" t="s">
        <v>168</v>
      </c>
    </row>
    <row r="16" spans="1:37" ht="15" customHeight="1">
      <c r="A16" s="5">
        <v>125215</v>
      </c>
      <c r="B16" s="6" t="s">
        <v>34</v>
      </c>
      <c r="C16" s="8" t="s">
        <v>73</v>
      </c>
      <c r="D16" s="1" t="s">
        <v>148</v>
      </c>
      <c r="E16" s="8" t="s">
        <v>81</v>
      </c>
      <c r="F16" s="1" t="s">
        <v>148</v>
      </c>
      <c r="G16" s="8" t="s">
        <v>85</v>
      </c>
      <c r="H16" s="1" t="s">
        <v>148</v>
      </c>
      <c r="I16" s="8" t="s">
        <v>69</v>
      </c>
      <c r="J16" s="1" t="s">
        <v>148</v>
      </c>
      <c r="K16" s="8" t="s">
        <v>81</v>
      </c>
      <c r="L16" s="1" t="s">
        <v>148</v>
      </c>
      <c r="M16" s="8" t="s">
        <v>74</v>
      </c>
      <c r="N16" s="1" t="s">
        <v>148</v>
      </c>
      <c r="O16" s="8" t="s">
        <v>113</v>
      </c>
      <c r="P16" s="1" t="s">
        <v>153</v>
      </c>
      <c r="Q16" s="8" t="s">
        <v>79</v>
      </c>
      <c r="R16" s="1" t="s">
        <v>148</v>
      </c>
      <c r="S16" s="8" t="s">
        <v>79</v>
      </c>
      <c r="T16" s="1" t="s">
        <v>148</v>
      </c>
      <c r="U16" s="8" t="s">
        <v>113</v>
      </c>
      <c r="V16" s="1" t="s">
        <v>153</v>
      </c>
      <c r="W16" s="8" t="s">
        <v>81</v>
      </c>
      <c r="X16" s="1" t="s">
        <v>148</v>
      </c>
      <c r="Y16" s="8" t="s">
        <v>113</v>
      </c>
      <c r="Z16" s="1" t="s">
        <v>153</v>
      </c>
      <c r="AA16" s="8" t="s">
        <v>81</v>
      </c>
      <c r="AB16" s="1" t="s">
        <v>148</v>
      </c>
      <c r="AC16" s="8" t="s">
        <v>78</v>
      </c>
      <c r="AD16" s="1" t="s">
        <v>148</v>
      </c>
      <c r="AE16" s="8" t="s">
        <v>105</v>
      </c>
      <c r="AF16" s="1" t="s">
        <v>148</v>
      </c>
      <c r="AG16" s="8" t="s">
        <v>82</v>
      </c>
      <c r="AH16" s="1" t="s">
        <v>148</v>
      </c>
      <c r="AI16" s="2">
        <v>366</v>
      </c>
      <c r="AJ16" s="3" t="s">
        <v>163</v>
      </c>
      <c r="AK16" s="4" t="s">
        <v>169</v>
      </c>
    </row>
    <row r="17" spans="1:37" ht="15" customHeight="1">
      <c r="A17" s="5">
        <v>125216</v>
      </c>
      <c r="B17" s="6" t="s">
        <v>35</v>
      </c>
      <c r="C17" s="8">
        <v>44</v>
      </c>
      <c r="D17" s="1" t="s">
        <v>152</v>
      </c>
      <c r="E17" s="8" t="s">
        <v>82</v>
      </c>
      <c r="F17" s="1" t="s">
        <v>148</v>
      </c>
      <c r="G17" s="8" t="s">
        <v>85</v>
      </c>
      <c r="H17" s="1" t="s">
        <v>148</v>
      </c>
      <c r="I17" s="8" t="s">
        <v>69</v>
      </c>
      <c r="J17" s="1" t="s">
        <v>148</v>
      </c>
      <c r="K17" s="8" t="s">
        <v>82</v>
      </c>
      <c r="L17" s="1" t="s">
        <v>148</v>
      </c>
      <c r="M17" s="8" t="s">
        <v>88</v>
      </c>
      <c r="N17" s="1" t="s">
        <v>148</v>
      </c>
      <c r="O17" s="8">
        <v>62</v>
      </c>
      <c r="P17" s="1" t="s">
        <v>152</v>
      </c>
      <c r="Q17" s="8" t="s">
        <v>79</v>
      </c>
      <c r="R17" s="1" t="s">
        <v>148</v>
      </c>
      <c r="S17" s="8" t="s">
        <v>82</v>
      </c>
      <c r="T17" s="1" t="s">
        <v>148</v>
      </c>
      <c r="U17" s="8" t="s">
        <v>113</v>
      </c>
      <c r="V17" s="1" t="s">
        <v>153</v>
      </c>
      <c r="W17" s="8" t="s">
        <v>82</v>
      </c>
      <c r="X17" s="1" t="s">
        <v>148</v>
      </c>
      <c r="Y17" s="8" t="s">
        <v>72</v>
      </c>
      <c r="Z17" s="1" t="s">
        <v>148</v>
      </c>
      <c r="AA17" s="8" t="s">
        <v>82</v>
      </c>
      <c r="AB17" s="1" t="s">
        <v>148</v>
      </c>
      <c r="AC17" s="8" t="s">
        <v>78</v>
      </c>
      <c r="AD17" s="1" t="s">
        <v>148</v>
      </c>
      <c r="AE17" s="8" t="s">
        <v>109</v>
      </c>
      <c r="AF17" s="1" t="s">
        <v>148</v>
      </c>
      <c r="AG17" s="8" t="s">
        <v>79</v>
      </c>
      <c r="AH17" s="1" t="s">
        <v>148</v>
      </c>
      <c r="AI17" s="2">
        <v>462</v>
      </c>
      <c r="AJ17" s="3" t="s">
        <v>150</v>
      </c>
      <c r="AK17" s="4" t="s">
        <v>170</v>
      </c>
    </row>
    <row r="18" spans="1:37" ht="15" customHeight="1">
      <c r="A18" s="5">
        <v>125217</v>
      </c>
      <c r="B18" s="6" t="s">
        <v>36</v>
      </c>
      <c r="C18" s="8" t="s">
        <v>113</v>
      </c>
      <c r="D18" s="1" t="s">
        <v>153</v>
      </c>
      <c r="E18" s="8" t="s">
        <v>79</v>
      </c>
      <c r="F18" s="1" t="s">
        <v>148</v>
      </c>
      <c r="G18" s="8" t="s">
        <v>69</v>
      </c>
      <c r="H18" s="1" t="s">
        <v>148</v>
      </c>
      <c r="I18" s="8" t="s">
        <v>92</v>
      </c>
      <c r="J18" s="1" t="s">
        <v>148</v>
      </c>
      <c r="K18" s="8" t="s">
        <v>79</v>
      </c>
      <c r="L18" s="1" t="s">
        <v>148</v>
      </c>
      <c r="M18" s="8" t="s">
        <v>85</v>
      </c>
      <c r="N18" s="1" t="s">
        <v>148</v>
      </c>
      <c r="O18" s="8" t="s">
        <v>90</v>
      </c>
      <c r="P18" s="1" t="s">
        <v>148</v>
      </c>
      <c r="Q18" s="8" t="s">
        <v>79</v>
      </c>
      <c r="R18" s="1" t="s">
        <v>148</v>
      </c>
      <c r="S18" s="8" t="s">
        <v>79</v>
      </c>
      <c r="T18" s="1" t="s">
        <v>148</v>
      </c>
      <c r="U18" s="8" t="s">
        <v>91</v>
      </c>
      <c r="V18" s="1" t="s">
        <v>148</v>
      </c>
      <c r="W18" s="8" t="s">
        <v>79</v>
      </c>
      <c r="X18" s="1" t="s">
        <v>148</v>
      </c>
      <c r="Y18" s="8" t="s">
        <v>66</v>
      </c>
      <c r="Z18" s="1" t="s">
        <v>148</v>
      </c>
      <c r="AA18" s="8" t="s">
        <v>79</v>
      </c>
      <c r="AB18" s="1" t="s">
        <v>148</v>
      </c>
      <c r="AC18" s="8" t="s">
        <v>82</v>
      </c>
      <c r="AD18" s="1" t="s">
        <v>148</v>
      </c>
      <c r="AE18" s="8" t="s">
        <v>105</v>
      </c>
      <c r="AF18" s="1" t="s">
        <v>148</v>
      </c>
      <c r="AG18" s="8" t="s">
        <v>79</v>
      </c>
      <c r="AH18" s="1" t="s">
        <v>148</v>
      </c>
      <c r="AI18" s="2">
        <v>485</v>
      </c>
      <c r="AJ18" s="3" t="s">
        <v>163</v>
      </c>
      <c r="AK18" s="4" t="s">
        <v>171</v>
      </c>
    </row>
    <row r="19" spans="1:37" ht="15" customHeight="1">
      <c r="A19" s="5">
        <v>125218</v>
      </c>
      <c r="B19" s="6" t="s">
        <v>37</v>
      </c>
      <c r="C19" s="8" t="s">
        <v>71</v>
      </c>
      <c r="D19" s="1" t="s">
        <v>148</v>
      </c>
      <c r="E19" s="8" t="s">
        <v>82</v>
      </c>
      <c r="F19" s="1" t="s">
        <v>148</v>
      </c>
      <c r="G19" s="8" t="s">
        <v>73</v>
      </c>
      <c r="H19" s="1" t="s">
        <v>148</v>
      </c>
      <c r="I19" s="8" t="s">
        <v>71</v>
      </c>
      <c r="J19" s="1" t="s">
        <v>148</v>
      </c>
      <c r="K19" s="8" t="s">
        <v>81</v>
      </c>
      <c r="L19" s="1" t="s">
        <v>148</v>
      </c>
      <c r="M19" s="8" t="s">
        <v>74</v>
      </c>
      <c r="N19" s="1" t="s">
        <v>148</v>
      </c>
      <c r="O19" s="8" t="s">
        <v>67</v>
      </c>
      <c r="P19" s="1" t="s">
        <v>148</v>
      </c>
      <c r="Q19" s="8" t="s">
        <v>82</v>
      </c>
      <c r="R19" s="1" t="s">
        <v>148</v>
      </c>
      <c r="S19" s="8" t="s">
        <v>81</v>
      </c>
      <c r="T19" s="1" t="s">
        <v>148</v>
      </c>
      <c r="U19" s="8" t="s">
        <v>113</v>
      </c>
      <c r="V19" s="1" t="s">
        <v>153</v>
      </c>
      <c r="W19" s="8" t="s">
        <v>82</v>
      </c>
      <c r="X19" s="1" t="s">
        <v>148</v>
      </c>
      <c r="Y19" s="8" t="s">
        <v>66</v>
      </c>
      <c r="Z19" s="1" t="s">
        <v>148</v>
      </c>
      <c r="AA19" s="8" t="s">
        <v>82</v>
      </c>
      <c r="AB19" s="1" t="s">
        <v>148</v>
      </c>
      <c r="AC19" s="8" t="s">
        <v>76</v>
      </c>
      <c r="AD19" s="1" t="s">
        <v>148</v>
      </c>
      <c r="AE19" s="8" t="s">
        <v>84</v>
      </c>
      <c r="AF19" s="1" t="s">
        <v>148</v>
      </c>
      <c r="AG19" s="8" t="s">
        <v>82</v>
      </c>
      <c r="AH19" s="1" t="s">
        <v>148</v>
      </c>
      <c r="AI19" s="2">
        <v>484</v>
      </c>
      <c r="AJ19" s="3" t="s">
        <v>163</v>
      </c>
      <c r="AK19" s="4" t="s">
        <v>172</v>
      </c>
    </row>
    <row r="20" spans="1:37" ht="15" customHeight="1">
      <c r="A20" s="5">
        <v>125219</v>
      </c>
      <c r="B20" s="6" t="s">
        <v>38</v>
      </c>
      <c r="C20" s="8">
        <v>40</v>
      </c>
      <c r="D20" s="1" t="s">
        <v>152</v>
      </c>
      <c r="E20" s="8" t="s">
        <v>81</v>
      </c>
      <c r="F20" s="1" t="s">
        <v>148</v>
      </c>
      <c r="G20" s="8" t="s">
        <v>89</v>
      </c>
      <c r="H20" s="1" t="s">
        <v>148</v>
      </c>
      <c r="I20" s="8" t="s">
        <v>72</v>
      </c>
      <c r="J20" s="1" t="s">
        <v>148</v>
      </c>
      <c r="K20" s="8" t="s">
        <v>81</v>
      </c>
      <c r="L20" s="1" t="s">
        <v>148</v>
      </c>
      <c r="M20" s="8" t="s">
        <v>88</v>
      </c>
      <c r="N20" s="1" t="s">
        <v>148</v>
      </c>
      <c r="O20" s="8" t="s">
        <v>72</v>
      </c>
      <c r="P20" s="1" t="s">
        <v>148</v>
      </c>
      <c r="Q20" s="8" t="s">
        <v>76</v>
      </c>
      <c r="R20" s="1" t="s">
        <v>148</v>
      </c>
      <c r="S20" s="8" t="s">
        <v>79</v>
      </c>
      <c r="T20" s="1" t="s">
        <v>148</v>
      </c>
      <c r="U20" s="8" t="s">
        <v>113</v>
      </c>
      <c r="V20" s="1" t="s">
        <v>153</v>
      </c>
      <c r="W20" s="8" t="s">
        <v>76</v>
      </c>
      <c r="X20" s="1" t="s">
        <v>148</v>
      </c>
      <c r="Y20" s="8">
        <v>55</v>
      </c>
      <c r="Z20" s="1" t="s">
        <v>152</v>
      </c>
      <c r="AA20" s="8" t="s">
        <v>81</v>
      </c>
      <c r="AB20" s="1" t="s">
        <v>148</v>
      </c>
      <c r="AC20" s="8" t="s">
        <v>78</v>
      </c>
      <c r="AD20" s="1" t="s">
        <v>148</v>
      </c>
      <c r="AE20" s="8" t="s">
        <v>84</v>
      </c>
      <c r="AF20" s="1" t="s">
        <v>148</v>
      </c>
      <c r="AG20" s="8" t="s">
        <v>76</v>
      </c>
      <c r="AH20" s="1" t="s">
        <v>148</v>
      </c>
      <c r="AI20" s="2">
        <v>467</v>
      </c>
      <c r="AJ20" s="3" t="s">
        <v>150</v>
      </c>
      <c r="AK20" s="4" t="s">
        <v>173</v>
      </c>
    </row>
    <row r="21" spans="1:37" ht="15" customHeight="1">
      <c r="A21" s="5">
        <v>125220</v>
      </c>
      <c r="B21" s="6" t="s">
        <v>39</v>
      </c>
      <c r="C21" s="8">
        <v>54</v>
      </c>
      <c r="D21" s="1" t="s">
        <v>152</v>
      </c>
      <c r="E21" s="8" t="s">
        <v>79</v>
      </c>
      <c r="F21" s="1" t="s">
        <v>148</v>
      </c>
      <c r="G21" s="8" t="s">
        <v>85</v>
      </c>
      <c r="H21" s="1" t="s">
        <v>148</v>
      </c>
      <c r="I21" s="8" t="s">
        <v>88</v>
      </c>
      <c r="J21" s="1" t="s">
        <v>148</v>
      </c>
      <c r="K21" s="8" t="s">
        <v>79</v>
      </c>
      <c r="L21" s="1" t="s">
        <v>148</v>
      </c>
      <c r="M21" s="8" t="s">
        <v>88</v>
      </c>
      <c r="N21" s="1" t="s">
        <v>148</v>
      </c>
      <c r="O21" s="8" t="s">
        <v>69</v>
      </c>
      <c r="P21" s="1" t="s">
        <v>148</v>
      </c>
      <c r="Q21" s="8" t="s">
        <v>79</v>
      </c>
      <c r="R21" s="1" t="s">
        <v>148</v>
      </c>
      <c r="S21" s="8" t="s">
        <v>79</v>
      </c>
      <c r="T21" s="1" t="s">
        <v>148</v>
      </c>
      <c r="U21" s="8" t="s">
        <v>113</v>
      </c>
      <c r="V21" s="1" t="s">
        <v>153</v>
      </c>
      <c r="W21" s="8" t="s">
        <v>79</v>
      </c>
      <c r="X21" s="1" t="s">
        <v>148</v>
      </c>
      <c r="Y21" s="8">
        <v>26</v>
      </c>
      <c r="Z21" s="1" t="s">
        <v>149</v>
      </c>
      <c r="AA21" s="8" t="s">
        <v>79</v>
      </c>
      <c r="AB21" s="1" t="s">
        <v>148</v>
      </c>
      <c r="AC21" s="8" t="s">
        <v>78</v>
      </c>
      <c r="AD21" s="1" t="s">
        <v>148</v>
      </c>
      <c r="AE21" s="8" t="s">
        <v>109</v>
      </c>
      <c r="AF21" s="1" t="s">
        <v>148</v>
      </c>
      <c r="AG21" s="8" t="s">
        <v>79</v>
      </c>
      <c r="AH21" s="1" t="s">
        <v>148</v>
      </c>
      <c r="AI21" s="2">
        <v>430</v>
      </c>
      <c r="AJ21" s="3" t="s">
        <v>150</v>
      </c>
      <c r="AK21" s="4" t="s">
        <v>174</v>
      </c>
    </row>
    <row r="22" spans="1:37" ht="15" customHeight="1">
      <c r="A22" s="5">
        <v>125221</v>
      </c>
      <c r="B22" s="6" t="s">
        <v>40</v>
      </c>
      <c r="C22" s="8" t="s">
        <v>69</v>
      </c>
      <c r="D22" s="1" t="s">
        <v>148</v>
      </c>
      <c r="E22" s="8" t="s">
        <v>81</v>
      </c>
      <c r="F22" s="1" t="s">
        <v>148</v>
      </c>
      <c r="G22" s="8" t="s">
        <v>88</v>
      </c>
      <c r="H22" s="1" t="s">
        <v>148</v>
      </c>
      <c r="I22" s="8" t="s">
        <v>69</v>
      </c>
      <c r="J22" s="1" t="s">
        <v>148</v>
      </c>
      <c r="K22" s="8" t="s">
        <v>81</v>
      </c>
      <c r="L22" s="1" t="s">
        <v>148</v>
      </c>
      <c r="M22" s="8" t="s">
        <v>93</v>
      </c>
      <c r="N22" s="1" t="s">
        <v>148</v>
      </c>
      <c r="O22" s="8" t="s">
        <v>93</v>
      </c>
      <c r="P22" s="1" t="s">
        <v>148</v>
      </c>
      <c r="Q22" s="8" t="s">
        <v>79</v>
      </c>
      <c r="R22" s="1" t="s">
        <v>148</v>
      </c>
      <c r="S22" s="8" t="s">
        <v>82</v>
      </c>
      <c r="T22" s="1" t="s">
        <v>148</v>
      </c>
      <c r="U22" s="8" t="s">
        <v>73</v>
      </c>
      <c r="V22" s="1" t="s">
        <v>148</v>
      </c>
      <c r="W22" s="8" t="s">
        <v>81</v>
      </c>
      <c r="X22" s="1" t="s">
        <v>148</v>
      </c>
      <c r="Y22" s="8">
        <v>17</v>
      </c>
      <c r="Z22" s="1" t="s">
        <v>149</v>
      </c>
      <c r="AA22" s="8" t="s">
        <v>81</v>
      </c>
      <c r="AB22" s="1" t="s">
        <v>148</v>
      </c>
      <c r="AC22" s="8" t="s">
        <v>82</v>
      </c>
      <c r="AD22" s="1" t="s">
        <v>148</v>
      </c>
      <c r="AE22" s="8" t="s">
        <v>110</v>
      </c>
      <c r="AF22" s="1" t="s">
        <v>148</v>
      </c>
      <c r="AG22" s="8" t="s">
        <v>81</v>
      </c>
      <c r="AH22" s="1" t="s">
        <v>148</v>
      </c>
      <c r="AI22" s="2">
        <v>471</v>
      </c>
      <c r="AJ22" s="3" t="s">
        <v>150</v>
      </c>
      <c r="AK22" s="4" t="s">
        <v>175</v>
      </c>
    </row>
    <row r="23" spans="1:37" ht="15" customHeight="1">
      <c r="A23" s="5">
        <v>125222</v>
      </c>
      <c r="B23" s="7" t="s">
        <v>41</v>
      </c>
      <c r="C23" s="8">
        <v>40</v>
      </c>
      <c r="D23" s="1" t="s">
        <v>152</v>
      </c>
      <c r="E23" s="8" t="s">
        <v>81</v>
      </c>
      <c r="F23" s="1" t="s">
        <v>148</v>
      </c>
      <c r="G23" s="8" t="s">
        <v>69</v>
      </c>
      <c r="H23" s="1" t="s">
        <v>148</v>
      </c>
      <c r="I23" s="8" t="s">
        <v>69</v>
      </c>
      <c r="J23" s="1" t="s">
        <v>148</v>
      </c>
      <c r="K23" s="8" t="s">
        <v>81</v>
      </c>
      <c r="L23" s="1" t="s">
        <v>148</v>
      </c>
      <c r="M23" s="8" t="s">
        <v>93</v>
      </c>
      <c r="N23" s="1" t="s">
        <v>148</v>
      </c>
      <c r="O23" s="8">
        <v>31</v>
      </c>
      <c r="P23" s="1" t="s">
        <v>149</v>
      </c>
      <c r="Q23" s="8" t="s">
        <v>76</v>
      </c>
      <c r="R23" s="1" t="s">
        <v>148</v>
      </c>
      <c r="S23" s="8" t="s">
        <v>82</v>
      </c>
      <c r="T23" s="1" t="s">
        <v>148</v>
      </c>
      <c r="U23" s="8">
        <v>4</v>
      </c>
      <c r="V23" s="1" t="s">
        <v>149</v>
      </c>
      <c r="W23" s="8" t="s">
        <v>76</v>
      </c>
      <c r="X23" s="1" t="s">
        <v>148</v>
      </c>
      <c r="Y23" s="8" t="s">
        <v>69</v>
      </c>
      <c r="Z23" s="1" t="s">
        <v>148</v>
      </c>
      <c r="AA23" s="8" t="s">
        <v>81</v>
      </c>
      <c r="AB23" s="1" t="s">
        <v>148</v>
      </c>
      <c r="AC23" s="8" t="s">
        <v>78</v>
      </c>
      <c r="AD23" s="1" t="s">
        <v>148</v>
      </c>
      <c r="AE23" s="8" t="s">
        <v>110</v>
      </c>
      <c r="AF23" s="1" t="s">
        <v>148</v>
      </c>
      <c r="AG23" s="8" t="s">
        <v>76</v>
      </c>
      <c r="AH23" s="1" t="s">
        <v>148</v>
      </c>
      <c r="AI23" s="2">
        <v>442</v>
      </c>
      <c r="AJ23" s="3" t="s">
        <v>150</v>
      </c>
      <c r="AK23" s="4" t="s">
        <v>176</v>
      </c>
    </row>
    <row r="24" spans="1:37" ht="15" customHeight="1">
      <c r="A24" s="5">
        <v>125223</v>
      </c>
      <c r="B24" s="6" t="s">
        <v>42</v>
      </c>
      <c r="C24" s="8" t="s">
        <v>69</v>
      </c>
      <c r="D24" s="1" t="s">
        <v>148</v>
      </c>
      <c r="E24" s="8" t="s">
        <v>77</v>
      </c>
      <c r="F24" s="1" t="s">
        <v>148</v>
      </c>
      <c r="G24" s="8" t="s">
        <v>73</v>
      </c>
      <c r="H24" s="1" t="s">
        <v>148</v>
      </c>
      <c r="I24" s="8" t="s">
        <v>72</v>
      </c>
      <c r="J24" s="1" t="s">
        <v>148</v>
      </c>
      <c r="K24" s="8" t="s">
        <v>79</v>
      </c>
      <c r="L24" s="1" t="s">
        <v>148</v>
      </c>
      <c r="M24" s="8" t="s">
        <v>88</v>
      </c>
      <c r="N24" s="1" t="s">
        <v>148</v>
      </c>
      <c r="O24" s="8" t="s">
        <v>69</v>
      </c>
      <c r="P24" s="1" t="s">
        <v>148</v>
      </c>
      <c r="Q24" s="8" t="s">
        <v>79</v>
      </c>
      <c r="R24" s="1" t="s">
        <v>148</v>
      </c>
      <c r="S24" s="8" t="s">
        <v>81</v>
      </c>
      <c r="T24" s="1" t="s">
        <v>148</v>
      </c>
      <c r="U24" s="8" t="s">
        <v>113</v>
      </c>
      <c r="V24" s="1" t="s">
        <v>153</v>
      </c>
      <c r="W24" s="8" t="s">
        <v>78</v>
      </c>
      <c r="X24" s="1" t="s">
        <v>148</v>
      </c>
      <c r="Y24" s="8" t="s">
        <v>102</v>
      </c>
      <c r="Z24" s="1" t="s">
        <v>148</v>
      </c>
      <c r="AA24" s="8" t="s">
        <v>77</v>
      </c>
      <c r="AB24" s="1" t="s">
        <v>148</v>
      </c>
      <c r="AC24" s="8" t="s">
        <v>82</v>
      </c>
      <c r="AD24" s="1" t="s">
        <v>148</v>
      </c>
      <c r="AE24" s="8" t="s">
        <v>84</v>
      </c>
      <c r="AF24" s="1" t="s">
        <v>148</v>
      </c>
      <c r="AG24" s="8" t="s">
        <v>77</v>
      </c>
      <c r="AH24" s="1" t="s">
        <v>148</v>
      </c>
      <c r="AI24" s="2">
        <v>459</v>
      </c>
      <c r="AJ24" s="3" t="s">
        <v>163</v>
      </c>
      <c r="AK24" s="4" t="s">
        <v>177</v>
      </c>
    </row>
    <row r="25" spans="1:37" ht="15" customHeight="1">
      <c r="A25" s="5">
        <v>125224</v>
      </c>
      <c r="B25" s="6" t="s">
        <v>43</v>
      </c>
      <c r="C25" s="8" t="s">
        <v>113</v>
      </c>
      <c r="D25" s="1" t="s">
        <v>153</v>
      </c>
      <c r="E25" s="8" t="s">
        <v>82</v>
      </c>
      <c r="F25" s="1" t="s">
        <v>148</v>
      </c>
      <c r="G25" s="8" t="s">
        <v>72</v>
      </c>
      <c r="H25" s="1" t="s">
        <v>148</v>
      </c>
      <c r="I25" s="8" t="s">
        <v>68</v>
      </c>
      <c r="J25" s="1" t="s">
        <v>148</v>
      </c>
      <c r="K25" s="8" t="s">
        <v>82</v>
      </c>
      <c r="L25" s="1" t="s">
        <v>148</v>
      </c>
      <c r="M25" s="8" t="s">
        <v>88</v>
      </c>
      <c r="N25" s="1" t="s">
        <v>148</v>
      </c>
      <c r="O25" s="8" t="s">
        <v>69</v>
      </c>
      <c r="P25" s="1" t="s">
        <v>148</v>
      </c>
      <c r="Q25" s="8" t="s">
        <v>82</v>
      </c>
      <c r="R25" s="1" t="s">
        <v>148</v>
      </c>
      <c r="S25" s="8" t="s">
        <v>82</v>
      </c>
      <c r="T25" s="1" t="s">
        <v>148</v>
      </c>
      <c r="U25" s="8" t="s">
        <v>113</v>
      </c>
      <c r="V25" s="1" t="s">
        <v>153</v>
      </c>
      <c r="W25" s="8" t="s">
        <v>82</v>
      </c>
      <c r="X25" s="1" t="s">
        <v>148</v>
      </c>
      <c r="Y25" s="8" t="s">
        <v>113</v>
      </c>
      <c r="Z25" s="1" t="s">
        <v>153</v>
      </c>
      <c r="AA25" s="8" t="s">
        <v>82</v>
      </c>
      <c r="AB25" s="1" t="s">
        <v>148</v>
      </c>
      <c r="AC25" s="8" t="s">
        <v>79</v>
      </c>
      <c r="AD25" s="1" t="s">
        <v>148</v>
      </c>
      <c r="AE25" s="8" t="s">
        <v>105</v>
      </c>
      <c r="AF25" s="1" t="s">
        <v>148</v>
      </c>
      <c r="AG25" s="8" t="s">
        <v>79</v>
      </c>
      <c r="AH25" s="1" t="s">
        <v>148</v>
      </c>
      <c r="AI25" s="2">
        <v>370</v>
      </c>
      <c r="AJ25" s="3" t="s">
        <v>163</v>
      </c>
      <c r="AK25" s="4" t="s">
        <v>178</v>
      </c>
    </row>
    <row r="26" spans="1:37" ht="15" customHeight="1">
      <c r="A26" s="5">
        <v>125225</v>
      </c>
      <c r="B26" s="6" t="s">
        <v>44</v>
      </c>
      <c r="C26" s="8" t="s">
        <v>69</v>
      </c>
      <c r="D26" s="1" t="s">
        <v>148</v>
      </c>
      <c r="E26" s="8" t="s">
        <v>82</v>
      </c>
      <c r="F26" s="1" t="s">
        <v>148</v>
      </c>
      <c r="G26" s="8" t="s">
        <v>73</v>
      </c>
      <c r="H26" s="1" t="s">
        <v>148</v>
      </c>
      <c r="I26" s="8" t="s">
        <v>88</v>
      </c>
      <c r="J26" s="1" t="s">
        <v>148</v>
      </c>
      <c r="K26" s="8" t="s">
        <v>82</v>
      </c>
      <c r="L26" s="1" t="s">
        <v>148</v>
      </c>
      <c r="M26" s="8" t="s">
        <v>88</v>
      </c>
      <c r="N26" s="1" t="s">
        <v>148</v>
      </c>
      <c r="O26" s="8">
        <v>50</v>
      </c>
      <c r="P26" s="1" t="s">
        <v>152</v>
      </c>
      <c r="Q26" s="8" t="s">
        <v>79</v>
      </c>
      <c r="R26" s="1" t="s">
        <v>148</v>
      </c>
      <c r="S26" s="8" t="s">
        <v>81</v>
      </c>
      <c r="T26" s="1" t="s">
        <v>148</v>
      </c>
      <c r="U26" s="8" t="s">
        <v>113</v>
      </c>
      <c r="V26" s="1" t="s">
        <v>153</v>
      </c>
      <c r="W26" s="8" t="s">
        <v>79</v>
      </c>
      <c r="X26" s="1" t="s">
        <v>148</v>
      </c>
      <c r="Y26" s="8" t="s">
        <v>69</v>
      </c>
      <c r="Z26" s="1" t="s">
        <v>148</v>
      </c>
      <c r="AA26" s="8" t="s">
        <v>82</v>
      </c>
      <c r="AB26" s="1" t="s">
        <v>148</v>
      </c>
      <c r="AC26" s="8" t="s">
        <v>79</v>
      </c>
      <c r="AD26" s="1" t="s">
        <v>148</v>
      </c>
      <c r="AE26" s="8" t="s">
        <v>106</v>
      </c>
      <c r="AF26" s="1" t="s">
        <v>148</v>
      </c>
      <c r="AG26" s="8" t="s">
        <v>79</v>
      </c>
      <c r="AH26" s="1" t="s">
        <v>148</v>
      </c>
      <c r="AI26" s="2">
        <v>453</v>
      </c>
      <c r="AJ26" s="3" t="s">
        <v>150</v>
      </c>
      <c r="AK26" s="4" t="s">
        <v>179</v>
      </c>
    </row>
    <row r="27" spans="1:37" ht="15" customHeight="1">
      <c r="A27" s="5">
        <v>125226</v>
      </c>
      <c r="B27" s="6" t="s">
        <v>45</v>
      </c>
      <c r="C27" s="8" t="s">
        <v>74</v>
      </c>
      <c r="D27" s="1" t="s">
        <v>148</v>
      </c>
      <c r="E27" s="8" t="s">
        <v>81</v>
      </c>
      <c r="F27" s="1" t="s">
        <v>148</v>
      </c>
      <c r="G27" s="8" t="s">
        <v>69</v>
      </c>
      <c r="H27" s="1" t="s">
        <v>148</v>
      </c>
      <c r="I27" s="8" t="s">
        <v>67</v>
      </c>
      <c r="J27" s="1" t="s">
        <v>148</v>
      </c>
      <c r="K27" s="8" t="s">
        <v>81</v>
      </c>
      <c r="L27" s="1" t="s">
        <v>148</v>
      </c>
      <c r="M27" s="8" t="s">
        <v>72</v>
      </c>
      <c r="N27" s="1" t="s">
        <v>148</v>
      </c>
      <c r="O27" s="8" t="s">
        <v>72</v>
      </c>
      <c r="P27" s="1" t="s">
        <v>148</v>
      </c>
      <c r="Q27" s="8" t="s">
        <v>79</v>
      </c>
      <c r="R27" s="1" t="s">
        <v>148</v>
      </c>
      <c r="S27" s="8" t="s">
        <v>79</v>
      </c>
      <c r="T27" s="1" t="s">
        <v>148</v>
      </c>
      <c r="U27" s="8" t="s">
        <v>73</v>
      </c>
      <c r="V27" s="1" t="s">
        <v>148</v>
      </c>
      <c r="W27" s="8" t="s">
        <v>81</v>
      </c>
      <c r="X27" s="1" t="s">
        <v>148</v>
      </c>
      <c r="Y27" s="8" t="s">
        <v>113</v>
      </c>
      <c r="Z27" s="1" t="s">
        <v>153</v>
      </c>
      <c r="AA27" s="8" t="s">
        <v>81</v>
      </c>
      <c r="AB27" s="1" t="s">
        <v>148</v>
      </c>
      <c r="AC27" s="8" t="s">
        <v>79</v>
      </c>
      <c r="AD27" s="1" t="s">
        <v>148</v>
      </c>
      <c r="AE27" s="8" t="s">
        <v>105</v>
      </c>
      <c r="AF27" s="1" t="s">
        <v>148</v>
      </c>
      <c r="AG27" s="8" t="s">
        <v>82</v>
      </c>
      <c r="AH27" s="1" t="s">
        <v>148</v>
      </c>
      <c r="AI27" s="2">
        <v>465</v>
      </c>
      <c r="AJ27" s="3" t="s">
        <v>163</v>
      </c>
      <c r="AK27" s="4" t="s">
        <v>180</v>
      </c>
    </row>
    <row r="28" spans="1:37" ht="15" customHeight="1">
      <c r="A28" s="5">
        <v>125227</v>
      </c>
      <c r="B28" s="6" t="s">
        <v>46</v>
      </c>
      <c r="C28" s="8" t="s">
        <v>74</v>
      </c>
      <c r="D28" s="1" t="s">
        <v>148</v>
      </c>
      <c r="E28" s="8" t="s">
        <v>79</v>
      </c>
      <c r="F28" s="1" t="s">
        <v>148</v>
      </c>
      <c r="G28" s="8" t="s">
        <v>72</v>
      </c>
      <c r="H28" s="1" t="s">
        <v>148</v>
      </c>
      <c r="I28" s="8" t="s">
        <v>69</v>
      </c>
      <c r="J28" s="1" t="s">
        <v>148</v>
      </c>
      <c r="K28" s="8" t="s">
        <v>79</v>
      </c>
      <c r="L28" s="1" t="s">
        <v>148</v>
      </c>
      <c r="M28" s="8" t="s">
        <v>88</v>
      </c>
      <c r="N28" s="1" t="s">
        <v>148</v>
      </c>
      <c r="O28" s="8">
        <v>40</v>
      </c>
      <c r="P28" s="1" t="s">
        <v>153</v>
      </c>
      <c r="Q28" s="8" t="s">
        <v>79</v>
      </c>
      <c r="R28" s="1" t="s">
        <v>148</v>
      </c>
      <c r="S28" s="8" t="s">
        <v>82</v>
      </c>
      <c r="T28" s="1" t="s">
        <v>148</v>
      </c>
      <c r="U28" s="8" t="s">
        <v>69</v>
      </c>
      <c r="V28" s="1" t="s">
        <v>148</v>
      </c>
      <c r="W28" s="8" t="s">
        <v>78</v>
      </c>
      <c r="X28" s="1" t="s">
        <v>148</v>
      </c>
      <c r="Y28" s="8">
        <v>42</v>
      </c>
      <c r="Z28" s="1" t="s">
        <v>153</v>
      </c>
      <c r="AA28" s="8" t="s">
        <v>79</v>
      </c>
      <c r="AB28" s="1" t="s">
        <v>148</v>
      </c>
      <c r="AC28" s="8" t="s">
        <v>82</v>
      </c>
      <c r="AD28" s="1" t="s">
        <v>148</v>
      </c>
      <c r="AE28" s="8" t="s">
        <v>87</v>
      </c>
      <c r="AF28" s="1" t="s">
        <v>148</v>
      </c>
      <c r="AG28" s="8" t="s">
        <v>77</v>
      </c>
      <c r="AH28" s="1" t="s">
        <v>148</v>
      </c>
      <c r="AI28" s="2">
        <v>482</v>
      </c>
      <c r="AJ28" s="3" t="s">
        <v>158</v>
      </c>
      <c r="AK28" s="4" t="s">
        <v>181</v>
      </c>
    </row>
    <row r="29" spans="1:37" ht="15" customHeight="1">
      <c r="A29" s="5">
        <v>125228</v>
      </c>
      <c r="B29" s="6" t="s">
        <v>47</v>
      </c>
      <c r="C29" s="8">
        <v>45</v>
      </c>
      <c r="D29" s="1" t="s">
        <v>153</v>
      </c>
      <c r="E29" s="8" t="s">
        <v>79</v>
      </c>
      <c r="F29" s="1" t="s">
        <v>148</v>
      </c>
      <c r="G29" s="8" t="s">
        <v>88</v>
      </c>
      <c r="H29" s="1" t="s">
        <v>148</v>
      </c>
      <c r="I29" s="8" t="s">
        <v>69</v>
      </c>
      <c r="J29" s="1" t="s">
        <v>148</v>
      </c>
      <c r="K29" s="8" t="s">
        <v>82</v>
      </c>
      <c r="L29" s="1" t="s">
        <v>148</v>
      </c>
      <c r="M29" s="8" t="s">
        <v>88</v>
      </c>
      <c r="N29" s="1" t="s">
        <v>148</v>
      </c>
      <c r="O29" s="8">
        <v>40</v>
      </c>
      <c r="P29" s="1" t="s">
        <v>153</v>
      </c>
      <c r="Q29" s="8" t="s">
        <v>82</v>
      </c>
      <c r="R29" s="1" t="s">
        <v>148</v>
      </c>
      <c r="S29" s="8" t="s">
        <v>82</v>
      </c>
      <c r="T29" s="1" t="s">
        <v>148</v>
      </c>
      <c r="U29" s="8" t="s">
        <v>74</v>
      </c>
      <c r="V29" s="1" t="s">
        <v>148</v>
      </c>
      <c r="W29" s="8" t="s">
        <v>82</v>
      </c>
      <c r="X29" s="1" t="s">
        <v>148</v>
      </c>
      <c r="Y29" s="8">
        <v>42</v>
      </c>
      <c r="Z29" s="1" t="s">
        <v>153</v>
      </c>
      <c r="AA29" s="8" t="s">
        <v>79</v>
      </c>
      <c r="AB29" s="1" t="s">
        <v>148</v>
      </c>
      <c r="AC29" s="8" t="s">
        <v>79</v>
      </c>
      <c r="AD29" s="1" t="s">
        <v>148</v>
      </c>
      <c r="AE29" s="8" t="s">
        <v>105</v>
      </c>
      <c r="AF29" s="1" t="s">
        <v>148</v>
      </c>
      <c r="AG29" s="8" t="s">
        <v>79</v>
      </c>
      <c r="AH29" s="1" t="s">
        <v>148</v>
      </c>
      <c r="AI29" s="2">
        <v>489</v>
      </c>
      <c r="AJ29" s="3" t="s">
        <v>158</v>
      </c>
      <c r="AK29" s="4" t="s">
        <v>182</v>
      </c>
    </row>
    <row r="30" spans="1:37" ht="15" customHeight="1">
      <c r="A30" s="5">
        <v>125229</v>
      </c>
      <c r="B30" s="6" t="s">
        <v>48</v>
      </c>
      <c r="C30" s="8" t="s">
        <v>70</v>
      </c>
      <c r="D30" s="1" t="s">
        <v>148</v>
      </c>
      <c r="E30" s="8" t="s">
        <v>79</v>
      </c>
      <c r="F30" s="1" t="s">
        <v>148</v>
      </c>
      <c r="G30" s="8" t="s">
        <v>72</v>
      </c>
      <c r="H30" s="1" t="s">
        <v>148</v>
      </c>
      <c r="I30" s="8" t="s">
        <v>91</v>
      </c>
      <c r="J30" s="1" t="s">
        <v>148</v>
      </c>
      <c r="K30" s="8" t="s">
        <v>95</v>
      </c>
      <c r="L30" s="1" t="s">
        <v>148</v>
      </c>
      <c r="M30" s="8" t="s">
        <v>69</v>
      </c>
      <c r="N30" s="1" t="s">
        <v>148</v>
      </c>
      <c r="O30" s="8" t="s">
        <v>97</v>
      </c>
      <c r="P30" s="1" t="s">
        <v>148</v>
      </c>
      <c r="Q30" s="8" t="s">
        <v>81</v>
      </c>
      <c r="R30" s="1" t="s">
        <v>148</v>
      </c>
      <c r="S30" s="8" t="s">
        <v>81</v>
      </c>
      <c r="T30" s="1" t="s">
        <v>148</v>
      </c>
      <c r="U30" s="8">
        <v>8</v>
      </c>
      <c r="V30" s="1" t="s">
        <v>149</v>
      </c>
      <c r="W30" s="8" t="s">
        <v>101</v>
      </c>
      <c r="X30" s="1" t="s">
        <v>148</v>
      </c>
      <c r="Y30" s="8" t="s">
        <v>69</v>
      </c>
      <c r="Z30" s="1" t="s">
        <v>148</v>
      </c>
      <c r="AA30" s="8" t="s">
        <v>83</v>
      </c>
      <c r="AB30" s="1" t="s">
        <v>148</v>
      </c>
      <c r="AC30" s="8" t="s">
        <v>79</v>
      </c>
      <c r="AD30" s="1" t="s">
        <v>148</v>
      </c>
      <c r="AE30" s="8" t="s">
        <v>81</v>
      </c>
      <c r="AF30" s="1" t="s">
        <v>148</v>
      </c>
      <c r="AG30" s="8" t="s">
        <v>79</v>
      </c>
      <c r="AH30" s="1" t="s">
        <v>148</v>
      </c>
      <c r="AI30" s="2">
        <v>460</v>
      </c>
      <c r="AJ30" s="3" t="s">
        <v>150</v>
      </c>
      <c r="AK30" s="4" t="s">
        <v>183</v>
      </c>
    </row>
    <row r="31" spans="1:37" ht="15" customHeight="1">
      <c r="A31" s="5">
        <v>125230</v>
      </c>
      <c r="B31" s="6" t="s">
        <v>49</v>
      </c>
      <c r="C31" s="8" t="s">
        <v>69</v>
      </c>
      <c r="D31" s="1" t="s">
        <v>148</v>
      </c>
      <c r="E31" s="8" t="s">
        <v>81</v>
      </c>
      <c r="F31" s="1" t="s">
        <v>148</v>
      </c>
      <c r="G31" s="8" t="s">
        <v>73</v>
      </c>
      <c r="H31" s="1" t="s">
        <v>148</v>
      </c>
      <c r="I31" s="8" t="s">
        <v>69</v>
      </c>
      <c r="J31" s="1" t="s">
        <v>148</v>
      </c>
      <c r="K31" s="8" t="s">
        <v>76</v>
      </c>
      <c r="L31" s="1" t="s">
        <v>148</v>
      </c>
      <c r="M31" s="8" t="s">
        <v>66</v>
      </c>
      <c r="N31" s="1" t="s">
        <v>148</v>
      </c>
      <c r="O31" s="8" t="s">
        <v>69</v>
      </c>
      <c r="P31" s="1" t="s">
        <v>148</v>
      </c>
      <c r="Q31" s="8" t="s">
        <v>79</v>
      </c>
      <c r="R31" s="1" t="s">
        <v>148</v>
      </c>
      <c r="S31" s="8" t="s">
        <v>81</v>
      </c>
      <c r="T31" s="1" t="s">
        <v>148</v>
      </c>
      <c r="U31" s="8" t="s">
        <v>92</v>
      </c>
      <c r="V31" s="1" t="s">
        <v>148</v>
      </c>
      <c r="W31" s="8" t="s">
        <v>82</v>
      </c>
      <c r="X31" s="1" t="s">
        <v>148</v>
      </c>
      <c r="Y31" s="8">
        <v>40</v>
      </c>
      <c r="Z31" s="1" t="s">
        <v>153</v>
      </c>
      <c r="AA31" s="8" t="s">
        <v>81</v>
      </c>
      <c r="AB31" s="1" t="s">
        <v>148</v>
      </c>
      <c r="AC31" s="8" t="s">
        <v>79</v>
      </c>
      <c r="AD31" s="1" t="s">
        <v>148</v>
      </c>
      <c r="AE31" s="8" t="s">
        <v>110</v>
      </c>
      <c r="AF31" s="1" t="s">
        <v>148</v>
      </c>
      <c r="AG31" s="8" t="s">
        <v>82</v>
      </c>
      <c r="AH31" s="1" t="s">
        <v>148</v>
      </c>
      <c r="AI31" s="2">
        <v>504</v>
      </c>
      <c r="AJ31" s="3" t="s">
        <v>158</v>
      </c>
      <c r="AK31" s="4" t="s">
        <v>184</v>
      </c>
    </row>
    <row r="32" spans="1:37" ht="15" customHeight="1">
      <c r="A32" s="5">
        <v>125231</v>
      </c>
      <c r="B32" s="6" t="s">
        <v>50</v>
      </c>
      <c r="C32" s="8">
        <v>55</v>
      </c>
      <c r="D32" s="1" t="s">
        <v>152</v>
      </c>
      <c r="E32" s="8" t="s">
        <v>82</v>
      </c>
      <c r="F32" s="1" t="s">
        <v>148</v>
      </c>
      <c r="G32" s="8" t="s">
        <v>88</v>
      </c>
      <c r="H32" s="1" t="s">
        <v>148</v>
      </c>
      <c r="I32" s="8" t="s">
        <v>69</v>
      </c>
      <c r="J32" s="1" t="s">
        <v>148</v>
      </c>
      <c r="K32" s="8" t="s">
        <v>79</v>
      </c>
      <c r="L32" s="1" t="s">
        <v>148</v>
      </c>
      <c r="M32" s="8" t="s">
        <v>69</v>
      </c>
      <c r="N32" s="1" t="s">
        <v>148</v>
      </c>
      <c r="O32" s="8">
        <v>51</v>
      </c>
      <c r="P32" s="1" t="s">
        <v>152</v>
      </c>
      <c r="Q32" s="8" t="s">
        <v>79</v>
      </c>
      <c r="R32" s="1" t="s">
        <v>148</v>
      </c>
      <c r="S32" s="8" t="s">
        <v>82</v>
      </c>
      <c r="T32" s="1" t="s">
        <v>148</v>
      </c>
      <c r="U32" s="8">
        <v>18</v>
      </c>
      <c r="V32" s="1" t="s">
        <v>149</v>
      </c>
      <c r="W32" s="8" t="s">
        <v>82</v>
      </c>
      <c r="X32" s="1" t="s">
        <v>148</v>
      </c>
      <c r="Y32" s="8">
        <v>7</v>
      </c>
      <c r="Z32" s="1" t="s">
        <v>149</v>
      </c>
      <c r="AA32" s="8" t="s">
        <v>82</v>
      </c>
      <c r="AB32" s="1" t="s">
        <v>148</v>
      </c>
      <c r="AC32" s="8" t="s">
        <v>79</v>
      </c>
      <c r="AD32" s="1" t="s">
        <v>148</v>
      </c>
      <c r="AE32" s="8" t="s">
        <v>109</v>
      </c>
      <c r="AF32" s="1" t="s">
        <v>148</v>
      </c>
      <c r="AG32" s="8" t="s">
        <v>79</v>
      </c>
      <c r="AH32" s="1" t="s">
        <v>148</v>
      </c>
      <c r="AI32" s="2">
        <v>447</v>
      </c>
      <c r="AJ32" s="3" t="s">
        <v>150</v>
      </c>
      <c r="AK32" s="4" t="s">
        <v>185</v>
      </c>
    </row>
    <row r="33" spans="1:37" ht="15" customHeight="1">
      <c r="A33" s="5">
        <v>125232</v>
      </c>
      <c r="B33" s="6" t="s">
        <v>51</v>
      </c>
      <c r="C33" s="8" t="s">
        <v>69</v>
      </c>
      <c r="D33" s="1" t="s">
        <v>148</v>
      </c>
      <c r="E33" s="8" t="s">
        <v>76</v>
      </c>
      <c r="F33" s="1" t="s">
        <v>148</v>
      </c>
      <c r="G33" s="8" t="s">
        <v>72</v>
      </c>
      <c r="H33" s="1" t="s">
        <v>148</v>
      </c>
      <c r="I33" s="8" t="s">
        <v>69</v>
      </c>
      <c r="J33" s="1" t="s">
        <v>148</v>
      </c>
      <c r="K33" s="8" t="s">
        <v>81</v>
      </c>
      <c r="L33" s="1" t="s">
        <v>148</v>
      </c>
      <c r="M33" s="8" t="s">
        <v>72</v>
      </c>
      <c r="N33" s="1" t="s">
        <v>148</v>
      </c>
      <c r="O33" s="8">
        <v>20</v>
      </c>
      <c r="P33" s="1" t="s">
        <v>149</v>
      </c>
      <c r="Q33" s="8" t="s">
        <v>79</v>
      </c>
      <c r="R33" s="1" t="s">
        <v>148</v>
      </c>
      <c r="S33" s="8" t="s">
        <v>82</v>
      </c>
      <c r="T33" s="1" t="s">
        <v>148</v>
      </c>
      <c r="U33" s="8">
        <v>3</v>
      </c>
      <c r="V33" s="1" t="s">
        <v>149</v>
      </c>
      <c r="W33" s="8" t="s">
        <v>76</v>
      </c>
      <c r="X33" s="1" t="s">
        <v>148</v>
      </c>
      <c r="Y33" s="8" t="s">
        <v>72</v>
      </c>
      <c r="Z33" s="1" t="s">
        <v>148</v>
      </c>
      <c r="AA33" s="8" t="s">
        <v>76</v>
      </c>
      <c r="AB33" s="1" t="s">
        <v>148</v>
      </c>
      <c r="AC33" s="8" t="s">
        <v>76</v>
      </c>
      <c r="AD33" s="1" t="s">
        <v>148</v>
      </c>
      <c r="AE33" s="8" t="s">
        <v>84</v>
      </c>
      <c r="AF33" s="1" t="s">
        <v>148</v>
      </c>
      <c r="AG33" s="8" t="s">
        <v>76</v>
      </c>
      <c r="AH33" s="1" t="s">
        <v>148</v>
      </c>
      <c r="AI33" s="2">
        <v>441</v>
      </c>
      <c r="AJ33" s="3" t="s">
        <v>150</v>
      </c>
      <c r="AK33" s="4" t="s">
        <v>186</v>
      </c>
    </row>
    <row r="34" spans="1:37" ht="15" customHeight="1">
      <c r="A34" s="5">
        <v>125233</v>
      </c>
      <c r="B34" s="6" t="s">
        <v>52</v>
      </c>
      <c r="C34" s="8" t="s">
        <v>72</v>
      </c>
      <c r="D34" s="1" t="s">
        <v>148</v>
      </c>
      <c r="E34" s="8" t="s">
        <v>81</v>
      </c>
      <c r="F34" s="1" t="s">
        <v>148</v>
      </c>
      <c r="G34" s="8" t="s">
        <v>73</v>
      </c>
      <c r="H34" s="1" t="s">
        <v>148</v>
      </c>
      <c r="I34" s="8" t="s">
        <v>70</v>
      </c>
      <c r="J34" s="1" t="s">
        <v>148</v>
      </c>
      <c r="K34" s="8" t="s">
        <v>94</v>
      </c>
      <c r="L34" s="1" t="s">
        <v>148</v>
      </c>
      <c r="M34" s="8" t="s">
        <v>87</v>
      </c>
      <c r="N34" s="1" t="s">
        <v>148</v>
      </c>
      <c r="O34" s="8" t="s">
        <v>93</v>
      </c>
      <c r="P34" s="1" t="s">
        <v>148</v>
      </c>
      <c r="Q34" s="8" t="s">
        <v>82</v>
      </c>
      <c r="R34" s="1" t="s">
        <v>148</v>
      </c>
      <c r="S34" s="8" t="s">
        <v>82</v>
      </c>
      <c r="T34" s="1" t="s">
        <v>148</v>
      </c>
      <c r="U34" s="8">
        <v>23</v>
      </c>
      <c r="V34" s="1" t="s">
        <v>149</v>
      </c>
      <c r="W34" s="8" t="s">
        <v>95</v>
      </c>
      <c r="X34" s="1" t="s">
        <v>148</v>
      </c>
      <c r="Y34" s="8" t="s">
        <v>69</v>
      </c>
      <c r="Z34" s="1" t="s">
        <v>148</v>
      </c>
      <c r="AA34" s="8" t="s">
        <v>77</v>
      </c>
      <c r="AB34" s="1" t="s">
        <v>148</v>
      </c>
      <c r="AC34" s="8" t="s">
        <v>77</v>
      </c>
      <c r="AD34" s="1" t="s">
        <v>148</v>
      </c>
      <c r="AE34" s="8" t="s">
        <v>79</v>
      </c>
      <c r="AF34" s="1" t="s">
        <v>148</v>
      </c>
      <c r="AG34" s="8" t="s">
        <v>95</v>
      </c>
      <c r="AH34" s="1" t="s">
        <v>148</v>
      </c>
      <c r="AI34" s="2">
        <v>452</v>
      </c>
      <c r="AJ34" s="3" t="s">
        <v>150</v>
      </c>
      <c r="AK34" s="4" t="s">
        <v>187</v>
      </c>
    </row>
    <row r="35" spans="1:37" ht="15" customHeight="1">
      <c r="A35" s="5">
        <v>125234</v>
      </c>
      <c r="B35" s="6" t="s">
        <v>53</v>
      </c>
      <c r="C35" s="8" t="s">
        <v>66</v>
      </c>
      <c r="D35" s="1" t="s">
        <v>148</v>
      </c>
      <c r="E35" s="8" t="s">
        <v>79</v>
      </c>
      <c r="F35" s="1" t="s">
        <v>148</v>
      </c>
      <c r="G35" s="8" t="s">
        <v>69</v>
      </c>
      <c r="H35" s="1" t="s">
        <v>148</v>
      </c>
      <c r="I35" s="8" t="s">
        <v>69</v>
      </c>
      <c r="J35" s="1" t="s">
        <v>148</v>
      </c>
      <c r="K35" s="8" t="s">
        <v>79</v>
      </c>
      <c r="L35" s="1" t="s">
        <v>148</v>
      </c>
      <c r="M35" s="8" t="s">
        <v>88</v>
      </c>
      <c r="N35" s="1" t="s">
        <v>148</v>
      </c>
      <c r="O35" s="8">
        <v>48</v>
      </c>
      <c r="P35" s="1" t="s">
        <v>153</v>
      </c>
      <c r="Q35" s="8" t="s">
        <v>82</v>
      </c>
      <c r="R35" s="1" t="s">
        <v>148</v>
      </c>
      <c r="S35" s="8" t="s">
        <v>82</v>
      </c>
      <c r="T35" s="1" t="s">
        <v>148</v>
      </c>
      <c r="U35" s="8" t="s">
        <v>73</v>
      </c>
      <c r="V35" s="1" t="s">
        <v>148</v>
      </c>
      <c r="W35" s="8" t="s">
        <v>79</v>
      </c>
      <c r="X35" s="1" t="s">
        <v>148</v>
      </c>
      <c r="Y35" s="8" t="s">
        <v>69</v>
      </c>
      <c r="Z35" s="1" t="s">
        <v>148</v>
      </c>
      <c r="AA35" s="8" t="s">
        <v>79</v>
      </c>
      <c r="AB35" s="1" t="s">
        <v>148</v>
      </c>
      <c r="AC35" s="8" t="s">
        <v>82</v>
      </c>
      <c r="AD35" s="1" t="s">
        <v>148</v>
      </c>
      <c r="AE35" s="8" t="s">
        <v>107</v>
      </c>
      <c r="AF35" s="1" t="s">
        <v>148</v>
      </c>
      <c r="AG35" s="8" t="s">
        <v>79</v>
      </c>
      <c r="AH35" s="1" t="s">
        <v>148</v>
      </c>
      <c r="AI35" s="2">
        <v>493</v>
      </c>
      <c r="AJ35" s="3" t="s">
        <v>158</v>
      </c>
      <c r="AK35" s="4" t="s">
        <v>166</v>
      </c>
    </row>
    <row r="36" spans="1:37" ht="15" customHeight="1">
      <c r="A36" s="5">
        <v>125235</v>
      </c>
      <c r="B36" s="6" t="s">
        <v>54</v>
      </c>
      <c r="C36" s="8" t="s">
        <v>69</v>
      </c>
      <c r="D36" s="1" t="s">
        <v>148</v>
      </c>
      <c r="E36" s="8" t="s">
        <v>76</v>
      </c>
      <c r="F36" s="1" t="s">
        <v>148</v>
      </c>
      <c r="G36" s="8" t="s">
        <v>88</v>
      </c>
      <c r="H36" s="1" t="s">
        <v>148</v>
      </c>
      <c r="I36" s="8" t="s">
        <v>69</v>
      </c>
      <c r="J36" s="1" t="s">
        <v>148</v>
      </c>
      <c r="K36" s="8" t="s">
        <v>81</v>
      </c>
      <c r="L36" s="1" t="s">
        <v>148</v>
      </c>
      <c r="M36" s="8" t="s">
        <v>72</v>
      </c>
      <c r="N36" s="1" t="s">
        <v>148</v>
      </c>
      <c r="O36" s="8">
        <v>42</v>
      </c>
      <c r="P36" s="1" t="s">
        <v>152</v>
      </c>
      <c r="Q36" s="8" t="s">
        <v>76</v>
      </c>
      <c r="R36" s="1" t="s">
        <v>148</v>
      </c>
      <c r="S36" s="8" t="s">
        <v>82</v>
      </c>
      <c r="T36" s="1" t="s">
        <v>148</v>
      </c>
      <c r="U36" s="8">
        <v>9</v>
      </c>
      <c r="V36" s="1" t="s">
        <v>149</v>
      </c>
      <c r="W36" s="8" t="s">
        <v>76</v>
      </c>
      <c r="X36" s="1" t="s">
        <v>148</v>
      </c>
      <c r="Y36" s="8" t="s">
        <v>69</v>
      </c>
      <c r="Z36" s="1" t="s">
        <v>148</v>
      </c>
      <c r="AA36" s="8" t="s">
        <v>76</v>
      </c>
      <c r="AB36" s="1" t="s">
        <v>148</v>
      </c>
      <c r="AC36" s="8" t="s">
        <v>79</v>
      </c>
      <c r="AD36" s="1" t="s">
        <v>148</v>
      </c>
      <c r="AE36" s="8" t="s">
        <v>106</v>
      </c>
      <c r="AF36" s="1" t="s">
        <v>148</v>
      </c>
      <c r="AG36" s="8" t="s">
        <v>76</v>
      </c>
      <c r="AH36" s="1" t="s">
        <v>148</v>
      </c>
      <c r="AI36" s="2">
        <v>464</v>
      </c>
      <c r="AJ36" s="3" t="s">
        <v>150</v>
      </c>
      <c r="AK36" s="4" t="s">
        <v>188</v>
      </c>
    </row>
    <row r="37" spans="1:37" ht="15" customHeight="1">
      <c r="A37" s="5">
        <v>125236</v>
      </c>
      <c r="B37" s="6" t="s">
        <v>55</v>
      </c>
      <c r="C37" s="8" t="s">
        <v>69</v>
      </c>
      <c r="D37" s="1" t="s">
        <v>148</v>
      </c>
      <c r="E37" s="8" t="s">
        <v>79</v>
      </c>
      <c r="F37" s="1" t="s">
        <v>148</v>
      </c>
      <c r="G37" s="8" t="s">
        <v>88</v>
      </c>
      <c r="H37" s="1" t="s">
        <v>148</v>
      </c>
      <c r="I37" s="8" t="s">
        <v>69</v>
      </c>
      <c r="J37" s="1" t="s">
        <v>148</v>
      </c>
      <c r="K37" s="8" t="s">
        <v>79</v>
      </c>
      <c r="L37" s="1" t="s">
        <v>148</v>
      </c>
      <c r="M37" s="8" t="s">
        <v>96</v>
      </c>
      <c r="N37" s="1" t="s">
        <v>148</v>
      </c>
      <c r="O37" s="8">
        <v>23</v>
      </c>
      <c r="P37" s="1" t="s">
        <v>149</v>
      </c>
      <c r="Q37" s="8" t="s">
        <v>82</v>
      </c>
      <c r="R37" s="1" t="s">
        <v>148</v>
      </c>
      <c r="S37" s="8" t="s">
        <v>82</v>
      </c>
      <c r="T37" s="1" t="s">
        <v>148</v>
      </c>
      <c r="U37" s="8">
        <v>8</v>
      </c>
      <c r="V37" s="1" t="s">
        <v>149</v>
      </c>
      <c r="W37" s="8" t="s">
        <v>79</v>
      </c>
      <c r="X37" s="1" t="s">
        <v>148</v>
      </c>
      <c r="Y37" s="8">
        <v>21</v>
      </c>
      <c r="Z37" s="1" t="s">
        <v>149</v>
      </c>
      <c r="AA37" s="8" t="s">
        <v>79</v>
      </c>
      <c r="AB37" s="1" t="s">
        <v>148</v>
      </c>
      <c r="AC37" s="8" t="s">
        <v>78</v>
      </c>
      <c r="AD37" s="1" t="s">
        <v>148</v>
      </c>
      <c r="AE37" s="8" t="s">
        <v>111</v>
      </c>
      <c r="AF37" s="1" t="s">
        <v>148</v>
      </c>
      <c r="AG37" s="8" t="s">
        <v>79</v>
      </c>
      <c r="AH37" s="1" t="s">
        <v>148</v>
      </c>
      <c r="AI37" s="2">
        <v>395</v>
      </c>
      <c r="AJ37" s="3" t="s">
        <v>150</v>
      </c>
      <c r="AK37" s="4" t="s">
        <v>189</v>
      </c>
    </row>
    <row r="38" spans="1:37" ht="15" customHeight="1">
      <c r="A38" s="5">
        <v>125237</v>
      </c>
      <c r="B38" s="6" t="s">
        <v>56</v>
      </c>
      <c r="C38" s="8">
        <v>45</v>
      </c>
      <c r="D38" s="1" t="s">
        <v>152</v>
      </c>
      <c r="E38" s="8" t="s">
        <v>79</v>
      </c>
      <c r="F38" s="1" t="s">
        <v>148</v>
      </c>
      <c r="G38" s="8" t="s">
        <v>88</v>
      </c>
      <c r="H38" s="1" t="s">
        <v>148</v>
      </c>
      <c r="I38" s="8" t="s">
        <v>69</v>
      </c>
      <c r="J38" s="1" t="s">
        <v>148</v>
      </c>
      <c r="K38" s="8" t="s">
        <v>82</v>
      </c>
      <c r="L38" s="1" t="s">
        <v>148</v>
      </c>
      <c r="M38" s="8" t="s">
        <v>88</v>
      </c>
      <c r="N38" s="1" t="s">
        <v>148</v>
      </c>
      <c r="O38" s="8">
        <v>41</v>
      </c>
      <c r="P38" s="1" t="s">
        <v>152</v>
      </c>
      <c r="Q38" s="8" t="s">
        <v>82</v>
      </c>
      <c r="R38" s="1" t="s">
        <v>148</v>
      </c>
      <c r="S38" s="8" t="s">
        <v>82</v>
      </c>
      <c r="T38" s="1" t="s">
        <v>148</v>
      </c>
      <c r="U38" s="8" t="s">
        <v>100</v>
      </c>
      <c r="V38" s="1" t="s">
        <v>148</v>
      </c>
      <c r="W38" s="8" t="s">
        <v>82</v>
      </c>
      <c r="X38" s="1" t="s">
        <v>148</v>
      </c>
      <c r="Y38" s="8" t="s">
        <v>113</v>
      </c>
      <c r="Z38" s="1" t="s">
        <v>153</v>
      </c>
      <c r="AA38" s="8" t="s">
        <v>79</v>
      </c>
      <c r="AB38" s="1" t="s">
        <v>148</v>
      </c>
      <c r="AC38" s="8" t="s">
        <v>82</v>
      </c>
      <c r="AD38" s="1" t="s">
        <v>148</v>
      </c>
      <c r="AE38" s="8" t="s">
        <v>112</v>
      </c>
      <c r="AF38" s="1" t="s">
        <v>148</v>
      </c>
      <c r="AG38" s="8" t="s">
        <v>82</v>
      </c>
      <c r="AH38" s="1" t="s">
        <v>148</v>
      </c>
      <c r="AI38" s="2">
        <v>452</v>
      </c>
      <c r="AJ38" s="3" t="s">
        <v>150</v>
      </c>
      <c r="AK38" s="4" t="s">
        <v>187</v>
      </c>
    </row>
    <row r="39" spans="1:37" ht="15" customHeight="1">
      <c r="A39" s="5">
        <v>125238</v>
      </c>
      <c r="B39" s="6" t="s">
        <v>57</v>
      </c>
      <c r="C39" s="8" t="s">
        <v>72</v>
      </c>
      <c r="D39" s="1" t="s">
        <v>148</v>
      </c>
      <c r="E39" s="8" t="s">
        <v>83</v>
      </c>
      <c r="F39" s="1" t="s">
        <v>148</v>
      </c>
      <c r="G39" s="8" t="s">
        <v>79</v>
      </c>
      <c r="H39" s="1" t="s">
        <v>148</v>
      </c>
      <c r="I39" s="8" t="s">
        <v>90</v>
      </c>
      <c r="J39" s="1" t="s">
        <v>148</v>
      </c>
      <c r="K39" s="8" t="s">
        <v>95</v>
      </c>
      <c r="L39" s="1" t="s">
        <v>148</v>
      </c>
      <c r="M39" s="8" t="s">
        <v>87</v>
      </c>
      <c r="N39" s="1" t="s">
        <v>148</v>
      </c>
      <c r="O39" s="8">
        <v>43</v>
      </c>
      <c r="P39" s="1" t="s">
        <v>153</v>
      </c>
      <c r="Q39" s="8" t="s">
        <v>94</v>
      </c>
      <c r="R39" s="1" t="s">
        <v>148</v>
      </c>
      <c r="S39" s="8" t="s">
        <v>98</v>
      </c>
      <c r="T39" s="1" t="s">
        <v>148</v>
      </c>
      <c r="U39" s="8" t="s">
        <v>69</v>
      </c>
      <c r="V39" s="1" t="s">
        <v>148</v>
      </c>
      <c r="W39" s="8" t="s">
        <v>95</v>
      </c>
      <c r="X39" s="1" t="s">
        <v>148</v>
      </c>
      <c r="Y39" s="8" t="s">
        <v>66</v>
      </c>
      <c r="Z39" s="1" t="s">
        <v>148</v>
      </c>
      <c r="AA39" s="8" t="s">
        <v>94</v>
      </c>
      <c r="AB39" s="1" t="s">
        <v>148</v>
      </c>
      <c r="AC39" s="8" t="s">
        <v>83</v>
      </c>
      <c r="AD39" s="1" t="s">
        <v>148</v>
      </c>
      <c r="AE39" s="8" t="s">
        <v>76</v>
      </c>
      <c r="AF39" s="1" t="s">
        <v>148</v>
      </c>
      <c r="AG39" s="8" t="s">
        <v>83</v>
      </c>
      <c r="AH39" s="1" t="s">
        <v>148</v>
      </c>
      <c r="AI39" s="2">
        <v>429</v>
      </c>
      <c r="AJ39" s="3" t="s">
        <v>158</v>
      </c>
      <c r="AK39" s="4" t="s">
        <v>190</v>
      </c>
    </row>
    <row r="40" spans="1:37" ht="15" customHeight="1">
      <c r="A40" s="5">
        <v>125239</v>
      </c>
      <c r="B40" s="6" t="s">
        <v>58</v>
      </c>
      <c r="C40" s="8" t="s">
        <v>69</v>
      </c>
      <c r="D40" s="1" t="s">
        <v>148</v>
      </c>
      <c r="E40" s="8" t="s">
        <v>78</v>
      </c>
      <c r="F40" s="1" t="s">
        <v>148</v>
      </c>
      <c r="G40" s="8" t="s">
        <v>88</v>
      </c>
      <c r="H40" s="1" t="s">
        <v>148</v>
      </c>
      <c r="I40" s="8" t="s">
        <v>69</v>
      </c>
      <c r="J40" s="1" t="s">
        <v>148</v>
      </c>
      <c r="K40" s="8" t="s">
        <v>79</v>
      </c>
      <c r="L40" s="1" t="s">
        <v>148</v>
      </c>
      <c r="M40" s="8" t="s">
        <v>96</v>
      </c>
      <c r="N40" s="1" t="s">
        <v>148</v>
      </c>
      <c r="O40" s="8" t="s">
        <v>67</v>
      </c>
      <c r="P40" s="1" t="s">
        <v>148</v>
      </c>
      <c r="Q40" s="8" t="s">
        <v>81</v>
      </c>
      <c r="R40" s="1" t="s">
        <v>148</v>
      </c>
      <c r="S40" s="8" t="s">
        <v>82</v>
      </c>
      <c r="T40" s="1" t="s">
        <v>148</v>
      </c>
      <c r="U40" s="8" t="s">
        <v>113</v>
      </c>
      <c r="V40" s="1" t="s">
        <v>153</v>
      </c>
      <c r="W40" s="8" t="s">
        <v>76</v>
      </c>
      <c r="X40" s="1" t="s">
        <v>148</v>
      </c>
      <c r="Y40" s="8" t="s">
        <v>69</v>
      </c>
      <c r="Z40" s="1" t="s">
        <v>148</v>
      </c>
      <c r="AA40" s="8" t="s">
        <v>78</v>
      </c>
      <c r="AB40" s="1" t="s">
        <v>148</v>
      </c>
      <c r="AC40" s="8" t="s">
        <v>82</v>
      </c>
      <c r="AD40" s="1" t="s">
        <v>148</v>
      </c>
      <c r="AE40" s="8" t="s">
        <v>108</v>
      </c>
      <c r="AF40" s="1" t="s">
        <v>148</v>
      </c>
      <c r="AG40" s="8" t="s">
        <v>76</v>
      </c>
      <c r="AH40" s="1" t="s">
        <v>148</v>
      </c>
      <c r="AI40" s="2">
        <v>445</v>
      </c>
      <c r="AJ40" s="3" t="s">
        <v>163</v>
      </c>
      <c r="AK40" s="4" t="s">
        <v>191</v>
      </c>
    </row>
    <row r="41" spans="1:37" ht="15" customHeight="1">
      <c r="A41" s="5">
        <v>125240</v>
      </c>
      <c r="B41" s="6" t="s">
        <v>59</v>
      </c>
      <c r="C41" s="8" t="s">
        <v>69</v>
      </c>
      <c r="D41" s="1" t="s">
        <v>148</v>
      </c>
      <c r="E41" s="8" t="s">
        <v>82</v>
      </c>
      <c r="F41" s="1" t="s">
        <v>148</v>
      </c>
      <c r="G41" s="8" t="s">
        <v>74</v>
      </c>
      <c r="H41" s="1" t="s">
        <v>148</v>
      </c>
      <c r="I41" s="8" t="s">
        <v>69</v>
      </c>
      <c r="J41" s="1" t="s">
        <v>148</v>
      </c>
      <c r="K41" s="8" t="s">
        <v>79</v>
      </c>
      <c r="L41" s="1" t="s">
        <v>148</v>
      </c>
      <c r="M41" s="8" t="s">
        <v>86</v>
      </c>
      <c r="N41" s="1" t="s">
        <v>148</v>
      </c>
      <c r="O41" s="8">
        <v>59</v>
      </c>
      <c r="P41" s="1" t="s">
        <v>153</v>
      </c>
      <c r="Q41" s="8" t="s">
        <v>79</v>
      </c>
      <c r="R41" s="1" t="s">
        <v>148</v>
      </c>
      <c r="S41" s="8" t="s">
        <v>81</v>
      </c>
      <c r="T41" s="1" t="s">
        <v>148</v>
      </c>
      <c r="U41" s="8" t="s">
        <v>93</v>
      </c>
      <c r="V41" s="1" t="s">
        <v>148</v>
      </c>
      <c r="W41" s="8" t="s">
        <v>82</v>
      </c>
      <c r="X41" s="1" t="s">
        <v>148</v>
      </c>
      <c r="Y41" s="8" t="s">
        <v>67</v>
      </c>
      <c r="Z41" s="1" t="s">
        <v>148</v>
      </c>
      <c r="AA41" s="8" t="s">
        <v>82</v>
      </c>
      <c r="AB41" s="1" t="s">
        <v>148</v>
      </c>
      <c r="AC41" s="8" t="s">
        <v>79</v>
      </c>
      <c r="AD41" s="1" t="s">
        <v>148</v>
      </c>
      <c r="AE41" s="8" t="s">
        <v>105</v>
      </c>
      <c r="AF41" s="1" t="s">
        <v>148</v>
      </c>
      <c r="AG41" s="8" t="s">
        <v>79</v>
      </c>
      <c r="AH41" s="1" t="s">
        <v>148</v>
      </c>
      <c r="AI41" s="2">
        <v>514</v>
      </c>
      <c r="AJ41" s="3" t="s">
        <v>158</v>
      </c>
      <c r="AK41" s="4" t="s">
        <v>192</v>
      </c>
    </row>
    <row r="42" spans="1:37" ht="15" customHeight="1">
      <c r="A42" s="5">
        <v>125241</v>
      </c>
      <c r="B42" s="6" t="s">
        <v>60</v>
      </c>
      <c r="C42" s="8" t="s">
        <v>67</v>
      </c>
      <c r="D42" s="1" t="s">
        <v>148</v>
      </c>
      <c r="E42" s="8" t="s">
        <v>76</v>
      </c>
      <c r="F42" s="1" t="s">
        <v>148</v>
      </c>
      <c r="G42" s="8" t="s">
        <v>66</v>
      </c>
      <c r="H42" s="1" t="s">
        <v>148</v>
      </c>
      <c r="I42" s="8" t="s">
        <v>93</v>
      </c>
      <c r="J42" s="1" t="s">
        <v>148</v>
      </c>
      <c r="K42" s="8" t="s">
        <v>81</v>
      </c>
      <c r="L42" s="1" t="s">
        <v>148</v>
      </c>
      <c r="M42" s="8" t="s">
        <v>93</v>
      </c>
      <c r="N42" s="1" t="s">
        <v>148</v>
      </c>
      <c r="O42" s="8" t="s">
        <v>113</v>
      </c>
      <c r="P42" s="1" t="s">
        <v>153</v>
      </c>
      <c r="Q42" s="8" t="s">
        <v>81</v>
      </c>
      <c r="R42" s="1" t="s">
        <v>148</v>
      </c>
      <c r="S42" s="8" t="s">
        <v>76</v>
      </c>
      <c r="T42" s="1" t="s">
        <v>148</v>
      </c>
      <c r="U42" s="8" t="s">
        <v>69</v>
      </c>
      <c r="V42" s="1" t="s">
        <v>148</v>
      </c>
      <c r="W42" s="8" t="s">
        <v>76</v>
      </c>
      <c r="X42" s="1" t="s">
        <v>148</v>
      </c>
      <c r="Y42" s="8" t="s">
        <v>103</v>
      </c>
      <c r="Z42" s="1" t="s">
        <v>148</v>
      </c>
      <c r="AA42" s="8" t="s">
        <v>76</v>
      </c>
      <c r="AB42" s="1" t="s">
        <v>148</v>
      </c>
      <c r="AC42" s="8" t="s">
        <v>76</v>
      </c>
      <c r="AD42" s="1" t="s">
        <v>148</v>
      </c>
      <c r="AE42" s="8" t="s">
        <v>96</v>
      </c>
      <c r="AF42" s="1" t="s">
        <v>148</v>
      </c>
      <c r="AG42" s="8" t="s">
        <v>76</v>
      </c>
      <c r="AH42" s="1" t="s">
        <v>148</v>
      </c>
      <c r="AI42" s="2">
        <v>507</v>
      </c>
      <c r="AJ42" s="3" t="s">
        <v>163</v>
      </c>
      <c r="AK42" s="4" t="s">
        <v>193</v>
      </c>
    </row>
    <row r="43" spans="1:37" ht="15" customHeight="1">
      <c r="A43" s="5">
        <v>125242</v>
      </c>
      <c r="B43" s="6" t="s">
        <v>61</v>
      </c>
      <c r="C43" s="8" t="s">
        <v>113</v>
      </c>
      <c r="D43" s="1" t="s">
        <v>153</v>
      </c>
      <c r="E43" s="8" t="s">
        <v>79</v>
      </c>
      <c r="F43" s="1" t="s">
        <v>148</v>
      </c>
      <c r="G43" s="8" t="s">
        <v>71</v>
      </c>
      <c r="H43" s="1" t="s">
        <v>148</v>
      </c>
      <c r="I43" s="8" t="s">
        <v>69</v>
      </c>
      <c r="J43" s="1" t="s">
        <v>148</v>
      </c>
      <c r="K43" s="8" t="s">
        <v>82</v>
      </c>
      <c r="L43" s="1" t="s">
        <v>148</v>
      </c>
      <c r="M43" s="8" t="s">
        <v>93</v>
      </c>
      <c r="N43" s="1" t="s">
        <v>148</v>
      </c>
      <c r="O43" s="8" t="s">
        <v>113</v>
      </c>
      <c r="P43" s="1" t="s">
        <v>153</v>
      </c>
      <c r="Q43" s="8" t="s">
        <v>82</v>
      </c>
      <c r="R43" s="1" t="s">
        <v>148</v>
      </c>
      <c r="S43" s="8" t="s">
        <v>76</v>
      </c>
      <c r="T43" s="1" t="s">
        <v>148</v>
      </c>
      <c r="U43" s="8" t="s">
        <v>113</v>
      </c>
      <c r="V43" s="1" t="s">
        <v>153</v>
      </c>
      <c r="W43" s="8" t="s">
        <v>82</v>
      </c>
      <c r="X43" s="1" t="s">
        <v>148</v>
      </c>
      <c r="Y43" s="8" t="s">
        <v>113</v>
      </c>
      <c r="Z43" s="1" t="s">
        <v>153</v>
      </c>
      <c r="AA43" s="8" t="s">
        <v>79</v>
      </c>
      <c r="AB43" s="1" t="s">
        <v>148</v>
      </c>
      <c r="AC43" s="8" t="s">
        <v>81</v>
      </c>
      <c r="AD43" s="1" t="s">
        <v>148</v>
      </c>
      <c r="AE43" s="8" t="s">
        <v>111</v>
      </c>
      <c r="AF43" s="1" t="s">
        <v>148</v>
      </c>
      <c r="AG43" s="8" t="s">
        <v>79</v>
      </c>
      <c r="AH43" s="1" t="s">
        <v>148</v>
      </c>
      <c r="AI43" s="2">
        <v>324</v>
      </c>
      <c r="AJ43" s="3" t="s">
        <v>163</v>
      </c>
      <c r="AK43" s="4" t="s">
        <v>194</v>
      </c>
    </row>
    <row r="44" spans="1:37" ht="15" customHeight="1">
      <c r="A44" s="5">
        <v>125243</v>
      </c>
      <c r="B44" s="6" t="s">
        <v>62</v>
      </c>
      <c r="C44" s="8" t="s">
        <v>75</v>
      </c>
      <c r="D44" s="1" t="s">
        <v>148</v>
      </c>
      <c r="E44" s="8" t="s">
        <v>79</v>
      </c>
      <c r="F44" s="1" t="s">
        <v>148</v>
      </c>
      <c r="G44" s="8" t="s">
        <v>69</v>
      </c>
      <c r="H44" s="1" t="s">
        <v>148</v>
      </c>
      <c r="I44" s="8" t="s">
        <v>72</v>
      </c>
      <c r="J44" s="1" t="s">
        <v>148</v>
      </c>
      <c r="K44" s="8" t="s">
        <v>95</v>
      </c>
      <c r="L44" s="1" t="s">
        <v>148</v>
      </c>
      <c r="M44" s="8" t="s">
        <v>96</v>
      </c>
      <c r="N44" s="1" t="s">
        <v>148</v>
      </c>
      <c r="O44" s="8">
        <v>42</v>
      </c>
      <c r="P44" s="1" t="s">
        <v>153</v>
      </c>
      <c r="Q44" s="8" t="s">
        <v>79</v>
      </c>
      <c r="R44" s="1" t="s">
        <v>148</v>
      </c>
      <c r="S44" s="8" t="s">
        <v>79</v>
      </c>
      <c r="T44" s="1" t="s">
        <v>148</v>
      </c>
      <c r="U44" s="8" t="s">
        <v>71</v>
      </c>
      <c r="V44" s="1" t="s">
        <v>148</v>
      </c>
      <c r="W44" s="8" t="s">
        <v>83</v>
      </c>
      <c r="X44" s="1" t="s">
        <v>148</v>
      </c>
      <c r="Y44" s="8">
        <v>43</v>
      </c>
      <c r="Z44" s="1" t="s">
        <v>153</v>
      </c>
      <c r="AA44" s="8" t="s">
        <v>95</v>
      </c>
      <c r="AB44" s="1" t="s">
        <v>148</v>
      </c>
      <c r="AC44" s="8" t="s">
        <v>77</v>
      </c>
      <c r="AD44" s="1" t="s">
        <v>148</v>
      </c>
      <c r="AE44" s="8" t="s">
        <v>108</v>
      </c>
      <c r="AF44" s="1" t="s">
        <v>148</v>
      </c>
      <c r="AG44" s="8" t="s">
        <v>82</v>
      </c>
      <c r="AH44" s="1" t="s">
        <v>148</v>
      </c>
      <c r="AI44" s="2">
        <v>481</v>
      </c>
      <c r="AJ44" s="3" t="s">
        <v>158</v>
      </c>
      <c r="AK44" s="4" t="s">
        <v>195</v>
      </c>
    </row>
    <row r="45" spans="1:37" ht="15" customHeight="1">
      <c r="A45" s="5">
        <v>125244</v>
      </c>
      <c r="B45" s="6" t="s">
        <v>63</v>
      </c>
      <c r="C45" s="8">
        <v>52</v>
      </c>
      <c r="D45" s="1" t="s">
        <v>152</v>
      </c>
      <c r="E45" s="8" t="s">
        <v>79</v>
      </c>
      <c r="F45" s="1" t="s">
        <v>148</v>
      </c>
      <c r="G45" s="8" t="s">
        <v>89</v>
      </c>
      <c r="H45" s="1" t="s">
        <v>148</v>
      </c>
      <c r="I45" s="8">
        <v>50</v>
      </c>
      <c r="J45" s="1" t="s">
        <v>152</v>
      </c>
      <c r="K45" s="8" t="s">
        <v>95</v>
      </c>
      <c r="L45" s="1" t="s">
        <v>148</v>
      </c>
      <c r="M45" s="8" t="s">
        <v>96</v>
      </c>
      <c r="N45" s="1" t="s">
        <v>148</v>
      </c>
      <c r="O45" s="8" t="s">
        <v>113</v>
      </c>
      <c r="P45" s="1" t="s">
        <v>153</v>
      </c>
      <c r="Q45" s="8" t="s">
        <v>79</v>
      </c>
      <c r="R45" s="1" t="s">
        <v>148</v>
      </c>
      <c r="S45" s="8" t="s">
        <v>82</v>
      </c>
      <c r="T45" s="1" t="s">
        <v>148</v>
      </c>
      <c r="U45" s="8">
        <v>11</v>
      </c>
      <c r="V45" s="1" t="s">
        <v>149</v>
      </c>
      <c r="W45" s="8" t="s">
        <v>79</v>
      </c>
      <c r="X45" s="1" t="s">
        <v>148</v>
      </c>
      <c r="Y45" s="8">
        <v>43</v>
      </c>
      <c r="Z45" s="1" t="s">
        <v>152</v>
      </c>
      <c r="AA45" s="8" t="s">
        <v>79</v>
      </c>
      <c r="AB45" s="1" t="s">
        <v>148</v>
      </c>
      <c r="AC45" s="8" t="s">
        <v>79</v>
      </c>
      <c r="AD45" s="1" t="s">
        <v>148</v>
      </c>
      <c r="AE45" s="8">
        <v>28</v>
      </c>
      <c r="AF45" s="1" t="s">
        <v>152</v>
      </c>
      <c r="AG45" s="8" t="s">
        <v>79</v>
      </c>
      <c r="AH45" s="1" t="s">
        <v>148</v>
      </c>
      <c r="AI45" s="2">
        <v>417</v>
      </c>
      <c r="AJ45" s="3" t="s">
        <v>150</v>
      </c>
      <c r="AK45" s="4" t="s">
        <v>196</v>
      </c>
    </row>
    <row r="46" spans="1:37" ht="15" customHeight="1">
      <c r="A46" s="5">
        <v>125245</v>
      </c>
      <c r="B46" s="6" t="s">
        <v>64</v>
      </c>
      <c r="C46" s="8" t="s">
        <v>69</v>
      </c>
      <c r="D46" s="1" t="s">
        <v>148</v>
      </c>
      <c r="E46" s="8" t="s">
        <v>76</v>
      </c>
      <c r="F46" s="1" t="s">
        <v>148</v>
      </c>
      <c r="G46" s="8" t="s">
        <v>87</v>
      </c>
      <c r="H46" s="1" t="s">
        <v>148</v>
      </c>
      <c r="I46" s="8" t="s">
        <v>88</v>
      </c>
      <c r="J46" s="1" t="s">
        <v>148</v>
      </c>
      <c r="K46" s="8" t="s">
        <v>76</v>
      </c>
      <c r="L46" s="1" t="s">
        <v>148</v>
      </c>
      <c r="M46" s="8" t="s">
        <v>89</v>
      </c>
      <c r="N46" s="1" t="s">
        <v>148</v>
      </c>
      <c r="O46" s="8">
        <v>46</v>
      </c>
      <c r="P46" s="1" t="s">
        <v>152</v>
      </c>
      <c r="Q46" s="8" t="s">
        <v>76</v>
      </c>
      <c r="R46" s="1" t="s">
        <v>148</v>
      </c>
      <c r="S46" s="8" t="s">
        <v>82</v>
      </c>
      <c r="T46" s="1" t="s">
        <v>148</v>
      </c>
      <c r="U46" s="8" t="s">
        <v>66</v>
      </c>
      <c r="V46" s="1" t="s">
        <v>148</v>
      </c>
      <c r="W46" s="8" t="s">
        <v>76</v>
      </c>
      <c r="X46" s="1" t="s">
        <v>148</v>
      </c>
      <c r="Y46" s="8" t="s">
        <v>113</v>
      </c>
      <c r="Z46" s="1" t="s">
        <v>153</v>
      </c>
      <c r="AA46" s="8" t="s">
        <v>76</v>
      </c>
      <c r="AB46" s="1" t="s">
        <v>148</v>
      </c>
      <c r="AC46" s="8" t="s">
        <v>81</v>
      </c>
      <c r="AD46" s="1" t="s">
        <v>148</v>
      </c>
      <c r="AE46" s="8" t="s">
        <v>109</v>
      </c>
      <c r="AF46" s="1" t="s">
        <v>148</v>
      </c>
      <c r="AG46" s="8" t="s">
        <v>76</v>
      </c>
      <c r="AH46" s="1" t="s">
        <v>148</v>
      </c>
      <c r="AI46" s="2">
        <v>460</v>
      </c>
      <c r="AJ46" s="3" t="s">
        <v>150</v>
      </c>
      <c r="AK46" s="4" t="s">
        <v>183</v>
      </c>
    </row>
    <row r="47" spans="1:37" ht="15" customHeight="1">
      <c r="A47" s="5">
        <v>125246</v>
      </c>
      <c r="B47" s="7" t="s">
        <v>65</v>
      </c>
      <c r="C47" s="8" t="s">
        <v>69</v>
      </c>
      <c r="D47" s="1" t="s">
        <v>148</v>
      </c>
      <c r="E47" s="8" t="s">
        <v>77</v>
      </c>
      <c r="F47" s="1" t="s">
        <v>148</v>
      </c>
      <c r="G47" s="8" t="s">
        <v>88</v>
      </c>
      <c r="H47" s="1" t="s">
        <v>148</v>
      </c>
      <c r="I47" s="8" t="s">
        <v>66</v>
      </c>
      <c r="J47" s="1" t="s">
        <v>148</v>
      </c>
      <c r="K47" s="8" t="s">
        <v>95</v>
      </c>
      <c r="L47" s="1" t="s">
        <v>148</v>
      </c>
      <c r="M47" s="8" t="s">
        <v>89</v>
      </c>
      <c r="N47" s="1" t="s">
        <v>148</v>
      </c>
      <c r="O47" s="8">
        <v>44</v>
      </c>
      <c r="P47" s="1" t="s">
        <v>153</v>
      </c>
      <c r="Q47" s="8" t="s">
        <v>79</v>
      </c>
      <c r="R47" s="1" t="s">
        <v>148</v>
      </c>
      <c r="S47" s="8" t="s">
        <v>82</v>
      </c>
      <c r="T47" s="1" t="s">
        <v>148</v>
      </c>
      <c r="U47" s="8">
        <v>40</v>
      </c>
      <c r="V47" s="1" t="s">
        <v>153</v>
      </c>
      <c r="W47" s="8" t="s">
        <v>78</v>
      </c>
      <c r="X47" s="1" t="s">
        <v>148</v>
      </c>
      <c r="Y47" s="8" t="s">
        <v>104</v>
      </c>
      <c r="Z47" s="1" t="s">
        <v>148</v>
      </c>
      <c r="AA47" s="8" t="s">
        <v>77</v>
      </c>
      <c r="AB47" s="1" t="s">
        <v>148</v>
      </c>
      <c r="AC47" s="8" t="s">
        <v>79</v>
      </c>
      <c r="AD47" s="1" t="s">
        <v>148</v>
      </c>
      <c r="AE47" s="8" t="s">
        <v>87</v>
      </c>
      <c r="AF47" s="1" t="s">
        <v>148</v>
      </c>
      <c r="AG47" s="8" t="s">
        <v>78</v>
      </c>
      <c r="AH47" s="1" t="s">
        <v>148</v>
      </c>
      <c r="AI47" s="2">
        <v>499</v>
      </c>
      <c r="AJ47" s="3" t="s">
        <v>158</v>
      </c>
      <c r="AK47" s="4" t="s">
        <v>197</v>
      </c>
    </row>
  </sheetData>
  <conditionalFormatting sqref="E2:E47 K2:K47 AG2:AG47 G2:G47 M2:M47 Q2:Q47 S2:S47 W2:W47 AA2:AA47 AC2:AC47 C2:C47 I2:I47 O2:O47 U2:U47 Y2:Y47 AE2:AE47">
    <cfRule type="cellIs" dxfId="5" priority="6" operator="equal">
      <formula>"AB"</formula>
    </cfRule>
  </conditionalFormatting>
  <conditionalFormatting sqref="C2:C47 I2:I47 O2:O47 U2:U47 Y2:Y47">
    <cfRule type="cellIs" dxfId="4" priority="5" operator="lessThan">
      <formula>40</formula>
    </cfRule>
  </conditionalFormatting>
  <conditionalFormatting sqref="K2:K47 E2:E47 AG2:AG47 Q2:Q47 S2:S47 W2:W47 AA2:AA47 AC2:AC47">
    <cfRule type="cellIs" dxfId="3" priority="4" operator="lessThan">
      <formula>10</formula>
    </cfRule>
  </conditionalFormatting>
  <conditionalFormatting sqref="G2:G47 M2:M47 AE2:AE47">
    <cfRule type="cellIs" dxfId="2" priority="3" operator="lessThan">
      <formula>20</formula>
    </cfRule>
  </conditionalFormatting>
  <conditionalFormatting sqref="AJ2:AJ47">
    <cfRule type="cellIs" dxfId="1" priority="2" operator="equal">
      <formula>"FAIL"</formula>
    </cfRule>
  </conditionalFormatting>
  <conditionalFormatting sqref="D2:D47 F2:F47 H2:H47 J2:J47 L2:L47 N2:N47 P2:P47 R2:R47 T2:T47 V2:V47 X2:X47 Z2:Z47 AB2:AB47 AD2:AD47 AF2:AF47 AH2:AH47">
    <cfRule type="cellIs" dxfId="0" priority="1" operator="equal">
      <formula>"F"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GAZET</vt:lpstr>
      <vt:lpstr>Analysis</vt:lpstr>
      <vt:lpstr>MarkSheet</vt:lpstr>
      <vt:lpstr>GAZET!Print_Area</vt:lpstr>
      <vt:lpstr>GAZET!Print_Titles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PARAG</dc:creator>
  <cp:lastModifiedBy>admin</cp:lastModifiedBy>
  <cp:lastPrinted>2008-08-08T01:12:54Z</cp:lastPrinted>
  <dcterms:created xsi:type="dcterms:W3CDTF">2012-04-17T06:18:48Z</dcterms:created>
  <dcterms:modified xsi:type="dcterms:W3CDTF">2015-08-04T07:36:42Z</dcterms:modified>
</cp:coreProperties>
</file>